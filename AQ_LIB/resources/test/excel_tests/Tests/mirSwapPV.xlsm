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 PVs" sheetId="83" r:id="rId7"/>
    <sheet name="USD Swap PVs" sheetId="89" r:id="rId8"/>
    <sheet name="GBP Swap PVs" sheetId="91" r:id="rId9"/>
    <sheet name="JPY Swap PVs" sheetId="95" r:id="rId10"/>
    <sheet name="EUR Snapshots" sheetId="92" r:id="rId11"/>
    <sheet name="USD Snapshots" sheetId="101" r:id="rId12"/>
    <sheet name="GBP Snapshots" sheetId="102" r:id="rId13"/>
    <sheet name="JPY SnapShots" sheetId="103" r:id="rId14"/>
    <sheet name="EUR Price Tests" sheetId="88" r:id="rId15"/>
    <sheet name="USD Price Tests" sheetId="90" r:id="rId16"/>
    <sheet name="GBP Price Tests" sheetId="94" r:id="rId17"/>
    <sheet name="JPY Price Tests" sheetId="97" r:id="rId18"/>
    <sheet name="Snapshot Summary" sheetId="99" r:id="rId19"/>
    <sheet name="Price Test Summary" sheetId="98" r:id="rId20"/>
    <sheet name="Results" sheetId="100" r:id="rId21"/>
  </sheets>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Settings!$C$11</definedName>
    <definedName name="BumpSwaps">Settings!$B$13</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Settings!$B$10</definedName>
    <definedName name="_xlnm.Print_Area" localSheetId="5">'Multi-Curves'!$A$1:$S$22</definedName>
    <definedName name="Result">Results!$B$12</definedName>
    <definedName name="SnapshotTolerance">Settings!$B$13</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Settings!$C$15</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Completed="0" calcOnSave="0" concurrentCalc="0"/>
</workbook>
</file>

<file path=xl/calcChain.xml><?xml version="1.0" encoding="utf-8"?>
<calcChain xmlns="http://schemas.openxmlformats.org/spreadsheetml/2006/main">
  <c r="C22" i="83" l="1"/>
  <c r="D22" i="83"/>
  <c r="D24" i="83"/>
  <c r="I4" i="83"/>
  <c r="G4" i="83"/>
  <c r="N4" i="83"/>
  <c r="C10" i="92"/>
  <c r="AC10" i="92"/>
  <c r="O3" i="83"/>
  <c r="O4" i="83"/>
  <c r="D10" i="92"/>
  <c r="AD10" i="92"/>
  <c r="P3" i="83"/>
  <c r="P4" i="83"/>
  <c r="E10" i="92"/>
  <c r="AE10" i="92"/>
  <c r="Q3" i="83"/>
  <c r="Q4" i="83"/>
  <c r="F10" i="92"/>
  <c r="AF10" i="92"/>
  <c r="R3" i="83"/>
  <c r="R4" i="83"/>
  <c r="G10" i="92"/>
  <c r="AG10" i="92"/>
  <c r="S3" i="83"/>
  <c r="S4" i="83"/>
  <c r="H10" i="92"/>
  <c r="AH10" i="92"/>
  <c r="T3" i="83"/>
  <c r="T4" i="83"/>
  <c r="I10" i="92"/>
  <c r="AI10" i="92"/>
  <c r="U3" i="83"/>
  <c r="U4" i="83"/>
  <c r="J10" i="92"/>
  <c r="AJ10" i="92"/>
  <c r="V3" i="83"/>
  <c r="V4" i="83"/>
  <c r="K10" i="92"/>
  <c r="AK10" i="92"/>
  <c r="W3" i="83"/>
  <c r="W4" i="83"/>
  <c r="L10" i="92"/>
  <c r="AL10" i="92"/>
  <c r="X3" i="83"/>
  <c r="X4" i="83"/>
  <c r="M10" i="92"/>
  <c r="AM10" i="92"/>
  <c r="I5" i="83"/>
  <c r="G5" i="83"/>
  <c r="N5" i="83"/>
  <c r="C11" i="92"/>
  <c r="AC11" i="92"/>
  <c r="O5" i="83"/>
  <c r="D11" i="92"/>
  <c r="AD11" i="92"/>
  <c r="P5" i="83"/>
  <c r="E11" i="92"/>
  <c r="AE11" i="92"/>
  <c r="Q5" i="83"/>
  <c r="F11" i="92"/>
  <c r="AF11" i="92"/>
  <c r="R5" i="83"/>
  <c r="G11" i="92"/>
  <c r="AG11" i="92"/>
  <c r="S5" i="83"/>
  <c r="H11" i="92"/>
  <c r="AH11" i="92"/>
  <c r="T5" i="83"/>
  <c r="I11" i="92"/>
  <c r="AI11" i="92"/>
  <c r="U5" i="83"/>
  <c r="J11" i="92"/>
  <c r="AJ11" i="92"/>
  <c r="V5" i="83"/>
  <c r="K11" i="92"/>
  <c r="AK11" i="92"/>
  <c r="W5" i="83"/>
  <c r="L11" i="92"/>
  <c r="AL11" i="92"/>
  <c r="X5" i="83"/>
  <c r="M11" i="92"/>
  <c r="AM11" i="92"/>
  <c r="I6" i="83"/>
  <c r="G6" i="83"/>
  <c r="N6" i="83"/>
  <c r="C12" i="92"/>
  <c r="AC12" i="92"/>
  <c r="O6" i="83"/>
  <c r="D12" i="92"/>
  <c r="AD12" i="92"/>
  <c r="P6" i="83"/>
  <c r="E12" i="92"/>
  <c r="AE12" i="92"/>
  <c r="Q6" i="83"/>
  <c r="F12" i="92"/>
  <c r="AF12" i="92"/>
  <c r="R6" i="83"/>
  <c r="G12" i="92"/>
  <c r="AG12" i="92"/>
  <c r="S6" i="83"/>
  <c r="H12" i="92"/>
  <c r="AH12" i="92"/>
  <c r="T6" i="83"/>
  <c r="I12" i="92"/>
  <c r="AI12" i="92"/>
  <c r="U6" i="83"/>
  <c r="J12" i="92"/>
  <c r="AJ12" i="92"/>
  <c r="V6" i="83"/>
  <c r="K12" i="92"/>
  <c r="AK12" i="92"/>
  <c r="W6" i="83"/>
  <c r="L12" i="92"/>
  <c r="AL12" i="92"/>
  <c r="X6" i="83"/>
  <c r="M12" i="92"/>
  <c r="AM12" i="92"/>
  <c r="I7" i="83"/>
  <c r="G7" i="83"/>
  <c r="N7" i="83"/>
  <c r="C13" i="92"/>
  <c r="AC13" i="92"/>
  <c r="O7" i="83"/>
  <c r="D13" i="92"/>
  <c r="AD13" i="92"/>
  <c r="P7" i="83"/>
  <c r="E13" i="92"/>
  <c r="AE13" i="92"/>
  <c r="Q7" i="83"/>
  <c r="F13" i="92"/>
  <c r="AF13" i="92"/>
  <c r="R7" i="83"/>
  <c r="G13" i="92"/>
  <c r="AG13" i="92"/>
  <c r="S7" i="83"/>
  <c r="H13" i="92"/>
  <c r="AH13" i="92"/>
  <c r="T7" i="83"/>
  <c r="I13" i="92"/>
  <c r="AI13" i="92"/>
  <c r="U7" i="83"/>
  <c r="J13" i="92"/>
  <c r="AJ13" i="92"/>
  <c r="V7" i="83"/>
  <c r="K13" i="92"/>
  <c r="AK13" i="92"/>
  <c r="W7" i="83"/>
  <c r="L13" i="92"/>
  <c r="AL13" i="92"/>
  <c r="X7" i="83"/>
  <c r="M13" i="92"/>
  <c r="AM13" i="92"/>
  <c r="I8" i="83"/>
  <c r="G8" i="83"/>
  <c r="N8" i="83"/>
  <c r="C14" i="92"/>
  <c r="AC14" i="92"/>
  <c r="O8" i="83"/>
  <c r="D14" i="92"/>
  <c r="AD14" i="92"/>
  <c r="P8" i="83"/>
  <c r="E14" i="92"/>
  <c r="AE14" i="92"/>
  <c r="Q8" i="83"/>
  <c r="F14" i="92"/>
  <c r="AF14" i="92"/>
  <c r="R8" i="83"/>
  <c r="G14" i="92"/>
  <c r="AG14" i="92"/>
  <c r="S8" i="83"/>
  <c r="H14" i="92"/>
  <c r="AH14" i="92"/>
  <c r="T8" i="83"/>
  <c r="I14" i="92"/>
  <c r="AI14" i="92"/>
  <c r="U8" i="83"/>
  <c r="J14" i="92"/>
  <c r="AJ14" i="92"/>
  <c r="V8" i="83"/>
  <c r="K14" i="92"/>
  <c r="AK14" i="92"/>
  <c r="W8" i="83"/>
  <c r="L14" i="92"/>
  <c r="AL14" i="92"/>
  <c r="X8" i="83"/>
  <c r="M14" i="92"/>
  <c r="AM14" i="92"/>
  <c r="I9" i="83"/>
  <c r="G9" i="83"/>
  <c r="N9" i="83"/>
  <c r="C15" i="92"/>
  <c r="AC15" i="92"/>
  <c r="O9" i="83"/>
  <c r="D15" i="92"/>
  <c r="AD15" i="92"/>
  <c r="P9" i="83"/>
  <c r="E15" i="92"/>
  <c r="AE15" i="92"/>
  <c r="Q9" i="83"/>
  <c r="F15" i="92"/>
  <c r="AF15" i="92"/>
  <c r="R9" i="83"/>
  <c r="G15" i="92"/>
  <c r="AG15" i="92"/>
  <c r="S9" i="83"/>
  <c r="H15" i="92"/>
  <c r="AH15" i="92"/>
  <c r="T9" i="83"/>
  <c r="I15" i="92"/>
  <c r="AI15" i="92"/>
  <c r="U9" i="83"/>
  <c r="J15" i="92"/>
  <c r="AJ15" i="92"/>
  <c r="V9" i="83"/>
  <c r="K15" i="92"/>
  <c r="AK15" i="92"/>
  <c r="W9" i="83"/>
  <c r="L15" i="92"/>
  <c r="AL15" i="92"/>
  <c r="X9" i="83"/>
  <c r="M15" i="92"/>
  <c r="AM15" i="92"/>
  <c r="I10" i="83"/>
  <c r="G10" i="83"/>
  <c r="N10" i="83"/>
  <c r="C16" i="92"/>
  <c r="AC16" i="92"/>
  <c r="O10" i="83"/>
  <c r="D16" i="92"/>
  <c r="AD16" i="92"/>
  <c r="P10" i="83"/>
  <c r="E16" i="92"/>
  <c r="AE16" i="92"/>
  <c r="Q10" i="83"/>
  <c r="F16" i="92"/>
  <c r="AF16" i="92"/>
  <c r="R10" i="83"/>
  <c r="G16" i="92"/>
  <c r="AG16" i="92"/>
  <c r="S10" i="83"/>
  <c r="H16" i="92"/>
  <c r="AH16" i="92"/>
  <c r="T10" i="83"/>
  <c r="I16" i="92"/>
  <c r="AI16" i="92"/>
  <c r="U10" i="83"/>
  <c r="J16" i="92"/>
  <c r="AJ16" i="92"/>
  <c r="V10" i="83"/>
  <c r="K16" i="92"/>
  <c r="AK16" i="92"/>
  <c r="W10" i="83"/>
  <c r="L16" i="92"/>
  <c r="AL16" i="92"/>
  <c r="X10" i="83"/>
  <c r="M16" i="92"/>
  <c r="AM16" i="92"/>
  <c r="I11" i="83"/>
  <c r="G11" i="83"/>
  <c r="N11" i="83"/>
  <c r="C17" i="92"/>
  <c r="AC17" i="92"/>
  <c r="O11" i="83"/>
  <c r="D17" i="92"/>
  <c r="AD17" i="92"/>
  <c r="P11" i="83"/>
  <c r="E17" i="92"/>
  <c r="AE17" i="92"/>
  <c r="Q11" i="83"/>
  <c r="F17" i="92"/>
  <c r="AF17" i="92"/>
  <c r="R11" i="83"/>
  <c r="G17" i="92"/>
  <c r="AG17" i="92"/>
  <c r="S11" i="83"/>
  <c r="H17" i="92"/>
  <c r="AH17" i="92"/>
  <c r="T11" i="83"/>
  <c r="I17" i="92"/>
  <c r="AI17" i="92"/>
  <c r="U11" i="83"/>
  <c r="J17" i="92"/>
  <c r="AJ17" i="92"/>
  <c r="V11" i="83"/>
  <c r="K17" i="92"/>
  <c r="AK17" i="92"/>
  <c r="W11" i="83"/>
  <c r="L17" i="92"/>
  <c r="AL17" i="92"/>
  <c r="X11" i="83"/>
  <c r="M17" i="92"/>
  <c r="AM17" i="92"/>
  <c r="I12" i="83"/>
  <c r="G12" i="83"/>
  <c r="N12" i="83"/>
  <c r="C18" i="92"/>
  <c r="AC18" i="92"/>
  <c r="O12" i="83"/>
  <c r="D18" i="92"/>
  <c r="AD18" i="92"/>
  <c r="P12" i="83"/>
  <c r="E18" i="92"/>
  <c r="AE18" i="92"/>
  <c r="Q12" i="83"/>
  <c r="F18" i="92"/>
  <c r="AF18" i="92"/>
  <c r="R12" i="83"/>
  <c r="G18" i="92"/>
  <c r="AG18" i="92"/>
  <c r="S12" i="83"/>
  <c r="H18" i="92"/>
  <c r="AH18" i="92"/>
  <c r="T12" i="83"/>
  <c r="I18" i="92"/>
  <c r="AI18" i="92"/>
  <c r="U12" i="83"/>
  <c r="J18" i="92"/>
  <c r="AJ18" i="92"/>
  <c r="V12" i="83"/>
  <c r="K18" i="92"/>
  <c r="AK18" i="92"/>
  <c r="W12" i="83"/>
  <c r="L18" i="92"/>
  <c r="AL18" i="92"/>
  <c r="X12" i="83"/>
  <c r="M18" i="92"/>
  <c r="AM18" i="92"/>
  <c r="I13" i="83"/>
  <c r="G13" i="83"/>
  <c r="N13" i="83"/>
  <c r="C19" i="92"/>
  <c r="AC19" i="92"/>
  <c r="O13" i="83"/>
  <c r="D19" i="92"/>
  <c r="AD19" i="92"/>
  <c r="P13" i="83"/>
  <c r="E19" i="92"/>
  <c r="AE19" i="92"/>
  <c r="Q13" i="83"/>
  <c r="F19" i="92"/>
  <c r="AF19" i="92"/>
  <c r="R13" i="83"/>
  <c r="G19" i="92"/>
  <c r="AG19" i="92"/>
  <c r="S13" i="83"/>
  <c r="H19" i="92"/>
  <c r="AH19" i="92"/>
  <c r="T13" i="83"/>
  <c r="I19" i="92"/>
  <c r="AI19" i="92"/>
  <c r="U13" i="83"/>
  <c r="J19" i="92"/>
  <c r="AJ19" i="92"/>
  <c r="V13" i="83"/>
  <c r="K19" i="92"/>
  <c r="AK19" i="92"/>
  <c r="W13" i="83"/>
  <c r="L19" i="92"/>
  <c r="AL19" i="92"/>
  <c r="X13" i="83"/>
  <c r="M19" i="92"/>
  <c r="AM19" i="92"/>
  <c r="I14" i="83"/>
  <c r="G14" i="83"/>
  <c r="N14" i="83"/>
  <c r="C20" i="92"/>
  <c r="AC20" i="92"/>
  <c r="O14" i="83"/>
  <c r="D20" i="92"/>
  <c r="AD20" i="92"/>
  <c r="P14" i="83"/>
  <c r="E20" i="92"/>
  <c r="AE20" i="92"/>
  <c r="Q14" i="83"/>
  <c r="F20" i="92"/>
  <c r="AF20" i="92"/>
  <c r="R14" i="83"/>
  <c r="G20" i="92"/>
  <c r="AG20" i="92"/>
  <c r="S14" i="83"/>
  <c r="H20" i="92"/>
  <c r="AH20" i="92"/>
  <c r="T14" i="83"/>
  <c r="I20" i="92"/>
  <c r="AI20" i="92"/>
  <c r="U14" i="83"/>
  <c r="J20" i="92"/>
  <c r="AJ20" i="92"/>
  <c r="V14" i="83"/>
  <c r="K20" i="92"/>
  <c r="AK20" i="92"/>
  <c r="W14" i="83"/>
  <c r="L20" i="92"/>
  <c r="AL20" i="92"/>
  <c r="X14" i="83"/>
  <c r="M20" i="92"/>
  <c r="AM20" i="92"/>
  <c r="I15" i="83"/>
  <c r="G15" i="83"/>
  <c r="N15" i="83"/>
  <c r="C21" i="92"/>
  <c r="AC21" i="92"/>
  <c r="O15" i="83"/>
  <c r="D21" i="92"/>
  <c r="AD21" i="92"/>
  <c r="P15" i="83"/>
  <c r="E21" i="92"/>
  <c r="AE21" i="92"/>
  <c r="Q15" i="83"/>
  <c r="F21" i="92"/>
  <c r="AF21" i="92"/>
  <c r="R15" i="83"/>
  <c r="G21" i="92"/>
  <c r="AG21" i="92"/>
  <c r="S15" i="83"/>
  <c r="H21" i="92"/>
  <c r="AH21" i="92"/>
  <c r="T15" i="83"/>
  <c r="I21" i="92"/>
  <c r="AI21" i="92"/>
  <c r="U15" i="83"/>
  <c r="J21" i="92"/>
  <c r="AJ21" i="92"/>
  <c r="V15" i="83"/>
  <c r="K21" i="92"/>
  <c r="AK21" i="92"/>
  <c r="W15" i="83"/>
  <c r="L21" i="92"/>
  <c r="AL21" i="92"/>
  <c r="X15" i="83"/>
  <c r="M21" i="92"/>
  <c r="AM21" i="92"/>
  <c r="I16" i="83"/>
  <c r="G16" i="83"/>
  <c r="N16" i="83"/>
  <c r="C22" i="92"/>
  <c r="AC22" i="92"/>
  <c r="O16" i="83"/>
  <c r="D22" i="92"/>
  <c r="AD22" i="92"/>
  <c r="P16" i="83"/>
  <c r="E22" i="92"/>
  <c r="AE22" i="92"/>
  <c r="Q16" i="83"/>
  <c r="F22" i="92"/>
  <c r="AF22" i="92"/>
  <c r="R16" i="83"/>
  <c r="G22" i="92"/>
  <c r="AG22" i="92"/>
  <c r="S16" i="83"/>
  <c r="H22" i="92"/>
  <c r="AH22" i="92"/>
  <c r="T16" i="83"/>
  <c r="I22" i="92"/>
  <c r="AI22" i="92"/>
  <c r="U16" i="83"/>
  <c r="J22" i="92"/>
  <c r="AJ22" i="92"/>
  <c r="V16" i="83"/>
  <c r="K22" i="92"/>
  <c r="AK22" i="92"/>
  <c r="W16" i="83"/>
  <c r="L22" i="92"/>
  <c r="AL22" i="92"/>
  <c r="X16" i="83"/>
  <c r="M22" i="92"/>
  <c r="AM22" i="92"/>
  <c r="I17" i="83"/>
  <c r="G17" i="83"/>
  <c r="N17" i="83"/>
  <c r="C23" i="92"/>
  <c r="AC23" i="92"/>
  <c r="O17" i="83"/>
  <c r="D23" i="92"/>
  <c r="AD23" i="92"/>
  <c r="P17" i="83"/>
  <c r="E23" i="92"/>
  <c r="AE23" i="92"/>
  <c r="Q17" i="83"/>
  <c r="F23" i="92"/>
  <c r="AF23" i="92"/>
  <c r="R17" i="83"/>
  <c r="G23" i="92"/>
  <c r="AG23" i="92"/>
  <c r="S17" i="83"/>
  <c r="H23" i="92"/>
  <c r="AH23" i="92"/>
  <c r="T17" i="83"/>
  <c r="I23" i="92"/>
  <c r="AI23" i="92"/>
  <c r="U17" i="83"/>
  <c r="J23" i="92"/>
  <c r="AJ23" i="92"/>
  <c r="V17" i="83"/>
  <c r="K23" i="92"/>
  <c r="AK23" i="92"/>
  <c r="W17" i="83"/>
  <c r="L23" i="92"/>
  <c r="AL23" i="92"/>
  <c r="X17" i="83"/>
  <c r="M23" i="92"/>
  <c r="AM23" i="92"/>
  <c r="I18" i="83"/>
  <c r="G18" i="83"/>
  <c r="N18" i="83"/>
  <c r="C24" i="92"/>
  <c r="AC24" i="92"/>
  <c r="O18" i="83"/>
  <c r="D24" i="92"/>
  <c r="AD24" i="92"/>
  <c r="P18" i="83"/>
  <c r="E24" i="92"/>
  <c r="AE24" i="92"/>
  <c r="Q18" i="83"/>
  <c r="F24" i="92"/>
  <c r="AF24" i="92"/>
  <c r="R18" i="83"/>
  <c r="G24" i="92"/>
  <c r="AG24" i="92"/>
  <c r="S18" i="83"/>
  <c r="H24" i="92"/>
  <c r="AH24" i="92"/>
  <c r="T18" i="83"/>
  <c r="I24" i="92"/>
  <c r="AI24" i="92"/>
  <c r="U18" i="83"/>
  <c r="J24" i="92"/>
  <c r="AJ24" i="92"/>
  <c r="V18" i="83"/>
  <c r="K24" i="92"/>
  <c r="AK24" i="92"/>
  <c r="W18" i="83"/>
  <c r="L24" i="92"/>
  <c r="AL24" i="92"/>
  <c r="X18" i="83"/>
  <c r="M24" i="92"/>
  <c r="AM24" i="92"/>
  <c r="I19" i="83"/>
  <c r="G19" i="83"/>
  <c r="N19" i="83"/>
  <c r="C25" i="92"/>
  <c r="AC25" i="92"/>
  <c r="O19" i="83"/>
  <c r="D25" i="92"/>
  <c r="AD25" i="92"/>
  <c r="P19" i="83"/>
  <c r="E25" i="92"/>
  <c r="AE25" i="92"/>
  <c r="Q19" i="83"/>
  <c r="F25" i="92"/>
  <c r="AF25" i="92"/>
  <c r="R19" i="83"/>
  <c r="G25" i="92"/>
  <c r="AG25" i="92"/>
  <c r="S19" i="83"/>
  <c r="H25" i="92"/>
  <c r="AH25" i="92"/>
  <c r="T19" i="83"/>
  <c r="I25" i="92"/>
  <c r="AI25" i="92"/>
  <c r="U19" i="83"/>
  <c r="J25" i="92"/>
  <c r="AJ25" i="92"/>
  <c r="V19" i="83"/>
  <c r="K25" i="92"/>
  <c r="AK25" i="92"/>
  <c r="W19" i="83"/>
  <c r="L25" i="92"/>
  <c r="AL25" i="92"/>
  <c r="X19" i="83"/>
  <c r="M25" i="92"/>
  <c r="AM25" i="92"/>
  <c r="I20" i="83"/>
  <c r="G20" i="83"/>
  <c r="N20" i="83"/>
  <c r="C26" i="92"/>
  <c r="AC26" i="92"/>
  <c r="O20" i="83"/>
  <c r="D26" i="92"/>
  <c r="AD26" i="92"/>
  <c r="P20" i="83"/>
  <c r="E26" i="92"/>
  <c r="AE26" i="92"/>
  <c r="Q20" i="83"/>
  <c r="F26" i="92"/>
  <c r="AF26" i="92"/>
  <c r="R20" i="83"/>
  <c r="G26" i="92"/>
  <c r="AG26" i="92"/>
  <c r="S20" i="83"/>
  <c r="H26" i="92"/>
  <c r="AH26" i="92"/>
  <c r="T20" i="83"/>
  <c r="I26" i="92"/>
  <c r="AI26" i="92"/>
  <c r="U20" i="83"/>
  <c r="J26" i="92"/>
  <c r="AJ26" i="92"/>
  <c r="V20" i="83"/>
  <c r="K26" i="92"/>
  <c r="AK26" i="92"/>
  <c r="W20" i="83"/>
  <c r="L26" i="92"/>
  <c r="AL26" i="92"/>
  <c r="X20" i="83"/>
  <c r="M26" i="92"/>
  <c r="AM26" i="92"/>
  <c r="I21" i="83"/>
  <c r="G21" i="83"/>
  <c r="N21" i="83"/>
  <c r="C27" i="92"/>
  <c r="AC27" i="92"/>
  <c r="O21" i="83"/>
  <c r="D27" i="92"/>
  <c r="AD27" i="92"/>
  <c r="P21" i="83"/>
  <c r="E27" i="92"/>
  <c r="AE27" i="92"/>
  <c r="Q21" i="83"/>
  <c r="F27" i="92"/>
  <c r="AF27" i="92"/>
  <c r="R21" i="83"/>
  <c r="G27" i="92"/>
  <c r="AG27" i="92"/>
  <c r="S21" i="83"/>
  <c r="H27" i="92"/>
  <c r="AH27" i="92"/>
  <c r="T21" i="83"/>
  <c r="I27" i="92"/>
  <c r="AI27" i="92"/>
  <c r="U21" i="83"/>
  <c r="J27" i="92"/>
  <c r="AJ27" i="92"/>
  <c r="V21" i="83"/>
  <c r="K27" i="92"/>
  <c r="AK27" i="92"/>
  <c r="W21" i="83"/>
  <c r="L27" i="92"/>
  <c r="AL27" i="92"/>
  <c r="X21" i="83"/>
  <c r="M27" i="92"/>
  <c r="AM27" i="92"/>
  <c r="I22" i="83"/>
  <c r="G22" i="83"/>
  <c r="N22" i="83"/>
  <c r="C28" i="92"/>
  <c r="AC28" i="92"/>
  <c r="O22" i="83"/>
  <c r="D28" i="92"/>
  <c r="AD28" i="92"/>
  <c r="P22" i="83"/>
  <c r="E28" i="92"/>
  <c r="AE28" i="92"/>
  <c r="Q22" i="83"/>
  <c r="F28" i="92"/>
  <c r="AF28" i="92"/>
  <c r="R22" i="83"/>
  <c r="G28" i="92"/>
  <c r="AG28" i="92"/>
  <c r="S22" i="83"/>
  <c r="H28" i="92"/>
  <c r="AH28" i="92"/>
  <c r="T22" i="83"/>
  <c r="I28" i="92"/>
  <c r="AI28" i="92"/>
  <c r="U22" i="83"/>
  <c r="J28" i="92"/>
  <c r="AJ28" i="92"/>
  <c r="V22" i="83"/>
  <c r="K28" i="92"/>
  <c r="AK28" i="92"/>
  <c r="W22" i="83"/>
  <c r="L28" i="92"/>
  <c r="AL28" i="92"/>
  <c r="X22" i="83"/>
  <c r="M28" i="92"/>
  <c r="AM28" i="92"/>
  <c r="E5" i="92"/>
  <c r="H7" i="99"/>
  <c r="N29" i="83"/>
  <c r="C37" i="92"/>
  <c r="AC37" i="92"/>
  <c r="O28" i="83"/>
  <c r="O29" i="83"/>
  <c r="D37" i="92"/>
  <c r="AD37" i="92"/>
  <c r="P28" i="83"/>
  <c r="P29" i="83"/>
  <c r="E37" i="92"/>
  <c r="AE37" i="92"/>
  <c r="Q28" i="83"/>
  <c r="Q29" i="83"/>
  <c r="F37" i="92"/>
  <c r="AF37" i="92"/>
  <c r="R28" i="83"/>
  <c r="R29" i="83"/>
  <c r="G37" i="92"/>
  <c r="AG37" i="92"/>
  <c r="S28" i="83"/>
  <c r="S29" i="83"/>
  <c r="H37" i="92"/>
  <c r="AH37" i="92"/>
  <c r="T28" i="83"/>
  <c r="T29" i="83"/>
  <c r="I37" i="92"/>
  <c r="AI37" i="92"/>
  <c r="U28" i="83"/>
  <c r="U29" i="83"/>
  <c r="J37" i="92"/>
  <c r="AJ37" i="92"/>
  <c r="V28" i="83"/>
  <c r="V29" i="83"/>
  <c r="K37" i="92"/>
  <c r="AK37" i="92"/>
  <c r="W28" i="83"/>
  <c r="W29" i="83"/>
  <c r="L37" i="92"/>
  <c r="AL37" i="92"/>
  <c r="X28" i="83"/>
  <c r="X29" i="83"/>
  <c r="M37" i="92"/>
  <c r="AM37" i="92"/>
  <c r="N30" i="83"/>
  <c r="C38" i="92"/>
  <c r="AC38" i="92"/>
  <c r="O30" i="83"/>
  <c r="D38" i="92"/>
  <c r="AD38" i="92"/>
  <c r="P30" i="83"/>
  <c r="E38" i="92"/>
  <c r="AE38" i="92"/>
  <c r="Q30" i="83"/>
  <c r="F38" i="92"/>
  <c r="AF38" i="92"/>
  <c r="R30" i="83"/>
  <c r="G38" i="92"/>
  <c r="AG38" i="92"/>
  <c r="S30" i="83"/>
  <c r="H38" i="92"/>
  <c r="AH38" i="92"/>
  <c r="T30" i="83"/>
  <c r="I38" i="92"/>
  <c r="AI38" i="92"/>
  <c r="U30" i="83"/>
  <c r="J38" i="92"/>
  <c r="AJ38" i="92"/>
  <c r="V30" i="83"/>
  <c r="K38" i="92"/>
  <c r="AK38" i="92"/>
  <c r="W30" i="83"/>
  <c r="L38" i="92"/>
  <c r="AL38" i="92"/>
  <c r="X30" i="83"/>
  <c r="M38" i="92"/>
  <c r="AM38" i="92"/>
  <c r="N31" i="83"/>
  <c r="C39" i="92"/>
  <c r="AC39" i="92"/>
  <c r="O31" i="83"/>
  <c r="D39" i="92"/>
  <c r="AD39" i="92"/>
  <c r="P31" i="83"/>
  <c r="E39" i="92"/>
  <c r="AE39" i="92"/>
  <c r="Q31" i="83"/>
  <c r="F39" i="92"/>
  <c r="AF39" i="92"/>
  <c r="R31" i="83"/>
  <c r="G39" i="92"/>
  <c r="AG39" i="92"/>
  <c r="S31" i="83"/>
  <c r="H39" i="92"/>
  <c r="AH39" i="92"/>
  <c r="T31" i="83"/>
  <c r="I39" i="92"/>
  <c r="AI39" i="92"/>
  <c r="U31" i="83"/>
  <c r="J39" i="92"/>
  <c r="AJ39" i="92"/>
  <c r="V31" i="83"/>
  <c r="K39" i="92"/>
  <c r="AK39" i="92"/>
  <c r="W31" i="83"/>
  <c r="L39" i="92"/>
  <c r="AL39" i="92"/>
  <c r="X31" i="83"/>
  <c r="M39" i="92"/>
  <c r="AM39" i="92"/>
  <c r="N32" i="83"/>
  <c r="C40" i="92"/>
  <c r="AC40" i="92"/>
  <c r="O32" i="83"/>
  <c r="D40" i="92"/>
  <c r="AD40" i="92"/>
  <c r="P32" i="83"/>
  <c r="E40" i="92"/>
  <c r="AE40" i="92"/>
  <c r="Q32" i="83"/>
  <c r="F40" i="92"/>
  <c r="AF40" i="92"/>
  <c r="R32" i="83"/>
  <c r="G40" i="92"/>
  <c r="AG40" i="92"/>
  <c r="S32" i="83"/>
  <c r="H40" i="92"/>
  <c r="AH40" i="92"/>
  <c r="T32" i="83"/>
  <c r="I40" i="92"/>
  <c r="AI40" i="92"/>
  <c r="U32" i="83"/>
  <c r="J40" i="92"/>
  <c r="AJ40" i="92"/>
  <c r="V32" i="83"/>
  <c r="K40" i="92"/>
  <c r="AK40" i="92"/>
  <c r="W32" i="83"/>
  <c r="L40" i="92"/>
  <c r="AL40" i="92"/>
  <c r="X32" i="83"/>
  <c r="M40" i="92"/>
  <c r="AM40" i="92"/>
  <c r="N33" i="83"/>
  <c r="C41" i="92"/>
  <c r="AC41" i="92"/>
  <c r="O33" i="83"/>
  <c r="D41" i="92"/>
  <c r="AD41" i="92"/>
  <c r="P33" i="83"/>
  <c r="E41" i="92"/>
  <c r="AE41" i="92"/>
  <c r="Q33" i="83"/>
  <c r="F41" i="92"/>
  <c r="AF41" i="92"/>
  <c r="R33" i="83"/>
  <c r="G41" i="92"/>
  <c r="AG41" i="92"/>
  <c r="S33" i="83"/>
  <c r="H41" i="92"/>
  <c r="AH41" i="92"/>
  <c r="T33" i="83"/>
  <c r="I41" i="92"/>
  <c r="AI41" i="92"/>
  <c r="U33" i="83"/>
  <c r="J41" i="92"/>
  <c r="AJ41" i="92"/>
  <c r="V33" i="83"/>
  <c r="K41" i="92"/>
  <c r="AK41" i="92"/>
  <c r="W33" i="83"/>
  <c r="L41" i="92"/>
  <c r="AL41" i="92"/>
  <c r="X33" i="83"/>
  <c r="M41" i="92"/>
  <c r="AM41" i="92"/>
  <c r="N34" i="83"/>
  <c r="C42" i="92"/>
  <c r="AC42" i="92"/>
  <c r="O34" i="83"/>
  <c r="D42" i="92"/>
  <c r="AD42" i="92"/>
  <c r="P34" i="83"/>
  <c r="E42" i="92"/>
  <c r="AE42" i="92"/>
  <c r="Q34" i="83"/>
  <c r="F42" i="92"/>
  <c r="AF42" i="92"/>
  <c r="R34" i="83"/>
  <c r="G42" i="92"/>
  <c r="AG42" i="92"/>
  <c r="S34" i="83"/>
  <c r="H42" i="92"/>
  <c r="AH42" i="92"/>
  <c r="T34" i="83"/>
  <c r="I42" i="92"/>
  <c r="AI42" i="92"/>
  <c r="U34" i="83"/>
  <c r="J42" i="92"/>
  <c r="AJ42" i="92"/>
  <c r="V34" i="83"/>
  <c r="K42" i="92"/>
  <c r="AK42" i="92"/>
  <c r="W34" i="83"/>
  <c r="L42" i="92"/>
  <c r="AL42" i="92"/>
  <c r="X34" i="83"/>
  <c r="M42" i="92"/>
  <c r="AM42" i="92"/>
  <c r="N35" i="83"/>
  <c r="C43" i="92"/>
  <c r="AC43" i="92"/>
  <c r="O35" i="83"/>
  <c r="D43" i="92"/>
  <c r="AD43" i="92"/>
  <c r="P35" i="83"/>
  <c r="E43" i="92"/>
  <c r="AE43" i="92"/>
  <c r="Q35" i="83"/>
  <c r="F43" i="92"/>
  <c r="AF43" i="92"/>
  <c r="R35" i="83"/>
  <c r="G43" i="92"/>
  <c r="AG43" i="92"/>
  <c r="S35" i="83"/>
  <c r="H43" i="92"/>
  <c r="AH43" i="92"/>
  <c r="T35" i="83"/>
  <c r="I43" i="92"/>
  <c r="AI43" i="92"/>
  <c r="U35" i="83"/>
  <c r="J43" i="92"/>
  <c r="AJ43" i="92"/>
  <c r="V35" i="83"/>
  <c r="K43" i="92"/>
  <c r="AK43" i="92"/>
  <c r="W35" i="83"/>
  <c r="L43" i="92"/>
  <c r="AL43" i="92"/>
  <c r="X35" i="83"/>
  <c r="M43" i="92"/>
  <c r="AM43" i="92"/>
  <c r="N36" i="83"/>
  <c r="C44" i="92"/>
  <c r="AC44" i="92"/>
  <c r="O36" i="83"/>
  <c r="D44" i="92"/>
  <c r="AD44" i="92"/>
  <c r="P36" i="83"/>
  <c r="E44" i="92"/>
  <c r="AE44" i="92"/>
  <c r="Q36" i="83"/>
  <c r="F44" i="92"/>
  <c r="AF44" i="92"/>
  <c r="R36" i="83"/>
  <c r="G44" i="92"/>
  <c r="AG44" i="92"/>
  <c r="S36" i="83"/>
  <c r="H44" i="92"/>
  <c r="AH44" i="92"/>
  <c r="T36" i="83"/>
  <c r="I44" i="92"/>
  <c r="AI44" i="92"/>
  <c r="U36" i="83"/>
  <c r="J44" i="92"/>
  <c r="AJ44" i="92"/>
  <c r="V36" i="83"/>
  <c r="K44" i="92"/>
  <c r="AK44" i="92"/>
  <c r="W36" i="83"/>
  <c r="L44" i="92"/>
  <c r="AL44" i="92"/>
  <c r="X36" i="83"/>
  <c r="M44" i="92"/>
  <c r="AM44" i="92"/>
  <c r="N37" i="83"/>
  <c r="C45" i="92"/>
  <c r="AC45" i="92"/>
  <c r="O37" i="83"/>
  <c r="D45" i="92"/>
  <c r="AD45" i="92"/>
  <c r="P37" i="83"/>
  <c r="E45" i="92"/>
  <c r="AE45" i="92"/>
  <c r="Q37" i="83"/>
  <c r="F45" i="92"/>
  <c r="AF45" i="92"/>
  <c r="R37" i="83"/>
  <c r="G45" i="92"/>
  <c r="AG45" i="92"/>
  <c r="S37" i="83"/>
  <c r="H45" i="92"/>
  <c r="AH45" i="92"/>
  <c r="T37" i="83"/>
  <c r="I45" i="92"/>
  <c r="AI45" i="92"/>
  <c r="U37" i="83"/>
  <c r="J45" i="92"/>
  <c r="AJ45" i="92"/>
  <c r="V37" i="83"/>
  <c r="K45" i="92"/>
  <c r="AK45" i="92"/>
  <c r="W37" i="83"/>
  <c r="L45" i="92"/>
  <c r="AL45" i="92"/>
  <c r="X37" i="83"/>
  <c r="M45" i="92"/>
  <c r="AM45" i="92"/>
  <c r="N38" i="83"/>
  <c r="C46" i="92"/>
  <c r="AC46" i="92"/>
  <c r="O38" i="83"/>
  <c r="D46" i="92"/>
  <c r="AD46" i="92"/>
  <c r="P38" i="83"/>
  <c r="E46" i="92"/>
  <c r="AE46" i="92"/>
  <c r="Q38" i="83"/>
  <c r="F46" i="92"/>
  <c r="AF46" i="92"/>
  <c r="R38" i="83"/>
  <c r="G46" i="92"/>
  <c r="AG46" i="92"/>
  <c r="S38" i="83"/>
  <c r="H46" i="92"/>
  <c r="AH46" i="92"/>
  <c r="T38" i="83"/>
  <c r="I46" i="92"/>
  <c r="AI46" i="92"/>
  <c r="U38" i="83"/>
  <c r="J46" i="92"/>
  <c r="AJ46" i="92"/>
  <c r="V38" i="83"/>
  <c r="K46" i="92"/>
  <c r="AK46" i="92"/>
  <c r="W38" i="83"/>
  <c r="L46" i="92"/>
  <c r="AL46" i="92"/>
  <c r="X38" i="83"/>
  <c r="M46" i="92"/>
  <c r="AM46" i="92"/>
  <c r="N39" i="83"/>
  <c r="C47" i="92"/>
  <c r="AC47" i="92"/>
  <c r="O39" i="83"/>
  <c r="D47" i="92"/>
  <c r="AD47" i="92"/>
  <c r="P39" i="83"/>
  <c r="E47" i="92"/>
  <c r="AE47" i="92"/>
  <c r="Q39" i="83"/>
  <c r="F47" i="92"/>
  <c r="AF47" i="92"/>
  <c r="R39" i="83"/>
  <c r="G47" i="92"/>
  <c r="AG47" i="92"/>
  <c r="S39" i="83"/>
  <c r="H47" i="92"/>
  <c r="AH47" i="92"/>
  <c r="T39" i="83"/>
  <c r="I47" i="92"/>
  <c r="AI47" i="92"/>
  <c r="U39" i="83"/>
  <c r="J47" i="92"/>
  <c r="AJ47" i="92"/>
  <c r="V39" i="83"/>
  <c r="K47" i="92"/>
  <c r="AK47" i="92"/>
  <c r="W39" i="83"/>
  <c r="L47" i="92"/>
  <c r="AL47" i="92"/>
  <c r="X39" i="83"/>
  <c r="M47" i="92"/>
  <c r="AM47" i="92"/>
  <c r="N40" i="83"/>
  <c r="C48" i="92"/>
  <c r="AC48" i="92"/>
  <c r="O40" i="83"/>
  <c r="D48" i="92"/>
  <c r="AD48" i="92"/>
  <c r="P40" i="83"/>
  <c r="E48" i="92"/>
  <c r="AE48" i="92"/>
  <c r="Q40" i="83"/>
  <c r="F48" i="92"/>
  <c r="AF48" i="92"/>
  <c r="R40" i="83"/>
  <c r="G48" i="92"/>
  <c r="AG48" i="92"/>
  <c r="S40" i="83"/>
  <c r="H48" i="92"/>
  <c r="AH48" i="92"/>
  <c r="T40" i="83"/>
  <c r="I48" i="92"/>
  <c r="AI48" i="92"/>
  <c r="U40" i="83"/>
  <c r="J48" i="92"/>
  <c r="AJ48" i="92"/>
  <c r="V40" i="83"/>
  <c r="K48" i="92"/>
  <c r="AK48" i="92"/>
  <c r="W40" i="83"/>
  <c r="L48" i="92"/>
  <c r="AL48" i="92"/>
  <c r="X40" i="83"/>
  <c r="M48" i="92"/>
  <c r="AM48" i="92"/>
  <c r="N41" i="83"/>
  <c r="C49" i="92"/>
  <c r="AC49" i="92"/>
  <c r="O41" i="83"/>
  <c r="D49" i="92"/>
  <c r="AD49" i="92"/>
  <c r="P41" i="83"/>
  <c r="E49" i="92"/>
  <c r="AE49" i="92"/>
  <c r="Q41" i="83"/>
  <c r="F49" i="92"/>
  <c r="AF49" i="92"/>
  <c r="R41" i="83"/>
  <c r="G49" i="92"/>
  <c r="AG49" i="92"/>
  <c r="S41" i="83"/>
  <c r="H49" i="92"/>
  <c r="AH49" i="92"/>
  <c r="T41" i="83"/>
  <c r="I49" i="92"/>
  <c r="AI49" i="92"/>
  <c r="U41" i="83"/>
  <c r="J49" i="92"/>
  <c r="AJ49" i="92"/>
  <c r="V41" i="83"/>
  <c r="K49" i="92"/>
  <c r="AK49" i="92"/>
  <c r="W41" i="83"/>
  <c r="L49" i="92"/>
  <c r="AL49" i="92"/>
  <c r="X41" i="83"/>
  <c r="M49" i="92"/>
  <c r="AM49" i="92"/>
  <c r="N42" i="83"/>
  <c r="C50" i="92"/>
  <c r="AC50" i="92"/>
  <c r="O42" i="83"/>
  <c r="D50" i="92"/>
  <c r="AD50" i="92"/>
  <c r="P42" i="83"/>
  <c r="E50" i="92"/>
  <c r="AE50" i="92"/>
  <c r="Q42" i="83"/>
  <c r="F50" i="92"/>
  <c r="AF50" i="92"/>
  <c r="R42" i="83"/>
  <c r="G50" i="92"/>
  <c r="AG50" i="92"/>
  <c r="S42" i="83"/>
  <c r="H50" i="92"/>
  <c r="AH50" i="92"/>
  <c r="T42" i="83"/>
  <c r="I50" i="92"/>
  <c r="AI50" i="92"/>
  <c r="U42" i="83"/>
  <c r="J50" i="92"/>
  <c r="AJ50" i="92"/>
  <c r="V42" i="83"/>
  <c r="K50" i="92"/>
  <c r="AK50" i="92"/>
  <c r="W42" i="83"/>
  <c r="L50" i="92"/>
  <c r="AL50" i="92"/>
  <c r="X42" i="83"/>
  <c r="M50" i="92"/>
  <c r="AM50" i="92"/>
  <c r="N43" i="83"/>
  <c r="C51" i="92"/>
  <c r="AC51" i="92"/>
  <c r="O43" i="83"/>
  <c r="D51" i="92"/>
  <c r="AD51" i="92"/>
  <c r="P43" i="83"/>
  <c r="E51" i="92"/>
  <c r="AE51" i="92"/>
  <c r="Q43" i="83"/>
  <c r="F51" i="92"/>
  <c r="AF51" i="92"/>
  <c r="R43" i="83"/>
  <c r="G51" i="92"/>
  <c r="AG51" i="92"/>
  <c r="S43" i="83"/>
  <c r="H51" i="92"/>
  <c r="AH51" i="92"/>
  <c r="T43" i="83"/>
  <c r="I51" i="92"/>
  <c r="AI51" i="92"/>
  <c r="U43" i="83"/>
  <c r="J51" i="92"/>
  <c r="AJ51" i="92"/>
  <c r="V43" i="83"/>
  <c r="K51" i="92"/>
  <c r="AK51" i="92"/>
  <c r="W43" i="83"/>
  <c r="L51" i="92"/>
  <c r="AL51" i="92"/>
  <c r="X43" i="83"/>
  <c r="M51" i="92"/>
  <c r="AM51" i="92"/>
  <c r="N44" i="83"/>
  <c r="C52" i="92"/>
  <c r="AC52" i="92"/>
  <c r="O44" i="83"/>
  <c r="D52" i="92"/>
  <c r="AD52" i="92"/>
  <c r="P44" i="83"/>
  <c r="E52" i="92"/>
  <c r="AE52" i="92"/>
  <c r="Q44" i="83"/>
  <c r="F52" i="92"/>
  <c r="AF52" i="92"/>
  <c r="R44" i="83"/>
  <c r="G52" i="92"/>
  <c r="AG52" i="92"/>
  <c r="S44" i="83"/>
  <c r="H52" i="92"/>
  <c r="AH52" i="92"/>
  <c r="T44" i="83"/>
  <c r="I52" i="92"/>
  <c r="AI52" i="92"/>
  <c r="U44" i="83"/>
  <c r="J52" i="92"/>
  <c r="AJ52" i="92"/>
  <c r="V44" i="83"/>
  <c r="K52" i="92"/>
  <c r="AK52" i="92"/>
  <c r="W44" i="83"/>
  <c r="L52" i="92"/>
  <c r="AL52" i="92"/>
  <c r="X44" i="83"/>
  <c r="M52" i="92"/>
  <c r="AM52" i="92"/>
  <c r="N45" i="83"/>
  <c r="C53" i="92"/>
  <c r="AC53" i="92"/>
  <c r="O45" i="83"/>
  <c r="D53" i="92"/>
  <c r="AD53" i="92"/>
  <c r="P45" i="83"/>
  <c r="E53" i="92"/>
  <c r="AE53" i="92"/>
  <c r="Q45" i="83"/>
  <c r="F53" i="92"/>
  <c r="AF53" i="92"/>
  <c r="R45" i="83"/>
  <c r="G53" i="92"/>
  <c r="AG53" i="92"/>
  <c r="S45" i="83"/>
  <c r="H53" i="92"/>
  <c r="AH53" i="92"/>
  <c r="T45" i="83"/>
  <c r="I53" i="92"/>
  <c r="AI53" i="92"/>
  <c r="U45" i="83"/>
  <c r="J53" i="92"/>
  <c r="AJ53" i="92"/>
  <c r="V45" i="83"/>
  <c r="K53" i="92"/>
  <c r="AK53" i="92"/>
  <c r="W45" i="83"/>
  <c r="L53" i="92"/>
  <c r="AL53" i="92"/>
  <c r="X45" i="83"/>
  <c r="M53" i="92"/>
  <c r="AM53" i="92"/>
  <c r="N46" i="83"/>
  <c r="C54" i="92"/>
  <c r="AC54" i="92"/>
  <c r="O46" i="83"/>
  <c r="D54" i="92"/>
  <c r="AD54" i="92"/>
  <c r="P46" i="83"/>
  <c r="E54" i="92"/>
  <c r="AE54" i="92"/>
  <c r="Q46" i="83"/>
  <c r="F54" i="92"/>
  <c r="AF54" i="92"/>
  <c r="R46" i="83"/>
  <c r="G54" i="92"/>
  <c r="AG54" i="92"/>
  <c r="S46" i="83"/>
  <c r="H54" i="92"/>
  <c r="AH54" i="92"/>
  <c r="T46" i="83"/>
  <c r="I54" i="92"/>
  <c r="AI54" i="92"/>
  <c r="U46" i="83"/>
  <c r="J54" i="92"/>
  <c r="AJ54" i="92"/>
  <c r="V46" i="83"/>
  <c r="K54" i="92"/>
  <c r="AK54" i="92"/>
  <c r="W46" i="83"/>
  <c r="L54" i="92"/>
  <c r="AL54" i="92"/>
  <c r="X46" i="83"/>
  <c r="M54" i="92"/>
  <c r="AM54" i="92"/>
  <c r="N47" i="83"/>
  <c r="C55" i="92"/>
  <c r="AC55" i="92"/>
  <c r="O47" i="83"/>
  <c r="D55" i="92"/>
  <c r="AD55" i="92"/>
  <c r="P47" i="83"/>
  <c r="E55" i="92"/>
  <c r="AE55" i="92"/>
  <c r="Q47" i="83"/>
  <c r="F55" i="92"/>
  <c r="AF55" i="92"/>
  <c r="R47" i="83"/>
  <c r="G55" i="92"/>
  <c r="AG55" i="92"/>
  <c r="S47" i="83"/>
  <c r="H55" i="92"/>
  <c r="AH55" i="92"/>
  <c r="T47" i="83"/>
  <c r="I55" i="92"/>
  <c r="AI55" i="92"/>
  <c r="U47" i="83"/>
  <c r="J55" i="92"/>
  <c r="AJ55" i="92"/>
  <c r="V47" i="83"/>
  <c r="K55" i="92"/>
  <c r="AK55" i="92"/>
  <c r="W47" i="83"/>
  <c r="L55" i="92"/>
  <c r="AL55" i="92"/>
  <c r="X47" i="83"/>
  <c r="M55" i="92"/>
  <c r="AM55" i="92"/>
  <c r="E32" i="92"/>
  <c r="H8" i="99"/>
  <c r="AH4" i="83"/>
  <c r="C64" i="92"/>
  <c r="AC64" i="92"/>
  <c r="AI3" i="83"/>
  <c r="AI4" i="83"/>
  <c r="D64" i="92"/>
  <c r="AD64" i="92"/>
  <c r="AJ3" i="83"/>
  <c r="AJ4" i="83"/>
  <c r="E64" i="92"/>
  <c r="AE64" i="92"/>
  <c r="AK3" i="83"/>
  <c r="AK4" i="83"/>
  <c r="F64" i="92"/>
  <c r="AF64" i="92"/>
  <c r="AL3" i="83"/>
  <c r="AL4" i="83"/>
  <c r="G64" i="92"/>
  <c r="AG64" i="92"/>
  <c r="AM3" i="83"/>
  <c r="AM4" i="83"/>
  <c r="H64" i="92"/>
  <c r="AH64" i="92"/>
  <c r="AN3" i="83"/>
  <c r="AN4" i="83"/>
  <c r="I64" i="92"/>
  <c r="AI64" i="92"/>
  <c r="AO3" i="83"/>
  <c r="AO4" i="83"/>
  <c r="J64" i="92"/>
  <c r="AJ64" i="92"/>
  <c r="AP3" i="83"/>
  <c r="AP4" i="83"/>
  <c r="K64" i="92"/>
  <c r="AK64" i="92"/>
  <c r="AQ3" i="83"/>
  <c r="AQ4" i="83"/>
  <c r="L64" i="92"/>
  <c r="AL64" i="92"/>
  <c r="AR3" i="83"/>
  <c r="AR4" i="83"/>
  <c r="M64" i="92"/>
  <c r="AM64" i="92"/>
  <c r="AH5" i="83"/>
  <c r="C65" i="92"/>
  <c r="AC65" i="92"/>
  <c r="AI5" i="83"/>
  <c r="D65" i="92"/>
  <c r="AD65" i="92"/>
  <c r="AJ5" i="83"/>
  <c r="E65" i="92"/>
  <c r="AE65" i="92"/>
  <c r="AK5" i="83"/>
  <c r="F65" i="92"/>
  <c r="AF65" i="92"/>
  <c r="AL5" i="83"/>
  <c r="G65" i="92"/>
  <c r="AG65" i="92"/>
  <c r="AM5" i="83"/>
  <c r="H65" i="92"/>
  <c r="AH65" i="92"/>
  <c r="AN5" i="83"/>
  <c r="I65" i="92"/>
  <c r="AI65" i="92"/>
  <c r="AO5" i="83"/>
  <c r="J65" i="92"/>
  <c r="AJ65" i="92"/>
  <c r="AP5" i="83"/>
  <c r="K65" i="92"/>
  <c r="AK65" i="92"/>
  <c r="AQ5" i="83"/>
  <c r="L65" i="92"/>
  <c r="AL65" i="92"/>
  <c r="AR5" i="83"/>
  <c r="M65" i="92"/>
  <c r="AM65" i="92"/>
  <c r="AH6" i="83"/>
  <c r="C66" i="92"/>
  <c r="AC66" i="92"/>
  <c r="AI6" i="83"/>
  <c r="D66" i="92"/>
  <c r="AD66" i="92"/>
  <c r="AJ6" i="83"/>
  <c r="E66" i="92"/>
  <c r="AE66" i="92"/>
  <c r="AK6" i="83"/>
  <c r="F66" i="92"/>
  <c r="AF66" i="92"/>
  <c r="AL6" i="83"/>
  <c r="G66" i="92"/>
  <c r="AG66" i="92"/>
  <c r="AM6" i="83"/>
  <c r="H66" i="92"/>
  <c r="AH66" i="92"/>
  <c r="AN6" i="83"/>
  <c r="I66" i="92"/>
  <c r="AI66" i="92"/>
  <c r="AO6" i="83"/>
  <c r="J66" i="92"/>
  <c r="AJ66" i="92"/>
  <c r="AP6" i="83"/>
  <c r="K66" i="92"/>
  <c r="AK66" i="92"/>
  <c r="AQ6" i="83"/>
  <c r="L66" i="92"/>
  <c r="AL66" i="92"/>
  <c r="AR6" i="83"/>
  <c r="M66" i="92"/>
  <c r="AM66" i="92"/>
  <c r="AH7" i="83"/>
  <c r="C67" i="92"/>
  <c r="AC67" i="92"/>
  <c r="AI7" i="83"/>
  <c r="D67" i="92"/>
  <c r="AD67" i="92"/>
  <c r="AJ7" i="83"/>
  <c r="E67" i="92"/>
  <c r="AE67" i="92"/>
  <c r="AK7" i="83"/>
  <c r="F67" i="92"/>
  <c r="AF67" i="92"/>
  <c r="AL7" i="83"/>
  <c r="G67" i="92"/>
  <c r="AG67" i="92"/>
  <c r="AM7" i="83"/>
  <c r="H67" i="92"/>
  <c r="AH67" i="92"/>
  <c r="AN7" i="83"/>
  <c r="I67" i="92"/>
  <c r="AI67" i="92"/>
  <c r="AO7" i="83"/>
  <c r="J67" i="92"/>
  <c r="AJ67" i="92"/>
  <c r="AP7" i="83"/>
  <c r="K67" i="92"/>
  <c r="AK67" i="92"/>
  <c r="AQ7" i="83"/>
  <c r="L67" i="92"/>
  <c r="AL67" i="92"/>
  <c r="AR7" i="83"/>
  <c r="M67" i="92"/>
  <c r="AM67" i="92"/>
  <c r="AH8" i="83"/>
  <c r="C68" i="92"/>
  <c r="AC68" i="92"/>
  <c r="AI8" i="83"/>
  <c r="D68" i="92"/>
  <c r="AD68" i="92"/>
  <c r="AJ8" i="83"/>
  <c r="E68" i="92"/>
  <c r="AE68" i="92"/>
  <c r="AK8" i="83"/>
  <c r="F68" i="92"/>
  <c r="AF68" i="92"/>
  <c r="AL8" i="83"/>
  <c r="G68" i="92"/>
  <c r="AG68" i="92"/>
  <c r="AM8" i="83"/>
  <c r="H68" i="92"/>
  <c r="AH68" i="92"/>
  <c r="AN8" i="83"/>
  <c r="I68" i="92"/>
  <c r="AI68" i="92"/>
  <c r="AO8" i="83"/>
  <c r="J68" i="92"/>
  <c r="AJ68" i="92"/>
  <c r="AP8" i="83"/>
  <c r="K68" i="92"/>
  <c r="AK68" i="92"/>
  <c r="AQ8" i="83"/>
  <c r="L68" i="92"/>
  <c r="AL68" i="92"/>
  <c r="AR8" i="83"/>
  <c r="M68" i="92"/>
  <c r="AM68" i="92"/>
  <c r="AH9" i="83"/>
  <c r="C69" i="92"/>
  <c r="AC69" i="92"/>
  <c r="AI9" i="83"/>
  <c r="D69" i="92"/>
  <c r="AD69" i="92"/>
  <c r="AJ9" i="83"/>
  <c r="E69" i="92"/>
  <c r="AE69" i="92"/>
  <c r="AK9" i="83"/>
  <c r="F69" i="92"/>
  <c r="AF69" i="92"/>
  <c r="AL9" i="83"/>
  <c r="G69" i="92"/>
  <c r="AG69" i="92"/>
  <c r="AM9" i="83"/>
  <c r="H69" i="92"/>
  <c r="AH69" i="92"/>
  <c r="AN9" i="83"/>
  <c r="I69" i="92"/>
  <c r="AI69" i="92"/>
  <c r="AO9" i="83"/>
  <c r="J69" i="92"/>
  <c r="AJ69" i="92"/>
  <c r="AP9" i="83"/>
  <c r="K69" i="92"/>
  <c r="AK69" i="92"/>
  <c r="AQ9" i="83"/>
  <c r="L69" i="92"/>
  <c r="AL69" i="92"/>
  <c r="AR9" i="83"/>
  <c r="M69" i="92"/>
  <c r="AM69" i="92"/>
  <c r="AH10" i="83"/>
  <c r="C70" i="92"/>
  <c r="AC70" i="92"/>
  <c r="AI10" i="83"/>
  <c r="D70" i="92"/>
  <c r="AD70" i="92"/>
  <c r="AJ10" i="83"/>
  <c r="E70" i="92"/>
  <c r="AE70" i="92"/>
  <c r="AK10" i="83"/>
  <c r="F70" i="92"/>
  <c r="AF70" i="92"/>
  <c r="AL10" i="83"/>
  <c r="G70" i="92"/>
  <c r="AG70" i="92"/>
  <c r="AM10" i="83"/>
  <c r="H70" i="92"/>
  <c r="AH70" i="92"/>
  <c r="AN10" i="83"/>
  <c r="I70" i="92"/>
  <c r="AI70" i="92"/>
  <c r="AO10" i="83"/>
  <c r="J70" i="92"/>
  <c r="AJ70" i="92"/>
  <c r="AP10" i="83"/>
  <c r="K70" i="92"/>
  <c r="AK70" i="92"/>
  <c r="AQ10" i="83"/>
  <c r="L70" i="92"/>
  <c r="AL70" i="92"/>
  <c r="AR10" i="83"/>
  <c r="M70" i="92"/>
  <c r="AM70" i="92"/>
  <c r="AH11" i="83"/>
  <c r="C71" i="92"/>
  <c r="AC71" i="92"/>
  <c r="AI11" i="83"/>
  <c r="D71" i="92"/>
  <c r="AD71" i="92"/>
  <c r="AJ11" i="83"/>
  <c r="E71" i="92"/>
  <c r="AE71" i="92"/>
  <c r="AK11" i="83"/>
  <c r="F71" i="92"/>
  <c r="AF71" i="92"/>
  <c r="AL11" i="83"/>
  <c r="G71" i="92"/>
  <c r="AG71" i="92"/>
  <c r="AM11" i="83"/>
  <c r="H71" i="92"/>
  <c r="AH71" i="92"/>
  <c r="AN11" i="83"/>
  <c r="I71" i="92"/>
  <c r="AI71" i="92"/>
  <c r="AO11" i="83"/>
  <c r="J71" i="92"/>
  <c r="AJ71" i="92"/>
  <c r="AP11" i="83"/>
  <c r="K71" i="92"/>
  <c r="AK71" i="92"/>
  <c r="AQ11" i="83"/>
  <c r="L71" i="92"/>
  <c r="AL71" i="92"/>
  <c r="AR11" i="83"/>
  <c r="M71" i="92"/>
  <c r="AM71" i="92"/>
  <c r="AH12" i="83"/>
  <c r="C72" i="92"/>
  <c r="AC72" i="92"/>
  <c r="AI12" i="83"/>
  <c r="D72" i="92"/>
  <c r="AD72" i="92"/>
  <c r="AJ12" i="83"/>
  <c r="E72" i="92"/>
  <c r="AE72" i="92"/>
  <c r="AK12" i="83"/>
  <c r="F72" i="92"/>
  <c r="AF72" i="92"/>
  <c r="AL12" i="83"/>
  <c r="G72" i="92"/>
  <c r="AG72" i="92"/>
  <c r="AM12" i="83"/>
  <c r="H72" i="92"/>
  <c r="AH72" i="92"/>
  <c r="AN12" i="83"/>
  <c r="I72" i="92"/>
  <c r="AI72" i="92"/>
  <c r="AO12" i="83"/>
  <c r="J72" i="92"/>
  <c r="AJ72" i="92"/>
  <c r="AP12" i="83"/>
  <c r="K72" i="92"/>
  <c r="AK72" i="92"/>
  <c r="AQ12" i="83"/>
  <c r="L72" i="92"/>
  <c r="AL72" i="92"/>
  <c r="AR12" i="83"/>
  <c r="M72" i="92"/>
  <c r="AM72" i="92"/>
  <c r="AH13" i="83"/>
  <c r="C73" i="92"/>
  <c r="AC73" i="92"/>
  <c r="AI13" i="83"/>
  <c r="D73" i="92"/>
  <c r="AD73" i="92"/>
  <c r="AJ13" i="83"/>
  <c r="E73" i="92"/>
  <c r="AE73" i="92"/>
  <c r="AK13" i="83"/>
  <c r="F73" i="92"/>
  <c r="AF73" i="92"/>
  <c r="AL13" i="83"/>
  <c r="G73" i="92"/>
  <c r="AG73" i="92"/>
  <c r="AM13" i="83"/>
  <c r="H73" i="92"/>
  <c r="AH73" i="92"/>
  <c r="AN13" i="83"/>
  <c r="I73" i="92"/>
  <c r="AI73" i="92"/>
  <c r="AO13" i="83"/>
  <c r="J73" i="92"/>
  <c r="AJ73" i="92"/>
  <c r="AP13" i="83"/>
  <c r="K73" i="92"/>
  <c r="AK73" i="92"/>
  <c r="AQ13" i="83"/>
  <c r="L73" i="92"/>
  <c r="AL73" i="92"/>
  <c r="AR13" i="83"/>
  <c r="M73" i="92"/>
  <c r="AM73" i="92"/>
  <c r="AH14" i="83"/>
  <c r="C74" i="92"/>
  <c r="AC74" i="92"/>
  <c r="AI14" i="83"/>
  <c r="D74" i="92"/>
  <c r="AD74" i="92"/>
  <c r="AJ14" i="83"/>
  <c r="E74" i="92"/>
  <c r="AE74" i="92"/>
  <c r="AK14" i="83"/>
  <c r="F74" i="92"/>
  <c r="AF74" i="92"/>
  <c r="AL14" i="83"/>
  <c r="G74" i="92"/>
  <c r="AG74" i="92"/>
  <c r="AM14" i="83"/>
  <c r="H74" i="92"/>
  <c r="AH74" i="92"/>
  <c r="AN14" i="83"/>
  <c r="I74" i="92"/>
  <c r="AI74" i="92"/>
  <c r="AO14" i="83"/>
  <c r="J74" i="92"/>
  <c r="AJ74" i="92"/>
  <c r="AP14" i="83"/>
  <c r="K74" i="92"/>
  <c r="AK74" i="92"/>
  <c r="AQ14" i="83"/>
  <c r="L74" i="92"/>
  <c r="AL74" i="92"/>
  <c r="AR14" i="83"/>
  <c r="M74" i="92"/>
  <c r="AM74" i="92"/>
  <c r="AH15" i="83"/>
  <c r="C75" i="92"/>
  <c r="AC75" i="92"/>
  <c r="AI15" i="83"/>
  <c r="D75" i="92"/>
  <c r="AD75" i="92"/>
  <c r="AJ15" i="83"/>
  <c r="E75" i="92"/>
  <c r="AE75" i="92"/>
  <c r="AK15" i="83"/>
  <c r="F75" i="92"/>
  <c r="AF75" i="92"/>
  <c r="AL15" i="83"/>
  <c r="G75" i="92"/>
  <c r="AG75" i="92"/>
  <c r="AM15" i="83"/>
  <c r="H75" i="92"/>
  <c r="AH75" i="92"/>
  <c r="AN15" i="83"/>
  <c r="I75" i="92"/>
  <c r="AI75" i="92"/>
  <c r="AO15" i="83"/>
  <c r="J75" i="92"/>
  <c r="AJ75" i="92"/>
  <c r="AP15" i="83"/>
  <c r="K75" i="92"/>
  <c r="AK75" i="92"/>
  <c r="AQ15" i="83"/>
  <c r="L75" i="92"/>
  <c r="AL75" i="92"/>
  <c r="AR15" i="83"/>
  <c r="M75" i="92"/>
  <c r="AM75" i="92"/>
  <c r="AH16" i="83"/>
  <c r="C76" i="92"/>
  <c r="AC76" i="92"/>
  <c r="AI16" i="83"/>
  <c r="D76" i="92"/>
  <c r="AD76" i="92"/>
  <c r="AJ16" i="83"/>
  <c r="E76" i="92"/>
  <c r="AE76" i="92"/>
  <c r="AK16" i="83"/>
  <c r="F76" i="92"/>
  <c r="AF76" i="92"/>
  <c r="AL16" i="83"/>
  <c r="G76" i="92"/>
  <c r="AG76" i="92"/>
  <c r="AM16" i="83"/>
  <c r="H76" i="92"/>
  <c r="AH76" i="92"/>
  <c r="AN16" i="83"/>
  <c r="I76" i="92"/>
  <c r="AI76" i="92"/>
  <c r="AO16" i="83"/>
  <c r="J76" i="92"/>
  <c r="AJ76" i="92"/>
  <c r="AP16" i="83"/>
  <c r="K76" i="92"/>
  <c r="AK76" i="92"/>
  <c r="AQ16" i="83"/>
  <c r="L76" i="92"/>
  <c r="AL76" i="92"/>
  <c r="AR16" i="83"/>
  <c r="M76" i="92"/>
  <c r="AM76" i="92"/>
  <c r="AH17" i="83"/>
  <c r="C77" i="92"/>
  <c r="AC77" i="92"/>
  <c r="AI17" i="83"/>
  <c r="D77" i="92"/>
  <c r="AD77" i="92"/>
  <c r="AJ17" i="83"/>
  <c r="E77" i="92"/>
  <c r="AE77" i="92"/>
  <c r="AK17" i="83"/>
  <c r="F77" i="92"/>
  <c r="AF77" i="92"/>
  <c r="AL17" i="83"/>
  <c r="G77" i="92"/>
  <c r="AG77" i="92"/>
  <c r="AM17" i="83"/>
  <c r="H77" i="92"/>
  <c r="AH77" i="92"/>
  <c r="AN17" i="83"/>
  <c r="I77" i="92"/>
  <c r="AI77" i="92"/>
  <c r="AO17" i="83"/>
  <c r="J77" i="92"/>
  <c r="AJ77" i="92"/>
  <c r="AP17" i="83"/>
  <c r="K77" i="92"/>
  <c r="AK77" i="92"/>
  <c r="AQ17" i="83"/>
  <c r="L77" i="92"/>
  <c r="AL77" i="92"/>
  <c r="AR17" i="83"/>
  <c r="M77" i="92"/>
  <c r="AM77" i="92"/>
  <c r="AH18" i="83"/>
  <c r="C78" i="92"/>
  <c r="AC78" i="92"/>
  <c r="AI18" i="83"/>
  <c r="D78" i="92"/>
  <c r="AD78" i="92"/>
  <c r="AJ18" i="83"/>
  <c r="E78" i="92"/>
  <c r="AE78" i="92"/>
  <c r="AK18" i="83"/>
  <c r="F78" i="92"/>
  <c r="AF78" i="92"/>
  <c r="AL18" i="83"/>
  <c r="G78" i="92"/>
  <c r="AG78" i="92"/>
  <c r="AM18" i="83"/>
  <c r="H78" i="92"/>
  <c r="AH78" i="92"/>
  <c r="AN18" i="83"/>
  <c r="I78" i="92"/>
  <c r="AI78" i="92"/>
  <c r="AO18" i="83"/>
  <c r="J78" i="92"/>
  <c r="AJ78" i="92"/>
  <c r="AP18" i="83"/>
  <c r="K78" i="92"/>
  <c r="AK78" i="92"/>
  <c r="AQ18" i="83"/>
  <c r="L78" i="92"/>
  <c r="AL78" i="92"/>
  <c r="AR18" i="83"/>
  <c r="M78" i="92"/>
  <c r="AM78" i="92"/>
  <c r="AH19" i="83"/>
  <c r="C79" i="92"/>
  <c r="AC79" i="92"/>
  <c r="AI19" i="83"/>
  <c r="D79" i="92"/>
  <c r="AD79" i="92"/>
  <c r="AJ19" i="83"/>
  <c r="E79" i="92"/>
  <c r="AE79" i="92"/>
  <c r="AK19" i="83"/>
  <c r="F79" i="92"/>
  <c r="AF79" i="92"/>
  <c r="AL19" i="83"/>
  <c r="G79" i="92"/>
  <c r="AG79" i="92"/>
  <c r="AM19" i="83"/>
  <c r="H79" i="92"/>
  <c r="AH79" i="92"/>
  <c r="AN19" i="83"/>
  <c r="I79" i="92"/>
  <c r="AI79" i="92"/>
  <c r="AO19" i="83"/>
  <c r="J79" i="92"/>
  <c r="AJ79" i="92"/>
  <c r="AP19" i="83"/>
  <c r="K79" i="92"/>
  <c r="AK79" i="92"/>
  <c r="AQ19" i="83"/>
  <c r="L79" i="92"/>
  <c r="AL79" i="92"/>
  <c r="AR19" i="83"/>
  <c r="M79" i="92"/>
  <c r="AM79" i="92"/>
  <c r="AH20" i="83"/>
  <c r="C80" i="92"/>
  <c r="AC80" i="92"/>
  <c r="AI20" i="83"/>
  <c r="D80" i="92"/>
  <c r="AD80" i="92"/>
  <c r="AJ20" i="83"/>
  <c r="E80" i="92"/>
  <c r="AE80" i="92"/>
  <c r="AK20" i="83"/>
  <c r="F80" i="92"/>
  <c r="AF80" i="92"/>
  <c r="AL20" i="83"/>
  <c r="G80" i="92"/>
  <c r="AG80" i="92"/>
  <c r="AM20" i="83"/>
  <c r="H80" i="92"/>
  <c r="AH80" i="92"/>
  <c r="AN20" i="83"/>
  <c r="I80" i="92"/>
  <c r="AI80" i="92"/>
  <c r="AO20" i="83"/>
  <c r="J80" i="92"/>
  <c r="AJ80" i="92"/>
  <c r="AP20" i="83"/>
  <c r="K80" i="92"/>
  <c r="AK80" i="92"/>
  <c r="AQ20" i="83"/>
  <c r="L80" i="92"/>
  <c r="AL80" i="92"/>
  <c r="AR20" i="83"/>
  <c r="M80" i="92"/>
  <c r="AM80" i="92"/>
  <c r="AH21" i="83"/>
  <c r="C81" i="92"/>
  <c r="AC81" i="92"/>
  <c r="AI21" i="83"/>
  <c r="D81" i="92"/>
  <c r="AD81" i="92"/>
  <c r="AJ21" i="83"/>
  <c r="E81" i="92"/>
  <c r="AE81" i="92"/>
  <c r="AK21" i="83"/>
  <c r="F81" i="92"/>
  <c r="AF81" i="92"/>
  <c r="AL21" i="83"/>
  <c r="G81" i="92"/>
  <c r="AG81" i="92"/>
  <c r="AM21" i="83"/>
  <c r="H81" i="92"/>
  <c r="AH81" i="92"/>
  <c r="AN21" i="83"/>
  <c r="I81" i="92"/>
  <c r="AI81" i="92"/>
  <c r="AO21" i="83"/>
  <c r="J81" i="92"/>
  <c r="AJ81" i="92"/>
  <c r="AP21" i="83"/>
  <c r="K81" i="92"/>
  <c r="AK81" i="92"/>
  <c r="AQ21" i="83"/>
  <c r="L81" i="92"/>
  <c r="AL81" i="92"/>
  <c r="AR21" i="83"/>
  <c r="M81" i="92"/>
  <c r="AM81" i="92"/>
  <c r="AH22" i="83"/>
  <c r="C82" i="92"/>
  <c r="AC82" i="92"/>
  <c r="AI22" i="83"/>
  <c r="D82" i="92"/>
  <c r="AD82" i="92"/>
  <c r="AJ22" i="83"/>
  <c r="E82" i="92"/>
  <c r="AE82" i="92"/>
  <c r="AK22" i="83"/>
  <c r="F82" i="92"/>
  <c r="AF82" i="92"/>
  <c r="AL22" i="83"/>
  <c r="G82" i="92"/>
  <c r="AG82" i="92"/>
  <c r="AM22" i="83"/>
  <c r="H82" i="92"/>
  <c r="AH82" i="92"/>
  <c r="AN22" i="83"/>
  <c r="I82" i="92"/>
  <c r="AI82" i="92"/>
  <c r="AO22" i="83"/>
  <c r="J82" i="92"/>
  <c r="AJ82" i="92"/>
  <c r="AP22" i="83"/>
  <c r="K82" i="92"/>
  <c r="AK82" i="92"/>
  <c r="AQ22" i="83"/>
  <c r="L82" i="92"/>
  <c r="AL82" i="92"/>
  <c r="AR22" i="83"/>
  <c r="M82" i="92"/>
  <c r="AM82" i="92"/>
  <c r="E59" i="92"/>
  <c r="H11" i="99"/>
  <c r="AA4" i="83"/>
  <c r="AC4" i="83"/>
  <c r="AH29" i="83"/>
  <c r="C91" i="92"/>
  <c r="AC91" i="92"/>
  <c r="AI28" i="83"/>
  <c r="AI29" i="83"/>
  <c r="D91" i="92"/>
  <c r="AD91" i="92"/>
  <c r="AJ28" i="83"/>
  <c r="AJ29" i="83"/>
  <c r="E91" i="92"/>
  <c r="AE91" i="92"/>
  <c r="AK28" i="83"/>
  <c r="AK29" i="83"/>
  <c r="F91" i="92"/>
  <c r="AF91" i="92"/>
  <c r="AL28" i="83"/>
  <c r="AL29" i="83"/>
  <c r="G91" i="92"/>
  <c r="AG91" i="92"/>
  <c r="AM28" i="83"/>
  <c r="AM29" i="83"/>
  <c r="H91" i="92"/>
  <c r="AH91" i="92"/>
  <c r="AN28" i="83"/>
  <c r="AN29" i="83"/>
  <c r="I91" i="92"/>
  <c r="AI91" i="92"/>
  <c r="AO28" i="83"/>
  <c r="AO29" i="83"/>
  <c r="J91" i="92"/>
  <c r="AJ91" i="92"/>
  <c r="AP28" i="83"/>
  <c r="AP29" i="83"/>
  <c r="K91" i="92"/>
  <c r="AK91" i="92"/>
  <c r="AQ28" i="83"/>
  <c r="AQ29" i="83"/>
  <c r="L91" i="92"/>
  <c r="AL91" i="92"/>
  <c r="AR28" i="83"/>
  <c r="AR29" i="83"/>
  <c r="M91" i="92"/>
  <c r="AM91" i="92"/>
  <c r="AA5" i="83"/>
  <c r="AC5" i="83"/>
  <c r="AH30" i="83"/>
  <c r="C92" i="92"/>
  <c r="AC92" i="92"/>
  <c r="AI30" i="83"/>
  <c r="D92" i="92"/>
  <c r="AD92" i="92"/>
  <c r="AJ30" i="83"/>
  <c r="E92" i="92"/>
  <c r="AE92" i="92"/>
  <c r="AK30" i="83"/>
  <c r="F92" i="92"/>
  <c r="AF92" i="92"/>
  <c r="AL30" i="83"/>
  <c r="G92" i="92"/>
  <c r="AG92" i="92"/>
  <c r="AM30" i="83"/>
  <c r="H92" i="92"/>
  <c r="AH92" i="92"/>
  <c r="AN30" i="83"/>
  <c r="I92" i="92"/>
  <c r="AI92" i="92"/>
  <c r="AO30" i="83"/>
  <c r="J92" i="92"/>
  <c r="AJ92" i="92"/>
  <c r="AP30" i="83"/>
  <c r="K92" i="92"/>
  <c r="AK92" i="92"/>
  <c r="AQ30" i="83"/>
  <c r="L92" i="92"/>
  <c r="AL92" i="92"/>
  <c r="AR30" i="83"/>
  <c r="M92" i="92"/>
  <c r="AM92" i="92"/>
  <c r="AA6" i="83"/>
  <c r="AC6" i="83"/>
  <c r="AH31" i="83"/>
  <c r="C93" i="92"/>
  <c r="AC93" i="92"/>
  <c r="AI31" i="83"/>
  <c r="D93" i="92"/>
  <c r="AD93" i="92"/>
  <c r="AJ31" i="83"/>
  <c r="E93" i="92"/>
  <c r="AE93" i="92"/>
  <c r="AK31" i="83"/>
  <c r="F93" i="92"/>
  <c r="AF93" i="92"/>
  <c r="AL31" i="83"/>
  <c r="G93" i="92"/>
  <c r="AG93" i="92"/>
  <c r="AM31" i="83"/>
  <c r="H93" i="92"/>
  <c r="AH93" i="92"/>
  <c r="AN31" i="83"/>
  <c r="I93" i="92"/>
  <c r="AI93" i="92"/>
  <c r="AO31" i="83"/>
  <c r="J93" i="92"/>
  <c r="AJ93" i="92"/>
  <c r="AP31" i="83"/>
  <c r="K93" i="92"/>
  <c r="AK93" i="92"/>
  <c r="AQ31" i="83"/>
  <c r="L93" i="92"/>
  <c r="AL93" i="92"/>
  <c r="AR31" i="83"/>
  <c r="M93" i="92"/>
  <c r="AM93" i="92"/>
  <c r="AA7" i="83"/>
  <c r="AC7" i="83"/>
  <c r="AH32" i="83"/>
  <c r="C94" i="92"/>
  <c r="AC94" i="92"/>
  <c r="AI32" i="83"/>
  <c r="D94" i="92"/>
  <c r="AD94" i="92"/>
  <c r="AJ32" i="83"/>
  <c r="E94" i="92"/>
  <c r="AE94" i="92"/>
  <c r="AK32" i="83"/>
  <c r="F94" i="92"/>
  <c r="AF94" i="92"/>
  <c r="AL32" i="83"/>
  <c r="G94" i="92"/>
  <c r="AG94" i="92"/>
  <c r="AM32" i="83"/>
  <c r="H94" i="92"/>
  <c r="AH94" i="92"/>
  <c r="AN32" i="83"/>
  <c r="I94" i="92"/>
  <c r="AI94" i="92"/>
  <c r="AO32" i="83"/>
  <c r="J94" i="92"/>
  <c r="AJ94" i="92"/>
  <c r="AP32" i="83"/>
  <c r="K94" i="92"/>
  <c r="AK94" i="92"/>
  <c r="AQ32" i="83"/>
  <c r="L94" i="92"/>
  <c r="AL94" i="92"/>
  <c r="AR32" i="83"/>
  <c r="M94" i="92"/>
  <c r="AM94" i="92"/>
  <c r="AA8" i="83"/>
  <c r="AC8" i="83"/>
  <c r="AH33" i="83"/>
  <c r="C95" i="92"/>
  <c r="AC95" i="92"/>
  <c r="AI33" i="83"/>
  <c r="D95" i="92"/>
  <c r="AD95" i="92"/>
  <c r="AJ33" i="83"/>
  <c r="E95" i="92"/>
  <c r="AE95" i="92"/>
  <c r="AK33" i="83"/>
  <c r="F95" i="92"/>
  <c r="AF95" i="92"/>
  <c r="AL33" i="83"/>
  <c r="G95" i="92"/>
  <c r="AG95" i="92"/>
  <c r="AM33" i="83"/>
  <c r="H95" i="92"/>
  <c r="AH95" i="92"/>
  <c r="AN33" i="83"/>
  <c r="I95" i="92"/>
  <c r="AI95" i="92"/>
  <c r="AO33" i="83"/>
  <c r="J95" i="92"/>
  <c r="AJ95" i="92"/>
  <c r="AP33" i="83"/>
  <c r="K95" i="92"/>
  <c r="AK95" i="92"/>
  <c r="AQ33" i="83"/>
  <c r="L95" i="92"/>
  <c r="AL95" i="92"/>
  <c r="AR33" i="83"/>
  <c r="M95" i="92"/>
  <c r="AM95" i="92"/>
  <c r="AA9" i="83"/>
  <c r="AC9" i="83"/>
  <c r="AH34" i="83"/>
  <c r="C96" i="92"/>
  <c r="AC96" i="92"/>
  <c r="AI34" i="83"/>
  <c r="D96" i="92"/>
  <c r="AD96" i="92"/>
  <c r="AJ34" i="83"/>
  <c r="E96" i="92"/>
  <c r="AE96" i="92"/>
  <c r="AK34" i="83"/>
  <c r="F96" i="92"/>
  <c r="AF96" i="92"/>
  <c r="AL34" i="83"/>
  <c r="G96" i="92"/>
  <c r="AG96" i="92"/>
  <c r="AM34" i="83"/>
  <c r="H96" i="92"/>
  <c r="AH96" i="92"/>
  <c r="AN34" i="83"/>
  <c r="I96" i="92"/>
  <c r="AI96" i="92"/>
  <c r="AO34" i="83"/>
  <c r="J96" i="92"/>
  <c r="AJ96" i="92"/>
  <c r="AP34" i="83"/>
  <c r="K96" i="92"/>
  <c r="AK96" i="92"/>
  <c r="AQ34" i="83"/>
  <c r="L96" i="92"/>
  <c r="AL96" i="92"/>
  <c r="AR34" i="83"/>
  <c r="M96" i="92"/>
  <c r="AM96" i="92"/>
  <c r="AA10" i="83"/>
  <c r="AC10" i="83"/>
  <c r="AH35" i="83"/>
  <c r="C97" i="92"/>
  <c r="AC97" i="92"/>
  <c r="AI35" i="83"/>
  <c r="D97" i="92"/>
  <c r="AD97" i="92"/>
  <c r="AJ35" i="83"/>
  <c r="E97" i="92"/>
  <c r="AE97" i="92"/>
  <c r="AK35" i="83"/>
  <c r="F97" i="92"/>
  <c r="AF97" i="92"/>
  <c r="AL35" i="83"/>
  <c r="G97" i="92"/>
  <c r="AG97" i="92"/>
  <c r="AM35" i="83"/>
  <c r="H97" i="92"/>
  <c r="AH97" i="92"/>
  <c r="AN35" i="83"/>
  <c r="I97" i="92"/>
  <c r="AI97" i="92"/>
  <c r="AO35" i="83"/>
  <c r="J97" i="92"/>
  <c r="AJ97" i="92"/>
  <c r="AP35" i="83"/>
  <c r="K97" i="92"/>
  <c r="AK97" i="92"/>
  <c r="AQ35" i="83"/>
  <c r="L97" i="92"/>
  <c r="AL97" i="92"/>
  <c r="AR35" i="83"/>
  <c r="M97" i="92"/>
  <c r="AM97" i="92"/>
  <c r="AA11" i="83"/>
  <c r="AC11" i="83"/>
  <c r="AH36" i="83"/>
  <c r="C98" i="92"/>
  <c r="AC98" i="92"/>
  <c r="AI36" i="83"/>
  <c r="D98" i="92"/>
  <c r="AD98" i="92"/>
  <c r="AJ36" i="83"/>
  <c r="E98" i="92"/>
  <c r="AE98" i="92"/>
  <c r="AK36" i="83"/>
  <c r="F98" i="92"/>
  <c r="AF98" i="92"/>
  <c r="AL36" i="83"/>
  <c r="G98" i="92"/>
  <c r="AG98" i="92"/>
  <c r="AM36" i="83"/>
  <c r="H98" i="92"/>
  <c r="AH98" i="92"/>
  <c r="AN36" i="83"/>
  <c r="I98" i="92"/>
  <c r="AI98" i="92"/>
  <c r="AO36" i="83"/>
  <c r="J98" i="92"/>
  <c r="AJ98" i="92"/>
  <c r="AP36" i="83"/>
  <c r="K98" i="92"/>
  <c r="AK98" i="92"/>
  <c r="AQ36" i="83"/>
  <c r="L98" i="92"/>
  <c r="AL98" i="92"/>
  <c r="AR36" i="83"/>
  <c r="M98" i="92"/>
  <c r="AM98" i="92"/>
  <c r="AA12" i="83"/>
  <c r="AC12" i="83"/>
  <c r="AH37" i="83"/>
  <c r="C99" i="92"/>
  <c r="AC99" i="92"/>
  <c r="AI37" i="83"/>
  <c r="D99" i="92"/>
  <c r="AD99" i="92"/>
  <c r="AJ37" i="83"/>
  <c r="E99" i="92"/>
  <c r="AE99" i="92"/>
  <c r="AK37" i="83"/>
  <c r="F99" i="92"/>
  <c r="AF99" i="92"/>
  <c r="AL37" i="83"/>
  <c r="G99" i="92"/>
  <c r="AG99" i="92"/>
  <c r="AM37" i="83"/>
  <c r="H99" i="92"/>
  <c r="AH99" i="92"/>
  <c r="AN37" i="83"/>
  <c r="I99" i="92"/>
  <c r="AI99" i="92"/>
  <c r="AO37" i="83"/>
  <c r="J99" i="92"/>
  <c r="AJ99" i="92"/>
  <c r="AP37" i="83"/>
  <c r="K99" i="92"/>
  <c r="AK99" i="92"/>
  <c r="AQ37" i="83"/>
  <c r="L99" i="92"/>
  <c r="AL99" i="92"/>
  <c r="AR37" i="83"/>
  <c r="M99" i="92"/>
  <c r="AM99" i="92"/>
  <c r="AA13" i="83"/>
  <c r="AC13" i="83"/>
  <c r="AH38" i="83"/>
  <c r="C100" i="92"/>
  <c r="AC100" i="92"/>
  <c r="AI38" i="83"/>
  <c r="D100" i="92"/>
  <c r="AD100" i="92"/>
  <c r="AJ38" i="83"/>
  <c r="E100" i="92"/>
  <c r="AE100" i="92"/>
  <c r="AK38" i="83"/>
  <c r="F100" i="92"/>
  <c r="AF100" i="92"/>
  <c r="AL38" i="83"/>
  <c r="G100" i="92"/>
  <c r="AG100" i="92"/>
  <c r="AM38" i="83"/>
  <c r="H100" i="92"/>
  <c r="AH100" i="92"/>
  <c r="AN38" i="83"/>
  <c r="I100" i="92"/>
  <c r="AI100" i="92"/>
  <c r="AO38" i="83"/>
  <c r="J100" i="92"/>
  <c r="AJ100" i="92"/>
  <c r="AP38" i="83"/>
  <c r="K100" i="92"/>
  <c r="AK100" i="92"/>
  <c r="AQ38" i="83"/>
  <c r="L100" i="92"/>
  <c r="AL100" i="92"/>
  <c r="AR38" i="83"/>
  <c r="M100" i="92"/>
  <c r="AM100" i="92"/>
  <c r="AA14" i="83"/>
  <c r="AC14" i="83"/>
  <c r="AH39" i="83"/>
  <c r="C101" i="92"/>
  <c r="AC101" i="92"/>
  <c r="AI39" i="83"/>
  <c r="D101" i="92"/>
  <c r="AD101" i="92"/>
  <c r="AJ39" i="83"/>
  <c r="E101" i="92"/>
  <c r="AE101" i="92"/>
  <c r="AK39" i="83"/>
  <c r="F101" i="92"/>
  <c r="AF101" i="92"/>
  <c r="AL39" i="83"/>
  <c r="G101" i="92"/>
  <c r="AG101" i="92"/>
  <c r="AM39" i="83"/>
  <c r="H101" i="92"/>
  <c r="AH101" i="92"/>
  <c r="AN39" i="83"/>
  <c r="I101" i="92"/>
  <c r="AI101" i="92"/>
  <c r="AO39" i="83"/>
  <c r="J101" i="92"/>
  <c r="AJ101" i="92"/>
  <c r="AP39" i="83"/>
  <c r="K101" i="92"/>
  <c r="AK101" i="92"/>
  <c r="AQ39" i="83"/>
  <c r="L101" i="92"/>
  <c r="AL101" i="92"/>
  <c r="AR39" i="83"/>
  <c r="M101" i="92"/>
  <c r="AM101" i="92"/>
  <c r="AA15" i="83"/>
  <c r="AC15" i="83"/>
  <c r="AH40" i="83"/>
  <c r="C102" i="92"/>
  <c r="AC102" i="92"/>
  <c r="AI40" i="83"/>
  <c r="D102" i="92"/>
  <c r="AD102" i="92"/>
  <c r="AJ40" i="83"/>
  <c r="E102" i="92"/>
  <c r="AE102" i="92"/>
  <c r="AK40" i="83"/>
  <c r="F102" i="92"/>
  <c r="AF102" i="92"/>
  <c r="AL40" i="83"/>
  <c r="G102" i="92"/>
  <c r="AG102" i="92"/>
  <c r="AM40" i="83"/>
  <c r="H102" i="92"/>
  <c r="AH102" i="92"/>
  <c r="AN40" i="83"/>
  <c r="I102" i="92"/>
  <c r="AI102" i="92"/>
  <c r="AO40" i="83"/>
  <c r="J102" i="92"/>
  <c r="AJ102" i="92"/>
  <c r="AP40" i="83"/>
  <c r="K102" i="92"/>
  <c r="AK102" i="92"/>
  <c r="AQ40" i="83"/>
  <c r="L102" i="92"/>
  <c r="AL102" i="92"/>
  <c r="AR40" i="83"/>
  <c r="M102" i="92"/>
  <c r="AM102" i="92"/>
  <c r="AA16" i="83"/>
  <c r="AC16" i="83"/>
  <c r="AH41" i="83"/>
  <c r="C103" i="92"/>
  <c r="AC103" i="92"/>
  <c r="AI41" i="83"/>
  <c r="D103" i="92"/>
  <c r="AD103" i="92"/>
  <c r="AJ41" i="83"/>
  <c r="E103" i="92"/>
  <c r="AE103" i="92"/>
  <c r="AK41" i="83"/>
  <c r="F103" i="92"/>
  <c r="AF103" i="92"/>
  <c r="AL41" i="83"/>
  <c r="G103" i="92"/>
  <c r="AG103" i="92"/>
  <c r="AM41" i="83"/>
  <c r="H103" i="92"/>
  <c r="AH103" i="92"/>
  <c r="AN41" i="83"/>
  <c r="I103" i="92"/>
  <c r="AI103" i="92"/>
  <c r="AO41" i="83"/>
  <c r="J103" i="92"/>
  <c r="AJ103" i="92"/>
  <c r="AP41" i="83"/>
  <c r="K103" i="92"/>
  <c r="AK103" i="92"/>
  <c r="AQ41" i="83"/>
  <c r="L103" i="92"/>
  <c r="AL103" i="92"/>
  <c r="AR41" i="83"/>
  <c r="M103" i="92"/>
  <c r="AM103" i="92"/>
  <c r="AA17" i="83"/>
  <c r="AC17" i="83"/>
  <c r="AH42" i="83"/>
  <c r="C104" i="92"/>
  <c r="AC104" i="92"/>
  <c r="AI42" i="83"/>
  <c r="D104" i="92"/>
  <c r="AD104" i="92"/>
  <c r="AJ42" i="83"/>
  <c r="E104" i="92"/>
  <c r="AE104" i="92"/>
  <c r="AK42" i="83"/>
  <c r="F104" i="92"/>
  <c r="AF104" i="92"/>
  <c r="AL42" i="83"/>
  <c r="G104" i="92"/>
  <c r="AG104" i="92"/>
  <c r="AM42" i="83"/>
  <c r="H104" i="92"/>
  <c r="AH104" i="92"/>
  <c r="AN42" i="83"/>
  <c r="I104" i="92"/>
  <c r="AI104" i="92"/>
  <c r="AO42" i="83"/>
  <c r="J104" i="92"/>
  <c r="AJ104" i="92"/>
  <c r="AP42" i="83"/>
  <c r="K104" i="92"/>
  <c r="AK104" i="92"/>
  <c r="AQ42" i="83"/>
  <c r="L104" i="92"/>
  <c r="AL104" i="92"/>
  <c r="AR42" i="83"/>
  <c r="M104" i="92"/>
  <c r="AM104" i="92"/>
  <c r="AA18" i="83"/>
  <c r="AC18" i="83"/>
  <c r="AH43" i="83"/>
  <c r="C105" i="92"/>
  <c r="AC105" i="92"/>
  <c r="AI43" i="83"/>
  <c r="D105" i="92"/>
  <c r="AD105" i="92"/>
  <c r="AJ43" i="83"/>
  <c r="E105" i="92"/>
  <c r="AE105" i="92"/>
  <c r="AK43" i="83"/>
  <c r="F105" i="92"/>
  <c r="AF105" i="92"/>
  <c r="AL43" i="83"/>
  <c r="G105" i="92"/>
  <c r="AG105" i="92"/>
  <c r="AM43" i="83"/>
  <c r="H105" i="92"/>
  <c r="AH105" i="92"/>
  <c r="AN43" i="83"/>
  <c r="I105" i="92"/>
  <c r="AI105" i="92"/>
  <c r="AO43" i="83"/>
  <c r="J105" i="92"/>
  <c r="AJ105" i="92"/>
  <c r="AP43" i="83"/>
  <c r="K105" i="92"/>
  <c r="AK105" i="92"/>
  <c r="AQ43" i="83"/>
  <c r="L105" i="92"/>
  <c r="AL105" i="92"/>
  <c r="AR43" i="83"/>
  <c r="M105" i="92"/>
  <c r="AM105" i="92"/>
  <c r="AA19" i="83"/>
  <c r="AC19" i="83"/>
  <c r="AH44" i="83"/>
  <c r="C106" i="92"/>
  <c r="AC106" i="92"/>
  <c r="AI44" i="83"/>
  <c r="D106" i="92"/>
  <c r="AD106" i="92"/>
  <c r="AJ44" i="83"/>
  <c r="E106" i="92"/>
  <c r="AE106" i="92"/>
  <c r="AK44" i="83"/>
  <c r="F106" i="92"/>
  <c r="AF106" i="92"/>
  <c r="AL44" i="83"/>
  <c r="G106" i="92"/>
  <c r="AG106" i="92"/>
  <c r="AM44" i="83"/>
  <c r="H106" i="92"/>
  <c r="AH106" i="92"/>
  <c r="AN44" i="83"/>
  <c r="I106" i="92"/>
  <c r="AI106" i="92"/>
  <c r="AO44" i="83"/>
  <c r="J106" i="92"/>
  <c r="AJ106" i="92"/>
  <c r="AP44" i="83"/>
  <c r="K106" i="92"/>
  <c r="AK106" i="92"/>
  <c r="AQ44" i="83"/>
  <c r="L106" i="92"/>
  <c r="AL106" i="92"/>
  <c r="AR44" i="83"/>
  <c r="M106" i="92"/>
  <c r="AM106" i="92"/>
  <c r="AA20" i="83"/>
  <c r="AC20" i="83"/>
  <c r="AH45" i="83"/>
  <c r="C107" i="92"/>
  <c r="AC107" i="92"/>
  <c r="AI45" i="83"/>
  <c r="D107" i="92"/>
  <c r="AD107" i="92"/>
  <c r="AJ45" i="83"/>
  <c r="E107" i="92"/>
  <c r="AE107" i="92"/>
  <c r="AK45" i="83"/>
  <c r="F107" i="92"/>
  <c r="AF107" i="92"/>
  <c r="AL45" i="83"/>
  <c r="G107" i="92"/>
  <c r="AG107" i="92"/>
  <c r="AM45" i="83"/>
  <c r="H107" i="92"/>
  <c r="AH107" i="92"/>
  <c r="AN45" i="83"/>
  <c r="I107" i="92"/>
  <c r="AI107" i="92"/>
  <c r="AO45" i="83"/>
  <c r="J107" i="92"/>
  <c r="AJ107" i="92"/>
  <c r="AP45" i="83"/>
  <c r="K107" i="92"/>
  <c r="AK107" i="92"/>
  <c r="AQ45" i="83"/>
  <c r="L107" i="92"/>
  <c r="AL107" i="92"/>
  <c r="AR45" i="83"/>
  <c r="M107" i="92"/>
  <c r="AM107" i="92"/>
  <c r="AA21" i="83"/>
  <c r="AC21" i="83"/>
  <c r="AH46" i="83"/>
  <c r="C108" i="92"/>
  <c r="AC108" i="92"/>
  <c r="AI46" i="83"/>
  <c r="D108" i="92"/>
  <c r="AD108" i="92"/>
  <c r="AJ46" i="83"/>
  <c r="E108" i="92"/>
  <c r="AE108" i="92"/>
  <c r="AK46" i="83"/>
  <c r="F108" i="92"/>
  <c r="AF108" i="92"/>
  <c r="AL46" i="83"/>
  <c r="G108" i="92"/>
  <c r="AG108" i="92"/>
  <c r="AM46" i="83"/>
  <c r="H108" i="92"/>
  <c r="AH108" i="92"/>
  <c r="AN46" i="83"/>
  <c r="I108" i="92"/>
  <c r="AI108" i="92"/>
  <c r="AO46" i="83"/>
  <c r="J108" i="92"/>
  <c r="AJ108" i="92"/>
  <c r="AP46" i="83"/>
  <c r="K108" i="92"/>
  <c r="AK108" i="92"/>
  <c r="AQ46" i="83"/>
  <c r="L108" i="92"/>
  <c r="AL108" i="92"/>
  <c r="AR46" i="83"/>
  <c r="M108" i="92"/>
  <c r="AM108" i="92"/>
  <c r="AA22" i="83"/>
  <c r="AC22" i="83"/>
  <c r="AH47" i="83"/>
  <c r="C109" i="92"/>
  <c r="AC109" i="92"/>
  <c r="AI47" i="83"/>
  <c r="D109" i="92"/>
  <c r="AD109" i="92"/>
  <c r="AJ47" i="83"/>
  <c r="E109" i="92"/>
  <c r="AE109" i="92"/>
  <c r="AK47" i="83"/>
  <c r="F109" i="92"/>
  <c r="AF109" i="92"/>
  <c r="AL47" i="83"/>
  <c r="G109" i="92"/>
  <c r="AG109" i="92"/>
  <c r="AM47" i="83"/>
  <c r="H109" i="92"/>
  <c r="AH109" i="92"/>
  <c r="AN47" i="83"/>
  <c r="I109" i="92"/>
  <c r="AI109" i="92"/>
  <c r="AO47" i="83"/>
  <c r="J109" i="92"/>
  <c r="AJ109" i="92"/>
  <c r="AP47" i="83"/>
  <c r="K109" i="92"/>
  <c r="AK109" i="92"/>
  <c r="AQ47" i="83"/>
  <c r="L109" i="92"/>
  <c r="AL109" i="92"/>
  <c r="AR47" i="83"/>
  <c r="M109" i="92"/>
  <c r="AM109" i="92"/>
  <c r="E86" i="92"/>
  <c r="H12" i="99"/>
  <c r="G52" i="83"/>
  <c r="C70" i="83"/>
  <c r="D70" i="83"/>
  <c r="D72" i="83"/>
  <c r="I52" i="83"/>
  <c r="N52" i="83"/>
  <c r="C118" i="92"/>
  <c r="AC118" i="92"/>
  <c r="O51" i="83"/>
  <c r="O52" i="83"/>
  <c r="D118" i="92"/>
  <c r="AD118" i="92"/>
  <c r="P51" i="83"/>
  <c r="P52" i="83"/>
  <c r="E118" i="92"/>
  <c r="AE118" i="92"/>
  <c r="Q51" i="83"/>
  <c r="Q52" i="83"/>
  <c r="F118" i="92"/>
  <c r="AF118" i="92"/>
  <c r="R51" i="83"/>
  <c r="R52" i="83"/>
  <c r="G118" i="92"/>
  <c r="AG118" i="92"/>
  <c r="S51" i="83"/>
  <c r="S52" i="83"/>
  <c r="H118" i="92"/>
  <c r="AH118" i="92"/>
  <c r="T51" i="83"/>
  <c r="T52" i="83"/>
  <c r="I118" i="92"/>
  <c r="AI118" i="92"/>
  <c r="U51" i="83"/>
  <c r="U52" i="83"/>
  <c r="J118" i="92"/>
  <c r="AJ118" i="92"/>
  <c r="V51" i="83"/>
  <c r="V52" i="83"/>
  <c r="K118" i="92"/>
  <c r="AK118" i="92"/>
  <c r="W51" i="83"/>
  <c r="W52" i="83"/>
  <c r="L118" i="92"/>
  <c r="AL118" i="92"/>
  <c r="X51" i="83"/>
  <c r="X52" i="83"/>
  <c r="M118" i="92"/>
  <c r="AM118" i="92"/>
  <c r="G53" i="83"/>
  <c r="I53" i="83"/>
  <c r="N53" i="83"/>
  <c r="C119" i="92"/>
  <c r="AC119" i="92"/>
  <c r="O53" i="83"/>
  <c r="D119" i="92"/>
  <c r="AD119" i="92"/>
  <c r="P53" i="83"/>
  <c r="E119" i="92"/>
  <c r="AE119" i="92"/>
  <c r="Q53" i="83"/>
  <c r="F119" i="92"/>
  <c r="AF119" i="92"/>
  <c r="R53" i="83"/>
  <c r="G119" i="92"/>
  <c r="AG119" i="92"/>
  <c r="S53" i="83"/>
  <c r="H119" i="92"/>
  <c r="AH119" i="92"/>
  <c r="T53" i="83"/>
  <c r="I119" i="92"/>
  <c r="AI119" i="92"/>
  <c r="U53" i="83"/>
  <c r="J119" i="92"/>
  <c r="AJ119" i="92"/>
  <c r="V53" i="83"/>
  <c r="K119" i="92"/>
  <c r="AK119" i="92"/>
  <c r="W53" i="83"/>
  <c r="L119" i="92"/>
  <c r="AL119" i="92"/>
  <c r="X53" i="83"/>
  <c r="M119" i="92"/>
  <c r="AM119" i="92"/>
  <c r="G54" i="83"/>
  <c r="I54" i="83"/>
  <c r="N54" i="83"/>
  <c r="C120" i="92"/>
  <c r="AC120" i="92"/>
  <c r="O54" i="83"/>
  <c r="D120" i="92"/>
  <c r="AD120" i="92"/>
  <c r="P54" i="83"/>
  <c r="E120" i="92"/>
  <c r="AE120" i="92"/>
  <c r="Q54" i="83"/>
  <c r="F120" i="92"/>
  <c r="AF120" i="92"/>
  <c r="R54" i="83"/>
  <c r="G120" i="92"/>
  <c r="AG120" i="92"/>
  <c r="S54" i="83"/>
  <c r="H120" i="92"/>
  <c r="AH120" i="92"/>
  <c r="T54" i="83"/>
  <c r="I120" i="92"/>
  <c r="AI120" i="92"/>
  <c r="U54" i="83"/>
  <c r="J120" i="92"/>
  <c r="AJ120" i="92"/>
  <c r="V54" i="83"/>
  <c r="K120" i="92"/>
  <c r="AK120" i="92"/>
  <c r="W54" i="83"/>
  <c r="L120" i="92"/>
  <c r="AL120" i="92"/>
  <c r="X54" i="83"/>
  <c r="M120" i="92"/>
  <c r="AM120" i="92"/>
  <c r="G55" i="83"/>
  <c r="I55" i="83"/>
  <c r="N55" i="83"/>
  <c r="C121" i="92"/>
  <c r="AC121" i="92"/>
  <c r="O55" i="83"/>
  <c r="D121" i="92"/>
  <c r="AD121" i="92"/>
  <c r="P55" i="83"/>
  <c r="E121" i="92"/>
  <c r="AE121" i="92"/>
  <c r="Q55" i="83"/>
  <c r="F121" i="92"/>
  <c r="AF121" i="92"/>
  <c r="R55" i="83"/>
  <c r="G121" i="92"/>
  <c r="AG121" i="92"/>
  <c r="S55" i="83"/>
  <c r="H121" i="92"/>
  <c r="AH121" i="92"/>
  <c r="T55" i="83"/>
  <c r="I121" i="92"/>
  <c r="AI121" i="92"/>
  <c r="U55" i="83"/>
  <c r="J121" i="92"/>
  <c r="AJ121" i="92"/>
  <c r="V55" i="83"/>
  <c r="K121" i="92"/>
  <c r="AK121" i="92"/>
  <c r="W55" i="83"/>
  <c r="L121" i="92"/>
  <c r="AL121" i="92"/>
  <c r="X55" i="83"/>
  <c r="M121" i="92"/>
  <c r="AM121" i="92"/>
  <c r="G56" i="83"/>
  <c r="I56" i="83"/>
  <c r="N56" i="83"/>
  <c r="C122" i="92"/>
  <c r="AC122" i="92"/>
  <c r="O56" i="83"/>
  <c r="D122" i="92"/>
  <c r="AD122" i="92"/>
  <c r="P56" i="83"/>
  <c r="E122" i="92"/>
  <c r="AE122" i="92"/>
  <c r="Q56" i="83"/>
  <c r="F122" i="92"/>
  <c r="AF122" i="92"/>
  <c r="R56" i="83"/>
  <c r="G122" i="92"/>
  <c r="AG122" i="92"/>
  <c r="S56" i="83"/>
  <c r="H122" i="92"/>
  <c r="AH122" i="92"/>
  <c r="T56" i="83"/>
  <c r="I122" i="92"/>
  <c r="AI122" i="92"/>
  <c r="U56" i="83"/>
  <c r="J122" i="92"/>
  <c r="AJ122" i="92"/>
  <c r="V56" i="83"/>
  <c r="K122" i="92"/>
  <c r="AK122" i="92"/>
  <c r="W56" i="83"/>
  <c r="L122" i="92"/>
  <c r="AL122" i="92"/>
  <c r="X56" i="83"/>
  <c r="M122" i="92"/>
  <c r="AM122" i="92"/>
  <c r="G57" i="83"/>
  <c r="I57" i="83"/>
  <c r="N57" i="83"/>
  <c r="C123" i="92"/>
  <c r="AC123" i="92"/>
  <c r="O57" i="83"/>
  <c r="D123" i="92"/>
  <c r="AD123" i="92"/>
  <c r="P57" i="83"/>
  <c r="E123" i="92"/>
  <c r="AE123" i="92"/>
  <c r="Q57" i="83"/>
  <c r="F123" i="92"/>
  <c r="AF123" i="92"/>
  <c r="R57" i="83"/>
  <c r="G123" i="92"/>
  <c r="AG123" i="92"/>
  <c r="S57" i="83"/>
  <c r="H123" i="92"/>
  <c r="AH123" i="92"/>
  <c r="T57" i="83"/>
  <c r="I123" i="92"/>
  <c r="AI123" i="92"/>
  <c r="U57" i="83"/>
  <c r="J123" i="92"/>
  <c r="AJ123" i="92"/>
  <c r="V57" i="83"/>
  <c r="K123" i="92"/>
  <c r="AK123" i="92"/>
  <c r="W57" i="83"/>
  <c r="L123" i="92"/>
  <c r="AL123" i="92"/>
  <c r="X57" i="83"/>
  <c r="M123" i="92"/>
  <c r="AM123" i="92"/>
  <c r="G58" i="83"/>
  <c r="I58" i="83"/>
  <c r="N58" i="83"/>
  <c r="C124" i="92"/>
  <c r="AC124" i="92"/>
  <c r="O58" i="83"/>
  <c r="D124" i="92"/>
  <c r="AD124" i="92"/>
  <c r="P58" i="83"/>
  <c r="E124" i="92"/>
  <c r="AE124" i="92"/>
  <c r="Q58" i="83"/>
  <c r="F124" i="92"/>
  <c r="AF124" i="92"/>
  <c r="R58" i="83"/>
  <c r="G124" i="92"/>
  <c r="AG124" i="92"/>
  <c r="S58" i="83"/>
  <c r="H124" i="92"/>
  <c r="AH124" i="92"/>
  <c r="T58" i="83"/>
  <c r="I124" i="92"/>
  <c r="AI124" i="92"/>
  <c r="U58" i="83"/>
  <c r="J124" i="92"/>
  <c r="AJ124" i="92"/>
  <c r="V58" i="83"/>
  <c r="K124" i="92"/>
  <c r="AK124" i="92"/>
  <c r="W58" i="83"/>
  <c r="L124" i="92"/>
  <c r="AL124" i="92"/>
  <c r="X58" i="83"/>
  <c r="M124" i="92"/>
  <c r="AM124" i="92"/>
  <c r="G59" i="83"/>
  <c r="I59" i="83"/>
  <c r="N59" i="83"/>
  <c r="C125" i="92"/>
  <c r="AC125" i="92"/>
  <c r="O59" i="83"/>
  <c r="D125" i="92"/>
  <c r="AD125" i="92"/>
  <c r="P59" i="83"/>
  <c r="E125" i="92"/>
  <c r="AE125" i="92"/>
  <c r="Q59" i="83"/>
  <c r="F125" i="92"/>
  <c r="AF125" i="92"/>
  <c r="R59" i="83"/>
  <c r="G125" i="92"/>
  <c r="AG125" i="92"/>
  <c r="S59" i="83"/>
  <c r="H125" i="92"/>
  <c r="AH125" i="92"/>
  <c r="T59" i="83"/>
  <c r="I125" i="92"/>
  <c r="AI125" i="92"/>
  <c r="U59" i="83"/>
  <c r="J125" i="92"/>
  <c r="AJ125" i="92"/>
  <c r="V59" i="83"/>
  <c r="K125" i="92"/>
  <c r="AK125" i="92"/>
  <c r="W59" i="83"/>
  <c r="L125" i="92"/>
  <c r="AL125" i="92"/>
  <c r="X59" i="83"/>
  <c r="M125" i="92"/>
  <c r="AM125" i="92"/>
  <c r="G60" i="83"/>
  <c r="I60" i="83"/>
  <c r="N60" i="83"/>
  <c r="C126" i="92"/>
  <c r="AC126" i="92"/>
  <c r="O60" i="83"/>
  <c r="D126" i="92"/>
  <c r="AD126" i="92"/>
  <c r="P60" i="83"/>
  <c r="E126" i="92"/>
  <c r="AE126" i="92"/>
  <c r="Q60" i="83"/>
  <c r="F126" i="92"/>
  <c r="AF126" i="92"/>
  <c r="R60" i="83"/>
  <c r="G126" i="92"/>
  <c r="AG126" i="92"/>
  <c r="S60" i="83"/>
  <c r="H126" i="92"/>
  <c r="AH126" i="92"/>
  <c r="T60" i="83"/>
  <c r="I126" i="92"/>
  <c r="AI126" i="92"/>
  <c r="U60" i="83"/>
  <c r="J126" i="92"/>
  <c r="AJ126" i="92"/>
  <c r="V60" i="83"/>
  <c r="K126" i="92"/>
  <c r="AK126" i="92"/>
  <c r="W60" i="83"/>
  <c r="L126" i="92"/>
  <c r="AL126" i="92"/>
  <c r="X60" i="83"/>
  <c r="M126" i="92"/>
  <c r="AM126" i="92"/>
  <c r="G61" i="83"/>
  <c r="I61" i="83"/>
  <c r="N61" i="83"/>
  <c r="C127" i="92"/>
  <c r="AC127" i="92"/>
  <c r="O61" i="83"/>
  <c r="D127" i="92"/>
  <c r="AD127" i="92"/>
  <c r="P61" i="83"/>
  <c r="E127" i="92"/>
  <c r="AE127" i="92"/>
  <c r="Q61" i="83"/>
  <c r="F127" i="92"/>
  <c r="AF127" i="92"/>
  <c r="R61" i="83"/>
  <c r="G127" i="92"/>
  <c r="AG127" i="92"/>
  <c r="S61" i="83"/>
  <c r="H127" i="92"/>
  <c r="AH127" i="92"/>
  <c r="T61" i="83"/>
  <c r="I127" i="92"/>
  <c r="AI127" i="92"/>
  <c r="U61" i="83"/>
  <c r="J127" i="92"/>
  <c r="AJ127" i="92"/>
  <c r="V61" i="83"/>
  <c r="K127" i="92"/>
  <c r="AK127" i="92"/>
  <c r="W61" i="83"/>
  <c r="L127" i="92"/>
  <c r="AL127" i="92"/>
  <c r="X61" i="83"/>
  <c r="M127" i="92"/>
  <c r="AM127" i="92"/>
  <c r="G62" i="83"/>
  <c r="I62" i="83"/>
  <c r="N62" i="83"/>
  <c r="C128" i="92"/>
  <c r="AC128" i="92"/>
  <c r="O62" i="83"/>
  <c r="D128" i="92"/>
  <c r="AD128" i="92"/>
  <c r="P62" i="83"/>
  <c r="E128" i="92"/>
  <c r="AE128" i="92"/>
  <c r="Q62" i="83"/>
  <c r="F128" i="92"/>
  <c r="AF128" i="92"/>
  <c r="R62" i="83"/>
  <c r="G128" i="92"/>
  <c r="AG128" i="92"/>
  <c r="S62" i="83"/>
  <c r="H128" i="92"/>
  <c r="AH128" i="92"/>
  <c r="T62" i="83"/>
  <c r="I128" i="92"/>
  <c r="AI128" i="92"/>
  <c r="U62" i="83"/>
  <c r="J128" i="92"/>
  <c r="AJ128" i="92"/>
  <c r="V62" i="83"/>
  <c r="K128" i="92"/>
  <c r="AK128" i="92"/>
  <c r="W62" i="83"/>
  <c r="L128" i="92"/>
  <c r="AL128" i="92"/>
  <c r="X62" i="83"/>
  <c r="M128" i="92"/>
  <c r="AM128" i="92"/>
  <c r="G63" i="83"/>
  <c r="I63" i="83"/>
  <c r="N63" i="83"/>
  <c r="C129" i="92"/>
  <c r="AC129" i="92"/>
  <c r="O63" i="83"/>
  <c r="D129" i="92"/>
  <c r="AD129" i="92"/>
  <c r="P63" i="83"/>
  <c r="E129" i="92"/>
  <c r="AE129" i="92"/>
  <c r="Q63" i="83"/>
  <c r="F129" i="92"/>
  <c r="AF129" i="92"/>
  <c r="R63" i="83"/>
  <c r="G129" i="92"/>
  <c r="AG129" i="92"/>
  <c r="S63" i="83"/>
  <c r="H129" i="92"/>
  <c r="AH129" i="92"/>
  <c r="T63" i="83"/>
  <c r="I129" i="92"/>
  <c r="AI129" i="92"/>
  <c r="U63" i="83"/>
  <c r="J129" i="92"/>
  <c r="AJ129" i="92"/>
  <c r="V63" i="83"/>
  <c r="K129" i="92"/>
  <c r="AK129" i="92"/>
  <c r="W63" i="83"/>
  <c r="L129" i="92"/>
  <c r="AL129" i="92"/>
  <c r="X63" i="83"/>
  <c r="M129" i="92"/>
  <c r="AM129" i="92"/>
  <c r="G64" i="83"/>
  <c r="I64" i="83"/>
  <c r="N64" i="83"/>
  <c r="C130" i="92"/>
  <c r="AC130" i="92"/>
  <c r="O64" i="83"/>
  <c r="D130" i="92"/>
  <c r="AD130" i="92"/>
  <c r="P64" i="83"/>
  <c r="E130" i="92"/>
  <c r="AE130" i="92"/>
  <c r="Q64" i="83"/>
  <c r="F130" i="92"/>
  <c r="AF130" i="92"/>
  <c r="R64" i="83"/>
  <c r="G130" i="92"/>
  <c r="AG130" i="92"/>
  <c r="S64" i="83"/>
  <c r="H130" i="92"/>
  <c r="AH130" i="92"/>
  <c r="T64" i="83"/>
  <c r="I130" i="92"/>
  <c r="AI130" i="92"/>
  <c r="U64" i="83"/>
  <c r="J130" i="92"/>
  <c r="AJ130" i="92"/>
  <c r="V64" i="83"/>
  <c r="K130" i="92"/>
  <c r="AK130" i="92"/>
  <c r="W64" i="83"/>
  <c r="L130" i="92"/>
  <c r="AL130" i="92"/>
  <c r="X64" i="83"/>
  <c r="M130" i="92"/>
  <c r="AM130" i="92"/>
  <c r="G65" i="83"/>
  <c r="I65" i="83"/>
  <c r="N65" i="83"/>
  <c r="C131" i="92"/>
  <c r="AC131" i="92"/>
  <c r="O65" i="83"/>
  <c r="D131" i="92"/>
  <c r="AD131" i="92"/>
  <c r="P65" i="83"/>
  <c r="E131" i="92"/>
  <c r="AE131" i="92"/>
  <c r="Q65" i="83"/>
  <c r="F131" i="92"/>
  <c r="AF131" i="92"/>
  <c r="R65" i="83"/>
  <c r="G131" i="92"/>
  <c r="AG131" i="92"/>
  <c r="S65" i="83"/>
  <c r="H131" i="92"/>
  <c r="AH131" i="92"/>
  <c r="T65" i="83"/>
  <c r="I131" i="92"/>
  <c r="AI131" i="92"/>
  <c r="U65" i="83"/>
  <c r="J131" i="92"/>
  <c r="AJ131" i="92"/>
  <c r="V65" i="83"/>
  <c r="K131" i="92"/>
  <c r="AK131" i="92"/>
  <c r="W65" i="83"/>
  <c r="L131" i="92"/>
  <c r="AL131" i="92"/>
  <c r="X65" i="83"/>
  <c r="M131" i="92"/>
  <c r="AM131" i="92"/>
  <c r="G66" i="83"/>
  <c r="I66" i="83"/>
  <c r="N66" i="83"/>
  <c r="C132" i="92"/>
  <c r="AC132" i="92"/>
  <c r="O66" i="83"/>
  <c r="D132" i="92"/>
  <c r="AD132" i="92"/>
  <c r="P66" i="83"/>
  <c r="E132" i="92"/>
  <c r="AE132" i="92"/>
  <c r="Q66" i="83"/>
  <c r="F132" i="92"/>
  <c r="AF132" i="92"/>
  <c r="R66" i="83"/>
  <c r="G132" i="92"/>
  <c r="AG132" i="92"/>
  <c r="S66" i="83"/>
  <c r="H132" i="92"/>
  <c r="AH132" i="92"/>
  <c r="T66" i="83"/>
  <c r="I132" i="92"/>
  <c r="AI132" i="92"/>
  <c r="U66" i="83"/>
  <c r="J132" i="92"/>
  <c r="AJ132" i="92"/>
  <c r="V66" i="83"/>
  <c r="K132" i="92"/>
  <c r="AK132" i="92"/>
  <c r="W66" i="83"/>
  <c r="L132" i="92"/>
  <c r="AL132" i="92"/>
  <c r="X66" i="83"/>
  <c r="M132" i="92"/>
  <c r="AM132" i="92"/>
  <c r="G67" i="83"/>
  <c r="I67" i="83"/>
  <c r="N67" i="83"/>
  <c r="C133" i="92"/>
  <c r="AC133" i="92"/>
  <c r="O67" i="83"/>
  <c r="D133" i="92"/>
  <c r="AD133" i="92"/>
  <c r="P67" i="83"/>
  <c r="E133" i="92"/>
  <c r="AE133" i="92"/>
  <c r="Q67" i="83"/>
  <c r="F133" i="92"/>
  <c r="AF133" i="92"/>
  <c r="R67" i="83"/>
  <c r="G133" i="92"/>
  <c r="AG133" i="92"/>
  <c r="S67" i="83"/>
  <c r="H133" i="92"/>
  <c r="AH133" i="92"/>
  <c r="T67" i="83"/>
  <c r="I133" i="92"/>
  <c r="AI133" i="92"/>
  <c r="U67" i="83"/>
  <c r="J133" i="92"/>
  <c r="AJ133" i="92"/>
  <c r="V67" i="83"/>
  <c r="K133" i="92"/>
  <c r="AK133" i="92"/>
  <c r="W67" i="83"/>
  <c r="L133" i="92"/>
  <c r="AL133" i="92"/>
  <c r="X67" i="83"/>
  <c r="M133" i="92"/>
  <c r="AM133" i="92"/>
  <c r="G68" i="83"/>
  <c r="I68" i="83"/>
  <c r="N68" i="83"/>
  <c r="C134" i="92"/>
  <c r="AC134" i="92"/>
  <c r="O68" i="83"/>
  <c r="D134" i="92"/>
  <c r="AD134" i="92"/>
  <c r="P68" i="83"/>
  <c r="E134" i="92"/>
  <c r="AE134" i="92"/>
  <c r="Q68" i="83"/>
  <c r="F134" i="92"/>
  <c r="AF134" i="92"/>
  <c r="R68" i="83"/>
  <c r="G134" i="92"/>
  <c r="AG134" i="92"/>
  <c r="S68" i="83"/>
  <c r="H134" i="92"/>
  <c r="AH134" i="92"/>
  <c r="T68" i="83"/>
  <c r="I134" i="92"/>
  <c r="AI134" i="92"/>
  <c r="U68" i="83"/>
  <c r="J134" i="92"/>
  <c r="AJ134" i="92"/>
  <c r="V68" i="83"/>
  <c r="K134" i="92"/>
  <c r="AK134" i="92"/>
  <c r="W68" i="83"/>
  <c r="L134" i="92"/>
  <c r="AL134" i="92"/>
  <c r="X68" i="83"/>
  <c r="M134" i="92"/>
  <c r="AM134" i="92"/>
  <c r="G69" i="83"/>
  <c r="I69" i="83"/>
  <c r="N69" i="83"/>
  <c r="C135" i="92"/>
  <c r="AC135" i="92"/>
  <c r="O69" i="83"/>
  <c r="D135" i="92"/>
  <c r="AD135" i="92"/>
  <c r="P69" i="83"/>
  <c r="E135" i="92"/>
  <c r="AE135" i="92"/>
  <c r="Q69" i="83"/>
  <c r="F135" i="92"/>
  <c r="AF135" i="92"/>
  <c r="R69" i="83"/>
  <c r="G135" i="92"/>
  <c r="AG135" i="92"/>
  <c r="S69" i="83"/>
  <c r="H135" i="92"/>
  <c r="AH135" i="92"/>
  <c r="T69" i="83"/>
  <c r="I135" i="92"/>
  <c r="AI135" i="92"/>
  <c r="U69" i="83"/>
  <c r="J135" i="92"/>
  <c r="AJ135" i="92"/>
  <c r="V69" i="83"/>
  <c r="K135" i="92"/>
  <c r="AK135" i="92"/>
  <c r="W69" i="83"/>
  <c r="L135" i="92"/>
  <c r="AL135" i="92"/>
  <c r="X69" i="83"/>
  <c r="M135" i="92"/>
  <c r="AM135" i="92"/>
  <c r="G70" i="83"/>
  <c r="I70" i="83"/>
  <c r="N70" i="83"/>
  <c r="C136" i="92"/>
  <c r="AC136" i="92"/>
  <c r="O70" i="83"/>
  <c r="D136" i="92"/>
  <c r="AD136" i="92"/>
  <c r="P70" i="83"/>
  <c r="E136" i="92"/>
  <c r="AE136" i="92"/>
  <c r="Q70" i="83"/>
  <c r="F136" i="92"/>
  <c r="AF136" i="92"/>
  <c r="R70" i="83"/>
  <c r="G136" i="92"/>
  <c r="AG136" i="92"/>
  <c r="S70" i="83"/>
  <c r="H136" i="92"/>
  <c r="AH136" i="92"/>
  <c r="T70" i="83"/>
  <c r="I136" i="92"/>
  <c r="AI136" i="92"/>
  <c r="U70" i="83"/>
  <c r="J136" i="92"/>
  <c r="AJ136" i="92"/>
  <c r="V70" i="83"/>
  <c r="K136" i="92"/>
  <c r="AK136" i="92"/>
  <c r="W70" i="83"/>
  <c r="L136" i="92"/>
  <c r="AL136" i="92"/>
  <c r="X70" i="83"/>
  <c r="M136" i="92"/>
  <c r="AM136" i="92"/>
  <c r="E113" i="92"/>
  <c r="H15" i="99"/>
  <c r="N77" i="83"/>
  <c r="C145" i="92"/>
  <c r="AC145" i="92"/>
  <c r="O76" i="83"/>
  <c r="O77" i="83"/>
  <c r="D145" i="92"/>
  <c r="AD145" i="92"/>
  <c r="P76" i="83"/>
  <c r="P77" i="83"/>
  <c r="E145" i="92"/>
  <c r="AE145" i="92"/>
  <c r="Q76" i="83"/>
  <c r="Q77" i="83"/>
  <c r="F145" i="92"/>
  <c r="AF145" i="92"/>
  <c r="R76" i="83"/>
  <c r="R77" i="83"/>
  <c r="G145" i="92"/>
  <c r="AG145" i="92"/>
  <c r="S76" i="83"/>
  <c r="S77" i="83"/>
  <c r="H145" i="92"/>
  <c r="AH145" i="92"/>
  <c r="T76" i="83"/>
  <c r="T77" i="83"/>
  <c r="I145" i="92"/>
  <c r="AI145" i="92"/>
  <c r="U76" i="83"/>
  <c r="U77" i="83"/>
  <c r="J145" i="92"/>
  <c r="AJ145" i="92"/>
  <c r="V76" i="83"/>
  <c r="V77" i="83"/>
  <c r="K145" i="92"/>
  <c r="AK145" i="92"/>
  <c r="W76" i="83"/>
  <c r="W77" i="83"/>
  <c r="L145" i="92"/>
  <c r="AL145" i="92"/>
  <c r="X76" i="83"/>
  <c r="X77" i="83"/>
  <c r="M145" i="92"/>
  <c r="AM145" i="92"/>
  <c r="N78" i="83"/>
  <c r="C146" i="92"/>
  <c r="AC146" i="92"/>
  <c r="O78" i="83"/>
  <c r="D146" i="92"/>
  <c r="AD146" i="92"/>
  <c r="P78" i="83"/>
  <c r="E146" i="92"/>
  <c r="AE146" i="92"/>
  <c r="Q78" i="83"/>
  <c r="F146" i="92"/>
  <c r="AF146" i="92"/>
  <c r="R78" i="83"/>
  <c r="G146" i="92"/>
  <c r="AG146" i="92"/>
  <c r="S78" i="83"/>
  <c r="H146" i="92"/>
  <c r="AH146" i="92"/>
  <c r="T78" i="83"/>
  <c r="I146" i="92"/>
  <c r="AI146" i="92"/>
  <c r="U78" i="83"/>
  <c r="J146" i="92"/>
  <c r="AJ146" i="92"/>
  <c r="V78" i="83"/>
  <c r="K146" i="92"/>
  <c r="AK146" i="92"/>
  <c r="W78" i="83"/>
  <c r="L146" i="92"/>
  <c r="AL146" i="92"/>
  <c r="X78" i="83"/>
  <c r="M146" i="92"/>
  <c r="AM146" i="92"/>
  <c r="N79" i="83"/>
  <c r="C147" i="92"/>
  <c r="AC147" i="92"/>
  <c r="O79" i="83"/>
  <c r="D147" i="92"/>
  <c r="AD147" i="92"/>
  <c r="P79" i="83"/>
  <c r="E147" i="92"/>
  <c r="AE147" i="92"/>
  <c r="Q79" i="83"/>
  <c r="F147" i="92"/>
  <c r="AF147" i="92"/>
  <c r="R79" i="83"/>
  <c r="G147" i="92"/>
  <c r="AG147" i="92"/>
  <c r="S79" i="83"/>
  <c r="H147" i="92"/>
  <c r="AH147" i="92"/>
  <c r="T79" i="83"/>
  <c r="I147" i="92"/>
  <c r="AI147" i="92"/>
  <c r="U79" i="83"/>
  <c r="J147" i="92"/>
  <c r="AJ147" i="92"/>
  <c r="V79" i="83"/>
  <c r="K147" i="92"/>
  <c r="AK147" i="92"/>
  <c r="W79" i="83"/>
  <c r="L147" i="92"/>
  <c r="AL147" i="92"/>
  <c r="X79" i="83"/>
  <c r="M147" i="92"/>
  <c r="AM147" i="92"/>
  <c r="N80" i="83"/>
  <c r="C148" i="92"/>
  <c r="AC148" i="92"/>
  <c r="O80" i="83"/>
  <c r="D148" i="92"/>
  <c r="AD148" i="92"/>
  <c r="P80" i="83"/>
  <c r="E148" i="92"/>
  <c r="AE148" i="92"/>
  <c r="Q80" i="83"/>
  <c r="F148" i="92"/>
  <c r="AF148" i="92"/>
  <c r="R80" i="83"/>
  <c r="G148" i="92"/>
  <c r="AG148" i="92"/>
  <c r="S80" i="83"/>
  <c r="H148" i="92"/>
  <c r="AH148" i="92"/>
  <c r="T80" i="83"/>
  <c r="I148" i="92"/>
  <c r="AI148" i="92"/>
  <c r="U80" i="83"/>
  <c r="J148" i="92"/>
  <c r="AJ148" i="92"/>
  <c r="V80" i="83"/>
  <c r="K148" i="92"/>
  <c r="AK148" i="92"/>
  <c r="W80" i="83"/>
  <c r="L148" i="92"/>
  <c r="AL148" i="92"/>
  <c r="X80" i="83"/>
  <c r="M148" i="92"/>
  <c r="AM148" i="92"/>
  <c r="N81" i="83"/>
  <c r="C149" i="92"/>
  <c r="AC149" i="92"/>
  <c r="O81" i="83"/>
  <c r="D149" i="92"/>
  <c r="AD149" i="92"/>
  <c r="P81" i="83"/>
  <c r="E149" i="92"/>
  <c r="AE149" i="92"/>
  <c r="Q81" i="83"/>
  <c r="F149" i="92"/>
  <c r="AF149" i="92"/>
  <c r="R81" i="83"/>
  <c r="G149" i="92"/>
  <c r="AG149" i="92"/>
  <c r="S81" i="83"/>
  <c r="H149" i="92"/>
  <c r="AH149" i="92"/>
  <c r="T81" i="83"/>
  <c r="I149" i="92"/>
  <c r="AI149" i="92"/>
  <c r="U81" i="83"/>
  <c r="J149" i="92"/>
  <c r="AJ149" i="92"/>
  <c r="V81" i="83"/>
  <c r="K149" i="92"/>
  <c r="AK149" i="92"/>
  <c r="W81" i="83"/>
  <c r="L149" i="92"/>
  <c r="AL149" i="92"/>
  <c r="X81" i="83"/>
  <c r="M149" i="92"/>
  <c r="AM149" i="92"/>
  <c r="N82" i="83"/>
  <c r="C150" i="92"/>
  <c r="AC150" i="92"/>
  <c r="O82" i="83"/>
  <c r="D150" i="92"/>
  <c r="AD150" i="92"/>
  <c r="P82" i="83"/>
  <c r="E150" i="92"/>
  <c r="AE150" i="92"/>
  <c r="Q82" i="83"/>
  <c r="F150" i="92"/>
  <c r="AF150" i="92"/>
  <c r="R82" i="83"/>
  <c r="G150" i="92"/>
  <c r="AG150" i="92"/>
  <c r="S82" i="83"/>
  <c r="H150" i="92"/>
  <c r="AH150" i="92"/>
  <c r="T82" i="83"/>
  <c r="I150" i="92"/>
  <c r="AI150" i="92"/>
  <c r="U82" i="83"/>
  <c r="J150" i="92"/>
  <c r="AJ150" i="92"/>
  <c r="V82" i="83"/>
  <c r="K150" i="92"/>
  <c r="AK150" i="92"/>
  <c r="W82" i="83"/>
  <c r="L150" i="92"/>
  <c r="AL150" i="92"/>
  <c r="X82" i="83"/>
  <c r="M150" i="92"/>
  <c r="AM150" i="92"/>
  <c r="N83" i="83"/>
  <c r="C151" i="92"/>
  <c r="AC151" i="92"/>
  <c r="O83" i="83"/>
  <c r="D151" i="92"/>
  <c r="AD151" i="92"/>
  <c r="P83" i="83"/>
  <c r="E151" i="92"/>
  <c r="AE151" i="92"/>
  <c r="Q83" i="83"/>
  <c r="F151" i="92"/>
  <c r="AF151" i="92"/>
  <c r="R83" i="83"/>
  <c r="G151" i="92"/>
  <c r="AG151" i="92"/>
  <c r="S83" i="83"/>
  <c r="H151" i="92"/>
  <c r="AH151" i="92"/>
  <c r="T83" i="83"/>
  <c r="I151" i="92"/>
  <c r="AI151" i="92"/>
  <c r="U83" i="83"/>
  <c r="J151" i="92"/>
  <c r="AJ151" i="92"/>
  <c r="V83" i="83"/>
  <c r="K151" i="92"/>
  <c r="AK151" i="92"/>
  <c r="W83" i="83"/>
  <c r="L151" i="92"/>
  <c r="AL151" i="92"/>
  <c r="X83" i="83"/>
  <c r="M151" i="92"/>
  <c r="AM151" i="92"/>
  <c r="N84" i="83"/>
  <c r="C152" i="92"/>
  <c r="AC152" i="92"/>
  <c r="O84" i="83"/>
  <c r="D152" i="92"/>
  <c r="AD152" i="92"/>
  <c r="P84" i="83"/>
  <c r="E152" i="92"/>
  <c r="AE152" i="92"/>
  <c r="Q84" i="83"/>
  <c r="F152" i="92"/>
  <c r="AF152" i="92"/>
  <c r="R84" i="83"/>
  <c r="G152" i="92"/>
  <c r="AG152" i="92"/>
  <c r="S84" i="83"/>
  <c r="H152" i="92"/>
  <c r="AH152" i="92"/>
  <c r="T84" i="83"/>
  <c r="I152" i="92"/>
  <c r="AI152" i="92"/>
  <c r="U84" i="83"/>
  <c r="J152" i="92"/>
  <c r="AJ152" i="92"/>
  <c r="V84" i="83"/>
  <c r="K152" i="92"/>
  <c r="AK152" i="92"/>
  <c r="W84" i="83"/>
  <c r="L152" i="92"/>
  <c r="AL152" i="92"/>
  <c r="X84" i="83"/>
  <c r="M152" i="92"/>
  <c r="AM152" i="92"/>
  <c r="N85" i="83"/>
  <c r="C153" i="92"/>
  <c r="AC153" i="92"/>
  <c r="O85" i="83"/>
  <c r="D153" i="92"/>
  <c r="AD153" i="92"/>
  <c r="P85" i="83"/>
  <c r="E153" i="92"/>
  <c r="AE153" i="92"/>
  <c r="Q85" i="83"/>
  <c r="F153" i="92"/>
  <c r="AF153" i="92"/>
  <c r="R85" i="83"/>
  <c r="G153" i="92"/>
  <c r="AG153" i="92"/>
  <c r="S85" i="83"/>
  <c r="H153" i="92"/>
  <c r="AH153" i="92"/>
  <c r="T85" i="83"/>
  <c r="I153" i="92"/>
  <c r="AI153" i="92"/>
  <c r="U85" i="83"/>
  <c r="J153" i="92"/>
  <c r="AJ153" i="92"/>
  <c r="V85" i="83"/>
  <c r="K153" i="92"/>
  <c r="AK153" i="92"/>
  <c r="W85" i="83"/>
  <c r="L153" i="92"/>
  <c r="AL153" i="92"/>
  <c r="X85" i="83"/>
  <c r="M153" i="92"/>
  <c r="AM153" i="92"/>
  <c r="N86" i="83"/>
  <c r="C154" i="92"/>
  <c r="AC154" i="92"/>
  <c r="O86" i="83"/>
  <c r="D154" i="92"/>
  <c r="AD154" i="92"/>
  <c r="P86" i="83"/>
  <c r="E154" i="92"/>
  <c r="AE154" i="92"/>
  <c r="Q86" i="83"/>
  <c r="F154" i="92"/>
  <c r="AF154" i="92"/>
  <c r="R86" i="83"/>
  <c r="G154" i="92"/>
  <c r="AG154" i="92"/>
  <c r="S86" i="83"/>
  <c r="H154" i="92"/>
  <c r="AH154" i="92"/>
  <c r="T86" i="83"/>
  <c r="I154" i="92"/>
  <c r="AI154" i="92"/>
  <c r="U86" i="83"/>
  <c r="J154" i="92"/>
  <c r="AJ154" i="92"/>
  <c r="V86" i="83"/>
  <c r="K154" i="92"/>
  <c r="AK154" i="92"/>
  <c r="W86" i="83"/>
  <c r="L154" i="92"/>
  <c r="AL154" i="92"/>
  <c r="X86" i="83"/>
  <c r="M154" i="92"/>
  <c r="AM154" i="92"/>
  <c r="N87" i="83"/>
  <c r="C155" i="92"/>
  <c r="AC155" i="92"/>
  <c r="O87" i="83"/>
  <c r="D155" i="92"/>
  <c r="AD155" i="92"/>
  <c r="P87" i="83"/>
  <c r="E155" i="92"/>
  <c r="AE155" i="92"/>
  <c r="Q87" i="83"/>
  <c r="F155" i="92"/>
  <c r="AF155" i="92"/>
  <c r="R87" i="83"/>
  <c r="G155" i="92"/>
  <c r="AG155" i="92"/>
  <c r="S87" i="83"/>
  <c r="H155" i="92"/>
  <c r="AH155" i="92"/>
  <c r="T87" i="83"/>
  <c r="I155" i="92"/>
  <c r="AI155" i="92"/>
  <c r="U87" i="83"/>
  <c r="J155" i="92"/>
  <c r="AJ155" i="92"/>
  <c r="V87" i="83"/>
  <c r="K155" i="92"/>
  <c r="AK155" i="92"/>
  <c r="W87" i="83"/>
  <c r="L155" i="92"/>
  <c r="AL155" i="92"/>
  <c r="X87" i="83"/>
  <c r="M155" i="92"/>
  <c r="AM155" i="92"/>
  <c r="N88" i="83"/>
  <c r="C156" i="92"/>
  <c r="AC156" i="92"/>
  <c r="O88" i="83"/>
  <c r="D156" i="92"/>
  <c r="AD156" i="92"/>
  <c r="P88" i="83"/>
  <c r="E156" i="92"/>
  <c r="AE156" i="92"/>
  <c r="Q88" i="83"/>
  <c r="F156" i="92"/>
  <c r="AF156" i="92"/>
  <c r="R88" i="83"/>
  <c r="G156" i="92"/>
  <c r="AG156" i="92"/>
  <c r="S88" i="83"/>
  <c r="H156" i="92"/>
  <c r="AH156" i="92"/>
  <c r="T88" i="83"/>
  <c r="I156" i="92"/>
  <c r="AI156" i="92"/>
  <c r="U88" i="83"/>
  <c r="J156" i="92"/>
  <c r="AJ156" i="92"/>
  <c r="V88" i="83"/>
  <c r="K156" i="92"/>
  <c r="AK156" i="92"/>
  <c r="W88" i="83"/>
  <c r="L156" i="92"/>
  <c r="AL156" i="92"/>
  <c r="X88" i="83"/>
  <c r="M156" i="92"/>
  <c r="AM156" i="92"/>
  <c r="N89" i="83"/>
  <c r="C157" i="92"/>
  <c r="AC157" i="92"/>
  <c r="O89" i="83"/>
  <c r="D157" i="92"/>
  <c r="AD157" i="92"/>
  <c r="P89" i="83"/>
  <c r="E157" i="92"/>
  <c r="AE157" i="92"/>
  <c r="Q89" i="83"/>
  <c r="F157" i="92"/>
  <c r="AF157" i="92"/>
  <c r="R89" i="83"/>
  <c r="G157" i="92"/>
  <c r="AG157" i="92"/>
  <c r="S89" i="83"/>
  <c r="H157" i="92"/>
  <c r="AH157" i="92"/>
  <c r="T89" i="83"/>
  <c r="I157" i="92"/>
  <c r="AI157" i="92"/>
  <c r="U89" i="83"/>
  <c r="J157" i="92"/>
  <c r="AJ157" i="92"/>
  <c r="V89" i="83"/>
  <c r="K157" i="92"/>
  <c r="AK157" i="92"/>
  <c r="W89" i="83"/>
  <c r="L157" i="92"/>
  <c r="AL157" i="92"/>
  <c r="X89" i="83"/>
  <c r="M157" i="92"/>
  <c r="AM157" i="92"/>
  <c r="N90" i="83"/>
  <c r="C158" i="92"/>
  <c r="AC158" i="92"/>
  <c r="O90" i="83"/>
  <c r="D158" i="92"/>
  <c r="AD158" i="92"/>
  <c r="P90" i="83"/>
  <c r="E158" i="92"/>
  <c r="AE158" i="92"/>
  <c r="Q90" i="83"/>
  <c r="F158" i="92"/>
  <c r="AF158" i="92"/>
  <c r="R90" i="83"/>
  <c r="G158" i="92"/>
  <c r="AG158" i="92"/>
  <c r="S90" i="83"/>
  <c r="H158" i="92"/>
  <c r="AH158" i="92"/>
  <c r="T90" i="83"/>
  <c r="I158" i="92"/>
  <c r="AI158" i="92"/>
  <c r="U90" i="83"/>
  <c r="J158" i="92"/>
  <c r="AJ158" i="92"/>
  <c r="V90" i="83"/>
  <c r="K158" i="92"/>
  <c r="AK158" i="92"/>
  <c r="W90" i="83"/>
  <c r="L158" i="92"/>
  <c r="AL158" i="92"/>
  <c r="X90" i="83"/>
  <c r="M158" i="92"/>
  <c r="AM158" i="92"/>
  <c r="N91" i="83"/>
  <c r="C159" i="92"/>
  <c r="AC159" i="92"/>
  <c r="O91" i="83"/>
  <c r="D159" i="92"/>
  <c r="AD159" i="92"/>
  <c r="P91" i="83"/>
  <c r="E159" i="92"/>
  <c r="AE159" i="92"/>
  <c r="Q91" i="83"/>
  <c r="F159" i="92"/>
  <c r="AF159" i="92"/>
  <c r="R91" i="83"/>
  <c r="G159" i="92"/>
  <c r="AG159" i="92"/>
  <c r="S91" i="83"/>
  <c r="H159" i="92"/>
  <c r="AH159" i="92"/>
  <c r="T91" i="83"/>
  <c r="I159" i="92"/>
  <c r="AI159" i="92"/>
  <c r="U91" i="83"/>
  <c r="J159" i="92"/>
  <c r="AJ159" i="92"/>
  <c r="V91" i="83"/>
  <c r="K159" i="92"/>
  <c r="AK159" i="92"/>
  <c r="W91" i="83"/>
  <c r="L159" i="92"/>
  <c r="AL159" i="92"/>
  <c r="X91" i="83"/>
  <c r="M159" i="92"/>
  <c r="AM159" i="92"/>
  <c r="N92" i="83"/>
  <c r="C160" i="92"/>
  <c r="AC160" i="92"/>
  <c r="O92" i="83"/>
  <c r="D160" i="92"/>
  <c r="AD160" i="92"/>
  <c r="P92" i="83"/>
  <c r="E160" i="92"/>
  <c r="AE160" i="92"/>
  <c r="Q92" i="83"/>
  <c r="F160" i="92"/>
  <c r="AF160" i="92"/>
  <c r="R92" i="83"/>
  <c r="G160" i="92"/>
  <c r="AG160" i="92"/>
  <c r="S92" i="83"/>
  <c r="H160" i="92"/>
  <c r="AH160" i="92"/>
  <c r="T92" i="83"/>
  <c r="I160" i="92"/>
  <c r="AI160" i="92"/>
  <c r="U92" i="83"/>
  <c r="J160" i="92"/>
  <c r="AJ160" i="92"/>
  <c r="V92" i="83"/>
  <c r="K160" i="92"/>
  <c r="AK160" i="92"/>
  <c r="W92" i="83"/>
  <c r="L160" i="92"/>
  <c r="AL160" i="92"/>
  <c r="X92" i="83"/>
  <c r="M160" i="92"/>
  <c r="AM160" i="92"/>
  <c r="N93" i="83"/>
  <c r="C161" i="92"/>
  <c r="AC161" i="92"/>
  <c r="O93" i="83"/>
  <c r="D161" i="92"/>
  <c r="AD161" i="92"/>
  <c r="P93" i="83"/>
  <c r="E161" i="92"/>
  <c r="AE161" i="92"/>
  <c r="Q93" i="83"/>
  <c r="F161" i="92"/>
  <c r="AF161" i="92"/>
  <c r="R93" i="83"/>
  <c r="G161" i="92"/>
  <c r="AG161" i="92"/>
  <c r="S93" i="83"/>
  <c r="H161" i="92"/>
  <c r="AH161" i="92"/>
  <c r="T93" i="83"/>
  <c r="I161" i="92"/>
  <c r="AI161" i="92"/>
  <c r="U93" i="83"/>
  <c r="J161" i="92"/>
  <c r="AJ161" i="92"/>
  <c r="V93" i="83"/>
  <c r="K161" i="92"/>
  <c r="AK161" i="92"/>
  <c r="W93" i="83"/>
  <c r="L161" i="92"/>
  <c r="AL161" i="92"/>
  <c r="X93" i="83"/>
  <c r="M161" i="92"/>
  <c r="AM161" i="92"/>
  <c r="N94" i="83"/>
  <c r="C162" i="92"/>
  <c r="AC162" i="92"/>
  <c r="O94" i="83"/>
  <c r="D162" i="92"/>
  <c r="AD162" i="92"/>
  <c r="P94" i="83"/>
  <c r="E162" i="92"/>
  <c r="AE162" i="92"/>
  <c r="Q94" i="83"/>
  <c r="F162" i="92"/>
  <c r="AF162" i="92"/>
  <c r="R94" i="83"/>
  <c r="G162" i="92"/>
  <c r="AG162" i="92"/>
  <c r="S94" i="83"/>
  <c r="H162" i="92"/>
  <c r="AH162" i="92"/>
  <c r="T94" i="83"/>
  <c r="I162" i="92"/>
  <c r="AI162" i="92"/>
  <c r="U94" i="83"/>
  <c r="J162" i="92"/>
  <c r="AJ162" i="92"/>
  <c r="V94" i="83"/>
  <c r="K162" i="92"/>
  <c r="AK162" i="92"/>
  <c r="W94" i="83"/>
  <c r="L162" i="92"/>
  <c r="AL162" i="92"/>
  <c r="X94" i="83"/>
  <c r="M162" i="92"/>
  <c r="AM162" i="92"/>
  <c r="N95" i="83"/>
  <c r="C163" i="92"/>
  <c r="AC163" i="92"/>
  <c r="O95" i="83"/>
  <c r="D163" i="92"/>
  <c r="AD163" i="92"/>
  <c r="P95" i="83"/>
  <c r="E163" i="92"/>
  <c r="AE163" i="92"/>
  <c r="Q95" i="83"/>
  <c r="F163" i="92"/>
  <c r="AF163" i="92"/>
  <c r="R95" i="83"/>
  <c r="G163" i="92"/>
  <c r="AG163" i="92"/>
  <c r="S95" i="83"/>
  <c r="H163" i="92"/>
  <c r="AH163" i="92"/>
  <c r="T95" i="83"/>
  <c r="I163" i="92"/>
  <c r="AI163" i="92"/>
  <c r="U95" i="83"/>
  <c r="J163" i="92"/>
  <c r="AJ163" i="92"/>
  <c r="V95" i="83"/>
  <c r="K163" i="92"/>
  <c r="AK163" i="92"/>
  <c r="W95" i="83"/>
  <c r="L163" i="92"/>
  <c r="AL163" i="92"/>
  <c r="X95" i="83"/>
  <c r="M163" i="92"/>
  <c r="AM163" i="92"/>
  <c r="E140" i="92"/>
  <c r="H16" i="99"/>
  <c r="AA52" i="83"/>
  <c r="AC52" i="83"/>
  <c r="AH52" i="83"/>
  <c r="C172" i="92"/>
  <c r="AC172" i="92"/>
  <c r="AI51" i="83"/>
  <c r="AI52" i="83"/>
  <c r="D172" i="92"/>
  <c r="AD172" i="92"/>
  <c r="AJ51" i="83"/>
  <c r="AJ52" i="83"/>
  <c r="E172" i="92"/>
  <c r="AE172" i="92"/>
  <c r="AK51" i="83"/>
  <c r="AK52" i="83"/>
  <c r="F172" i="92"/>
  <c r="AF172" i="92"/>
  <c r="AL51" i="83"/>
  <c r="AL52" i="83"/>
  <c r="G172" i="92"/>
  <c r="AG172" i="92"/>
  <c r="AM51" i="83"/>
  <c r="AM52" i="83"/>
  <c r="H172" i="92"/>
  <c r="AH172" i="92"/>
  <c r="AN51" i="83"/>
  <c r="AN52" i="83"/>
  <c r="I172" i="92"/>
  <c r="AI172" i="92"/>
  <c r="AO51" i="83"/>
  <c r="AO52" i="83"/>
  <c r="J172" i="92"/>
  <c r="AJ172" i="92"/>
  <c r="AP51" i="83"/>
  <c r="AP52" i="83"/>
  <c r="K172" i="92"/>
  <c r="AK172" i="92"/>
  <c r="AQ51" i="83"/>
  <c r="AQ52" i="83"/>
  <c r="L172" i="92"/>
  <c r="AL172" i="92"/>
  <c r="AR51" i="83"/>
  <c r="AR52" i="83"/>
  <c r="M172" i="92"/>
  <c r="AM172" i="92"/>
  <c r="AA53" i="83"/>
  <c r="AC53" i="83"/>
  <c r="AH53" i="83"/>
  <c r="C173" i="92"/>
  <c r="AC173" i="92"/>
  <c r="AI53" i="83"/>
  <c r="D173" i="92"/>
  <c r="AD173" i="92"/>
  <c r="AJ53" i="83"/>
  <c r="E173" i="92"/>
  <c r="AE173" i="92"/>
  <c r="AK53" i="83"/>
  <c r="F173" i="92"/>
  <c r="AF173" i="92"/>
  <c r="AL53" i="83"/>
  <c r="G173" i="92"/>
  <c r="AG173" i="92"/>
  <c r="AM53" i="83"/>
  <c r="H173" i="92"/>
  <c r="AH173" i="92"/>
  <c r="AN53" i="83"/>
  <c r="I173" i="92"/>
  <c r="AI173" i="92"/>
  <c r="AO53" i="83"/>
  <c r="J173" i="92"/>
  <c r="AJ173" i="92"/>
  <c r="AP53" i="83"/>
  <c r="K173" i="92"/>
  <c r="AK173" i="92"/>
  <c r="AQ53" i="83"/>
  <c r="L173" i="92"/>
  <c r="AL173" i="92"/>
  <c r="AR53" i="83"/>
  <c r="M173" i="92"/>
  <c r="AM173" i="92"/>
  <c r="AA54" i="83"/>
  <c r="AC54" i="83"/>
  <c r="AH54" i="83"/>
  <c r="C174" i="92"/>
  <c r="AC174" i="92"/>
  <c r="AI54" i="83"/>
  <c r="D174" i="92"/>
  <c r="AD174" i="92"/>
  <c r="AJ54" i="83"/>
  <c r="E174" i="92"/>
  <c r="AE174" i="92"/>
  <c r="AK54" i="83"/>
  <c r="F174" i="92"/>
  <c r="AF174" i="92"/>
  <c r="AL54" i="83"/>
  <c r="G174" i="92"/>
  <c r="AG174" i="92"/>
  <c r="AM54" i="83"/>
  <c r="H174" i="92"/>
  <c r="AH174" i="92"/>
  <c r="AN54" i="83"/>
  <c r="I174" i="92"/>
  <c r="AI174" i="92"/>
  <c r="AO54" i="83"/>
  <c r="J174" i="92"/>
  <c r="AJ174" i="92"/>
  <c r="AP54" i="83"/>
  <c r="K174" i="92"/>
  <c r="AK174" i="92"/>
  <c r="AQ54" i="83"/>
  <c r="L174" i="92"/>
  <c r="AL174" i="92"/>
  <c r="AR54" i="83"/>
  <c r="M174" i="92"/>
  <c r="AM174" i="92"/>
  <c r="AA55" i="83"/>
  <c r="AC55" i="83"/>
  <c r="AH55" i="83"/>
  <c r="C175" i="92"/>
  <c r="AC175" i="92"/>
  <c r="AI55" i="83"/>
  <c r="D175" i="92"/>
  <c r="AD175" i="92"/>
  <c r="AJ55" i="83"/>
  <c r="E175" i="92"/>
  <c r="AE175" i="92"/>
  <c r="AK55" i="83"/>
  <c r="F175" i="92"/>
  <c r="AF175" i="92"/>
  <c r="AL55" i="83"/>
  <c r="G175" i="92"/>
  <c r="AG175" i="92"/>
  <c r="AM55" i="83"/>
  <c r="H175" i="92"/>
  <c r="AH175" i="92"/>
  <c r="AN55" i="83"/>
  <c r="I175" i="92"/>
  <c r="AI175" i="92"/>
  <c r="AO55" i="83"/>
  <c r="J175" i="92"/>
  <c r="AJ175" i="92"/>
  <c r="AP55" i="83"/>
  <c r="K175" i="92"/>
  <c r="AK175" i="92"/>
  <c r="AQ55" i="83"/>
  <c r="L175" i="92"/>
  <c r="AL175" i="92"/>
  <c r="AR55" i="83"/>
  <c r="M175" i="92"/>
  <c r="AM175" i="92"/>
  <c r="AA56" i="83"/>
  <c r="AC56" i="83"/>
  <c r="AH56" i="83"/>
  <c r="C176" i="92"/>
  <c r="AC176" i="92"/>
  <c r="AI56" i="83"/>
  <c r="D176" i="92"/>
  <c r="AD176" i="92"/>
  <c r="AJ56" i="83"/>
  <c r="E176" i="92"/>
  <c r="AE176" i="92"/>
  <c r="AK56" i="83"/>
  <c r="F176" i="92"/>
  <c r="AF176" i="92"/>
  <c r="AL56" i="83"/>
  <c r="G176" i="92"/>
  <c r="AG176" i="92"/>
  <c r="AM56" i="83"/>
  <c r="H176" i="92"/>
  <c r="AH176" i="92"/>
  <c r="AN56" i="83"/>
  <c r="I176" i="92"/>
  <c r="AI176" i="92"/>
  <c r="AO56" i="83"/>
  <c r="J176" i="92"/>
  <c r="AJ176" i="92"/>
  <c r="AP56" i="83"/>
  <c r="K176" i="92"/>
  <c r="AK176" i="92"/>
  <c r="AQ56" i="83"/>
  <c r="L176" i="92"/>
  <c r="AL176" i="92"/>
  <c r="AR56" i="83"/>
  <c r="M176" i="92"/>
  <c r="AM176" i="92"/>
  <c r="AA57" i="83"/>
  <c r="AC57" i="83"/>
  <c r="AH57" i="83"/>
  <c r="C177" i="92"/>
  <c r="AC177" i="92"/>
  <c r="AI57" i="83"/>
  <c r="D177" i="92"/>
  <c r="AD177" i="92"/>
  <c r="AJ57" i="83"/>
  <c r="E177" i="92"/>
  <c r="AE177" i="92"/>
  <c r="AK57" i="83"/>
  <c r="F177" i="92"/>
  <c r="AF177" i="92"/>
  <c r="AL57" i="83"/>
  <c r="G177" i="92"/>
  <c r="AG177" i="92"/>
  <c r="AM57" i="83"/>
  <c r="H177" i="92"/>
  <c r="AH177" i="92"/>
  <c r="AN57" i="83"/>
  <c r="I177" i="92"/>
  <c r="AI177" i="92"/>
  <c r="AO57" i="83"/>
  <c r="J177" i="92"/>
  <c r="AJ177" i="92"/>
  <c r="AP57" i="83"/>
  <c r="K177" i="92"/>
  <c r="AK177" i="92"/>
  <c r="AQ57" i="83"/>
  <c r="L177" i="92"/>
  <c r="AL177" i="92"/>
  <c r="AR57" i="83"/>
  <c r="M177" i="92"/>
  <c r="AM177" i="92"/>
  <c r="AA58" i="83"/>
  <c r="AC58" i="83"/>
  <c r="AH58" i="83"/>
  <c r="C178" i="92"/>
  <c r="AC178" i="92"/>
  <c r="AI58" i="83"/>
  <c r="D178" i="92"/>
  <c r="AD178" i="92"/>
  <c r="AJ58" i="83"/>
  <c r="E178" i="92"/>
  <c r="AE178" i="92"/>
  <c r="AK58" i="83"/>
  <c r="F178" i="92"/>
  <c r="AF178" i="92"/>
  <c r="AL58" i="83"/>
  <c r="G178" i="92"/>
  <c r="AG178" i="92"/>
  <c r="AM58" i="83"/>
  <c r="H178" i="92"/>
  <c r="AH178" i="92"/>
  <c r="AN58" i="83"/>
  <c r="I178" i="92"/>
  <c r="AI178" i="92"/>
  <c r="AO58" i="83"/>
  <c r="J178" i="92"/>
  <c r="AJ178" i="92"/>
  <c r="AP58" i="83"/>
  <c r="K178" i="92"/>
  <c r="AK178" i="92"/>
  <c r="AQ58" i="83"/>
  <c r="L178" i="92"/>
  <c r="AL178" i="92"/>
  <c r="AR58" i="83"/>
  <c r="M178" i="92"/>
  <c r="AM178" i="92"/>
  <c r="AA59" i="83"/>
  <c r="AC59" i="83"/>
  <c r="AH59" i="83"/>
  <c r="C179" i="92"/>
  <c r="AC179" i="92"/>
  <c r="AI59" i="83"/>
  <c r="D179" i="92"/>
  <c r="AD179" i="92"/>
  <c r="AJ59" i="83"/>
  <c r="E179" i="92"/>
  <c r="AE179" i="92"/>
  <c r="AK59" i="83"/>
  <c r="F179" i="92"/>
  <c r="AF179" i="92"/>
  <c r="AL59" i="83"/>
  <c r="G179" i="92"/>
  <c r="AG179" i="92"/>
  <c r="AM59" i="83"/>
  <c r="H179" i="92"/>
  <c r="AH179" i="92"/>
  <c r="AN59" i="83"/>
  <c r="I179" i="92"/>
  <c r="AI179" i="92"/>
  <c r="AO59" i="83"/>
  <c r="J179" i="92"/>
  <c r="AJ179" i="92"/>
  <c r="AP59" i="83"/>
  <c r="K179" i="92"/>
  <c r="AK179" i="92"/>
  <c r="AQ59" i="83"/>
  <c r="L179" i="92"/>
  <c r="AL179" i="92"/>
  <c r="AR59" i="83"/>
  <c r="M179" i="92"/>
  <c r="AM179" i="92"/>
  <c r="AA60" i="83"/>
  <c r="AC60" i="83"/>
  <c r="AH60" i="83"/>
  <c r="C180" i="92"/>
  <c r="AC180" i="92"/>
  <c r="AI60" i="83"/>
  <c r="D180" i="92"/>
  <c r="AD180" i="92"/>
  <c r="AJ60" i="83"/>
  <c r="E180" i="92"/>
  <c r="AE180" i="92"/>
  <c r="AK60" i="83"/>
  <c r="F180" i="92"/>
  <c r="AF180" i="92"/>
  <c r="AL60" i="83"/>
  <c r="G180" i="92"/>
  <c r="AG180" i="92"/>
  <c r="AM60" i="83"/>
  <c r="H180" i="92"/>
  <c r="AH180" i="92"/>
  <c r="AN60" i="83"/>
  <c r="I180" i="92"/>
  <c r="AI180" i="92"/>
  <c r="AO60" i="83"/>
  <c r="J180" i="92"/>
  <c r="AJ180" i="92"/>
  <c r="AP60" i="83"/>
  <c r="K180" i="92"/>
  <c r="AK180" i="92"/>
  <c r="AQ60" i="83"/>
  <c r="L180" i="92"/>
  <c r="AL180" i="92"/>
  <c r="AR60" i="83"/>
  <c r="M180" i="92"/>
  <c r="AM180" i="92"/>
  <c r="AA61" i="83"/>
  <c r="AC61" i="83"/>
  <c r="AH61" i="83"/>
  <c r="C181" i="92"/>
  <c r="AC181" i="92"/>
  <c r="AI61" i="83"/>
  <c r="D181" i="92"/>
  <c r="AD181" i="92"/>
  <c r="AJ61" i="83"/>
  <c r="E181" i="92"/>
  <c r="AE181" i="92"/>
  <c r="AK61" i="83"/>
  <c r="F181" i="92"/>
  <c r="AF181" i="92"/>
  <c r="AL61" i="83"/>
  <c r="G181" i="92"/>
  <c r="AG181" i="92"/>
  <c r="AM61" i="83"/>
  <c r="H181" i="92"/>
  <c r="AH181" i="92"/>
  <c r="AN61" i="83"/>
  <c r="I181" i="92"/>
  <c r="AI181" i="92"/>
  <c r="AO61" i="83"/>
  <c r="J181" i="92"/>
  <c r="AJ181" i="92"/>
  <c r="AP61" i="83"/>
  <c r="K181" i="92"/>
  <c r="AK181" i="92"/>
  <c r="AQ61" i="83"/>
  <c r="L181" i="92"/>
  <c r="AL181" i="92"/>
  <c r="AR61" i="83"/>
  <c r="M181" i="92"/>
  <c r="AM181" i="92"/>
  <c r="AA62" i="83"/>
  <c r="AC62" i="83"/>
  <c r="AH62" i="83"/>
  <c r="C182" i="92"/>
  <c r="AC182" i="92"/>
  <c r="AI62" i="83"/>
  <c r="D182" i="92"/>
  <c r="AD182" i="92"/>
  <c r="AJ62" i="83"/>
  <c r="E182" i="92"/>
  <c r="AE182" i="92"/>
  <c r="AK62" i="83"/>
  <c r="F182" i="92"/>
  <c r="AF182" i="92"/>
  <c r="AL62" i="83"/>
  <c r="G182" i="92"/>
  <c r="AG182" i="92"/>
  <c r="AM62" i="83"/>
  <c r="H182" i="92"/>
  <c r="AH182" i="92"/>
  <c r="AN62" i="83"/>
  <c r="I182" i="92"/>
  <c r="AI182" i="92"/>
  <c r="AO62" i="83"/>
  <c r="J182" i="92"/>
  <c r="AJ182" i="92"/>
  <c r="AP62" i="83"/>
  <c r="K182" i="92"/>
  <c r="AK182" i="92"/>
  <c r="AQ62" i="83"/>
  <c r="L182" i="92"/>
  <c r="AL182" i="92"/>
  <c r="AR62" i="83"/>
  <c r="M182" i="92"/>
  <c r="AM182" i="92"/>
  <c r="AA63" i="83"/>
  <c r="AC63" i="83"/>
  <c r="AH63" i="83"/>
  <c r="C183" i="92"/>
  <c r="AC183" i="92"/>
  <c r="AI63" i="83"/>
  <c r="D183" i="92"/>
  <c r="AD183" i="92"/>
  <c r="AJ63" i="83"/>
  <c r="E183" i="92"/>
  <c r="AE183" i="92"/>
  <c r="AK63" i="83"/>
  <c r="F183" i="92"/>
  <c r="AF183" i="92"/>
  <c r="AL63" i="83"/>
  <c r="G183" i="92"/>
  <c r="AG183" i="92"/>
  <c r="AM63" i="83"/>
  <c r="H183" i="92"/>
  <c r="AH183" i="92"/>
  <c r="AN63" i="83"/>
  <c r="I183" i="92"/>
  <c r="AI183" i="92"/>
  <c r="AO63" i="83"/>
  <c r="J183" i="92"/>
  <c r="AJ183" i="92"/>
  <c r="AP63" i="83"/>
  <c r="K183" i="92"/>
  <c r="AK183" i="92"/>
  <c r="AQ63" i="83"/>
  <c r="L183" i="92"/>
  <c r="AL183" i="92"/>
  <c r="AR63" i="83"/>
  <c r="M183" i="92"/>
  <c r="AM183" i="92"/>
  <c r="AA64" i="83"/>
  <c r="AC64" i="83"/>
  <c r="AH64" i="83"/>
  <c r="C184" i="92"/>
  <c r="AC184" i="92"/>
  <c r="AI64" i="83"/>
  <c r="D184" i="92"/>
  <c r="AD184" i="92"/>
  <c r="AJ64" i="83"/>
  <c r="E184" i="92"/>
  <c r="AE184" i="92"/>
  <c r="AK64" i="83"/>
  <c r="F184" i="92"/>
  <c r="AF184" i="92"/>
  <c r="AL64" i="83"/>
  <c r="G184" i="92"/>
  <c r="AG184" i="92"/>
  <c r="AM64" i="83"/>
  <c r="H184" i="92"/>
  <c r="AH184" i="92"/>
  <c r="AN64" i="83"/>
  <c r="I184" i="92"/>
  <c r="AI184" i="92"/>
  <c r="AO64" i="83"/>
  <c r="J184" i="92"/>
  <c r="AJ184" i="92"/>
  <c r="AP64" i="83"/>
  <c r="K184" i="92"/>
  <c r="AK184" i="92"/>
  <c r="AQ64" i="83"/>
  <c r="L184" i="92"/>
  <c r="AL184" i="92"/>
  <c r="AR64" i="83"/>
  <c r="M184" i="92"/>
  <c r="AM184" i="92"/>
  <c r="AA65" i="83"/>
  <c r="AC65" i="83"/>
  <c r="AH65" i="83"/>
  <c r="C185" i="92"/>
  <c r="AC185" i="92"/>
  <c r="AI65" i="83"/>
  <c r="D185" i="92"/>
  <c r="AD185" i="92"/>
  <c r="AJ65" i="83"/>
  <c r="E185" i="92"/>
  <c r="AE185" i="92"/>
  <c r="AK65" i="83"/>
  <c r="F185" i="92"/>
  <c r="AF185" i="92"/>
  <c r="AL65" i="83"/>
  <c r="G185" i="92"/>
  <c r="AG185" i="92"/>
  <c r="AM65" i="83"/>
  <c r="H185" i="92"/>
  <c r="AH185" i="92"/>
  <c r="AN65" i="83"/>
  <c r="I185" i="92"/>
  <c r="AI185" i="92"/>
  <c r="AO65" i="83"/>
  <c r="J185" i="92"/>
  <c r="AJ185" i="92"/>
  <c r="AP65" i="83"/>
  <c r="K185" i="92"/>
  <c r="AK185" i="92"/>
  <c r="AQ65" i="83"/>
  <c r="L185" i="92"/>
  <c r="AL185" i="92"/>
  <c r="AR65" i="83"/>
  <c r="M185" i="92"/>
  <c r="AM185" i="92"/>
  <c r="AA66" i="83"/>
  <c r="AC66" i="83"/>
  <c r="AH66" i="83"/>
  <c r="C186" i="92"/>
  <c r="AC186" i="92"/>
  <c r="AI66" i="83"/>
  <c r="D186" i="92"/>
  <c r="AD186" i="92"/>
  <c r="AJ66" i="83"/>
  <c r="E186" i="92"/>
  <c r="AE186" i="92"/>
  <c r="AK66" i="83"/>
  <c r="F186" i="92"/>
  <c r="AF186" i="92"/>
  <c r="AL66" i="83"/>
  <c r="G186" i="92"/>
  <c r="AG186" i="92"/>
  <c r="AM66" i="83"/>
  <c r="H186" i="92"/>
  <c r="AH186" i="92"/>
  <c r="AN66" i="83"/>
  <c r="I186" i="92"/>
  <c r="AI186" i="92"/>
  <c r="AO66" i="83"/>
  <c r="J186" i="92"/>
  <c r="AJ186" i="92"/>
  <c r="AP66" i="83"/>
  <c r="K186" i="92"/>
  <c r="AK186" i="92"/>
  <c r="AQ66" i="83"/>
  <c r="L186" i="92"/>
  <c r="AL186" i="92"/>
  <c r="AR66" i="83"/>
  <c r="M186" i="92"/>
  <c r="AM186" i="92"/>
  <c r="AA67" i="83"/>
  <c r="AC67" i="83"/>
  <c r="AH67" i="83"/>
  <c r="C187" i="92"/>
  <c r="AC187" i="92"/>
  <c r="AI67" i="83"/>
  <c r="D187" i="92"/>
  <c r="AD187" i="92"/>
  <c r="AJ67" i="83"/>
  <c r="E187" i="92"/>
  <c r="AE187" i="92"/>
  <c r="AK67" i="83"/>
  <c r="F187" i="92"/>
  <c r="AF187" i="92"/>
  <c r="AL67" i="83"/>
  <c r="G187" i="92"/>
  <c r="AG187" i="92"/>
  <c r="AM67" i="83"/>
  <c r="H187" i="92"/>
  <c r="AH187" i="92"/>
  <c r="AN67" i="83"/>
  <c r="I187" i="92"/>
  <c r="AI187" i="92"/>
  <c r="AO67" i="83"/>
  <c r="J187" i="92"/>
  <c r="AJ187" i="92"/>
  <c r="AP67" i="83"/>
  <c r="K187" i="92"/>
  <c r="AK187" i="92"/>
  <c r="AQ67" i="83"/>
  <c r="L187" i="92"/>
  <c r="AL187" i="92"/>
  <c r="AR67" i="83"/>
  <c r="M187" i="92"/>
  <c r="AM187" i="92"/>
  <c r="AA68" i="83"/>
  <c r="AC68" i="83"/>
  <c r="AH68" i="83"/>
  <c r="C188" i="92"/>
  <c r="AC188" i="92"/>
  <c r="AI68" i="83"/>
  <c r="D188" i="92"/>
  <c r="AD188" i="92"/>
  <c r="AJ68" i="83"/>
  <c r="E188" i="92"/>
  <c r="AE188" i="92"/>
  <c r="AK68" i="83"/>
  <c r="F188" i="92"/>
  <c r="AF188" i="92"/>
  <c r="AL68" i="83"/>
  <c r="G188" i="92"/>
  <c r="AG188" i="92"/>
  <c r="AM68" i="83"/>
  <c r="H188" i="92"/>
  <c r="AH188" i="92"/>
  <c r="AN68" i="83"/>
  <c r="I188" i="92"/>
  <c r="AI188" i="92"/>
  <c r="AO68" i="83"/>
  <c r="J188" i="92"/>
  <c r="AJ188" i="92"/>
  <c r="AP68" i="83"/>
  <c r="K188" i="92"/>
  <c r="AK188" i="92"/>
  <c r="AQ68" i="83"/>
  <c r="L188" i="92"/>
  <c r="AL188" i="92"/>
  <c r="AR68" i="83"/>
  <c r="M188" i="92"/>
  <c r="AM188" i="92"/>
  <c r="AA69" i="83"/>
  <c r="AC69" i="83"/>
  <c r="AH69" i="83"/>
  <c r="C189" i="92"/>
  <c r="AC189" i="92"/>
  <c r="AI69" i="83"/>
  <c r="D189" i="92"/>
  <c r="AD189" i="92"/>
  <c r="AJ69" i="83"/>
  <c r="E189" i="92"/>
  <c r="AE189" i="92"/>
  <c r="AK69" i="83"/>
  <c r="F189" i="92"/>
  <c r="AF189" i="92"/>
  <c r="AL69" i="83"/>
  <c r="G189" i="92"/>
  <c r="AG189" i="92"/>
  <c r="AM69" i="83"/>
  <c r="H189" i="92"/>
  <c r="AH189" i="92"/>
  <c r="AN69" i="83"/>
  <c r="I189" i="92"/>
  <c r="AI189" i="92"/>
  <c r="AO69" i="83"/>
  <c r="J189" i="92"/>
  <c r="AJ189" i="92"/>
  <c r="AP69" i="83"/>
  <c r="K189" i="92"/>
  <c r="AK189" i="92"/>
  <c r="AQ69" i="83"/>
  <c r="L189" i="92"/>
  <c r="AL189" i="92"/>
  <c r="AR69" i="83"/>
  <c r="M189" i="92"/>
  <c r="AM189" i="92"/>
  <c r="AA70" i="83"/>
  <c r="AC70" i="83"/>
  <c r="AH70" i="83"/>
  <c r="C190" i="92"/>
  <c r="AC190" i="92"/>
  <c r="AI70" i="83"/>
  <c r="D190" i="92"/>
  <c r="AD190" i="92"/>
  <c r="AJ70" i="83"/>
  <c r="E190" i="92"/>
  <c r="AE190" i="92"/>
  <c r="AK70" i="83"/>
  <c r="F190" i="92"/>
  <c r="AF190" i="92"/>
  <c r="AL70" i="83"/>
  <c r="G190" i="92"/>
  <c r="AG190" i="92"/>
  <c r="AM70" i="83"/>
  <c r="H190" i="92"/>
  <c r="AH190" i="92"/>
  <c r="AN70" i="83"/>
  <c r="I190" i="92"/>
  <c r="AI190" i="92"/>
  <c r="AO70" i="83"/>
  <c r="J190" i="92"/>
  <c r="AJ190" i="92"/>
  <c r="AP70" i="83"/>
  <c r="K190" i="92"/>
  <c r="AK190" i="92"/>
  <c r="AQ70" i="83"/>
  <c r="L190" i="92"/>
  <c r="AL190" i="92"/>
  <c r="AR70" i="83"/>
  <c r="M190" i="92"/>
  <c r="AM190" i="92"/>
  <c r="E167" i="92"/>
  <c r="H19" i="99"/>
  <c r="AH77" i="83"/>
  <c r="C199" i="92"/>
  <c r="AC199" i="92"/>
  <c r="AI76" i="83"/>
  <c r="AI77" i="83"/>
  <c r="D199" i="92"/>
  <c r="AD199" i="92"/>
  <c r="AJ76" i="83"/>
  <c r="AJ77" i="83"/>
  <c r="E199" i="92"/>
  <c r="AE199" i="92"/>
  <c r="AK76" i="83"/>
  <c r="AK77" i="83"/>
  <c r="F199" i="92"/>
  <c r="AF199" i="92"/>
  <c r="AL76" i="83"/>
  <c r="AL77" i="83"/>
  <c r="G199" i="92"/>
  <c r="AG199" i="92"/>
  <c r="AM76" i="83"/>
  <c r="AM77" i="83"/>
  <c r="H199" i="92"/>
  <c r="AH199" i="92"/>
  <c r="AN76" i="83"/>
  <c r="AN77" i="83"/>
  <c r="I199" i="92"/>
  <c r="AI199" i="92"/>
  <c r="AO76" i="83"/>
  <c r="AO77" i="83"/>
  <c r="J199" i="92"/>
  <c r="AJ199" i="92"/>
  <c r="AP76" i="83"/>
  <c r="AP77" i="83"/>
  <c r="K199" i="92"/>
  <c r="AK199" i="92"/>
  <c r="AQ76" i="83"/>
  <c r="AQ77" i="83"/>
  <c r="L199" i="92"/>
  <c r="AL199" i="92"/>
  <c r="AR76" i="83"/>
  <c r="AR77" i="83"/>
  <c r="M199" i="92"/>
  <c r="AM199" i="92"/>
  <c r="AH78" i="83"/>
  <c r="C200" i="92"/>
  <c r="AC200" i="92"/>
  <c r="AI78" i="83"/>
  <c r="D200" i="92"/>
  <c r="AD200" i="92"/>
  <c r="AJ78" i="83"/>
  <c r="E200" i="92"/>
  <c r="AE200" i="92"/>
  <c r="AK78" i="83"/>
  <c r="F200" i="92"/>
  <c r="AF200" i="92"/>
  <c r="AL78" i="83"/>
  <c r="G200" i="92"/>
  <c r="AG200" i="92"/>
  <c r="AM78" i="83"/>
  <c r="H200" i="92"/>
  <c r="AH200" i="92"/>
  <c r="AN78" i="83"/>
  <c r="I200" i="92"/>
  <c r="AI200" i="92"/>
  <c r="AO78" i="83"/>
  <c r="J200" i="92"/>
  <c r="AJ200" i="92"/>
  <c r="AP78" i="83"/>
  <c r="K200" i="92"/>
  <c r="AK200" i="92"/>
  <c r="AQ78" i="83"/>
  <c r="L200" i="92"/>
  <c r="AL200" i="92"/>
  <c r="AR78" i="83"/>
  <c r="M200" i="92"/>
  <c r="AM200" i="92"/>
  <c r="AH79" i="83"/>
  <c r="C201" i="92"/>
  <c r="AC201" i="92"/>
  <c r="AI79" i="83"/>
  <c r="D201" i="92"/>
  <c r="AD201" i="92"/>
  <c r="AJ79" i="83"/>
  <c r="E201" i="92"/>
  <c r="AE201" i="92"/>
  <c r="AK79" i="83"/>
  <c r="F201" i="92"/>
  <c r="AF201" i="92"/>
  <c r="AL79" i="83"/>
  <c r="G201" i="92"/>
  <c r="AG201" i="92"/>
  <c r="AM79" i="83"/>
  <c r="H201" i="92"/>
  <c r="AH201" i="92"/>
  <c r="AN79" i="83"/>
  <c r="I201" i="92"/>
  <c r="AI201" i="92"/>
  <c r="AO79" i="83"/>
  <c r="J201" i="92"/>
  <c r="AJ201" i="92"/>
  <c r="AP79" i="83"/>
  <c r="K201" i="92"/>
  <c r="AK201" i="92"/>
  <c r="AQ79" i="83"/>
  <c r="L201" i="92"/>
  <c r="AL201" i="92"/>
  <c r="AR79" i="83"/>
  <c r="M201" i="92"/>
  <c r="AM201" i="92"/>
  <c r="AH80" i="83"/>
  <c r="C202" i="92"/>
  <c r="AC202" i="92"/>
  <c r="AI80" i="83"/>
  <c r="D202" i="92"/>
  <c r="AD202" i="92"/>
  <c r="AJ80" i="83"/>
  <c r="E202" i="92"/>
  <c r="AE202" i="92"/>
  <c r="AK80" i="83"/>
  <c r="F202" i="92"/>
  <c r="AF202" i="92"/>
  <c r="AL80" i="83"/>
  <c r="G202" i="92"/>
  <c r="AG202" i="92"/>
  <c r="AM80" i="83"/>
  <c r="H202" i="92"/>
  <c r="AH202" i="92"/>
  <c r="AN80" i="83"/>
  <c r="I202" i="92"/>
  <c r="AI202" i="92"/>
  <c r="AO80" i="83"/>
  <c r="J202" i="92"/>
  <c r="AJ202" i="92"/>
  <c r="AP80" i="83"/>
  <c r="K202" i="92"/>
  <c r="AK202" i="92"/>
  <c r="AQ80" i="83"/>
  <c r="L202" i="92"/>
  <c r="AL202" i="92"/>
  <c r="AR80" i="83"/>
  <c r="M202" i="92"/>
  <c r="AM202" i="92"/>
  <c r="AH81" i="83"/>
  <c r="C203" i="92"/>
  <c r="AC203" i="92"/>
  <c r="AI81" i="83"/>
  <c r="D203" i="92"/>
  <c r="AD203" i="92"/>
  <c r="AJ81" i="83"/>
  <c r="E203" i="92"/>
  <c r="AE203" i="92"/>
  <c r="AK81" i="83"/>
  <c r="F203" i="92"/>
  <c r="AF203" i="92"/>
  <c r="AL81" i="83"/>
  <c r="G203" i="92"/>
  <c r="AG203" i="92"/>
  <c r="AM81" i="83"/>
  <c r="H203" i="92"/>
  <c r="AH203" i="92"/>
  <c r="AN81" i="83"/>
  <c r="I203" i="92"/>
  <c r="AI203" i="92"/>
  <c r="AO81" i="83"/>
  <c r="J203" i="92"/>
  <c r="AJ203" i="92"/>
  <c r="AP81" i="83"/>
  <c r="K203" i="92"/>
  <c r="AK203" i="92"/>
  <c r="AQ81" i="83"/>
  <c r="L203" i="92"/>
  <c r="AL203" i="92"/>
  <c r="AR81" i="83"/>
  <c r="M203" i="92"/>
  <c r="AM203" i="92"/>
  <c r="AH82" i="83"/>
  <c r="C204" i="92"/>
  <c r="AC204" i="92"/>
  <c r="AI82" i="83"/>
  <c r="D204" i="92"/>
  <c r="AD204" i="92"/>
  <c r="AJ82" i="83"/>
  <c r="E204" i="92"/>
  <c r="AE204" i="92"/>
  <c r="AK82" i="83"/>
  <c r="F204" i="92"/>
  <c r="AF204" i="92"/>
  <c r="AL82" i="83"/>
  <c r="G204" i="92"/>
  <c r="AG204" i="92"/>
  <c r="AM82" i="83"/>
  <c r="H204" i="92"/>
  <c r="AH204" i="92"/>
  <c r="AN82" i="83"/>
  <c r="I204" i="92"/>
  <c r="AI204" i="92"/>
  <c r="AO82" i="83"/>
  <c r="J204" i="92"/>
  <c r="AJ204" i="92"/>
  <c r="AP82" i="83"/>
  <c r="K204" i="92"/>
  <c r="AK204" i="92"/>
  <c r="AQ82" i="83"/>
  <c r="L204" i="92"/>
  <c r="AL204" i="92"/>
  <c r="AR82" i="83"/>
  <c r="M204" i="92"/>
  <c r="AM204" i="92"/>
  <c r="AH83" i="83"/>
  <c r="C205" i="92"/>
  <c r="AC205" i="92"/>
  <c r="AI83" i="83"/>
  <c r="D205" i="92"/>
  <c r="AD205" i="92"/>
  <c r="AJ83" i="83"/>
  <c r="E205" i="92"/>
  <c r="AE205" i="92"/>
  <c r="AK83" i="83"/>
  <c r="F205" i="92"/>
  <c r="AF205" i="92"/>
  <c r="AL83" i="83"/>
  <c r="G205" i="92"/>
  <c r="AG205" i="92"/>
  <c r="AM83" i="83"/>
  <c r="H205" i="92"/>
  <c r="AH205" i="92"/>
  <c r="AN83" i="83"/>
  <c r="I205" i="92"/>
  <c r="AI205" i="92"/>
  <c r="AO83" i="83"/>
  <c r="J205" i="92"/>
  <c r="AJ205" i="92"/>
  <c r="AP83" i="83"/>
  <c r="K205" i="92"/>
  <c r="AK205" i="92"/>
  <c r="AQ83" i="83"/>
  <c r="L205" i="92"/>
  <c r="AL205" i="92"/>
  <c r="AR83" i="83"/>
  <c r="M205" i="92"/>
  <c r="AM205" i="92"/>
  <c r="AH84" i="83"/>
  <c r="C206" i="92"/>
  <c r="AC206" i="92"/>
  <c r="AI84" i="83"/>
  <c r="D206" i="92"/>
  <c r="AD206" i="92"/>
  <c r="AJ84" i="83"/>
  <c r="E206" i="92"/>
  <c r="AE206" i="92"/>
  <c r="AK84" i="83"/>
  <c r="F206" i="92"/>
  <c r="AF206" i="92"/>
  <c r="AL84" i="83"/>
  <c r="G206" i="92"/>
  <c r="AG206" i="92"/>
  <c r="AM84" i="83"/>
  <c r="H206" i="92"/>
  <c r="AH206" i="92"/>
  <c r="AN84" i="83"/>
  <c r="I206" i="92"/>
  <c r="AI206" i="92"/>
  <c r="AO84" i="83"/>
  <c r="J206" i="92"/>
  <c r="AJ206" i="92"/>
  <c r="AP84" i="83"/>
  <c r="K206" i="92"/>
  <c r="AK206" i="92"/>
  <c r="AQ84" i="83"/>
  <c r="L206" i="92"/>
  <c r="AL206" i="92"/>
  <c r="AR84" i="83"/>
  <c r="M206" i="92"/>
  <c r="AM206" i="92"/>
  <c r="AH85" i="83"/>
  <c r="C207" i="92"/>
  <c r="AC207" i="92"/>
  <c r="AI85" i="83"/>
  <c r="D207" i="92"/>
  <c r="AD207" i="92"/>
  <c r="AJ85" i="83"/>
  <c r="E207" i="92"/>
  <c r="AE207" i="92"/>
  <c r="AK85" i="83"/>
  <c r="F207" i="92"/>
  <c r="AF207" i="92"/>
  <c r="AL85" i="83"/>
  <c r="G207" i="92"/>
  <c r="AG207" i="92"/>
  <c r="AM85" i="83"/>
  <c r="H207" i="92"/>
  <c r="AH207" i="92"/>
  <c r="AN85" i="83"/>
  <c r="I207" i="92"/>
  <c r="AI207" i="92"/>
  <c r="AO85" i="83"/>
  <c r="J207" i="92"/>
  <c r="AJ207" i="92"/>
  <c r="AP85" i="83"/>
  <c r="K207" i="92"/>
  <c r="AK207" i="92"/>
  <c r="AQ85" i="83"/>
  <c r="L207" i="92"/>
  <c r="AL207" i="92"/>
  <c r="AR85" i="83"/>
  <c r="M207" i="92"/>
  <c r="AM207" i="92"/>
  <c r="AH86" i="83"/>
  <c r="C208" i="92"/>
  <c r="AC208" i="92"/>
  <c r="AI86" i="83"/>
  <c r="D208" i="92"/>
  <c r="AD208" i="92"/>
  <c r="AJ86" i="83"/>
  <c r="E208" i="92"/>
  <c r="AE208" i="92"/>
  <c r="AK86" i="83"/>
  <c r="F208" i="92"/>
  <c r="AF208" i="92"/>
  <c r="AL86" i="83"/>
  <c r="G208" i="92"/>
  <c r="AG208" i="92"/>
  <c r="AM86" i="83"/>
  <c r="H208" i="92"/>
  <c r="AH208" i="92"/>
  <c r="AN86" i="83"/>
  <c r="I208" i="92"/>
  <c r="AI208" i="92"/>
  <c r="AO86" i="83"/>
  <c r="J208" i="92"/>
  <c r="AJ208" i="92"/>
  <c r="AP86" i="83"/>
  <c r="K208" i="92"/>
  <c r="AK208" i="92"/>
  <c r="AQ86" i="83"/>
  <c r="L208" i="92"/>
  <c r="AL208" i="92"/>
  <c r="AR86" i="83"/>
  <c r="M208" i="92"/>
  <c r="AM208" i="92"/>
  <c r="AH87" i="83"/>
  <c r="C209" i="92"/>
  <c r="AC209" i="92"/>
  <c r="AI87" i="83"/>
  <c r="D209" i="92"/>
  <c r="AD209" i="92"/>
  <c r="AJ87" i="83"/>
  <c r="E209" i="92"/>
  <c r="AE209" i="92"/>
  <c r="AK87" i="83"/>
  <c r="F209" i="92"/>
  <c r="AF209" i="92"/>
  <c r="AL87" i="83"/>
  <c r="G209" i="92"/>
  <c r="AG209" i="92"/>
  <c r="AM87" i="83"/>
  <c r="H209" i="92"/>
  <c r="AH209" i="92"/>
  <c r="AN87" i="83"/>
  <c r="I209" i="92"/>
  <c r="AI209" i="92"/>
  <c r="AO87" i="83"/>
  <c r="J209" i="92"/>
  <c r="AJ209" i="92"/>
  <c r="AP87" i="83"/>
  <c r="K209" i="92"/>
  <c r="AK209" i="92"/>
  <c r="AQ87" i="83"/>
  <c r="L209" i="92"/>
  <c r="AL209" i="92"/>
  <c r="AR87" i="83"/>
  <c r="M209" i="92"/>
  <c r="AM209" i="92"/>
  <c r="AH88" i="83"/>
  <c r="C210" i="92"/>
  <c r="AC210" i="92"/>
  <c r="AI88" i="83"/>
  <c r="D210" i="92"/>
  <c r="AD210" i="92"/>
  <c r="AJ88" i="83"/>
  <c r="E210" i="92"/>
  <c r="AE210" i="92"/>
  <c r="AK88" i="83"/>
  <c r="F210" i="92"/>
  <c r="AF210" i="92"/>
  <c r="AL88" i="83"/>
  <c r="G210" i="92"/>
  <c r="AG210" i="92"/>
  <c r="AM88" i="83"/>
  <c r="H210" i="92"/>
  <c r="AH210" i="92"/>
  <c r="AN88" i="83"/>
  <c r="I210" i="92"/>
  <c r="AI210" i="92"/>
  <c r="AO88" i="83"/>
  <c r="J210" i="92"/>
  <c r="AJ210" i="92"/>
  <c r="AP88" i="83"/>
  <c r="K210" i="92"/>
  <c r="AK210" i="92"/>
  <c r="AQ88" i="83"/>
  <c r="L210" i="92"/>
  <c r="AL210" i="92"/>
  <c r="AR88" i="83"/>
  <c r="M210" i="92"/>
  <c r="AM210" i="92"/>
  <c r="AH89" i="83"/>
  <c r="C211" i="92"/>
  <c r="AC211" i="92"/>
  <c r="AI89" i="83"/>
  <c r="D211" i="92"/>
  <c r="AD211" i="92"/>
  <c r="AJ89" i="83"/>
  <c r="E211" i="92"/>
  <c r="AE211" i="92"/>
  <c r="AK89" i="83"/>
  <c r="F211" i="92"/>
  <c r="AF211" i="92"/>
  <c r="AL89" i="83"/>
  <c r="G211" i="92"/>
  <c r="AG211" i="92"/>
  <c r="AM89" i="83"/>
  <c r="H211" i="92"/>
  <c r="AH211" i="92"/>
  <c r="AN89" i="83"/>
  <c r="I211" i="92"/>
  <c r="AI211" i="92"/>
  <c r="AO89" i="83"/>
  <c r="J211" i="92"/>
  <c r="AJ211" i="92"/>
  <c r="AP89" i="83"/>
  <c r="K211" i="92"/>
  <c r="AK211" i="92"/>
  <c r="AQ89" i="83"/>
  <c r="L211" i="92"/>
  <c r="AL211" i="92"/>
  <c r="AR89" i="83"/>
  <c r="M211" i="92"/>
  <c r="AM211" i="92"/>
  <c r="AH90" i="83"/>
  <c r="C212" i="92"/>
  <c r="AC212" i="92"/>
  <c r="AI90" i="83"/>
  <c r="D212" i="92"/>
  <c r="AD212" i="92"/>
  <c r="AJ90" i="83"/>
  <c r="E212" i="92"/>
  <c r="AE212" i="92"/>
  <c r="AK90" i="83"/>
  <c r="F212" i="92"/>
  <c r="AF212" i="92"/>
  <c r="AL90" i="83"/>
  <c r="G212" i="92"/>
  <c r="AG212" i="92"/>
  <c r="AM90" i="83"/>
  <c r="H212" i="92"/>
  <c r="AH212" i="92"/>
  <c r="AN90" i="83"/>
  <c r="I212" i="92"/>
  <c r="AI212" i="92"/>
  <c r="AO90" i="83"/>
  <c r="J212" i="92"/>
  <c r="AJ212" i="92"/>
  <c r="AP90" i="83"/>
  <c r="K212" i="92"/>
  <c r="AK212" i="92"/>
  <c r="AQ90" i="83"/>
  <c r="L212" i="92"/>
  <c r="AL212" i="92"/>
  <c r="AR90" i="83"/>
  <c r="M212" i="92"/>
  <c r="AM212" i="92"/>
  <c r="AH91" i="83"/>
  <c r="C213" i="92"/>
  <c r="AC213" i="92"/>
  <c r="AI91" i="83"/>
  <c r="D213" i="92"/>
  <c r="AD213" i="92"/>
  <c r="AJ91" i="83"/>
  <c r="E213" i="92"/>
  <c r="AE213" i="92"/>
  <c r="AK91" i="83"/>
  <c r="F213" i="92"/>
  <c r="AF213" i="92"/>
  <c r="AL91" i="83"/>
  <c r="G213" i="92"/>
  <c r="AG213" i="92"/>
  <c r="AM91" i="83"/>
  <c r="H213" i="92"/>
  <c r="AH213" i="92"/>
  <c r="AN91" i="83"/>
  <c r="I213" i="92"/>
  <c r="AI213" i="92"/>
  <c r="AO91" i="83"/>
  <c r="J213" i="92"/>
  <c r="AJ213" i="92"/>
  <c r="AP91" i="83"/>
  <c r="K213" i="92"/>
  <c r="AK213" i="92"/>
  <c r="AQ91" i="83"/>
  <c r="L213" i="92"/>
  <c r="AL213" i="92"/>
  <c r="AR91" i="83"/>
  <c r="M213" i="92"/>
  <c r="AM213" i="92"/>
  <c r="AH92" i="83"/>
  <c r="C214" i="92"/>
  <c r="AC214" i="92"/>
  <c r="AI92" i="83"/>
  <c r="D214" i="92"/>
  <c r="AD214" i="92"/>
  <c r="AJ92" i="83"/>
  <c r="E214" i="92"/>
  <c r="AE214" i="92"/>
  <c r="AK92" i="83"/>
  <c r="F214" i="92"/>
  <c r="AF214" i="92"/>
  <c r="AL92" i="83"/>
  <c r="G214" i="92"/>
  <c r="AG214" i="92"/>
  <c r="AM92" i="83"/>
  <c r="H214" i="92"/>
  <c r="AH214" i="92"/>
  <c r="AN92" i="83"/>
  <c r="I214" i="92"/>
  <c r="AI214" i="92"/>
  <c r="AO92" i="83"/>
  <c r="J214" i="92"/>
  <c r="AJ214" i="92"/>
  <c r="AP92" i="83"/>
  <c r="K214" i="92"/>
  <c r="AK214" i="92"/>
  <c r="AQ92" i="83"/>
  <c r="L214" i="92"/>
  <c r="AL214" i="92"/>
  <c r="AR92" i="83"/>
  <c r="M214" i="92"/>
  <c r="AM214" i="92"/>
  <c r="AH93" i="83"/>
  <c r="C215" i="92"/>
  <c r="AC215" i="92"/>
  <c r="AI93" i="83"/>
  <c r="D215" i="92"/>
  <c r="AD215" i="92"/>
  <c r="AJ93" i="83"/>
  <c r="E215" i="92"/>
  <c r="AE215" i="92"/>
  <c r="AK93" i="83"/>
  <c r="F215" i="92"/>
  <c r="AF215" i="92"/>
  <c r="AL93" i="83"/>
  <c r="G215" i="92"/>
  <c r="AG215" i="92"/>
  <c r="AM93" i="83"/>
  <c r="H215" i="92"/>
  <c r="AH215" i="92"/>
  <c r="AN93" i="83"/>
  <c r="I215" i="92"/>
  <c r="AI215" i="92"/>
  <c r="AO93" i="83"/>
  <c r="J215" i="92"/>
  <c r="AJ215" i="92"/>
  <c r="AP93" i="83"/>
  <c r="K215" i="92"/>
  <c r="AK215" i="92"/>
  <c r="AQ93" i="83"/>
  <c r="L215" i="92"/>
  <c r="AL215" i="92"/>
  <c r="AR93" i="83"/>
  <c r="M215" i="92"/>
  <c r="AM215" i="92"/>
  <c r="AH94" i="83"/>
  <c r="C216" i="92"/>
  <c r="AC216" i="92"/>
  <c r="AI94" i="83"/>
  <c r="D216" i="92"/>
  <c r="AD216" i="92"/>
  <c r="AJ94" i="83"/>
  <c r="E216" i="92"/>
  <c r="AE216" i="92"/>
  <c r="AK94" i="83"/>
  <c r="F216" i="92"/>
  <c r="AF216" i="92"/>
  <c r="AL94" i="83"/>
  <c r="G216" i="92"/>
  <c r="AG216" i="92"/>
  <c r="AM94" i="83"/>
  <c r="H216" i="92"/>
  <c r="AH216" i="92"/>
  <c r="AN94" i="83"/>
  <c r="I216" i="92"/>
  <c r="AI216" i="92"/>
  <c r="AO94" i="83"/>
  <c r="J216" i="92"/>
  <c r="AJ216" i="92"/>
  <c r="AP94" i="83"/>
  <c r="K216" i="92"/>
  <c r="AK216" i="92"/>
  <c r="AQ94" i="83"/>
  <c r="L216" i="92"/>
  <c r="AL216" i="92"/>
  <c r="AR94" i="83"/>
  <c r="M216" i="92"/>
  <c r="AM216" i="92"/>
  <c r="AH95" i="83"/>
  <c r="C217" i="92"/>
  <c r="AC217" i="92"/>
  <c r="AI95" i="83"/>
  <c r="D217" i="92"/>
  <c r="AD217" i="92"/>
  <c r="AJ95" i="83"/>
  <c r="E217" i="92"/>
  <c r="AE217" i="92"/>
  <c r="AK95" i="83"/>
  <c r="F217" i="92"/>
  <c r="AF217" i="92"/>
  <c r="AL95" i="83"/>
  <c r="G217" i="92"/>
  <c r="AG217" i="92"/>
  <c r="AM95" i="83"/>
  <c r="H217" i="92"/>
  <c r="AH217" i="92"/>
  <c r="AN95" i="83"/>
  <c r="I217" i="92"/>
  <c r="AI217" i="92"/>
  <c r="AO95" i="83"/>
  <c r="J217" i="92"/>
  <c r="AJ217" i="92"/>
  <c r="AP95" i="83"/>
  <c r="K217" i="92"/>
  <c r="AK217" i="92"/>
  <c r="AQ95" i="83"/>
  <c r="L217" i="92"/>
  <c r="AL217" i="92"/>
  <c r="AR95" i="83"/>
  <c r="M217" i="92"/>
  <c r="AM217" i="92"/>
  <c r="E194" i="92"/>
  <c r="H20" i="99"/>
  <c r="H24" i="99"/>
  <c r="H6" i="100"/>
  <c r="C10" i="88"/>
  <c r="E10" i="88"/>
  <c r="C11" i="88"/>
  <c r="E11" i="88"/>
  <c r="C12" i="88"/>
  <c r="E12" i="88"/>
  <c r="C13" i="88"/>
  <c r="E13" i="88"/>
  <c r="C14" i="88"/>
  <c r="E14" i="88"/>
  <c r="C15" i="88"/>
  <c r="E15" i="88"/>
  <c r="C16" i="88"/>
  <c r="E16" i="88"/>
  <c r="C17" i="88"/>
  <c r="E17" i="88"/>
  <c r="C18" i="88"/>
  <c r="E18" i="88"/>
  <c r="C19" i="88"/>
  <c r="E19" i="88"/>
  <c r="C20" i="88"/>
  <c r="E20" i="88"/>
  <c r="C21" i="88"/>
  <c r="E21" i="88"/>
  <c r="C22" i="88"/>
  <c r="E22" i="88"/>
  <c r="C23" i="88"/>
  <c r="E23" i="88"/>
  <c r="C24" i="88"/>
  <c r="E24" i="88"/>
  <c r="C25" i="88"/>
  <c r="E25" i="88"/>
  <c r="C26" i="88"/>
  <c r="E26" i="88"/>
  <c r="C27" i="88"/>
  <c r="E27" i="88"/>
  <c r="C28" i="88"/>
  <c r="E28" i="88"/>
  <c r="H10" i="88"/>
  <c r="J10" i="88"/>
  <c r="H11" i="88"/>
  <c r="J11" i="88"/>
  <c r="H12" i="88"/>
  <c r="J12" i="88"/>
  <c r="H13" i="88"/>
  <c r="J13" i="88"/>
  <c r="H14" i="88"/>
  <c r="J14" i="88"/>
  <c r="H15" i="88"/>
  <c r="J15" i="88"/>
  <c r="H16" i="88"/>
  <c r="J16" i="88"/>
  <c r="H17" i="88"/>
  <c r="J17" i="88"/>
  <c r="H18" i="88"/>
  <c r="J18" i="88"/>
  <c r="H19" i="88"/>
  <c r="J19" i="88"/>
  <c r="H20" i="88"/>
  <c r="J20" i="88"/>
  <c r="H21" i="88"/>
  <c r="J21" i="88"/>
  <c r="H22" i="88"/>
  <c r="J22" i="88"/>
  <c r="H23" i="88"/>
  <c r="J23" i="88"/>
  <c r="H24" i="88"/>
  <c r="J24" i="88"/>
  <c r="H25" i="88"/>
  <c r="J25" i="88"/>
  <c r="H26" i="88"/>
  <c r="J26" i="88"/>
  <c r="H27" i="88"/>
  <c r="J27" i="88"/>
  <c r="H28" i="88"/>
  <c r="J28" i="88"/>
  <c r="C5" i="88"/>
  <c r="H6" i="98"/>
  <c r="C37" i="88"/>
  <c r="D37" i="88"/>
  <c r="C59" i="88"/>
  <c r="E37" i="88"/>
  <c r="D59" i="88"/>
  <c r="F37" i="88"/>
  <c r="E59" i="88"/>
  <c r="G37" i="88"/>
  <c r="F59" i="88"/>
  <c r="H37" i="88"/>
  <c r="G59" i="88"/>
  <c r="I37" i="88"/>
  <c r="H59" i="88"/>
  <c r="J37" i="88"/>
  <c r="I59" i="88"/>
  <c r="K37" i="88"/>
  <c r="J59" i="88"/>
  <c r="L37" i="88"/>
  <c r="K59" i="88"/>
  <c r="M37" i="88"/>
  <c r="L59" i="88"/>
  <c r="C38" i="88"/>
  <c r="D38" i="88"/>
  <c r="C60" i="88"/>
  <c r="E38" i="88"/>
  <c r="D60" i="88"/>
  <c r="F38" i="88"/>
  <c r="E60" i="88"/>
  <c r="G38" i="88"/>
  <c r="F60" i="88"/>
  <c r="H38" i="88"/>
  <c r="G60" i="88"/>
  <c r="I38" i="88"/>
  <c r="H60" i="88"/>
  <c r="J38" i="88"/>
  <c r="I60" i="88"/>
  <c r="K38" i="88"/>
  <c r="J60" i="88"/>
  <c r="L38" i="88"/>
  <c r="K60" i="88"/>
  <c r="M38" i="88"/>
  <c r="L60" i="88"/>
  <c r="C39" i="88"/>
  <c r="D39" i="88"/>
  <c r="C61" i="88"/>
  <c r="E39" i="88"/>
  <c r="D61" i="88"/>
  <c r="F39" i="88"/>
  <c r="E61" i="88"/>
  <c r="G39" i="88"/>
  <c r="F61" i="88"/>
  <c r="H39" i="88"/>
  <c r="G61" i="88"/>
  <c r="I39" i="88"/>
  <c r="H61" i="88"/>
  <c r="J39" i="88"/>
  <c r="I61" i="88"/>
  <c r="K39" i="88"/>
  <c r="J61" i="88"/>
  <c r="L39" i="88"/>
  <c r="K61" i="88"/>
  <c r="M39" i="88"/>
  <c r="L61" i="88"/>
  <c r="C40" i="88"/>
  <c r="D40" i="88"/>
  <c r="C62" i="88"/>
  <c r="E40" i="88"/>
  <c r="D62" i="88"/>
  <c r="F40" i="88"/>
  <c r="E62" i="88"/>
  <c r="G40" i="88"/>
  <c r="F62" i="88"/>
  <c r="H40" i="88"/>
  <c r="G62" i="88"/>
  <c r="I40" i="88"/>
  <c r="H62" i="88"/>
  <c r="J40" i="88"/>
  <c r="I62" i="88"/>
  <c r="K40" i="88"/>
  <c r="J62" i="88"/>
  <c r="L40" i="88"/>
  <c r="K62" i="88"/>
  <c r="M40" i="88"/>
  <c r="L62" i="88"/>
  <c r="C41" i="88"/>
  <c r="D41" i="88"/>
  <c r="C63" i="88"/>
  <c r="E41" i="88"/>
  <c r="D63" i="88"/>
  <c r="F41" i="88"/>
  <c r="E63" i="88"/>
  <c r="G41" i="88"/>
  <c r="F63" i="88"/>
  <c r="H41" i="88"/>
  <c r="G63" i="88"/>
  <c r="I41" i="88"/>
  <c r="H63" i="88"/>
  <c r="J41" i="88"/>
  <c r="I63" i="88"/>
  <c r="K41" i="88"/>
  <c r="J63" i="88"/>
  <c r="L41" i="88"/>
  <c r="K63" i="88"/>
  <c r="M41" i="88"/>
  <c r="L63" i="88"/>
  <c r="C42" i="88"/>
  <c r="D42" i="88"/>
  <c r="C64" i="88"/>
  <c r="E42" i="88"/>
  <c r="D64" i="88"/>
  <c r="F42" i="88"/>
  <c r="E64" i="88"/>
  <c r="G42" i="88"/>
  <c r="F64" i="88"/>
  <c r="H42" i="88"/>
  <c r="G64" i="88"/>
  <c r="I42" i="88"/>
  <c r="H64" i="88"/>
  <c r="J42" i="88"/>
  <c r="I64" i="88"/>
  <c r="K42" i="88"/>
  <c r="J64" i="88"/>
  <c r="L42" i="88"/>
  <c r="K64" i="88"/>
  <c r="M42" i="88"/>
  <c r="L64" i="88"/>
  <c r="C43" i="88"/>
  <c r="D43" i="88"/>
  <c r="C65" i="88"/>
  <c r="E43" i="88"/>
  <c r="D65" i="88"/>
  <c r="F43" i="88"/>
  <c r="E65" i="88"/>
  <c r="G43" i="88"/>
  <c r="F65" i="88"/>
  <c r="H43" i="88"/>
  <c r="G65" i="88"/>
  <c r="I43" i="88"/>
  <c r="H65" i="88"/>
  <c r="J43" i="88"/>
  <c r="I65" i="88"/>
  <c r="K43" i="88"/>
  <c r="J65" i="88"/>
  <c r="L43" i="88"/>
  <c r="K65" i="88"/>
  <c r="M43" i="88"/>
  <c r="L65" i="88"/>
  <c r="C44" i="88"/>
  <c r="D44" i="88"/>
  <c r="C66" i="88"/>
  <c r="E44" i="88"/>
  <c r="D66" i="88"/>
  <c r="F44" i="88"/>
  <c r="E66" i="88"/>
  <c r="G44" i="88"/>
  <c r="F66" i="88"/>
  <c r="H44" i="88"/>
  <c r="G66" i="88"/>
  <c r="I44" i="88"/>
  <c r="H66" i="88"/>
  <c r="J44" i="88"/>
  <c r="I66" i="88"/>
  <c r="K44" i="88"/>
  <c r="J66" i="88"/>
  <c r="L44" i="88"/>
  <c r="K66" i="88"/>
  <c r="M44" i="88"/>
  <c r="L66" i="88"/>
  <c r="C45" i="88"/>
  <c r="D45" i="88"/>
  <c r="C67" i="88"/>
  <c r="E45" i="88"/>
  <c r="D67" i="88"/>
  <c r="F45" i="88"/>
  <c r="E67" i="88"/>
  <c r="G45" i="88"/>
  <c r="F67" i="88"/>
  <c r="H45" i="88"/>
  <c r="G67" i="88"/>
  <c r="I45" i="88"/>
  <c r="H67" i="88"/>
  <c r="J45" i="88"/>
  <c r="I67" i="88"/>
  <c r="K45" i="88"/>
  <c r="J67" i="88"/>
  <c r="L45" i="88"/>
  <c r="K67" i="88"/>
  <c r="M45" i="88"/>
  <c r="L67" i="88"/>
  <c r="C46" i="88"/>
  <c r="D46" i="88"/>
  <c r="C68" i="88"/>
  <c r="E46" i="88"/>
  <c r="D68" i="88"/>
  <c r="F46" i="88"/>
  <c r="E68" i="88"/>
  <c r="G46" i="88"/>
  <c r="F68" i="88"/>
  <c r="H46" i="88"/>
  <c r="G68" i="88"/>
  <c r="I46" i="88"/>
  <c r="H68" i="88"/>
  <c r="J46" i="88"/>
  <c r="I68" i="88"/>
  <c r="K46" i="88"/>
  <c r="J68" i="88"/>
  <c r="L46" i="88"/>
  <c r="K68" i="88"/>
  <c r="M46" i="88"/>
  <c r="L68" i="88"/>
  <c r="C47" i="88"/>
  <c r="D47" i="88"/>
  <c r="C69" i="88"/>
  <c r="E47" i="88"/>
  <c r="D69" i="88"/>
  <c r="F47" i="88"/>
  <c r="E69" i="88"/>
  <c r="G47" i="88"/>
  <c r="F69" i="88"/>
  <c r="H47" i="88"/>
  <c r="G69" i="88"/>
  <c r="I47" i="88"/>
  <c r="H69" i="88"/>
  <c r="J47" i="88"/>
  <c r="I69" i="88"/>
  <c r="K47" i="88"/>
  <c r="J69" i="88"/>
  <c r="L47" i="88"/>
  <c r="K69" i="88"/>
  <c r="M47" i="88"/>
  <c r="L69" i="88"/>
  <c r="C48" i="88"/>
  <c r="D48" i="88"/>
  <c r="C70" i="88"/>
  <c r="E48" i="88"/>
  <c r="D70" i="88"/>
  <c r="F48" i="88"/>
  <c r="E70" i="88"/>
  <c r="G48" i="88"/>
  <c r="F70" i="88"/>
  <c r="H48" i="88"/>
  <c r="G70" i="88"/>
  <c r="I48" i="88"/>
  <c r="H70" i="88"/>
  <c r="J48" i="88"/>
  <c r="I70" i="88"/>
  <c r="K48" i="88"/>
  <c r="J70" i="88"/>
  <c r="L48" i="88"/>
  <c r="K70" i="88"/>
  <c r="M48" i="88"/>
  <c r="L70" i="88"/>
  <c r="C49" i="88"/>
  <c r="D49" i="88"/>
  <c r="C71" i="88"/>
  <c r="E49" i="88"/>
  <c r="D71" i="88"/>
  <c r="F49" i="88"/>
  <c r="E71" i="88"/>
  <c r="G49" i="88"/>
  <c r="F71" i="88"/>
  <c r="H49" i="88"/>
  <c r="G71" i="88"/>
  <c r="I49" i="88"/>
  <c r="H71" i="88"/>
  <c r="J49" i="88"/>
  <c r="I71" i="88"/>
  <c r="K49" i="88"/>
  <c r="J71" i="88"/>
  <c r="L49" i="88"/>
  <c r="K71" i="88"/>
  <c r="M49" i="88"/>
  <c r="L71" i="88"/>
  <c r="C50" i="88"/>
  <c r="D50" i="88"/>
  <c r="C72" i="88"/>
  <c r="E50" i="88"/>
  <c r="D72" i="88"/>
  <c r="F50" i="88"/>
  <c r="E72" i="88"/>
  <c r="G50" i="88"/>
  <c r="F72" i="88"/>
  <c r="H50" i="88"/>
  <c r="G72" i="88"/>
  <c r="I50" i="88"/>
  <c r="H72" i="88"/>
  <c r="J50" i="88"/>
  <c r="I72" i="88"/>
  <c r="K50" i="88"/>
  <c r="J72" i="88"/>
  <c r="L50" i="88"/>
  <c r="K72" i="88"/>
  <c r="M50" i="88"/>
  <c r="L72" i="88"/>
  <c r="C51" i="88"/>
  <c r="D51" i="88"/>
  <c r="C73" i="88"/>
  <c r="E51" i="88"/>
  <c r="D73" i="88"/>
  <c r="F51" i="88"/>
  <c r="E73" i="88"/>
  <c r="G51" i="88"/>
  <c r="F73" i="88"/>
  <c r="H51" i="88"/>
  <c r="G73" i="88"/>
  <c r="I51" i="88"/>
  <c r="H73" i="88"/>
  <c r="J51" i="88"/>
  <c r="I73" i="88"/>
  <c r="K51" i="88"/>
  <c r="J73" i="88"/>
  <c r="L51" i="88"/>
  <c r="K73" i="88"/>
  <c r="M51" i="88"/>
  <c r="L73" i="88"/>
  <c r="C52" i="88"/>
  <c r="D52" i="88"/>
  <c r="C74" i="88"/>
  <c r="E52" i="88"/>
  <c r="D74" i="88"/>
  <c r="F52" i="88"/>
  <c r="E74" i="88"/>
  <c r="G52" i="88"/>
  <c r="F74" i="88"/>
  <c r="H52" i="88"/>
  <c r="G74" i="88"/>
  <c r="I52" i="88"/>
  <c r="H74" i="88"/>
  <c r="J52" i="88"/>
  <c r="I74" i="88"/>
  <c r="K52" i="88"/>
  <c r="J74" i="88"/>
  <c r="L52" i="88"/>
  <c r="K74" i="88"/>
  <c r="M52" i="88"/>
  <c r="L74" i="88"/>
  <c r="C53" i="88"/>
  <c r="D53" i="88"/>
  <c r="C75" i="88"/>
  <c r="E53" i="88"/>
  <c r="D75" i="88"/>
  <c r="F53" i="88"/>
  <c r="E75" i="88"/>
  <c r="G53" i="88"/>
  <c r="F75" i="88"/>
  <c r="H53" i="88"/>
  <c r="G75" i="88"/>
  <c r="I53" i="88"/>
  <c r="H75" i="88"/>
  <c r="J53" i="88"/>
  <c r="I75" i="88"/>
  <c r="K53" i="88"/>
  <c r="J75" i="88"/>
  <c r="L53" i="88"/>
  <c r="K75" i="88"/>
  <c r="M53" i="88"/>
  <c r="L75" i="88"/>
  <c r="C54" i="88"/>
  <c r="D54" i="88"/>
  <c r="C76" i="88"/>
  <c r="E54" i="88"/>
  <c r="D76" i="88"/>
  <c r="F54" i="88"/>
  <c r="E76" i="88"/>
  <c r="G54" i="88"/>
  <c r="F76" i="88"/>
  <c r="H54" i="88"/>
  <c r="G76" i="88"/>
  <c r="I54" i="88"/>
  <c r="H76" i="88"/>
  <c r="J54" i="88"/>
  <c r="I76" i="88"/>
  <c r="K54" i="88"/>
  <c r="J76" i="88"/>
  <c r="L54" i="88"/>
  <c r="K76" i="88"/>
  <c r="M54" i="88"/>
  <c r="L76" i="88"/>
  <c r="C55" i="88"/>
  <c r="D55" i="88"/>
  <c r="C77" i="88"/>
  <c r="E55" i="88"/>
  <c r="D77" i="88"/>
  <c r="F55" i="88"/>
  <c r="E77" i="88"/>
  <c r="G55" i="88"/>
  <c r="F77" i="88"/>
  <c r="H55" i="88"/>
  <c r="G77" i="88"/>
  <c r="I55" i="88"/>
  <c r="H77" i="88"/>
  <c r="J55" i="88"/>
  <c r="I77" i="88"/>
  <c r="K55" i="88"/>
  <c r="J77" i="88"/>
  <c r="L55" i="88"/>
  <c r="K77" i="88"/>
  <c r="M55" i="88"/>
  <c r="L77" i="88"/>
  <c r="C33" i="88"/>
  <c r="H9" i="98"/>
  <c r="P59" i="88"/>
  <c r="Q59" i="88"/>
  <c r="R59" i="88"/>
  <c r="S59" i="88"/>
  <c r="T59" i="88"/>
  <c r="V59" i="88"/>
  <c r="W59" i="88"/>
  <c r="X59" i="88"/>
  <c r="Y59" i="88"/>
  <c r="Z59" i="88"/>
  <c r="P60" i="88"/>
  <c r="Q60" i="88"/>
  <c r="R60" i="88"/>
  <c r="S60" i="88"/>
  <c r="T60" i="88"/>
  <c r="V60" i="88"/>
  <c r="W60" i="88"/>
  <c r="X60" i="88"/>
  <c r="Y60" i="88"/>
  <c r="Z60" i="88"/>
  <c r="P61" i="88"/>
  <c r="Q61" i="88"/>
  <c r="R61" i="88"/>
  <c r="S61" i="88"/>
  <c r="T61" i="88"/>
  <c r="V61" i="88"/>
  <c r="W61" i="88"/>
  <c r="X61" i="88"/>
  <c r="Y61" i="88"/>
  <c r="Z61" i="88"/>
  <c r="P62" i="88"/>
  <c r="Q62" i="88"/>
  <c r="R62" i="88"/>
  <c r="S62" i="88"/>
  <c r="T62" i="88"/>
  <c r="V62" i="88"/>
  <c r="W62" i="88"/>
  <c r="X62" i="88"/>
  <c r="Y62" i="88"/>
  <c r="Z62" i="88"/>
  <c r="P63" i="88"/>
  <c r="Q63" i="88"/>
  <c r="R63" i="88"/>
  <c r="S63" i="88"/>
  <c r="T63" i="88"/>
  <c r="V63" i="88"/>
  <c r="W63" i="88"/>
  <c r="X63" i="88"/>
  <c r="Y63" i="88"/>
  <c r="Z63" i="88"/>
  <c r="P64" i="88"/>
  <c r="Q64" i="88"/>
  <c r="R64" i="88"/>
  <c r="S64" i="88"/>
  <c r="T64" i="88"/>
  <c r="V64" i="88"/>
  <c r="W64" i="88"/>
  <c r="X64" i="88"/>
  <c r="Y64" i="88"/>
  <c r="Z64" i="88"/>
  <c r="P65" i="88"/>
  <c r="Q65" i="88"/>
  <c r="R65" i="88"/>
  <c r="S65" i="88"/>
  <c r="T65" i="88"/>
  <c r="V65" i="88"/>
  <c r="W65" i="88"/>
  <c r="X65" i="88"/>
  <c r="Y65" i="88"/>
  <c r="Z65" i="88"/>
  <c r="P66" i="88"/>
  <c r="Q66" i="88"/>
  <c r="R66" i="88"/>
  <c r="S66" i="88"/>
  <c r="T66" i="88"/>
  <c r="V66" i="88"/>
  <c r="W66" i="88"/>
  <c r="X66" i="88"/>
  <c r="Y66" i="88"/>
  <c r="Z66" i="88"/>
  <c r="P67" i="88"/>
  <c r="Q67" i="88"/>
  <c r="R67" i="88"/>
  <c r="S67" i="88"/>
  <c r="T67" i="88"/>
  <c r="V67" i="88"/>
  <c r="W67" i="88"/>
  <c r="X67" i="88"/>
  <c r="Y67" i="88"/>
  <c r="Z67" i="88"/>
  <c r="P68" i="88"/>
  <c r="Q68" i="88"/>
  <c r="R68" i="88"/>
  <c r="S68" i="88"/>
  <c r="T68" i="88"/>
  <c r="V68" i="88"/>
  <c r="W68" i="88"/>
  <c r="X68" i="88"/>
  <c r="Y68" i="88"/>
  <c r="Z68" i="88"/>
  <c r="P69" i="88"/>
  <c r="Q69" i="88"/>
  <c r="R69" i="88"/>
  <c r="S69" i="88"/>
  <c r="T69" i="88"/>
  <c r="V69" i="88"/>
  <c r="W69" i="88"/>
  <c r="X69" i="88"/>
  <c r="Y69" i="88"/>
  <c r="Z69" i="88"/>
  <c r="P70" i="88"/>
  <c r="Q70" i="88"/>
  <c r="R70" i="88"/>
  <c r="S70" i="88"/>
  <c r="T70" i="88"/>
  <c r="V70" i="88"/>
  <c r="W70" i="88"/>
  <c r="X70" i="88"/>
  <c r="Y70" i="88"/>
  <c r="Z70" i="88"/>
  <c r="P71" i="88"/>
  <c r="Q71" i="88"/>
  <c r="R71" i="88"/>
  <c r="S71" i="88"/>
  <c r="T71" i="88"/>
  <c r="V71" i="88"/>
  <c r="W71" i="88"/>
  <c r="X71" i="88"/>
  <c r="Y71" i="88"/>
  <c r="Z71" i="88"/>
  <c r="P72" i="88"/>
  <c r="Q72" i="88"/>
  <c r="R72" i="88"/>
  <c r="S72" i="88"/>
  <c r="T72" i="88"/>
  <c r="V72" i="88"/>
  <c r="W72" i="88"/>
  <c r="X72" i="88"/>
  <c r="Y72" i="88"/>
  <c r="Z72" i="88"/>
  <c r="P73" i="88"/>
  <c r="Q73" i="88"/>
  <c r="R73" i="88"/>
  <c r="S73" i="88"/>
  <c r="T73" i="88"/>
  <c r="V73" i="88"/>
  <c r="W73" i="88"/>
  <c r="X73" i="88"/>
  <c r="Y73" i="88"/>
  <c r="Z73" i="88"/>
  <c r="P74" i="88"/>
  <c r="Q74" i="88"/>
  <c r="R74" i="88"/>
  <c r="S74" i="88"/>
  <c r="T74" i="88"/>
  <c r="V74" i="88"/>
  <c r="W74" i="88"/>
  <c r="X74" i="88"/>
  <c r="Y74" i="88"/>
  <c r="Z74" i="88"/>
  <c r="P75" i="88"/>
  <c r="Q75" i="88"/>
  <c r="R75" i="88"/>
  <c r="S75" i="88"/>
  <c r="T75" i="88"/>
  <c r="V75" i="88"/>
  <c r="W75" i="88"/>
  <c r="X75" i="88"/>
  <c r="Y75" i="88"/>
  <c r="Z75" i="88"/>
  <c r="P76" i="88"/>
  <c r="Q76" i="88"/>
  <c r="R76" i="88"/>
  <c r="S76" i="88"/>
  <c r="T76" i="88"/>
  <c r="V76" i="88"/>
  <c r="W76" i="88"/>
  <c r="X76" i="88"/>
  <c r="Y76" i="88"/>
  <c r="Z76" i="88"/>
  <c r="H33" i="88"/>
  <c r="H10" i="98"/>
  <c r="C86" i="88"/>
  <c r="D86" i="88"/>
  <c r="C108" i="88"/>
  <c r="E86" i="88"/>
  <c r="D108" i="88"/>
  <c r="F86" i="88"/>
  <c r="E108" i="88"/>
  <c r="G86" i="88"/>
  <c r="F108" i="88"/>
  <c r="H86" i="88"/>
  <c r="G108" i="88"/>
  <c r="I86" i="88"/>
  <c r="H108" i="88"/>
  <c r="J86" i="88"/>
  <c r="I108" i="88"/>
  <c r="K86" i="88"/>
  <c r="J108" i="88"/>
  <c r="L86" i="88"/>
  <c r="K108" i="88"/>
  <c r="M86" i="88"/>
  <c r="L108" i="88"/>
  <c r="C87" i="88"/>
  <c r="D87" i="88"/>
  <c r="C109" i="88"/>
  <c r="E87" i="88"/>
  <c r="D109" i="88"/>
  <c r="F87" i="88"/>
  <c r="E109" i="88"/>
  <c r="G87" i="88"/>
  <c r="F109" i="88"/>
  <c r="H87" i="88"/>
  <c r="G109" i="88"/>
  <c r="I87" i="88"/>
  <c r="H109" i="88"/>
  <c r="J87" i="88"/>
  <c r="I109" i="88"/>
  <c r="K87" i="88"/>
  <c r="J109" i="88"/>
  <c r="L87" i="88"/>
  <c r="K109" i="88"/>
  <c r="M87" i="88"/>
  <c r="L109" i="88"/>
  <c r="C88" i="88"/>
  <c r="D88" i="88"/>
  <c r="C110" i="88"/>
  <c r="E88" i="88"/>
  <c r="D110" i="88"/>
  <c r="F88" i="88"/>
  <c r="E110" i="88"/>
  <c r="G88" i="88"/>
  <c r="F110" i="88"/>
  <c r="H88" i="88"/>
  <c r="G110" i="88"/>
  <c r="I88" i="88"/>
  <c r="H110" i="88"/>
  <c r="J88" i="88"/>
  <c r="I110" i="88"/>
  <c r="K88" i="88"/>
  <c r="J110" i="88"/>
  <c r="L88" i="88"/>
  <c r="K110" i="88"/>
  <c r="M88" i="88"/>
  <c r="L110" i="88"/>
  <c r="C89" i="88"/>
  <c r="D89" i="88"/>
  <c r="C111" i="88"/>
  <c r="E89" i="88"/>
  <c r="D111" i="88"/>
  <c r="F89" i="88"/>
  <c r="E111" i="88"/>
  <c r="G89" i="88"/>
  <c r="F111" i="88"/>
  <c r="H89" i="88"/>
  <c r="G111" i="88"/>
  <c r="I89" i="88"/>
  <c r="H111" i="88"/>
  <c r="J89" i="88"/>
  <c r="I111" i="88"/>
  <c r="K89" i="88"/>
  <c r="J111" i="88"/>
  <c r="L89" i="88"/>
  <c r="K111" i="88"/>
  <c r="M89" i="88"/>
  <c r="L111" i="88"/>
  <c r="C90" i="88"/>
  <c r="D90" i="88"/>
  <c r="C112" i="88"/>
  <c r="E90" i="88"/>
  <c r="D112" i="88"/>
  <c r="F90" i="88"/>
  <c r="E112" i="88"/>
  <c r="G90" i="88"/>
  <c r="F112" i="88"/>
  <c r="H90" i="88"/>
  <c r="G112" i="88"/>
  <c r="I90" i="88"/>
  <c r="H112" i="88"/>
  <c r="J90" i="88"/>
  <c r="I112" i="88"/>
  <c r="K90" i="88"/>
  <c r="J112" i="88"/>
  <c r="L90" i="88"/>
  <c r="K112" i="88"/>
  <c r="M90" i="88"/>
  <c r="L112" i="88"/>
  <c r="C91" i="88"/>
  <c r="D91" i="88"/>
  <c r="C113" i="88"/>
  <c r="E91" i="88"/>
  <c r="D113" i="88"/>
  <c r="F91" i="88"/>
  <c r="E113" i="88"/>
  <c r="G91" i="88"/>
  <c r="F113" i="88"/>
  <c r="H91" i="88"/>
  <c r="G113" i="88"/>
  <c r="I91" i="88"/>
  <c r="H113" i="88"/>
  <c r="J91" i="88"/>
  <c r="I113" i="88"/>
  <c r="K91" i="88"/>
  <c r="J113" i="88"/>
  <c r="L91" i="88"/>
  <c r="K113" i="88"/>
  <c r="M91" i="88"/>
  <c r="L113" i="88"/>
  <c r="C92" i="88"/>
  <c r="D92" i="88"/>
  <c r="C114" i="88"/>
  <c r="E92" i="88"/>
  <c r="D114" i="88"/>
  <c r="F92" i="88"/>
  <c r="E114" i="88"/>
  <c r="G92" i="88"/>
  <c r="F114" i="88"/>
  <c r="H92" i="88"/>
  <c r="G114" i="88"/>
  <c r="I92" i="88"/>
  <c r="H114" i="88"/>
  <c r="J92" i="88"/>
  <c r="I114" i="88"/>
  <c r="K92" i="88"/>
  <c r="J114" i="88"/>
  <c r="L92" i="88"/>
  <c r="K114" i="88"/>
  <c r="M92" i="88"/>
  <c r="L114" i="88"/>
  <c r="C93" i="88"/>
  <c r="D93" i="88"/>
  <c r="C115" i="88"/>
  <c r="E93" i="88"/>
  <c r="D115" i="88"/>
  <c r="F93" i="88"/>
  <c r="E115" i="88"/>
  <c r="G93" i="88"/>
  <c r="F115" i="88"/>
  <c r="H93" i="88"/>
  <c r="G115" i="88"/>
  <c r="I93" i="88"/>
  <c r="H115" i="88"/>
  <c r="J93" i="88"/>
  <c r="I115" i="88"/>
  <c r="K93" i="88"/>
  <c r="J115" i="88"/>
  <c r="L93" i="88"/>
  <c r="K115" i="88"/>
  <c r="M93" i="88"/>
  <c r="L115" i="88"/>
  <c r="C94" i="88"/>
  <c r="D94" i="88"/>
  <c r="C116" i="88"/>
  <c r="E94" i="88"/>
  <c r="D116" i="88"/>
  <c r="F94" i="88"/>
  <c r="E116" i="88"/>
  <c r="G94" i="88"/>
  <c r="F116" i="88"/>
  <c r="H94" i="88"/>
  <c r="G116" i="88"/>
  <c r="I94" i="88"/>
  <c r="H116" i="88"/>
  <c r="J94" i="88"/>
  <c r="I116" i="88"/>
  <c r="K94" i="88"/>
  <c r="J116" i="88"/>
  <c r="L94" i="88"/>
  <c r="K116" i="88"/>
  <c r="M94" i="88"/>
  <c r="L116" i="88"/>
  <c r="C95" i="88"/>
  <c r="D95" i="88"/>
  <c r="C117" i="88"/>
  <c r="E95" i="88"/>
  <c r="D117" i="88"/>
  <c r="F95" i="88"/>
  <c r="E117" i="88"/>
  <c r="G95" i="88"/>
  <c r="F117" i="88"/>
  <c r="H95" i="88"/>
  <c r="G117" i="88"/>
  <c r="I95" i="88"/>
  <c r="H117" i="88"/>
  <c r="J95" i="88"/>
  <c r="I117" i="88"/>
  <c r="K95" i="88"/>
  <c r="J117" i="88"/>
  <c r="L95" i="88"/>
  <c r="K117" i="88"/>
  <c r="M95" i="88"/>
  <c r="L117" i="88"/>
  <c r="C96" i="88"/>
  <c r="D96" i="88"/>
  <c r="C118" i="88"/>
  <c r="E96" i="88"/>
  <c r="D118" i="88"/>
  <c r="F96" i="88"/>
  <c r="E118" i="88"/>
  <c r="G96" i="88"/>
  <c r="F118" i="88"/>
  <c r="H96" i="88"/>
  <c r="G118" i="88"/>
  <c r="I96" i="88"/>
  <c r="H118" i="88"/>
  <c r="J96" i="88"/>
  <c r="I118" i="88"/>
  <c r="K96" i="88"/>
  <c r="J118" i="88"/>
  <c r="L96" i="88"/>
  <c r="K118" i="88"/>
  <c r="M96" i="88"/>
  <c r="L118" i="88"/>
  <c r="C97" i="88"/>
  <c r="D97" i="88"/>
  <c r="C119" i="88"/>
  <c r="E97" i="88"/>
  <c r="D119" i="88"/>
  <c r="F97" i="88"/>
  <c r="E119" i="88"/>
  <c r="G97" i="88"/>
  <c r="F119" i="88"/>
  <c r="H97" i="88"/>
  <c r="G119" i="88"/>
  <c r="I97" i="88"/>
  <c r="H119" i="88"/>
  <c r="J97" i="88"/>
  <c r="I119" i="88"/>
  <c r="K97" i="88"/>
  <c r="J119" i="88"/>
  <c r="L97" i="88"/>
  <c r="K119" i="88"/>
  <c r="M97" i="88"/>
  <c r="L119" i="88"/>
  <c r="C98" i="88"/>
  <c r="D98" i="88"/>
  <c r="C120" i="88"/>
  <c r="E98" i="88"/>
  <c r="D120" i="88"/>
  <c r="F98" i="88"/>
  <c r="E120" i="88"/>
  <c r="G98" i="88"/>
  <c r="F120" i="88"/>
  <c r="H98" i="88"/>
  <c r="G120" i="88"/>
  <c r="I98" i="88"/>
  <c r="H120" i="88"/>
  <c r="J98" i="88"/>
  <c r="I120" i="88"/>
  <c r="K98" i="88"/>
  <c r="J120" i="88"/>
  <c r="L98" i="88"/>
  <c r="K120" i="88"/>
  <c r="M98" i="88"/>
  <c r="L120" i="88"/>
  <c r="C99" i="88"/>
  <c r="D99" i="88"/>
  <c r="C121" i="88"/>
  <c r="E99" i="88"/>
  <c r="D121" i="88"/>
  <c r="F99" i="88"/>
  <c r="E121" i="88"/>
  <c r="G99" i="88"/>
  <c r="F121" i="88"/>
  <c r="H99" i="88"/>
  <c r="G121" i="88"/>
  <c r="I99" i="88"/>
  <c r="H121" i="88"/>
  <c r="J99" i="88"/>
  <c r="I121" i="88"/>
  <c r="K99" i="88"/>
  <c r="J121" i="88"/>
  <c r="L99" i="88"/>
  <c r="K121" i="88"/>
  <c r="M99" i="88"/>
  <c r="L121" i="88"/>
  <c r="C100" i="88"/>
  <c r="D100" i="88"/>
  <c r="C122" i="88"/>
  <c r="E100" i="88"/>
  <c r="D122" i="88"/>
  <c r="F100" i="88"/>
  <c r="E122" i="88"/>
  <c r="G100" i="88"/>
  <c r="F122" i="88"/>
  <c r="H100" i="88"/>
  <c r="G122" i="88"/>
  <c r="I100" i="88"/>
  <c r="H122" i="88"/>
  <c r="J100" i="88"/>
  <c r="I122" i="88"/>
  <c r="K100" i="88"/>
  <c r="J122" i="88"/>
  <c r="L100" i="88"/>
  <c r="K122" i="88"/>
  <c r="M100" i="88"/>
  <c r="L122" i="88"/>
  <c r="C101" i="88"/>
  <c r="D101" i="88"/>
  <c r="C123" i="88"/>
  <c r="E101" i="88"/>
  <c r="D123" i="88"/>
  <c r="F101" i="88"/>
  <c r="E123" i="88"/>
  <c r="G101" i="88"/>
  <c r="F123" i="88"/>
  <c r="H101" i="88"/>
  <c r="G123" i="88"/>
  <c r="I101" i="88"/>
  <c r="H123" i="88"/>
  <c r="J101" i="88"/>
  <c r="I123" i="88"/>
  <c r="K101" i="88"/>
  <c r="J123" i="88"/>
  <c r="L101" i="88"/>
  <c r="K123" i="88"/>
  <c r="M101" i="88"/>
  <c r="L123" i="88"/>
  <c r="C102" i="88"/>
  <c r="D102" i="88"/>
  <c r="C124" i="88"/>
  <c r="E102" i="88"/>
  <c r="D124" i="88"/>
  <c r="F102" i="88"/>
  <c r="E124" i="88"/>
  <c r="G102" i="88"/>
  <c r="F124" i="88"/>
  <c r="H102" i="88"/>
  <c r="G124" i="88"/>
  <c r="I102" i="88"/>
  <c r="H124" i="88"/>
  <c r="J102" i="88"/>
  <c r="I124" i="88"/>
  <c r="K102" i="88"/>
  <c r="J124" i="88"/>
  <c r="L102" i="88"/>
  <c r="K124" i="88"/>
  <c r="M102" i="88"/>
  <c r="L124" i="88"/>
  <c r="C103" i="88"/>
  <c r="D103" i="88"/>
  <c r="C125" i="88"/>
  <c r="E103" i="88"/>
  <c r="D125" i="88"/>
  <c r="F103" i="88"/>
  <c r="E125" i="88"/>
  <c r="G103" i="88"/>
  <c r="F125" i="88"/>
  <c r="H103" i="88"/>
  <c r="G125" i="88"/>
  <c r="I103" i="88"/>
  <c r="H125" i="88"/>
  <c r="J103" i="88"/>
  <c r="I125" i="88"/>
  <c r="K103" i="88"/>
  <c r="J125" i="88"/>
  <c r="L103" i="88"/>
  <c r="K125" i="88"/>
  <c r="M103" i="88"/>
  <c r="L125" i="88"/>
  <c r="C104" i="88"/>
  <c r="D104" i="88"/>
  <c r="C126" i="88"/>
  <c r="E104" i="88"/>
  <c r="D126" i="88"/>
  <c r="F104" i="88"/>
  <c r="E126" i="88"/>
  <c r="G104" i="88"/>
  <c r="F126" i="88"/>
  <c r="H104" i="88"/>
  <c r="G126" i="88"/>
  <c r="I104" i="88"/>
  <c r="H126" i="88"/>
  <c r="J104" i="88"/>
  <c r="I126" i="88"/>
  <c r="K104" i="88"/>
  <c r="J126" i="88"/>
  <c r="L104" i="88"/>
  <c r="K126" i="88"/>
  <c r="M104" i="88"/>
  <c r="L126" i="88"/>
  <c r="C82" i="88"/>
  <c r="H13" i="98"/>
  <c r="P108" i="88"/>
  <c r="Q108" i="88"/>
  <c r="R108" i="88"/>
  <c r="S108" i="88"/>
  <c r="T108" i="88"/>
  <c r="V108" i="88"/>
  <c r="W108" i="88"/>
  <c r="X108" i="88"/>
  <c r="Y108" i="88"/>
  <c r="Z108" i="88"/>
  <c r="P109" i="88"/>
  <c r="Q109" i="88"/>
  <c r="R109" i="88"/>
  <c r="S109" i="88"/>
  <c r="T109" i="88"/>
  <c r="V109" i="88"/>
  <c r="W109" i="88"/>
  <c r="X109" i="88"/>
  <c r="Y109" i="88"/>
  <c r="Z109" i="88"/>
  <c r="P110" i="88"/>
  <c r="Q110" i="88"/>
  <c r="R110" i="88"/>
  <c r="S110" i="88"/>
  <c r="T110" i="88"/>
  <c r="V110" i="88"/>
  <c r="W110" i="88"/>
  <c r="X110" i="88"/>
  <c r="Y110" i="88"/>
  <c r="Z110" i="88"/>
  <c r="P111" i="88"/>
  <c r="Q111" i="88"/>
  <c r="R111" i="88"/>
  <c r="S111" i="88"/>
  <c r="T111" i="88"/>
  <c r="V111" i="88"/>
  <c r="W111" i="88"/>
  <c r="X111" i="88"/>
  <c r="Y111" i="88"/>
  <c r="Z111" i="88"/>
  <c r="P112" i="88"/>
  <c r="Q112" i="88"/>
  <c r="R112" i="88"/>
  <c r="S112" i="88"/>
  <c r="T112" i="88"/>
  <c r="V112" i="88"/>
  <c r="W112" i="88"/>
  <c r="X112" i="88"/>
  <c r="Y112" i="88"/>
  <c r="Z112" i="88"/>
  <c r="P113" i="88"/>
  <c r="Q113" i="88"/>
  <c r="R113" i="88"/>
  <c r="S113" i="88"/>
  <c r="T113" i="88"/>
  <c r="V113" i="88"/>
  <c r="W113" i="88"/>
  <c r="X113" i="88"/>
  <c r="Y113" i="88"/>
  <c r="Z113" i="88"/>
  <c r="P114" i="88"/>
  <c r="Q114" i="88"/>
  <c r="R114" i="88"/>
  <c r="S114" i="88"/>
  <c r="T114" i="88"/>
  <c r="V114" i="88"/>
  <c r="W114" i="88"/>
  <c r="X114" i="88"/>
  <c r="Y114" i="88"/>
  <c r="Z114" i="88"/>
  <c r="P115" i="88"/>
  <c r="Q115" i="88"/>
  <c r="R115" i="88"/>
  <c r="S115" i="88"/>
  <c r="T115" i="88"/>
  <c r="V115" i="88"/>
  <c r="W115" i="88"/>
  <c r="X115" i="88"/>
  <c r="Y115" i="88"/>
  <c r="Z115" i="88"/>
  <c r="P116" i="88"/>
  <c r="Q116" i="88"/>
  <c r="R116" i="88"/>
  <c r="S116" i="88"/>
  <c r="T116" i="88"/>
  <c r="V116" i="88"/>
  <c r="W116" i="88"/>
  <c r="X116" i="88"/>
  <c r="Y116" i="88"/>
  <c r="Z116" i="88"/>
  <c r="P117" i="88"/>
  <c r="Q117" i="88"/>
  <c r="R117" i="88"/>
  <c r="S117" i="88"/>
  <c r="T117" i="88"/>
  <c r="V117" i="88"/>
  <c r="W117" i="88"/>
  <c r="X117" i="88"/>
  <c r="Y117" i="88"/>
  <c r="Z117" i="88"/>
  <c r="P118" i="88"/>
  <c r="Q118" i="88"/>
  <c r="R118" i="88"/>
  <c r="S118" i="88"/>
  <c r="T118" i="88"/>
  <c r="V118" i="88"/>
  <c r="W118" i="88"/>
  <c r="X118" i="88"/>
  <c r="Y118" i="88"/>
  <c r="Z118" i="88"/>
  <c r="P119" i="88"/>
  <c r="Q119" i="88"/>
  <c r="R119" i="88"/>
  <c r="S119" i="88"/>
  <c r="T119" i="88"/>
  <c r="V119" i="88"/>
  <c r="W119" i="88"/>
  <c r="X119" i="88"/>
  <c r="Y119" i="88"/>
  <c r="Z119" i="88"/>
  <c r="P120" i="88"/>
  <c r="Q120" i="88"/>
  <c r="R120" i="88"/>
  <c r="S120" i="88"/>
  <c r="T120" i="88"/>
  <c r="V120" i="88"/>
  <c r="W120" i="88"/>
  <c r="X120" i="88"/>
  <c r="Y120" i="88"/>
  <c r="Z120" i="88"/>
  <c r="P121" i="88"/>
  <c r="Q121" i="88"/>
  <c r="R121" i="88"/>
  <c r="S121" i="88"/>
  <c r="T121" i="88"/>
  <c r="V121" i="88"/>
  <c r="W121" i="88"/>
  <c r="X121" i="88"/>
  <c r="Y121" i="88"/>
  <c r="Z121" i="88"/>
  <c r="P122" i="88"/>
  <c r="Q122" i="88"/>
  <c r="R122" i="88"/>
  <c r="S122" i="88"/>
  <c r="T122" i="88"/>
  <c r="V122" i="88"/>
  <c r="W122" i="88"/>
  <c r="X122" i="88"/>
  <c r="Y122" i="88"/>
  <c r="Z122" i="88"/>
  <c r="P123" i="88"/>
  <c r="Q123" i="88"/>
  <c r="R123" i="88"/>
  <c r="S123" i="88"/>
  <c r="T123" i="88"/>
  <c r="V123" i="88"/>
  <c r="W123" i="88"/>
  <c r="X123" i="88"/>
  <c r="Y123" i="88"/>
  <c r="Z123" i="88"/>
  <c r="P124" i="88"/>
  <c r="Q124" i="88"/>
  <c r="R124" i="88"/>
  <c r="S124" i="88"/>
  <c r="T124" i="88"/>
  <c r="V124" i="88"/>
  <c r="W124" i="88"/>
  <c r="X124" i="88"/>
  <c r="Y124" i="88"/>
  <c r="Z124" i="88"/>
  <c r="P125" i="88"/>
  <c r="Q125" i="88"/>
  <c r="R125" i="88"/>
  <c r="S125" i="88"/>
  <c r="T125" i="88"/>
  <c r="V125" i="88"/>
  <c r="W125" i="88"/>
  <c r="X125" i="88"/>
  <c r="Y125" i="88"/>
  <c r="Z125" i="88"/>
  <c r="H82" i="88"/>
  <c r="H14" i="98"/>
  <c r="C135" i="88"/>
  <c r="D135" i="88"/>
  <c r="C157" i="88"/>
  <c r="E135" i="88"/>
  <c r="D157" i="88"/>
  <c r="F135" i="88"/>
  <c r="E157" i="88"/>
  <c r="G135" i="88"/>
  <c r="F157" i="88"/>
  <c r="H135" i="88"/>
  <c r="G157" i="88"/>
  <c r="I135" i="88"/>
  <c r="H157" i="88"/>
  <c r="J135" i="88"/>
  <c r="I157" i="88"/>
  <c r="K135" i="88"/>
  <c r="J157" i="88"/>
  <c r="L135" i="88"/>
  <c r="K157" i="88"/>
  <c r="M135" i="88"/>
  <c r="L157" i="88"/>
  <c r="C136" i="88"/>
  <c r="D136" i="88"/>
  <c r="C158" i="88"/>
  <c r="E136" i="88"/>
  <c r="D158" i="88"/>
  <c r="F136" i="88"/>
  <c r="E158" i="88"/>
  <c r="G136" i="88"/>
  <c r="F158" i="88"/>
  <c r="H136" i="88"/>
  <c r="G158" i="88"/>
  <c r="I136" i="88"/>
  <c r="H158" i="88"/>
  <c r="J136" i="88"/>
  <c r="I158" i="88"/>
  <c r="K136" i="88"/>
  <c r="J158" i="88"/>
  <c r="L136" i="88"/>
  <c r="K158" i="88"/>
  <c r="M136" i="88"/>
  <c r="L158" i="88"/>
  <c r="C137" i="88"/>
  <c r="D137" i="88"/>
  <c r="C159" i="88"/>
  <c r="E137" i="88"/>
  <c r="D159" i="88"/>
  <c r="F137" i="88"/>
  <c r="E159" i="88"/>
  <c r="G137" i="88"/>
  <c r="F159" i="88"/>
  <c r="H137" i="88"/>
  <c r="G159" i="88"/>
  <c r="I137" i="88"/>
  <c r="H159" i="88"/>
  <c r="J137" i="88"/>
  <c r="I159" i="88"/>
  <c r="K137" i="88"/>
  <c r="J159" i="88"/>
  <c r="L137" i="88"/>
  <c r="K159" i="88"/>
  <c r="M137" i="88"/>
  <c r="L159" i="88"/>
  <c r="C138" i="88"/>
  <c r="D138" i="88"/>
  <c r="C160" i="88"/>
  <c r="E138" i="88"/>
  <c r="D160" i="88"/>
  <c r="F138" i="88"/>
  <c r="E160" i="88"/>
  <c r="G138" i="88"/>
  <c r="F160" i="88"/>
  <c r="H138" i="88"/>
  <c r="G160" i="88"/>
  <c r="I138" i="88"/>
  <c r="H160" i="88"/>
  <c r="J138" i="88"/>
  <c r="I160" i="88"/>
  <c r="K138" i="88"/>
  <c r="J160" i="88"/>
  <c r="L138" i="88"/>
  <c r="K160" i="88"/>
  <c r="M138" i="88"/>
  <c r="L160" i="88"/>
  <c r="C139" i="88"/>
  <c r="D139" i="88"/>
  <c r="C161" i="88"/>
  <c r="E139" i="88"/>
  <c r="D161" i="88"/>
  <c r="F139" i="88"/>
  <c r="E161" i="88"/>
  <c r="G139" i="88"/>
  <c r="F161" i="88"/>
  <c r="H139" i="88"/>
  <c r="G161" i="88"/>
  <c r="I139" i="88"/>
  <c r="H161" i="88"/>
  <c r="J139" i="88"/>
  <c r="I161" i="88"/>
  <c r="K139" i="88"/>
  <c r="J161" i="88"/>
  <c r="L139" i="88"/>
  <c r="K161" i="88"/>
  <c r="M139" i="88"/>
  <c r="L161" i="88"/>
  <c r="C140" i="88"/>
  <c r="D140" i="88"/>
  <c r="C162" i="88"/>
  <c r="E140" i="88"/>
  <c r="D162" i="88"/>
  <c r="F140" i="88"/>
  <c r="E162" i="88"/>
  <c r="G140" i="88"/>
  <c r="F162" i="88"/>
  <c r="H140" i="88"/>
  <c r="G162" i="88"/>
  <c r="I140" i="88"/>
  <c r="H162" i="88"/>
  <c r="J140" i="88"/>
  <c r="I162" i="88"/>
  <c r="K140" i="88"/>
  <c r="J162" i="88"/>
  <c r="L140" i="88"/>
  <c r="K162" i="88"/>
  <c r="M140" i="88"/>
  <c r="L162" i="88"/>
  <c r="C141" i="88"/>
  <c r="D141" i="88"/>
  <c r="C163" i="88"/>
  <c r="E141" i="88"/>
  <c r="D163" i="88"/>
  <c r="F141" i="88"/>
  <c r="E163" i="88"/>
  <c r="G141" i="88"/>
  <c r="F163" i="88"/>
  <c r="H141" i="88"/>
  <c r="G163" i="88"/>
  <c r="I141" i="88"/>
  <c r="H163" i="88"/>
  <c r="J141" i="88"/>
  <c r="I163" i="88"/>
  <c r="K141" i="88"/>
  <c r="J163" i="88"/>
  <c r="L141" i="88"/>
  <c r="K163" i="88"/>
  <c r="M141" i="88"/>
  <c r="L163" i="88"/>
  <c r="C142" i="88"/>
  <c r="D142" i="88"/>
  <c r="C164" i="88"/>
  <c r="E142" i="88"/>
  <c r="D164" i="88"/>
  <c r="F142" i="88"/>
  <c r="E164" i="88"/>
  <c r="G142" i="88"/>
  <c r="F164" i="88"/>
  <c r="H142" i="88"/>
  <c r="G164" i="88"/>
  <c r="I142" i="88"/>
  <c r="H164" i="88"/>
  <c r="J142" i="88"/>
  <c r="I164" i="88"/>
  <c r="K142" i="88"/>
  <c r="J164" i="88"/>
  <c r="L142" i="88"/>
  <c r="K164" i="88"/>
  <c r="M142" i="88"/>
  <c r="L164" i="88"/>
  <c r="C143" i="88"/>
  <c r="D143" i="88"/>
  <c r="C165" i="88"/>
  <c r="E143" i="88"/>
  <c r="D165" i="88"/>
  <c r="F143" i="88"/>
  <c r="E165" i="88"/>
  <c r="G143" i="88"/>
  <c r="F165" i="88"/>
  <c r="H143" i="88"/>
  <c r="G165" i="88"/>
  <c r="I143" i="88"/>
  <c r="H165" i="88"/>
  <c r="J143" i="88"/>
  <c r="I165" i="88"/>
  <c r="K143" i="88"/>
  <c r="J165" i="88"/>
  <c r="L143" i="88"/>
  <c r="K165" i="88"/>
  <c r="M143" i="88"/>
  <c r="L165" i="88"/>
  <c r="C144" i="88"/>
  <c r="D144" i="88"/>
  <c r="C166" i="88"/>
  <c r="E144" i="88"/>
  <c r="D166" i="88"/>
  <c r="F144" i="88"/>
  <c r="E166" i="88"/>
  <c r="G144" i="88"/>
  <c r="F166" i="88"/>
  <c r="H144" i="88"/>
  <c r="G166" i="88"/>
  <c r="I144" i="88"/>
  <c r="H166" i="88"/>
  <c r="J144" i="88"/>
  <c r="I166" i="88"/>
  <c r="K144" i="88"/>
  <c r="J166" i="88"/>
  <c r="L144" i="88"/>
  <c r="K166" i="88"/>
  <c r="M144" i="88"/>
  <c r="L166" i="88"/>
  <c r="C145" i="88"/>
  <c r="D145" i="88"/>
  <c r="C167" i="88"/>
  <c r="E145" i="88"/>
  <c r="D167" i="88"/>
  <c r="F145" i="88"/>
  <c r="E167" i="88"/>
  <c r="G145" i="88"/>
  <c r="F167" i="88"/>
  <c r="H145" i="88"/>
  <c r="G167" i="88"/>
  <c r="I145" i="88"/>
  <c r="H167" i="88"/>
  <c r="J145" i="88"/>
  <c r="I167" i="88"/>
  <c r="K145" i="88"/>
  <c r="J167" i="88"/>
  <c r="L145" i="88"/>
  <c r="K167" i="88"/>
  <c r="M145" i="88"/>
  <c r="L167" i="88"/>
  <c r="C146" i="88"/>
  <c r="D146" i="88"/>
  <c r="C168" i="88"/>
  <c r="E146" i="88"/>
  <c r="D168" i="88"/>
  <c r="F146" i="88"/>
  <c r="E168" i="88"/>
  <c r="G146" i="88"/>
  <c r="F168" i="88"/>
  <c r="H146" i="88"/>
  <c r="G168" i="88"/>
  <c r="I146" i="88"/>
  <c r="H168" i="88"/>
  <c r="J146" i="88"/>
  <c r="I168" i="88"/>
  <c r="K146" i="88"/>
  <c r="J168" i="88"/>
  <c r="L146" i="88"/>
  <c r="K168" i="88"/>
  <c r="M146" i="88"/>
  <c r="L168" i="88"/>
  <c r="C147" i="88"/>
  <c r="D147" i="88"/>
  <c r="C169" i="88"/>
  <c r="E147" i="88"/>
  <c r="D169" i="88"/>
  <c r="F147" i="88"/>
  <c r="E169" i="88"/>
  <c r="G147" i="88"/>
  <c r="F169" i="88"/>
  <c r="H147" i="88"/>
  <c r="G169" i="88"/>
  <c r="I147" i="88"/>
  <c r="H169" i="88"/>
  <c r="J147" i="88"/>
  <c r="I169" i="88"/>
  <c r="K147" i="88"/>
  <c r="J169" i="88"/>
  <c r="L147" i="88"/>
  <c r="K169" i="88"/>
  <c r="M147" i="88"/>
  <c r="L169" i="88"/>
  <c r="C148" i="88"/>
  <c r="D148" i="88"/>
  <c r="C170" i="88"/>
  <c r="E148" i="88"/>
  <c r="D170" i="88"/>
  <c r="F148" i="88"/>
  <c r="E170" i="88"/>
  <c r="G148" i="88"/>
  <c r="F170" i="88"/>
  <c r="H148" i="88"/>
  <c r="G170" i="88"/>
  <c r="I148" i="88"/>
  <c r="H170" i="88"/>
  <c r="J148" i="88"/>
  <c r="I170" i="88"/>
  <c r="K148" i="88"/>
  <c r="J170" i="88"/>
  <c r="L148" i="88"/>
  <c r="K170" i="88"/>
  <c r="M148" i="88"/>
  <c r="L170" i="88"/>
  <c r="C149" i="88"/>
  <c r="D149" i="88"/>
  <c r="C171" i="88"/>
  <c r="E149" i="88"/>
  <c r="D171" i="88"/>
  <c r="F149" i="88"/>
  <c r="E171" i="88"/>
  <c r="G149" i="88"/>
  <c r="F171" i="88"/>
  <c r="H149" i="88"/>
  <c r="G171" i="88"/>
  <c r="I149" i="88"/>
  <c r="H171" i="88"/>
  <c r="J149" i="88"/>
  <c r="I171" i="88"/>
  <c r="K149" i="88"/>
  <c r="J171" i="88"/>
  <c r="L149" i="88"/>
  <c r="K171" i="88"/>
  <c r="M149" i="88"/>
  <c r="L171" i="88"/>
  <c r="C150" i="88"/>
  <c r="D150" i="88"/>
  <c r="C172" i="88"/>
  <c r="E150" i="88"/>
  <c r="D172" i="88"/>
  <c r="F150" i="88"/>
  <c r="E172" i="88"/>
  <c r="G150" i="88"/>
  <c r="F172" i="88"/>
  <c r="H150" i="88"/>
  <c r="G172" i="88"/>
  <c r="I150" i="88"/>
  <c r="H172" i="88"/>
  <c r="J150" i="88"/>
  <c r="I172" i="88"/>
  <c r="K150" i="88"/>
  <c r="J172" i="88"/>
  <c r="L150" i="88"/>
  <c r="K172" i="88"/>
  <c r="M150" i="88"/>
  <c r="L172" i="88"/>
  <c r="C151" i="88"/>
  <c r="D151" i="88"/>
  <c r="C173" i="88"/>
  <c r="E151" i="88"/>
  <c r="D173" i="88"/>
  <c r="F151" i="88"/>
  <c r="E173" i="88"/>
  <c r="G151" i="88"/>
  <c r="F173" i="88"/>
  <c r="H151" i="88"/>
  <c r="G173" i="88"/>
  <c r="I151" i="88"/>
  <c r="H173" i="88"/>
  <c r="J151" i="88"/>
  <c r="I173" i="88"/>
  <c r="K151" i="88"/>
  <c r="J173" i="88"/>
  <c r="L151" i="88"/>
  <c r="K173" i="88"/>
  <c r="M151" i="88"/>
  <c r="L173" i="88"/>
  <c r="C152" i="88"/>
  <c r="D152" i="88"/>
  <c r="C174" i="88"/>
  <c r="E152" i="88"/>
  <c r="D174" i="88"/>
  <c r="F152" i="88"/>
  <c r="E174" i="88"/>
  <c r="G152" i="88"/>
  <c r="F174" i="88"/>
  <c r="H152" i="88"/>
  <c r="G174" i="88"/>
  <c r="I152" i="88"/>
  <c r="H174" i="88"/>
  <c r="J152" i="88"/>
  <c r="I174" i="88"/>
  <c r="K152" i="88"/>
  <c r="J174" i="88"/>
  <c r="L152" i="88"/>
  <c r="K174" i="88"/>
  <c r="M152" i="88"/>
  <c r="L174" i="88"/>
  <c r="C153" i="88"/>
  <c r="D153" i="88"/>
  <c r="C175" i="88"/>
  <c r="E153" i="88"/>
  <c r="D175" i="88"/>
  <c r="F153" i="88"/>
  <c r="E175" i="88"/>
  <c r="G153" i="88"/>
  <c r="F175" i="88"/>
  <c r="H153" i="88"/>
  <c r="G175" i="88"/>
  <c r="I153" i="88"/>
  <c r="H175" i="88"/>
  <c r="J153" i="88"/>
  <c r="I175" i="88"/>
  <c r="K153" i="88"/>
  <c r="J175" i="88"/>
  <c r="L153" i="88"/>
  <c r="K175" i="88"/>
  <c r="M153" i="88"/>
  <c r="L175" i="88"/>
  <c r="C131" i="88"/>
  <c r="H17" i="98"/>
  <c r="P157" i="88"/>
  <c r="Q157" i="88"/>
  <c r="R157" i="88"/>
  <c r="S157" i="88"/>
  <c r="T157" i="88"/>
  <c r="V157" i="88"/>
  <c r="W157" i="88"/>
  <c r="X157" i="88"/>
  <c r="Y157" i="88"/>
  <c r="Z157" i="88"/>
  <c r="P158" i="88"/>
  <c r="Q158" i="88"/>
  <c r="R158" i="88"/>
  <c r="S158" i="88"/>
  <c r="T158" i="88"/>
  <c r="V158" i="88"/>
  <c r="W158" i="88"/>
  <c r="X158" i="88"/>
  <c r="Y158" i="88"/>
  <c r="Z158" i="88"/>
  <c r="P159" i="88"/>
  <c r="Q159" i="88"/>
  <c r="R159" i="88"/>
  <c r="S159" i="88"/>
  <c r="T159" i="88"/>
  <c r="V159" i="88"/>
  <c r="W159" i="88"/>
  <c r="X159" i="88"/>
  <c r="Y159" i="88"/>
  <c r="Z159" i="88"/>
  <c r="P160" i="88"/>
  <c r="Q160" i="88"/>
  <c r="R160" i="88"/>
  <c r="S160" i="88"/>
  <c r="T160" i="88"/>
  <c r="V160" i="88"/>
  <c r="W160" i="88"/>
  <c r="X160" i="88"/>
  <c r="Y160" i="88"/>
  <c r="Z160" i="88"/>
  <c r="P161" i="88"/>
  <c r="Q161" i="88"/>
  <c r="R161" i="88"/>
  <c r="S161" i="88"/>
  <c r="T161" i="88"/>
  <c r="V161" i="88"/>
  <c r="W161" i="88"/>
  <c r="X161" i="88"/>
  <c r="Y161" i="88"/>
  <c r="Z161" i="88"/>
  <c r="P162" i="88"/>
  <c r="Q162" i="88"/>
  <c r="R162" i="88"/>
  <c r="S162" i="88"/>
  <c r="T162" i="88"/>
  <c r="V162" i="88"/>
  <c r="W162" i="88"/>
  <c r="X162" i="88"/>
  <c r="Y162" i="88"/>
  <c r="Z162" i="88"/>
  <c r="P163" i="88"/>
  <c r="Q163" i="88"/>
  <c r="R163" i="88"/>
  <c r="S163" i="88"/>
  <c r="T163" i="88"/>
  <c r="V163" i="88"/>
  <c r="W163" i="88"/>
  <c r="X163" i="88"/>
  <c r="Y163" i="88"/>
  <c r="Z163" i="88"/>
  <c r="P164" i="88"/>
  <c r="Q164" i="88"/>
  <c r="R164" i="88"/>
  <c r="S164" i="88"/>
  <c r="T164" i="88"/>
  <c r="V164" i="88"/>
  <c r="W164" i="88"/>
  <c r="X164" i="88"/>
  <c r="Y164" i="88"/>
  <c r="Z164" i="88"/>
  <c r="P165" i="88"/>
  <c r="Q165" i="88"/>
  <c r="R165" i="88"/>
  <c r="S165" i="88"/>
  <c r="T165" i="88"/>
  <c r="V165" i="88"/>
  <c r="W165" i="88"/>
  <c r="X165" i="88"/>
  <c r="Y165" i="88"/>
  <c r="Z165" i="88"/>
  <c r="P166" i="88"/>
  <c r="Q166" i="88"/>
  <c r="R166" i="88"/>
  <c r="S166" i="88"/>
  <c r="T166" i="88"/>
  <c r="V166" i="88"/>
  <c r="W166" i="88"/>
  <c r="X166" i="88"/>
  <c r="Y166" i="88"/>
  <c r="Z166" i="88"/>
  <c r="P167" i="88"/>
  <c r="Q167" i="88"/>
  <c r="R167" i="88"/>
  <c r="S167" i="88"/>
  <c r="T167" i="88"/>
  <c r="V167" i="88"/>
  <c r="W167" i="88"/>
  <c r="X167" i="88"/>
  <c r="Y167" i="88"/>
  <c r="Z167" i="88"/>
  <c r="P168" i="88"/>
  <c r="Q168" i="88"/>
  <c r="R168" i="88"/>
  <c r="S168" i="88"/>
  <c r="T168" i="88"/>
  <c r="V168" i="88"/>
  <c r="W168" i="88"/>
  <c r="X168" i="88"/>
  <c r="Y168" i="88"/>
  <c r="Z168" i="88"/>
  <c r="P169" i="88"/>
  <c r="Q169" i="88"/>
  <c r="R169" i="88"/>
  <c r="S169" i="88"/>
  <c r="T169" i="88"/>
  <c r="V169" i="88"/>
  <c r="W169" i="88"/>
  <c r="X169" i="88"/>
  <c r="Y169" i="88"/>
  <c r="Z169" i="88"/>
  <c r="P170" i="88"/>
  <c r="Q170" i="88"/>
  <c r="R170" i="88"/>
  <c r="S170" i="88"/>
  <c r="T170" i="88"/>
  <c r="V170" i="88"/>
  <c r="W170" i="88"/>
  <c r="X170" i="88"/>
  <c r="Y170" i="88"/>
  <c r="Z170" i="88"/>
  <c r="P171" i="88"/>
  <c r="Q171" i="88"/>
  <c r="R171" i="88"/>
  <c r="S171" i="88"/>
  <c r="T171" i="88"/>
  <c r="V171" i="88"/>
  <c r="W171" i="88"/>
  <c r="X171" i="88"/>
  <c r="Y171" i="88"/>
  <c r="Z171" i="88"/>
  <c r="P172" i="88"/>
  <c r="Q172" i="88"/>
  <c r="R172" i="88"/>
  <c r="S172" i="88"/>
  <c r="T172" i="88"/>
  <c r="V172" i="88"/>
  <c r="W172" i="88"/>
  <c r="X172" i="88"/>
  <c r="Y172" i="88"/>
  <c r="Z172" i="88"/>
  <c r="P173" i="88"/>
  <c r="Q173" i="88"/>
  <c r="R173" i="88"/>
  <c r="S173" i="88"/>
  <c r="T173" i="88"/>
  <c r="V173" i="88"/>
  <c r="W173" i="88"/>
  <c r="X173" i="88"/>
  <c r="Y173" i="88"/>
  <c r="Z173" i="88"/>
  <c r="P174" i="88"/>
  <c r="Q174" i="88"/>
  <c r="R174" i="88"/>
  <c r="S174" i="88"/>
  <c r="T174" i="88"/>
  <c r="V174" i="88"/>
  <c r="W174" i="88"/>
  <c r="X174" i="88"/>
  <c r="Y174" i="88"/>
  <c r="Z174" i="88"/>
  <c r="H131" i="88"/>
  <c r="H18" i="98"/>
  <c r="C184" i="88"/>
  <c r="D184" i="88"/>
  <c r="C206" i="88"/>
  <c r="E184" i="88"/>
  <c r="D206" i="88"/>
  <c r="F184" i="88"/>
  <c r="E206" i="88"/>
  <c r="G184" i="88"/>
  <c r="F206" i="88"/>
  <c r="H184" i="88"/>
  <c r="G206" i="88"/>
  <c r="I184" i="88"/>
  <c r="H206" i="88"/>
  <c r="J184" i="88"/>
  <c r="I206" i="88"/>
  <c r="K184" i="88"/>
  <c r="J206" i="88"/>
  <c r="L184" i="88"/>
  <c r="K206" i="88"/>
  <c r="M184" i="88"/>
  <c r="L206" i="88"/>
  <c r="C185" i="88"/>
  <c r="D185" i="88"/>
  <c r="C207" i="88"/>
  <c r="E185" i="88"/>
  <c r="D207" i="88"/>
  <c r="F185" i="88"/>
  <c r="E207" i="88"/>
  <c r="G185" i="88"/>
  <c r="F207" i="88"/>
  <c r="H185" i="88"/>
  <c r="G207" i="88"/>
  <c r="I185" i="88"/>
  <c r="H207" i="88"/>
  <c r="J185" i="88"/>
  <c r="I207" i="88"/>
  <c r="K185" i="88"/>
  <c r="J207" i="88"/>
  <c r="L185" i="88"/>
  <c r="K207" i="88"/>
  <c r="M185" i="88"/>
  <c r="L207" i="88"/>
  <c r="C186" i="88"/>
  <c r="D186" i="88"/>
  <c r="C208" i="88"/>
  <c r="E186" i="88"/>
  <c r="D208" i="88"/>
  <c r="F186" i="88"/>
  <c r="E208" i="88"/>
  <c r="G186" i="88"/>
  <c r="F208" i="88"/>
  <c r="H186" i="88"/>
  <c r="G208" i="88"/>
  <c r="I186" i="88"/>
  <c r="H208" i="88"/>
  <c r="J186" i="88"/>
  <c r="I208" i="88"/>
  <c r="K186" i="88"/>
  <c r="J208" i="88"/>
  <c r="L186" i="88"/>
  <c r="K208" i="88"/>
  <c r="M186" i="88"/>
  <c r="L208" i="88"/>
  <c r="C187" i="88"/>
  <c r="D187" i="88"/>
  <c r="C209" i="88"/>
  <c r="E187" i="88"/>
  <c r="D209" i="88"/>
  <c r="F187" i="88"/>
  <c r="E209" i="88"/>
  <c r="G187" i="88"/>
  <c r="F209" i="88"/>
  <c r="H187" i="88"/>
  <c r="G209" i="88"/>
  <c r="I187" i="88"/>
  <c r="H209" i="88"/>
  <c r="J187" i="88"/>
  <c r="I209" i="88"/>
  <c r="K187" i="88"/>
  <c r="J209" i="88"/>
  <c r="L187" i="88"/>
  <c r="K209" i="88"/>
  <c r="M187" i="88"/>
  <c r="L209" i="88"/>
  <c r="C188" i="88"/>
  <c r="D188" i="88"/>
  <c r="C210" i="88"/>
  <c r="E188" i="88"/>
  <c r="D210" i="88"/>
  <c r="F188" i="88"/>
  <c r="E210" i="88"/>
  <c r="G188" i="88"/>
  <c r="F210" i="88"/>
  <c r="H188" i="88"/>
  <c r="G210" i="88"/>
  <c r="I188" i="88"/>
  <c r="H210" i="88"/>
  <c r="J188" i="88"/>
  <c r="I210" i="88"/>
  <c r="K188" i="88"/>
  <c r="J210" i="88"/>
  <c r="L188" i="88"/>
  <c r="K210" i="88"/>
  <c r="M188" i="88"/>
  <c r="L210" i="88"/>
  <c r="C189" i="88"/>
  <c r="D189" i="88"/>
  <c r="C211" i="88"/>
  <c r="E189" i="88"/>
  <c r="D211" i="88"/>
  <c r="F189" i="88"/>
  <c r="E211" i="88"/>
  <c r="G189" i="88"/>
  <c r="F211" i="88"/>
  <c r="H189" i="88"/>
  <c r="G211" i="88"/>
  <c r="I189" i="88"/>
  <c r="H211" i="88"/>
  <c r="J189" i="88"/>
  <c r="I211" i="88"/>
  <c r="K189" i="88"/>
  <c r="J211" i="88"/>
  <c r="L189" i="88"/>
  <c r="K211" i="88"/>
  <c r="M189" i="88"/>
  <c r="L211" i="88"/>
  <c r="C190" i="88"/>
  <c r="D190" i="88"/>
  <c r="C212" i="88"/>
  <c r="E190" i="88"/>
  <c r="D212" i="88"/>
  <c r="F190" i="88"/>
  <c r="E212" i="88"/>
  <c r="G190" i="88"/>
  <c r="F212" i="88"/>
  <c r="H190" i="88"/>
  <c r="G212" i="88"/>
  <c r="I190" i="88"/>
  <c r="H212" i="88"/>
  <c r="J190" i="88"/>
  <c r="I212" i="88"/>
  <c r="K190" i="88"/>
  <c r="J212" i="88"/>
  <c r="L190" i="88"/>
  <c r="K212" i="88"/>
  <c r="M190" i="88"/>
  <c r="L212" i="88"/>
  <c r="C191" i="88"/>
  <c r="D191" i="88"/>
  <c r="C213" i="88"/>
  <c r="E191" i="88"/>
  <c r="D213" i="88"/>
  <c r="F191" i="88"/>
  <c r="E213" i="88"/>
  <c r="G191" i="88"/>
  <c r="F213" i="88"/>
  <c r="H191" i="88"/>
  <c r="G213" i="88"/>
  <c r="I191" i="88"/>
  <c r="H213" i="88"/>
  <c r="J191" i="88"/>
  <c r="I213" i="88"/>
  <c r="K191" i="88"/>
  <c r="J213" i="88"/>
  <c r="L191" i="88"/>
  <c r="K213" i="88"/>
  <c r="M191" i="88"/>
  <c r="L213" i="88"/>
  <c r="C192" i="88"/>
  <c r="D192" i="88"/>
  <c r="C214" i="88"/>
  <c r="E192" i="88"/>
  <c r="D214" i="88"/>
  <c r="F192" i="88"/>
  <c r="E214" i="88"/>
  <c r="G192" i="88"/>
  <c r="F214" i="88"/>
  <c r="H192" i="88"/>
  <c r="G214" i="88"/>
  <c r="I192" i="88"/>
  <c r="H214" i="88"/>
  <c r="J192" i="88"/>
  <c r="I214" i="88"/>
  <c r="K192" i="88"/>
  <c r="J214" i="88"/>
  <c r="L192" i="88"/>
  <c r="K214" i="88"/>
  <c r="M192" i="88"/>
  <c r="L214" i="88"/>
  <c r="C193" i="88"/>
  <c r="D193" i="88"/>
  <c r="C215" i="88"/>
  <c r="E193" i="88"/>
  <c r="D215" i="88"/>
  <c r="F193" i="88"/>
  <c r="E215" i="88"/>
  <c r="G193" i="88"/>
  <c r="F215" i="88"/>
  <c r="H193" i="88"/>
  <c r="G215" i="88"/>
  <c r="I193" i="88"/>
  <c r="H215" i="88"/>
  <c r="J193" i="88"/>
  <c r="I215" i="88"/>
  <c r="K193" i="88"/>
  <c r="J215" i="88"/>
  <c r="L193" i="88"/>
  <c r="K215" i="88"/>
  <c r="M193" i="88"/>
  <c r="L215" i="88"/>
  <c r="C194" i="88"/>
  <c r="D194" i="88"/>
  <c r="C216" i="88"/>
  <c r="E194" i="88"/>
  <c r="D216" i="88"/>
  <c r="F194" i="88"/>
  <c r="E216" i="88"/>
  <c r="G194" i="88"/>
  <c r="F216" i="88"/>
  <c r="H194" i="88"/>
  <c r="G216" i="88"/>
  <c r="I194" i="88"/>
  <c r="H216" i="88"/>
  <c r="J194" i="88"/>
  <c r="I216" i="88"/>
  <c r="K194" i="88"/>
  <c r="J216" i="88"/>
  <c r="L194" i="88"/>
  <c r="K216" i="88"/>
  <c r="M194" i="88"/>
  <c r="L216" i="88"/>
  <c r="C195" i="88"/>
  <c r="D195" i="88"/>
  <c r="C217" i="88"/>
  <c r="E195" i="88"/>
  <c r="D217" i="88"/>
  <c r="F195" i="88"/>
  <c r="E217" i="88"/>
  <c r="G195" i="88"/>
  <c r="F217" i="88"/>
  <c r="H195" i="88"/>
  <c r="G217" i="88"/>
  <c r="I195" i="88"/>
  <c r="H217" i="88"/>
  <c r="J195" i="88"/>
  <c r="I217" i="88"/>
  <c r="K195" i="88"/>
  <c r="J217" i="88"/>
  <c r="L195" i="88"/>
  <c r="K217" i="88"/>
  <c r="M195" i="88"/>
  <c r="L217" i="88"/>
  <c r="C196" i="88"/>
  <c r="D196" i="88"/>
  <c r="C218" i="88"/>
  <c r="E196" i="88"/>
  <c r="D218" i="88"/>
  <c r="F196" i="88"/>
  <c r="E218" i="88"/>
  <c r="G196" i="88"/>
  <c r="F218" i="88"/>
  <c r="H196" i="88"/>
  <c r="G218" i="88"/>
  <c r="I196" i="88"/>
  <c r="H218" i="88"/>
  <c r="J196" i="88"/>
  <c r="I218" i="88"/>
  <c r="K196" i="88"/>
  <c r="J218" i="88"/>
  <c r="L196" i="88"/>
  <c r="K218" i="88"/>
  <c r="M196" i="88"/>
  <c r="L218" i="88"/>
  <c r="C197" i="88"/>
  <c r="D197" i="88"/>
  <c r="C219" i="88"/>
  <c r="E197" i="88"/>
  <c r="D219" i="88"/>
  <c r="F197" i="88"/>
  <c r="E219" i="88"/>
  <c r="G197" i="88"/>
  <c r="F219" i="88"/>
  <c r="H197" i="88"/>
  <c r="G219" i="88"/>
  <c r="I197" i="88"/>
  <c r="H219" i="88"/>
  <c r="J197" i="88"/>
  <c r="I219" i="88"/>
  <c r="K197" i="88"/>
  <c r="J219" i="88"/>
  <c r="L197" i="88"/>
  <c r="K219" i="88"/>
  <c r="M197" i="88"/>
  <c r="L219" i="88"/>
  <c r="C198" i="88"/>
  <c r="D198" i="88"/>
  <c r="C220" i="88"/>
  <c r="E198" i="88"/>
  <c r="D220" i="88"/>
  <c r="F198" i="88"/>
  <c r="E220" i="88"/>
  <c r="G198" i="88"/>
  <c r="F220" i="88"/>
  <c r="H198" i="88"/>
  <c r="G220" i="88"/>
  <c r="I198" i="88"/>
  <c r="H220" i="88"/>
  <c r="J198" i="88"/>
  <c r="I220" i="88"/>
  <c r="K198" i="88"/>
  <c r="J220" i="88"/>
  <c r="L198" i="88"/>
  <c r="K220" i="88"/>
  <c r="M198" i="88"/>
  <c r="L220" i="88"/>
  <c r="C199" i="88"/>
  <c r="D199" i="88"/>
  <c r="C221" i="88"/>
  <c r="E199" i="88"/>
  <c r="D221" i="88"/>
  <c r="F199" i="88"/>
  <c r="E221" i="88"/>
  <c r="G199" i="88"/>
  <c r="F221" i="88"/>
  <c r="H199" i="88"/>
  <c r="G221" i="88"/>
  <c r="I199" i="88"/>
  <c r="H221" i="88"/>
  <c r="J199" i="88"/>
  <c r="I221" i="88"/>
  <c r="K199" i="88"/>
  <c r="J221" i="88"/>
  <c r="L199" i="88"/>
  <c r="K221" i="88"/>
  <c r="M199" i="88"/>
  <c r="L221" i="88"/>
  <c r="C200" i="88"/>
  <c r="D200" i="88"/>
  <c r="C222" i="88"/>
  <c r="E200" i="88"/>
  <c r="D222" i="88"/>
  <c r="F200" i="88"/>
  <c r="E222" i="88"/>
  <c r="G200" i="88"/>
  <c r="F222" i="88"/>
  <c r="H200" i="88"/>
  <c r="G222" i="88"/>
  <c r="I200" i="88"/>
  <c r="H222" i="88"/>
  <c r="J200" i="88"/>
  <c r="I222" i="88"/>
  <c r="K200" i="88"/>
  <c r="J222" i="88"/>
  <c r="L200" i="88"/>
  <c r="K222" i="88"/>
  <c r="M200" i="88"/>
  <c r="L222" i="88"/>
  <c r="C201" i="88"/>
  <c r="D201" i="88"/>
  <c r="C223" i="88"/>
  <c r="E201" i="88"/>
  <c r="D223" i="88"/>
  <c r="F201" i="88"/>
  <c r="E223" i="88"/>
  <c r="G201" i="88"/>
  <c r="F223" i="88"/>
  <c r="H201" i="88"/>
  <c r="G223" i="88"/>
  <c r="I201" i="88"/>
  <c r="H223" i="88"/>
  <c r="J201" i="88"/>
  <c r="I223" i="88"/>
  <c r="K201" i="88"/>
  <c r="J223" i="88"/>
  <c r="L201" i="88"/>
  <c r="K223" i="88"/>
  <c r="M201" i="88"/>
  <c r="L223" i="88"/>
  <c r="C202" i="88"/>
  <c r="D202" i="88"/>
  <c r="C224" i="88"/>
  <c r="E202" i="88"/>
  <c r="D224" i="88"/>
  <c r="F202" i="88"/>
  <c r="E224" i="88"/>
  <c r="G202" i="88"/>
  <c r="F224" i="88"/>
  <c r="H202" i="88"/>
  <c r="G224" i="88"/>
  <c r="I202" i="88"/>
  <c r="H224" i="88"/>
  <c r="J202" i="88"/>
  <c r="I224" i="88"/>
  <c r="K202" i="88"/>
  <c r="J224" i="88"/>
  <c r="L202" i="88"/>
  <c r="K224" i="88"/>
  <c r="M202" i="88"/>
  <c r="L224" i="88"/>
  <c r="C180" i="88"/>
  <c r="H21" i="98"/>
  <c r="P206" i="88"/>
  <c r="Q206" i="88"/>
  <c r="R206" i="88"/>
  <c r="S206" i="88"/>
  <c r="T206" i="88"/>
  <c r="V206" i="88"/>
  <c r="W206" i="88"/>
  <c r="X206" i="88"/>
  <c r="Y206" i="88"/>
  <c r="Z206" i="88"/>
  <c r="P207" i="88"/>
  <c r="Q207" i="88"/>
  <c r="R207" i="88"/>
  <c r="S207" i="88"/>
  <c r="T207" i="88"/>
  <c r="V207" i="88"/>
  <c r="W207" i="88"/>
  <c r="X207" i="88"/>
  <c r="Y207" i="88"/>
  <c r="Z207" i="88"/>
  <c r="P208" i="88"/>
  <c r="Q208" i="88"/>
  <c r="R208" i="88"/>
  <c r="S208" i="88"/>
  <c r="T208" i="88"/>
  <c r="V208" i="88"/>
  <c r="W208" i="88"/>
  <c r="X208" i="88"/>
  <c r="Y208" i="88"/>
  <c r="Z208" i="88"/>
  <c r="P209" i="88"/>
  <c r="Q209" i="88"/>
  <c r="R209" i="88"/>
  <c r="S209" i="88"/>
  <c r="T209" i="88"/>
  <c r="V209" i="88"/>
  <c r="W209" i="88"/>
  <c r="X209" i="88"/>
  <c r="Y209" i="88"/>
  <c r="Z209" i="88"/>
  <c r="P210" i="88"/>
  <c r="Q210" i="88"/>
  <c r="R210" i="88"/>
  <c r="S210" i="88"/>
  <c r="T210" i="88"/>
  <c r="V210" i="88"/>
  <c r="W210" i="88"/>
  <c r="X210" i="88"/>
  <c r="Y210" i="88"/>
  <c r="Z210" i="88"/>
  <c r="P211" i="88"/>
  <c r="Q211" i="88"/>
  <c r="R211" i="88"/>
  <c r="S211" i="88"/>
  <c r="T211" i="88"/>
  <c r="V211" i="88"/>
  <c r="W211" i="88"/>
  <c r="X211" i="88"/>
  <c r="Y211" i="88"/>
  <c r="Z211" i="88"/>
  <c r="P212" i="88"/>
  <c r="Q212" i="88"/>
  <c r="R212" i="88"/>
  <c r="S212" i="88"/>
  <c r="T212" i="88"/>
  <c r="V212" i="88"/>
  <c r="W212" i="88"/>
  <c r="X212" i="88"/>
  <c r="Y212" i="88"/>
  <c r="Z212" i="88"/>
  <c r="P213" i="88"/>
  <c r="Q213" i="88"/>
  <c r="R213" i="88"/>
  <c r="S213" i="88"/>
  <c r="T213" i="88"/>
  <c r="V213" i="88"/>
  <c r="W213" i="88"/>
  <c r="X213" i="88"/>
  <c r="Y213" i="88"/>
  <c r="Z213" i="88"/>
  <c r="P214" i="88"/>
  <c r="Q214" i="88"/>
  <c r="R214" i="88"/>
  <c r="S214" i="88"/>
  <c r="T214" i="88"/>
  <c r="V214" i="88"/>
  <c r="W214" i="88"/>
  <c r="X214" i="88"/>
  <c r="Y214" i="88"/>
  <c r="Z214" i="88"/>
  <c r="P215" i="88"/>
  <c r="Q215" i="88"/>
  <c r="R215" i="88"/>
  <c r="S215" i="88"/>
  <c r="T215" i="88"/>
  <c r="V215" i="88"/>
  <c r="W215" i="88"/>
  <c r="X215" i="88"/>
  <c r="Y215" i="88"/>
  <c r="Z215" i="88"/>
  <c r="P216" i="88"/>
  <c r="Q216" i="88"/>
  <c r="R216" i="88"/>
  <c r="S216" i="88"/>
  <c r="T216" i="88"/>
  <c r="V216" i="88"/>
  <c r="W216" i="88"/>
  <c r="X216" i="88"/>
  <c r="Y216" i="88"/>
  <c r="Z216" i="88"/>
  <c r="P217" i="88"/>
  <c r="Q217" i="88"/>
  <c r="R217" i="88"/>
  <c r="S217" i="88"/>
  <c r="T217" i="88"/>
  <c r="V217" i="88"/>
  <c r="W217" i="88"/>
  <c r="X217" i="88"/>
  <c r="Y217" i="88"/>
  <c r="Z217" i="88"/>
  <c r="P218" i="88"/>
  <c r="Q218" i="88"/>
  <c r="R218" i="88"/>
  <c r="S218" i="88"/>
  <c r="T218" i="88"/>
  <c r="V218" i="88"/>
  <c r="W218" i="88"/>
  <c r="X218" i="88"/>
  <c r="Y218" i="88"/>
  <c r="Z218" i="88"/>
  <c r="P219" i="88"/>
  <c r="Q219" i="88"/>
  <c r="R219" i="88"/>
  <c r="S219" i="88"/>
  <c r="T219" i="88"/>
  <c r="V219" i="88"/>
  <c r="W219" i="88"/>
  <c r="X219" i="88"/>
  <c r="Y219" i="88"/>
  <c r="Z219" i="88"/>
  <c r="P220" i="88"/>
  <c r="Q220" i="88"/>
  <c r="R220" i="88"/>
  <c r="S220" i="88"/>
  <c r="T220" i="88"/>
  <c r="V220" i="88"/>
  <c r="W220" i="88"/>
  <c r="X220" i="88"/>
  <c r="Y220" i="88"/>
  <c r="Z220" i="88"/>
  <c r="P221" i="88"/>
  <c r="Q221" i="88"/>
  <c r="R221" i="88"/>
  <c r="S221" i="88"/>
  <c r="T221" i="88"/>
  <c r="V221" i="88"/>
  <c r="W221" i="88"/>
  <c r="X221" i="88"/>
  <c r="Y221" i="88"/>
  <c r="Z221" i="88"/>
  <c r="P222" i="88"/>
  <c r="Q222" i="88"/>
  <c r="R222" i="88"/>
  <c r="S222" i="88"/>
  <c r="T222" i="88"/>
  <c r="V222" i="88"/>
  <c r="W222" i="88"/>
  <c r="X222" i="88"/>
  <c r="Y222" i="88"/>
  <c r="Z222" i="88"/>
  <c r="P223" i="88"/>
  <c r="Q223" i="88"/>
  <c r="R223" i="88"/>
  <c r="S223" i="88"/>
  <c r="T223" i="88"/>
  <c r="V223" i="88"/>
  <c r="W223" i="88"/>
  <c r="X223" i="88"/>
  <c r="Y223" i="88"/>
  <c r="Z223" i="88"/>
  <c r="H180" i="88"/>
  <c r="H22" i="98"/>
  <c r="C233" i="88"/>
  <c r="D233" i="88"/>
  <c r="C255" i="88"/>
  <c r="E233" i="88"/>
  <c r="D255" i="88"/>
  <c r="F233" i="88"/>
  <c r="E255" i="88"/>
  <c r="G233" i="88"/>
  <c r="F255" i="88"/>
  <c r="H233" i="88"/>
  <c r="G255" i="88"/>
  <c r="I233" i="88"/>
  <c r="H255" i="88"/>
  <c r="J233" i="88"/>
  <c r="I255" i="88"/>
  <c r="K233" i="88"/>
  <c r="J255" i="88"/>
  <c r="L233" i="88"/>
  <c r="K255" i="88"/>
  <c r="M233" i="88"/>
  <c r="L255" i="88"/>
  <c r="C234" i="88"/>
  <c r="D234" i="88"/>
  <c r="C256" i="88"/>
  <c r="E234" i="88"/>
  <c r="D256" i="88"/>
  <c r="F234" i="88"/>
  <c r="E256" i="88"/>
  <c r="G234" i="88"/>
  <c r="F256" i="88"/>
  <c r="H234" i="88"/>
  <c r="G256" i="88"/>
  <c r="I234" i="88"/>
  <c r="H256" i="88"/>
  <c r="J234" i="88"/>
  <c r="I256" i="88"/>
  <c r="K234" i="88"/>
  <c r="J256" i="88"/>
  <c r="L234" i="88"/>
  <c r="K256" i="88"/>
  <c r="M234" i="88"/>
  <c r="L256" i="88"/>
  <c r="C235" i="88"/>
  <c r="D235" i="88"/>
  <c r="C257" i="88"/>
  <c r="E235" i="88"/>
  <c r="D257" i="88"/>
  <c r="F235" i="88"/>
  <c r="E257" i="88"/>
  <c r="G235" i="88"/>
  <c r="F257" i="88"/>
  <c r="H235" i="88"/>
  <c r="G257" i="88"/>
  <c r="I235" i="88"/>
  <c r="H257" i="88"/>
  <c r="J235" i="88"/>
  <c r="I257" i="88"/>
  <c r="K235" i="88"/>
  <c r="J257" i="88"/>
  <c r="L235" i="88"/>
  <c r="K257" i="88"/>
  <c r="M235" i="88"/>
  <c r="L257" i="88"/>
  <c r="C236" i="88"/>
  <c r="D236" i="88"/>
  <c r="C258" i="88"/>
  <c r="E236" i="88"/>
  <c r="D258" i="88"/>
  <c r="F236" i="88"/>
  <c r="E258" i="88"/>
  <c r="G236" i="88"/>
  <c r="F258" i="88"/>
  <c r="H236" i="88"/>
  <c r="G258" i="88"/>
  <c r="I236" i="88"/>
  <c r="H258" i="88"/>
  <c r="J236" i="88"/>
  <c r="I258" i="88"/>
  <c r="K236" i="88"/>
  <c r="J258" i="88"/>
  <c r="L236" i="88"/>
  <c r="K258" i="88"/>
  <c r="M236" i="88"/>
  <c r="L258" i="88"/>
  <c r="C237" i="88"/>
  <c r="D237" i="88"/>
  <c r="C259" i="88"/>
  <c r="E237" i="88"/>
  <c r="D259" i="88"/>
  <c r="F237" i="88"/>
  <c r="E259" i="88"/>
  <c r="G237" i="88"/>
  <c r="F259" i="88"/>
  <c r="H237" i="88"/>
  <c r="G259" i="88"/>
  <c r="I237" i="88"/>
  <c r="H259" i="88"/>
  <c r="J237" i="88"/>
  <c r="I259" i="88"/>
  <c r="K237" i="88"/>
  <c r="J259" i="88"/>
  <c r="L237" i="88"/>
  <c r="K259" i="88"/>
  <c r="M237" i="88"/>
  <c r="L259" i="88"/>
  <c r="C238" i="88"/>
  <c r="D238" i="88"/>
  <c r="C260" i="88"/>
  <c r="E238" i="88"/>
  <c r="D260" i="88"/>
  <c r="F238" i="88"/>
  <c r="E260" i="88"/>
  <c r="G238" i="88"/>
  <c r="F260" i="88"/>
  <c r="H238" i="88"/>
  <c r="G260" i="88"/>
  <c r="I238" i="88"/>
  <c r="H260" i="88"/>
  <c r="J238" i="88"/>
  <c r="I260" i="88"/>
  <c r="K238" i="88"/>
  <c r="J260" i="88"/>
  <c r="L238" i="88"/>
  <c r="K260" i="88"/>
  <c r="M238" i="88"/>
  <c r="L260" i="88"/>
  <c r="C239" i="88"/>
  <c r="D239" i="88"/>
  <c r="C261" i="88"/>
  <c r="E239" i="88"/>
  <c r="D261" i="88"/>
  <c r="F239" i="88"/>
  <c r="E261" i="88"/>
  <c r="G239" i="88"/>
  <c r="F261" i="88"/>
  <c r="H239" i="88"/>
  <c r="G261" i="88"/>
  <c r="I239" i="88"/>
  <c r="H261" i="88"/>
  <c r="J239" i="88"/>
  <c r="I261" i="88"/>
  <c r="K239" i="88"/>
  <c r="J261" i="88"/>
  <c r="L239" i="88"/>
  <c r="K261" i="88"/>
  <c r="M239" i="88"/>
  <c r="L261" i="88"/>
  <c r="C240" i="88"/>
  <c r="D240" i="88"/>
  <c r="C262" i="88"/>
  <c r="E240" i="88"/>
  <c r="D262" i="88"/>
  <c r="F240" i="88"/>
  <c r="E262" i="88"/>
  <c r="G240" i="88"/>
  <c r="F262" i="88"/>
  <c r="H240" i="88"/>
  <c r="G262" i="88"/>
  <c r="I240" i="88"/>
  <c r="H262" i="88"/>
  <c r="J240" i="88"/>
  <c r="I262" i="88"/>
  <c r="K240" i="88"/>
  <c r="J262" i="88"/>
  <c r="L240" i="88"/>
  <c r="K262" i="88"/>
  <c r="M240" i="88"/>
  <c r="L262" i="88"/>
  <c r="C241" i="88"/>
  <c r="D241" i="88"/>
  <c r="C263" i="88"/>
  <c r="E241" i="88"/>
  <c r="D263" i="88"/>
  <c r="F241" i="88"/>
  <c r="E263" i="88"/>
  <c r="G241" i="88"/>
  <c r="F263" i="88"/>
  <c r="H241" i="88"/>
  <c r="G263" i="88"/>
  <c r="I241" i="88"/>
  <c r="H263" i="88"/>
  <c r="J241" i="88"/>
  <c r="I263" i="88"/>
  <c r="K241" i="88"/>
  <c r="J263" i="88"/>
  <c r="L241" i="88"/>
  <c r="K263" i="88"/>
  <c r="M241" i="88"/>
  <c r="L263" i="88"/>
  <c r="C242" i="88"/>
  <c r="D242" i="88"/>
  <c r="C264" i="88"/>
  <c r="E242" i="88"/>
  <c r="D264" i="88"/>
  <c r="F242" i="88"/>
  <c r="E264" i="88"/>
  <c r="G242" i="88"/>
  <c r="F264" i="88"/>
  <c r="H242" i="88"/>
  <c r="G264" i="88"/>
  <c r="I242" i="88"/>
  <c r="H264" i="88"/>
  <c r="J242" i="88"/>
  <c r="I264" i="88"/>
  <c r="K242" i="88"/>
  <c r="J264" i="88"/>
  <c r="L242" i="88"/>
  <c r="K264" i="88"/>
  <c r="M242" i="88"/>
  <c r="L264" i="88"/>
  <c r="C243" i="88"/>
  <c r="D243" i="88"/>
  <c r="C265" i="88"/>
  <c r="E243" i="88"/>
  <c r="D265" i="88"/>
  <c r="F243" i="88"/>
  <c r="E265" i="88"/>
  <c r="G243" i="88"/>
  <c r="F265" i="88"/>
  <c r="H243" i="88"/>
  <c r="G265" i="88"/>
  <c r="I243" i="88"/>
  <c r="H265" i="88"/>
  <c r="J243" i="88"/>
  <c r="I265" i="88"/>
  <c r="K243" i="88"/>
  <c r="J265" i="88"/>
  <c r="L243" i="88"/>
  <c r="K265" i="88"/>
  <c r="M243" i="88"/>
  <c r="L265" i="88"/>
  <c r="C244" i="88"/>
  <c r="D244" i="88"/>
  <c r="C266" i="88"/>
  <c r="E244" i="88"/>
  <c r="D266" i="88"/>
  <c r="F244" i="88"/>
  <c r="E266" i="88"/>
  <c r="G244" i="88"/>
  <c r="F266" i="88"/>
  <c r="H244" i="88"/>
  <c r="G266" i="88"/>
  <c r="I244" i="88"/>
  <c r="H266" i="88"/>
  <c r="J244" i="88"/>
  <c r="I266" i="88"/>
  <c r="K244" i="88"/>
  <c r="J266" i="88"/>
  <c r="L244" i="88"/>
  <c r="K266" i="88"/>
  <c r="M244" i="88"/>
  <c r="L266" i="88"/>
  <c r="C245" i="88"/>
  <c r="D245" i="88"/>
  <c r="C267" i="88"/>
  <c r="E245" i="88"/>
  <c r="D267" i="88"/>
  <c r="F245" i="88"/>
  <c r="E267" i="88"/>
  <c r="G245" i="88"/>
  <c r="F267" i="88"/>
  <c r="H245" i="88"/>
  <c r="G267" i="88"/>
  <c r="I245" i="88"/>
  <c r="H267" i="88"/>
  <c r="J245" i="88"/>
  <c r="I267" i="88"/>
  <c r="K245" i="88"/>
  <c r="J267" i="88"/>
  <c r="L245" i="88"/>
  <c r="K267" i="88"/>
  <c r="M245" i="88"/>
  <c r="L267" i="88"/>
  <c r="C246" i="88"/>
  <c r="D246" i="88"/>
  <c r="C268" i="88"/>
  <c r="E246" i="88"/>
  <c r="D268" i="88"/>
  <c r="F246" i="88"/>
  <c r="E268" i="88"/>
  <c r="G246" i="88"/>
  <c r="F268" i="88"/>
  <c r="H246" i="88"/>
  <c r="G268" i="88"/>
  <c r="I246" i="88"/>
  <c r="H268" i="88"/>
  <c r="J246" i="88"/>
  <c r="I268" i="88"/>
  <c r="K246" i="88"/>
  <c r="J268" i="88"/>
  <c r="L246" i="88"/>
  <c r="K268" i="88"/>
  <c r="M246" i="88"/>
  <c r="L268" i="88"/>
  <c r="C247" i="88"/>
  <c r="D247" i="88"/>
  <c r="C269" i="88"/>
  <c r="E247" i="88"/>
  <c r="D269" i="88"/>
  <c r="F247" i="88"/>
  <c r="E269" i="88"/>
  <c r="G247" i="88"/>
  <c r="F269" i="88"/>
  <c r="H247" i="88"/>
  <c r="G269" i="88"/>
  <c r="I247" i="88"/>
  <c r="H269" i="88"/>
  <c r="J247" i="88"/>
  <c r="I269" i="88"/>
  <c r="K247" i="88"/>
  <c r="J269" i="88"/>
  <c r="L247" i="88"/>
  <c r="K269" i="88"/>
  <c r="M247" i="88"/>
  <c r="L269" i="88"/>
  <c r="C248" i="88"/>
  <c r="D248" i="88"/>
  <c r="C270" i="88"/>
  <c r="E248" i="88"/>
  <c r="D270" i="88"/>
  <c r="F248" i="88"/>
  <c r="E270" i="88"/>
  <c r="G248" i="88"/>
  <c r="F270" i="88"/>
  <c r="H248" i="88"/>
  <c r="G270" i="88"/>
  <c r="I248" i="88"/>
  <c r="H270" i="88"/>
  <c r="J248" i="88"/>
  <c r="I270" i="88"/>
  <c r="K248" i="88"/>
  <c r="J270" i="88"/>
  <c r="L248" i="88"/>
  <c r="K270" i="88"/>
  <c r="M248" i="88"/>
  <c r="L270" i="88"/>
  <c r="C249" i="88"/>
  <c r="D249" i="88"/>
  <c r="C271" i="88"/>
  <c r="E249" i="88"/>
  <c r="D271" i="88"/>
  <c r="F249" i="88"/>
  <c r="E271" i="88"/>
  <c r="G249" i="88"/>
  <c r="F271" i="88"/>
  <c r="H249" i="88"/>
  <c r="G271" i="88"/>
  <c r="I249" i="88"/>
  <c r="H271" i="88"/>
  <c r="J249" i="88"/>
  <c r="I271" i="88"/>
  <c r="K249" i="88"/>
  <c r="J271" i="88"/>
  <c r="L249" i="88"/>
  <c r="K271" i="88"/>
  <c r="M249" i="88"/>
  <c r="L271" i="88"/>
  <c r="C250" i="88"/>
  <c r="D250" i="88"/>
  <c r="C272" i="88"/>
  <c r="E250" i="88"/>
  <c r="D272" i="88"/>
  <c r="F250" i="88"/>
  <c r="E272" i="88"/>
  <c r="G250" i="88"/>
  <c r="F272" i="88"/>
  <c r="H250" i="88"/>
  <c r="G272" i="88"/>
  <c r="I250" i="88"/>
  <c r="H272" i="88"/>
  <c r="J250" i="88"/>
  <c r="I272" i="88"/>
  <c r="K250" i="88"/>
  <c r="J272" i="88"/>
  <c r="L250" i="88"/>
  <c r="K272" i="88"/>
  <c r="M250" i="88"/>
  <c r="L272" i="88"/>
  <c r="C251" i="88"/>
  <c r="D251" i="88"/>
  <c r="C273" i="88"/>
  <c r="E251" i="88"/>
  <c r="D273" i="88"/>
  <c r="F251" i="88"/>
  <c r="E273" i="88"/>
  <c r="G251" i="88"/>
  <c r="F273" i="88"/>
  <c r="H251" i="88"/>
  <c r="G273" i="88"/>
  <c r="I251" i="88"/>
  <c r="H273" i="88"/>
  <c r="J251" i="88"/>
  <c r="I273" i="88"/>
  <c r="K251" i="88"/>
  <c r="J273" i="88"/>
  <c r="L251" i="88"/>
  <c r="K273" i="88"/>
  <c r="M251" i="88"/>
  <c r="L273" i="88"/>
  <c r="C229" i="88"/>
  <c r="H25" i="98"/>
  <c r="P255" i="88"/>
  <c r="Q255" i="88"/>
  <c r="R255" i="88"/>
  <c r="S255" i="88"/>
  <c r="T255" i="88"/>
  <c r="V255" i="88"/>
  <c r="W255" i="88"/>
  <c r="X255" i="88"/>
  <c r="Y255" i="88"/>
  <c r="Z255" i="88"/>
  <c r="P256" i="88"/>
  <c r="Q256" i="88"/>
  <c r="R256" i="88"/>
  <c r="S256" i="88"/>
  <c r="T256" i="88"/>
  <c r="V256" i="88"/>
  <c r="W256" i="88"/>
  <c r="X256" i="88"/>
  <c r="Y256" i="88"/>
  <c r="Z256" i="88"/>
  <c r="P257" i="88"/>
  <c r="Q257" i="88"/>
  <c r="R257" i="88"/>
  <c r="S257" i="88"/>
  <c r="T257" i="88"/>
  <c r="V257" i="88"/>
  <c r="W257" i="88"/>
  <c r="X257" i="88"/>
  <c r="Y257" i="88"/>
  <c r="Z257" i="88"/>
  <c r="P258" i="88"/>
  <c r="Q258" i="88"/>
  <c r="R258" i="88"/>
  <c r="S258" i="88"/>
  <c r="T258" i="88"/>
  <c r="V258" i="88"/>
  <c r="W258" i="88"/>
  <c r="X258" i="88"/>
  <c r="Y258" i="88"/>
  <c r="Z258" i="88"/>
  <c r="P259" i="88"/>
  <c r="Q259" i="88"/>
  <c r="R259" i="88"/>
  <c r="S259" i="88"/>
  <c r="T259" i="88"/>
  <c r="V259" i="88"/>
  <c r="W259" i="88"/>
  <c r="X259" i="88"/>
  <c r="Y259" i="88"/>
  <c r="Z259" i="88"/>
  <c r="P260" i="88"/>
  <c r="Q260" i="88"/>
  <c r="R260" i="88"/>
  <c r="S260" i="88"/>
  <c r="T260" i="88"/>
  <c r="V260" i="88"/>
  <c r="W260" i="88"/>
  <c r="X260" i="88"/>
  <c r="Y260" i="88"/>
  <c r="Z260" i="88"/>
  <c r="P261" i="88"/>
  <c r="Q261" i="88"/>
  <c r="R261" i="88"/>
  <c r="S261" i="88"/>
  <c r="T261" i="88"/>
  <c r="V261" i="88"/>
  <c r="W261" i="88"/>
  <c r="X261" i="88"/>
  <c r="Y261" i="88"/>
  <c r="Z261" i="88"/>
  <c r="P262" i="88"/>
  <c r="Q262" i="88"/>
  <c r="R262" i="88"/>
  <c r="S262" i="88"/>
  <c r="T262" i="88"/>
  <c r="V262" i="88"/>
  <c r="W262" i="88"/>
  <c r="X262" i="88"/>
  <c r="Y262" i="88"/>
  <c r="Z262" i="88"/>
  <c r="P263" i="88"/>
  <c r="Q263" i="88"/>
  <c r="R263" i="88"/>
  <c r="S263" i="88"/>
  <c r="T263" i="88"/>
  <c r="V263" i="88"/>
  <c r="W263" i="88"/>
  <c r="X263" i="88"/>
  <c r="Y263" i="88"/>
  <c r="Z263" i="88"/>
  <c r="P264" i="88"/>
  <c r="Q264" i="88"/>
  <c r="R264" i="88"/>
  <c r="S264" i="88"/>
  <c r="T264" i="88"/>
  <c r="V264" i="88"/>
  <c r="W264" i="88"/>
  <c r="X264" i="88"/>
  <c r="Y264" i="88"/>
  <c r="Z264" i="88"/>
  <c r="P265" i="88"/>
  <c r="Q265" i="88"/>
  <c r="R265" i="88"/>
  <c r="S265" i="88"/>
  <c r="T265" i="88"/>
  <c r="V265" i="88"/>
  <c r="W265" i="88"/>
  <c r="X265" i="88"/>
  <c r="Y265" i="88"/>
  <c r="Z265" i="88"/>
  <c r="P266" i="88"/>
  <c r="Q266" i="88"/>
  <c r="R266" i="88"/>
  <c r="S266" i="88"/>
  <c r="T266" i="88"/>
  <c r="V266" i="88"/>
  <c r="W266" i="88"/>
  <c r="X266" i="88"/>
  <c r="Y266" i="88"/>
  <c r="Z266" i="88"/>
  <c r="P267" i="88"/>
  <c r="Q267" i="88"/>
  <c r="R267" i="88"/>
  <c r="S267" i="88"/>
  <c r="T267" i="88"/>
  <c r="V267" i="88"/>
  <c r="W267" i="88"/>
  <c r="X267" i="88"/>
  <c r="Y267" i="88"/>
  <c r="Z267" i="88"/>
  <c r="P268" i="88"/>
  <c r="Q268" i="88"/>
  <c r="R268" i="88"/>
  <c r="S268" i="88"/>
  <c r="T268" i="88"/>
  <c r="V268" i="88"/>
  <c r="W268" i="88"/>
  <c r="X268" i="88"/>
  <c r="Y268" i="88"/>
  <c r="Z268" i="88"/>
  <c r="P269" i="88"/>
  <c r="Q269" i="88"/>
  <c r="R269" i="88"/>
  <c r="S269" i="88"/>
  <c r="T269" i="88"/>
  <c r="V269" i="88"/>
  <c r="W269" i="88"/>
  <c r="X269" i="88"/>
  <c r="Y269" i="88"/>
  <c r="Z269" i="88"/>
  <c r="P270" i="88"/>
  <c r="Q270" i="88"/>
  <c r="R270" i="88"/>
  <c r="S270" i="88"/>
  <c r="T270" i="88"/>
  <c r="V270" i="88"/>
  <c r="W270" i="88"/>
  <c r="X270" i="88"/>
  <c r="Y270" i="88"/>
  <c r="Z270" i="88"/>
  <c r="P271" i="88"/>
  <c r="Q271" i="88"/>
  <c r="R271" i="88"/>
  <c r="S271" i="88"/>
  <c r="T271" i="88"/>
  <c r="V271" i="88"/>
  <c r="W271" i="88"/>
  <c r="X271" i="88"/>
  <c r="Y271" i="88"/>
  <c r="Z271" i="88"/>
  <c r="P272" i="88"/>
  <c r="Q272" i="88"/>
  <c r="R272" i="88"/>
  <c r="S272" i="88"/>
  <c r="T272" i="88"/>
  <c r="V272" i="88"/>
  <c r="W272" i="88"/>
  <c r="X272" i="88"/>
  <c r="Y272" i="88"/>
  <c r="Z272" i="88"/>
  <c r="H229" i="88"/>
  <c r="H26" i="98"/>
  <c r="C282" i="88"/>
  <c r="D282" i="88"/>
  <c r="C304" i="88"/>
  <c r="E282" i="88"/>
  <c r="D304" i="88"/>
  <c r="F282" i="88"/>
  <c r="E304" i="88"/>
  <c r="G282" i="88"/>
  <c r="F304" i="88"/>
  <c r="H282" i="88"/>
  <c r="G304" i="88"/>
  <c r="I282" i="88"/>
  <c r="H304" i="88"/>
  <c r="J282" i="88"/>
  <c r="I304" i="88"/>
  <c r="K282" i="88"/>
  <c r="J304" i="88"/>
  <c r="L282" i="88"/>
  <c r="K304" i="88"/>
  <c r="M282" i="88"/>
  <c r="L304" i="88"/>
  <c r="C283" i="88"/>
  <c r="D283" i="88"/>
  <c r="C305" i="88"/>
  <c r="E283" i="88"/>
  <c r="D305" i="88"/>
  <c r="F283" i="88"/>
  <c r="E305" i="88"/>
  <c r="G283" i="88"/>
  <c r="F305" i="88"/>
  <c r="H283" i="88"/>
  <c r="G305" i="88"/>
  <c r="I283" i="88"/>
  <c r="H305" i="88"/>
  <c r="J283" i="88"/>
  <c r="I305" i="88"/>
  <c r="K283" i="88"/>
  <c r="J305" i="88"/>
  <c r="L283" i="88"/>
  <c r="K305" i="88"/>
  <c r="M283" i="88"/>
  <c r="L305" i="88"/>
  <c r="C284" i="88"/>
  <c r="D284" i="88"/>
  <c r="C306" i="88"/>
  <c r="E284" i="88"/>
  <c r="D306" i="88"/>
  <c r="F284" i="88"/>
  <c r="E306" i="88"/>
  <c r="G284" i="88"/>
  <c r="F306" i="88"/>
  <c r="H284" i="88"/>
  <c r="G306" i="88"/>
  <c r="I284" i="88"/>
  <c r="H306" i="88"/>
  <c r="J284" i="88"/>
  <c r="I306" i="88"/>
  <c r="K284" i="88"/>
  <c r="J306" i="88"/>
  <c r="L284" i="88"/>
  <c r="K306" i="88"/>
  <c r="M284" i="88"/>
  <c r="L306" i="88"/>
  <c r="C285" i="88"/>
  <c r="D285" i="88"/>
  <c r="C307" i="88"/>
  <c r="E285" i="88"/>
  <c r="D307" i="88"/>
  <c r="F285" i="88"/>
  <c r="E307" i="88"/>
  <c r="G285" i="88"/>
  <c r="F307" i="88"/>
  <c r="H285" i="88"/>
  <c r="G307" i="88"/>
  <c r="I285" i="88"/>
  <c r="H307" i="88"/>
  <c r="J285" i="88"/>
  <c r="I307" i="88"/>
  <c r="K285" i="88"/>
  <c r="J307" i="88"/>
  <c r="L285" i="88"/>
  <c r="K307" i="88"/>
  <c r="M285" i="88"/>
  <c r="L307" i="88"/>
  <c r="C286" i="88"/>
  <c r="D286" i="88"/>
  <c r="C308" i="88"/>
  <c r="E286" i="88"/>
  <c r="D308" i="88"/>
  <c r="F286" i="88"/>
  <c r="E308" i="88"/>
  <c r="G286" i="88"/>
  <c r="F308" i="88"/>
  <c r="H286" i="88"/>
  <c r="G308" i="88"/>
  <c r="I286" i="88"/>
  <c r="H308" i="88"/>
  <c r="J286" i="88"/>
  <c r="I308" i="88"/>
  <c r="K286" i="88"/>
  <c r="J308" i="88"/>
  <c r="L286" i="88"/>
  <c r="K308" i="88"/>
  <c r="M286" i="88"/>
  <c r="L308" i="88"/>
  <c r="C287" i="88"/>
  <c r="D287" i="88"/>
  <c r="C309" i="88"/>
  <c r="E287" i="88"/>
  <c r="D309" i="88"/>
  <c r="F287" i="88"/>
  <c r="E309" i="88"/>
  <c r="G287" i="88"/>
  <c r="F309" i="88"/>
  <c r="H287" i="88"/>
  <c r="G309" i="88"/>
  <c r="I287" i="88"/>
  <c r="H309" i="88"/>
  <c r="J287" i="88"/>
  <c r="I309" i="88"/>
  <c r="K287" i="88"/>
  <c r="J309" i="88"/>
  <c r="L287" i="88"/>
  <c r="K309" i="88"/>
  <c r="M287" i="88"/>
  <c r="L309" i="88"/>
  <c r="C288" i="88"/>
  <c r="D288" i="88"/>
  <c r="C310" i="88"/>
  <c r="E288" i="88"/>
  <c r="D310" i="88"/>
  <c r="F288" i="88"/>
  <c r="E310" i="88"/>
  <c r="G288" i="88"/>
  <c r="F310" i="88"/>
  <c r="H288" i="88"/>
  <c r="G310" i="88"/>
  <c r="I288" i="88"/>
  <c r="H310" i="88"/>
  <c r="J288" i="88"/>
  <c r="I310" i="88"/>
  <c r="K288" i="88"/>
  <c r="J310" i="88"/>
  <c r="L288" i="88"/>
  <c r="K310" i="88"/>
  <c r="M288" i="88"/>
  <c r="L310" i="88"/>
  <c r="C289" i="88"/>
  <c r="D289" i="88"/>
  <c r="C311" i="88"/>
  <c r="E289" i="88"/>
  <c r="D311" i="88"/>
  <c r="F289" i="88"/>
  <c r="E311" i="88"/>
  <c r="G289" i="88"/>
  <c r="F311" i="88"/>
  <c r="H289" i="88"/>
  <c r="G311" i="88"/>
  <c r="I289" i="88"/>
  <c r="H311" i="88"/>
  <c r="J289" i="88"/>
  <c r="I311" i="88"/>
  <c r="K289" i="88"/>
  <c r="J311" i="88"/>
  <c r="L289" i="88"/>
  <c r="K311" i="88"/>
  <c r="M289" i="88"/>
  <c r="L311" i="88"/>
  <c r="C290" i="88"/>
  <c r="D290" i="88"/>
  <c r="C312" i="88"/>
  <c r="E290" i="88"/>
  <c r="D312" i="88"/>
  <c r="F290" i="88"/>
  <c r="E312" i="88"/>
  <c r="G290" i="88"/>
  <c r="F312" i="88"/>
  <c r="H290" i="88"/>
  <c r="G312" i="88"/>
  <c r="I290" i="88"/>
  <c r="H312" i="88"/>
  <c r="J290" i="88"/>
  <c r="I312" i="88"/>
  <c r="K290" i="88"/>
  <c r="J312" i="88"/>
  <c r="L290" i="88"/>
  <c r="K312" i="88"/>
  <c r="M290" i="88"/>
  <c r="L312" i="88"/>
  <c r="C291" i="88"/>
  <c r="D291" i="88"/>
  <c r="C313" i="88"/>
  <c r="E291" i="88"/>
  <c r="D313" i="88"/>
  <c r="F291" i="88"/>
  <c r="E313" i="88"/>
  <c r="G291" i="88"/>
  <c r="F313" i="88"/>
  <c r="H291" i="88"/>
  <c r="G313" i="88"/>
  <c r="I291" i="88"/>
  <c r="H313" i="88"/>
  <c r="J291" i="88"/>
  <c r="I313" i="88"/>
  <c r="K291" i="88"/>
  <c r="J313" i="88"/>
  <c r="L291" i="88"/>
  <c r="K313" i="88"/>
  <c r="M291" i="88"/>
  <c r="L313" i="88"/>
  <c r="C292" i="88"/>
  <c r="D292" i="88"/>
  <c r="C314" i="88"/>
  <c r="E292" i="88"/>
  <c r="D314" i="88"/>
  <c r="F292" i="88"/>
  <c r="E314" i="88"/>
  <c r="G292" i="88"/>
  <c r="F314" i="88"/>
  <c r="H292" i="88"/>
  <c r="G314" i="88"/>
  <c r="I292" i="88"/>
  <c r="H314" i="88"/>
  <c r="J292" i="88"/>
  <c r="I314" i="88"/>
  <c r="K292" i="88"/>
  <c r="J314" i="88"/>
  <c r="L292" i="88"/>
  <c r="K314" i="88"/>
  <c r="M292" i="88"/>
  <c r="L314" i="88"/>
  <c r="C293" i="88"/>
  <c r="D293" i="88"/>
  <c r="C315" i="88"/>
  <c r="E293" i="88"/>
  <c r="D315" i="88"/>
  <c r="F293" i="88"/>
  <c r="E315" i="88"/>
  <c r="G293" i="88"/>
  <c r="F315" i="88"/>
  <c r="H293" i="88"/>
  <c r="G315" i="88"/>
  <c r="I293" i="88"/>
  <c r="H315" i="88"/>
  <c r="J293" i="88"/>
  <c r="I315" i="88"/>
  <c r="K293" i="88"/>
  <c r="J315" i="88"/>
  <c r="L293" i="88"/>
  <c r="K315" i="88"/>
  <c r="M293" i="88"/>
  <c r="L315" i="88"/>
  <c r="C294" i="88"/>
  <c r="D294" i="88"/>
  <c r="C316" i="88"/>
  <c r="E294" i="88"/>
  <c r="D316" i="88"/>
  <c r="F294" i="88"/>
  <c r="E316" i="88"/>
  <c r="G294" i="88"/>
  <c r="F316" i="88"/>
  <c r="H294" i="88"/>
  <c r="G316" i="88"/>
  <c r="I294" i="88"/>
  <c r="H316" i="88"/>
  <c r="J294" i="88"/>
  <c r="I316" i="88"/>
  <c r="K294" i="88"/>
  <c r="J316" i="88"/>
  <c r="L294" i="88"/>
  <c r="K316" i="88"/>
  <c r="M294" i="88"/>
  <c r="L316" i="88"/>
  <c r="C295" i="88"/>
  <c r="D295" i="88"/>
  <c r="C317" i="88"/>
  <c r="E295" i="88"/>
  <c r="D317" i="88"/>
  <c r="F295" i="88"/>
  <c r="E317" i="88"/>
  <c r="G295" i="88"/>
  <c r="F317" i="88"/>
  <c r="H295" i="88"/>
  <c r="G317" i="88"/>
  <c r="I295" i="88"/>
  <c r="H317" i="88"/>
  <c r="J295" i="88"/>
  <c r="I317" i="88"/>
  <c r="K295" i="88"/>
  <c r="J317" i="88"/>
  <c r="L295" i="88"/>
  <c r="K317" i="88"/>
  <c r="M295" i="88"/>
  <c r="L317" i="88"/>
  <c r="C296" i="88"/>
  <c r="D296" i="88"/>
  <c r="C318" i="88"/>
  <c r="E296" i="88"/>
  <c r="D318" i="88"/>
  <c r="F296" i="88"/>
  <c r="E318" i="88"/>
  <c r="G296" i="88"/>
  <c r="F318" i="88"/>
  <c r="H296" i="88"/>
  <c r="G318" i="88"/>
  <c r="I296" i="88"/>
  <c r="H318" i="88"/>
  <c r="J296" i="88"/>
  <c r="I318" i="88"/>
  <c r="K296" i="88"/>
  <c r="J318" i="88"/>
  <c r="L296" i="88"/>
  <c r="K318" i="88"/>
  <c r="M296" i="88"/>
  <c r="L318" i="88"/>
  <c r="C297" i="88"/>
  <c r="D297" i="88"/>
  <c r="C319" i="88"/>
  <c r="E297" i="88"/>
  <c r="D319" i="88"/>
  <c r="F297" i="88"/>
  <c r="E319" i="88"/>
  <c r="G297" i="88"/>
  <c r="F319" i="88"/>
  <c r="H297" i="88"/>
  <c r="G319" i="88"/>
  <c r="I297" i="88"/>
  <c r="H319" i="88"/>
  <c r="J297" i="88"/>
  <c r="I319" i="88"/>
  <c r="K297" i="88"/>
  <c r="J319" i="88"/>
  <c r="L297" i="88"/>
  <c r="K319" i="88"/>
  <c r="M297" i="88"/>
  <c r="L319" i="88"/>
  <c r="C298" i="88"/>
  <c r="D298" i="88"/>
  <c r="C320" i="88"/>
  <c r="E298" i="88"/>
  <c r="D320" i="88"/>
  <c r="F298" i="88"/>
  <c r="E320" i="88"/>
  <c r="G298" i="88"/>
  <c r="F320" i="88"/>
  <c r="H298" i="88"/>
  <c r="G320" i="88"/>
  <c r="I298" i="88"/>
  <c r="H320" i="88"/>
  <c r="J298" i="88"/>
  <c r="I320" i="88"/>
  <c r="K298" i="88"/>
  <c r="J320" i="88"/>
  <c r="L298" i="88"/>
  <c r="K320" i="88"/>
  <c r="M298" i="88"/>
  <c r="L320" i="88"/>
  <c r="C299" i="88"/>
  <c r="D299" i="88"/>
  <c r="C321" i="88"/>
  <c r="E299" i="88"/>
  <c r="D321" i="88"/>
  <c r="F299" i="88"/>
  <c r="E321" i="88"/>
  <c r="G299" i="88"/>
  <c r="F321" i="88"/>
  <c r="H299" i="88"/>
  <c r="G321" i="88"/>
  <c r="I299" i="88"/>
  <c r="H321" i="88"/>
  <c r="J299" i="88"/>
  <c r="I321" i="88"/>
  <c r="K299" i="88"/>
  <c r="J321" i="88"/>
  <c r="L299" i="88"/>
  <c r="K321" i="88"/>
  <c r="M299" i="88"/>
  <c r="L321" i="88"/>
  <c r="C300" i="88"/>
  <c r="D300" i="88"/>
  <c r="C322" i="88"/>
  <c r="E300" i="88"/>
  <c r="D322" i="88"/>
  <c r="F300" i="88"/>
  <c r="E322" i="88"/>
  <c r="G300" i="88"/>
  <c r="F322" i="88"/>
  <c r="H300" i="88"/>
  <c r="G322" i="88"/>
  <c r="I300" i="88"/>
  <c r="H322" i="88"/>
  <c r="J300" i="88"/>
  <c r="I322" i="88"/>
  <c r="K300" i="88"/>
  <c r="J322" i="88"/>
  <c r="L300" i="88"/>
  <c r="K322" i="88"/>
  <c r="M300" i="88"/>
  <c r="L322" i="88"/>
  <c r="C278" i="88"/>
  <c r="H29" i="98"/>
  <c r="P304" i="88"/>
  <c r="Q304" i="88"/>
  <c r="R304" i="88"/>
  <c r="S304" i="88"/>
  <c r="T304" i="88"/>
  <c r="V304" i="88"/>
  <c r="W304" i="88"/>
  <c r="X304" i="88"/>
  <c r="Y304" i="88"/>
  <c r="Z304" i="88"/>
  <c r="P305" i="88"/>
  <c r="Q305" i="88"/>
  <c r="R305" i="88"/>
  <c r="S305" i="88"/>
  <c r="T305" i="88"/>
  <c r="V305" i="88"/>
  <c r="W305" i="88"/>
  <c r="X305" i="88"/>
  <c r="Y305" i="88"/>
  <c r="Z305" i="88"/>
  <c r="P306" i="88"/>
  <c r="Q306" i="88"/>
  <c r="R306" i="88"/>
  <c r="S306" i="88"/>
  <c r="T306" i="88"/>
  <c r="V306" i="88"/>
  <c r="W306" i="88"/>
  <c r="X306" i="88"/>
  <c r="Y306" i="88"/>
  <c r="Z306" i="88"/>
  <c r="P307" i="88"/>
  <c r="Q307" i="88"/>
  <c r="R307" i="88"/>
  <c r="S307" i="88"/>
  <c r="T307" i="88"/>
  <c r="V307" i="88"/>
  <c r="W307" i="88"/>
  <c r="X307" i="88"/>
  <c r="Y307" i="88"/>
  <c r="Z307" i="88"/>
  <c r="P308" i="88"/>
  <c r="Q308" i="88"/>
  <c r="R308" i="88"/>
  <c r="S308" i="88"/>
  <c r="T308" i="88"/>
  <c r="V308" i="88"/>
  <c r="W308" i="88"/>
  <c r="X308" i="88"/>
  <c r="Y308" i="88"/>
  <c r="Z308" i="88"/>
  <c r="P309" i="88"/>
  <c r="Q309" i="88"/>
  <c r="R309" i="88"/>
  <c r="S309" i="88"/>
  <c r="T309" i="88"/>
  <c r="V309" i="88"/>
  <c r="W309" i="88"/>
  <c r="X309" i="88"/>
  <c r="Y309" i="88"/>
  <c r="Z309" i="88"/>
  <c r="P310" i="88"/>
  <c r="Q310" i="88"/>
  <c r="R310" i="88"/>
  <c r="S310" i="88"/>
  <c r="T310" i="88"/>
  <c r="V310" i="88"/>
  <c r="W310" i="88"/>
  <c r="X310" i="88"/>
  <c r="Y310" i="88"/>
  <c r="Z310" i="88"/>
  <c r="P311" i="88"/>
  <c r="Q311" i="88"/>
  <c r="R311" i="88"/>
  <c r="S311" i="88"/>
  <c r="T311" i="88"/>
  <c r="V311" i="88"/>
  <c r="W311" i="88"/>
  <c r="X311" i="88"/>
  <c r="Y311" i="88"/>
  <c r="Z311" i="88"/>
  <c r="P312" i="88"/>
  <c r="Q312" i="88"/>
  <c r="R312" i="88"/>
  <c r="S312" i="88"/>
  <c r="T312" i="88"/>
  <c r="V312" i="88"/>
  <c r="W312" i="88"/>
  <c r="X312" i="88"/>
  <c r="Y312" i="88"/>
  <c r="Z312" i="88"/>
  <c r="P313" i="88"/>
  <c r="Q313" i="88"/>
  <c r="R313" i="88"/>
  <c r="S313" i="88"/>
  <c r="T313" i="88"/>
  <c r="V313" i="88"/>
  <c r="W313" i="88"/>
  <c r="X313" i="88"/>
  <c r="Y313" i="88"/>
  <c r="Z313" i="88"/>
  <c r="P314" i="88"/>
  <c r="Q314" i="88"/>
  <c r="R314" i="88"/>
  <c r="S314" i="88"/>
  <c r="T314" i="88"/>
  <c r="V314" i="88"/>
  <c r="W314" i="88"/>
  <c r="X314" i="88"/>
  <c r="Y314" i="88"/>
  <c r="Z314" i="88"/>
  <c r="P315" i="88"/>
  <c r="Q315" i="88"/>
  <c r="R315" i="88"/>
  <c r="S315" i="88"/>
  <c r="T315" i="88"/>
  <c r="V315" i="88"/>
  <c r="W315" i="88"/>
  <c r="X315" i="88"/>
  <c r="Y315" i="88"/>
  <c r="Z315" i="88"/>
  <c r="P316" i="88"/>
  <c r="Q316" i="88"/>
  <c r="R316" i="88"/>
  <c r="S316" i="88"/>
  <c r="T316" i="88"/>
  <c r="V316" i="88"/>
  <c r="W316" i="88"/>
  <c r="X316" i="88"/>
  <c r="Y316" i="88"/>
  <c r="Z316" i="88"/>
  <c r="P317" i="88"/>
  <c r="Q317" i="88"/>
  <c r="R317" i="88"/>
  <c r="S317" i="88"/>
  <c r="T317" i="88"/>
  <c r="V317" i="88"/>
  <c r="W317" i="88"/>
  <c r="X317" i="88"/>
  <c r="Y317" i="88"/>
  <c r="Z317" i="88"/>
  <c r="P318" i="88"/>
  <c r="Q318" i="88"/>
  <c r="R318" i="88"/>
  <c r="S318" i="88"/>
  <c r="T318" i="88"/>
  <c r="V318" i="88"/>
  <c r="W318" i="88"/>
  <c r="X318" i="88"/>
  <c r="Y318" i="88"/>
  <c r="Z318" i="88"/>
  <c r="P319" i="88"/>
  <c r="Q319" i="88"/>
  <c r="R319" i="88"/>
  <c r="S319" i="88"/>
  <c r="T319" i="88"/>
  <c r="V319" i="88"/>
  <c r="W319" i="88"/>
  <c r="X319" i="88"/>
  <c r="Y319" i="88"/>
  <c r="Z319" i="88"/>
  <c r="P320" i="88"/>
  <c r="Q320" i="88"/>
  <c r="R320" i="88"/>
  <c r="S320" i="88"/>
  <c r="T320" i="88"/>
  <c r="V320" i="88"/>
  <c r="W320" i="88"/>
  <c r="X320" i="88"/>
  <c r="Y320" i="88"/>
  <c r="Z320" i="88"/>
  <c r="P321" i="88"/>
  <c r="Q321" i="88"/>
  <c r="R321" i="88"/>
  <c r="S321" i="88"/>
  <c r="T321" i="88"/>
  <c r="V321" i="88"/>
  <c r="W321" i="88"/>
  <c r="X321" i="88"/>
  <c r="Y321" i="88"/>
  <c r="Z321" i="88"/>
  <c r="H278" i="88"/>
  <c r="H30" i="98"/>
  <c r="C331" i="88"/>
  <c r="D331" i="88"/>
  <c r="C353" i="88"/>
  <c r="E331" i="88"/>
  <c r="D353" i="88"/>
  <c r="F331" i="88"/>
  <c r="E353" i="88"/>
  <c r="G331" i="88"/>
  <c r="F353" i="88"/>
  <c r="H331" i="88"/>
  <c r="G353" i="88"/>
  <c r="I331" i="88"/>
  <c r="H353" i="88"/>
  <c r="J331" i="88"/>
  <c r="I353" i="88"/>
  <c r="K331" i="88"/>
  <c r="J353" i="88"/>
  <c r="L331" i="88"/>
  <c r="K353" i="88"/>
  <c r="M331" i="88"/>
  <c r="L353" i="88"/>
  <c r="C332" i="88"/>
  <c r="D332" i="88"/>
  <c r="C354" i="88"/>
  <c r="E332" i="88"/>
  <c r="D354" i="88"/>
  <c r="F332" i="88"/>
  <c r="E354" i="88"/>
  <c r="G332" i="88"/>
  <c r="F354" i="88"/>
  <c r="H332" i="88"/>
  <c r="G354" i="88"/>
  <c r="I332" i="88"/>
  <c r="H354" i="88"/>
  <c r="J332" i="88"/>
  <c r="I354" i="88"/>
  <c r="K332" i="88"/>
  <c r="J354" i="88"/>
  <c r="L332" i="88"/>
  <c r="K354" i="88"/>
  <c r="M332" i="88"/>
  <c r="L354" i="88"/>
  <c r="C333" i="88"/>
  <c r="D333" i="88"/>
  <c r="C355" i="88"/>
  <c r="E333" i="88"/>
  <c r="D355" i="88"/>
  <c r="F333" i="88"/>
  <c r="E355" i="88"/>
  <c r="G333" i="88"/>
  <c r="F355" i="88"/>
  <c r="H333" i="88"/>
  <c r="G355" i="88"/>
  <c r="I333" i="88"/>
  <c r="H355" i="88"/>
  <c r="J333" i="88"/>
  <c r="I355" i="88"/>
  <c r="K333" i="88"/>
  <c r="J355" i="88"/>
  <c r="L333" i="88"/>
  <c r="K355" i="88"/>
  <c r="M333" i="88"/>
  <c r="L355" i="88"/>
  <c r="C334" i="88"/>
  <c r="D334" i="88"/>
  <c r="C356" i="88"/>
  <c r="E334" i="88"/>
  <c r="D356" i="88"/>
  <c r="F334" i="88"/>
  <c r="E356" i="88"/>
  <c r="G334" i="88"/>
  <c r="F356" i="88"/>
  <c r="H334" i="88"/>
  <c r="G356" i="88"/>
  <c r="I334" i="88"/>
  <c r="H356" i="88"/>
  <c r="J334" i="88"/>
  <c r="I356" i="88"/>
  <c r="K334" i="88"/>
  <c r="J356" i="88"/>
  <c r="L334" i="88"/>
  <c r="K356" i="88"/>
  <c r="M334" i="88"/>
  <c r="L356" i="88"/>
  <c r="C335" i="88"/>
  <c r="D335" i="88"/>
  <c r="C357" i="88"/>
  <c r="E335" i="88"/>
  <c r="D357" i="88"/>
  <c r="F335" i="88"/>
  <c r="E357" i="88"/>
  <c r="G335" i="88"/>
  <c r="F357" i="88"/>
  <c r="H335" i="88"/>
  <c r="G357" i="88"/>
  <c r="I335" i="88"/>
  <c r="H357" i="88"/>
  <c r="J335" i="88"/>
  <c r="I357" i="88"/>
  <c r="K335" i="88"/>
  <c r="J357" i="88"/>
  <c r="L335" i="88"/>
  <c r="K357" i="88"/>
  <c r="M335" i="88"/>
  <c r="L357" i="88"/>
  <c r="C336" i="88"/>
  <c r="D336" i="88"/>
  <c r="C358" i="88"/>
  <c r="E336" i="88"/>
  <c r="D358" i="88"/>
  <c r="F336" i="88"/>
  <c r="E358" i="88"/>
  <c r="G336" i="88"/>
  <c r="F358" i="88"/>
  <c r="H336" i="88"/>
  <c r="G358" i="88"/>
  <c r="I336" i="88"/>
  <c r="H358" i="88"/>
  <c r="J336" i="88"/>
  <c r="I358" i="88"/>
  <c r="K336" i="88"/>
  <c r="J358" i="88"/>
  <c r="L336" i="88"/>
  <c r="K358" i="88"/>
  <c r="M336" i="88"/>
  <c r="L358" i="88"/>
  <c r="C337" i="88"/>
  <c r="D337" i="88"/>
  <c r="C359" i="88"/>
  <c r="E337" i="88"/>
  <c r="D359" i="88"/>
  <c r="F337" i="88"/>
  <c r="E359" i="88"/>
  <c r="G337" i="88"/>
  <c r="F359" i="88"/>
  <c r="H337" i="88"/>
  <c r="G359" i="88"/>
  <c r="I337" i="88"/>
  <c r="H359" i="88"/>
  <c r="J337" i="88"/>
  <c r="I359" i="88"/>
  <c r="K337" i="88"/>
  <c r="J359" i="88"/>
  <c r="L337" i="88"/>
  <c r="K359" i="88"/>
  <c r="M337" i="88"/>
  <c r="L359" i="88"/>
  <c r="C338" i="88"/>
  <c r="D338" i="88"/>
  <c r="C360" i="88"/>
  <c r="E338" i="88"/>
  <c r="D360" i="88"/>
  <c r="F338" i="88"/>
  <c r="E360" i="88"/>
  <c r="G338" i="88"/>
  <c r="F360" i="88"/>
  <c r="H338" i="88"/>
  <c r="G360" i="88"/>
  <c r="I338" i="88"/>
  <c r="H360" i="88"/>
  <c r="J338" i="88"/>
  <c r="I360" i="88"/>
  <c r="K338" i="88"/>
  <c r="J360" i="88"/>
  <c r="L338" i="88"/>
  <c r="K360" i="88"/>
  <c r="M338" i="88"/>
  <c r="L360" i="88"/>
  <c r="C339" i="88"/>
  <c r="D339" i="88"/>
  <c r="C361" i="88"/>
  <c r="E339" i="88"/>
  <c r="D361" i="88"/>
  <c r="F339" i="88"/>
  <c r="E361" i="88"/>
  <c r="G339" i="88"/>
  <c r="F361" i="88"/>
  <c r="H339" i="88"/>
  <c r="G361" i="88"/>
  <c r="I339" i="88"/>
  <c r="H361" i="88"/>
  <c r="J339" i="88"/>
  <c r="I361" i="88"/>
  <c r="K339" i="88"/>
  <c r="J361" i="88"/>
  <c r="L339" i="88"/>
  <c r="K361" i="88"/>
  <c r="M339" i="88"/>
  <c r="L361" i="88"/>
  <c r="C340" i="88"/>
  <c r="D340" i="88"/>
  <c r="C362" i="88"/>
  <c r="E340" i="88"/>
  <c r="D362" i="88"/>
  <c r="F340" i="88"/>
  <c r="E362" i="88"/>
  <c r="G340" i="88"/>
  <c r="F362" i="88"/>
  <c r="H340" i="88"/>
  <c r="G362" i="88"/>
  <c r="I340" i="88"/>
  <c r="H362" i="88"/>
  <c r="J340" i="88"/>
  <c r="I362" i="88"/>
  <c r="K340" i="88"/>
  <c r="J362" i="88"/>
  <c r="L340" i="88"/>
  <c r="K362" i="88"/>
  <c r="M340" i="88"/>
  <c r="L362" i="88"/>
  <c r="C341" i="88"/>
  <c r="D341" i="88"/>
  <c r="C363" i="88"/>
  <c r="E341" i="88"/>
  <c r="D363" i="88"/>
  <c r="F341" i="88"/>
  <c r="E363" i="88"/>
  <c r="G341" i="88"/>
  <c r="F363" i="88"/>
  <c r="H341" i="88"/>
  <c r="G363" i="88"/>
  <c r="I341" i="88"/>
  <c r="H363" i="88"/>
  <c r="J341" i="88"/>
  <c r="I363" i="88"/>
  <c r="K341" i="88"/>
  <c r="J363" i="88"/>
  <c r="L341" i="88"/>
  <c r="K363" i="88"/>
  <c r="M341" i="88"/>
  <c r="L363" i="88"/>
  <c r="C342" i="88"/>
  <c r="D342" i="88"/>
  <c r="C364" i="88"/>
  <c r="E342" i="88"/>
  <c r="D364" i="88"/>
  <c r="F342" i="88"/>
  <c r="E364" i="88"/>
  <c r="G342" i="88"/>
  <c r="F364" i="88"/>
  <c r="H342" i="88"/>
  <c r="G364" i="88"/>
  <c r="I342" i="88"/>
  <c r="H364" i="88"/>
  <c r="J342" i="88"/>
  <c r="I364" i="88"/>
  <c r="K342" i="88"/>
  <c r="J364" i="88"/>
  <c r="L342" i="88"/>
  <c r="K364" i="88"/>
  <c r="M342" i="88"/>
  <c r="L364" i="88"/>
  <c r="C343" i="88"/>
  <c r="D343" i="88"/>
  <c r="C365" i="88"/>
  <c r="E343" i="88"/>
  <c r="D365" i="88"/>
  <c r="F343" i="88"/>
  <c r="E365" i="88"/>
  <c r="G343" i="88"/>
  <c r="F365" i="88"/>
  <c r="H343" i="88"/>
  <c r="G365" i="88"/>
  <c r="I343" i="88"/>
  <c r="H365" i="88"/>
  <c r="J343" i="88"/>
  <c r="I365" i="88"/>
  <c r="K343" i="88"/>
  <c r="J365" i="88"/>
  <c r="L343" i="88"/>
  <c r="K365" i="88"/>
  <c r="M343" i="88"/>
  <c r="L365" i="88"/>
  <c r="C344" i="88"/>
  <c r="D344" i="88"/>
  <c r="C366" i="88"/>
  <c r="E344" i="88"/>
  <c r="D366" i="88"/>
  <c r="F344" i="88"/>
  <c r="E366" i="88"/>
  <c r="G344" i="88"/>
  <c r="F366" i="88"/>
  <c r="H344" i="88"/>
  <c r="G366" i="88"/>
  <c r="I344" i="88"/>
  <c r="H366" i="88"/>
  <c r="J344" i="88"/>
  <c r="I366" i="88"/>
  <c r="K344" i="88"/>
  <c r="J366" i="88"/>
  <c r="L344" i="88"/>
  <c r="K366" i="88"/>
  <c r="M344" i="88"/>
  <c r="L366" i="88"/>
  <c r="C345" i="88"/>
  <c r="D345" i="88"/>
  <c r="C367" i="88"/>
  <c r="E345" i="88"/>
  <c r="D367" i="88"/>
  <c r="F345" i="88"/>
  <c r="E367" i="88"/>
  <c r="G345" i="88"/>
  <c r="F367" i="88"/>
  <c r="H345" i="88"/>
  <c r="G367" i="88"/>
  <c r="I345" i="88"/>
  <c r="H367" i="88"/>
  <c r="J345" i="88"/>
  <c r="I367" i="88"/>
  <c r="K345" i="88"/>
  <c r="J367" i="88"/>
  <c r="L345" i="88"/>
  <c r="K367" i="88"/>
  <c r="M345" i="88"/>
  <c r="L367" i="88"/>
  <c r="C346" i="88"/>
  <c r="D346" i="88"/>
  <c r="C368" i="88"/>
  <c r="E346" i="88"/>
  <c r="D368" i="88"/>
  <c r="F346" i="88"/>
  <c r="E368" i="88"/>
  <c r="G346" i="88"/>
  <c r="F368" i="88"/>
  <c r="H346" i="88"/>
  <c r="G368" i="88"/>
  <c r="I346" i="88"/>
  <c r="H368" i="88"/>
  <c r="J346" i="88"/>
  <c r="I368" i="88"/>
  <c r="K346" i="88"/>
  <c r="J368" i="88"/>
  <c r="L346" i="88"/>
  <c r="K368" i="88"/>
  <c r="M346" i="88"/>
  <c r="L368" i="88"/>
  <c r="C347" i="88"/>
  <c r="D347" i="88"/>
  <c r="C369" i="88"/>
  <c r="E347" i="88"/>
  <c r="D369" i="88"/>
  <c r="F347" i="88"/>
  <c r="E369" i="88"/>
  <c r="G347" i="88"/>
  <c r="F369" i="88"/>
  <c r="H347" i="88"/>
  <c r="G369" i="88"/>
  <c r="I347" i="88"/>
  <c r="H369" i="88"/>
  <c r="J347" i="88"/>
  <c r="I369" i="88"/>
  <c r="K347" i="88"/>
  <c r="J369" i="88"/>
  <c r="L347" i="88"/>
  <c r="K369" i="88"/>
  <c r="M347" i="88"/>
  <c r="L369" i="88"/>
  <c r="C348" i="88"/>
  <c r="D348" i="88"/>
  <c r="C370" i="88"/>
  <c r="E348" i="88"/>
  <c r="D370" i="88"/>
  <c r="F348" i="88"/>
  <c r="E370" i="88"/>
  <c r="G348" i="88"/>
  <c r="F370" i="88"/>
  <c r="H348" i="88"/>
  <c r="G370" i="88"/>
  <c r="I348" i="88"/>
  <c r="H370" i="88"/>
  <c r="J348" i="88"/>
  <c r="I370" i="88"/>
  <c r="K348" i="88"/>
  <c r="J370" i="88"/>
  <c r="L348" i="88"/>
  <c r="K370" i="88"/>
  <c r="M348" i="88"/>
  <c r="L370" i="88"/>
  <c r="C349" i="88"/>
  <c r="D349" i="88"/>
  <c r="C371" i="88"/>
  <c r="E349" i="88"/>
  <c r="D371" i="88"/>
  <c r="F349" i="88"/>
  <c r="E371" i="88"/>
  <c r="G349" i="88"/>
  <c r="F371" i="88"/>
  <c r="H349" i="88"/>
  <c r="G371" i="88"/>
  <c r="I349" i="88"/>
  <c r="H371" i="88"/>
  <c r="J349" i="88"/>
  <c r="I371" i="88"/>
  <c r="K349" i="88"/>
  <c r="J371" i="88"/>
  <c r="L349" i="88"/>
  <c r="K371" i="88"/>
  <c r="M349" i="88"/>
  <c r="L371" i="88"/>
  <c r="C327" i="88"/>
  <c r="H33" i="98"/>
  <c r="P353" i="88"/>
  <c r="Q353" i="88"/>
  <c r="R353" i="88"/>
  <c r="S353" i="88"/>
  <c r="T353" i="88"/>
  <c r="V353" i="88"/>
  <c r="W353" i="88"/>
  <c r="X353" i="88"/>
  <c r="Y353" i="88"/>
  <c r="Z353" i="88"/>
  <c r="P354" i="88"/>
  <c r="Q354" i="88"/>
  <c r="R354" i="88"/>
  <c r="S354" i="88"/>
  <c r="T354" i="88"/>
  <c r="V354" i="88"/>
  <c r="W354" i="88"/>
  <c r="X354" i="88"/>
  <c r="Y354" i="88"/>
  <c r="Z354" i="88"/>
  <c r="P355" i="88"/>
  <c r="Q355" i="88"/>
  <c r="R355" i="88"/>
  <c r="S355" i="88"/>
  <c r="T355" i="88"/>
  <c r="V355" i="88"/>
  <c r="W355" i="88"/>
  <c r="X355" i="88"/>
  <c r="Y355" i="88"/>
  <c r="Z355" i="88"/>
  <c r="P356" i="88"/>
  <c r="Q356" i="88"/>
  <c r="R356" i="88"/>
  <c r="S356" i="88"/>
  <c r="T356" i="88"/>
  <c r="V356" i="88"/>
  <c r="W356" i="88"/>
  <c r="X356" i="88"/>
  <c r="Y356" i="88"/>
  <c r="Z356" i="88"/>
  <c r="P357" i="88"/>
  <c r="Q357" i="88"/>
  <c r="R357" i="88"/>
  <c r="S357" i="88"/>
  <c r="T357" i="88"/>
  <c r="V357" i="88"/>
  <c r="W357" i="88"/>
  <c r="X357" i="88"/>
  <c r="Y357" i="88"/>
  <c r="Z357" i="88"/>
  <c r="P358" i="88"/>
  <c r="Q358" i="88"/>
  <c r="R358" i="88"/>
  <c r="S358" i="88"/>
  <c r="T358" i="88"/>
  <c r="V358" i="88"/>
  <c r="W358" i="88"/>
  <c r="X358" i="88"/>
  <c r="Y358" i="88"/>
  <c r="Z358" i="88"/>
  <c r="P359" i="88"/>
  <c r="Q359" i="88"/>
  <c r="R359" i="88"/>
  <c r="S359" i="88"/>
  <c r="T359" i="88"/>
  <c r="V359" i="88"/>
  <c r="W359" i="88"/>
  <c r="X359" i="88"/>
  <c r="Y359" i="88"/>
  <c r="Z359" i="88"/>
  <c r="P360" i="88"/>
  <c r="Q360" i="88"/>
  <c r="R360" i="88"/>
  <c r="S360" i="88"/>
  <c r="T360" i="88"/>
  <c r="V360" i="88"/>
  <c r="W360" i="88"/>
  <c r="X360" i="88"/>
  <c r="Y360" i="88"/>
  <c r="Z360" i="88"/>
  <c r="P361" i="88"/>
  <c r="Q361" i="88"/>
  <c r="R361" i="88"/>
  <c r="S361" i="88"/>
  <c r="T361" i="88"/>
  <c r="V361" i="88"/>
  <c r="W361" i="88"/>
  <c r="X361" i="88"/>
  <c r="Y361" i="88"/>
  <c r="Z361" i="88"/>
  <c r="P362" i="88"/>
  <c r="Q362" i="88"/>
  <c r="R362" i="88"/>
  <c r="S362" i="88"/>
  <c r="T362" i="88"/>
  <c r="V362" i="88"/>
  <c r="W362" i="88"/>
  <c r="X362" i="88"/>
  <c r="Y362" i="88"/>
  <c r="Z362" i="88"/>
  <c r="P363" i="88"/>
  <c r="Q363" i="88"/>
  <c r="R363" i="88"/>
  <c r="S363" i="88"/>
  <c r="T363" i="88"/>
  <c r="V363" i="88"/>
  <c r="W363" i="88"/>
  <c r="X363" i="88"/>
  <c r="Y363" i="88"/>
  <c r="Z363" i="88"/>
  <c r="P364" i="88"/>
  <c r="Q364" i="88"/>
  <c r="R364" i="88"/>
  <c r="S364" i="88"/>
  <c r="T364" i="88"/>
  <c r="V364" i="88"/>
  <c r="W364" i="88"/>
  <c r="X364" i="88"/>
  <c r="Y364" i="88"/>
  <c r="Z364" i="88"/>
  <c r="P365" i="88"/>
  <c r="Q365" i="88"/>
  <c r="R365" i="88"/>
  <c r="S365" i="88"/>
  <c r="T365" i="88"/>
  <c r="V365" i="88"/>
  <c r="W365" i="88"/>
  <c r="X365" i="88"/>
  <c r="Y365" i="88"/>
  <c r="Z365" i="88"/>
  <c r="P366" i="88"/>
  <c r="Q366" i="88"/>
  <c r="R366" i="88"/>
  <c r="S366" i="88"/>
  <c r="T366" i="88"/>
  <c r="V366" i="88"/>
  <c r="W366" i="88"/>
  <c r="X366" i="88"/>
  <c r="Y366" i="88"/>
  <c r="Z366" i="88"/>
  <c r="P367" i="88"/>
  <c r="Q367" i="88"/>
  <c r="R367" i="88"/>
  <c r="S367" i="88"/>
  <c r="T367" i="88"/>
  <c r="V367" i="88"/>
  <c r="W367" i="88"/>
  <c r="X367" i="88"/>
  <c r="Y367" i="88"/>
  <c r="Z367" i="88"/>
  <c r="P368" i="88"/>
  <c r="Q368" i="88"/>
  <c r="R368" i="88"/>
  <c r="S368" i="88"/>
  <c r="T368" i="88"/>
  <c r="V368" i="88"/>
  <c r="W368" i="88"/>
  <c r="X368" i="88"/>
  <c r="Y368" i="88"/>
  <c r="Z368" i="88"/>
  <c r="P369" i="88"/>
  <c r="Q369" i="88"/>
  <c r="R369" i="88"/>
  <c r="S369" i="88"/>
  <c r="T369" i="88"/>
  <c r="V369" i="88"/>
  <c r="W369" i="88"/>
  <c r="X369" i="88"/>
  <c r="Y369" i="88"/>
  <c r="Z369" i="88"/>
  <c r="P370" i="88"/>
  <c r="Q370" i="88"/>
  <c r="R370" i="88"/>
  <c r="S370" i="88"/>
  <c r="T370" i="88"/>
  <c r="V370" i="88"/>
  <c r="W370" i="88"/>
  <c r="X370" i="88"/>
  <c r="Y370" i="88"/>
  <c r="Z370" i="88"/>
  <c r="H327" i="88"/>
  <c r="H34" i="98"/>
  <c r="C380" i="88"/>
  <c r="D380" i="88"/>
  <c r="C402" i="88"/>
  <c r="E380" i="88"/>
  <c r="D402" i="88"/>
  <c r="F380" i="88"/>
  <c r="E402" i="88"/>
  <c r="G380" i="88"/>
  <c r="F402" i="88"/>
  <c r="H380" i="88"/>
  <c r="G402" i="88"/>
  <c r="I380" i="88"/>
  <c r="H402" i="88"/>
  <c r="J380" i="88"/>
  <c r="I402" i="88"/>
  <c r="K380" i="88"/>
  <c r="J402" i="88"/>
  <c r="L380" i="88"/>
  <c r="K402" i="88"/>
  <c r="M380" i="88"/>
  <c r="L402" i="88"/>
  <c r="C381" i="88"/>
  <c r="D381" i="88"/>
  <c r="C403" i="88"/>
  <c r="E381" i="88"/>
  <c r="D403" i="88"/>
  <c r="F381" i="88"/>
  <c r="E403" i="88"/>
  <c r="G381" i="88"/>
  <c r="F403" i="88"/>
  <c r="H381" i="88"/>
  <c r="G403" i="88"/>
  <c r="I381" i="88"/>
  <c r="H403" i="88"/>
  <c r="J381" i="88"/>
  <c r="I403" i="88"/>
  <c r="K381" i="88"/>
  <c r="J403" i="88"/>
  <c r="L381" i="88"/>
  <c r="K403" i="88"/>
  <c r="M381" i="88"/>
  <c r="L403" i="88"/>
  <c r="C382" i="88"/>
  <c r="D382" i="88"/>
  <c r="C404" i="88"/>
  <c r="E382" i="88"/>
  <c r="D404" i="88"/>
  <c r="F382" i="88"/>
  <c r="E404" i="88"/>
  <c r="G382" i="88"/>
  <c r="F404" i="88"/>
  <c r="H382" i="88"/>
  <c r="G404" i="88"/>
  <c r="I382" i="88"/>
  <c r="H404" i="88"/>
  <c r="J382" i="88"/>
  <c r="I404" i="88"/>
  <c r="K382" i="88"/>
  <c r="J404" i="88"/>
  <c r="L382" i="88"/>
  <c r="K404" i="88"/>
  <c r="M382" i="88"/>
  <c r="L404" i="88"/>
  <c r="C383" i="88"/>
  <c r="D383" i="88"/>
  <c r="C405" i="88"/>
  <c r="E383" i="88"/>
  <c r="D405" i="88"/>
  <c r="F383" i="88"/>
  <c r="E405" i="88"/>
  <c r="G383" i="88"/>
  <c r="F405" i="88"/>
  <c r="H383" i="88"/>
  <c r="G405" i="88"/>
  <c r="I383" i="88"/>
  <c r="H405" i="88"/>
  <c r="J383" i="88"/>
  <c r="I405" i="88"/>
  <c r="K383" i="88"/>
  <c r="J405" i="88"/>
  <c r="L383" i="88"/>
  <c r="K405" i="88"/>
  <c r="M383" i="88"/>
  <c r="L405" i="88"/>
  <c r="C384" i="88"/>
  <c r="D384" i="88"/>
  <c r="C406" i="88"/>
  <c r="E384" i="88"/>
  <c r="D406" i="88"/>
  <c r="F384" i="88"/>
  <c r="E406" i="88"/>
  <c r="G384" i="88"/>
  <c r="F406" i="88"/>
  <c r="H384" i="88"/>
  <c r="G406" i="88"/>
  <c r="I384" i="88"/>
  <c r="H406" i="88"/>
  <c r="J384" i="88"/>
  <c r="I406" i="88"/>
  <c r="K384" i="88"/>
  <c r="J406" i="88"/>
  <c r="L384" i="88"/>
  <c r="K406" i="88"/>
  <c r="M384" i="88"/>
  <c r="L406" i="88"/>
  <c r="C385" i="88"/>
  <c r="D385" i="88"/>
  <c r="C407" i="88"/>
  <c r="E385" i="88"/>
  <c r="D407" i="88"/>
  <c r="F385" i="88"/>
  <c r="E407" i="88"/>
  <c r="G385" i="88"/>
  <c r="F407" i="88"/>
  <c r="H385" i="88"/>
  <c r="G407" i="88"/>
  <c r="I385" i="88"/>
  <c r="H407" i="88"/>
  <c r="J385" i="88"/>
  <c r="I407" i="88"/>
  <c r="K385" i="88"/>
  <c r="J407" i="88"/>
  <c r="L385" i="88"/>
  <c r="K407" i="88"/>
  <c r="M385" i="88"/>
  <c r="L407" i="88"/>
  <c r="C386" i="88"/>
  <c r="D386" i="88"/>
  <c r="C408" i="88"/>
  <c r="E386" i="88"/>
  <c r="D408" i="88"/>
  <c r="F386" i="88"/>
  <c r="E408" i="88"/>
  <c r="G386" i="88"/>
  <c r="F408" i="88"/>
  <c r="H386" i="88"/>
  <c r="G408" i="88"/>
  <c r="I386" i="88"/>
  <c r="H408" i="88"/>
  <c r="J386" i="88"/>
  <c r="I408" i="88"/>
  <c r="K386" i="88"/>
  <c r="J408" i="88"/>
  <c r="L386" i="88"/>
  <c r="K408" i="88"/>
  <c r="M386" i="88"/>
  <c r="L408" i="88"/>
  <c r="C387" i="88"/>
  <c r="D387" i="88"/>
  <c r="C409" i="88"/>
  <c r="E387" i="88"/>
  <c r="D409" i="88"/>
  <c r="F387" i="88"/>
  <c r="E409" i="88"/>
  <c r="G387" i="88"/>
  <c r="F409" i="88"/>
  <c r="H387" i="88"/>
  <c r="G409" i="88"/>
  <c r="I387" i="88"/>
  <c r="H409" i="88"/>
  <c r="J387" i="88"/>
  <c r="I409" i="88"/>
  <c r="K387" i="88"/>
  <c r="J409" i="88"/>
  <c r="L387" i="88"/>
  <c r="K409" i="88"/>
  <c r="M387" i="88"/>
  <c r="L409" i="88"/>
  <c r="C388" i="88"/>
  <c r="D388" i="88"/>
  <c r="C410" i="88"/>
  <c r="E388" i="88"/>
  <c r="D410" i="88"/>
  <c r="F388" i="88"/>
  <c r="E410" i="88"/>
  <c r="G388" i="88"/>
  <c r="F410" i="88"/>
  <c r="H388" i="88"/>
  <c r="G410" i="88"/>
  <c r="I388" i="88"/>
  <c r="H410" i="88"/>
  <c r="J388" i="88"/>
  <c r="I410" i="88"/>
  <c r="K388" i="88"/>
  <c r="J410" i="88"/>
  <c r="L388" i="88"/>
  <c r="K410" i="88"/>
  <c r="M388" i="88"/>
  <c r="L410" i="88"/>
  <c r="C389" i="88"/>
  <c r="D389" i="88"/>
  <c r="C411" i="88"/>
  <c r="E389" i="88"/>
  <c r="D411" i="88"/>
  <c r="F389" i="88"/>
  <c r="E411" i="88"/>
  <c r="G389" i="88"/>
  <c r="F411" i="88"/>
  <c r="H389" i="88"/>
  <c r="G411" i="88"/>
  <c r="I389" i="88"/>
  <c r="H411" i="88"/>
  <c r="J389" i="88"/>
  <c r="I411" i="88"/>
  <c r="K389" i="88"/>
  <c r="J411" i="88"/>
  <c r="L389" i="88"/>
  <c r="K411" i="88"/>
  <c r="M389" i="88"/>
  <c r="L411" i="88"/>
  <c r="C390" i="88"/>
  <c r="D390" i="88"/>
  <c r="C412" i="88"/>
  <c r="E390" i="88"/>
  <c r="D412" i="88"/>
  <c r="F390" i="88"/>
  <c r="E412" i="88"/>
  <c r="G390" i="88"/>
  <c r="F412" i="88"/>
  <c r="H390" i="88"/>
  <c r="G412" i="88"/>
  <c r="I390" i="88"/>
  <c r="H412" i="88"/>
  <c r="J390" i="88"/>
  <c r="I412" i="88"/>
  <c r="K390" i="88"/>
  <c r="J412" i="88"/>
  <c r="L390" i="88"/>
  <c r="K412" i="88"/>
  <c r="M390" i="88"/>
  <c r="L412" i="88"/>
  <c r="C391" i="88"/>
  <c r="D391" i="88"/>
  <c r="C413" i="88"/>
  <c r="E391" i="88"/>
  <c r="D413" i="88"/>
  <c r="F391" i="88"/>
  <c r="E413" i="88"/>
  <c r="G391" i="88"/>
  <c r="F413" i="88"/>
  <c r="H391" i="88"/>
  <c r="G413" i="88"/>
  <c r="I391" i="88"/>
  <c r="H413" i="88"/>
  <c r="J391" i="88"/>
  <c r="I413" i="88"/>
  <c r="K391" i="88"/>
  <c r="J413" i="88"/>
  <c r="L391" i="88"/>
  <c r="K413" i="88"/>
  <c r="M391" i="88"/>
  <c r="L413" i="88"/>
  <c r="C392" i="88"/>
  <c r="D392" i="88"/>
  <c r="C414" i="88"/>
  <c r="E392" i="88"/>
  <c r="D414" i="88"/>
  <c r="F392" i="88"/>
  <c r="E414" i="88"/>
  <c r="G392" i="88"/>
  <c r="F414" i="88"/>
  <c r="H392" i="88"/>
  <c r="G414" i="88"/>
  <c r="I392" i="88"/>
  <c r="H414" i="88"/>
  <c r="J392" i="88"/>
  <c r="I414" i="88"/>
  <c r="K392" i="88"/>
  <c r="J414" i="88"/>
  <c r="L392" i="88"/>
  <c r="K414" i="88"/>
  <c r="M392" i="88"/>
  <c r="L414" i="88"/>
  <c r="C393" i="88"/>
  <c r="D393" i="88"/>
  <c r="C415" i="88"/>
  <c r="E393" i="88"/>
  <c r="D415" i="88"/>
  <c r="F393" i="88"/>
  <c r="E415" i="88"/>
  <c r="G393" i="88"/>
  <c r="F415" i="88"/>
  <c r="H393" i="88"/>
  <c r="G415" i="88"/>
  <c r="I393" i="88"/>
  <c r="H415" i="88"/>
  <c r="J393" i="88"/>
  <c r="I415" i="88"/>
  <c r="K393" i="88"/>
  <c r="J415" i="88"/>
  <c r="L393" i="88"/>
  <c r="K415" i="88"/>
  <c r="M393" i="88"/>
  <c r="L415" i="88"/>
  <c r="C394" i="88"/>
  <c r="D394" i="88"/>
  <c r="C416" i="88"/>
  <c r="E394" i="88"/>
  <c r="D416" i="88"/>
  <c r="F394" i="88"/>
  <c r="E416" i="88"/>
  <c r="G394" i="88"/>
  <c r="F416" i="88"/>
  <c r="H394" i="88"/>
  <c r="G416" i="88"/>
  <c r="I394" i="88"/>
  <c r="H416" i="88"/>
  <c r="J394" i="88"/>
  <c r="I416" i="88"/>
  <c r="K394" i="88"/>
  <c r="J416" i="88"/>
  <c r="L394" i="88"/>
  <c r="K416" i="88"/>
  <c r="M394" i="88"/>
  <c r="L416" i="88"/>
  <c r="C395" i="88"/>
  <c r="D395" i="88"/>
  <c r="C417" i="88"/>
  <c r="E395" i="88"/>
  <c r="D417" i="88"/>
  <c r="F395" i="88"/>
  <c r="E417" i="88"/>
  <c r="G395" i="88"/>
  <c r="F417" i="88"/>
  <c r="H395" i="88"/>
  <c r="G417" i="88"/>
  <c r="I395" i="88"/>
  <c r="H417" i="88"/>
  <c r="J395" i="88"/>
  <c r="I417" i="88"/>
  <c r="K395" i="88"/>
  <c r="J417" i="88"/>
  <c r="L395" i="88"/>
  <c r="K417" i="88"/>
  <c r="M395" i="88"/>
  <c r="L417" i="88"/>
  <c r="C396" i="88"/>
  <c r="D396" i="88"/>
  <c r="C418" i="88"/>
  <c r="E396" i="88"/>
  <c r="D418" i="88"/>
  <c r="F396" i="88"/>
  <c r="E418" i="88"/>
  <c r="G396" i="88"/>
  <c r="F418" i="88"/>
  <c r="H396" i="88"/>
  <c r="G418" i="88"/>
  <c r="I396" i="88"/>
  <c r="H418" i="88"/>
  <c r="J396" i="88"/>
  <c r="I418" i="88"/>
  <c r="K396" i="88"/>
  <c r="J418" i="88"/>
  <c r="L396" i="88"/>
  <c r="K418" i="88"/>
  <c r="M396" i="88"/>
  <c r="L418" i="88"/>
  <c r="C397" i="88"/>
  <c r="D397" i="88"/>
  <c r="C419" i="88"/>
  <c r="E397" i="88"/>
  <c r="D419" i="88"/>
  <c r="F397" i="88"/>
  <c r="E419" i="88"/>
  <c r="G397" i="88"/>
  <c r="F419" i="88"/>
  <c r="H397" i="88"/>
  <c r="G419" i="88"/>
  <c r="I397" i="88"/>
  <c r="H419" i="88"/>
  <c r="J397" i="88"/>
  <c r="I419" i="88"/>
  <c r="K397" i="88"/>
  <c r="J419" i="88"/>
  <c r="L397" i="88"/>
  <c r="K419" i="88"/>
  <c r="M397" i="88"/>
  <c r="L419" i="88"/>
  <c r="C398" i="88"/>
  <c r="D398" i="88"/>
  <c r="C420" i="88"/>
  <c r="E398" i="88"/>
  <c r="D420" i="88"/>
  <c r="F398" i="88"/>
  <c r="E420" i="88"/>
  <c r="G398" i="88"/>
  <c r="F420" i="88"/>
  <c r="H398" i="88"/>
  <c r="G420" i="88"/>
  <c r="I398" i="88"/>
  <c r="H420" i="88"/>
  <c r="J398" i="88"/>
  <c r="I420" i="88"/>
  <c r="K398" i="88"/>
  <c r="J420" i="88"/>
  <c r="L398" i="88"/>
  <c r="K420" i="88"/>
  <c r="M398" i="88"/>
  <c r="L420" i="88"/>
  <c r="C376" i="88"/>
  <c r="H37" i="98"/>
  <c r="P402" i="88"/>
  <c r="Q402" i="88"/>
  <c r="R402" i="88"/>
  <c r="S402" i="88"/>
  <c r="T402" i="88"/>
  <c r="V402" i="88"/>
  <c r="W402" i="88"/>
  <c r="X402" i="88"/>
  <c r="Y402" i="88"/>
  <c r="Z402" i="88"/>
  <c r="P403" i="88"/>
  <c r="Q403" i="88"/>
  <c r="R403" i="88"/>
  <c r="S403" i="88"/>
  <c r="T403" i="88"/>
  <c r="V403" i="88"/>
  <c r="W403" i="88"/>
  <c r="X403" i="88"/>
  <c r="Y403" i="88"/>
  <c r="Z403" i="88"/>
  <c r="P404" i="88"/>
  <c r="Q404" i="88"/>
  <c r="R404" i="88"/>
  <c r="S404" i="88"/>
  <c r="T404" i="88"/>
  <c r="V404" i="88"/>
  <c r="W404" i="88"/>
  <c r="X404" i="88"/>
  <c r="Y404" i="88"/>
  <c r="Z404" i="88"/>
  <c r="P405" i="88"/>
  <c r="Q405" i="88"/>
  <c r="R405" i="88"/>
  <c r="S405" i="88"/>
  <c r="T405" i="88"/>
  <c r="V405" i="88"/>
  <c r="W405" i="88"/>
  <c r="X405" i="88"/>
  <c r="Y405" i="88"/>
  <c r="Z405" i="88"/>
  <c r="P406" i="88"/>
  <c r="Q406" i="88"/>
  <c r="R406" i="88"/>
  <c r="S406" i="88"/>
  <c r="T406" i="88"/>
  <c r="V406" i="88"/>
  <c r="W406" i="88"/>
  <c r="X406" i="88"/>
  <c r="Y406" i="88"/>
  <c r="Z406" i="88"/>
  <c r="P407" i="88"/>
  <c r="Q407" i="88"/>
  <c r="R407" i="88"/>
  <c r="S407" i="88"/>
  <c r="T407" i="88"/>
  <c r="V407" i="88"/>
  <c r="W407" i="88"/>
  <c r="X407" i="88"/>
  <c r="Y407" i="88"/>
  <c r="Z407" i="88"/>
  <c r="P408" i="88"/>
  <c r="Q408" i="88"/>
  <c r="R408" i="88"/>
  <c r="S408" i="88"/>
  <c r="T408" i="88"/>
  <c r="V408" i="88"/>
  <c r="W408" i="88"/>
  <c r="X408" i="88"/>
  <c r="Y408" i="88"/>
  <c r="Z408" i="88"/>
  <c r="P409" i="88"/>
  <c r="Q409" i="88"/>
  <c r="R409" i="88"/>
  <c r="S409" i="88"/>
  <c r="T409" i="88"/>
  <c r="V409" i="88"/>
  <c r="W409" i="88"/>
  <c r="X409" i="88"/>
  <c r="Y409" i="88"/>
  <c r="Z409" i="88"/>
  <c r="P410" i="88"/>
  <c r="Q410" i="88"/>
  <c r="R410" i="88"/>
  <c r="S410" i="88"/>
  <c r="T410" i="88"/>
  <c r="V410" i="88"/>
  <c r="W410" i="88"/>
  <c r="X410" i="88"/>
  <c r="Y410" i="88"/>
  <c r="Z410" i="88"/>
  <c r="P411" i="88"/>
  <c r="Q411" i="88"/>
  <c r="R411" i="88"/>
  <c r="S411" i="88"/>
  <c r="T411" i="88"/>
  <c r="V411" i="88"/>
  <c r="W411" i="88"/>
  <c r="X411" i="88"/>
  <c r="Y411" i="88"/>
  <c r="Z411" i="88"/>
  <c r="P412" i="88"/>
  <c r="Q412" i="88"/>
  <c r="R412" i="88"/>
  <c r="S412" i="88"/>
  <c r="T412" i="88"/>
  <c r="V412" i="88"/>
  <c r="W412" i="88"/>
  <c r="X412" i="88"/>
  <c r="Y412" i="88"/>
  <c r="Z412" i="88"/>
  <c r="P413" i="88"/>
  <c r="Q413" i="88"/>
  <c r="R413" i="88"/>
  <c r="S413" i="88"/>
  <c r="T413" i="88"/>
  <c r="V413" i="88"/>
  <c r="W413" i="88"/>
  <c r="X413" i="88"/>
  <c r="Y413" i="88"/>
  <c r="Z413" i="88"/>
  <c r="P414" i="88"/>
  <c r="Q414" i="88"/>
  <c r="R414" i="88"/>
  <c r="S414" i="88"/>
  <c r="T414" i="88"/>
  <c r="V414" i="88"/>
  <c r="W414" i="88"/>
  <c r="X414" i="88"/>
  <c r="Y414" i="88"/>
  <c r="Z414" i="88"/>
  <c r="P415" i="88"/>
  <c r="Q415" i="88"/>
  <c r="R415" i="88"/>
  <c r="S415" i="88"/>
  <c r="T415" i="88"/>
  <c r="V415" i="88"/>
  <c r="W415" i="88"/>
  <c r="X415" i="88"/>
  <c r="Y415" i="88"/>
  <c r="Z415" i="88"/>
  <c r="P416" i="88"/>
  <c r="Q416" i="88"/>
  <c r="R416" i="88"/>
  <c r="S416" i="88"/>
  <c r="T416" i="88"/>
  <c r="V416" i="88"/>
  <c r="W416" i="88"/>
  <c r="X416" i="88"/>
  <c r="Y416" i="88"/>
  <c r="Z416" i="88"/>
  <c r="P417" i="88"/>
  <c r="Q417" i="88"/>
  <c r="R417" i="88"/>
  <c r="S417" i="88"/>
  <c r="T417" i="88"/>
  <c r="V417" i="88"/>
  <c r="W417" i="88"/>
  <c r="X417" i="88"/>
  <c r="Y417" i="88"/>
  <c r="Z417" i="88"/>
  <c r="P418" i="88"/>
  <c r="Q418" i="88"/>
  <c r="R418" i="88"/>
  <c r="S418" i="88"/>
  <c r="T418" i="88"/>
  <c r="V418" i="88"/>
  <c r="W418" i="88"/>
  <c r="X418" i="88"/>
  <c r="Y418" i="88"/>
  <c r="Z418" i="88"/>
  <c r="P419" i="88"/>
  <c r="Q419" i="88"/>
  <c r="R419" i="88"/>
  <c r="S419" i="88"/>
  <c r="T419" i="88"/>
  <c r="V419" i="88"/>
  <c r="W419" i="88"/>
  <c r="X419" i="88"/>
  <c r="Y419" i="88"/>
  <c r="Z419" i="88"/>
  <c r="H376" i="88"/>
  <c r="H38" i="98"/>
  <c r="H42" i="98"/>
  <c r="H8" i="100"/>
  <c r="C22" i="89"/>
  <c r="D22" i="89"/>
  <c r="D24" i="89"/>
  <c r="I4" i="89"/>
  <c r="G4" i="89"/>
  <c r="N4" i="89"/>
  <c r="C10" i="101"/>
  <c r="AC10" i="101"/>
  <c r="O3" i="89"/>
  <c r="O4" i="89"/>
  <c r="D10" i="101"/>
  <c r="AD10" i="101"/>
  <c r="P3" i="89"/>
  <c r="P4" i="89"/>
  <c r="E10" i="101"/>
  <c r="AE10" i="101"/>
  <c r="Q3" i="89"/>
  <c r="Q4" i="89"/>
  <c r="F10" i="101"/>
  <c r="AF10" i="101"/>
  <c r="R3" i="89"/>
  <c r="R4" i="89"/>
  <c r="G10" i="101"/>
  <c r="AG10" i="101"/>
  <c r="S3" i="89"/>
  <c r="S4" i="89"/>
  <c r="H10" i="101"/>
  <c r="AH10" i="101"/>
  <c r="T3" i="89"/>
  <c r="T4" i="89"/>
  <c r="I10" i="101"/>
  <c r="AI10" i="101"/>
  <c r="U3" i="89"/>
  <c r="U4" i="89"/>
  <c r="J10" i="101"/>
  <c r="AJ10" i="101"/>
  <c r="V3" i="89"/>
  <c r="V4" i="89"/>
  <c r="K10" i="101"/>
  <c r="AK10" i="101"/>
  <c r="W3" i="89"/>
  <c r="W4" i="89"/>
  <c r="L10" i="101"/>
  <c r="AL10" i="101"/>
  <c r="X3" i="89"/>
  <c r="X4" i="89"/>
  <c r="M10" i="101"/>
  <c r="AM10" i="101"/>
  <c r="I5" i="89"/>
  <c r="G5" i="89"/>
  <c r="N5" i="89"/>
  <c r="C11" i="101"/>
  <c r="AC11" i="101"/>
  <c r="O5" i="89"/>
  <c r="D11" i="101"/>
  <c r="AD11" i="101"/>
  <c r="P5" i="89"/>
  <c r="E11" i="101"/>
  <c r="AE11" i="101"/>
  <c r="Q5" i="89"/>
  <c r="F11" i="101"/>
  <c r="AF11" i="101"/>
  <c r="R5" i="89"/>
  <c r="G11" i="101"/>
  <c r="AG11" i="101"/>
  <c r="S5" i="89"/>
  <c r="H11" i="101"/>
  <c r="AH11" i="101"/>
  <c r="T5" i="89"/>
  <c r="I11" i="101"/>
  <c r="AI11" i="101"/>
  <c r="U5" i="89"/>
  <c r="J11" i="101"/>
  <c r="AJ11" i="101"/>
  <c r="V5" i="89"/>
  <c r="K11" i="101"/>
  <c r="AK11" i="101"/>
  <c r="W5" i="89"/>
  <c r="L11" i="101"/>
  <c r="AL11" i="101"/>
  <c r="X5" i="89"/>
  <c r="M11" i="101"/>
  <c r="AM11" i="101"/>
  <c r="I6" i="89"/>
  <c r="G6" i="89"/>
  <c r="N6" i="89"/>
  <c r="C12" i="101"/>
  <c r="AC12" i="101"/>
  <c r="O6" i="89"/>
  <c r="D12" i="101"/>
  <c r="AD12" i="101"/>
  <c r="P6" i="89"/>
  <c r="E12" i="101"/>
  <c r="AE12" i="101"/>
  <c r="Q6" i="89"/>
  <c r="F12" i="101"/>
  <c r="AF12" i="101"/>
  <c r="R6" i="89"/>
  <c r="G12" i="101"/>
  <c r="AG12" i="101"/>
  <c r="S6" i="89"/>
  <c r="H12" i="101"/>
  <c r="AH12" i="101"/>
  <c r="T6" i="89"/>
  <c r="I12" i="101"/>
  <c r="AI12" i="101"/>
  <c r="U6" i="89"/>
  <c r="J12" i="101"/>
  <c r="AJ12" i="101"/>
  <c r="V6" i="89"/>
  <c r="K12" i="101"/>
  <c r="AK12" i="101"/>
  <c r="W6" i="89"/>
  <c r="L12" i="101"/>
  <c r="AL12" i="101"/>
  <c r="X6" i="89"/>
  <c r="M12" i="101"/>
  <c r="AM12" i="101"/>
  <c r="I7" i="89"/>
  <c r="G7" i="89"/>
  <c r="N7" i="89"/>
  <c r="C13" i="101"/>
  <c r="AC13" i="101"/>
  <c r="O7" i="89"/>
  <c r="D13" i="101"/>
  <c r="AD13" i="101"/>
  <c r="P7" i="89"/>
  <c r="E13" i="101"/>
  <c r="AE13" i="101"/>
  <c r="Q7" i="89"/>
  <c r="F13" i="101"/>
  <c r="AF13" i="101"/>
  <c r="R7" i="89"/>
  <c r="G13" i="101"/>
  <c r="AG13" i="101"/>
  <c r="S7" i="89"/>
  <c r="H13" i="101"/>
  <c r="AH13" i="101"/>
  <c r="T7" i="89"/>
  <c r="I13" i="101"/>
  <c r="AI13" i="101"/>
  <c r="U7" i="89"/>
  <c r="J13" i="101"/>
  <c r="AJ13" i="101"/>
  <c r="V7" i="89"/>
  <c r="K13" i="101"/>
  <c r="AK13" i="101"/>
  <c r="W7" i="89"/>
  <c r="L13" i="101"/>
  <c r="AL13" i="101"/>
  <c r="X7" i="89"/>
  <c r="M13" i="101"/>
  <c r="AM13" i="101"/>
  <c r="I8" i="89"/>
  <c r="G8" i="89"/>
  <c r="N8" i="89"/>
  <c r="C14" i="101"/>
  <c r="AC14" i="101"/>
  <c r="O8" i="89"/>
  <c r="D14" i="101"/>
  <c r="AD14" i="101"/>
  <c r="P8" i="89"/>
  <c r="E14" i="101"/>
  <c r="AE14" i="101"/>
  <c r="Q8" i="89"/>
  <c r="F14" i="101"/>
  <c r="AF14" i="101"/>
  <c r="R8" i="89"/>
  <c r="G14" i="101"/>
  <c r="AG14" i="101"/>
  <c r="S8" i="89"/>
  <c r="H14" i="101"/>
  <c r="AH14" i="101"/>
  <c r="T8" i="89"/>
  <c r="I14" i="101"/>
  <c r="AI14" i="101"/>
  <c r="U8" i="89"/>
  <c r="J14" i="101"/>
  <c r="AJ14" i="101"/>
  <c r="V8" i="89"/>
  <c r="K14" i="101"/>
  <c r="AK14" i="101"/>
  <c r="W8" i="89"/>
  <c r="L14" i="101"/>
  <c r="AL14" i="101"/>
  <c r="X8" i="89"/>
  <c r="M14" i="101"/>
  <c r="AM14" i="101"/>
  <c r="I9" i="89"/>
  <c r="G9" i="89"/>
  <c r="N9" i="89"/>
  <c r="C15" i="101"/>
  <c r="AC15" i="101"/>
  <c r="O9" i="89"/>
  <c r="D15" i="101"/>
  <c r="AD15" i="101"/>
  <c r="P9" i="89"/>
  <c r="E15" i="101"/>
  <c r="AE15" i="101"/>
  <c r="Q9" i="89"/>
  <c r="F15" i="101"/>
  <c r="AF15" i="101"/>
  <c r="R9" i="89"/>
  <c r="G15" i="101"/>
  <c r="AG15" i="101"/>
  <c r="S9" i="89"/>
  <c r="H15" i="101"/>
  <c r="AH15" i="101"/>
  <c r="T9" i="89"/>
  <c r="I15" i="101"/>
  <c r="AI15" i="101"/>
  <c r="U9" i="89"/>
  <c r="J15" i="101"/>
  <c r="AJ15" i="101"/>
  <c r="V9" i="89"/>
  <c r="K15" i="101"/>
  <c r="AK15" i="101"/>
  <c r="W9" i="89"/>
  <c r="L15" i="101"/>
  <c r="AL15" i="101"/>
  <c r="X9" i="89"/>
  <c r="M15" i="101"/>
  <c r="AM15" i="101"/>
  <c r="I10" i="89"/>
  <c r="G10" i="89"/>
  <c r="N10" i="89"/>
  <c r="C16" i="101"/>
  <c r="AC16" i="101"/>
  <c r="O10" i="89"/>
  <c r="D16" i="101"/>
  <c r="AD16" i="101"/>
  <c r="P10" i="89"/>
  <c r="E16" i="101"/>
  <c r="AE16" i="101"/>
  <c r="Q10" i="89"/>
  <c r="F16" i="101"/>
  <c r="AF16" i="101"/>
  <c r="R10" i="89"/>
  <c r="G16" i="101"/>
  <c r="AG16" i="101"/>
  <c r="S10" i="89"/>
  <c r="H16" i="101"/>
  <c r="AH16" i="101"/>
  <c r="T10" i="89"/>
  <c r="I16" i="101"/>
  <c r="AI16" i="101"/>
  <c r="U10" i="89"/>
  <c r="J16" i="101"/>
  <c r="AJ16" i="101"/>
  <c r="V10" i="89"/>
  <c r="K16" i="101"/>
  <c r="AK16" i="101"/>
  <c r="W10" i="89"/>
  <c r="L16" i="101"/>
  <c r="AL16" i="101"/>
  <c r="X10" i="89"/>
  <c r="M16" i="101"/>
  <c r="AM16" i="101"/>
  <c r="I11" i="89"/>
  <c r="G11" i="89"/>
  <c r="N11" i="89"/>
  <c r="C17" i="101"/>
  <c r="AC17" i="101"/>
  <c r="O11" i="89"/>
  <c r="D17" i="101"/>
  <c r="AD17" i="101"/>
  <c r="P11" i="89"/>
  <c r="E17" i="101"/>
  <c r="AE17" i="101"/>
  <c r="Q11" i="89"/>
  <c r="F17" i="101"/>
  <c r="AF17" i="101"/>
  <c r="R11" i="89"/>
  <c r="G17" i="101"/>
  <c r="AG17" i="101"/>
  <c r="S11" i="89"/>
  <c r="H17" i="101"/>
  <c r="AH17" i="101"/>
  <c r="T11" i="89"/>
  <c r="I17" i="101"/>
  <c r="AI17" i="101"/>
  <c r="U11" i="89"/>
  <c r="J17" i="101"/>
  <c r="AJ17" i="101"/>
  <c r="V11" i="89"/>
  <c r="K17" i="101"/>
  <c r="AK17" i="101"/>
  <c r="W11" i="89"/>
  <c r="L17" i="101"/>
  <c r="AL17" i="101"/>
  <c r="X11" i="89"/>
  <c r="M17" i="101"/>
  <c r="AM17" i="101"/>
  <c r="I12" i="89"/>
  <c r="G12" i="89"/>
  <c r="N12" i="89"/>
  <c r="C18" i="101"/>
  <c r="AC18" i="101"/>
  <c r="O12" i="89"/>
  <c r="D18" i="101"/>
  <c r="AD18" i="101"/>
  <c r="P12" i="89"/>
  <c r="E18" i="101"/>
  <c r="AE18" i="101"/>
  <c r="Q12" i="89"/>
  <c r="F18" i="101"/>
  <c r="AF18" i="101"/>
  <c r="R12" i="89"/>
  <c r="G18" i="101"/>
  <c r="AG18" i="101"/>
  <c r="S12" i="89"/>
  <c r="H18" i="101"/>
  <c r="AH18" i="101"/>
  <c r="T12" i="89"/>
  <c r="I18" i="101"/>
  <c r="AI18" i="101"/>
  <c r="U12" i="89"/>
  <c r="J18" i="101"/>
  <c r="AJ18" i="101"/>
  <c r="V12" i="89"/>
  <c r="K18" i="101"/>
  <c r="AK18" i="101"/>
  <c r="W12" i="89"/>
  <c r="L18" i="101"/>
  <c r="AL18" i="101"/>
  <c r="X12" i="89"/>
  <c r="M18" i="101"/>
  <c r="AM18" i="101"/>
  <c r="I13" i="89"/>
  <c r="G13" i="89"/>
  <c r="N13" i="89"/>
  <c r="C19" i="101"/>
  <c r="AC19" i="101"/>
  <c r="O13" i="89"/>
  <c r="D19" i="101"/>
  <c r="AD19" i="101"/>
  <c r="P13" i="89"/>
  <c r="E19" i="101"/>
  <c r="AE19" i="101"/>
  <c r="Q13" i="89"/>
  <c r="F19" i="101"/>
  <c r="AF19" i="101"/>
  <c r="R13" i="89"/>
  <c r="G19" i="101"/>
  <c r="AG19" i="101"/>
  <c r="S13" i="89"/>
  <c r="H19" i="101"/>
  <c r="AH19" i="101"/>
  <c r="T13" i="89"/>
  <c r="I19" i="101"/>
  <c r="AI19" i="101"/>
  <c r="U13" i="89"/>
  <c r="J19" i="101"/>
  <c r="AJ19" i="101"/>
  <c r="V13" i="89"/>
  <c r="K19" i="101"/>
  <c r="AK19" i="101"/>
  <c r="W13" i="89"/>
  <c r="L19" i="101"/>
  <c r="AL19" i="101"/>
  <c r="X13" i="89"/>
  <c r="M19" i="101"/>
  <c r="AM19" i="101"/>
  <c r="I14" i="89"/>
  <c r="G14" i="89"/>
  <c r="N14" i="89"/>
  <c r="C20" i="101"/>
  <c r="AC20" i="101"/>
  <c r="O14" i="89"/>
  <c r="D20" i="101"/>
  <c r="AD20" i="101"/>
  <c r="P14" i="89"/>
  <c r="E20" i="101"/>
  <c r="AE20" i="101"/>
  <c r="Q14" i="89"/>
  <c r="F20" i="101"/>
  <c r="AF20" i="101"/>
  <c r="R14" i="89"/>
  <c r="G20" i="101"/>
  <c r="AG20" i="101"/>
  <c r="S14" i="89"/>
  <c r="H20" i="101"/>
  <c r="AH20" i="101"/>
  <c r="T14" i="89"/>
  <c r="I20" i="101"/>
  <c r="AI20" i="101"/>
  <c r="U14" i="89"/>
  <c r="J20" i="101"/>
  <c r="AJ20" i="101"/>
  <c r="V14" i="89"/>
  <c r="K20" i="101"/>
  <c r="AK20" i="101"/>
  <c r="W14" i="89"/>
  <c r="L20" i="101"/>
  <c r="AL20" i="101"/>
  <c r="X14" i="89"/>
  <c r="M20" i="101"/>
  <c r="AM20" i="101"/>
  <c r="I15" i="89"/>
  <c r="G15" i="89"/>
  <c r="N15" i="89"/>
  <c r="C21" i="101"/>
  <c r="AC21" i="101"/>
  <c r="O15" i="89"/>
  <c r="D21" i="101"/>
  <c r="AD21" i="101"/>
  <c r="P15" i="89"/>
  <c r="E21" i="101"/>
  <c r="AE21" i="101"/>
  <c r="Q15" i="89"/>
  <c r="F21" i="101"/>
  <c r="AF21" i="101"/>
  <c r="R15" i="89"/>
  <c r="G21" i="101"/>
  <c r="AG21" i="101"/>
  <c r="S15" i="89"/>
  <c r="H21" i="101"/>
  <c r="AH21" i="101"/>
  <c r="T15" i="89"/>
  <c r="I21" i="101"/>
  <c r="AI21" i="101"/>
  <c r="U15" i="89"/>
  <c r="J21" i="101"/>
  <c r="AJ21" i="101"/>
  <c r="V15" i="89"/>
  <c r="K21" i="101"/>
  <c r="AK21" i="101"/>
  <c r="W15" i="89"/>
  <c r="L21" i="101"/>
  <c r="AL21" i="101"/>
  <c r="X15" i="89"/>
  <c r="M21" i="101"/>
  <c r="AM21" i="101"/>
  <c r="I16" i="89"/>
  <c r="G16" i="89"/>
  <c r="N16" i="89"/>
  <c r="C22" i="101"/>
  <c r="AC22" i="101"/>
  <c r="O16" i="89"/>
  <c r="D22" i="101"/>
  <c r="AD22" i="101"/>
  <c r="P16" i="89"/>
  <c r="E22" i="101"/>
  <c r="AE22" i="101"/>
  <c r="Q16" i="89"/>
  <c r="F22" i="101"/>
  <c r="AF22" i="101"/>
  <c r="R16" i="89"/>
  <c r="G22" i="101"/>
  <c r="AG22" i="101"/>
  <c r="S16" i="89"/>
  <c r="H22" i="101"/>
  <c r="AH22" i="101"/>
  <c r="T16" i="89"/>
  <c r="I22" i="101"/>
  <c r="AI22" i="101"/>
  <c r="U16" i="89"/>
  <c r="J22" i="101"/>
  <c r="AJ22" i="101"/>
  <c r="V16" i="89"/>
  <c r="K22" i="101"/>
  <c r="AK22" i="101"/>
  <c r="W16" i="89"/>
  <c r="L22" i="101"/>
  <c r="AL22" i="101"/>
  <c r="X16" i="89"/>
  <c r="M22" i="101"/>
  <c r="AM22" i="101"/>
  <c r="I17" i="89"/>
  <c r="G17" i="89"/>
  <c r="N17" i="89"/>
  <c r="C23" i="101"/>
  <c r="AC23" i="101"/>
  <c r="O17" i="89"/>
  <c r="D23" i="101"/>
  <c r="AD23" i="101"/>
  <c r="P17" i="89"/>
  <c r="E23" i="101"/>
  <c r="AE23" i="101"/>
  <c r="Q17" i="89"/>
  <c r="F23" i="101"/>
  <c r="AF23" i="101"/>
  <c r="R17" i="89"/>
  <c r="G23" i="101"/>
  <c r="AG23" i="101"/>
  <c r="S17" i="89"/>
  <c r="H23" i="101"/>
  <c r="AH23" i="101"/>
  <c r="T17" i="89"/>
  <c r="I23" i="101"/>
  <c r="AI23" i="101"/>
  <c r="U17" i="89"/>
  <c r="J23" i="101"/>
  <c r="AJ23" i="101"/>
  <c r="V17" i="89"/>
  <c r="K23" i="101"/>
  <c r="AK23" i="101"/>
  <c r="W17" i="89"/>
  <c r="L23" i="101"/>
  <c r="AL23" i="101"/>
  <c r="X17" i="89"/>
  <c r="M23" i="101"/>
  <c r="AM23" i="101"/>
  <c r="I18" i="89"/>
  <c r="G18" i="89"/>
  <c r="N18" i="89"/>
  <c r="C24" i="101"/>
  <c r="AC24" i="101"/>
  <c r="O18" i="89"/>
  <c r="D24" i="101"/>
  <c r="AD24" i="101"/>
  <c r="P18" i="89"/>
  <c r="E24" i="101"/>
  <c r="AE24" i="101"/>
  <c r="Q18" i="89"/>
  <c r="F24" i="101"/>
  <c r="AF24" i="101"/>
  <c r="R18" i="89"/>
  <c r="G24" i="101"/>
  <c r="AG24" i="101"/>
  <c r="S18" i="89"/>
  <c r="H24" i="101"/>
  <c r="AH24" i="101"/>
  <c r="T18" i="89"/>
  <c r="I24" i="101"/>
  <c r="AI24" i="101"/>
  <c r="U18" i="89"/>
  <c r="J24" i="101"/>
  <c r="AJ24" i="101"/>
  <c r="V18" i="89"/>
  <c r="K24" i="101"/>
  <c r="AK24" i="101"/>
  <c r="W18" i="89"/>
  <c r="L24" i="101"/>
  <c r="AL24" i="101"/>
  <c r="X18" i="89"/>
  <c r="M24" i="101"/>
  <c r="AM24" i="101"/>
  <c r="E5" i="101"/>
  <c r="K7" i="99"/>
  <c r="N29" i="89"/>
  <c r="C37" i="101"/>
  <c r="AC37" i="101"/>
  <c r="O28" i="89"/>
  <c r="O29" i="89"/>
  <c r="D37" i="101"/>
  <c r="AD37" i="101"/>
  <c r="P28" i="89"/>
  <c r="P29" i="89"/>
  <c r="E37" i="101"/>
  <c r="AE37" i="101"/>
  <c r="Q28" i="89"/>
  <c r="Q29" i="89"/>
  <c r="F37" i="101"/>
  <c r="AF37" i="101"/>
  <c r="R28" i="89"/>
  <c r="R29" i="89"/>
  <c r="G37" i="101"/>
  <c r="AG37" i="101"/>
  <c r="S28" i="89"/>
  <c r="S29" i="89"/>
  <c r="H37" i="101"/>
  <c r="AH37" i="101"/>
  <c r="T28" i="89"/>
  <c r="T29" i="89"/>
  <c r="I37" i="101"/>
  <c r="AI37" i="101"/>
  <c r="U28" i="89"/>
  <c r="U29" i="89"/>
  <c r="J37" i="101"/>
  <c r="AJ37" i="101"/>
  <c r="V28" i="89"/>
  <c r="V29" i="89"/>
  <c r="K37" i="101"/>
  <c r="AK37" i="101"/>
  <c r="W28" i="89"/>
  <c r="W29" i="89"/>
  <c r="L37" i="101"/>
  <c r="AL37" i="101"/>
  <c r="X28" i="89"/>
  <c r="X29" i="89"/>
  <c r="M37" i="101"/>
  <c r="AM37" i="101"/>
  <c r="N30" i="89"/>
  <c r="C38" i="101"/>
  <c r="AC38" i="101"/>
  <c r="O30" i="89"/>
  <c r="D38" i="101"/>
  <c r="AD38" i="101"/>
  <c r="P30" i="89"/>
  <c r="E38" i="101"/>
  <c r="AE38" i="101"/>
  <c r="Q30" i="89"/>
  <c r="F38" i="101"/>
  <c r="AF38" i="101"/>
  <c r="R30" i="89"/>
  <c r="G38" i="101"/>
  <c r="AG38" i="101"/>
  <c r="S30" i="89"/>
  <c r="H38" i="101"/>
  <c r="AH38" i="101"/>
  <c r="T30" i="89"/>
  <c r="I38" i="101"/>
  <c r="AI38" i="101"/>
  <c r="U30" i="89"/>
  <c r="J38" i="101"/>
  <c r="AJ38" i="101"/>
  <c r="V30" i="89"/>
  <c r="K38" i="101"/>
  <c r="AK38" i="101"/>
  <c r="W30" i="89"/>
  <c r="L38" i="101"/>
  <c r="AL38" i="101"/>
  <c r="X30" i="89"/>
  <c r="M38" i="101"/>
  <c r="AM38" i="101"/>
  <c r="N31" i="89"/>
  <c r="C39" i="101"/>
  <c r="AC39" i="101"/>
  <c r="O31" i="89"/>
  <c r="D39" i="101"/>
  <c r="AD39" i="101"/>
  <c r="P31" i="89"/>
  <c r="E39" i="101"/>
  <c r="AE39" i="101"/>
  <c r="Q31" i="89"/>
  <c r="F39" i="101"/>
  <c r="AF39" i="101"/>
  <c r="R31" i="89"/>
  <c r="G39" i="101"/>
  <c r="AG39" i="101"/>
  <c r="S31" i="89"/>
  <c r="H39" i="101"/>
  <c r="AH39" i="101"/>
  <c r="T31" i="89"/>
  <c r="I39" i="101"/>
  <c r="AI39" i="101"/>
  <c r="U31" i="89"/>
  <c r="J39" i="101"/>
  <c r="AJ39" i="101"/>
  <c r="V31" i="89"/>
  <c r="K39" i="101"/>
  <c r="AK39" i="101"/>
  <c r="W31" i="89"/>
  <c r="L39" i="101"/>
  <c r="AL39" i="101"/>
  <c r="X31" i="89"/>
  <c r="M39" i="101"/>
  <c r="AM39" i="101"/>
  <c r="N32" i="89"/>
  <c r="C40" i="101"/>
  <c r="AC40" i="101"/>
  <c r="O32" i="89"/>
  <c r="D40" i="101"/>
  <c r="AD40" i="101"/>
  <c r="P32" i="89"/>
  <c r="E40" i="101"/>
  <c r="AE40" i="101"/>
  <c r="Q32" i="89"/>
  <c r="F40" i="101"/>
  <c r="AF40" i="101"/>
  <c r="R32" i="89"/>
  <c r="G40" i="101"/>
  <c r="AG40" i="101"/>
  <c r="S32" i="89"/>
  <c r="H40" i="101"/>
  <c r="AH40" i="101"/>
  <c r="T32" i="89"/>
  <c r="I40" i="101"/>
  <c r="AI40" i="101"/>
  <c r="U32" i="89"/>
  <c r="J40" i="101"/>
  <c r="AJ40" i="101"/>
  <c r="V32" i="89"/>
  <c r="K40" i="101"/>
  <c r="AK40" i="101"/>
  <c r="W32" i="89"/>
  <c r="L40" i="101"/>
  <c r="AL40" i="101"/>
  <c r="X32" i="89"/>
  <c r="M40" i="101"/>
  <c r="AM40" i="101"/>
  <c r="N33" i="89"/>
  <c r="C41" i="101"/>
  <c r="AC41" i="101"/>
  <c r="O33" i="89"/>
  <c r="D41" i="101"/>
  <c r="AD41" i="101"/>
  <c r="P33" i="89"/>
  <c r="E41" i="101"/>
  <c r="AE41" i="101"/>
  <c r="Q33" i="89"/>
  <c r="F41" i="101"/>
  <c r="AF41" i="101"/>
  <c r="R33" i="89"/>
  <c r="G41" i="101"/>
  <c r="AG41" i="101"/>
  <c r="S33" i="89"/>
  <c r="H41" i="101"/>
  <c r="AH41" i="101"/>
  <c r="T33" i="89"/>
  <c r="I41" i="101"/>
  <c r="AI41" i="101"/>
  <c r="U33" i="89"/>
  <c r="J41" i="101"/>
  <c r="AJ41" i="101"/>
  <c r="V33" i="89"/>
  <c r="K41" i="101"/>
  <c r="AK41" i="101"/>
  <c r="W33" i="89"/>
  <c r="L41" i="101"/>
  <c r="AL41" i="101"/>
  <c r="X33" i="89"/>
  <c r="M41" i="101"/>
  <c r="AM41" i="101"/>
  <c r="N34" i="89"/>
  <c r="C42" i="101"/>
  <c r="AC42" i="101"/>
  <c r="O34" i="89"/>
  <c r="D42" i="101"/>
  <c r="AD42" i="101"/>
  <c r="P34" i="89"/>
  <c r="E42" i="101"/>
  <c r="AE42" i="101"/>
  <c r="Q34" i="89"/>
  <c r="F42" i="101"/>
  <c r="AF42" i="101"/>
  <c r="R34" i="89"/>
  <c r="G42" i="101"/>
  <c r="AG42" i="101"/>
  <c r="S34" i="89"/>
  <c r="H42" i="101"/>
  <c r="AH42" i="101"/>
  <c r="T34" i="89"/>
  <c r="I42" i="101"/>
  <c r="AI42" i="101"/>
  <c r="U34" i="89"/>
  <c r="J42" i="101"/>
  <c r="AJ42" i="101"/>
  <c r="V34" i="89"/>
  <c r="K42" i="101"/>
  <c r="AK42" i="101"/>
  <c r="W34" i="89"/>
  <c r="L42" i="101"/>
  <c r="AL42" i="101"/>
  <c r="X34" i="89"/>
  <c r="M42" i="101"/>
  <c r="AM42" i="101"/>
  <c r="N35" i="89"/>
  <c r="C43" i="101"/>
  <c r="AC43" i="101"/>
  <c r="O35" i="89"/>
  <c r="D43" i="101"/>
  <c r="AD43" i="101"/>
  <c r="P35" i="89"/>
  <c r="E43" i="101"/>
  <c r="AE43" i="101"/>
  <c r="Q35" i="89"/>
  <c r="F43" i="101"/>
  <c r="AF43" i="101"/>
  <c r="R35" i="89"/>
  <c r="G43" i="101"/>
  <c r="AG43" i="101"/>
  <c r="S35" i="89"/>
  <c r="H43" i="101"/>
  <c r="AH43" i="101"/>
  <c r="T35" i="89"/>
  <c r="I43" i="101"/>
  <c r="AI43" i="101"/>
  <c r="U35" i="89"/>
  <c r="J43" i="101"/>
  <c r="AJ43" i="101"/>
  <c r="V35" i="89"/>
  <c r="K43" i="101"/>
  <c r="AK43" i="101"/>
  <c r="W35" i="89"/>
  <c r="L43" i="101"/>
  <c r="AL43" i="101"/>
  <c r="X35" i="89"/>
  <c r="M43" i="101"/>
  <c r="AM43" i="101"/>
  <c r="N36" i="89"/>
  <c r="C44" i="101"/>
  <c r="AC44" i="101"/>
  <c r="O36" i="89"/>
  <c r="D44" i="101"/>
  <c r="AD44" i="101"/>
  <c r="P36" i="89"/>
  <c r="E44" i="101"/>
  <c r="AE44" i="101"/>
  <c r="Q36" i="89"/>
  <c r="F44" i="101"/>
  <c r="AF44" i="101"/>
  <c r="R36" i="89"/>
  <c r="G44" i="101"/>
  <c r="AG44" i="101"/>
  <c r="S36" i="89"/>
  <c r="H44" i="101"/>
  <c r="AH44" i="101"/>
  <c r="T36" i="89"/>
  <c r="I44" i="101"/>
  <c r="AI44" i="101"/>
  <c r="U36" i="89"/>
  <c r="J44" i="101"/>
  <c r="AJ44" i="101"/>
  <c r="V36" i="89"/>
  <c r="K44" i="101"/>
  <c r="AK44" i="101"/>
  <c r="W36" i="89"/>
  <c r="L44" i="101"/>
  <c r="AL44" i="101"/>
  <c r="X36" i="89"/>
  <c r="M44" i="101"/>
  <c r="AM44" i="101"/>
  <c r="N37" i="89"/>
  <c r="C45" i="101"/>
  <c r="AC45" i="101"/>
  <c r="O37" i="89"/>
  <c r="D45" i="101"/>
  <c r="AD45" i="101"/>
  <c r="P37" i="89"/>
  <c r="E45" i="101"/>
  <c r="AE45" i="101"/>
  <c r="Q37" i="89"/>
  <c r="F45" i="101"/>
  <c r="AF45" i="101"/>
  <c r="R37" i="89"/>
  <c r="G45" i="101"/>
  <c r="AG45" i="101"/>
  <c r="S37" i="89"/>
  <c r="H45" i="101"/>
  <c r="AH45" i="101"/>
  <c r="T37" i="89"/>
  <c r="I45" i="101"/>
  <c r="AI45" i="101"/>
  <c r="U37" i="89"/>
  <c r="J45" i="101"/>
  <c r="AJ45" i="101"/>
  <c r="V37" i="89"/>
  <c r="K45" i="101"/>
  <c r="AK45" i="101"/>
  <c r="W37" i="89"/>
  <c r="L45" i="101"/>
  <c r="AL45" i="101"/>
  <c r="X37" i="89"/>
  <c r="M45" i="101"/>
  <c r="AM45" i="101"/>
  <c r="N38" i="89"/>
  <c r="C46" i="101"/>
  <c r="AC46" i="101"/>
  <c r="O38" i="89"/>
  <c r="D46" i="101"/>
  <c r="AD46" i="101"/>
  <c r="P38" i="89"/>
  <c r="E46" i="101"/>
  <c r="AE46" i="101"/>
  <c r="Q38" i="89"/>
  <c r="F46" i="101"/>
  <c r="AF46" i="101"/>
  <c r="R38" i="89"/>
  <c r="G46" i="101"/>
  <c r="AG46" i="101"/>
  <c r="S38" i="89"/>
  <c r="H46" i="101"/>
  <c r="AH46" i="101"/>
  <c r="T38" i="89"/>
  <c r="I46" i="101"/>
  <c r="AI46" i="101"/>
  <c r="U38" i="89"/>
  <c r="J46" i="101"/>
  <c r="AJ46" i="101"/>
  <c r="V38" i="89"/>
  <c r="K46" i="101"/>
  <c r="AK46" i="101"/>
  <c r="W38" i="89"/>
  <c r="L46" i="101"/>
  <c r="AL46" i="101"/>
  <c r="X38" i="89"/>
  <c r="M46" i="101"/>
  <c r="AM46" i="101"/>
  <c r="N39" i="89"/>
  <c r="C47" i="101"/>
  <c r="AC47" i="101"/>
  <c r="O39" i="89"/>
  <c r="D47" i="101"/>
  <c r="AD47" i="101"/>
  <c r="P39" i="89"/>
  <c r="E47" i="101"/>
  <c r="AE47" i="101"/>
  <c r="Q39" i="89"/>
  <c r="F47" i="101"/>
  <c r="AF47" i="101"/>
  <c r="R39" i="89"/>
  <c r="G47" i="101"/>
  <c r="AG47" i="101"/>
  <c r="S39" i="89"/>
  <c r="H47" i="101"/>
  <c r="AH47" i="101"/>
  <c r="T39" i="89"/>
  <c r="I47" i="101"/>
  <c r="AI47" i="101"/>
  <c r="U39" i="89"/>
  <c r="J47" i="101"/>
  <c r="AJ47" i="101"/>
  <c r="V39" i="89"/>
  <c r="K47" i="101"/>
  <c r="AK47" i="101"/>
  <c r="W39" i="89"/>
  <c r="L47" i="101"/>
  <c r="AL47" i="101"/>
  <c r="X39" i="89"/>
  <c r="M47" i="101"/>
  <c r="AM47" i="101"/>
  <c r="N40" i="89"/>
  <c r="C48" i="101"/>
  <c r="AC48" i="101"/>
  <c r="O40" i="89"/>
  <c r="D48" i="101"/>
  <c r="AD48" i="101"/>
  <c r="P40" i="89"/>
  <c r="E48" i="101"/>
  <c r="AE48" i="101"/>
  <c r="Q40" i="89"/>
  <c r="F48" i="101"/>
  <c r="AF48" i="101"/>
  <c r="R40" i="89"/>
  <c r="G48" i="101"/>
  <c r="AG48" i="101"/>
  <c r="S40" i="89"/>
  <c r="H48" i="101"/>
  <c r="AH48" i="101"/>
  <c r="T40" i="89"/>
  <c r="I48" i="101"/>
  <c r="AI48" i="101"/>
  <c r="U40" i="89"/>
  <c r="J48" i="101"/>
  <c r="AJ48" i="101"/>
  <c r="V40" i="89"/>
  <c r="K48" i="101"/>
  <c r="AK48" i="101"/>
  <c r="W40" i="89"/>
  <c r="L48" i="101"/>
  <c r="AL48" i="101"/>
  <c r="X40" i="89"/>
  <c r="M48" i="101"/>
  <c r="AM48" i="101"/>
  <c r="N41" i="89"/>
  <c r="C49" i="101"/>
  <c r="AC49" i="101"/>
  <c r="O41" i="89"/>
  <c r="D49" i="101"/>
  <c r="AD49" i="101"/>
  <c r="P41" i="89"/>
  <c r="E49" i="101"/>
  <c r="AE49" i="101"/>
  <c r="Q41" i="89"/>
  <c r="F49" i="101"/>
  <c r="AF49" i="101"/>
  <c r="R41" i="89"/>
  <c r="G49" i="101"/>
  <c r="AG49" i="101"/>
  <c r="S41" i="89"/>
  <c r="H49" i="101"/>
  <c r="AH49" i="101"/>
  <c r="T41" i="89"/>
  <c r="I49" i="101"/>
  <c r="AI49" i="101"/>
  <c r="U41" i="89"/>
  <c r="J49" i="101"/>
  <c r="AJ49" i="101"/>
  <c r="V41" i="89"/>
  <c r="K49" i="101"/>
  <c r="AK49" i="101"/>
  <c r="W41" i="89"/>
  <c r="L49" i="101"/>
  <c r="AL49" i="101"/>
  <c r="X41" i="89"/>
  <c r="M49" i="101"/>
  <c r="AM49" i="101"/>
  <c r="N42" i="89"/>
  <c r="C50" i="101"/>
  <c r="AC50" i="101"/>
  <c r="O42" i="89"/>
  <c r="D50" i="101"/>
  <c r="AD50" i="101"/>
  <c r="P42" i="89"/>
  <c r="E50" i="101"/>
  <c r="AE50" i="101"/>
  <c r="Q42" i="89"/>
  <c r="F50" i="101"/>
  <c r="AF50" i="101"/>
  <c r="R42" i="89"/>
  <c r="G50" i="101"/>
  <c r="AG50" i="101"/>
  <c r="S42" i="89"/>
  <c r="H50" i="101"/>
  <c r="AH50" i="101"/>
  <c r="T42" i="89"/>
  <c r="I50" i="101"/>
  <c r="AI50" i="101"/>
  <c r="U42" i="89"/>
  <c r="J50" i="101"/>
  <c r="AJ50" i="101"/>
  <c r="V42" i="89"/>
  <c r="K50" i="101"/>
  <c r="AK50" i="101"/>
  <c r="W42" i="89"/>
  <c r="L50" i="101"/>
  <c r="AL50" i="101"/>
  <c r="X42" i="89"/>
  <c r="M50" i="101"/>
  <c r="AM50" i="101"/>
  <c r="N43" i="89"/>
  <c r="C51" i="101"/>
  <c r="AC51" i="101"/>
  <c r="O43" i="89"/>
  <c r="D51" i="101"/>
  <c r="AD51" i="101"/>
  <c r="P43" i="89"/>
  <c r="E51" i="101"/>
  <c r="AE51" i="101"/>
  <c r="Q43" i="89"/>
  <c r="F51" i="101"/>
  <c r="AF51" i="101"/>
  <c r="R43" i="89"/>
  <c r="G51" i="101"/>
  <c r="AG51" i="101"/>
  <c r="S43" i="89"/>
  <c r="H51" i="101"/>
  <c r="AH51" i="101"/>
  <c r="T43" i="89"/>
  <c r="I51" i="101"/>
  <c r="AI51" i="101"/>
  <c r="U43" i="89"/>
  <c r="J51" i="101"/>
  <c r="AJ51" i="101"/>
  <c r="V43" i="89"/>
  <c r="K51" i="101"/>
  <c r="AK51" i="101"/>
  <c r="W43" i="89"/>
  <c r="L51" i="101"/>
  <c r="AL51" i="101"/>
  <c r="X43" i="89"/>
  <c r="M51" i="101"/>
  <c r="AM51" i="101"/>
  <c r="E32" i="101"/>
  <c r="K8" i="99"/>
  <c r="AH4" i="89"/>
  <c r="C64" i="101"/>
  <c r="AC64" i="101"/>
  <c r="AI3" i="89"/>
  <c r="AI4" i="89"/>
  <c r="D64" i="101"/>
  <c r="AD64" i="101"/>
  <c r="AJ3" i="89"/>
  <c r="AJ4" i="89"/>
  <c r="E64" i="101"/>
  <c r="AE64" i="101"/>
  <c r="AK3" i="89"/>
  <c r="AK4" i="89"/>
  <c r="F64" i="101"/>
  <c r="AF64" i="101"/>
  <c r="AL3" i="89"/>
  <c r="AL4" i="89"/>
  <c r="G64" i="101"/>
  <c r="AG64" i="101"/>
  <c r="AM3" i="89"/>
  <c r="AM4" i="89"/>
  <c r="H64" i="101"/>
  <c r="AH64" i="101"/>
  <c r="AN3" i="89"/>
  <c r="AN4" i="89"/>
  <c r="I64" i="101"/>
  <c r="AI64" i="101"/>
  <c r="AO3" i="89"/>
  <c r="AO4" i="89"/>
  <c r="J64" i="101"/>
  <c r="AJ64" i="101"/>
  <c r="AP3" i="89"/>
  <c r="AP4" i="89"/>
  <c r="K64" i="101"/>
  <c r="AK64" i="101"/>
  <c r="AQ3" i="89"/>
  <c r="AQ4" i="89"/>
  <c r="L64" i="101"/>
  <c r="AL64" i="101"/>
  <c r="AR3" i="89"/>
  <c r="AR4" i="89"/>
  <c r="M64" i="101"/>
  <c r="AM64" i="101"/>
  <c r="AH5" i="89"/>
  <c r="C65" i="101"/>
  <c r="AC65" i="101"/>
  <c r="AI5" i="89"/>
  <c r="D65" i="101"/>
  <c r="AD65" i="101"/>
  <c r="AJ5" i="89"/>
  <c r="E65" i="101"/>
  <c r="AE65" i="101"/>
  <c r="AK5" i="89"/>
  <c r="F65" i="101"/>
  <c r="AF65" i="101"/>
  <c r="AL5" i="89"/>
  <c r="G65" i="101"/>
  <c r="AG65" i="101"/>
  <c r="AM5" i="89"/>
  <c r="H65" i="101"/>
  <c r="AH65" i="101"/>
  <c r="AN5" i="89"/>
  <c r="I65" i="101"/>
  <c r="AI65" i="101"/>
  <c r="AO5" i="89"/>
  <c r="J65" i="101"/>
  <c r="AJ65" i="101"/>
  <c r="AP5" i="89"/>
  <c r="K65" i="101"/>
  <c r="AK65" i="101"/>
  <c r="AQ5" i="89"/>
  <c r="L65" i="101"/>
  <c r="AL65" i="101"/>
  <c r="AR5" i="89"/>
  <c r="M65" i="101"/>
  <c r="AM65" i="101"/>
  <c r="AH6" i="89"/>
  <c r="C66" i="101"/>
  <c r="AC66" i="101"/>
  <c r="AI6" i="89"/>
  <c r="D66" i="101"/>
  <c r="AD66" i="101"/>
  <c r="AJ6" i="89"/>
  <c r="E66" i="101"/>
  <c r="AE66" i="101"/>
  <c r="AK6" i="89"/>
  <c r="F66" i="101"/>
  <c r="AF66" i="101"/>
  <c r="AL6" i="89"/>
  <c r="G66" i="101"/>
  <c r="AG66" i="101"/>
  <c r="AM6" i="89"/>
  <c r="H66" i="101"/>
  <c r="AH66" i="101"/>
  <c r="AN6" i="89"/>
  <c r="I66" i="101"/>
  <c r="AI66" i="101"/>
  <c r="AO6" i="89"/>
  <c r="J66" i="101"/>
  <c r="AJ66" i="101"/>
  <c r="AP6" i="89"/>
  <c r="K66" i="101"/>
  <c r="AK66" i="101"/>
  <c r="AQ6" i="89"/>
  <c r="L66" i="101"/>
  <c r="AL66" i="101"/>
  <c r="AR6" i="89"/>
  <c r="M66" i="101"/>
  <c r="AM66" i="101"/>
  <c r="AH7" i="89"/>
  <c r="C67" i="101"/>
  <c r="AC67" i="101"/>
  <c r="AI7" i="89"/>
  <c r="D67" i="101"/>
  <c r="AD67" i="101"/>
  <c r="AJ7" i="89"/>
  <c r="E67" i="101"/>
  <c r="AE67" i="101"/>
  <c r="AK7" i="89"/>
  <c r="F67" i="101"/>
  <c r="AF67" i="101"/>
  <c r="AL7" i="89"/>
  <c r="G67" i="101"/>
  <c r="AG67" i="101"/>
  <c r="AM7" i="89"/>
  <c r="H67" i="101"/>
  <c r="AH67" i="101"/>
  <c r="AN7" i="89"/>
  <c r="I67" i="101"/>
  <c r="AI67" i="101"/>
  <c r="AO7" i="89"/>
  <c r="J67" i="101"/>
  <c r="AJ67" i="101"/>
  <c r="AP7" i="89"/>
  <c r="K67" i="101"/>
  <c r="AK67" i="101"/>
  <c r="AQ7" i="89"/>
  <c r="L67" i="101"/>
  <c r="AL67" i="101"/>
  <c r="AR7" i="89"/>
  <c r="M67" i="101"/>
  <c r="AM67" i="101"/>
  <c r="AH8" i="89"/>
  <c r="C68" i="101"/>
  <c r="AC68" i="101"/>
  <c r="AI8" i="89"/>
  <c r="D68" i="101"/>
  <c r="AD68" i="101"/>
  <c r="AJ8" i="89"/>
  <c r="E68" i="101"/>
  <c r="AE68" i="101"/>
  <c r="AK8" i="89"/>
  <c r="F68" i="101"/>
  <c r="AF68" i="101"/>
  <c r="AL8" i="89"/>
  <c r="G68" i="101"/>
  <c r="AG68" i="101"/>
  <c r="AM8" i="89"/>
  <c r="H68" i="101"/>
  <c r="AH68" i="101"/>
  <c r="AN8" i="89"/>
  <c r="I68" i="101"/>
  <c r="AI68" i="101"/>
  <c r="AO8" i="89"/>
  <c r="J68" i="101"/>
  <c r="AJ68" i="101"/>
  <c r="AP8" i="89"/>
  <c r="K68" i="101"/>
  <c r="AK68" i="101"/>
  <c r="AQ8" i="89"/>
  <c r="L68" i="101"/>
  <c r="AL68" i="101"/>
  <c r="AR8" i="89"/>
  <c r="M68" i="101"/>
  <c r="AM68" i="101"/>
  <c r="AH9" i="89"/>
  <c r="C69" i="101"/>
  <c r="AC69" i="101"/>
  <c r="AI9" i="89"/>
  <c r="D69" i="101"/>
  <c r="AD69" i="101"/>
  <c r="AJ9" i="89"/>
  <c r="E69" i="101"/>
  <c r="AE69" i="101"/>
  <c r="AK9" i="89"/>
  <c r="F69" i="101"/>
  <c r="AF69" i="101"/>
  <c r="AL9" i="89"/>
  <c r="G69" i="101"/>
  <c r="AG69" i="101"/>
  <c r="AM9" i="89"/>
  <c r="H69" i="101"/>
  <c r="AH69" i="101"/>
  <c r="AN9" i="89"/>
  <c r="I69" i="101"/>
  <c r="AI69" i="101"/>
  <c r="AO9" i="89"/>
  <c r="J69" i="101"/>
  <c r="AJ69" i="101"/>
  <c r="AP9" i="89"/>
  <c r="K69" i="101"/>
  <c r="AK69" i="101"/>
  <c r="AQ9" i="89"/>
  <c r="L69" i="101"/>
  <c r="AL69" i="101"/>
  <c r="AR9" i="89"/>
  <c r="M69" i="101"/>
  <c r="AM69" i="101"/>
  <c r="AH10" i="89"/>
  <c r="C70" i="101"/>
  <c r="AC70" i="101"/>
  <c r="AI10" i="89"/>
  <c r="D70" i="101"/>
  <c r="AD70" i="101"/>
  <c r="AJ10" i="89"/>
  <c r="E70" i="101"/>
  <c r="AE70" i="101"/>
  <c r="AK10" i="89"/>
  <c r="F70" i="101"/>
  <c r="AF70" i="101"/>
  <c r="AL10" i="89"/>
  <c r="G70" i="101"/>
  <c r="AG70" i="101"/>
  <c r="AM10" i="89"/>
  <c r="H70" i="101"/>
  <c r="AH70" i="101"/>
  <c r="AN10" i="89"/>
  <c r="I70" i="101"/>
  <c r="AI70" i="101"/>
  <c r="AO10" i="89"/>
  <c r="J70" i="101"/>
  <c r="AJ70" i="101"/>
  <c r="AP10" i="89"/>
  <c r="K70" i="101"/>
  <c r="AK70" i="101"/>
  <c r="AQ10" i="89"/>
  <c r="L70" i="101"/>
  <c r="AL70" i="101"/>
  <c r="AR10" i="89"/>
  <c r="M70" i="101"/>
  <c r="AM70" i="101"/>
  <c r="AH11" i="89"/>
  <c r="C71" i="101"/>
  <c r="AC71" i="101"/>
  <c r="AI11" i="89"/>
  <c r="D71" i="101"/>
  <c r="AD71" i="101"/>
  <c r="AJ11" i="89"/>
  <c r="E71" i="101"/>
  <c r="AE71" i="101"/>
  <c r="AK11" i="89"/>
  <c r="F71" i="101"/>
  <c r="AF71" i="101"/>
  <c r="AL11" i="89"/>
  <c r="G71" i="101"/>
  <c r="AG71" i="101"/>
  <c r="AM11" i="89"/>
  <c r="H71" i="101"/>
  <c r="AH71" i="101"/>
  <c r="AN11" i="89"/>
  <c r="I71" i="101"/>
  <c r="AI71" i="101"/>
  <c r="AO11" i="89"/>
  <c r="J71" i="101"/>
  <c r="AJ71" i="101"/>
  <c r="AP11" i="89"/>
  <c r="K71" i="101"/>
  <c r="AK71" i="101"/>
  <c r="AQ11" i="89"/>
  <c r="L71" i="101"/>
  <c r="AL71" i="101"/>
  <c r="AR11" i="89"/>
  <c r="M71" i="101"/>
  <c r="AM71" i="101"/>
  <c r="AH12" i="89"/>
  <c r="C72" i="101"/>
  <c r="AC72" i="101"/>
  <c r="AI12" i="89"/>
  <c r="D72" i="101"/>
  <c r="AD72" i="101"/>
  <c r="AJ12" i="89"/>
  <c r="E72" i="101"/>
  <c r="AE72" i="101"/>
  <c r="AK12" i="89"/>
  <c r="F72" i="101"/>
  <c r="AF72" i="101"/>
  <c r="AL12" i="89"/>
  <c r="G72" i="101"/>
  <c r="AG72" i="101"/>
  <c r="AM12" i="89"/>
  <c r="H72" i="101"/>
  <c r="AH72" i="101"/>
  <c r="AN12" i="89"/>
  <c r="I72" i="101"/>
  <c r="AI72" i="101"/>
  <c r="AO12" i="89"/>
  <c r="J72" i="101"/>
  <c r="AJ72" i="101"/>
  <c r="AP12" i="89"/>
  <c r="K72" i="101"/>
  <c r="AK72" i="101"/>
  <c r="AQ12" i="89"/>
  <c r="L72" i="101"/>
  <c r="AL72" i="101"/>
  <c r="AR12" i="89"/>
  <c r="M72" i="101"/>
  <c r="AM72" i="101"/>
  <c r="AH13" i="89"/>
  <c r="C73" i="101"/>
  <c r="AC73" i="101"/>
  <c r="AI13" i="89"/>
  <c r="D73" i="101"/>
  <c r="AD73" i="101"/>
  <c r="AJ13" i="89"/>
  <c r="E73" i="101"/>
  <c r="AE73" i="101"/>
  <c r="AK13" i="89"/>
  <c r="F73" i="101"/>
  <c r="AF73" i="101"/>
  <c r="AL13" i="89"/>
  <c r="G73" i="101"/>
  <c r="AG73" i="101"/>
  <c r="AM13" i="89"/>
  <c r="H73" i="101"/>
  <c r="AH73" i="101"/>
  <c r="AN13" i="89"/>
  <c r="I73" i="101"/>
  <c r="AI73" i="101"/>
  <c r="AO13" i="89"/>
  <c r="J73" i="101"/>
  <c r="AJ73" i="101"/>
  <c r="AP13" i="89"/>
  <c r="K73" i="101"/>
  <c r="AK73" i="101"/>
  <c r="AQ13" i="89"/>
  <c r="L73" i="101"/>
  <c r="AL73" i="101"/>
  <c r="AR13" i="89"/>
  <c r="M73" i="101"/>
  <c r="AM73" i="101"/>
  <c r="AH14" i="89"/>
  <c r="C74" i="101"/>
  <c r="AC74" i="101"/>
  <c r="AI14" i="89"/>
  <c r="D74" i="101"/>
  <c r="AD74" i="101"/>
  <c r="AJ14" i="89"/>
  <c r="E74" i="101"/>
  <c r="AE74" i="101"/>
  <c r="AK14" i="89"/>
  <c r="F74" i="101"/>
  <c r="AF74" i="101"/>
  <c r="AL14" i="89"/>
  <c r="G74" i="101"/>
  <c r="AG74" i="101"/>
  <c r="AM14" i="89"/>
  <c r="H74" i="101"/>
  <c r="AH74" i="101"/>
  <c r="AN14" i="89"/>
  <c r="I74" i="101"/>
  <c r="AI74" i="101"/>
  <c r="AO14" i="89"/>
  <c r="J74" i="101"/>
  <c r="AJ74" i="101"/>
  <c r="AP14" i="89"/>
  <c r="K74" i="101"/>
  <c r="AK74" i="101"/>
  <c r="AQ14" i="89"/>
  <c r="L74" i="101"/>
  <c r="AL74" i="101"/>
  <c r="AR14" i="89"/>
  <c r="M74" i="101"/>
  <c r="AM74" i="101"/>
  <c r="AH15" i="89"/>
  <c r="C75" i="101"/>
  <c r="AC75" i="101"/>
  <c r="AI15" i="89"/>
  <c r="D75" i="101"/>
  <c r="AD75" i="101"/>
  <c r="AJ15" i="89"/>
  <c r="E75" i="101"/>
  <c r="AE75" i="101"/>
  <c r="AK15" i="89"/>
  <c r="F75" i="101"/>
  <c r="AF75" i="101"/>
  <c r="AL15" i="89"/>
  <c r="G75" i="101"/>
  <c r="AG75" i="101"/>
  <c r="AM15" i="89"/>
  <c r="H75" i="101"/>
  <c r="AH75" i="101"/>
  <c r="AN15" i="89"/>
  <c r="I75" i="101"/>
  <c r="AI75" i="101"/>
  <c r="AO15" i="89"/>
  <c r="J75" i="101"/>
  <c r="AJ75" i="101"/>
  <c r="AP15" i="89"/>
  <c r="K75" i="101"/>
  <c r="AK75" i="101"/>
  <c r="AQ15" i="89"/>
  <c r="L75" i="101"/>
  <c r="AL75" i="101"/>
  <c r="AR15" i="89"/>
  <c r="M75" i="101"/>
  <c r="AM75" i="101"/>
  <c r="AH16" i="89"/>
  <c r="C76" i="101"/>
  <c r="AC76" i="101"/>
  <c r="AI16" i="89"/>
  <c r="D76" i="101"/>
  <c r="AD76" i="101"/>
  <c r="AJ16" i="89"/>
  <c r="E76" i="101"/>
  <c r="AE76" i="101"/>
  <c r="AK16" i="89"/>
  <c r="F76" i="101"/>
  <c r="AF76" i="101"/>
  <c r="AL16" i="89"/>
  <c r="G76" i="101"/>
  <c r="AG76" i="101"/>
  <c r="AM16" i="89"/>
  <c r="H76" i="101"/>
  <c r="AH76" i="101"/>
  <c r="AN16" i="89"/>
  <c r="I76" i="101"/>
  <c r="AI76" i="101"/>
  <c r="AO16" i="89"/>
  <c r="J76" i="101"/>
  <c r="AJ76" i="101"/>
  <c r="AP16" i="89"/>
  <c r="K76" i="101"/>
  <c r="AK76" i="101"/>
  <c r="AQ16" i="89"/>
  <c r="L76" i="101"/>
  <c r="AL76" i="101"/>
  <c r="AR16" i="89"/>
  <c r="M76" i="101"/>
  <c r="AM76" i="101"/>
  <c r="AH17" i="89"/>
  <c r="C77" i="101"/>
  <c r="AC77" i="101"/>
  <c r="AI17" i="89"/>
  <c r="D77" i="101"/>
  <c r="AD77" i="101"/>
  <c r="AJ17" i="89"/>
  <c r="E77" i="101"/>
  <c r="AE77" i="101"/>
  <c r="AK17" i="89"/>
  <c r="F77" i="101"/>
  <c r="AF77" i="101"/>
  <c r="AL17" i="89"/>
  <c r="G77" i="101"/>
  <c r="AG77" i="101"/>
  <c r="AM17" i="89"/>
  <c r="H77" i="101"/>
  <c r="AH77" i="101"/>
  <c r="AN17" i="89"/>
  <c r="I77" i="101"/>
  <c r="AI77" i="101"/>
  <c r="AO17" i="89"/>
  <c r="J77" i="101"/>
  <c r="AJ77" i="101"/>
  <c r="AP17" i="89"/>
  <c r="K77" i="101"/>
  <c r="AK77" i="101"/>
  <c r="AQ17" i="89"/>
  <c r="L77" i="101"/>
  <c r="AL77" i="101"/>
  <c r="AR17" i="89"/>
  <c r="M77" i="101"/>
  <c r="AM77" i="101"/>
  <c r="AH18" i="89"/>
  <c r="C78" i="101"/>
  <c r="AC78" i="101"/>
  <c r="AI18" i="89"/>
  <c r="D78" i="101"/>
  <c r="AD78" i="101"/>
  <c r="AJ18" i="89"/>
  <c r="E78" i="101"/>
  <c r="AE78" i="101"/>
  <c r="AK18" i="89"/>
  <c r="F78" i="101"/>
  <c r="AF78" i="101"/>
  <c r="AL18" i="89"/>
  <c r="G78" i="101"/>
  <c r="AG78" i="101"/>
  <c r="AM18" i="89"/>
  <c r="H78" i="101"/>
  <c r="AH78" i="101"/>
  <c r="AN18" i="89"/>
  <c r="I78" i="101"/>
  <c r="AI78" i="101"/>
  <c r="AO18" i="89"/>
  <c r="J78" i="101"/>
  <c r="AJ78" i="101"/>
  <c r="AP18" i="89"/>
  <c r="K78" i="101"/>
  <c r="AK78" i="101"/>
  <c r="AQ18" i="89"/>
  <c r="L78" i="101"/>
  <c r="AL78" i="101"/>
  <c r="AR18" i="89"/>
  <c r="M78" i="101"/>
  <c r="AM78" i="101"/>
  <c r="E59" i="101"/>
  <c r="K11" i="99"/>
  <c r="AA4" i="89"/>
  <c r="AC4" i="89"/>
  <c r="AH29" i="89"/>
  <c r="C91" i="101"/>
  <c r="AC91" i="101"/>
  <c r="AI28" i="89"/>
  <c r="AI29" i="89"/>
  <c r="D91" i="101"/>
  <c r="AD91" i="101"/>
  <c r="AJ28" i="89"/>
  <c r="AJ29" i="89"/>
  <c r="E91" i="101"/>
  <c r="AE91" i="101"/>
  <c r="AK28" i="89"/>
  <c r="AK29" i="89"/>
  <c r="F91" i="101"/>
  <c r="AF91" i="101"/>
  <c r="AL28" i="89"/>
  <c r="AL29" i="89"/>
  <c r="G91" i="101"/>
  <c r="AG91" i="101"/>
  <c r="AM28" i="89"/>
  <c r="AM29" i="89"/>
  <c r="H91" i="101"/>
  <c r="AH91" i="101"/>
  <c r="AN28" i="89"/>
  <c r="AN29" i="89"/>
  <c r="I91" i="101"/>
  <c r="AI91" i="101"/>
  <c r="AO28" i="89"/>
  <c r="AO29" i="89"/>
  <c r="J91" i="101"/>
  <c r="AJ91" i="101"/>
  <c r="AP28" i="89"/>
  <c r="AP29" i="89"/>
  <c r="K91" i="101"/>
  <c r="AK91" i="101"/>
  <c r="AQ28" i="89"/>
  <c r="AQ29" i="89"/>
  <c r="L91" i="101"/>
  <c r="AL91" i="101"/>
  <c r="AR28" i="89"/>
  <c r="AR29" i="89"/>
  <c r="M91" i="101"/>
  <c r="AM91" i="101"/>
  <c r="AA5" i="89"/>
  <c r="AC5" i="89"/>
  <c r="AH30" i="89"/>
  <c r="C92" i="101"/>
  <c r="AC92" i="101"/>
  <c r="AI30" i="89"/>
  <c r="D92" i="101"/>
  <c r="AD92" i="101"/>
  <c r="AJ30" i="89"/>
  <c r="E92" i="101"/>
  <c r="AE92" i="101"/>
  <c r="AK30" i="89"/>
  <c r="F92" i="101"/>
  <c r="AF92" i="101"/>
  <c r="AL30" i="89"/>
  <c r="G92" i="101"/>
  <c r="AG92" i="101"/>
  <c r="AM30" i="89"/>
  <c r="H92" i="101"/>
  <c r="AH92" i="101"/>
  <c r="AN30" i="89"/>
  <c r="I92" i="101"/>
  <c r="AI92" i="101"/>
  <c r="AO30" i="89"/>
  <c r="J92" i="101"/>
  <c r="AJ92" i="101"/>
  <c r="AP30" i="89"/>
  <c r="K92" i="101"/>
  <c r="AK92" i="101"/>
  <c r="AQ30" i="89"/>
  <c r="L92" i="101"/>
  <c r="AL92" i="101"/>
  <c r="AR30" i="89"/>
  <c r="M92" i="101"/>
  <c r="AM92" i="101"/>
  <c r="AA6" i="89"/>
  <c r="AC6" i="89"/>
  <c r="AH31" i="89"/>
  <c r="C93" i="101"/>
  <c r="AC93" i="101"/>
  <c r="AI31" i="89"/>
  <c r="D93" i="101"/>
  <c r="AD93" i="101"/>
  <c r="AJ31" i="89"/>
  <c r="E93" i="101"/>
  <c r="AE93" i="101"/>
  <c r="AK31" i="89"/>
  <c r="F93" i="101"/>
  <c r="AF93" i="101"/>
  <c r="AL31" i="89"/>
  <c r="G93" i="101"/>
  <c r="AG93" i="101"/>
  <c r="AM31" i="89"/>
  <c r="H93" i="101"/>
  <c r="AH93" i="101"/>
  <c r="AN31" i="89"/>
  <c r="I93" i="101"/>
  <c r="AI93" i="101"/>
  <c r="AO31" i="89"/>
  <c r="J93" i="101"/>
  <c r="AJ93" i="101"/>
  <c r="AP31" i="89"/>
  <c r="K93" i="101"/>
  <c r="AK93" i="101"/>
  <c r="AQ31" i="89"/>
  <c r="L93" i="101"/>
  <c r="AL93" i="101"/>
  <c r="AR31" i="89"/>
  <c r="M93" i="101"/>
  <c r="AM93" i="101"/>
  <c r="AA7" i="89"/>
  <c r="AC7" i="89"/>
  <c r="AH32" i="89"/>
  <c r="C94" i="101"/>
  <c r="AC94" i="101"/>
  <c r="AI32" i="89"/>
  <c r="D94" i="101"/>
  <c r="AD94" i="101"/>
  <c r="AJ32" i="89"/>
  <c r="E94" i="101"/>
  <c r="AE94" i="101"/>
  <c r="AK32" i="89"/>
  <c r="F94" i="101"/>
  <c r="AF94" i="101"/>
  <c r="AL32" i="89"/>
  <c r="G94" i="101"/>
  <c r="AG94" i="101"/>
  <c r="AM32" i="89"/>
  <c r="H94" i="101"/>
  <c r="AH94" i="101"/>
  <c r="AN32" i="89"/>
  <c r="I94" i="101"/>
  <c r="AI94" i="101"/>
  <c r="AO32" i="89"/>
  <c r="J94" i="101"/>
  <c r="AJ94" i="101"/>
  <c r="AP32" i="89"/>
  <c r="K94" i="101"/>
  <c r="AK94" i="101"/>
  <c r="AQ32" i="89"/>
  <c r="L94" i="101"/>
  <c r="AL94" i="101"/>
  <c r="AR32" i="89"/>
  <c r="M94" i="101"/>
  <c r="AM94" i="101"/>
  <c r="AA8" i="89"/>
  <c r="AC8" i="89"/>
  <c r="AH33" i="89"/>
  <c r="C95" i="101"/>
  <c r="AC95" i="101"/>
  <c r="AI33" i="89"/>
  <c r="D95" i="101"/>
  <c r="AD95" i="101"/>
  <c r="AJ33" i="89"/>
  <c r="E95" i="101"/>
  <c r="AE95" i="101"/>
  <c r="AK33" i="89"/>
  <c r="F95" i="101"/>
  <c r="AF95" i="101"/>
  <c r="AL33" i="89"/>
  <c r="G95" i="101"/>
  <c r="AG95" i="101"/>
  <c r="AM33" i="89"/>
  <c r="H95" i="101"/>
  <c r="AH95" i="101"/>
  <c r="AN33" i="89"/>
  <c r="I95" i="101"/>
  <c r="AI95" i="101"/>
  <c r="AO33" i="89"/>
  <c r="J95" i="101"/>
  <c r="AJ95" i="101"/>
  <c r="AP33" i="89"/>
  <c r="K95" i="101"/>
  <c r="AK95" i="101"/>
  <c r="AQ33" i="89"/>
  <c r="L95" i="101"/>
  <c r="AL95" i="101"/>
  <c r="AR33" i="89"/>
  <c r="M95" i="101"/>
  <c r="AM95" i="101"/>
  <c r="AA9" i="89"/>
  <c r="AC9" i="89"/>
  <c r="AH34" i="89"/>
  <c r="C96" i="101"/>
  <c r="AC96" i="101"/>
  <c r="AI34" i="89"/>
  <c r="D96" i="101"/>
  <c r="AD96" i="101"/>
  <c r="AJ34" i="89"/>
  <c r="E96" i="101"/>
  <c r="AE96" i="101"/>
  <c r="AK34" i="89"/>
  <c r="F96" i="101"/>
  <c r="AF96" i="101"/>
  <c r="AL34" i="89"/>
  <c r="G96" i="101"/>
  <c r="AG96" i="101"/>
  <c r="AM34" i="89"/>
  <c r="H96" i="101"/>
  <c r="AH96" i="101"/>
  <c r="AN34" i="89"/>
  <c r="I96" i="101"/>
  <c r="AI96" i="101"/>
  <c r="AO34" i="89"/>
  <c r="J96" i="101"/>
  <c r="AJ96" i="101"/>
  <c r="AP34" i="89"/>
  <c r="K96" i="101"/>
  <c r="AK96" i="101"/>
  <c r="AQ34" i="89"/>
  <c r="L96" i="101"/>
  <c r="AL96" i="101"/>
  <c r="AR34" i="89"/>
  <c r="M96" i="101"/>
  <c r="AM96" i="101"/>
  <c r="AA10" i="89"/>
  <c r="AC10" i="89"/>
  <c r="AH35" i="89"/>
  <c r="C97" i="101"/>
  <c r="AC97" i="101"/>
  <c r="AI35" i="89"/>
  <c r="D97" i="101"/>
  <c r="AD97" i="101"/>
  <c r="AJ35" i="89"/>
  <c r="E97" i="101"/>
  <c r="AE97" i="101"/>
  <c r="AK35" i="89"/>
  <c r="F97" i="101"/>
  <c r="AF97" i="101"/>
  <c r="AL35" i="89"/>
  <c r="G97" i="101"/>
  <c r="AG97" i="101"/>
  <c r="AM35" i="89"/>
  <c r="H97" i="101"/>
  <c r="AH97" i="101"/>
  <c r="AN35" i="89"/>
  <c r="I97" i="101"/>
  <c r="AI97" i="101"/>
  <c r="AO35" i="89"/>
  <c r="J97" i="101"/>
  <c r="AJ97" i="101"/>
  <c r="AP35" i="89"/>
  <c r="K97" i="101"/>
  <c r="AK97" i="101"/>
  <c r="AQ35" i="89"/>
  <c r="L97" i="101"/>
  <c r="AL97" i="101"/>
  <c r="AR35" i="89"/>
  <c r="M97" i="101"/>
  <c r="AM97" i="101"/>
  <c r="AA11" i="89"/>
  <c r="AC11" i="89"/>
  <c r="AH36" i="89"/>
  <c r="C98" i="101"/>
  <c r="AC98" i="101"/>
  <c r="AI36" i="89"/>
  <c r="D98" i="101"/>
  <c r="AD98" i="101"/>
  <c r="AJ36" i="89"/>
  <c r="E98" i="101"/>
  <c r="AE98" i="101"/>
  <c r="AK36" i="89"/>
  <c r="F98" i="101"/>
  <c r="AF98" i="101"/>
  <c r="AL36" i="89"/>
  <c r="G98" i="101"/>
  <c r="AG98" i="101"/>
  <c r="AM36" i="89"/>
  <c r="H98" i="101"/>
  <c r="AH98" i="101"/>
  <c r="AN36" i="89"/>
  <c r="I98" i="101"/>
  <c r="AI98" i="101"/>
  <c r="AO36" i="89"/>
  <c r="J98" i="101"/>
  <c r="AJ98" i="101"/>
  <c r="AP36" i="89"/>
  <c r="K98" i="101"/>
  <c r="AK98" i="101"/>
  <c r="AQ36" i="89"/>
  <c r="L98" i="101"/>
  <c r="AL98" i="101"/>
  <c r="AR36" i="89"/>
  <c r="M98" i="101"/>
  <c r="AM98" i="101"/>
  <c r="AA12" i="89"/>
  <c r="AC12" i="89"/>
  <c r="AH37" i="89"/>
  <c r="C99" i="101"/>
  <c r="AC99" i="101"/>
  <c r="AI37" i="89"/>
  <c r="D99" i="101"/>
  <c r="AD99" i="101"/>
  <c r="AJ37" i="89"/>
  <c r="E99" i="101"/>
  <c r="AE99" i="101"/>
  <c r="AK37" i="89"/>
  <c r="F99" i="101"/>
  <c r="AF99" i="101"/>
  <c r="AL37" i="89"/>
  <c r="G99" i="101"/>
  <c r="AG99" i="101"/>
  <c r="AM37" i="89"/>
  <c r="H99" i="101"/>
  <c r="AH99" i="101"/>
  <c r="AN37" i="89"/>
  <c r="I99" i="101"/>
  <c r="AI99" i="101"/>
  <c r="AO37" i="89"/>
  <c r="J99" i="101"/>
  <c r="AJ99" i="101"/>
  <c r="AP37" i="89"/>
  <c r="K99" i="101"/>
  <c r="AK99" i="101"/>
  <c r="AQ37" i="89"/>
  <c r="L99" i="101"/>
  <c r="AL99" i="101"/>
  <c r="AR37" i="89"/>
  <c r="M99" i="101"/>
  <c r="AM99" i="101"/>
  <c r="AA13" i="89"/>
  <c r="AC13" i="89"/>
  <c r="AH38" i="89"/>
  <c r="C100" i="101"/>
  <c r="AC100" i="101"/>
  <c r="AI38" i="89"/>
  <c r="D100" i="101"/>
  <c r="AD100" i="101"/>
  <c r="AJ38" i="89"/>
  <c r="E100" i="101"/>
  <c r="AE100" i="101"/>
  <c r="AK38" i="89"/>
  <c r="F100" i="101"/>
  <c r="AF100" i="101"/>
  <c r="AL38" i="89"/>
  <c r="G100" i="101"/>
  <c r="AG100" i="101"/>
  <c r="AM38" i="89"/>
  <c r="H100" i="101"/>
  <c r="AH100" i="101"/>
  <c r="AN38" i="89"/>
  <c r="I100" i="101"/>
  <c r="AI100" i="101"/>
  <c r="AO38" i="89"/>
  <c r="J100" i="101"/>
  <c r="AJ100" i="101"/>
  <c r="AP38" i="89"/>
  <c r="K100" i="101"/>
  <c r="AK100" i="101"/>
  <c r="AQ38" i="89"/>
  <c r="L100" i="101"/>
  <c r="AL100" i="101"/>
  <c r="AR38" i="89"/>
  <c r="M100" i="101"/>
  <c r="AM100" i="101"/>
  <c r="AA14" i="89"/>
  <c r="AC14" i="89"/>
  <c r="AH39" i="89"/>
  <c r="C101" i="101"/>
  <c r="AC101" i="101"/>
  <c r="AI39" i="89"/>
  <c r="D101" i="101"/>
  <c r="AD101" i="101"/>
  <c r="AJ39" i="89"/>
  <c r="E101" i="101"/>
  <c r="AE101" i="101"/>
  <c r="AK39" i="89"/>
  <c r="F101" i="101"/>
  <c r="AF101" i="101"/>
  <c r="AL39" i="89"/>
  <c r="G101" i="101"/>
  <c r="AG101" i="101"/>
  <c r="AM39" i="89"/>
  <c r="H101" i="101"/>
  <c r="AH101" i="101"/>
  <c r="AN39" i="89"/>
  <c r="I101" i="101"/>
  <c r="AI101" i="101"/>
  <c r="AO39" i="89"/>
  <c r="J101" i="101"/>
  <c r="AJ101" i="101"/>
  <c r="AP39" i="89"/>
  <c r="K101" i="101"/>
  <c r="AK101" i="101"/>
  <c r="AQ39" i="89"/>
  <c r="L101" i="101"/>
  <c r="AL101" i="101"/>
  <c r="AR39" i="89"/>
  <c r="M101" i="101"/>
  <c r="AM101" i="101"/>
  <c r="AA15" i="89"/>
  <c r="AC15" i="89"/>
  <c r="AH40" i="89"/>
  <c r="C102" i="101"/>
  <c r="AC102" i="101"/>
  <c r="AI40" i="89"/>
  <c r="D102" i="101"/>
  <c r="AD102" i="101"/>
  <c r="AJ40" i="89"/>
  <c r="E102" i="101"/>
  <c r="AE102" i="101"/>
  <c r="AK40" i="89"/>
  <c r="F102" i="101"/>
  <c r="AF102" i="101"/>
  <c r="AL40" i="89"/>
  <c r="G102" i="101"/>
  <c r="AG102" i="101"/>
  <c r="AM40" i="89"/>
  <c r="H102" i="101"/>
  <c r="AH102" i="101"/>
  <c r="AN40" i="89"/>
  <c r="I102" i="101"/>
  <c r="AI102" i="101"/>
  <c r="AO40" i="89"/>
  <c r="J102" i="101"/>
  <c r="AJ102" i="101"/>
  <c r="AP40" i="89"/>
  <c r="K102" i="101"/>
  <c r="AK102" i="101"/>
  <c r="AQ40" i="89"/>
  <c r="L102" i="101"/>
  <c r="AL102" i="101"/>
  <c r="AR40" i="89"/>
  <c r="M102" i="101"/>
  <c r="AM102" i="101"/>
  <c r="AA16" i="89"/>
  <c r="AC16" i="89"/>
  <c r="AH41" i="89"/>
  <c r="C103" i="101"/>
  <c r="AC103" i="101"/>
  <c r="AI41" i="89"/>
  <c r="D103" i="101"/>
  <c r="AD103" i="101"/>
  <c r="AJ41" i="89"/>
  <c r="E103" i="101"/>
  <c r="AE103" i="101"/>
  <c r="AK41" i="89"/>
  <c r="F103" i="101"/>
  <c r="AF103" i="101"/>
  <c r="AL41" i="89"/>
  <c r="G103" i="101"/>
  <c r="AG103" i="101"/>
  <c r="AM41" i="89"/>
  <c r="H103" i="101"/>
  <c r="AH103" i="101"/>
  <c r="AN41" i="89"/>
  <c r="I103" i="101"/>
  <c r="AI103" i="101"/>
  <c r="AO41" i="89"/>
  <c r="J103" i="101"/>
  <c r="AJ103" i="101"/>
  <c r="AP41" i="89"/>
  <c r="K103" i="101"/>
  <c r="AK103" i="101"/>
  <c r="AQ41" i="89"/>
  <c r="L103" i="101"/>
  <c r="AL103" i="101"/>
  <c r="AR41" i="89"/>
  <c r="M103" i="101"/>
  <c r="AM103" i="101"/>
  <c r="AA17" i="89"/>
  <c r="AC17" i="89"/>
  <c r="AH42" i="89"/>
  <c r="C104" i="101"/>
  <c r="AC104" i="101"/>
  <c r="AI42" i="89"/>
  <c r="D104" i="101"/>
  <c r="AD104" i="101"/>
  <c r="AJ42" i="89"/>
  <c r="E104" i="101"/>
  <c r="AE104" i="101"/>
  <c r="AK42" i="89"/>
  <c r="F104" i="101"/>
  <c r="AF104" i="101"/>
  <c r="AL42" i="89"/>
  <c r="G104" i="101"/>
  <c r="AG104" i="101"/>
  <c r="AM42" i="89"/>
  <c r="H104" i="101"/>
  <c r="AH104" i="101"/>
  <c r="AN42" i="89"/>
  <c r="I104" i="101"/>
  <c r="AI104" i="101"/>
  <c r="AO42" i="89"/>
  <c r="J104" i="101"/>
  <c r="AJ104" i="101"/>
  <c r="AP42" i="89"/>
  <c r="K104" i="101"/>
  <c r="AK104" i="101"/>
  <c r="AQ42" i="89"/>
  <c r="L104" i="101"/>
  <c r="AL104" i="101"/>
  <c r="AR42" i="89"/>
  <c r="M104" i="101"/>
  <c r="AM104" i="101"/>
  <c r="AA18" i="89"/>
  <c r="AC18" i="89"/>
  <c r="AH43" i="89"/>
  <c r="C105" i="101"/>
  <c r="AC105" i="101"/>
  <c r="AI43" i="89"/>
  <c r="D105" i="101"/>
  <c r="AD105" i="101"/>
  <c r="AJ43" i="89"/>
  <c r="E105" i="101"/>
  <c r="AE105" i="101"/>
  <c r="AK43" i="89"/>
  <c r="F105" i="101"/>
  <c r="AF105" i="101"/>
  <c r="AL43" i="89"/>
  <c r="G105" i="101"/>
  <c r="AG105" i="101"/>
  <c r="AM43" i="89"/>
  <c r="H105" i="101"/>
  <c r="AH105" i="101"/>
  <c r="AN43" i="89"/>
  <c r="I105" i="101"/>
  <c r="AI105" i="101"/>
  <c r="AO43" i="89"/>
  <c r="J105" i="101"/>
  <c r="AJ105" i="101"/>
  <c r="AP43" i="89"/>
  <c r="K105" i="101"/>
  <c r="AK105" i="101"/>
  <c r="AQ43" i="89"/>
  <c r="L105" i="101"/>
  <c r="AL105" i="101"/>
  <c r="AR43" i="89"/>
  <c r="M105" i="101"/>
  <c r="AM105" i="101"/>
  <c r="E86" i="101"/>
  <c r="K12" i="99"/>
  <c r="G52" i="89"/>
  <c r="C70" i="89"/>
  <c r="D70" i="89"/>
  <c r="D72" i="89"/>
  <c r="I52" i="89"/>
  <c r="N52" i="89"/>
  <c r="C118" i="101"/>
  <c r="AC118" i="101"/>
  <c r="O51" i="89"/>
  <c r="O52" i="89"/>
  <c r="D118" i="101"/>
  <c r="AD118" i="101"/>
  <c r="P51" i="89"/>
  <c r="P52" i="89"/>
  <c r="E118" i="101"/>
  <c r="AE118" i="101"/>
  <c r="Q51" i="89"/>
  <c r="Q52" i="89"/>
  <c r="F118" i="101"/>
  <c r="AF118" i="101"/>
  <c r="R51" i="89"/>
  <c r="R52" i="89"/>
  <c r="G118" i="101"/>
  <c r="AG118" i="101"/>
  <c r="S51" i="89"/>
  <c r="S52" i="89"/>
  <c r="H118" i="101"/>
  <c r="AH118" i="101"/>
  <c r="T51" i="89"/>
  <c r="T52" i="89"/>
  <c r="I118" i="101"/>
  <c r="AI118" i="101"/>
  <c r="U51" i="89"/>
  <c r="U52" i="89"/>
  <c r="J118" i="101"/>
  <c r="AJ118" i="101"/>
  <c r="V51" i="89"/>
  <c r="V52" i="89"/>
  <c r="K118" i="101"/>
  <c r="AK118" i="101"/>
  <c r="W51" i="89"/>
  <c r="W52" i="89"/>
  <c r="L118" i="101"/>
  <c r="AL118" i="101"/>
  <c r="X51" i="89"/>
  <c r="X52" i="89"/>
  <c r="M118" i="101"/>
  <c r="AM118" i="101"/>
  <c r="G53" i="89"/>
  <c r="I53" i="89"/>
  <c r="N53" i="89"/>
  <c r="C119" i="101"/>
  <c r="AC119" i="101"/>
  <c r="O53" i="89"/>
  <c r="D119" i="101"/>
  <c r="AD119" i="101"/>
  <c r="P53" i="89"/>
  <c r="E119" i="101"/>
  <c r="AE119" i="101"/>
  <c r="Q53" i="89"/>
  <c r="F119" i="101"/>
  <c r="AF119" i="101"/>
  <c r="R53" i="89"/>
  <c r="G119" i="101"/>
  <c r="AG119" i="101"/>
  <c r="S53" i="89"/>
  <c r="H119" i="101"/>
  <c r="AH119" i="101"/>
  <c r="T53" i="89"/>
  <c r="I119" i="101"/>
  <c r="AI119" i="101"/>
  <c r="U53" i="89"/>
  <c r="J119" i="101"/>
  <c r="AJ119" i="101"/>
  <c r="V53" i="89"/>
  <c r="K119" i="101"/>
  <c r="AK119" i="101"/>
  <c r="W53" i="89"/>
  <c r="L119" i="101"/>
  <c r="AL119" i="101"/>
  <c r="X53" i="89"/>
  <c r="M119" i="101"/>
  <c r="AM119" i="101"/>
  <c r="G54" i="89"/>
  <c r="I54" i="89"/>
  <c r="N54" i="89"/>
  <c r="C120" i="101"/>
  <c r="AC120" i="101"/>
  <c r="O54" i="89"/>
  <c r="D120" i="101"/>
  <c r="AD120" i="101"/>
  <c r="P54" i="89"/>
  <c r="E120" i="101"/>
  <c r="AE120" i="101"/>
  <c r="Q54" i="89"/>
  <c r="F120" i="101"/>
  <c r="AF120" i="101"/>
  <c r="R54" i="89"/>
  <c r="G120" i="101"/>
  <c r="AG120" i="101"/>
  <c r="S54" i="89"/>
  <c r="H120" i="101"/>
  <c r="AH120" i="101"/>
  <c r="T54" i="89"/>
  <c r="I120" i="101"/>
  <c r="AI120" i="101"/>
  <c r="U54" i="89"/>
  <c r="J120" i="101"/>
  <c r="AJ120" i="101"/>
  <c r="V54" i="89"/>
  <c r="K120" i="101"/>
  <c r="AK120" i="101"/>
  <c r="W54" i="89"/>
  <c r="L120" i="101"/>
  <c r="AL120" i="101"/>
  <c r="X54" i="89"/>
  <c r="M120" i="101"/>
  <c r="AM120" i="101"/>
  <c r="G55" i="89"/>
  <c r="I55" i="89"/>
  <c r="N55" i="89"/>
  <c r="C121" i="101"/>
  <c r="AC121" i="101"/>
  <c r="O55" i="89"/>
  <c r="D121" i="101"/>
  <c r="AD121" i="101"/>
  <c r="P55" i="89"/>
  <c r="E121" i="101"/>
  <c r="AE121" i="101"/>
  <c r="Q55" i="89"/>
  <c r="F121" i="101"/>
  <c r="AF121" i="101"/>
  <c r="R55" i="89"/>
  <c r="G121" i="101"/>
  <c r="AG121" i="101"/>
  <c r="S55" i="89"/>
  <c r="H121" i="101"/>
  <c r="AH121" i="101"/>
  <c r="T55" i="89"/>
  <c r="I121" i="101"/>
  <c r="AI121" i="101"/>
  <c r="U55" i="89"/>
  <c r="J121" i="101"/>
  <c r="AJ121" i="101"/>
  <c r="V55" i="89"/>
  <c r="K121" i="101"/>
  <c r="AK121" i="101"/>
  <c r="W55" i="89"/>
  <c r="L121" i="101"/>
  <c r="AL121" i="101"/>
  <c r="X55" i="89"/>
  <c r="M121" i="101"/>
  <c r="AM121" i="101"/>
  <c r="G56" i="89"/>
  <c r="I56" i="89"/>
  <c r="N56" i="89"/>
  <c r="C122" i="101"/>
  <c r="AC122" i="101"/>
  <c r="O56" i="89"/>
  <c r="D122" i="101"/>
  <c r="AD122" i="101"/>
  <c r="P56" i="89"/>
  <c r="E122" i="101"/>
  <c r="AE122" i="101"/>
  <c r="Q56" i="89"/>
  <c r="F122" i="101"/>
  <c r="AF122" i="101"/>
  <c r="R56" i="89"/>
  <c r="G122" i="101"/>
  <c r="AG122" i="101"/>
  <c r="S56" i="89"/>
  <c r="H122" i="101"/>
  <c r="AH122" i="101"/>
  <c r="T56" i="89"/>
  <c r="I122" i="101"/>
  <c r="AI122" i="101"/>
  <c r="U56" i="89"/>
  <c r="J122" i="101"/>
  <c r="AJ122" i="101"/>
  <c r="V56" i="89"/>
  <c r="K122" i="101"/>
  <c r="AK122" i="101"/>
  <c r="W56" i="89"/>
  <c r="L122" i="101"/>
  <c r="AL122" i="101"/>
  <c r="X56" i="89"/>
  <c r="M122" i="101"/>
  <c r="AM122" i="101"/>
  <c r="G57" i="89"/>
  <c r="I57" i="89"/>
  <c r="N57" i="89"/>
  <c r="C123" i="101"/>
  <c r="AC123" i="101"/>
  <c r="O57" i="89"/>
  <c r="D123" i="101"/>
  <c r="AD123" i="101"/>
  <c r="P57" i="89"/>
  <c r="E123" i="101"/>
  <c r="AE123" i="101"/>
  <c r="Q57" i="89"/>
  <c r="F123" i="101"/>
  <c r="AF123" i="101"/>
  <c r="R57" i="89"/>
  <c r="G123" i="101"/>
  <c r="AG123" i="101"/>
  <c r="S57" i="89"/>
  <c r="H123" i="101"/>
  <c r="AH123" i="101"/>
  <c r="T57" i="89"/>
  <c r="I123" i="101"/>
  <c r="AI123" i="101"/>
  <c r="U57" i="89"/>
  <c r="J123" i="101"/>
  <c r="AJ123" i="101"/>
  <c r="V57" i="89"/>
  <c r="K123" i="101"/>
  <c r="AK123" i="101"/>
  <c r="W57" i="89"/>
  <c r="L123" i="101"/>
  <c r="AL123" i="101"/>
  <c r="X57" i="89"/>
  <c r="M123" i="101"/>
  <c r="AM123" i="101"/>
  <c r="G58" i="89"/>
  <c r="I58" i="89"/>
  <c r="N58" i="89"/>
  <c r="C124" i="101"/>
  <c r="AC124" i="101"/>
  <c r="O58" i="89"/>
  <c r="D124" i="101"/>
  <c r="AD124" i="101"/>
  <c r="P58" i="89"/>
  <c r="E124" i="101"/>
  <c r="AE124" i="101"/>
  <c r="Q58" i="89"/>
  <c r="F124" i="101"/>
  <c r="AF124" i="101"/>
  <c r="R58" i="89"/>
  <c r="G124" i="101"/>
  <c r="AG124" i="101"/>
  <c r="S58" i="89"/>
  <c r="H124" i="101"/>
  <c r="AH124" i="101"/>
  <c r="T58" i="89"/>
  <c r="I124" i="101"/>
  <c r="AI124" i="101"/>
  <c r="U58" i="89"/>
  <c r="J124" i="101"/>
  <c r="AJ124" i="101"/>
  <c r="V58" i="89"/>
  <c r="K124" i="101"/>
  <c r="AK124" i="101"/>
  <c r="W58" i="89"/>
  <c r="L124" i="101"/>
  <c r="AL124" i="101"/>
  <c r="X58" i="89"/>
  <c r="M124" i="101"/>
  <c r="AM124" i="101"/>
  <c r="G59" i="89"/>
  <c r="I59" i="89"/>
  <c r="N59" i="89"/>
  <c r="C125" i="101"/>
  <c r="AC125" i="101"/>
  <c r="O59" i="89"/>
  <c r="D125" i="101"/>
  <c r="AD125" i="101"/>
  <c r="P59" i="89"/>
  <c r="E125" i="101"/>
  <c r="AE125" i="101"/>
  <c r="Q59" i="89"/>
  <c r="F125" i="101"/>
  <c r="AF125" i="101"/>
  <c r="R59" i="89"/>
  <c r="G125" i="101"/>
  <c r="AG125" i="101"/>
  <c r="S59" i="89"/>
  <c r="H125" i="101"/>
  <c r="AH125" i="101"/>
  <c r="T59" i="89"/>
  <c r="I125" i="101"/>
  <c r="AI125" i="101"/>
  <c r="U59" i="89"/>
  <c r="J125" i="101"/>
  <c r="AJ125" i="101"/>
  <c r="V59" i="89"/>
  <c r="K125" i="101"/>
  <c r="AK125" i="101"/>
  <c r="W59" i="89"/>
  <c r="L125" i="101"/>
  <c r="AL125" i="101"/>
  <c r="X59" i="89"/>
  <c r="M125" i="101"/>
  <c r="AM125" i="101"/>
  <c r="G60" i="89"/>
  <c r="I60" i="89"/>
  <c r="N60" i="89"/>
  <c r="C126" i="101"/>
  <c r="AC126" i="101"/>
  <c r="O60" i="89"/>
  <c r="D126" i="101"/>
  <c r="AD126" i="101"/>
  <c r="P60" i="89"/>
  <c r="E126" i="101"/>
  <c r="AE126" i="101"/>
  <c r="Q60" i="89"/>
  <c r="F126" i="101"/>
  <c r="AF126" i="101"/>
  <c r="R60" i="89"/>
  <c r="G126" i="101"/>
  <c r="AG126" i="101"/>
  <c r="S60" i="89"/>
  <c r="H126" i="101"/>
  <c r="AH126" i="101"/>
  <c r="T60" i="89"/>
  <c r="I126" i="101"/>
  <c r="AI126" i="101"/>
  <c r="U60" i="89"/>
  <c r="J126" i="101"/>
  <c r="AJ126" i="101"/>
  <c r="V60" i="89"/>
  <c r="K126" i="101"/>
  <c r="AK126" i="101"/>
  <c r="W60" i="89"/>
  <c r="L126" i="101"/>
  <c r="AL126" i="101"/>
  <c r="X60" i="89"/>
  <c r="M126" i="101"/>
  <c r="AM126" i="101"/>
  <c r="G61" i="89"/>
  <c r="I61" i="89"/>
  <c r="N61" i="89"/>
  <c r="C127" i="101"/>
  <c r="AC127" i="101"/>
  <c r="O61" i="89"/>
  <c r="D127" i="101"/>
  <c r="AD127" i="101"/>
  <c r="P61" i="89"/>
  <c r="E127" i="101"/>
  <c r="AE127" i="101"/>
  <c r="Q61" i="89"/>
  <c r="F127" i="101"/>
  <c r="AF127" i="101"/>
  <c r="R61" i="89"/>
  <c r="G127" i="101"/>
  <c r="AG127" i="101"/>
  <c r="S61" i="89"/>
  <c r="H127" i="101"/>
  <c r="AH127" i="101"/>
  <c r="T61" i="89"/>
  <c r="I127" i="101"/>
  <c r="AI127" i="101"/>
  <c r="U61" i="89"/>
  <c r="J127" i="101"/>
  <c r="AJ127" i="101"/>
  <c r="V61" i="89"/>
  <c r="K127" i="101"/>
  <c r="AK127" i="101"/>
  <c r="W61" i="89"/>
  <c r="L127" i="101"/>
  <c r="AL127" i="101"/>
  <c r="X61" i="89"/>
  <c r="M127" i="101"/>
  <c r="AM127" i="101"/>
  <c r="G62" i="89"/>
  <c r="I62" i="89"/>
  <c r="N62" i="89"/>
  <c r="C128" i="101"/>
  <c r="AC128" i="101"/>
  <c r="O62" i="89"/>
  <c r="D128" i="101"/>
  <c r="AD128" i="101"/>
  <c r="P62" i="89"/>
  <c r="E128" i="101"/>
  <c r="AE128" i="101"/>
  <c r="Q62" i="89"/>
  <c r="F128" i="101"/>
  <c r="AF128" i="101"/>
  <c r="R62" i="89"/>
  <c r="G128" i="101"/>
  <c r="AG128" i="101"/>
  <c r="S62" i="89"/>
  <c r="H128" i="101"/>
  <c r="AH128" i="101"/>
  <c r="T62" i="89"/>
  <c r="I128" i="101"/>
  <c r="AI128" i="101"/>
  <c r="U62" i="89"/>
  <c r="J128" i="101"/>
  <c r="AJ128" i="101"/>
  <c r="V62" i="89"/>
  <c r="K128" i="101"/>
  <c r="AK128" i="101"/>
  <c r="W62" i="89"/>
  <c r="L128" i="101"/>
  <c r="AL128" i="101"/>
  <c r="X62" i="89"/>
  <c r="M128" i="101"/>
  <c r="AM128" i="101"/>
  <c r="G63" i="89"/>
  <c r="I63" i="89"/>
  <c r="N63" i="89"/>
  <c r="C129" i="101"/>
  <c r="AC129" i="101"/>
  <c r="O63" i="89"/>
  <c r="D129" i="101"/>
  <c r="AD129" i="101"/>
  <c r="P63" i="89"/>
  <c r="E129" i="101"/>
  <c r="AE129" i="101"/>
  <c r="Q63" i="89"/>
  <c r="F129" i="101"/>
  <c r="AF129" i="101"/>
  <c r="R63" i="89"/>
  <c r="G129" i="101"/>
  <c r="AG129" i="101"/>
  <c r="S63" i="89"/>
  <c r="H129" i="101"/>
  <c r="AH129" i="101"/>
  <c r="T63" i="89"/>
  <c r="I129" i="101"/>
  <c r="AI129" i="101"/>
  <c r="U63" i="89"/>
  <c r="J129" i="101"/>
  <c r="AJ129" i="101"/>
  <c r="V63" i="89"/>
  <c r="K129" i="101"/>
  <c r="AK129" i="101"/>
  <c r="W63" i="89"/>
  <c r="L129" i="101"/>
  <c r="AL129" i="101"/>
  <c r="X63" i="89"/>
  <c r="M129" i="101"/>
  <c r="AM129" i="101"/>
  <c r="G64" i="89"/>
  <c r="I64" i="89"/>
  <c r="N64" i="89"/>
  <c r="C130" i="101"/>
  <c r="AC130" i="101"/>
  <c r="O64" i="89"/>
  <c r="D130" i="101"/>
  <c r="AD130" i="101"/>
  <c r="P64" i="89"/>
  <c r="E130" i="101"/>
  <c r="AE130" i="101"/>
  <c r="Q64" i="89"/>
  <c r="F130" i="101"/>
  <c r="AF130" i="101"/>
  <c r="R64" i="89"/>
  <c r="G130" i="101"/>
  <c r="AG130" i="101"/>
  <c r="S64" i="89"/>
  <c r="H130" i="101"/>
  <c r="AH130" i="101"/>
  <c r="T64" i="89"/>
  <c r="I130" i="101"/>
  <c r="AI130" i="101"/>
  <c r="U64" i="89"/>
  <c r="J130" i="101"/>
  <c r="AJ130" i="101"/>
  <c r="V64" i="89"/>
  <c r="K130" i="101"/>
  <c r="AK130" i="101"/>
  <c r="W64" i="89"/>
  <c r="L130" i="101"/>
  <c r="AL130" i="101"/>
  <c r="X64" i="89"/>
  <c r="M130" i="101"/>
  <c r="AM130" i="101"/>
  <c r="G65" i="89"/>
  <c r="I65" i="89"/>
  <c r="N65" i="89"/>
  <c r="C131" i="101"/>
  <c r="AC131" i="101"/>
  <c r="O65" i="89"/>
  <c r="D131" i="101"/>
  <c r="AD131" i="101"/>
  <c r="P65" i="89"/>
  <c r="E131" i="101"/>
  <c r="AE131" i="101"/>
  <c r="Q65" i="89"/>
  <c r="F131" i="101"/>
  <c r="AF131" i="101"/>
  <c r="R65" i="89"/>
  <c r="G131" i="101"/>
  <c r="AG131" i="101"/>
  <c r="S65" i="89"/>
  <c r="H131" i="101"/>
  <c r="AH131" i="101"/>
  <c r="T65" i="89"/>
  <c r="I131" i="101"/>
  <c r="AI131" i="101"/>
  <c r="U65" i="89"/>
  <c r="J131" i="101"/>
  <c r="AJ131" i="101"/>
  <c r="V65" i="89"/>
  <c r="K131" i="101"/>
  <c r="AK131" i="101"/>
  <c r="W65" i="89"/>
  <c r="L131" i="101"/>
  <c r="AL131" i="101"/>
  <c r="X65" i="89"/>
  <c r="M131" i="101"/>
  <c r="AM131" i="101"/>
  <c r="G66" i="89"/>
  <c r="I66" i="89"/>
  <c r="N66" i="89"/>
  <c r="C132" i="101"/>
  <c r="AC132" i="101"/>
  <c r="O66" i="89"/>
  <c r="D132" i="101"/>
  <c r="AD132" i="101"/>
  <c r="P66" i="89"/>
  <c r="E132" i="101"/>
  <c r="AE132" i="101"/>
  <c r="Q66" i="89"/>
  <c r="F132" i="101"/>
  <c r="AF132" i="101"/>
  <c r="R66" i="89"/>
  <c r="G132" i="101"/>
  <c r="AG132" i="101"/>
  <c r="S66" i="89"/>
  <c r="H132" i="101"/>
  <c r="AH132" i="101"/>
  <c r="T66" i="89"/>
  <c r="I132" i="101"/>
  <c r="AI132" i="101"/>
  <c r="U66" i="89"/>
  <c r="J132" i="101"/>
  <c r="AJ132" i="101"/>
  <c r="V66" i="89"/>
  <c r="K132" i="101"/>
  <c r="AK132" i="101"/>
  <c r="W66" i="89"/>
  <c r="L132" i="101"/>
  <c r="AL132" i="101"/>
  <c r="X66" i="89"/>
  <c r="M132" i="101"/>
  <c r="AM132" i="101"/>
  <c r="E113" i="101"/>
  <c r="K15" i="99"/>
  <c r="N77" i="89"/>
  <c r="C145" i="101"/>
  <c r="AC145" i="101"/>
  <c r="O76" i="89"/>
  <c r="O77" i="89"/>
  <c r="D145" i="101"/>
  <c r="AD145" i="101"/>
  <c r="P76" i="89"/>
  <c r="P77" i="89"/>
  <c r="E145" i="101"/>
  <c r="AE145" i="101"/>
  <c r="Q76" i="89"/>
  <c r="Q77" i="89"/>
  <c r="F145" i="101"/>
  <c r="AF145" i="101"/>
  <c r="R76" i="89"/>
  <c r="R77" i="89"/>
  <c r="G145" i="101"/>
  <c r="AG145" i="101"/>
  <c r="S76" i="89"/>
  <c r="S77" i="89"/>
  <c r="H145" i="101"/>
  <c r="AH145" i="101"/>
  <c r="T76" i="89"/>
  <c r="T77" i="89"/>
  <c r="I145" i="101"/>
  <c r="AI145" i="101"/>
  <c r="U76" i="89"/>
  <c r="U77" i="89"/>
  <c r="J145" i="101"/>
  <c r="AJ145" i="101"/>
  <c r="V76" i="89"/>
  <c r="V77" i="89"/>
  <c r="K145" i="101"/>
  <c r="AK145" i="101"/>
  <c r="W76" i="89"/>
  <c r="W77" i="89"/>
  <c r="L145" i="101"/>
  <c r="AL145" i="101"/>
  <c r="X76" i="89"/>
  <c r="X77" i="89"/>
  <c r="M145" i="101"/>
  <c r="AM145" i="101"/>
  <c r="N78" i="89"/>
  <c r="C146" i="101"/>
  <c r="AC146" i="101"/>
  <c r="O78" i="89"/>
  <c r="D146" i="101"/>
  <c r="AD146" i="101"/>
  <c r="P78" i="89"/>
  <c r="E146" i="101"/>
  <c r="AE146" i="101"/>
  <c r="Q78" i="89"/>
  <c r="F146" i="101"/>
  <c r="AF146" i="101"/>
  <c r="R78" i="89"/>
  <c r="G146" i="101"/>
  <c r="AG146" i="101"/>
  <c r="S78" i="89"/>
  <c r="H146" i="101"/>
  <c r="AH146" i="101"/>
  <c r="T78" i="89"/>
  <c r="I146" i="101"/>
  <c r="AI146" i="101"/>
  <c r="U78" i="89"/>
  <c r="J146" i="101"/>
  <c r="AJ146" i="101"/>
  <c r="V78" i="89"/>
  <c r="K146" i="101"/>
  <c r="AK146" i="101"/>
  <c r="W78" i="89"/>
  <c r="L146" i="101"/>
  <c r="AL146" i="101"/>
  <c r="X78" i="89"/>
  <c r="M146" i="101"/>
  <c r="AM146" i="101"/>
  <c r="N79" i="89"/>
  <c r="C147" i="101"/>
  <c r="AC147" i="101"/>
  <c r="O79" i="89"/>
  <c r="D147" i="101"/>
  <c r="AD147" i="101"/>
  <c r="P79" i="89"/>
  <c r="E147" i="101"/>
  <c r="AE147" i="101"/>
  <c r="Q79" i="89"/>
  <c r="F147" i="101"/>
  <c r="AF147" i="101"/>
  <c r="R79" i="89"/>
  <c r="G147" i="101"/>
  <c r="AG147" i="101"/>
  <c r="S79" i="89"/>
  <c r="H147" i="101"/>
  <c r="AH147" i="101"/>
  <c r="T79" i="89"/>
  <c r="I147" i="101"/>
  <c r="AI147" i="101"/>
  <c r="U79" i="89"/>
  <c r="J147" i="101"/>
  <c r="AJ147" i="101"/>
  <c r="V79" i="89"/>
  <c r="K147" i="101"/>
  <c r="AK147" i="101"/>
  <c r="W79" i="89"/>
  <c r="L147" i="101"/>
  <c r="AL147" i="101"/>
  <c r="X79" i="89"/>
  <c r="M147" i="101"/>
  <c r="AM147" i="101"/>
  <c r="N80" i="89"/>
  <c r="C148" i="101"/>
  <c r="AC148" i="101"/>
  <c r="O80" i="89"/>
  <c r="D148" i="101"/>
  <c r="AD148" i="101"/>
  <c r="P80" i="89"/>
  <c r="E148" i="101"/>
  <c r="AE148" i="101"/>
  <c r="Q80" i="89"/>
  <c r="F148" i="101"/>
  <c r="AF148" i="101"/>
  <c r="R80" i="89"/>
  <c r="G148" i="101"/>
  <c r="AG148" i="101"/>
  <c r="S80" i="89"/>
  <c r="H148" i="101"/>
  <c r="AH148" i="101"/>
  <c r="T80" i="89"/>
  <c r="I148" i="101"/>
  <c r="AI148" i="101"/>
  <c r="U80" i="89"/>
  <c r="J148" i="101"/>
  <c r="AJ148" i="101"/>
  <c r="V80" i="89"/>
  <c r="K148" i="101"/>
  <c r="AK148" i="101"/>
  <c r="W80" i="89"/>
  <c r="L148" i="101"/>
  <c r="AL148" i="101"/>
  <c r="X80" i="89"/>
  <c r="M148" i="101"/>
  <c r="AM148" i="101"/>
  <c r="N81" i="89"/>
  <c r="C149" i="101"/>
  <c r="AC149" i="101"/>
  <c r="O81" i="89"/>
  <c r="D149" i="101"/>
  <c r="AD149" i="101"/>
  <c r="P81" i="89"/>
  <c r="E149" i="101"/>
  <c r="AE149" i="101"/>
  <c r="Q81" i="89"/>
  <c r="F149" i="101"/>
  <c r="AF149" i="101"/>
  <c r="R81" i="89"/>
  <c r="G149" i="101"/>
  <c r="AG149" i="101"/>
  <c r="S81" i="89"/>
  <c r="H149" i="101"/>
  <c r="AH149" i="101"/>
  <c r="T81" i="89"/>
  <c r="I149" i="101"/>
  <c r="AI149" i="101"/>
  <c r="U81" i="89"/>
  <c r="J149" i="101"/>
  <c r="AJ149" i="101"/>
  <c r="V81" i="89"/>
  <c r="K149" i="101"/>
  <c r="AK149" i="101"/>
  <c r="W81" i="89"/>
  <c r="L149" i="101"/>
  <c r="AL149" i="101"/>
  <c r="X81" i="89"/>
  <c r="M149" i="101"/>
  <c r="AM149" i="101"/>
  <c r="N82" i="89"/>
  <c r="C150" i="101"/>
  <c r="AC150" i="101"/>
  <c r="O82" i="89"/>
  <c r="D150" i="101"/>
  <c r="AD150" i="101"/>
  <c r="P82" i="89"/>
  <c r="E150" i="101"/>
  <c r="AE150" i="101"/>
  <c r="Q82" i="89"/>
  <c r="F150" i="101"/>
  <c r="AF150" i="101"/>
  <c r="R82" i="89"/>
  <c r="G150" i="101"/>
  <c r="AG150" i="101"/>
  <c r="S82" i="89"/>
  <c r="H150" i="101"/>
  <c r="AH150" i="101"/>
  <c r="T82" i="89"/>
  <c r="I150" i="101"/>
  <c r="AI150" i="101"/>
  <c r="U82" i="89"/>
  <c r="J150" i="101"/>
  <c r="AJ150" i="101"/>
  <c r="V82" i="89"/>
  <c r="K150" i="101"/>
  <c r="AK150" i="101"/>
  <c r="W82" i="89"/>
  <c r="L150" i="101"/>
  <c r="AL150" i="101"/>
  <c r="X82" i="89"/>
  <c r="M150" i="101"/>
  <c r="AM150" i="101"/>
  <c r="N83" i="89"/>
  <c r="C151" i="101"/>
  <c r="AC151" i="101"/>
  <c r="O83" i="89"/>
  <c r="D151" i="101"/>
  <c r="AD151" i="101"/>
  <c r="P83" i="89"/>
  <c r="E151" i="101"/>
  <c r="AE151" i="101"/>
  <c r="Q83" i="89"/>
  <c r="F151" i="101"/>
  <c r="AF151" i="101"/>
  <c r="R83" i="89"/>
  <c r="G151" i="101"/>
  <c r="AG151" i="101"/>
  <c r="S83" i="89"/>
  <c r="H151" i="101"/>
  <c r="AH151" i="101"/>
  <c r="T83" i="89"/>
  <c r="I151" i="101"/>
  <c r="AI151" i="101"/>
  <c r="U83" i="89"/>
  <c r="J151" i="101"/>
  <c r="AJ151" i="101"/>
  <c r="V83" i="89"/>
  <c r="K151" i="101"/>
  <c r="AK151" i="101"/>
  <c r="W83" i="89"/>
  <c r="L151" i="101"/>
  <c r="AL151" i="101"/>
  <c r="X83" i="89"/>
  <c r="M151" i="101"/>
  <c r="AM151" i="101"/>
  <c r="N84" i="89"/>
  <c r="C152" i="101"/>
  <c r="AC152" i="101"/>
  <c r="O84" i="89"/>
  <c r="D152" i="101"/>
  <c r="AD152" i="101"/>
  <c r="P84" i="89"/>
  <c r="E152" i="101"/>
  <c r="AE152" i="101"/>
  <c r="Q84" i="89"/>
  <c r="F152" i="101"/>
  <c r="AF152" i="101"/>
  <c r="R84" i="89"/>
  <c r="G152" i="101"/>
  <c r="AG152" i="101"/>
  <c r="S84" i="89"/>
  <c r="H152" i="101"/>
  <c r="AH152" i="101"/>
  <c r="T84" i="89"/>
  <c r="I152" i="101"/>
  <c r="AI152" i="101"/>
  <c r="U84" i="89"/>
  <c r="J152" i="101"/>
  <c r="AJ152" i="101"/>
  <c r="V84" i="89"/>
  <c r="K152" i="101"/>
  <c r="AK152" i="101"/>
  <c r="W84" i="89"/>
  <c r="L152" i="101"/>
  <c r="AL152" i="101"/>
  <c r="X84" i="89"/>
  <c r="M152" i="101"/>
  <c r="AM152" i="101"/>
  <c r="N85" i="89"/>
  <c r="C153" i="101"/>
  <c r="AC153" i="101"/>
  <c r="O85" i="89"/>
  <c r="D153" i="101"/>
  <c r="AD153" i="101"/>
  <c r="P85" i="89"/>
  <c r="E153" i="101"/>
  <c r="AE153" i="101"/>
  <c r="Q85" i="89"/>
  <c r="F153" i="101"/>
  <c r="AF153" i="101"/>
  <c r="R85" i="89"/>
  <c r="G153" i="101"/>
  <c r="AG153" i="101"/>
  <c r="S85" i="89"/>
  <c r="H153" i="101"/>
  <c r="AH153" i="101"/>
  <c r="T85" i="89"/>
  <c r="I153" i="101"/>
  <c r="AI153" i="101"/>
  <c r="U85" i="89"/>
  <c r="J153" i="101"/>
  <c r="AJ153" i="101"/>
  <c r="V85" i="89"/>
  <c r="K153" i="101"/>
  <c r="AK153" i="101"/>
  <c r="W85" i="89"/>
  <c r="L153" i="101"/>
  <c r="AL153" i="101"/>
  <c r="X85" i="89"/>
  <c r="M153" i="101"/>
  <c r="AM153" i="101"/>
  <c r="N86" i="89"/>
  <c r="C154" i="101"/>
  <c r="AC154" i="101"/>
  <c r="O86" i="89"/>
  <c r="D154" i="101"/>
  <c r="AD154" i="101"/>
  <c r="P86" i="89"/>
  <c r="E154" i="101"/>
  <c r="AE154" i="101"/>
  <c r="Q86" i="89"/>
  <c r="F154" i="101"/>
  <c r="AF154" i="101"/>
  <c r="R86" i="89"/>
  <c r="G154" i="101"/>
  <c r="AG154" i="101"/>
  <c r="S86" i="89"/>
  <c r="H154" i="101"/>
  <c r="AH154" i="101"/>
  <c r="T86" i="89"/>
  <c r="I154" i="101"/>
  <c r="AI154" i="101"/>
  <c r="U86" i="89"/>
  <c r="J154" i="101"/>
  <c r="AJ154" i="101"/>
  <c r="V86" i="89"/>
  <c r="K154" i="101"/>
  <c r="AK154" i="101"/>
  <c r="W86" i="89"/>
  <c r="L154" i="101"/>
  <c r="AL154" i="101"/>
  <c r="X86" i="89"/>
  <c r="M154" i="101"/>
  <c r="AM154" i="101"/>
  <c r="N87" i="89"/>
  <c r="C155" i="101"/>
  <c r="AC155" i="101"/>
  <c r="O87" i="89"/>
  <c r="D155" i="101"/>
  <c r="AD155" i="101"/>
  <c r="P87" i="89"/>
  <c r="E155" i="101"/>
  <c r="AE155" i="101"/>
  <c r="Q87" i="89"/>
  <c r="F155" i="101"/>
  <c r="AF155" i="101"/>
  <c r="R87" i="89"/>
  <c r="G155" i="101"/>
  <c r="AG155" i="101"/>
  <c r="S87" i="89"/>
  <c r="H155" i="101"/>
  <c r="AH155" i="101"/>
  <c r="T87" i="89"/>
  <c r="I155" i="101"/>
  <c r="AI155" i="101"/>
  <c r="U87" i="89"/>
  <c r="J155" i="101"/>
  <c r="AJ155" i="101"/>
  <c r="V87" i="89"/>
  <c r="K155" i="101"/>
  <c r="AK155" i="101"/>
  <c r="W87" i="89"/>
  <c r="L155" i="101"/>
  <c r="AL155" i="101"/>
  <c r="X87" i="89"/>
  <c r="M155" i="101"/>
  <c r="AM155" i="101"/>
  <c r="N88" i="89"/>
  <c r="C156" i="101"/>
  <c r="AC156" i="101"/>
  <c r="O88" i="89"/>
  <c r="D156" i="101"/>
  <c r="AD156" i="101"/>
  <c r="P88" i="89"/>
  <c r="E156" i="101"/>
  <c r="AE156" i="101"/>
  <c r="Q88" i="89"/>
  <c r="F156" i="101"/>
  <c r="AF156" i="101"/>
  <c r="R88" i="89"/>
  <c r="G156" i="101"/>
  <c r="AG156" i="101"/>
  <c r="S88" i="89"/>
  <c r="H156" i="101"/>
  <c r="AH156" i="101"/>
  <c r="T88" i="89"/>
  <c r="I156" i="101"/>
  <c r="AI156" i="101"/>
  <c r="U88" i="89"/>
  <c r="J156" i="101"/>
  <c r="AJ156" i="101"/>
  <c r="V88" i="89"/>
  <c r="K156" i="101"/>
  <c r="AK156" i="101"/>
  <c r="W88" i="89"/>
  <c r="L156" i="101"/>
  <c r="AL156" i="101"/>
  <c r="X88" i="89"/>
  <c r="M156" i="101"/>
  <c r="AM156" i="101"/>
  <c r="N89" i="89"/>
  <c r="C157" i="101"/>
  <c r="AC157" i="101"/>
  <c r="O89" i="89"/>
  <c r="D157" i="101"/>
  <c r="AD157" i="101"/>
  <c r="P89" i="89"/>
  <c r="E157" i="101"/>
  <c r="AE157" i="101"/>
  <c r="Q89" i="89"/>
  <c r="F157" i="101"/>
  <c r="AF157" i="101"/>
  <c r="R89" i="89"/>
  <c r="G157" i="101"/>
  <c r="AG157" i="101"/>
  <c r="S89" i="89"/>
  <c r="H157" i="101"/>
  <c r="AH157" i="101"/>
  <c r="T89" i="89"/>
  <c r="I157" i="101"/>
  <c r="AI157" i="101"/>
  <c r="U89" i="89"/>
  <c r="J157" i="101"/>
  <c r="AJ157" i="101"/>
  <c r="V89" i="89"/>
  <c r="K157" i="101"/>
  <c r="AK157" i="101"/>
  <c r="W89" i="89"/>
  <c r="L157" i="101"/>
  <c r="AL157" i="101"/>
  <c r="X89" i="89"/>
  <c r="M157" i="101"/>
  <c r="AM157" i="101"/>
  <c r="N90" i="89"/>
  <c r="C158" i="101"/>
  <c r="AC158" i="101"/>
  <c r="O90" i="89"/>
  <c r="D158" i="101"/>
  <c r="AD158" i="101"/>
  <c r="P90" i="89"/>
  <c r="E158" i="101"/>
  <c r="AE158" i="101"/>
  <c r="Q90" i="89"/>
  <c r="F158" i="101"/>
  <c r="AF158" i="101"/>
  <c r="R90" i="89"/>
  <c r="G158" i="101"/>
  <c r="AG158" i="101"/>
  <c r="S90" i="89"/>
  <c r="H158" i="101"/>
  <c r="AH158" i="101"/>
  <c r="T90" i="89"/>
  <c r="I158" i="101"/>
  <c r="AI158" i="101"/>
  <c r="U90" i="89"/>
  <c r="J158" i="101"/>
  <c r="AJ158" i="101"/>
  <c r="V90" i="89"/>
  <c r="K158" i="101"/>
  <c r="AK158" i="101"/>
  <c r="W90" i="89"/>
  <c r="L158" i="101"/>
  <c r="AL158" i="101"/>
  <c r="X90" i="89"/>
  <c r="M158" i="101"/>
  <c r="AM158" i="101"/>
  <c r="N91" i="89"/>
  <c r="C159" i="101"/>
  <c r="AC159" i="101"/>
  <c r="O91" i="89"/>
  <c r="D159" i="101"/>
  <c r="AD159" i="101"/>
  <c r="P91" i="89"/>
  <c r="E159" i="101"/>
  <c r="AE159" i="101"/>
  <c r="Q91" i="89"/>
  <c r="F159" i="101"/>
  <c r="AF159" i="101"/>
  <c r="R91" i="89"/>
  <c r="G159" i="101"/>
  <c r="AG159" i="101"/>
  <c r="S91" i="89"/>
  <c r="H159" i="101"/>
  <c r="AH159" i="101"/>
  <c r="T91" i="89"/>
  <c r="I159" i="101"/>
  <c r="AI159" i="101"/>
  <c r="U91" i="89"/>
  <c r="J159" i="101"/>
  <c r="AJ159" i="101"/>
  <c r="V91" i="89"/>
  <c r="K159" i="101"/>
  <c r="AK159" i="101"/>
  <c r="W91" i="89"/>
  <c r="L159" i="101"/>
  <c r="AL159" i="101"/>
  <c r="X91" i="89"/>
  <c r="M159" i="101"/>
  <c r="AM159" i="101"/>
  <c r="E140" i="101"/>
  <c r="K16" i="99"/>
  <c r="AA52" i="89"/>
  <c r="AC52" i="89"/>
  <c r="AH52" i="89"/>
  <c r="C172" i="101"/>
  <c r="AC172" i="101"/>
  <c r="AI51" i="89"/>
  <c r="AI52" i="89"/>
  <c r="D172" i="101"/>
  <c r="AD172" i="101"/>
  <c r="AJ51" i="89"/>
  <c r="AJ52" i="89"/>
  <c r="E172" i="101"/>
  <c r="AE172" i="101"/>
  <c r="AK51" i="89"/>
  <c r="AK52" i="89"/>
  <c r="F172" i="101"/>
  <c r="AF172" i="101"/>
  <c r="AL51" i="89"/>
  <c r="AL52" i="89"/>
  <c r="G172" i="101"/>
  <c r="AG172" i="101"/>
  <c r="AM51" i="89"/>
  <c r="AM52" i="89"/>
  <c r="H172" i="101"/>
  <c r="AH172" i="101"/>
  <c r="AN51" i="89"/>
  <c r="AN52" i="89"/>
  <c r="I172" i="101"/>
  <c r="AI172" i="101"/>
  <c r="AO51" i="89"/>
  <c r="AO52" i="89"/>
  <c r="J172" i="101"/>
  <c r="AJ172" i="101"/>
  <c r="AP51" i="89"/>
  <c r="AP52" i="89"/>
  <c r="K172" i="101"/>
  <c r="AK172" i="101"/>
  <c r="AQ51" i="89"/>
  <c r="AQ52" i="89"/>
  <c r="L172" i="101"/>
  <c r="AL172" i="101"/>
  <c r="AR51" i="89"/>
  <c r="AR52" i="89"/>
  <c r="M172" i="101"/>
  <c r="AM172" i="101"/>
  <c r="AA53" i="89"/>
  <c r="AC53" i="89"/>
  <c r="AH53" i="89"/>
  <c r="C173" i="101"/>
  <c r="AC173" i="101"/>
  <c r="AI53" i="89"/>
  <c r="D173" i="101"/>
  <c r="AD173" i="101"/>
  <c r="AJ53" i="89"/>
  <c r="E173" i="101"/>
  <c r="AE173" i="101"/>
  <c r="AK53" i="89"/>
  <c r="F173" i="101"/>
  <c r="AF173" i="101"/>
  <c r="AL53" i="89"/>
  <c r="G173" i="101"/>
  <c r="AG173" i="101"/>
  <c r="AM53" i="89"/>
  <c r="H173" i="101"/>
  <c r="AH173" i="101"/>
  <c r="AN53" i="89"/>
  <c r="I173" i="101"/>
  <c r="AI173" i="101"/>
  <c r="AO53" i="89"/>
  <c r="J173" i="101"/>
  <c r="AJ173" i="101"/>
  <c r="AP53" i="89"/>
  <c r="K173" i="101"/>
  <c r="AK173" i="101"/>
  <c r="AQ53" i="89"/>
  <c r="L173" i="101"/>
  <c r="AL173" i="101"/>
  <c r="AR53" i="89"/>
  <c r="M173" i="101"/>
  <c r="AM173" i="101"/>
  <c r="AA54" i="89"/>
  <c r="AC54" i="89"/>
  <c r="AH54" i="89"/>
  <c r="C174" i="101"/>
  <c r="AC174" i="101"/>
  <c r="AI54" i="89"/>
  <c r="D174" i="101"/>
  <c r="AD174" i="101"/>
  <c r="AJ54" i="89"/>
  <c r="E174" i="101"/>
  <c r="AE174" i="101"/>
  <c r="AK54" i="89"/>
  <c r="F174" i="101"/>
  <c r="AF174" i="101"/>
  <c r="AL54" i="89"/>
  <c r="G174" i="101"/>
  <c r="AG174" i="101"/>
  <c r="AM54" i="89"/>
  <c r="H174" i="101"/>
  <c r="AH174" i="101"/>
  <c r="AN54" i="89"/>
  <c r="I174" i="101"/>
  <c r="AI174" i="101"/>
  <c r="AO54" i="89"/>
  <c r="J174" i="101"/>
  <c r="AJ174" i="101"/>
  <c r="AP54" i="89"/>
  <c r="K174" i="101"/>
  <c r="AK174" i="101"/>
  <c r="AQ54" i="89"/>
  <c r="L174" i="101"/>
  <c r="AL174" i="101"/>
  <c r="AR54" i="89"/>
  <c r="M174" i="101"/>
  <c r="AM174" i="101"/>
  <c r="AA55" i="89"/>
  <c r="AC55" i="89"/>
  <c r="AH55" i="89"/>
  <c r="C175" i="101"/>
  <c r="AC175" i="101"/>
  <c r="AI55" i="89"/>
  <c r="D175" i="101"/>
  <c r="AD175" i="101"/>
  <c r="AJ55" i="89"/>
  <c r="E175" i="101"/>
  <c r="AE175" i="101"/>
  <c r="AK55" i="89"/>
  <c r="F175" i="101"/>
  <c r="AF175" i="101"/>
  <c r="AL55" i="89"/>
  <c r="G175" i="101"/>
  <c r="AG175" i="101"/>
  <c r="AM55" i="89"/>
  <c r="H175" i="101"/>
  <c r="AH175" i="101"/>
  <c r="AN55" i="89"/>
  <c r="I175" i="101"/>
  <c r="AI175" i="101"/>
  <c r="AO55" i="89"/>
  <c r="J175" i="101"/>
  <c r="AJ175" i="101"/>
  <c r="AP55" i="89"/>
  <c r="K175" i="101"/>
  <c r="AK175" i="101"/>
  <c r="AQ55" i="89"/>
  <c r="L175" i="101"/>
  <c r="AL175" i="101"/>
  <c r="AR55" i="89"/>
  <c r="M175" i="101"/>
  <c r="AM175" i="101"/>
  <c r="AA56" i="89"/>
  <c r="AC56" i="89"/>
  <c r="AH56" i="89"/>
  <c r="C176" i="101"/>
  <c r="AC176" i="101"/>
  <c r="AI56" i="89"/>
  <c r="D176" i="101"/>
  <c r="AD176" i="101"/>
  <c r="AJ56" i="89"/>
  <c r="E176" i="101"/>
  <c r="AE176" i="101"/>
  <c r="AK56" i="89"/>
  <c r="F176" i="101"/>
  <c r="AF176" i="101"/>
  <c r="AL56" i="89"/>
  <c r="G176" i="101"/>
  <c r="AG176" i="101"/>
  <c r="AM56" i="89"/>
  <c r="H176" i="101"/>
  <c r="AH176" i="101"/>
  <c r="AN56" i="89"/>
  <c r="I176" i="101"/>
  <c r="AI176" i="101"/>
  <c r="AO56" i="89"/>
  <c r="J176" i="101"/>
  <c r="AJ176" i="101"/>
  <c r="AP56" i="89"/>
  <c r="K176" i="101"/>
  <c r="AK176" i="101"/>
  <c r="AQ56" i="89"/>
  <c r="L176" i="101"/>
  <c r="AL176" i="101"/>
  <c r="AR56" i="89"/>
  <c r="M176" i="101"/>
  <c r="AM176" i="101"/>
  <c r="AA57" i="89"/>
  <c r="AC57" i="89"/>
  <c r="AH57" i="89"/>
  <c r="C177" i="101"/>
  <c r="AC177" i="101"/>
  <c r="AI57" i="89"/>
  <c r="D177" i="101"/>
  <c r="AD177" i="101"/>
  <c r="AJ57" i="89"/>
  <c r="E177" i="101"/>
  <c r="AE177" i="101"/>
  <c r="AK57" i="89"/>
  <c r="F177" i="101"/>
  <c r="AF177" i="101"/>
  <c r="AL57" i="89"/>
  <c r="G177" i="101"/>
  <c r="AG177" i="101"/>
  <c r="AM57" i="89"/>
  <c r="H177" i="101"/>
  <c r="AH177" i="101"/>
  <c r="AN57" i="89"/>
  <c r="I177" i="101"/>
  <c r="AI177" i="101"/>
  <c r="AO57" i="89"/>
  <c r="J177" i="101"/>
  <c r="AJ177" i="101"/>
  <c r="AP57" i="89"/>
  <c r="K177" i="101"/>
  <c r="AK177" i="101"/>
  <c r="AQ57" i="89"/>
  <c r="L177" i="101"/>
  <c r="AL177" i="101"/>
  <c r="AR57" i="89"/>
  <c r="M177" i="101"/>
  <c r="AM177" i="101"/>
  <c r="AA58" i="89"/>
  <c r="AC58" i="89"/>
  <c r="AH58" i="89"/>
  <c r="C178" i="101"/>
  <c r="AC178" i="101"/>
  <c r="AI58" i="89"/>
  <c r="D178" i="101"/>
  <c r="AD178" i="101"/>
  <c r="AJ58" i="89"/>
  <c r="E178" i="101"/>
  <c r="AE178" i="101"/>
  <c r="AK58" i="89"/>
  <c r="F178" i="101"/>
  <c r="AF178" i="101"/>
  <c r="AL58" i="89"/>
  <c r="G178" i="101"/>
  <c r="AG178" i="101"/>
  <c r="AM58" i="89"/>
  <c r="H178" i="101"/>
  <c r="AH178" i="101"/>
  <c r="AN58" i="89"/>
  <c r="I178" i="101"/>
  <c r="AI178" i="101"/>
  <c r="AO58" i="89"/>
  <c r="J178" i="101"/>
  <c r="AJ178" i="101"/>
  <c r="AP58" i="89"/>
  <c r="K178" i="101"/>
  <c r="AK178" i="101"/>
  <c r="AQ58" i="89"/>
  <c r="L178" i="101"/>
  <c r="AL178" i="101"/>
  <c r="AR58" i="89"/>
  <c r="M178" i="101"/>
  <c r="AM178" i="101"/>
  <c r="AA59" i="89"/>
  <c r="AC59" i="89"/>
  <c r="AH59" i="89"/>
  <c r="C179" i="101"/>
  <c r="AC179" i="101"/>
  <c r="AI59" i="89"/>
  <c r="D179" i="101"/>
  <c r="AD179" i="101"/>
  <c r="AJ59" i="89"/>
  <c r="E179" i="101"/>
  <c r="AE179" i="101"/>
  <c r="AK59" i="89"/>
  <c r="F179" i="101"/>
  <c r="AF179" i="101"/>
  <c r="AL59" i="89"/>
  <c r="G179" i="101"/>
  <c r="AG179" i="101"/>
  <c r="AM59" i="89"/>
  <c r="H179" i="101"/>
  <c r="AH179" i="101"/>
  <c r="AN59" i="89"/>
  <c r="I179" i="101"/>
  <c r="AI179" i="101"/>
  <c r="AO59" i="89"/>
  <c r="J179" i="101"/>
  <c r="AJ179" i="101"/>
  <c r="AP59" i="89"/>
  <c r="K179" i="101"/>
  <c r="AK179" i="101"/>
  <c r="AQ59" i="89"/>
  <c r="L179" i="101"/>
  <c r="AL179" i="101"/>
  <c r="AR59" i="89"/>
  <c r="M179" i="101"/>
  <c r="AM179" i="101"/>
  <c r="AA60" i="89"/>
  <c r="AC60" i="89"/>
  <c r="AH60" i="89"/>
  <c r="C180" i="101"/>
  <c r="AC180" i="101"/>
  <c r="AI60" i="89"/>
  <c r="D180" i="101"/>
  <c r="AD180" i="101"/>
  <c r="AJ60" i="89"/>
  <c r="E180" i="101"/>
  <c r="AE180" i="101"/>
  <c r="AK60" i="89"/>
  <c r="F180" i="101"/>
  <c r="AF180" i="101"/>
  <c r="AL60" i="89"/>
  <c r="G180" i="101"/>
  <c r="AG180" i="101"/>
  <c r="AM60" i="89"/>
  <c r="H180" i="101"/>
  <c r="AH180" i="101"/>
  <c r="AN60" i="89"/>
  <c r="I180" i="101"/>
  <c r="AI180" i="101"/>
  <c r="AO60" i="89"/>
  <c r="J180" i="101"/>
  <c r="AJ180" i="101"/>
  <c r="AP60" i="89"/>
  <c r="K180" i="101"/>
  <c r="AK180" i="101"/>
  <c r="AQ60" i="89"/>
  <c r="L180" i="101"/>
  <c r="AL180" i="101"/>
  <c r="AR60" i="89"/>
  <c r="M180" i="101"/>
  <c r="AM180" i="101"/>
  <c r="AA61" i="89"/>
  <c r="AC61" i="89"/>
  <c r="AH61" i="89"/>
  <c r="C181" i="101"/>
  <c r="AC181" i="101"/>
  <c r="AI61" i="89"/>
  <c r="D181" i="101"/>
  <c r="AD181" i="101"/>
  <c r="AJ61" i="89"/>
  <c r="E181" i="101"/>
  <c r="AE181" i="101"/>
  <c r="AK61" i="89"/>
  <c r="F181" i="101"/>
  <c r="AF181" i="101"/>
  <c r="AL61" i="89"/>
  <c r="G181" i="101"/>
  <c r="AG181" i="101"/>
  <c r="AM61" i="89"/>
  <c r="H181" i="101"/>
  <c r="AH181" i="101"/>
  <c r="AN61" i="89"/>
  <c r="I181" i="101"/>
  <c r="AI181" i="101"/>
  <c r="AO61" i="89"/>
  <c r="J181" i="101"/>
  <c r="AJ181" i="101"/>
  <c r="AP61" i="89"/>
  <c r="K181" i="101"/>
  <c r="AK181" i="101"/>
  <c r="AQ61" i="89"/>
  <c r="L181" i="101"/>
  <c r="AL181" i="101"/>
  <c r="AR61" i="89"/>
  <c r="M181" i="101"/>
  <c r="AM181" i="101"/>
  <c r="AA62" i="89"/>
  <c r="AC62" i="89"/>
  <c r="AH62" i="89"/>
  <c r="C182" i="101"/>
  <c r="AC182" i="101"/>
  <c r="AI62" i="89"/>
  <c r="D182" i="101"/>
  <c r="AD182" i="101"/>
  <c r="AJ62" i="89"/>
  <c r="E182" i="101"/>
  <c r="AE182" i="101"/>
  <c r="AK62" i="89"/>
  <c r="F182" i="101"/>
  <c r="AF182" i="101"/>
  <c r="AL62" i="89"/>
  <c r="G182" i="101"/>
  <c r="AG182" i="101"/>
  <c r="AM62" i="89"/>
  <c r="H182" i="101"/>
  <c r="AH182" i="101"/>
  <c r="AN62" i="89"/>
  <c r="I182" i="101"/>
  <c r="AI182" i="101"/>
  <c r="AO62" i="89"/>
  <c r="J182" i="101"/>
  <c r="AJ182" i="101"/>
  <c r="AP62" i="89"/>
  <c r="K182" i="101"/>
  <c r="AK182" i="101"/>
  <c r="AQ62" i="89"/>
  <c r="L182" i="101"/>
  <c r="AL182" i="101"/>
  <c r="AR62" i="89"/>
  <c r="M182" i="101"/>
  <c r="AM182" i="101"/>
  <c r="AA63" i="89"/>
  <c r="AC63" i="89"/>
  <c r="AH63" i="89"/>
  <c r="C183" i="101"/>
  <c r="AC183" i="101"/>
  <c r="AI63" i="89"/>
  <c r="D183" i="101"/>
  <c r="AD183" i="101"/>
  <c r="AJ63" i="89"/>
  <c r="E183" i="101"/>
  <c r="AE183" i="101"/>
  <c r="AK63" i="89"/>
  <c r="F183" i="101"/>
  <c r="AF183" i="101"/>
  <c r="AL63" i="89"/>
  <c r="G183" i="101"/>
  <c r="AG183" i="101"/>
  <c r="AM63" i="89"/>
  <c r="H183" i="101"/>
  <c r="AH183" i="101"/>
  <c r="AN63" i="89"/>
  <c r="I183" i="101"/>
  <c r="AI183" i="101"/>
  <c r="AO63" i="89"/>
  <c r="J183" i="101"/>
  <c r="AJ183" i="101"/>
  <c r="AP63" i="89"/>
  <c r="K183" i="101"/>
  <c r="AK183" i="101"/>
  <c r="AQ63" i="89"/>
  <c r="L183" i="101"/>
  <c r="AL183" i="101"/>
  <c r="AR63" i="89"/>
  <c r="M183" i="101"/>
  <c r="AM183" i="101"/>
  <c r="AA64" i="89"/>
  <c r="AC64" i="89"/>
  <c r="AH64" i="89"/>
  <c r="C184" i="101"/>
  <c r="AC184" i="101"/>
  <c r="AI64" i="89"/>
  <c r="D184" i="101"/>
  <c r="AD184" i="101"/>
  <c r="AJ64" i="89"/>
  <c r="E184" i="101"/>
  <c r="AE184" i="101"/>
  <c r="AK64" i="89"/>
  <c r="F184" i="101"/>
  <c r="AF184" i="101"/>
  <c r="AL64" i="89"/>
  <c r="G184" i="101"/>
  <c r="AG184" i="101"/>
  <c r="AM64" i="89"/>
  <c r="H184" i="101"/>
  <c r="AH184" i="101"/>
  <c r="AN64" i="89"/>
  <c r="I184" i="101"/>
  <c r="AI184" i="101"/>
  <c r="AO64" i="89"/>
  <c r="J184" i="101"/>
  <c r="AJ184" i="101"/>
  <c r="AP64" i="89"/>
  <c r="K184" i="101"/>
  <c r="AK184" i="101"/>
  <c r="AQ64" i="89"/>
  <c r="L184" i="101"/>
  <c r="AL184" i="101"/>
  <c r="AR64" i="89"/>
  <c r="M184" i="101"/>
  <c r="AM184" i="101"/>
  <c r="AA65" i="89"/>
  <c r="AC65" i="89"/>
  <c r="AH65" i="89"/>
  <c r="C185" i="101"/>
  <c r="AC185" i="101"/>
  <c r="AI65" i="89"/>
  <c r="D185" i="101"/>
  <c r="AD185" i="101"/>
  <c r="AJ65" i="89"/>
  <c r="E185" i="101"/>
  <c r="AE185" i="101"/>
  <c r="AK65" i="89"/>
  <c r="F185" i="101"/>
  <c r="AF185" i="101"/>
  <c r="AL65" i="89"/>
  <c r="G185" i="101"/>
  <c r="AG185" i="101"/>
  <c r="AM65" i="89"/>
  <c r="H185" i="101"/>
  <c r="AH185" i="101"/>
  <c r="AN65" i="89"/>
  <c r="I185" i="101"/>
  <c r="AI185" i="101"/>
  <c r="AO65" i="89"/>
  <c r="J185" i="101"/>
  <c r="AJ185" i="101"/>
  <c r="AP65" i="89"/>
  <c r="K185" i="101"/>
  <c r="AK185" i="101"/>
  <c r="AQ65" i="89"/>
  <c r="L185" i="101"/>
  <c r="AL185" i="101"/>
  <c r="AR65" i="89"/>
  <c r="M185" i="101"/>
  <c r="AM185" i="101"/>
  <c r="AA66" i="89"/>
  <c r="AC66" i="89"/>
  <c r="AH66" i="89"/>
  <c r="C186" i="101"/>
  <c r="AC186" i="101"/>
  <c r="AI66" i="89"/>
  <c r="D186" i="101"/>
  <c r="AD186" i="101"/>
  <c r="AJ66" i="89"/>
  <c r="E186" i="101"/>
  <c r="AE186" i="101"/>
  <c r="AK66" i="89"/>
  <c r="F186" i="101"/>
  <c r="AF186" i="101"/>
  <c r="AL66" i="89"/>
  <c r="G186" i="101"/>
  <c r="AG186" i="101"/>
  <c r="AM66" i="89"/>
  <c r="H186" i="101"/>
  <c r="AH186" i="101"/>
  <c r="AN66" i="89"/>
  <c r="I186" i="101"/>
  <c r="AI186" i="101"/>
  <c r="AO66" i="89"/>
  <c r="J186" i="101"/>
  <c r="AJ186" i="101"/>
  <c r="AP66" i="89"/>
  <c r="K186" i="101"/>
  <c r="AK186" i="101"/>
  <c r="AQ66" i="89"/>
  <c r="L186" i="101"/>
  <c r="AL186" i="101"/>
  <c r="AR66" i="89"/>
  <c r="M186" i="101"/>
  <c r="AM186" i="101"/>
  <c r="E167" i="101"/>
  <c r="K19" i="99"/>
  <c r="AH77" i="89"/>
  <c r="C199" i="101"/>
  <c r="AC199" i="101"/>
  <c r="AI76" i="89"/>
  <c r="AI77" i="89"/>
  <c r="D199" i="101"/>
  <c r="AD199" i="101"/>
  <c r="AJ76" i="89"/>
  <c r="AJ77" i="89"/>
  <c r="E199" i="101"/>
  <c r="AE199" i="101"/>
  <c r="AK76" i="89"/>
  <c r="AK77" i="89"/>
  <c r="F199" i="101"/>
  <c r="AF199" i="101"/>
  <c r="AL76" i="89"/>
  <c r="AL77" i="89"/>
  <c r="G199" i="101"/>
  <c r="AG199" i="101"/>
  <c r="AM76" i="89"/>
  <c r="AM77" i="89"/>
  <c r="H199" i="101"/>
  <c r="AH199" i="101"/>
  <c r="AN76" i="89"/>
  <c r="AN77" i="89"/>
  <c r="I199" i="101"/>
  <c r="AI199" i="101"/>
  <c r="AO76" i="89"/>
  <c r="AO77" i="89"/>
  <c r="J199" i="101"/>
  <c r="AJ199" i="101"/>
  <c r="AP76" i="89"/>
  <c r="AP77" i="89"/>
  <c r="K199" i="101"/>
  <c r="AK199" i="101"/>
  <c r="AQ76" i="89"/>
  <c r="AQ77" i="89"/>
  <c r="L199" i="101"/>
  <c r="AL199" i="101"/>
  <c r="AR76" i="89"/>
  <c r="AR77" i="89"/>
  <c r="M199" i="101"/>
  <c r="AM199" i="101"/>
  <c r="AH78" i="89"/>
  <c r="C200" i="101"/>
  <c r="AC200" i="101"/>
  <c r="AI78" i="89"/>
  <c r="D200" i="101"/>
  <c r="AD200" i="101"/>
  <c r="AJ78" i="89"/>
  <c r="E200" i="101"/>
  <c r="AE200" i="101"/>
  <c r="AK78" i="89"/>
  <c r="F200" i="101"/>
  <c r="AF200" i="101"/>
  <c r="AL78" i="89"/>
  <c r="G200" i="101"/>
  <c r="AG200" i="101"/>
  <c r="AM78" i="89"/>
  <c r="H200" i="101"/>
  <c r="AH200" i="101"/>
  <c r="AN78" i="89"/>
  <c r="I200" i="101"/>
  <c r="AI200" i="101"/>
  <c r="AO78" i="89"/>
  <c r="J200" i="101"/>
  <c r="AJ200" i="101"/>
  <c r="AP78" i="89"/>
  <c r="K200" i="101"/>
  <c r="AK200" i="101"/>
  <c r="AQ78" i="89"/>
  <c r="L200" i="101"/>
  <c r="AL200" i="101"/>
  <c r="AR78" i="89"/>
  <c r="M200" i="101"/>
  <c r="AM200" i="101"/>
  <c r="AH79" i="89"/>
  <c r="C201" i="101"/>
  <c r="AC201" i="101"/>
  <c r="AI79" i="89"/>
  <c r="D201" i="101"/>
  <c r="AD201" i="101"/>
  <c r="AJ79" i="89"/>
  <c r="E201" i="101"/>
  <c r="AE201" i="101"/>
  <c r="AK79" i="89"/>
  <c r="F201" i="101"/>
  <c r="AF201" i="101"/>
  <c r="AL79" i="89"/>
  <c r="G201" i="101"/>
  <c r="AG201" i="101"/>
  <c r="AM79" i="89"/>
  <c r="H201" i="101"/>
  <c r="AH201" i="101"/>
  <c r="AN79" i="89"/>
  <c r="I201" i="101"/>
  <c r="AI201" i="101"/>
  <c r="AO79" i="89"/>
  <c r="J201" i="101"/>
  <c r="AJ201" i="101"/>
  <c r="AP79" i="89"/>
  <c r="K201" i="101"/>
  <c r="AK201" i="101"/>
  <c r="AQ79" i="89"/>
  <c r="L201" i="101"/>
  <c r="AL201" i="101"/>
  <c r="AR79" i="89"/>
  <c r="M201" i="101"/>
  <c r="AM201" i="101"/>
  <c r="AH80" i="89"/>
  <c r="C202" i="101"/>
  <c r="AC202" i="101"/>
  <c r="AI80" i="89"/>
  <c r="D202" i="101"/>
  <c r="AD202" i="101"/>
  <c r="AJ80" i="89"/>
  <c r="E202" i="101"/>
  <c r="AE202" i="101"/>
  <c r="AK80" i="89"/>
  <c r="F202" i="101"/>
  <c r="AF202" i="101"/>
  <c r="AL80" i="89"/>
  <c r="G202" i="101"/>
  <c r="AG202" i="101"/>
  <c r="AM80" i="89"/>
  <c r="H202" i="101"/>
  <c r="AH202" i="101"/>
  <c r="AN80" i="89"/>
  <c r="I202" i="101"/>
  <c r="AI202" i="101"/>
  <c r="AO80" i="89"/>
  <c r="J202" i="101"/>
  <c r="AJ202" i="101"/>
  <c r="AP80" i="89"/>
  <c r="K202" i="101"/>
  <c r="AK202" i="101"/>
  <c r="AQ80" i="89"/>
  <c r="L202" i="101"/>
  <c r="AL202" i="101"/>
  <c r="AR80" i="89"/>
  <c r="M202" i="101"/>
  <c r="AM202" i="101"/>
  <c r="AH81" i="89"/>
  <c r="C203" i="101"/>
  <c r="AC203" i="101"/>
  <c r="AI81" i="89"/>
  <c r="D203" i="101"/>
  <c r="AD203" i="101"/>
  <c r="AJ81" i="89"/>
  <c r="E203" i="101"/>
  <c r="AE203" i="101"/>
  <c r="AK81" i="89"/>
  <c r="F203" i="101"/>
  <c r="AF203" i="101"/>
  <c r="AL81" i="89"/>
  <c r="G203" i="101"/>
  <c r="AG203" i="101"/>
  <c r="AM81" i="89"/>
  <c r="H203" i="101"/>
  <c r="AH203" i="101"/>
  <c r="AN81" i="89"/>
  <c r="I203" i="101"/>
  <c r="AI203" i="101"/>
  <c r="AO81" i="89"/>
  <c r="J203" i="101"/>
  <c r="AJ203" i="101"/>
  <c r="AP81" i="89"/>
  <c r="K203" i="101"/>
  <c r="AK203" i="101"/>
  <c r="AQ81" i="89"/>
  <c r="L203" i="101"/>
  <c r="AL203" i="101"/>
  <c r="AR81" i="89"/>
  <c r="M203" i="101"/>
  <c r="AM203" i="101"/>
  <c r="AH82" i="89"/>
  <c r="C204" i="101"/>
  <c r="AC204" i="101"/>
  <c r="AI82" i="89"/>
  <c r="D204" i="101"/>
  <c r="AD204" i="101"/>
  <c r="AJ82" i="89"/>
  <c r="E204" i="101"/>
  <c r="AE204" i="101"/>
  <c r="AK82" i="89"/>
  <c r="F204" i="101"/>
  <c r="AF204" i="101"/>
  <c r="AL82" i="89"/>
  <c r="G204" i="101"/>
  <c r="AG204" i="101"/>
  <c r="AM82" i="89"/>
  <c r="H204" i="101"/>
  <c r="AH204" i="101"/>
  <c r="AN82" i="89"/>
  <c r="I204" i="101"/>
  <c r="AI204" i="101"/>
  <c r="AO82" i="89"/>
  <c r="J204" i="101"/>
  <c r="AJ204" i="101"/>
  <c r="AP82" i="89"/>
  <c r="K204" i="101"/>
  <c r="AK204" i="101"/>
  <c r="AQ82" i="89"/>
  <c r="L204" i="101"/>
  <c r="AL204" i="101"/>
  <c r="AR82" i="89"/>
  <c r="M204" i="101"/>
  <c r="AM204" i="101"/>
  <c r="AH83" i="89"/>
  <c r="C205" i="101"/>
  <c r="AC205" i="101"/>
  <c r="AI83" i="89"/>
  <c r="D205" i="101"/>
  <c r="AD205" i="101"/>
  <c r="AJ83" i="89"/>
  <c r="E205" i="101"/>
  <c r="AE205" i="101"/>
  <c r="AK83" i="89"/>
  <c r="F205" i="101"/>
  <c r="AF205" i="101"/>
  <c r="AL83" i="89"/>
  <c r="G205" i="101"/>
  <c r="AG205" i="101"/>
  <c r="AM83" i="89"/>
  <c r="H205" i="101"/>
  <c r="AH205" i="101"/>
  <c r="AN83" i="89"/>
  <c r="I205" i="101"/>
  <c r="AI205" i="101"/>
  <c r="AO83" i="89"/>
  <c r="J205" i="101"/>
  <c r="AJ205" i="101"/>
  <c r="AP83" i="89"/>
  <c r="K205" i="101"/>
  <c r="AK205" i="101"/>
  <c r="AQ83" i="89"/>
  <c r="L205" i="101"/>
  <c r="AL205" i="101"/>
  <c r="AR83" i="89"/>
  <c r="M205" i="101"/>
  <c r="AM205" i="101"/>
  <c r="AH84" i="89"/>
  <c r="C206" i="101"/>
  <c r="AC206" i="101"/>
  <c r="AI84" i="89"/>
  <c r="D206" i="101"/>
  <c r="AD206" i="101"/>
  <c r="AJ84" i="89"/>
  <c r="E206" i="101"/>
  <c r="AE206" i="101"/>
  <c r="AK84" i="89"/>
  <c r="F206" i="101"/>
  <c r="AF206" i="101"/>
  <c r="AL84" i="89"/>
  <c r="G206" i="101"/>
  <c r="AG206" i="101"/>
  <c r="AM84" i="89"/>
  <c r="H206" i="101"/>
  <c r="AH206" i="101"/>
  <c r="AN84" i="89"/>
  <c r="I206" i="101"/>
  <c r="AI206" i="101"/>
  <c r="AO84" i="89"/>
  <c r="J206" i="101"/>
  <c r="AJ206" i="101"/>
  <c r="AP84" i="89"/>
  <c r="K206" i="101"/>
  <c r="AK206" i="101"/>
  <c r="AQ84" i="89"/>
  <c r="L206" i="101"/>
  <c r="AL206" i="101"/>
  <c r="AR84" i="89"/>
  <c r="M206" i="101"/>
  <c r="AM206" i="101"/>
  <c r="AH85" i="89"/>
  <c r="C207" i="101"/>
  <c r="AC207" i="101"/>
  <c r="AI85" i="89"/>
  <c r="D207" i="101"/>
  <c r="AD207" i="101"/>
  <c r="AJ85" i="89"/>
  <c r="E207" i="101"/>
  <c r="AE207" i="101"/>
  <c r="AK85" i="89"/>
  <c r="F207" i="101"/>
  <c r="AF207" i="101"/>
  <c r="AL85" i="89"/>
  <c r="G207" i="101"/>
  <c r="AG207" i="101"/>
  <c r="AM85" i="89"/>
  <c r="H207" i="101"/>
  <c r="AH207" i="101"/>
  <c r="AN85" i="89"/>
  <c r="I207" i="101"/>
  <c r="AI207" i="101"/>
  <c r="AO85" i="89"/>
  <c r="J207" i="101"/>
  <c r="AJ207" i="101"/>
  <c r="AP85" i="89"/>
  <c r="K207" i="101"/>
  <c r="AK207" i="101"/>
  <c r="AQ85" i="89"/>
  <c r="L207" i="101"/>
  <c r="AL207" i="101"/>
  <c r="AR85" i="89"/>
  <c r="M207" i="101"/>
  <c r="AM207" i="101"/>
  <c r="AH86" i="89"/>
  <c r="C208" i="101"/>
  <c r="AC208" i="101"/>
  <c r="AI86" i="89"/>
  <c r="D208" i="101"/>
  <c r="AD208" i="101"/>
  <c r="AJ86" i="89"/>
  <c r="E208" i="101"/>
  <c r="AE208" i="101"/>
  <c r="AK86" i="89"/>
  <c r="F208" i="101"/>
  <c r="AF208" i="101"/>
  <c r="AL86" i="89"/>
  <c r="G208" i="101"/>
  <c r="AG208" i="101"/>
  <c r="AM86" i="89"/>
  <c r="H208" i="101"/>
  <c r="AH208" i="101"/>
  <c r="AN86" i="89"/>
  <c r="I208" i="101"/>
  <c r="AI208" i="101"/>
  <c r="AO86" i="89"/>
  <c r="J208" i="101"/>
  <c r="AJ208" i="101"/>
  <c r="AP86" i="89"/>
  <c r="K208" i="101"/>
  <c r="AK208" i="101"/>
  <c r="AQ86" i="89"/>
  <c r="L208" i="101"/>
  <c r="AL208" i="101"/>
  <c r="AR86" i="89"/>
  <c r="M208" i="101"/>
  <c r="AM208" i="101"/>
  <c r="AH87" i="89"/>
  <c r="C209" i="101"/>
  <c r="AC209" i="101"/>
  <c r="AI87" i="89"/>
  <c r="D209" i="101"/>
  <c r="AD209" i="101"/>
  <c r="AJ87" i="89"/>
  <c r="E209" i="101"/>
  <c r="AE209" i="101"/>
  <c r="AK87" i="89"/>
  <c r="F209" i="101"/>
  <c r="AF209" i="101"/>
  <c r="AL87" i="89"/>
  <c r="G209" i="101"/>
  <c r="AG209" i="101"/>
  <c r="AM87" i="89"/>
  <c r="H209" i="101"/>
  <c r="AH209" i="101"/>
  <c r="AN87" i="89"/>
  <c r="I209" i="101"/>
  <c r="AI209" i="101"/>
  <c r="AO87" i="89"/>
  <c r="J209" i="101"/>
  <c r="AJ209" i="101"/>
  <c r="AP87" i="89"/>
  <c r="K209" i="101"/>
  <c r="AK209" i="101"/>
  <c r="AQ87" i="89"/>
  <c r="L209" i="101"/>
  <c r="AL209" i="101"/>
  <c r="AR87" i="89"/>
  <c r="M209" i="101"/>
  <c r="AM209" i="101"/>
  <c r="AH88" i="89"/>
  <c r="C210" i="101"/>
  <c r="AC210" i="101"/>
  <c r="AI88" i="89"/>
  <c r="D210" i="101"/>
  <c r="AD210" i="101"/>
  <c r="AJ88" i="89"/>
  <c r="E210" i="101"/>
  <c r="AE210" i="101"/>
  <c r="AK88" i="89"/>
  <c r="F210" i="101"/>
  <c r="AF210" i="101"/>
  <c r="AL88" i="89"/>
  <c r="G210" i="101"/>
  <c r="AG210" i="101"/>
  <c r="AM88" i="89"/>
  <c r="H210" i="101"/>
  <c r="AH210" i="101"/>
  <c r="AN88" i="89"/>
  <c r="I210" i="101"/>
  <c r="AI210" i="101"/>
  <c r="AO88" i="89"/>
  <c r="J210" i="101"/>
  <c r="AJ210" i="101"/>
  <c r="AP88" i="89"/>
  <c r="K210" i="101"/>
  <c r="AK210" i="101"/>
  <c r="AQ88" i="89"/>
  <c r="L210" i="101"/>
  <c r="AL210" i="101"/>
  <c r="AR88" i="89"/>
  <c r="M210" i="101"/>
  <c r="AM210" i="101"/>
  <c r="AH89" i="89"/>
  <c r="C211" i="101"/>
  <c r="AC211" i="101"/>
  <c r="AI89" i="89"/>
  <c r="D211" i="101"/>
  <c r="AD211" i="101"/>
  <c r="AJ89" i="89"/>
  <c r="E211" i="101"/>
  <c r="AE211" i="101"/>
  <c r="AK89" i="89"/>
  <c r="F211" i="101"/>
  <c r="AF211" i="101"/>
  <c r="AL89" i="89"/>
  <c r="G211" i="101"/>
  <c r="AG211" i="101"/>
  <c r="AM89" i="89"/>
  <c r="H211" i="101"/>
  <c r="AH211" i="101"/>
  <c r="AN89" i="89"/>
  <c r="I211" i="101"/>
  <c r="AI211" i="101"/>
  <c r="AO89" i="89"/>
  <c r="J211" i="101"/>
  <c r="AJ211" i="101"/>
  <c r="AP89" i="89"/>
  <c r="K211" i="101"/>
  <c r="AK211" i="101"/>
  <c r="AQ89" i="89"/>
  <c r="L211" i="101"/>
  <c r="AL211" i="101"/>
  <c r="AR89" i="89"/>
  <c r="M211" i="101"/>
  <c r="AM211" i="101"/>
  <c r="AH90" i="89"/>
  <c r="C212" i="101"/>
  <c r="AC212" i="101"/>
  <c r="AI90" i="89"/>
  <c r="D212" i="101"/>
  <c r="AD212" i="101"/>
  <c r="AJ90" i="89"/>
  <c r="E212" i="101"/>
  <c r="AE212" i="101"/>
  <c r="AK90" i="89"/>
  <c r="F212" i="101"/>
  <c r="AF212" i="101"/>
  <c r="AL90" i="89"/>
  <c r="G212" i="101"/>
  <c r="AG212" i="101"/>
  <c r="AM90" i="89"/>
  <c r="H212" i="101"/>
  <c r="AH212" i="101"/>
  <c r="AN90" i="89"/>
  <c r="I212" i="101"/>
  <c r="AI212" i="101"/>
  <c r="AO90" i="89"/>
  <c r="J212" i="101"/>
  <c r="AJ212" i="101"/>
  <c r="AP90" i="89"/>
  <c r="K212" i="101"/>
  <c r="AK212" i="101"/>
  <c r="AQ90" i="89"/>
  <c r="L212" i="101"/>
  <c r="AL212" i="101"/>
  <c r="AR90" i="89"/>
  <c r="M212" i="101"/>
  <c r="AM212" i="101"/>
  <c r="AH91" i="89"/>
  <c r="C213" i="101"/>
  <c r="AC213" i="101"/>
  <c r="AI91" i="89"/>
  <c r="D213" i="101"/>
  <c r="AD213" i="101"/>
  <c r="AJ91" i="89"/>
  <c r="E213" i="101"/>
  <c r="AE213" i="101"/>
  <c r="AK91" i="89"/>
  <c r="F213" i="101"/>
  <c r="AF213" i="101"/>
  <c r="AL91" i="89"/>
  <c r="G213" i="101"/>
  <c r="AG213" i="101"/>
  <c r="AM91" i="89"/>
  <c r="H213" i="101"/>
  <c r="AH213" i="101"/>
  <c r="AN91" i="89"/>
  <c r="I213" i="101"/>
  <c r="AI213" i="101"/>
  <c r="AO91" i="89"/>
  <c r="J213" i="101"/>
  <c r="AJ213" i="101"/>
  <c r="AP91" i="89"/>
  <c r="K213" i="101"/>
  <c r="AK213" i="101"/>
  <c r="AQ91" i="89"/>
  <c r="L213" i="101"/>
  <c r="AL213" i="101"/>
  <c r="AR91" i="89"/>
  <c r="M213" i="101"/>
  <c r="AM213" i="101"/>
  <c r="E194" i="101"/>
  <c r="K20" i="99"/>
  <c r="K24" i="99"/>
  <c r="K6" i="100"/>
  <c r="K8" i="100"/>
  <c r="I4" i="91"/>
  <c r="G4" i="91"/>
  <c r="N4" i="91"/>
  <c r="C10" i="102"/>
  <c r="AC10" i="102"/>
  <c r="O3" i="91"/>
  <c r="O4" i="91"/>
  <c r="D10" i="102"/>
  <c r="AD10" i="102"/>
  <c r="P3" i="91"/>
  <c r="P4" i="91"/>
  <c r="E10" i="102"/>
  <c r="AE10" i="102"/>
  <c r="Q3" i="91"/>
  <c r="Q4" i="91"/>
  <c r="F10" i="102"/>
  <c r="AF10" i="102"/>
  <c r="R3" i="91"/>
  <c r="R4" i="91"/>
  <c r="G10" i="102"/>
  <c r="AG10" i="102"/>
  <c r="S3" i="91"/>
  <c r="S4" i="91"/>
  <c r="H10" i="102"/>
  <c r="AH10" i="102"/>
  <c r="T3" i="91"/>
  <c r="T4" i="91"/>
  <c r="I10" i="102"/>
  <c r="AI10" i="102"/>
  <c r="U3" i="91"/>
  <c r="U4" i="91"/>
  <c r="J10" i="102"/>
  <c r="AJ10" i="102"/>
  <c r="V3" i="91"/>
  <c r="V4" i="91"/>
  <c r="K10" i="102"/>
  <c r="AK10" i="102"/>
  <c r="W3" i="91"/>
  <c r="W4" i="91"/>
  <c r="L10" i="102"/>
  <c r="AL10" i="102"/>
  <c r="X3" i="91"/>
  <c r="X4" i="91"/>
  <c r="M10" i="102"/>
  <c r="AM10" i="102"/>
  <c r="I5" i="91"/>
  <c r="G5" i="91"/>
  <c r="N5" i="91"/>
  <c r="C11" i="102"/>
  <c r="AC11" i="102"/>
  <c r="O5" i="91"/>
  <c r="D11" i="102"/>
  <c r="AD11" i="102"/>
  <c r="P5" i="91"/>
  <c r="E11" i="102"/>
  <c r="AE11" i="102"/>
  <c r="Q5" i="91"/>
  <c r="F11" i="102"/>
  <c r="AF11" i="102"/>
  <c r="R5" i="91"/>
  <c r="G11" i="102"/>
  <c r="AG11" i="102"/>
  <c r="S5" i="91"/>
  <c r="H11" i="102"/>
  <c r="AH11" i="102"/>
  <c r="T5" i="91"/>
  <c r="I11" i="102"/>
  <c r="AI11" i="102"/>
  <c r="U5" i="91"/>
  <c r="J11" i="102"/>
  <c r="AJ11" i="102"/>
  <c r="V5" i="91"/>
  <c r="K11" i="102"/>
  <c r="AK11" i="102"/>
  <c r="W5" i="91"/>
  <c r="L11" i="102"/>
  <c r="AL11" i="102"/>
  <c r="X5" i="91"/>
  <c r="M11" i="102"/>
  <c r="AM11" i="102"/>
  <c r="I6" i="91"/>
  <c r="G6" i="91"/>
  <c r="N6" i="91"/>
  <c r="C12" i="102"/>
  <c r="AC12" i="102"/>
  <c r="O6" i="91"/>
  <c r="D12" i="102"/>
  <c r="AD12" i="102"/>
  <c r="P6" i="91"/>
  <c r="E12" i="102"/>
  <c r="AE12" i="102"/>
  <c r="Q6" i="91"/>
  <c r="F12" i="102"/>
  <c r="AF12" i="102"/>
  <c r="R6" i="91"/>
  <c r="G12" i="102"/>
  <c r="AG12" i="102"/>
  <c r="S6" i="91"/>
  <c r="H12" i="102"/>
  <c r="AH12" i="102"/>
  <c r="T6" i="91"/>
  <c r="I12" i="102"/>
  <c r="AI12" i="102"/>
  <c r="U6" i="91"/>
  <c r="J12" i="102"/>
  <c r="AJ12" i="102"/>
  <c r="V6" i="91"/>
  <c r="K12" i="102"/>
  <c r="AK12" i="102"/>
  <c r="W6" i="91"/>
  <c r="L12" i="102"/>
  <c r="AL12" i="102"/>
  <c r="X6" i="91"/>
  <c r="M12" i="102"/>
  <c r="AM12" i="102"/>
  <c r="I7" i="91"/>
  <c r="G7" i="91"/>
  <c r="N7" i="91"/>
  <c r="C13" i="102"/>
  <c r="AC13" i="102"/>
  <c r="O7" i="91"/>
  <c r="D13" i="102"/>
  <c r="AD13" i="102"/>
  <c r="P7" i="91"/>
  <c r="E13" i="102"/>
  <c r="AE13" i="102"/>
  <c r="Q7" i="91"/>
  <c r="F13" i="102"/>
  <c r="AF13" i="102"/>
  <c r="R7" i="91"/>
  <c r="G13" i="102"/>
  <c r="AG13" i="102"/>
  <c r="S7" i="91"/>
  <c r="H13" i="102"/>
  <c r="AH13" i="102"/>
  <c r="T7" i="91"/>
  <c r="I13" i="102"/>
  <c r="AI13" i="102"/>
  <c r="U7" i="91"/>
  <c r="J13" i="102"/>
  <c r="AJ13" i="102"/>
  <c r="V7" i="91"/>
  <c r="K13" i="102"/>
  <c r="AK13" i="102"/>
  <c r="W7" i="91"/>
  <c r="L13" i="102"/>
  <c r="AL13" i="102"/>
  <c r="X7" i="91"/>
  <c r="M13" i="102"/>
  <c r="AM13" i="102"/>
  <c r="I8" i="91"/>
  <c r="G8" i="91"/>
  <c r="N8" i="91"/>
  <c r="C14" i="102"/>
  <c r="AC14" i="102"/>
  <c r="O8" i="91"/>
  <c r="D14" i="102"/>
  <c r="AD14" i="102"/>
  <c r="P8" i="91"/>
  <c r="E14" i="102"/>
  <c r="AE14" i="102"/>
  <c r="Q8" i="91"/>
  <c r="F14" i="102"/>
  <c r="AF14" i="102"/>
  <c r="R8" i="91"/>
  <c r="G14" i="102"/>
  <c r="AG14" i="102"/>
  <c r="S8" i="91"/>
  <c r="H14" i="102"/>
  <c r="AH14" i="102"/>
  <c r="T8" i="91"/>
  <c r="I14" i="102"/>
  <c r="AI14" i="102"/>
  <c r="U8" i="91"/>
  <c r="J14" i="102"/>
  <c r="AJ14" i="102"/>
  <c r="V8" i="91"/>
  <c r="K14" i="102"/>
  <c r="AK14" i="102"/>
  <c r="W8" i="91"/>
  <c r="L14" i="102"/>
  <c r="AL14" i="102"/>
  <c r="X8" i="91"/>
  <c r="M14" i="102"/>
  <c r="AM14" i="102"/>
  <c r="I9" i="91"/>
  <c r="G9" i="91"/>
  <c r="N9" i="91"/>
  <c r="C15" i="102"/>
  <c r="AC15" i="102"/>
  <c r="O9" i="91"/>
  <c r="D15" i="102"/>
  <c r="AD15" i="102"/>
  <c r="P9" i="91"/>
  <c r="E15" i="102"/>
  <c r="AE15" i="102"/>
  <c r="Q9" i="91"/>
  <c r="F15" i="102"/>
  <c r="AF15" i="102"/>
  <c r="R9" i="91"/>
  <c r="G15" i="102"/>
  <c r="AG15" i="102"/>
  <c r="S9" i="91"/>
  <c r="H15" i="102"/>
  <c r="AH15" i="102"/>
  <c r="T9" i="91"/>
  <c r="I15" i="102"/>
  <c r="AI15" i="102"/>
  <c r="U9" i="91"/>
  <c r="J15" i="102"/>
  <c r="AJ15" i="102"/>
  <c r="V9" i="91"/>
  <c r="K15" i="102"/>
  <c r="AK15" i="102"/>
  <c r="W9" i="91"/>
  <c r="L15" i="102"/>
  <c r="AL15" i="102"/>
  <c r="X9" i="91"/>
  <c r="M15" i="102"/>
  <c r="AM15" i="102"/>
  <c r="I10" i="91"/>
  <c r="G10" i="91"/>
  <c r="N10" i="91"/>
  <c r="C16" i="102"/>
  <c r="AC16" i="102"/>
  <c r="O10" i="91"/>
  <c r="D16" i="102"/>
  <c r="AD16" i="102"/>
  <c r="P10" i="91"/>
  <c r="E16" i="102"/>
  <c r="AE16" i="102"/>
  <c r="Q10" i="91"/>
  <c r="F16" i="102"/>
  <c r="AF16" i="102"/>
  <c r="R10" i="91"/>
  <c r="G16" i="102"/>
  <c r="AG16" i="102"/>
  <c r="S10" i="91"/>
  <c r="H16" i="102"/>
  <c r="AH16" i="102"/>
  <c r="T10" i="91"/>
  <c r="I16" i="102"/>
  <c r="AI16" i="102"/>
  <c r="U10" i="91"/>
  <c r="J16" i="102"/>
  <c r="AJ16" i="102"/>
  <c r="V10" i="91"/>
  <c r="K16" i="102"/>
  <c r="AK16" i="102"/>
  <c r="W10" i="91"/>
  <c r="L16" i="102"/>
  <c r="AL16" i="102"/>
  <c r="X10" i="91"/>
  <c r="M16" i="102"/>
  <c r="AM16" i="102"/>
  <c r="I11" i="91"/>
  <c r="G11" i="91"/>
  <c r="N11" i="91"/>
  <c r="C17" i="102"/>
  <c r="AC17" i="102"/>
  <c r="O11" i="91"/>
  <c r="D17" i="102"/>
  <c r="AD17" i="102"/>
  <c r="P11" i="91"/>
  <c r="E17" i="102"/>
  <c r="AE17" i="102"/>
  <c r="Q11" i="91"/>
  <c r="F17" i="102"/>
  <c r="AF17" i="102"/>
  <c r="R11" i="91"/>
  <c r="G17" i="102"/>
  <c r="AG17" i="102"/>
  <c r="S11" i="91"/>
  <c r="H17" i="102"/>
  <c r="AH17" i="102"/>
  <c r="T11" i="91"/>
  <c r="I17" i="102"/>
  <c r="AI17" i="102"/>
  <c r="U11" i="91"/>
  <c r="J17" i="102"/>
  <c r="AJ17" i="102"/>
  <c r="V11" i="91"/>
  <c r="K17" i="102"/>
  <c r="AK17" i="102"/>
  <c r="W11" i="91"/>
  <c r="L17" i="102"/>
  <c r="AL17" i="102"/>
  <c r="X11" i="91"/>
  <c r="M17" i="102"/>
  <c r="AM17" i="102"/>
  <c r="I12" i="91"/>
  <c r="G12" i="91"/>
  <c r="N12" i="91"/>
  <c r="C18" i="102"/>
  <c r="AC18" i="102"/>
  <c r="O12" i="91"/>
  <c r="D18" i="102"/>
  <c r="AD18" i="102"/>
  <c r="P12" i="91"/>
  <c r="E18" i="102"/>
  <c r="AE18" i="102"/>
  <c r="Q12" i="91"/>
  <c r="F18" i="102"/>
  <c r="AF18" i="102"/>
  <c r="R12" i="91"/>
  <c r="G18" i="102"/>
  <c r="AG18" i="102"/>
  <c r="S12" i="91"/>
  <c r="H18" i="102"/>
  <c r="AH18" i="102"/>
  <c r="T12" i="91"/>
  <c r="I18" i="102"/>
  <c r="AI18" i="102"/>
  <c r="U12" i="91"/>
  <c r="J18" i="102"/>
  <c r="AJ18" i="102"/>
  <c r="V12" i="91"/>
  <c r="K18" i="102"/>
  <c r="AK18" i="102"/>
  <c r="W12" i="91"/>
  <c r="L18" i="102"/>
  <c r="AL18" i="102"/>
  <c r="X12" i="91"/>
  <c r="M18" i="102"/>
  <c r="AM18" i="102"/>
  <c r="I13" i="91"/>
  <c r="G13" i="91"/>
  <c r="N13" i="91"/>
  <c r="C19" i="102"/>
  <c r="AC19" i="102"/>
  <c r="O13" i="91"/>
  <c r="D19" i="102"/>
  <c r="AD19" i="102"/>
  <c r="P13" i="91"/>
  <c r="E19" i="102"/>
  <c r="AE19" i="102"/>
  <c r="Q13" i="91"/>
  <c r="F19" i="102"/>
  <c r="AF19" i="102"/>
  <c r="R13" i="91"/>
  <c r="G19" i="102"/>
  <c r="AG19" i="102"/>
  <c r="S13" i="91"/>
  <c r="H19" i="102"/>
  <c r="AH19" i="102"/>
  <c r="T13" i="91"/>
  <c r="I19" i="102"/>
  <c r="AI19" i="102"/>
  <c r="U13" i="91"/>
  <c r="J19" i="102"/>
  <c r="AJ19" i="102"/>
  <c r="V13" i="91"/>
  <c r="K19" i="102"/>
  <c r="AK19" i="102"/>
  <c r="W13" i="91"/>
  <c r="L19" i="102"/>
  <c r="AL19" i="102"/>
  <c r="X13" i="91"/>
  <c r="M19" i="102"/>
  <c r="AM19" i="102"/>
  <c r="I14" i="91"/>
  <c r="G14" i="91"/>
  <c r="N14" i="91"/>
  <c r="C20" i="102"/>
  <c r="AC20" i="102"/>
  <c r="O14" i="91"/>
  <c r="D20" i="102"/>
  <c r="AD20" i="102"/>
  <c r="P14" i="91"/>
  <c r="E20" i="102"/>
  <c r="AE20" i="102"/>
  <c r="Q14" i="91"/>
  <c r="F20" i="102"/>
  <c r="AF20" i="102"/>
  <c r="R14" i="91"/>
  <c r="G20" i="102"/>
  <c r="AG20" i="102"/>
  <c r="S14" i="91"/>
  <c r="H20" i="102"/>
  <c r="AH20" i="102"/>
  <c r="T14" i="91"/>
  <c r="I20" i="102"/>
  <c r="AI20" i="102"/>
  <c r="U14" i="91"/>
  <c r="J20" i="102"/>
  <c r="AJ20" i="102"/>
  <c r="V14" i="91"/>
  <c r="K20" i="102"/>
  <c r="AK20" i="102"/>
  <c r="W14" i="91"/>
  <c r="L20" i="102"/>
  <c r="AL20" i="102"/>
  <c r="X14" i="91"/>
  <c r="M20" i="102"/>
  <c r="AM20" i="102"/>
  <c r="I15" i="91"/>
  <c r="G15" i="91"/>
  <c r="N15" i="91"/>
  <c r="C21" i="102"/>
  <c r="AC21" i="102"/>
  <c r="O15" i="91"/>
  <c r="D21" i="102"/>
  <c r="AD21" i="102"/>
  <c r="P15" i="91"/>
  <c r="E21" i="102"/>
  <c r="AE21" i="102"/>
  <c r="Q15" i="91"/>
  <c r="F21" i="102"/>
  <c r="AF21" i="102"/>
  <c r="R15" i="91"/>
  <c r="G21" i="102"/>
  <c r="AG21" i="102"/>
  <c r="S15" i="91"/>
  <c r="H21" i="102"/>
  <c r="AH21" i="102"/>
  <c r="T15" i="91"/>
  <c r="I21" i="102"/>
  <c r="AI21" i="102"/>
  <c r="U15" i="91"/>
  <c r="J21" i="102"/>
  <c r="AJ21" i="102"/>
  <c r="V15" i="91"/>
  <c r="K21" i="102"/>
  <c r="AK21" i="102"/>
  <c r="W15" i="91"/>
  <c r="L21" i="102"/>
  <c r="AL21" i="102"/>
  <c r="X15" i="91"/>
  <c r="M21" i="102"/>
  <c r="AM21" i="102"/>
  <c r="I16" i="91"/>
  <c r="G16" i="91"/>
  <c r="N16" i="91"/>
  <c r="C22" i="102"/>
  <c r="AC22" i="102"/>
  <c r="O16" i="91"/>
  <c r="D22" i="102"/>
  <c r="AD22" i="102"/>
  <c r="P16" i="91"/>
  <c r="E22" i="102"/>
  <c r="AE22" i="102"/>
  <c r="Q16" i="91"/>
  <c r="F22" i="102"/>
  <c r="AF22" i="102"/>
  <c r="R16" i="91"/>
  <c r="G22" i="102"/>
  <c r="AG22" i="102"/>
  <c r="S16" i="91"/>
  <c r="H22" i="102"/>
  <c r="AH22" i="102"/>
  <c r="T16" i="91"/>
  <c r="I22" i="102"/>
  <c r="AI22" i="102"/>
  <c r="U16" i="91"/>
  <c r="J22" i="102"/>
  <c r="AJ22" i="102"/>
  <c r="V16" i="91"/>
  <c r="K22" i="102"/>
  <c r="AK22" i="102"/>
  <c r="W16" i="91"/>
  <c r="L22" i="102"/>
  <c r="AL22" i="102"/>
  <c r="X16" i="91"/>
  <c r="M22" i="102"/>
  <c r="AM22" i="102"/>
  <c r="I17" i="91"/>
  <c r="G17" i="91"/>
  <c r="N17" i="91"/>
  <c r="C23" i="102"/>
  <c r="AC23" i="102"/>
  <c r="O17" i="91"/>
  <c r="D23" i="102"/>
  <c r="AD23" i="102"/>
  <c r="P17" i="91"/>
  <c r="E23" i="102"/>
  <c r="AE23" i="102"/>
  <c r="Q17" i="91"/>
  <c r="F23" i="102"/>
  <c r="AF23" i="102"/>
  <c r="R17" i="91"/>
  <c r="G23" i="102"/>
  <c r="AG23" i="102"/>
  <c r="S17" i="91"/>
  <c r="H23" i="102"/>
  <c r="AH23" i="102"/>
  <c r="T17" i="91"/>
  <c r="I23" i="102"/>
  <c r="AI23" i="102"/>
  <c r="U17" i="91"/>
  <c r="J23" i="102"/>
  <c r="AJ23" i="102"/>
  <c r="V17" i="91"/>
  <c r="K23" i="102"/>
  <c r="AK23" i="102"/>
  <c r="W17" i="91"/>
  <c r="L23" i="102"/>
  <c r="AL23" i="102"/>
  <c r="X17" i="91"/>
  <c r="M23" i="102"/>
  <c r="AM23" i="102"/>
  <c r="I18" i="91"/>
  <c r="G18" i="91"/>
  <c r="N18" i="91"/>
  <c r="C24" i="102"/>
  <c r="AC24" i="102"/>
  <c r="O18" i="91"/>
  <c r="D24" i="102"/>
  <c r="AD24" i="102"/>
  <c r="P18" i="91"/>
  <c r="E24" i="102"/>
  <c r="AE24" i="102"/>
  <c r="Q18" i="91"/>
  <c r="F24" i="102"/>
  <c r="AF24" i="102"/>
  <c r="R18" i="91"/>
  <c r="G24" i="102"/>
  <c r="AG24" i="102"/>
  <c r="S18" i="91"/>
  <c r="H24" i="102"/>
  <c r="AH24" i="102"/>
  <c r="T18" i="91"/>
  <c r="I24" i="102"/>
  <c r="AI24" i="102"/>
  <c r="U18" i="91"/>
  <c r="J24" i="102"/>
  <c r="AJ24" i="102"/>
  <c r="V18" i="91"/>
  <c r="K24" i="102"/>
  <c r="AK24" i="102"/>
  <c r="W18" i="91"/>
  <c r="L24" i="102"/>
  <c r="AL24" i="102"/>
  <c r="X18" i="91"/>
  <c r="M24" i="102"/>
  <c r="AM24" i="102"/>
  <c r="I19" i="91"/>
  <c r="G19" i="91"/>
  <c r="N19" i="91"/>
  <c r="C25" i="102"/>
  <c r="AC25" i="102"/>
  <c r="O19" i="91"/>
  <c r="D25" i="102"/>
  <c r="AD25" i="102"/>
  <c r="P19" i="91"/>
  <c r="E25" i="102"/>
  <c r="AE25" i="102"/>
  <c r="Q19" i="91"/>
  <c r="F25" i="102"/>
  <c r="AF25" i="102"/>
  <c r="R19" i="91"/>
  <c r="G25" i="102"/>
  <c r="AG25" i="102"/>
  <c r="S19" i="91"/>
  <c r="H25" i="102"/>
  <c r="AH25" i="102"/>
  <c r="T19" i="91"/>
  <c r="I25" i="102"/>
  <c r="AI25" i="102"/>
  <c r="U19" i="91"/>
  <c r="J25" i="102"/>
  <c r="AJ25" i="102"/>
  <c r="V19" i="91"/>
  <c r="K25" i="102"/>
  <c r="AK25" i="102"/>
  <c r="W19" i="91"/>
  <c r="L25" i="102"/>
  <c r="AL25" i="102"/>
  <c r="X19" i="91"/>
  <c r="M25" i="102"/>
  <c r="AM25" i="102"/>
  <c r="E5" i="102"/>
  <c r="N7" i="99"/>
  <c r="N29" i="91"/>
  <c r="C37" i="102"/>
  <c r="AC37" i="102"/>
  <c r="O28" i="91"/>
  <c r="O29" i="91"/>
  <c r="D37" i="102"/>
  <c r="AD37" i="102"/>
  <c r="P28" i="91"/>
  <c r="P29" i="91"/>
  <c r="E37" i="102"/>
  <c r="AE37" i="102"/>
  <c r="Q28" i="91"/>
  <c r="Q29" i="91"/>
  <c r="F37" i="102"/>
  <c r="AF37" i="102"/>
  <c r="R28" i="91"/>
  <c r="R29" i="91"/>
  <c r="G37" i="102"/>
  <c r="AG37" i="102"/>
  <c r="S28" i="91"/>
  <c r="S29" i="91"/>
  <c r="H37" i="102"/>
  <c r="AH37" i="102"/>
  <c r="T28" i="91"/>
  <c r="T29" i="91"/>
  <c r="I37" i="102"/>
  <c r="AI37" i="102"/>
  <c r="U28" i="91"/>
  <c r="U29" i="91"/>
  <c r="J37" i="102"/>
  <c r="AJ37" i="102"/>
  <c r="V28" i="91"/>
  <c r="V29" i="91"/>
  <c r="K37" i="102"/>
  <c r="AK37" i="102"/>
  <c r="W28" i="91"/>
  <c r="W29" i="91"/>
  <c r="L37" i="102"/>
  <c r="AL37" i="102"/>
  <c r="X28" i="91"/>
  <c r="X29" i="91"/>
  <c r="M37" i="102"/>
  <c r="AM37" i="102"/>
  <c r="N30" i="91"/>
  <c r="C38" i="102"/>
  <c r="AC38" i="102"/>
  <c r="O30" i="91"/>
  <c r="D38" i="102"/>
  <c r="AD38" i="102"/>
  <c r="P30" i="91"/>
  <c r="E38" i="102"/>
  <c r="AE38" i="102"/>
  <c r="Q30" i="91"/>
  <c r="F38" i="102"/>
  <c r="AF38" i="102"/>
  <c r="R30" i="91"/>
  <c r="G38" i="102"/>
  <c r="AG38" i="102"/>
  <c r="S30" i="91"/>
  <c r="H38" i="102"/>
  <c r="AH38" i="102"/>
  <c r="T30" i="91"/>
  <c r="I38" i="102"/>
  <c r="AI38" i="102"/>
  <c r="U30" i="91"/>
  <c r="J38" i="102"/>
  <c r="AJ38" i="102"/>
  <c r="V30" i="91"/>
  <c r="K38" i="102"/>
  <c r="AK38" i="102"/>
  <c r="W30" i="91"/>
  <c r="L38" i="102"/>
  <c r="AL38" i="102"/>
  <c r="X30" i="91"/>
  <c r="M38" i="102"/>
  <c r="AM38" i="102"/>
  <c r="N31" i="91"/>
  <c r="C39" i="102"/>
  <c r="AC39" i="102"/>
  <c r="O31" i="91"/>
  <c r="D39" i="102"/>
  <c r="AD39" i="102"/>
  <c r="P31" i="91"/>
  <c r="E39" i="102"/>
  <c r="AE39" i="102"/>
  <c r="Q31" i="91"/>
  <c r="F39" i="102"/>
  <c r="AF39" i="102"/>
  <c r="R31" i="91"/>
  <c r="G39" i="102"/>
  <c r="AG39" i="102"/>
  <c r="S31" i="91"/>
  <c r="H39" i="102"/>
  <c r="AH39" i="102"/>
  <c r="T31" i="91"/>
  <c r="I39" i="102"/>
  <c r="AI39" i="102"/>
  <c r="U31" i="91"/>
  <c r="J39" i="102"/>
  <c r="AJ39" i="102"/>
  <c r="V31" i="91"/>
  <c r="K39" i="102"/>
  <c r="AK39" i="102"/>
  <c r="W31" i="91"/>
  <c r="L39" i="102"/>
  <c r="AL39" i="102"/>
  <c r="X31" i="91"/>
  <c r="M39" i="102"/>
  <c r="AM39" i="102"/>
  <c r="N32" i="91"/>
  <c r="C40" i="102"/>
  <c r="AC40" i="102"/>
  <c r="O32" i="91"/>
  <c r="D40" i="102"/>
  <c r="AD40" i="102"/>
  <c r="P32" i="91"/>
  <c r="E40" i="102"/>
  <c r="AE40" i="102"/>
  <c r="Q32" i="91"/>
  <c r="F40" i="102"/>
  <c r="AF40" i="102"/>
  <c r="R32" i="91"/>
  <c r="G40" i="102"/>
  <c r="AG40" i="102"/>
  <c r="S32" i="91"/>
  <c r="H40" i="102"/>
  <c r="AH40" i="102"/>
  <c r="T32" i="91"/>
  <c r="I40" i="102"/>
  <c r="AI40" i="102"/>
  <c r="U32" i="91"/>
  <c r="J40" i="102"/>
  <c r="AJ40" i="102"/>
  <c r="V32" i="91"/>
  <c r="K40" i="102"/>
  <c r="AK40" i="102"/>
  <c r="W32" i="91"/>
  <c r="L40" i="102"/>
  <c r="AL40" i="102"/>
  <c r="X32" i="91"/>
  <c r="M40" i="102"/>
  <c r="AM40" i="102"/>
  <c r="N33" i="91"/>
  <c r="C41" i="102"/>
  <c r="AC41" i="102"/>
  <c r="O33" i="91"/>
  <c r="D41" i="102"/>
  <c r="AD41" i="102"/>
  <c r="P33" i="91"/>
  <c r="E41" i="102"/>
  <c r="AE41" i="102"/>
  <c r="Q33" i="91"/>
  <c r="F41" i="102"/>
  <c r="AF41" i="102"/>
  <c r="R33" i="91"/>
  <c r="G41" i="102"/>
  <c r="AG41" i="102"/>
  <c r="S33" i="91"/>
  <c r="H41" i="102"/>
  <c r="AH41" i="102"/>
  <c r="T33" i="91"/>
  <c r="I41" i="102"/>
  <c r="AI41" i="102"/>
  <c r="U33" i="91"/>
  <c r="J41" i="102"/>
  <c r="AJ41" i="102"/>
  <c r="V33" i="91"/>
  <c r="K41" i="102"/>
  <c r="AK41" i="102"/>
  <c r="W33" i="91"/>
  <c r="L41" i="102"/>
  <c r="AL41" i="102"/>
  <c r="X33" i="91"/>
  <c r="M41" i="102"/>
  <c r="AM41" i="102"/>
  <c r="N34" i="91"/>
  <c r="C42" i="102"/>
  <c r="AC42" i="102"/>
  <c r="O34" i="91"/>
  <c r="D42" i="102"/>
  <c r="AD42" i="102"/>
  <c r="P34" i="91"/>
  <c r="E42" i="102"/>
  <c r="AE42" i="102"/>
  <c r="Q34" i="91"/>
  <c r="F42" i="102"/>
  <c r="AF42" i="102"/>
  <c r="R34" i="91"/>
  <c r="G42" i="102"/>
  <c r="AG42" i="102"/>
  <c r="S34" i="91"/>
  <c r="H42" i="102"/>
  <c r="AH42" i="102"/>
  <c r="T34" i="91"/>
  <c r="I42" i="102"/>
  <c r="AI42" i="102"/>
  <c r="U34" i="91"/>
  <c r="J42" i="102"/>
  <c r="AJ42" i="102"/>
  <c r="V34" i="91"/>
  <c r="K42" i="102"/>
  <c r="AK42" i="102"/>
  <c r="W34" i="91"/>
  <c r="L42" i="102"/>
  <c r="AL42" i="102"/>
  <c r="X34" i="91"/>
  <c r="M42" i="102"/>
  <c r="AM42" i="102"/>
  <c r="N35" i="91"/>
  <c r="C43" i="102"/>
  <c r="AC43" i="102"/>
  <c r="O35" i="91"/>
  <c r="D43" i="102"/>
  <c r="AD43" i="102"/>
  <c r="P35" i="91"/>
  <c r="E43" i="102"/>
  <c r="AE43" i="102"/>
  <c r="Q35" i="91"/>
  <c r="F43" i="102"/>
  <c r="AF43" i="102"/>
  <c r="R35" i="91"/>
  <c r="G43" i="102"/>
  <c r="AG43" i="102"/>
  <c r="S35" i="91"/>
  <c r="H43" i="102"/>
  <c r="AH43" i="102"/>
  <c r="T35" i="91"/>
  <c r="I43" i="102"/>
  <c r="AI43" i="102"/>
  <c r="U35" i="91"/>
  <c r="J43" i="102"/>
  <c r="AJ43" i="102"/>
  <c r="V35" i="91"/>
  <c r="K43" i="102"/>
  <c r="AK43" i="102"/>
  <c r="W35" i="91"/>
  <c r="L43" i="102"/>
  <c r="AL43" i="102"/>
  <c r="X35" i="91"/>
  <c r="M43" i="102"/>
  <c r="AM43" i="102"/>
  <c r="N36" i="91"/>
  <c r="C44" i="102"/>
  <c r="AC44" i="102"/>
  <c r="O36" i="91"/>
  <c r="D44" i="102"/>
  <c r="AD44" i="102"/>
  <c r="P36" i="91"/>
  <c r="E44" i="102"/>
  <c r="AE44" i="102"/>
  <c r="Q36" i="91"/>
  <c r="F44" i="102"/>
  <c r="AF44" i="102"/>
  <c r="R36" i="91"/>
  <c r="G44" i="102"/>
  <c r="AG44" i="102"/>
  <c r="S36" i="91"/>
  <c r="H44" i="102"/>
  <c r="AH44" i="102"/>
  <c r="T36" i="91"/>
  <c r="I44" i="102"/>
  <c r="AI44" i="102"/>
  <c r="U36" i="91"/>
  <c r="J44" i="102"/>
  <c r="AJ44" i="102"/>
  <c r="V36" i="91"/>
  <c r="K44" i="102"/>
  <c r="AK44" i="102"/>
  <c r="W36" i="91"/>
  <c r="L44" i="102"/>
  <c r="AL44" i="102"/>
  <c r="X36" i="91"/>
  <c r="M44" i="102"/>
  <c r="AM44" i="102"/>
  <c r="N37" i="91"/>
  <c r="C45" i="102"/>
  <c r="AC45" i="102"/>
  <c r="O37" i="91"/>
  <c r="D45" i="102"/>
  <c r="AD45" i="102"/>
  <c r="P37" i="91"/>
  <c r="E45" i="102"/>
  <c r="AE45" i="102"/>
  <c r="Q37" i="91"/>
  <c r="F45" i="102"/>
  <c r="AF45" i="102"/>
  <c r="R37" i="91"/>
  <c r="G45" i="102"/>
  <c r="AG45" i="102"/>
  <c r="S37" i="91"/>
  <c r="H45" i="102"/>
  <c r="AH45" i="102"/>
  <c r="T37" i="91"/>
  <c r="I45" i="102"/>
  <c r="AI45" i="102"/>
  <c r="U37" i="91"/>
  <c r="J45" i="102"/>
  <c r="AJ45" i="102"/>
  <c r="V37" i="91"/>
  <c r="K45" i="102"/>
  <c r="AK45" i="102"/>
  <c r="W37" i="91"/>
  <c r="L45" i="102"/>
  <c r="AL45" i="102"/>
  <c r="X37" i="91"/>
  <c r="M45" i="102"/>
  <c r="AM45" i="102"/>
  <c r="N38" i="91"/>
  <c r="C46" i="102"/>
  <c r="AC46" i="102"/>
  <c r="O38" i="91"/>
  <c r="D46" i="102"/>
  <c r="AD46" i="102"/>
  <c r="P38" i="91"/>
  <c r="E46" i="102"/>
  <c r="AE46" i="102"/>
  <c r="Q38" i="91"/>
  <c r="F46" i="102"/>
  <c r="AF46" i="102"/>
  <c r="R38" i="91"/>
  <c r="G46" i="102"/>
  <c r="AG46" i="102"/>
  <c r="S38" i="91"/>
  <c r="H46" i="102"/>
  <c r="AH46" i="102"/>
  <c r="T38" i="91"/>
  <c r="I46" i="102"/>
  <c r="AI46" i="102"/>
  <c r="U38" i="91"/>
  <c r="J46" i="102"/>
  <c r="AJ46" i="102"/>
  <c r="V38" i="91"/>
  <c r="K46" i="102"/>
  <c r="AK46" i="102"/>
  <c r="W38" i="91"/>
  <c r="L46" i="102"/>
  <c r="AL46" i="102"/>
  <c r="X38" i="91"/>
  <c r="M46" i="102"/>
  <c r="AM46" i="102"/>
  <c r="N39" i="91"/>
  <c r="C47" i="102"/>
  <c r="AC47" i="102"/>
  <c r="O39" i="91"/>
  <c r="D47" i="102"/>
  <c r="AD47" i="102"/>
  <c r="P39" i="91"/>
  <c r="E47" i="102"/>
  <c r="AE47" i="102"/>
  <c r="Q39" i="91"/>
  <c r="F47" i="102"/>
  <c r="AF47" i="102"/>
  <c r="R39" i="91"/>
  <c r="G47" i="102"/>
  <c r="AG47" i="102"/>
  <c r="S39" i="91"/>
  <c r="H47" i="102"/>
  <c r="AH47" i="102"/>
  <c r="T39" i="91"/>
  <c r="I47" i="102"/>
  <c r="AI47" i="102"/>
  <c r="U39" i="91"/>
  <c r="J47" i="102"/>
  <c r="AJ47" i="102"/>
  <c r="V39" i="91"/>
  <c r="K47" i="102"/>
  <c r="AK47" i="102"/>
  <c r="W39" i="91"/>
  <c r="L47" i="102"/>
  <c r="AL47" i="102"/>
  <c r="X39" i="91"/>
  <c r="M47" i="102"/>
  <c r="AM47" i="102"/>
  <c r="N40" i="91"/>
  <c r="C48" i="102"/>
  <c r="AC48" i="102"/>
  <c r="O40" i="91"/>
  <c r="D48" i="102"/>
  <c r="AD48" i="102"/>
  <c r="P40" i="91"/>
  <c r="E48" i="102"/>
  <c r="AE48" i="102"/>
  <c r="Q40" i="91"/>
  <c r="F48" i="102"/>
  <c r="AF48" i="102"/>
  <c r="R40" i="91"/>
  <c r="G48" i="102"/>
  <c r="AG48" i="102"/>
  <c r="S40" i="91"/>
  <c r="H48" i="102"/>
  <c r="AH48" i="102"/>
  <c r="T40" i="91"/>
  <c r="I48" i="102"/>
  <c r="AI48" i="102"/>
  <c r="U40" i="91"/>
  <c r="J48" i="102"/>
  <c r="AJ48" i="102"/>
  <c r="V40" i="91"/>
  <c r="K48" i="102"/>
  <c r="AK48" i="102"/>
  <c r="W40" i="91"/>
  <c r="L48" i="102"/>
  <c r="AL48" i="102"/>
  <c r="X40" i="91"/>
  <c r="M48" i="102"/>
  <c r="AM48" i="102"/>
  <c r="N41" i="91"/>
  <c r="C49" i="102"/>
  <c r="AC49" i="102"/>
  <c r="O41" i="91"/>
  <c r="D49" i="102"/>
  <c r="AD49" i="102"/>
  <c r="P41" i="91"/>
  <c r="E49" i="102"/>
  <c r="AE49" i="102"/>
  <c r="Q41" i="91"/>
  <c r="F49" i="102"/>
  <c r="AF49" i="102"/>
  <c r="R41" i="91"/>
  <c r="G49" i="102"/>
  <c r="AG49" i="102"/>
  <c r="S41" i="91"/>
  <c r="H49" i="102"/>
  <c r="AH49" i="102"/>
  <c r="T41" i="91"/>
  <c r="I49" i="102"/>
  <c r="AI49" i="102"/>
  <c r="U41" i="91"/>
  <c r="J49" i="102"/>
  <c r="AJ49" i="102"/>
  <c r="V41" i="91"/>
  <c r="K49" i="102"/>
  <c r="AK49" i="102"/>
  <c r="W41" i="91"/>
  <c r="L49" i="102"/>
  <c r="AL49" i="102"/>
  <c r="X41" i="91"/>
  <c r="M49" i="102"/>
  <c r="AM49" i="102"/>
  <c r="N42" i="91"/>
  <c r="C50" i="102"/>
  <c r="AC50" i="102"/>
  <c r="O42" i="91"/>
  <c r="D50" i="102"/>
  <c r="AD50" i="102"/>
  <c r="P42" i="91"/>
  <c r="E50" i="102"/>
  <c r="AE50" i="102"/>
  <c r="Q42" i="91"/>
  <c r="F50" i="102"/>
  <c r="AF50" i="102"/>
  <c r="R42" i="91"/>
  <c r="G50" i="102"/>
  <c r="AG50" i="102"/>
  <c r="S42" i="91"/>
  <c r="H50" i="102"/>
  <c r="AH50" i="102"/>
  <c r="T42" i="91"/>
  <c r="I50" i="102"/>
  <c r="AI50" i="102"/>
  <c r="U42" i="91"/>
  <c r="J50" i="102"/>
  <c r="AJ50" i="102"/>
  <c r="V42" i="91"/>
  <c r="K50" i="102"/>
  <c r="AK50" i="102"/>
  <c r="W42" i="91"/>
  <c r="L50" i="102"/>
  <c r="AL50" i="102"/>
  <c r="X42" i="91"/>
  <c r="M50" i="102"/>
  <c r="AM50" i="102"/>
  <c r="N43" i="91"/>
  <c r="C51" i="102"/>
  <c r="AC51" i="102"/>
  <c r="O43" i="91"/>
  <c r="D51" i="102"/>
  <c r="AD51" i="102"/>
  <c r="P43" i="91"/>
  <c r="E51" i="102"/>
  <c r="AE51" i="102"/>
  <c r="Q43" i="91"/>
  <c r="F51" i="102"/>
  <c r="AF51" i="102"/>
  <c r="R43" i="91"/>
  <c r="G51" i="102"/>
  <c r="AG51" i="102"/>
  <c r="S43" i="91"/>
  <c r="H51" i="102"/>
  <c r="AH51" i="102"/>
  <c r="T43" i="91"/>
  <c r="I51" i="102"/>
  <c r="AI51" i="102"/>
  <c r="U43" i="91"/>
  <c r="J51" i="102"/>
  <c r="AJ51" i="102"/>
  <c r="V43" i="91"/>
  <c r="K51" i="102"/>
  <c r="AK51" i="102"/>
  <c r="W43" i="91"/>
  <c r="L51" i="102"/>
  <c r="AL51" i="102"/>
  <c r="X43" i="91"/>
  <c r="M51" i="102"/>
  <c r="AM51" i="102"/>
  <c r="N44" i="91"/>
  <c r="C52" i="102"/>
  <c r="AC52" i="102"/>
  <c r="O44" i="91"/>
  <c r="D52" i="102"/>
  <c r="AD52" i="102"/>
  <c r="P44" i="91"/>
  <c r="E52" i="102"/>
  <c r="AE52" i="102"/>
  <c r="Q44" i="91"/>
  <c r="F52" i="102"/>
  <c r="AF52" i="102"/>
  <c r="R44" i="91"/>
  <c r="G52" i="102"/>
  <c r="AG52" i="102"/>
  <c r="S44" i="91"/>
  <c r="H52" i="102"/>
  <c r="AH52" i="102"/>
  <c r="T44" i="91"/>
  <c r="I52" i="102"/>
  <c r="AI52" i="102"/>
  <c r="U44" i="91"/>
  <c r="J52" i="102"/>
  <c r="AJ52" i="102"/>
  <c r="V44" i="91"/>
  <c r="K52" i="102"/>
  <c r="AK52" i="102"/>
  <c r="W44" i="91"/>
  <c r="L52" i="102"/>
  <c r="AL52" i="102"/>
  <c r="X44" i="91"/>
  <c r="M52" i="102"/>
  <c r="AM52" i="102"/>
  <c r="E32" i="102"/>
  <c r="N8" i="99"/>
  <c r="AH4" i="91"/>
  <c r="C64" i="102"/>
  <c r="AC64" i="102"/>
  <c r="AI3" i="91"/>
  <c r="AI4" i="91"/>
  <c r="D64" i="102"/>
  <c r="AD64" i="102"/>
  <c r="AJ3" i="91"/>
  <c r="AJ4" i="91"/>
  <c r="E64" i="102"/>
  <c r="AE64" i="102"/>
  <c r="AK3" i="91"/>
  <c r="AK4" i="91"/>
  <c r="F64" i="102"/>
  <c r="AF64" i="102"/>
  <c r="AL3" i="91"/>
  <c r="AL4" i="91"/>
  <c r="G64" i="102"/>
  <c r="AG64" i="102"/>
  <c r="AM3" i="91"/>
  <c r="AM4" i="91"/>
  <c r="H64" i="102"/>
  <c r="AH64" i="102"/>
  <c r="AN3" i="91"/>
  <c r="AN4" i="91"/>
  <c r="I64" i="102"/>
  <c r="AI64" i="102"/>
  <c r="AO3" i="91"/>
  <c r="AO4" i="91"/>
  <c r="J64" i="102"/>
  <c r="AJ64" i="102"/>
  <c r="AP3" i="91"/>
  <c r="AP4" i="91"/>
  <c r="K64" i="102"/>
  <c r="AK64" i="102"/>
  <c r="AQ3" i="91"/>
  <c r="AQ4" i="91"/>
  <c r="L64" i="102"/>
  <c r="AL64" i="102"/>
  <c r="AR3" i="91"/>
  <c r="AR4" i="91"/>
  <c r="M64" i="102"/>
  <c r="AM64" i="102"/>
  <c r="AH5" i="91"/>
  <c r="C65" i="102"/>
  <c r="AC65" i="102"/>
  <c r="AI5" i="91"/>
  <c r="D65" i="102"/>
  <c r="AD65" i="102"/>
  <c r="AJ5" i="91"/>
  <c r="E65" i="102"/>
  <c r="AE65" i="102"/>
  <c r="AK5" i="91"/>
  <c r="F65" i="102"/>
  <c r="AF65" i="102"/>
  <c r="AL5" i="91"/>
  <c r="G65" i="102"/>
  <c r="AG65" i="102"/>
  <c r="AM5" i="91"/>
  <c r="H65" i="102"/>
  <c r="AH65" i="102"/>
  <c r="AN5" i="91"/>
  <c r="I65" i="102"/>
  <c r="AI65" i="102"/>
  <c r="AO5" i="91"/>
  <c r="J65" i="102"/>
  <c r="AJ65" i="102"/>
  <c r="AP5" i="91"/>
  <c r="K65" i="102"/>
  <c r="AK65" i="102"/>
  <c r="AQ5" i="91"/>
  <c r="L65" i="102"/>
  <c r="AL65" i="102"/>
  <c r="AR5" i="91"/>
  <c r="M65" i="102"/>
  <c r="AM65" i="102"/>
  <c r="AH6" i="91"/>
  <c r="C66" i="102"/>
  <c r="AC66" i="102"/>
  <c r="AI6" i="91"/>
  <c r="D66" i="102"/>
  <c r="AD66" i="102"/>
  <c r="AJ6" i="91"/>
  <c r="E66" i="102"/>
  <c r="AE66" i="102"/>
  <c r="AK6" i="91"/>
  <c r="F66" i="102"/>
  <c r="AF66" i="102"/>
  <c r="AL6" i="91"/>
  <c r="G66" i="102"/>
  <c r="AG66" i="102"/>
  <c r="AM6" i="91"/>
  <c r="H66" i="102"/>
  <c r="AH66" i="102"/>
  <c r="AN6" i="91"/>
  <c r="I66" i="102"/>
  <c r="AI66" i="102"/>
  <c r="AO6" i="91"/>
  <c r="J66" i="102"/>
  <c r="AJ66" i="102"/>
  <c r="AP6" i="91"/>
  <c r="K66" i="102"/>
  <c r="AK66" i="102"/>
  <c r="AQ6" i="91"/>
  <c r="L66" i="102"/>
  <c r="AL66" i="102"/>
  <c r="AR6" i="91"/>
  <c r="M66" i="102"/>
  <c r="AM66" i="102"/>
  <c r="AH7" i="91"/>
  <c r="C67" i="102"/>
  <c r="AC67" i="102"/>
  <c r="AI7" i="91"/>
  <c r="D67" i="102"/>
  <c r="AD67" i="102"/>
  <c r="AJ7" i="91"/>
  <c r="E67" i="102"/>
  <c r="AE67" i="102"/>
  <c r="AK7" i="91"/>
  <c r="F67" i="102"/>
  <c r="AF67" i="102"/>
  <c r="AL7" i="91"/>
  <c r="G67" i="102"/>
  <c r="AG67" i="102"/>
  <c r="AM7" i="91"/>
  <c r="H67" i="102"/>
  <c r="AH67" i="102"/>
  <c r="AN7" i="91"/>
  <c r="I67" i="102"/>
  <c r="AI67" i="102"/>
  <c r="AO7" i="91"/>
  <c r="J67" i="102"/>
  <c r="AJ67" i="102"/>
  <c r="AP7" i="91"/>
  <c r="K67" i="102"/>
  <c r="AK67" i="102"/>
  <c r="AQ7" i="91"/>
  <c r="L67" i="102"/>
  <c r="AL67" i="102"/>
  <c r="AR7" i="91"/>
  <c r="M67" i="102"/>
  <c r="AM67" i="102"/>
  <c r="AH8" i="91"/>
  <c r="C68" i="102"/>
  <c r="AC68" i="102"/>
  <c r="AI8" i="91"/>
  <c r="D68" i="102"/>
  <c r="AD68" i="102"/>
  <c r="AJ8" i="91"/>
  <c r="E68" i="102"/>
  <c r="AE68" i="102"/>
  <c r="AK8" i="91"/>
  <c r="F68" i="102"/>
  <c r="AF68" i="102"/>
  <c r="AL8" i="91"/>
  <c r="G68" i="102"/>
  <c r="AG68" i="102"/>
  <c r="AM8" i="91"/>
  <c r="H68" i="102"/>
  <c r="AH68" i="102"/>
  <c r="AN8" i="91"/>
  <c r="I68" i="102"/>
  <c r="AI68" i="102"/>
  <c r="AO8" i="91"/>
  <c r="J68" i="102"/>
  <c r="AJ68" i="102"/>
  <c r="AP8" i="91"/>
  <c r="K68" i="102"/>
  <c r="AK68" i="102"/>
  <c r="AQ8" i="91"/>
  <c r="L68" i="102"/>
  <c r="AL68" i="102"/>
  <c r="AR8" i="91"/>
  <c r="M68" i="102"/>
  <c r="AM68" i="102"/>
  <c r="AH9" i="91"/>
  <c r="C69" i="102"/>
  <c r="AC69" i="102"/>
  <c r="AI9" i="91"/>
  <c r="D69" i="102"/>
  <c r="AD69" i="102"/>
  <c r="AJ9" i="91"/>
  <c r="E69" i="102"/>
  <c r="AE69" i="102"/>
  <c r="AK9" i="91"/>
  <c r="F69" i="102"/>
  <c r="AF69" i="102"/>
  <c r="AL9" i="91"/>
  <c r="G69" i="102"/>
  <c r="AG69" i="102"/>
  <c r="AM9" i="91"/>
  <c r="H69" i="102"/>
  <c r="AH69" i="102"/>
  <c r="AN9" i="91"/>
  <c r="I69" i="102"/>
  <c r="AI69" i="102"/>
  <c r="AO9" i="91"/>
  <c r="J69" i="102"/>
  <c r="AJ69" i="102"/>
  <c r="AP9" i="91"/>
  <c r="K69" i="102"/>
  <c r="AK69" i="102"/>
  <c r="AQ9" i="91"/>
  <c r="L69" i="102"/>
  <c r="AL69" i="102"/>
  <c r="AR9" i="91"/>
  <c r="M69" i="102"/>
  <c r="AM69" i="102"/>
  <c r="AH10" i="91"/>
  <c r="C70" i="102"/>
  <c r="AC70" i="102"/>
  <c r="AI10" i="91"/>
  <c r="D70" i="102"/>
  <c r="AD70" i="102"/>
  <c r="AJ10" i="91"/>
  <c r="E70" i="102"/>
  <c r="AE70" i="102"/>
  <c r="AK10" i="91"/>
  <c r="F70" i="102"/>
  <c r="AF70" i="102"/>
  <c r="AL10" i="91"/>
  <c r="G70" i="102"/>
  <c r="AG70" i="102"/>
  <c r="AM10" i="91"/>
  <c r="H70" i="102"/>
  <c r="AH70" i="102"/>
  <c r="AN10" i="91"/>
  <c r="I70" i="102"/>
  <c r="AI70" i="102"/>
  <c r="AO10" i="91"/>
  <c r="J70" i="102"/>
  <c r="AJ70" i="102"/>
  <c r="AP10" i="91"/>
  <c r="K70" i="102"/>
  <c r="AK70" i="102"/>
  <c r="AQ10" i="91"/>
  <c r="L70" i="102"/>
  <c r="AL70" i="102"/>
  <c r="AR10" i="91"/>
  <c r="M70" i="102"/>
  <c r="AM70" i="102"/>
  <c r="AH11" i="91"/>
  <c r="C71" i="102"/>
  <c r="AC71" i="102"/>
  <c r="AI11" i="91"/>
  <c r="D71" i="102"/>
  <c r="AD71" i="102"/>
  <c r="AJ11" i="91"/>
  <c r="E71" i="102"/>
  <c r="AE71" i="102"/>
  <c r="AK11" i="91"/>
  <c r="F71" i="102"/>
  <c r="AF71" i="102"/>
  <c r="AL11" i="91"/>
  <c r="G71" i="102"/>
  <c r="AG71" i="102"/>
  <c r="AM11" i="91"/>
  <c r="H71" i="102"/>
  <c r="AH71" i="102"/>
  <c r="AN11" i="91"/>
  <c r="I71" i="102"/>
  <c r="AI71" i="102"/>
  <c r="AO11" i="91"/>
  <c r="J71" i="102"/>
  <c r="AJ71" i="102"/>
  <c r="AP11" i="91"/>
  <c r="K71" i="102"/>
  <c r="AK71" i="102"/>
  <c r="AQ11" i="91"/>
  <c r="L71" i="102"/>
  <c r="AL71" i="102"/>
  <c r="AR11" i="91"/>
  <c r="M71" i="102"/>
  <c r="AM71" i="102"/>
  <c r="AH12" i="91"/>
  <c r="C72" i="102"/>
  <c r="AC72" i="102"/>
  <c r="AI12" i="91"/>
  <c r="D72" i="102"/>
  <c r="AD72" i="102"/>
  <c r="AJ12" i="91"/>
  <c r="E72" i="102"/>
  <c r="AE72" i="102"/>
  <c r="AK12" i="91"/>
  <c r="F72" i="102"/>
  <c r="AF72" i="102"/>
  <c r="AL12" i="91"/>
  <c r="G72" i="102"/>
  <c r="AG72" i="102"/>
  <c r="AM12" i="91"/>
  <c r="H72" i="102"/>
  <c r="AH72" i="102"/>
  <c r="AN12" i="91"/>
  <c r="I72" i="102"/>
  <c r="AI72" i="102"/>
  <c r="AO12" i="91"/>
  <c r="J72" i="102"/>
  <c r="AJ72" i="102"/>
  <c r="AP12" i="91"/>
  <c r="K72" i="102"/>
  <c r="AK72" i="102"/>
  <c r="AQ12" i="91"/>
  <c r="L72" i="102"/>
  <c r="AL72" i="102"/>
  <c r="AR12" i="91"/>
  <c r="M72" i="102"/>
  <c r="AM72" i="102"/>
  <c r="AH13" i="91"/>
  <c r="C73" i="102"/>
  <c r="AC73" i="102"/>
  <c r="AI13" i="91"/>
  <c r="D73" i="102"/>
  <c r="AD73" i="102"/>
  <c r="AJ13" i="91"/>
  <c r="E73" i="102"/>
  <c r="AE73" i="102"/>
  <c r="AK13" i="91"/>
  <c r="F73" i="102"/>
  <c r="AF73" i="102"/>
  <c r="AL13" i="91"/>
  <c r="G73" i="102"/>
  <c r="AG73" i="102"/>
  <c r="AM13" i="91"/>
  <c r="H73" i="102"/>
  <c r="AH73" i="102"/>
  <c r="AN13" i="91"/>
  <c r="I73" i="102"/>
  <c r="AI73" i="102"/>
  <c r="AO13" i="91"/>
  <c r="J73" i="102"/>
  <c r="AJ73" i="102"/>
  <c r="AP13" i="91"/>
  <c r="K73" i="102"/>
  <c r="AK73" i="102"/>
  <c r="AQ13" i="91"/>
  <c r="L73" i="102"/>
  <c r="AL73" i="102"/>
  <c r="AR13" i="91"/>
  <c r="M73" i="102"/>
  <c r="AM73" i="102"/>
  <c r="AH14" i="91"/>
  <c r="C74" i="102"/>
  <c r="AC74" i="102"/>
  <c r="AI14" i="91"/>
  <c r="D74" i="102"/>
  <c r="AD74" i="102"/>
  <c r="AJ14" i="91"/>
  <c r="E74" i="102"/>
  <c r="AE74" i="102"/>
  <c r="AK14" i="91"/>
  <c r="F74" i="102"/>
  <c r="AF74" i="102"/>
  <c r="AL14" i="91"/>
  <c r="G74" i="102"/>
  <c r="AG74" i="102"/>
  <c r="AM14" i="91"/>
  <c r="H74" i="102"/>
  <c r="AH74" i="102"/>
  <c r="AN14" i="91"/>
  <c r="I74" i="102"/>
  <c r="AI74" i="102"/>
  <c r="AO14" i="91"/>
  <c r="J74" i="102"/>
  <c r="AJ74" i="102"/>
  <c r="AP14" i="91"/>
  <c r="K74" i="102"/>
  <c r="AK74" i="102"/>
  <c r="AQ14" i="91"/>
  <c r="L74" i="102"/>
  <c r="AL74" i="102"/>
  <c r="AR14" i="91"/>
  <c r="M74" i="102"/>
  <c r="AM74" i="102"/>
  <c r="AH15" i="91"/>
  <c r="C75" i="102"/>
  <c r="AC75" i="102"/>
  <c r="AI15" i="91"/>
  <c r="D75" i="102"/>
  <c r="AD75" i="102"/>
  <c r="AJ15" i="91"/>
  <c r="E75" i="102"/>
  <c r="AE75" i="102"/>
  <c r="AK15" i="91"/>
  <c r="F75" i="102"/>
  <c r="AF75" i="102"/>
  <c r="AL15" i="91"/>
  <c r="G75" i="102"/>
  <c r="AG75" i="102"/>
  <c r="AM15" i="91"/>
  <c r="H75" i="102"/>
  <c r="AH75" i="102"/>
  <c r="AN15" i="91"/>
  <c r="I75" i="102"/>
  <c r="AI75" i="102"/>
  <c r="AO15" i="91"/>
  <c r="J75" i="102"/>
  <c r="AJ75" i="102"/>
  <c r="AP15" i="91"/>
  <c r="K75" i="102"/>
  <c r="AK75" i="102"/>
  <c r="AQ15" i="91"/>
  <c r="L75" i="102"/>
  <c r="AL75" i="102"/>
  <c r="AR15" i="91"/>
  <c r="M75" i="102"/>
  <c r="AM75" i="102"/>
  <c r="AH16" i="91"/>
  <c r="C76" i="102"/>
  <c r="AC76" i="102"/>
  <c r="AI16" i="91"/>
  <c r="D76" i="102"/>
  <c r="AD76" i="102"/>
  <c r="AJ16" i="91"/>
  <c r="E76" i="102"/>
  <c r="AE76" i="102"/>
  <c r="AK16" i="91"/>
  <c r="F76" i="102"/>
  <c r="AF76" i="102"/>
  <c r="AL16" i="91"/>
  <c r="G76" i="102"/>
  <c r="AG76" i="102"/>
  <c r="AM16" i="91"/>
  <c r="H76" i="102"/>
  <c r="AH76" i="102"/>
  <c r="AN16" i="91"/>
  <c r="I76" i="102"/>
  <c r="AI76" i="102"/>
  <c r="AO16" i="91"/>
  <c r="J76" i="102"/>
  <c r="AJ76" i="102"/>
  <c r="AP16" i="91"/>
  <c r="K76" i="102"/>
  <c r="AK76" i="102"/>
  <c r="AQ16" i="91"/>
  <c r="L76" i="102"/>
  <c r="AL76" i="102"/>
  <c r="AR16" i="91"/>
  <c r="M76" i="102"/>
  <c r="AM76" i="102"/>
  <c r="AH17" i="91"/>
  <c r="C77" i="102"/>
  <c r="AC77" i="102"/>
  <c r="AI17" i="91"/>
  <c r="D77" i="102"/>
  <c r="AD77" i="102"/>
  <c r="AJ17" i="91"/>
  <c r="E77" i="102"/>
  <c r="AE77" i="102"/>
  <c r="AK17" i="91"/>
  <c r="F77" i="102"/>
  <c r="AF77" i="102"/>
  <c r="AL17" i="91"/>
  <c r="G77" i="102"/>
  <c r="AG77" i="102"/>
  <c r="AM17" i="91"/>
  <c r="H77" i="102"/>
  <c r="AH77" i="102"/>
  <c r="AN17" i="91"/>
  <c r="I77" i="102"/>
  <c r="AI77" i="102"/>
  <c r="AO17" i="91"/>
  <c r="J77" i="102"/>
  <c r="AJ77" i="102"/>
  <c r="AP17" i="91"/>
  <c r="K77" i="102"/>
  <c r="AK77" i="102"/>
  <c r="AQ17" i="91"/>
  <c r="L77" i="102"/>
  <c r="AL77" i="102"/>
  <c r="AR17" i="91"/>
  <c r="M77" i="102"/>
  <c r="AM77" i="102"/>
  <c r="AH18" i="91"/>
  <c r="C78" i="102"/>
  <c r="AC78" i="102"/>
  <c r="AI18" i="91"/>
  <c r="D78" i="102"/>
  <c r="AD78" i="102"/>
  <c r="AJ18" i="91"/>
  <c r="E78" i="102"/>
  <c r="AE78" i="102"/>
  <c r="AK18" i="91"/>
  <c r="F78" i="102"/>
  <c r="AF78" i="102"/>
  <c r="AL18" i="91"/>
  <c r="G78" i="102"/>
  <c r="AG78" i="102"/>
  <c r="AM18" i="91"/>
  <c r="H78" i="102"/>
  <c r="AH78" i="102"/>
  <c r="AN18" i="91"/>
  <c r="I78" i="102"/>
  <c r="AI78" i="102"/>
  <c r="AO18" i="91"/>
  <c r="J78" i="102"/>
  <c r="AJ78" i="102"/>
  <c r="AP18" i="91"/>
  <c r="K78" i="102"/>
  <c r="AK78" i="102"/>
  <c r="AQ18" i="91"/>
  <c r="L78" i="102"/>
  <c r="AL78" i="102"/>
  <c r="AR18" i="91"/>
  <c r="M78" i="102"/>
  <c r="AM78" i="102"/>
  <c r="AH19" i="91"/>
  <c r="C79" i="102"/>
  <c r="AC79" i="102"/>
  <c r="AI19" i="91"/>
  <c r="D79" i="102"/>
  <c r="AD79" i="102"/>
  <c r="AJ19" i="91"/>
  <c r="E79" i="102"/>
  <c r="AE79" i="102"/>
  <c r="AK19" i="91"/>
  <c r="F79" i="102"/>
  <c r="AF79" i="102"/>
  <c r="AL19" i="91"/>
  <c r="G79" i="102"/>
  <c r="AG79" i="102"/>
  <c r="AM19" i="91"/>
  <c r="H79" i="102"/>
  <c r="AH79" i="102"/>
  <c r="AN19" i="91"/>
  <c r="I79" i="102"/>
  <c r="AI79" i="102"/>
  <c r="AO19" i="91"/>
  <c r="J79" i="102"/>
  <c r="AJ79" i="102"/>
  <c r="AP19" i="91"/>
  <c r="K79" i="102"/>
  <c r="AK79" i="102"/>
  <c r="AQ19" i="91"/>
  <c r="L79" i="102"/>
  <c r="AL79" i="102"/>
  <c r="AR19" i="91"/>
  <c r="M79" i="102"/>
  <c r="AM79" i="102"/>
  <c r="E59" i="102"/>
  <c r="N11" i="99"/>
  <c r="AA4" i="91"/>
  <c r="AC4" i="91"/>
  <c r="AH29" i="91"/>
  <c r="C91" i="102"/>
  <c r="AC91" i="102"/>
  <c r="AI28" i="91"/>
  <c r="AI29" i="91"/>
  <c r="D91" i="102"/>
  <c r="AD91" i="102"/>
  <c r="AJ28" i="91"/>
  <c r="AJ29" i="91"/>
  <c r="E91" i="102"/>
  <c r="AE91" i="102"/>
  <c r="AK28" i="91"/>
  <c r="AK29" i="91"/>
  <c r="F91" i="102"/>
  <c r="AF91" i="102"/>
  <c r="AL28" i="91"/>
  <c r="AL29" i="91"/>
  <c r="G91" i="102"/>
  <c r="AG91" i="102"/>
  <c r="AM28" i="91"/>
  <c r="AM29" i="91"/>
  <c r="H91" i="102"/>
  <c r="AH91" i="102"/>
  <c r="AN28" i="91"/>
  <c r="AN29" i="91"/>
  <c r="I91" i="102"/>
  <c r="AI91" i="102"/>
  <c r="AO28" i="91"/>
  <c r="AO29" i="91"/>
  <c r="J91" i="102"/>
  <c r="AJ91" i="102"/>
  <c r="AP28" i="91"/>
  <c r="AP29" i="91"/>
  <c r="K91" i="102"/>
  <c r="AK91" i="102"/>
  <c r="AQ28" i="91"/>
  <c r="AQ29" i="91"/>
  <c r="L91" i="102"/>
  <c r="AL91" i="102"/>
  <c r="AR28" i="91"/>
  <c r="AR29" i="91"/>
  <c r="M91" i="102"/>
  <c r="AM91" i="102"/>
  <c r="AA5" i="91"/>
  <c r="AC5" i="91"/>
  <c r="AH30" i="91"/>
  <c r="C92" i="102"/>
  <c r="AC92" i="102"/>
  <c r="AI30" i="91"/>
  <c r="D92" i="102"/>
  <c r="AD92" i="102"/>
  <c r="AJ30" i="91"/>
  <c r="E92" i="102"/>
  <c r="AE92" i="102"/>
  <c r="AK30" i="91"/>
  <c r="F92" i="102"/>
  <c r="AF92" i="102"/>
  <c r="AL30" i="91"/>
  <c r="G92" i="102"/>
  <c r="AG92" i="102"/>
  <c r="AM30" i="91"/>
  <c r="H92" i="102"/>
  <c r="AH92" i="102"/>
  <c r="AN30" i="91"/>
  <c r="I92" i="102"/>
  <c r="AI92" i="102"/>
  <c r="AO30" i="91"/>
  <c r="J92" i="102"/>
  <c r="AJ92" i="102"/>
  <c r="AP30" i="91"/>
  <c r="K92" i="102"/>
  <c r="AK92" i="102"/>
  <c r="AQ30" i="91"/>
  <c r="L92" i="102"/>
  <c r="AL92" i="102"/>
  <c r="AR30" i="91"/>
  <c r="M92" i="102"/>
  <c r="AM92" i="102"/>
  <c r="AA6" i="91"/>
  <c r="AC6" i="91"/>
  <c r="AH31" i="91"/>
  <c r="C93" i="102"/>
  <c r="AC93" i="102"/>
  <c r="AI31" i="91"/>
  <c r="D93" i="102"/>
  <c r="AD93" i="102"/>
  <c r="AJ31" i="91"/>
  <c r="E93" i="102"/>
  <c r="AE93" i="102"/>
  <c r="AK31" i="91"/>
  <c r="F93" i="102"/>
  <c r="AF93" i="102"/>
  <c r="AL31" i="91"/>
  <c r="G93" i="102"/>
  <c r="AG93" i="102"/>
  <c r="AM31" i="91"/>
  <c r="H93" i="102"/>
  <c r="AH93" i="102"/>
  <c r="AN31" i="91"/>
  <c r="I93" i="102"/>
  <c r="AI93" i="102"/>
  <c r="AO31" i="91"/>
  <c r="J93" i="102"/>
  <c r="AJ93" i="102"/>
  <c r="AP31" i="91"/>
  <c r="K93" i="102"/>
  <c r="AK93" i="102"/>
  <c r="AQ31" i="91"/>
  <c r="L93" i="102"/>
  <c r="AL93" i="102"/>
  <c r="AR31" i="91"/>
  <c r="M93" i="102"/>
  <c r="AM93" i="102"/>
  <c r="AA7" i="91"/>
  <c r="AC7" i="91"/>
  <c r="AH32" i="91"/>
  <c r="C94" i="102"/>
  <c r="AC94" i="102"/>
  <c r="AI32" i="91"/>
  <c r="D94" i="102"/>
  <c r="AD94" i="102"/>
  <c r="AJ32" i="91"/>
  <c r="E94" i="102"/>
  <c r="AE94" i="102"/>
  <c r="AK32" i="91"/>
  <c r="F94" i="102"/>
  <c r="AF94" i="102"/>
  <c r="AL32" i="91"/>
  <c r="G94" i="102"/>
  <c r="AG94" i="102"/>
  <c r="AM32" i="91"/>
  <c r="H94" i="102"/>
  <c r="AH94" i="102"/>
  <c r="AN32" i="91"/>
  <c r="I94" i="102"/>
  <c r="AI94" i="102"/>
  <c r="AO32" i="91"/>
  <c r="J94" i="102"/>
  <c r="AJ94" i="102"/>
  <c r="AP32" i="91"/>
  <c r="K94" i="102"/>
  <c r="AK94" i="102"/>
  <c r="AQ32" i="91"/>
  <c r="L94" i="102"/>
  <c r="AL94" i="102"/>
  <c r="AR32" i="91"/>
  <c r="M94" i="102"/>
  <c r="AM94" i="102"/>
  <c r="AA8" i="91"/>
  <c r="AC8" i="91"/>
  <c r="AH33" i="91"/>
  <c r="C95" i="102"/>
  <c r="AC95" i="102"/>
  <c r="AI33" i="91"/>
  <c r="D95" i="102"/>
  <c r="AD95" i="102"/>
  <c r="AJ33" i="91"/>
  <c r="E95" i="102"/>
  <c r="AE95" i="102"/>
  <c r="AK33" i="91"/>
  <c r="F95" i="102"/>
  <c r="AF95" i="102"/>
  <c r="AL33" i="91"/>
  <c r="G95" i="102"/>
  <c r="AG95" i="102"/>
  <c r="AM33" i="91"/>
  <c r="H95" i="102"/>
  <c r="AH95" i="102"/>
  <c r="AN33" i="91"/>
  <c r="I95" i="102"/>
  <c r="AI95" i="102"/>
  <c r="AO33" i="91"/>
  <c r="J95" i="102"/>
  <c r="AJ95" i="102"/>
  <c r="AP33" i="91"/>
  <c r="K95" i="102"/>
  <c r="AK95" i="102"/>
  <c r="AQ33" i="91"/>
  <c r="L95" i="102"/>
  <c r="AL95" i="102"/>
  <c r="AR33" i="91"/>
  <c r="M95" i="102"/>
  <c r="AM95" i="102"/>
  <c r="AA9" i="91"/>
  <c r="AC9" i="91"/>
  <c r="AH34" i="91"/>
  <c r="C96" i="102"/>
  <c r="AC96" i="102"/>
  <c r="AI34" i="91"/>
  <c r="D96" i="102"/>
  <c r="AD96" i="102"/>
  <c r="AJ34" i="91"/>
  <c r="E96" i="102"/>
  <c r="AE96" i="102"/>
  <c r="AK34" i="91"/>
  <c r="F96" i="102"/>
  <c r="AF96" i="102"/>
  <c r="AL34" i="91"/>
  <c r="G96" i="102"/>
  <c r="AG96" i="102"/>
  <c r="AM34" i="91"/>
  <c r="H96" i="102"/>
  <c r="AH96" i="102"/>
  <c r="AN34" i="91"/>
  <c r="I96" i="102"/>
  <c r="AI96" i="102"/>
  <c r="AO34" i="91"/>
  <c r="J96" i="102"/>
  <c r="AJ96" i="102"/>
  <c r="AP34" i="91"/>
  <c r="K96" i="102"/>
  <c r="AK96" i="102"/>
  <c r="AQ34" i="91"/>
  <c r="L96" i="102"/>
  <c r="AL96" i="102"/>
  <c r="AR34" i="91"/>
  <c r="M96" i="102"/>
  <c r="AM96" i="102"/>
  <c r="AA10" i="91"/>
  <c r="AC10" i="91"/>
  <c r="AH35" i="91"/>
  <c r="C97" i="102"/>
  <c r="AC97" i="102"/>
  <c r="AI35" i="91"/>
  <c r="D97" i="102"/>
  <c r="AD97" i="102"/>
  <c r="AJ35" i="91"/>
  <c r="E97" i="102"/>
  <c r="AE97" i="102"/>
  <c r="AK35" i="91"/>
  <c r="F97" i="102"/>
  <c r="AF97" i="102"/>
  <c r="AL35" i="91"/>
  <c r="G97" i="102"/>
  <c r="AG97" i="102"/>
  <c r="AM35" i="91"/>
  <c r="H97" i="102"/>
  <c r="AH97" i="102"/>
  <c r="AN35" i="91"/>
  <c r="I97" i="102"/>
  <c r="AI97" i="102"/>
  <c r="AO35" i="91"/>
  <c r="J97" i="102"/>
  <c r="AJ97" i="102"/>
  <c r="AP35" i="91"/>
  <c r="K97" i="102"/>
  <c r="AK97" i="102"/>
  <c r="AQ35" i="91"/>
  <c r="L97" i="102"/>
  <c r="AL97" i="102"/>
  <c r="AR35" i="91"/>
  <c r="M97" i="102"/>
  <c r="AM97" i="102"/>
  <c r="AA11" i="91"/>
  <c r="AC11" i="91"/>
  <c r="AH36" i="91"/>
  <c r="C98" i="102"/>
  <c r="AC98" i="102"/>
  <c r="AI36" i="91"/>
  <c r="D98" i="102"/>
  <c r="AD98" i="102"/>
  <c r="AJ36" i="91"/>
  <c r="E98" i="102"/>
  <c r="AE98" i="102"/>
  <c r="AK36" i="91"/>
  <c r="F98" i="102"/>
  <c r="AF98" i="102"/>
  <c r="AL36" i="91"/>
  <c r="G98" i="102"/>
  <c r="AG98" i="102"/>
  <c r="AM36" i="91"/>
  <c r="H98" i="102"/>
  <c r="AH98" i="102"/>
  <c r="AN36" i="91"/>
  <c r="I98" i="102"/>
  <c r="AI98" i="102"/>
  <c r="AO36" i="91"/>
  <c r="J98" i="102"/>
  <c r="AJ98" i="102"/>
  <c r="AP36" i="91"/>
  <c r="K98" i="102"/>
  <c r="AK98" i="102"/>
  <c r="AQ36" i="91"/>
  <c r="L98" i="102"/>
  <c r="AL98" i="102"/>
  <c r="AR36" i="91"/>
  <c r="M98" i="102"/>
  <c r="AM98" i="102"/>
  <c r="AA12" i="91"/>
  <c r="AC12" i="91"/>
  <c r="AH37" i="91"/>
  <c r="C99" i="102"/>
  <c r="AC99" i="102"/>
  <c r="AI37" i="91"/>
  <c r="D99" i="102"/>
  <c r="AD99" i="102"/>
  <c r="AJ37" i="91"/>
  <c r="E99" i="102"/>
  <c r="AE99" i="102"/>
  <c r="AK37" i="91"/>
  <c r="F99" i="102"/>
  <c r="AF99" i="102"/>
  <c r="AL37" i="91"/>
  <c r="G99" i="102"/>
  <c r="AG99" i="102"/>
  <c r="AM37" i="91"/>
  <c r="H99" i="102"/>
  <c r="AH99" i="102"/>
  <c r="AN37" i="91"/>
  <c r="I99" i="102"/>
  <c r="AI99" i="102"/>
  <c r="AO37" i="91"/>
  <c r="J99" i="102"/>
  <c r="AJ99" i="102"/>
  <c r="AP37" i="91"/>
  <c r="K99" i="102"/>
  <c r="AK99" i="102"/>
  <c r="AQ37" i="91"/>
  <c r="L99" i="102"/>
  <c r="AL99" i="102"/>
  <c r="AR37" i="91"/>
  <c r="M99" i="102"/>
  <c r="AM99" i="102"/>
  <c r="AA13" i="91"/>
  <c r="AC13" i="91"/>
  <c r="AH38" i="91"/>
  <c r="C100" i="102"/>
  <c r="AC100" i="102"/>
  <c r="AI38" i="91"/>
  <c r="D100" i="102"/>
  <c r="AD100" i="102"/>
  <c r="AJ38" i="91"/>
  <c r="E100" i="102"/>
  <c r="AE100" i="102"/>
  <c r="AK38" i="91"/>
  <c r="F100" i="102"/>
  <c r="AF100" i="102"/>
  <c r="AL38" i="91"/>
  <c r="G100" i="102"/>
  <c r="AG100" i="102"/>
  <c r="AM38" i="91"/>
  <c r="H100" i="102"/>
  <c r="AH100" i="102"/>
  <c r="AN38" i="91"/>
  <c r="I100" i="102"/>
  <c r="AI100" i="102"/>
  <c r="AO38" i="91"/>
  <c r="J100" i="102"/>
  <c r="AJ100" i="102"/>
  <c r="AP38" i="91"/>
  <c r="K100" i="102"/>
  <c r="AK100" i="102"/>
  <c r="AQ38" i="91"/>
  <c r="L100" i="102"/>
  <c r="AL100" i="102"/>
  <c r="AR38" i="91"/>
  <c r="M100" i="102"/>
  <c r="AM100" i="102"/>
  <c r="AA14" i="91"/>
  <c r="AC14" i="91"/>
  <c r="AH39" i="91"/>
  <c r="C101" i="102"/>
  <c r="AC101" i="102"/>
  <c r="AI39" i="91"/>
  <c r="D101" i="102"/>
  <c r="AD101" i="102"/>
  <c r="AJ39" i="91"/>
  <c r="E101" i="102"/>
  <c r="AE101" i="102"/>
  <c r="AK39" i="91"/>
  <c r="F101" i="102"/>
  <c r="AF101" i="102"/>
  <c r="AL39" i="91"/>
  <c r="G101" i="102"/>
  <c r="AG101" i="102"/>
  <c r="AM39" i="91"/>
  <c r="H101" i="102"/>
  <c r="AH101" i="102"/>
  <c r="AN39" i="91"/>
  <c r="I101" i="102"/>
  <c r="AI101" i="102"/>
  <c r="AO39" i="91"/>
  <c r="J101" i="102"/>
  <c r="AJ101" i="102"/>
  <c r="AP39" i="91"/>
  <c r="K101" i="102"/>
  <c r="AK101" i="102"/>
  <c r="AQ39" i="91"/>
  <c r="L101" i="102"/>
  <c r="AL101" i="102"/>
  <c r="AR39" i="91"/>
  <c r="M101" i="102"/>
  <c r="AM101" i="102"/>
  <c r="AA15" i="91"/>
  <c r="AC15" i="91"/>
  <c r="AH40" i="91"/>
  <c r="C102" i="102"/>
  <c r="AC102" i="102"/>
  <c r="AI40" i="91"/>
  <c r="D102" i="102"/>
  <c r="AD102" i="102"/>
  <c r="AJ40" i="91"/>
  <c r="E102" i="102"/>
  <c r="AE102" i="102"/>
  <c r="AK40" i="91"/>
  <c r="F102" i="102"/>
  <c r="AF102" i="102"/>
  <c r="AL40" i="91"/>
  <c r="G102" i="102"/>
  <c r="AG102" i="102"/>
  <c r="AM40" i="91"/>
  <c r="H102" i="102"/>
  <c r="AH102" i="102"/>
  <c r="AN40" i="91"/>
  <c r="I102" i="102"/>
  <c r="AI102" i="102"/>
  <c r="AO40" i="91"/>
  <c r="J102" i="102"/>
  <c r="AJ102" i="102"/>
  <c r="AP40" i="91"/>
  <c r="K102" i="102"/>
  <c r="AK102" i="102"/>
  <c r="AQ40" i="91"/>
  <c r="L102" i="102"/>
  <c r="AL102" i="102"/>
  <c r="AR40" i="91"/>
  <c r="M102" i="102"/>
  <c r="AM102" i="102"/>
  <c r="AA16" i="91"/>
  <c r="AC16" i="91"/>
  <c r="AH41" i="91"/>
  <c r="C103" i="102"/>
  <c r="AC103" i="102"/>
  <c r="AI41" i="91"/>
  <c r="D103" i="102"/>
  <c r="AD103" i="102"/>
  <c r="AJ41" i="91"/>
  <c r="E103" i="102"/>
  <c r="AE103" i="102"/>
  <c r="AK41" i="91"/>
  <c r="F103" i="102"/>
  <c r="AF103" i="102"/>
  <c r="AL41" i="91"/>
  <c r="G103" i="102"/>
  <c r="AG103" i="102"/>
  <c r="AM41" i="91"/>
  <c r="H103" i="102"/>
  <c r="AH103" i="102"/>
  <c r="AN41" i="91"/>
  <c r="I103" i="102"/>
  <c r="AI103" i="102"/>
  <c r="AO41" i="91"/>
  <c r="J103" i="102"/>
  <c r="AJ103" i="102"/>
  <c r="AP41" i="91"/>
  <c r="K103" i="102"/>
  <c r="AK103" i="102"/>
  <c r="AQ41" i="91"/>
  <c r="L103" i="102"/>
  <c r="AL103" i="102"/>
  <c r="AR41" i="91"/>
  <c r="M103" i="102"/>
  <c r="AM103" i="102"/>
  <c r="AA17" i="91"/>
  <c r="AC17" i="91"/>
  <c r="AH42" i="91"/>
  <c r="C104" i="102"/>
  <c r="AC104" i="102"/>
  <c r="AI42" i="91"/>
  <c r="D104" i="102"/>
  <c r="AD104" i="102"/>
  <c r="AJ42" i="91"/>
  <c r="E104" i="102"/>
  <c r="AE104" i="102"/>
  <c r="AK42" i="91"/>
  <c r="F104" i="102"/>
  <c r="AF104" i="102"/>
  <c r="AL42" i="91"/>
  <c r="G104" i="102"/>
  <c r="AG104" i="102"/>
  <c r="AM42" i="91"/>
  <c r="H104" i="102"/>
  <c r="AH104" i="102"/>
  <c r="AN42" i="91"/>
  <c r="I104" i="102"/>
  <c r="AI104" i="102"/>
  <c r="AO42" i="91"/>
  <c r="J104" i="102"/>
  <c r="AJ104" i="102"/>
  <c r="AP42" i="91"/>
  <c r="K104" i="102"/>
  <c r="AK104" i="102"/>
  <c r="AQ42" i="91"/>
  <c r="L104" i="102"/>
  <c r="AL104" i="102"/>
  <c r="AR42" i="91"/>
  <c r="M104" i="102"/>
  <c r="AM104" i="102"/>
  <c r="AA18" i="91"/>
  <c r="AC18" i="91"/>
  <c r="AH43" i="91"/>
  <c r="C105" i="102"/>
  <c r="AC105" i="102"/>
  <c r="AI43" i="91"/>
  <c r="D105" i="102"/>
  <c r="AD105" i="102"/>
  <c r="AJ43" i="91"/>
  <c r="E105" i="102"/>
  <c r="AE105" i="102"/>
  <c r="AK43" i="91"/>
  <c r="F105" i="102"/>
  <c r="AF105" i="102"/>
  <c r="AL43" i="91"/>
  <c r="G105" i="102"/>
  <c r="AG105" i="102"/>
  <c r="AM43" i="91"/>
  <c r="H105" i="102"/>
  <c r="AH105" i="102"/>
  <c r="AN43" i="91"/>
  <c r="I105" i="102"/>
  <c r="AI105" i="102"/>
  <c r="AO43" i="91"/>
  <c r="J105" i="102"/>
  <c r="AJ105" i="102"/>
  <c r="AP43" i="91"/>
  <c r="K105" i="102"/>
  <c r="AK105" i="102"/>
  <c r="AQ43" i="91"/>
  <c r="L105" i="102"/>
  <c r="AL105" i="102"/>
  <c r="AR43" i="91"/>
  <c r="M105" i="102"/>
  <c r="AM105" i="102"/>
  <c r="AA19" i="91"/>
  <c r="AC19" i="91"/>
  <c r="AH44" i="91"/>
  <c r="C106" i="102"/>
  <c r="AC106" i="102"/>
  <c r="AI44" i="91"/>
  <c r="D106" i="102"/>
  <c r="AD106" i="102"/>
  <c r="AJ44" i="91"/>
  <c r="E106" i="102"/>
  <c r="AE106" i="102"/>
  <c r="AK44" i="91"/>
  <c r="F106" i="102"/>
  <c r="AF106" i="102"/>
  <c r="AL44" i="91"/>
  <c r="G106" i="102"/>
  <c r="AG106" i="102"/>
  <c r="AM44" i="91"/>
  <c r="H106" i="102"/>
  <c r="AH106" i="102"/>
  <c r="AN44" i="91"/>
  <c r="I106" i="102"/>
  <c r="AI106" i="102"/>
  <c r="AO44" i="91"/>
  <c r="J106" i="102"/>
  <c r="AJ106" i="102"/>
  <c r="AP44" i="91"/>
  <c r="K106" i="102"/>
  <c r="AK106" i="102"/>
  <c r="AQ44" i="91"/>
  <c r="L106" i="102"/>
  <c r="AL106" i="102"/>
  <c r="AR44" i="91"/>
  <c r="M106" i="102"/>
  <c r="AM106" i="102"/>
  <c r="E86" i="102"/>
  <c r="N12" i="99"/>
  <c r="G52" i="91"/>
  <c r="I52" i="91"/>
  <c r="N52" i="91"/>
  <c r="C118" i="102"/>
  <c r="AC118" i="102"/>
  <c r="O51" i="91"/>
  <c r="O52" i="91"/>
  <c r="D118" i="102"/>
  <c r="AD118" i="102"/>
  <c r="P51" i="91"/>
  <c r="P52" i="91"/>
  <c r="E118" i="102"/>
  <c r="AE118" i="102"/>
  <c r="Q51" i="91"/>
  <c r="Q52" i="91"/>
  <c r="F118" i="102"/>
  <c r="AF118" i="102"/>
  <c r="R51" i="91"/>
  <c r="R52" i="91"/>
  <c r="G118" i="102"/>
  <c r="AG118" i="102"/>
  <c r="S51" i="91"/>
  <c r="S52" i="91"/>
  <c r="H118" i="102"/>
  <c r="AH118" i="102"/>
  <c r="T51" i="91"/>
  <c r="T52" i="91"/>
  <c r="I118" i="102"/>
  <c r="AI118" i="102"/>
  <c r="U51" i="91"/>
  <c r="U52" i="91"/>
  <c r="J118" i="102"/>
  <c r="AJ118" i="102"/>
  <c r="V51" i="91"/>
  <c r="V52" i="91"/>
  <c r="K118" i="102"/>
  <c r="AK118" i="102"/>
  <c r="W51" i="91"/>
  <c r="W52" i="91"/>
  <c r="L118" i="102"/>
  <c r="AL118" i="102"/>
  <c r="X51" i="91"/>
  <c r="X52" i="91"/>
  <c r="M118" i="102"/>
  <c r="AM118" i="102"/>
  <c r="G53" i="91"/>
  <c r="I53" i="91"/>
  <c r="N53" i="91"/>
  <c r="C119" i="102"/>
  <c r="AC119" i="102"/>
  <c r="O53" i="91"/>
  <c r="D119" i="102"/>
  <c r="AD119" i="102"/>
  <c r="P53" i="91"/>
  <c r="E119" i="102"/>
  <c r="AE119" i="102"/>
  <c r="Q53" i="91"/>
  <c r="F119" i="102"/>
  <c r="AF119" i="102"/>
  <c r="R53" i="91"/>
  <c r="G119" i="102"/>
  <c r="AG119" i="102"/>
  <c r="S53" i="91"/>
  <c r="H119" i="102"/>
  <c r="AH119" i="102"/>
  <c r="T53" i="91"/>
  <c r="I119" i="102"/>
  <c r="AI119" i="102"/>
  <c r="U53" i="91"/>
  <c r="J119" i="102"/>
  <c r="AJ119" i="102"/>
  <c r="V53" i="91"/>
  <c r="K119" i="102"/>
  <c r="AK119" i="102"/>
  <c r="W53" i="91"/>
  <c r="L119" i="102"/>
  <c r="AL119" i="102"/>
  <c r="X53" i="91"/>
  <c r="M119" i="102"/>
  <c r="AM119" i="102"/>
  <c r="G54" i="91"/>
  <c r="I54" i="91"/>
  <c r="N54" i="91"/>
  <c r="C120" i="102"/>
  <c r="AC120" i="102"/>
  <c r="O54" i="91"/>
  <c r="D120" i="102"/>
  <c r="AD120" i="102"/>
  <c r="P54" i="91"/>
  <c r="E120" i="102"/>
  <c r="AE120" i="102"/>
  <c r="Q54" i="91"/>
  <c r="F120" i="102"/>
  <c r="AF120" i="102"/>
  <c r="R54" i="91"/>
  <c r="G120" i="102"/>
  <c r="AG120" i="102"/>
  <c r="S54" i="91"/>
  <c r="H120" i="102"/>
  <c r="AH120" i="102"/>
  <c r="T54" i="91"/>
  <c r="I120" i="102"/>
  <c r="AI120" i="102"/>
  <c r="U54" i="91"/>
  <c r="J120" i="102"/>
  <c r="AJ120" i="102"/>
  <c r="V54" i="91"/>
  <c r="K120" i="102"/>
  <c r="AK120" i="102"/>
  <c r="W54" i="91"/>
  <c r="L120" i="102"/>
  <c r="AL120" i="102"/>
  <c r="X54" i="91"/>
  <c r="M120" i="102"/>
  <c r="AM120" i="102"/>
  <c r="G55" i="91"/>
  <c r="I55" i="91"/>
  <c r="N55" i="91"/>
  <c r="C121" i="102"/>
  <c r="AC121" i="102"/>
  <c r="O55" i="91"/>
  <c r="D121" i="102"/>
  <c r="AD121" i="102"/>
  <c r="P55" i="91"/>
  <c r="E121" i="102"/>
  <c r="AE121" i="102"/>
  <c r="Q55" i="91"/>
  <c r="F121" i="102"/>
  <c r="AF121" i="102"/>
  <c r="R55" i="91"/>
  <c r="G121" i="102"/>
  <c r="AG121" i="102"/>
  <c r="S55" i="91"/>
  <c r="H121" i="102"/>
  <c r="AH121" i="102"/>
  <c r="T55" i="91"/>
  <c r="I121" i="102"/>
  <c r="AI121" i="102"/>
  <c r="U55" i="91"/>
  <c r="J121" i="102"/>
  <c r="AJ121" i="102"/>
  <c r="V55" i="91"/>
  <c r="K121" i="102"/>
  <c r="AK121" i="102"/>
  <c r="W55" i="91"/>
  <c r="L121" i="102"/>
  <c r="AL121" i="102"/>
  <c r="X55" i="91"/>
  <c r="M121" i="102"/>
  <c r="AM121" i="102"/>
  <c r="G56" i="91"/>
  <c r="I56" i="91"/>
  <c r="N56" i="91"/>
  <c r="C122" i="102"/>
  <c r="AC122" i="102"/>
  <c r="O56" i="91"/>
  <c r="D122" i="102"/>
  <c r="AD122" i="102"/>
  <c r="P56" i="91"/>
  <c r="E122" i="102"/>
  <c r="AE122" i="102"/>
  <c r="Q56" i="91"/>
  <c r="F122" i="102"/>
  <c r="AF122" i="102"/>
  <c r="R56" i="91"/>
  <c r="G122" i="102"/>
  <c r="AG122" i="102"/>
  <c r="S56" i="91"/>
  <c r="H122" i="102"/>
  <c r="AH122" i="102"/>
  <c r="T56" i="91"/>
  <c r="I122" i="102"/>
  <c r="AI122" i="102"/>
  <c r="U56" i="91"/>
  <c r="J122" i="102"/>
  <c r="AJ122" i="102"/>
  <c r="V56" i="91"/>
  <c r="K122" i="102"/>
  <c r="AK122" i="102"/>
  <c r="W56" i="91"/>
  <c r="L122" i="102"/>
  <c r="AL122" i="102"/>
  <c r="X56" i="91"/>
  <c r="M122" i="102"/>
  <c r="AM122" i="102"/>
  <c r="G57" i="91"/>
  <c r="I57" i="91"/>
  <c r="N57" i="91"/>
  <c r="C123" i="102"/>
  <c r="AC123" i="102"/>
  <c r="O57" i="91"/>
  <c r="D123" i="102"/>
  <c r="AD123" i="102"/>
  <c r="P57" i="91"/>
  <c r="E123" i="102"/>
  <c r="AE123" i="102"/>
  <c r="Q57" i="91"/>
  <c r="F123" i="102"/>
  <c r="AF123" i="102"/>
  <c r="R57" i="91"/>
  <c r="G123" i="102"/>
  <c r="AG123" i="102"/>
  <c r="S57" i="91"/>
  <c r="H123" i="102"/>
  <c r="AH123" i="102"/>
  <c r="T57" i="91"/>
  <c r="I123" i="102"/>
  <c r="AI123" i="102"/>
  <c r="U57" i="91"/>
  <c r="J123" i="102"/>
  <c r="AJ123" i="102"/>
  <c r="V57" i="91"/>
  <c r="K123" i="102"/>
  <c r="AK123" i="102"/>
  <c r="W57" i="91"/>
  <c r="L123" i="102"/>
  <c r="AL123" i="102"/>
  <c r="X57" i="91"/>
  <c r="M123" i="102"/>
  <c r="AM123" i="102"/>
  <c r="G58" i="91"/>
  <c r="I58" i="91"/>
  <c r="N58" i="91"/>
  <c r="C124" i="102"/>
  <c r="AC124" i="102"/>
  <c r="O58" i="91"/>
  <c r="D124" i="102"/>
  <c r="AD124" i="102"/>
  <c r="P58" i="91"/>
  <c r="E124" i="102"/>
  <c r="AE124" i="102"/>
  <c r="Q58" i="91"/>
  <c r="F124" i="102"/>
  <c r="AF124" i="102"/>
  <c r="R58" i="91"/>
  <c r="G124" i="102"/>
  <c r="AG124" i="102"/>
  <c r="S58" i="91"/>
  <c r="H124" i="102"/>
  <c r="AH124" i="102"/>
  <c r="T58" i="91"/>
  <c r="I124" i="102"/>
  <c r="AI124" i="102"/>
  <c r="U58" i="91"/>
  <c r="J124" i="102"/>
  <c r="AJ124" i="102"/>
  <c r="V58" i="91"/>
  <c r="K124" i="102"/>
  <c r="AK124" i="102"/>
  <c r="W58" i="91"/>
  <c r="L124" i="102"/>
  <c r="AL124" i="102"/>
  <c r="X58" i="91"/>
  <c r="M124" i="102"/>
  <c r="AM124" i="102"/>
  <c r="G59" i="91"/>
  <c r="I59" i="91"/>
  <c r="N59" i="91"/>
  <c r="C125" i="102"/>
  <c r="AC125" i="102"/>
  <c r="O59" i="91"/>
  <c r="D125" i="102"/>
  <c r="AD125" i="102"/>
  <c r="P59" i="91"/>
  <c r="E125" i="102"/>
  <c r="AE125" i="102"/>
  <c r="Q59" i="91"/>
  <c r="F125" i="102"/>
  <c r="AF125" i="102"/>
  <c r="R59" i="91"/>
  <c r="G125" i="102"/>
  <c r="AG125" i="102"/>
  <c r="S59" i="91"/>
  <c r="H125" i="102"/>
  <c r="AH125" i="102"/>
  <c r="T59" i="91"/>
  <c r="I125" i="102"/>
  <c r="AI125" i="102"/>
  <c r="U59" i="91"/>
  <c r="J125" i="102"/>
  <c r="AJ125" i="102"/>
  <c r="V59" i="91"/>
  <c r="K125" i="102"/>
  <c r="AK125" i="102"/>
  <c r="W59" i="91"/>
  <c r="L125" i="102"/>
  <c r="AL125" i="102"/>
  <c r="X59" i="91"/>
  <c r="M125" i="102"/>
  <c r="AM125" i="102"/>
  <c r="G60" i="91"/>
  <c r="I60" i="91"/>
  <c r="N60" i="91"/>
  <c r="C126" i="102"/>
  <c r="AC126" i="102"/>
  <c r="O60" i="91"/>
  <c r="D126" i="102"/>
  <c r="AD126" i="102"/>
  <c r="P60" i="91"/>
  <c r="E126" i="102"/>
  <c r="AE126" i="102"/>
  <c r="Q60" i="91"/>
  <c r="F126" i="102"/>
  <c r="AF126" i="102"/>
  <c r="R60" i="91"/>
  <c r="G126" i="102"/>
  <c r="AG126" i="102"/>
  <c r="S60" i="91"/>
  <c r="H126" i="102"/>
  <c r="AH126" i="102"/>
  <c r="T60" i="91"/>
  <c r="I126" i="102"/>
  <c r="AI126" i="102"/>
  <c r="U60" i="91"/>
  <c r="J126" i="102"/>
  <c r="AJ126" i="102"/>
  <c r="V60" i="91"/>
  <c r="K126" i="102"/>
  <c r="AK126" i="102"/>
  <c r="W60" i="91"/>
  <c r="L126" i="102"/>
  <c r="AL126" i="102"/>
  <c r="X60" i="91"/>
  <c r="M126" i="102"/>
  <c r="AM126" i="102"/>
  <c r="G61" i="91"/>
  <c r="I61" i="91"/>
  <c r="N61" i="91"/>
  <c r="C127" i="102"/>
  <c r="AC127" i="102"/>
  <c r="O61" i="91"/>
  <c r="D127" i="102"/>
  <c r="AD127" i="102"/>
  <c r="P61" i="91"/>
  <c r="E127" i="102"/>
  <c r="AE127" i="102"/>
  <c r="Q61" i="91"/>
  <c r="F127" i="102"/>
  <c r="AF127" i="102"/>
  <c r="R61" i="91"/>
  <c r="G127" i="102"/>
  <c r="AG127" i="102"/>
  <c r="S61" i="91"/>
  <c r="H127" i="102"/>
  <c r="AH127" i="102"/>
  <c r="T61" i="91"/>
  <c r="I127" i="102"/>
  <c r="AI127" i="102"/>
  <c r="U61" i="91"/>
  <c r="J127" i="102"/>
  <c r="AJ127" i="102"/>
  <c r="V61" i="91"/>
  <c r="K127" i="102"/>
  <c r="AK127" i="102"/>
  <c r="W61" i="91"/>
  <c r="L127" i="102"/>
  <c r="AL127" i="102"/>
  <c r="X61" i="91"/>
  <c r="M127" i="102"/>
  <c r="AM127" i="102"/>
  <c r="G62" i="91"/>
  <c r="I62" i="91"/>
  <c r="N62" i="91"/>
  <c r="C128" i="102"/>
  <c r="AC128" i="102"/>
  <c r="O62" i="91"/>
  <c r="D128" i="102"/>
  <c r="AD128" i="102"/>
  <c r="P62" i="91"/>
  <c r="E128" i="102"/>
  <c r="AE128" i="102"/>
  <c r="Q62" i="91"/>
  <c r="F128" i="102"/>
  <c r="AF128" i="102"/>
  <c r="R62" i="91"/>
  <c r="G128" i="102"/>
  <c r="AG128" i="102"/>
  <c r="S62" i="91"/>
  <c r="H128" i="102"/>
  <c r="AH128" i="102"/>
  <c r="T62" i="91"/>
  <c r="I128" i="102"/>
  <c r="AI128" i="102"/>
  <c r="U62" i="91"/>
  <c r="J128" i="102"/>
  <c r="AJ128" i="102"/>
  <c r="V62" i="91"/>
  <c r="K128" i="102"/>
  <c r="AK128" i="102"/>
  <c r="W62" i="91"/>
  <c r="L128" i="102"/>
  <c r="AL128" i="102"/>
  <c r="X62" i="91"/>
  <c r="M128" i="102"/>
  <c r="AM128" i="102"/>
  <c r="G63" i="91"/>
  <c r="I63" i="91"/>
  <c r="N63" i="91"/>
  <c r="C129" i="102"/>
  <c r="AC129" i="102"/>
  <c r="O63" i="91"/>
  <c r="D129" i="102"/>
  <c r="AD129" i="102"/>
  <c r="P63" i="91"/>
  <c r="E129" i="102"/>
  <c r="AE129" i="102"/>
  <c r="Q63" i="91"/>
  <c r="F129" i="102"/>
  <c r="AF129" i="102"/>
  <c r="R63" i="91"/>
  <c r="G129" i="102"/>
  <c r="AG129" i="102"/>
  <c r="S63" i="91"/>
  <c r="H129" i="102"/>
  <c r="AH129" i="102"/>
  <c r="T63" i="91"/>
  <c r="I129" i="102"/>
  <c r="AI129" i="102"/>
  <c r="U63" i="91"/>
  <c r="J129" i="102"/>
  <c r="AJ129" i="102"/>
  <c r="V63" i="91"/>
  <c r="K129" i="102"/>
  <c r="AK129" i="102"/>
  <c r="W63" i="91"/>
  <c r="L129" i="102"/>
  <c r="AL129" i="102"/>
  <c r="X63" i="91"/>
  <c r="M129" i="102"/>
  <c r="AM129" i="102"/>
  <c r="G64" i="91"/>
  <c r="I64" i="91"/>
  <c r="N64" i="91"/>
  <c r="C130" i="102"/>
  <c r="AC130" i="102"/>
  <c r="O64" i="91"/>
  <c r="D130" i="102"/>
  <c r="AD130" i="102"/>
  <c r="P64" i="91"/>
  <c r="E130" i="102"/>
  <c r="AE130" i="102"/>
  <c r="Q64" i="91"/>
  <c r="F130" i="102"/>
  <c r="AF130" i="102"/>
  <c r="R64" i="91"/>
  <c r="G130" i="102"/>
  <c r="AG130" i="102"/>
  <c r="S64" i="91"/>
  <c r="H130" i="102"/>
  <c r="AH130" i="102"/>
  <c r="T64" i="91"/>
  <c r="I130" i="102"/>
  <c r="AI130" i="102"/>
  <c r="U64" i="91"/>
  <c r="J130" i="102"/>
  <c r="AJ130" i="102"/>
  <c r="V64" i="91"/>
  <c r="K130" i="102"/>
  <c r="AK130" i="102"/>
  <c r="W64" i="91"/>
  <c r="L130" i="102"/>
  <c r="AL130" i="102"/>
  <c r="X64" i="91"/>
  <c r="M130" i="102"/>
  <c r="AM130" i="102"/>
  <c r="G65" i="91"/>
  <c r="I65" i="91"/>
  <c r="N65" i="91"/>
  <c r="C131" i="102"/>
  <c r="AC131" i="102"/>
  <c r="O65" i="91"/>
  <c r="D131" i="102"/>
  <c r="AD131" i="102"/>
  <c r="P65" i="91"/>
  <c r="E131" i="102"/>
  <c r="AE131" i="102"/>
  <c r="Q65" i="91"/>
  <c r="F131" i="102"/>
  <c r="AF131" i="102"/>
  <c r="R65" i="91"/>
  <c r="G131" i="102"/>
  <c r="AG131" i="102"/>
  <c r="S65" i="91"/>
  <c r="H131" i="102"/>
  <c r="AH131" i="102"/>
  <c r="T65" i="91"/>
  <c r="I131" i="102"/>
  <c r="AI131" i="102"/>
  <c r="U65" i="91"/>
  <c r="J131" i="102"/>
  <c r="AJ131" i="102"/>
  <c r="V65" i="91"/>
  <c r="K131" i="102"/>
  <c r="AK131" i="102"/>
  <c r="W65" i="91"/>
  <c r="L131" i="102"/>
  <c r="AL131" i="102"/>
  <c r="X65" i="91"/>
  <c r="M131" i="102"/>
  <c r="AM131" i="102"/>
  <c r="G66" i="91"/>
  <c r="I66" i="91"/>
  <c r="N66" i="91"/>
  <c r="C132" i="102"/>
  <c r="AC132" i="102"/>
  <c r="O66" i="91"/>
  <c r="D132" i="102"/>
  <c r="AD132" i="102"/>
  <c r="P66" i="91"/>
  <c r="E132" i="102"/>
  <c r="AE132" i="102"/>
  <c r="Q66" i="91"/>
  <c r="F132" i="102"/>
  <c r="AF132" i="102"/>
  <c r="R66" i="91"/>
  <c r="G132" i="102"/>
  <c r="AG132" i="102"/>
  <c r="S66" i="91"/>
  <c r="H132" i="102"/>
  <c r="AH132" i="102"/>
  <c r="T66" i="91"/>
  <c r="I132" i="102"/>
  <c r="AI132" i="102"/>
  <c r="U66" i="91"/>
  <c r="J132" i="102"/>
  <c r="AJ132" i="102"/>
  <c r="V66" i="91"/>
  <c r="K132" i="102"/>
  <c r="AK132" i="102"/>
  <c r="W66" i="91"/>
  <c r="L132" i="102"/>
  <c r="AL132" i="102"/>
  <c r="X66" i="91"/>
  <c r="M132" i="102"/>
  <c r="AM132" i="102"/>
  <c r="G67" i="91"/>
  <c r="I67" i="91"/>
  <c r="N67" i="91"/>
  <c r="C133" i="102"/>
  <c r="AC133" i="102"/>
  <c r="O67" i="91"/>
  <c r="D133" i="102"/>
  <c r="AD133" i="102"/>
  <c r="P67" i="91"/>
  <c r="E133" i="102"/>
  <c r="AE133" i="102"/>
  <c r="Q67" i="91"/>
  <c r="F133" i="102"/>
  <c r="AF133" i="102"/>
  <c r="R67" i="91"/>
  <c r="G133" i="102"/>
  <c r="AG133" i="102"/>
  <c r="S67" i="91"/>
  <c r="H133" i="102"/>
  <c r="AH133" i="102"/>
  <c r="T67" i="91"/>
  <c r="I133" i="102"/>
  <c r="AI133" i="102"/>
  <c r="U67" i="91"/>
  <c r="J133" i="102"/>
  <c r="AJ133" i="102"/>
  <c r="V67" i="91"/>
  <c r="K133" i="102"/>
  <c r="AK133" i="102"/>
  <c r="W67" i="91"/>
  <c r="L133" i="102"/>
  <c r="AL133" i="102"/>
  <c r="X67" i="91"/>
  <c r="M133" i="102"/>
  <c r="AM133" i="102"/>
  <c r="E113" i="102"/>
  <c r="N15" i="99"/>
  <c r="N77" i="91"/>
  <c r="C145" i="102"/>
  <c r="AC145" i="102"/>
  <c r="O76" i="91"/>
  <c r="O77" i="91"/>
  <c r="D145" i="102"/>
  <c r="AD145" i="102"/>
  <c r="P76" i="91"/>
  <c r="P77" i="91"/>
  <c r="E145" i="102"/>
  <c r="AE145" i="102"/>
  <c r="Q76" i="91"/>
  <c r="Q77" i="91"/>
  <c r="F145" i="102"/>
  <c r="AF145" i="102"/>
  <c r="R76" i="91"/>
  <c r="R77" i="91"/>
  <c r="G145" i="102"/>
  <c r="AG145" i="102"/>
  <c r="S76" i="91"/>
  <c r="S77" i="91"/>
  <c r="H145" i="102"/>
  <c r="AH145" i="102"/>
  <c r="T76" i="91"/>
  <c r="T77" i="91"/>
  <c r="I145" i="102"/>
  <c r="AI145" i="102"/>
  <c r="U76" i="91"/>
  <c r="U77" i="91"/>
  <c r="J145" i="102"/>
  <c r="AJ145" i="102"/>
  <c r="V76" i="91"/>
  <c r="V77" i="91"/>
  <c r="K145" i="102"/>
  <c r="AK145" i="102"/>
  <c r="W76" i="91"/>
  <c r="W77" i="91"/>
  <c r="L145" i="102"/>
  <c r="AL145" i="102"/>
  <c r="X76" i="91"/>
  <c r="X77" i="91"/>
  <c r="M145" i="102"/>
  <c r="AM145" i="102"/>
  <c r="N78" i="91"/>
  <c r="C146" i="102"/>
  <c r="AC146" i="102"/>
  <c r="O78" i="91"/>
  <c r="D146" i="102"/>
  <c r="AD146" i="102"/>
  <c r="P78" i="91"/>
  <c r="E146" i="102"/>
  <c r="AE146" i="102"/>
  <c r="Q78" i="91"/>
  <c r="F146" i="102"/>
  <c r="AF146" i="102"/>
  <c r="R78" i="91"/>
  <c r="G146" i="102"/>
  <c r="AG146" i="102"/>
  <c r="S78" i="91"/>
  <c r="H146" i="102"/>
  <c r="AH146" i="102"/>
  <c r="T78" i="91"/>
  <c r="I146" i="102"/>
  <c r="AI146" i="102"/>
  <c r="U78" i="91"/>
  <c r="J146" i="102"/>
  <c r="AJ146" i="102"/>
  <c r="V78" i="91"/>
  <c r="K146" i="102"/>
  <c r="AK146" i="102"/>
  <c r="W78" i="91"/>
  <c r="L146" i="102"/>
  <c r="AL146" i="102"/>
  <c r="X78" i="91"/>
  <c r="M146" i="102"/>
  <c r="AM146" i="102"/>
  <c r="N79" i="91"/>
  <c r="C147" i="102"/>
  <c r="AC147" i="102"/>
  <c r="O79" i="91"/>
  <c r="D147" i="102"/>
  <c r="AD147" i="102"/>
  <c r="P79" i="91"/>
  <c r="E147" i="102"/>
  <c r="AE147" i="102"/>
  <c r="Q79" i="91"/>
  <c r="F147" i="102"/>
  <c r="AF147" i="102"/>
  <c r="R79" i="91"/>
  <c r="G147" i="102"/>
  <c r="AG147" i="102"/>
  <c r="S79" i="91"/>
  <c r="H147" i="102"/>
  <c r="AH147" i="102"/>
  <c r="T79" i="91"/>
  <c r="I147" i="102"/>
  <c r="AI147" i="102"/>
  <c r="U79" i="91"/>
  <c r="J147" i="102"/>
  <c r="AJ147" i="102"/>
  <c r="V79" i="91"/>
  <c r="K147" i="102"/>
  <c r="AK147" i="102"/>
  <c r="W79" i="91"/>
  <c r="L147" i="102"/>
  <c r="AL147" i="102"/>
  <c r="X79" i="91"/>
  <c r="M147" i="102"/>
  <c r="AM147" i="102"/>
  <c r="N80" i="91"/>
  <c r="C148" i="102"/>
  <c r="AC148" i="102"/>
  <c r="O80" i="91"/>
  <c r="D148" i="102"/>
  <c r="AD148" i="102"/>
  <c r="P80" i="91"/>
  <c r="E148" i="102"/>
  <c r="AE148" i="102"/>
  <c r="Q80" i="91"/>
  <c r="F148" i="102"/>
  <c r="AF148" i="102"/>
  <c r="R80" i="91"/>
  <c r="G148" i="102"/>
  <c r="AG148" i="102"/>
  <c r="S80" i="91"/>
  <c r="H148" i="102"/>
  <c r="AH148" i="102"/>
  <c r="T80" i="91"/>
  <c r="I148" i="102"/>
  <c r="AI148" i="102"/>
  <c r="U80" i="91"/>
  <c r="J148" i="102"/>
  <c r="AJ148" i="102"/>
  <c r="V80" i="91"/>
  <c r="K148" i="102"/>
  <c r="AK148" i="102"/>
  <c r="W80" i="91"/>
  <c r="L148" i="102"/>
  <c r="AL148" i="102"/>
  <c r="X80" i="91"/>
  <c r="M148" i="102"/>
  <c r="AM148" i="102"/>
  <c r="N81" i="91"/>
  <c r="C149" i="102"/>
  <c r="AC149" i="102"/>
  <c r="O81" i="91"/>
  <c r="D149" i="102"/>
  <c r="AD149" i="102"/>
  <c r="P81" i="91"/>
  <c r="E149" i="102"/>
  <c r="AE149" i="102"/>
  <c r="Q81" i="91"/>
  <c r="F149" i="102"/>
  <c r="AF149" i="102"/>
  <c r="R81" i="91"/>
  <c r="G149" i="102"/>
  <c r="AG149" i="102"/>
  <c r="S81" i="91"/>
  <c r="H149" i="102"/>
  <c r="AH149" i="102"/>
  <c r="T81" i="91"/>
  <c r="I149" i="102"/>
  <c r="AI149" i="102"/>
  <c r="U81" i="91"/>
  <c r="J149" i="102"/>
  <c r="AJ149" i="102"/>
  <c r="V81" i="91"/>
  <c r="K149" i="102"/>
  <c r="AK149" i="102"/>
  <c r="W81" i="91"/>
  <c r="L149" i="102"/>
  <c r="AL149" i="102"/>
  <c r="X81" i="91"/>
  <c r="M149" i="102"/>
  <c r="AM149" i="102"/>
  <c r="N82" i="91"/>
  <c r="C150" i="102"/>
  <c r="AC150" i="102"/>
  <c r="O82" i="91"/>
  <c r="D150" i="102"/>
  <c r="AD150" i="102"/>
  <c r="P82" i="91"/>
  <c r="E150" i="102"/>
  <c r="AE150" i="102"/>
  <c r="Q82" i="91"/>
  <c r="F150" i="102"/>
  <c r="AF150" i="102"/>
  <c r="R82" i="91"/>
  <c r="G150" i="102"/>
  <c r="AG150" i="102"/>
  <c r="S82" i="91"/>
  <c r="H150" i="102"/>
  <c r="AH150" i="102"/>
  <c r="T82" i="91"/>
  <c r="I150" i="102"/>
  <c r="AI150" i="102"/>
  <c r="U82" i="91"/>
  <c r="J150" i="102"/>
  <c r="AJ150" i="102"/>
  <c r="V82" i="91"/>
  <c r="K150" i="102"/>
  <c r="AK150" i="102"/>
  <c r="W82" i="91"/>
  <c r="L150" i="102"/>
  <c r="AL150" i="102"/>
  <c r="X82" i="91"/>
  <c r="M150" i="102"/>
  <c r="AM150" i="102"/>
  <c r="N83" i="91"/>
  <c r="C151" i="102"/>
  <c r="AC151" i="102"/>
  <c r="O83" i="91"/>
  <c r="D151" i="102"/>
  <c r="AD151" i="102"/>
  <c r="P83" i="91"/>
  <c r="E151" i="102"/>
  <c r="AE151" i="102"/>
  <c r="Q83" i="91"/>
  <c r="F151" i="102"/>
  <c r="AF151" i="102"/>
  <c r="R83" i="91"/>
  <c r="G151" i="102"/>
  <c r="AG151" i="102"/>
  <c r="S83" i="91"/>
  <c r="H151" i="102"/>
  <c r="AH151" i="102"/>
  <c r="T83" i="91"/>
  <c r="I151" i="102"/>
  <c r="AI151" i="102"/>
  <c r="U83" i="91"/>
  <c r="J151" i="102"/>
  <c r="AJ151" i="102"/>
  <c r="V83" i="91"/>
  <c r="K151" i="102"/>
  <c r="AK151" i="102"/>
  <c r="W83" i="91"/>
  <c r="L151" i="102"/>
  <c r="AL151" i="102"/>
  <c r="X83" i="91"/>
  <c r="M151" i="102"/>
  <c r="AM151" i="102"/>
  <c r="N84" i="91"/>
  <c r="C152" i="102"/>
  <c r="AC152" i="102"/>
  <c r="O84" i="91"/>
  <c r="D152" i="102"/>
  <c r="AD152" i="102"/>
  <c r="P84" i="91"/>
  <c r="E152" i="102"/>
  <c r="AE152" i="102"/>
  <c r="Q84" i="91"/>
  <c r="F152" i="102"/>
  <c r="AF152" i="102"/>
  <c r="R84" i="91"/>
  <c r="G152" i="102"/>
  <c r="AG152" i="102"/>
  <c r="S84" i="91"/>
  <c r="H152" i="102"/>
  <c r="AH152" i="102"/>
  <c r="T84" i="91"/>
  <c r="I152" i="102"/>
  <c r="AI152" i="102"/>
  <c r="U84" i="91"/>
  <c r="J152" i="102"/>
  <c r="AJ152" i="102"/>
  <c r="V84" i="91"/>
  <c r="K152" i="102"/>
  <c r="AK152" i="102"/>
  <c r="W84" i="91"/>
  <c r="L152" i="102"/>
  <c r="AL152" i="102"/>
  <c r="X84" i="91"/>
  <c r="M152" i="102"/>
  <c r="AM152" i="102"/>
  <c r="N85" i="91"/>
  <c r="C153" i="102"/>
  <c r="AC153" i="102"/>
  <c r="O85" i="91"/>
  <c r="D153" i="102"/>
  <c r="AD153" i="102"/>
  <c r="P85" i="91"/>
  <c r="E153" i="102"/>
  <c r="AE153" i="102"/>
  <c r="Q85" i="91"/>
  <c r="F153" i="102"/>
  <c r="AF153" i="102"/>
  <c r="R85" i="91"/>
  <c r="G153" i="102"/>
  <c r="AG153" i="102"/>
  <c r="S85" i="91"/>
  <c r="H153" i="102"/>
  <c r="AH153" i="102"/>
  <c r="T85" i="91"/>
  <c r="I153" i="102"/>
  <c r="AI153" i="102"/>
  <c r="U85" i="91"/>
  <c r="J153" i="102"/>
  <c r="AJ153" i="102"/>
  <c r="V85" i="91"/>
  <c r="K153" i="102"/>
  <c r="AK153" i="102"/>
  <c r="W85" i="91"/>
  <c r="L153" i="102"/>
  <c r="AL153" i="102"/>
  <c r="X85" i="91"/>
  <c r="M153" i="102"/>
  <c r="AM153" i="102"/>
  <c r="N86" i="91"/>
  <c r="C154" i="102"/>
  <c r="AC154" i="102"/>
  <c r="O86" i="91"/>
  <c r="D154" i="102"/>
  <c r="AD154" i="102"/>
  <c r="P86" i="91"/>
  <c r="E154" i="102"/>
  <c r="AE154" i="102"/>
  <c r="Q86" i="91"/>
  <c r="F154" i="102"/>
  <c r="AF154" i="102"/>
  <c r="R86" i="91"/>
  <c r="G154" i="102"/>
  <c r="AG154" i="102"/>
  <c r="S86" i="91"/>
  <c r="H154" i="102"/>
  <c r="AH154" i="102"/>
  <c r="T86" i="91"/>
  <c r="I154" i="102"/>
  <c r="AI154" i="102"/>
  <c r="U86" i="91"/>
  <c r="J154" i="102"/>
  <c r="AJ154" i="102"/>
  <c r="V86" i="91"/>
  <c r="K154" i="102"/>
  <c r="AK154" i="102"/>
  <c r="W86" i="91"/>
  <c r="L154" i="102"/>
  <c r="AL154" i="102"/>
  <c r="X86" i="91"/>
  <c r="M154" i="102"/>
  <c r="AM154" i="102"/>
  <c r="N87" i="91"/>
  <c r="C155" i="102"/>
  <c r="AC155" i="102"/>
  <c r="O87" i="91"/>
  <c r="D155" i="102"/>
  <c r="AD155" i="102"/>
  <c r="P87" i="91"/>
  <c r="E155" i="102"/>
  <c r="AE155" i="102"/>
  <c r="Q87" i="91"/>
  <c r="F155" i="102"/>
  <c r="AF155" i="102"/>
  <c r="R87" i="91"/>
  <c r="G155" i="102"/>
  <c r="AG155" i="102"/>
  <c r="S87" i="91"/>
  <c r="H155" i="102"/>
  <c r="AH155" i="102"/>
  <c r="T87" i="91"/>
  <c r="I155" i="102"/>
  <c r="AI155" i="102"/>
  <c r="U87" i="91"/>
  <c r="J155" i="102"/>
  <c r="AJ155" i="102"/>
  <c r="V87" i="91"/>
  <c r="K155" i="102"/>
  <c r="AK155" i="102"/>
  <c r="W87" i="91"/>
  <c r="L155" i="102"/>
  <c r="AL155" i="102"/>
  <c r="X87" i="91"/>
  <c r="M155" i="102"/>
  <c r="AM155" i="102"/>
  <c r="N88" i="91"/>
  <c r="C156" i="102"/>
  <c r="AC156" i="102"/>
  <c r="O88" i="91"/>
  <c r="D156" i="102"/>
  <c r="AD156" i="102"/>
  <c r="P88" i="91"/>
  <c r="E156" i="102"/>
  <c r="AE156" i="102"/>
  <c r="Q88" i="91"/>
  <c r="F156" i="102"/>
  <c r="AF156" i="102"/>
  <c r="R88" i="91"/>
  <c r="G156" i="102"/>
  <c r="AG156" i="102"/>
  <c r="S88" i="91"/>
  <c r="H156" i="102"/>
  <c r="AH156" i="102"/>
  <c r="T88" i="91"/>
  <c r="I156" i="102"/>
  <c r="AI156" i="102"/>
  <c r="U88" i="91"/>
  <c r="J156" i="102"/>
  <c r="AJ156" i="102"/>
  <c r="V88" i="91"/>
  <c r="K156" i="102"/>
  <c r="AK156" i="102"/>
  <c r="W88" i="91"/>
  <c r="L156" i="102"/>
  <c r="AL156" i="102"/>
  <c r="X88" i="91"/>
  <c r="M156" i="102"/>
  <c r="AM156" i="102"/>
  <c r="N89" i="91"/>
  <c r="C157" i="102"/>
  <c r="AC157" i="102"/>
  <c r="O89" i="91"/>
  <c r="D157" i="102"/>
  <c r="AD157" i="102"/>
  <c r="P89" i="91"/>
  <c r="E157" i="102"/>
  <c r="AE157" i="102"/>
  <c r="Q89" i="91"/>
  <c r="F157" i="102"/>
  <c r="AF157" i="102"/>
  <c r="R89" i="91"/>
  <c r="G157" i="102"/>
  <c r="AG157" i="102"/>
  <c r="S89" i="91"/>
  <c r="H157" i="102"/>
  <c r="AH157" i="102"/>
  <c r="T89" i="91"/>
  <c r="I157" i="102"/>
  <c r="AI157" i="102"/>
  <c r="U89" i="91"/>
  <c r="J157" i="102"/>
  <c r="AJ157" i="102"/>
  <c r="V89" i="91"/>
  <c r="K157" i="102"/>
  <c r="AK157" i="102"/>
  <c r="W89" i="91"/>
  <c r="L157" i="102"/>
  <c r="AL157" i="102"/>
  <c r="X89" i="91"/>
  <c r="M157" i="102"/>
  <c r="AM157" i="102"/>
  <c r="N90" i="91"/>
  <c r="C158" i="102"/>
  <c r="AC158" i="102"/>
  <c r="O90" i="91"/>
  <c r="D158" i="102"/>
  <c r="AD158" i="102"/>
  <c r="P90" i="91"/>
  <c r="E158" i="102"/>
  <c r="AE158" i="102"/>
  <c r="Q90" i="91"/>
  <c r="F158" i="102"/>
  <c r="AF158" i="102"/>
  <c r="R90" i="91"/>
  <c r="G158" i="102"/>
  <c r="AG158" i="102"/>
  <c r="S90" i="91"/>
  <c r="H158" i="102"/>
  <c r="AH158" i="102"/>
  <c r="T90" i="91"/>
  <c r="I158" i="102"/>
  <c r="AI158" i="102"/>
  <c r="U90" i="91"/>
  <c r="J158" i="102"/>
  <c r="AJ158" i="102"/>
  <c r="V90" i="91"/>
  <c r="K158" i="102"/>
  <c r="AK158" i="102"/>
  <c r="W90" i="91"/>
  <c r="L158" i="102"/>
  <c r="AL158" i="102"/>
  <c r="X90" i="91"/>
  <c r="M158" i="102"/>
  <c r="AM158" i="102"/>
  <c r="N91" i="91"/>
  <c r="C159" i="102"/>
  <c r="AC159" i="102"/>
  <c r="O91" i="91"/>
  <c r="D159" i="102"/>
  <c r="AD159" i="102"/>
  <c r="P91" i="91"/>
  <c r="E159" i="102"/>
  <c r="AE159" i="102"/>
  <c r="Q91" i="91"/>
  <c r="F159" i="102"/>
  <c r="AF159" i="102"/>
  <c r="R91" i="91"/>
  <c r="G159" i="102"/>
  <c r="AG159" i="102"/>
  <c r="S91" i="91"/>
  <c r="H159" i="102"/>
  <c r="AH159" i="102"/>
  <c r="T91" i="91"/>
  <c r="I159" i="102"/>
  <c r="AI159" i="102"/>
  <c r="U91" i="91"/>
  <c r="J159" i="102"/>
  <c r="AJ159" i="102"/>
  <c r="V91" i="91"/>
  <c r="K159" i="102"/>
  <c r="AK159" i="102"/>
  <c r="W91" i="91"/>
  <c r="L159" i="102"/>
  <c r="AL159" i="102"/>
  <c r="X91" i="91"/>
  <c r="M159" i="102"/>
  <c r="AM159" i="102"/>
  <c r="N92" i="91"/>
  <c r="C160" i="102"/>
  <c r="AC160" i="102"/>
  <c r="O92" i="91"/>
  <c r="D160" i="102"/>
  <c r="AD160" i="102"/>
  <c r="P92" i="91"/>
  <c r="E160" i="102"/>
  <c r="AE160" i="102"/>
  <c r="Q92" i="91"/>
  <c r="F160" i="102"/>
  <c r="AF160" i="102"/>
  <c r="R92" i="91"/>
  <c r="G160" i="102"/>
  <c r="AG160" i="102"/>
  <c r="S92" i="91"/>
  <c r="H160" i="102"/>
  <c r="AH160" i="102"/>
  <c r="T92" i="91"/>
  <c r="I160" i="102"/>
  <c r="AI160" i="102"/>
  <c r="U92" i="91"/>
  <c r="J160" i="102"/>
  <c r="AJ160" i="102"/>
  <c r="V92" i="91"/>
  <c r="K160" i="102"/>
  <c r="AK160" i="102"/>
  <c r="W92" i="91"/>
  <c r="L160" i="102"/>
  <c r="AL160" i="102"/>
  <c r="X92" i="91"/>
  <c r="M160" i="102"/>
  <c r="AM160" i="102"/>
  <c r="E140" i="102"/>
  <c r="N16" i="99"/>
  <c r="AA52" i="91"/>
  <c r="AC52" i="91"/>
  <c r="AH52" i="91"/>
  <c r="C172" i="102"/>
  <c r="AC172" i="102"/>
  <c r="AI51" i="91"/>
  <c r="AI52" i="91"/>
  <c r="D172" i="102"/>
  <c r="AD172" i="102"/>
  <c r="AJ51" i="91"/>
  <c r="AJ52" i="91"/>
  <c r="E172" i="102"/>
  <c r="AE172" i="102"/>
  <c r="AK51" i="91"/>
  <c r="AK52" i="91"/>
  <c r="F172" i="102"/>
  <c r="AF172" i="102"/>
  <c r="AL51" i="91"/>
  <c r="AL52" i="91"/>
  <c r="G172" i="102"/>
  <c r="AG172" i="102"/>
  <c r="AM51" i="91"/>
  <c r="AM52" i="91"/>
  <c r="H172" i="102"/>
  <c r="AH172" i="102"/>
  <c r="AN51" i="91"/>
  <c r="AN52" i="91"/>
  <c r="I172" i="102"/>
  <c r="AI172" i="102"/>
  <c r="AO51" i="91"/>
  <c r="AO52" i="91"/>
  <c r="J172" i="102"/>
  <c r="AJ172" i="102"/>
  <c r="AP51" i="91"/>
  <c r="AP52" i="91"/>
  <c r="K172" i="102"/>
  <c r="AK172" i="102"/>
  <c r="AQ51" i="91"/>
  <c r="AQ52" i="91"/>
  <c r="L172" i="102"/>
  <c r="AL172" i="102"/>
  <c r="AR51" i="91"/>
  <c r="AR52" i="91"/>
  <c r="M172" i="102"/>
  <c r="AM172" i="102"/>
  <c r="AA53" i="91"/>
  <c r="AC53" i="91"/>
  <c r="AH53" i="91"/>
  <c r="C173" i="102"/>
  <c r="AC173" i="102"/>
  <c r="AI53" i="91"/>
  <c r="D173" i="102"/>
  <c r="AD173" i="102"/>
  <c r="AJ53" i="91"/>
  <c r="E173" i="102"/>
  <c r="AE173" i="102"/>
  <c r="AK53" i="91"/>
  <c r="F173" i="102"/>
  <c r="AF173" i="102"/>
  <c r="AL53" i="91"/>
  <c r="G173" i="102"/>
  <c r="AG173" i="102"/>
  <c r="AM53" i="91"/>
  <c r="H173" i="102"/>
  <c r="AH173" i="102"/>
  <c r="AN53" i="91"/>
  <c r="I173" i="102"/>
  <c r="AI173" i="102"/>
  <c r="AO53" i="91"/>
  <c r="J173" i="102"/>
  <c r="AJ173" i="102"/>
  <c r="AP53" i="91"/>
  <c r="K173" i="102"/>
  <c r="AK173" i="102"/>
  <c r="AQ53" i="91"/>
  <c r="L173" i="102"/>
  <c r="AL173" i="102"/>
  <c r="AR53" i="91"/>
  <c r="M173" i="102"/>
  <c r="AM173" i="102"/>
  <c r="AA54" i="91"/>
  <c r="AC54" i="91"/>
  <c r="AH54" i="91"/>
  <c r="C174" i="102"/>
  <c r="AC174" i="102"/>
  <c r="AI54" i="91"/>
  <c r="D174" i="102"/>
  <c r="AD174" i="102"/>
  <c r="AJ54" i="91"/>
  <c r="E174" i="102"/>
  <c r="AE174" i="102"/>
  <c r="AK54" i="91"/>
  <c r="F174" i="102"/>
  <c r="AF174" i="102"/>
  <c r="AL54" i="91"/>
  <c r="G174" i="102"/>
  <c r="AG174" i="102"/>
  <c r="AM54" i="91"/>
  <c r="H174" i="102"/>
  <c r="AH174" i="102"/>
  <c r="AN54" i="91"/>
  <c r="I174" i="102"/>
  <c r="AI174" i="102"/>
  <c r="AO54" i="91"/>
  <c r="J174" i="102"/>
  <c r="AJ174" i="102"/>
  <c r="AP54" i="91"/>
  <c r="K174" i="102"/>
  <c r="AK174" i="102"/>
  <c r="AQ54" i="91"/>
  <c r="L174" i="102"/>
  <c r="AL174" i="102"/>
  <c r="AR54" i="91"/>
  <c r="M174" i="102"/>
  <c r="AM174" i="102"/>
  <c r="AA55" i="91"/>
  <c r="AC55" i="91"/>
  <c r="AH55" i="91"/>
  <c r="C175" i="102"/>
  <c r="AC175" i="102"/>
  <c r="AI55" i="91"/>
  <c r="D175" i="102"/>
  <c r="AD175" i="102"/>
  <c r="AJ55" i="91"/>
  <c r="E175" i="102"/>
  <c r="AE175" i="102"/>
  <c r="AK55" i="91"/>
  <c r="F175" i="102"/>
  <c r="AF175" i="102"/>
  <c r="AL55" i="91"/>
  <c r="G175" i="102"/>
  <c r="AG175" i="102"/>
  <c r="AM55" i="91"/>
  <c r="H175" i="102"/>
  <c r="AH175" i="102"/>
  <c r="AN55" i="91"/>
  <c r="I175" i="102"/>
  <c r="AI175" i="102"/>
  <c r="AO55" i="91"/>
  <c r="J175" i="102"/>
  <c r="AJ175" i="102"/>
  <c r="AP55" i="91"/>
  <c r="K175" i="102"/>
  <c r="AK175" i="102"/>
  <c r="AQ55" i="91"/>
  <c r="L175" i="102"/>
  <c r="AL175" i="102"/>
  <c r="AR55" i="91"/>
  <c r="M175" i="102"/>
  <c r="AM175" i="102"/>
  <c r="AA56" i="91"/>
  <c r="AC56" i="91"/>
  <c r="AH56" i="91"/>
  <c r="C176" i="102"/>
  <c r="AC176" i="102"/>
  <c r="AI56" i="91"/>
  <c r="D176" i="102"/>
  <c r="AD176" i="102"/>
  <c r="AJ56" i="91"/>
  <c r="E176" i="102"/>
  <c r="AE176" i="102"/>
  <c r="AK56" i="91"/>
  <c r="F176" i="102"/>
  <c r="AF176" i="102"/>
  <c r="AL56" i="91"/>
  <c r="G176" i="102"/>
  <c r="AG176" i="102"/>
  <c r="AM56" i="91"/>
  <c r="H176" i="102"/>
  <c r="AH176" i="102"/>
  <c r="AN56" i="91"/>
  <c r="I176" i="102"/>
  <c r="AI176" i="102"/>
  <c r="AO56" i="91"/>
  <c r="J176" i="102"/>
  <c r="AJ176" i="102"/>
  <c r="AP56" i="91"/>
  <c r="K176" i="102"/>
  <c r="AK176" i="102"/>
  <c r="AQ56" i="91"/>
  <c r="L176" i="102"/>
  <c r="AL176" i="102"/>
  <c r="AR56" i="91"/>
  <c r="M176" i="102"/>
  <c r="AM176" i="102"/>
  <c r="AA57" i="91"/>
  <c r="AC57" i="91"/>
  <c r="AH57" i="91"/>
  <c r="C177" i="102"/>
  <c r="AC177" i="102"/>
  <c r="AI57" i="91"/>
  <c r="D177" i="102"/>
  <c r="AD177" i="102"/>
  <c r="AJ57" i="91"/>
  <c r="E177" i="102"/>
  <c r="AE177" i="102"/>
  <c r="AK57" i="91"/>
  <c r="F177" i="102"/>
  <c r="AF177" i="102"/>
  <c r="AL57" i="91"/>
  <c r="G177" i="102"/>
  <c r="AG177" i="102"/>
  <c r="AM57" i="91"/>
  <c r="H177" i="102"/>
  <c r="AH177" i="102"/>
  <c r="AN57" i="91"/>
  <c r="I177" i="102"/>
  <c r="AI177" i="102"/>
  <c r="AO57" i="91"/>
  <c r="J177" i="102"/>
  <c r="AJ177" i="102"/>
  <c r="AP57" i="91"/>
  <c r="K177" i="102"/>
  <c r="AK177" i="102"/>
  <c r="AQ57" i="91"/>
  <c r="L177" i="102"/>
  <c r="AL177" i="102"/>
  <c r="AR57" i="91"/>
  <c r="M177" i="102"/>
  <c r="AM177" i="102"/>
  <c r="AA58" i="91"/>
  <c r="AC58" i="91"/>
  <c r="AH58" i="91"/>
  <c r="C178" i="102"/>
  <c r="AC178" i="102"/>
  <c r="AI58" i="91"/>
  <c r="D178" i="102"/>
  <c r="AD178" i="102"/>
  <c r="AJ58" i="91"/>
  <c r="E178" i="102"/>
  <c r="AE178" i="102"/>
  <c r="AK58" i="91"/>
  <c r="F178" i="102"/>
  <c r="AF178" i="102"/>
  <c r="AL58" i="91"/>
  <c r="G178" i="102"/>
  <c r="AG178" i="102"/>
  <c r="AM58" i="91"/>
  <c r="H178" i="102"/>
  <c r="AH178" i="102"/>
  <c r="AN58" i="91"/>
  <c r="I178" i="102"/>
  <c r="AI178" i="102"/>
  <c r="AO58" i="91"/>
  <c r="J178" i="102"/>
  <c r="AJ178" i="102"/>
  <c r="AP58" i="91"/>
  <c r="K178" i="102"/>
  <c r="AK178" i="102"/>
  <c r="AQ58" i="91"/>
  <c r="L178" i="102"/>
  <c r="AL178" i="102"/>
  <c r="AR58" i="91"/>
  <c r="M178" i="102"/>
  <c r="AM178" i="102"/>
  <c r="AA59" i="91"/>
  <c r="AC59" i="91"/>
  <c r="AH59" i="91"/>
  <c r="C179" i="102"/>
  <c r="AC179" i="102"/>
  <c r="AI59" i="91"/>
  <c r="D179" i="102"/>
  <c r="AD179" i="102"/>
  <c r="AJ59" i="91"/>
  <c r="E179" i="102"/>
  <c r="AE179" i="102"/>
  <c r="AK59" i="91"/>
  <c r="F179" i="102"/>
  <c r="AF179" i="102"/>
  <c r="AL59" i="91"/>
  <c r="G179" i="102"/>
  <c r="AG179" i="102"/>
  <c r="AM59" i="91"/>
  <c r="H179" i="102"/>
  <c r="AH179" i="102"/>
  <c r="AN59" i="91"/>
  <c r="I179" i="102"/>
  <c r="AI179" i="102"/>
  <c r="AO59" i="91"/>
  <c r="J179" i="102"/>
  <c r="AJ179" i="102"/>
  <c r="AP59" i="91"/>
  <c r="K179" i="102"/>
  <c r="AK179" i="102"/>
  <c r="AQ59" i="91"/>
  <c r="L179" i="102"/>
  <c r="AL179" i="102"/>
  <c r="AR59" i="91"/>
  <c r="M179" i="102"/>
  <c r="AM179" i="102"/>
  <c r="AA60" i="91"/>
  <c r="AC60" i="91"/>
  <c r="AH60" i="91"/>
  <c r="C180" i="102"/>
  <c r="AC180" i="102"/>
  <c r="AI60" i="91"/>
  <c r="D180" i="102"/>
  <c r="AD180" i="102"/>
  <c r="AJ60" i="91"/>
  <c r="E180" i="102"/>
  <c r="AE180" i="102"/>
  <c r="AK60" i="91"/>
  <c r="F180" i="102"/>
  <c r="AF180" i="102"/>
  <c r="AL60" i="91"/>
  <c r="G180" i="102"/>
  <c r="AG180" i="102"/>
  <c r="AM60" i="91"/>
  <c r="H180" i="102"/>
  <c r="AH180" i="102"/>
  <c r="AN60" i="91"/>
  <c r="I180" i="102"/>
  <c r="AI180" i="102"/>
  <c r="AO60" i="91"/>
  <c r="J180" i="102"/>
  <c r="AJ180" i="102"/>
  <c r="AP60" i="91"/>
  <c r="K180" i="102"/>
  <c r="AK180" i="102"/>
  <c r="AQ60" i="91"/>
  <c r="L180" i="102"/>
  <c r="AL180" i="102"/>
  <c r="AR60" i="91"/>
  <c r="M180" i="102"/>
  <c r="AM180" i="102"/>
  <c r="AA61" i="91"/>
  <c r="AC61" i="91"/>
  <c r="AH61" i="91"/>
  <c r="C181" i="102"/>
  <c r="AC181" i="102"/>
  <c r="AI61" i="91"/>
  <c r="D181" i="102"/>
  <c r="AD181" i="102"/>
  <c r="AJ61" i="91"/>
  <c r="E181" i="102"/>
  <c r="AE181" i="102"/>
  <c r="AK61" i="91"/>
  <c r="F181" i="102"/>
  <c r="AF181" i="102"/>
  <c r="AL61" i="91"/>
  <c r="G181" i="102"/>
  <c r="AG181" i="102"/>
  <c r="AM61" i="91"/>
  <c r="H181" i="102"/>
  <c r="AH181" i="102"/>
  <c r="AN61" i="91"/>
  <c r="I181" i="102"/>
  <c r="AI181" i="102"/>
  <c r="AO61" i="91"/>
  <c r="J181" i="102"/>
  <c r="AJ181" i="102"/>
  <c r="AP61" i="91"/>
  <c r="K181" i="102"/>
  <c r="AK181" i="102"/>
  <c r="AQ61" i="91"/>
  <c r="L181" i="102"/>
  <c r="AL181" i="102"/>
  <c r="AR61" i="91"/>
  <c r="M181" i="102"/>
  <c r="AM181" i="102"/>
  <c r="AA62" i="91"/>
  <c r="AC62" i="91"/>
  <c r="AH62" i="91"/>
  <c r="C182" i="102"/>
  <c r="AC182" i="102"/>
  <c r="AI62" i="91"/>
  <c r="D182" i="102"/>
  <c r="AD182" i="102"/>
  <c r="AJ62" i="91"/>
  <c r="E182" i="102"/>
  <c r="AE182" i="102"/>
  <c r="AK62" i="91"/>
  <c r="F182" i="102"/>
  <c r="AF182" i="102"/>
  <c r="AL62" i="91"/>
  <c r="G182" i="102"/>
  <c r="AG182" i="102"/>
  <c r="AM62" i="91"/>
  <c r="H182" i="102"/>
  <c r="AH182" i="102"/>
  <c r="AN62" i="91"/>
  <c r="I182" i="102"/>
  <c r="AI182" i="102"/>
  <c r="AO62" i="91"/>
  <c r="J182" i="102"/>
  <c r="AJ182" i="102"/>
  <c r="AP62" i="91"/>
  <c r="K182" i="102"/>
  <c r="AK182" i="102"/>
  <c r="AQ62" i="91"/>
  <c r="L182" i="102"/>
  <c r="AL182" i="102"/>
  <c r="AR62" i="91"/>
  <c r="M182" i="102"/>
  <c r="AM182" i="102"/>
  <c r="AA63" i="91"/>
  <c r="AC63" i="91"/>
  <c r="AH63" i="91"/>
  <c r="C183" i="102"/>
  <c r="AC183" i="102"/>
  <c r="AI63" i="91"/>
  <c r="D183" i="102"/>
  <c r="AD183" i="102"/>
  <c r="AJ63" i="91"/>
  <c r="E183" i="102"/>
  <c r="AE183" i="102"/>
  <c r="AK63" i="91"/>
  <c r="F183" i="102"/>
  <c r="AF183" i="102"/>
  <c r="AL63" i="91"/>
  <c r="G183" i="102"/>
  <c r="AG183" i="102"/>
  <c r="AM63" i="91"/>
  <c r="H183" i="102"/>
  <c r="AH183" i="102"/>
  <c r="AN63" i="91"/>
  <c r="I183" i="102"/>
  <c r="AI183" i="102"/>
  <c r="AO63" i="91"/>
  <c r="J183" i="102"/>
  <c r="AJ183" i="102"/>
  <c r="AP63" i="91"/>
  <c r="K183" i="102"/>
  <c r="AK183" i="102"/>
  <c r="AQ63" i="91"/>
  <c r="L183" i="102"/>
  <c r="AL183" i="102"/>
  <c r="AR63" i="91"/>
  <c r="M183" i="102"/>
  <c r="AM183" i="102"/>
  <c r="AA64" i="91"/>
  <c r="AC64" i="91"/>
  <c r="AH64" i="91"/>
  <c r="C184" i="102"/>
  <c r="AC184" i="102"/>
  <c r="AI64" i="91"/>
  <c r="D184" i="102"/>
  <c r="AD184" i="102"/>
  <c r="AJ64" i="91"/>
  <c r="E184" i="102"/>
  <c r="AE184" i="102"/>
  <c r="AK64" i="91"/>
  <c r="F184" i="102"/>
  <c r="AF184" i="102"/>
  <c r="AL64" i="91"/>
  <c r="G184" i="102"/>
  <c r="AG184" i="102"/>
  <c r="AM64" i="91"/>
  <c r="H184" i="102"/>
  <c r="AH184" i="102"/>
  <c r="AN64" i="91"/>
  <c r="I184" i="102"/>
  <c r="AI184" i="102"/>
  <c r="AO64" i="91"/>
  <c r="J184" i="102"/>
  <c r="AJ184" i="102"/>
  <c r="AP64" i="91"/>
  <c r="K184" i="102"/>
  <c r="AK184" i="102"/>
  <c r="AQ64" i="91"/>
  <c r="L184" i="102"/>
  <c r="AL184" i="102"/>
  <c r="AR64" i="91"/>
  <c r="M184" i="102"/>
  <c r="AM184" i="102"/>
  <c r="AA65" i="91"/>
  <c r="AC65" i="91"/>
  <c r="AH65" i="91"/>
  <c r="C185" i="102"/>
  <c r="AC185" i="102"/>
  <c r="AI65" i="91"/>
  <c r="D185" i="102"/>
  <c r="AD185" i="102"/>
  <c r="AJ65" i="91"/>
  <c r="E185" i="102"/>
  <c r="AE185" i="102"/>
  <c r="AK65" i="91"/>
  <c r="F185" i="102"/>
  <c r="AF185" i="102"/>
  <c r="AL65" i="91"/>
  <c r="G185" i="102"/>
  <c r="AG185" i="102"/>
  <c r="AM65" i="91"/>
  <c r="H185" i="102"/>
  <c r="AH185" i="102"/>
  <c r="AN65" i="91"/>
  <c r="I185" i="102"/>
  <c r="AI185" i="102"/>
  <c r="AO65" i="91"/>
  <c r="J185" i="102"/>
  <c r="AJ185" i="102"/>
  <c r="AP65" i="91"/>
  <c r="K185" i="102"/>
  <c r="AK185" i="102"/>
  <c r="AQ65" i="91"/>
  <c r="L185" i="102"/>
  <c r="AL185" i="102"/>
  <c r="AR65" i="91"/>
  <c r="M185" i="102"/>
  <c r="AM185" i="102"/>
  <c r="AA66" i="91"/>
  <c r="AC66" i="91"/>
  <c r="AH66" i="91"/>
  <c r="C186" i="102"/>
  <c r="AC186" i="102"/>
  <c r="AI66" i="91"/>
  <c r="D186" i="102"/>
  <c r="AD186" i="102"/>
  <c r="AJ66" i="91"/>
  <c r="E186" i="102"/>
  <c r="AE186" i="102"/>
  <c r="AK66" i="91"/>
  <c r="F186" i="102"/>
  <c r="AF186" i="102"/>
  <c r="AL66" i="91"/>
  <c r="G186" i="102"/>
  <c r="AG186" i="102"/>
  <c r="AM66" i="91"/>
  <c r="H186" i="102"/>
  <c r="AH186" i="102"/>
  <c r="AN66" i="91"/>
  <c r="I186" i="102"/>
  <c r="AI186" i="102"/>
  <c r="AO66" i="91"/>
  <c r="J186" i="102"/>
  <c r="AJ186" i="102"/>
  <c r="AP66" i="91"/>
  <c r="K186" i="102"/>
  <c r="AK186" i="102"/>
  <c r="AQ66" i="91"/>
  <c r="L186" i="102"/>
  <c r="AL186" i="102"/>
  <c r="AR66" i="91"/>
  <c r="M186" i="102"/>
  <c r="AM186" i="102"/>
  <c r="AA67" i="91"/>
  <c r="AC67" i="91"/>
  <c r="AH67" i="91"/>
  <c r="C187" i="102"/>
  <c r="AC187" i="102"/>
  <c r="AI67" i="91"/>
  <c r="D187" i="102"/>
  <c r="AD187" i="102"/>
  <c r="AJ67" i="91"/>
  <c r="E187" i="102"/>
  <c r="AE187" i="102"/>
  <c r="AK67" i="91"/>
  <c r="F187" i="102"/>
  <c r="AF187" i="102"/>
  <c r="AL67" i="91"/>
  <c r="G187" i="102"/>
  <c r="AG187" i="102"/>
  <c r="AM67" i="91"/>
  <c r="H187" i="102"/>
  <c r="AH187" i="102"/>
  <c r="AN67" i="91"/>
  <c r="I187" i="102"/>
  <c r="AI187" i="102"/>
  <c r="AO67" i="91"/>
  <c r="J187" i="102"/>
  <c r="AJ187" i="102"/>
  <c r="AP67" i="91"/>
  <c r="K187" i="102"/>
  <c r="AK187" i="102"/>
  <c r="AQ67" i="91"/>
  <c r="L187" i="102"/>
  <c r="AL187" i="102"/>
  <c r="AR67" i="91"/>
  <c r="M187" i="102"/>
  <c r="AM187" i="102"/>
  <c r="E167" i="102"/>
  <c r="N19" i="99"/>
  <c r="AH77" i="91"/>
  <c r="C199" i="102"/>
  <c r="AC199" i="102"/>
  <c r="AI76" i="91"/>
  <c r="AI77" i="91"/>
  <c r="D199" i="102"/>
  <c r="AD199" i="102"/>
  <c r="AJ76" i="91"/>
  <c r="AJ77" i="91"/>
  <c r="E199" i="102"/>
  <c r="AE199" i="102"/>
  <c r="AK76" i="91"/>
  <c r="AK77" i="91"/>
  <c r="F199" i="102"/>
  <c r="AF199" i="102"/>
  <c r="AL76" i="91"/>
  <c r="AL77" i="91"/>
  <c r="G199" i="102"/>
  <c r="AG199" i="102"/>
  <c r="AM76" i="91"/>
  <c r="AM77" i="91"/>
  <c r="H199" i="102"/>
  <c r="AH199" i="102"/>
  <c r="AN76" i="91"/>
  <c r="AN77" i="91"/>
  <c r="I199" i="102"/>
  <c r="AI199" i="102"/>
  <c r="AO76" i="91"/>
  <c r="AO77" i="91"/>
  <c r="J199" i="102"/>
  <c r="AJ199" i="102"/>
  <c r="AP76" i="91"/>
  <c r="AP77" i="91"/>
  <c r="K199" i="102"/>
  <c r="AK199" i="102"/>
  <c r="AQ76" i="91"/>
  <c r="AQ77" i="91"/>
  <c r="L199" i="102"/>
  <c r="AL199" i="102"/>
  <c r="AR76" i="91"/>
  <c r="AR77" i="91"/>
  <c r="M199" i="102"/>
  <c r="AM199" i="102"/>
  <c r="AH78" i="91"/>
  <c r="C200" i="102"/>
  <c r="AC200" i="102"/>
  <c r="AI78" i="91"/>
  <c r="D200" i="102"/>
  <c r="AD200" i="102"/>
  <c r="AJ78" i="91"/>
  <c r="E200" i="102"/>
  <c r="AE200" i="102"/>
  <c r="AK78" i="91"/>
  <c r="F200" i="102"/>
  <c r="AF200" i="102"/>
  <c r="AL78" i="91"/>
  <c r="G200" i="102"/>
  <c r="AG200" i="102"/>
  <c r="AM78" i="91"/>
  <c r="H200" i="102"/>
  <c r="AH200" i="102"/>
  <c r="AN78" i="91"/>
  <c r="I200" i="102"/>
  <c r="AI200" i="102"/>
  <c r="AO78" i="91"/>
  <c r="J200" i="102"/>
  <c r="AJ200" i="102"/>
  <c r="AP78" i="91"/>
  <c r="K200" i="102"/>
  <c r="AK200" i="102"/>
  <c r="AQ78" i="91"/>
  <c r="L200" i="102"/>
  <c r="AL200" i="102"/>
  <c r="AR78" i="91"/>
  <c r="M200" i="102"/>
  <c r="AM200" i="102"/>
  <c r="AH79" i="91"/>
  <c r="C201" i="102"/>
  <c r="AC201" i="102"/>
  <c r="AI79" i="91"/>
  <c r="D201" i="102"/>
  <c r="AD201" i="102"/>
  <c r="AJ79" i="91"/>
  <c r="E201" i="102"/>
  <c r="AE201" i="102"/>
  <c r="AK79" i="91"/>
  <c r="F201" i="102"/>
  <c r="AF201" i="102"/>
  <c r="AL79" i="91"/>
  <c r="G201" i="102"/>
  <c r="AG201" i="102"/>
  <c r="AM79" i="91"/>
  <c r="H201" i="102"/>
  <c r="AH201" i="102"/>
  <c r="AN79" i="91"/>
  <c r="I201" i="102"/>
  <c r="AI201" i="102"/>
  <c r="AO79" i="91"/>
  <c r="J201" i="102"/>
  <c r="AJ201" i="102"/>
  <c r="AP79" i="91"/>
  <c r="K201" i="102"/>
  <c r="AK201" i="102"/>
  <c r="AQ79" i="91"/>
  <c r="L201" i="102"/>
  <c r="AL201" i="102"/>
  <c r="AR79" i="91"/>
  <c r="M201" i="102"/>
  <c r="AM201" i="102"/>
  <c r="AH80" i="91"/>
  <c r="C202" i="102"/>
  <c r="AC202" i="102"/>
  <c r="AI80" i="91"/>
  <c r="D202" i="102"/>
  <c r="AD202" i="102"/>
  <c r="AJ80" i="91"/>
  <c r="E202" i="102"/>
  <c r="AE202" i="102"/>
  <c r="AK80" i="91"/>
  <c r="F202" i="102"/>
  <c r="AF202" i="102"/>
  <c r="AL80" i="91"/>
  <c r="G202" i="102"/>
  <c r="AG202" i="102"/>
  <c r="AM80" i="91"/>
  <c r="H202" i="102"/>
  <c r="AH202" i="102"/>
  <c r="AN80" i="91"/>
  <c r="I202" i="102"/>
  <c r="AI202" i="102"/>
  <c r="AO80" i="91"/>
  <c r="J202" i="102"/>
  <c r="AJ202" i="102"/>
  <c r="AP80" i="91"/>
  <c r="K202" i="102"/>
  <c r="AK202" i="102"/>
  <c r="AQ80" i="91"/>
  <c r="L202" i="102"/>
  <c r="AL202" i="102"/>
  <c r="AR80" i="91"/>
  <c r="M202" i="102"/>
  <c r="AM202" i="102"/>
  <c r="AH81" i="91"/>
  <c r="C203" i="102"/>
  <c r="AC203" i="102"/>
  <c r="AI81" i="91"/>
  <c r="D203" i="102"/>
  <c r="AD203" i="102"/>
  <c r="AJ81" i="91"/>
  <c r="E203" i="102"/>
  <c r="AE203" i="102"/>
  <c r="AK81" i="91"/>
  <c r="F203" i="102"/>
  <c r="AF203" i="102"/>
  <c r="AL81" i="91"/>
  <c r="G203" i="102"/>
  <c r="AG203" i="102"/>
  <c r="AM81" i="91"/>
  <c r="H203" i="102"/>
  <c r="AH203" i="102"/>
  <c r="AN81" i="91"/>
  <c r="I203" i="102"/>
  <c r="AI203" i="102"/>
  <c r="AO81" i="91"/>
  <c r="J203" i="102"/>
  <c r="AJ203" i="102"/>
  <c r="AP81" i="91"/>
  <c r="K203" i="102"/>
  <c r="AK203" i="102"/>
  <c r="AQ81" i="91"/>
  <c r="L203" i="102"/>
  <c r="AL203" i="102"/>
  <c r="AR81" i="91"/>
  <c r="M203" i="102"/>
  <c r="AM203" i="102"/>
  <c r="AH82" i="91"/>
  <c r="C204" i="102"/>
  <c r="AC204" i="102"/>
  <c r="AI82" i="91"/>
  <c r="D204" i="102"/>
  <c r="AD204" i="102"/>
  <c r="AJ82" i="91"/>
  <c r="E204" i="102"/>
  <c r="AE204" i="102"/>
  <c r="AK82" i="91"/>
  <c r="F204" i="102"/>
  <c r="AF204" i="102"/>
  <c r="AL82" i="91"/>
  <c r="G204" i="102"/>
  <c r="AG204" i="102"/>
  <c r="AM82" i="91"/>
  <c r="H204" i="102"/>
  <c r="AH204" i="102"/>
  <c r="AN82" i="91"/>
  <c r="I204" i="102"/>
  <c r="AI204" i="102"/>
  <c r="AO82" i="91"/>
  <c r="J204" i="102"/>
  <c r="AJ204" i="102"/>
  <c r="AP82" i="91"/>
  <c r="K204" i="102"/>
  <c r="AK204" i="102"/>
  <c r="AQ82" i="91"/>
  <c r="L204" i="102"/>
  <c r="AL204" i="102"/>
  <c r="AR82" i="91"/>
  <c r="M204" i="102"/>
  <c r="AM204" i="102"/>
  <c r="AH83" i="91"/>
  <c r="C205" i="102"/>
  <c r="AC205" i="102"/>
  <c r="AI83" i="91"/>
  <c r="D205" i="102"/>
  <c r="AD205" i="102"/>
  <c r="AJ83" i="91"/>
  <c r="E205" i="102"/>
  <c r="AE205" i="102"/>
  <c r="AK83" i="91"/>
  <c r="F205" i="102"/>
  <c r="AF205" i="102"/>
  <c r="AL83" i="91"/>
  <c r="G205" i="102"/>
  <c r="AG205" i="102"/>
  <c r="AM83" i="91"/>
  <c r="H205" i="102"/>
  <c r="AH205" i="102"/>
  <c r="AN83" i="91"/>
  <c r="I205" i="102"/>
  <c r="AI205" i="102"/>
  <c r="AO83" i="91"/>
  <c r="J205" i="102"/>
  <c r="AJ205" i="102"/>
  <c r="AP83" i="91"/>
  <c r="K205" i="102"/>
  <c r="AK205" i="102"/>
  <c r="AQ83" i="91"/>
  <c r="L205" i="102"/>
  <c r="AL205" i="102"/>
  <c r="AR83" i="91"/>
  <c r="M205" i="102"/>
  <c r="AM205" i="102"/>
  <c r="AH84" i="91"/>
  <c r="C206" i="102"/>
  <c r="AC206" i="102"/>
  <c r="AI84" i="91"/>
  <c r="D206" i="102"/>
  <c r="AD206" i="102"/>
  <c r="AJ84" i="91"/>
  <c r="E206" i="102"/>
  <c r="AE206" i="102"/>
  <c r="AK84" i="91"/>
  <c r="F206" i="102"/>
  <c r="AF206" i="102"/>
  <c r="AL84" i="91"/>
  <c r="G206" i="102"/>
  <c r="AG206" i="102"/>
  <c r="AM84" i="91"/>
  <c r="H206" i="102"/>
  <c r="AH206" i="102"/>
  <c r="AN84" i="91"/>
  <c r="I206" i="102"/>
  <c r="AI206" i="102"/>
  <c r="AO84" i="91"/>
  <c r="J206" i="102"/>
  <c r="AJ206" i="102"/>
  <c r="AP84" i="91"/>
  <c r="K206" i="102"/>
  <c r="AK206" i="102"/>
  <c r="AQ84" i="91"/>
  <c r="L206" i="102"/>
  <c r="AL206" i="102"/>
  <c r="AR84" i="91"/>
  <c r="M206" i="102"/>
  <c r="AM206" i="102"/>
  <c r="AH85" i="91"/>
  <c r="C207" i="102"/>
  <c r="AC207" i="102"/>
  <c r="AI85" i="91"/>
  <c r="D207" i="102"/>
  <c r="AD207" i="102"/>
  <c r="AJ85" i="91"/>
  <c r="E207" i="102"/>
  <c r="AE207" i="102"/>
  <c r="AK85" i="91"/>
  <c r="F207" i="102"/>
  <c r="AF207" i="102"/>
  <c r="AL85" i="91"/>
  <c r="G207" i="102"/>
  <c r="AG207" i="102"/>
  <c r="AM85" i="91"/>
  <c r="H207" i="102"/>
  <c r="AH207" i="102"/>
  <c r="AN85" i="91"/>
  <c r="I207" i="102"/>
  <c r="AI207" i="102"/>
  <c r="AO85" i="91"/>
  <c r="J207" i="102"/>
  <c r="AJ207" i="102"/>
  <c r="AP85" i="91"/>
  <c r="K207" i="102"/>
  <c r="AK207" i="102"/>
  <c r="AQ85" i="91"/>
  <c r="L207" i="102"/>
  <c r="AL207" i="102"/>
  <c r="AR85" i="91"/>
  <c r="M207" i="102"/>
  <c r="AM207" i="102"/>
  <c r="AH86" i="91"/>
  <c r="C208" i="102"/>
  <c r="AC208" i="102"/>
  <c r="AI86" i="91"/>
  <c r="D208" i="102"/>
  <c r="AD208" i="102"/>
  <c r="AJ86" i="91"/>
  <c r="E208" i="102"/>
  <c r="AE208" i="102"/>
  <c r="AK86" i="91"/>
  <c r="F208" i="102"/>
  <c r="AF208" i="102"/>
  <c r="AL86" i="91"/>
  <c r="G208" i="102"/>
  <c r="AG208" i="102"/>
  <c r="AM86" i="91"/>
  <c r="H208" i="102"/>
  <c r="AH208" i="102"/>
  <c r="AN86" i="91"/>
  <c r="I208" i="102"/>
  <c r="AI208" i="102"/>
  <c r="AO86" i="91"/>
  <c r="J208" i="102"/>
  <c r="AJ208" i="102"/>
  <c r="AP86" i="91"/>
  <c r="K208" i="102"/>
  <c r="AK208" i="102"/>
  <c r="AQ86" i="91"/>
  <c r="L208" i="102"/>
  <c r="AL208" i="102"/>
  <c r="AR86" i="91"/>
  <c r="M208" i="102"/>
  <c r="AM208" i="102"/>
  <c r="AH87" i="91"/>
  <c r="C209" i="102"/>
  <c r="AC209" i="102"/>
  <c r="AI87" i="91"/>
  <c r="D209" i="102"/>
  <c r="AD209" i="102"/>
  <c r="AJ87" i="91"/>
  <c r="E209" i="102"/>
  <c r="AE209" i="102"/>
  <c r="AK87" i="91"/>
  <c r="F209" i="102"/>
  <c r="AF209" i="102"/>
  <c r="AL87" i="91"/>
  <c r="G209" i="102"/>
  <c r="AG209" i="102"/>
  <c r="AM87" i="91"/>
  <c r="H209" i="102"/>
  <c r="AH209" i="102"/>
  <c r="AN87" i="91"/>
  <c r="I209" i="102"/>
  <c r="AI209" i="102"/>
  <c r="AO87" i="91"/>
  <c r="J209" i="102"/>
  <c r="AJ209" i="102"/>
  <c r="AP87" i="91"/>
  <c r="K209" i="102"/>
  <c r="AK209" i="102"/>
  <c r="AQ87" i="91"/>
  <c r="L209" i="102"/>
  <c r="AL209" i="102"/>
  <c r="AR87" i="91"/>
  <c r="M209" i="102"/>
  <c r="AM209" i="102"/>
  <c r="AH88" i="91"/>
  <c r="C210" i="102"/>
  <c r="AC210" i="102"/>
  <c r="AI88" i="91"/>
  <c r="D210" i="102"/>
  <c r="AD210" i="102"/>
  <c r="AJ88" i="91"/>
  <c r="E210" i="102"/>
  <c r="AE210" i="102"/>
  <c r="AK88" i="91"/>
  <c r="F210" i="102"/>
  <c r="AF210" i="102"/>
  <c r="AL88" i="91"/>
  <c r="G210" i="102"/>
  <c r="AG210" i="102"/>
  <c r="AM88" i="91"/>
  <c r="H210" i="102"/>
  <c r="AH210" i="102"/>
  <c r="AN88" i="91"/>
  <c r="I210" i="102"/>
  <c r="AI210" i="102"/>
  <c r="AO88" i="91"/>
  <c r="J210" i="102"/>
  <c r="AJ210" i="102"/>
  <c r="AP88" i="91"/>
  <c r="K210" i="102"/>
  <c r="AK210" i="102"/>
  <c r="AQ88" i="91"/>
  <c r="L210" i="102"/>
  <c r="AL210" i="102"/>
  <c r="AR88" i="91"/>
  <c r="M210" i="102"/>
  <c r="AM210" i="102"/>
  <c r="AH89" i="91"/>
  <c r="C211" i="102"/>
  <c r="AC211" i="102"/>
  <c r="AI89" i="91"/>
  <c r="D211" i="102"/>
  <c r="AD211" i="102"/>
  <c r="AJ89" i="91"/>
  <c r="E211" i="102"/>
  <c r="AE211" i="102"/>
  <c r="AK89" i="91"/>
  <c r="F211" i="102"/>
  <c r="AF211" i="102"/>
  <c r="AL89" i="91"/>
  <c r="G211" i="102"/>
  <c r="AG211" i="102"/>
  <c r="AM89" i="91"/>
  <c r="H211" i="102"/>
  <c r="AH211" i="102"/>
  <c r="AN89" i="91"/>
  <c r="I211" i="102"/>
  <c r="AI211" i="102"/>
  <c r="AO89" i="91"/>
  <c r="J211" i="102"/>
  <c r="AJ211" i="102"/>
  <c r="AP89" i="91"/>
  <c r="K211" i="102"/>
  <c r="AK211" i="102"/>
  <c r="AQ89" i="91"/>
  <c r="L211" i="102"/>
  <c r="AL211" i="102"/>
  <c r="AR89" i="91"/>
  <c r="M211" i="102"/>
  <c r="AM211" i="102"/>
  <c r="AH90" i="91"/>
  <c r="C212" i="102"/>
  <c r="AC212" i="102"/>
  <c r="AI90" i="91"/>
  <c r="D212" i="102"/>
  <c r="AD212" i="102"/>
  <c r="AJ90" i="91"/>
  <c r="E212" i="102"/>
  <c r="AE212" i="102"/>
  <c r="AK90" i="91"/>
  <c r="F212" i="102"/>
  <c r="AF212" i="102"/>
  <c r="AL90" i="91"/>
  <c r="G212" i="102"/>
  <c r="AG212" i="102"/>
  <c r="AM90" i="91"/>
  <c r="H212" i="102"/>
  <c r="AH212" i="102"/>
  <c r="AN90" i="91"/>
  <c r="I212" i="102"/>
  <c r="AI212" i="102"/>
  <c r="AO90" i="91"/>
  <c r="J212" i="102"/>
  <c r="AJ212" i="102"/>
  <c r="AP90" i="91"/>
  <c r="K212" i="102"/>
  <c r="AK212" i="102"/>
  <c r="AQ90" i="91"/>
  <c r="L212" i="102"/>
  <c r="AL212" i="102"/>
  <c r="AR90" i="91"/>
  <c r="M212" i="102"/>
  <c r="AM212" i="102"/>
  <c r="AH91" i="91"/>
  <c r="C213" i="102"/>
  <c r="AC213" i="102"/>
  <c r="AI91" i="91"/>
  <c r="D213" i="102"/>
  <c r="AD213" i="102"/>
  <c r="AJ91" i="91"/>
  <c r="E213" i="102"/>
  <c r="AE213" i="102"/>
  <c r="AK91" i="91"/>
  <c r="F213" i="102"/>
  <c r="AF213" i="102"/>
  <c r="AL91" i="91"/>
  <c r="G213" i="102"/>
  <c r="AG213" i="102"/>
  <c r="AM91" i="91"/>
  <c r="H213" i="102"/>
  <c r="AH213" i="102"/>
  <c r="AN91" i="91"/>
  <c r="I213" i="102"/>
  <c r="AI213" i="102"/>
  <c r="AO91" i="91"/>
  <c r="J213" i="102"/>
  <c r="AJ213" i="102"/>
  <c r="AP91" i="91"/>
  <c r="K213" i="102"/>
  <c r="AK213" i="102"/>
  <c r="AQ91" i="91"/>
  <c r="L213" i="102"/>
  <c r="AL213" i="102"/>
  <c r="AR91" i="91"/>
  <c r="M213" i="102"/>
  <c r="AM213" i="102"/>
  <c r="AH92" i="91"/>
  <c r="C214" i="102"/>
  <c r="AC214" i="102"/>
  <c r="AI92" i="91"/>
  <c r="D214" i="102"/>
  <c r="AD214" i="102"/>
  <c r="AJ92" i="91"/>
  <c r="E214" i="102"/>
  <c r="AE214" i="102"/>
  <c r="AK92" i="91"/>
  <c r="F214" i="102"/>
  <c r="AF214" i="102"/>
  <c r="AL92" i="91"/>
  <c r="G214" i="102"/>
  <c r="AG214" i="102"/>
  <c r="AM92" i="91"/>
  <c r="H214" i="102"/>
  <c r="AH214" i="102"/>
  <c r="AN92" i="91"/>
  <c r="I214" i="102"/>
  <c r="AI214" i="102"/>
  <c r="AO92" i="91"/>
  <c r="J214" i="102"/>
  <c r="AJ214" i="102"/>
  <c r="AP92" i="91"/>
  <c r="K214" i="102"/>
  <c r="AK214" i="102"/>
  <c r="AQ92" i="91"/>
  <c r="L214" i="102"/>
  <c r="AL214" i="102"/>
  <c r="AR92" i="91"/>
  <c r="M214" i="102"/>
  <c r="AM214" i="102"/>
  <c r="E194" i="102"/>
  <c r="N20" i="99"/>
  <c r="N24" i="99"/>
  <c r="N6" i="100"/>
  <c r="C10" i="94"/>
  <c r="E10" i="94"/>
  <c r="C11" i="94"/>
  <c r="E11" i="94"/>
  <c r="C12" i="94"/>
  <c r="E12" i="94"/>
  <c r="C13" i="94"/>
  <c r="E13" i="94"/>
  <c r="C14" i="94"/>
  <c r="E14" i="94"/>
  <c r="C15" i="94"/>
  <c r="E15" i="94"/>
  <c r="C16" i="94"/>
  <c r="E16" i="94"/>
  <c r="C17" i="94"/>
  <c r="E17" i="94"/>
  <c r="C18" i="94"/>
  <c r="E18" i="94"/>
  <c r="C19" i="94"/>
  <c r="E19" i="94"/>
  <c r="C20" i="94"/>
  <c r="E20" i="94"/>
  <c r="C21" i="94"/>
  <c r="E21" i="94"/>
  <c r="C22" i="94"/>
  <c r="E22" i="94"/>
  <c r="C23" i="94"/>
  <c r="E23" i="94"/>
  <c r="C24" i="94"/>
  <c r="E24" i="94"/>
  <c r="C25" i="94"/>
  <c r="E25" i="94"/>
  <c r="H10" i="94"/>
  <c r="J10" i="94"/>
  <c r="H11" i="94"/>
  <c r="J11" i="94"/>
  <c r="H12" i="94"/>
  <c r="J12" i="94"/>
  <c r="H13" i="94"/>
  <c r="J13" i="94"/>
  <c r="H14" i="94"/>
  <c r="J14" i="94"/>
  <c r="H15" i="94"/>
  <c r="J15" i="94"/>
  <c r="H16" i="94"/>
  <c r="J16" i="94"/>
  <c r="H17" i="94"/>
  <c r="J17" i="94"/>
  <c r="H18" i="94"/>
  <c r="J18" i="94"/>
  <c r="H19" i="94"/>
  <c r="J19" i="94"/>
  <c r="H20" i="94"/>
  <c r="J20" i="94"/>
  <c r="H21" i="94"/>
  <c r="J21" i="94"/>
  <c r="H22" i="94"/>
  <c r="J22" i="94"/>
  <c r="H23" i="94"/>
  <c r="J23" i="94"/>
  <c r="H24" i="94"/>
  <c r="J24" i="94"/>
  <c r="H25" i="94"/>
  <c r="J25" i="94"/>
  <c r="C5" i="94"/>
  <c r="N6" i="98"/>
  <c r="C37" i="94"/>
  <c r="D37" i="94"/>
  <c r="C59" i="94"/>
  <c r="E37" i="94"/>
  <c r="D59" i="94"/>
  <c r="F37" i="94"/>
  <c r="E59" i="94"/>
  <c r="G37" i="94"/>
  <c r="F59" i="94"/>
  <c r="H37" i="94"/>
  <c r="G59" i="94"/>
  <c r="I37" i="94"/>
  <c r="H59" i="94"/>
  <c r="J37" i="94"/>
  <c r="I59" i="94"/>
  <c r="K37" i="94"/>
  <c r="J59" i="94"/>
  <c r="L37" i="94"/>
  <c r="K59" i="94"/>
  <c r="M37" i="94"/>
  <c r="L59" i="94"/>
  <c r="C38" i="94"/>
  <c r="D38" i="94"/>
  <c r="C60" i="94"/>
  <c r="E38" i="94"/>
  <c r="D60" i="94"/>
  <c r="F38" i="94"/>
  <c r="E60" i="94"/>
  <c r="G38" i="94"/>
  <c r="F60" i="94"/>
  <c r="H38" i="94"/>
  <c r="G60" i="94"/>
  <c r="I38" i="94"/>
  <c r="H60" i="94"/>
  <c r="J38" i="94"/>
  <c r="I60" i="94"/>
  <c r="K38" i="94"/>
  <c r="J60" i="94"/>
  <c r="L38" i="94"/>
  <c r="K60" i="94"/>
  <c r="M38" i="94"/>
  <c r="L60" i="94"/>
  <c r="C39" i="94"/>
  <c r="D39" i="94"/>
  <c r="C61" i="94"/>
  <c r="E39" i="94"/>
  <c r="D61" i="94"/>
  <c r="F39" i="94"/>
  <c r="E61" i="94"/>
  <c r="G39" i="94"/>
  <c r="F61" i="94"/>
  <c r="H39" i="94"/>
  <c r="G61" i="94"/>
  <c r="I39" i="94"/>
  <c r="H61" i="94"/>
  <c r="J39" i="94"/>
  <c r="I61" i="94"/>
  <c r="K39" i="94"/>
  <c r="J61" i="94"/>
  <c r="L39" i="94"/>
  <c r="K61" i="94"/>
  <c r="M39" i="94"/>
  <c r="L61" i="94"/>
  <c r="C40" i="94"/>
  <c r="D40" i="94"/>
  <c r="C62" i="94"/>
  <c r="E40" i="94"/>
  <c r="D62" i="94"/>
  <c r="F40" i="94"/>
  <c r="E62" i="94"/>
  <c r="G40" i="94"/>
  <c r="F62" i="94"/>
  <c r="H40" i="94"/>
  <c r="G62" i="94"/>
  <c r="I40" i="94"/>
  <c r="H62" i="94"/>
  <c r="J40" i="94"/>
  <c r="I62" i="94"/>
  <c r="K40" i="94"/>
  <c r="J62" i="94"/>
  <c r="L40" i="94"/>
  <c r="K62" i="94"/>
  <c r="M40" i="94"/>
  <c r="L62" i="94"/>
  <c r="C41" i="94"/>
  <c r="D41" i="94"/>
  <c r="C63" i="94"/>
  <c r="E41" i="94"/>
  <c r="D63" i="94"/>
  <c r="F41" i="94"/>
  <c r="E63" i="94"/>
  <c r="G41" i="94"/>
  <c r="F63" i="94"/>
  <c r="H41" i="94"/>
  <c r="G63" i="94"/>
  <c r="I41" i="94"/>
  <c r="H63" i="94"/>
  <c r="J41" i="94"/>
  <c r="I63" i="94"/>
  <c r="K41" i="94"/>
  <c r="J63" i="94"/>
  <c r="L41" i="94"/>
  <c r="K63" i="94"/>
  <c r="M41" i="94"/>
  <c r="L63" i="94"/>
  <c r="C42" i="94"/>
  <c r="D42" i="94"/>
  <c r="C64" i="94"/>
  <c r="E42" i="94"/>
  <c r="D64" i="94"/>
  <c r="F42" i="94"/>
  <c r="E64" i="94"/>
  <c r="G42" i="94"/>
  <c r="F64" i="94"/>
  <c r="H42" i="94"/>
  <c r="G64" i="94"/>
  <c r="I42" i="94"/>
  <c r="H64" i="94"/>
  <c r="J42" i="94"/>
  <c r="I64" i="94"/>
  <c r="K42" i="94"/>
  <c r="J64" i="94"/>
  <c r="L42" i="94"/>
  <c r="K64" i="94"/>
  <c r="M42" i="94"/>
  <c r="L64" i="94"/>
  <c r="C43" i="94"/>
  <c r="D43" i="94"/>
  <c r="C65" i="94"/>
  <c r="E43" i="94"/>
  <c r="D65" i="94"/>
  <c r="F43" i="94"/>
  <c r="E65" i="94"/>
  <c r="G43" i="94"/>
  <c r="F65" i="94"/>
  <c r="H43" i="94"/>
  <c r="G65" i="94"/>
  <c r="I43" i="94"/>
  <c r="H65" i="94"/>
  <c r="J43" i="94"/>
  <c r="I65" i="94"/>
  <c r="K43" i="94"/>
  <c r="J65" i="94"/>
  <c r="L43" i="94"/>
  <c r="K65" i="94"/>
  <c r="M43" i="94"/>
  <c r="L65" i="94"/>
  <c r="C44" i="94"/>
  <c r="D44" i="94"/>
  <c r="C66" i="94"/>
  <c r="E44" i="94"/>
  <c r="D66" i="94"/>
  <c r="F44" i="94"/>
  <c r="E66" i="94"/>
  <c r="G44" i="94"/>
  <c r="F66" i="94"/>
  <c r="H44" i="94"/>
  <c r="G66" i="94"/>
  <c r="I44" i="94"/>
  <c r="H66" i="94"/>
  <c r="J44" i="94"/>
  <c r="I66" i="94"/>
  <c r="K44" i="94"/>
  <c r="J66" i="94"/>
  <c r="L44" i="94"/>
  <c r="K66" i="94"/>
  <c r="M44" i="94"/>
  <c r="L66" i="94"/>
  <c r="C45" i="94"/>
  <c r="D45" i="94"/>
  <c r="C67" i="94"/>
  <c r="E45" i="94"/>
  <c r="D67" i="94"/>
  <c r="F45" i="94"/>
  <c r="E67" i="94"/>
  <c r="G45" i="94"/>
  <c r="F67" i="94"/>
  <c r="H45" i="94"/>
  <c r="G67" i="94"/>
  <c r="I45" i="94"/>
  <c r="H67" i="94"/>
  <c r="J45" i="94"/>
  <c r="I67" i="94"/>
  <c r="K45" i="94"/>
  <c r="J67" i="94"/>
  <c r="L45" i="94"/>
  <c r="K67" i="94"/>
  <c r="M45" i="94"/>
  <c r="L67" i="94"/>
  <c r="C46" i="94"/>
  <c r="D46" i="94"/>
  <c r="C68" i="94"/>
  <c r="E46" i="94"/>
  <c r="D68" i="94"/>
  <c r="F46" i="94"/>
  <c r="E68" i="94"/>
  <c r="G46" i="94"/>
  <c r="F68" i="94"/>
  <c r="H46" i="94"/>
  <c r="G68" i="94"/>
  <c r="I46" i="94"/>
  <c r="H68" i="94"/>
  <c r="J46" i="94"/>
  <c r="I68" i="94"/>
  <c r="K46" i="94"/>
  <c r="J68" i="94"/>
  <c r="L46" i="94"/>
  <c r="K68" i="94"/>
  <c r="M46" i="94"/>
  <c r="L68" i="94"/>
  <c r="C47" i="94"/>
  <c r="D47" i="94"/>
  <c r="C69" i="94"/>
  <c r="E47" i="94"/>
  <c r="D69" i="94"/>
  <c r="F47" i="94"/>
  <c r="E69" i="94"/>
  <c r="G47" i="94"/>
  <c r="F69" i="94"/>
  <c r="H47" i="94"/>
  <c r="G69" i="94"/>
  <c r="I47" i="94"/>
  <c r="H69" i="94"/>
  <c r="J47" i="94"/>
  <c r="I69" i="94"/>
  <c r="K47" i="94"/>
  <c r="J69" i="94"/>
  <c r="L47" i="94"/>
  <c r="K69" i="94"/>
  <c r="M47" i="94"/>
  <c r="L69" i="94"/>
  <c r="C48" i="94"/>
  <c r="D48" i="94"/>
  <c r="C70" i="94"/>
  <c r="E48" i="94"/>
  <c r="D70" i="94"/>
  <c r="F48" i="94"/>
  <c r="E70" i="94"/>
  <c r="G48" i="94"/>
  <c r="F70" i="94"/>
  <c r="H48" i="94"/>
  <c r="G70" i="94"/>
  <c r="I48" i="94"/>
  <c r="H70" i="94"/>
  <c r="J48" i="94"/>
  <c r="I70" i="94"/>
  <c r="K48" i="94"/>
  <c r="J70" i="94"/>
  <c r="L48" i="94"/>
  <c r="K70" i="94"/>
  <c r="M48" i="94"/>
  <c r="L70" i="94"/>
  <c r="C49" i="94"/>
  <c r="D49" i="94"/>
  <c r="C71" i="94"/>
  <c r="E49" i="94"/>
  <c r="D71" i="94"/>
  <c r="F49" i="94"/>
  <c r="E71" i="94"/>
  <c r="G49" i="94"/>
  <c r="F71" i="94"/>
  <c r="H49" i="94"/>
  <c r="G71" i="94"/>
  <c r="I49" i="94"/>
  <c r="H71" i="94"/>
  <c r="J49" i="94"/>
  <c r="I71" i="94"/>
  <c r="K49" i="94"/>
  <c r="J71" i="94"/>
  <c r="L49" i="94"/>
  <c r="K71" i="94"/>
  <c r="M49" i="94"/>
  <c r="L71" i="94"/>
  <c r="C50" i="94"/>
  <c r="D50" i="94"/>
  <c r="C72" i="94"/>
  <c r="E50" i="94"/>
  <c r="D72" i="94"/>
  <c r="F50" i="94"/>
  <c r="E72" i="94"/>
  <c r="G50" i="94"/>
  <c r="F72" i="94"/>
  <c r="H50" i="94"/>
  <c r="G72" i="94"/>
  <c r="I50" i="94"/>
  <c r="H72" i="94"/>
  <c r="J50" i="94"/>
  <c r="I72" i="94"/>
  <c r="K50" i="94"/>
  <c r="J72" i="94"/>
  <c r="L50" i="94"/>
  <c r="K72" i="94"/>
  <c r="M50" i="94"/>
  <c r="L72" i="94"/>
  <c r="C51" i="94"/>
  <c r="D51" i="94"/>
  <c r="C73" i="94"/>
  <c r="E51" i="94"/>
  <c r="D73" i="94"/>
  <c r="F51" i="94"/>
  <c r="E73" i="94"/>
  <c r="G51" i="94"/>
  <c r="F73" i="94"/>
  <c r="H51" i="94"/>
  <c r="G73" i="94"/>
  <c r="I51" i="94"/>
  <c r="H73" i="94"/>
  <c r="J51" i="94"/>
  <c r="I73" i="94"/>
  <c r="K51" i="94"/>
  <c r="J73" i="94"/>
  <c r="L51" i="94"/>
  <c r="K73" i="94"/>
  <c r="M51" i="94"/>
  <c r="L73" i="94"/>
  <c r="C52" i="94"/>
  <c r="D52" i="94"/>
  <c r="C74" i="94"/>
  <c r="E52" i="94"/>
  <c r="D74" i="94"/>
  <c r="F52" i="94"/>
  <c r="E74" i="94"/>
  <c r="G52" i="94"/>
  <c r="F74" i="94"/>
  <c r="H52" i="94"/>
  <c r="G74" i="94"/>
  <c r="I52" i="94"/>
  <c r="H74" i="94"/>
  <c r="J52" i="94"/>
  <c r="I74" i="94"/>
  <c r="K52" i="94"/>
  <c r="J74" i="94"/>
  <c r="L52" i="94"/>
  <c r="K74" i="94"/>
  <c r="M52" i="94"/>
  <c r="L74" i="94"/>
  <c r="C33" i="94"/>
  <c r="N9" i="98"/>
  <c r="P59" i="94"/>
  <c r="Q59" i="94"/>
  <c r="R59" i="94"/>
  <c r="S59" i="94"/>
  <c r="T59" i="94"/>
  <c r="V59" i="94"/>
  <c r="W59" i="94"/>
  <c r="X59" i="94"/>
  <c r="Y59" i="94"/>
  <c r="Z59" i="94"/>
  <c r="P60" i="94"/>
  <c r="Q60" i="94"/>
  <c r="R60" i="94"/>
  <c r="S60" i="94"/>
  <c r="T60" i="94"/>
  <c r="V60" i="94"/>
  <c r="W60" i="94"/>
  <c r="X60" i="94"/>
  <c r="Y60" i="94"/>
  <c r="Z60" i="94"/>
  <c r="P61" i="94"/>
  <c r="Q61" i="94"/>
  <c r="R61" i="94"/>
  <c r="S61" i="94"/>
  <c r="T61" i="94"/>
  <c r="V61" i="94"/>
  <c r="W61" i="94"/>
  <c r="X61" i="94"/>
  <c r="Y61" i="94"/>
  <c r="Z61" i="94"/>
  <c r="P62" i="94"/>
  <c r="Q62" i="94"/>
  <c r="R62" i="94"/>
  <c r="S62" i="94"/>
  <c r="T62" i="94"/>
  <c r="V62" i="94"/>
  <c r="W62" i="94"/>
  <c r="X62" i="94"/>
  <c r="Y62" i="94"/>
  <c r="Z62" i="94"/>
  <c r="P63" i="94"/>
  <c r="Q63" i="94"/>
  <c r="R63" i="94"/>
  <c r="S63" i="94"/>
  <c r="T63" i="94"/>
  <c r="V63" i="94"/>
  <c r="W63" i="94"/>
  <c r="X63" i="94"/>
  <c r="Y63" i="94"/>
  <c r="Z63" i="94"/>
  <c r="P64" i="94"/>
  <c r="Q64" i="94"/>
  <c r="R64" i="94"/>
  <c r="S64" i="94"/>
  <c r="T64" i="94"/>
  <c r="V64" i="94"/>
  <c r="W64" i="94"/>
  <c r="X64" i="94"/>
  <c r="Y64" i="94"/>
  <c r="Z64" i="94"/>
  <c r="P65" i="94"/>
  <c r="Q65" i="94"/>
  <c r="R65" i="94"/>
  <c r="S65" i="94"/>
  <c r="T65" i="94"/>
  <c r="V65" i="94"/>
  <c r="W65" i="94"/>
  <c r="X65" i="94"/>
  <c r="Y65" i="94"/>
  <c r="Z65" i="94"/>
  <c r="P66" i="94"/>
  <c r="Q66" i="94"/>
  <c r="R66" i="94"/>
  <c r="S66" i="94"/>
  <c r="T66" i="94"/>
  <c r="V66" i="94"/>
  <c r="W66" i="94"/>
  <c r="X66" i="94"/>
  <c r="Y66" i="94"/>
  <c r="Z66" i="94"/>
  <c r="P67" i="94"/>
  <c r="Q67" i="94"/>
  <c r="R67" i="94"/>
  <c r="S67" i="94"/>
  <c r="T67" i="94"/>
  <c r="V67" i="94"/>
  <c r="W67" i="94"/>
  <c r="X67" i="94"/>
  <c r="Y67" i="94"/>
  <c r="Z67" i="94"/>
  <c r="P68" i="94"/>
  <c r="Q68" i="94"/>
  <c r="R68" i="94"/>
  <c r="S68" i="94"/>
  <c r="T68" i="94"/>
  <c r="V68" i="94"/>
  <c r="W68" i="94"/>
  <c r="X68" i="94"/>
  <c r="Y68" i="94"/>
  <c r="Z68" i="94"/>
  <c r="P69" i="94"/>
  <c r="Q69" i="94"/>
  <c r="R69" i="94"/>
  <c r="S69" i="94"/>
  <c r="T69" i="94"/>
  <c r="V69" i="94"/>
  <c r="W69" i="94"/>
  <c r="X69" i="94"/>
  <c r="Y69" i="94"/>
  <c r="Z69" i="94"/>
  <c r="P70" i="94"/>
  <c r="Q70" i="94"/>
  <c r="R70" i="94"/>
  <c r="S70" i="94"/>
  <c r="T70" i="94"/>
  <c r="V70" i="94"/>
  <c r="W70" i="94"/>
  <c r="X70" i="94"/>
  <c r="Y70" i="94"/>
  <c r="Z70" i="94"/>
  <c r="P71" i="94"/>
  <c r="Q71" i="94"/>
  <c r="R71" i="94"/>
  <c r="S71" i="94"/>
  <c r="T71" i="94"/>
  <c r="V71" i="94"/>
  <c r="W71" i="94"/>
  <c r="X71" i="94"/>
  <c r="Y71" i="94"/>
  <c r="Z71" i="94"/>
  <c r="P72" i="94"/>
  <c r="Q72" i="94"/>
  <c r="R72" i="94"/>
  <c r="S72" i="94"/>
  <c r="T72" i="94"/>
  <c r="V72" i="94"/>
  <c r="W72" i="94"/>
  <c r="X72" i="94"/>
  <c r="Y72" i="94"/>
  <c r="Z72" i="94"/>
  <c r="P73" i="94"/>
  <c r="Q73" i="94"/>
  <c r="R73" i="94"/>
  <c r="S73" i="94"/>
  <c r="T73" i="94"/>
  <c r="V73" i="94"/>
  <c r="W73" i="94"/>
  <c r="X73" i="94"/>
  <c r="Y73" i="94"/>
  <c r="Z73" i="94"/>
  <c r="H33" i="94"/>
  <c r="N10" i="98"/>
  <c r="C86" i="94"/>
  <c r="D86" i="94"/>
  <c r="C108" i="94"/>
  <c r="E86" i="94"/>
  <c r="D108" i="94"/>
  <c r="F86" i="94"/>
  <c r="E108" i="94"/>
  <c r="G86" i="94"/>
  <c r="F108" i="94"/>
  <c r="H86" i="94"/>
  <c r="G108" i="94"/>
  <c r="I86" i="94"/>
  <c r="H108" i="94"/>
  <c r="J86" i="94"/>
  <c r="I108" i="94"/>
  <c r="K86" i="94"/>
  <c r="J108" i="94"/>
  <c r="L86" i="94"/>
  <c r="K108" i="94"/>
  <c r="M86" i="94"/>
  <c r="L108" i="94"/>
  <c r="C87" i="94"/>
  <c r="D87" i="94"/>
  <c r="C109" i="94"/>
  <c r="E87" i="94"/>
  <c r="D109" i="94"/>
  <c r="F87" i="94"/>
  <c r="E109" i="94"/>
  <c r="G87" i="94"/>
  <c r="F109" i="94"/>
  <c r="H87" i="94"/>
  <c r="G109" i="94"/>
  <c r="I87" i="94"/>
  <c r="H109" i="94"/>
  <c r="J87" i="94"/>
  <c r="I109" i="94"/>
  <c r="K87" i="94"/>
  <c r="J109" i="94"/>
  <c r="L87" i="94"/>
  <c r="K109" i="94"/>
  <c r="M87" i="94"/>
  <c r="L109" i="94"/>
  <c r="C88" i="94"/>
  <c r="D88" i="94"/>
  <c r="C110" i="94"/>
  <c r="E88" i="94"/>
  <c r="D110" i="94"/>
  <c r="F88" i="94"/>
  <c r="E110" i="94"/>
  <c r="G88" i="94"/>
  <c r="F110" i="94"/>
  <c r="H88" i="94"/>
  <c r="G110" i="94"/>
  <c r="I88" i="94"/>
  <c r="H110" i="94"/>
  <c r="J88" i="94"/>
  <c r="I110" i="94"/>
  <c r="K88" i="94"/>
  <c r="J110" i="94"/>
  <c r="L88" i="94"/>
  <c r="K110" i="94"/>
  <c r="M88" i="94"/>
  <c r="L110" i="94"/>
  <c r="C89" i="94"/>
  <c r="D89" i="94"/>
  <c r="C111" i="94"/>
  <c r="E89" i="94"/>
  <c r="D111" i="94"/>
  <c r="F89" i="94"/>
  <c r="E111" i="94"/>
  <c r="G89" i="94"/>
  <c r="F111" i="94"/>
  <c r="H89" i="94"/>
  <c r="G111" i="94"/>
  <c r="I89" i="94"/>
  <c r="H111" i="94"/>
  <c r="J89" i="94"/>
  <c r="I111" i="94"/>
  <c r="K89" i="94"/>
  <c r="J111" i="94"/>
  <c r="L89" i="94"/>
  <c r="K111" i="94"/>
  <c r="M89" i="94"/>
  <c r="L111" i="94"/>
  <c r="C90" i="94"/>
  <c r="D90" i="94"/>
  <c r="C112" i="94"/>
  <c r="E90" i="94"/>
  <c r="D112" i="94"/>
  <c r="F90" i="94"/>
  <c r="E112" i="94"/>
  <c r="G90" i="94"/>
  <c r="F112" i="94"/>
  <c r="H90" i="94"/>
  <c r="G112" i="94"/>
  <c r="I90" i="94"/>
  <c r="H112" i="94"/>
  <c r="J90" i="94"/>
  <c r="I112" i="94"/>
  <c r="K90" i="94"/>
  <c r="J112" i="94"/>
  <c r="L90" i="94"/>
  <c r="K112" i="94"/>
  <c r="M90" i="94"/>
  <c r="L112" i="94"/>
  <c r="C91" i="94"/>
  <c r="D91" i="94"/>
  <c r="C113" i="94"/>
  <c r="E91" i="94"/>
  <c r="D113" i="94"/>
  <c r="F91" i="94"/>
  <c r="E113" i="94"/>
  <c r="G91" i="94"/>
  <c r="F113" i="94"/>
  <c r="H91" i="94"/>
  <c r="G113" i="94"/>
  <c r="I91" i="94"/>
  <c r="H113" i="94"/>
  <c r="J91" i="94"/>
  <c r="I113" i="94"/>
  <c r="K91" i="94"/>
  <c r="J113" i="94"/>
  <c r="L91" i="94"/>
  <c r="K113" i="94"/>
  <c r="M91" i="94"/>
  <c r="L113" i="94"/>
  <c r="C92" i="94"/>
  <c r="D92" i="94"/>
  <c r="C114" i="94"/>
  <c r="E92" i="94"/>
  <c r="D114" i="94"/>
  <c r="F92" i="94"/>
  <c r="E114" i="94"/>
  <c r="G92" i="94"/>
  <c r="F114" i="94"/>
  <c r="H92" i="94"/>
  <c r="G114" i="94"/>
  <c r="I92" i="94"/>
  <c r="H114" i="94"/>
  <c r="J92" i="94"/>
  <c r="I114" i="94"/>
  <c r="K92" i="94"/>
  <c r="J114" i="94"/>
  <c r="L92" i="94"/>
  <c r="K114" i="94"/>
  <c r="M92" i="94"/>
  <c r="L114" i="94"/>
  <c r="C93" i="94"/>
  <c r="D93" i="94"/>
  <c r="C115" i="94"/>
  <c r="E93" i="94"/>
  <c r="D115" i="94"/>
  <c r="F93" i="94"/>
  <c r="E115" i="94"/>
  <c r="G93" i="94"/>
  <c r="F115" i="94"/>
  <c r="H93" i="94"/>
  <c r="G115" i="94"/>
  <c r="I93" i="94"/>
  <c r="H115" i="94"/>
  <c r="J93" i="94"/>
  <c r="I115" i="94"/>
  <c r="K93" i="94"/>
  <c r="J115" i="94"/>
  <c r="L93" i="94"/>
  <c r="K115" i="94"/>
  <c r="M93" i="94"/>
  <c r="L115" i="94"/>
  <c r="C94" i="94"/>
  <c r="D94" i="94"/>
  <c r="C116" i="94"/>
  <c r="E94" i="94"/>
  <c r="D116" i="94"/>
  <c r="F94" i="94"/>
  <c r="E116" i="94"/>
  <c r="G94" i="94"/>
  <c r="F116" i="94"/>
  <c r="H94" i="94"/>
  <c r="G116" i="94"/>
  <c r="I94" i="94"/>
  <c r="H116" i="94"/>
  <c r="J94" i="94"/>
  <c r="I116" i="94"/>
  <c r="K94" i="94"/>
  <c r="J116" i="94"/>
  <c r="L94" i="94"/>
  <c r="K116" i="94"/>
  <c r="M94" i="94"/>
  <c r="L116" i="94"/>
  <c r="C95" i="94"/>
  <c r="D95" i="94"/>
  <c r="C117" i="94"/>
  <c r="E95" i="94"/>
  <c r="D117" i="94"/>
  <c r="F95" i="94"/>
  <c r="E117" i="94"/>
  <c r="G95" i="94"/>
  <c r="F117" i="94"/>
  <c r="H95" i="94"/>
  <c r="G117" i="94"/>
  <c r="I95" i="94"/>
  <c r="H117" i="94"/>
  <c r="J95" i="94"/>
  <c r="I117" i="94"/>
  <c r="K95" i="94"/>
  <c r="J117" i="94"/>
  <c r="L95" i="94"/>
  <c r="K117" i="94"/>
  <c r="M95" i="94"/>
  <c r="L117" i="94"/>
  <c r="C96" i="94"/>
  <c r="D96" i="94"/>
  <c r="C118" i="94"/>
  <c r="E96" i="94"/>
  <c r="D118" i="94"/>
  <c r="F96" i="94"/>
  <c r="E118" i="94"/>
  <c r="G96" i="94"/>
  <c r="F118" i="94"/>
  <c r="H96" i="94"/>
  <c r="G118" i="94"/>
  <c r="I96" i="94"/>
  <c r="H118" i="94"/>
  <c r="J96" i="94"/>
  <c r="I118" i="94"/>
  <c r="K96" i="94"/>
  <c r="J118" i="94"/>
  <c r="L96" i="94"/>
  <c r="K118" i="94"/>
  <c r="M96" i="94"/>
  <c r="L118" i="94"/>
  <c r="C97" i="94"/>
  <c r="D97" i="94"/>
  <c r="C119" i="94"/>
  <c r="E97" i="94"/>
  <c r="D119" i="94"/>
  <c r="F97" i="94"/>
  <c r="E119" i="94"/>
  <c r="G97" i="94"/>
  <c r="F119" i="94"/>
  <c r="H97" i="94"/>
  <c r="G119" i="94"/>
  <c r="I97" i="94"/>
  <c r="H119" i="94"/>
  <c r="J97" i="94"/>
  <c r="I119" i="94"/>
  <c r="K97" i="94"/>
  <c r="J119" i="94"/>
  <c r="L97" i="94"/>
  <c r="K119" i="94"/>
  <c r="M97" i="94"/>
  <c r="L119" i="94"/>
  <c r="C98" i="94"/>
  <c r="D98" i="94"/>
  <c r="C120" i="94"/>
  <c r="E98" i="94"/>
  <c r="D120" i="94"/>
  <c r="F98" i="94"/>
  <c r="E120" i="94"/>
  <c r="G98" i="94"/>
  <c r="F120" i="94"/>
  <c r="H98" i="94"/>
  <c r="G120" i="94"/>
  <c r="I98" i="94"/>
  <c r="H120" i="94"/>
  <c r="J98" i="94"/>
  <c r="I120" i="94"/>
  <c r="K98" i="94"/>
  <c r="J120" i="94"/>
  <c r="L98" i="94"/>
  <c r="K120" i="94"/>
  <c r="M98" i="94"/>
  <c r="L120" i="94"/>
  <c r="C99" i="94"/>
  <c r="D99" i="94"/>
  <c r="C121" i="94"/>
  <c r="E99" i="94"/>
  <c r="D121" i="94"/>
  <c r="F99" i="94"/>
  <c r="E121" i="94"/>
  <c r="G99" i="94"/>
  <c r="F121" i="94"/>
  <c r="H99" i="94"/>
  <c r="G121" i="94"/>
  <c r="I99" i="94"/>
  <c r="H121" i="94"/>
  <c r="J99" i="94"/>
  <c r="I121" i="94"/>
  <c r="K99" i="94"/>
  <c r="J121" i="94"/>
  <c r="L99" i="94"/>
  <c r="K121" i="94"/>
  <c r="M99" i="94"/>
  <c r="L121" i="94"/>
  <c r="C100" i="94"/>
  <c r="D100" i="94"/>
  <c r="C122" i="94"/>
  <c r="E100" i="94"/>
  <c r="D122" i="94"/>
  <c r="F100" i="94"/>
  <c r="E122" i="94"/>
  <c r="G100" i="94"/>
  <c r="F122" i="94"/>
  <c r="H100" i="94"/>
  <c r="G122" i="94"/>
  <c r="I100" i="94"/>
  <c r="H122" i="94"/>
  <c r="J100" i="94"/>
  <c r="I122" i="94"/>
  <c r="K100" i="94"/>
  <c r="J122" i="94"/>
  <c r="L100" i="94"/>
  <c r="K122" i="94"/>
  <c r="M100" i="94"/>
  <c r="L122" i="94"/>
  <c r="C101" i="94"/>
  <c r="D101" i="94"/>
  <c r="C123" i="94"/>
  <c r="E101" i="94"/>
  <c r="D123" i="94"/>
  <c r="F101" i="94"/>
  <c r="E123" i="94"/>
  <c r="G101" i="94"/>
  <c r="F123" i="94"/>
  <c r="H101" i="94"/>
  <c r="G123" i="94"/>
  <c r="I101" i="94"/>
  <c r="H123" i="94"/>
  <c r="J101" i="94"/>
  <c r="I123" i="94"/>
  <c r="K101" i="94"/>
  <c r="J123" i="94"/>
  <c r="L101" i="94"/>
  <c r="K123" i="94"/>
  <c r="M101" i="94"/>
  <c r="L123" i="94"/>
  <c r="C82" i="94"/>
  <c r="N13" i="98"/>
  <c r="P108" i="94"/>
  <c r="Q108" i="94"/>
  <c r="R108" i="94"/>
  <c r="S108" i="94"/>
  <c r="T108" i="94"/>
  <c r="V108" i="94"/>
  <c r="W108" i="94"/>
  <c r="X108" i="94"/>
  <c r="Y108" i="94"/>
  <c r="Z108" i="94"/>
  <c r="P109" i="94"/>
  <c r="Q109" i="94"/>
  <c r="R109" i="94"/>
  <c r="S109" i="94"/>
  <c r="T109" i="94"/>
  <c r="V109" i="94"/>
  <c r="W109" i="94"/>
  <c r="X109" i="94"/>
  <c r="Y109" i="94"/>
  <c r="Z109" i="94"/>
  <c r="P110" i="94"/>
  <c r="Q110" i="94"/>
  <c r="R110" i="94"/>
  <c r="S110" i="94"/>
  <c r="T110" i="94"/>
  <c r="V110" i="94"/>
  <c r="W110" i="94"/>
  <c r="X110" i="94"/>
  <c r="Y110" i="94"/>
  <c r="Z110" i="94"/>
  <c r="P111" i="94"/>
  <c r="Q111" i="94"/>
  <c r="R111" i="94"/>
  <c r="S111" i="94"/>
  <c r="T111" i="94"/>
  <c r="V111" i="94"/>
  <c r="W111" i="94"/>
  <c r="X111" i="94"/>
  <c r="Y111" i="94"/>
  <c r="Z111" i="94"/>
  <c r="P112" i="94"/>
  <c r="Q112" i="94"/>
  <c r="R112" i="94"/>
  <c r="S112" i="94"/>
  <c r="T112" i="94"/>
  <c r="V112" i="94"/>
  <c r="W112" i="94"/>
  <c r="X112" i="94"/>
  <c r="Y112" i="94"/>
  <c r="Z112" i="94"/>
  <c r="P113" i="94"/>
  <c r="Q113" i="94"/>
  <c r="R113" i="94"/>
  <c r="S113" i="94"/>
  <c r="T113" i="94"/>
  <c r="V113" i="94"/>
  <c r="W113" i="94"/>
  <c r="X113" i="94"/>
  <c r="Y113" i="94"/>
  <c r="Z113" i="94"/>
  <c r="P114" i="94"/>
  <c r="Q114" i="94"/>
  <c r="R114" i="94"/>
  <c r="S114" i="94"/>
  <c r="T114" i="94"/>
  <c r="V114" i="94"/>
  <c r="W114" i="94"/>
  <c r="X114" i="94"/>
  <c r="Y114" i="94"/>
  <c r="Z114" i="94"/>
  <c r="P115" i="94"/>
  <c r="Q115" i="94"/>
  <c r="R115" i="94"/>
  <c r="S115" i="94"/>
  <c r="T115" i="94"/>
  <c r="V115" i="94"/>
  <c r="W115" i="94"/>
  <c r="X115" i="94"/>
  <c r="Y115" i="94"/>
  <c r="Z115" i="94"/>
  <c r="P116" i="94"/>
  <c r="Q116" i="94"/>
  <c r="R116" i="94"/>
  <c r="S116" i="94"/>
  <c r="T116" i="94"/>
  <c r="V116" i="94"/>
  <c r="W116" i="94"/>
  <c r="X116" i="94"/>
  <c r="Y116" i="94"/>
  <c r="Z116" i="94"/>
  <c r="P117" i="94"/>
  <c r="Q117" i="94"/>
  <c r="R117" i="94"/>
  <c r="S117" i="94"/>
  <c r="T117" i="94"/>
  <c r="V117" i="94"/>
  <c r="W117" i="94"/>
  <c r="X117" i="94"/>
  <c r="Y117" i="94"/>
  <c r="Z117" i="94"/>
  <c r="P118" i="94"/>
  <c r="Q118" i="94"/>
  <c r="R118" i="94"/>
  <c r="S118" i="94"/>
  <c r="T118" i="94"/>
  <c r="V118" i="94"/>
  <c r="W118" i="94"/>
  <c r="X118" i="94"/>
  <c r="Y118" i="94"/>
  <c r="Z118" i="94"/>
  <c r="P119" i="94"/>
  <c r="Q119" i="94"/>
  <c r="R119" i="94"/>
  <c r="S119" i="94"/>
  <c r="T119" i="94"/>
  <c r="V119" i="94"/>
  <c r="W119" i="94"/>
  <c r="X119" i="94"/>
  <c r="Y119" i="94"/>
  <c r="Z119" i="94"/>
  <c r="P120" i="94"/>
  <c r="Q120" i="94"/>
  <c r="R120" i="94"/>
  <c r="S120" i="94"/>
  <c r="T120" i="94"/>
  <c r="V120" i="94"/>
  <c r="W120" i="94"/>
  <c r="X120" i="94"/>
  <c r="Y120" i="94"/>
  <c r="Z120" i="94"/>
  <c r="P121" i="94"/>
  <c r="Q121" i="94"/>
  <c r="R121" i="94"/>
  <c r="S121" i="94"/>
  <c r="T121" i="94"/>
  <c r="V121" i="94"/>
  <c r="W121" i="94"/>
  <c r="X121" i="94"/>
  <c r="Y121" i="94"/>
  <c r="Z121" i="94"/>
  <c r="P122" i="94"/>
  <c r="Q122" i="94"/>
  <c r="R122" i="94"/>
  <c r="S122" i="94"/>
  <c r="T122" i="94"/>
  <c r="V122" i="94"/>
  <c r="W122" i="94"/>
  <c r="X122" i="94"/>
  <c r="Y122" i="94"/>
  <c r="Z122" i="94"/>
  <c r="H82" i="94"/>
  <c r="N14" i="98"/>
  <c r="C135" i="94"/>
  <c r="D135" i="94"/>
  <c r="C157" i="94"/>
  <c r="E135" i="94"/>
  <c r="D157" i="94"/>
  <c r="F135" i="94"/>
  <c r="E157" i="94"/>
  <c r="G135" i="94"/>
  <c r="F157" i="94"/>
  <c r="H135" i="94"/>
  <c r="G157" i="94"/>
  <c r="I135" i="94"/>
  <c r="H157" i="94"/>
  <c r="J135" i="94"/>
  <c r="I157" i="94"/>
  <c r="K135" i="94"/>
  <c r="J157" i="94"/>
  <c r="L135" i="94"/>
  <c r="K157" i="94"/>
  <c r="M135" i="94"/>
  <c r="L157" i="94"/>
  <c r="C136" i="94"/>
  <c r="D136" i="94"/>
  <c r="C158" i="94"/>
  <c r="E136" i="94"/>
  <c r="D158" i="94"/>
  <c r="F136" i="94"/>
  <c r="E158" i="94"/>
  <c r="G136" i="94"/>
  <c r="F158" i="94"/>
  <c r="H136" i="94"/>
  <c r="G158" i="94"/>
  <c r="I136" i="94"/>
  <c r="H158" i="94"/>
  <c r="J136" i="94"/>
  <c r="I158" i="94"/>
  <c r="K136" i="94"/>
  <c r="J158" i="94"/>
  <c r="L136" i="94"/>
  <c r="K158" i="94"/>
  <c r="M136" i="94"/>
  <c r="L158" i="94"/>
  <c r="C137" i="94"/>
  <c r="D137" i="94"/>
  <c r="C159" i="94"/>
  <c r="E137" i="94"/>
  <c r="D159" i="94"/>
  <c r="F137" i="94"/>
  <c r="E159" i="94"/>
  <c r="G137" i="94"/>
  <c r="F159" i="94"/>
  <c r="H137" i="94"/>
  <c r="G159" i="94"/>
  <c r="I137" i="94"/>
  <c r="H159" i="94"/>
  <c r="J137" i="94"/>
  <c r="I159" i="94"/>
  <c r="K137" i="94"/>
  <c r="J159" i="94"/>
  <c r="L137" i="94"/>
  <c r="K159" i="94"/>
  <c r="M137" i="94"/>
  <c r="L159" i="94"/>
  <c r="C138" i="94"/>
  <c r="D138" i="94"/>
  <c r="C160" i="94"/>
  <c r="E138" i="94"/>
  <c r="D160" i="94"/>
  <c r="F138" i="94"/>
  <c r="E160" i="94"/>
  <c r="G138" i="94"/>
  <c r="F160" i="94"/>
  <c r="H138" i="94"/>
  <c r="G160" i="94"/>
  <c r="I138" i="94"/>
  <c r="H160" i="94"/>
  <c r="J138" i="94"/>
  <c r="I160" i="94"/>
  <c r="K138" i="94"/>
  <c r="J160" i="94"/>
  <c r="L138" i="94"/>
  <c r="K160" i="94"/>
  <c r="M138" i="94"/>
  <c r="L160" i="94"/>
  <c r="C139" i="94"/>
  <c r="D139" i="94"/>
  <c r="C161" i="94"/>
  <c r="E139" i="94"/>
  <c r="D161" i="94"/>
  <c r="F139" i="94"/>
  <c r="E161" i="94"/>
  <c r="G139" i="94"/>
  <c r="F161" i="94"/>
  <c r="H139" i="94"/>
  <c r="G161" i="94"/>
  <c r="I139" i="94"/>
  <c r="H161" i="94"/>
  <c r="J139" i="94"/>
  <c r="I161" i="94"/>
  <c r="K139" i="94"/>
  <c r="J161" i="94"/>
  <c r="L139" i="94"/>
  <c r="K161" i="94"/>
  <c r="M139" i="94"/>
  <c r="L161" i="94"/>
  <c r="C140" i="94"/>
  <c r="D140" i="94"/>
  <c r="C162" i="94"/>
  <c r="E140" i="94"/>
  <c r="D162" i="94"/>
  <c r="F140" i="94"/>
  <c r="E162" i="94"/>
  <c r="G140" i="94"/>
  <c r="F162" i="94"/>
  <c r="H140" i="94"/>
  <c r="G162" i="94"/>
  <c r="I140" i="94"/>
  <c r="H162" i="94"/>
  <c r="J140" i="94"/>
  <c r="I162" i="94"/>
  <c r="K140" i="94"/>
  <c r="J162" i="94"/>
  <c r="L140" i="94"/>
  <c r="K162" i="94"/>
  <c r="M140" i="94"/>
  <c r="L162" i="94"/>
  <c r="C141" i="94"/>
  <c r="D141" i="94"/>
  <c r="C163" i="94"/>
  <c r="E141" i="94"/>
  <c r="D163" i="94"/>
  <c r="F141" i="94"/>
  <c r="E163" i="94"/>
  <c r="G141" i="94"/>
  <c r="F163" i="94"/>
  <c r="H141" i="94"/>
  <c r="G163" i="94"/>
  <c r="I141" i="94"/>
  <c r="H163" i="94"/>
  <c r="J141" i="94"/>
  <c r="I163" i="94"/>
  <c r="K141" i="94"/>
  <c r="J163" i="94"/>
  <c r="L141" i="94"/>
  <c r="K163" i="94"/>
  <c r="M141" i="94"/>
  <c r="L163" i="94"/>
  <c r="C142" i="94"/>
  <c r="D142" i="94"/>
  <c r="C164" i="94"/>
  <c r="E142" i="94"/>
  <c r="D164" i="94"/>
  <c r="F142" i="94"/>
  <c r="E164" i="94"/>
  <c r="G142" i="94"/>
  <c r="F164" i="94"/>
  <c r="H142" i="94"/>
  <c r="G164" i="94"/>
  <c r="I142" i="94"/>
  <c r="H164" i="94"/>
  <c r="J142" i="94"/>
  <c r="I164" i="94"/>
  <c r="K142" i="94"/>
  <c r="J164" i="94"/>
  <c r="L142" i="94"/>
  <c r="K164" i="94"/>
  <c r="M142" i="94"/>
  <c r="L164" i="94"/>
  <c r="C143" i="94"/>
  <c r="D143" i="94"/>
  <c r="C165" i="94"/>
  <c r="E143" i="94"/>
  <c r="D165" i="94"/>
  <c r="F143" i="94"/>
  <c r="E165" i="94"/>
  <c r="G143" i="94"/>
  <c r="F165" i="94"/>
  <c r="H143" i="94"/>
  <c r="G165" i="94"/>
  <c r="I143" i="94"/>
  <c r="H165" i="94"/>
  <c r="J143" i="94"/>
  <c r="I165" i="94"/>
  <c r="K143" i="94"/>
  <c r="J165" i="94"/>
  <c r="L143" i="94"/>
  <c r="K165" i="94"/>
  <c r="M143" i="94"/>
  <c r="L165" i="94"/>
  <c r="C144" i="94"/>
  <c r="D144" i="94"/>
  <c r="C166" i="94"/>
  <c r="E144" i="94"/>
  <c r="D166" i="94"/>
  <c r="F144" i="94"/>
  <c r="E166" i="94"/>
  <c r="G144" i="94"/>
  <c r="F166" i="94"/>
  <c r="H144" i="94"/>
  <c r="G166" i="94"/>
  <c r="I144" i="94"/>
  <c r="H166" i="94"/>
  <c r="J144" i="94"/>
  <c r="I166" i="94"/>
  <c r="K144" i="94"/>
  <c r="J166" i="94"/>
  <c r="L144" i="94"/>
  <c r="K166" i="94"/>
  <c r="M144" i="94"/>
  <c r="L166" i="94"/>
  <c r="C145" i="94"/>
  <c r="D145" i="94"/>
  <c r="C167" i="94"/>
  <c r="E145" i="94"/>
  <c r="D167" i="94"/>
  <c r="F145" i="94"/>
  <c r="E167" i="94"/>
  <c r="G145" i="94"/>
  <c r="F167" i="94"/>
  <c r="H145" i="94"/>
  <c r="G167" i="94"/>
  <c r="I145" i="94"/>
  <c r="H167" i="94"/>
  <c r="J145" i="94"/>
  <c r="I167" i="94"/>
  <c r="K145" i="94"/>
  <c r="J167" i="94"/>
  <c r="L145" i="94"/>
  <c r="K167" i="94"/>
  <c r="M145" i="94"/>
  <c r="L167" i="94"/>
  <c r="C146" i="94"/>
  <c r="D146" i="94"/>
  <c r="C168" i="94"/>
  <c r="E146" i="94"/>
  <c r="D168" i="94"/>
  <c r="F146" i="94"/>
  <c r="E168" i="94"/>
  <c r="G146" i="94"/>
  <c r="F168" i="94"/>
  <c r="H146" i="94"/>
  <c r="G168" i="94"/>
  <c r="I146" i="94"/>
  <c r="H168" i="94"/>
  <c r="J146" i="94"/>
  <c r="I168" i="94"/>
  <c r="K146" i="94"/>
  <c r="J168" i="94"/>
  <c r="L146" i="94"/>
  <c r="K168" i="94"/>
  <c r="M146" i="94"/>
  <c r="L168" i="94"/>
  <c r="C147" i="94"/>
  <c r="D147" i="94"/>
  <c r="C169" i="94"/>
  <c r="E147" i="94"/>
  <c r="D169" i="94"/>
  <c r="F147" i="94"/>
  <c r="E169" i="94"/>
  <c r="G147" i="94"/>
  <c r="F169" i="94"/>
  <c r="H147" i="94"/>
  <c r="G169" i="94"/>
  <c r="I147" i="94"/>
  <c r="H169" i="94"/>
  <c r="J147" i="94"/>
  <c r="I169" i="94"/>
  <c r="K147" i="94"/>
  <c r="J169" i="94"/>
  <c r="L147" i="94"/>
  <c r="K169" i="94"/>
  <c r="M147" i="94"/>
  <c r="L169" i="94"/>
  <c r="C148" i="94"/>
  <c r="D148" i="94"/>
  <c r="C170" i="94"/>
  <c r="E148" i="94"/>
  <c r="D170" i="94"/>
  <c r="F148" i="94"/>
  <c r="E170" i="94"/>
  <c r="G148" i="94"/>
  <c r="F170" i="94"/>
  <c r="H148" i="94"/>
  <c r="G170" i="94"/>
  <c r="I148" i="94"/>
  <c r="H170" i="94"/>
  <c r="J148" i="94"/>
  <c r="I170" i="94"/>
  <c r="K148" i="94"/>
  <c r="J170" i="94"/>
  <c r="L148" i="94"/>
  <c r="K170" i="94"/>
  <c r="M148" i="94"/>
  <c r="L170" i="94"/>
  <c r="C149" i="94"/>
  <c r="D149" i="94"/>
  <c r="C171" i="94"/>
  <c r="E149" i="94"/>
  <c r="D171" i="94"/>
  <c r="F149" i="94"/>
  <c r="E171" i="94"/>
  <c r="G149" i="94"/>
  <c r="F171" i="94"/>
  <c r="H149" i="94"/>
  <c r="G171" i="94"/>
  <c r="I149" i="94"/>
  <c r="H171" i="94"/>
  <c r="J149" i="94"/>
  <c r="I171" i="94"/>
  <c r="K149" i="94"/>
  <c r="J171" i="94"/>
  <c r="L149" i="94"/>
  <c r="K171" i="94"/>
  <c r="M149" i="94"/>
  <c r="L171" i="94"/>
  <c r="C150" i="94"/>
  <c r="D150" i="94"/>
  <c r="C172" i="94"/>
  <c r="E150" i="94"/>
  <c r="D172" i="94"/>
  <c r="F150" i="94"/>
  <c r="E172" i="94"/>
  <c r="G150" i="94"/>
  <c r="F172" i="94"/>
  <c r="H150" i="94"/>
  <c r="G172" i="94"/>
  <c r="I150" i="94"/>
  <c r="H172" i="94"/>
  <c r="J150" i="94"/>
  <c r="I172" i="94"/>
  <c r="K150" i="94"/>
  <c r="J172" i="94"/>
  <c r="L150" i="94"/>
  <c r="K172" i="94"/>
  <c r="M150" i="94"/>
  <c r="L172" i="94"/>
  <c r="C131" i="94"/>
  <c r="N17" i="98"/>
  <c r="P157" i="94"/>
  <c r="Q157" i="94"/>
  <c r="R157" i="94"/>
  <c r="S157" i="94"/>
  <c r="T157" i="94"/>
  <c r="V157" i="94"/>
  <c r="W157" i="94"/>
  <c r="X157" i="94"/>
  <c r="Y157" i="94"/>
  <c r="Z157" i="94"/>
  <c r="P158" i="94"/>
  <c r="Q158" i="94"/>
  <c r="R158" i="94"/>
  <c r="S158" i="94"/>
  <c r="T158" i="94"/>
  <c r="V158" i="94"/>
  <c r="W158" i="94"/>
  <c r="X158" i="94"/>
  <c r="Y158" i="94"/>
  <c r="Z158" i="94"/>
  <c r="P159" i="94"/>
  <c r="Q159" i="94"/>
  <c r="R159" i="94"/>
  <c r="S159" i="94"/>
  <c r="T159" i="94"/>
  <c r="V159" i="94"/>
  <c r="W159" i="94"/>
  <c r="X159" i="94"/>
  <c r="Y159" i="94"/>
  <c r="Z159" i="94"/>
  <c r="P160" i="94"/>
  <c r="Q160" i="94"/>
  <c r="R160" i="94"/>
  <c r="S160" i="94"/>
  <c r="T160" i="94"/>
  <c r="V160" i="94"/>
  <c r="W160" i="94"/>
  <c r="X160" i="94"/>
  <c r="Y160" i="94"/>
  <c r="Z160" i="94"/>
  <c r="P161" i="94"/>
  <c r="Q161" i="94"/>
  <c r="R161" i="94"/>
  <c r="S161" i="94"/>
  <c r="T161" i="94"/>
  <c r="V161" i="94"/>
  <c r="W161" i="94"/>
  <c r="X161" i="94"/>
  <c r="Y161" i="94"/>
  <c r="Z161" i="94"/>
  <c r="P162" i="94"/>
  <c r="Q162" i="94"/>
  <c r="R162" i="94"/>
  <c r="S162" i="94"/>
  <c r="T162" i="94"/>
  <c r="V162" i="94"/>
  <c r="W162" i="94"/>
  <c r="X162" i="94"/>
  <c r="Y162" i="94"/>
  <c r="Z162" i="94"/>
  <c r="P163" i="94"/>
  <c r="Q163" i="94"/>
  <c r="R163" i="94"/>
  <c r="S163" i="94"/>
  <c r="T163" i="94"/>
  <c r="V163" i="94"/>
  <c r="W163" i="94"/>
  <c r="X163" i="94"/>
  <c r="Y163" i="94"/>
  <c r="Z163" i="94"/>
  <c r="P164" i="94"/>
  <c r="Q164" i="94"/>
  <c r="R164" i="94"/>
  <c r="S164" i="94"/>
  <c r="T164" i="94"/>
  <c r="V164" i="94"/>
  <c r="W164" i="94"/>
  <c r="X164" i="94"/>
  <c r="Y164" i="94"/>
  <c r="Z164" i="94"/>
  <c r="P165" i="94"/>
  <c r="Q165" i="94"/>
  <c r="R165" i="94"/>
  <c r="S165" i="94"/>
  <c r="T165" i="94"/>
  <c r="V165" i="94"/>
  <c r="W165" i="94"/>
  <c r="X165" i="94"/>
  <c r="Y165" i="94"/>
  <c r="Z165" i="94"/>
  <c r="P166" i="94"/>
  <c r="Q166" i="94"/>
  <c r="R166" i="94"/>
  <c r="S166" i="94"/>
  <c r="T166" i="94"/>
  <c r="V166" i="94"/>
  <c r="W166" i="94"/>
  <c r="X166" i="94"/>
  <c r="Y166" i="94"/>
  <c r="Z166" i="94"/>
  <c r="P167" i="94"/>
  <c r="Q167" i="94"/>
  <c r="R167" i="94"/>
  <c r="S167" i="94"/>
  <c r="T167" i="94"/>
  <c r="V167" i="94"/>
  <c r="W167" i="94"/>
  <c r="X167" i="94"/>
  <c r="Y167" i="94"/>
  <c r="Z167" i="94"/>
  <c r="P168" i="94"/>
  <c r="Q168" i="94"/>
  <c r="R168" i="94"/>
  <c r="S168" i="94"/>
  <c r="T168" i="94"/>
  <c r="V168" i="94"/>
  <c r="W168" i="94"/>
  <c r="X168" i="94"/>
  <c r="Y168" i="94"/>
  <c r="Z168" i="94"/>
  <c r="P169" i="94"/>
  <c r="Q169" i="94"/>
  <c r="R169" i="94"/>
  <c r="S169" i="94"/>
  <c r="T169" i="94"/>
  <c r="V169" i="94"/>
  <c r="W169" i="94"/>
  <c r="X169" i="94"/>
  <c r="Y169" i="94"/>
  <c r="Z169" i="94"/>
  <c r="P170" i="94"/>
  <c r="Q170" i="94"/>
  <c r="R170" i="94"/>
  <c r="S170" i="94"/>
  <c r="T170" i="94"/>
  <c r="V170" i="94"/>
  <c r="W170" i="94"/>
  <c r="X170" i="94"/>
  <c r="Y170" i="94"/>
  <c r="Z170" i="94"/>
  <c r="P171" i="94"/>
  <c r="Q171" i="94"/>
  <c r="R171" i="94"/>
  <c r="S171" i="94"/>
  <c r="T171" i="94"/>
  <c r="V171" i="94"/>
  <c r="W171" i="94"/>
  <c r="X171" i="94"/>
  <c r="Y171" i="94"/>
  <c r="Z171" i="94"/>
  <c r="H131" i="94"/>
  <c r="N18" i="98"/>
  <c r="C184" i="94"/>
  <c r="D184" i="94"/>
  <c r="C206" i="94"/>
  <c r="E184" i="94"/>
  <c r="D206" i="94"/>
  <c r="F184" i="94"/>
  <c r="E206" i="94"/>
  <c r="G184" i="94"/>
  <c r="F206" i="94"/>
  <c r="H184" i="94"/>
  <c r="G206" i="94"/>
  <c r="I184" i="94"/>
  <c r="H206" i="94"/>
  <c r="J184" i="94"/>
  <c r="I206" i="94"/>
  <c r="K184" i="94"/>
  <c r="J206" i="94"/>
  <c r="L184" i="94"/>
  <c r="K206" i="94"/>
  <c r="M184" i="94"/>
  <c r="L206" i="94"/>
  <c r="C185" i="94"/>
  <c r="D185" i="94"/>
  <c r="C207" i="94"/>
  <c r="E185" i="94"/>
  <c r="D207" i="94"/>
  <c r="F185" i="94"/>
  <c r="E207" i="94"/>
  <c r="G185" i="94"/>
  <c r="F207" i="94"/>
  <c r="H185" i="94"/>
  <c r="G207" i="94"/>
  <c r="I185" i="94"/>
  <c r="H207" i="94"/>
  <c r="J185" i="94"/>
  <c r="I207" i="94"/>
  <c r="K185" i="94"/>
  <c r="J207" i="94"/>
  <c r="L185" i="94"/>
  <c r="K207" i="94"/>
  <c r="M185" i="94"/>
  <c r="L207" i="94"/>
  <c r="C186" i="94"/>
  <c r="D186" i="94"/>
  <c r="C208" i="94"/>
  <c r="E186" i="94"/>
  <c r="D208" i="94"/>
  <c r="F186" i="94"/>
  <c r="E208" i="94"/>
  <c r="G186" i="94"/>
  <c r="F208" i="94"/>
  <c r="H186" i="94"/>
  <c r="G208" i="94"/>
  <c r="I186" i="94"/>
  <c r="H208" i="94"/>
  <c r="J186" i="94"/>
  <c r="I208" i="94"/>
  <c r="K186" i="94"/>
  <c r="J208" i="94"/>
  <c r="L186" i="94"/>
  <c r="K208" i="94"/>
  <c r="M186" i="94"/>
  <c r="L208" i="94"/>
  <c r="C187" i="94"/>
  <c r="D187" i="94"/>
  <c r="C209" i="94"/>
  <c r="E187" i="94"/>
  <c r="D209" i="94"/>
  <c r="F187" i="94"/>
  <c r="E209" i="94"/>
  <c r="G187" i="94"/>
  <c r="F209" i="94"/>
  <c r="H187" i="94"/>
  <c r="G209" i="94"/>
  <c r="I187" i="94"/>
  <c r="H209" i="94"/>
  <c r="J187" i="94"/>
  <c r="I209" i="94"/>
  <c r="K187" i="94"/>
  <c r="J209" i="94"/>
  <c r="L187" i="94"/>
  <c r="K209" i="94"/>
  <c r="M187" i="94"/>
  <c r="L209" i="94"/>
  <c r="C188" i="94"/>
  <c r="D188" i="94"/>
  <c r="C210" i="94"/>
  <c r="E188" i="94"/>
  <c r="D210" i="94"/>
  <c r="F188" i="94"/>
  <c r="E210" i="94"/>
  <c r="G188" i="94"/>
  <c r="F210" i="94"/>
  <c r="H188" i="94"/>
  <c r="G210" i="94"/>
  <c r="I188" i="94"/>
  <c r="H210" i="94"/>
  <c r="J188" i="94"/>
  <c r="I210" i="94"/>
  <c r="K188" i="94"/>
  <c r="J210" i="94"/>
  <c r="L188" i="94"/>
  <c r="K210" i="94"/>
  <c r="M188" i="94"/>
  <c r="L210" i="94"/>
  <c r="C189" i="94"/>
  <c r="D189" i="94"/>
  <c r="C211" i="94"/>
  <c r="E189" i="94"/>
  <c r="D211" i="94"/>
  <c r="F189" i="94"/>
  <c r="E211" i="94"/>
  <c r="G189" i="94"/>
  <c r="F211" i="94"/>
  <c r="H189" i="94"/>
  <c r="G211" i="94"/>
  <c r="I189" i="94"/>
  <c r="H211" i="94"/>
  <c r="J189" i="94"/>
  <c r="I211" i="94"/>
  <c r="K189" i="94"/>
  <c r="J211" i="94"/>
  <c r="L189" i="94"/>
  <c r="K211" i="94"/>
  <c r="M189" i="94"/>
  <c r="L211" i="94"/>
  <c r="C190" i="94"/>
  <c r="D190" i="94"/>
  <c r="C212" i="94"/>
  <c r="E190" i="94"/>
  <c r="D212" i="94"/>
  <c r="F190" i="94"/>
  <c r="E212" i="94"/>
  <c r="G190" i="94"/>
  <c r="F212" i="94"/>
  <c r="H190" i="94"/>
  <c r="G212" i="94"/>
  <c r="I190" i="94"/>
  <c r="H212" i="94"/>
  <c r="J190" i="94"/>
  <c r="I212" i="94"/>
  <c r="K190" i="94"/>
  <c r="J212" i="94"/>
  <c r="L190" i="94"/>
  <c r="K212" i="94"/>
  <c r="M190" i="94"/>
  <c r="L212" i="94"/>
  <c r="C191" i="94"/>
  <c r="D191" i="94"/>
  <c r="C213" i="94"/>
  <c r="E191" i="94"/>
  <c r="D213" i="94"/>
  <c r="F191" i="94"/>
  <c r="E213" i="94"/>
  <c r="G191" i="94"/>
  <c r="F213" i="94"/>
  <c r="H191" i="94"/>
  <c r="G213" i="94"/>
  <c r="I191" i="94"/>
  <c r="H213" i="94"/>
  <c r="J191" i="94"/>
  <c r="I213" i="94"/>
  <c r="K191" i="94"/>
  <c r="J213" i="94"/>
  <c r="L191" i="94"/>
  <c r="K213" i="94"/>
  <c r="M191" i="94"/>
  <c r="L213" i="94"/>
  <c r="C192" i="94"/>
  <c r="D192" i="94"/>
  <c r="C214" i="94"/>
  <c r="E192" i="94"/>
  <c r="D214" i="94"/>
  <c r="F192" i="94"/>
  <c r="E214" i="94"/>
  <c r="G192" i="94"/>
  <c r="F214" i="94"/>
  <c r="H192" i="94"/>
  <c r="G214" i="94"/>
  <c r="I192" i="94"/>
  <c r="H214" i="94"/>
  <c r="J192" i="94"/>
  <c r="I214" i="94"/>
  <c r="K192" i="94"/>
  <c r="J214" i="94"/>
  <c r="L192" i="94"/>
  <c r="K214" i="94"/>
  <c r="M192" i="94"/>
  <c r="L214" i="94"/>
  <c r="C193" i="94"/>
  <c r="D193" i="94"/>
  <c r="C215" i="94"/>
  <c r="E193" i="94"/>
  <c r="D215" i="94"/>
  <c r="F193" i="94"/>
  <c r="E215" i="94"/>
  <c r="G193" i="94"/>
  <c r="F215" i="94"/>
  <c r="H193" i="94"/>
  <c r="G215" i="94"/>
  <c r="I193" i="94"/>
  <c r="H215" i="94"/>
  <c r="J193" i="94"/>
  <c r="I215" i="94"/>
  <c r="K193" i="94"/>
  <c r="J215" i="94"/>
  <c r="L193" i="94"/>
  <c r="K215" i="94"/>
  <c r="M193" i="94"/>
  <c r="L215" i="94"/>
  <c r="C194" i="94"/>
  <c r="D194" i="94"/>
  <c r="C216" i="94"/>
  <c r="E194" i="94"/>
  <c r="D216" i="94"/>
  <c r="F194" i="94"/>
  <c r="E216" i="94"/>
  <c r="G194" i="94"/>
  <c r="F216" i="94"/>
  <c r="H194" i="94"/>
  <c r="G216" i="94"/>
  <c r="I194" i="94"/>
  <c r="H216" i="94"/>
  <c r="J194" i="94"/>
  <c r="I216" i="94"/>
  <c r="K194" i="94"/>
  <c r="J216" i="94"/>
  <c r="L194" i="94"/>
  <c r="K216" i="94"/>
  <c r="M194" i="94"/>
  <c r="L216" i="94"/>
  <c r="C195" i="94"/>
  <c r="D195" i="94"/>
  <c r="C217" i="94"/>
  <c r="E195" i="94"/>
  <c r="D217" i="94"/>
  <c r="F195" i="94"/>
  <c r="E217" i="94"/>
  <c r="G195" i="94"/>
  <c r="F217" i="94"/>
  <c r="H195" i="94"/>
  <c r="G217" i="94"/>
  <c r="I195" i="94"/>
  <c r="H217" i="94"/>
  <c r="J195" i="94"/>
  <c r="I217" i="94"/>
  <c r="K195" i="94"/>
  <c r="J217" i="94"/>
  <c r="L195" i="94"/>
  <c r="K217" i="94"/>
  <c r="M195" i="94"/>
  <c r="L217" i="94"/>
  <c r="C196" i="94"/>
  <c r="D196" i="94"/>
  <c r="C218" i="94"/>
  <c r="E196" i="94"/>
  <c r="D218" i="94"/>
  <c r="F196" i="94"/>
  <c r="E218" i="94"/>
  <c r="G196" i="94"/>
  <c r="F218" i="94"/>
  <c r="H196" i="94"/>
  <c r="G218" i="94"/>
  <c r="I196" i="94"/>
  <c r="H218" i="94"/>
  <c r="J196" i="94"/>
  <c r="I218" i="94"/>
  <c r="K196" i="94"/>
  <c r="J218" i="94"/>
  <c r="L196" i="94"/>
  <c r="K218" i="94"/>
  <c r="M196" i="94"/>
  <c r="L218" i="94"/>
  <c r="C197" i="94"/>
  <c r="D197" i="94"/>
  <c r="C219" i="94"/>
  <c r="E197" i="94"/>
  <c r="D219" i="94"/>
  <c r="F197" i="94"/>
  <c r="E219" i="94"/>
  <c r="G197" i="94"/>
  <c r="F219" i="94"/>
  <c r="H197" i="94"/>
  <c r="G219" i="94"/>
  <c r="I197" i="94"/>
  <c r="H219" i="94"/>
  <c r="J197" i="94"/>
  <c r="I219" i="94"/>
  <c r="K197" i="94"/>
  <c r="J219" i="94"/>
  <c r="L197" i="94"/>
  <c r="K219" i="94"/>
  <c r="M197" i="94"/>
  <c r="L219" i="94"/>
  <c r="C198" i="94"/>
  <c r="D198" i="94"/>
  <c r="C220" i="94"/>
  <c r="E198" i="94"/>
  <c r="D220" i="94"/>
  <c r="F198" i="94"/>
  <c r="E220" i="94"/>
  <c r="G198" i="94"/>
  <c r="F220" i="94"/>
  <c r="H198" i="94"/>
  <c r="G220" i="94"/>
  <c r="I198" i="94"/>
  <c r="H220" i="94"/>
  <c r="J198" i="94"/>
  <c r="I220" i="94"/>
  <c r="K198" i="94"/>
  <c r="J220" i="94"/>
  <c r="L198" i="94"/>
  <c r="K220" i="94"/>
  <c r="M198" i="94"/>
  <c r="L220" i="94"/>
  <c r="C199" i="94"/>
  <c r="D199" i="94"/>
  <c r="C221" i="94"/>
  <c r="E199" i="94"/>
  <c r="D221" i="94"/>
  <c r="F199" i="94"/>
  <c r="E221" i="94"/>
  <c r="G199" i="94"/>
  <c r="F221" i="94"/>
  <c r="H199" i="94"/>
  <c r="G221" i="94"/>
  <c r="I199" i="94"/>
  <c r="H221" i="94"/>
  <c r="J199" i="94"/>
  <c r="I221" i="94"/>
  <c r="K199" i="94"/>
  <c r="J221" i="94"/>
  <c r="L199" i="94"/>
  <c r="K221" i="94"/>
  <c r="M199" i="94"/>
  <c r="L221" i="94"/>
  <c r="C180" i="94"/>
  <c r="N21" i="98"/>
  <c r="P206" i="94"/>
  <c r="Q206" i="94"/>
  <c r="R206" i="94"/>
  <c r="S206" i="94"/>
  <c r="T206" i="94"/>
  <c r="V206" i="94"/>
  <c r="W206" i="94"/>
  <c r="X206" i="94"/>
  <c r="Y206" i="94"/>
  <c r="Z206" i="94"/>
  <c r="P207" i="94"/>
  <c r="Q207" i="94"/>
  <c r="R207" i="94"/>
  <c r="S207" i="94"/>
  <c r="T207" i="94"/>
  <c r="V207" i="94"/>
  <c r="W207" i="94"/>
  <c r="X207" i="94"/>
  <c r="Y207" i="94"/>
  <c r="Z207" i="94"/>
  <c r="P208" i="94"/>
  <c r="Q208" i="94"/>
  <c r="R208" i="94"/>
  <c r="S208" i="94"/>
  <c r="T208" i="94"/>
  <c r="V208" i="94"/>
  <c r="W208" i="94"/>
  <c r="X208" i="94"/>
  <c r="Y208" i="94"/>
  <c r="Z208" i="94"/>
  <c r="P209" i="94"/>
  <c r="Q209" i="94"/>
  <c r="R209" i="94"/>
  <c r="S209" i="94"/>
  <c r="T209" i="94"/>
  <c r="V209" i="94"/>
  <c r="W209" i="94"/>
  <c r="X209" i="94"/>
  <c r="Y209" i="94"/>
  <c r="Z209" i="94"/>
  <c r="P210" i="94"/>
  <c r="Q210" i="94"/>
  <c r="R210" i="94"/>
  <c r="S210" i="94"/>
  <c r="T210" i="94"/>
  <c r="V210" i="94"/>
  <c r="W210" i="94"/>
  <c r="X210" i="94"/>
  <c r="Y210" i="94"/>
  <c r="Z210" i="94"/>
  <c r="P211" i="94"/>
  <c r="Q211" i="94"/>
  <c r="R211" i="94"/>
  <c r="S211" i="94"/>
  <c r="T211" i="94"/>
  <c r="V211" i="94"/>
  <c r="W211" i="94"/>
  <c r="X211" i="94"/>
  <c r="Y211" i="94"/>
  <c r="Z211" i="94"/>
  <c r="P212" i="94"/>
  <c r="Q212" i="94"/>
  <c r="R212" i="94"/>
  <c r="S212" i="94"/>
  <c r="T212" i="94"/>
  <c r="V212" i="94"/>
  <c r="W212" i="94"/>
  <c r="X212" i="94"/>
  <c r="Y212" i="94"/>
  <c r="Z212" i="94"/>
  <c r="P213" i="94"/>
  <c r="Q213" i="94"/>
  <c r="R213" i="94"/>
  <c r="S213" i="94"/>
  <c r="T213" i="94"/>
  <c r="V213" i="94"/>
  <c r="W213" i="94"/>
  <c r="X213" i="94"/>
  <c r="Y213" i="94"/>
  <c r="Z213" i="94"/>
  <c r="P214" i="94"/>
  <c r="Q214" i="94"/>
  <c r="R214" i="94"/>
  <c r="S214" i="94"/>
  <c r="T214" i="94"/>
  <c r="V214" i="94"/>
  <c r="W214" i="94"/>
  <c r="X214" i="94"/>
  <c r="Y214" i="94"/>
  <c r="Z214" i="94"/>
  <c r="P215" i="94"/>
  <c r="Q215" i="94"/>
  <c r="R215" i="94"/>
  <c r="S215" i="94"/>
  <c r="T215" i="94"/>
  <c r="V215" i="94"/>
  <c r="W215" i="94"/>
  <c r="X215" i="94"/>
  <c r="Y215" i="94"/>
  <c r="Z215" i="94"/>
  <c r="P216" i="94"/>
  <c r="Q216" i="94"/>
  <c r="R216" i="94"/>
  <c r="S216" i="94"/>
  <c r="T216" i="94"/>
  <c r="V216" i="94"/>
  <c r="W216" i="94"/>
  <c r="X216" i="94"/>
  <c r="Y216" i="94"/>
  <c r="Z216" i="94"/>
  <c r="P217" i="94"/>
  <c r="Q217" i="94"/>
  <c r="R217" i="94"/>
  <c r="S217" i="94"/>
  <c r="T217" i="94"/>
  <c r="V217" i="94"/>
  <c r="W217" i="94"/>
  <c r="X217" i="94"/>
  <c r="Y217" i="94"/>
  <c r="Z217" i="94"/>
  <c r="P218" i="94"/>
  <c r="Q218" i="94"/>
  <c r="R218" i="94"/>
  <c r="S218" i="94"/>
  <c r="T218" i="94"/>
  <c r="V218" i="94"/>
  <c r="W218" i="94"/>
  <c r="X218" i="94"/>
  <c r="Y218" i="94"/>
  <c r="Z218" i="94"/>
  <c r="P219" i="94"/>
  <c r="Q219" i="94"/>
  <c r="R219" i="94"/>
  <c r="S219" i="94"/>
  <c r="T219" i="94"/>
  <c r="V219" i="94"/>
  <c r="W219" i="94"/>
  <c r="X219" i="94"/>
  <c r="Y219" i="94"/>
  <c r="Z219" i="94"/>
  <c r="P220" i="94"/>
  <c r="Q220" i="94"/>
  <c r="R220" i="94"/>
  <c r="S220" i="94"/>
  <c r="T220" i="94"/>
  <c r="V220" i="94"/>
  <c r="W220" i="94"/>
  <c r="X220" i="94"/>
  <c r="Y220" i="94"/>
  <c r="Z220" i="94"/>
  <c r="H180" i="94"/>
  <c r="N22" i="98"/>
  <c r="C233" i="94"/>
  <c r="D233" i="94"/>
  <c r="C255" i="94"/>
  <c r="E233" i="94"/>
  <c r="D255" i="94"/>
  <c r="F233" i="94"/>
  <c r="E255" i="94"/>
  <c r="G233" i="94"/>
  <c r="F255" i="94"/>
  <c r="H233" i="94"/>
  <c r="G255" i="94"/>
  <c r="I233" i="94"/>
  <c r="H255" i="94"/>
  <c r="J233" i="94"/>
  <c r="I255" i="94"/>
  <c r="K233" i="94"/>
  <c r="J255" i="94"/>
  <c r="L233" i="94"/>
  <c r="K255" i="94"/>
  <c r="M233" i="94"/>
  <c r="L255" i="94"/>
  <c r="C234" i="94"/>
  <c r="D234" i="94"/>
  <c r="C256" i="94"/>
  <c r="E234" i="94"/>
  <c r="D256" i="94"/>
  <c r="F234" i="94"/>
  <c r="E256" i="94"/>
  <c r="G234" i="94"/>
  <c r="F256" i="94"/>
  <c r="H234" i="94"/>
  <c r="G256" i="94"/>
  <c r="I234" i="94"/>
  <c r="H256" i="94"/>
  <c r="J234" i="94"/>
  <c r="I256" i="94"/>
  <c r="K234" i="94"/>
  <c r="J256" i="94"/>
  <c r="L234" i="94"/>
  <c r="K256" i="94"/>
  <c r="M234" i="94"/>
  <c r="L256" i="94"/>
  <c r="C235" i="94"/>
  <c r="D235" i="94"/>
  <c r="C257" i="94"/>
  <c r="E235" i="94"/>
  <c r="D257" i="94"/>
  <c r="F235" i="94"/>
  <c r="E257" i="94"/>
  <c r="G235" i="94"/>
  <c r="F257" i="94"/>
  <c r="H235" i="94"/>
  <c r="G257" i="94"/>
  <c r="I235" i="94"/>
  <c r="H257" i="94"/>
  <c r="J235" i="94"/>
  <c r="I257" i="94"/>
  <c r="K235" i="94"/>
  <c r="J257" i="94"/>
  <c r="L235" i="94"/>
  <c r="K257" i="94"/>
  <c r="M235" i="94"/>
  <c r="L257" i="94"/>
  <c r="C236" i="94"/>
  <c r="D236" i="94"/>
  <c r="C258" i="94"/>
  <c r="E236" i="94"/>
  <c r="D258" i="94"/>
  <c r="F236" i="94"/>
  <c r="E258" i="94"/>
  <c r="G236" i="94"/>
  <c r="F258" i="94"/>
  <c r="H236" i="94"/>
  <c r="G258" i="94"/>
  <c r="I236" i="94"/>
  <c r="H258" i="94"/>
  <c r="J236" i="94"/>
  <c r="I258" i="94"/>
  <c r="K236" i="94"/>
  <c r="J258" i="94"/>
  <c r="L236" i="94"/>
  <c r="K258" i="94"/>
  <c r="M236" i="94"/>
  <c r="L258" i="94"/>
  <c r="C237" i="94"/>
  <c r="D237" i="94"/>
  <c r="C259" i="94"/>
  <c r="E237" i="94"/>
  <c r="D259" i="94"/>
  <c r="F237" i="94"/>
  <c r="E259" i="94"/>
  <c r="G237" i="94"/>
  <c r="F259" i="94"/>
  <c r="H237" i="94"/>
  <c r="G259" i="94"/>
  <c r="I237" i="94"/>
  <c r="H259" i="94"/>
  <c r="J237" i="94"/>
  <c r="I259" i="94"/>
  <c r="K237" i="94"/>
  <c r="J259" i="94"/>
  <c r="L237" i="94"/>
  <c r="K259" i="94"/>
  <c r="M237" i="94"/>
  <c r="L259" i="94"/>
  <c r="C238" i="94"/>
  <c r="D238" i="94"/>
  <c r="C260" i="94"/>
  <c r="E238" i="94"/>
  <c r="D260" i="94"/>
  <c r="F238" i="94"/>
  <c r="E260" i="94"/>
  <c r="G238" i="94"/>
  <c r="F260" i="94"/>
  <c r="H238" i="94"/>
  <c r="G260" i="94"/>
  <c r="I238" i="94"/>
  <c r="H260" i="94"/>
  <c r="J238" i="94"/>
  <c r="I260" i="94"/>
  <c r="K238" i="94"/>
  <c r="J260" i="94"/>
  <c r="L238" i="94"/>
  <c r="K260" i="94"/>
  <c r="M238" i="94"/>
  <c r="L260" i="94"/>
  <c r="C239" i="94"/>
  <c r="D239" i="94"/>
  <c r="C261" i="94"/>
  <c r="E239" i="94"/>
  <c r="D261" i="94"/>
  <c r="F239" i="94"/>
  <c r="E261" i="94"/>
  <c r="G239" i="94"/>
  <c r="F261" i="94"/>
  <c r="H239" i="94"/>
  <c r="G261" i="94"/>
  <c r="I239" i="94"/>
  <c r="H261" i="94"/>
  <c r="J239" i="94"/>
  <c r="I261" i="94"/>
  <c r="K239" i="94"/>
  <c r="J261" i="94"/>
  <c r="L239" i="94"/>
  <c r="K261" i="94"/>
  <c r="M239" i="94"/>
  <c r="L261" i="94"/>
  <c r="C240" i="94"/>
  <c r="D240" i="94"/>
  <c r="C262" i="94"/>
  <c r="E240" i="94"/>
  <c r="D262" i="94"/>
  <c r="F240" i="94"/>
  <c r="E262" i="94"/>
  <c r="G240" i="94"/>
  <c r="F262" i="94"/>
  <c r="H240" i="94"/>
  <c r="G262" i="94"/>
  <c r="I240" i="94"/>
  <c r="H262" i="94"/>
  <c r="J240" i="94"/>
  <c r="I262" i="94"/>
  <c r="K240" i="94"/>
  <c r="J262" i="94"/>
  <c r="L240" i="94"/>
  <c r="K262" i="94"/>
  <c r="M240" i="94"/>
  <c r="L262" i="94"/>
  <c r="C241" i="94"/>
  <c r="D241" i="94"/>
  <c r="C263" i="94"/>
  <c r="E241" i="94"/>
  <c r="D263" i="94"/>
  <c r="F241" i="94"/>
  <c r="E263" i="94"/>
  <c r="G241" i="94"/>
  <c r="F263" i="94"/>
  <c r="H241" i="94"/>
  <c r="G263" i="94"/>
  <c r="I241" i="94"/>
  <c r="H263" i="94"/>
  <c r="J241" i="94"/>
  <c r="I263" i="94"/>
  <c r="K241" i="94"/>
  <c r="J263" i="94"/>
  <c r="L241" i="94"/>
  <c r="K263" i="94"/>
  <c r="M241" i="94"/>
  <c r="L263" i="94"/>
  <c r="C242" i="94"/>
  <c r="D242" i="94"/>
  <c r="C264" i="94"/>
  <c r="E242" i="94"/>
  <c r="D264" i="94"/>
  <c r="F242" i="94"/>
  <c r="E264" i="94"/>
  <c r="G242" i="94"/>
  <c r="F264" i="94"/>
  <c r="H242" i="94"/>
  <c r="G264" i="94"/>
  <c r="I242" i="94"/>
  <c r="H264" i="94"/>
  <c r="J242" i="94"/>
  <c r="I264" i="94"/>
  <c r="K242" i="94"/>
  <c r="J264" i="94"/>
  <c r="L242" i="94"/>
  <c r="K264" i="94"/>
  <c r="M242" i="94"/>
  <c r="L264" i="94"/>
  <c r="C243" i="94"/>
  <c r="D243" i="94"/>
  <c r="C265" i="94"/>
  <c r="E243" i="94"/>
  <c r="D265" i="94"/>
  <c r="F243" i="94"/>
  <c r="E265" i="94"/>
  <c r="G243" i="94"/>
  <c r="F265" i="94"/>
  <c r="H243" i="94"/>
  <c r="G265" i="94"/>
  <c r="I243" i="94"/>
  <c r="H265" i="94"/>
  <c r="J243" i="94"/>
  <c r="I265" i="94"/>
  <c r="K243" i="94"/>
  <c r="J265" i="94"/>
  <c r="L243" i="94"/>
  <c r="K265" i="94"/>
  <c r="M243" i="94"/>
  <c r="L265" i="94"/>
  <c r="C244" i="94"/>
  <c r="D244" i="94"/>
  <c r="C266" i="94"/>
  <c r="E244" i="94"/>
  <c r="D266" i="94"/>
  <c r="F244" i="94"/>
  <c r="E266" i="94"/>
  <c r="G244" i="94"/>
  <c r="F266" i="94"/>
  <c r="H244" i="94"/>
  <c r="G266" i="94"/>
  <c r="I244" i="94"/>
  <c r="H266" i="94"/>
  <c r="J244" i="94"/>
  <c r="I266" i="94"/>
  <c r="K244" i="94"/>
  <c r="J266" i="94"/>
  <c r="L244" i="94"/>
  <c r="K266" i="94"/>
  <c r="M244" i="94"/>
  <c r="L266" i="94"/>
  <c r="C245" i="94"/>
  <c r="D245" i="94"/>
  <c r="C267" i="94"/>
  <c r="E245" i="94"/>
  <c r="D267" i="94"/>
  <c r="F245" i="94"/>
  <c r="E267" i="94"/>
  <c r="G245" i="94"/>
  <c r="F267" i="94"/>
  <c r="H245" i="94"/>
  <c r="G267" i="94"/>
  <c r="I245" i="94"/>
  <c r="H267" i="94"/>
  <c r="J245" i="94"/>
  <c r="I267" i="94"/>
  <c r="K245" i="94"/>
  <c r="J267" i="94"/>
  <c r="L245" i="94"/>
  <c r="K267" i="94"/>
  <c r="M245" i="94"/>
  <c r="L267" i="94"/>
  <c r="C246" i="94"/>
  <c r="D246" i="94"/>
  <c r="C268" i="94"/>
  <c r="E246" i="94"/>
  <c r="D268" i="94"/>
  <c r="F246" i="94"/>
  <c r="E268" i="94"/>
  <c r="G246" i="94"/>
  <c r="F268" i="94"/>
  <c r="H246" i="94"/>
  <c r="G268" i="94"/>
  <c r="I246" i="94"/>
  <c r="H268" i="94"/>
  <c r="J246" i="94"/>
  <c r="I268" i="94"/>
  <c r="K246" i="94"/>
  <c r="J268" i="94"/>
  <c r="L246" i="94"/>
  <c r="K268" i="94"/>
  <c r="M246" i="94"/>
  <c r="L268" i="94"/>
  <c r="C247" i="94"/>
  <c r="D247" i="94"/>
  <c r="C269" i="94"/>
  <c r="E247" i="94"/>
  <c r="D269" i="94"/>
  <c r="F247" i="94"/>
  <c r="E269" i="94"/>
  <c r="G247" i="94"/>
  <c r="F269" i="94"/>
  <c r="H247" i="94"/>
  <c r="G269" i="94"/>
  <c r="I247" i="94"/>
  <c r="H269" i="94"/>
  <c r="J247" i="94"/>
  <c r="I269" i="94"/>
  <c r="K247" i="94"/>
  <c r="J269" i="94"/>
  <c r="L247" i="94"/>
  <c r="K269" i="94"/>
  <c r="M247" i="94"/>
  <c r="L269" i="94"/>
  <c r="C248" i="94"/>
  <c r="D248" i="94"/>
  <c r="C270" i="94"/>
  <c r="E248" i="94"/>
  <c r="D270" i="94"/>
  <c r="F248" i="94"/>
  <c r="E270" i="94"/>
  <c r="G248" i="94"/>
  <c r="F270" i="94"/>
  <c r="H248" i="94"/>
  <c r="G270" i="94"/>
  <c r="I248" i="94"/>
  <c r="H270" i="94"/>
  <c r="J248" i="94"/>
  <c r="I270" i="94"/>
  <c r="K248" i="94"/>
  <c r="J270" i="94"/>
  <c r="L248" i="94"/>
  <c r="K270" i="94"/>
  <c r="M248" i="94"/>
  <c r="L270" i="94"/>
  <c r="C229" i="94"/>
  <c r="N25" i="98"/>
  <c r="P255" i="94"/>
  <c r="Q255" i="94"/>
  <c r="R255" i="94"/>
  <c r="S255" i="94"/>
  <c r="T255" i="94"/>
  <c r="V255" i="94"/>
  <c r="W255" i="94"/>
  <c r="X255" i="94"/>
  <c r="Y255" i="94"/>
  <c r="Z255" i="94"/>
  <c r="P256" i="94"/>
  <c r="Q256" i="94"/>
  <c r="R256" i="94"/>
  <c r="S256" i="94"/>
  <c r="T256" i="94"/>
  <c r="V256" i="94"/>
  <c r="W256" i="94"/>
  <c r="X256" i="94"/>
  <c r="Y256" i="94"/>
  <c r="Z256" i="94"/>
  <c r="P257" i="94"/>
  <c r="Q257" i="94"/>
  <c r="R257" i="94"/>
  <c r="S257" i="94"/>
  <c r="T257" i="94"/>
  <c r="V257" i="94"/>
  <c r="W257" i="94"/>
  <c r="X257" i="94"/>
  <c r="Y257" i="94"/>
  <c r="Z257" i="94"/>
  <c r="P258" i="94"/>
  <c r="Q258" i="94"/>
  <c r="R258" i="94"/>
  <c r="S258" i="94"/>
  <c r="T258" i="94"/>
  <c r="V258" i="94"/>
  <c r="W258" i="94"/>
  <c r="X258" i="94"/>
  <c r="Y258" i="94"/>
  <c r="Z258" i="94"/>
  <c r="P259" i="94"/>
  <c r="Q259" i="94"/>
  <c r="R259" i="94"/>
  <c r="S259" i="94"/>
  <c r="T259" i="94"/>
  <c r="V259" i="94"/>
  <c r="W259" i="94"/>
  <c r="X259" i="94"/>
  <c r="Y259" i="94"/>
  <c r="Z259" i="94"/>
  <c r="P260" i="94"/>
  <c r="Q260" i="94"/>
  <c r="R260" i="94"/>
  <c r="S260" i="94"/>
  <c r="T260" i="94"/>
  <c r="V260" i="94"/>
  <c r="W260" i="94"/>
  <c r="X260" i="94"/>
  <c r="Y260" i="94"/>
  <c r="Z260" i="94"/>
  <c r="P261" i="94"/>
  <c r="Q261" i="94"/>
  <c r="R261" i="94"/>
  <c r="S261" i="94"/>
  <c r="T261" i="94"/>
  <c r="V261" i="94"/>
  <c r="W261" i="94"/>
  <c r="X261" i="94"/>
  <c r="Y261" i="94"/>
  <c r="Z261" i="94"/>
  <c r="P262" i="94"/>
  <c r="Q262" i="94"/>
  <c r="R262" i="94"/>
  <c r="S262" i="94"/>
  <c r="T262" i="94"/>
  <c r="V262" i="94"/>
  <c r="W262" i="94"/>
  <c r="X262" i="94"/>
  <c r="Y262" i="94"/>
  <c r="Z262" i="94"/>
  <c r="P263" i="94"/>
  <c r="Q263" i="94"/>
  <c r="R263" i="94"/>
  <c r="S263" i="94"/>
  <c r="T263" i="94"/>
  <c r="V263" i="94"/>
  <c r="W263" i="94"/>
  <c r="X263" i="94"/>
  <c r="Y263" i="94"/>
  <c r="Z263" i="94"/>
  <c r="P264" i="94"/>
  <c r="Q264" i="94"/>
  <c r="R264" i="94"/>
  <c r="S264" i="94"/>
  <c r="T264" i="94"/>
  <c r="V264" i="94"/>
  <c r="W264" i="94"/>
  <c r="X264" i="94"/>
  <c r="Y264" i="94"/>
  <c r="Z264" i="94"/>
  <c r="P265" i="94"/>
  <c r="Q265" i="94"/>
  <c r="R265" i="94"/>
  <c r="S265" i="94"/>
  <c r="T265" i="94"/>
  <c r="V265" i="94"/>
  <c r="W265" i="94"/>
  <c r="X265" i="94"/>
  <c r="Y265" i="94"/>
  <c r="Z265" i="94"/>
  <c r="P266" i="94"/>
  <c r="Q266" i="94"/>
  <c r="R266" i="94"/>
  <c r="S266" i="94"/>
  <c r="T266" i="94"/>
  <c r="V266" i="94"/>
  <c r="W266" i="94"/>
  <c r="X266" i="94"/>
  <c r="Y266" i="94"/>
  <c r="Z266" i="94"/>
  <c r="P267" i="94"/>
  <c r="Q267" i="94"/>
  <c r="R267" i="94"/>
  <c r="S267" i="94"/>
  <c r="T267" i="94"/>
  <c r="V267" i="94"/>
  <c r="W267" i="94"/>
  <c r="X267" i="94"/>
  <c r="Y267" i="94"/>
  <c r="Z267" i="94"/>
  <c r="P268" i="94"/>
  <c r="Q268" i="94"/>
  <c r="R268" i="94"/>
  <c r="S268" i="94"/>
  <c r="T268" i="94"/>
  <c r="V268" i="94"/>
  <c r="W268" i="94"/>
  <c r="X268" i="94"/>
  <c r="Y268" i="94"/>
  <c r="Z268" i="94"/>
  <c r="P269" i="94"/>
  <c r="Q269" i="94"/>
  <c r="R269" i="94"/>
  <c r="S269" i="94"/>
  <c r="T269" i="94"/>
  <c r="V269" i="94"/>
  <c r="W269" i="94"/>
  <c r="X269" i="94"/>
  <c r="Y269" i="94"/>
  <c r="Z269" i="94"/>
  <c r="H229" i="94"/>
  <c r="N26" i="98"/>
  <c r="C282" i="94"/>
  <c r="D282" i="94"/>
  <c r="C304" i="94"/>
  <c r="E282" i="94"/>
  <c r="D304" i="94"/>
  <c r="F282" i="94"/>
  <c r="E304" i="94"/>
  <c r="G282" i="94"/>
  <c r="F304" i="94"/>
  <c r="H282" i="94"/>
  <c r="G304" i="94"/>
  <c r="I282" i="94"/>
  <c r="H304" i="94"/>
  <c r="J282" i="94"/>
  <c r="I304" i="94"/>
  <c r="K282" i="94"/>
  <c r="J304" i="94"/>
  <c r="L282" i="94"/>
  <c r="K304" i="94"/>
  <c r="M282" i="94"/>
  <c r="L304" i="94"/>
  <c r="C283" i="94"/>
  <c r="D283" i="94"/>
  <c r="C305" i="94"/>
  <c r="E283" i="94"/>
  <c r="D305" i="94"/>
  <c r="F283" i="94"/>
  <c r="E305" i="94"/>
  <c r="G283" i="94"/>
  <c r="F305" i="94"/>
  <c r="H283" i="94"/>
  <c r="G305" i="94"/>
  <c r="I283" i="94"/>
  <c r="H305" i="94"/>
  <c r="J283" i="94"/>
  <c r="I305" i="94"/>
  <c r="K283" i="94"/>
  <c r="J305" i="94"/>
  <c r="L283" i="94"/>
  <c r="K305" i="94"/>
  <c r="M283" i="94"/>
  <c r="L305" i="94"/>
  <c r="C284" i="94"/>
  <c r="D284" i="94"/>
  <c r="C306" i="94"/>
  <c r="E284" i="94"/>
  <c r="D306" i="94"/>
  <c r="F284" i="94"/>
  <c r="E306" i="94"/>
  <c r="G284" i="94"/>
  <c r="F306" i="94"/>
  <c r="H284" i="94"/>
  <c r="G306" i="94"/>
  <c r="I284" i="94"/>
  <c r="H306" i="94"/>
  <c r="J284" i="94"/>
  <c r="I306" i="94"/>
  <c r="K284" i="94"/>
  <c r="J306" i="94"/>
  <c r="L284" i="94"/>
  <c r="K306" i="94"/>
  <c r="M284" i="94"/>
  <c r="L306" i="94"/>
  <c r="C285" i="94"/>
  <c r="D285" i="94"/>
  <c r="C307" i="94"/>
  <c r="E285" i="94"/>
  <c r="D307" i="94"/>
  <c r="F285" i="94"/>
  <c r="E307" i="94"/>
  <c r="G285" i="94"/>
  <c r="F307" i="94"/>
  <c r="H285" i="94"/>
  <c r="G307" i="94"/>
  <c r="I285" i="94"/>
  <c r="H307" i="94"/>
  <c r="J285" i="94"/>
  <c r="I307" i="94"/>
  <c r="K285" i="94"/>
  <c r="J307" i="94"/>
  <c r="L285" i="94"/>
  <c r="K307" i="94"/>
  <c r="M285" i="94"/>
  <c r="L307" i="94"/>
  <c r="C286" i="94"/>
  <c r="D286" i="94"/>
  <c r="C308" i="94"/>
  <c r="E286" i="94"/>
  <c r="D308" i="94"/>
  <c r="F286" i="94"/>
  <c r="E308" i="94"/>
  <c r="G286" i="94"/>
  <c r="F308" i="94"/>
  <c r="H286" i="94"/>
  <c r="G308" i="94"/>
  <c r="I286" i="94"/>
  <c r="H308" i="94"/>
  <c r="J286" i="94"/>
  <c r="I308" i="94"/>
  <c r="K286" i="94"/>
  <c r="J308" i="94"/>
  <c r="L286" i="94"/>
  <c r="K308" i="94"/>
  <c r="M286" i="94"/>
  <c r="L308" i="94"/>
  <c r="C287" i="94"/>
  <c r="D287" i="94"/>
  <c r="C309" i="94"/>
  <c r="E287" i="94"/>
  <c r="D309" i="94"/>
  <c r="F287" i="94"/>
  <c r="E309" i="94"/>
  <c r="G287" i="94"/>
  <c r="F309" i="94"/>
  <c r="H287" i="94"/>
  <c r="G309" i="94"/>
  <c r="I287" i="94"/>
  <c r="H309" i="94"/>
  <c r="J287" i="94"/>
  <c r="I309" i="94"/>
  <c r="K287" i="94"/>
  <c r="J309" i="94"/>
  <c r="L287" i="94"/>
  <c r="K309" i="94"/>
  <c r="M287" i="94"/>
  <c r="L309" i="94"/>
  <c r="C288" i="94"/>
  <c r="D288" i="94"/>
  <c r="C310" i="94"/>
  <c r="E288" i="94"/>
  <c r="D310" i="94"/>
  <c r="F288" i="94"/>
  <c r="E310" i="94"/>
  <c r="G288" i="94"/>
  <c r="F310" i="94"/>
  <c r="H288" i="94"/>
  <c r="G310" i="94"/>
  <c r="I288" i="94"/>
  <c r="H310" i="94"/>
  <c r="J288" i="94"/>
  <c r="I310" i="94"/>
  <c r="K288" i="94"/>
  <c r="J310" i="94"/>
  <c r="L288" i="94"/>
  <c r="K310" i="94"/>
  <c r="M288" i="94"/>
  <c r="L310" i="94"/>
  <c r="C289" i="94"/>
  <c r="D289" i="94"/>
  <c r="C311" i="94"/>
  <c r="E289" i="94"/>
  <c r="D311" i="94"/>
  <c r="F289" i="94"/>
  <c r="E311" i="94"/>
  <c r="G289" i="94"/>
  <c r="F311" i="94"/>
  <c r="H289" i="94"/>
  <c r="G311" i="94"/>
  <c r="I289" i="94"/>
  <c r="H311" i="94"/>
  <c r="J289" i="94"/>
  <c r="I311" i="94"/>
  <c r="K289" i="94"/>
  <c r="J311" i="94"/>
  <c r="L289" i="94"/>
  <c r="K311" i="94"/>
  <c r="M289" i="94"/>
  <c r="L311" i="94"/>
  <c r="C290" i="94"/>
  <c r="D290" i="94"/>
  <c r="C312" i="94"/>
  <c r="E290" i="94"/>
  <c r="D312" i="94"/>
  <c r="F290" i="94"/>
  <c r="E312" i="94"/>
  <c r="G290" i="94"/>
  <c r="F312" i="94"/>
  <c r="H290" i="94"/>
  <c r="G312" i="94"/>
  <c r="I290" i="94"/>
  <c r="H312" i="94"/>
  <c r="J290" i="94"/>
  <c r="I312" i="94"/>
  <c r="K290" i="94"/>
  <c r="J312" i="94"/>
  <c r="L290" i="94"/>
  <c r="K312" i="94"/>
  <c r="M290" i="94"/>
  <c r="L312" i="94"/>
  <c r="C291" i="94"/>
  <c r="D291" i="94"/>
  <c r="C313" i="94"/>
  <c r="E291" i="94"/>
  <c r="D313" i="94"/>
  <c r="F291" i="94"/>
  <c r="E313" i="94"/>
  <c r="G291" i="94"/>
  <c r="F313" i="94"/>
  <c r="H291" i="94"/>
  <c r="G313" i="94"/>
  <c r="I291" i="94"/>
  <c r="H313" i="94"/>
  <c r="J291" i="94"/>
  <c r="I313" i="94"/>
  <c r="K291" i="94"/>
  <c r="J313" i="94"/>
  <c r="L291" i="94"/>
  <c r="K313" i="94"/>
  <c r="M291" i="94"/>
  <c r="L313" i="94"/>
  <c r="C292" i="94"/>
  <c r="D292" i="94"/>
  <c r="C314" i="94"/>
  <c r="E292" i="94"/>
  <c r="D314" i="94"/>
  <c r="F292" i="94"/>
  <c r="E314" i="94"/>
  <c r="G292" i="94"/>
  <c r="F314" i="94"/>
  <c r="H292" i="94"/>
  <c r="G314" i="94"/>
  <c r="I292" i="94"/>
  <c r="H314" i="94"/>
  <c r="J292" i="94"/>
  <c r="I314" i="94"/>
  <c r="K292" i="94"/>
  <c r="J314" i="94"/>
  <c r="L292" i="94"/>
  <c r="K314" i="94"/>
  <c r="M292" i="94"/>
  <c r="L314" i="94"/>
  <c r="C293" i="94"/>
  <c r="D293" i="94"/>
  <c r="C315" i="94"/>
  <c r="E293" i="94"/>
  <c r="D315" i="94"/>
  <c r="F293" i="94"/>
  <c r="E315" i="94"/>
  <c r="G293" i="94"/>
  <c r="F315" i="94"/>
  <c r="H293" i="94"/>
  <c r="G315" i="94"/>
  <c r="I293" i="94"/>
  <c r="H315" i="94"/>
  <c r="J293" i="94"/>
  <c r="I315" i="94"/>
  <c r="K293" i="94"/>
  <c r="J315" i="94"/>
  <c r="L293" i="94"/>
  <c r="K315" i="94"/>
  <c r="M293" i="94"/>
  <c r="L315" i="94"/>
  <c r="C294" i="94"/>
  <c r="D294" i="94"/>
  <c r="C316" i="94"/>
  <c r="E294" i="94"/>
  <c r="D316" i="94"/>
  <c r="F294" i="94"/>
  <c r="E316" i="94"/>
  <c r="G294" i="94"/>
  <c r="F316" i="94"/>
  <c r="H294" i="94"/>
  <c r="G316" i="94"/>
  <c r="I294" i="94"/>
  <c r="H316" i="94"/>
  <c r="J294" i="94"/>
  <c r="I316" i="94"/>
  <c r="K294" i="94"/>
  <c r="J316" i="94"/>
  <c r="L294" i="94"/>
  <c r="K316" i="94"/>
  <c r="M294" i="94"/>
  <c r="L316" i="94"/>
  <c r="C295" i="94"/>
  <c r="D295" i="94"/>
  <c r="C317" i="94"/>
  <c r="E295" i="94"/>
  <c r="D317" i="94"/>
  <c r="F295" i="94"/>
  <c r="E317" i="94"/>
  <c r="G295" i="94"/>
  <c r="F317" i="94"/>
  <c r="H295" i="94"/>
  <c r="G317" i="94"/>
  <c r="I295" i="94"/>
  <c r="H317" i="94"/>
  <c r="J295" i="94"/>
  <c r="I317" i="94"/>
  <c r="K295" i="94"/>
  <c r="J317" i="94"/>
  <c r="L295" i="94"/>
  <c r="K317" i="94"/>
  <c r="M295" i="94"/>
  <c r="L317" i="94"/>
  <c r="C296" i="94"/>
  <c r="D296" i="94"/>
  <c r="C318" i="94"/>
  <c r="E296" i="94"/>
  <c r="D318" i="94"/>
  <c r="F296" i="94"/>
  <c r="E318" i="94"/>
  <c r="G296" i="94"/>
  <c r="F318" i="94"/>
  <c r="H296" i="94"/>
  <c r="G318" i="94"/>
  <c r="I296" i="94"/>
  <c r="H318" i="94"/>
  <c r="J296" i="94"/>
  <c r="I318" i="94"/>
  <c r="K296" i="94"/>
  <c r="J318" i="94"/>
  <c r="L296" i="94"/>
  <c r="K318" i="94"/>
  <c r="M296" i="94"/>
  <c r="L318" i="94"/>
  <c r="C297" i="94"/>
  <c r="D297" i="94"/>
  <c r="C319" i="94"/>
  <c r="E297" i="94"/>
  <c r="D319" i="94"/>
  <c r="F297" i="94"/>
  <c r="E319" i="94"/>
  <c r="G297" i="94"/>
  <c r="F319" i="94"/>
  <c r="H297" i="94"/>
  <c r="G319" i="94"/>
  <c r="I297" i="94"/>
  <c r="H319" i="94"/>
  <c r="J297" i="94"/>
  <c r="I319" i="94"/>
  <c r="K297" i="94"/>
  <c r="J319" i="94"/>
  <c r="L297" i="94"/>
  <c r="K319" i="94"/>
  <c r="M297" i="94"/>
  <c r="L319" i="94"/>
  <c r="C278" i="94"/>
  <c r="N29" i="98"/>
  <c r="P304" i="94"/>
  <c r="Q304" i="94"/>
  <c r="R304" i="94"/>
  <c r="S304" i="94"/>
  <c r="T304" i="94"/>
  <c r="V304" i="94"/>
  <c r="W304" i="94"/>
  <c r="X304" i="94"/>
  <c r="Y304" i="94"/>
  <c r="Z304" i="94"/>
  <c r="P305" i="94"/>
  <c r="Q305" i="94"/>
  <c r="R305" i="94"/>
  <c r="S305" i="94"/>
  <c r="T305" i="94"/>
  <c r="V305" i="94"/>
  <c r="W305" i="94"/>
  <c r="X305" i="94"/>
  <c r="Y305" i="94"/>
  <c r="Z305" i="94"/>
  <c r="P306" i="94"/>
  <c r="Q306" i="94"/>
  <c r="R306" i="94"/>
  <c r="S306" i="94"/>
  <c r="T306" i="94"/>
  <c r="V306" i="94"/>
  <c r="W306" i="94"/>
  <c r="X306" i="94"/>
  <c r="Y306" i="94"/>
  <c r="Z306" i="94"/>
  <c r="P307" i="94"/>
  <c r="Q307" i="94"/>
  <c r="R307" i="94"/>
  <c r="S307" i="94"/>
  <c r="T307" i="94"/>
  <c r="V307" i="94"/>
  <c r="W307" i="94"/>
  <c r="X307" i="94"/>
  <c r="Y307" i="94"/>
  <c r="Z307" i="94"/>
  <c r="P308" i="94"/>
  <c r="Q308" i="94"/>
  <c r="R308" i="94"/>
  <c r="S308" i="94"/>
  <c r="T308" i="94"/>
  <c r="V308" i="94"/>
  <c r="W308" i="94"/>
  <c r="X308" i="94"/>
  <c r="Y308" i="94"/>
  <c r="Z308" i="94"/>
  <c r="P309" i="94"/>
  <c r="Q309" i="94"/>
  <c r="R309" i="94"/>
  <c r="S309" i="94"/>
  <c r="T309" i="94"/>
  <c r="V309" i="94"/>
  <c r="W309" i="94"/>
  <c r="X309" i="94"/>
  <c r="Y309" i="94"/>
  <c r="Z309" i="94"/>
  <c r="P310" i="94"/>
  <c r="Q310" i="94"/>
  <c r="R310" i="94"/>
  <c r="S310" i="94"/>
  <c r="T310" i="94"/>
  <c r="V310" i="94"/>
  <c r="W310" i="94"/>
  <c r="X310" i="94"/>
  <c r="Y310" i="94"/>
  <c r="Z310" i="94"/>
  <c r="P311" i="94"/>
  <c r="Q311" i="94"/>
  <c r="R311" i="94"/>
  <c r="S311" i="94"/>
  <c r="T311" i="94"/>
  <c r="V311" i="94"/>
  <c r="W311" i="94"/>
  <c r="X311" i="94"/>
  <c r="Y311" i="94"/>
  <c r="Z311" i="94"/>
  <c r="P312" i="94"/>
  <c r="Q312" i="94"/>
  <c r="R312" i="94"/>
  <c r="S312" i="94"/>
  <c r="T312" i="94"/>
  <c r="V312" i="94"/>
  <c r="W312" i="94"/>
  <c r="X312" i="94"/>
  <c r="Y312" i="94"/>
  <c r="Z312" i="94"/>
  <c r="P313" i="94"/>
  <c r="Q313" i="94"/>
  <c r="R313" i="94"/>
  <c r="S313" i="94"/>
  <c r="T313" i="94"/>
  <c r="V313" i="94"/>
  <c r="W313" i="94"/>
  <c r="X313" i="94"/>
  <c r="Y313" i="94"/>
  <c r="Z313" i="94"/>
  <c r="P314" i="94"/>
  <c r="Q314" i="94"/>
  <c r="R314" i="94"/>
  <c r="S314" i="94"/>
  <c r="T314" i="94"/>
  <c r="V314" i="94"/>
  <c r="W314" i="94"/>
  <c r="X314" i="94"/>
  <c r="Y314" i="94"/>
  <c r="Z314" i="94"/>
  <c r="P315" i="94"/>
  <c r="Q315" i="94"/>
  <c r="R315" i="94"/>
  <c r="S315" i="94"/>
  <c r="T315" i="94"/>
  <c r="V315" i="94"/>
  <c r="W315" i="94"/>
  <c r="X315" i="94"/>
  <c r="Y315" i="94"/>
  <c r="Z315" i="94"/>
  <c r="P316" i="94"/>
  <c r="Q316" i="94"/>
  <c r="R316" i="94"/>
  <c r="S316" i="94"/>
  <c r="T316" i="94"/>
  <c r="V316" i="94"/>
  <c r="W316" i="94"/>
  <c r="X316" i="94"/>
  <c r="Y316" i="94"/>
  <c r="Z316" i="94"/>
  <c r="P317" i="94"/>
  <c r="Q317" i="94"/>
  <c r="R317" i="94"/>
  <c r="S317" i="94"/>
  <c r="T317" i="94"/>
  <c r="V317" i="94"/>
  <c r="W317" i="94"/>
  <c r="X317" i="94"/>
  <c r="Y317" i="94"/>
  <c r="Z317" i="94"/>
  <c r="P318" i="94"/>
  <c r="Q318" i="94"/>
  <c r="R318" i="94"/>
  <c r="S318" i="94"/>
  <c r="T318" i="94"/>
  <c r="V318" i="94"/>
  <c r="W318" i="94"/>
  <c r="X318" i="94"/>
  <c r="Y318" i="94"/>
  <c r="Z318" i="94"/>
  <c r="H278" i="94"/>
  <c r="N30" i="98"/>
  <c r="C331" i="94"/>
  <c r="D331" i="94"/>
  <c r="C353" i="94"/>
  <c r="E331" i="94"/>
  <c r="D353" i="94"/>
  <c r="F331" i="94"/>
  <c r="E353" i="94"/>
  <c r="G331" i="94"/>
  <c r="F353" i="94"/>
  <c r="H331" i="94"/>
  <c r="G353" i="94"/>
  <c r="I331" i="94"/>
  <c r="H353" i="94"/>
  <c r="J331" i="94"/>
  <c r="I353" i="94"/>
  <c r="K331" i="94"/>
  <c r="J353" i="94"/>
  <c r="L331" i="94"/>
  <c r="K353" i="94"/>
  <c r="M331" i="94"/>
  <c r="L353" i="94"/>
  <c r="C332" i="94"/>
  <c r="D332" i="94"/>
  <c r="C354" i="94"/>
  <c r="E332" i="94"/>
  <c r="D354" i="94"/>
  <c r="F332" i="94"/>
  <c r="E354" i="94"/>
  <c r="G332" i="94"/>
  <c r="F354" i="94"/>
  <c r="H332" i="94"/>
  <c r="G354" i="94"/>
  <c r="I332" i="94"/>
  <c r="H354" i="94"/>
  <c r="J332" i="94"/>
  <c r="I354" i="94"/>
  <c r="K332" i="94"/>
  <c r="J354" i="94"/>
  <c r="L332" i="94"/>
  <c r="K354" i="94"/>
  <c r="M332" i="94"/>
  <c r="L354" i="94"/>
  <c r="C333" i="94"/>
  <c r="D333" i="94"/>
  <c r="C355" i="94"/>
  <c r="E333" i="94"/>
  <c r="D355" i="94"/>
  <c r="F333" i="94"/>
  <c r="E355" i="94"/>
  <c r="G333" i="94"/>
  <c r="F355" i="94"/>
  <c r="H333" i="94"/>
  <c r="G355" i="94"/>
  <c r="I333" i="94"/>
  <c r="H355" i="94"/>
  <c r="J333" i="94"/>
  <c r="I355" i="94"/>
  <c r="K333" i="94"/>
  <c r="J355" i="94"/>
  <c r="L333" i="94"/>
  <c r="K355" i="94"/>
  <c r="M333" i="94"/>
  <c r="L355" i="94"/>
  <c r="C334" i="94"/>
  <c r="D334" i="94"/>
  <c r="C356" i="94"/>
  <c r="E334" i="94"/>
  <c r="D356" i="94"/>
  <c r="F334" i="94"/>
  <c r="E356" i="94"/>
  <c r="G334" i="94"/>
  <c r="F356" i="94"/>
  <c r="H334" i="94"/>
  <c r="G356" i="94"/>
  <c r="I334" i="94"/>
  <c r="H356" i="94"/>
  <c r="J334" i="94"/>
  <c r="I356" i="94"/>
  <c r="K334" i="94"/>
  <c r="J356" i="94"/>
  <c r="L334" i="94"/>
  <c r="K356" i="94"/>
  <c r="M334" i="94"/>
  <c r="L356" i="94"/>
  <c r="C335" i="94"/>
  <c r="D335" i="94"/>
  <c r="C357" i="94"/>
  <c r="E335" i="94"/>
  <c r="D357" i="94"/>
  <c r="F335" i="94"/>
  <c r="E357" i="94"/>
  <c r="G335" i="94"/>
  <c r="F357" i="94"/>
  <c r="H335" i="94"/>
  <c r="G357" i="94"/>
  <c r="I335" i="94"/>
  <c r="H357" i="94"/>
  <c r="J335" i="94"/>
  <c r="I357" i="94"/>
  <c r="K335" i="94"/>
  <c r="J357" i="94"/>
  <c r="L335" i="94"/>
  <c r="K357" i="94"/>
  <c r="M335" i="94"/>
  <c r="L357" i="94"/>
  <c r="C336" i="94"/>
  <c r="D336" i="94"/>
  <c r="C358" i="94"/>
  <c r="E336" i="94"/>
  <c r="D358" i="94"/>
  <c r="F336" i="94"/>
  <c r="E358" i="94"/>
  <c r="G336" i="94"/>
  <c r="F358" i="94"/>
  <c r="H336" i="94"/>
  <c r="G358" i="94"/>
  <c r="I336" i="94"/>
  <c r="H358" i="94"/>
  <c r="J336" i="94"/>
  <c r="I358" i="94"/>
  <c r="K336" i="94"/>
  <c r="J358" i="94"/>
  <c r="L336" i="94"/>
  <c r="K358" i="94"/>
  <c r="M336" i="94"/>
  <c r="L358" i="94"/>
  <c r="C337" i="94"/>
  <c r="D337" i="94"/>
  <c r="C359" i="94"/>
  <c r="E337" i="94"/>
  <c r="D359" i="94"/>
  <c r="F337" i="94"/>
  <c r="E359" i="94"/>
  <c r="G337" i="94"/>
  <c r="F359" i="94"/>
  <c r="H337" i="94"/>
  <c r="G359" i="94"/>
  <c r="I337" i="94"/>
  <c r="H359" i="94"/>
  <c r="J337" i="94"/>
  <c r="I359" i="94"/>
  <c r="K337" i="94"/>
  <c r="J359" i="94"/>
  <c r="L337" i="94"/>
  <c r="K359" i="94"/>
  <c r="M337" i="94"/>
  <c r="L359" i="94"/>
  <c r="C338" i="94"/>
  <c r="D338" i="94"/>
  <c r="C360" i="94"/>
  <c r="E338" i="94"/>
  <c r="D360" i="94"/>
  <c r="F338" i="94"/>
  <c r="E360" i="94"/>
  <c r="G338" i="94"/>
  <c r="F360" i="94"/>
  <c r="H338" i="94"/>
  <c r="G360" i="94"/>
  <c r="I338" i="94"/>
  <c r="H360" i="94"/>
  <c r="J338" i="94"/>
  <c r="I360" i="94"/>
  <c r="K338" i="94"/>
  <c r="J360" i="94"/>
  <c r="L338" i="94"/>
  <c r="K360" i="94"/>
  <c r="M338" i="94"/>
  <c r="L360" i="94"/>
  <c r="C339" i="94"/>
  <c r="D339" i="94"/>
  <c r="C361" i="94"/>
  <c r="E339" i="94"/>
  <c r="D361" i="94"/>
  <c r="F339" i="94"/>
  <c r="E361" i="94"/>
  <c r="G339" i="94"/>
  <c r="F361" i="94"/>
  <c r="H339" i="94"/>
  <c r="G361" i="94"/>
  <c r="I339" i="94"/>
  <c r="H361" i="94"/>
  <c r="J339" i="94"/>
  <c r="I361" i="94"/>
  <c r="K339" i="94"/>
  <c r="J361" i="94"/>
  <c r="L339" i="94"/>
  <c r="K361" i="94"/>
  <c r="M339" i="94"/>
  <c r="L361" i="94"/>
  <c r="C340" i="94"/>
  <c r="D340" i="94"/>
  <c r="C362" i="94"/>
  <c r="E340" i="94"/>
  <c r="D362" i="94"/>
  <c r="F340" i="94"/>
  <c r="E362" i="94"/>
  <c r="G340" i="94"/>
  <c r="F362" i="94"/>
  <c r="H340" i="94"/>
  <c r="G362" i="94"/>
  <c r="I340" i="94"/>
  <c r="H362" i="94"/>
  <c r="J340" i="94"/>
  <c r="I362" i="94"/>
  <c r="K340" i="94"/>
  <c r="J362" i="94"/>
  <c r="L340" i="94"/>
  <c r="K362" i="94"/>
  <c r="M340" i="94"/>
  <c r="L362" i="94"/>
  <c r="C341" i="94"/>
  <c r="D341" i="94"/>
  <c r="C363" i="94"/>
  <c r="E341" i="94"/>
  <c r="D363" i="94"/>
  <c r="F341" i="94"/>
  <c r="E363" i="94"/>
  <c r="G341" i="94"/>
  <c r="F363" i="94"/>
  <c r="H341" i="94"/>
  <c r="G363" i="94"/>
  <c r="I341" i="94"/>
  <c r="H363" i="94"/>
  <c r="J341" i="94"/>
  <c r="I363" i="94"/>
  <c r="K341" i="94"/>
  <c r="J363" i="94"/>
  <c r="L341" i="94"/>
  <c r="K363" i="94"/>
  <c r="M341" i="94"/>
  <c r="L363" i="94"/>
  <c r="C342" i="94"/>
  <c r="D342" i="94"/>
  <c r="C364" i="94"/>
  <c r="E342" i="94"/>
  <c r="D364" i="94"/>
  <c r="F342" i="94"/>
  <c r="E364" i="94"/>
  <c r="G342" i="94"/>
  <c r="F364" i="94"/>
  <c r="H342" i="94"/>
  <c r="G364" i="94"/>
  <c r="I342" i="94"/>
  <c r="H364" i="94"/>
  <c r="J342" i="94"/>
  <c r="I364" i="94"/>
  <c r="K342" i="94"/>
  <c r="J364" i="94"/>
  <c r="L342" i="94"/>
  <c r="K364" i="94"/>
  <c r="M342" i="94"/>
  <c r="L364" i="94"/>
  <c r="C343" i="94"/>
  <c r="D343" i="94"/>
  <c r="C365" i="94"/>
  <c r="E343" i="94"/>
  <c r="D365" i="94"/>
  <c r="F343" i="94"/>
  <c r="E365" i="94"/>
  <c r="G343" i="94"/>
  <c r="F365" i="94"/>
  <c r="H343" i="94"/>
  <c r="G365" i="94"/>
  <c r="I343" i="94"/>
  <c r="H365" i="94"/>
  <c r="J343" i="94"/>
  <c r="I365" i="94"/>
  <c r="K343" i="94"/>
  <c r="J365" i="94"/>
  <c r="L343" i="94"/>
  <c r="K365" i="94"/>
  <c r="M343" i="94"/>
  <c r="L365" i="94"/>
  <c r="C344" i="94"/>
  <c r="D344" i="94"/>
  <c r="C366" i="94"/>
  <c r="E344" i="94"/>
  <c r="D366" i="94"/>
  <c r="F344" i="94"/>
  <c r="E366" i="94"/>
  <c r="G344" i="94"/>
  <c r="F366" i="94"/>
  <c r="H344" i="94"/>
  <c r="G366" i="94"/>
  <c r="I344" i="94"/>
  <c r="H366" i="94"/>
  <c r="J344" i="94"/>
  <c r="I366" i="94"/>
  <c r="K344" i="94"/>
  <c r="J366" i="94"/>
  <c r="L344" i="94"/>
  <c r="K366" i="94"/>
  <c r="M344" i="94"/>
  <c r="L366" i="94"/>
  <c r="C345" i="94"/>
  <c r="D345" i="94"/>
  <c r="C367" i="94"/>
  <c r="E345" i="94"/>
  <c r="D367" i="94"/>
  <c r="F345" i="94"/>
  <c r="E367" i="94"/>
  <c r="G345" i="94"/>
  <c r="F367" i="94"/>
  <c r="H345" i="94"/>
  <c r="G367" i="94"/>
  <c r="I345" i="94"/>
  <c r="H367" i="94"/>
  <c r="J345" i="94"/>
  <c r="I367" i="94"/>
  <c r="K345" i="94"/>
  <c r="J367" i="94"/>
  <c r="L345" i="94"/>
  <c r="K367" i="94"/>
  <c r="M345" i="94"/>
  <c r="L367" i="94"/>
  <c r="C346" i="94"/>
  <c r="D346" i="94"/>
  <c r="C368" i="94"/>
  <c r="E346" i="94"/>
  <c r="D368" i="94"/>
  <c r="F346" i="94"/>
  <c r="E368" i="94"/>
  <c r="G346" i="94"/>
  <c r="F368" i="94"/>
  <c r="H346" i="94"/>
  <c r="G368" i="94"/>
  <c r="I346" i="94"/>
  <c r="H368" i="94"/>
  <c r="J346" i="94"/>
  <c r="I368" i="94"/>
  <c r="K346" i="94"/>
  <c r="J368" i="94"/>
  <c r="L346" i="94"/>
  <c r="K368" i="94"/>
  <c r="M346" i="94"/>
  <c r="L368" i="94"/>
  <c r="C327" i="94"/>
  <c r="N33" i="98"/>
  <c r="P353" i="94"/>
  <c r="Q353" i="94"/>
  <c r="R353" i="94"/>
  <c r="S353" i="94"/>
  <c r="T353" i="94"/>
  <c r="V353" i="94"/>
  <c r="W353" i="94"/>
  <c r="X353" i="94"/>
  <c r="Y353" i="94"/>
  <c r="Z353" i="94"/>
  <c r="P354" i="94"/>
  <c r="Q354" i="94"/>
  <c r="R354" i="94"/>
  <c r="S354" i="94"/>
  <c r="T354" i="94"/>
  <c r="V354" i="94"/>
  <c r="W354" i="94"/>
  <c r="X354" i="94"/>
  <c r="Y354" i="94"/>
  <c r="Z354" i="94"/>
  <c r="P355" i="94"/>
  <c r="Q355" i="94"/>
  <c r="R355" i="94"/>
  <c r="S355" i="94"/>
  <c r="T355" i="94"/>
  <c r="V355" i="94"/>
  <c r="W355" i="94"/>
  <c r="X355" i="94"/>
  <c r="Y355" i="94"/>
  <c r="Z355" i="94"/>
  <c r="P356" i="94"/>
  <c r="Q356" i="94"/>
  <c r="R356" i="94"/>
  <c r="S356" i="94"/>
  <c r="T356" i="94"/>
  <c r="V356" i="94"/>
  <c r="W356" i="94"/>
  <c r="X356" i="94"/>
  <c r="Y356" i="94"/>
  <c r="Z356" i="94"/>
  <c r="P357" i="94"/>
  <c r="Q357" i="94"/>
  <c r="R357" i="94"/>
  <c r="S357" i="94"/>
  <c r="T357" i="94"/>
  <c r="V357" i="94"/>
  <c r="W357" i="94"/>
  <c r="X357" i="94"/>
  <c r="Y357" i="94"/>
  <c r="Z357" i="94"/>
  <c r="P358" i="94"/>
  <c r="Q358" i="94"/>
  <c r="R358" i="94"/>
  <c r="S358" i="94"/>
  <c r="T358" i="94"/>
  <c r="V358" i="94"/>
  <c r="W358" i="94"/>
  <c r="X358" i="94"/>
  <c r="Y358" i="94"/>
  <c r="Z358" i="94"/>
  <c r="P359" i="94"/>
  <c r="Q359" i="94"/>
  <c r="R359" i="94"/>
  <c r="S359" i="94"/>
  <c r="T359" i="94"/>
  <c r="V359" i="94"/>
  <c r="W359" i="94"/>
  <c r="X359" i="94"/>
  <c r="Y359" i="94"/>
  <c r="Z359" i="94"/>
  <c r="P360" i="94"/>
  <c r="Q360" i="94"/>
  <c r="R360" i="94"/>
  <c r="S360" i="94"/>
  <c r="T360" i="94"/>
  <c r="V360" i="94"/>
  <c r="W360" i="94"/>
  <c r="X360" i="94"/>
  <c r="Y360" i="94"/>
  <c r="Z360" i="94"/>
  <c r="P361" i="94"/>
  <c r="Q361" i="94"/>
  <c r="R361" i="94"/>
  <c r="S361" i="94"/>
  <c r="T361" i="94"/>
  <c r="V361" i="94"/>
  <c r="W361" i="94"/>
  <c r="X361" i="94"/>
  <c r="Y361" i="94"/>
  <c r="Z361" i="94"/>
  <c r="P362" i="94"/>
  <c r="Q362" i="94"/>
  <c r="R362" i="94"/>
  <c r="S362" i="94"/>
  <c r="T362" i="94"/>
  <c r="V362" i="94"/>
  <c r="W362" i="94"/>
  <c r="X362" i="94"/>
  <c r="Y362" i="94"/>
  <c r="Z362" i="94"/>
  <c r="P363" i="94"/>
  <c r="Q363" i="94"/>
  <c r="R363" i="94"/>
  <c r="S363" i="94"/>
  <c r="T363" i="94"/>
  <c r="V363" i="94"/>
  <c r="W363" i="94"/>
  <c r="X363" i="94"/>
  <c r="Y363" i="94"/>
  <c r="Z363" i="94"/>
  <c r="P364" i="94"/>
  <c r="Q364" i="94"/>
  <c r="R364" i="94"/>
  <c r="S364" i="94"/>
  <c r="T364" i="94"/>
  <c r="V364" i="94"/>
  <c r="W364" i="94"/>
  <c r="X364" i="94"/>
  <c r="Y364" i="94"/>
  <c r="Z364" i="94"/>
  <c r="P365" i="94"/>
  <c r="Q365" i="94"/>
  <c r="R365" i="94"/>
  <c r="S365" i="94"/>
  <c r="T365" i="94"/>
  <c r="V365" i="94"/>
  <c r="W365" i="94"/>
  <c r="X365" i="94"/>
  <c r="Y365" i="94"/>
  <c r="Z365" i="94"/>
  <c r="P366" i="94"/>
  <c r="Q366" i="94"/>
  <c r="R366" i="94"/>
  <c r="S366" i="94"/>
  <c r="T366" i="94"/>
  <c r="V366" i="94"/>
  <c r="W366" i="94"/>
  <c r="X366" i="94"/>
  <c r="Y366" i="94"/>
  <c r="Z366" i="94"/>
  <c r="P367" i="94"/>
  <c r="Q367" i="94"/>
  <c r="R367" i="94"/>
  <c r="S367" i="94"/>
  <c r="T367" i="94"/>
  <c r="V367" i="94"/>
  <c r="W367" i="94"/>
  <c r="X367" i="94"/>
  <c r="Y367" i="94"/>
  <c r="Z367" i="94"/>
  <c r="H327" i="94"/>
  <c r="N34" i="98"/>
  <c r="C380" i="94"/>
  <c r="D380" i="94"/>
  <c r="C402" i="94"/>
  <c r="E380" i="94"/>
  <c r="D402" i="94"/>
  <c r="F380" i="94"/>
  <c r="E402" i="94"/>
  <c r="G380" i="94"/>
  <c r="F402" i="94"/>
  <c r="H380" i="94"/>
  <c r="G402" i="94"/>
  <c r="I380" i="94"/>
  <c r="H402" i="94"/>
  <c r="J380" i="94"/>
  <c r="I402" i="94"/>
  <c r="K380" i="94"/>
  <c r="J402" i="94"/>
  <c r="L380" i="94"/>
  <c r="K402" i="94"/>
  <c r="M380" i="94"/>
  <c r="L402" i="94"/>
  <c r="C381" i="94"/>
  <c r="D381" i="94"/>
  <c r="C403" i="94"/>
  <c r="E381" i="94"/>
  <c r="D403" i="94"/>
  <c r="F381" i="94"/>
  <c r="E403" i="94"/>
  <c r="G381" i="94"/>
  <c r="F403" i="94"/>
  <c r="H381" i="94"/>
  <c r="G403" i="94"/>
  <c r="I381" i="94"/>
  <c r="H403" i="94"/>
  <c r="J381" i="94"/>
  <c r="I403" i="94"/>
  <c r="K381" i="94"/>
  <c r="J403" i="94"/>
  <c r="L381" i="94"/>
  <c r="K403" i="94"/>
  <c r="M381" i="94"/>
  <c r="L403" i="94"/>
  <c r="C382" i="94"/>
  <c r="D382" i="94"/>
  <c r="C404" i="94"/>
  <c r="E382" i="94"/>
  <c r="D404" i="94"/>
  <c r="F382" i="94"/>
  <c r="E404" i="94"/>
  <c r="G382" i="94"/>
  <c r="F404" i="94"/>
  <c r="H382" i="94"/>
  <c r="G404" i="94"/>
  <c r="I382" i="94"/>
  <c r="H404" i="94"/>
  <c r="J382" i="94"/>
  <c r="I404" i="94"/>
  <c r="K382" i="94"/>
  <c r="J404" i="94"/>
  <c r="L382" i="94"/>
  <c r="K404" i="94"/>
  <c r="M382" i="94"/>
  <c r="L404" i="94"/>
  <c r="C383" i="94"/>
  <c r="D383" i="94"/>
  <c r="C405" i="94"/>
  <c r="E383" i="94"/>
  <c r="D405" i="94"/>
  <c r="F383" i="94"/>
  <c r="E405" i="94"/>
  <c r="G383" i="94"/>
  <c r="F405" i="94"/>
  <c r="H383" i="94"/>
  <c r="G405" i="94"/>
  <c r="I383" i="94"/>
  <c r="H405" i="94"/>
  <c r="J383" i="94"/>
  <c r="I405" i="94"/>
  <c r="K383" i="94"/>
  <c r="J405" i="94"/>
  <c r="L383" i="94"/>
  <c r="K405" i="94"/>
  <c r="M383" i="94"/>
  <c r="L405" i="94"/>
  <c r="C384" i="94"/>
  <c r="D384" i="94"/>
  <c r="C406" i="94"/>
  <c r="E384" i="94"/>
  <c r="D406" i="94"/>
  <c r="F384" i="94"/>
  <c r="E406" i="94"/>
  <c r="G384" i="94"/>
  <c r="F406" i="94"/>
  <c r="H384" i="94"/>
  <c r="G406" i="94"/>
  <c r="I384" i="94"/>
  <c r="H406" i="94"/>
  <c r="J384" i="94"/>
  <c r="I406" i="94"/>
  <c r="K384" i="94"/>
  <c r="J406" i="94"/>
  <c r="L384" i="94"/>
  <c r="K406" i="94"/>
  <c r="M384" i="94"/>
  <c r="L406" i="94"/>
  <c r="C385" i="94"/>
  <c r="D385" i="94"/>
  <c r="C407" i="94"/>
  <c r="E385" i="94"/>
  <c r="D407" i="94"/>
  <c r="F385" i="94"/>
  <c r="E407" i="94"/>
  <c r="G385" i="94"/>
  <c r="F407" i="94"/>
  <c r="H385" i="94"/>
  <c r="G407" i="94"/>
  <c r="I385" i="94"/>
  <c r="H407" i="94"/>
  <c r="J385" i="94"/>
  <c r="I407" i="94"/>
  <c r="K385" i="94"/>
  <c r="J407" i="94"/>
  <c r="L385" i="94"/>
  <c r="K407" i="94"/>
  <c r="M385" i="94"/>
  <c r="L407" i="94"/>
  <c r="C386" i="94"/>
  <c r="D386" i="94"/>
  <c r="C408" i="94"/>
  <c r="E386" i="94"/>
  <c r="D408" i="94"/>
  <c r="F386" i="94"/>
  <c r="E408" i="94"/>
  <c r="G386" i="94"/>
  <c r="F408" i="94"/>
  <c r="H386" i="94"/>
  <c r="G408" i="94"/>
  <c r="I386" i="94"/>
  <c r="H408" i="94"/>
  <c r="J386" i="94"/>
  <c r="I408" i="94"/>
  <c r="K386" i="94"/>
  <c r="J408" i="94"/>
  <c r="L386" i="94"/>
  <c r="K408" i="94"/>
  <c r="M386" i="94"/>
  <c r="L408" i="94"/>
  <c r="C387" i="94"/>
  <c r="D387" i="94"/>
  <c r="C409" i="94"/>
  <c r="E387" i="94"/>
  <c r="D409" i="94"/>
  <c r="F387" i="94"/>
  <c r="E409" i="94"/>
  <c r="G387" i="94"/>
  <c r="F409" i="94"/>
  <c r="H387" i="94"/>
  <c r="G409" i="94"/>
  <c r="I387" i="94"/>
  <c r="H409" i="94"/>
  <c r="J387" i="94"/>
  <c r="I409" i="94"/>
  <c r="K387" i="94"/>
  <c r="J409" i="94"/>
  <c r="L387" i="94"/>
  <c r="K409" i="94"/>
  <c r="M387" i="94"/>
  <c r="L409" i="94"/>
  <c r="C388" i="94"/>
  <c r="D388" i="94"/>
  <c r="C410" i="94"/>
  <c r="E388" i="94"/>
  <c r="D410" i="94"/>
  <c r="F388" i="94"/>
  <c r="E410" i="94"/>
  <c r="G388" i="94"/>
  <c r="F410" i="94"/>
  <c r="H388" i="94"/>
  <c r="G410" i="94"/>
  <c r="I388" i="94"/>
  <c r="H410" i="94"/>
  <c r="J388" i="94"/>
  <c r="I410" i="94"/>
  <c r="K388" i="94"/>
  <c r="J410" i="94"/>
  <c r="L388" i="94"/>
  <c r="K410" i="94"/>
  <c r="M388" i="94"/>
  <c r="L410" i="94"/>
  <c r="C389" i="94"/>
  <c r="D389" i="94"/>
  <c r="C411" i="94"/>
  <c r="E389" i="94"/>
  <c r="D411" i="94"/>
  <c r="F389" i="94"/>
  <c r="E411" i="94"/>
  <c r="G389" i="94"/>
  <c r="F411" i="94"/>
  <c r="H389" i="94"/>
  <c r="G411" i="94"/>
  <c r="I389" i="94"/>
  <c r="H411" i="94"/>
  <c r="J389" i="94"/>
  <c r="I411" i="94"/>
  <c r="K389" i="94"/>
  <c r="J411" i="94"/>
  <c r="L389" i="94"/>
  <c r="K411" i="94"/>
  <c r="M389" i="94"/>
  <c r="L411" i="94"/>
  <c r="C390" i="94"/>
  <c r="D390" i="94"/>
  <c r="C412" i="94"/>
  <c r="E390" i="94"/>
  <c r="D412" i="94"/>
  <c r="F390" i="94"/>
  <c r="E412" i="94"/>
  <c r="G390" i="94"/>
  <c r="F412" i="94"/>
  <c r="H390" i="94"/>
  <c r="G412" i="94"/>
  <c r="I390" i="94"/>
  <c r="H412" i="94"/>
  <c r="J390" i="94"/>
  <c r="I412" i="94"/>
  <c r="K390" i="94"/>
  <c r="J412" i="94"/>
  <c r="L390" i="94"/>
  <c r="K412" i="94"/>
  <c r="M390" i="94"/>
  <c r="L412" i="94"/>
  <c r="C391" i="94"/>
  <c r="D391" i="94"/>
  <c r="C413" i="94"/>
  <c r="E391" i="94"/>
  <c r="D413" i="94"/>
  <c r="F391" i="94"/>
  <c r="E413" i="94"/>
  <c r="G391" i="94"/>
  <c r="F413" i="94"/>
  <c r="H391" i="94"/>
  <c r="G413" i="94"/>
  <c r="I391" i="94"/>
  <c r="H413" i="94"/>
  <c r="J391" i="94"/>
  <c r="I413" i="94"/>
  <c r="K391" i="94"/>
  <c r="J413" i="94"/>
  <c r="L391" i="94"/>
  <c r="K413" i="94"/>
  <c r="M391" i="94"/>
  <c r="L413" i="94"/>
  <c r="C392" i="94"/>
  <c r="D392" i="94"/>
  <c r="C414" i="94"/>
  <c r="E392" i="94"/>
  <c r="D414" i="94"/>
  <c r="F392" i="94"/>
  <c r="E414" i="94"/>
  <c r="G392" i="94"/>
  <c r="F414" i="94"/>
  <c r="H392" i="94"/>
  <c r="G414" i="94"/>
  <c r="I392" i="94"/>
  <c r="H414" i="94"/>
  <c r="J392" i="94"/>
  <c r="I414" i="94"/>
  <c r="K392" i="94"/>
  <c r="J414" i="94"/>
  <c r="L392" i="94"/>
  <c r="K414" i="94"/>
  <c r="M392" i="94"/>
  <c r="L414" i="94"/>
  <c r="C393" i="94"/>
  <c r="D393" i="94"/>
  <c r="C415" i="94"/>
  <c r="E393" i="94"/>
  <c r="D415" i="94"/>
  <c r="F393" i="94"/>
  <c r="E415" i="94"/>
  <c r="G393" i="94"/>
  <c r="F415" i="94"/>
  <c r="H393" i="94"/>
  <c r="G415" i="94"/>
  <c r="I393" i="94"/>
  <c r="H415" i="94"/>
  <c r="J393" i="94"/>
  <c r="I415" i="94"/>
  <c r="K393" i="94"/>
  <c r="J415" i="94"/>
  <c r="L393" i="94"/>
  <c r="K415" i="94"/>
  <c r="M393" i="94"/>
  <c r="L415" i="94"/>
  <c r="C394" i="94"/>
  <c r="D394" i="94"/>
  <c r="C416" i="94"/>
  <c r="E394" i="94"/>
  <c r="D416" i="94"/>
  <c r="F394" i="94"/>
  <c r="E416" i="94"/>
  <c r="G394" i="94"/>
  <c r="F416" i="94"/>
  <c r="H394" i="94"/>
  <c r="G416" i="94"/>
  <c r="I394" i="94"/>
  <c r="H416" i="94"/>
  <c r="J394" i="94"/>
  <c r="I416" i="94"/>
  <c r="K394" i="94"/>
  <c r="J416" i="94"/>
  <c r="L394" i="94"/>
  <c r="K416" i="94"/>
  <c r="M394" i="94"/>
  <c r="L416" i="94"/>
  <c r="C395" i="94"/>
  <c r="D395" i="94"/>
  <c r="C417" i="94"/>
  <c r="E395" i="94"/>
  <c r="D417" i="94"/>
  <c r="F395" i="94"/>
  <c r="E417" i="94"/>
  <c r="G395" i="94"/>
  <c r="F417" i="94"/>
  <c r="H395" i="94"/>
  <c r="G417" i="94"/>
  <c r="I395" i="94"/>
  <c r="H417" i="94"/>
  <c r="J395" i="94"/>
  <c r="I417" i="94"/>
  <c r="K395" i="94"/>
  <c r="J417" i="94"/>
  <c r="L395" i="94"/>
  <c r="K417" i="94"/>
  <c r="M395" i="94"/>
  <c r="L417" i="94"/>
  <c r="C376" i="94"/>
  <c r="N37" i="98"/>
  <c r="P402" i="94"/>
  <c r="Q402" i="94"/>
  <c r="R402" i="94"/>
  <c r="S402" i="94"/>
  <c r="T402" i="94"/>
  <c r="V402" i="94"/>
  <c r="W402" i="94"/>
  <c r="X402" i="94"/>
  <c r="Y402" i="94"/>
  <c r="Z402" i="94"/>
  <c r="P403" i="94"/>
  <c r="Q403" i="94"/>
  <c r="R403" i="94"/>
  <c r="S403" i="94"/>
  <c r="T403" i="94"/>
  <c r="V403" i="94"/>
  <c r="W403" i="94"/>
  <c r="X403" i="94"/>
  <c r="Y403" i="94"/>
  <c r="Z403" i="94"/>
  <c r="P404" i="94"/>
  <c r="Q404" i="94"/>
  <c r="R404" i="94"/>
  <c r="S404" i="94"/>
  <c r="T404" i="94"/>
  <c r="V404" i="94"/>
  <c r="W404" i="94"/>
  <c r="X404" i="94"/>
  <c r="Y404" i="94"/>
  <c r="Z404" i="94"/>
  <c r="P405" i="94"/>
  <c r="Q405" i="94"/>
  <c r="R405" i="94"/>
  <c r="S405" i="94"/>
  <c r="T405" i="94"/>
  <c r="V405" i="94"/>
  <c r="W405" i="94"/>
  <c r="X405" i="94"/>
  <c r="Y405" i="94"/>
  <c r="Z405" i="94"/>
  <c r="P406" i="94"/>
  <c r="Q406" i="94"/>
  <c r="R406" i="94"/>
  <c r="S406" i="94"/>
  <c r="T406" i="94"/>
  <c r="V406" i="94"/>
  <c r="W406" i="94"/>
  <c r="X406" i="94"/>
  <c r="Y406" i="94"/>
  <c r="Z406" i="94"/>
  <c r="P407" i="94"/>
  <c r="Q407" i="94"/>
  <c r="R407" i="94"/>
  <c r="S407" i="94"/>
  <c r="T407" i="94"/>
  <c r="V407" i="94"/>
  <c r="W407" i="94"/>
  <c r="X407" i="94"/>
  <c r="Y407" i="94"/>
  <c r="Z407" i="94"/>
  <c r="P408" i="94"/>
  <c r="Q408" i="94"/>
  <c r="R408" i="94"/>
  <c r="S408" i="94"/>
  <c r="T408" i="94"/>
  <c r="V408" i="94"/>
  <c r="W408" i="94"/>
  <c r="X408" i="94"/>
  <c r="Y408" i="94"/>
  <c r="Z408" i="94"/>
  <c r="P409" i="94"/>
  <c r="Q409" i="94"/>
  <c r="R409" i="94"/>
  <c r="S409" i="94"/>
  <c r="T409" i="94"/>
  <c r="V409" i="94"/>
  <c r="W409" i="94"/>
  <c r="X409" i="94"/>
  <c r="Y409" i="94"/>
  <c r="Z409" i="94"/>
  <c r="P410" i="94"/>
  <c r="Q410" i="94"/>
  <c r="R410" i="94"/>
  <c r="S410" i="94"/>
  <c r="T410" i="94"/>
  <c r="V410" i="94"/>
  <c r="W410" i="94"/>
  <c r="X410" i="94"/>
  <c r="Y410" i="94"/>
  <c r="Z410" i="94"/>
  <c r="P411" i="94"/>
  <c r="Q411" i="94"/>
  <c r="R411" i="94"/>
  <c r="S411" i="94"/>
  <c r="T411" i="94"/>
  <c r="V411" i="94"/>
  <c r="W411" i="94"/>
  <c r="X411" i="94"/>
  <c r="Y411" i="94"/>
  <c r="Z411" i="94"/>
  <c r="P412" i="94"/>
  <c r="Q412" i="94"/>
  <c r="R412" i="94"/>
  <c r="S412" i="94"/>
  <c r="T412" i="94"/>
  <c r="V412" i="94"/>
  <c r="W412" i="94"/>
  <c r="X412" i="94"/>
  <c r="Y412" i="94"/>
  <c r="Z412" i="94"/>
  <c r="P413" i="94"/>
  <c r="Q413" i="94"/>
  <c r="R413" i="94"/>
  <c r="S413" i="94"/>
  <c r="T413" i="94"/>
  <c r="V413" i="94"/>
  <c r="W413" i="94"/>
  <c r="X413" i="94"/>
  <c r="Y413" i="94"/>
  <c r="Z413" i="94"/>
  <c r="P414" i="94"/>
  <c r="Q414" i="94"/>
  <c r="R414" i="94"/>
  <c r="S414" i="94"/>
  <c r="T414" i="94"/>
  <c r="V414" i="94"/>
  <c r="W414" i="94"/>
  <c r="X414" i="94"/>
  <c r="Y414" i="94"/>
  <c r="Z414" i="94"/>
  <c r="P415" i="94"/>
  <c r="Q415" i="94"/>
  <c r="R415" i="94"/>
  <c r="S415" i="94"/>
  <c r="T415" i="94"/>
  <c r="V415" i="94"/>
  <c r="W415" i="94"/>
  <c r="X415" i="94"/>
  <c r="Y415" i="94"/>
  <c r="Z415" i="94"/>
  <c r="P416" i="94"/>
  <c r="Q416" i="94"/>
  <c r="R416" i="94"/>
  <c r="S416" i="94"/>
  <c r="T416" i="94"/>
  <c r="V416" i="94"/>
  <c r="W416" i="94"/>
  <c r="X416" i="94"/>
  <c r="Y416" i="94"/>
  <c r="Z416" i="94"/>
  <c r="H376" i="94"/>
  <c r="N38" i="98"/>
  <c r="N42" i="98"/>
  <c r="N8" i="100"/>
  <c r="I4" i="95"/>
  <c r="G4" i="95"/>
  <c r="N4" i="95"/>
  <c r="C10" i="103"/>
  <c r="AC10" i="103"/>
  <c r="O3" i="95"/>
  <c r="O4" i="95"/>
  <c r="D10" i="103"/>
  <c r="AD10" i="103"/>
  <c r="P3" i="95"/>
  <c r="P4" i="95"/>
  <c r="E10" i="103"/>
  <c r="AE10" i="103"/>
  <c r="Q3" i="95"/>
  <c r="Q4" i="95"/>
  <c r="F10" i="103"/>
  <c r="AF10" i="103"/>
  <c r="R3" i="95"/>
  <c r="R4" i="95"/>
  <c r="G10" i="103"/>
  <c r="AG10" i="103"/>
  <c r="S3" i="95"/>
  <c r="S4" i="95"/>
  <c r="H10" i="103"/>
  <c r="AH10" i="103"/>
  <c r="T3" i="95"/>
  <c r="T4" i="95"/>
  <c r="I10" i="103"/>
  <c r="AI10" i="103"/>
  <c r="U3" i="95"/>
  <c r="U4" i="95"/>
  <c r="J10" i="103"/>
  <c r="AJ10" i="103"/>
  <c r="V3" i="95"/>
  <c r="V4" i="95"/>
  <c r="K10" i="103"/>
  <c r="AK10" i="103"/>
  <c r="W3" i="95"/>
  <c r="W4" i="95"/>
  <c r="L10" i="103"/>
  <c r="AL10" i="103"/>
  <c r="X3" i="95"/>
  <c r="X4" i="95"/>
  <c r="M10" i="103"/>
  <c r="AM10" i="103"/>
  <c r="I5" i="95"/>
  <c r="G5" i="95"/>
  <c r="N5" i="95"/>
  <c r="C11" i="103"/>
  <c r="AC11" i="103"/>
  <c r="O5" i="95"/>
  <c r="D11" i="103"/>
  <c r="AD11" i="103"/>
  <c r="P5" i="95"/>
  <c r="E11" i="103"/>
  <c r="AE11" i="103"/>
  <c r="Q5" i="95"/>
  <c r="F11" i="103"/>
  <c r="AF11" i="103"/>
  <c r="R5" i="95"/>
  <c r="G11" i="103"/>
  <c r="AG11" i="103"/>
  <c r="S5" i="95"/>
  <c r="H11" i="103"/>
  <c r="AH11" i="103"/>
  <c r="T5" i="95"/>
  <c r="I11" i="103"/>
  <c r="AI11" i="103"/>
  <c r="U5" i="95"/>
  <c r="J11" i="103"/>
  <c r="AJ11" i="103"/>
  <c r="V5" i="95"/>
  <c r="K11" i="103"/>
  <c r="AK11" i="103"/>
  <c r="W5" i="95"/>
  <c r="L11" i="103"/>
  <c r="AL11" i="103"/>
  <c r="X5" i="95"/>
  <c r="M11" i="103"/>
  <c r="AM11" i="103"/>
  <c r="I6" i="95"/>
  <c r="G6" i="95"/>
  <c r="N6" i="95"/>
  <c r="C12" i="103"/>
  <c r="AC12" i="103"/>
  <c r="O6" i="95"/>
  <c r="D12" i="103"/>
  <c r="AD12" i="103"/>
  <c r="P6" i="95"/>
  <c r="E12" i="103"/>
  <c r="AE12" i="103"/>
  <c r="Q6" i="95"/>
  <c r="F12" i="103"/>
  <c r="AF12" i="103"/>
  <c r="R6" i="95"/>
  <c r="G12" i="103"/>
  <c r="AG12" i="103"/>
  <c r="S6" i="95"/>
  <c r="H12" i="103"/>
  <c r="AH12" i="103"/>
  <c r="T6" i="95"/>
  <c r="I12" i="103"/>
  <c r="AI12" i="103"/>
  <c r="U6" i="95"/>
  <c r="J12" i="103"/>
  <c r="AJ12" i="103"/>
  <c r="V6" i="95"/>
  <c r="K12" i="103"/>
  <c r="AK12" i="103"/>
  <c r="W6" i="95"/>
  <c r="L12" i="103"/>
  <c r="AL12" i="103"/>
  <c r="X6" i="95"/>
  <c r="M12" i="103"/>
  <c r="AM12" i="103"/>
  <c r="I7" i="95"/>
  <c r="G7" i="95"/>
  <c r="N7" i="95"/>
  <c r="C13" i="103"/>
  <c r="AC13" i="103"/>
  <c r="O7" i="95"/>
  <c r="D13" i="103"/>
  <c r="AD13" i="103"/>
  <c r="P7" i="95"/>
  <c r="E13" i="103"/>
  <c r="AE13" i="103"/>
  <c r="Q7" i="95"/>
  <c r="F13" i="103"/>
  <c r="AF13" i="103"/>
  <c r="R7" i="95"/>
  <c r="G13" i="103"/>
  <c r="AG13" i="103"/>
  <c r="S7" i="95"/>
  <c r="H13" i="103"/>
  <c r="AH13" i="103"/>
  <c r="T7" i="95"/>
  <c r="I13" i="103"/>
  <c r="AI13" i="103"/>
  <c r="U7" i="95"/>
  <c r="J13" i="103"/>
  <c r="AJ13" i="103"/>
  <c r="V7" i="95"/>
  <c r="K13" i="103"/>
  <c r="AK13" i="103"/>
  <c r="W7" i="95"/>
  <c r="L13" i="103"/>
  <c r="AL13" i="103"/>
  <c r="X7" i="95"/>
  <c r="M13" i="103"/>
  <c r="AM13" i="103"/>
  <c r="I8" i="95"/>
  <c r="G8" i="95"/>
  <c r="N8" i="95"/>
  <c r="C14" i="103"/>
  <c r="AC14" i="103"/>
  <c r="O8" i="95"/>
  <c r="D14" i="103"/>
  <c r="AD14" i="103"/>
  <c r="P8" i="95"/>
  <c r="E14" i="103"/>
  <c r="AE14" i="103"/>
  <c r="Q8" i="95"/>
  <c r="F14" i="103"/>
  <c r="AF14" i="103"/>
  <c r="R8" i="95"/>
  <c r="G14" i="103"/>
  <c r="AG14" i="103"/>
  <c r="S8" i="95"/>
  <c r="H14" i="103"/>
  <c r="AH14" i="103"/>
  <c r="T8" i="95"/>
  <c r="I14" i="103"/>
  <c r="AI14" i="103"/>
  <c r="U8" i="95"/>
  <c r="J14" i="103"/>
  <c r="AJ14" i="103"/>
  <c r="V8" i="95"/>
  <c r="K14" i="103"/>
  <c r="AK14" i="103"/>
  <c r="W8" i="95"/>
  <c r="L14" i="103"/>
  <c r="AL14" i="103"/>
  <c r="X8" i="95"/>
  <c r="M14" i="103"/>
  <c r="AM14" i="103"/>
  <c r="I9" i="95"/>
  <c r="G9" i="95"/>
  <c r="N9" i="95"/>
  <c r="C15" i="103"/>
  <c r="AC15" i="103"/>
  <c r="O9" i="95"/>
  <c r="D15" i="103"/>
  <c r="AD15" i="103"/>
  <c r="P9" i="95"/>
  <c r="E15" i="103"/>
  <c r="AE15" i="103"/>
  <c r="Q9" i="95"/>
  <c r="F15" i="103"/>
  <c r="AF15" i="103"/>
  <c r="R9" i="95"/>
  <c r="G15" i="103"/>
  <c r="AG15" i="103"/>
  <c r="S9" i="95"/>
  <c r="H15" i="103"/>
  <c r="AH15" i="103"/>
  <c r="T9" i="95"/>
  <c r="I15" i="103"/>
  <c r="AI15" i="103"/>
  <c r="U9" i="95"/>
  <c r="J15" i="103"/>
  <c r="AJ15" i="103"/>
  <c r="V9" i="95"/>
  <c r="K15" i="103"/>
  <c r="AK15" i="103"/>
  <c r="W9" i="95"/>
  <c r="L15" i="103"/>
  <c r="AL15" i="103"/>
  <c r="X9" i="95"/>
  <c r="M15" i="103"/>
  <c r="AM15" i="103"/>
  <c r="I10" i="95"/>
  <c r="G10" i="95"/>
  <c r="N10" i="95"/>
  <c r="C16" i="103"/>
  <c r="AC16" i="103"/>
  <c r="O10" i="95"/>
  <c r="D16" i="103"/>
  <c r="AD16" i="103"/>
  <c r="P10" i="95"/>
  <c r="E16" i="103"/>
  <c r="AE16" i="103"/>
  <c r="Q10" i="95"/>
  <c r="F16" i="103"/>
  <c r="AF16" i="103"/>
  <c r="R10" i="95"/>
  <c r="G16" i="103"/>
  <c r="AG16" i="103"/>
  <c r="S10" i="95"/>
  <c r="H16" i="103"/>
  <c r="AH16" i="103"/>
  <c r="T10" i="95"/>
  <c r="I16" i="103"/>
  <c r="AI16" i="103"/>
  <c r="U10" i="95"/>
  <c r="J16" i="103"/>
  <c r="AJ16" i="103"/>
  <c r="V10" i="95"/>
  <c r="K16" i="103"/>
  <c r="AK16" i="103"/>
  <c r="W10" i="95"/>
  <c r="L16" i="103"/>
  <c r="AL16" i="103"/>
  <c r="X10" i="95"/>
  <c r="M16" i="103"/>
  <c r="AM16" i="103"/>
  <c r="I11" i="95"/>
  <c r="G11" i="95"/>
  <c r="N11" i="95"/>
  <c r="C17" i="103"/>
  <c r="AC17" i="103"/>
  <c r="O11" i="95"/>
  <c r="D17" i="103"/>
  <c r="AD17" i="103"/>
  <c r="P11" i="95"/>
  <c r="E17" i="103"/>
  <c r="AE17" i="103"/>
  <c r="Q11" i="95"/>
  <c r="F17" i="103"/>
  <c r="AF17" i="103"/>
  <c r="R11" i="95"/>
  <c r="G17" i="103"/>
  <c r="AG17" i="103"/>
  <c r="S11" i="95"/>
  <c r="H17" i="103"/>
  <c r="AH17" i="103"/>
  <c r="T11" i="95"/>
  <c r="I17" i="103"/>
  <c r="AI17" i="103"/>
  <c r="U11" i="95"/>
  <c r="J17" i="103"/>
  <c r="AJ17" i="103"/>
  <c r="V11" i="95"/>
  <c r="K17" i="103"/>
  <c r="AK17" i="103"/>
  <c r="W11" i="95"/>
  <c r="L17" i="103"/>
  <c r="AL17" i="103"/>
  <c r="X11" i="95"/>
  <c r="M17" i="103"/>
  <c r="AM17" i="103"/>
  <c r="I12" i="95"/>
  <c r="G12" i="95"/>
  <c r="N12" i="95"/>
  <c r="C18" i="103"/>
  <c r="AC18" i="103"/>
  <c r="O12" i="95"/>
  <c r="D18" i="103"/>
  <c r="AD18" i="103"/>
  <c r="P12" i="95"/>
  <c r="E18" i="103"/>
  <c r="AE18" i="103"/>
  <c r="Q12" i="95"/>
  <c r="F18" i="103"/>
  <c r="AF18" i="103"/>
  <c r="R12" i="95"/>
  <c r="G18" i="103"/>
  <c r="AG18" i="103"/>
  <c r="S12" i="95"/>
  <c r="H18" i="103"/>
  <c r="AH18" i="103"/>
  <c r="T12" i="95"/>
  <c r="I18" i="103"/>
  <c r="AI18" i="103"/>
  <c r="U12" i="95"/>
  <c r="J18" i="103"/>
  <c r="AJ18" i="103"/>
  <c r="V12" i="95"/>
  <c r="K18" i="103"/>
  <c r="AK18" i="103"/>
  <c r="W12" i="95"/>
  <c r="L18" i="103"/>
  <c r="AL18" i="103"/>
  <c r="X12" i="95"/>
  <c r="M18" i="103"/>
  <c r="AM18" i="103"/>
  <c r="I13" i="95"/>
  <c r="G13" i="95"/>
  <c r="N13" i="95"/>
  <c r="C19" i="103"/>
  <c r="AC19" i="103"/>
  <c r="O13" i="95"/>
  <c r="D19" i="103"/>
  <c r="AD19" i="103"/>
  <c r="P13" i="95"/>
  <c r="E19" i="103"/>
  <c r="AE19" i="103"/>
  <c r="Q13" i="95"/>
  <c r="F19" i="103"/>
  <c r="AF19" i="103"/>
  <c r="R13" i="95"/>
  <c r="G19" i="103"/>
  <c r="AG19" i="103"/>
  <c r="S13" i="95"/>
  <c r="H19" i="103"/>
  <c r="AH19" i="103"/>
  <c r="T13" i="95"/>
  <c r="I19" i="103"/>
  <c r="AI19" i="103"/>
  <c r="U13" i="95"/>
  <c r="J19" i="103"/>
  <c r="AJ19" i="103"/>
  <c r="V13" i="95"/>
  <c r="K19" i="103"/>
  <c r="AK19" i="103"/>
  <c r="W13" i="95"/>
  <c r="L19" i="103"/>
  <c r="AL19" i="103"/>
  <c r="X13" i="95"/>
  <c r="M19" i="103"/>
  <c r="AM19" i="103"/>
  <c r="I14" i="95"/>
  <c r="G14" i="95"/>
  <c r="N14" i="95"/>
  <c r="C20" i="103"/>
  <c r="AC20" i="103"/>
  <c r="O14" i="95"/>
  <c r="D20" i="103"/>
  <c r="AD20" i="103"/>
  <c r="P14" i="95"/>
  <c r="E20" i="103"/>
  <c r="AE20" i="103"/>
  <c r="Q14" i="95"/>
  <c r="F20" i="103"/>
  <c r="AF20" i="103"/>
  <c r="R14" i="95"/>
  <c r="G20" i="103"/>
  <c r="AG20" i="103"/>
  <c r="S14" i="95"/>
  <c r="H20" i="103"/>
  <c r="AH20" i="103"/>
  <c r="T14" i="95"/>
  <c r="I20" i="103"/>
  <c r="AI20" i="103"/>
  <c r="U14" i="95"/>
  <c r="J20" i="103"/>
  <c r="AJ20" i="103"/>
  <c r="V14" i="95"/>
  <c r="K20" i="103"/>
  <c r="AK20" i="103"/>
  <c r="W14" i="95"/>
  <c r="L20" i="103"/>
  <c r="AL20" i="103"/>
  <c r="X14" i="95"/>
  <c r="M20" i="103"/>
  <c r="AM20" i="103"/>
  <c r="I15" i="95"/>
  <c r="G15" i="95"/>
  <c r="N15" i="95"/>
  <c r="C21" i="103"/>
  <c r="AC21" i="103"/>
  <c r="O15" i="95"/>
  <c r="D21" i="103"/>
  <c r="AD21" i="103"/>
  <c r="P15" i="95"/>
  <c r="E21" i="103"/>
  <c r="AE21" i="103"/>
  <c r="Q15" i="95"/>
  <c r="F21" i="103"/>
  <c r="AF21" i="103"/>
  <c r="R15" i="95"/>
  <c r="G21" i="103"/>
  <c r="AG21" i="103"/>
  <c r="S15" i="95"/>
  <c r="H21" i="103"/>
  <c r="AH21" i="103"/>
  <c r="T15" i="95"/>
  <c r="I21" i="103"/>
  <c r="AI21" i="103"/>
  <c r="U15" i="95"/>
  <c r="J21" i="103"/>
  <c r="AJ21" i="103"/>
  <c r="V15" i="95"/>
  <c r="K21" i="103"/>
  <c r="AK21" i="103"/>
  <c r="W15" i="95"/>
  <c r="L21" i="103"/>
  <c r="AL21" i="103"/>
  <c r="X15" i="95"/>
  <c r="M21" i="103"/>
  <c r="AM21" i="103"/>
  <c r="I16" i="95"/>
  <c r="G16" i="95"/>
  <c r="N16" i="95"/>
  <c r="C22" i="103"/>
  <c r="AC22" i="103"/>
  <c r="O16" i="95"/>
  <c r="D22" i="103"/>
  <c r="AD22" i="103"/>
  <c r="P16" i="95"/>
  <c r="E22" i="103"/>
  <c r="AE22" i="103"/>
  <c r="Q16" i="95"/>
  <c r="F22" i="103"/>
  <c r="AF22" i="103"/>
  <c r="R16" i="95"/>
  <c r="G22" i="103"/>
  <c r="AG22" i="103"/>
  <c r="S16" i="95"/>
  <c r="H22" i="103"/>
  <c r="AH22" i="103"/>
  <c r="T16" i="95"/>
  <c r="I22" i="103"/>
  <c r="AI22" i="103"/>
  <c r="U16" i="95"/>
  <c r="J22" i="103"/>
  <c r="AJ22" i="103"/>
  <c r="V16" i="95"/>
  <c r="K22" i="103"/>
  <c r="AK22" i="103"/>
  <c r="W16" i="95"/>
  <c r="L22" i="103"/>
  <c r="AL22" i="103"/>
  <c r="X16" i="95"/>
  <c r="M22" i="103"/>
  <c r="AM22" i="103"/>
  <c r="I17" i="95"/>
  <c r="G17" i="95"/>
  <c r="N17" i="95"/>
  <c r="C23" i="103"/>
  <c r="AC23" i="103"/>
  <c r="O17" i="95"/>
  <c r="D23" i="103"/>
  <c r="AD23" i="103"/>
  <c r="P17" i="95"/>
  <c r="E23" i="103"/>
  <c r="AE23" i="103"/>
  <c r="Q17" i="95"/>
  <c r="F23" i="103"/>
  <c r="AF23" i="103"/>
  <c r="R17" i="95"/>
  <c r="G23" i="103"/>
  <c r="AG23" i="103"/>
  <c r="S17" i="95"/>
  <c r="H23" i="103"/>
  <c r="AH23" i="103"/>
  <c r="T17" i="95"/>
  <c r="I23" i="103"/>
  <c r="AI23" i="103"/>
  <c r="U17" i="95"/>
  <c r="J23" i="103"/>
  <c r="AJ23" i="103"/>
  <c r="V17" i="95"/>
  <c r="K23" i="103"/>
  <c r="AK23" i="103"/>
  <c r="W17" i="95"/>
  <c r="L23" i="103"/>
  <c r="AL23" i="103"/>
  <c r="X17" i="95"/>
  <c r="M23" i="103"/>
  <c r="AM23" i="103"/>
  <c r="I18" i="95"/>
  <c r="G18" i="95"/>
  <c r="N18" i="95"/>
  <c r="C24" i="103"/>
  <c r="AC24" i="103"/>
  <c r="O18" i="95"/>
  <c r="D24" i="103"/>
  <c r="AD24" i="103"/>
  <c r="P18" i="95"/>
  <c r="E24" i="103"/>
  <c r="AE24" i="103"/>
  <c r="Q18" i="95"/>
  <c r="F24" i="103"/>
  <c r="AF24" i="103"/>
  <c r="R18" i="95"/>
  <c r="G24" i="103"/>
  <c r="AG24" i="103"/>
  <c r="S18" i="95"/>
  <c r="H24" i="103"/>
  <c r="AH24" i="103"/>
  <c r="T18" i="95"/>
  <c r="I24" i="103"/>
  <c r="AI24" i="103"/>
  <c r="U18" i="95"/>
  <c r="J24" i="103"/>
  <c r="AJ24" i="103"/>
  <c r="V18" i="95"/>
  <c r="K24" i="103"/>
  <c r="AK24" i="103"/>
  <c r="W18" i="95"/>
  <c r="L24" i="103"/>
  <c r="AL24" i="103"/>
  <c r="X18" i="95"/>
  <c r="M24" i="103"/>
  <c r="AM24" i="103"/>
  <c r="E5" i="103"/>
  <c r="Q7" i="99"/>
  <c r="N29" i="95"/>
  <c r="C37" i="103"/>
  <c r="AC37" i="103"/>
  <c r="O28" i="95"/>
  <c r="O29" i="95"/>
  <c r="D37" i="103"/>
  <c r="AD37" i="103"/>
  <c r="P28" i="95"/>
  <c r="P29" i="95"/>
  <c r="E37" i="103"/>
  <c r="AE37" i="103"/>
  <c r="Q28" i="95"/>
  <c r="Q29" i="95"/>
  <c r="F37" i="103"/>
  <c r="AF37" i="103"/>
  <c r="R28" i="95"/>
  <c r="R29" i="95"/>
  <c r="G37" i="103"/>
  <c r="AG37" i="103"/>
  <c r="S28" i="95"/>
  <c r="S29" i="95"/>
  <c r="H37" i="103"/>
  <c r="AH37" i="103"/>
  <c r="T28" i="95"/>
  <c r="T29" i="95"/>
  <c r="I37" i="103"/>
  <c r="AI37" i="103"/>
  <c r="U28" i="95"/>
  <c r="U29" i="95"/>
  <c r="J37" i="103"/>
  <c r="AJ37" i="103"/>
  <c r="V28" i="95"/>
  <c r="V29" i="95"/>
  <c r="K37" i="103"/>
  <c r="AK37" i="103"/>
  <c r="W28" i="95"/>
  <c r="W29" i="95"/>
  <c r="L37" i="103"/>
  <c r="AL37" i="103"/>
  <c r="X28" i="95"/>
  <c r="X29" i="95"/>
  <c r="M37" i="103"/>
  <c r="AM37" i="103"/>
  <c r="N30" i="95"/>
  <c r="C38" i="103"/>
  <c r="AC38" i="103"/>
  <c r="O30" i="95"/>
  <c r="D38" i="103"/>
  <c r="AD38" i="103"/>
  <c r="P30" i="95"/>
  <c r="E38" i="103"/>
  <c r="AE38" i="103"/>
  <c r="Q30" i="95"/>
  <c r="F38" i="103"/>
  <c r="AF38" i="103"/>
  <c r="R30" i="95"/>
  <c r="G38" i="103"/>
  <c r="AG38" i="103"/>
  <c r="S30" i="95"/>
  <c r="H38" i="103"/>
  <c r="AH38" i="103"/>
  <c r="T30" i="95"/>
  <c r="I38" i="103"/>
  <c r="AI38" i="103"/>
  <c r="U30" i="95"/>
  <c r="J38" i="103"/>
  <c r="AJ38" i="103"/>
  <c r="V30" i="95"/>
  <c r="K38" i="103"/>
  <c r="AK38" i="103"/>
  <c r="W30" i="95"/>
  <c r="L38" i="103"/>
  <c r="AL38" i="103"/>
  <c r="X30" i="95"/>
  <c r="M38" i="103"/>
  <c r="AM38" i="103"/>
  <c r="N31" i="95"/>
  <c r="C39" i="103"/>
  <c r="AC39" i="103"/>
  <c r="O31" i="95"/>
  <c r="D39" i="103"/>
  <c r="AD39" i="103"/>
  <c r="P31" i="95"/>
  <c r="E39" i="103"/>
  <c r="AE39" i="103"/>
  <c r="Q31" i="95"/>
  <c r="F39" i="103"/>
  <c r="AF39" i="103"/>
  <c r="R31" i="95"/>
  <c r="G39" i="103"/>
  <c r="AG39" i="103"/>
  <c r="S31" i="95"/>
  <c r="H39" i="103"/>
  <c r="AH39" i="103"/>
  <c r="T31" i="95"/>
  <c r="I39" i="103"/>
  <c r="AI39" i="103"/>
  <c r="U31" i="95"/>
  <c r="J39" i="103"/>
  <c r="AJ39" i="103"/>
  <c r="V31" i="95"/>
  <c r="K39" i="103"/>
  <c r="AK39" i="103"/>
  <c r="W31" i="95"/>
  <c r="L39" i="103"/>
  <c r="AL39" i="103"/>
  <c r="X31" i="95"/>
  <c r="M39" i="103"/>
  <c r="AM39" i="103"/>
  <c r="N32" i="95"/>
  <c r="C40" i="103"/>
  <c r="AC40" i="103"/>
  <c r="O32" i="95"/>
  <c r="D40" i="103"/>
  <c r="AD40" i="103"/>
  <c r="P32" i="95"/>
  <c r="E40" i="103"/>
  <c r="AE40" i="103"/>
  <c r="Q32" i="95"/>
  <c r="F40" i="103"/>
  <c r="AF40" i="103"/>
  <c r="R32" i="95"/>
  <c r="G40" i="103"/>
  <c r="AG40" i="103"/>
  <c r="S32" i="95"/>
  <c r="H40" i="103"/>
  <c r="AH40" i="103"/>
  <c r="T32" i="95"/>
  <c r="I40" i="103"/>
  <c r="AI40" i="103"/>
  <c r="U32" i="95"/>
  <c r="J40" i="103"/>
  <c r="AJ40" i="103"/>
  <c r="V32" i="95"/>
  <c r="K40" i="103"/>
  <c r="AK40" i="103"/>
  <c r="W32" i="95"/>
  <c r="L40" i="103"/>
  <c r="AL40" i="103"/>
  <c r="X32" i="95"/>
  <c r="M40" i="103"/>
  <c r="AM40" i="103"/>
  <c r="N33" i="95"/>
  <c r="C41" i="103"/>
  <c r="AC41" i="103"/>
  <c r="O33" i="95"/>
  <c r="D41" i="103"/>
  <c r="AD41" i="103"/>
  <c r="P33" i="95"/>
  <c r="E41" i="103"/>
  <c r="AE41" i="103"/>
  <c r="Q33" i="95"/>
  <c r="F41" i="103"/>
  <c r="AF41" i="103"/>
  <c r="R33" i="95"/>
  <c r="G41" i="103"/>
  <c r="AG41" i="103"/>
  <c r="S33" i="95"/>
  <c r="H41" i="103"/>
  <c r="AH41" i="103"/>
  <c r="T33" i="95"/>
  <c r="I41" i="103"/>
  <c r="AI41" i="103"/>
  <c r="U33" i="95"/>
  <c r="J41" i="103"/>
  <c r="AJ41" i="103"/>
  <c r="V33" i="95"/>
  <c r="K41" i="103"/>
  <c r="AK41" i="103"/>
  <c r="W33" i="95"/>
  <c r="L41" i="103"/>
  <c r="AL41" i="103"/>
  <c r="X33" i="95"/>
  <c r="M41" i="103"/>
  <c r="AM41" i="103"/>
  <c r="N34" i="95"/>
  <c r="C42" i="103"/>
  <c r="AC42" i="103"/>
  <c r="O34" i="95"/>
  <c r="D42" i="103"/>
  <c r="AD42" i="103"/>
  <c r="P34" i="95"/>
  <c r="E42" i="103"/>
  <c r="AE42" i="103"/>
  <c r="Q34" i="95"/>
  <c r="F42" i="103"/>
  <c r="AF42" i="103"/>
  <c r="R34" i="95"/>
  <c r="G42" i="103"/>
  <c r="AG42" i="103"/>
  <c r="S34" i="95"/>
  <c r="H42" i="103"/>
  <c r="AH42" i="103"/>
  <c r="T34" i="95"/>
  <c r="I42" i="103"/>
  <c r="AI42" i="103"/>
  <c r="U34" i="95"/>
  <c r="J42" i="103"/>
  <c r="AJ42" i="103"/>
  <c r="V34" i="95"/>
  <c r="K42" i="103"/>
  <c r="AK42" i="103"/>
  <c r="W34" i="95"/>
  <c r="L42" i="103"/>
  <c r="AL42" i="103"/>
  <c r="X34" i="95"/>
  <c r="M42" i="103"/>
  <c r="AM42" i="103"/>
  <c r="N35" i="95"/>
  <c r="C43" i="103"/>
  <c r="AC43" i="103"/>
  <c r="O35" i="95"/>
  <c r="D43" i="103"/>
  <c r="AD43" i="103"/>
  <c r="P35" i="95"/>
  <c r="E43" i="103"/>
  <c r="AE43" i="103"/>
  <c r="Q35" i="95"/>
  <c r="F43" i="103"/>
  <c r="AF43" i="103"/>
  <c r="R35" i="95"/>
  <c r="G43" i="103"/>
  <c r="AG43" i="103"/>
  <c r="S35" i="95"/>
  <c r="H43" i="103"/>
  <c r="AH43" i="103"/>
  <c r="T35" i="95"/>
  <c r="I43" i="103"/>
  <c r="AI43" i="103"/>
  <c r="U35" i="95"/>
  <c r="J43" i="103"/>
  <c r="AJ43" i="103"/>
  <c r="V35" i="95"/>
  <c r="K43" i="103"/>
  <c r="AK43" i="103"/>
  <c r="W35" i="95"/>
  <c r="L43" i="103"/>
  <c r="AL43" i="103"/>
  <c r="X35" i="95"/>
  <c r="M43" i="103"/>
  <c r="AM43" i="103"/>
  <c r="N36" i="95"/>
  <c r="C44" i="103"/>
  <c r="AC44" i="103"/>
  <c r="O36" i="95"/>
  <c r="D44" i="103"/>
  <c r="AD44" i="103"/>
  <c r="P36" i="95"/>
  <c r="E44" i="103"/>
  <c r="AE44" i="103"/>
  <c r="Q36" i="95"/>
  <c r="F44" i="103"/>
  <c r="AF44" i="103"/>
  <c r="R36" i="95"/>
  <c r="G44" i="103"/>
  <c r="AG44" i="103"/>
  <c r="S36" i="95"/>
  <c r="H44" i="103"/>
  <c r="AH44" i="103"/>
  <c r="T36" i="95"/>
  <c r="I44" i="103"/>
  <c r="AI44" i="103"/>
  <c r="U36" i="95"/>
  <c r="J44" i="103"/>
  <c r="AJ44" i="103"/>
  <c r="V36" i="95"/>
  <c r="K44" i="103"/>
  <c r="AK44" i="103"/>
  <c r="W36" i="95"/>
  <c r="L44" i="103"/>
  <c r="AL44" i="103"/>
  <c r="X36" i="95"/>
  <c r="M44" i="103"/>
  <c r="AM44" i="103"/>
  <c r="N37" i="95"/>
  <c r="C45" i="103"/>
  <c r="AC45" i="103"/>
  <c r="O37" i="95"/>
  <c r="D45" i="103"/>
  <c r="AD45" i="103"/>
  <c r="P37" i="95"/>
  <c r="E45" i="103"/>
  <c r="AE45" i="103"/>
  <c r="Q37" i="95"/>
  <c r="F45" i="103"/>
  <c r="AF45" i="103"/>
  <c r="R37" i="95"/>
  <c r="G45" i="103"/>
  <c r="AG45" i="103"/>
  <c r="S37" i="95"/>
  <c r="H45" i="103"/>
  <c r="AH45" i="103"/>
  <c r="T37" i="95"/>
  <c r="I45" i="103"/>
  <c r="AI45" i="103"/>
  <c r="U37" i="95"/>
  <c r="J45" i="103"/>
  <c r="AJ45" i="103"/>
  <c r="V37" i="95"/>
  <c r="K45" i="103"/>
  <c r="AK45" i="103"/>
  <c r="W37" i="95"/>
  <c r="L45" i="103"/>
  <c r="AL45" i="103"/>
  <c r="X37" i="95"/>
  <c r="M45" i="103"/>
  <c r="AM45" i="103"/>
  <c r="N38" i="95"/>
  <c r="C46" i="103"/>
  <c r="AC46" i="103"/>
  <c r="O38" i="95"/>
  <c r="D46" i="103"/>
  <c r="AD46" i="103"/>
  <c r="P38" i="95"/>
  <c r="E46" i="103"/>
  <c r="AE46" i="103"/>
  <c r="Q38" i="95"/>
  <c r="F46" i="103"/>
  <c r="AF46" i="103"/>
  <c r="R38" i="95"/>
  <c r="G46" i="103"/>
  <c r="AG46" i="103"/>
  <c r="S38" i="95"/>
  <c r="H46" i="103"/>
  <c r="AH46" i="103"/>
  <c r="T38" i="95"/>
  <c r="I46" i="103"/>
  <c r="AI46" i="103"/>
  <c r="U38" i="95"/>
  <c r="J46" i="103"/>
  <c r="AJ46" i="103"/>
  <c r="V38" i="95"/>
  <c r="K46" i="103"/>
  <c r="AK46" i="103"/>
  <c r="W38" i="95"/>
  <c r="L46" i="103"/>
  <c r="AL46" i="103"/>
  <c r="X38" i="95"/>
  <c r="M46" i="103"/>
  <c r="AM46" i="103"/>
  <c r="N39" i="95"/>
  <c r="C47" i="103"/>
  <c r="AC47" i="103"/>
  <c r="O39" i="95"/>
  <c r="D47" i="103"/>
  <c r="AD47" i="103"/>
  <c r="P39" i="95"/>
  <c r="E47" i="103"/>
  <c r="AE47" i="103"/>
  <c r="Q39" i="95"/>
  <c r="F47" i="103"/>
  <c r="AF47" i="103"/>
  <c r="R39" i="95"/>
  <c r="G47" i="103"/>
  <c r="AG47" i="103"/>
  <c r="S39" i="95"/>
  <c r="H47" i="103"/>
  <c r="AH47" i="103"/>
  <c r="T39" i="95"/>
  <c r="I47" i="103"/>
  <c r="AI47" i="103"/>
  <c r="U39" i="95"/>
  <c r="J47" i="103"/>
  <c r="AJ47" i="103"/>
  <c r="V39" i="95"/>
  <c r="K47" i="103"/>
  <c r="AK47" i="103"/>
  <c r="W39" i="95"/>
  <c r="L47" i="103"/>
  <c r="AL47" i="103"/>
  <c r="X39" i="95"/>
  <c r="M47" i="103"/>
  <c r="AM47" i="103"/>
  <c r="N40" i="95"/>
  <c r="C48" i="103"/>
  <c r="AC48" i="103"/>
  <c r="O40" i="95"/>
  <c r="D48" i="103"/>
  <c r="AD48" i="103"/>
  <c r="P40" i="95"/>
  <c r="E48" i="103"/>
  <c r="AE48" i="103"/>
  <c r="Q40" i="95"/>
  <c r="F48" i="103"/>
  <c r="AF48" i="103"/>
  <c r="R40" i="95"/>
  <c r="G48" i="103"/>
  <c r="AG48" i="103"/>
  <c r="S40" i="95"/>
  <c r="H48" i="103"/>
  <c r="AH48" i="103"/>
  <c r="T40" i="95"/>
  <c r="I48" i="103"/>
  <c r="AI48" i="103"/>
  <c r="U40" i="95"/>
  <c r="J48" i="103"/>
  <c r="AJ48" i="103"/>
  <c r="V40" i="95"/>
  <c r="K48" i="103"/>
  <c r="AK48" i="103"/>
  <c r="W40" i="95"/>
  <c r="L48" i="103"/>
  <c r="AL48" i="103"/>
  <c r="X40" i="95"/>
  <c r="M48" i="103"/>
  <c r="AM48" i="103"/>
  <c r="N41" i="95"/>
  <c r="C49" i="103"/>
  <c r="AC49" i="103"/>
  <c r="O41" i="95"/>
  <c r="D49" i="103"/>
  <c r="AD49" i="103"/>
  <c r="P41" i="95"/>
  <c r="E49" i="103"/>
  <c r="AE49" i="103"/>
  <c r="Q41" i="95"/>
  <c r="F49" i="103"/>
  <c r="AF49" i="103"/>
  <c r="R41" i="95"/>
  <c r="G49" i="103"/>
  <c r="AG49" i="103"/>
  <c r="S41" i="95"/>
  <c r="H49" i="103"/>
  <c r="AH49" i="103"/>
  <c r="T41" i="95"/>
  <c r="I49" i="103"/>
  <c r="AI49" i="103"/>
  <c r="U41" i="95"/>
  <c r="J49" i="103"/>
  <c r="AJ49" i="103"/>
  <c r="V41" i="95"/>
  <c r="K49" i="103"/>
  <c r="AK49" i="103"/>
  <c r="W41" i="95"/>
  <c r="L49" i="103"/>
  <c r="AL49" i="103"/>
  <c r="X41" i="95"/>
  <c r="M49" i="103"/>
  <c r="AM49" i="103"/>
  <c r="N42" i="95"/>
  <c r="C50" i="103"/>
  <c r="AC50" i="103"/>
  <c r="O42" i="95"/>
  <c r="D50" i="103"/>
  <c r="AD50" i="103"/>
  <c r="P42" i="95"/>
  <c r="E50" i="103"/>
  <c r="AE50" i="103"/>
  <c r="Q42" i="95"/>
  <c r="F50" i="103"/>
  <c r="AF50" i="103"/>
  <c r="R42" i="95"/>
  <c r="G50" i="103"/>
  <c r="AG50" i="103"/>
  <c r="S42" i="95"/>
  <c r="H50" i="103"/>
  <c r="AH50" i="103"/>
  <c r="T42" i="95"/>
  <c r="I50" i="103"/>
  <c r="AI50" i="103"/>
  <c r="U42" i="95"/>
  <c r="J50" i="103"/>
  <c r="AJ50" i="103"/>
  <c r="V42" i="95"/>
  <c r="K50" i="103"/>
  <c r="AK50" i="103"/>
  <c r="W42" i="95"/>
  <c r="L50" i="103"/>
  <c r="AL50" i="103"/>
  <c r="X42" i="95"/>
  <c r="M50" i="103"/>
  <c r="AM50" i="103"/>
  <c r="N43" i="95"/>
  <c r="C51" i="103"/>
  <c r="AC51" i="103"/>
  <c r="O43" i="95"/>
  <c r="D51" i="103"/>
  <c r="AD51" i="103"/>
  <c r="P43" i="95"/>
  <c r="E51" i="103"/>
  <c r="AE51" i="103"/>
  <c r="Q43" i="95"/>
  <c r="F51" i="103"/>
  <c r="AF51" i="103"/>
  <c r="R43" i="95"/>
  <c r="G51" i="103"/>
  <c r="AG51" i="103"/>
  <c r="S43" i="95"/>
  <c r="H51" i="103"/>
  <c r="AH51" i="103"/>
  <c r="T43" i="95"/>
  <c r="I51" i="103"/>
  <c r="AI51" i="103"/>
  <c r="U43" i="95"/>
  <c r="J51" i="103"/>
  <c r="AJ51" i="103"/>
  <c r="V43" i="95"/>
  <c r="K51" i="103"/>
  <c r="AK51" i="103"/>
  <c r="W43" i="95"/>
  <c r="L51" i="103"/>
  <c r="AL51" i="103"/>
  <c r="X43" i="95"/>
  <c r="M51" i="103"/>
  <c r="AM51" i="103"/>
  <c r="E32" i="103"/>
  <c r="Q8" i="99"/>
  <c r="AH4" i="95"/>
  <c r="C64" i="103"/>
  <c r="AC64" i="103"/>
  <c r="AI3" i="95"/>
  <c r="AI4" i="95"/>
  <c r="D64" i="103"/>
  <c r="AD64" i="103"/>
  <c r="AJ3" i="95"/>
  <c r="AJ4" i="95"/>
  <c r="E64" i="103"/>
  <c r="AE64" i="103"/>
  <c r="AK3" i="95"/>
  <c r="AK4" i="95"/>
  <c r="F64" i="103"/>
  <c r="AF64" i="103"/>
  <c r="AL3" i="95"/>
  <c r="AL4" i="95"/>
  <c r="G64" i="103"/>
  <c r="AG64" i="103"/>
  <c r="AM3" i="95"/>
  <c r="AM4" i="95"/>
  <c r="H64" i="103"/>
  <c r="AH64" i="103"/>
  <c r="AN3" i="95"/>
  <c r="AN4" i="95"/>
  <c r="I64" i="103"/>
  <c r="AI64" i="103"/>
  <c r="AO3" i="95"/>
  <c r="AO4" i="95"/>
  <c r="J64" i="103"/>
  <c r="AJ64" i="103"/>
  <c r="AP3" i="95"/>
  <c r="AP4" i="95"/>
  <c r="K64" i="103"/>
  <c r="AK64" i="103"/>
  <c r="AQ3" i="95"/>
  <c r="AQ4" i="95"/>
  <c r="L64" i="103"/>
  <c r="AL64" i="103"/>
  <c r="AR3" i="95"/>
  <c r="AR4" i="95"/>
  <c r="M64" i="103"/>
  <c r="AM64" i="103"/>
  <c r="AH5" i="95"/>
  <c r="C65" i="103"/>
  <c r="AC65" i="103"/>
  <c r="AI5" i="95"/>
  <c r="D65" i="103"/>
  <c r="AD65" i="103"/>
  <c r="AJ5" i="95"/>
  <c r="E65" i="103"/>
  <c r="AE65" i="103"/>
  <c r="AK5" i="95"/>
  <c r="F65" i="103"/>
  <c r="AF65" i="103"/>
  <c r="AL5" i="95"/>
  <c r="G65" i="103"/>
  <c r="AG65" i="103"/>
  <c r="AM5" i="95"/>
  <c r="H65" i="103"/>
  <c r="AH65" i="103"/>
  <c r="AN5" i="95"/>
  <c r="I65" i="103"/>
  <c r="AI65" i="103"/>
  <c r="AO5" i="95"/>
  <c r="J65" i="103"/>
  <c r="AJ65" i="103"/>
  <c r="AP5" i="95"/>
  <c r="K65" i="103"/>
  <c r="AK65" i="103"/>
  <c r="AQ5" i="95"/>
  <c r="L65" i="103"/>
  <c r="AL65" i="103"/>
  <c r="AR5" i="95"/>
  <c r="M65" i="103"/>
  <c r="AM65" i="103"/>
  <c r="AH6" i="95"/>
  <c r="C66" i="103"/>
  <c r="AC66" i="103"/>
  <c r="AI6" i="95"/>
  <c r="D66" i="103"/>
  <c r="AD66" i="103"/>
  <c r="AJ6" i="95"/>
  <c r="E66" i="103"/>
  <c r="AE66" i="103"/>
  <c r="AK6" i="95"/>
  <c r="F66" i="103"/>
  <c r="AF66" i="103"/>
  <c r="AL6" i="95"/>
  <c r="G66" i="103"/>
  <c r="AG66" i="103"/>
  <c r="AM6" i="95"/>
  <c r="H66" i="103"/>
  <c r="AH66" i="103"/>
  <c r="AN6" i="95"/>
  <c r="I66" i="103"/>
  <c r="AI66" i="103"/>
  <c r="AO6" i="95"/>
  <c r="J66" i="103"/>
  <c r="AJ66" i="103"/>
  <c r="AP6" i="95"/>
  <c r="K66" i="103"/>
  <c r="AK66" i="103"/>
  <c r="AQ6" i="95"/>
  <c r="L66" i="103"/>
  <c r="AL66" i="103"/>
  <c r="AR6" i="95"/>
  <c r="M66" i="103"/>
  <c r="AM66" i="103"/>
  <c r="AH7" i="95"/>
  <c r="C67" i="103"/>
  <c r="AC67" i="103"/>
  <c r="AI7" i="95"/>
  <c r="D67" i="103"/>
  <c r="AD67" i="103"/>
  <c r="AJ7" i="95"/>
  <c r="E67" i="103"/>
  <c r="AE67" i="103"/>
  <c r="AK7" i="95"/>
  <c r="F67" i="103"/>
  <c r="AF67" i="103"/>
  <c r="AL7" i="95"/>
  <c r="G67" i="103"/>
  <c r="AG67" i="103"/>
  <c r="AM7" i="95"/>
  <c r="H67" i="103"/>
  <c r="AH67" i="103"/>
  <c r="AN7" i="95"/>
  <c r="I67" i="103"/>
  <c r="AI67" i="103"/>
  <c r="AO7" i="95"/>
  <c r="J67" i="103"/>
  <c r="AJ67" i="103"/>
  <c r="AP7" i="95"/>
  <c r="K67" i="103"/>
  <c r="AK67" i="103"/>
  <c r="AQ7" i="95"/>
  <c r="L67" i="103"/>
  <c r="AL67" i="103"/>
  <c r="AR7" i="95"/>
  <c r="M67" i="103"/>
  <c r="AM67" i="103"/>
  <c r="AH8" i="95"/>
  <c r="C68" i="103"/>
  <c r="AC68" i="103"/>
  <c r="AI8" i="95"/>
  <c r="D68" i="103"/>
  <c r="AD68" i="103"/>
  <c r="AJ8" i="95"/>
  <c r="E68" i="103"/>
  <c r="AE68" i="103"/>
  <c r="AK8" i="95"/>
  <c r="F68" i="103"/>
  <c r="AF68" i="103"/>
  <c r="AL8" i="95"/>
  <c r="G68" i="103"/>
  <c r="AG68" i="103"/>
  <c r="AM8" i="95"/>
  <c r="H68" i="103"/>
  <c r="AH68" i="103"/>
  <c r="AN8" i="95"/>
  <c r="I68" i="103"/>
  <c r="AI68" i="103"/>
  <c r="AO8" i="95"/>
  <c r="J68" i="103"/>
  <c r="AJ68" i="103"/>
  <c r="AP8" i="95"/>
  <c r="K68" i="103"/>
  <c r="AK68" i="103"/>
  <c r="AQ8" i="95"/>
  <c r="L68" i="103"/>
  <c r="AL68" i="103"/>
  <c r="AR8" i="95"/>
  <c r="M68" i="103"/>
  <c r="AM68" i="103"/>
  <c r="AH9" i="95"/>
  <c r="C69" i="103"/>
  <c r="AC69" i="103"/>
  <c r="AI9" i="95"/>
  <c r="D69" i="103"/>
  <c r="AD69" i="103"/>
  <c r="AJ9" i="95"/>
  <c r="E69" i="103"/>
  <c r="AE69" i="103"/>
  <c r="AK9" i="95"/>
  <c r="F69" i="103"/>
  <c r="AF69" i="103"/>
  <c r="AL9" i="95"/>
  <c r="G69" i="103"/>
  <c r="AG69" i="103"/>
  <c r="AM9" i="95"/>
  <c r="H69" i="103"/>
  <c r="AH69" i="103"/>
  <c r="AN9" i="95"/>
  <c r="I69" i="103"/>
  <c r="AI69" i="103"/>
  <c r="AO9" i="95"/>
  <c r="J69" i="103"/>
  <c r="AJ69" i="103"/>
  <c r="AP9" i="95"/>
  <c r="K69" i="103"/>
  <c r="AK69" i="103"/>
  <c r="AQ9" i="95"/>
  <c r="L69" i="103"/>
  <c r="AL69" i="103"/>
  <c r="AR9" i="95"/>
  <c r="M69" i="103"/>
  <c r="AM69" i="103"/>
  <c r="AH10" i="95"/>
  <c r="C70" i="103"/>
  <c r="AC70" i="103"/>
  <c r="AI10" i="95"/>
  <c r="D70" i="103"/>
  <c r="AD70" i="103"/>
  <c r="AJ10" i="95"/>
  <c r="E70" i="103"/>
  <c r="AE70" i="103"/>
  <c r="AK10" i="95"/>
  <c r="F70" i="103"/>
  <c r="AF70" i="103"/>
  <c r="AL10" i="95"/>
  <c r="G70" i="103"/>
  <c r="AG70" i="103"/>
  <c r="AM10" i="95"/>
  <c r="H70" i="103"/>
  <c r="AH70" i="103"/>
  <c r="AN10" i="95"/>
  <c r="I70" i="103"/>
  <c r="AI70" i="103"/>
  <c r="AO10" i="95"/>
  <c r="J70" i="103"/>
  <c r="AJ70" i="103"/>
  <c r="AP10" i="95"/>
  <c r="K70" i="103"/>
  <c r="AK70" i="103"/>
  <c r="AQ10" i="95"/>
  <c r="L70" i="103"/>
  <c r="AL70" i="103"/>
  <c r="AR10" i="95"/>
  <c r="M70" i="103"/>
  <c r="AM70" i="103"/>
  <c r="AH11" i="95"/>
  <c r="C71" i="103"/>
  <c r="AC71" i="103"/>
  <c r="AI11" i="95"/>
  <c r="D71" i="103"/>
  <c r="AD71" i="103"/>
  <c r="AJ11" i="95"/>
  <c r="E71" i="103"/>
  <c r="AE71" i="103"/>
  <c r="AK11" i="95"/>
  <c r="F71" i="103"/>
  <c r="AF71" i="103"/>
  <c r="AL11" i="95"/>
  <c r="G71" i="103"/>
  <c r="AG71" i="103"/>
  <c r="AM11" i="95"/>
  <c r="H71" i="103"/>
  <c r="AH71" i="103"/>
  <c r="AN11" i="95"/>
  <c r="I71" i="103"/>
  <c r="AI71" i="103"/>
  <c r="AO11" i="95"/>
  <c r="J71" i="103"/>
  <c r="AJ71" i="103"/>
  <c r="AP11" i="95"/>
  <c r="K71" i="103"/>
  <c r="AK71" i="103"/>
  <c r="AQ11" i="95"/>
  <c r="L71" i="103"/>
  <c r="AL71" i="103"/>
  <c r="AR11" i="95"/>
  <c r="M71" i="103"/>
  <c r="AM71" i="103"/>
  <c r="AH12" i="95"/>
  <c r="C72" i="103"/>
  <c r="AC72" i="103"/>
  <c r="AI12" i="95"/>
  <c r="D72" i="103"/>
  <c r="AD72" i="103"/>
  <c r="AJ12" i="95"/>
  <c r="E72" i="103"/>
  <c r="AE72" i="103"/>
  <c r="AK12" i="95"/>
  <c r="F72" i="103"/>
  <c r="AF72" i="103"/>
  <c r="AL12" i="95"/>
  <c r="G72" i="103"/>
  <c r="AG72" i="103"/>
  <c r="AM12" i="95"/>
  <c r="H72" i="103"/>
  <c r="AH72" i="103"/>
  <c r="AN12" i="95"/>
  <c r="I72" i="103"/>
  <c r="AI72" i="103"/>
  <c r="AO12" i="95"/>
  <c r="J72" i="103"/>
  <c r="AJ72" i="103"/>
  <c r="AP12" i="95"/>
  <c r="K72" i="103"/>
  <c r="AK72" i="103"/>
  <c r="AQ12" i="95"/>
  <c r="L72" i="103"/>
  <c r="AL72" i="103"/>
  <c r="AR12" i="95"/>
  <c r="M72" i="103"/>
  <c r="AM72" i="103"/>
  <c r="AH13" i="95"/>
  <c r="C73" i="103"/>
  <c r="AC73" i="103"/>
  <c r="AI13" i="95"/>
  <c r="D73" i="103"/>
  <c r="AD73" i="103"/>
  <c r="AJ13" i="95"/>
  <c r="E73" i="103"/>
  <c r="AE73" i="103"/>
  <c r="AK13" i="95"/>
  <c r="F73" i="103"/>
  <c r="AF73" i="103"/>
  <c r="AL13" i="95"/>
  <c r="G73" i="103"/>
  <c r="AG73" i="103"/>
  <c r="AM13" i="95"/>
  <c r="H73" i="103"/>
  <c r="AH73" i="103"/>
  <c r="AN13" i="95"/>
  <c r="I73" i="103"/>
  <c r="AI73" i="103"/>
  <c r="AO13" i="95"/>
  <c r="J73" i="103"/>
  <c r="AJ73" i="103"/>
  <c r="AP13" i="95"/>
  <c r="K73" i="103"/>
  <c r="AK73" i="103"/>
  <c r="AQ13" i="95"/>
  <c r="L73" i="103"/>
  <c r="AL73" i="103"/>
  <c r="AR13" i="95"/>
  <c r="M73" i="103"/>
  <c r="AM73" i="103"/>
  <c r="AH14" i="95"/>
  <c r="C74" i="103"/>
  <c r="AC74" i="103"/>
  <c r="AI14" i="95"/>
  <c r="D74" i="103"/>
  <c r="AD74" i="103"/>
  <c r="AJ14" i="95"/>
  <c r="E74" i="103"/>
  <c r="AE74" i="103"/>
  <c r="AK14" i="95"/>
  <c r="F74" i="103"/>
  <c r="AF74" i="103"/>
  <c r="AL14" i="95"/>
  <c r="G74" i="103"/>
  <c r="AG74" i="103"/>
  <c r="AM14" i="95"/>
  <c r="H74" i="103"/>
  <c r="AH74" i="103"/>
  <c r="AN14" i="95"/>
  <c r="I74" i="103"/>
  <c r="AI74" i="103"/>
  <c r="AO14" i="95"/>
  <c r="J74" i="103"/>
  <c r="AJ74" i="103"/>
  <c r="AP14" i="95"/>
  <c r="K74" i="103"/>
  <c r="AK74" i="103"/>
  <c r="AQ14" i="95"/>
  <c r="L74" i="103"/>
  <c r="AL74" i="103"/>
  <c r="AR14" i="95"/>
  <c r="M74" i="103"/>
  <c r="AM74" i="103"/>
  <c r="AH15" i="95"/>
  <c r="C75" i="103"/>
  <c r="AC75" i="103"/>
  <c r="AI15" i="95"/>
  <c r="D75" i="103"/>
  <c r="AD75" i="103"/>
  <c r="AJ15" i="95"/>
  <c r="E75" i="103"/>
  <c r="AE75" i="103"/>
  <c r="AK15" i="95"/>
  <c r="F75" i="103"/>
  <c r="AF75" i="103"/>
  <c r="AL15" i="95"/>
  <c r="G75" i="103"/>
  <c r="AG75" i="103"/>
  <c r="AM15" i="95"/>
  <c r="H75" i="103"/>
  <c r="AH75" i="103"/>
  <c r="AN15" i="95"/>
  <c r="I75" i="103"/>
  <c r="AI75" i="103"/>
  <c r="AO15" i="95"/>
  <c r="J75" i="103"/>
  <c r="AJ75" i="103"/>
  <c r="AP15" i="95"/>
  <c r="K75" i="103"/>
  <c r="AK75" i="103"/>
  <c r="AQ15" i="95"/>
  <c r="L75" i="103"/>
  <c r="AL75" i="103"/>
  <c r="AR15" i="95"/>
  <c r="M75" i="103"/>
  <c r="AM75" i="103"/>
  <c r="AH16" i="95"/>
  <c r="C76" i="103"/>
  <c r="AC76" i="103"/>
  <c r="AI16" i="95"/>
  <c r="D76" i="103"/>
  <c r="AD76" i="103"/>
  <c r="AJ16" i="95"/>
  <c r="E76" i="103"/>
  <c r="AE76" i="103"/>
  <c r="AK16" i="95"/>
  <c r="F76" i="103"/>
  <c r="AF76" i="103"/>
  <c r="AL16" i="95"/>
  <c r="G76" i="103"/>
  <c r="AG76" i="103"/>
  <c r="AM16" i="95"/>
  <c r="H76" i="103"/>
  <c r="AH76" i="103"/>
  <c r="AN16" i="95"/>
  <c r="I76" i="103"/>
  <c r="AI76" i="103"/>
  <c r="AO16" i="95"/>
  <c r="J76" i="103"/>
  <c r="AJ76" i="103"/>
  <c r="AP16" i="95"/>
  <c r="K76" i="103"/>
  <c r="AK76" i="103"/>
  <c r="AQ16" i="95"/>
  <c r="L76" i="103"/>
  <c r="AL76" i="103"/>
  <c r="AR16" i="95"/>
  <c r="M76" i="103"/>
  <c r="AM76" i="103"/>
  <c r="AH17" i="95"/>
  <c r="C77" i="103"/>
  <c r="AC77" i="103"/>
  <c r="AI17" i="95"/>
  <c r="D77" i="103"/>
  <c r="AD77" i="103"/>
  <c r="AJ17" i="95"/>
  <c r="E77" i="103"/>
  <c r="AE77" i="103"/>
  <c r="AK17" i="95"/>
  <c r="F77" i="103"/>
  <c r="AF77" i="103"/>
  <c r="AL17" i="95"/>
  <c r="G77" i="103"/>
  <c r="AG77" i="103"/>
  <c r="AM17" i="95"/>
  <c r="H77" i="103"/>
  <c r="AH77" i="103"/>
  <c r="AN17" i="95"/>
  <c r="I77" i="103"/>
  <c r="AI77" i="103"/>
  <c r="AO17" i="95"/>
  <c r="J77" i="103"/>
  <c r="AJ77" i="103"/>
  <c r="AP17" i="95"/>
  <c r="K77" i="103"/>
  <c r="AK77" i="103"/>
  <c r="AQ17" i="95"/>
  <c r="L77" i="103"/>
  <c r="AL77" i="103"/>
  <c r="AR17" i="95"/>
  <c r="M77" i="103"/>
  <c r="AM77" i="103"/>
  <c r="AH18" i="95"/>
  <c r="C78" i="103"/>
  <c r="AC78" i="103"/>
  <c r="AI18" i="95"/>
  <c r="D78" i="103"/>
  <c r="AD78" i="103"/>
  <c r="AJ18" i="95"/>
  <c r="E78" i="103"/>
  <c r="AE78" i="103"/>
  <c r="AK18" i="95"/>
  <c r="F78" i="103"/>
  <c r="AF78" i="103"/>
  <c r="AL18" i="95"/>
  <c r="G78" i="103"/>
  <c r="AG78" i="103"/>
  <c r="AM18" i="95"/>
  <c r="H78" i="103"/>
  <c r="AH78" i="103"/>
  <c r="AN18" i="95"/>
  <c r="I78" i="103"/>
  <c r="AI78" i="103"/>
  <c r="AO18" i="95"/>
  <c r="J78" i="103"/>
  <c r="AJ78" i="103"/>
  <c r="AP18" i="95"/>
  <c r="K78" i="103"/>
  <c r="AK78" i="103"/>
  <c r="AQ18" i="95"/>
  <c r="L78" i="103"/>
  <c r="AL78" i="103"/>
  <c r="AR18" i="95"/>
  <c r="M78" i="103"/>
  <c r="AM78" i="103"/>
  <c r="E59" i="103"/>
  <c r="Q11" i="99"/>
  <c r="AA4" i="95"/>
  <c r="AC4" i="95"/>
  <c r="AH29" i="95"/>
  <c r="C91" i="103"/>
  <c r="AC91" i="103"/>
  <c r="AI28" i="95"/>
  <c r="AI29" i="95"/>
  <c r="D91" i="103"/>
  <c r="AD91" i="103"/>
  <c r="AJ28" i="95"/>
  <c r="AJ29" i="95"/>
  <c r="E91" i="103"/>
  <c r="AE91" i="103"/>
  <c r="AK28" i="95"/>
  <c r="AK29" i="95"/>
  <c r="F91" i="103"/>
  <c r="AF91" i="103"/>
  <c r="AL28" i="95"/>
  <c r="AL29" i="95"/>
  <c r="G91" i="103"/>
  <c r="AG91" i="103"/>
  <c r="AM28" i="95"/>
  <c r="AM29" i="95"/>
  <c r="H91" i="103"/>
  <c r="AH91" i="103"/>
  <c r="AN28" i="95"/>
  <c r="AN29" i="95"/>
  <c r="I91" i="103"/>
  <c r="AI91" i="103"/>
  <c r="AO28" i="95"/>
  <c r="AO29" i="95"/>
  <c r="J91" i="103"/>
  <c r="AJ91" i="103"/>
  <c r="AP28" i="95"/>
  <c r="AP29" i="95"/>
  <c r="K91" i="103"/>
  <c r="AK91" i="103"/>
  <c r="AQ28" i="95"/>
  <c r="AQ29" i="95"/>
  <c r="L91" i="103"/>
  <c r="AL91" i="103"/>
  <c r="AR28" i="95"/>
  <c r="AR29" i="95"/>
  <c r="M91" i="103"/>
  <c r="AM91" i="103"/>
  <c r="AA5" i="95"/>
  <c r="AC5" i="95"/>
  <c r="AH30" i="95"/>
  <c r="C92" i="103"/>
  <c r="AC92" i="103"/>
  <c r="AI30" i="95"/>
  <c r="D92" i="103"/>
  <c r="AD92" i="103"/>
  <c r="AJ30" i="95"/>
  <c r="E92" i="103"/>
  <c r="AE92" i="103"/>
  <c r="AK30" i="95"/>
  <c r="F92" i="103"/>
  <c r="AF92" i="103"/>
  <c r="AL30" i="95"/>
  <c r="G92" i="103"/>
  <c r="AG92" i="103"/>
  <c r="AM30" i="95"/>
  <c r="H92" i="103"/>
  <c r="AH92" i="103"/>
  <c r="AN30" i="95"/>
  <c r="I92" i="103"/>
  <c r="AI92" i="103"/>
  <c r="AO30" i="95"/>
  <c r="J92" i="103"/>
  <c r="AJ92" i="103"/>
  <c r="AP30" i="95"/>
  <c r="K92" i="103"/>
  <c r="AK92" i="103"/>
  <c r="AQ30" i="95"/>
  <c r="L92" i="103"/>
  <c r="AL92" i="103"/>
  <c r="AR30" i="95"/>
  <c r="M92" i="103"/>
  <c r="AM92" i="103"/>
  <c r="AA6" i="95"/>
  <c r="AC6" i="95"/>
  <c r="AH31" i="95"/>
  <c r="C93" i="103"/>
  <c r="AC93" i="103"/>
  <c r="AI31" i="95"/>
  <c r="D93" i="103"/>
  <c r="AD93" i="103"/>
  <c r="AJ31" i="95"/>
  <c r="E93" i="103"/>
  <c r="AE93" i="103"/>
  <c r="AK31" i="95"/>
  <c r="F93" i="103"/>
  <c r="AF93" i="103"/>
  <c r="AL31" i="95"/>
  <c r="G93" i="103"/>
  <c r="AG93" i="103"/>
  <c r="AM31" i="95"/>
  <c r="H93" i="103"/>
  <c r="AH93" i="103"/>
  <c r="AN31" i="95"/>
  <c r="I93" i="103"/>
  <c r="AI93" i="103"/>
  <c r="AO31" i="95"/>
  <c r="J93" i="103"/>
  <c r="AJ93" i="103"/>
  <c r="AP31" i="95"/>
  <c r="K93" i="103"/>
  <c r="AK93" i="103"/>
  <c r="AQ31" i="95"/>
  <c r="L93" i="103"/>
  <c r="AL93" i="103"/>
  <c r="AR31" i="95"/>
  <c r="M93" i="103"/>
  <c r="AM93" i="103"/>
  <c r="AA7" i="95"/>
  <c r="AC7" i="95"/>
  <c r="AH32" i="95"/>
  <c r="C94" i="103"/>
  <c r="AC94" i="103"/>
  <c r="AI32" i="95"/>
  <c r="D94" i="103"/>
  <c r="AD94" i="103"/>
  <c r="AJ32" i="95"/>
  <c r="E94" i="103"/>
  <c r="AE94" i="103"/>
  <c r="AK32" i="95"/>
  <c r="F94" i="103"/>
  <c r="AF94" i="103"/>
  <c r="AL32" i="95"/>
  <c r="G94" i="103"/>
  <c r="AG94" i="103"/>
  <c r="AM32" i="95"/>
  <c r="H94" i="103"/>
  <c r="AH94" i="103"/>
  <c r="AN32" i="95"/>
  <c r="I94" i="103"/>
  <c r="AI94" i="103"/>
  <c r="AO32" i="95"/>
  <c r="J94" i="103"/>
  <c r="AJ94" i="103"/>
  <c r="AP32" i="95"/>
  <c r="K94" i="103"/>
  <c r="AK94" i="103"/>
  <c r="AQ32" i="95"/>
  <c r="L94" i="103"/>
  <c r="AL94" i="103"/>
  <c r="AR32" i="95"/>
  <c r="M94" i="103"/>
  <c r="AM94" i="103"/>
  <c r="AA8" i="95"/>
  <c r="AC8" i="95"/>
  <c r="AH33" i="95"/>
  <c r="C95" i="103"/>
  <c r="AC95" i="103"/>
  <c r="AI33" i="95"/>
  <c r="D95" i="103"/>
  <c r="AD95" i="103"/>
  <c r="AJ33" i="95"/>
  <c r="E95" i="103"/>
  <c r="AE95" i="103"/>
  <c r="AK33" i="95"/>
  <c r="F95" i="103"/>
  <c r="AF95" i="103"/>
  <c r="AL33" i="95"/>
  <c r="G95" i="103"/>
  <c r="AG95" i="103"/>
  <c r="AM33" i="95"/>
  <c r="H95" i="103"/>
  <c r="AH95" i="103"/>
  <c r="AN33" i="95"/>
  <c r="I95" i="103"/>
  <c r="AI95" i="103"/>
  <c r="AO33" i="95"/>
  <c r="J95" i="103"/>
  <c r="AJ95" i="103"/>
  <c r="AP33" i="95"/>
  <c r="K95" i="103"/>
  <c r="AK95" i="103"/>
  <c r="AQ33" i="95"/>
  <c r="L95" i="103"/>
  <c r="AL95" i="103"/>
  <c r="AR33" i="95"/>
  <c r="M95" i="103"/>
  <c r="AM95" i="103"/>
  <c r="AA9" i="95"/>
  <c r="AC9" i="95"/>
  <c r="AH34" i="95"/>
  <c r="C96" i="103"/>
  <c r="AC96" i="103"/>
  <c r="AI34" i="95"/>
  <c r="D96" i="103"/>
  <c r="AD96" i="103"/>
  <c r="AJ34" i="95"/>
  <c r="E96" i="103"/>
  <c r="AE96" i="103"/>
  <c r="AK34" i="95"/>
  <c r="F96" i="103"/>
  <c r="AF96" i="103"/>
  <c r="AL34" i="95"/>
  <c r="G96" i="103"/>
  <c r="AG96" i="103"/>
  <c r="AM34" i="95"/>
  <c r="H96" i="103"/>
  <c r="AH96" i="103"/>
  <c r="AN34" i="95"/>
  <c r="I96" i="103"/>
  <c r="AI96" i="103"/>
  <c r="AO34" i="95"/>
  <c r="J96" i="103"/>
  <c r="AJ96" i="103"/>
  <c r="AP34" i="95"/>
  <c r="K96" i="103"/>
  <c r="AK96" i="103"/>
  <c r="AQ34" i="95"/>
  <c r="L96" i="103"/>
  <c r="AL96" i="103"/>
  <c r="AR34" i="95"/>
  <c r="M96" i="103"/>
  <c r="AM96" i="103"/>
  <c r="AA10" i="95"/>
  <c r="AC10" i="95"/>
  <c r="AH35" i="95"/>
  <c r="C97" i="103"/>
  <c r="AC97" i="103"/>
  <c r="AI35" i="95"/>
  <c r="D97" i="103"/>
  <c r="AD97" i="103"/>
  <c r="AJ35" i="95"/>
  <c r="E97" i="103"/>
  <c r="AE97" i="103"/>
  <c r="AK35" i="95"/>
  <c r="F97" i="103"/>
  <c r="AF97" i="103"/>
  <c r="AL35" i="95"/>
  <c r="G97" i="103"/>
  <c r="AG97" i="103"/>
  <c r="AM35" i="95"/>
  <c r="H97" i="103"/>
  <c r="AH97" i="103"/>
  <c r="AN35" i="95"/>
  <c r="I97" i="103"/>
  <c r="AI97" i="103"/>
  <c r="AO35" i="95"/>
  <c r="J97" i="103"/>
  <c r="AJ97" i="103"/>
  <c r="AP35" i="95"/>
  <c r="K97" i="103"/>
  <c r="AK97" i="103"/>
  <c r="AQ35" i="95"/>
  <c r="L97" i="103"/>
  <c r="AL97" i="103"/>
  <c r="AR35" i="95"/>
  <c r="M97" i="103"/>
  <c r="AM97" i="103"/>
  <c r="AA11" i="95"/>
  <c r="AC11" i="95"/>
  <c r="AH36" i="95"/>
  <c r="C98" i="103"/>
  <c r="AC98" i="103"/>
  <c r="AI36" i="95"/>
  <c r="D98" i="103"/>
  <c r="AD98" i="103"/>
  <c r="AJ36" i="95"/>
  <c r="E98" i="103"/>
  <c r="AE98" i="103"/>
  <c r="AK36" i="95"/>
  <c r="F98" i="103"/>
  <c r="AF98" i="103"/>
  <c r="AL36" i="95"/>
  <c r="G98" i="103"/>
  <c r="AG98" i="103"/>
  <c r="AM36" i="95"/>
  <c r="H98" i="103"/>
  <c r="AH98" i="103"/>
  <c r="AN36" i="95"/>
  <c r="I98" i="103"/>
  <c r="AI98" i="103"/>
  <c r="AO36" i="95"/>
  <c r="J98" i="103"/>
  <c r="AJ98" i="103"/>
  <c r="AP36" i="95"/>
  <c r="K98" i="103"/>
  <c r="AK98" i="103"/>
  <c r="AQ36" i="95"/>
  <c r="L98" i="103"/>
  <c r="AL98" i="103"/>
  <c r="AR36" i="95"/>
  <c r="M98" i="103"/>
  <c r="AM98" i="103"/>
  <c r="AA12" i="95"/>
  <c r="AC12" i="95"/>
  <c r="AH37" i="95"/>
  <c r="C99" i="103"/>
  <c r="AC99" i="103"/>
  <c r="AI37" i="95"/>
  <c r="D99" i="103"/>
  <c r="AD99" i="103"/>
  <c r="AJ37" i="95"/>
  <c r="E99" i="103"/>
  <c r="AE99" i="103"/>
  <c r="AK37" i="95"/>
  <c r="F99" i="103"/>
  <c r="AF99" i="103"/>
  <c r="AL37" i="95"/>
  <c r="G99" i="103"/>
  <c r="AG99" i="103"/>
  <c r="AM37" i="95"/>
  <c r="H99" i="103"/>
  <c r="AH99" i="103"/>
  <c r="AN37" i="95"/>
  <c r="I99" i="103"/>
  <c r="AI99" i="103"/>
  <c r="AO37" i="95"/>
  <c r="J99" i="103"/>
  <c r="AJ99" i="103"/>
  <c r="AP37" i="95"/>
  <c r="K99" i="103"/>
  <c r="AK99" i="103"/>
  <c r="AQ37" i="95"/>
  <c r="L99" i="103"/>
  <c r="AL99" i="103"/>
  <c r="AR37" i="95"/>
  <c r="M99" i="103"/>
  <c r="AM99" i="103"/>
  <c r="AA13" i="95"/>
  <c r="AC13" i="95"/>
  <c r="AH38" i="95"/>
  <c r="C100" i="103"/>
  <c r="AC100" i="103"/>
  <c r="AI38" i="95"/>
  <c r="D100" i="103"/>
  <c r="AD100" i="103"/>
  <c r="AJ38" i="95"/>
  <c r="E100" i="103"/>
  <c r="AE100" i="103"/>
  <c r="AK38" i="95"/>
  <c r="F100" i="103"/>
  <c r="AF100" i="103"/>
  <c r="AL38" i="95"/>
  <c r="G100" i="103"/>
  <c r="AG100" i="103"/>
  <c r="AM38" i="95"/>
  <c r="H100" i="103"/>
  <c r="AH100" i="103"/>
  <c r="AN38" i="95"/>
  <c r="I100" i="103"/>
  <c r="AI100" i="103"/>
  <c r="AO38" i="95"/>
  <c r="J100" i="103"/>
  <c r="AJ100" i="103"/>
  <c r="AP38" i="95"/>
  <c r="K100" i="103"/>
  <c r="AK100" i="103"/>
  <c r="AQ38" i="95"/>
  <c r="L100" i="103"/>
  <c r="AL100" i="103"/>
  <c r="AR38" i="95"/>
  <c r="M100" i="103"/>
  <c r="AM100" i="103"/>
  <c r="AA14" i="95"/>
  <c r="AC14" i="95"/>
  <c r="AH39" i="95"/>
  <c r="C101" i="103"/>
  <c r="AC101" i="103"/>
  <c r="AI39" i="95"/>
  <c r="D101" i="103"/>
  <c r="AD101" i="103"/>
  <c r="AJ39" i="95"/>
  <c r="E101" i="103"/>
  <c r="AE101" i="103"/>
  <c r="AK39" i="95"/>
  <c r="F101" i="103"/>
  <c r="AF101" i="103"/>
  <c r="AL39" i="95"/>
  <c r="G101" i="103"/>
  <c r="AG101" i="103"/>
  <c r="AM39" i="95"/>
  <c r="H101" i="103"/>
  <c r="AH101" i="103"/>
  <c r="AN39" i="95"/>
  <c r="I101" i="103"/>
  <c r="AI101" i="103"/>
  <c r="AO39" i="95"/>
  <c r="J101" i="103"/>
  <c r="AJ101" i="103"/>
  <c r="AP39" i="95"/>
  <c r="K101" i="103"/>
  <c r="AK101" i="103"/>
  <c r="AQ39" i="95"/>
  <c r="L101" i="103"/>
  <c r="AL101" i="103"/>
  <c r="AR39" i="95"/>
  <c r="M101" i="103"/>
  <c r="AM101" i="103"/>
  <c r="AA15" i="95"/>
  <c r="AC15" i="95"/>
  <c r="AH40" i="95"/>
  <c r="C102" i="103"/>
  <c r="AC102" i="103"/>
  <c r="AI40" i="95"/>
  <c r="D102" i="103"/>
  <c r="AD102" i="103"/>
  <c r="AJ40" i="95"/>
  <c r="E102" i="103"/>
  <c r="AE102" i="103"/>
  <c r="AK40" i="95"/>
  <c r="F102" i="103"/>
  <c r="AF102" i="103"/>
  <c r="AL40" i="95"/>
  <c r="G102" i="103"/>
  <c r="AG102" i="103"/>
  <c r="AM40" i="95"/>
  <c r="H102" i="103"/>
  <c r="AH102" i="103"/>
  <c r="AN40" i="95"/>
  <c r="I102" i="103"/>
  <c r="AI102" i="103"/>
  <c r="AO40" i="95"/>
  <c r="J102" i="103"/>
  <c r="AJ102" i="103"/>
  <c r="AP40" i="95"/>
  <c r="K102" i="103"/>
  <c r="AK102" i="103"/>
  <c r="AQ40" i="95"/>
  <c r="L102" i="103"/>
  <c r="AL102" i="103"/>
  <c r="AR40" i="95"/>
  <c r="M102" i="103"/>
  <c r="AM102" i="103"/>
  <c r="AA16" i="95"/>
  <c r="AC16" i="95"/>
  <c r="AH41" i="95"/>
  <c r="C103" i="103"/>
  <c r="AC103" i="103"/>
  <c r="AI41" i="95"/>
  <c r="D103" i="103"/>
  <c r="AD103" i="103"/>
  <c r="AJ41" i="95"/>
  <c r="E103" i="103"/>
  <c r="AE103" i="103"/>
  <c r="AK41" i="95"/>
  <c r="F103" i="103"/>
  <c r="AF103" i="103"/>
  <c r="AL41" i="95"/>
  <c r="G103" i="103"/>
  <c r="AG103" i="103"/>
  <c r="AM41" i="95"/>
  <c r="H103" i="103"/>
  <c r="AH103" i="103"/>
  <c r="AN41" i="95"/>
  <c r="I103" i="103"/>
  <c r="AI103" i="103"/>
  <c r="AO41" i="95"/>
  <c r="J103" i="103"/>
  <c r="AJ103" i="103"/>
  <c r="AP41" i="95"/>
  <c r="K103" i="103"/>
  <c r="AK103" i="103"/>
  <c r="AQ41" i="95"/>
  <c r="L103" i="103"/>
  <c r="AL103" i="103"/>
  <c r="AR41" i="95"/>
  <c r="M103" i="103"/>
  <c r="AM103" i="103"/>
  <c r="AA17" i="95"/>
  <c r="AC17" i="95"/>
  <c r="AH42" i="95"/>
  <c r="C104" i="103"/>
  <c r="AC104" i="103"/>
  <c r="AI42" i="95"/>
  <c r="D104" i="103"/>
  <c r="AD104" i="103"/>
  <c r="AJ42" i="95"/>
  <c r="E104" i="103"/>
  <c r="AE104" i="103"/>
  <c r="AK42" i="95"/>
  <c r="F104" i="103"/>
  <c r="AF104" i="103"/>
  <c r="AL42" i="95"/>
  <c r="G104" i="103"/>
  <c r="AG104" i="103"/>
  <c r="AM42" i="95"/>
  <c r="H104" i="103"/>
  <c r="AH104" i="103"/>
  <c r="AN42" i="95"/>
  <c r="I104" i="103"/>
  <c r="AI104" i="103"/>
  <c r="AO42" i="95"/>
  <c r="J104" i="103"/>
  <c r="AJ104" i="103"/>
  <c r="AP42" i="95"/>
  <c r="K104" i="103"/>
  <c r="AK104" i="103"/>
  <c r="AQ42" i="95"/>
  <c r="L104" i="103"/>
  <c r="AL104" i="103"/>
  <c r="AR42" i="95"/>
  <c r="M104" i="103"/>
  <c r="AM104" i="103"/>
  <c r="AA18" i="95"/>
  <c r="AC18" i="95"/>
  <c r="AH43" i="95"/>
  <c r="C105" i="103"/>
  <c r="AC105" i="103"/>
  <c r="AI43" i="95"/>
  <c r="D105" i="103"/>
  <c r="AD105" i="103"/>
  <c r="AJ43" i="95"/>
  <c r="E105" i="103"/>
  <c r="AE105" i="103"/>
  <c r="AK43" i="95"/>
  <c r="F105" i="103"/>
  <c r="AF105" i="103"/>
  <c r="AL43" i="95"/>
  <c r="G105" i="103"/>
  <c r="AG105" i="103"/>
  <c r="AM43" i="95"/>
  <c r="H105" i="103"/>
  <c r="AH105" i="103"/>
  <c r="AN43" i="95"/>
  <c r="I105" i="103"/>
  <c r="AI105" i="103"/>
  <c r="AO43" i="95"/>
  <c r="J105" i="103"/>
  <c r="AJ105" i="103"/>
  <c r="AP43" i="95"/>
  <c r="K105" i="103"/>
  <c r="AK105" i="103"/>
  <c r="AQ43" i="95"/>
  <c r="L105" i="103"/>
  <c r="AL105" i="103"/>
  <c r="AR43" i="95"/>
  <c r="M105" i="103"/>
  <c r="AM105" i="103"/>
  <c r="E86" i="103"/>
  <c r="Q12" i="99"/>
  <c r="G52" i="95"/>
  <c r="C70" i="95"/>
  <c r="D70" i="95"/>
  <c r="D72" i="95"/>
  <c r="I52" i="95"/>
  <c r="N52" i="95"/>
  <c r="C118" i="103"/>
  <c r="AC118" i="103"/>
  <c r="O51" i="95"/>
  <c r="O52" i="95"/>
  <c r="D118" i="103"/>
  <c r="AD118" i="103"/>
  <c r="P51" i="95"/>
  <c r="P52" i="95"/>
  <c r="E118" i="103"/>
  <c r="AE118" i="103"/>
  <c r="Q51" i="95"/>
  <c r="Q52" i="95"/>
  <c r="F118" i="103"/>
  <c r="AF118" i="103"/>
  <c r="R51" i="95"/>
  <c r="R52" i="95"/>
  <c r="G118" i="103"/>
  <c r="AG118" i="103"/>
  <c r="S51" i="95"/>
  <c r="S52" i="95"/>
  <c r="H118" i="103"/>
  <c r="AH118" i="103"/>
  <c r="T51" i="95"/>
  <c r="T52" i="95"/>
  <c r="I118" i="103"/>
  <c r="AI118" i="103"/>
  <c r="U51" i="95"/>
  <c r="U52" i="95"/>
  <c r="J118" i="103"/>
  <c r="AJ118" i="103"/>
  <c r="V51" i="95"/>
  <c r="V52" i="95"/>
  <c r="K118" i="103"/>
  <c r="AK118" i="103"/>
  <c r="W51" i="95"/>
  <c r="W52" i="95"/>
  <c r="L118" i="103"/>
  <c r="AL118" i="103"/>
  <c r="X51" i="95"/>
  <c r="X52" i="95"/>
  <c r="M118" i="103"/>
  <c r="AM118" i="103"/>
  <c r="G53" i="95"/>
  <c r="I53" i="95"/>
  <c r="N53" i="95"/>
  <c r="C119" i="103"/>
  <c r="AC119" i="103"/>
  <c r="O53" i="95"/>
  <c r="D119" i="103"/>
  <c r="AD119" i="103"/>
  <c r="P53" i="95"/>
  <c r="E119" i="103"/>
  <c r="AE119" i="103"/>
  <c r="Q53" i="95"/>
  <c r="F119" i="103"/>
  <c r="AF119" i="103"/>
  <c r="R53" i="95"/>
  <c r="G119" i="103"/>
  <c r="AG119" i="103"/>
  <c r="S53" i="95"/>
  <c r="H119" i="103"/>
  <c r="AH119" i="103"/>
  <c r="T53" i="95"/>
  <c r="I119" i="103"/>
  <c r="AI119" i="103"/>
  <c r="U53" i="95"/>
  <c r="J119" i="103"/>
  <c r="AJ119" i="103"/>
  <c r="V53" i="95"/>
  <c r="K119" i="103"/>
  <c r="AK119" i="103"/>
  <c r="W53" i="95"/>
  <c r="L119" i="103"/>
  <c r="AL119" i="103"/>
  <c r="X53" i="95"/>
  <c r="M119" i="103"/>
  <c r="AM119" i="103"/>
  <c r="G54" i="95"/>
  <c r="I54" i="95"/>
  <c r="N54" i="95"/>
  <c r="C120" i="103"/>
  <c r="AC120" i="103"/>
  <c r="O54" i="95"/>
  <c r="D120" i="103"/>
  <c r="AD120" i="103"/>
  <c r="P54" i="95"/>
  <c r="E120" i="103"/>
  <c r="AE120" i="103"/>
  <c r="Q54" i="95"/>
  <c r="F120" i="103"/>
  <c r="AF120" i="103"/>
  <c r="R54" i="95"/>
  <c r="G120" i="103"/>
  <c r="AG120" i="103"/>
  <c r="S54" i="95"/>
  <c r="H120" i="103"/>
  <c r="AH120" i="103"/>
  <c r="T54" i="95"/>
  <c r="I120" i="103"/>
  <c r="AI120" i="103"/>
  <c r="U54" i="95"/>
  <c r="J120" i="103"/>
  <c r="AJ120" i="103"/>
  <c r="V54" i="95"/>
  <c r="K120" i="103"/>
  <c r="AK120" i="103"/>
  <c r="W54" i="95"/>
  <c r="L120" i="103"/>
  <c r="AL120" i="103"/>
  <c r="X54" i="95"/>
  <c r="M120" i="103"/>
  <c r="AM120" i="103"/>
  <c r="G55" i="95"/>
  <c r="I55" i="95"/>
  <c r="N55" i="95"/>
  <c r="C121" i="103"/>
  <c r="AC121" i="103"/>
  <c r="O55" i="95"/>
  <c r="D121" i="103"/>
  <c r="AD121" i="103"/>
  <c r="P55" i="95"/>
  <c r="E121" i="103"/>
  <c r="AE121" i="103"/>
  <c r="Q55" i="95"/>
  <c r="F121" i="103"/>
  <c r="AF121" i="103"/>
  <c r="R55" i="95"/>
  <c r="G121" i="103"/>
  <c r="AG121" i="103"/>
  <c r="S55" i="95"/>
  <c r="H121" i="103"/>
  <c r="AH121" i="103"/>
  <c r="T55" i="95"/>
  <c r="I121" i="103"/>
  <c r="AI121" i="103"/>
  <c r="U55" i="95"/>
  <c r="J121" i="103"/>
  <c r="AJ121" i="103"/>
  <c r="V55" i="95"/>
  <c r="K121" i="103"/>
  <c r="AK121" i="103"/>
  <c r="W55" i="95"/>
  <c r="L121" i="103"/>
  <c r="AL121" i="103"/>
  <c r="X55" i="95"/>
  <c r="M121" i="103"/>
  <c r="AM121" i="103"/>
  <c r="G56" i="95"/>
  <c r="I56" i="95"/>
  <c r="N56" i="95"/>
  <c r="C122" i="103"/>
  <c r="AC122" i="103"/>
  <c r="O56" i="95"/>
  <c r="D122" i="103"/>
  <c r="AD122" i="103"/>
  <c r="P56" i="95"/>
  <c r="E122" i="103"/>
  <c r="AE122" i="103"/>
  <c r="Q56" i="95"/>
  <c r="F122" i="103"/>
  <c r="AF122" i="103"/>
  <c r="R56" i="95"/>
  <c r="G122" i="103"/>
  <c r="AG122" i="103"/>
  <c r="S56" i="95"/>
  <c r="H122" i="103"/>
  <c r="AH122" i="103"/>
  <c r="T56" i="95"/>
  <c r="I122" i="103"/>
  <c r="AI122" i="103"/>
  <c r="U56" i="95"/>
  <c r="J122" i="103"/>
  <c r="AJ122" i="103"/>
  <c r="V56" i="95"/>
  <c r="K122" i="103"/>
  <c r="AK122" i="103"/>
  <c r="W56" i="95"/>
  <c r="L122" i="103"/>
  <c r="AL122" i="103"/>
  <c r="X56" i="95"/>
  <c r="M122" i="103"/>
  <c r="AM122" i="103"/>
  <c r="G57" i="95"/>
  <c r="I57" i="95"/>
  <c r="N57" i="95"/>
  <c r="C123" i="103"/>
  <c r="AC123" i="103"/>
  <c r="O57" i="95"/>
  <c r="D123" i="103"/>
  <c r="AD123" i="103"/>
  <c r="P57" i="95"/>
  <c r="E123" i="103"/>
  <c r="AE123" i="103"/>
  <c r="Q57" i="95"/>
  <c r="F123" i="103"/>
  <c r="AF123" i="103"/>
  <c r="R57" i="95"/>
  <c r="G123" i="103"/>
  <c r="AG123" i="103"/>
  <c r="S57" i="95"/>
  <c r="H123" i="103"/>
  <c r="AH123" i="103"/>
  <c r="T57" i="95"/>
  <c r="I123" i="103"/>
  <c r="AI123" i="103"/>
  <c r="U57" i="95"/>
  <c r="J123" i="103"/>
  <c r="AJ123" i="103"/>
  <c r="V57" i="95"/>
  <c r="K123" i="103"/>
  <c r="AK123" i="103"/>
  <c r="W57" i="95"/>
  <c r="L123" i="103"/>
  <c r="AL123" i="103"/>
  <c r="X57" i="95"/>
  <c r="M123" i="103"/>
  <c r="AM123" i="103"/>
  <c r="G58" i="95"/>
  <c r="I58" i="95"/>
  <c r="N58" i="95"/>
  <c r="C124" i="103"/>
  <c r="AC124" i="103"/>
  <c r="O58" i="95"/>
  <c r="D124" i="103"/>
  <c r="AD124" i="103"/>
  <c r="P58" i="95"/>
  <c r="E124" i="103"/>
  <c r="AE124" i="103"/>
  <c r="Q58" i="95"/>
  <c r="F124" i="103"/>
  <c r="AF124" i="103"/>
  <c r="R58" i="95"/>
  <c r="G124" i="103"/>
  <c r="AG124" i="103"/>
  <c r="S58" i="95"/>
  <c r="H124" i="103"/>
  <c r="AH124" i="103"/>
  <c r="T58" i="95"/>
  <c r="I124" i="103"/>
  <c r="AI124" i="103"/>
  <c r="U58" i="95"/>
  <c r="J124" i="103"/>
  <c r="AJ124" i="103"/>
  <c r="V58" i="95"/>
  <c r="K124" i="103"/>
  <c r="AK124" i="103"/>
  <c r="W58" i="95"/>
  <c r="L124" i="103"/>
  <c r="AL124" i="103"/>
  <c r="X58" i="95"/>
  <c r="M124" i="103"/>
  <c r="AM124" i="103"/>
  <c r="G59" i="95"/>
  <c r="I59" i="95"/>
  <c r="N59" i="95"/>
  <c r="C125" i="103"/>
  <c r="AC125" i="103"/>
  <c r="O59" i="95"/>
  <c r="D125" i="103"/>
  <c r="AD125" i="103"/>
  <c r="P59" i="95"/>
  <c r="E125" i="103"/>
  <c r="AE125" i="103"/>
  <c r="Q59" i="95"/>
  <c r="F125" i="103"/>
  <c r="AF125" i="103"/>
  <c r="R59" i="95"/>
  <c r="G125" i="103"/>
  <c r="AG125" i="103"/>
  <c r="S59" i="95"/>
  <c r="H125" i="103"/>
  <c r="AH125" i="103"/>
  <c r="T59" i="95"/>
  <c r="I125" i="103"/>
  <c r="AI125" i="103"/>
  <c r="U59" i="95"/>
  <c r="J125" i="103"/>
  <c r="AJ125" i="103"/>
  <c r="V59" i="95"/>
  <c r="K125" i="103"/>
  <c r="AK125" i="103"/>
  <c r="W59" i="95"/>
  <c r="L125" i="103"/>
  <c r="AL125" i="103"/>
  <c r="X59" i="95"/>
  <c r="M125" i="103"/>
  <c r="AM125" i="103"/>
  <c r="G60" i="95"/>
  <c r="I60" i="95"/>
  <c r="N60" i="95"/>
  <c r="C126" i="103"/>
  <c r="AC126" i="103"/>
  <c r="O60" i="95"/>
  <c r="D126" i="103"/>
  <c r="AD126" i="103"/>
  <c r="P60" i="95"/>
  <c r="E126" i="103"/>
  <c r="AE126" i="103"/>
  <c r="Q60" i="95"/>
  <c r="F126" i="103"/>
  <c r="AF126" i="103"/>
  <c r="R60" i="95"/>
  <c r="G126" i="103"/>
  <c r="AG126" i="103"/>
  <c r="S60" i="95"/>
  <c r="H126" i="103"/>
  <c r="AH126" i="103"/>
  <c r="T60" i="95"/>
  <c r="I126" i="103"/>
  <c r="AI126" i="103"/>
  <c r="U60" i="95"/>
  <c r="J126" i="103"/>
  <c r="AJ126" i="103"/>
  <c r="V60" i="95"/>
  <c r="K126" i="103"/>
  <c r="AK126" i="103"/>
  <c r="W60" i="95"/>
  <c r="L126" i="103"/>
  <c r="AL126" i="103"/>
  <c r="X60" i="95"/>
  <c r="M126" i="103"/>
  <c r="AM126" i="103"/>
  <c r="G61" i="95"/>
  <c r="I61" i="95"/>
  <c r="N61" i="95"/>
  <c r="C127" i="103"/>
  <c r="AC127" i="103"/>
  <c r="O61" i="95"/>
  <c r="D127" i="103"/>
  <c r="AD127" i="103"/>
  <c r="P61" i="95"/>
  <c r="E127" i="103"/>
  <c r="AE127" i="103"/>
  <c r="Q61" i="95"/>
  <c r="F127" i="103"/>
  <c r="AF127" i="103"/>
  <c r="R61" i="95"/>
  <c r="G127" i="103"/>
  <c r="AG127" i="103"/>
  <c r="S61" i="95"/>
  <c r="H127" i="103"/>
  <c r="AH127" i="103"/>
  <c r="T61" i="95"/>
  <c r="I127" i="103"/>
  <c r="AI127" i="103"/>
  <c r="U61" i="95"/>
  <c r="J127" i="103"/>
  <c r="AJ127" i="103"/>
  <c r="V61" i="95"/>
  <c r="K127" i="103"/>
  <c r="AK127" i="103"/>
  <c r="W61" i="95"/>
  <c r="L127" i="103"/>
  <c r="AL127" i="103"/>
  <c r="X61" i="95"/>
  <c r="M127" i="103"/>
  <c r="AM127" i="103"/>
  <c r="G62" i="95"/>
  <c r="I62" i="95"/>
  <c r="N62" i="95"/>
  <c r="C128" i="103"/>
  <c r="AC128" i="103"/>
  <c r="O62" i="95"/>
  <c r="D128" i="103"/>
  <c r="AD128" i="103"/>
  <c r="P62" i="95"/>
  <c r="E128" i="103"/>
  <c r="AE128" i="103"/>
  <c r="Q62" i="95"/>
  <c r="F128" i="103"/>
  <c r="AF128" i="103"/>
  <c r="R62" i="95"/>
  <c r="G128" i="103"/>
  <c r="AG128" i="103"/>
  <c r="S62" i="95"/>
  <c r="H128" i="103"/>
  <c r="AH128" i="103"/>
  <c r="T62" i="95"/>
  <c r="I128" i="103"/>
  <c r="AI128" i="103"/>
  <c r="U62" i="95"/>
  <c r="J128" i="103"/>
  <c r="AJ128" i="103"/>
  <c r="V62" i="95"/>
  <c r="K128" i="103"/>
  <c r="AK128" i="103"/>
  <c r="W62" i="95"/>
  <c r="L128" i="103"/>
  <c r="AL128" i="103"/>
  <c r="X62" i="95"/>
  <c r="M128" i="103"/>
  <c r="AM128" i="103"/>
  <c r="G63" i="95"/>
  <c r="I63" i="95"/>
  <c r="N63" i="95"/>
  <c r="C129" i="103"/>
  <c r="AC129" i="103"/>
  <c r="O63" i="95"/>
  <c r="D129" i="103"/>
  <c r="AD129" i="103"/>
  <c r="P63" i="95"/>
  <c r="E129" i="103"/>
  <c r="AE129" i="103"/>
  <c r="Q63" i="95"/>
  <c r="F129" i="103"/>
  <c r="AF129" i="103"/>
  <c r="R63" i="95"/>
  <c r="G129" i="103"/>
  <c r="AG129" i="103"/>
  <c r="S63" i="95"/>
  <c r="H129" i="103"/>
  <c r="AH129" i="103"/>
  <c r="T63" i="95"/>
  <c r="I129" i="103"/>
  <c r="AI129" i="103"/>
  <c r="U63" i="95"/>
  <c r="J129" i="103"/>
  <c r="AJ129" i="103"/>
  <c r="V63" i="95"/>
  <c r="K129" i="103"/>
  <c r="AK129" i="103"/>
  <c r="W63" i="95"/>
  <c r="L129" i="103"/>
  <c r="AL129" i="103"/>
  <c r="X63" i="95"/>
  <c r="M129" i="103"/>
  <c r="AM129" i="103"/>
  <c r="G64" i="95"/>
  <c r="I64" i="95"/>
  <c r="N64" i="95"/>
  <c r="C130" i="103"/>
  <c r="AC130" i="103"/>
  <c r="O64" i="95"/>
  <c r="D130" i="103"/>
  <c r="AD130" i="103"/>
  <c r="P64" i="95"/>
  <c r="E130" i="103"/>
  <c r="AE130" i="103"/>
  <c r="Q64" i="95"/>
  <c r="F130" i="103"/>
  <c r="AF130" i="103"/>
  <c r="R64" i="95"/>
  <c r="G130" i="103"/>
  <c r="AG130" i="103"/>
  <c r="S64" i="95"/>
  <c r="H130" i="103"/>
  <c r="AH130" i="103"/>
  <c r="T64" i="95"/>
  <c r="I130" i="103"/>
  <c r="AI130" i="103"/>
  <c r="U64" i="95"/>
  <c r="J130" i="103"/>
  <c r="AJ130" i="103"/>
  <c r="V64" i="95"/>
  <c r="K130" i="103"/>
  <c r="AK130" i="103"/>
  <c r="W64" i="95"/>
  <c r="L130" i="103"/>
  <c r="AL130" i="103"/>
  <c r="X64" i="95"/>
  <c r="M130" i="103"/>
  <c r="AM130" i="103"/>
  <c r="G65" i="95"/>
  <c r="I65" i="95"/>
  <c r="N65" i="95"/>
  <c r="C131" i="103"/>
  <c r="AC131" i="103"/>
  <c r="O65" i="95"/>
  <c r="D131" i="103"/>
  <c r="AD131" i="103"/>
  <c r="P65" i="95"/>
  <c r="E131" i="103"/>
  <c r="AE131" i="103"/>
  <c r="Q65" i="95"/>
  <c r="F131" i="103"/>
  <c r="AF131" i="103"/>
  <c r="R65" i="95"/>
  <c r="G131" i="103"/>
  <c r="AG131" i="103"/>
  <c r="S65" i="95"/>
  <c r="H131" i="103"/>
  <c r="AH131" i="103"/>
  <c r="T65" i="95"/>
  <c r="I131" i="103"/>
  <c r="AI131" i="103"/>
  <c r="U65" i="95"/>
  <c r="J131" i="103"/>
  <c r="AJ131" i="103"/>
  <c r="V65" i="95"/>
  <c r="K131" i="103"/>
  <c r="AK131" i="103"/>
  <c r="W65" i="95"/>
  <c r="L131" i="103"/>
  <c r="AL131" i="103"/>
  <c r="X65" i="95"/>
  <c r="M131" i="103"/>
  <c r="AM131" i="103"/>
  <c r="G66" i="95"/>
  <c r="I66" i="95"/>
  <c r="N66" i="95"/>
  <c r="C132" i="103"/>
  <c r="AC132" i="103"/>
  <c r="O66" i="95"/>
  <c r="D132" i="103"/>
  <c r="AD132" i="103"/>
  <c r="P66" i="95"/>
  <c r="E132" i="103"/>
  <c r="AE132" i="103"/>
  <c r="Q66" i="95"/>
  <c r="F132" i="103"/>
  <c r="AF132" i="103"/>
  <c r="R66" i="95"/>
  <c r="G132" i="103"/>
  <c r="AG132" i="103"/>
  <c r="S66" i="95"/>
  <c r="H132" i="103"/>
  <c r="AH132" i="103"/>
  <c r="T66" i="95"/>
  <c r="I132" i="103"/>
  <c r="AI132" i="103"/>
  <c r="U66" i="95"/>
  <c r="J132" i="103"/>
  <c r="AJ132" i="103"/>
  <c r="V66" i="95"/>
  <c r="K132" i="103"/>
  <c r="AK132" i="103"/>
  <c r="W66" i="95"/>
  <c r="L132" i="103"/>
  <c r="AL132" i="103"/>
  <c r="X66" i="95"/>
  <c r="M132" i="103"/>
  <c r="AM132" i="103"/>
  <c r="E113" i="103"/>
  <c r="Q15" i="99"/>
  <c r="N77" i="95"/>
  <c r="C145" i="103"/>
  <c r="AC145" i="103"/>
  <c r="O76" i="95"/>
  <c r="O77" i="95"/>
  <c r="D145" i="103"/>
  <c r="AD145" i="103"/>
  <c r="P76" i="95"/>
  <c r="P77" i="95"/>
  <c r="E145" i="103"/>
  <c r="AE145" i="103"/>
  <c r="Q76" i="95"/>
  <c r="Q77" i="95"/>
  <c r="F145" i="103"/>
  <c r="AF145" i="103"/>
  <c r="R76" i="95"/>
  <c r="R77" i="95"/>
  <c r="G145" i="103"/>
  <c r="AG145" i="103"/>
  <c r="S76" i="95"/>
  <c r="S77" i="95"/>
  <c r="H145" i="103"/>
  <c r="AH145" i="103"/>
  <c r="T76" i="95"/>
  <c r="T77" i="95"/>
  <c r="I145" i="103"/>
  <c r="AI145" i="103"/>
  <c r="U76" i="95"/>
  <c r="U77" i="95"/>
  <c r="J145" i="103"/>
  <c r="AJ145" i="103"/>
  <c r="V76" i="95"/>
  <c r="V77" i="95"/>
  <c r="K145" i="103"/>
  <c r="AK145" i="103"/>
  <c r="W76" i="95"/>
  <c r="W77" i="95"/>
  <c r="L145" i="103"/>
  <c r="AL145" i="103"/>
  <c r="X76" i="95"/>
  <c r="X77" i="95"/>
  <c r="M145" i="103"/>
  <c r="AM145" i="103"/>
  <c r="N78" i="95"/>
  <c r="C146" i="103"/>
  <c r="AC146" i="103"/>
  <c r="O78" i="95"/>
  <c r="D146" i="103"/>
  <c r="AD146" i="103"/>
  <c r="P78" i="95"/>
  <c r="E146" i="103"/>
  <c r="AE146" i="103"/>
  <c r="Q78" i="95"/>
  <c r="F146" i="103"/>
  <c r="AF146" i="103"/>
  <c r="R78" i="95"/>
  <c r="G146" i="103"/>
  <c r="AG146" i="103"/>
  <c r="S78" i="95"/>
  <c r="H146" i="103"/>
  <c r="AH146" i="103"/>
  <c r="T78" i="95"/>
  <c r="I146" i="103"/>
  <c r="AI146" i="103"/>
  <c r="U78" i="95"/>
  <c r="J146" i="103"/>
  <c r="AJ146" i="103"/>
  <c r="V78" i="95"/>
  <c r="K146" i="103"/>
  <c r="AK146" i="103"/>
  <c r="W78" i="95"/>
  <c r="L146" i="103"/>
  <c r="AL146" i="103"/>
  <c r="X78" i="95"/>
  <c r="M146" i="103"/>
  <c r="AM146" i="103"/>
  <c r="N79" i="95"/>
  <c r="C147" i="103"/>
  <c r="AC147" i="103"/>
  <c r="O79" i="95"/>
  <c r="D147" i="103"/>
  <c r="AD147" i="103"/>
  <c r="P79" i="95"/>
  <c r="E147" i="103"/>
  <c r="AE147" i="103"/>
  <c r="Q79" i="95"/>
  <c r="F147" i="103"/>
  <c r="AF147" i="103"/>
  <c r="R79" i="95"/>
  <c r="G147" i="103"/>
  <c r="AG147" i="103"/>
  <c r="S79" i="95"/>
  <c r="H147" i="103"/>
  <c r="AH147" i="103"/>
  <c r="T79" i="95"/>
  <c r="I147" i="103"/>
  <c r="AI147" i="103"/>
  <c r="U79" i="95"/>
  <c r="J147" i="103"/>
  <c r="AJ147" i="103"/>
  <c r="V79" i="95"/>
  <c r="K147" i="103"/>
  <c r="AK147" i="103"/>
  <c r="W79" i="95"/>
  <c r="L147" i="103"/>
  <c r="AL147" i="103"/>
  <c r="X79" i="95"/>
  <c r="M147" i="103"/>
  <c r="AM147" i="103"/>
  <c r="N80" i="95"/>
  <c r="C148" i="103"/>
  <c r="AC148" i="103"/>
  <c r="O80" i="95"/>
  <c r="D148" i="103"/>
  <c r="AD148" i="103"/>
  <c r="P80" i="95"/>
  <c r="E148" i="103"/>
  <c r="AE148" i="103"/>
  <c r="Q80" i="95"/>
  <c r="F148" i="103"/>
  <c r="AF148" i="103"/>
  <c r="R80" i="95"/>
  <c r="G148" i="103"/>
  <c r="AG148" i="103"/>
  <c r="S80" i="95"/>
  <c r="H148" i="103"/>
  <c r="AH148" i="103"/>
  <c r="T80" i="95"/>
  <c r="I148" i="103"/>
  <c r="AI148" i="103"/>
  <c r="U80" i="95"/>
  <c r="J148" i="103"/>
  <c r="AJ148" i="103"/>
  <c r="V80" i="95"/>
  <c r="K148" i="103"/>
  <c r="AK148" i="103"/>
  <c r="W80" i="95"/>
  <c r="L148" i="103"/>
  <c r="AL148" i="103"/>
  <c r="X80" i="95"/>
  <c r="M148" i="103"/>
  <c r="AM148" i="103"/>
  <c r="N81" i="95"/>
  <c r="C149" i="103"/>
  <c r="AC149" i="103"/>
  <c r="O81" i="95"/>
  <c r="D149" i="103"/>
  <c r="AD149" i="103"/>
  <c r="P81" i="95"/>
  <c r="E149" i="103"/>
  <c r="AE149" i="103"/>
  <c r="Q81" i="95"/>
  <c r="F149" i="103"/>
  <c r="AF149" i="103"/>
  <c r="R81" i="95"/>
  <c r="G149" i="103"/>
  <c r="AG149" i="103"/>
  <c r="S81" i="95"/>
  <c r="H149" i="103"/>
  <c r="AH149" i="103"/>
  <c r="T81" i="95"/>
  <c r="I149" i="103"/>
  <c r="AI149" i="103"/>
  <c r="U81" i="95"/>
  <c r="J149" i="103"/>
  <c r="AJ149" i="103"/>
  <c r="V81" i="95"/>
  <c r="K149" i="103"/>
  <c r="AK149" i="103"/>
  <c r="W81" i="95"/>
  <c r="L149" i="103"/>
  <c r="AL149" i="103"/>
  <c r="X81" i="95"/>
  <c r="M149" i="103"/>
  <c r="AM149" i="103"/>
  <c r="N82" i="95"/>
  <c r="C150" i="103"/>
  <c r="AC150" i="103"/>
  <c r="O82" i="95"/>
  <c r="D150" i="103"/>
  <c r="AD150" i="103"/>
  <c r="P82" i="95"/>
  <c r="E150" i="103"/>
  <c r="AE150" i="103"/>
  <c r="Q82" i="95"/>
  <c r="F150" i="103"/>
  <c r="AF150" i="103"/>
  <c r="R82" i="95"/>
  <c r="G150" i="103"/>
  <c r="AG150" i="103"/>
  <c r="S82" i="95"/>
  <c r="H150" i="103"/>
  <c r="AH150" i="103"/>
  <c r="T82" i="95"/>
  <c r="I150" i="103"/>
  <c r="AI150" i="103"/>
  <c r="U82" i="95"/>
  <c r="J150" i="103"/>
  <c r="AJ150" i="103"/>
  <c r="V82" i="95"/>
  <c r="K150" i="103"/>
  <c r="AK150" i="103"/>
  <c r="W82" i="95"/>
  <c r="L150" i="103"/>
  <c r="AL150" i="103"/>
  <c r="X82" i="95"/>
  <c r="M150" i="103"/>
  <c r="AM150" i="103"/>
  <c r="N83" i="95"/>
  <c r="C151" i="103"/>
  <c r="AC151" i="103"/>
  <c r="O83" i="95"/>
  <c r="D151" i="103"/>
  <c r="AD151" i="103"/>
  <c r="P83" i="95"/>
  <c r="E151" i="103"/>
  <c r="AE151" i="103"/>
  <c r="Q83" i="95"/>
  <c r="F151" i="103"/>
  <c r="AF151" i="103"/>
  <c r="R83" i="95"/>
  <c r="G151" i="103"/>
  <c r="AG151" i="103"/>
  <c r="S83" i="95"/>
  <c r="H151" i="103"/>
  <c r="AH151" i="103"/>
  <c r="T83" i="95"/>
  <c r="I151" i="103"/>
  <c r="AI151" i="103"/>
  <c r="U83" i="95"/>
  <c r="J151" i="103"/>
  <c r="AJ151" i="103"/>
  <c r="V83" i="95"/>
  <c r="K151" i="103"/>
  <c r="AK151" i="103"/>
  <c r="W83" i="95"/>
  <c r="L151" i="103"/>
  <c r="AL151" i="103"/>
  <c r="X83" i="95"/>
  <c r="M151" i="103"/>
  <c r="AM151" i="103"/>
  <c r="N84" i="95"/>
  <c r="C152" i="103"/>
  <c r="AC152" i="103"/>
  <c r="O84" i="95"/>
  <c r="D152" i="103"/>
  <c r="AD152" i="103"/>
  <c r="P84" i="95"/>
  <c r="E152" i="103"/>
  <c r="AE152" i="103"/>
  <c r="Q84" i="95"/>
  <c r="F152" i="103"/>
  <c r="AF152" i="103"/>
  <c r="R84" i="95"/>
  <c r="G152" i="103"/>
  <c r="AG152" i="103"/>
  <c r="S84" i="95"/>
  <c r="H152" i="103"/>
  <c r="AH152" i="103"/>
  <c r="T84" i="95"/>
  <c r="I152" i="103"/>
  <c r="AI152" i="103"/>
  <c r="U84" i="95"/>
  <c r="J152" i="103"/>
  <c r="AJ152" i="103"/>
  <c r="V84" i="95"/>
  <c r="K152" i="103"/>
  <c r="AK152" i="103"/>
  <c r="W84" i="95"/>
  <c r="L152" i="103"/>
  <c r="AL152" i="103"/>
  <c r="X84" i="95"/>
  <c r="M152" i="103"/>
  <c r="AM152" i="103"/>
  <c r="N85" i="95"/>
  <c r="C153" i="103"/>
  <c r="AC153" i="103"/>
  <c r="O85" i="95"/>
  <c r="D153" i="103"/>
  <c r="AD153" i="103"/>
  <c r="P85" i="95"/>
  <c r="E153" i="103"/>
  <c r="AE153" i="103"/>
  <c r="Q85" i="95"/>
  <c r="F153" i="103"/>
  <c r="AF153" i="103"/>
  <c r="R85" i="95"/>
  <c r="G153" i="103"/>
  <c r="AG153" i="103"/>
  <c r="S85" i="95"/>
  <c r="H153" i="103"/>
  <c r="AH153" i="103"/>
  <c r="T85" i="95"/>
  <c r="I153" i="103"/>
  <c r="AI153" i="103"/>
  <c r="U85" i="95"/>
  <c r="J153" i="103"/>
  <c r="AJ153" i="103"/>
  <c r="V85" i="95"/>
  <c r="K153" i="103"/>
  <c r="AK153" i="103"/>
  <c r="W85" i="95"/>
  <c r="L153" i="103"/>
  <c r="AL153" i="103"/>
  <c r="X85" i="95"/>
  <c r="M153" i="103"/>
  <c r="AM153" i="103"/>
  <c r="N86" i="95"/>
  <c r="C154" i="103"/>
  <c r="AC154" i="103"/>
  <c r="O86" i="95"/>
  <c r="D154" i="103"/>
  <c r="AD154" i="103"/>
  <c r="P86" i="95"/>
  <c r="E154" i="103"/>
  <c r="AE154" i="103"/>
  <c r="Q86" i="95"/>
  <c r="F154" i="103"/>
  <c r="AF154" i="103"/>
  <c r="R86" i="95"/>
  <c r="G154" i="103"/>
  <c r="AG154" i="103"/>
  <c r="S86" i="95"/>
  <c r="H154" i="103"/>
  <c r="AH154" i="103"/>
  <c r="T86" i="95"/>
  <c r="I154" i="103"/>
  <c r="AI154" i="103"/>
  <c r="U86" i="95"/>
  <c r="J154" i="103"/>
  <c r="AJ154" i="103"/>
  <c r="V86" i="95"/>
  <c r="K154" i="103"/>
  <c r="AK154" i="103"/>
  <c r="W86" i="95"/>
  <c r="L154" i="103"/>
  <c r="AL154" i="103"/>
  <c r="X86" i="95"/>
  <c r="M154" i="103"/>
  <c r="AM154" i="103"/>
  <c r="N87" i="95"/>
  <c r="C155" i="103"/>
  <c r="AC155" i="103"/>
  <c r="O87" i="95"/>
  <c r="D155" i="103"/>
  <c r="AD155" i="103"/>
  <c r="P87" i="95"/>
  <c r="E155" i="103"/>
  <c r="AE155" i="103"/>
  <c r="Q87" i="95"/>
  <c r="F155" i="103"/>
  <c r="AF155" i="103"/>
  <c r="R87" i="95"/>
  <c r="G155" i="103"/>
  <c r="AG155" i="103"/>
  <c r="S87" i="95"/>
  <c r="H155" i="103"/>
  <c r="AH155" i="103"/>
  <c r="T87" i="95"/>
  <c r="I155" i="103"/>
  <c r="AI155" i="103"/>
  <c r="U87" i="95"/>
  <c r="J155" i="103"/>
  <c r="AJ155" i="103"/>
  <c r="V87" i="95"/>
  <c r="K155" i="103"/>
  <c r="AK155" i="103"/>
  <c r="W87" i="95"/>
  <c r="L155" i="103"/>
  <c r="AL155" i="103"/>
  <c r="X87" i="95"/>
  <c r="M155" i="103"/>
  <c r="AM155" i="103"/>
  <c r="N88" i="95"/>
  <c r="C156" i="103"/>
  <c r="AC156" i="103"/>
  <c r="O88" i="95"/>
  <c r="D156" i="103"/>
  <c r="AD156" i="103"/>
  <c r="P88" i="95"/>
  <c r="E156" i="103"/>
  <c r="AE156" i="103"/>
  <c r="Q88" i="95"/>
  <c r="F156" i="103"/>
  <c r="AF156" i="103"/>
  <c r="R88" i="95"/>
  <c r="G156" i="103"/>
  <c r="AG156" i="103"/>
  <c r="S88" i="95"/>
  <c r="H156" i="103"/>
  <c r="AH156" i="103"/>
  <c r="T88" i="95"/>
  <c r="I156" i="103"/>
  <c r="AI156" i="103"/>
  <c r="U88" i="95"/>
  <c r="J156" i="103"/>
  <c r="AJ156" i="103"/>
  <c r="V88" i="95"/>
  <c r="K156" i="103"/>
  <c r="AK156" i="103"/>
  <c r="W88" i="95"/>
  <c r="L156" i="103"/>
  <c r="AL156" i="103"/>
  <c r="X88" i="95"/>
  <c r="M156" i="103"/>
  <c r="AM156" i="103"/>
  <c r="N89" i="95"/>
  <c r="C157" i="103"/>
  <c r="AC157" i="103"/>
  <c r="O89" i="95"/>
  <c r="D157" i="103"/>
  <c r="AD157" i="103"/>
  <c r="P89" i="95"/>
  <c r="E157" i="103"/>
  <c r="AE157" i="103"/>
  <c r="Q89" i="95"/>
  <c r="F157" i="103"/>
  <c r="AF157" i="103"/>
  <c r="R89" i="95"/>
  <c r="G157" i="103"/>
  <c r="AG157" i="103"/>
  <c r="S89" i="95"/>
  <c r="H157" i="103"/>
  <c r="AH157" i="103"/>
  <c r="T89" i="95"/>
  <c r="I157" i="103"/>
  <c r="AI157" i="103"/>
  <c r="U89" i="95"/>
  <c r="J157" i="103"/>
  <c r="AJ157" i="103"/>
  <c r="V89" i="95"/>
  <c r="K157" i="103"/>
  <c r="AK157" i="103"/>
  <c r="W89" i="95"/>
  <c r="L157" i="103"/>
  <c r="AL157" i="103"/>
  <c r="X89" i="95"/>
  <c r="M157" i="103"/>
  <c r="AM157" i="103"/>
  <c r="N90" i="95"/>
  <c r="C158" i="103"/>
  <c r="AC158" i="103"/>
  <c r="O90" i="95"/>
  <c r="D158" i="103"/>
  <c r="AD158" i="103"/>
  <c r="P90" i="95"/>
  <c r="E158" i="103"/>
  <c r="AE158" i="103"/>
  <c r="Q90" i="95"/>
  <c r="F158" i="103"/>
  <c r="AF158" i="103"/>
  <c r="R90" i="95"/>
  <c r="G158" i="103"/>
  <c r="AG158" i="103"/>
  <c r="S90" i="95"/>
  <c r="H158" i="103"/>
  <c r="AH158" i="103"/>
  <c r="T90" i="95"/>
  <c r="I158" i="103"/>
  <c r="AI158" i="103"/>
  <c r="U90" i="95"/>
  <c r="J158" i="103"/>
  <c r="AJ158" i="103"/>
  <c r="V90" i="95"/>
  <c r="K158" i="103"/>
  <c r="AK158" i="103"/>
  <c r="W90" i="95"/>
  <c r="L158" i="103"/>
  <c r="AL158" i="103"/>
  <c r="X90" i="95"/>
  <c r="M158" i="103"/>
  <c r="AM158" i="103"/>
  <c r="N91" i="95"/>
  <c r="C159" i="103"/>
  <c r="AC159" i="103"/>
  <c r="O91" i="95"/>
  <c r="D159" i="103"/>
  <c r="AD159" i="103"/>
  <c r="P91" i="95"/>
  <c r="E159" i="103"/>
  <c r="AE159" i="103"/>
  <c r="Q91" i="95"/>
  <c r="F159" i="103"/>
  <c r="AF159" i="103"/>
  <c r="R91" i="95"/>
  <c r="G159" i="103"/>
  <c r="AG159" i="103"/>
  <c r="S91" i="95"/>
  <c r="H159" i="103"/>
  <c r="AH159" i="103"/>
  <c r="T91" i="95"/>
  <c r="I159" i="103"/>
  <c r="AI159" i="103"/>
  <c r="U91" i="95"/>
  <c r="J159" i="103"/>
  <c r="AJ159" i="103"/>
  <c r="V91" i="95"/>
  <c r="K159" i="103"/>
  <c r="AK159" i="103"/>
  <c r="W91" i="95"/>
  <c r="L159" i="103"/>
  <c r="AL159" i="103"/>
  <c r="X91" i="95"/>
  <c r="M159" i="103"/>
  <c r="AM159" i="103"/>
  <c r="E140" i="103"/>
  <c r="Q16" i="99"/>
  <c r="AA52" i="95"/>
  <c r="AC52" i="95"/>
  <c r="AH52" i="95"/>
  <c r="C172" i="103"/>
  <c r="AC172" i="103"/>
  <c r="AI51" i="95"/>
  <c r="AI52" i="95"/>
  <c r="D172" i="103"/>
  <c r="AD172" i="103"/>
  <c r="AJ51" i="95"/>
  <c r="AJ52" i="95"/>
  <c r="E172" i="103"/>
  <c r="AE172" i="103"/>
  <c r="AK51" i="95"/>
  <c r="AK52" i="95"/>
  <c r="F172" i="103"/>
  <c r="AF172" i="103"/>
  <c r="AL51" i="95"/>
  <c r="AL52" i="95"/>
  <c r="G172" i="103"/>
  <c r="AG172" i="103"/>
  <c r="AM51" i="95"/>
  <c r="AM52" i="95"/>
  <c r="H172" i="103"/>
  <c r="AH172" i="103"/>
  <c r="AN51" i="95"/>
  <c r="AN52" i="95"/>
  <c r="I172" i="103"/>
  <c r="AI172" i="103"/>
  <c r="AO51" i="95"/>
  <c r="AO52" i="95"/>
  <c r="J172" i="103"/>
  <c r="AJ172" i="103"/>
  <c r="AP51" i="95"/>
  <c r="AP52" i="95"/>
  <c r="K172" i="103"/>
  <c r="AK172" i="103"/>
  <c r="AQ51" i="95"/>
  <c r="AQ52" i="95"/>
  <c r="L172" i="103"/>
  <c r="AL172" i="103"/>
  <c r="AR51" i="95"/>
  <c r="AR52" i="95"/>
  <c r="M172" i="103"/>
  <c r="AM172" i="103"/>
  <c r="AA53" i="95"/>
  <c r="AC53" i="95"/>
  <c r="AH53" i="95"/>
  <c r="C173" i="103"/>
  <c r="AC173" i="103"/>
  <c r="AI53" i="95"/>
  <c r="D173" i="103"/>
  <c r="AD173" i="103"/>
  <c r="AJ53" i="95"/>
  <c r="E173" i="103"/>
  <c r="AE173" i="103"/>
  <c r="AK53" i="95"/>
  <c r="F173" i="103"/>
  <c r="AF173" i="103"/>
  <c r="AL53" i="95"/>
  <c r="G173" i="103"/>
  <c r="AG173" i="103"/>
  <c r="AM53" i="95"/>
  <c r="H173" i="103"/>
  <c r="AH173" i="103"/>
  <c r="AN53" i="95"/>
  <c r="I173" i="103"/>
  <c r="AI173" i="103"/>
  <c r="AO53" i="95"/>
  <c r="J173" i="103"/>
  <c r="AJ173" i="103"/>
  <c r="AP53" i="95"/>
  <c r="K173" i="103"/>
  <c r="AK173" i="103"/>
  <c r="AQ53" i="95"/>
  <c r="L173" i="103"/>
  <c r="AL173" i="103"/>
  <c r="AR53" i="95"/>
  <c r="M173" i="103"/>
  <c r="AM173" i="103"/>
  <c r="AA54" i="95"/>
  <c r="AC54" i="95"/>
  <c r="AH54" i="95"/>
  <c r="C174" i="103"/>
  <c r="AC174" i="103"/>
  <c r="AI54" i="95"/>
  <c r="D174" i="103"/>
  <c r="AD174" i="103"/>
  <c r="AJ54" i="95"/>
  <c r="E174" i="103"/>
  <c r="AE174" i="103"/>
  <c r="AK54" i="95"/>
  <c r="F174" i="103"/>
  <c r="AF174" i="103"/>
  <c r="AL54" i="95"/>
  <c r="G174" i="103"/>
  <c r="AG174" i="103"/>
  <c r="AM54" i="95"/>
  <c r="H174" i="103"/>
  <c r="AH174" i="103"/>
  <c r="AN54" i="95"/>
  <c r="I174" i="103"/>
  <c r="AI174" i="103"/>
  <c r="AO54" i="95"/>
  <c r="J174" i="103"/>
  <c r="AJ174" i="103"/>
  <c r="AP54" i="95"/>
  <c r="K174" i="103"/>
  <c r="AK174" i="103"/>
  <c r="AQ54" i="95"/>
  <c r="L174" i="103"/>
  <c r="AL174" i="103"/>
  <c r="AR54" i="95"/>
  <c r="M174" i="103"/>
  <c r="AM174" i="103"/>
  <c r="AA55" i="95"/>
  <c r="AC55" i="95"/>
  <c r="AH55" i="95"/>
  <c r="C175" i="103"/>
  <c r="AC175" i="103"/>
  <c r="AI55" i="95"/>
  <c r="D175" i="103"/>
  <c r="AD175" i="103"/>
  <c r="AJ55" i="95"/>
  <c r="E175" i="103"/>
  <c r="AE175" i="103"/>
  <c r="AK55" i="95"/>
  <c r="F175" i="103"/>
  <c r="AF175" i="103"/>
  <c r="AL55" i="95"/>
  <c r="G175" i="103"/>
  <c r="AG175" i="103"/>
  <c r="AM55" i="95"/>
  <c r="H175" i="103"/>
  <c r="AH175" i="103"/>
  <c r="AN55" i="95"/>
  <c r="I175" i="103"/>
  <c r="AI175" i="103"/>
  <c r="AO55" i="95"/>
  <c r="J175" i="103"/>
  <c r="AJ175" i="103"/>
  <c r="AP55" i="95"/>
  <c r="K175" i="103"/>
  <c r="AK175" i="103"/>
  <c r="AQ55" i="95"/>
  <c r="L175" i="103"/>
  <c r="AL175" i="103"/>
  <c r="AR55" i="95"/>
  <c r="M175" i="103"/>
  <c r="AM175" i="103"/>
  <c r="AA56" i="95"/>
  <c r="AC56" i="95"/>
  <c r="AH56" i="95"/>
  <c r="C176" i="103"/>
  <c r="AC176" i="103"/>
  <c r="AI56" i="95"/>
  <c r="D176" i="103"/>
  <c r="AD176" i="103"/>
  <c r="AJ56" i="95"/>
  <c r="E176" i="103"/>
  <c r="AE176" i="103"/>
  <c r="AK56" i="95"/>
  <c r="F176" i="103"/>
  <c r="AF176" i="103"/>
  <c r="AL56" i="95"/>
  <c r="G176" i="103"/>
  <c r="AG176" i="103"/>
  <c r="AM56" i="95"/>
  <c r="H176" i="103"/>
  <c r="AH176" i="103"/>
  <c r="AN56" i="95"/>
  <c r="I176" i="103"/>
  <c r="AI176" i="103"/>
  <c r="AO56" i="95"/>
  <c r="J176" i="103"/>
  <c r="AJ176" i="103"/>
  <c r="AP56" i="95"/>
  <c r="K176" i="103"/>
  <c r="AK176" i="103"/>
  <c r="AQ56" i="95"/>
  <c r="L176" i="103"/>
  <c r="AL176" i="103"/>
  <c r="AR56" i="95"/>
  <c r="M176" i="103"/>
  <c r="AM176" i="103"/>
  <c r="AA57" i="95"/>
  <c r="AC57" i="95"/>
  <c r="AH57" i="95"/>
  <c r="C177" i="103"/>
  <c r="AC177" i="103"/>
  <c r="AI57" i="95"/>
  <c r="D177" i="103"/>
  <c r="AD177" i="103"/>
  <c r="AJ57" i="95"/>
  <c r="E177" i="103"/>
  <c r="AE177" i="103"/>
  <c r="AK57" i="95"/>
  <c r="F177" i="103"/>
  <c r="AF177" i="103"/>
  <c r="AL57" i="95"/>
  <c r="G177" i="103"/>
  <c r="AG177" i="103"/>
  <c r="AM57" i="95"/>
  <c r="H177" i="103"/>
  <c r="AH177" i="103"/>
  <c r="AN57" i="95"/>
  <c r="I177" i="103"/>
  <c r="AI177" i="103"/>
  <c r="AO57" i="95"/>
  <c r="J177" i="103"/>
  <c r="AJ177" i="103"/>
  <c r="AP57" i="95"/>
  <c r="K177" i="103"/>
  <c r="AK177" i="103"/>
  <c r="AQ57" i="95"/>
  <c r="L177" i="103"/>
  <c r="AL177" i="103"/>
  <c r="AR57" i="95"/>
  <c r="M177" i="103"/>
  <c r="AM177" i="103"/>
  <c r="AA58" i="95"/>
  <c r="AC58" i="95"/>
  <c r="AH58" i="95"/>
  <c r="C178" i="103"/>
  <c r="AC178" i="103"/>
  <c r="AI58" i="95"/>
  <c r="D178" i="103"/>
  <c r="AD178" i="103"/>
  <c r="AJ58" i="95"/>
  <c r="E178" i="103"/>
  <c r="AE178" i="103"/>
  <c r="AK58" i="95"/>
  <c r="F178" i="103"/>
  <c r="AF178" i="103"/>
  <c r="AL58" i="95"/>
  <c r="G178" i="103"/>
  <c r="AG178" i="103"/>
  <c r="AM58" i="95"/>
  <c r="H178" i="103"/>
  <c r="AH178" i="103"/>
  <c r="AN58" i="95"/>
  <c r="I178" i="103"/>
  <c r="AI178" i="103"/>
  <c r="AO58" i="95"/>
  <c r="J178" i="103"/>
  <c r="AJ178" i="103"/>
  <c r="AP58" i="95"/>
  <c r="K178" i="103"/>
  <c r="AK178" i="103"/>
  <c r="AQ58" i="95"/>
  <c r="L178" i="103"/>
  <c r="AL178" i="103"/>
  <c r="AR58" i="95"/>
  <c r="M178" i="103"/>
  <c r="AM178" i="103"/>
  <c r="AA59" i="95"/>
  <c r="AC59" i="95"/>
  <c r="AH59" i="95"/>
  <c r="C179" i="103"/>
  <c r="AC179" i="103"/>
  <c r="AI59" i="95"/>
  <c r="D179" i="103"/>
  <c r="AD179" i="103"/>
  <c r="AJ59" i="95"/>
  <c r="E179" i="103"/>
  <c r="AE179" i="103"/>
  <c r="AK59" i="95"/>
  <c r="F179" i="103"/>
  <c r="AF179" i="103"/>
  <c r="AL59" i="95"/>
  <c r="G179" i="103"/>
  <c r="AG179" i="103"/>
  <c r="AM59" i="95"/>
  <c r="H179" i="103"/>
  <c r="AH179" i="103"/>
  <c r="AN59" i="95"/>
  <c r="I179" i="103"/>
  <c r="AI179" i="103"/>
  <c r="AO59" i="95"/>
  <c r="J179" i="103"/>
  <c r="AJ179" i="103"/>
  <c r="AP59" i="95"/>
  <c r="K179" i="103"/>
  <c r="AK179" i="103"/>
  <c r="AQ59" i="95"/>
  <c r="L179" i="103"/>
  <c r="AL179" i="103"/>
  <c r="AR59" i="95"/>
  <c r="M179" i="103"/>
  <c r="AM179" i="103"/>
  <c r="AA60" i="95"/>
  <c r="AC60" i="95"/>
  <c r="AH60" i="95"/>
  <c r="C180" i="103"/>
  <c r="AC180" i="103"/>
  <c r="AI60" i="95"/>
  <c r="D180" i="103"/>
  <c r="AD180" i="103"/>
  <c r="AJ60" i="95"/>
  <c r="E180" i="103"/>
  <c r="AE180" i="103"/>
  <c r="AK60" i="95"/>
  <c r="F180" i="103"/>
  <c r="AF180" i="103"/>
  <c r="AL60" i="95"/>
  <c r="G180" i="103"/>
  <c r="AG180" i="103"/>
  <c r="AM60" i="95"/>
  <c r="H180" i="103"/>
  <c r="AH180" i="103"/>
  <c r="AN60" i="95"/>
  <c r="I180" i="103"/>
  <c r="AI180" i="103"/>
  <c r="AO60" i="95"/>
  <c r="J180" i="103"/>
  <c r="AJ180" i="103"/>
  <c r="AP60" i="95"/>
  <c r="K180" i="103"/>
  <c r="AK180" i="103"/>
  <c r="AQ60" i="95"/>
  <c r="L180" i="103"/>
  <c r="AL180" i="103"/>
  <c r="AR60" i="95"/>
  <c r="M180" i="103"/>
  <c r="AM180" i="103"/>
  <c r="AA61" i="95"/>
  <c r="AC61" i="95"/>
  <c r="AH61" i="95"/>
  <c r="C181" i="103"/>
  <c r="AC181" i="103"/>
  <c r="AI61" i="95"/>
  <c r="D181" i="103"/>
  <c r="AD181" i="103"/>
  <c r="AJ61" i="95"/>
  <c r="E181" i="103"/>
  <c r="AE181" i="103"/>
  <c r="AK61" i="95"/>
  <c r="F181" i="103"/>
  <c r="AF181" i="103"/>
  <c r="AL61" i="95"/>
  <c r="G181" i="103"/>
  <c r="AG181" i="103"/>
  <c r="AM61" i="95"/>
  <c r="H181" i="103"/>
  <c r="AH181" i="103"/>
  <c r="AN61" i="95"/>
  <c r="I181" i="103"/>
  <c r="AI181" i="103"/>
  <c r="AO61" i="95"/>
  <c r="J181" i="103"/>
  <c r="AJ181" i="103"/>
  <c r="AP61" i="95"/>
  <c r="K181" i="103"/>
  <c r="AK181" i="103"/>
  <c r="AQ61" i="95"/>
  <c r="L181" i="103"/>
  <c r="AL181" i="103"/>
  <c r="AR61" i="95"/>
  <c r="M181" i="103"/>
  <c r="AM181" i="103"/>
  <c r="AA62" i="95"/>
  <c r="AC62" i="95"/>
  <c r="AH62" i="95"/>
  <c r="C182" i="103"/>
  <c r="AC182" i="103"/>
  <c r="AI62" i="95"/>
  <c r="D182" i="103"/>
  <c r="AD182" i="103"/>
  <c r="AJ62" i="95"/>
  <c r="E182" i="103"/>
  <c r="AE182" i="103"/>
  <c r="AK62" i="95"/>
  <c r="F182" i="103"/>
  <c r="AF182" i="103"/>
  <c r="AL62" i="95"/>
  <c r="G182" i="103"/>
  <c r="AG182" i="103"/>
  <c r="AM62" i="95"/>
  <c r="H182" i="103"/>
  <c r="AH182" i="103"/>
  <c r="AN62" i="95"/>
  <c r="I182" i="103"/>
  <c r="AI182" i="103"/>
  <c r="AO62" i="95"/>
  <c r="J182" i="103"/>
  <c r="AJ182" i="103"/>
  <c r="AP62" i="95"/>
  <c r="K182" i="103"/>
  <c r="AK182" i="103"/>
  <c r="AQ62" i="95"/>
  <c r="L182" i="103"/>
  <c r="AL182" i="103"/>
  <c r="AR62" i="95"/>
  <c r="M182" i="103"/>
  <c r="AM182" i="103"/>
  <c r="AA63" i="95"/>
  <c r="AC63" i="95"/>
  <c r="AH63" i="95"/>
  <c r="C183" i="103"/>
  <c r="AC183" i="103"/>
  <c r="AI63" i="95"/>
  <c r="D183" i="103"/>
  <c r="AD183" i="103"/>
  <c r="AJ63" i="95"/>
  <c r="E183" i="103"/>
  <c r="AE183" i="103"/>
  <c r="AK63" i="95"/>
  <c r="F183" i="103"/>
  <c r="AF183" i="103"/>
  <c r="AL63" i="95"/>
  <c r="G183" i="103"/>
  <c r="AG183" i="103"/>
  <c r="AM63" i="95"/>
  <c r="H183" i="103"/>
  <c r="AH183" i="103"/>
  <c r="AN63" i="95"/>
  <c r="I183" i="103"/>
  <c r="AI183" i="103"/>
  <c r="AO63" i="95"/>
  <c r="J183" i="103"/>
  <c r="AJ183" i="103"/>
  <c r="AP63" i="95"/>
  <c r="K183" i="103"/>
  <c r="AK183" i="103"/>
  <c r="AQ63" i="95"/>
  <c r="L183" i="103"/>
  <c r="AL183" i="103"/>
  <c r="AR63" i="95"/>
  <c r="M183" i="103"/>
  <c r="AM183" i="103"/>
  <c r="AA64" i="95"/>
  <c r="AC64" i="95"/>
  <c r="AH64" i="95"/>
  <c r="C184" i="103"/>
  <c r="AC184" i="103"/>
  <c r="AI64" i="95"/>
  <c r="D184" i="103"/>
  <c r="AD184" i="103"/>
  <c r="AJ64" i="95"/>
  <c r="E184" i="103"/>
  <c r="AE184" i="103"/>
  <c r="AK64" i="95"/>
  <c r="F184" i="103"/>
  <c r="AF184" i="103"/>
  <c r="AL64" i="95"/>
  <c r="G184" i="103"/>
  <c r="AG184" i="103"/>
  <c r="AM64" i="95"/>
  <c r="H184" i="103"/>
  <c r="AH184" i="103"/>
  <c r="AN64" i="95"/>
  <c r="I184" i="103"/>
  <c r="AI184" i="103"/>
  <c r="AO64" i="95"/>
  <c r="J184" i="103"/>
  <c r="AJ184" i="103"/>
  <c r="AP64" i="95"/>
  <c r="K184" i="103"/>
  <c r="AK184" i="103"/>
  <c r="AQ64" i="95"/>
  <c r="L184" i="103"/>
  <c r="AL184" i="103"/>
  <c r="AR64" i="95"/>
  <c r="M184" i="103"/>
  <c r="AM184" i="103"/>
  <c r="AA65" i="95"/>
  <c r="AC65" i="95"/>
  <c r="AH65" i="95"/>
  <c r="C185" i="103"/>
  <c r="AC185" i="103"/>
  <c r="AI65" i="95"/>
  <c r="D185" i="103"/>
  <c r="AD185" i="103"/>
  <c r="AJ65" i="95"/>
  <c r="E185" i="103"/>
  <c r="AE185" i="103"/>
  <c r="AK65" i="95"/>
  <c r="F185" i="103"/>
  <c r="AF185" i="103"/>
  <c r="AL65" i="95"/>
  <c r="G185" i="103"/>
  <c r="AG185" i="103"/>
  <c r="AM65" i="95"/>
  <c r="H185" i="103"/>
  <c r="AH185" i="103"/>
  <c r="AN65" i="95"/>
  <c r="I185" i="103"/>
  <c r="AI185" i="103"/>
  <c r="AO65" i="95"/>
  <c r="J185" i="103"/>
  <c r="AJ185" i="103"/>
  <c r="AP65" i="95"/>
  <c r="K185" i="103"/>
  <c r="AK185" i="103"/>
  <c r="AQ65" i="95"/>
  <c r="L185" i="103"/>
  <c r="AL185" i="103"/>
  <c r="AR65" i="95"/>
  <c r="M185" i="103"/>
  <c r="AM185" i="103"/>
  <c r="AA66" i="95"/>
  <c r="AC66" i="95"/>
  <c r="AH66" i="95"/>
  <c r="C186" i="103"/>
  <c r="AC186" i="103"/>
  <c r="AI66" i="95"/>
  <c r="D186" i="103"/>
  <c r="AD186" i="103"/>
  <c r="AJ66" i="95"/>
  <c r="E186" i="103"/>
  <c r="AE186" i="103"/>
  <c r="AK66" i="95"/>
  <c r="F186" i="103"/>
  <c r="AF186" i="103"/>
  <c r="AL66" i="95"/>
  <c r="G186" i="103"/>
  <c r="AG186" i="103"/>
  <c r="AM66" i="95"/>
  <c r="H186" i="103"/>
  <c r="AH186" i="103"/>
  <c r="AN66" i="95"/>
  <c r="I186" i="103"/>
  <c r="AI186" i="103"/>
  <c r="AO66" i="95"/>
  <c r="J186" i="103"/>
  <c r="AJ186" i="103"/>
  <c r="AP66" i="95"/>
  <c r="K186" i="103"/>
  <c r="AK186" i="103"/>
  <c r="AQ66" i="95"/>
  <c r="L186" i="103"/>
  <c r="AL186" i="103"/>
  <c r="AR66" i="95"/>
  <c r="M186" i="103"/>
  <c r="AM186" i="103"/>
  <c r="E167" i="103"/>
  <c r="Q19" i="99"/>
  <c r="AH77" i="95"/>
  <c r="C199" i="103"/>
  <c r="AC199" i="103"/>
  <c r="AI76" i="95"/>
  <c r="AI77" i="95"/>
  <c r="D199" i="103"/>
  <c r="AD199" i="103"/>
  <c r="AJ76" i="95"/>
  <c r="AJ77" i="95"/>
  <c r="E199" i="103"/>
  <c r="AE199" i="103"/>
  <c r="AK76" i="95"/>
  <c r="AK77" i="95"/>
  <c r="F199" i="103"/>
  <c r="AF199" i="103"/>
  <c r="AL76" i="95"/>
  <c r="AL77" i="95"/>
  <c r="G199" i="103"/>
  <c r="AG199" i="103"/>
  <c r="AM76" i="95"/>
  <c r="AM77" i="95"/>
  <c r="H199" i="103"/>
  <c r="AH199" i="103"/>
  <c r="AN76" i="95"/>
  <c r="AN77" i="95"/>
  <c r="I199" i="103"/>
  <c r="AI199" i="103"/>
  <c r="AO76" i="95"/>
  <c r="AO77" i="95"/>
  <c r="J199" i="103"/>
  <c r="AJ199" i="103"/>
  <c r="AP76" i="95"/>
  <c r="AP77" i="95"/>
  <c r="K199" i="103"/>
  <c r="AK199" i="103"/>
  <c r="AQ76" i="95"/>
  <c r="AQ77" i="95"/>
  <c r="L199" i="103"/>
  <c r="AL199" i="103"/>
  <c r="AR76" i="95"/>
  <c r="AR77" i="95"/>
  <c r="M199" i="103"/>
  <c r="AM199" i="103"/>
  <c r="AH78" i="95"/>
  <c r="C200" i="103"/>
  <c r="AC200" i="103"/>
  <c r="AI78" i="95"/>
  <c r="D200" i="103"/>
  <c r="AD200" i="103"/>
  <c r="AJ78" i="95"/>
  <c r="E200" i="103"/>
  <c r="AE200" i="103"/>
  <c r="AK78" i="95"/>
  <c r="F200" i="103"/>
  <c r="AF200" i="103"/>
  <c r="AL78" i="95"/>
  <c r="G200" i="103"/>
  <c r="AG200" i="103"/>
  <c r="AM78" i="95"/>
  <c r="H200" i="103"/>
  <c r="AH200" i="103"/>
  <c r="AN78" i="95"/>
  <c r="I200" i="103"/>
  <c r="AI200" i="103"/>
  <c r="AO78" i="95"/>
  <c r="J200" i="103"/>
  <c r="AJ200" i="103"/>
  <c r="AP78" i="95"/>
  <c r="K200" i="103"/>
  <c r="AK200" i="103"/>
  <c r="AQ78" i="95"/>
  <c r="L200" i="103"/>
  <c r="AL200" i="103"/>
  <c r="AR78" i="95"/>
  <c r="M200" i="103"/>
  <c r="AM200" i="103"/>
  <c r="AH79" i="95"/>
  <c r="C201" i="103"/>
  <c r="AC201" i="103"/>
  <c r="AI79" i="95"/>
  <c r="D201" i="103"/>
  <c r="AD201" i="103"/>
  <c r="AJ79" i="95"/>
  <c r="E201" i="103"/>
  <c r="AE201" i="103"/>
  <c r="AK79" i="95"/>
  <c r="F201" i="103"/>
  <c r="AF201" i="103"/>
  <c r="AL79" i="95"/>
  <c r="G201" i="103"/>
  <c r="AG201" i="103"/>
  <c r="AM79" i="95"/>
  <c r="H201" i="103"/>
  <c r="AH201" i="103"/>
  <c r="AN79" i="95"/>
  <c r="I201" i="103"/>
  <c r="AI201" i="103"/>
  <c r="AO79" i="95"/>
  <c r="J201" i="103"/>
  <c r="AJ201" i="103"/>
  <c r="AP79" i="95"/>
  <c r="K201" i="103"/>
  <c r="AK201" i="103"/>
  <c r="AQ79" i="95"/>
  <c r="L201" i="103"/>
  <c r="AL201" i="103"/>
  <c r="AR79" i="95"/>
  <c r="M201" i="103"/>
  <c r="AM201" i="103"/>
  <c r="AH80" i="95"/>
  <c r="C202" i="103"/>
  <c r="AC202" i="103"/>
  <c r="AI80" i="95"/>
  <c r="D202" i="103"/>
  <c r="AD202" i="103"/>
  <c r="AJ80" i="95"/>
  <c r="E202" i="103"/>
  <c r="AE202" i="103"/>
  <c r="AK80" i="95"/>
  <c r="F202" i="103"/>
  <c r="AF202" i="103"/>
  <c r="AL80" i="95"/>
  <c r="G202" i="103"/>
  <c r="AG202" i="103"/>
  <c r="AM80" i="95"/>
  <c r="H202" i="103"/>
  <c r="AH202" i="103"/>
  <c r="AN80" i="95"/>
  <c r="I202" i="103"/>
  <c r="AI202" i="103"/>
  <c r="AO80" i="95"/>
  <c r="J202" i="103"/>
  <c r="AJ202" i="103"/>
  <c r="AP80" i="95"/>
  <c r="K202" i="103"/>
  <c r="AK202" i="103"/>
  <c r="AQ80" i="95"/>
  <c r="L202" i="103"/>
  <c r="AL202" i="103"/>
  <c r="AR80" i="95"/>
  <c r="M202" i="103"/>
  <c r="AM202" i="103"/>
  <c r="AH81" i="95"/>
  <c r="C203" i="103"/>
  <c r="AC203" i="103"/>
  <c r="AI81" i="95"/>
  <c r="D203" i="103"/>
  <c r="AD203" i="103"/>
  <c r="AJ81" i="95"/>
  <c r="E203" i="103"/>
  <c r="AE203" i="103"/>
  <c r="AK81" i="95"/>
  <c r="F203" i="103"/>
  <c r="AF203" i="103"/>
  <c r="AL81" i="95"/>
  <c r="G203" i="103"/>
  <c r="AG203" i="103"/>
  <c r="AM81" i="95"/>
  <c r="H203" i="103"/>
  <c r="AH203" i="103"/>
  <c r="AN81" i="95"/>
  <c r="I203" i="103"/>
  <c r="AI203" i="103"/>
  <c r="AO81" i="95"/>
  <c r="J203" i="103"/>
  <c r="AJ203" i="103"/>
  <c r="AP81" i="95"/>
  <c r="K203" i="103"/>
  <c r="AK203" i="103"/>
  <c r="AQ81" i="95"/>
  <c r="L203" i="103"/>
  <c r="AL203" i="103"/>
  <c r="AR81" i="95"/>
  <c r="M203" i="103"/>
  <c r="AM203" i="103"/>
  <c r="AH82" i="95"/>
  <c r="C204" i="103"/>
  <c r="AC204" i="103"/>
  <c r="AI82" i="95"/>
  <c r="D204" i="103"/>
  <c r="AD204" i="103"/>
  <c r="AJ82" i="95"/>
  <c r="E204" i="103"/>
  <c r="AE204" i="103"/>
  <c r="AK82" i="95"/>
  <c r="F204" i="103"/>
  <c r="AF204" i="103"/>
  <c r="AL82" i="95"/>
  <c r="G204" i="103"/>
  <c r="AG204" i="103"/>
  <c r="AM82" i="95"/>
  <c r="H204" i="103"/>
  <c r="AH204" i="103"/>
  <c r="AN82" i="95"/>
  <c r="I204" i="103"/>
  <c r="AI204" i="103"/>
  <c r="AO82" i="95"/>
  <c r="J204" i="103"/>
  <c r="AJ204" i="103"/>
  <c r="AP82" i="95"/>
  <c r="K204" i="103"/>
  <c r="AK204" i="103"/>
  <c r="AQ82" i="95"/>
  <c r="L204" i="103"/>
  <c r="AL204" i="103"/>
  <c r="AR82" i="95"/>
  <c r="M204" i="103"/>
  <c r="AM204" i="103"/>
  <c r="AH83" i="95"/>
  <c r="C205" i="103"/>
  <c r="AC205" i="103"/>
  <c r="AI83" i="95"/>
  <c r="D205" i="103"/>
  <c r="AD205" i="103"/>
  <c r="AJ83" i="95"/>
  <c r="E205" i="103"/>
  <c r="AE205" i="103"/>
  <c r="AK83" i="95"/>
  <c r="F205" i="103"/>
  <c r="AF205" i="103"/>
  <c r="AL83" i="95"/>
  <c r="G205" i="103"/>
  <c r="AG205" i="103"/>
  <c r="AM83" i="95"/>
  <c r="H205" i="103"/>
  <c r="AH205" i="103"/>
  <c r="AN83" i="95"/>
  <c r="I205" i="103"/>
  <c r="AI205" i="103"/>
  <c r="AO83" i="95"/>
  <c r="J205" i="103"/>
  <c r="AJ205" i="103"/>
  <c r="AP83" i="95"/>
  <c r="K205" i="103"/>
  <c r="AK205" i="103"/>
  <c r="AQ83" i="95"/>
  <c r="L205" i="103"/>
  <c r="AL205" i="103"/>
  <c r="AR83" i="95"/>
  <c r="M205" i="103"/>
  <c r="AM205" i="103"/>
  <c r="AH84" i="95"/>
  <c r="C206" i="103"/>
  <c r="AC206" i="103"/>
  <c r="AI84" i="95"/>
  <c r="D206" i="103"/>
  <c r="AD206" i="103"/>
  <c r="AJ84" i="95"/>
  <c r="E206" i="103"/>
  <c r="AE206" i="103"/>
  <c r="AK84" i="95"/>
  <c r="F206" i="103"/>
  <c r="AF206" i="103"/>
  <c r="AL84" i="95"/>
  <c r="G206" i="103"/>
  <c r="AG206" i="103"/>
  <c r="AM84" i="95"/>
  <c r="H206" i="103"/>
  <c r="AH206" i="103"/>
  <c r="AN84" i="95"/>
  <c r="I206" i="103"/>
  <c r="AI206" i="103"/>
  <c r="AO84" i="95"/>
  <c r="J206" i="103"/>
  <c r="AJ206" i="103"/>
  <c r="AP84" i="95"/>
  <c r="K206" i="103"/>
  <c r="AK206" i="103"/>
  <c r="AQ84" i="95"/>
  <c r="L206" i="103"/>
  <c r="AL206" i="103"/>
  <c r="AR84" i="95"/>
  <c r="M206" i="103"/>
  <c r="AM206" i="103"/>
  <c r="AH85" i="95"/>
  <c r="C207" i="103"/>
  <c r="AC207" i="103"/>
  <c r="AI85" i="95"/>
  <c r="D207" i="103"/>
  <c r="AD207" i="103"/>
  <c r="AJ85" i="95"/>
  <c r="E207" i="103"/>
  <c r="AE207" i="103"/>
  <c r="AK85" i="95"/>
  <c r="F207" i="103"/>
  <c r="AF207" i="103"/>
  <c r="AL85" i="95"/>
  <c r="G207" i="103"/>
  <c r="AG207" i="103"/>
  <c r="AM85" i="95"/>
  <c r="H207" i="103"/>
  <c r="AH207" i="103"/>
  <c r="AN85" i="95"/>
  <c r="I207" i="103"/>
  <c r="AI207" i="103"/>
  <c r="AO85" i="95"/>
  <c r="J207" i="103"/>
  <c r="AJ207" i="103"/>
  <c r="AP85" i="95"/>
  <c r="K207" i="103"/>
  <c r="AK207" i="103"/>
  <c r="AQ85" i="95"/>
  <c r="L207" i="103"/>
  <c r="AL207" i="103"/>
  <c r="AR85" i="95"/>
  <c r="M207" i="103"/>
  <c r="AM207" i="103"/>
  <c r="AH86" i="95"/>
  <c r="C208" i="103"/>
  <c r="AC208" i="103"/>
  <c r="AI86" i="95"/>
  <c r="D208" i="103"/>
  <c r="AD208" i="103"/>
  <c r="AJ86" i="95"/>
  <c r="E208" i="103"/>
  <c r="AE208" i="103"/>
  <c r="AK86" i="95"/>
  <c r="F208" i="103"/>
  <c r="AF208" i="103"/>
  <c r="AL86" i="95"/>
  <c r="G208" i="103"/>
  <c r="AG208" i="103"/>
  <c r="AM86" i="95"/>
  <c r="H208" i="103"/>
  <c r="AH208" i="103"/>
  <c r="AN86" i="95"/>
  <c r="I208" i="103"/>
  <c r="AI208" i="103"/>
  <c r="AO86" i="95"/>
  <c r="J208" i="103"/>
  <c r="AJ208" i="103"/>
  <c r="AP86" i="95"/>
  <c r="K208" i="103"/>
  <c r="AK208" i="103"/>
  <c r="AQ86" i="95"/>
  <c r="L208" i="103"/>
  <c r="AL208" i="103"/>
  <c r="AR86" i="95"/>
  <c r="M208" i="103"/>
  <c r="AM208" i="103"/>
  <c r="AH87" i="95"/>
  <c r="C209" i="103"/>
  <c r="AC209" i="103"/>
  <c r="AI87" i="95"/>
  <c r="D209" i="103"/>
  <c r="AD209" i="103"/>
  <c r="AJ87" i="95"/>
  <c r="E209" i="103"/>
  <c r="AE209" i="103"/>
  <c r="AK87" i="95"/>
  <c r="F209" i="103"/>
  <c r="AF209" i="103"/>
  <c r="AL87" i="95"/>
  <c r="G209" i="103"/>
  <c r="AG209" i="103"/>
  <c r="AM87" i="95"/>
  <c r="H209" i="103"/>
  <c r="AH209" i="103"/>
  <c r="AN87" i="95"/>
  <c r="I209" i="103"/>
  <c r="AI209" i="103"/>
  <c r="AO87" i="95"/>
  <c r="J209" i="103"/>
  <c r="AJ209" i="103"/>
  <c r="AP87" i="95"/>
  <c r="K209" i="103"/>
  <c r="AK209" i="103"/>
  <c r="AQ87" i="95"/>
  <c r="L209" i="103"/>
  <c r="AL209" i="103"/>
  <c r="AR87" i="95"/>
  <c r="M209" i="103"/>
  <c r="AM209" i="103"/>
  <c r="AH88" i="95"/>
  <c r="C210" i="103"/>
  <c r="AC210" i="103"/>
  <c r="AI88" i="95"/>
  <c r="D210" i="103"/>
  <c r="AD210" i="103"/>
  <c r="AJ88" i="95"/>
  <c r="E210" i="103"/>
  <c r="AE210" i="103"/>
  <c r="AK88" i="95"/>
  <c r="F210" i="103"/>
  <c r="AF210" i="103"/>
  <c r="AL88" i="95"/>
  <c r="G210" i="103"/>
  <c r="AG210" i="103"/>
  <c r="AM88" i="95"/>
  <c r="H210" i="103"/>
  <c r="AH210" i="103"/>
  <c r="AN88" i="95"/>
  <c r="I210" i="103"/>
  <c r="AI210" i="103"/>
  <c r="AO88" i="95"/>
  <c r="J210" i="103"/>
  <c r="AJ210" i="103"/>
  <c r="AP88" i="95"/>
  <c r="K210" i="103"/>
  <c r="AK210" i="103"/>
  <c r="AQ88" i="95"/>
  <c r="L210" i="103"/>
  <c r="AL210" i="103"/>
  <c r="AR88" i="95"/>
  <c r="M210" i="103"/>
  <c r="AM210" i="103"/>
  <c r="AH89" i="95"/>
  <c r="C211" i="103"/>
  <c r="AC211" i="103"/>
  <c r="AI89" i="95"/>
  <c r="D211" i="103"/>
  <c r="AD211" i="103"/>
  <c r="AJ89" i="95"/>
  <c r="E211" i="103"/>
  <c r="AE211" i="103"/>
  <c r="AK89" i="95"/>
  <c r="F211" i="103"/>
  <c r="AF211" i="103"/>
  <c r="AL89" i="95"/>
  <c r="G211" i="103"/>
  <c r="AG211" i="103"/>
  <c r="AM89" i="95"/>
  <c r="H211" i="103"/>
  <c r="AH211" i="103"/>
  <c r="AN89" i="95"/>
  <c r="I211" i="103"/>
  <c r="AI211" i="103"/>
  <c r="AO89" i="95"/>
  <c r="J211" i="103"/>
  <c r="AJ211" i="103"/>
  <c r="AP89" i="95"/>
  <c r="K211" i="103"/>
  <c r="AK211" i="103"/>
  <c r="AQ89" i="95"/>
  <c r="L211" i="103"/>
  <c r="AL211" i="103"/>
  <c r="AR89" i="95"/>
  <c r="M211" i="103"/>
  <c r="AM211" i="103"/>
  <c r="AH90" i="95"/>
  <c r="C212" i="103"/>
  <c r="AC212" i="103"/>
  <c r="AI90" i="95"/>
  <c r="D212" i="103"/>
  <c r="AD212" i="103"/>
  <c r="AJ90" i="95"/>
  <c r="E212" i="103"/>
  <c r="AE212" i="103"/>
  <c r="AK90" i="95"/>
  <c r="F212" i="103"/>
  <c r="AF212" i="103"/>
  <c r="AL90" i="95"/>
  <c r="G212" i="103"/>
  <c r="AG212" i="103"/>
  <c r="AM90" i="95"/>
  <c r="H212" i="103"/>
  <c r="AH212" i="103"/>
  <c r="AN90" i="95"/>
  <c r="I212" i="103"/>
  <c r="AI212" i="103"/>
  <c r="AO90" i="95"/>
  <c r="J212" i="103"/>
  <c r="AJ212" i="103"/>
  <c r="AP90" i="95"/>
  <c r="K212" i="103"/>
  <c r="AK212" i="103"/>
  <c r="AQ90" i="95"/>
  <c r="L212" i="103"/>
  <c r="AL212" i="103"/>
  <c r="AR90" i="95"/>
  <c r="M212" i="103"/>
  <c r="AM212" i="103"/>
  <c r="AH91" i="95"/>
  <c r="C213" i="103"/>
  <c r="AC213" i="103"/>
  <c r="AI91" i="95"/>
  <c r="D213" i="103"/>
  <c r="AD213" i="103"/>
  <c r="AJ91" i="95"/>
  <c r="E213" i="103"/>
  <c r="AE213" i="103"/>
  <c r="AK91" i="95"/>
  <c r="F213" i="103"/>
  <c r="AF213" i="103"/>
  <c r="AL91" i="95"/>
  <c r="G213" i="103"/>
  <c r="AG213" i="103"/>
  <c r="AM91" i="95"/>
  <c r="H213" i="103"/>
  <c r="AH213" i="103"/>
  <c r="AN91" i="95"/>
  <c r="I213" i="103"/>
  <c r="AI213" i="103"/>
  <c r="AO91" i="95"/>
  <c r="J213" i="103"/>
  <c r="AJ213" i="103"/>
  <c r="AP91" i="95"/>
  <c r="K213" i="103"/>
  <c r="AK213" i="103"/>
  <c r="AQ91" i="95"/>
  <c r="L213" i="103"/>
  <c r="AL213" i="103"/>
  <c r="AR91" i="95"/>
  <c r="M213" i="103"/>
  <c r="AM213" i="103"/>
  <c r="E194" i="103"/>
  <c r="Q20" i="99"/>
  <c r="Q24" i="99"/>
  <c r="Q6" i="100"/>
  <c r="C10" i="97"/>
  <c r="E10" i="97"/>
  <c r="C11" i="97"/>
  <c r="E11" i="97"/>
  <c r="C12" i="97"/>
  <c r="E12" i="97"/>
  <c r="C13" i="97"/>
  <c r="E13" i="97"/>
  <c r="C14" i="97"/>
  <c r="E14" i="97"/>
  <c r="C15" i="97"/>
  <c r="E15" i="97"/>
  <c r="C16" i="97"/>
  <c r="E16" i="97"/>
  <c r="C17" i="97"/>
  <c r="E17" i="97"/>
  <c r="C18" i="97"/>
  <c r="E18" i="97"/>
  <c r="C19" i="97"/>
  <c r="E19" i="97"/>
  <c r="C20" i="97"/>
  <c r="E20" i="97"/>
  <c r="C21" i="97"/>
  <c r="E21" i="97"/>
  <c r="C22" i="97"/>
  <c r="E22" i="97"/>
  <c r="C23" i="97"/>
  <c r="E23" i="97"/>
  <c r="C24" i="97"/>
  <c r="E24" i="97"/>
  <c r="H10" i="97"/>
  <c r="J10" i="97"/>
  <c r="H11" i="97"/>
  <c r="J11" i="97"/>
  <c r="H12" i="97"/>
  <c r="J12" i="97"/>
  <c r="H13" i="97"/>
  <c r="J13" i="97"/>
  <c r="H14" i="97"/>
  <c r="J14" i="97"/>
  <c r="H15" i="97"/>
  <c r="J15" i="97"/>
  <c r="H16" i="97"/>
  <c r="J16" i="97"/>
  <c r="H17" i="97"/>
  <c r="J17" i="97"/>
  <c r="H18" i="97"/>
  <c r="J18" i="97"/>
  <c r="H19" i="97"/>
  <c r="J19" i="97"/>
  <c r="H20" i="97"/>
  <c r="J20" i="97"/>
  <c r="H21" i="97"/>
  <c r="J21" i="97"/>
  <c r="H22" i="97"/>
  <c r="J22" i="97"/>
  <c r="H23" i="97"/>
  <c r="J23" i="97"/>
  <c r="H24" i="97"/>
  <c r="J24" i="97"/>
  <c r="C5" i="97"/>
  <c r="Q6" i="98"/>
  <c r="C37" i="97"/>
  <c r="D37" i="97"/>
  <c r="C59" i="97"/>
  <c r="E37" i="97"/>
  <c r="D59" i="97"/>
  <c r="F37" i="97"/>
  <c r="E59" i="97"/>
  <c r="G37" i="97"/>
  <c r="F59" i="97"/>
  <c r="H37" i="97"/>
  <c r="G59" i="97"/>
  <c r="I37" i="97"/>
  <c r="H59" i="97"/>
  <c r="J37" i="97"/>
  <c r="I59" i="97"/>
  <c r="K37" i="97"/>
  <c r="J59" i="97"/>
  <c r="L37" i="97"/>
  <c r="K59" i="97"/>
  <c r="M37" i="97"/>
  <c r="L59" i="97"/>
  <c r="C38" i="97"/>
  <c r="D38" i="97"/>
  <c r="C60" i="97"/>
  <c r="E38" i="97"/>
  <c r="D60" i="97"/>
  <c r="F38" i="97"/>
  <c r="E60" i="97"/>
  <c r="G38" i="97"/>
  <c r="F60" i="97"/>
  <c r="H38" i="97"/>
  <c r="G60" i="97"/>
  <c r="I38" i="97"/>
  <c r="H60" i="97"/>
  <c r="J38" i="97"/>
  <c r="I60" i="97"/>
  <c r="K38" i="97"/>
  <c r="J60" i="97"/>
  <c r="L38" i="97"/>
  <c r="K60" i="97"/>
  <c r="M38" i="97"/>
  <c r="L60" i="97"/>
  <c r="C39" i="97"/>
  <c r="D39" i="97"/>
  <c r="C61" i="97"/>
  <c r="E39" i="97"/>
  <c r="D61" i="97"/>
  <c r="F39" i="97"/>
  <c r="E61" i="97"/>
  <c r="G39" i="97"/>
  <c r="F61" i="97"/>
  <c r="H39" i="97"/>
  <c r="G61" i="97"/>
  <c r="I39" i="97"/>
  <c r="H61" i="97"/>
  <c r="J39" i="97"/>
  <c r="I61" i="97"/>
  <c r="K39" i="97"/>
  <c r="J61" i="97"/>
  <c r="L39" i="97"/>
  <c r="K61" i="97"/>
  <c r="M39" i="97"/>
  <c r="L61" i="97"/>
  <c r="C40" i="97"/>
  <c r="D40" i="97"/>
  <c r="C62" i="97"/>
  <c r="E40" i="97"/>
  <c r="D62" i="97"/>
  <c r="F40" i="97"/>
  <c r="E62" i="97"/>
  <c r="G40" i="97"/>
  <c r="F62" i="97"/>
  <c r="H40" i="97"/>
  <c r="G62" i="97"/>
  <c r="I40" i="97"/>
  <c r="H62" i="97"/>
  <c r="J40" i="97"/>
  <c r="I62" i="97"/>
  <c r="K40" i="97"/>
  <c r="J62" i="97"/>
  <c r="L40" i="97"/>
  <c r="K62" i="97"/>
  <c r="M40" i="97"/>
  <c r="L62" i="97"/>
  <c r="C41" i="97"/>
  <c r="D41" i="97"/>
  <c r="C63" i="97"/>
  <c r="E41" i="97"/>
  <c r="D63" i="97"/>
  <c r="F41" i="97"/>
  <c r="E63" i="97"/>
  <c r="G41" i="97"/>
  <c r="F63" i="97"/>
  <c r="H41" i="97"/>
  <c r="G63" i="97"/>
  <c r="I41" i="97"/>
  <c r="H63" i="97"/>
  <c r="J41" i="97"/>
  <c r="I63" i="97"/>
  <c r="K41" i="97"/>
  <c r="J63" i="97"/>
  <c r="L41" i="97"/>
  <c r="K63" i="97"/>
  <c r="M41" i="97"/>
  <c r="L63" i="97"/>
  <c r="C42" i="97"/>
  <c r="D42" i="97"/>
  <c r="C64" i="97"/>
  <c r="E42" i="97"/>
  <c r="D64" i="97"/>
  <c r="F42" i="97"/>
  <c r="E64" i="97"/>
  <c r="G42" i="97"/>
  <c r="F64" i="97"/>
  <c r="H42" i="97"/>
  <c r="G64" i="97"/>
  <c r="I42" i="97"/>
  <c r="H64" i="97"/>
  <c r="J42" i="97"/>
  <c r="I64" i="97"/>
  <c r="K42" i="97"/>
  <c r="J64" i="97"/>
  <c r="L42" i="97"/>
  <c r="K64" i="97"/>
  <c r="M42" i="97"/>
  <c r="L64" i="97"/>
  <c r="C43" i="97"/>
  <c r="D43" i="97"/>
  <c r="C65" i="97"/>
  <c r="E43" i="97"/>
  <c r="D65" i="97"/>
  <c r="F43" i="97"/>
  <c r="E65" i="97"/>
  <c r="G43" i="97"/>
  <c r="F65" i="97"/>
  <c r="H43" i="97"/>
  <c r="G65" i="97"/>
  <c r="I43" i="97"/>
  <c r="H65" i="97"/>
  <c r="J43" i="97"/>
  <c r="I65" i="97"/>
  <c r="K43" i="97"/>
  <c r="J65" i="97"/>
  <c r="L43" i="97"/>
  <c r="K65" i="97"/>
  <c r="M43" i="97"/>
  <c r="L65" i="97"/>
  <c r="C44" i="97"/>
  <c r="D44" i="97"/>
  <c r="C66" i="97"/>
  <c r="E44" i="97"/>
  <c r="D66" i="97"/>
  <c r="F44" i="97"/>
  <c r="E66" i="97"/>
  <c r="G44" i="97"/>
  <c r="F66" i="97"/>
  <c r="H44" i="97"/>
  <c r="G66" i="97"/>
  <c r="I44" i="97"/>
  <c r="H66" i="97"/>
  <c r="J44" i="97"/>
  <c r="I66" i="97"/>
  <c r="K44" i="97"/>
  <c r="J66" i="97"/>
  <c r="L44" i="97"/>
  <c r="K66" i="97"/>
  <c r="M44" i="97"/>
  <c r="L66" i="97"/>
  <c r="C45" i="97"/>
  <c r="D45" i="97"/>
  <c r="C67" i="97"/>
  <c r="E45" i="97"/>
  <c r="D67" i="97"/>
  <c r="F45" i="97"/>
  <c r="E67" i="97"/>
  <c r="G45" i="97"/>
  <c r="F67" i="97"/>
  <c r="H45" i="97"/>
  <c r="G67" i="97"/>
  <c r="I45" i="97"/>
  <c r="H67" i="97"/>
  <c r="J45" i="97"/>
  <c r="I67" i="97"/>
  <c r="K45" i="97"/>
  <c r="J67" i="97"/>
  <c r="L45" i="97"/>
  <c r="K67" i="97"/>
  <c r="M45" i="97"/>
  <c r="L67" i="97"/>
  <c r="C46" i="97"/>
  <c r="D46" i="97"/>
  <c r="C68" i="97"/>
  <c r="E46" i="97"/>
  <c r="D68" i="97"/>
  <c r="F46" i="97"/>
  <c r="E68" i="97"/>
  <c r="G46" i="97"/>
  <c r="F68" i="97"/>
  <c r="H46" i="97"/>
  <c r="G68" i="97"/>
  <c r="I46" i="97"/>
  <c r="H68" i="97"/>
  <c r="J46" i="97"/>
  <c r="I68" i="97"/>
  <c r="K46" i="97"/>
  <c r="J68" i="97"/>
  <c r="L46" i="97"/>
  <c r="K68" i="97"/>
  <c r="M46" i="97"/>
  <c r="L68" i="97"/>
  <c r="C47" i="97"/>
  <c r="D47" i="97"/>
  <c r="C69" i="97"/>
  <c r="E47" i="97"/>
  <c r="D69" i="97"/>
  <c r="F47" i="97"/>
  <c r="E69" i="97"/>
  <c r="G47" i="97"/>
  <c r="F69" i="97"/>
  <c r="H47" i="97"/>
  <c r="G69" i="97"/>
  <c r="I47" i="97"/>
  <c r="H69" i="97"/>
  <c r="J47" i="97"/>
  <c r="I69" i="97"/>
  <c r="K47" i="97"/>
  <c r="J69" i="97"/>
  <c r="L47" i="97"/>
  <c r="K69" i="97"/>
  <c r="M47" i="97"/>
  <c r="L69" i="97"/>
  <c r="C48" i="97"/>
  <c r="D48" i="97"/>
  <c r="C70" i="97"/>
  <c r="E48" i="97"/>
  <c r="D70" i="97"/>
  <c r="F48" i="97"/>
  <c r="E70" i="97"/>
  <c r="G48" i="97"/>
  <c r="F70" i="97"/>
  <c r="H48" i="97"/>
  <c r="G70" i="97"/>
  <c r="I48" i="97"/>
  <c r="H70" i="97"/>
  <c r="J48" i="97"/>
  <c r="I70" i="97"/>
  <c r="K48" i="97"/>
  <c r="J70" i="97"/>
  <c r="L48" i="97"/>
  <c r="K70" i="97"/>
  <c r="M48" i="97"/>
  <c r="L70" i="97"/>
  <c r="C49" i="97"/>
  <c r="D49" i="97"/>
  <c r="C71" i="97"/>
  <c r="E49" i="97"/>
  <c r="D71" i="97"/>
  <c r="F49" i="97"/>
  <c r="E71" i="97"/>
  <c r="G49" i="97"/>
  <c r="F71" i="97"/>
  <c r="H49" i="97"/>
  <c r="G71" i="97"/>
  <c r="I49" i="97"/>
  <c r="H71" i="97"/>
  <c r="J49" i="97"/>
  <c r="I71" i="97"/>
  <c r="K49" i="97"/>
  <c r="J71" i="97"/>
  <c r="L49" i="97"/>
  <c r="K71" i="97"/>
  <c r="M49" i="97"/>
  <c r="L71" i="97"/>
  <c r="C50" i="97"/>
  <c r="D50" i="97"/>
  <c r="C72" i="97"/>
  <c r="E50" i="97"/>
  <c r="D72" i="97"/>
  <c r="F50" i="97"/>
  <c r="E72" i="97"/>
  <c r="G50" i="97"/>
  <c r="F72" i="97"/>
  <c r="H50" i="97"/>
  <c r="G72" i="97"/>
  <c r="I50" i="97"/>
  <c r="H72" i="97"/>
  <c r="J50" i="97"/>
  <c r="I72" i="97"/>
  <c r="K50" i="97"/>
  <c r="J72" i="97"/>
  <c r="L50" i="97"/>
  <c r="K72" i="97"/>
  <c r="M50" i="97"/>
  <c r="L72" i="97"/>
  <c r="C51" i="97"/>
  <c r="D51" i="97"/>
  <c r="C73" i="97"/>
  <c r="E51" i="97"/>
  <c r="D73" i="97"/>
  <c r="F51" i="97"/>
  <c r="E73" i="97"/>
  <c r="G51" i="97"/>
  <c r="F73" i="97"/>
  <c r="H51" i="97"/>
  <c r="G73" i="97"/>
  <c r="I51" i="97"/>
  <c r="H73" i="97"/>
  <c r="J51" i="97"/>
  <c r="I73" i="97"/>
  <c r="K51" i="97"/>
  <c r="J73" i="97"/>
  <c r="L51" i="97"/>
  <c r="K73" i="97"/>
  <c r="M51" i="97"/>
  <c r="L73" i="97"/>
  <c r="C33" i="97"/>
  <c r="Q9" i="98"/>
  <c r="P59" i="97"/>
  <c r="Q59" i="97"/>
  <c r="R59" i="97"/>
  <c r="S59" i="97"/>
  <c r="T59" i="97"/>
  <c r="V59" i="97"/>
  <c r="W59" i="97"/>
  <c r="X59" i="97"/>
  <c r="Y59" i="97"/>
  <c r="Z59" i="97"/>
  <c r="P60" i="97"/>
  <c r="Q60" i="97"/>
  <c r="R60" i="97"/>
  <c r="S60" i="97"/>
  <c r="T60" i="97"/>
  <c r="V60" i="97"/>
  <c r="W60" i="97"/>
  <c r="X60" i="97"/>
  <c r="Y60" i="97"/>
  <c r="Z60" i="97"/>
  <c r="P61" i="97"/>
  <c r="Q61" i="97"/>
  <c r="R61" i="97"/>
  <c r="S61" i="97"/>
  <c r="T61" i="97"/>
  <c r="V61" i="97"/>
  <c r="W61" i="97"/>
  <c r="X61" i="97"/>
  <c r="Y61" i="97"/>
  <c r="Z61" i="97"/>
  <c r="P62" i="97"/>
  <c r="Q62" i="97"/>
  <c r="R62" i="97"/>
  <c r="S62" i="97"/>
  <c r="T62" i="97"/>
  <c r="V62" i="97"/>
  <c r="W62" i="97"/>
  <c r="X62" i="97"/>
  <c r="Y62" i="97"/>
  <c r="Z62" i="97"/>
  <c r="P63" i="97"/>
  <c r="Q63" i="97"/>
  <c r="R63" i="97"/>
  <c r="S63" i="97"/>
  <c r="T63" i="97"/>
  <c r="V63" i="97"/>
  <c r="W63" i="97"/>
  <c r="X63" i="97"/>
  <c r="Y63" i="97"/>
  <c r="Z63" i="97"/>
  <c r="P64" i="97"/>
  <c r="Q64" i="97"/>
  <c r="R64" i="97"/>
  <c r="S64" i="97"/>
  <c r="T64" i="97"/>
  <c r="V64" i="97"/>
  <c r="W64" i="97"/>
  <c r="X64" i="97"/>
  <c r="Y64" i="97"/>
  <c r="Z64" i="97"/>
  <c r="P65" i="97"/>
  <c r="Q65" i="97"/>
  <c r="R65" i="97"/>
  <c r="S65" i="97"/>
  <c r="T65" i="97"/>
  <c r="V65" i="97"/>
  <c r="W65" i="97"/>
  <c r="X65" i="97"/>
  <c r="Y65" i="97"/>
  <c r="Z65" i="97"/>
  <c r="P66" i="97"/>
  <c r="Q66" i="97"/>
  <c r="R66" i="97"/>
  <c r="S66" i="97"/>
  <c r="T66" i="97"/>
  <c r="V66" i="97"/>
  <c r="W66" i="97"/>
  <c r="X66" i="97"/>
  <c r="Y66" i="97"/>
  <c r="Z66" i="97"/>
  <c r="P67" i="97"/>
  <c r="Q67" i="97"/>
  <c r="R67" i="97"/>
  <c r="S67" i="97"/>
  <c r="T67" i="97"/>
  <c r="V67" i="97"/>
  <c r="W67" i="97"/>
  <c r="X67" i="97"/>
  <c r="Y67" i="97"/>
  <c r="Z67" i="97"/>
  <c r="P68" i="97"/>
  <c r="Q68" i="97"/>
  <c r="R68" i="97"/>
  <c r="S68" i="97"/>
  <c r="T68" i="97"/>
  <c r="V68" i="97"/>
  <c r="W68" i="97"/>
  <c r="X68" i="97"/>
  <c r="Y68" i="97"/>
  <c r="Z68" i="97"/>
  <c r="P69" i="97"/>
  <c r="Q69" i="97"/>
  <c r="R69" i="97"/>
  <c r="S69" i="97"/>
  <c r="T69" i="97"/>
  <c r="V69" i="97"/>
  <c r="W69" i="97"/>
  <c r="X69" i="97"/>
  <c r="Y69" i="97"/>
  <c r="Z69" i="97"/>
  <c r="P70" i="97"/>
  <c r="Q70" i="97"/>
  <c r="R70" i="97"/>
  <c r="S70" i="97"/>
  <c r="T70" i="97"/>
  <c r="V70" i="97"/>
  <c r="W70" i="97"/>
  <c r="X70" i="97"/>
  <c r="Y70" i="97"/>
  <c r="Z70" i="97"/>
  <c r="P71" i="97"/>
  <c r="Q71" i="97"/>
  <c r="R71" i="97"/>
  <c r="S71" i="97"/>
  <c r="T71" i="97"/>
  <c r="V71" i="97"/>
  <c r="W71" i="97"/>
  <c r="X71" i="97"/>
  <c r="Y71" i="97"/>
  <c r="Z71" i="97"/>
  <c r="P72" i="97"/>
  <c r="Q72" i="97"/>
  <c r="R72" i="97"/>
  <c r="S72" i="97"/>
  <c r="T72" i="97"/>
  <c r="V72" i="97"/>
  <c r="W72" i="97"/>
  <c r="X72" i="97"/>
  <c r="Y72" i="97"/>
  <c r="Z72" i="97"/>
  <c r="H33" i="97"/>
  <c r="Q10" i="98"/>
  <c r="C86" i="97"/>
  <c r="D86" i="97"/>
  <c r="C108" i="97"/>
  <c r="E86" i="97"/>
  <c r="D108" i="97"/>
  <c r="F86" i="97"/>
  <c r="E108" i="97"/>
  <c r="G86" i="97"/>
  <c r="F108" i="97"/>
  <c r="H86" i="97"/>
  <c r="G108" i="97"/>
  <c r="I86" i="97"/>
  <c r="H108" i="97"/>
  <c r="J86" i="97"/>
  <c r="I108" i="97"/>
  <c r="K86" i="97"/>
  <c r="J108" i="97"/>
  <c r="L86" i="97"/>
  <c r="K108" i="97"/>
  <c r="M86" i="97"/>
  <c r="L108" i="97"/>
  <c r="C87" i="97"/>
  <c r="D87" i="97"/>
  <c r="C109" i="97"/>
  <c r="E87" i="97"/>
  <c r="D109" i="97"/>
  <c r="F87" i="97"/>
  <c r="E109" i="97"/>
  <c r="G87" i="97"/>
  <c r="F109" i="97"/>
  <c r="H87" i="97"/>
  <c r="G109" i="97"/>
  <c r="I87" i="97"/>
  <c r="H109" i="97"/>
  <c r="J87" i="97"/>
  <c r="I109" i="97"/>
  <c r="K87" i="97"/>
  <c r="J109" i="97"/>
  <c r="L87" i="97"/>
  <c r="K109" i="97"/>
  <c r="M87" i="97"/>
  <c r="L109" i="97"/>
  <c r="C88" i="97"/>
  <c r="D88" i="97"/>
  <c r="C110" i="97"/>
  <c r="E88" i="97"/>
  <c r="D110" i="97"/>
  <c r="F88" i="97"/>
  <c r="E110" i="97"/>
  <c r="G88" i="97"/>
  <c r="F110" i="97"/>
  <c r="H88" i="97"/>
  <c r="G110" i="97"/>
  <c r="I88" i="97"/>
  <c r="H110" i="97"/>
  <c r="J88" i="97"/>
  <c r="I110" i="97"/>
  <c r="K88" i="97"/>
  <c r="J110" i="97"/>
  <c r="L88" i="97"/>
  <c r="K110" i="97"/>
  <c r="M88" i="97"/>
  <c r="L110" i="97"/>
  <c r="C89" i="97"/>
  <c r="D89" i="97"/>
  <c r="C111" i="97"/>
  <c r="E89" i="97"/>
  <c r="D111" i="97"/>
  <c r="F89" i="97"/>
  <c r="E111" i="97"/>
  <c r="G89" i="97"/>
  <c r="F111" i="97"/>
  <c r="H89" i="97"/>
  <c r="G111" i="97"/>
  <c r="I89" i="97"/>
  <c r="H111" i="97"/>
  <c r="J89" i="97"/>
  <c r="I111" i="97"/>
  <c r="K89" i="97"/>
  <c r="J111" i="97"/>
  <c r="L89" i="97"/>
  <c r="K111" i="97"/>
  <c r="M89" i="97"/>
  <c r="L111" i="97"/>
  <c r="C90" i="97"/>
  <c r="D90" i="97"/>
  <c r="C112" i="97"/>
  <c r="E90" i="97"/>
  <c r="D112" i="97"/>
  <c r="F90" i="97"/>
  <c r="E112" i="97"/>
  <c r="G90" i="97"/>
  <c r="F112" i="97"/>
  <c r="H90" i="97"/>
  <c r="G112" i="97"/>
  <c r="I90" i="97"/>
  <c r="H112" i="97"/>
  <c r="J90" i="97"/>
  <c r="I112" i="97"/>
  <c r="K90" i="97"/>
  <c r="J112" i="97"/>
  <c r="L90" i="97"/>
  <c r="K112" i="97"/>
  <c r="M90" i="97"/>
  <c r="L112" i="97"/>
  <c r="C91" i="97"/>
  <c r="D91" i="97"/>
  <c r="C113" i="97"/>
  <c r="E91" i="97"/>
  <c r="D113" i="97"/>
  <c r="F91" i="97"/>
  <c r="E113" i="97"/>
  <c r="G91" i="97"/>
  <c r="F113" i="97"/>
  <c r="H91" i="97"/>
  <c r="G113" i="97"/>
  <c r="I91" i="97"/>
  <c r="H113" i="97"/>
  <c r="J91" i="97"/>
  <c r="I113" i="97"/>
  <c r="K91" i="97"/>
  <c r="J113" i="97"/>
  <c r="L91" i="97"/>
  <c r="K113" i="97"/>
  <c r="M91" i="97"/>
  <c r="L113" i="97"/>
  <c r="C92" i="97"/>
  <c r="D92" i="97"/>
  <c r="C114" i="97"/>
  <c r="E92" i="97"/>
  <c r="D114" i="97"/>
  <c r="F92" i="97"/>
  <c r="E114" i="97"/>
  <c r="G92" i="97"/>
  <c r="F114" i="97"/>
  <c r="H92" i="97"/>
  <c r="G114" i="97"/>
  <c r="I92" i="97"/>
  <c r="H114" i="97"/>
  <c r="J92" i="97"/>
  <c r="I114" i="97"/>
  <c r="K92" i="97"/>
  <c r="J114" i="97"/>
  <c r="L92" i="97"/>
  <c r="K114" i="97"/>
  <c r="M92" i="97"/>
  <c r="L114" i="97"/>
  <c r="C93" i="97"/>
  <c r="D93" i="97"/>
  <c r="C115" i="97"/>
  <c r="E93" i="97"/>
  <c r="D115" i="97"/>
  <c r="F93" i="97"/>
  <c r="E115" i="97"/>
  <c r="G93" i="97"/>
  <c r="F115" i="97"/>
  <c r="H93" i="97"/>
  <c r="G115" i="97"/>
  <c r="I93" i="97"/>
  <c r="H115" i="97"/>
  <c r="J93" i="97"/>
  <c r="I115" i="97"/>
  <c r="K93" i="97"/>
  <c r="J115" i="97"/>
  <c r="L93" i="97"/>
  <c r="K115" i="97"/>
  <c r="M93" i="97"/>
  <c r="L115" i="97"/>
  <c r="C94" i="97"/>
  <c r="D94" i="97"/>
  <c r="C116" i="97"/>
  <c r="E94" i="97"/>
  <c r="D116" i="97"/>
  <c r="F94" i="97"/>
  <c r="E116" i="97"/>
  <c r="G94" i="97"/>
  <c r="F116" i="97"/>
  <c r="H94" i="97"/>
  <c r="G116" i="97"/>
  <c r="I94" i="97"/>
  <c r="H116" i="97"/>
  <c r="J94" i="97"/>
  <c r="I116" i="97"/>
  <c r="K94" i="97"/>
  <c r="J116" i="97"/>
  <c r="L94" i="97"/>
  <c r="K116" i="97"/>
  <c r="M94" i="97"/>
  <c r="L116" i="97"/>
  <c r="C95" i="97"/>
  <c r="D95" i="97"/>
  <c r="C117" i="97"/>
  <c r="E95" i="97"/>
  <c r="D117" i="97"/>
  <c r="F95" i="97"/>
  <c r="E117" i="97"/>
  <c r="G95" i="97"/>
  <c r="F117" i="97"/>
  <c r="H95" i="97"/>
  <c r="G117" i="97"/>
  <c r="I95" i="97"/>
  <c r="H117" i="97"/>
  <c r="J95" i="97"/>
  <c r="I117" i="97"/>
  <c r="K95" i="97"/>
  <c r="J117" i="97"/>
  <c r="L95" i="97"/>
  <c r="K117" i="97"/>
  <c r="M95" i="97"/>
  <c r="L117" i="97"/>
  <c r="C96" i="97"/>
  <c r="D96" i="97"/>
  <c r="C118" i="97"/>
  <c r="E96" i="97"/>
  <c r="D118" i="97"/>
  <c r="F96" i="97"/>
  <c r="E118" i="97"/>
  <c r="G96" i="97"/>
  <c r="F118" i="97"/>
  <c r="H96" i="97"/>
  <c r="G118" i="97"/>
  <c r="I96" i="97"/>
  <c r="H118" i="97"/>
  <c r="J96" i="97"/>
  <c r="I118" i="97"/>
  <c r="K96" i="97"/>
  <c r="J118" i="97"/>
  <c r="L96" i="97"/>
  <c r="K118" i="97"/>
  <c r="M96" i="97"/>
  <c r="L118" i="97"/>
  <c r="C97" i="97"/>
  <c r="D97" i="97"/>
  <c r="C119" i="97"/>
  <c r="E97" i="97"/>
  <c r="D119" i="97"/>
  <c r="F97" i="97"/>
  <c r="E119" i="97"/>
  <c r="G97" i="97"/>
  <c r="F119" i="97"/>
  <c r="H97" i="97"/>
  <c r="G119" i="97"/>
  <c r="I97" i="97"/>
  <c r="H119" i="97"/>
  <c r="J97" i="97"/>
  <c r="I119" i="97"/>
  <c r="K97" i="97"/>
  <c r="J119" i="97"/>
  <c r="L97" i="97"/>
  <c r="K119" i="97"/>
  <c r="M97" i="97"/>
  <c r="L119" i="97"/>
  <c r="C98" i="97"/>
  <c r="D98" i="97"/>
  <c r="C120" i="97"/>
  <c r="E98" i="97"/>
  <c r="D120" i="97"/>
  <c r="F98" i="97"/>
  <c r="E120" i="97"/>
  <c r="G98" i="97"/>
  <c r="F120" i="97"/>
  <c r="H98" i="97"/>
  <c r="G120" i="97"/>
  <c r="I98" i="97"/>
  <c r="H120" i="97"/>
  <c r="J98" i="97"/>
  <c r="I120" i="97"/>
  <c r="K98" i="97"/>
  <c r="J120" i="97"/>
  <c r="L98" i="97"/>
  <c r="K120" i="97"/>
  <c r="M98" i="97"/>
  <c r="L120" i="97"/>
  <c r="C99" i="97"/>
  <c r="D99" i="97"/>
  <c r="C121" i="97"/>
  <c r="E99" i="97"/>
  <c r="D121" i="97"/>
  <c r="F99" i="97"/>
  <c r="E121" i="97"/>
  <c r="G99" i="97"/>
  <c r="F121" i="97"/>
  <c r="H99" i="97"/>
  <c r="G121" i="97"/>
  <c r="I99" i="97"/>
  <c r="H121" i="97"/>
  <c r="J99" i="97"/>
  <c r="I121" i="97"/>
  <c r="K99" i="97"/>
  <c r="J121" i="97"/>
  <c r="L99" i="97"/>
  <c r="K121" i="97"/>
  <c r="M99" i="97"/>
  <c r="L121" i="97"/>
  <c r="C100" i="97"/>
  <c r="D100" i="97"/>
  <c r="C122" i="97"/>
  <c r="E100" i="97"/>
  <c r="D122" i="97"/>
  <c r="F100" i="97"/>
  <c r="E122" i="97"/>
  <c r="G100" i="97"/>
  <c r="F122" i="97"/>
  <c r="H100" i="97"/>
  <c r="G122" i="97"/>
  <c r="I100" i="97"/>
  <c r="H122" i="97"/>
  <c r="J100" i="97"/>
  <c r="I122" i="97"/>
  <c r="K100" i="97"/>
  <c r="J122" i="97"/>
  <c r="L100" i="97"/>
  <c r="K122" i="97"/>
  <c r="M100" i="97"/>
  <c r="L122" i="97"/>
  <c r="C82" i="97"/>
  <c r="Q13" i="98"/>
  <c r="P108" i="97"/>
  <c r="Q108" i="97"/>
  <c r="R108" i="97"/>
  <c r="S108" i="97"/>
  <c r="T108" i="97"/>
  <c r="V108" i="97"/>
  <c r="W108" i="97"/>
  <c r="X108" i="97"/>
  <c r="Y108" i="97"/>
  <c r="Z108" i="97"/>
  <c r="P109" i="97"/>
  <c r="Q109" i="97"/>
  <c r="R109" i="97"/>
  <c r="S109" i="97"/>
  <c r="T109" i="97"/>
  <c r="V109" i="97"/>
  <c r="W109" i="97"/>
  <c r="X109" i="97"/>
  <c r="Y109" i="97"/>
  <c r="Z109" i="97"/>
  <c r="P110" i="97"/>
  <c r="Q110" i="97"/>
  <c r="R110" i="97"/>
  <c r="S110" i="97"/>
  <c r="T110" i="97"/>
  <c r="V110" i="97"/>
  <c r="W110" i="97"/>
  <c r="X110" i="97"/>
  <c r="Y110" i="97"/>
  <c r="Z110" i="97"/>
  <c r="P111" i="97"/>
  <c r="Q111" i="97"/>
  <c r="R111" i="97"/>
  <c r="S111" i="97"/>
  <c r="T111" i="97"/>
  <c r="V111" i="97"/>
  <c r="W111" i="97"/>
  <c r="X111" i="97"/>
  <c r="Y111" i="97"/>
  <c r="Z111" i="97"/>
  <c r="P112" i="97"/>
  <c r="Q112" i="97"/>
  <c r="R112" i="97"/>
  <c r="S112" i="97"/>
  <c r="T112" i="97"/>
  <c r="V112" i="97"/>
  <c r="W112" i="97"/>
  <c r="X112" i="97"/>
  <c r="Y112" i="97"/>
  <c r="Z112" i="97"/>
  <c r="P113" i="97"/>
  <c r="Q113" i="97"/>
  <c r="R113" i="97"/>
  <c r="S113" i="97"/>
  <c r="T113" i="97"/>
  <c r="V113" i="97"/>
  <c r="W113" i="97"/>
  <c r="X113" i="97"/>
  <c r="Y113" i="97"/>
  <c r="Z113" i="97"/>
  <c r="P114" i="97"/>
  <c r="Q114" i="97"/>
  <c r="R114" i="97"/>
  <c r="S114" i="97"/>
  <c r="T114" i="97"/>
  <c r="V114" i="97"/>
  <c r="W114" i="97"/>
  <c r="X114" i="97"/>
  <c r="Y114" i="97"/>
  <c r="Z114" i="97"/>
  <c r="P115" i="97"/>
  <c r="Q115" i="97"/>
  <c r="R115" i="97"/>
  <c r="S115" i="97"/>
  <c r="T115" i="97"/>
  <c r="V115" i="97"/>
  <c r="W115" i="97"/>
  <c r="X115" i="97"/>
  <c r="Y115" i="97"/>
  <c r="Z115" i="97"/>
  <c r="P116" i="97"/>
  <c r="Q116" i="97"/>
  <c r="R116" i="97"/>
  <c r="S116" i="97"/>
  <c r="T116" i="97"/>
  <c r="V116" i="97"/>
  <c r="W116" i="97"/>
  <c r="X116" i="97"/>
  <c r="Y116" i="97"/>
  <c r="Z116" i="97"/>
  <c r="P117" i="97"/>
  <c r="Q117" i="97"/>
  <c r="R117" i="97"/>
  <c r="S117" i="97"/>
  <c r="T117" i="97"/>
  <c r="V117" i="97"/>
  <c r="W117" i="97"/>
  <c r="X117" i="97"/>
  <c r="Y117" i="97"/>
  <c r="Z117" i="97"/>
  <c r="P118" i="97"/>
  <c r="Q118" i="97"/>
  <c r="R118" i="97"/>
  <c r="S118" i="97"/>
  <c r="T118" i="97"/>
  <c r="V118" i="97"/>
  <c r="W118" i="97"/>
  <c r="X118" i="97"/>
  <c r="Y118" i="97"/>
  <c r="Z118" i="97"/>
  <c r="P119" i="97"/>
  <c r="Q119" i="97"/>
  <c r="R119" i="97"/>
  <c r="S119" i="97"/>
  <c r="T119" i="97"/>
  <c r="V119" i="97"/>
  <c r="W119" i="97"/>
  <c r="X119" i="97"/>
  <c r="Y119" i="97"/>
  <c r="Z119" i="97"/>
  <c r="P120" i="97"/>
  <c r="Q120" i="97"/>
  <c r="R120" i="97"/>
  <c r="S120" i="97"/>
  <c r="T120" i="97"/>
  <c r="V120" i="97"/>
  <c r="W120" i="97"/>
  <c r="X120" i="97"/>
  <c r="Y120" i="97"/>
  <c r="Z120" i="97"/>
  <c r="P121" i="97"/>
  <c r="Q121" i="97"/>
  <c r="R121" i="97"/>
  <c r="S121" i="97"/>
  <c r="T121" i="97"/>
  <c r="V121" i="97"/>
  <c r="W121" i="97"/>
  <c r="X121" i="97"/>
  <c r="Y121" i="97"/>
  <c r="Z121" i="97"/>
  <c r="H82" i="97"/>
  <c r="Q14" i="98"/>
  <c r="C135" i="97"/>
  <c r="D135" i="97"/>
  <c r="C157" i="97"/>
  <c r="E135" i="97"/>
  <c r="D157" i="97"/>
  <c r="F135" i="97"/>
  <c r="E157" i="97"/>
  <c r="G135" i="97"/>
  <c r="F157" i="97"/>
  <c r="H135" i="97"/>
  <c r="G157" i="97"/>
  <c r="I135" i="97"/>
  <c r="H157" i="97"/>
  <c r="J135" i="97"/>
  <c r="I157" i="97"/>
  <c r="K135" i="97"/>
  <c r="J157" i="97"/>
  <c r="L135" i="97"/>
  <c r="K157" i="97"/>
  <c r="M135" i="97"/>
  <c r="L157" i="97"/>
  <c r="C136" i="97"/>
  <c r="D136" i="97"/>
  <c r="C158" i="97"/>
  <c r="E136" i="97"/>
  <c r="D158" i="97"/>
  <c r="F136" i="97"/>
  <c r="E158" i="97"/>
  <c r="G136" i="97"/>
  <c r="F158" i="97"/>
  <c r="H136" i="97"/>
  <c r="G158" i="97"/>
  <c r="I136" i="97"/>
  <c r="H158" i="97"/>
  <c r="J136" i="97"/>
  <c r="I158" i="97"/>
  <c r="K136" i="97"/>
  <c r="J158" i="97"/>
  <c r="L136" i="97"/>
  <c r="K158" i="97"/>
  <c r="M136" i="97"/>
  <c r="L158" i="97"/>
  <c r="C137" i="97"/>
  <c r="D137" i="97"/>
  <c r="C159" i="97"/>
  <c r="E137" i="97"/>
  <c r="D159" i="97"/>
  <c r="F137" i="97"/>
  <c r="E159" i="97"/>
  <c r="G137" i="97"/>
  <c r="F159" i="97"/>
  <c r="H137" i="97"/>
  <c r="G159" i="97"/>
  <c r="I137" i="97"/>
  <c r="H159" i="97"/>
  <c r="J137" i="97"/>
  <c r="I159" i="97"/>
  <c r="K137" i="97"/>
  <c r="J159" i="97"/>
  <c r="L137" i="97"/>
  <c r="K159" i="97"/>
  <c r="M137" i="97"/>
  <c r="L159" i="97"/>
  <c r="C138" i="97"/>
  <c r="D138" i="97"/>
  <c r="C160" i="97"/>
  <c r="E138" i="97"/>
  <c r="D160" i="97"/>
  <c r="F138" i="97"/>
  <c r="E160" i="97"/>
  <c r="G138" i="97"/>
  <c r="F160" i="97"/>
  <c r="H138" i="97"/>
  <c r="G160" i="97"/>
  <c r="I138" i="97"/>
  <c r="H160" i="97"/>
  <c r="J138" i="97"/>
  <c r="I160" i="97"/>
  <c r="K138" i="97"/>
  <c r="J160" i="97"/>
  <c r="L138" i="97"/>
  <c r="K160" i="97"/>
  <c r="M138" i="97"/>
  <c r="L160" i="97"/>
  <c r="C139" i="97"/>
  <c r="D139" i="97"/>
  <c r="C161" i="97"/>
  <c r="E139" i="97"/>
  <c r="D161" i="97"/>
  <c r="F139" i="97"/>
  <c r="E161" i="97"/>
  <c r="G139" i="97"/>
  <c r="F161" i="97"/>
  <c r="H139" i="97"/>
  <c r="G161" i="97"/>
  <c r="I139" i="97"/>
  <c r="H161" i="97"/>
  <c r="J139" i="97"/>
  <c r="I161" i="97"/>
  <c r="K139" i="97"/>
  <c r="J161" i="97"/>
  <c r="L139" i="97"/>
  <c r="K161" i="97"/>
  <c r="M139" i="97"/>
  <c r="L161" i="97"/>
  <c r="C140" i="97"/>
  <c r="D140" i="97"/>
  <c r="C162" i="97"/>
  <c r="E140" i="97"/>
  <c r="D162" i="97"/>
  <c r="F140" i="97"/>
  <c r="E162" i="97"/>
  <c r="G140" i="97"/>
  <c r="F162" i="97"/>
  <c r="H140" i="97"/>
  <c r="G162" i="97"/>
  <c r="I140" i="97"/>
  <c r="H162" i="97"/>
  <c r="J140" i="97"/>
  <c r="I162" i="97"/>
  <c r="K140" i="97"/>
  <c r="J162" i="97"/>
  <c r="L140" i="97"/>
  <c r="K162" i="97"/>
  <c r="M140" i="97"/>
  <c r="L162" i="97"/>
  <c r="C141" i="97"/>
  <c r="D141" i="97"/>
  <c r="C163" i="97"/>
  <c r="E141" i="97"/>
  <c r="D163" i="97"/>
  <c r="F141" i="97"/>
  <c r="E163" i="97"/>
  <c r="G141" i="97"/>
  <c r="F163" i="97"/>
  <c r="H141" i="97"/>
  <c r="G163" i="97"/>
  <c r="I141" i="97"/>
  <c r="H163" i="97"/>
  <c r="J141" i="97"/>
  <c r="I163" i="97"/>
  <c r="K141" i="97"/>
  <c r="J163" i="97"/>
  <c r="L141" i="97"/>
  <c r="K163" i="97"/>
  <c r="M141" i="97"/>
  <c r="L163" i="97"/>
  <c r="C142" i="97"/>
  <c r="D142" i="97"/>
  <c r="C164" i="97"/>
  <c r="E142" i="97"/>
  <c r="D164" i="97"/>
  <c r="F142" i="97"/>
  <c r="E164" i="97"/>
  <c r="G142" i="97"/>
  <c r="F164" i="97"/>
  <c r="H142" i="97"/>
  <c r="G164" i="97"/>
  <c r="I142" i="97"/>
  <c r="H164" i="97"/>
  <c r="J142" i="97"/>
  <c r="I164" i="97"/>
  <c r="K142" i="97"/>
  <c r="J164" i="97"/>
  <c r="L142" i="97"/>
  <c r="K164" i="97"/>
  <c r="M142" i="97"/>
  <c r="L164" i="97"/>
  <c r="C143" i="97"/>
  <c r="D143" i="97"/>
  <c r="C165" i="97"/>
  <c r="E143" i="97"/>
  <c r="D165" i="97"/>
  <c r="F143" i="97"/>
  <c r="E165" i="97"/>
  <c r="G143" i="97"/>
  <c r="F165" i="97"/>
  <c r="H143" i="97"/>
  <c r="G165" i="97"/>
  <c r="I143" i="97"/>
  <c r="H165" i="97"/>
  <c r="J143" i="97"/>
  <c r="I165" i="97"/>
  <c r="K143" i="97"/>
  <c r="J165" i="97"/>
  <c r="L143" i="97"/>
  <c r="K165" i="97"/>
  <c r="M143" i="97"/>
  <c r="L165" i="97"/>
  <c r="C144" i="97"/>
  <c r="D144" i="97"/>
  <c r="C166" i="97"/>
  <c r="E144" i="97"/>
  <c r="D166" i="97"/>
  <c r="F144" i="97"/>
  <c r="E166" i="97"/>
  <c r="G144" i="97"/>
  <c r="F166" i="97"/>
  <c r="H144" i="97"/>
  <c r="G166" i="97"/>
  <c r="I144" i="97"/>
  <c r="H166" i="97"/>
  <c r="J144" i="97"/>
  <c r="I166" i="97"/>
  <c r="K144" i="97"/>
  <c r="J166" i="97"/>
  <c r="L144" i="97"/>
  <c r="K166" i="97"/>
  <c r="M144" i="97"/>
  <c r="L166" i="97"/>
  <c r="C145" i="97"/>
  <c r="D145" i="97"/>
  <c r="C167" i="97"/>
  <c r="E145" i="97"/>
  <c r="D167" i="97"/>
  <c r="F145" i="97"/>
  <c r="E167" i="97"/>
  <c r="G145" i="97"/>
  <c r="F167" i="97"/>
  <c r="H145" i="97"/>
  <c r="G167" i="97"/>
  <c r="I145" i="97"/>
  <c r="H167" i="97"/>
  <c r="J145" i="97"/>
  <c r="I167" i="97"/>
  <c r="K145" i="97"/>
  <c r="J167" i="97"/>
  <c r="L145" i="97"/>
  <c r="K167" i="97"/>
  <c r="M145" i="97"/>
  <c r="L167" i="97"/>
  <c r="C146" i="97"/>
  <c r="D146" i="97"/>
  <c r="C168" i="97"/>
  <c r="E146" i="97"/>
  <c r="D168" i="97"/>
  <c r="F146" i="97"/>
  <c r="E168" i="97"/>
  <c r="G146" i="97"/>
  <c r="F168" i="97"/>
  <c r="H146" i="97"/>
  <c r="G168" i="97"/>
  <c r="I146" i="97"/>
  <c r="H168" i="97"/>
  <c r="J146" i="97"/>
  <c r="I168" i="97"/>
  <c r="K146" i="97"/>
  <c r="J168" i="97"/>
  <c r="L146" i="97"/>
  <c r="K168" i="97"/>
  <c r="M146" i="97"/>
  <c r="L168" i="97"/>
  <c r="C147" i="97"/>
  <c r="D147" i="97"/>
  <c r="C169" i="97"/>
  <c r="E147" i="97"/>
  <c r="D169" i="97"/>
  <c r="F147" i="97"/>
  <c r="E169" i="97"/>
  <c r="G147" i="97"/>
  <c r="F169" i="97"/>
  <c r="H147" i="97"/>
  <c r="G169" i="97"/>
  <c r="I147" i="97"/>
  <c r="H169" i="97"/>
  <c r="J147" i="97"/>
  <c r="I169" i="97"/>
  <c r="K147" i="97"/>
  <c r="J169" i="97"/>
  <c r="L147" i="97"/>
  <c r="K169" i="97"/>
  <c r="M147" i="97"/>
  <c r="L169" i="97"/>
  <c r="C148" i="97"/>
  <c r="D148" i="97"/>
  <c r="C170" i="97"/>
  <c r="E148" i="97"/>
  <c r="D170" i="97"/>
  <c r="F148" i="97"/>
  <c r="E170" i="97"/>
  <c r="G148" i="97"/>
  <c r="F170" i="97"/>
  <c r="H148" i="97"/>
  <c r="G170" i="97"/>
  <c r="I148" i="97"/>
  <c r="H170" i="97"/>
  <c r="J148" i="97"/>
  <c r="I170" i="97"/>
  <c r="K148" i="97"/>
  <c r="J170" i="97"/>
  <c r="L148" i="97"/>
  <c r="K170" i="97"/>
  <c r="M148" i="97"/>
  <c r="L170" i="97"/>
  <c r="C149" i="97"/>
  <c r="D149" i="97"/>
  <c r="C171" i="97"/>
  <c r="E149" i="97"/>
  <c r="D171" i="97"/>
  <c r="F149" i="97"/>
  <c r="E171" i="97"/>
  <c r="G149" i="97"/>
  <c r="F171" i="97"/>
  <c r="H149" i="97"/>
  <c r="G171" i="97"/>
  <c r="I149" i="97"/>
  <c r="H171" i="97"/>
  <c r="J149" i="97"/>
  <c r="I171" i="97"/>
  <c r="K149" i="97"/>
  <c r="J171" i="97"/>
  <c r="L149" i="97"/>
  <c r="K171" i="97"/>
  <c r="M149" i="97"/>
  <c r="L171" i="97"/>
  <c r="C131" i="97"/>
  <c r="Q17" i="98"/>
  <c r="P157" i="97"/>
  <c r="Q157" i="97"/>
  <c r="R157" i="97"/>
  <c r="S157" i="97"/>
  <c r="T157" i="97"/>
  <c r="V157" i="97"/>
  <c r="W157" i="97"/>
  <c r="X157" i="97"/>
  <c r="Y157" i="97"/>
  <c r="Z157" i="97"/>
  <c r="P158" i="97"/>
  <c r="Q158" i="97"/>
  <c r="R158" i="97"/>
  <c r="S158" i="97"/>
  <c r="T158" i="97"/>
  <c r="V158" i="97"/>
  <c r="W158" i="97"/>
  <c r="X158" i="97"/>
  <c r="Y158" i="97"/>
  <c r="Z158" i="97"/>
  <c r="P159" i="97"/>
  <c r="Q159" i="97"/>
  <c r="R159" i="97"/>
  <c r="S159" i="97"/>
  <c r="T159" i="97"/>
  <c r="V159" i="97"/>
  <c r="W159" i="97"/>
  <c r="X159" i="97"/>
  <c r="Y159" i="97"/>
  <c r="Z159" i="97"/>
  <c r="P160" i="97"/>
  <c r="Q160" i="97"/>
  <c r="R160" i="97"/>
  <c r="S160" i="97"/>
  <c r="T160" i="97"/>
  <c r="V160" i="97"/>
  <c r="W160" i="97"/>
  <c r="X160" i="97"/>
  <c r="Y160" i="97"/>
  <c r="Z160" i="97"/>
  <c r="P161" i="97"/>
  <c r="Q161" i="97"/>
  <c r="R161" i="97"/>
  <c r="S161" i="97"/>
  <c r="T161" i="97"/>
  <c r="V161" i="97"/>
  <c r="W161" i="97"/>
  <c r="X161" i="97"/>
  <c r="Y161" i="97"/>
  <c r="Z161" i="97"/>
  <c r="P162" i="97"/>
  <c r="Q162" i="97"/>
  <c r="R162" i="97"/>
  <c r="S162" i="97"/>
  <c r="T162" i="97"/>
  <c r="V162" i="97"/>
  <c r="W162" i="97"/>
  <c r="X162" i="97"/>
  <c r="Y162" i="97"/>
  <c r="Z162" i="97"/>
  <c r="P163" i="97"/>
  <c r="Q163" i="97"/>
  <c r="R163" i="97"/>
  <c r="S163" i="97"/>
  <c r="T163" i="97"/>
  <c r="V163" i="97"/>
  <c r="W163" i="97"/>
  <c r="X163" i="97"/>
  <c r="Y163" i="97"/>
  <c r="Z163" i="97"/>
  <c r="P164" i="97"/>
  <c r="Q164" i="97"/>
  <c r="R164" i="97"/>
  <c r="S164" i="97"/>
  <c r="T164" i="97"/>
  <c r="V164" i="97"/>
  <c r="W164" i="97"/>
  <c r="X164" i="97"/>
  <c r="Y164" i="97"/>
  <c r="Z164" i="97"/>
  <c r="P165" i="97"/>
  <c r="Q165" i="97"/>
  <c r="R165" i="97"/>
  <c r="S165" i="97"/>
  <c r="T165" i="97"/>
  <c r="V165" i="97"/>
  <c r="W165" i="97"/>
  <c r="X165" i="97"/>
  <c r="Y165" i="97"/>
  <c r="Z165" i="97"/>
  <c r="P166" i="97"/>
  <c r="Q166" i="97"/>
  <c r="R166" i="97"/>
  <c r="S166" i="97"/>
  <c r="T166" i="97"/>
  <c r="V166" i="97"/>
  <c r="W166" i="97"/>
  <c r="X166" i="97"/>
  <c r="Y166" i="97"/>
  <c r="Z166" i="97"/>
  <c r="P167" i="97"/>
  <c r="Q167" i="97"/>
  <c r="R167" i="97"/>
  <c r="S167" i="97"/>
  <c r="T167" i="97"/>
  <c r="V167" i="97"/>
  <c r="W167" i="97"/>
  <c r="X167" i="97"/>
  <c r="Y167" i="97"/>
  <c r="Z167" i="97"/>
  <c r="P168" i="97"/>
  <c r="Q168" i="97"/>
  <c r="R168" i="97"/>
  <c r="S168" i="97"/>
  <c r="T168" i="97"/>
  <c r="V168" i="97"/>
  <c r="W168" i="97"/>
  <c r="X168" i="97"/>
  <c r="Y168" i="97"/>
  <c r="Z168" i="97"/>
  <c r="P169" i="97"/>
  <c r="Q169" i="97"/>
  <c r="R169" i="97"/>
  <c r="S169" i="97"/>
  <c r="T169" i="97"/>
  <c r="V169" i="97"/>
  <c r="W169" i="97"/>
  <c r="X169" i="97"/>
  <c r="Y169" i="97"/>
  <c r="Z169" i="97"/>
  <c r="P170" i="97"/>
  <c r="Q170" i="97"/>
  <c r="R170" i="97"/>
  <c r="S170" i="97"/>
  <c r="T170" i="97"/>
  <c r="V170" i="97"/>
  <c r="W170" i="97"/>
  <c r="X170" i="97"/>
  <c r="Y170" i="97"/>
  <c r="Z170" i="97"/>
  <c r="H131" i="97"/>
  <c r="Q18" i="98"/>
  <c r="C184" i="97"/>
  <c r="D184" i="97"/>
  <c r="C206" i="97"/>
  <c r="E184" i="97"/>
  <c r="D206" i="97"/>
  <c r="F184" i="97"/>
  <c r="E206" i="97"/>
  <c r="G184" i="97"/>
  <c r="F206" i="97"/>
  <c r="H184" i="97"/>
  <c r="G206" i="97"/>
  <c r="I184" i="97"/>
  <c r="H206" i="97"/>
  <c r="J184" i="97"/>
  <c r="I206" i="97"/>
  <c r="K184" i="97"/>
  <c r="J206" i="97"/>
  <c r="L184" i="97"/>
  <c r="K206" i="97"/>
  <c r="M184" i="97"/>
  <c r="L206" i="97"/>
  <c r="C185" i="97"/>
  <c r="D185" i="97"/>
  <c r="C207" i="97"/>
  <c r="E185" i="97"/>
  <c r="D207" i="97"/>
  <c r="F185" i="97"/>
  <c r="E207" i="97"/>
  <c r="G185" i="97"/>
  <c r="F207" i="97"/>
  <c r="H185" i="97"/>
  <c r="G207" i="97"/>
  <c r="I185" i="97"/>
  <c r="H207" i="97"/>
  <c r="J185" i="97"/>
  <c r="I207" i="97"/>
  <c r="K185" i="97"/>
  <c r="J207" i="97"/>
  <c r="L185" i="97"/>
  <c r="K207" i="97"/>
  <c r="M185" i="97"/>
  <c r="L207" i="97"/>
  <c r="C186" i="97"/>
  <c r="D186" i="97"/>
  <c r="C208" i="97"/>
  <c r="E186" i="97"/>
  <c r="D208" i="97"/>
  <c r="F186" i="97"/>
  <c r="E208" i="97"/>
  <c r="G186" i="97"/>
  <c r="F208" i="97"/>
  <c r="H186" i="97"/>
  <c r="G208" i="97"/>
  <c r="I186" i="97"/>
  <c r="H208" i="97"/>
  <c r="J186" i="97"/>
  <c r="I208" i="97"/>
  <c r="K186" i="97"/>
  <c r="J208" i="97"/>
  <c r="L186" i="97"/>
  <c r="K208" i="97"/>
  <c r="M186" i="97"/>
  <c r="L208" i="97"/>
  <c r="C187" i="97"/>
  <c r="D187" i="97"/>
  <c r="C209" i="97"/>
  <c r="E187" i="97"/>
  <c r="D209" i="97"/>
  <c r="F187" i="97"/>
  <c r="E209" i="97"/>
  <c r="G187" i="97"/>
  <c r="F209" i="97"/>
  <c r="H187" i="97"/>
  <c r="G209" i="97"/>
  <c r="I187" i="97"/>
  <c r="H209" i="97"/>
  <c r="J187" i="97"/>
  <c r="I209" i="97"/>
  <c r="K187" i="97"/>
  <c r="J209" i="97"/>
  <c r="L187" i="97"/>
  <c r="K209" i="97"/>
  <c r="M187" i="97"/>
  <c r="L209" i="97"/>
  <c r="C188" i="97"/>
  <c r="D188" i="97"/>
  <c r="C210" i="97"/>
  <c r="E188" i="97"/>
  <c r="D210" i="97"/>
  <c r="F188" i="97"/>
  <c r="E210" i="97"/>
  <c r="G188" i="97"/>
  <c r="F210" i="97"/>
  <c r="H188" i="97"/>
  <c r="G210" i="97"/>
  <c r="I188" i="97"/>
  <c r="H210" i="97"/>
  <c r="J188" i="97"/>
  <c r="I210" i="97"/>
  <c r="K188" i="97"/>
  <c r="J210" i="97"/>
  <c r="L188" i="97"/>
  <c r="K210" i="97"/>
  <c r="M188" i="97"/>
  <c r="L210" i="97"/>
  <c r="C189" i="97"/>
  <c r="D189" i="97"/>
  <c r="C211" i="97"/>
  <c r="E189" i="97"/>
  <c r="D211" i="97"/>
  <c r="F189" i="97"/>
  <c r="E211" i="97"/>
  <c r="G189" i="97"/>
  <c r="F211" i="97"/>
  <c r="H189" i="97"/>
  <c r="G211" i="97"/>
  <c r="I189" i="97"/>
  <c r="H211" i="97"/>
  <c r="J189" i="97"/>
  <c r="I211" i="97"/>
  <c r="K189" i="97"/>
  <c r="J211" i="97"/>
  <c r="L189" i="97"/>
  <c r="K211" i="97"/>
  <c r="M189" i="97"/>
  <c r="L211" i="97"/>
  <c r="C190" i="97"/>
  <c r="D190" i="97"/>
  <c r="C212" i="97"/>
  <c r="E190" i="97"/>
  <c r="D212" i="97"/>
  <c r="F190" i="97"/>
  <c r="E212" i="97"/>
  <c r="G190" i="97"/>
  <c r="F212" i="97"/>
  <c r="H190" i="97"/>
  <c r="G212" i="97"/>
  <c r="I190" i="97"/>
  <c r="H212" i="97"/>
  <c r="J190" i="97"/>
  <c r="I212" i="97"/>
  <c r="K190" i="97"/>
  <c r="J212" i="97"/>
  <c r="L190" i="97"/>
  <c r="K212" i="97"/>
  <c r="M190" i="97"/>
  <c r="L212" i="97"/>
  <c r="C191" i="97"/>
  <c r="D191" i="97"/>
  <c r="C213" i="97"/>
  <c r="E191" i="97"/>
  <c r="D213" i="97"/>
  <c r="F191" i="97"/>
  <c r="E213" i="97"/>
  <c r="G191" i="97"/>
  <c r="F213" i="97"/>
  <c r="H191" i="97"/>
  <c r="G213" i="97"/>
  <c r="I191" i="97"/>
  <c r="H213" i="97"/>
  <c r="J191" i="97"/>
  <c r="I213" i="97"/>
  <c r="K191" i="97"/>
  <c r="J213" i="97"/>
  <c r="L191" i="97"/>
  <c r="K213" i="97"/>
  <c r="M191" i="97"/>
  <c r="L213" i="97"/>
  <c r="C192" i="97"/>
  <c r="D192" i="97"/>
  <c r="C214" i="97"/>
  <c r="E192" i="97"/>
  <c r="D214" i="97"/>
  <c r="F192" i="97"/>
  <c r="E214" i="97"/>
  <c r="G192" i="97"/>
  <c r="F214" i="97"/>
  <c r="H192" i="97"/>
  <c r="G214" i="97"/>
  <c r="I192" i="97"/>
  <c r="H214" i="97"/>
  <c r="J192" i="97"/>
  <c r="I214" i="97"/>
  <c r="K192" i="97"/>
  <c r="J214" i="97"/>
  <c r="L192" i="97"/>
  <c r="K214" i="97"/>
  <c r="M192" i="97"/>
  <c r="L214" i="97"/>
  <c r="C193" i="97"/>
  <c r="D193" i="97"/>
  <c r="C215" i="97"/>
  <c r="E193" i="97"/>
  <c r="D215" i="97"/>
  <c r="F193" i="97"/>
  <c r="E215" i="97"/>
  <c r="G193" i="97"/>
  <c r="F215" i="97"/>
  <c r="H193" i="97"/>
  <c r="G215" i="97"/>
  <c r="I193" i="97"/>
  <c r="H215" i="97"/>
  <c r="J193" i="97"/>
  <c r="I215" i="97"/>
  <c r="K193" i="97"/>
  <c r="J215" i="97"/>
  <c r="L193" i="97"/>
  <c r="K215" i="97"/>
  <c r="M193" i="97"/>
  <c r="L215" i="97"/>
  <c r="C194" i="97"/>
  <c r="D194" i="97"/>
  <c r="C216" i="97"/>
  <c r="E194" i="97"/>
  <c r="D216" i="97"/>
  <c r="F194" i="97"/>
  <c r="E216" i="97"/>
  <c r="G194" i="97"/>
  <c r="F216" i="97"/>
  <c r="H194" i="97"/>
  <c r="G216" i="97"/>
  <c r="I194" i="97"/>
  <c r="H216" i="97"/>
  <c r="J194" i="97"/>
  <c r="I216" i="97"/>
  <c r="K194" i="97"/>
  <c r="J216" i="97"/>
  <c r="L194" i="97"/>
  <c r="K216" i="97"/>
  <c r="M194" i="97"/>
  <c r="L216" i="97"/>
  <c r="C195" i="97"/>
  <c r="D195" i="97"/>
  <c r="C217" i="97"/>
  <c r="E195" i="97"/>
  <c r="D217" i="97"/>
  <c r="F195" i="97"/>
  <c r="E217" i="97"/>
  <c r="G195" i="97"/>
  <c r="F217" i="97"/>
  <c r="H195" i="97"/>
  <c r="G217" i="97"/>
  <c r="I195" i="97"/>
  <c r="H217" i="97"/>
  <c r="J195" i="97"/>
  <c r="I217" i="97"/>
  <c r="K195" i="97"/>
  <c r="J217" i="97"/>
  <c r="L195" i="97"/>
  <c r="K217" i="97"/>
  <c r="M195" i="97"/>
  <c r="L217" i="97"/>
  <c r="C196" i="97"/>
  <c r="D196" i="97"/>
  <c r="C218" i="97"/>
  <c r="E196" i="97"/>
  <c r="D218" i="97"/>
  <c r="F196" i="97"/>
  <c r="E218" i="97"/>
  <c r="G196" i="97"/>
  <c r="F218" i="97"/>
  <c r="H196" i="97"/>
  <c r="G218" i="97"/>
  <c r="I196" i="97"/>
  <c r="H218" i="97"/>
  <c r="J196" i="97"/>
  <c r="I218" i="97"/>
  <c r="K196" i="97"/>
  <c r="J218" i="97"/>
  <c r="L196" i="97"/>
  <c r="K218" i="97"/>
  <c r="M196" i="97"/>
  <c r="L218" i="97"/>
  <c r="C197" i="97"/>
  <c r="D197" i="97"/>
  <c r="C219" i="97"/>
  <c r="E197" i="97"/>
  <c r="D219" i="97"/>
  <c r="F197" i="97"/>
  <c r="E219" i="97"/>
  <c r="G197" i="97"/>
  <c r="F219" i="97"/>
  <c r="H197" i="97"/>
  <c r="G219" i="97"/>
  <c r="I197" i="97"/>
  <c r="H219" i="97"/>
  <c r="J197" i="97"/>
  <c r="I219" i="97"/>
  <c r="K197" i="97"/>
  <c r="J219" i="97"/>
  <c r="L197" i="97"/>
  <c r="K219" i="97"/>
  <c r="M197" i="97"/>
  <c r="L219" i="97"/>
  <c r="C198" i="97"/>
  <c r="D198" i="97"/>
  <c r="C220" i="97"/>
  <c r="E198" i="97"/>
  <c r="D220" i="97"/>
  <c r="F198" i="97"/>
  <c r="E220" i="97"/>
  <c r="G198" i="97"/>
  <c r="F220" i="97"/>
  <c r="H198" i="97"/>
  <c r="G220" i="97"/>
  <c r="I198" i="97"/>
  <c r="H220" i="97"/>
  <c r="J198" i="97"/>
  <c r="I220" i="97"/>
  <c r="K198" i="97"/>
  <c r="J220" i="97"/>
  <c r="L198" i="97"/>
  <c r="K220" i="97"/>
  <c r="M198" i="97"/>
  <c r="L220" i="97"/>
  <c r="C180" i="97"/>
  <c r="Q21" i="98"/>
  <c r="P206" i="97"/>
  <c r="Q206" i="97"/>
  <c r="R206" i="97"/>
  <c r="S206" i="97"/>
  <c r="T206" i="97"/>
  <c r="V206" i="97"/>
  <c r="W206" i="97"/>
  <c r="X206" i="97"/>
  <c r="Y206" i="97"/>
  <c r="Z206" i="97"/>
  <c r="P207" i="97"/>
  <c r="Q207" i="97"/>
  <c r="R207" i="97"/>
  <c r="S207" i="97"/>
  <c r="T207" i="97"/>
  <c r="V207" i="97"/>
  <c r="W207" i="97"/>
  <c r="X207" i="97"/>
  <c r="Y207" i="97"/>
  <c r="Z207" i="97"/>
  <c r="P208" i="97"/>
  <c r="Q208" i="97"/>
  <c r="R208" i="97"/>
  <c r="S208" i="97"/>
  <c r="T208" i="97"/>
  <c r="V208" i="97"/>
  <c r="W208" i="97"/>
  <c r="X208" i="97"/>
  <c r="Y208" i="97"/>
  <c r="Z208" i="97"/>
  <c r="P209" i="97"/>
  <c r="Q209" i="97"/>
  <c r="R209" i="97"/>
  <c r="S209" i="97"/>
  <c r="T209" i="97"/>
  <c r="V209" i="97"/>
  <c r="W209" i="97"/>
  <c r="X209" i="97"/>
  <c r="Y209" i="97"/>
  <c r="Z209" i="97"/>
  <c r="P210" i="97"/>
  <c r="Q210" i="97"/>
  <c r="R210" i="97"/>
  <c r="S210" i="97"/>
  <c r="T210" i="97"/>
  <c r="V210" i="97"/>
  <c r="W210" i="97"/>
  <c r="X210" i="97"/>
  <c r="Y210" i="97"/>
  <c r="Z210" i="97"/>
  <c r="P211" i="97"/>
  <c r="Q211" i="97"/>
  <c r="R211" i="97"/>
  <c r="S211" i="97"/>
  <c r="T211" i="97"/>
  <c r="V211" i="97"/>
  <c r="W211" i="97"/>
  <c r="X211" i="97"/>
  <c r="Y211" i="97"/>
  <c r="Z211" i="97"/>
  <c r="P212" i="97"/>
  <c r="Q212" i="97"/>
  <c r="R212" i="97"/>
  <c r="S212" i="97"/>
  <c r="T212" i="97"/>
  <c r="V212" i="97"/>
  <c r="W212" i="97"/>
  <c r="X212" i="97"/>
  <c r="Y212" i="97"/>
  <c r="Z212" i="97"/>
  <c r="P213" i="97"/>
  <c r="Q213" i="97"/>
  <c r="R213" i="97"/>
  <c r="S213" i="97"/>
  <c r="T213" i="97"/>
  <c r="V213" i="97"/>
  <c r="W213" i="97"/>
  <c r="X213" i="97"/>
  <c r="Y213" i="97"/>
  <c r="Z213" i="97"/>
  <c r="P214" i="97"/>
  <c r="Q214" i="97"/>
  <c r="R214" i="97"/>
  <c r="S214" i="97"/>
  <c r="T214" i="97"/>
  <c r="V214" i="97"/>
  <c r="W214" i="97"/>
  <c r="X214" i="97"/>
  <c r="Y214" i="97"/>
  <c r="Z214" i="97"/>
  <c r="P215" i="97"/>
  <c r="Q215" i="97"/>
  <c r="R215" i="97"/>
  <c r="S215" i="97"/>
  <c r="T215" i="97"/>
  <c r="V215" i="97"/>
  <c r="W215" i="97"/>
  <c r="X215" i="97"/>
  <c r="Y215" i="97"/>
  <c r="Z215" i="97"/>
  <c r="P216" i="97"/>
  <c r="Q216" i="97"/>
  <c r="R216" i="97"/>
  <c r="S216" i="97"/>
  <c r="T216" i="97"/>
  <c r="V216" i="97"/>
  <c r="W216" i="97"/>
  <c r="X216" i="97"/>
  <c r="Y216" i="97"/>
  <c r="Z216" i="97"/>
  <c r="P217" i="97"/>
  <c r="Q217" i="97"/>
  <c r="R217" i="97"/>
  <c r="S217" i="97"/>
  <c r="T217" i="97"/>
  <c r="V217" i="97"/>
  <c r="W217" i="97"/>
  <c r="X217" i="97"/>
  <c r="Y217" i="97"/>
  <c r="Z217" i="97"/>
  <c r="P218" i="97"/>
  <c r="Q218" i="97"/>
  <c r="R218" i="97"/>
  <c r="S218" i="97"/>
  <c r="T218" i="97"/>
  <c r="V218" i="97"/>
  <c r="W218" i="97"/>
  <c r="X218" i="97"/>
  <c r="Y218" i="97"/>
  <c r="Z218" i="97"/>
  <c r="P219" i="97"/>
  <c r="Q219" i="97"/>
  <c r="R219" i="97"/>
  <c r="S219" i="97"/>
  <c r="T219" i="97"/>
  <c r="V219" i="97"/>
  <c r="W219" i="97"/>
  <c r="X219" i="97"/>
  <c r="Y219" i="97"/>
  <c r="Z219" i="97"/>
  <c r="H180" i="97"/>
  <c r="Q22" i="98"/>
  <c r="C233" i="97"/>
  <c r="D233" i="97"/>
  <c r="C255" i="97"/>
  <c r="E233" i="97"/>
  <c r="D255" i="97"/>
  <c r="F233" i="97"/>
  <c r="E255" i="97"/>
  <c r="G233" i="97"/>
  <c r="F255" i="97"/>
  <c r="H233" i="97"/>
  <c r="G255" i="97"/>
  <c r="I233" i="97"/>
  <c r="H255" i="97"/>
  <c r="J233" i="97"/>
  <c r="I255" i="97"/>
  <c r="K233" i="97"/>
  <c r="J255" i="97"/>
  <c r="L233" i="97"/>
  <c r="K255" i="97"/>
  <c r="M233" i="97"/>
  <c r="L255" i="97"/>
  <c r="C234" i="97"/>
  <c r="D234" i="97"/>
  <c r="C256" i="97"/>
  <c r="E234" i="97"/>
  <c r="D256" i="97"/>
  <c r="F234" i="97"/>
  <c r="E256" i="97"/>
  <c r="G234" i="97"/>
  <c r="F256" i="97"/>
  <c r="H234" i="97"/>
  <c r="G256" i="97"/>
  <c r="I234" i="97"/>
  <c r="H256" i="97"/>
  <c r="J234" i="97"/>
  <c r="I256" i="97"/>
  <c r="K234" i="97"/>
  <c r="J256" i="97"/>
  <c r="L234" i="97"/>
  <c r="K256" i="97"/>
  <c r="M234" i="97"/>
  <c r="L256" i="97"/>
  <c r="C235" i="97"/>
  <c r="D235" i="97"/>
  <c r="C257" i="97"/>
  <c r="E235" i="97"/>
  <c r="D257" i="97"/>
  <c r="F235" i="97"/>
  <c r="E257" i="97"/>
  <c r="G235" i="97"/>
  <c r="F257" i="97"/>
  <c r="H235" i="97"/>
  <c r="G257" i="97"/>
  <c r="I235" i="97"/>
  <c r="H257" i="97"/>
  <c r="J235" i="97"/>
  <c r="I257" i="97"/>
  <c r="K235" i="97"/>
  <c r="J257" i="97"/>
  <c r="L235" i="97"/>
  <c r="K257" i="97"/>
  <c r="M235" i="97"/>
  <c r="L257" i="97"/>
  <c r="C236" i="97"/>
  <c r="D236" i="97"/>
  <c r="C258" i="97"/>
  <c r="E236" i="97"/>
  <c r="D258" i="97"/>
  <c r="F236" i="97"/>
  <c r="E258" i="97"/>
  <c r="G236" i="97"/>
  <c r="F258" i="97"/>
  <c r="H236" i="97"/>
  <c r="G258" i="97"/>
  <c r="I236" i="97"/>
  <c r="H258" i="97"/>
  <c r="J236" i="97"/>
  <c r="I258" i="97"/>
  <c r="K236" i="97"/>
  <c r="J258" i="97"/>
  <c r="L236" i="97"/>
  <c r="K258" i="97"/>
  <c r="M236" i="97"/>
  <c r="L258" i="97"/>
  <c r="C237" i="97"/>
  <c r="D237" i="97"/>
  <c r="C259" i="97"/>
  <c r="E237" i="97"/>
  <c r="D259" i="97"/>
  <c r="F237" i="97"/>
  <c r="E259" i="97"/>
  <c r="G237" i="97"/>
  <c r="F259" i="97"/>
  <c r="H237" i="97"/>
  <c r="G259" i="97"/>
  <c r="I237" i="97"/>
  <c r="H259" i="97"/>
  <c r="J237" i="97"/>
  <c r="I259" i="97"/>
  <c r="K237" i="97"/>
  <c r="J259" i="97"/>
  <c r="L237" i="97"/>
  <c r="K259" i="97"/>
  <c r="M237" i="97"/>
  <c r="L259" i="97"/>
  <c r="C238" i="97"/>
  <c r="D238" i="97"/>
  <c r="C260" i="97"/>
  <c r="E238" i="97"/>
  <c r="D260" i="97"/>
  <c r="F238" i="97"/>
  <c r="E260" i="97"/>
  <c r="G238" i="97"/>
  <c r="F260" i="97"/>
  <c r="H238" i="97"/>
  <c r="G260" i="97"/>
  <c r="I238" i="97"/>
  <c r="H260" i="97"/>
  <c r="J238" i="97"/>
  <c r="I260" i="97"/>
  <c r="K238" i="97"/>
  <c r="J260" i="97"/>
  <c r="L238" i="97"/>
  <c r="K260" i="97"/>
  <c r="M238" i="97"/>
  <c r="L260" i="97"/>
  <c r="C239" i="97"/>
  <c r="D239" i="97"/>
  <c r="C261" i="97"/>
  <c r="E239" i="97"/>
  <c r="D261" i="97"/>
  <c r="F239" i="97"/>
  <c r="E261" i="97"/>
  <c r="G239" i="97"/>
  <c r="F261" i="97"/>
  <c r="H239" i="97"/>
  <c r="G261" i="97"/>
  <c r="I239" i="97"/>
  <c r="H261" i="97"/>
  <c r="J239" i="97"/>
  <c r="I261" i="97"/>
  <c r="K239" i="97"/>
  <c r="J261" i="97"/>
  <c r="L239" i="97"/>
  <c r="K261" i="97"/>
  <c r="M239" i="97"/>
  <c r="L261" i="97"/>
  <c r="C240" i="97"/>
  <c r="D240" i="97"/>
  <c r="C262" i="97"/>
  <c r="E240" i="97"/>
  <c r="D262" i="97"/>
  <c r="F240" i="97"/>
  <c r="E262" i="97"/>
  <c r="G240" i="97"/>
  <c r="F262" i="97"/>
  <c r="H240" i="97"/>
  <c r="G262" i="97"/>
  <c r="I240" i="97"/>
  <c r="H262" i="97"/>
  <c r="J240" i="97"/>
  <c r="I262" i="97"/>
  <c r="K240" i="97"/>
  <c r="J262" i="97"/>
  <c r="L240" i="97"/>
  <c r="K262" i="97"/>
  <c r="M240" i="97"/>
  <c r="L262" i="97"/>
  <c r="C241" i="97"/>
  <c r="D241" i="97"/>
  <c r="C263" i="97"/>
  <c r="E241" i="97"/>
  <c r="D263" i="97"/>
  <c r="F241" i="97"/>
  <c r="E263" i="97"/>
  <c r="G241" i="97"/>
  <c r="F263" i="97"/>
  <c r="H241" i="97"/>
  <c r="G263" i="97"/>
  <c r="I241" i="97"/>
  <c r="H263" i="97"/>
  <c r="J241" i="97"/>
  <c r="I263" i="97"/>
  <c r="K241" i="97"/>
  <c r="J263" i="97"/>
  <c r="L241" i="97"/>
  <c r="K263" i="97"/>
  <c r="M241" i="97"/>
  <c r="L263" i="97"/>
  <c r="C242" i="97"/>
  <c r="D242" i="97"/>
  <c r="C264" i="97"/>
  <c r="E242" i="97"/>
  <c r="D264" i="97"/>
  <c r="F242" i="97"/>
  <c r="E264" i="97"/>
  <c r="G242" i="97"/>
  <c r="F264" i="97"/>
  <c r="H242" i="97"/>
  <c r="G264" i="97"/>
  <c r="I242" i="97"/>
  <c r="H264" i="97"/>
  <c r="J242" i="97"/>
  <c r="I264" i="97"/>
  <c r="K242" i="97"/>
  <c r="J264" i="97"/>
  <c r="L242" i="97"/>
  <c r="K264" i="97"/>
  <c r="M242" i="97"/>
  <c r="L264" i="97"/>
  <c r="C243" i="97"/>
  <c r="D243" i="97"/>
  <c r="C265" i="97"/>
  <c r="E243" i="97"/>
  <c r="D265" i="97"/>
  <c r="F243" i="97"/>
  <c r="E265" i="97"/>
  <c r="G243" i="97"/>
  <c r="F265" i="97"/>
  <c r="H243" i="97"/>
  <c r="G265" i="97"/>
  <c r="I243" i="97"/>
  <c r="H265" i="97"/>
  <c r="J243" i="97"/>
  <c r="I265" i="97"/>
  <c r="K243" i="97"/>
  <c r="J265" i="97"/>
  <c r="L243" i="97"/>
  <c r="K265" i="97"/>
  <c r="M243" i="97"/>
  <c r="L265" i="97"/>
  <c r="C244" i="97"/>
  <c r="D244" i="97"/>
  <c r="C266" i="97"/>
  <c r="E244" i="97"/>
  <c r="D266" i="97"/>
  <c r="F244" i="97"/>
  <c r="E266" i="97"/>
  <c r="G244" i="97"/>
  <c r="F266" i="97"/>
  <c r="H244" i="97"/>
  <c r="G266" i="97"/>
  <c r="I244" i="97"/>
  <c r="H266" i="97"/>
  <c r="J244" i="97"/>
  <c r="I266" i="97"/>
  <c r="K244" i="97"/>
  <c r="J266" i="97"/>
  <c r="L244" i="97"/>
  <c r="K266" i="97"/>
  <c r="M244" i="97"/>
  <c r="L266" i="97"/>
  <c r="C245" i="97"/>
  <c r="D245" i="97"/>
  <c r="C267" i="97"/>
  <c r="E245" i="97"/>
  <c r="D267" i="97"/>
  <c r="F245" i="97"/>
  <c r="E267" i="97"/>
  <c r="G245" i="97"/>
  <c r="F267" i="97"/>
  <c r="H245" i="97"/>
  <c r="G267" i="97"/>
  <c r="I245" i="97"/>
  <c r="H267" i="97"/>
  <c r="J245" i="97"/>
  <c r="I267" i="97"/>
  <c r="K245" i="97"/>
  <c r="J267" i="97"/>
  <c r="L245" i="97"/>
  <c r="K267" i="97"/>
  <c r="M245" i="97"/>
  <c r="L267" i="97"/>
  <c r="C246" i="97"/>
  <c r="D246" i="97"/>
  <c r="C268" i="97"/>
  <c r="E246" i="97"/>
  <c r="D268" i="97"/>
  <c r="F246" i="97"/>
  <c r="E268" i="97"/>
  <c r="G246" i="97"/>
  <c r="F268" i="97"/>
  <c r="H246" i="97"/>
  <c r="G268" i="97"/>
  <c r="I246" i="97"/>
  <c r="H268" i="97"/>
  <c r="J246" i="97"/>
  <c r="I268" i="97"/>
  <c r="K246" i="97"/>
  <c r="J268" i="97"/>
  <c r="L246" i="97"/>
  <c r="K268" i="97"/>
  <c r="M246" i="97"/>
  <c r="L268" i="97"/>
  <c r="C247" i="97"/>
  <c r="D247" i="97"/>
  <c r="C269" i="97"/>
  <c r="E247" i="97"/>
  <c r="D269" i="97"/>
  <c r="F247" i="97"/>
  <c r="E269" i="97"/>
  <c r="G247" i="97"/>
  <c r="F269" i="97"/>
  <c r="H247" i="97"/>
  <c r="G269" i="97"/>
  <c r="I247" i="97"/>
  <c r="H269" i="97"/>
  <c r="J247" i="97"/>
  <c r="I269" i="97"/>
  <c r="K247" i="97"/>
  <c r="J269" i="97"/>
  <c r="L247" i="97"/>
  <c r="K269" i="97"/>
  <c r="M247" i="97"/>
  <c r="L269" i="97"/>
  <c r="C229" i="97"/>
  <c r="Q25" i="98"/>
  <c r="P255" i="97"/>
  <c r="Q255" i="97"/>
  <c r="R255" i="97"/>
  <c r="S255" i="97"/>
  <c r="T255" i="97"/>
  <c r="V255" i="97"/>
  <c r="W255" i="97"/>
  <c r="X255" i="97"/>
  <c r="Y255" i="97"/>
  <c r="Z255" i="97"/>
  <c r="P256" i="97"/>
  <c r="Q256" i="97"/>
  <c r="R256" i="97"/>
  <c r="S256" i="97"/>
  <c r="T256" i="97"/>
  <c r="V256" i="97"/>
  <c r="W256" i="97"/>
  <c r="X256" i="97"/>
  <c r="Y256" i="97"/>
  <c r="Z256" i="97"/>
  <c r="P257" i="97"/>
  <c r="Q257" i="97"/>
  <c r="R257" i="97"/>
  <c r="S257" i="97"/>
  <c r="T257" i="97"/>
  <c r="V257" i="97"/>
  <c r="W257" i="97"/>
  <c r="X257" i="97"/>
  <c r="Y257" i="97"/>
  <c r="Z257" i="97"/>
  <c r="P258" i="97"/>
  <c r="Q258" i="97"/>
  <c r="R258" i="97"/>
  <c r="S258" i="97"/>
  <c r="T258" i="97"/>
  <c r="V258" i="97"/>
  <c r="W258" i="97"/>
  <c r="X258" i="97"/>
  <c r="Y258" i="97"/>
  <c r="Z258" i="97"/>
  <c r="P259" i="97"/>
  <c r="Q259" i="97"/>
  <c r="R259" i="97"/>
  <c r="S259" i="97"/>
  <c r="T259" i="97"/>
  <c r="V259" i="97"/>
  <c r="W259" i="97"/>
  <c r="X259" i="97"/>
  <c r="Y259" i="97"/>
  <c r="Z259" i="97"/>
  <c r="P260" i="97"/>
  <c r="Q260" i="97"/>
  <c r="R260" i="97"/>
  <c r="S260" i="97"/>
  <c r="T260" i="97"/>
  <c r="V260" i="97"/>
  <c r="W260" i="97"/>
  <c r="X260" i="97"/>
  <c r="Y260" i="97"/>
  <c r="Z260" i="97"/>
  <c r="P261" i="97"/>
  <c r="Q261" i="97"/>
  <c r="R261" i="97"/>
  <c r="S261" i="97"/>
  <c r="T261" i="97"/>
  <c r="V261" i="97"/>
  <c r="W261" i="97"/>
  <c r="X261" i="97"/>
  <c r="Y261" i="97"/>
  <c r="Z261" i="97"/>
  <c r="P262" i="97"/>
  <c r="Q262" i="97"/>
  <c r="R262" i="97"/>
  <c r="S262" i="97"/>
  <c r="T262" i="97"/>
  <c r="V262" i="97"/>
  <c r="W262" i="97"/>
  <c r="X262" i="97"/>
  <c r="Y262" i="97"/>
  <c r="Z262" i="97"/>
  <c r="P263" i="97"/>
  <c r="Q263" i="97"/>
  <c r="R263" i="97"/>
  <c r="S263" i="97"/>
  <c r="T263" i="97"/>
  <c r="V263" i="97"/>
  <c r="W263" i="97"/>
  <c r="X263" i="97"/>
  <c r="Y263" i="97"/>
  <c r="Z263" i="97"/>
  <c r="P264" i="97"/>
  <c r="Q264" i="97"/>
  <c r="R264" i="97"/>
  <c r="S264" i="97"/>
  <c r="T264" i="97"/>
  <c r="V264" i="97"/>
  <c r="W264" i="97"/>
  <c r="X264" i="97"/>
  <c r="Y264" i="97"/>
  <c r="Z264" i="97"/>
  <c r="P265" i="97"/>
  <c r="Q265" i="97"/>
  <c r="R265" i="97"/>
  <c r="S265" i="97"/>
  <c r="T265" i="97"/>
  <c r="V265" i="97"/>
  <c r="W265" i="97"/>
  <c r="X265" i="97"/>
  <c r="Y265" i="97"/>
  <c r="Z265" i="97"/>
  <c r="P266" i="97"/>
  <c r="Q266" i="97"/>
  <c r="R266" i="97"/>
  <c r="S266" i="97"/>
  <c r="T266" i="97"/>
  <c r="V266" i="97"/>
  <c r="W266" i="97"/>
  <c r="X266" i="97"/>
  <c r="Y266" i="97"/>
  <c r="Z266" i="97"/>
  <c r="P267" i="97"/>
  <c r="Q267" i="97"/>
  <c r="R267" i="97"/>
  <c r="S267" i="97"/>
  <c r="T267" i="97"/>
  <c r="V267" i="97"/>
  <c r="W267" i="97"/>
  <c r="X267" i="97"/>
  <c r="Y267" i="97"/>
  <c r="Z267" i="97"/>
  <c r="P268" i="97"/>
  <c r="Q268" i="97"/>
  <c r="R268" i="97"/>
  <c r="S268" i="97"/>
  <c r="T268" i="97"/>
  <c r="V268" i="97"/>
  <c r="W268" i="97"/>
  <c r="X268" i="97"/>
  <c r="Y268" i="97"/>
  <c r="Z268" i="97"/>
  <c r="H229" i="97"/>
  <c r="Q26" i="98"/>
  <c r="C282" i="97"/>
  <c r="D282" i="97"/>
  <c r="C304" i="97"/>
  <c r="E282" i="97"/>
  <c r="D304" i="97"/>
  <c r="F282" i="97"/>
  <c r="E304" i="97"/>
  <c r="G282" i="97"/>
  <c r="F304" i="97"/>
  <c r="H282" i="97"/>
  <c r="G304" i="97"/>
  <c r="I282" i="97"/>
  <c r="H304" i="97"/>
  <c r="J282" i="97"/>
  <c r="I304" i="97"/>
  <c r="K282" i="97"/>
  <c r="J304" i="97"/>
  <c r="L282" i="97"/>
  <c r="K304" i="97"/>
  <c r="M282" i="97"/>
  <c r="L304" i="97"/>
  <c r="C283" i="97"/>
  <c r="D283" i="97"/>
  <c r="C305" i="97"/>
  <c r="E283" i="97"/>
  <c r="D305" i="97"/>
  <c r="F283" i="97"/>
  <c r="E305" i="97"/>
  <c r="G283" i="97"/>
  <c r="F305" i="97"/>
  <c r="H283" i="97"/>
  <c r="G305" i="97"/>
  <c r="I283" i="97"/>
  <c r="H305" i="97"/>
  <c r="J283" i="97"/>
  <c r="I305" i="97"/>
  <c r="K283" i="97"/>
  <c r="J305" i="97"/>
  <c r="L283" i="97"/>
  <c r="K305" i="97"/>
  <c r="M283" i="97"/>
  <c r="L305" i="97"/>
  <c r="C284" i="97"/>
  <c r="D284" i="97"/>
  <c r="C306" i="97"/>
  <c r="E284" i="97"/>
  <c r="D306" i="97"/>
  <c r="F284" i="97"/>
  <c r="E306" i="97"/>
  <c r="G284" i="97"/>
  <c r="F306" i="97"/>
  <c r="H284" i="97"/>
  <c r="G306" i="97"/>
  <c r="I284" i="97"/>
  <c r="H306" i="97"/>
  <c r="J284" i="97"/>
  <c r="I306" i="97"/>
  <c r="K284" i="97"/>
  <c r="J306" i="97"/>
  <c r="L284" i="97"/>
  <c r="K306" i="97"/>
  <c r="M284" i="97"/>
  <c r="L306" i="97"/>
  <c r="C285" i="97"/>
  <c r="D285" i="97"/>
  <c r="C307" i="97"/>
  <c r="E285" i="97"/>
  <c r="D307" i="97"/>
  <c r="F285" i="97"/>
  <c r="E307" i="97"/>
  <c r="G285" i="97"/>
  <c r="F307" i="97"/>
  <c r="H285" i="97"/>
  <c r="G307" i="97"/>
  <c r="I285" i="97"/>
  <c r="H307" i="97"/>
  <c r="J285" i="97"/>
  <c r="I307" i="97"/>
  <c r="K285" i="97"/>
  <c r="J307" i="97"/>
  <c r="L285" i="97"/>
  <c r="K307" i="97"/>
  <c r="M285" i="97"/>
  <c r="L307" i="97"/>
  <c r="C286" i="97"/>
  <c r="D286" i="97"/>
  <c r="C308" i="97"/>
  <c r="E286" i="97"/>
  <c r="D308" i="97"/>
  <c r="F286" i="97"/>
  <c r="E308" i="97"/>
  <c r="G286" i="97"/>
  <c r="F308" i="97"/>
  <c r="H286" i="97"/>
  <c r="G308" i="97"/>
  <c r="I286" i="97"/>
  <c r="H308" i="97"/>
  <c r="J286" i="97"/>
  <c r="I308" i="97"/>
  <c r="K286" i="97"/>
  <c r="J308" i="97"/>
  <c r="L286" i="97"/>
  <c r="K308" i="97"/>
  <c r="M286" i="97"/>
  <c r="L308" i="97"/>
  <c r="C287" i="97"/>
  <c r="D287" i="97"/>
  <c r="C309" i="97"/>
  <c r="E287" i="97"/>
  <c r="D309" i="97"/>
  <c r="F287" i="97"/>
  <c r="E309" i="97"/>
  <c r="G287" i="97"/>
  <c r="F309" i="97"/>
  <c r="H287" i="97"/>
  <c r="G309" i="97"/>
  <c r="I287" i="97"/>
  <c r="H309" i="97"/>
  <c r="J287" i="97"/>
  <c r="I309" i="97"/>
  <c r="K287" i="97"/>
  <c r="J309" i="97"/>
  <c r="L287" i="97"/>
  <c r="K309" i="97"/>
  <c r="M287" i="97"/>
  <c r="L309" i="97"/>
  <c r="C288" i="97"/>
  <c r="D288" i="97"/>
  <c r="C310" i="97"/>
  <c r="E288" i="97"/>
  <c r="D310" i="97"/>
  <c r="F288" i="97"/>
  <c r="E310" i="97"/>
  <c r="G288" i="97"/>
  <c r="F310" i="97"/>
  <c r="H288" i="97"/>
  <c r="G310" i="97"/>
  <c r="I288" i="97"/>
  <c r="H310" i="97"/>
  <c r="J288" i="97"/>
  <c r="I310" i="97"/>
  <c r="K288" i="97"/>
  <c r="J310" i="97"/>
  <c r="L288" i="97"/>
  <c r="K310" i="97"/>
  <c r="M288" i="97"/>
  <c r="L310" i="97"/>
  <c r="C289" i="97"/>
  <c r="D289" i="97"/>
  <c r="C311" i="97"/>
  <c r="E289" i="97"/>
  <c r="D311" i="97"/>
  <c r="F289" i="97"/>
  <c r="E311" i="97"/>
  <c r="G289" i="97"/>
  <c r="F311" i="97"/>
  <c r="H289" i="97"/>
  <c r="G311" i="97"/>
  <c r="I289" i="97"/>
  <c r="H311" i="97"/>
  <c r="J289" i="97"/>
  <c r="I311" i="97"/>
  <c r="K289" i="97"/>
  <c r="J311" i="97"/>
  <c r="L289" i="97"/>
  <c r="K311" i="97"/>
  <c r="M289" i="97"/>
  <c r="L311" i="97"/>
  <c r="C290" i="97"/>
  <c r="D290" i="97"/>
  <c r="C312" i="97"/>
  <c r="E290" i="97"/>
  <c r="D312" i="97"/>
  <c r="F290" i="97"/>
  <c r="E312" i="97"/>
  <c r="G290" i="97"/>
  <c r="F312" i="97"/>
  <c r="H290" i="97"/>
  <c r="G312" i="97"/>
  <c r="I290" i="97"/>
  <c r="H312" i="97"/>
  <c r="J290" i="97"/>
  <c r="I312" i="97"/>
  <c r="K290" i="97"/>
  <c r="J312" i="97"/>
  <c r="L290" i="97"/>
  <c r="K312" i="97"/>
  <c r="M290" i="97"/>
  <c r="L312" i="97"/>
  <c r="C291" i="97"/>
  <c r="D291" i="97"/>
  <c r="C313" i="97"/>
  <c r="E291" i="97"/>
  <c r="D313" i="97"/>
  <c r="F291" i="97"/>
  <c r="E313" i="97"/>
  <c r="G291" i="97"/>
  <c r="F313" i="97"/>
  <c r="H291" i="97"/>
  <c r="G313" i="97"/>
  <c r="I291" i="97"/>
  <c r="H313" i="97"/>
  <c r="J291" i="97"/>
  <c r="I313" i="97"/>
  <c r="K291" i="97"/>
  <c r="J313" i="97"/>
  <c r="L291" i="97"/>
  <c r="K313" i="97"/>
  <c r="M291" i="97"/>
  <c r="L313" i="97"/>
  <c r="C292" i="97"/>
  <c r="D292" i="97"/>
  <c r="C314" i="97"/>
  <c r="E292" i="97"/>
  <c r="D314" i="97"/>
  <c r="F292" i="97"/>
  <c r="E314" i="97"/>
  <c r="G292" i="97"/>
  <c r="F314" i="97"/>
  <c r="H292" i="97"/>
  <c r="G314" i="97"/>
  <c r="I292" i="97"/>
  <c r="H314" i="97"/>
  <c r="J292" i="97"/>
  <c r="I314" i="97"/>
  <c r="K292" i="97"/>
  <c r="J314" i="97"/>
  <c r="L292" i="97"/>
  <c r="K314" i="97"/>
  <c r="M292" i="97"/>
  <c r="L314" i="97"/>
  <c r="C293" i="97"/>
  <c r="D293" i="97"/>
  <c r="C315" i="97"/>
  <c r="E293" i="97"/>
  <c r="D315" i="97"/>
  <c r="F293" i="97"/>
  <c r="E315" i="97"/>
  <c r="G293" i="97"/>
  <c r="F315" i="97"/>
  <c r="H293" i="97"/>
  <c r="G315" i="97"/>
  <c r="I293" i="97"/>
  <c r="H315" i="97"/>
  <c r="J293" i="97"/>
  <c r="I315" i="97"/>
  <c r="K293" i="97"/>
  <c r="J315" i="97"/>
  <c r="L293" i="97"/>
  <c r="K315" i="97"/>
  <c r="M293" i="97"/>
  <c r="L315" i="97"/>
  <c r="C294" i="97"/>
  <c r="D294" i="97"/>
  <c r="C316" i="97"/>
  <c r="E294" i="97"/>
  <c r="D316" i="97"/>
  <c r="F294" i="97"/>
  <c r="E316" i="97"/>
  <c r="G294" i="97"/>
  <c r="F316" i="97"/>
  <c r="H294" i="97"/>
  <c r="G316" i="97"/>
  <c r="I294" i="97"/>
  <c r="H316" i="97"/>
  <c r="J294" i="97"/>
  <c r="I316" i="97"/>
  <c r="K294" i="97"/>
  <c r="J316" i="97"/>
  <c r="L294" i="97"/>
  <c r="K316" i="97"/>
  <c r="M294" i="97"/>
  <c r="L316" i="97"/>
  <c r="C295" i="97"/>
  <c r="D295" i="97"/>
  <c r="C317" i="97"/>
  <c r="E295" i="97"/>
  <c r="D317" i="97"/>
  <c r="F295" i="97"/>
  <c r="E317" i="97"/>
  <c r="G295" i="97"/>
  <c r="F317" i="97"/>
  <c r="H295" i="97"/>
  <c r="G317" i="97"/>
  <c r="I295" i="97"/>
  <c r="H317" i="97"/>
  <c r="J295" i="97"/>
  <c r="I317" i="97"/>
  <c r="K295" i="97"/>
  <c r="J317" i="97"/>
  <c r="L295" i="97"/>
  <c r="K317" i="97"/>
  <c r="M295" i="97"/>
  <c r="L317" i="97"/>
  <c r="C296" i="97"/>
  <c r="D296" i="97"/>
  <c r="C318" i="97"/>
  <c r="E296" i="97"/>
  <c r="D318" i="97"/>
  <c r="F296" i="97"/>
  <c r="E318" i="97"/>
  <c r="G296" i="97"/>
  <c r="F318" i="97"/>
  <c r="H296" i="97"/>
  <c r="G318" i="97"/>
  <c r="I296" i="97"/>
  <c r="H318" i="97"/>
  <c r="J296" i="97"/>
  <c r="I318" i="97"/>
  <c r="K296" i="97"/>
  <c r="J318" i="97"/>
  <c r="L296" i="97"/>
  <c r="K318" i="97"/>
  <c r="M296" i="97"/>
  <c r="L318" i="97"/>
  <c r="C278" i="97"/>
  <c r="Q29" i="98"/>
  <c r="P304" i="97"/>
  <c r="Q304" i="97"/>
  <c r="R304" i="97"/>
  <c r="S304" i="97"/>
  <c r="T304" i="97"/>
  <c r="V304" i="97"/>
  <c r="W304" i="97"/>
  <c r="X304" i="97"/>
  <c r="Y304" i="97"/>
  <c r="Z304" i="97"/>
  <c r="P305" i="97"/>
  <c r="Q305" i="97"/>
  <c r="R305" i="97"/>
  <c r="S305" i="97"/>
  <c r="T305" i="97"/>
  <c r="V305" i="97"/>
  <c r="W305" i="97"/>
  <c r="X305" i="97"/>
  <c r="Y305" i="97"/>
  <c r="Z305" i="97"/>
  <c r="P306" i="97"/>
  <c r="Q306" i="97"/>
  <c r="R306" i="97"/>
  <c r="S306" i="97"/>
  <c r="T306" i="97"/>
  <c r="V306" i="97"/>
  <c r="W306" i="97"/>
  <c r="X306" i="97"/>
  <c r="Y306" i="97"/>
  <c r="Z306" i="97"/>
  <c r="P307" i="97"/>
  <c r="Q307" i="97"/>
  <c r="R307" i="97"/>
  <c r="S307" i="97"/>
  <c r="T307" i="97"/>
  <c r="V307" i="97"/>
  <c r="W307" i="97"/>
  <c r="X307" i="97"/>
  <c r="Y307" i="97"/>
  <c r="Z307" i="97"/>
  <c r="P308" i="97"/>
  <c r="Q308" i="97"/>
  <c r="R308" i="97"/>
  <c r="S308" i="97"/>
  <c r="T308" i="97"/>
  <c r="V308" i="97"/>
  <c r="W308" i="97"/>
  <c r="X308" i="97"/>
  <c r="Y308" i="97"/>
  <c r="Z308" i="97"/>
  <c r="P309" i="97"/>
  <c r="Q309" i="97"/>
  <c r="R309" i="97"/>
  <c r="S309" i="97"/>
  <c r="T309" i="97"/>
  <c r="V309" i="97"/>
  <c r="W309" i="97"/>
  <c r="X309" i="97"/>
  <c r="Y309" i="97"/>
  <c r="Z309" i="97"/>
  <c r="P310" i="97"/>
  <c r="Q310" i="97"/>
  <c r="R310" i="97"/>
  <c r="S310" i="97"/>
  <c r="T310" i="97"/>
  <c r="V310" i="97"/>
  <c r="W310" i="97"/>
  <c r="X310" i="97"/>
  <c r="Y310" i="97"/>
  <c r="Z310" i="97"/>
  <c r="P311" i="97"/>
  <c r="Q311" i="97"/>
  <c r="R311" i="97"/>
  <c r="S311" i="97"/>
  <c r="T311" i="97"/>
  <c r="V311" i="97"/>
  <c r="W311" i="97"/>
  <c r="X311" i="97"/>
  <c r="Y311" i="97"/>
  <c r="Z311" i="97"/>
  <c r="P312" i="97"/>
  <c r="Q312" i="97"/>
  <c r="R312" i="97"/>
  <c r="S312" i="97"/>
  <c r="T312" i="97"/>
  <c r="V312" i="97"/>
  <c r="W312" i="97"/>
  <c r="X312" i="97"/>
  <c r="Y312" i="97"/>
  <c r="Z312" i="97"/>
  <c r="P313" i="97"/>
  <c r="Q313" i="97"/>
  <c r="R313" i="97"/>
  <c r="S313" i="97"/>
  <c r="T313" i="97"/>
  <c r="V313" i="97"/>
  <c r="W313" i="97"/>
  <c r="X313" i="97"/>
  <c r="Y313" i="97"/>
  <c r="Z313" i="97"/>
  <c r="P314" i="97"/>
  <c r="Q314" i="97"/>
  <c r="R314" i="97"/>
  <c r="S314" i="97"/>
  <c r="T314" i="97"/>
  <c r="V314" i="97"/>
  <c r="W314" i="97"/>
  <c r="X314" i="97"/>
  <c r="Y314" i="97"/>
  <c r="Z314" i="97"/>
  <c r="P315" i="97"/>
  <c r="Q315" i="97"/>
  <c r="R315" i="97"/>
  <c r="S315" i="97"/>
  <c r="T315" i="97"/>
  <c r="V315" i="97"/>
  <c r="W315" i="97"/>
  <c r="X315" i="97"/>
  <c r="Y315" i="97"/>
  <c r="Z315" i="97"/>
  <c r="P316" i="97"/>
  <c r="Q316" i="97"/>
  <c r="R316" i="97"/>
  <c r="S316" i="97"/>
  <c r="T316" i="97"/>
  <c r="V316" i="97"/>
  <c r="W316" i="97"/>
  <c r="X316" i="97"/>
  <c r="Y316" i="97"/>
  <c r="Z316" i="97"/>
  <c r="P317" i="97"/>
  <c r="Q317" i="97"/>
  <c r="R317" i="97"/>
  <c r="S317" i="97"/>
  <c r="T317" i="97"/>
  <c r="V317" i="97"/>
  <c r="W317" i="97"/>
  <c r="X317" i="97"/>
  <c r="Y317" i="97"/>
  <c r="Z317" i="97"/>
  <c r="H278" i="97"/>
  <c r="Q30" i="98"/>
  <c r="C331" i="97"/>
  <c r="D331" i="97"/>
  <c r="C353" i="97"/>
  <c r="E331" i="97"/>
  <c r="D353" i="97"/>
  <c r="F331" i="97"/>
  <c r="E353" i="97"/>
  <c r="G331" i="97"/>
  <c r="F353" i="97"/>
  <c r="H331" i="97"/>
  <c r="G353" i="97"/>
  <c r="I331" i="97"/>
  <c r="H353" i="97"/>
  <c r="J331" i="97"/>
  <c r="I353" i="97"/>
  <c r="K331" i="97"/>
  <c r="J353" i="97"/>
  <c r="L331" i="97"/>
  <c r="K353" i="97"/>
  <c r="M331" i="97"/>
  <c r="L353" i="97"/>
  <c r="C332" i="97"/>
  <c r="D332" i="97"/>
  <c r="C354" i="97"/>
  <c r="E332" i="97"/>
  <c r="D354" i="97"/>
  <c r="F332" i="97"/>
  <c r="E354" i="97"/>
  <c r="G332" i="97"/>
  <c r="F354" i="97"/>
  <c r="H332" i="97"/>
  <c r="G354" i="97"/>
  <c r="I332" i="97"/>
  <c r="H354" i="97"/>
  <c r="J332" i="97"/>
  <c r="I354" i="97"/>
  <c r="K332" i="97"/>
  <c r="J354" i="97"/>
  <c r="L332" i="97"/>
  <c r="K354" i="97"/>
  <c r="M332" i="97"/>
  <c r="L354" i="97"/>
  <c r="C333" i="97"/>
  <c r="D333" i="97"/>
  <c r="C355" i="97"/>
  <c r="E333" i="97"/>
  <c r="D355" i="97"/>
  <c r="F333" i="97"/>
  <c r="E355" i="97"/>
  <c r="G333" i="97"/>
  <c r="F355" i="97"/>
  <c r="H333" i="97"/>
  <c r="G355" i="97"/>
  <c r="I333" i="97"/>
  <c r="H355" i="97"/>
  <c r="J333" i="97"/>
  <c r="I355" i="97"/>
  <c r="K333" i="97"/>
  <c r="J355" i="97"/>
  <c r="L333" i="97"/>
  <c r="K355" i="97"/>
  <c r="M333" i="97"/>
  <c r="L355" i="97"/>
  <c r="C334" i="97"/>
  <c r="D334" i="97"/>
  <c r="C356" i="97"/>
  <c r="E334" i="97"/>
  <c r="D356" i="97"/>
  <c r="F334" i="97"/>
  <c r="E356" i="97"/>
  <c r="G334" i="97"/>
  <c r="F356" i="97"/>
  <c r="H334" i="97"/>
  <c r="G356" i="97"/>
  <c r="I334" i="97"/>
  <c r="H356" i="97"/>
  <c r="J334" i="97"/>
  <c r="I356" i="97"/>
  <c r="K334" i="97"/>
  <c r="J356" i="97"/>
  <c r="L334" i="97"/>
  <c r="K356" i="97"/>
  <c r="M334" i="97"/>
  <c r="L356" i="97"/>
  <c r="C335" i="97"/>
  <c r="D335" i="97"/>
  <c r="C357" i="97"/>
  <c r="E335" i="97"/>
  <c r="D357" i="97"/>
  <c r="F335" i="97"/>
  <c r="E357" i="97"/>
  <c r="G335" i="97"/>
  <c r="F357" i="97"/>
  <c r="H335" i="97"/>
  <c r="G357" i="97"/>
  <c r="I335" i="97"/>
  <c r="H357" i="97"/>
  <c r="J335" i="97"/>
  <c r="I357" i="97"/>
  <c r="K335" i="97"/>
  <c r="J357" i="97"/>
  <c r="L335" i="97"/>
  <c r="K357" i="97"/>
  <c r="M335" i="97"/>
  <c r="L357" i="97"/>
  <c r="C336" i="97"/>
  <c r="D336" i="97"/>
  <c r="C358" i="97"/>
  <c r="E336" i="97"/>
  <c r="D358" i="97"/>
  <c r="F336" i="97"/>
  <c r="E358" i="97"/>
  <c r="G336" i="97"/>
  <c r="F358" i="97"/>
  <c r="H336" i="97"/>
  <c r="G358" i="97"/>
  <c r="I336" i="97"/>
  <c r="H358" i="97"/>
  <c r="J336" i="97"/>
  <c r="I358" i="97"/>
  <c r="K336" i="97"/>
  <c r="J358" i="97"/>
  <c r="L336" i="97"/>
  <c r="K358" i="97"/>
  <c r="M336" i="97"/>
  <c r="L358" i="97"/>
  <c r="C337" i="97"/>
  <c r="D337" i="97"/>
  <c r="C359" i="97"/>
  <c r="E337" i="97"/>
  <c r="D359" i="97"/>
  <c r="F337" i="97"/>
  <c r="E359" i="97"/>
  <c r="G337" i="97"/>
  <c r="F359" i="97"/>
  <c r="H337" i="97"/>
  <c r="G359" i="97"/>
  <c r="I337" i="97"/>
  <c r="H359" i="97"/>
  <c r="J337" i="97"/>
  <c r="I359" i="97"/>
  <c r="K337" i="97"/>
  <c r="J359" i="97"/>
  <c r="L337" i="97"/>
  <c r="K359" i="97"/>
  <c r="M337" i="97"/>
  <c r="L359" i="97"/>
  <c r="C338" i="97"/>
  <c r="D338" i="97"/>
  <c r="C360" i="97"/>
  <c r="E338" i="97"/>
  <c r="D360" i="97"/>
  <c r="F338" i="97"/>
  <c r="E360" i="97"/>
  <c r="G338" i="97"/>
  <c r="F360" i="97"/>
  <c r="H338" i="97"/>
  <c r="G360" i="97"/>
  <c r="I338" i="97"/>
  <c r="H360" i="97"/>
  <c r="J338" i="97"/>
  <c r="I360" i="97"/>
  <c r="K338" i="97"/>
  <c r="J360" i="97"/>
  <c r="L338" i="97"/>
  <c r="K360" i="97"/>
  <c r="M338" i="97"/>
  <c r="L360" i="97"/>
  <c r="C339" i="97"/>
  <c r="D339" i="97"/>
  <c r="C361" i="97"/>
  <c r="E339" i="97"/>
  <c r="D361" i="97"/>
  <c r="F339" i="97"/>
  <c r="E361" i="97"/>
  <c r="G339" i="97"/>
  <c r="F361" i="97"/>
  <c r="H339" i="97"/>
  <c r="G361" i="97"/>
  <c r="I339" i="97"/>
  <c r="H361" i="97"/>
  <c r="J339" i="97"/>
  <c r="I361" i="97"/>
  <c r="K339" i="97"/>
  <c r="J361" i="97"/>
  <c r="L339" i="97"/>
  <c r="K361" i="97"/>
  <c r="M339" i="97"/>
  <c r="L361" i="97"/>
  <c r="C340" i="97"/>
  <c r="D340" i="97"/>
  <c r="C362" i="97"/>
  <c r="E340" i="97"/>
  <c r="D362" i="97"/>
  <c r="F340" i="97"/>
  <c r="E362" i="97"/>
  <c r="G340" i="97"/>
  <c r="F362" i="97"/>
  <c r="H340" i="97"/>
  <c r="G362" i="97"/>
  <c r="I340" i="97"/>
  <c r="H362" i="97"/>
  <c r="J340" i="97"/>
  <c r="I362" i="97"/>
  <c r="K340" i="97"/>
  <c r="J362" i="97"/>
  <c r="L340" i="97"/>
  <c r="K362" i="97"/>
  <c r="M340" i="97"/>
  <c r="L362" i="97"/>
  <c r="C341" i="97"/>
  <c r="D341" i="97"/>
  <c r="C363" i="97"/>
  <c r="E341" i="97"/>
  <c r="D363" i="97"/>
  <c r="F341" i="97"/>
  <c r="E363" i="97"/>
  <c r="G341" i="97"/>
  <c r="F363" i="97"/>
  <c r="H341" i="97"/>
  <c r="G363" i="97"/>
  <c r="I341" i="97"/>
  <c r="H363" i="97"/>
  <c r="J341" i="97"/>
  <c r="I363" i="97"/>
  <c r="K341" i="97"/>
  <c r="J363" i="97"/>
  <c r="L341" i="97"/>
  <c r="K363" i="97"/>
  <c r="M341" i="97"/>
  <c r="L363" i="97"/>
  <c r="C342" i="97"/>
  <c r="D342" i="97"/>
  <c r="C364" i="97"/>
  <c r="E342" i="97"/>
  <c r="D364" i="97"/>
  <c r="F342" i="97"/>
  <c r="E364" i="97"/>
  <c r="G342" i="97"/>
  <c r="F364" i="97"/>
  <c r="H342" i="97"/>
  <c r="G364" i="97"/>
  <c r="I342" i="97"/>
  <c r="H364" i="97"/>
  <c r="J342" i="97"/>
  <c r="I364" i="97"/>
  <c r="K342" i="97"/>
  <c r="J364" i="97"/>
  <c r="L342" i="97"/>
  <c r="K364" i="97"/>
  <c r="M342" i="97"/>
  <c r="L364" i="97"/>
  <c r="C343" i="97"/>
  <c r="D343" i="97"/>
  <c r="C365" i="97"/>
  <c r="E343" i="97"/>
  <c r="D365" i="97"/>
  <c r="F343" i="97"/>
  <c r="E365" i="97"/>
  <c r="G343" i="97"/>
  <c r="F365" i="97"/>
  <c r="H343" i="97"/>
  <c r="G365" i="97"/>
  <c r="I343" i="97"/>
  <c r="H365" i="97"/>
  <c r="J343" i="97"/>
  <c r="I365" i="97"/>
  <c r="K343" i="97"/>
  <c r="J365" i="97"/>
  <c r="L343" i="97"/>
  <c r="K365" i="97"/>
  <c r="M343" i="97"/>
  <c r="L365" i="97"/>
  <c r="C344" i="97"/>
  <c r="D344" i="97"/>
  <c r="C366" i="97"/>
  <c r="E344" i="97"/>
  <c r="D366" i="97"/>
  <c r="F344" i="97"/>
  <c r="E366" i="97"/>
  <c r="G344" i="97"/>
  <c r="F366" i="97"/>
  <c r="H344" i="97"/>
  <c r="G366" i="97"/>
  <c r="I344" i="97"/>
  <c r="H366" i="97"/>
  <c r="J344" i="97"/>
  <c r="I366" i="97"/>
  <c r="K344" i="97"/>
  <c r="J366" i="97"/>
  <c r="L344" i="97"/>
  <c r="K366" i="97"/>
  <c r="M344" i="97"/>
  <c r="L366" i="97"/>
  <c r="C345" i="97"/>
  <c r="D345" i="97"/>
  <c r="C367" i="97"/>
  <c r="E345" i="97"/>
  <c r="D367" i="97"/>
  <c r="F345" i="97"/>
  <c r="E367" i="97"/>
  <c r="G345" i="97"/>
  <c r="F367" i="97"/>
  <c r="H345" i="97"/>
  <c r="G367" i="97"/>
  <c r="I345" i="97"/>
  <c r="H367" i="97"/>
  <c r="J345" i="97"/>
  <c r="I367" i="97"/>
  <c r="K345" i="97"/>
  <c r="J367" i="97"/>
  <c r="L345" i="97"/>
  <c r="K367" i="97"/>
  <c r="M345" i="97"/>
  <c r="L367" i="97"/>
  <c r="C327" i="97"/>
  <c r="Q33" i="98"/>
  <c r="P353" i="97"/>
  <c r="Q353" i="97"/>
  <c r="R353" i="97"/>
  <c r="S353" i="97"/>
  <c r="T353" i="97"/>
  <c r="V353" i="97"/>
  <c r="W353" i="97"/>
  <c r="X353" i="97"/>
  <c r="Y353" i="97"/>
  <c r="Z353" i="97"/>
  <c r="P354" i="97"/>
  <c r="Q354" i="97"/>
  <c r="R354" i="97"/>
  <c r="S354" i="97"/>
  <c r="T354" i="97"/>
  <c r="V354" i="97"/>
  <c r="W354" i="97"/>
  <c r="X354" i="97"/>
  <c r="Y354" i="97"/>
  <c r="Z354" i="97"/>
  <c r="P355" i="97"/>
  <c r="Q355" i="97"/>
  <c r="R355" i="97"/>
  <c r="S355" i="97"/>
  <c r="T355" i="97"/>
  <c r="V355" i="97"/>
  <c r="W355" i="97"/>
  <c r="X355" i="97"/>
  <c r="Y355" i="97"/>
  <c r="Z355" i="97"/>
  <c r="P356" i="97"/>
  <c r="Q356" i="97"/>
  <c r="R356" i="97"/>
  <c r="S356" i="97"/>
  <c r="T356" i="97"/>
  <c r="V356" i="97"/>
  <c r="W356" i="97"/>
  <c r="X356" i="97"/>
  <c r="Y356" i="97"/>
  <c r="Z356" i="97"/>
  <c r="P357" i="97"/>
  <c r="Q357" i="97"/>
  <c r="R357" i="97"/>
  <c r="S357" i="97"/>
  <c r="T357" i="97"/>
  <c r="V357" i="97"/>
  <c r="W357" i="97"/>
  <c r="X357" i="97"/>
  <c r="Y357" i="97"/>
  <c r="Z357" i="97"/>
  <c r="P358" i="97"/>
  <c r="Q358" i="97"/>
  <c r="R358" i="97"/>
  <c r="S358" i="97"/>
  <c r="T358" i="97"/>
  <c r="V358" i="97"/>
  <c r="W358" i="97"/>
  <c r="X358" i="97"/>
  <c r="Y358" i="97"/>
  <c r="Z358" i="97"/>
  <c r="P359" i="97"/>
  <c r="Q359" i="97"/>
  <c r="R359" i="97"/>
  <c r="S359" i="97"/>
  <c r="T359" i="97"/>
  <c r="V359" i="97"/>
  <c r="W359" i="97"/>
  <c r="X359" i="97"/>
  <c r="Y359" i="97"/>
  <c r="Z359" i="97"/>
  <c r="P360" i="97"/>
  <c r="Q360" i="97"/>
  <c r="R360" i="97"/>
  <c r="S360" i="97"/>
  <c r="T360" i="97"/>
  <c r="V360" i="97"/>
  <c r="W360" i="97"/>
  <c r="X360" i="97"/>
  <c r="Y360" i="97"/>
  <c r="Z360" i="97"/>
  <c r="P361" i="97"/>
  <c r="Q361" i="97"/>
  <c r="R361" i="97"/>
  <c r="S361" i="97"/>
  <c r="T361" i="97"/>
  <c r="V361" i="97"/>
  <c r="W361" i="97"/>
  <c r="X361" i="97"/>
  <c r="Y361" i="97"/>
  <c r="Z361" i="97"/>
  <c r="P362" i="97"/>
  <c r="Q362" i="97"/>
  <c r="R362" i="97"/>
  <c r="S362" i="97"/>
  <c r="T362" i="97"/>
  <c r="V362" i="97"/>
  <c r="W362" i="97"/>
  <c r="X362" i="97"/>
  <c r="Y362" i="97"/>
  <c r="Z362" i="97"/>
  <c r="P363" i="97"/>
  <c r="Q363" i="97"/>
  <c r="R363" i="97"/>
  <c r="S363" i="97"/>
  <c r="T363" i="97"/>
  <c r="V363" i="97"/>
  <c r="W363" i="97"/>
  <c r="X363" i="97"/>
  <c r="Y363" i="97"/>
  <c r="Z363" i="97"/>
  <c r="P364" i="97"/>
  <c r="Q364" i="97"/>
  <c r="R364" i="97"/>
  <c r="S364" i="97"/>
  <c r="T364" i="97"/>
  <c r="V364" i="97"/>
  <c r="W364" i="97"/>
  <c r="X364" i="97"/>
  <c r="Y364" i="97"/>
  <c r="Z364" i="97"/>
  <c r="P365" i="97"/>
  <c r="Q365" i="97"/>
  <c r="R365" i="97"/>
  <c r="S365" i="97"/>
  <c r="T365" i="97"/>
  <c r="V365" i="97"/>
  <c r="W365" i="97"/>
  <c r="X365" i="97"/>
  <c r="Y365" i="97"/>
  <c r="Z365" i="97"/>
  <c r="P366" i="97"/>
  <c r="Q366" i="97"/>
  <c r="R366" i="97"/>
  <c r="S366" i="97"/>
  <c r="T366" i="97"/>
  <c r="V366" i="97"/>
  <c r="W366" i="97"/>
  <c r="X366" i="97"/>
  <c r="Y366" i="97"/>
  <c r="Z366" i="97"/>
  <c r="H327" i="97"/>
  <c r="Q34" i="98"/>
  <c r="C380" i="97"/>
  <c r="D380" i="97"/>
  <c r="C402" i="97"/>
  <c r="E380" i="97"/>
  <c r="D402" i="97"/>
  <c r="F380" i="97"/>
  <c r="E402" i="97"/>
  <c r="G380" i="97"/>
  <c r="F402" i="97"/>
  <c r="H380" i="97"/>
  <c r="G402" i="97"/>
  <c r="I380" i="97"/>
  <c r="H402" i="97"/>
  <c r="J380" i="97"/>
  <c r="I402" i="97"/>
  <c r="K380" i="97"/>
  <c r="J402" i="97"/>
  <c r="L380" i="97"/>
  <c r="K402" i="97"/>
  <c r="M380" i="97"/>
  <c r="L402" i="97"/>
  <c r="C381" i="97"/>
  <c r="D381" i="97"/>
  <c r="C403" i="97"/>
  <c r="E381" i="97"/>
  <c r="D403" i="97"/>
  <c r="F381" i="97"/>
  <c r="E403" i="97"/>
  <c r="G381" i="97"/>
  <c r="F403" i="97"/>
  <c r="H381" i="97"/>
  <c r="G403" i="97"/>
  <c r="I381" i="97"/>
  <c r="H403" i="97"/>
  <c r="J381" i="97"/>
  <c r="I403" i="97"/>
  <c r="K381" i="97"/>
  <c r="J403" i="97"/>
  <c r="L381" i="97"/>
  <c r="K403" i="97"/>
  <c r="M381" i="97"/>
  <c r="L403" i="97"/>
  <c r="C382" i="97"/>
  <c r="D382" i="97"/>
  <c r="C404" i="97"/>
  <c r="E382" i="97"/>
  <c r="D404" i="97"/>
  <c r="F382" i="97"/>
  <c r="E404" i="97"/>
  <c r="G382" i="97"/>
  <c r="F404" i="97"/>
  <c r="H382" i="97"/>
  <c r="G404" i="97"/>
  <c r="I382" i="97"/>
  <c r="H404" i="97"/>
  <c r="J382" i="97"/>
  <c r="I404" i="97"/>
  <c r="K382" i="97"/>
  <c r="J404" i="97"/>
  <c r="L382" i="97"/>
  <c r="K404" i="97"/>
  <c r="M382" i="97"/>
  <c r="L404" i="97"/>
  <c r="C383" i="97"/>
  <c r="D383" i="97"/>
  <c r="C405" i="97"/>
  <c r="E383" i="97"/>
  <c r="D405" i="97"/>
  <c r="F383" i="97"/>
  <c r="E405" i="97"/>
  <c r="G383" i="97"/>
  <c r="F405" i="97"/>
  <c r="H383" i="97"/>
  <c r="G405" i="97"/>
  <c r="I383" i="97"/>
  <c r="H405" i="97"/>
  <c r="J383" i="97"/>
  <c r="I405" i="97"/>
  <c r="K383" i="97"/>
  <c r="J405" i="97"/>
  <c r="L383" i="97"/>
  <c r="K405" i="97"/>
  <c r="M383" i="97"/>
  <c r="L405" i="97"/>
  <c r="C384" i="97"/>
  <c r="D384" i="97"/>
  <c r="C406" i="97"/>
  <c r="E384" i="97"/>
  <c r="D406" i="97"/>
  <c r="F384" i="97"/>
  <c r="E406" i="97"/>
  <c r="G384" i="97"/>
  <c r="F406" i="97"/>
  <c r="H384" i="97"/>
  <c r="G406" i="97"/>
  <c r="I384" i="97"/>
  <c r="H406" i="97"/>
  <c r="J384" i="97"/>
  <c r="I406" i="97"/>
  <c r="K384" i="97"/>
  <c r="J406" i="97"/>
  <c r="L384" i="97"/>
  <c r="K406" i="97"/>
  <c r="M384" i="97"/>
  <c r="L406" i="97"/>
  <c r="C385" i="97"/>
  <c r="D385" i="97"/>
  <c r="C407" i="97"/>
  <c r="E385" i="97"/>
  <c r="D407" i="97"/>
  <c r="F385" i="97"/>
  <c r="E407" i="97"/>
  <c r="G385" i="97"/>
  <c r="F407" i="97"/>
  <c r="H385" i="97"/>
  <c r="G407" i="97"/>
  <c r="I385" i="97"/>
  <c r="H407" i="97"/>
  <c r="J385" i="97"/>
  <c r="I407" i="97"/>
  <c r="K385" i="97"/>
  <c r="J407" i="97"/>
  <c r="L385" i="97"/>
  <c r="K407" i="97"/>
  <c r="M385" i="97"/>
  <c r="L407" i="97"/>
  <c r="C386" i="97"/>
  <c r="D386" i="97"/>
  <c r="C408" i="97"/>
  <c r="E386" i="97"/>
  <c r="D408" i="97"/>
  <c r="F386" i="97"/>
  <c r="E408" i="97"/>
  <c r="G386" i="97"/>
  <c r="F408" i="97"/>
  <c r="H386" i="97"/>
  <c r="G408" i="97"/>
  <c r="I386" i="97"/>
  <c r="H408" i="97"/>
  <c r="J386" i="97"/>
  <c r="I408" i="97"/>
  <c r="K386" i="97"/>
  <c r="J408" i="97"/>
  <c r="L386" i="97"/>
  <c r="K408" i="97"/>
  <c r="M386" i="97"/>
  <c r="L408" i="97"/>
  <c r="C387" i="97"/>
  <c r="D387" i="97"/>
  <c r="C409" i="97"/>
  <c r="E387" i="97"/>
  <c r="D409" i="97"/>
  <c r="F387" i="97"/>
  <c r="E409" i="97"/>
  <c r="G387" i="97"/>
  <c r="F409" i="97"/>
  <c r="H387" i="97"/>
  <c r="G409" i="97"/>
  <c r="I387" i="97"/>
  <c r="H409" i="97"/>
  <c r="J387" i="97"/>
  <c r="I409" i="97"/>
  <c r="K387" i="97"/>
  <c r="J409" i="97"/>
  <c r="L387" i="97"/>
  <c r="K409" i="97"/>
  <c r="M387" i="97"/>
  <c r="L409" i="97"/>
  <c r="C388" i="97"/>
  <c r="D388" i="97"/>
  <c r="C410" i="97"/>
  <c r="E388" i="97"/>
  <c r="D410" i="97"/>
  <c r="F388" i="97"/>
  <c r="E410" i="97"/>
  <c r="G388" i="97"/>
  <c r="F410" i="97"/>
  <c r="H388" i="97"/>
  <c r="G410" i="97"/>
  <c r="I388" i="97"/>
  <c r="H410" i="97"/>
  <c r="J388" i="97"/>
  <c r="I410" i="97"/>
  <c r="K388" i="97"/>
  <c r="J410" i="97"/>
  <c r="L388" i="97"/>
  <c r="K410" i="97"/>
  <c r="M388" i="97"/>
  <c r="L410" i="97"/>
  <c r="C389" i="97"/>
  <c r="D389" i="97"/>
  <c r="C411" i="97"/>
  <c r="E389" i="97"/>
  <c r="D411" i="97"/>
  <c r="F389" i="97"/>
  <c r="E411" i="97"/>
  <c r="G389" i="97"/>
  <c r="F411" i="97"/>
  <c r="H389" i="97"/>
  <c r="G411" i="97"/>
  <c r="I389" i="97"/>
  <c r="H411" i="97"/>
  <c r="J389" i="97"/>
  <c r="I411" i="97"/>
  <c r="K389" i="97"/>
  <c r="J411" i="97"/>
  <c r="L389" i="97"/>
  <c r="K411" i="97"/>
  <c r="M389" i="97"/>
  <c r="L411" i="97"/>
  <c r="C390" i="97"/>
  <c r="D390" i="97"/>
  <c r="C412" i="97"/>
  <c r="E390" i="97"/>
  <c r="D412" i="97"/>
  <c r="F390" i="97"/>
  <c r="E412" i="97"/>
  <c r="G390" i="97"/>
  <c r="F412" i="97"/>
  <c r="H390" i="97"/>
  <c r="G412" i="97"/>
  <c r="I390" i="97"/>
  <c r="H412" i="97"/>
  <c r="J390" i="97"/>
  <c r="I412" i="97"/>
  <c r="K390" i="97"/>
  <c r="J412" i="97"/>
  <c r="L390" i="97"/>
  <c r="K412" i="97"/>
  <c r="M390" i="97"/>
  <c r="L412" i="97"/>
  <c r="C391" i="97"/>
  <c r="D391" i="97"/>
  <c r="C413" i="97"/>
  <c r="E391" i="97"/>
  <c r="D413" i="97"/>
  <c r="F391" i="97"/>
  <c r="E413" i="97"/>
  <c r="G391" i="97"/>
  <c r="F413" i="97"/>
  <c r="H391" i="97"/>
  <c r="G413" i="97"/>
  <c r="I391" i="97"/>
  <c r="H413" i="97"/>
  <c r="J391" i="97"/>
  <c r="I413" i="97"/>
  <c r="K391" i="97"/>
  <c r="J413" i="97"/>
  <c r="L391" i="97"/>
  <c r="K413" i="97"/>
  <c r="M391" i="97"/>
  <c r="L413" i="97"/>
  <c r="C392" i="97"/>
  <c r="D392" i="97"/>
  <c r="C414" i="97"/>
  <c r="E392" i="97"/>
  <c r="D414" i="97"/>
  <c r="F392" i="97"/>
  <c r="E414" i="97"/>
  <c r="G392" i="97"/>
  <c r="F414" i="97"/>
  <c r="H392" i="97"/>
  <c r="G414" i="97"/>
  <c r="I392" i="97"/>
  <c r="H414" i="97"/>
  <c r="J392" i="97"/>
  <c r="I414" i="97"/>
  <c r="K392" i="97"/>
  <c r="J414" i="97"/>
  <c r="L392" i="97"/>
  <c r="K414" i="97"/>
  <c r="M392" i="97"/>
  <c r="L414" i="97"/>
  <c r="C393" i="97"/>
  <c r="D393" i="97"/>
  <c r="C415" i="97"/>
  <c r="E393" i="97"/>
  <c r="D415" i="97"/>
  <c r="F393" i="97"/>
  <c r="E415" i="97"/>
  <c r="G393" i="97"/>
  <c r="F415" i="97"/>
  <c r="H393" i="97"/>
  <c r="G415" i="97"/>
  <c r="I393" i="97"/>
  <c r="H415" i="97"/>
  <c r="J393" i="97"/>
  <c r="I415" i="97"/>
  <c r="K393" i="97"/>
  <c r="J415" i="97"/>
  <c r="L393" i="97"/>
  <c r="K415" i="97"/>
  <c r="M393" i="97"/>
  <c r="L415" i="97"/>
  <c r="C394" i="97"/>
  <c r="D394" i="97"/>
  <c r="C416" i="97"/>
  <c r="E394" i="97"/>
  <c r="D416" i="97"/>
  <c r="F394" i="97"/>
  <c r="E416" i="97"/>
  <c r="G394" i="97"/>
  <c r="F416" i="97"/>
  <c r="H394" i="97"/>
  <c r="G416" i="97"/>
  <c r="I394" i="97"/>
  <c r="H416" i="97"/>
  <c r="J394" i="97"/>
  <c r="I416" i="97"/>
  <c r="K394" i="97"/>
  <c r="J416" i="97"/>
  <c r="L394" i="97"/>
  <c r="K416" i="97"/>
  <c r="M394" i="97"/>
  <c r="L416" i="97"/>
  <c r="C376" i="97"/>
  <c r="Q37" i="98"/>
  <c r="P402" i="97"/>
  <c r="Q402" i="97"/>
  <c r="R402" i="97"/>
  <c r="S402" i="97"/>
  <c r="T402" i="97"/>
  <c r="V402" i="97"/>
  <c r="W402" i="97"/>
  <c r="X402" i="97"/>
  <c r="Y402" i="97"/>
  <c r="Z402" i="97"/>
  <c r="P403" i="97"/>
  <c r="Q403" i="97"/>
  <c r="R403" i="97"/>
  <c r="S403" i="97"/>
  <c r="T403" i="97"/>
  <c r="V403" i="97"/>
  <c r="W403" i="97"/>
  <c r="X403" i="97"/>
  <c r="Y403" i="97"/>
  <c r="Z403" i="97"/>
  <c r="P404" i="97"/>
  <c r="Q404" i="97"/>
  <c r="R404" i="97"/>
  <c r="S404" i="97"/>
  <c r="T404" i="97"/>
  <c r="V404" i="97"/>
  <c r="W404" i="97"/>
  <c r="X404" i="97"/>
  <c r="Y404" i="97"/>
  <c r="Z404" i="97"/>
  <c r="P405" i="97"/>
  <c r="Q405" i="97"/>
  <c r="R405" i="97"/>
  <c r="S405" i="97"/>
  <c r="T405" i="97"/>
  <c r="V405" i="97"/>
  <c r="W405" i="97"/>
  <c r="X405" i="97"/>
  <c r="Y405" i="97"/>
  <c r="Z405" i="97"/>
  <c r="P406" i="97"/>
  <c r="Q406" i="97"/>
  <c r="R406" i="97"/>
  <c r="S406" i="97"/>
  <c r="T406" i="97"/>
  <c r="V406" i="97"/>
  <c r="W406" i="97"/>
  <c r="X406" i="97"/>
  <c r="Y406" i="97"/>
  <c r="Z406" i="97"/>
  <c r="P407" i="97"/>
  <c r="Q407" i="97"/>
  <c r="R407" i="97"/>
  <c r="S407" i="97"/>
  <c r="T407" i="97"/>
  <c r="V407" i="97"/>
  <c r="W407" i="97"/>
  <c r="X407" i="97"/>
  <c r="Y407" i="97"/>
  <c r="Z407" i="97"/>
  <c r="P408" i="97"/>
  <c r="Q408" i="97"/>
  <c r="R408" i="97"/>
  <c r="S408" i="97"/>
  <c r="T408" i="97"/>
  <c r="V408" i="97"/>
  <c r="W408" i="97"/>
  <c r="X408" i="97"/>
  <c r="Y408" i="97"/>
  <c r="Z408" i="97"/>
  <c r="P409" i="97"/>
  <c r="Q409" i="97"/>
  <c r="R409" i="97"/>
  <c r="S409" i="97"/>
  <c r="T409" i="97"/>
  <c r="V409" i="97"/>
  <c r="W409" i="97"/>
  <c r="X409" i="97"/>
  <c r="Y409" i="97"/>
  <c r="Z409" i="97"/>
  <c r="P410" i="97"/>
  <c r="Q410" i="97"/>
  <c r="R410" i="97"/>
  <c r="S410" i="97"/>
  <c r="T410" i="97"/>
  <c r="V410" i="97"/>
  <c r="W410" i="97"/>
  <c r="X410" i="97"/>
  <c r="Y410" i="97"/>
  <c r="Z410" i="97"/>
  <c r="P411" i="97"/>
  <c r="Q411" i="97"/>
  <c r="R411" i="97"/>
  <c r="S411" i="97"/>
  <c r="T411" i="97"/>
  <c r="V411" i="97"/>
  <c r="W411" i="97"/>
  <c r="X411" i="97"/>
  <c r="Y411" i="97"/>
  <c r="Z411" i="97"/>
  <c r="P412" i="97"/>
  <c r="Q412" i="97"/>
  <c r="R412" i="97"/>
  <c r="S412" i="97"/>
  <c r="T412" i="97"/>
  <c r="V412" i="97"/>
  <c r="W412" i="97"/>
  <c r="X412" i="97"/>
  <c r="Y412" i="97"/>
  <c r="Z412" i="97"/>
  <c r="P413" i="97"/>
  <c r="Q413" i="97"/>
  <c r="R413" i="97"/>
  <c r="S413" i="97"/>
  <c r="T413" i="97"/>
  <c r="V413" i="97"/>
  <c r="W413" i="97"/>
  <c r="X413" i="97"/>
  <c r="Y413" i="97"/>
  <c r="Z413" i="97"/>
  <c r="P414" i="97"/>
  <c r="Q414" i="97"/>
  <c r="R414" i="97"/>
  <c r="S414" i="97"/>
  <c r="T414" i="97"/>
  <c r="V414" i="97"/>
  <c r="W414" i="97"/>
  <c r="X414" i="97"/>
  <c r="Y414" i="97"/>
  <c r="Z414" i="97"/>
  <c r="P415" i="97"/>
  <c r="Q415" i="97"/>
  <c r="R415" i="97"/>
  <c r="S415" i="97"/>
  <c r="T415" i="97"/>
  <c r="V415" i="97"/>
  <c r="W415" i="97"/>
  <c r="X415" i="97"/>
  <c r="Y415" i="97"/>
  <c r="Z415" i="97"/>
  <c r="H376" i="97"/>
  <c r="Q38" i="98"/>
  <c r="Q42" i="98"/>
  <c r="Q8" i="100"/>
  <c r="B12" i="100"/>
  <c r="F3" i="82"/>
  <c r="R8" i="100"/>
  <c r="R6" i="100"/>
  <c r="O8" i="100"/>
  <c r="O6" i="100"/>
  <c r="L8" i="100"/>
  <c r="L6" i="100"/>
  <c r="I8" i="100"/>
  <c r="I6" i="100"/>
  <c r="C10" i="90"/>
  <c r="E10" i="90"/>
  <c r="C11" i="90"/>
  <c r="E11" i="90"/>
  <c r="C12" i="90"/>
  <c r="E12" i="90"/>
  <c r="C13" i="90"/>
  <c r="E13" i="90"/>
  <c r="C14" i="90"/>
  <c r="E14" i="90"/>
  <c r="C15" i="90"/>
  <c r="E15" i="90"/>
  <c r="C16" i="90"/>
  <c r="E16" i="90"/>
  <c r="C17" i="90"/>
  <c r="E17" i="90"/>
  <c r="C18" i="90"/>
  <c r="E18" i="90"/>
  <c r="C19" i="90"/>
  <c r="E19" i="90"/>
  <c r="C20" i="90"/>
  <c r="E20" i="90"/>
  <c r="C21" i="90"/>
  <c r="E21" i="90"/>
  <c r="C22" i="90"/>
  <c r="E22" i="90"/>
  <c r="C23" i="90"/>
  <c r="E23" i="90"/>
  <c r="C24" i="90"/>
  <c r="E24" i="90"/>
  <c r="H10" i="90"/>
  <c r="J10" i="90"/>
  <c r="H11" i="90"/>
  <c r="J11" i="90"/>
  <c r="H12" i="90"/>
  <c r="J12" i="90"/>
  <c r="H13" i="90"/>
  <c r="J13" i="90"/>
  <c r="H14" i="90"/>
  <c r="J14" i="90"/>
  <c r="H15" i="90"/>
  <c r="J15" i="90"/>
  <c r="H16" i="90"/>
  <c r="J16" i="90"/>
  <c r="H17" i="90"/>
  <c r="J17" i="90"/>
  <c r="H18" i="90"/>
  <c r="J18" i="90"/>
  <c r="H19" i="90"/>
  <c r="J19" i="90"/>
  <c r="H20" i="90"/>
  <c r="J20" i="90"/>
  <c r="H21" i="90"/>
  <c r="J21" i="90"/>
  <c r="H22" i="90"/>
  <c r="J22" i="90"/>
  <c r="H23" i="90"/>
  <c r="J23" i="90"/>
  <c r="H24" i="90"/>
  <c r="J24" i="90"/>
  <c r="C5" i="90"/>
  <c r="K6" i="98"/>
  <c r="C37" i="90"/>
  <c r="D37" i="90"/>
  <c r="C59" i="90"/>
  <c r="E37" i="90"/>
  <c r="D59" i="90"/>
  <c r="F37" i="90"/>
  <c r="E59" i="90"/>
  <c r="G37" i="90"/>
  <c r="F59" i="90"/>
  <c r="H37" i="90"/>
  <c r="G59" i="90"/>
  <c r="I37" i="90"/>
  <c r="H59" i="90"/>
  <c r="J37" i="90"/>
  <c r="I59" i="90"/>
  <c r="K37" i="90"/>
  <c r="J59" i="90"/>
  <c r="L37" i="90"/>
  <c r="K59" i="90"/>
  <c r="M37" i="90"/>
  <c r="L59" i="90"/>
  <c r="C38" i="90"/>
  <c r="D38" i="90"/>
  <c r="C60" i="90"/>
  <c r="E38" i="90"/>
  <c r="D60" i="90"/>
  <c r="F38" i="90"/>
  <c r="E60" i="90"/>
  <c r="G38" i="90"/>
  <c r="F60" i="90"/>
  <c r="H38" i="90"/>
  <c r="G60" i="90"/>
  <c r="I38" i="90"/>
  <c r="H60" i="90"/>
  <c r="J38" i="90"/>
  <c r="I60" i="90"/>
  <c r="K38" i="90"/>
  <c r="J60" i="90"/>
  <c r="L38" i="90"/>
  <c r="K60" i="90"/>
  <c r="M38" i="90"/>
  <c r="L60" i="90"/>
  <c r="C39" i="90"/>
  <c r="D39" i="90"/>
  <c r="C61" i="90"/>
  <c r="E39" i="90"/>
  <c r="D61" i="90"/>
  <c r="F39" i="90"/>
  <c r="E61" i="90"/>
  <c r="G39" i="90"/>
  <c r="F61" i="90"/>
  <c r="H39" i="90"/>
  <c r="G61" i="90"/>
  <c r="I39" i="90"/>
  <c r="H61" i="90"/>
  <c r="J39" i="90"/>
  <c r="I61" i="90"/>
  <c r="K39" i="90"/>
  <c r="J61" i="90"/>
  <c r="L39" i="90"/>
  <c r="K61" i="90"/>
  <c r="M39" i="90"/>
  <c r="L61" i="90"/>
  <c r="C40" i="90"/>
  <c r="D40" i="90"/>
  <c r="C62" i="90"/>
  <c r="E40" i="90"/>
  <c r="D62" i="90"/>
  <c r="F40" i="90"/>
  <c r="E62" i="90"/>
  <c r="G40" i="90"/>
  <c r="F62" i="90"/>
  <c r="H40" i="90"/>
  <c r="G62" i="90"/>
  <c r="I40" i="90"/>
  <c r="H62" i="90"/>
  <c r="J40" i="90"/>
  <c r="I62" i="90"/>
  <c r="K40" i="90"/>
  <c r="J62" i="90"/>
  <c r="L40" i="90"/>
  <c r="K62" i="90"/>
  <c r="M40" i="90"/>
  <c r="L62" i="90"/>
  <c r="C41" i="90"/>
  <c r="D41" i="90"/>
  <c r="C63" i="90"/>
  <c r="E41" i="90"/>
  <c r="D63" i="90"/>
  <c r="F41" i="90"/>
  <c r="E63" i="90"/>
  <c r="G41" i="90"/>
  <c r="F63" i="90"/>
  <c r="H41" i="90"/>
  <c r="G63" i="90"/>
  <c r="I41" i="90"/>
  <c r="H63" i="90"/>
  <c r="J41" i="90"/>
  <c r="I63" i="90"/>
  <c r="K41" i="90"/>
  <c r="J63" i="90"/>
  <c r="L41" i="90"/>
  <c r="K63" i="90"/>
  <c r="M41" i="90"/>
  <c r="L63" i="90"/>
  <c r="C42" i="90"/>
  <c r="D42" i="90"/>
  <c r="C64" i="90"/>
  <c r="E42" i="90"/>
  <c r="D64" i="90"/>
  <c r="F42" i="90"/>
  <c r="E64" i="90"/>
  <c r="G42" i="90"/>
  <c r="F64" i="90"/>
  <c r="H42" i="90"/>
  <c r="G64" i="90"/>
  <c r="I42" i="90"/>
  <c r="H64" i="90"/>
  <c r="J42" i="90"/>
  <c r="I64" i="90"/>
  <c r="K42" i="90"/>
  <c r="J64" i="90"/>
  <c r="L42" i="90"/>
  <c r="K64" i="90"/>
  <c r="M42" i="90"/>
  <c r="L64" i="90"/>
  <c r="C43" i="90"/>
  <c r="D43" i="90"/>
  <c r="C65" i="90"/>
  <c r="E43" i="90"/>
  <c r="D65" i="90"/>
  <c r="F43" i="90"/>
  <c r="E65" i="90"/>
  <c r="G43" i="90"/>
  <c r="F65" i="90"/>
  <c r="H43" i="90"/>
  <c r="G65" i="90"/>
  <c r="I43" i="90"/>
  <c r="H65" i="90"/>
  <c r="J43" i="90"/>
  <c r="I65" i="90"/>
  <c r="K43" i="90"/>
  <c r="J65" i="90"/>
  <c r="L43" i="90"/>
  <c r="K65" i="90"/>
  <c r="M43" i="90"/>
  <c r="L65" i="90"/>
  <c r="C44" i="90"/>
  <c r="D44" i="90"/>
  <c r="C66" i="90"/>
  <c r="E44" i="90"/>
  <c r="D66" i="90"/>
  <c r="F44" i="90"/>
  <c r="E66" i="90"/>
  <c r="G44" i="90"/>
  <c r="F66" i="90"/>
  <c r="H44" i="90"/>
  <c r="G66" i="90"/>
  <c r="I44" i="90"/>
  <c r="H66" i="90"/>
  <c r="J44" i="90"/>
  <c r="I66" i="90"/>
  <c r="K44" i="90"/>
  <c r="J66" i="90"/>
  <c r="L44" i="90"/>
  <c r="K66" i="90"/>
  <c r="M44" i="90"/>
  <c r="L66" i="90"/>
  <c r="C45" i="90"/>
  <c r="D45" i="90"/>
  <c r="C67" i="90"/>
  <c r="E45" i="90"/>
  <c r="D67" i="90"/>
  <c r="F45" i="90"/>
  <c r="E67" i="90"/>
  <c r="G45" i="90"/>
  <c r="F67" i="90"/>
  <c r="H45" i="90"/>
  <c r="G67" i="90"/>
  <c r="I45" i="90"/>
  <c r="H67" i="90"/>
  <c r="J45" i="90"/>
  <c r="I67" i="90"/>
  <c r="K45" i="90"/>
  <c r="J67" i="90"/>
  <c r="L45" i="90"/>
  <c r="K67" i="90"/>
  <c r="M45" i="90"/>
  <c r="L67" i="90"/>
  <c r="C46" i="90"/>
  <c r="D46" i="90"/>
  <c r="C68" i="90"/>
  <c r="E46" i="90"/>
  <c r="D68" i="90"/>
  <c r="F46" i="90"/>
  <c r="E68" i="90"/>
  <c r="G46" i="90"/>
  <c r="F68" i="90"/>
  <c r="H46" i="90"/>
  <c r="G68" i="90"/>
  <c r="I46" i="90"/>
  <c r="H68" i="90"/>
  <c r="J46" i="90"/>
  <c r="I68" i="90"/>
  <c r="K46" i="90"/>
  <c r="J68" i="90"/>
  <c r="L46" i="90"/>
  <c r="K68" i="90"/>
  <c r="M46" i="90"/>
  <c r="L68" i="90"/>
  <c r="C47" i="90"/>
  <c r="D47" i="90"/>
  <c r="C69" i="90"/>
  <c r="E47" i="90"/>
  <c r="D69" i="90"/>
  <c r="F47" i="90"/>
  <c r="E69" i="90"/>
  <c r="G47" i="90"/>
  <c r="F69" i="90"/>
  <c r="H47" i="90"/>
  <c r="G69" i="90"/>
  <c r="I47" i="90"/>
  <c r="H69" i="90"/>
  <c r="J47" i="90"/>
  <c r="I69" i="90"/>
  <c r="K47" i="90"/>
  <c r="J69" i="90"/>
  <c r="L47" i="90"/>
  <c r="K69" i="90"/>
  <c r="M47" i="90"/>
  <c r="L69" i="90"/>
  <c r="C48" i="90"/>
  <c r="D48" i="90"/>
  <c r="C70" i="90"/>
  <c r="E48" i="90"/>
  <c r="D70" i="90"/>
  <c r="F48" i="90"/>
  <c r="E70" i="90"/>
  <c r="G48" i="90"/>
  <c r="F70" i="90"/>
  <c r="H48" i="90"/>
  <c r="G70" i="90"/>
  <c r="I48" i="90"/>
  <c r="H70" i="90"/>
  <c r="J48" i="90"/>
  <c r="I70" i="90"/>
  <c r="K48" i="90"/>
  <c r="J70" i="90"/>
  <c r="L48" i="90"/>
  <c r="K70" i="90"/>
  <c r="M48" i="90"/>
  <c r="L70" i="90"/>
  <c r="C49" i="90"/>
  <c r="D49" i="90"/>
  <c r="C71" i="90"/>
  <c r="E49" i="90"/>
  <c r="D71" i="90"/>
  <c r="F49" i="90"/>
  <c r="E71" i="90"/>
  <c r="G49" i="90"/>
  <c r="F71" i="90"/>
  <c r="H49" i="90"/>
  <c r="G71" i="90"/>
  <c r="I49" i="90"/>
  <c r="H71" i="90"/>
  <c r="J49" i="90"/>
  <c r="I71" i="90"/>
  <c r="K49" i="90"/>
  <c r="J71" i="90"/>
  <c r="L49" i="90"/>
  <c r="K71" i="90"/>
  <c r="M49" i="90"/>
  <c r="L71" i="90"/>
  <c r="C50" i="90"/>
  <c r="D50" i="90"/>
  <c r="C72" i="90"/>
  <c r="E50" i="90"/>
  <c r="D72" i="90"/>
  <c r="F50" i="90"/>
  <c r="E72" i="90"/>
  <c r="G50" i="90"/>
  <c r="F72" i="90"/>
  <c r="H50" i="90"/>
  <c r="G72" i="90"/>
  <c r="I50" i="90"/>
  <c r="H72" i="90"/>
  <c r="J50" i="90"/>
  <c r="I72" i="90"/>
  <c r="K50" i="90"/>
  <c r="J72" i="90"/>
  <c r="L50" i="90"/>
  <c r="K72" i="90"/>
  <c r="M50" i="90"/>
  <c r="L72" i="90"/>
  <c r="C51" i="90"/>
  <c r="D51" i="90"/>
  <c r="C73" i="90"/>
  <c r="E51" i="90"/>
  <c r="D73" i="90"/>
  <c r="F51" i="90"/>
  <c r="E73" i="90"/>
  <c r="G51" i="90"/>
  <c r="F73" i="90"/>
  <c r="H51" i="90"/>
  <c r="G73" i="90"/>
  <c r="I51" i="90"/>
  <c r="H73" i="90"/>
  <c r="J51" i="90"/>
  <c r="I73" i="90"/>
  <c r="K51" i="90"/>
  <c r="J73" i="90"/>
  <c r="L51" i="90"/>
  <c r="K73" i="90"/>
  <c r="M51" i="90"/>
  <c r="L73" i="90"/>
  <c r="C33" i="90"/>
  <c r="K9" i="98"/>
  <c r="P59" i="90"/>
  <c r="Q59" i="90"/>
  <c r="R59" i="90"/>
  <c r="S59" i="90"/>
  <c r="T59" i="90"/>
  <c r="V59" i="90"/>
  <c r="W59" i="90"/>
  <c r="X59" i="90"/>
  <c r="Y59" i="90"/>
  <c r="Z59" i="90"/>
  <c r="P60" i="90"/>
  <c r="Q60" i="90"/>
  <c r="R60" i="90"/>
  <c r="S60" i="90"/>
  <c r="T60" i="90"/>
  <c r="V60" i="90"/>
  <c r="W60" i="90"/>
  <c r="X60" i="90"/>
  <c r="Y60" i="90"/>
  <c r="Z60" i="90"/>
  <c r="P61" i="90"/>
  <c r="Q61" i="90"/>
  <c r="R61" i="90"/>
  <c r="S61" i="90"/>
  <c r="T61" i="90"/>
  <c r="V61" i="90"/>
  <c r="W61" i="90"/>
  <c r="X61" i="90"/>
  <c r="Y61" i="90"/>
  <c r="Z61" i="90"/>
  <c r="P62" i="90"/>
  <c r="Q62" i="90"/>
  <c r="R62" i="90"/>
  <c r="S62" i="90"/>
  <c r="T62" i="90"/>
  <c r="V62" i="90"/>
  <c r="W62" i="90"/>
  <c r="X62" i="90"/>
  <c r="Y62" i="90"/>
  <c r="Z62" i="90"/>
  <c r="P63" i="90"/>
  <c r="Q63" i="90"/>
  <c r="R63" i="90"/>
  <c r="S63" i="90"/>
  <c r="T63" i="90"/>
  <c r="V63" i="90"/>
  <c r="W63" i="90"/>
  <c r="X63" i="90"/>
  <c r="Y63" i="90"/>
  <c r="Z63" i="90"/>
  <c r="P64" i="90"/>
  <c r="Q64" i="90"/>
  <c r="R64" i="90"/>
  <c r="S64" i="90"/>
  <c r="T64" i="90"/>
  <c r="V64" i="90"/>
  <c r="W64" i="90"/>
  <c r="X64" i="90"/>
  <c r="Y64" i="90"/>
  <c r="Z64" i="90"/>
  <c r="P65" i="90"/>
  <c r="Q65" i="90"/>
  <c r="R65" i="90"/>
  <c r="S65" i="90"/>
  <c r="T65" i="90"/>
  <c r="V65" i="90"/>
  <c r="W65" i="90"/>
  <c r="X65" i="90"/>
  <c r="Y65" i="90"/>
  <c r="Z65" i="90"/>
  <c r="P66" i="90"/>
  <c r="Q66" i="90"/>
  <c r="R66" i="90"/>
  <c r="S66" i="90"/>
  <c r="T66" i="90"/>
  <c r="V66" i="90"/>
  <c r="W66" i="90"/>
  <c r="X66" i="90"/>
  <c r="Y66" i="90"/>
  <c r="Z66" i="90"/>
  <c r="P67" i="90"/>
  <c r="Q67" i="90"/>
  <c r="R67" i="90"/>
  <c r="S67" i="90"/>
  <c r="T67" i="90"/>
  <c r="V67" i="90"/>
  <c r="W67" i="90"/>
  <c r="X67" i="90"/>
  <c r="Y67" i="90"/>
  <c r="Z67" i="90"/>
  <c r="P68" i="90"/>
  <c r="Q68" i="90"/>
  <c r="R68" i="90"/>
  <c r="S68" i="90"/>
  <c r="T68" i="90"/>
  <c r="V68" i="90"/>
  <c r="W68" i="90"/>
  <c r="X68" i="90"/>
  <c r="Y68" i="90"/>
  <c r="Z68" i="90"/>
  <c r="P69" i="90"/>
  <c r="Q69" i="90"/>
  <c r="R69" i="90"/>
  <c r="S69" i="90"/>
  <c r="T69" i="90"/>
  <c r="V69" i="90"/>
  <c r="W69" i="90"/>
  <c r="X69" i="90"/>
  <c r="Y69" i="90"/>
  <c r="Z69" i="90"/>
  <c r="P70" i="90"/>
  <c r="Q70" i="90"/>
  <c r="R70" i="90"/>
  <c r="S70" i="90"/>
  <c r="T70" i="90"/>
  <c r="V70" i="90"/>
  <c r="W70" i="90"/>
  <c r="X70" i="90"/>
  <c r="Y70" i="90"/>
  <c r="Z70" i="90"/>
  <c r="P71" i="90"/>
  <c r="Q71" i="90"/>
  <c r="R71" i="90"/>
  <c r="S71" i="90"/>
  <c r="T71" i="90"/>
  <c r="V71" i="90"/>
  <c r="W71" i="90"/>
  <c r="X71" i="90"/>
  <c r="Y71" i="90"/>
  <c r="Z71" i="90"/>
  <c r="P72" i="90"/>
  <c r="Q72" i="90"/>
  <c r="R72" i="90"/>
  <c r="S72" i="90"/>
  <c r="T72" i="90"/>
  <c r="V72" i="90"/>
  <c r="W72" i="90"/>
  <c r="X72" i="90"/>
  <c r="Y72" i="90"/>
  <c r="Z72" i="90"/>
  <c r="H33" i="90"/>
  <c r="K10" i="98"/>
  <c r="C86" i="90"/>
  <c r="D86" i="90"/>
  <c r="C108" i="90"/>
  <c r="E86" i="90"/>
  <c r="D108" i="90"/>
  <c r="F86" i="90"/>
  <c r="E108" i="90"/>
  <c r="G86" i="90"/>
  <c r="F108" i="90"/>
  <c r="H86" i="90"/>
  <c r="G108" i="90"/>
  <c r="I86" i="90"/>
  <c r="H108" i="90"/>
  <c r="J86" i="90"/>
  <c r="I108" i="90"/>
  <c r="K86" i="90"/>
  <c r="J108" i="90"/>
  <c r="L86" i="90"/>
  <c r="K108" i="90"/>
  <c r="M86" i="90"/>
  <c r="L108" i="90"/>
  <c r="C87" i="90"/>
  <c r="D87" i="90"/>
  <c r="C109" i="90"/>
  <c r="E87" i="90"/>
  <c r="D109" i="90"/>
  <c r="F87" i="90"/>
  <c r="E109" i="90"/>
  <c r="G87" i="90"/>
  <c r="F109" i="90"/>
  <c r="H87" i="90"/>
  <c r="G109" i="90"/>
  <c r="I87" i="90"/>
  <c r="H109" i="90"/>
  <c r="J87" i="90"/>
  <c r="I109" i="90"/>
  <c r="K87" i="90"/>
  <c r="J109" i="90"/>
  <c r="L87" i="90"/>
  <c r="K109" i="90"/>
  <c r="M87" i="90"/>
  <c r="L109" i="90"/>
  <c r="C88" i="90"/>
  <c r="D88" i="90"/>
  <c r="C110" i="90"/>
  <c r="E88" i="90"/>
  <c r="D110" i="90"/>
  <c r="F88" i="90"/>
  <c r="E110" i="90"/>
  <c r="G88" i="90"/>
  <c r="F110" i="90"/>
  <c r="H88" i="90"/>
  <c r="G110" i="90"/>
  <c r="I88" i="90"/>
  <c r="H110" i="90"/>
  <c r="J88" i="90"/>
  <c r="I110" i="90"/>
  <c r="K88" i="90"/>
  <c r="J110" i="90"/>
  <c r="L88" i="90"/>
  <c r="K110" i="90"/>
  <c r="M88" i="90"/>
  <c r="L110" i="90"/>
  <c r="C89" i="90"/>
  <c r="D89" i="90"/>
  <c r="C111" i="90"/>
  <c r="E89" i="90"/>
  <c r="D111" i="90"/>
  <c r="F89" i="90"/>
  <c r="E111" i="90"/>
  <c r="G89" i="90"/>
  <c r="F111" i="90"/>
  <c r="H89" i="90"/>
  <c r="G111" i="90"/>
  <c r="I89" i="90"/>
  <c r="H111" i="90"/>
  <c r="J89" i="90"/>
  <c r="I111" i="90"/>
  <c r="K89" i="90"/>
  <c r="J111" i="90"/>
  <c r="L89" i="90"/>
  <c r="K111" i="90"/>
  <c r="M89" i="90"/>
  <c r="L111" i="90"/>
  <c r="C90" i="90"/>
  <c r="D90" i="90"/>
  <c r="C112" i="90"/>
  <c r="E90" i="90"/>
  <c r="D112" i="90"/>
  <c r="F90" i="90"/>
  <c r="E112" i="90"/>
  <c r="G90" i="90"/>
  <c r="F112" i="90"/>
  <c r="H90" i="90"/>
  <c r="G112" i="90"/>
  <c r="I90" i="90"/>
  <c r="H112" i="90"/>
  <c r="J90" i="90"/>
  <c r="I112" i="90"/>
  <c r="K90" i="90"/>
  <c r="J112" i="90"/>
  <c r="L90" i="90"/>
  <c r="K112" i="90"/>
  <c r="M90" i="90"/>
  <c r="L112" i="90"/>
  <c r="C91" i="90"/>
  <c r="D91" i="90"/>
  <c r="C113" i="90"/>
  <c r="E91" i="90"/>
  <c r="D113" i="90"/>
  <c r="F91" i="90"/>
  <c r="E113" i="90"/>
  <c r="G91" i="90"/>
  <c r="F113" i="90"/>
  <c r="H91" i="90"/>
  <c r="G113" i="90"/>
  <c r="I91" i="90"/>
  <c r="H113" i="90"/>
  <c r="J91" i="90"/>
  <c r="I113" i="90"/>
  <c r="K91" i="90"/>
  <c r="J113" i="90"/>
  <c r="L91" i="90"/>
  <c r="K113" i="90"/>
  <c r="M91" i="90"/>
  <c r="L113" i="90"/>
  <c r="C92" i="90"/>
  <c r="D92" i="90"/>
  <c r="C114" i="90"/>
  <c r="E92" i="90"/>
  <c r="D114" i="90"/>
  <c r="F92" i="90"/>
  <c r="E114" i="90"/>
  <c r="G92" i="90"/>
  <c r="F114" i="90"/>
  <c r="H92" i="90"/>
  <c r="G114" i="90"/>
  <c r="I92" i="90"/>
  <c r="H114" i="90"/>
  <c r="J92" i="90"/>
  <c r="I114" i="90"/>
  <c r="K92" i="90"/>
  <c r="J114" i="90"/>
  <c r="L92" i="90"/>
  <c r="K114" i="90"/>
  <c r="M92" i="90"/>
  <c r="L114" i="90"/>
  <c r="C93" i="90"/>
  <c r="D93" i="90"/>
  <c r="C115" i="90"/>
  <c r="E93" i="90"/>
  <c r="D115" i="90"/>
  <c r="F93" i="90"/>
  <c r="E115" i="90"/>
  <c r="G93" i="90"/>
  <c r="F115" i="90"/>
  <c r="H93" i="90"/>
  <c r="G115" i="90"/>
  <c r="I93" i="90"/>
  <c r="H115" i="90"/>
  <c r="J93" i="90"/>
  <c r="I115" i="90"/>
  <c r="K93" i="90"/>
  <c r="J115" i="90"/>
  <c r="L93" i="90"/>
  <c r="K115" i="90"/>
  <c r="M93" i="90"/>
  <c r="L115" i="90"/>
  <c r="C94" i="90"/>
  <c r="D94" i="90"/>
  <c r="C116" i="90"/>
  <c r="E94" i="90"/>
  <c r="D116" i="90"/>
  <c r="F94" i="90"/>
  <c r="E116" i="90"/>
  <c r="G94" i="90"/>
  <c r="F116" i="90"/>
  <c r="H94" i="90"/>
  <c r="G116" i="90"/>
  <c r="I94" i="90"/>
  <c r="H116" i="90"/>
  <c r="J94" i="90"/>
  <c r="I116" i="90"/>
  <c r="K94" i="90"/>
  <c r="J116" i="90"/>
  <c r="L94" i="90"/>
  <c r="K116" i="90"/>
  <c r="M94" i="90"/>
  <c r="L116" i="90"/>
  <c r="C95" i="90"/>
  <c r="D95" i="90"/>
  <c r="C117" i="90"/>
  <c r="E95" i="90"/>
  <c r="D117" i="90"/>
  <c r="F95" i="90"/>
  <c r="E117" i="90"/>
  <c r="G95" i="90"/>
  <c r="F117" i="90"/>
  <c r="H95" i="90"/>
  <c r="G117" i="90"/>
  <c r="I95" i="90"/>
  <c r="H117" i="90"/>
  <c r="J95" i="90"/>
  <c r="I117" i="90"/>
  <c r="K95" i="90"/>
  <c r="J117" i="90"/>
  <c r="L95" i="90"/>
  <c r="K117" i="90"/>
  <c r="M95" i="90"/>
  <c r="L117" i="90"/>
  <c r="C96" i="90"/>
  <c r="D96" i="90"/>
  <c r="C118" i="90"/>
  <c r="E96" i="90"/>
  <c r="D118" i="90"/>
  <c r="F96" i="90"/>
  <c r="E118" i="90"/>
  <c r="G96" i="90"/>
  <c r="F118" i="90"/>
  <c r="H96" i="90"/>
  <c r="G118" i="90"/>
  <c r="I96" i="90"/>
  <c r="H118" i="90"/>
  <c r="J96" i="90"/>
  <c r="I118" i="90"/>
  <c r="K96" i="90"/>
  <c r="J118" i="90"/>
  <c r="L96" i="90"/>
  <c r="K118" i="90"/>
  <c r="M96" i="90"/>
  <c r="L118" i="90"/>
  <c r="C97" i="90"/>
  <c r="D97" i="90"/>
  <c r="C119" i="90"/>
  <c r="E97" i="90"/>
  <c r="D119" i="90"/>
  <c r="F97" i="90"/>
  <c r="E119" i="90"/>
  <c r="G97" i="90"/>
  <c r="F119" i="90"/>
  <c r="H97" i="90"/>
  <c r="G119" i="90"/>
  <c r="I97" i="90"/>
  <c r="H119" i="90"/>
  <c r="J97" i="90"/>
  <c r="I119" i="90"/>
  <c r="K97" i="90"/>
  <c r="J119" i="90"/>
  <c r="L97" i="90"/>
  <c r="K119" i="90"/>
  <c r="M97" i="90"/>
  <c r="L119" i="90"/>
  <c r="C98" i="90"/>
  <c r="D98" i="90"/>
  <c r="C120" i="90"/>
  <c r="E98" i="90"/>
  <c r="D120" i="90"/>
  <c r="F98" i="90"/>
  <c r="E120" i="90"/>
  <c r="G98" i="90"/>
  <c r="F120" i="90"/>
  <c r="H98" i="90"/>
  <c r="G120" i="90"/>
  <c r="I98" i="90"/>
  <c r="H120" i="90"/>
  <c r="J98" i="90"/>
  <c r="I120" i="90"/>
  <c r="K98" i="90"/>
  <c r="J120" i="90"/>
  <c r="L98" i="90"/>
  <c r="K120" i="90"/>
  <c r="M98" i="90"/>
  <c r="L120" i="90"/>
  <c r="C99" i="90"/>
  <c r="D99" i="90"/>
  <c r="C121" i="90"/>
  <c r="E99" i="90"/>
  <c r="D121" i="90"/>
  <c r="F99" i="90"/>
  <c r="E121" i="90"/>
  <c r="G99" i="90"/>
  <c r="F121" i="90"/>
  <c r="H99" i="90"/>
  <c r="G121" i="90"/>
  <c r="I99" i="90"/>
  <c r="H121" i="90"/>
  <c r="J99" i="90"/>
  <c r="I121" i="90"/>
  <c r="K99" i="90"/>
  <c r="J121" i="90"/>
  <c r="L99" i="90"/>
  <c r="K121" i="90"/>
  <c r="M99" i="90"/>
  <c r="L121" i="90"/>
  <c r="C100" i="90"/>
  <c r="D100" i="90"/>
  <c r="C122" i="90"/>
  <c r="E100" i="90"/>
  <c r="D122" i="90"/>
  <c r="F100" i="90"/>
  <c r="E122" i="90"/>
  <c r="G100" i="90"/>
  <c r="F122" i="90"/>
  <c r="H100" i="90"/>
  <c r="G122" i="90"/>
  <c r="I100" i="90"/>
  <c r="H122" i="90"/>
  <c r="J100" i="90"/>
  <c r="I122" i="90"/>
  <c r="K100" i="90"/>
  <c r="J122" i="90"/>
  <c r="L100" i="90"/>
  <c r="K122" i="90"/>
  <c r="M100" i="90"/>
  <c r="L122" i="90"/>
  <c r="C82" i="90"/>
  <c r="K13" i="98"/>
  <c r="P108" i="90"/>
  <c r="Q108" i="90"/>
  <c r="R108" i="90"/>
  <c r="S108" i="90"/>
  <c r="T108" i="90"/>
  <c r="V108" i="90"/>
  <c r="W108" i="90"/>
  <c r="X108" i="90"/>
  <c r="Y108" i="90"/>
  <c r="Z108" i="90"/>
  <c r="P109" i="90"/>
  <c r="Q109" i="90"/>
  <c r="R109" i="90"/>
  <c r="S109" i="90"/>
  <c r="T109" i="90"/>
  <c r="V109" i="90"/>
  <c r="W109" i="90"/>
  <c r="X109" i="90"/>
  <c r="Y109" i="90"/>
  <c r="Z109" i="90"/>
  <c r="P110" i="90"/>
  <c r="Q110" i="90"/>
  <c r="R110" i="90"/>
  <c r="S110" i="90"/>
  <c r="T110" i="90"/>
  <c r="V110" i="90"/>
  <c r="W110" i="90"/>
  <c r="X110" i="90"/>
  <c r="Y110" i="90"/>
  <c r="Z110" i="90"/>
  <c r="P111" i="90"/>
  <c r="Q111" i="90"/>
  <c r="R111" i="90"/>
  <c r="S111" i="90"/>
  <c r="T111" i="90"/>
  <c r="V111" i="90"/>
  <c r="W111" i="90"/>
  <c r="X111" i="90"/>
  <c r="Y111" i="90"/>
  <c r="Z111" i="90"/>
  <c r="P112" i="90"/>
  <c r="Q112" i="90"/>
  <c r="R112" i="90"/>
  <c r="S112" i="90"/>
  <c r="T112" i="90"/>
  <c r="V112" i="90"/>
  <c r="W112" i="90"/>
  <c r="X112" i="90"/>
  <c r="Y112" i="90"/>
  <c r="Z112" i="90"/>
  <c r="P113" i="90"/>
  <c r="Q113" i="90"/>
  <c r="R113" i="90"/>
  <c r="S113" i="90"/>
  <c r="T113" i="90"/>
  <c r="V113" i="90"/>
  <c r="W113" i="90"/>
  <c r="X113" i="90"/>
  <c r="Y113" i="90"/>
  <c r="Z113" i="90"/>
  <c r="P114" i="90"/>
  <c r="Q114" i="90"/>
  <c r="R114" i="90"/>
  <c r="S114" i="90"/>
  <c r="T114" i="90"/>
  <c r="V114" i="90"/>
  <c r="W114" i="90"/>
  <c r="X114" i="90"/>
  <c r="Y114" i="90"/>
  <c r="Z114" i="90"/>
  <c r="P115" i="90"/>
  <c r="Q115" i="90"/>
  <c r="R115" i="90"/>
  <c r="S115" i="90"/>
  <c r="T115" i="90"/>
  <c r="V115" i="90"/>
  <c r="W115" i="90"/>
  <c r="X115" i="90"/>
  <c r="Y115" i="90"/>
  <c r="Z115" i="90"/>
  <c r="P116" i="90"/>
  <c r="Q116" i="90"/>
  <c r="R116" i="90"/>
  <c r="S116" i="90"/>
  <c r="T116" i="90"/>
  <c r="V116" i="90"/>
  <c r="W116" i="90"/>
  <c r="X116" i="90"/>
  <c r="Y116" i="90"/>
  <c r="Z116" i="90"/>
  <c r="P117" i="90"/>
  <c r="Q117" i="90"/>
  <c r="R117" i="90"/>
  <c r="S117" i="90"/>
  <c r="T117" i="90"/>
  <c r="V117" i="90"/>
  <c r="W117" i="90"/>
  <c r="X117" i="90"/>
  <c r="Y117" i="90"/>
  <c r="Z117" i="90"/>
  <c r="P118" i="90"/>
  <c r="Q118" i="90"/>
  <c r="R118" i="90"/>
  <c r="S118" i="90"/>
  <c r="T118" i="90"/>
  <c r="V118" i="90"/>
  <c r="W118" i="90"/>
  <c r="X118" i="90"/>
  <c r="Y118" i="90"/>
  <c r="Z118" i="90"/>
  <c r="P119" i="90"/>
  <c r="Q119" i="90"/>
  <c r="R119" i="90"/>
  <c r="S119" i="90"/>
  <c r="T119" i="90"/>
  <c r="V119" i="90"/>
  <c r="W119" i="90"/>
  <c r="X119" i="90"/>
  <c r="Y119" i="90"/>
  <c r="Z119" i="90"/>
  <c r="P120" i="90"/>
  <c r="Q120" i="90"/>
  <c r="R120" i="90"/>
  <c r="S120" i="90"/>
  <c r="T120" i="90"/>
  <c r="V120" i="90"/>
  <c r="W120" i="90"/>
  <c r="X120" i="90"/>
  <c r="Y120" i="90"/>
  <c r="Z120" i="90"/>
  <c r="P121" i="90"/>
  <c r="Q121" i="90"/>
  <c r="R121" i="90"/>
  <c r="S121" i="90"/>
  <c r="T121" i="90"/>
  <c r="V121" i="90"/>
  <c r="W121" i="90"/>
  <c r="X121" i="90"/>
  <c r="Y121" i="90"/>
  <c r="Z121" i="90"/>
  <c r="H82" i="90"/>
  <c r="K14" i="98"/>
  <c r="C135" i="90"/>
  <c r="D135" i="90"/>
  <c r="C157" i="90"/>
  <c r="E135" i="90"/>
  <c r="D157" i="90"/>
  <c r="F135" i="90"/>
  <c r="E157" i="90"/>
  <c r="G135" i="90"/>
  <c r="F157" i="90"/>
  <c r="H135" i="90"/>
  <c r="G157" i="90"/>
  <c r="I135" i="90"/>
  <c r="H157" i="90"/>
  <c r="J135" i="90"/>
  <c r="I157" i="90"/>
  <c r="K135" i="90"/>
  <c r="J157" i="90"/>
  <c r="L135" i="90"/>
  <c r="K157" i="90"/>
  <c r="M135" i="90"/>
  <c r="L157" i="90"/>
  <c r="C136" i="90"/>
  <c r="D136" i="90"/>
  <c r="C158" i="90"/>
  <c r="E136" i="90"/>
  <c r="D158" i="90"/>
  <c r="F136" i="90"/>
  <c r="E158" i="90"/>
  <c r="G136" i="90"/>
  <c r="F158" i="90"/>
  <c r="H136" i="90"/>
  <c r="G158" i="90"/>
  <c r="I136" i="90"/>
  <c r="H158" i="90"/>
  <c r="J136" i="90"/>
  <c r="I158" i="90"/>
  <c r="K136" i="90"/>
  <c r="J158" i="90"/>
  <c r="L136" i="90"/>
  <c r="K158" i="90"/>
  <c r="M136" i="90"/>
  <c r="L158" i="90"/>
  <c r="C137" i="90"/>
  <c r="D137" i="90"/>
  <c r="C159" i="90"/>
  <c r="E137" i="90"/>
  <c r="D159" i="90"/>
  <c r="F137" i="90"/>
  <c r="E159" i="90"/>
  <c r="G137" i="90"/>
  <c r="F159" i="90"/>
  <c r="H137" i="90"/>
  <c r="G159" i="90"/>
  <c r="I137" i="90"/>
  <c r="H159" i="90"/>
  <c r="J137" i="90"/>
  <c r="I159" i="90"/>
  <c r="K137" i="90"/>
  <c r="J159" i="90"/>
  <c r="L137" i="90"/>
  <c r="K159" i="90"/>
  <c r="M137" i="90"/>
  <c r="L159" i="90"/>
  <c r="C138" i="90"/>
  <c r="D138" i="90"/>
  <c r="C160" i="90"/>
  <c r="E138" i="90"/>
  <c r="D160" i="90"/>
  <c r="F138" i="90"/>
  <c r="E160" i="90"/>
  <c r="G138" i="90"/>
  <c r="F160" i="90"/>
  <c r="H138" i="90"/>
  <c r="G160" i="90"/>
  <c r="I138" i="90"/>
  <c r="H160" i="90"/>
  <c r="J138" i="90"/>
  <c r="I160" i="90"/>
  <c r="K138" i="90"/>
  <c r="J160" i="90"/>
  <c r="L138" i="90"/>
  <c r="K160" i="90"/>
  <c r="M138" i="90"/>
  <c r="L160" i="90"/>
  <c r="C139" i="90"/>
  <c r="D139" i="90"/>
  <c r="C161" i="90"/>
  <c r="E139" i="90"/>
  <c r="D161" i="90"/>
  <c r="F139" i="90"/>
  <c r="E161" i="90"/>
  <c r="G139" i="90"/>
  <c r="F161" i="90"/>
  <c r="H139" i="90"/>
  <c r="G161" i="90"/>
  <c r="I139" i="90"/>
  <c r="H161" i="90"/>
  <c r="J139" i="90"/>
  <c r="I161" i="90"/>
  <c r="K139" i="90"/>
  <c r="J161" i="90"/>
  <c r="L139" i="90"/>
  <c r="K161" i="90"/>
  <c r="M139" i="90"/>
  <c r="L161" i="90"/>
  <c r="C140" i="90"/>
  <c r="D140" i="90"/>
  <c r="C162" i="90"/>
  <c r="E140" i="90"/>
  <c r="D162" i="90"/>
  <c r="F140" i="90"/>
  <c r="E162" i="90"/>
  <c r="G140" i="90"/>
  <c r="F162" i="90"/>
  <c r="H140" i="90"/>
  <c r="G162" i="90"/>
  <c r="I140" i="90"/>
  <c r="H162" i="90"/>
  <c r="J140" i="90"/>
  <c r="I162" i="90"/>
  <c r="K140" i="90"/>
  <c r="J162" i="90"/>
  <c r="L140" i="90"/>
  <c r="K162" i="90"/>
  <c r="M140" i="90"/>
  <c r="L162" i="90"/>
  <c r="C141" i="90"/>
  <c r="D141" i="90"/>
  <c r="C163" i="90"/>
  <c r="E141" i="90"/>
  <c r="D163" i="90"/>
  <c r="F141" i="90"/>
  <c r="E163" i="90"/>
  <c r="G141" i="90"/>
  <c r="F163" i="90"/>
  <c r="H141" i="90"/>
  <c r="G163" i="90"/>
  <c r="I141" i="90"/>
  <c r="H163" i="90"/>
  <c r="J141" i="90"/>
  <c r="I163" i="90"/>
  <c r="K141" i="90"/>
  <c r="J163" i="90"/>
  <c r="L141" i="90"/>
  <c r="K163" i="90"/>
  <c r="M141" i="90"/>
  <c r="L163" i="90"/>
  <c r="C142" i="90"/>
  <c r="D142" i="90"/>
  <c r="C164" i="90"/>
  <c r="E142" i="90"/>
  <c r="D164" i="90"/>
  <c r="F142" i="90"/>
  <c r="E164" i="90"/>
  <c r="G142" i="90"/>
  <c r="F164" i="90"/>
  <c r="H142" i="90"/>
  <c r="G164" i="90"/>
  <c r="I142" i="90"/>
  <c r="H164" i="90"/>
  <c r="J142" i="90"/>
  <c r="I164" i="90"/>
  <c r="K142" i="90"/>
  <c r="J164" i="90"/>
  <c r="L142" i="90"/>
  <c r="K164" i="90"/>
  <c r="M142" i="90"/>
  <c r="L164" i="90"/>
  <c r="C143" i="90"/>
  <c r="D143" i="90"/>
  <c r="C165" i="90"/>
  <c r="E143" i="90"/>
  <c r="D165" i="90"/>
  <c r="F143" i="90"/>
  <c r="E165" i="90"/>
  <c r="G143" i="90"/>
  <c r="F165" i="90"/>
  <c r="H143" i="90"/>
  <c r="G165" i="90"/>
  <c r="I143" i="90"/>
  <c r="H165" i="90"/>
  <c r="J143" i="90"/>
  <c r="I165" i="90"/>
  <c r="K143" i="90"/>
  <c r="J165" i="90"/>
  <c r="L143" i="90"/>
  <c r="K165" i="90"/>
  <c r="M143" i="90"/>
  <c r="L165" i="90"/>
  <c r="C144" i="90"/>
  <c r="D144" i="90"/>
  <c r="C166" i="90"/>
  <c r="E144" i="90"/>
  <c r="D166" i="90"/>
  <c r="F144" i="90"/>
  <c r="E166" i="90"/>
  <c r="G144" i="90"/>
  <c r="F166" i="90"/>
  <c r="H144" i="90"/>
  <c r="G166" i="90"/>
  <c r="I144" i="90"/>
  <c r="H166" i="90"/>
  <c r="J144" i="90"/>
  <c r="I166" i="90"/>
  <c r="K144" i="90"/>
  <c r="J166" i="90"/>
  <c r="L144" i="90"/>
  <c r="K166" i="90"/>
  <c r="M144" i="90"/>
  <c r="L166" i="90"/>
  <c r="C145" i="90"/>
  <c r="D145" i="90"/>
  <c r="C167" i="90"/>
  <c r="E145" i="90"/>
  <c r="D167" i="90"/>
  <c r="F145" i="90"/>
  <c r="E167" i="90"/>
  <c r="G145" i="90"/>
  <c r="F167" i="90"/>
  <c r="H145" i="90"/>
  <c r="G167" i="90"/>
  <c r="I145" i="90"/>
  <c r="H167" i="90"/>
  <c r="J145" i="90"/>
  <c r="I167" i="90"/>
  <c r="K145" i="90"/>
  <c r="J167" i="90"/>
  <c r="L145" i="90"/>
  <c r="K167" i="90"/>
  <c r="M145" i="90"/>
  <c r="L167" i="90"/>
  <c r="C146" i="90"/>
  <c r="D146" i="90"/>
  <c r="C168" i="90"/>
  <c r="E146" i="90"/>
  <c r="D168" i="90"/>
  <c r="F146" i="90"/>
  <c r="E168" i="90"/>
  <c r="G146" i="90"/>
  <c r="F168" i="90"/>
  <c r="H146" i="90"/>
  <c r="G168" i="90"/>
  <c r="I146" i="90"/>
  <c r="H168" i="90"/>
  <c r="J146" i="90"/>
  <c r="I168" i="90"/>
  <c r="K146" i="90"/>
  <c r="J168" i="90"/>
  <c r="L146" i="90"/>
  <c r="K168" i="90"/>
  <c r="M146" i="90"/>
  <c r="L168" i="90"/>
  <c r="C147" i="90"/>
  <c r="D147" i="90"/>
  <c r="C169" i="90"/>
  <c r="E147" i="90"/>
  <c r="D169" i="90"/>
  <c r="F147" i="90"/>
  <c r="E169" i="90"/>
  <c r="G147" i="90"/>
  <c r="F169" i="90"/>
  <c r="H147" i="90"/>
  <c r="G169" i="90"/>
  <c r="I147" i="90"/>
  <c r="H169" i="90"/>
  <c r="J147" i="90"/>
  <c r="I169" i="90"/>
  <c r="K147" i="90"/>
  <c r="J169" i="90"/>
  <c r="L147" i="90"/>
  <c r="K169" i="90"/>
  <c r="M147" i="90"/>
  <c r="L169" i="90"/>
  <c r="C148" i="90"/>
  <c r="D148" i="90"/>
  <c r="C170" i="90"/>
  <c r="E148" i="90"/>
  <c r="D170" i="90"/>
  <c r="F148" i="90"/>
  <c r="E170" i="90"/>
  <c r="G148" i="90"/>
  <c r="F170" i="90"/>
  <c r="H148" i="90"/>
  <c r="G170" i="90"/>
  <c r="I148" i="90"/>
  <c r="H170" i="90"/>
  <c r="J148" i="90"/>
  <c r="I170" i="90"/>
  <c r="K148" i="90"/>
  <c r="J170" i="90"/>
  <c r="L148" i="90"/>
  <c r="K170" i="90"/>
  <c r="M148" i="90"/>
  <c r="L170" i="90"/>
  <c r="C149" i="90"/>
  <c r="D149" i="90"/>
  <c r="C171" i="90"/>
  <c r="E149" i="90"/>
  <c r="D171" i="90"/>
  <c r="F149" i="90"/>
  <c r="E171" i="90"/>
  <c r="G149" i="90"/>
  <c r="F171" i="90"/>
  <c r="H149" i="90"/>
  <c r="G171" i="90"/>
  <c r="I149" i="90"/>
  <c r="H171" i="90"/>
  <c r="J149" i="90"/>
  <c r="I171" i="90"/>
  <c r="K149" i="90"/>
  <c r="J171" i="90"/>
  <c r="L149" i="90"/>
  <c r="K171" i="90"/>
  <c r="M149" i="90"/>
  <c r="L171" i="90"/>
  <c r="C131" i="90"/>
  <c r="K17" i="98"/>
  <c r="P157" i="90"/>
  <c r="Q157" i="90"/>
  <c r="R157" i="90"/>
  <c r="S157" i="90"/>
  <c r="T157" i="90"/>
  <c r="V157" i="90"/>
  <c r="W157" i="90"/>
  <c r="X157" i="90"/>
  <c r="Y157" i="90"/>
  <c r="Z157" i="90"/>
  <c r="P158" i="90"/>
  <c r="Q158" i="90"/>
  <c r="R158" i="90"/>
  <c r="S158" i="90"/>
  <c r="T158" i="90"/>
  <c r="V158" i="90"/>
  <c r="W158" i="90"/>
  <c r="X158" i="90"/>
  <c r="Y158" i="90"/>
  <c r="Z158" i="90"/>
  <c r="P159" i="90"/>
  <c r="Q159" i="90"/>
  <c r="R159" i="90"/>
  <c r="S159" i="90"/>
  <c r="T159" i="90"/>
  <c r="V159" i="90"/>
  <c r="W159" i="90"/>
  <c r="X159" i="90"/>
  <c r="Y159" i="90"/>
  <c r="Z159" i="90"/>
  <c r="P160" i="90"/>
  <c r="Q160" i="90"/>
  <c r="R160" i="90"/>
  <c r="S160" i="90"/>
  <c r="T160" i="90"/>
  <c r="V160" i="90"/>
  <c r="W160" i="90"/>
  <c r="X160" i="90"/>
  <c r="Y160" i="90"/>
  <c r="Z160" i="90"/>
  <c r="P161" i="90"/>
  <c r="Q161" i="90"/>
  <c r="R161" i="90"/>
  <c r="S161" i="90"/>
  <c r="T161" i="90"/>
  <c r="V161" i="90"/>
  <c r="W161" i="90"/>
  <c r="X161" i="90"/>
  <c r="Y161" i="90"/>
  <c r="Z161" i="90"/>
  <c r="P162" i="90"/>
  <c r="Q162" i="90"/>
  <c r="R162" i="90"/>
  <c r="S162" i="90"/>
  <c r="T162" i="90"/>
  <c r="V162" i="90"/>
  <c r="W162" i="90"/>
  <c r="X162" i="90"/>
  <c r="Y162" i="90"/>
  <c r="Z162" i="90"/>
  <c r="P163" i="90"/>
  <c r="Q163" i="90"/>
  <c r="R163" i="90"/>
  <c r="S163" i="90"/>
  <c r="T163" i="90"/>
  <c r="V163" i="90"/>
  <c r="W163" i="90"/>
  <c r="X163" i="90"/>
  <c r="Y163" i="90"/>
  <c r="Z163" i="90"/>
  <c r="P164" i="90"/>
  <c r="Q164" i="90"/>
  <c r="R164" i="90"/>
  <c r="S164" i="90"/>
  <c r="T164" i="90"/>
  <c r="V164" i="90"/>
  <c r="W164" i="90"/>
  <c r="X164" i="90"/>
  <c r="Y164" i="90"/>
  <c r="Z164" i="90"/>
  <c r="P165" i="90"/>
  <c r="Q165" i="90"/>
  <c r="R165" i="90"/>
  <c r="S165" i="90"/>
  <c r="T165" i="90"/>
  <c r="V165" i="90"/>
  <c r="W165" i="90"/>
  <c r="X165" i="90"/>
  <c r="Y165" i="90"/>
  <c r="Z165" i="90"/>
  <c r="P166" i="90"/>
  <c r="Q166" i="90"/>
  <c r="R166" i="90"/>
  <c r="S166" i="90"/>
  <c r="T166" i="90"/>
  <c r="V166" i="90"/>
  <c r="W166" i="90"/>
  <c r="X166" i="90"/>
  <c r="Y166" i="90"/>
  <c r="Z166" i="90"/>
  <c r="P167" i="90"/>
  <c r="Q167" i="90"/>
  <c r="R167" i="90"/>
  <c r="S167" i="90"/>
  <c r="T167" i="90"/>
  <c r="V167" i="90"/>
  <c r="W167" i="90"/>
  <c r="X167" i="90"/>
  <c r="Y167" i="90"/>
  <c r="Z167" i="90"/>
  <c r="P168" i="90"/>
  <c r="Q168" i="90"/>
  <c r="R168" i="90"/>
  <c r="S168" i="90"/>
  <c r="T168" i="90"/>
  <c r="V168" i="90"/>
  <c r="W168" i="90"/>
  <c r="X168" i="90"/>
  <c r="Y168" i="90"/>
  <c r="Z168" i="90"/>
  <c r="P169" i="90"/>
  <c r="Q169" i="90"/>
  <c r="R169" i="90"/>
  <c r="S169" i="90"/>
  <c r="T169" i="90"/>
  <c r="V169" i="90"/>
  <c r="W169" i="90"/>
  <c r="X169" i="90"/>
  <c r="Y169" i="90"/>
  <c r="Z169" i="90"/>
  <c r="P170" i="90"/>
  <c r="Q170" i="90"/>
  <c r="R170" i="90"/>
  <c r="S170" i="90"/>
  <c r="T170" i="90"/>
  <c r="V170" i="90"/>
  <c r="W170" i="90"/>
  <c r="X170" i="90"/>
  <c r="Y170" i="90"/>
  <c r="Z170" i="90"/>
  <c r="H131" i="90"/>
  <c r="K18" i="98"/>
  <c r="C184" i="90"/>
  <c r="D184" i="90"/>
  <c r="C206" i="90"/>
  <c r="E184" i="90"/>
  <c r="D206" i="90"/>
  <c r="F184" i="90"/>
  <c r="E206" i="90"/>
  <c r="G184" i="90"/>
  <c r="F206" i="90"/>
  <c r="H184" i="90"/>
  <c r="G206" i="90"/>
  <c r="I184" i="90"/>
  <c r="H206" i="90"/>
  <c r="J184" i="90"/>
  <c r="I206" i="90"/>
  <c r="K184" i="90"/>
  <c r="J206" i="90"/>
  <c r="L184" i="90"/>
  <c r="K206" i="90"/>
  <c r="M184" i="90"/>
  <c r="L206" i="90"/>
  <c r="C185" i="90"/>
  <c r="D185" i="90"/>
  <c r="C207" i="90"/>
  <c r="E185" i="90"/>
  <c r="D207" i="90"/>
  <c r="F185" i="90"/>
  <c r="E207" i="90"/>
  <c r="G185" i="90"/>
  <c r="F207" i="90"/>
  <c r="H185" i="90"/>
  <c r="G207" i="90"/>
  <c r="I185" i="90"/>
  <c r="H207" i="90"/>
  <c r="J185" i="90"/>
  <c r="I207" i="90"/>
  <c r="K185" i="90"/>
  <c r="J207" i="90"/>
  <c r="L185" i="90"/>
  <c r="K207" i="90"/>
  <c r="M185" i="90"/>
  <c r="L207" i="90"/>
  <c r="C186" i="90"/>
  <c r="D186" i="90"/>
  <c r="C208" i="90"/>
  <c r="E186" i="90"/>
  <c r="D208" i="90"/>
  <c r="F186" i="90"/>
  <c r="E208" i="90"/>
  <c r="G186" i="90"/>
  <c r="F208" i="90"/>
  <c r="H186" i="90"/>
  <c r="G208" i="90"/>
  <c r="I186" i="90"/>
  <c r="H208" i="90"/>
  <c r="J186" i="90"/>
  <c r="I208" i="90"/>
  <c r="K186" i="90"/>
  <c r="J208" i="90"/>
  <c r="L186" i="90"/>
  <c r="K208" i="90"/>
  <c r="M186" i="90"/>
  <c r="L208" i="90"/>
  <c r="C187" i="90"/>
  <c r="D187" i="90"/>
  <c r="C209" i="90"/>
  <c r="E187" i="90"/>
  <c r="D209" i="90"/>
  <c r="F187" i="90"/>
  <c r="E209" i="90"/>
  <c r="G187" i="90"/>
  <c r="F209" i="90"/>
  <c r="H187" i="90"/>
  <c r="G209" i="90"/>
  <c r="I187" i="90"/>
  <c r="H209" i="90"/>
  <c r="J187" i="90"/>
  <c r="I209" i="90"/>
  <c r="K187" i="90"/>
  <c r="J209" i="90"/>
  <c r="L187" i="90"/>
  <c r="K209" i="90"/>
  <c r="M187" i="90"/>
  <c r="L209" i="90"/>
  <c r="C188" i="90"/>
  <c r="D188" i="90"/>
  <c r="C210" i="90"/>
  <c r="E188" i="90"/>
  <c r="D210" i="90"/>
  <c r="F188" i="90"/>
  <c r="E210" i="90"/>
  <c r="G188" i="90"/>
  <c r="F210" i="90"/>
  <c r="H188" i="90"/>
  <c r="G210" i="90"/>
  <c r="I188" i="90"/>
  <c r="H210" i="90"/>
  <c r="J188" i="90"/>
  <c r="I210" i="90"/>
  <c r="K188" i="90"/>
  <c r="J210" i="90"/>
  <c r="L188" i="90"/>
  <c r="K210" i="90"/>
  <c r="M188" i="90"/>
  <c r="L210" i="90"/>
  <c r="C189" i="90"/>
  <c r="D189" i="90"/>
  <c r="C211" i="90"/>
  <c r="E189" i="90"/>
  <c r="D211" i="90"/>
  <c r="F189" i="90"/>
  <c r="E211" i="90"/>
  <c r="G189" i="90"/>
  <c r="F211" i="90"/>
  <c r="H189" i="90"/>
  <c r="G211" i="90"/>
  <c r="I189" i="90"/>
  <c r="H211" i="90"/>
  <c r="J189" i="90"/>
  <c r="I211" i="90"/>
  <c r="K189" i="90"/>
  <c r="J211" i="90"/>
  <c r="L189" i="90"/>
  <c r="K211" i="90"/>
  <c r="M189" i="90"/>
  <c r="L211" i="90"/>
  <c r="C190" i="90"/>
  <c r="D190" i="90"/>
  <c r="C212" i="90"/>
  <c r="E190" i="90"/>
  <c r="D212" i="90"/>
  <c r="F190" i="90"/>
  <c r="E212" i="90"/>
  <c r="G190" i="90"/>
  <c r="F212" i="90"/>
  <c r="H190" i="90"/>
  <c r="G212" i="90"/>
  <c r="I190" i="90"/>
  <c r="H212" i="90"/>
  <c r="J190" i="90"/>
  <c r="I212" i="90"/>
  <c r="K190" i="90"/>
  <c r="J212" i="90"/>
  <c r="L190" i="90"/>
  <c r="K212" i="90"/>
  <c r="M190" i="90"/>
  <c r="L212" i="90"/>
  <c r="C191" i="90"/>
  <c r="D191" i="90"/>
  <c r="C213" i="90"/>
  <c r="E191" i="90"/>
  <c r="D213" i="90"/>
  <c r="F191" i="90"/>
  <c r="E213" i="90"/>
  <c r="G191" i="90"/>
  <c r="F213" i="90"/>
  <c r="H191" i="90"/>
  <c r="G213" i="90"/>
  <c r="I191" i="90"/>
  <c r="H213" i="90"/>
  <c r="J191" i="90"/>
  <c r="I213" i="90"/>
  <c r="K191" i="90"/>
  <c r="J213" i="90"/>
  <c r="L191" i="90"/>
  <c r="K213" i="90"/>
  <c r="M191" i="90"/>
  <c r="L213" i="90"/>
  <c r="C192" i="90"/>
  <c r="D192" i="90"/>
  <c r="C214" i="90"/>
  <c r="E192" i="90"/>
  <c r="D214" i="90"/>
  <c r="F192" i="90"/>
  <c r="E214" i="90"/>
  <c r="G192" i="90"/>
  <c r="F214" i="90"/>
  <c r="H192" i="90"/>
  <c r="G214" i="90"/>
  <c r="I192" i="90"/>
  <c r="H214" i="90"/>
  <c r="J192" i="90"/>
  <c r="I214" i="90"/>
  <c r="K192" i="90"/>
  <c r="J214" i="90"/>
  <c r="L192" i="90"/>
  <c r="K214" i="90"/>
  <c r="M192" i="90"/>
  <c r="L214" i="90"/>
  <c r="C193" i="90"/>
  <c r="D193" i="90"/>
  <c r="C215" i="90"/>
  <c r="E193" i="90"/>
  <c r="D215" i="90"/>
  <c r="F193" i="90"/>
  <c r="E215" i="90"/>
  <c r="G193" i="90"/>
  <c r="F215" i="90"/>
  <c r="H193" i="90"/>
  <c r="G215" i="90"/>
  <c r="I193" i="90"/>
  <c r="H215" i="90"/>
  <c r="J193" i="90"/>
  <c r="I215" i="90"/>
  <c r="K193" i="90"/>
  <c r="J215" i="90"/>
  <c r="L193" i="90"/>
  <c r="K215" i="90"/>
  <c r="M193" i="90"/>
  <c r="L215" i="90"/>
  <c r="C194" i="90"/>
  <c r="D194" i="90"/>
  <c r="C216" i="90"/>
  <c r="E194" i="90"/>
  <c r="D216" i="90"/>
  <c r="F194" i="90"/>
  <c r="E216" i="90"/>
  <c r="G194" i="90"/>
  <c r="F216" i="90"/>
  <c r="H194" i="90"/>
  <c r="G216" i="90"/>
  <c r="I194" i="90"/>
  <c r="H216" i="90"/>
  <c r="J194" i="90"/>
  <c r="I216" i="90"/>
  <c r="K194" i="90"/>
  <c r="J216" i="90"/>
  <c r="L194" i="90"/>
  <c r="K216" i="90"/>
  <c r="M194" i="90"/>
  <c r="L216" i="90"/>
  <c r="C195" i="90"/>
  <c r="D195" i="90"/>
  <c r="C217" i="90"/>
  <c r="E195" i="90"/>
  <c r="D217" i="90"/>
  <c r="F195" i="90"/>
  <c r="E217" i="90"/>
  <c r="G195" i="90"/>
  <c r="F217" i="90"/>
  <c r="H195" i="90"/>
  <c r="G217" i="90"/>
  <c r="I195" i="90"/>
  <c r="H217" i="90"/>
  <c r="J195" i="90"/>
  <c r="I217" i="90"/>
  <c r="K195" i="90"/>
  <c r="J217" i="90"/>
  <c r="L195" i="90"/>
  <c r="K217" i="90"/>
  <c r="M195" i="90"/>
  <c r="L217" i="90"/>
  <c r="C196" i="90"/>
  <c r="D196" i="90"/>
  <c r="C218" i="90"/>
  <c r="E196" i="90"/>
  <c r="D218" i="90"/>
  <c r="F196" i="90"/>
  <c r="E218" i="90"/>
  <c r="G196" i="90"/>
  <c r="F218" i="90"/>
  <c r="H196" i="90"/>
  <c r="G218" i="90"/>
  <c r="I196" i="90"/>
  <c r="H218" i="90"/>
  <c r="J196" i="90"/>
  <c r="I218" i="90"/>
  <c r="K196" i="90"/>
  <c r="J218" i="90"/>
  <c r="L196" i="90"/>
  <c r="K218" i="90"/>
  <c r="M196" i="90"/>
  <c r="L218" i="90"/>
  <c r="C197" i="90"/>
  <c r="D197" i="90"/>
  <c r="C219" i="90"/>
  <c r="E197" i="90"/>
  <c r="D219" i="90"/>
  <c r="F197" i="90"/>
  <c r="E219" i="90"/>
  <c r="G197" i="90"/>
  <c r="F219" i="90"/>
  <c r="H197" i="90"/>
  <c r="G219" i="90"/>
  <c r="I197" i="90"/>
  <c r="H219" i="90"/>
  <c r="J197" i="90"/>
  <c r="I219" i="90"/>
  <c r="K197" i="90"/>
  <c r="J219" i="90"/>
  <c r="L197" i="90"/>
  <c r="K219" i="90"/>
  <c r="M197" i="90"/>
  <c r="L219" i="90"/>
  <c r="C198" i="90"/>
  <c r="D198" i="90"/>
  <c r="C220" i="90"/>
  <c r="E198" i="90"/>
  <c r="D220" i="90"/>
  <c r="F198" i="90"/>
  <c r="E220" i="90"/>
  <c r="G198" i="90"/>
  <c r="F220" i="90"/>
  <c r="H198" i="90"/>
  <c r="G220" i="90"/>
  <c r="I198" i="90"/>
  <c r="H220" i="90"/>
  <c r="J198" i="90"/>
  <c r="I220" i="90"/>
  <c r="K198" i="90"/>
  <c r="J220" i="90"/>
  <c r="L198" i="90"/>
  <c r="K220" i="90"/>
  <c r="M198" i="90"/>
  <c r="L220" i="90"/>
  <c r="C180" i="90"/>
  <c r="K21" i="98"/>
  <c r="P206" i="90"/>
  <c r="Q206" i="90"/>
  <c r="R206" i="90"/>
  <c r="S206" i="90"/>
  <c r="T206" i="90"/>
  <c r="V206" i="90"/>
  <c r="W206" i="90"/>
  <c r="X206" i="90"/>
  <c r="Y206" i="90"/>
  <c r="Z206" i="90"/>
  <c r="P207" i="90"/>
  <c r="Q207" i="90"/>
  <c r="R207" i="90"/>
  <c r="S207" i="90"/>
  <c r="T207" i="90"/>
  <c r="V207" i="90"/>
  <c r="W207" i="90"/>
  <c r="X207" i="90"/>
  <c r="Y207" i="90"/>
  <c r="Z207" i="90"/>
  <c r="P208" i="90"/>
  <c r="Q208" i="90"/>
  <c r="R208" i="90"/>
  <c r="S208" i="90"/>
  <c r="T208" i="90"/>
  <c r="V208" i="90"/>
  <c r="W208" i="90"/>
  <c r="X208" i="90"/>
  <c r="Y208" i="90"/>
  <c r="Z208" i="90"/>
  <c r="P209" i="90"/>
  <c r="Q209" i="90"/>
  <c r="R209" i="90"/>
  <c r="S209" i="90"/>
  <c r="T209" i="90"/>
  <c r="V209" i="90"/>
  <c r="W209" i="90"/>
  <c r="X209" i="90"/>
  <c r="Y209" i="90"/>
  <c r="Z209" i="90"/>
  <c r="P210" i="90"/>
  <c r="Q210" i="90"/>
  <c r="R210" i="90"/>
  <c r="S210" i="90"/>
  <c r="T210" i="90"/>
  <c r="V210" i="90"/>
  <c r="W210" i="90"/>
  <c r="X210" i="90"/>
  <c r="Y210" i="90"/>
  <c r="Z210" i="90"/>
  <c r="P211" i="90"/>
  <c r="Q211" i="90"/>
  <c r="R211" i="90"/>
  <c r="S211" i="90"/>
  <c r="T211" i="90"/>
  <c r="V211" i="90"/>
  <c r="W211" i="90"/>
  <c r="X211" i="90"/>
  <c r="Y211" i="90"/>
  <c r="Z211" i="90"/>
  <c r="P212" i="90"/>
  <c r="Q212" i="90"/>
  <c r="R212" i="90"/>
  <c r="S212" i="90"/>
  <c r="T212" i="90"/>
  <c r="V212" i="90"/>
  <c r="W212" i="90"/>
  <c r="X212" i="90"/>
  <c r="Y212" i="90"/>
  <c r="Z212" i="90"/>
  <c r="P213" i="90"/>
  <c r="Q213" i="90"/>
  <c r="R213" i="90"/>
  <c r="S213" i="90"/>
  <c r="T213" i="90"/>
  <c r="V213" i="90"/>
  <c r="W213" i="90"/>
  <c r="X213" i="90"/>
  <c r="Y213" i="90"/>
  <c r="Z213" i="90"/>
  <c r="P214" i="90"/>
  <c r="Q214" i="90"/>
  <c r="R214" i="90"/>
  <c r="S214" i="90"/>
  <c r="T214" i="90"/>
  <c r="V214" i="90"/>
  <c r="W214" i="90"/>
  <c r="X214" i="90"/>
  <c r="Y214" i="90"/>
  <c r="Z214" i="90"/>
  <c r="P215" i="90"/>
  <c r="Q215" i="90"/>
  <c r="R215" i="90"/>
  <c r="S215" i="90"/>
  <c r="T215" i="90"/>
  <c r="V215" i="90"/>
  <c r="W215" i="90"/>
  <c r="X215" i="90"/>
  <c r="Y215" i="90"/>
  <c r="Z215" i="90"/>
  <c r="P216" i="90"/>
  <c r="Q216" i="90"/>
  <c r="R216" i="90"/>
  <c r="S216" i="90"/>
  <c r="T216" i="90"/>
  <c r="V216" i="90"/>
  <c r="W216" i="90"/>
  <c r="X216" i="90"/>
  <c r="Y216" i="90"/>
  <c r="Z216" i="90"/>
  <c r="P217" i="90"/>
  <c r="Q217" i="90"/>
  <c r="R217" i="90"/>
  <c r="S217" i="90"/>
  <c r="T217" i="90"/>
  <c r="V217" i="90"/>
  <c r="W217" i="90"/>
  <c r="X217" i="90"/>
  <c r="Y217" i="90"/>
  <c r="Z217" i="90"/>
  <c r="P218" i="90"/>
  <c r="Q218" i="90"/>
  <c r="R218" i="90"/>
  <c r="S218" i="90"/>
  <c r="T218" i="90"/>
  <c r="V218" i="90"/>
  <c r="W218" i="90"/>
  <c r="X218" i="90"/>
  <c r="Y218" i="90"/>
  <c r="Z218" i="90"/>
  <c r="P219" i="90"/>
  <c r="Q219" i="90"/>
  <c r="R219" i="90"/>
  <c r="S219" i="90"/>
  <c r="T219" i="90"/>
  <c r="V219" i="90"/>
  <c r="W219" i="90"/>
  <c r="X219" i="90"/>
  <c r="Y219" i="90"/>
  <c r="Z219" i="90"/>
  <c r="H180" i="90"/>
  <c r="K22" i="98"/>
  <c r="C233" i="90"/>
  <c r="D233" i="90"/>
  <c r="C255" i="90"/>
  <c r="E233" i="90"/>
  <c r="D255" i="90"/>
  <c r="F233" i="90"/>
  <c r="E255" i="90"/>
  <c r="G233" i="90"/>
  <c r="F255" i="90"/>
  <c r="H233" i="90"/>
  <c r="G255" i="90"/>
  <c r="I233" i="90"/>
  <c r="H255" i="90"/>
  <c r="J233" i="90"/>
  <c r="I255" i="90"/>
  <c r="K233" i="90"/>
  <c r="J255" i="90"/>
  <c r="L233" i="90"/>
  <c r="K255" i="90"/>
  <c r="M233" i="90"/>
  <c r="L255" i="90"/>
  <c r="C234" i="90"/>
  <c r="D234" i="90"/>
  <c r="C256" i="90"/>
  <c r="E234" i="90"/>
  <c r="D256" i="90"/>
  <c r="F234" i="90"/>
  <c r="E256" i="90"/>
  <c r="G234" i="90"/>
  <c r="F256" i="90"/>
  <c r="H234" i="90"/>
  <c r="G256" i="90"/>
  <c r="I234" i="90"/>
  <c r="H256" i="90"/>
  <c r="J234" i="90"/>
  <c r="I256" i="90"/>
  <c r="K234" i="90"/>
  <c r="J256" i="90"/>
  <c r="L234" i="90"/>
  <c r="K256" i="90"/>
  <c r="M234" i="90"/>
  <c r="L256" i="90"/>
  <c r="C235" i="90"/>
  <c r="D235" i="90"/>
  <c r="C257" i="90"/>
  <c r="E235" i="90"/>
  <c r="D257" i="90"/>
  <c r="F235" i="90"/>
  <c r="E257" i="90"/>
  <c r="G235" i="90"/>
  <c r="F257" i="90"/>
  <c r="H235" i="90"/>
  <c r="G257" i="90"/>
  <c r="I235" i="90"/>
  <c r="H257" i="90"/>
  <c r="J235" i="90"/>
  <c r="I257" i="90"/>
  <c r="K235" i="90"/>
  <c r="J257" i="90"/>
  <c r="L235" i="90"/>
  <c r="K257" i="90"/>
  <c r="M235" i="90"/>
  <c r="L257" i="90"/>
  <c r="C236" i="90"/>
  <c r="D236" i="90"/>
  <c r="C258" i="90"/>
  <c r="E236" i="90"/>
  <c r="D258" i="90"/>
  <c r="F236" i="90"/>
  <c r="E258" i="90"/>
  <c r="G236" i="90"/>
  <c r="F258" i="90"/>
  <c r="H236" i="90"/>
  <c r="G258" i="90"/>
  <c r="I236" i="90"/>
  <c r="H258" i="90"/>
  <c r="J236" i="90"/>
  <c r="I258" i="90"/>
  <c r="K236" i="90"/>
  <c r="J258" i="90"/>
  <c r="L236" i="90"/>
  <c r="K258" i="90"/>
  <c r="M236" i="90"/>
  <c r="L258" i="90"/>
  <c r="C237" i="90"/>
  <c r="D237" i="90"/>
  <c r="C259" i="90"/>
  <c r="E237" i="90"/>
  <c r="D259" i="90"/>
  <c r="F237" i="90"/>
  <c r="E259" i="90"/>
  <c r="G237" i="90"/>
  <c r="F259" i="90"/>
  <c r="H237" i="90"/>
  <c r="G259" i="90"/>
  <c r="I237" i="90"/>
  <c r="H259" i="90"/>
  <c r="J237" i="90"/>
  <c r="I259" i="90"/>
  <c r="K237" i="90"/>
  <c r="J259" i="90"/>
  <c r="L237" i="90"/>
  <c r="K259" i="90"/>
  <c r="M237" i="90"/>
  <c r="L259" i="90"/>
  <c r="C238" i="90"/>
  <c r="D238" i="90"/>
  <c r="C260" i="90"/>
  <c r="E238" i="90"/>
  <c r="D260" i="90"/>
  <c r="F238" i="90"/>
  <c r="E260" i="90"/>
  <c r="G238" i="90"/>
  <c r="F260" i="90"/>
  <c r="H238" i="90"/>
  <c r="G260" i="90"/>
  <c r="I238" i="90"/>
  <c r="H260" i="90"/>
  <c r="J238" i="90"/>
  <c r="I260" i="90"/>
  <c r="K238" i="90"/>
  <c r="J260" i="90"/>
  <c r="L238" i="90"/>
  <c r="K260" i="90"/>
  <c r="M238" i="90"/>
  <c r="L260" i="90"/>
  <c r="C239" i="90"/>
  <c r="D239" i="90"/>
  <c r="C261" i="90"/>
  <c r="E239" i="90"/>
  <c r="D261" i="90"/>
  <c r="F239" i="90"/>
  <c r="E261" i="90"/>
  <c r="G239" i="90"/>
  <c r="F261" i="90"/>
  <c r="H239" i="90"/>
  <c r="G261" i="90"/>
  <c r="I239" i="90"/>
  <c r="H261" i="90"/>
  <c r="J239" i="90"/>
  <c r="I261" i="90"/>
  <c r="K239" i="90"/>
  <c r="J261" i="90"/>
  <c r="L239" i="90"/>
  <c r="K261" i="90"/>
  <c r="M239" i="90"/>
  <c r="L261" i="90"/>
  <c r="C240" i="90"/>
  <c r="D240" i="90"/>
  <c r="C262" i="90"/>
  <c r="E240" i="90"/>
  <c r="D262" i="90"/>
  <c r="F240" i="90"/>
  <c r="E262" i="90"/>
  <c r="G240" i="90"/>
  <c r="F262" i="90"/>
  <c r="H240" i="90"/>
  <c r="G262" i="90"/>
  <c r="I240" i="90"/>
  <c r="H262" i="90"/>
  <c r="J240" i="90"/>
  <c r="I262" i="90"/>
  <c r="K240" i="90"/>
  <c r="J262" i="90"/>
  <c r="L240" i="90"/>
  <c r="K262" i="90"/>
  <c r="M240" i="90"/>
  <c r="L262" i="90"/>
  <c r="C241" i="90"/>
  <c r="D241" i="90"/>
  <c r="C263" i="90"/>
  <c r="E241" i="90"/>
  <c r="D263" i="90"/>
  <c r="F241" i="90"/>
  <c r="E263" i="90"/>
  <c r="G241" i="90"/>
  <c r="F263" i="90"/>
  <c r="H241" i="90"/>
  <c r="G263" i="90"/>
  <c r="I241" i="90"/>
  <c r="H263" i="90"/>
  <c r="J241" i="90"/>
  <c r="I263" i="90"/>
  <c r="K241" i="90"/>
  <c r="J263" i="90"/>
  <c r="L241" i="90"/>
  <c r="K263" i="90"/>
  <c r="M241" i="90"/>
  <c r="L263" i="90"/>
  <c r="C242" i="90"/>
  <c r="D242" i="90"/>
  <c r="C264" i="90"/>
  <c r="E242" i="90"/>
  <c r="D264" i="90"/>
  <c r="F242" i="90"/>
  <c r="E264" i="90"/>
  <c r="G242" i="90"/>
  <c r="F264" i="90"/>
  <c r="H242" i="90"/>
  <c r="G264" i="90"/>
  <c r="I242" i="90"/>
  <c r="H264" i="90"/>
  <c r="J242" i="90"/>
  <c r="I264" i="90"/>
  <c r="K242" i="90"/>
  <c r="J264" i="90"/>
  <c r="L242" i="90"/>
  <c r="K264" i="90"/>
  <c r="M242" i="90"/>
  <c r="L264" i="90"/>
  <c r="C243" i="90"/>
  <c r="D243" i="90"/>
  <c r="C265" i="90"/>
  <c r="E243" i="90"/>
  <c r="D265" i="90"/>
  <c r="F243" i="90"/>
  <c r="E265" i="90"/>
  <c r="G243" i="90"/>
  <c r="F265" i="90"/>
  <c r="H243" i="90"/>
  <c r="G265" i="90"/>
  <c r="I243" i="90"/>
  <c r="H265" i="90"/>
  <c r="J243" i="90"/>
  <c r="I265" i="90"/>
  <c r="K243" i="90"/>
  <c r="J265" i="90"/>
  <c r="L243" i="90"/>
  <c r="K265" i="90"/>
  <c r="M243" i="90"/>
  <c r="L265" i="90"/>
  <c r="C244" i="90"/>
  <c r="D244" i="90"/>
  <c r="C266" i="90"/>
  <c r="E244" i="90"/>
  <c r="D266" i="90"/>
  <c r="F244" i="90"/>
  <c r="E266" i="90"/>
  <c r="G244" i="90"/>
  <c r="F266" i="90"/>
  <c r="H244" i="90"/>
  <c r="G266" i="90"/>
  <c r="I244" i="90"/>
  <c r="H266" i="90"/>
  <c r="J244" i="90"/>
  <c r="I266" i="90"/>
  <c r="K244" i="90"/>
  <c r="J266" i="90"/>
  <c r="L244" i="90"/>
  <c r="K266" i="90"/>
  <c r="M244" i="90"/>
  <c r="L266" i="90"/>
  <c r="C245" i="90"/>
  <c r="D245" i="90"/>
  <c r="C267" i="90"/>
  <c r="E245" i="90"/>
  <c r="D267" i="90"/>
  <c r="F245" i="90"/>
  <c r="E267" i="90"/>
  <c r="G245" i="90"/>
  <c r="F267" i="90"/>
  <c r="H245" i="90"/>
  <c r="G267" i="90"/>
  <c r="I245" i="90"/>
  <c r="H267" i="90"/>
  <c r="J245" i="90"/>
  <c r="I267" i="90"/>
  <c r="K245" i="90"/>
  <c r="J267" i="90"/>
  <c r="L245" i="90"/>
  <c r="K267" i="90"/>
  <c r="M245" i="90"/>
  <c r="L267" i="90"/>
  <c r="C246" i="90"/>
  <c r="D246" i="90"/>
  <c r="C268" i="90"/>
  <c r="E246" i="90"/>
  <c r="D268" i="90"/>
  <c r="F246" i="90"/>
  <c r="E268" i="90"/>
  <c r="G246" i="90"/>
  <c r="F268" i="90"/>
  <c r="H246" i="90"/>
  <c r="G268" i="90"/>
  <c r="I246" i="90"/>
  <c r="H268" i="90"/>
  <c r="J246" i="90"/>
  <c r="I268" i="90"/>
  <c r="K246" i="90"/>
  <c r="J268" i="90"/>
  <c r="L246" i="90"/>
  <c r="K268" i="90"/>
  <c r="M246" i="90"/>
  <c r="L268" i="90"/>
  <c r="C247" i="90"/>
  <c r="D247" i="90"/>
  <c r="C269" i="90"/>
  <c r="E247" i="90"/>
  <c r="D269" i="90"/>
  <c r="F247" i="90"/>
  <c r="E269" i="90"/>
  <c r="G247" i="90"/>
  <c r="F269" i="90"/>
  <c r="H247" i="90"/>
  <c r="G269" i="90"/>
  <c r="I247" i="90"/>
  <c r="H269" i="90"/>
  <c r="J247" i="90"/>
  <c r="I269" i="90"/>
  <c r="K247" i="90"/>
  <c r="J269" i="90"/>
  <c r="L247" i="90"/>
  <c r="K269" i="90"/>
  <c r="M247" i="90"/>
  <c r="L269" i="90"/>
  <c r="C229" i="90"/>
  <c r="K25" i="98"/>
  <c r="P255" i="90"/>
  <c r="Q255" i="90"/>
  <c r="R255" i="90"/>
  <c r="S255" i="90"/>
  <c r="T255" i="90"/>
  <c r="V255" i="90"/>
  <c r="W255" i="90"/>
  <c r="X255" i="90"/>
  <c r="Y255" i="90"/>
  <c r="Z255" i="90"/>
  <c r="P256" i="90"/>
  <c r="Q256" i="90"/>
  <c r="R256" i="90"/>
  <c r="S256" i="90"/>
  <c r="T256" i="90"/>
  <c r="V256" i="90"/>
  <c r="W256" i="90"/>
  <c r="X256" i="90"/>
  <c r="Y256" i="90"/>
  <c r="Z256" i="90"/>
  <c r="P257" i="90"/>
  <c r="Q257" i="90"/>
  <c r="R257" i="90"/>
  <c r="S257" i="90"/>
  <c r="T257" i="90"/>
  <c r="V257" i="90"/>
  <c r="W257" i="90"/>
  <c r="X257" i="90"/>
  <c r="Y257" i="90"/>
  <c r="Z257" i="90"/>
  <c r="P258" i="90"/>
  <c r="Q258" i="90"/>
  <c r="R258" i="90"/>
  <c r="S258" i="90"/>
  <c r="T258" i="90"/>
  <c r="V258" i="90"/>
  <c r="W258" i="90"/>
  <c r="X258" i="90"/>
  <c r="Y258" i="90"/>
  <c r="Z258" i="90"/>
  <c r="P259" i="90"/>
  <c r="Q259" i="90"/>
  <c r="R259" i="90"/>
  <c r="S259" i="90"/>
  <c r="T259" i="90"/>
  <c r="V259" i="90"/>
  <c r="W259" i="90"/>
  <c r="X259" i="90"/>
  <c r="Y259" i="90"/>
  <c r="Z259" i="90"/>
  <c r="P260" i="90"/>
  <c r="Q260" i="90"/>
  <c r="R260" i="90"/>
  <c r="S260" i="90"/>
  <c r="T260" i="90"/>
  <c r="V260" i="90"/>
  <c r="W260" i="90"/>
  <c r="X260" i="90"/>
  <c r="Y260" i="90"/>
  <c r="Z260" i="90"/>
  <c r="P261" i="90"/>
  <c r="Q261" i="90"/>
  <c r="R261" i="90"/>
  <c r="S261" i="90"/>
  <c r="T261" i="90"/>
  <c r="V261" i="90"/>
  <c r="W261" i="90"/>
  <c r="X261" i="90"/>
  <c r="Y261" i="90"/>
  <c r="Z261" i="90"/>
  <c r="P262" i="90"/>
  <c r="Q262" i="90"/>
  <c r="R262" i="90"/>
  <c r="S262" i="90"/>
  <c r="T262" i="90"/>
  <c r="V262" i="90"/>
  <c r="W262" i="90"/>
  <c r="X262" i="90"/>
  <c r="Y262" i="90"/>
  <c r="Z262" i="90"/>
  <c r="P263" i="90"/>
  <c r="Q263" i="90"/>
  <c r="R263" i="90"/>
  <c r="S263" i="90"/>
  <c r="T263" i="90"/>
  <c r="V263" i="90"/>
  <c r="W263" i="90"/>
  <c r="X263" i="90"/>
  <c r="Y263" i="90"/>
  <c r="Z263" i="90"/>
  <c r="P264" i="90"/>
  <c r="Q264" i="90"/>
  <c r="R264" i="90"/>
  <c r="S264" i="90"/>
  <c r="T264" i="90"/>
  <c r="V264" i="90"/>
  <c r="W264" i="90"/>
  <c r="X264" i="90"/>
  <c r="Y264" i="90"/>
  <c r="Z264" i="90"/>
  <c r="P265" i="90"/>
  <c r="Q265" i="90"/>
  <c r="R265" i="90"/>
  <c r="S265" i="90"/>
  <c r="T265" i="90"/>
  <c r="V265" i="90"/>
  <c r="W265" i="90"/>
  <c r="X265" i="90"/>
  <c r="Y265" i="90"/>
  <c r="Z265" i="90"/>
  <c r="P266" i="90"/>
  <c r="Q266" i="90"/>
  <c r="R266" i="90"/>
  <c r="S266" i="90"/>
  <c r="T266" i="90"/>
  <c r="V266" i="90"/>
  <c r="W266" i="90"/>
  <c r="X266" i="90"/>
  <c r="Y266" i="90"/>
  <c r="Z266" i="90"/>
  <c r="P267" i="90"/>
  <c r="Q267" i="90"/>
  <c r="R267" i="90"/>
  <c r="S267" i="90"/>
  <c r="T267" i="90"/>
  <c r="V267" i="90"/>
  <c r="W267" i="90"/>
  <c r="X267" i="90"/>
  <c r="Y267" i="90"/>
  <c r="Z267" i="90"/>
  <c r="P268" i="90"/>
  <c r="Q268" i="90"/>
  <c r="R268" i="90"/>
  <c r="S268" i="90"/>
  <c r="T268" i="90"/>
  <c r="V268" i="90"/>
  <c r="W268" i="90"/>
  <c r="X268" i="90"/>
  <c r="Y268" i="90"/>
  <c r="Z268" i="90"/>
  <c r="H229" i="90"/>
  <c r="K26" i="98"/>
  <c r="C282" i="90"/>
  <c r="D282" i="90"/>
  <c r="C304" i="90"/>
  <c r="E282" i="90"/>
  <c r="D304" i="90"/>
  <c r="F282" i="90"/>
  <c r="E304" i="90"/>
  <c r="G282" i="90"/>
  <c r="F304" i="90"/>
  <c r="H282" i="90"/>
  <c r="G304" i="90"/>
  <c r="I282" i="90"/>
  <c r="H304" i="90"/>
  <c r="J282" i="90"/>
  <c r="I304" i="90"/>
  <c r="K282" i="90"/>
  <c r="J304" i="90"/>
  <c r="L282" i="90"/>
  <c r="K304" i="90"/>
  <c r="M282" i="90"/>
  <c r="L304" i="90"/>
  <c r="C283" i="90"/>
  <c r="D283" i="90"/>
  <c r="C305" i="90"/>
  <c r="E283" i="90"/>
  <c r="D305" i="90"/>
  <c r="F283" i="90"/>
  <c r="E305" i="90"/>
  <c r="G283" i="90"/>
  <c r="F305" i="90"/>
  <c r="H283" i="90"/>
  <c r="G305" i="90"/>
  <c r="I283" i="90"/>
  <c r="H305" i="90"/>
  <c r="J283" i="90"/>
  <c r="I305" i="90"/>
  <c r="K283" i="90"/>
  <c r="J305" i="90"/>
  <c r="L283" i="90"/>
  <c r="K305" i="90"/>
  <c r="M283" i="90"/>
  <c r="L305" i="90"/>
  <c r="C284" i="90"/>
  <c r="D284" i="90"/>
  <c r="C306" i="90"/>
  <c r="E284" i="90"/>
  <c r="D306" i="90"/>
  <c r="F284" i="90"/>
  <c r="E306" i="90"/>
  <c r="G284" i="90"/>
  <c r="F306" i="90"/>
  <c r="H284" i="90"/>
  <c r="G306" i="90"/>
  <c r="I284" i="90"/>
  <c r="H306" i="90"/>
  <c r="J284" i="90"/>
  <c r="I306" i="90"/>
  <c r="K284" i="90"/>
  <c r="J306" i="90"/>
  <c r="L284" i="90"/>
  <c r="K306" i="90"/>
  <c r="M284" i="90"/>
  <c r="L306" i="90"/>
  <c r="C285" i="90"/>
  <c r="D285" i="90"/>
  <c r="C307" i="90"/>
  <c r="E285" i="90"/>
  <c r="D307" i="90"/>
  <c r="F285" i="90"/>
  <c r="E307" i="90"/>
  <c r="G285" i="90"/>
  <c r="F307" i="90"/>
  <c r="H285" i="90"/>
  <c r="G307" i="90"/>
  <c r="I285" i="90"/>
  <c r="H307" i="90"/>
  <c r="J285" i="90"/>
  <c r="I307" i="90"/>
  <c r="K285" i="90"/>
  <c r="J307" i="90"/>
  <c r="L285" i="90"/>
  <c r="K307" i="90"/>
  <c r="M285" i="90"/>
  <c r="L307" i="90"/>
  <c r="C286" i="90"/>
  <c r="D286" i="90"/>
  <c r="C308" i="90"/>
  <c r="E286" i="90"/>
  <c r="D308" i="90"/>
  <c r="F286" i="90"/>
  <c r="E308" i="90"/>
  <c r="G286" i="90"/>
  <c r="F308" i="90"/>
  <c r="H286" i="90"/>
  <c r="G308" i="90"/>
  <c r="I286" i="90"/>
  <c r="H308" i="90"/>
  <c r="J286" i="90"/>
  <c r="I308" i="90"/>
  <c r="K286" i="90"/>
  <c r="J308" i="90"/>
  <c r="L286" i="90"/>
  <c r="K308" i="90"/>
  <c r="M286" i="90"/>
  <c r="L308" i="90"/>
  <c r="C287" i="90"/>
  <c r="D287" i="90"/>
  <c r="C309" i="90"/>
  <c r="E287" i="90"/>
  <c r="D309" i="90"/>
  <c r="F287" i="90"/>
  <c r="E309" i="90"/>
  <c r="G287" i="90"/>
  <c r="F309" i="90"/>
  <c r="H287" i="90"/>
  <c r="G309" i="90"/>
  <c r="I287" i="90"/>
  <c r="H309" i="90"/>
  <c r="J287" i="90"/>
  <c r="I309" i="90"/>
  <c r="K287" i="90"/>
  <c r="J309" i="90"/>
  <c r="L287" i="90"/>
  <c r="K309" i="90"/>
  <c r="M287" i="90"/>
  <c r="L309" i="90"/>
  <c r="C288" i="90"/>
  <c r="D288" i="90"/>
  <c r="C310" i="90"/>
  <c r="E288" i="90"/>
  <c r="D310" i="90"/>
  <c r="F288" i="90"/>
  <c r="E310" i="90"/>
  <c r="G288" i="90"/>
  <c r="F310" i="90"/>
  <c r="H288" i="90"/>
  <c r="G310" i="90"/>
  <c r="I288" i="90"/>
  <c r="H310" i="90"/>
  <c r="J288" i="90"/>
  <c r="I310" i="90"/>
  <c r="K288" i="90"/>
  <c r="J310" i="90"/>
  <c r="L288" i="90"/>
  <c r="K310" i="90"/>
  <c r="M288" i="90"/>
  <c r="L310" i="90"/>
  <c r="C289" i="90"/>
  <c r="D289" i="90"/>
  <c r="C311" i="90"/>
  <c r="E289" i="90"/>
  <c r="D311" i="90"/>
  <c r="F289" i="90"/>
  <c r="E311" i="90"/>
  <c r="G289" i="90"/>
  <c r="F311" i="90"/>
  <c r="H289" i="90"/>
  <c r="G311" i="90"/>
  <c r="I289" i="90"/>
  <c r="H311" i="90"/>
  <c r="J289" i="90"/>
  <c r="I311" i="90"/>
  <c r="K289" i="90"/>
  <c r="J311" i="90"/>
  <c r="L289" i="90"/>
  <c r="K311" i="90"/>
  <c r="M289" i="90"/>
  <c r="L311" i="90"/>
  <c r="C290" i="90"/>
  <c r="D290" i="90"/>
  <c r="C312" i="90"/>
  <c r="E290" i="90"/>
  <c r="D312" i="90"/>
  <c r="F290" i="90"/>
  <c r="E312" i="90"/>
  <c r="G290" i="90"/>
  <c r="F312" i="90"/>
  <c r="H290" i="90"/>
  <c r="G312" i="90"/>
  <c r="I290" i="90"/>
  <c r="H312" i="90"/>
  <c r="J290" i="90"/>
  <c r="I312" i="90"/>
  <c r="K290" i="90"/>
  <c r="J312" i="90"/>
  <c r="L290" i="90"/>
  <c r="K312" i="90"/>
  <c r="M290" i="90"/>
  <c r="L312" i="90"/>
  <c r="C291" i="90"/>
  <c r="D291" i="90"/>
  <c r="C313" i="90"/>
  <c r="E291" i="90"/>
  <c r="D313" i="90"/>
  <c r="F291" i="90"/>
  <c r="E313" i="90"/>
  <c r="G291" i="90"/>
  <c r="F313" i="90"/>
  <c r="H291" i="90"/>
  <c r="G313" i="90"/>
  <c r="I291" i="90"/>
  <c r="H313" i="90"/>
  <c r="J291" i="90"/>
  <c r="I313" i="90"/>
  <c r="K291" i="90"/>
  <c r="J313" i="90"/>
  <c r="L291" i="90"/>
  <c r="K313" i="90"/>
  <c r="M291" i="90"/>
  <c r="L313" i="90"/>
  <c r="C292" i="90"/>
  <c r="D292" i="90"/>
  <c r="C314" i="90"/>
  <c r="E292" i="90"/>
  <c r="D314" i="90"/>
  <c r="F292" i="90"/>
  <c r="E314" i="90"/>
  <c r="G292" i="90"/>
  <c r="F314" i="90"/>
  <c r="H292" i="90"/>
  <c r="G314" i="90"/>
  <c r="I292" i="90"/>
  <c r="H314" i="90"/>
  <c r="J292" i="90"/>
  <c r="I314" i="90"/>
  <c r="K292" i="90"/>
  <c r="J314" i="90"/>
  <c r="L292" i="90"/>
  <c r="K314" i="90"/>
  <c r="M292" i="90"/>
  <c r="L314" i="90"/>
  <c r="C293" i="90"/>
  <c r="D293" i="90"/>
  <c r="C315" i="90"/>
  <c r="E293" i="90"/>
  <c r="D315" i="90"/>
  <c r="F293" i="90"/>
  <c r="E315" i="90"/>
  <c r="G293" i="90"/>
  <c r="F315" i="90"/>
  <c r="H293" i="90"/>
  <c r="G315" i="90"/>
  <c r="I293" i="90"/>
  <c r="H315" i="90"/>
  <c r="J293" i="90"/>
  <c r="I315" i="90"/>
  <c r="K293" i="90"/>
  <c r="J315" i="90"/>
  <c r="L293" i="90"/>
  <c r="K315" i="90"/>
  <c r="M293" i="90"/>
  <c r="L315" i="90"/>
  <c r="C294" i="90"/>
  <c r="D294" i="90"/>
  <c r="C316" i="90"/>
  <c r="E294" i="90"/>
  <c r="D316" i="90"/>
  <c r="F294" i="90"/>
  <c r="E316" i="90"/>
  <c r="G294" i="90"/>
  <c r="F316" i="90"/>
  <c r="H294" i="90"/>
  <c r="G316" i="90"/>
  <c r="I294" i="90"/>
  <c r="H316" i="90"/>
  <c r="J294" i="90"/>
  <c r="I316" i="90"/>
  <c r="K294" i="90"/>
  <c r="J316" i="90"/>
  <c r="L294" i="90"/>
  <c r="K316" i="90"/>
  <c r="M294" i="90"/>
  <c r="L316" i="90"/>
  <c r="C295" i="90"/>
  <c r="D295" i="90"/>
  <c r="C317" i="90"/>
  <c r="E295" i="90"/>
  <c r="D317" i="90"/>
  <c r="F295" i="90"/>
  <c r="E317" i="90"/>
  <c r="G295" i="90"/>
  <c r="F317" i="90"/>
  <c r="H295" i="90"/>
  <c r="G317" i="90"/>
  <c r="I295" i="90"/>
  <c r="H317" i="90"/>
  <c r="J295" i="90"/>
  <c r="I317" i="90"/>
  <c r="K295" i="90"/>
  <c r="J317" i="90"/>
  <c r="L295" i="90"/>
  <c r="K317" i="90"/>
  <c r="M295" i="90"/>
  <c r="L317" i="90"/>
  <c r="C296" i="90"/>
  <c r="D296" i="90"/>
  <c r="C318" i="90"/>
  <c r="E296" i="90"/>
  <c r="D318" i="90"/>
  <c r="F296" i="90"/>
  <c r="E318" i="90"/>
  <c r="G296" i="90"/>
  <c r="F318" i="90"/>
  <c r="H296" i="90"/>
  <c r="G318" i="90"/>
  <c r="I296" i="90"/>
  <c r="H318" i="90"/>
  <c r="J296" i="90"/>
  <c r="I318" i="90"/>
  <c r="K296" i="90"/>
  <c r="J318" i="90"/>
  <c r="L296" i="90"/>
  <c r="K318" i="90"/>
  <c r="M296" i="90"/>
  <c r="L318" i="90"/>
  <c r="C278" i="90"/>
  <c r="K29" i="98"/>
  <c r="P304" i="90"/>
  <c r="Q304" i="90"/>
  <c r="R304" i="90"/>
  <c r="S304" i="90"/>
  <c r="T304" i="90"/>
  <c r="V304" i="90"/>
  <c r="W304" i="90"/>
  <c r="X304" i="90"/>
  <c r="Y304" i="90"/>
  <c r="Z304" i="90"/>
  <c r="P305" i="90"/>
  <c r="Q305" i="90"/>
  <c r="R305" i="90"/>
  <c r="S305" i="90"/>
  <c r="T305" i="90"/>
  <c r="V305" i="90"/>
  <c r="W305" i="90"/>
  <c r="X305" i="90"/>
  <c r="Y305" i="90"/>
  <c r="Z305" i="90"/>
  <c r="P306" i="90"/>
  <c r="Q306" i="90"/>
  <c r="R306" i="90"/>
  <c r="S306" i="90"/>
  <c r="T306" i="90"/>
  <c r="V306" i="90"/>
  <c r="W306" i="90"/>
  <c r="X306" i="90"/>
  <c r="Y306" i="90"/>
  <c r="Z306" i="90"/>
  <c r="P307" i="90"/>
  <c r="Q307" i="90"/>
  <c r="R307" i="90"/>
  <c r="S307" i="90"/>
  <c r="T307" i="90"/>
  <c r="V307" i="90"/>
  <c r="W307" i="90"/>
  <c r="X307" i="90"/>
  <c r="Y307" i="90"/>
  <c r="Z307" i="90"/>
  <c r="P308" i="90"/>
  <c r="Q308" i="90"/>
  <c r="R308" i="90"/>
  <c r="S308" i="90"/>
  <c r="T308" i="90"/>
  <c r="V308" i="90"/>
  <c r="W308" i="90"/>
  <c r="X308" i="90"/>
  <c r="Y308" i="90"/>
  <c r="Z308" i="90"/>
  <c r="P309" i="90"/>
  <c r="Q309" i="90"/>
  <c r="R309" i="90"/>
  <c r="S309" i="90"/>
  <c r="T309" i="90"/>
  <c r="V309" i="90"/>
  <c r="W309" i="90"/>
  <c r="X309" i="90"/>
  <c r="Y309" i="90"/>
  <c r="Z309" i="90"/>
  <c r="P310" i="90"/>
  <c r="Q310" i="90"/>
  <c r="R310" i="90"/>
  <c r="S310" i="90"/>
  <c r="T310" i="90"/>
  <c r="V310" i="90"/>
  <c r="W310" i="90"/>
  <c r="X310" i="90"/>
  <c r="Y310" i="90"/>
  <c r="Z310" i="90"/>
  <c r="P311" i="90"/>
  <c r="Q311" i="90"/>
  <c r="R311" i="90"/>
  <c r="S311" i="90"/>
  <c r="T311" i="90"/>
  <c r="V311" i="90"/>
  <c r="W311" i="90"/>
  <c r="X311" i="90"/>
  <c r="Y311" i="90"/>
  <c r="Z311" i="90"/>
  <c r="P312" i="90"/>
  <c r="Q312" i="90"/>
  <c r="R312" i="90"/>
  <c r="S312" i="90"/>
  <c r="T312" i="90"/>
  <c r="V312" i="90"/>
  <c r="W312" i="90"/>
  <c r="X312" i="90"/>
  <c r="Y312" i="90"/>
  <c r="Z312" i="90"/>
  <c r="P313" i="90"/>
  <c r="Q313" i="90"/>
  <c r="R313" i="90"/>
  <c r="S313" i="90"/>
  <c r="T313" i="90"/>
  <c r="V313" i="90"/>
  <c r="W313" i="90"/>
  <c r="X313" i="90"/>
  <c r="Y313" i="90"/>
  <c r="Z313" i="90"/>
  <c r="P314" i="90"/>
  <c r="Q314" i="90"/>
  <c r="R314" i="90"/>
  <c r="S314" i="90"/>
  <c r="T314" i="90"/>
  <c r="V314" i="90"/>
  <c r="W314" i="90"/>
  <c r="X314" i="90"/>
  <c r="Y314" i="90"/>
  <c r="Z314" i="90"/>
  <c r="P315" i="90"/>
  <c r="Q315" i="90"/>
  <c r="R315" i="90"/>
  <c r="S315" i="90"/>
  <c r="T315" i="90"/>
  <c r="V315" i="90"/>
  <c r="W315" i="90"/>
  <c r="X315" i="90"/>
  <c r="Y315" i="90"/>
  <c r="Z315" i="90"/>
  <c r="P316" i="90"/>
  <c r="Q316" i="90"/>
  <c r="R316" i="90"/>
  <c r="S316" i="90"/>
  <c r="T316" i="90"/>
  <c r="V316" i="90"/>
  <c r="W316" i="90"/>
  <c r="X316" i="90"/>
  <c r="Y316" i="90"/>
  <c r="Z316" i="90"/>
  <c r="P317" i="90"/>
  <c r="Q317" i="90"/>
  <c r="R317" i="90"/>
  <c r="S317" i="90"/>
  <c r="T317" i="90"/>
  <c r="V317" i="90"/>
  <c r="W317" i="90"/>
  <c r="X317" i="90"/>
  <c r="Y317" i="90"/>
  <c r="Z317" i="90"/>
  <c r="H278" i="90"/>
  <c r="K30" i="98"/>
  <c r="C331" i="90"/>
  <c r="D331" i="90"/>
  <c r="C353" i="90"/>
  <c r="E331" i="90"/>
  <c r="D353" i="90"/>
  <c r="F331" i="90"/>
  <c r="E353" i="90"/>
  <c r="G331" i="90"/>
  <c r="F353" i="90"/>
  <c r="H331" i="90"/>
  <c r="G353" i="90"/>
  <c r="I331" i="90"/>
  <c r="H353" i="90"/>
  <c r="J331" i="90"/>
  <c r="I353" i="90"/>
  <c r="K331" i="90"/>
  <c r="J353" i="90"/>
  <c r="L331" i="90"/>
  <c r="K353" i="90"/>
  <c r="M331" i="90"/>
  <c r="L353" i="90"/>
  <c r="C332" i="90"/>
  <c r="D332" i="90"/>
  <c r="C354" i="90"/>
  <c r="E332" i="90"/>
  <c r="D354" i="90"/>
  <c r="F332" i="90"/>
  <c r="E354" i="90"/>
  <c r="G332" i="90"/>
  <c r="F354" i="90"/>
  <c r="H332" i="90"/>
  <c r="G354" i="90"/>
  <c r="I332" i="90"/>
  <c r="H354" i="90"/>
  <c r="J332" i="90"/>
  <c r="I354" i="90"/>
  <c r="K332" i="90"/>
  <c r="J354" i="90"/>
  <c r="L332" i="90"/>
  <c r="K354" i="90"/>
  <c r="M332" i="90"/>
  <c r="L354" i="90"/>
  <c r="C333" i="90"/>
  <c r="D333" i="90"/>
  <c r="C355" i="90"/>
  <c r="E333" i="90"/>
  <c r="D355" i="90"/>
  <c r="F333" i="90"/>
  <c r="E355" i="90"/>
  <c r="G333" i="90"/>
  <c r="F355" i="90"/>
  <c r="H333" i="90"/>
  <c r="G355" i="90"/>
  <c r="I333" i="90"/>
  <c r="H355" i="90"/>
  <c r="J333" i="90"/>
  <c r="I355" i="90"/>
  <c r="K333" i="90"/>
  <c r="J355" i="90"/>
  <c r="L333" i="90"/>
  <c r="K355" i="90"/>
  <c r="M333" i="90"/>
  <c r="L355" i="90"/>
  <c r="C334" i="90"/>
  <c r="D334" i="90"/>
  <c r="C356" i="90"/>
  <c r="E334" i="90"/>
  <c r="D356" i="90"/>
  <c r="F334" i="90"/>
  <c r="E356" i="90"/>
  <c r="G334" i="90"/>
  <c r="F356" i="90"/>
  <c r="H334" i="90"/>
  <c r="G356" i="90"/>
  <c r="I334" i="90"/>
  <c r="H356" i="90"/>
  <c r="J334" i="90"/>
  <c r="I356" i="90"/>
  <c r="K334" i="90"/>
  <c r="J356" i="90"/>
  <c r="L334" i="90"/>
  <c r="K356" i="90"/>
  <c r="M334" i="90"/>
  <c r="L356" i="90"/>
  <c r="C335" i="90"/>
  <c r="D335" i="90"/>
  <c r="C357" i="90"/>
  <c r="E335" i="90"/>
  <c r="D357" i="90"/>
  <c r="F335" i="90"/>
  <c r="E357" i="90"/>
  <c r="G335" i="90"/>
  <c r="F357" i="90"/>
  <c r="H335" i="90"/>
  <c r="G357" i="90"/>
  <c r="I335" i="90"/>
  <c r="H357" i="90"/>
  <c r="J335" i="90"/>
  <c r="I357" i="90"/>
  <c r="K335" i="90"/>
  <c r="J357" i="90"/>
  <c r="L335" i="90"/>
  <c r="K357" i="90"/>
  <c r="M335" i="90"/>
  <c r="L357" i="90"/>
  <c r="C336" i="90"/>
  <c r="D336" i="90"/>
  <c r="C358" i="90"/>
  <c r="E336" i="90"/>
  <c r="D358" i="90"/>
  <c r="F336" i="90"/>
  <c r="E358" i="90"/>
  <c r="G336" i="90"/>
  <c r="F358" i="90"/>
  <c r="H336" i="90"/>
  <c r="G358" i="90"/>
  <c r="I336" i="90"/>
  <c r="H358" i="90"/>
  <c r="J336" i="90"/>
  <c r="I358" i="90"/>
  <c r="K336" i="90"/>
  <c r="J358" i="90"/>
  <c r="L336" i="90"/>
  <c r="K358" i="90"/>
  <c r="M336" i="90"/>
  <c r="L358" i="90"/>
  <c r="C337" i="90"/>
  <c r="D337" i="90"/>
  <c r="C359" i="90"/>
  <c r="E337" i="90"/>
  <c r="D359" i="90"/>
  <c r="F337" i="90"/>
  <c r="E359" i="90"/>
  <c r="G337" i="90"/>
  <c r="F359" i="90"/>
  <c r="H337" i="90"/>
  <c r="G359" i="90"/>
  <c r="I337" i="90"/>
  <c r="H359" i="90"/>
  <c r="J337" i="90"/>
  <c r="I359" i="90"/>
  <c r="K337" i="90"/>
  <c r="J359" i="90"/>
  <c r="L337" i="90"/>
  <c r="K359" i="90"/>
  <c r="M337" i="90"/>
  <c r="L359" i="90"/>
  <c r="C338" i="90"/>
  <c r="D338" i="90"/>
  <c r="C360" i="90"/>
  <c r="E338" i="90"/>
  <c r="D360" i="90"/>
  <c r="F338" i="90"/>
  <c r="E360" i="90"/>
  <c r="G338" i="90"/>
  <c r="F360" i="90"/>
  <c r="H338" i="90"/>
  <c r="G360" i="90"/>
  <c r="I338" i="90"/>
  <c r="H360" i="90"/>
  <c r="J338" i="90"/>
  <c r="I360" i="90"/>
  <c r="K338" i="90"/>
  <c r="J360" i="90"/>
  <c r="L338" i="90"/>
  <c r="K360" i="90"/>
  <c r="M338" i="90"/>
  <c r="L360" i="90"/>
  <c r="C339" i="90"/>
  <c r="D339" i="90"/>
  <c r="C361" i="90"/>
  <c r="E339" i="90"/>
  <c r="D361" i="90"/>
  <c r="F339" i="90"/>
  <c r="E361" i="90"/>
  <c r="G339" i="90"/>
  <c r="F361" i="90"/>
  <c r="H339" i="90"/>
  <c r="G361" i="90"/>
  <c r="I339" i="90"/>
  <c r="H361" i="90"/>
  <c r="J339" i="90"/>
  <c r="I361" i="90"/>
  <c r="K339" i="90"/>
  <c r="J361" i="90"/>
  <c r="L339" i="90"/>
  <c r="K361" i="90"/>
  <c r="M339" i="90"/>
  <c r="L361" i="90"/>
  <c r="C340" i="90"/>
  <c r="D340" i="90"/>
  <c r="C362" i="90"/>
  <c r="E340" i="90"/>
  <c r="D362" i="90"/>
  <c r="F340" i="90"/>
  <c r="E362" i="90"/>
  <c r="G340" i="90"/>
  <c r="F362" i="90"/>
  <c r="H340" i="90"/>
  <c r="G362" i="90"/>
  <c r="I340" i="90"/>
  <c r="H362" i="90"/>
  <c r="J340" i="90"/>
  <c r="I362" i="90"/>
  <c r="K340" i="90"/>
  <c r="J362" i="90"/>
  <c r="L340" i="90"/>
  <c r="K362" i="90"/>
  <c r="M340" i="90"/>
  <c r="L362" i="90"/>
  <c r="C341" i="90"/>
  <c r="D341" i="90"/>
  <c r="C363" i="90"/>
  <c r="E341" i="90"/>
  <c r="D363" i="90"/>
  <c r="F341" i="90"/>
  <c r="E363" i="90"/>
  <c r="G341" i="90"/>
  <c r="F363" i="90"/>
  <c r="H341" i="90"/>
  <c r="G363" i="90"/>
  <c r="I341" i="90"/>
  <c r="H363" i="90"/>
  <c r="J341" i="90"/>
  <c r="I363" i="90"/>
  <c r="K341" i="90"/>
  <c r="J363" i="90"/>
  <c r="L341" i="90"/>
  <c r="K363" i="90"/>
  <c r="M341" i="90"/>
  <c r="L363" i="90"/>
  <c r="C342" i="90"/>
  <c r="D342" i="90"/>
  <c r="C364" i="90"/>
  <c r="E342" i="90"/>
  <c r="D364" i="90"/>
  <c r="F342" i="90"/>
  <c r="E364" i="90"/>
  <c r="G342" i="90"/>
  <c r="F364" i="90"/>
  <c r="H342" i="90"/>
  <c r="G364" i="90"/>
  <c r="I342" i="90"/>
  <c r="H364" i="90"/>
  <c r="J342" i="90"/>
  <c r="I364" i="90"/>
  <c r="K342" i="90"/>
  <c r="J364" i="90"/>
  <c r="L342" i="90"/>
  <c r="K364" i="90"/>
  <c r="M342" i="90"/>
  <c r="L364" i="90"/>
  <c r="C343" i="90"/>
  <c r="D343" i="90"/>
  <c r="C365" i="90"/>
  <c r="E343" i="90"/>
  <c r="D365" i="90"/>
  <c r="F343" i="90"/>
  <c r="E365" i="90"/>
  <c r="G343" i="90"/>
  <c r="F365" i="90"/>
  <c r="H343" i="90"/>
  <c r="G365" i="90"/>
  <c r="I343" i="90"/>
  <c r="H365" i="90"/>
  <c r="J343" i="90"/>
  <c r="I365" i="90"/>
  <c r="K343" i="90"/>
  <c r="J365" i="90"/>
  <c r="L343" i="90"/>
  <c r="K365" i="90"/>
  <c r="M343" i="90"/>
  <c r="L365" i="90"/>
  <c r="C344" i="90"/>
  <c r="D344" i="90"/>
  <c r="C366" i="90"/>
  <c r="E344" i="90"/>
  <c r="D366" i="90"/>
  <c r="F344" i="90"/>
  <c r="E366" i="90"/>
  <c r="G344" i="90"/>
  <c r="F366" i="90"/>
  <c r="H344" i="90"/>
  <c r="G366" i="90"/>
  <c r="I344" i="90"/>
  <c r="H366" i="90"/>
  <c r="J344" i="90"/>
  <c r="I366" i="90"/>
  <c r="K344" i="90"/>
  <c r="J366" i="90"/>
  <c r="L344" i="90"/>
  <c r="K366" i="90"/>
  <c r="M344" i="90"/>
  <c r="L366" i="90"/>
  <c r="C345" i="90"/>
  <c r="D345" i="90"/>
  <c r="C367" i="90"/>
  <c r="E345" i="90"/>
  <c r="D367" i="90"/>
  <c r="F345" i="90"/>
  <c r="E367" i="90"/>
  <c r="G345" i="90"/>
  <c r="F367" i="90"/>
  <c r="H345" i="90"/>
  <c r="G367" i="90"/>
  <c r="I345" i="90"/>
  <c r="H367" i="90"/>
  <c r="J345" i="90"/>
  <c r="I367" i="90"/>
  <c r="K345" i="90"/>
  <c r="J367" i="90"/>
  <c r="L345" i="90"/>
  <c r="K367" i="90"/>
  <c r="M345" i="90"/>
  <c r="L367" i="90"/>
  <c r="C327" i="90"/>
  <c r="K33" i="98"/>
  <c r="P353" i="90"/>
  <c r="Q353" i="90"/>
  <c r="R353" i="90"/>
  <c r="S353" i="90"/>
  <c r="T353" i="90"/>
  <c r="V353" i="90"/>
  <c r="W353" i="90"/>
  <c r="X353" i="90"/>
  <c r="Y353" i="90"/>
  <c r="Z353" i="90"/>
  <c r="P354" i="90"/>
  <c r="Q354" i="90"/>
  <c r="R354" i="90"/>
  <c r="S354" i="90"/>
  <c r="T354" i="90"/>
  <c r="V354" i="90"/>
  <c r="W354" i="90"/>
  <c r="X354" i="90"/>
  <c r="Y354" i="90"/>
  <c r="Z354" i="90"/>
  <c r="P355" i="90"/>
  <c r="Q355" i="90"/>
  <c r="R355" i="90"/>
  <c r="S355" i="90"/>
  <c r="T355" i="90"/>
  <c r="V355" i="90"/>
  <c r="W355" i="90"/>
  <c r="X355" i="90"/>
  <c r="Y355" i="90"/>
  <c r="Z355" i="90"/>
  <c r="P356" i="90"/>
  <c r="Q356" i="90"/>
  <c r="R356" i="90"/>
  <c r="S356" i="90"/>
  <c r="T356" i="90"/>
  <c r="V356" i="90"/>
  <c r="W356" i="90"/>
  <c r="X356" i="90"/>
  <c r="Y356" i="90"/>
  <c r="Z356" i="90"/>
  <c r="P357" i="90"/>
  <c r="Q357" i="90"/>
  <c r="R357" i="90"/>
  <c r="S357" i="90"/>
  <c r="T357" i="90"/>
  <c r="V357" i="90"/>
  <c r="W357" i="90"/>
  <c r="X357" i="90"/>
  <c r="Y357" i="90"/>
  <c r="Z357" i="90"/>
  <c r="P358" i="90"/>
  <c r="Q358" i="90"/>
  <c r="R358" i="90"/>
  <c r="S358" i="90"/>
  <c r="T358" i="90"/>
  <c r="V358" i="90"/>
  <c r="W358" i="90"/>
  <c r="X358" i="90"/>
  <c r="Y358" i="90"/>
  <c r="Z358" i="90"/>
  <c r="P359" i="90"/>
  <c r="Q359" i="90"/>
  <c r="R359" i="90"/>
  <c r="S359" i="90"/>
  <c r="T359" i="90"/>
  <c r="V359" i="90"/>
  <c r="W359" i="90"/>
  <c r="X359" i="90"/>
  <c r="Y359" i="90"/>
  <c r="Z359" i="90"/>
  <c r="P360" i="90"/>
  <c r="Q360" i="90"/>
  <c r="R360" i="90"/>
  <c r="S360" i="90"/>
  <c r="T360" i="90"/>
  <c r="V360" i="90"/>
  <c r="W360" i="90"/>
  <c r="X360" i="90"/>
  <c r="Y360" i="90"/>
  <c r="Z360" i="90"/>
  <c r="P361" i="90"/>
  <c r="Q361" i="90"/>
  <c r="R361" i="90"/>
  <c r="S361" i="90"/>
  <c r="T361" i="90"/>
  <c r="V361" i="90"/>
  <c r="W361" i="90"/>
  <c r="X361" i="90"/>
  <c r="Y361" i="90"/>
  <c r="Z361" i="90"/>
  <c r="P362" i="90"/>
  <c r="Q362" i="90"/>
  <c r="R362" i="90"/>
  <c r="S362" i="90"/>
  <c r="T362" i="90"/>
  <c r="V362" i="90"/>
  <c r="W362" i="90"/>
  <c r="X362" i="90"/>
  <c r="Y362" i="90"/>
  <c r="Z362" i="90"/>
  <c r="P363" i="90"/>
  <c r="Q363" i="90"/>
  <c r="R363" i="90"/>
  <c r="S363" i="90"/>
  <c r="T363" i="90"/>
  <c r="V363" i="90"/>
  <c r="W363" i="90"/>
  <c r="X363" i="90"/>
  <c r="Y363" i="90"/>
  <c r="Z363" i="90"/>
  <c r="P364" i="90"/>
  <c r="Q364" i="90"/>
  <c r="R364" i="90"/>
  <c r="S364" i="90"/>
  <c r="T364" i="90"/>
  <c r="V364" i="90"/>
  <c r="W364" i="90"/>
  <c r="X364" i="90"/>
  <c r="Y364" i="90"/>
  <c r="Z364" i="90"/>
  <c r="P365" i="90"/>
  <c r="Q365" i="90"/>
  <c r="R365" i="90"/>
  <c r="S365" i="90"/>
  <c r="T365" i="90"/>
  <c r="V365" i="90"/>
  <c r="W365" i="90"/>
  <c r="X365" i="90"/>
  <c r="Y365" i="90"/>
  <c r="Z365" i="90"/>
  <c r="P366" i="90"/>
  <c r="Q366" i="90"/>
  <c r="R366" i="90"/>
  <c r="S366" i="90"/>
  <c r="T366" i="90"/>
  <c r="V366" i="90"/>
  <c r="W366" i="90"/>
  <c r="X366" i="90"/>
  <c r="Y366" i="90"/>
  <c r="Z366" i="90"/>
  <c r="H327" i="90"/>
  <c r="K34" i="98"/>
  <c r="C380" i="90"/>
  <c r="D380" i="90"/>
  <c r="C402" i="90"/>
  <c r="E380" i="90"/>
  <c r="D402" i="90"/>
  <c r="F380" i="90"/>
  <c r="E402" i="90"/>
  <c r="G380" i="90"/>
  <c r="F402" i="90"/>
  <c r="H380" i="90"/>
  <c r="G402" i="90"/>
  <c r="I380" i="90"/>
  <c r="H402" i="90"/>
  <c r="J380" i="90"/>
  <c r="I402" i="90"/>
  <c r="K380" i="90"/>
  <c r="J402" i="90"/>
  <c r="L380" i="90"/>
  <c r="K402" i="90"/>
  <c r="M380" i="90"/>
  <c r="L402" i="90"/>
  <c r="C381" i="90"/>
  <c r="D381" i="90"/>
  <c r="C403" i="90"/>
  <c r="E381" i="90"/>
  <c r="D403" i="90"/>
  <c r="F381" i="90"/>
  <c r="E403" i="90"/>
  <c r="G381" i="90"/>
  <c r="F403" i="90"/>
  <c r="H381" i="90"/>
  <c r="G403" i="90"/>
  <c r="I381" i="90"/>
  <c r="H403" i="90"/>
  <c r="J381" i="90"/>
  <c r="I403" i="90"/>
  <c r="K381" i="90"/>
  <c r="J403" i="90"/>
  <c r="L381" i="90"/>
  <c r="K403" i="90"/>
  <c r="M381" i="90"/>
  <c r="L403" i="90"/>
  <c r="C382" i="90"/>
  <c r="D382" i="90"/>
  <c r="C404" i="90"/>
  <c r="E382" i="90"/>
  <c r="D404" i="90"/>
  <c r="F382" i="90"/>
  <c r="E404" i="90"/>
  <c r="G382" i="90"/>
  <c r="F404" i="90"/>
  <c r="H382" i="90"/>
  <c r="G404" i="90"/>
  <c r="I382" i="90"/>
  <c r="H404" i="90"/>
  <c r="J382" i="90"/>
  <c r="I404" i="90"/>
  <c r="K382" i="90"/>
  <c r="J404" i="90"/>
  <c r="L382" i="90"/>
  <c r="K404" i="90"/>
  <c r="M382" i="90"/>
  <c r="L404" i="90"/>
  <c r="C383" i="90"/>
  <c r="D383" i="90"/>
  <c r="C405" i="90"/>
  <c r="E383" i="90"/>
  <c r="D405" i="90"/>
  <c r="F383" i="90"/>
  <c r="E405" i="90"/>
  <c r="G383" i="90"/>
  <c r="F405" i="90"/>
  <c r="H383" i="90"/>
  <c r="G405" i="90"/>
  <c r="I383" i="90"/>
  <c r="H405" i="90"/>
  <c r="J383" i="90"/>
  <c r="I405" i="90"/>
  <c r="K383" i="90"/>
  <c r="J405" i="90"/>
  <c r="L383" i="90"/>
  <c r="K405" i="90"/>
  <c r="M383" i="90"/>
  <c r="L405" i="90"/>
  <c r="C384" i="90"/>
  <c r="D384" i="90"/>
  <c r="C406" i="90"/>
  <c r="E384" i="90"/>
  <c r="D406" i="90"/>
  <c r="F384" i="90"/>
  <c r="E406" i="90"/>
  <c r="G384" i="90"/>
  <c r="F406" i="90"/>
  <c r="H384" i="90"/>
  <c r="G406" i="90"/>
  <c r="I384" i="90"/>
  <c r="H406" i="90"/>
  <c r="J384" i="90"/>
  <c r="I406" i="90"/>
  <c r="K384" i="90"/>
  <c r="J406" i="90"/>
  <c r="L384" i="90"/>
  <c r="K406" i="90"/>
  <c r="M384" i="90"/>
  <c r="L406" i="90"/>
  <c r="C385" i="90"/>
  <c r="D385" i="90"/>
  <c r="C407" i="90"/>
  <c r="E385" i="90"/>
  <c r="D407" i="90"/>
  <c r="F385" i="90"/>
  <c r="E407" i="90"/>
  <c r="G385" i="90"/>
  <c r="F407" i="90"/>
  <c r="H385" i="90"/>
  <c r="G407" i="90"/>
  <c r="I385" i="90"/>
  <c r="H407" i="90"/>
  <c r="J385" i="90"/>
  <c r="I407" i="90"/>
  <c r="K385" i="90"/>
  <c r="J407" i="90"/>
  <c r="L385" i="90"/>
  <c r="K407" i="90"/>
  <c r="M385" i="90"/>
  <c r="L407" i="90"/>
  <c r="C386" i="90"/>
  <c r="D386" i="90"/>
  <c r="C408" i="90"/>
  <c r="E386" i="90"/>
  <c r="D408" i="90"/>
  <c r="F386" i="90"/>
  <c r="E408" i="90"/>
  <c r="G386" i="90"/>
  <c r="F408" i="90"/>
  <c r="H386" i="90"/>
  <c r="G408" i="90"/>
  <c r="I386" i="90"/>
  <c r="H408" i="90"/>
  <c r="J386" i="90"/>
  <c r="I408" i="90"/>
  <c r="K386" i="90"/>
  <c r="J408" i="90"/>
  <c r="L386" i="90"/>
  <c r="K408" i="90"/>
  <c r="M386" i="90"/>
  <c r="L408" i="90"/>
  <c r="C387" i="90"/>
  <c r="D387" i="90"/>
  <c r="C409" i="90"/>
  <c r="E387" i="90"/>
  <c r="D409" i="90"/>
  <c r="F387" i="90"/>
  <c r="E409" i="90"/>
  <c r="G387" i="90"/>
  <c r="F409" i="90"/>
  <c r="H387" i="90"/>
  <c r="G409" i="90"/>
  <c r="I387" i="90"/>
  <c r="H409" i="90"/>
  <c r="J387" i="90"/>
  <c r="I409" i="90"/>
  <c r="K387" i="90"/>
  <c r="J409" i="90"/>
  <c r="L387" i="90"/>
  <c r="K409" i="90"/>
  <c r="M387" i="90"/>
  <c r="L409" i="90"/>
  <c r="C388" i="90"/>
  <c r="D388" i="90"/>
  <c r="C410" i="90"/>
  <c r="E388" i="90"/>
  <c r="D410" i="90"/>
  <c r="F388" i="90"/>
  <c r="E410" i="90"/>
  <c r="G388" i="90"/>
  <c r="F410" i="90"/>
  <c r="H388" i="90"/>
  <c r="G410" i="90"/>
  <c r="I388" i="90"/>
  <c r="H410" i="90"/>
  <c r="J388" i="90"/>
  <c r="I410" i="90"/>
  <c r="K388" i="90"/>
  <c r="J410" i="90"/>
  <c r="L388" i="90"/>
  <c r="K410" i="90"/>
  <c r="M388" i="90"/>
  <c r="L410" i="90"/>
  <c r="C389" i="90"/>
  <c r="D389" i="90"/>
  <c r="C411" i="90"/>
  <c r="E389" i="90"/>
  <c r="D411" i="90"/>
  <c r="F389" i="90"/>
  <c r="E411" i="90"/>
  <c r="G389" i="90"/>
  <c r="F411" i="90"/>
  <c r="H389" i="90"/>
  <c r="G411" i="90"/>
  <c r="I389" i="90"/>
  <c r="H411" i="90"/>
  <c r="J389" i="90"/>
  <c r="I411" i="90"/>
  <c r="K389" i="90"/>
  <c r="J411" i="90"/>
  <c r="L389" i="90"/>
  <c r="K411" i="90"/>
  <c r="M389" i="90"/>
  <c r="L411" i="90"/>
  <c r="C390" i="90"/>
  <c r="D390" i="90"/>
  <c r="C412" i="90"/>
  <c r="E390" i="90"/>
  <c r="D412" i="90"/>
  <c r="F390" i="90"/>
  <c r="E412" i="90"/>
  <c r="G390" i="90"/>
  <c r="F412" i="90"/>
  <c r="H390" i="90"/>
  <c r="G412" i="90"/>
  <c r="I390" i="90"/>
  <c r="H412" i="90"/>
  <c r="J390" i="90"/>
  <c r="I412" i="90"/>
  <c r="K390" i="90"/>
  <c r="J412" i="90"/>
  <c r="L390" i="90"/>
  <c r="K412" i="90"/>
  <c r="M390" i="90"/>
  <c r="L412" i="90"/>
  <c r="C391" i="90"/>
  <c r="D391" i="90"/>
  <c r="C413" i="90"/>
  <c r="E391" i="90"/>
  <c r="D413" i="90"/>
  <c r="F391" i="90"/>
  <c r="E413" i="90"/>
  <c r="G391" i="90"/>
  <c r="F413" i="90"/>
  <c r="H391" i="90"/>
  <c r="G413" i="90"/>
  <c r="I391" i="90"/>
  <c r="H413" i="90"/>
  <c r="J391" i="90"/>
  <c r="I413" i="90"/>
  <c r="K391" i="90"/>
  <c r="J413" i="90"/>
  <c r="L391" i="90"/>
  <c r="K413" i="90"/>
  <c r="M391" i="90"/>
  <c r="L413" i="90"/>
  <c r="C392" i="90"/>
  <c r="D392" i="90"/>
  <c r="C414" i="90"/>
  <c r="E392" i="90"/>
  <c r="D414" i="90"/>
  <c r="F392" i="90"/>
  <c r="E414" i="90"/>
  <c r="G392" i="90"/>
  <c r="F414" i="90"/>
  <c r="H392" i="90"/>
  <c r="G414" i="90"/>
  <c r="I392" i="90"/>
  <c r="H414" i="90"/>
  <c r="J392" i="90"/>
  <c r="I414" i="90"/>
  <c r="K392" i="90"/>
  <c r="J414" i="90"/>
  <c r="L392" i="90"/>
  <c r="K414" i="90"/>
  <c r="M392" i="90"/>
  <c r="L414" i="90"/>
  <c r="C393" i="90"/>
  <c r="D393" i="90"/>
  <c r="C415" i="90"/>
  <c r="E393" i="90"/>
  <c r="D415" i="90"/>
  <c r="F393" i="90"/>
  <c r="E415" i="90"/>
  <c r="G393" i="90"/>
  <c r="F415" i="90"/>
  <c r="H393" i="90"/>
  <c r="G415" i="90"/>
  <c r="I393" i="90"/>
  <c r="H415" i="90"/>
  <c r="J393" i="90"/>
  <c r="I415" i="90"/>
  <c r="K393" i="90"/>
  <c r="J415" i="90"/>
  <c r="L393" i="90"/>
  <c r="K415" i="90"/>
  <c r="M393" i="90"/>
  <c r="L415" i="90"/>
  <c r="C394" i="90"/>
  <c r="D394" i="90"/>
  <c r="C416" i="90"/>
  <c r="E394" i="90"/>
  <c r="D416" i="90"/>
  <c r="F394" i="90"/>
  <c r="E416" i="90"/>
  <c r="G394" i="90"/>
  <c r="F416" i="90"/>
  <c r="H394" i="90"/>
  <c r="G416" i="90"/>
  <c r="I394" i="90"/>
  <c r="H416" i="90"/>
  <c r="J394" i="90"/>
  <c r="I416" i="90"/>
  <c r="K394" i="90"/>
  <c r="J416" i="90"/>
  <c r="L394" i="90"/>
  <c r="K416" i="90"/>
  <c r="M394" i="90"/>
  <c r="L416" i="90"/>
  <c r="C376" i="90"/>
  <c r="K37" i="98"/>
  <c r="P402" i="90"/>
  <c r="Q402" i="90"/>
  <c r="R402" i="90"/>
  <c r="S402" i="90"/>
  <c r="T402" i="90"/>
  <c r="V402" i="90"/>
  <c r="W402" i="90"/>
  <c r="X402" i="90"/>
  <c r="Y402" i="90"/>
  <c r="Z402" i="90"/>
  <c r="P403" i="90"/>
  <c r="Q403" i="90"/>
  <c r="R403" i="90"/>
  <c r="S403" i="90"/>
  <c r="T403" i="90"/>
  <c r="V403" i="90"/>
  <c r="W403" i="90"/>
  <c r="X403" i="90"/>
  <c r="Y403" i="90"/>
  <c r="Z403" i="90"/>
  <c r="P404" i="90"/>
  <c r="Q404" i="90"/>
  <c r="R404" i="90"/>
  <c r="S404" i="90"/>
  <c r="T404" i="90"/>
  <c r="V404" i="90"/>
  <c r="W404" i="90"/>
  <c r="X404" i="90"/>
  <c r="Y404" i="90"/>
  <c r="Z404" i="90"/>
  <c r="P405" i="90"/>
  <c r="Q405" i="90"/>
  <c r="R405" i="90"/>
  <c r="S405" i="90"/>
  <c r="T405" i="90"/>
  <c r="V405" i="90"/>
  <c r="W405" i="90"/>
  <c r="X405" i="90"/>
  <c r="Y405" i="90"/>
  <c r="Z405" i="90"/>
  <c r="P406" i="90"/>
  <c r="Q406" i="90"/>
  <c r="R406" i="90"/>
  <c r="S406" i="90"/>
  <c r="T406" i="90"/>
  <c r="V406" i="90"/>
  <c r="W406" i="90"/>
  <c r="X406" i="90"/>
  <c r="Y406" i="90"/>
  <c r="Z406" i="90"/>
  <c r="P407" i="90"/>
  <c r="Q407" i="90"/>
  <c r="R407" i="90"/>
  <c r="S407" i="90"/>
  <c r="T407" i="90"/>
  <c r="V407" i="90"/>
  <c r="W407" i="90"/>
  <c r="X407" i="90"/>
  <c r="Y407" i="90"/>
  <c r="Z407" i="90"/>
  <c r="P408" i="90"/>
  <c r="Q408" i="90"/>
  <c r="R408" i="90"/>
  <c r="S408" i="90"/>
  <c r="T408" i="90"/>
  <c r="V408" i="90"/>
  <c r="W408" i="90"/>
  <c r="X408" i="90"/>
  <c r="Y408" i="90"/>
  <c r="Z408" i="90"/>
  <c r="P409" i="90"/>
  <c r="Q409" i="90"/>
  <c r="R409" i="90"/>
  <c r="S409" i="90"/>
  <c r="T409" i="90"/>
  <c r="V409" i="90"/>
  <c r="W409" i="90"/>
  <c r="X409" i="90"/>
  <c r="Y409" i="90"/>
  <c r="Z409" i="90"/>
  <c r="P410" i="90"/>
  <c r="Q410" i="90"/>
  <c r="R410" i="90"/>
  <c r="S410" i="90"/>
  <c r="T410" i="90"/>
  <c r="V410" i="90"/>
  <c r="W410" i="90"/>
  <c r="X410" i="90"/>
  <c r="Y410" i="90"/>
  <c r="Z410" i="90"/>
  <c r="P411" i="90"/>
  <c r="Q411" i="90"/>
  <c r="R411" i="90"/>
  <c r="S411" i="90"/>
  <c r="T411" i="90"/>
  <c r="V411" i="90"/>
  <c r="W411" i="90"/>
  <c r="X411" i="90"/>
  <c r="Y411" i="90"/>
  <c r="Z411" i="90"/>
  <c r="P412" i="90"/>
  <c r="Q412" i="90"/>
  <c r="R412" i="90"/>
  <c r="S412" i="90"/>
  <c r="T412" i="90"/>
  <c r="V412" i="90"/>
  <c r="W412" i="90"/>
  <c r="X412" i="90"/>
  <c r="Y412" i="90"/>
  <c r="Z412" i="90"/>
  <c r="P413" i="90"/>
  <c r="Q413" i="90"/>
  <c r="R413" i="90"/>
  <c r="S413" i="90"/>
  <c r="T413" i="90"/>
  <c r="V413" i="90"/>
  <c r="W413" i="90"/>
  <c r="X413" i="90"/>
  <c r="Y413" i="90"/>
  <c r="Z413" i="90"/>
  <c r="P414" i="90"/>
  <c r="Q414" i="90"/>
  <c r="R414" i="90"/>
  <c r="S414" i="90"/>
  <c r="T414" i="90"/>
  <c r="V414" i="90"/>
  <c r="W414" i="90"/>
  <c r="X414" i="90"/>
  <c r="Y414" i="90"/>
  <c r="Z414" i="90"/>
  <c r="P415" i="90"/>
  <c r="Q415" i="90"/>
  <c r="R415" i="90"/>
  <c r="S415" i="90"/>
  <c r="T415" i="90"/>
  <c r="V415" i="90"/>
  <c r="W415" i="90"/>
  <c r="X415" i="90"/>
  <c r="Y415" i="90"/>
  <c r="Z415" i="90"/>
  <c r="H376" i="90"/>
  <c r="K38" i="98"/>
  <c r="K42" i="98"/>
  <c r="I7" i="99"/>
  <c r="L7" i="99"/>
  <c r="O7" i="99"/>
  <c r="R7" i="99"/>
  <c r="I8" i="99"/>
  <c r="L8" i="99"/>
  <c r="O8" i="99"/>
  <c r="R8" i="99"/>
  <c r="I11" i="99"/>
  <c r="L11" i="99"/>
  <c r="O11" i="99"/>
  <c r="R11" i="99"/>
  <c r="I12" i="99"/>
  <c r="L12" i="99"/>
  <c r="O12" i="99"/>
  <c r="R12" i="99"/>
  <c r="I15" i="99"/>
  <c r="L15" i="99"/>
  <c r="O15" i="99"/>
  <c r="R15" i="99"/>
  <c r="I16" i="99"/>
  <c r="L16" i="99"/>
  <c r="O16" i="99"/>
  <c r="R16" i="99"/>
  <c r="I19" i="99"/>
  <c r="L19" i="99"/>
  <c r="O19" i="99"/>
  <c r="R19" i="99"/>
  <c r="I20" i="99"/>
  <c r="L20" i="99"/>
  <c r="O20" i="99"/>
  <c r="R20" i="99"/>
  <c r="B198" i="103"/>
  <c r="C198" i="103"/>
  <c r="D198" i="103"/>
  <c r="E198" i="103"/>
  <c r="F198" i="103"/>
  <c r="G198" i="103"/>
  <c r="H198" i="103"/>
  <c r="I198" i="103"/>
  <c r="J198" i="103"/>
  <c r="K198" i="103"/>
  <c r="L198" i="103"/>
  <c r="M198" i="103"/>
  <c r="B199" i="103"/>
  <c r="B200" i="103"/>
  <c r="B201" i="103"/>
  <c r="B202" i="103"/>
  <c r="B203" i="103"/>
  <c r="B204" i="103"/>
  <c r="B205" i="103"/>
  <c r="B206" i="103"/>
  <c r="B207" i="103"/>
  <c r="B208" i="103"/>
  <c r="B209" i="103"/>
  <c r="B210" i="103"/>
  <c r="B211" i="103"/>
  <c r="B212" i="103"/>
  <c r="B213" i="103"/>
  <c r="B171" i="103"/>
  <c r="C171" i="103"/>
  <c r="D171" i="103"/>
  <c r="E171" i="103"/>
  <c r="F171" i="103"/>
  <c r="G171" i="103"/>
  <c r="H171" i="103"/>
  <c r="I171" i="103"/>
  <c r="J171" i="103"/>
  <c r="K171" i="103"/>
  <c r="L171" i="103"/>
  <c r="M171" i="103"/>
  <c r="B172" i="103"/>
  <c r="B173" i="103"/>
  <c r="B174" i="103"/>
  <c r="B175" i="103"/>
  <c r="B176" i="103"/>
  <c r="B177" i="103"/>
  <c r="B178" i="103"/>
  <c r="B179" i="103"/>
  <c r="B180" i="103"/>
  <c r="B181" i="103"/>
  <c r="B182" i="103"/>
  <c r="B183" i="103"/>
  <c r="B184" i="103"/>
  <c r="B185" i="103"/>
  <c r="B186" i="103"/>
  <c r="B144" i="103"/>
  <c r="C144" i="103"/>
  <c r="D144" i="103"/>
  <c r="E144" i="103"/>
  <c r="F144" i="103"/>
  <c r="G144" i="103"/>
  <c r="H144" i="103"/>
  <c r="I144" i="103"/>
  <c r="J144" i="103"/>
  <c r="K144" i="103"/>
  <c r="L144" i="103"/>
  <c r="M144" i="103"/>
  <c r="B145" i="103"/>
  <c r="B146" i="103"/>
  <c r="B147" i="103"/>
  <c r="B148" i="103"/>
  <c r="B149" i="103"/>
  <c r="B150" i="103"/>
  <c r="B151" i="103"/>
  <c r="B152" i="103"/>
  <c r="B153" i="103"/>
  <c r="B154" i="103"/>
  <c r="B155" i="103"/>
  <c r="B156" i="103"/>
  <c r="B157" i="103"/>
  <c r="B158" i="103"/>
  <c r="B159" i="103"/>
  <c r="B117" i="103"/>
  <c r="C117" i="103"/>
  <c r="D117" i="103"/>
  <c r="E117" i="103"/>
  <c r="F117" i="103"/>
  <c r="G117" i="103"/>
  <c r="H117" i="103"/>
  <c r="I117" i="103"/>
  <c r="J117" i="103"/>
  <c r="K117" i="103"/>
  <c r="L117" i="103"/>
  <c r="M117" i="103"/>
  <c r="B118" i="103"/>
  <c r="B119" i="103"/>
  <c r="B120" i="103"/>
  <c r="B121" i="103"/>
  <c r="B122" i="103"/>
  <c r="B123" i="103"/>
  <c r="B124" i="103"/>
  <c r="B125" i="103"/>
  <c r="B126" i="103"/>
  <c r="B127" i="103"/>
  <c r="B128" i="103"/>
  <c r="B129" i="103"/>
  <c r="B130" i="103"/>
  <c r="B131" i="103"/>
  <c r="B132" i="103"/>
  <c r="B90" i="103"/>
  <c r="C90" i="103"/>
  <c r="D90" i="103"/>
  <c r="E90" i="103"/>
  <c r="F90" i="103"/>
  <c r="G90" i="103"/>
  <c r="H90" i="103"/>
  <c r="I90" i="103"/>
  <c r="J90" i="103"/>
  <c r="K90" i="103"/>
  <c r="L90" i="103"/>
  <c r="M90" i="103"/>
  <c r="B91" i="103"/>
  <c r="B92" i="103"/>
  <c r="B93" i="103"/>
  <c r="B94" i="103"/>
  <c r="B95" i="103"/>
  <c r="B96" i="103"/>
  <c r="B97" i="103"/>
  <c r="B98" i="103"/>
  <c r="B99" i="103"/>
  <c r="B100" i="103"/>
  <c r="B101" i="103"/>
  <c r="B102" i="103"/>
  <c r="B103" i="103"/>
  <c r="B104" i="103"/>
  <c r="B105" i="103"/>
  <c r="B63" i="103"/>
  <c r="C63" i="103"/>
  <c r="D63" i="103"/>
  <c r="E63" i="103"/>
  <c r="F63" i="103"/>
  <c r="G63" i="103"/>
  <c r="H63" i="103"/>
  <c r="I63" i="103"/>
  <c r="J63" i="103"/>
  <c r="K63" i="103"/>
  <c r="L63" i="103"/>
  <c r="M63" i="103"/>
  <c r="B64" i="103"/>
  <c r="B65" i="103"/>
  <c r="B66" i="103"/>
  <c r="B67" i="103"/>
  <c r="B68" i="103"/>
  <c r="B69" i="103"/>
  <c r="B70" i="103"/>
  <c r="B71" i="103"/>
  <c r="B72" i="103"/>
  <c r="B73" i="103"/>
  <c r="B74" i="103"/>
  <c r="B75" i="103"/>
  <c r="B76" i="103"/>
  <c r="B77" i="103"/>
  <c r="B78" i="103"/>
  <c r="B36" i="103"/>
  <c r="C36" i="103"/>
  <c r="D36" i="103"/>
  <c r="E36" i="103"/>
  <c r="F36" i="103"/>
  <c r="G36" i="103"/>
  <c r="H36" i="103"/>
  <c r="I36" i="103"/>
  <c r="J36" i="103"/>
  <c r="K36" i="103"/>
  <c r="L36" i="103"/>
  <c r="M36" i="103"/>
  <c r="B37" i="103"/>
  <c r="B38" i="103"/>
  <c r="B39" i="103"/>
  <c r="B40" i="103"/>
  <c r="B41" i="103"/>
  <c r="B42" i="103"/>
  <c r="B43" i="103"/>
  <c r="B44" i="103"/>
  <c r="B45" i="103"/>
  <c r="B46" i="103"/>
  <c r="B47" i="103"/>
  <c r="B48" i="103"/>
  <c r="B49" i="103"/>
  <c r="B50" i="103"/>
  <c r="B51" i="103"/>
  <c r="B9" i="103"/>
  <c r="C9" i="103"/>
  <c r="D9" i="103"/>
  <c r="E9" i="103"/>
  <c r="F9" i="103"/>
  <c r="G9" i="103"/>
  <c r="H9" i="103"/>
  <c r="I9" i="103"/>
  <c r="J9" i="103"/>
  <c r="K9" i="103"/>
  <c r="L9" i="103"/>
  <c r="M9" i="103"/>
  <c r="B10" i="103"/>
  <c r="B11" i="103"/>
  <c r="B12" i="103"/>
  <c r="B13" i="103"/>
  <c r="B14" i="103"/>
  <c r="B15" i="103"/>
  <c r="B16" i="103"/>
  <c r="B17" i="103"/>
  <c r="B18" i="103"/>
  <c r="B19" i="103"/>
  <c r="B20" i="103"/>
  <c r="B21" i="103"/>
  <c r="B22" i="103"/>
  <c r="B23" i="103"/>
  <c r="B24" i="103"/>
  <c r="B214" i="102"/>
  <c r="B213" i="102"/>
  <c r="B212" i="102"/>
  <c r="B211" i="102"/>
  <c r="B210" i="102"/>
  <c r="B209" i="102"/>
  <c r="B208" i="102"/>
  <c r="B207" i="102"/>
  <c r="B206" i="102"/>
  <c r="B205" i="102"/>
  <c r="B204" i="102"/>
  <c r="B203" i="102"/>
  <c r="B202" i="102"/>
  <c r="B201" i="102"/>
  <c r="B200" i="102"/>
  <c r="B199" i="102"/>
  <c r="M198" i="102"/>
  <c r="L198" i="102"/>
  <c r="K198" i="102"/>
  <c r="J198" i="102"/>
  <c r="I198" i="102"/>
  <c r="H198" i="102"/>
  <c r="G198" i="102"/>
  <c r="F198" i="102"/>
  <c r="E198" i="102"/>
  <c r="D198" i="102"/>
  <c r="C198" i="102"/>
  <c r="B198" i="102"/>
  <c r="B187" i="102"/>
  <c r="B186" i="102"/>
  <c r="B185" i="102"/>
  <c r="B184" i="102"/>
  <c r="B183" i="102"/>
  <c r="B182" i="102"/>
  <c r="B181" i="102"/>
  <c r="B180" i="102"/>
  <c r="B179" i="102"/>
  <c r="B178" i="102"/>
  <c r="B177" i="102"/>
  <c r="B176" i="102"/>
  <c r="B175" i="102"/>
  <c r="B174" i="102"/>
  <c r="B173" i="102"/>
  <c r="B172" i="102"/>
  <c r="M171" i="102"/>
  <c r="L171" i="102"/>
  <c r="K171" i="102"/>
  <c r="J171" i="102"/>
  <c r="I171" i="102"/>
  <c r="H171" i="102"/>
  <c r="G171" i="102"/>
  <c r="F171" i="102"/>
  <c r="E171" i="102"/>
  <c r="D171" i="102"/>
  <c r="C171" i="102"/>
  <c r="B171" i="102"/>
  <c r="B160" i="102"/>
  <c r="B159" i="102"/>
  <c r="B158" i="102"/>
  <c r="B157" i="102"/>
  <c r="B156" i="102"/>
  <c r="B155" i="102"/>
  <c r="B154" i="102"/>
  <c r="B153" i="102"/>
  <c r="B152" i="102"/>
  <c r="B151" i="102"/>
  <c r="B150" i="102"/>
  <c r="B149" i="102"/>
  <c r="B148" i="102"/>
  <c r="B147" i="102"/>
  <c r="B146" i="102"/>
  <c r="B145" i="102"/>
  <c r="M144" i="102"/>
  <c r="L144" i="102"/>
  <c r="K144" i="102"/>
  <c r="J144" i="102"/>
  <c r="I144" i="102"/>
  <c r="H144" i="102"/>
  <c r="G144" i="102"/>
  <c r="F144" i="102"/>
  <c r="E144" i="102"/>
  <c r="D144" i="102"/>
  <c r="C144" i="102"/>
  <c r="B144" i="102"/>
  <c r="B133" i="102"/>
  <c r="B132" i="102"/>
  <c r="B131" i="102"/>
  <c r="B130" i="102"/>
  <c r="B129" i="102"/>
  <c r="B128" i="102"/>
  <c r="B127" i="102"/>
  <c r="B126" i="102"/>
  <c r="B125" i="102"/>
  <c r="B124" i="102"/>
  <c r="B123" i="102"/>
  <c r="B122" i="102"/>
  <c r="B121" i="102"/>
  <c r="B120" i="102"/>
  <c r="B119" i="102"/>
  <c r="B118" i="102"/>
  <c r="M117" i="102"/>
  <c r="L117" i="102"/>
  <c r="K117" i="102"/>
  <c r="J117" i="102"/>
  <c r="I117" i="102"/>
  <c r="H117" i="102"/>
  <c r="G117" i="102"/>
  <c r="F117" i="102"/>
  <c r="E117" i="102"/>
  <c r="D117" i="102"/>
  <c r="C117" i="102"/>
  <c r="B117" i="102"/>
  <c r="B106" i="102"/>
  <c r="B105" i="102"/>
  <c r="B104" i="102"/>
  <c r="B103" i="102"/>
  <c r="B102" i="102"/>
  <c r="B101" i="102"/>
  <c r="B100" i="102"/>
  <c r="B99" i="102"/>
  <c r="B98" i="102"/>
  <c r="B97" i="102"/>
  <c r="B96" i="102"/>
  <c r="B95" i="102"/>
  <c r="B94" i="102"/>
  <c r="B93" i="102"/>
  <c r="B92" i="102"/>
  <c r="B91" i="102"/>
  <c r="M90" i="102"/>
  <c r="L90" i="102"/>
  <c r="K90" i="102"/>
  <c r="J90" i="102"/>
  <c r="I90" i="102"/>
  <c r="H90" i="102"/>
  <c r="G90" i="102"/>
  <c r="F90" i="102"/>
  <c r="E90" i="102"/>
  <c r="D90" i="102"/>
  <c r="C90" i="102"/>
  <c r="B90" i="102"/>
  <c r="B79" i="102"/>
  <c r="B78" i="102"/>
  <c r="B77" i="102"/>
  <c r="B76" i="102"/>
  <c r="B75" i="102"/>
  <c r="B74" i="102"/>
  <c r="B73" i="102"/>
  <c r="B72" i="102"/>
  <c r="B71" i="102"/>
  <c r="B70" i="102"/>
  <c r="B69" i="102"/>
  <c r="B68" i="102"/>
  <c r="B67" i="102"/>
  <c r="B66" i="102"/>
  <c r="B65" i="102"/>
  <c r="B64" i="102"/>
  <c r="M63" i="102"/>
  <c r="L63" i="102"/>
  <c r="K63" i="102"/>
  <c r="J63" i="102"/>
  <c r="I63" i="102"/>
  <c r="H63" i="102"/>
  <c r="G63" i="102"/>
  <c r="F63" i="102"/>
  <c r="E63" i="102"/>
  <c r="D63" i="102"/>
  <c r="C63" i="102"/>
  <c r="B63" i="102"/>
  <c r="B52" i="102"/>
  <c r="B51" i="102"/>
  <c r="B50" i="102"/>
  <c r="B49" i="102"/>
  <c r="B48" i="102"/>
  <c r="B47" i="102"/>
  <c r="B46" i="102"/>
  <c r="B45" i="102"/>
  <c r="B44" i="102"/>
  <c r="B43" i="102"/>
  <c r="B42" i="102"/>
  <c r="B41" i="102"/>
  <c r="B40" i="102"/>
  <c r="B39" i="102"/>
  <c r="B38" i="102"/>
  <c r="B37" i="102"/>
  <c r="M36" i="102"/>
  <c r="L36" i="102"/>
  <c r="K36" i="102"/>
  <c r="J36" i="102"/>
  <c r="I36" i="102"/>
  <c r="H36" i="102"/>
  <c r="G36" i="102"/>
  <c r="F36" i="102"/>
  <c r="E36" i="102"/>
  <c r="D36" i="102"/>
  <c r="C36" i="102"/>
  <c r="B36" i="102"/>
  <c r="B25" i="102"/>
  <c r="B24" i="102"/>
  <c r="B23" i="102"/>
  <c r="B22" i="102"/>
  <c r="B21" i="102"/>
  <c r="B20" i="102"/>
  <c r="B19" i="102"/>
  <c r="B18" i="102"/>
  <c r="B17" i="102"/>
  <c r="B16" i="102"/>
  <c r="B15" i="102"/>
  <c r="B14" i="102"/>
  <c r="B13" i="102"/>
  <c r="B12" i="102"/>
  <c r="B11" i="102"/>
  <c r="B10" i="102"/>
  <c r="M9" i="102"/>
  <c r="L9" i="102"/>
  <c r="K9" i="102"/>
  <c r="J9" i="102"/>
  <c r="I9" i="102"/>
  <c r="H9" i="102"/>
  <c r="G9" i="102"/>
  <c r="F9" i="102"/>
  <c r="E9" i="102"/>
  <c r="D9" i="102"/>
  <c r="C9" i="102"/>
  <c r="B9" i="102"/>
  <c r="AB213" i="103"/>
  <c r="AB212" i="103"/>
  <c r="AB211" i="103"/>
  <c r="AB210" i="103"/>
  <c r="AB209" i="103"/>
  <c r="AB208" i="103"/>
  <c r="AB207" i="103"/>
  <c r="AB206" i="103"/>
  <c r="AB205" i="103"/>
  <c r="AB204" i="103"/>
  <c r="AB203" i="103"/>
  <c r="AB202" i="103"/>
  <c r="AB201" i="103"/>
  <c r="AB200" i="103"/>
  <c r="AB199" i="103"/>
  <c r="AM198" i="103"/>
  <c r="AL198" i="103"/>
  <c r="AK198" i="103"/>
  <c r="AJ198" i="103"/>
  <c r="AI198" i="103"/>
  <c r="AH198" i="103"/>
  <c r="AG198" i="103"/>
  <c r="AF198" i="103"/>
  <c r="AE198" i="103"/>
  <c r="AD198" i="103"/>
  <c r="AC198" i="103"/>
  <c r="AB198" i="103"/>
  <c r="AB186" i="103"/>
  <c r="AB185" i="103"/>
  <c r="AB184" i="103"/>
  <c r="AB183" i="103"/>
  <c r="AB182" i="103"/>
  <c r="AB181" i="103"/>
  <c r="AB180" i="103"/>
  <c r="AB179" i="103"/>
  <c r="AB178" i="103"/>
  <c r="AB177" i="103"/>
  <c r="AB176" i="103"/>
  <c r="AB175" i="103"/>
  <c r="AB174" i="103"/>
  <c r="AB173" i="103"/>
  <c r="AB172" i="103"/>
  <c r="AM171" i="103"/>
  <c r="AL171" i="103"/>
  <c r="AK171" i="103"/>
  <c r="AJ171" i="103"/>
  <c r="AI171" i="103"/>
  <c r="AH171" i="103"/>
  <c r="AG171" i="103"/>
  <c r="AF171" i="103"/>
  <c r="AE171" i="103"/>
  <c r="AD171" i="103"/>
  <c r="AC171" i="103"/>
  <c r="AB171" i="103"/>
  <c r="AB159" i="103"/>
  <c r="AB158" i="103"/>
  <c r="AB157" i="103"/>
  <c r="AB156" i="103"/>
  <c r="AB155" i="103"/>
  <c r="AB154" i="103"/>
  <c r="AB153" i="103"/>
  <c r="AB152" i="103"/>
  <c r="AB151" i="103"/>
  <c r="AB150" i="103"/>
  <c r="AB149" i="103"/>
  <c r="AB148" i="103"/>
  <c r="AB147" i="103"/>
  <c r="AB146" i="103"/>
  <c r="AB145" i="103"/>
  <c r="AM144" i="103"/>
  <c r="AL144" i="103"/>
  <c r="AK144" i="103"/>
  <c r="AJ144" i="103"/>
  <c r="AI144" i="103"/>
  <c r="AH144" i="103"/>
  <c r="AG144" i="103"/>
  <c r="AF144" i="103"/>
  <c r="AE144" i="103"/>
  <c r="AD144" i="103"/>
  <c r="AC144" i="103"/>
  <c r="AB144" i="103"/>
  <c r="AB132" i="103"/>
  <c r="AB131" i="103"/>
  <c r="AB130" i="103"/>
  <c r="AB129" i="103"/>
  <c r="AB128" i="103"/>
  <c r="AB127" i="103"/>
  <c r="AB126" i="103"/>
  <c r="AB125" i="103"/>
  <c r="AB124" i="103"/>
  <c r="AB123" i="103"/>
  <c r="AB122" i="103"/>
  <c r="AB121" i="103"/>
  <c r="AB120" i="103"/>
  <c r="AB119" i="103"/>
  <c r="AB118" i="103"/>
  <c r="AM117" i="103"/>
  <c r="AL117" i="103"/>
  <c r="AK117" i="103"/>
  <c r="AJ117" i="103"/>
  <c r="AI117" i="103"/>
  <c r="AH117" i="103"/>
  <c r="AG117" i="103"/>
  <c r="AF117" i="103"/>
  <c r="AE117" i="103"/>
  <c r="AD117" i="103"/>
  <c r="AC117" i="103"/>
  <c r="AB117" i="103"/>
  <c r="AB105" i="103"/>
  <c r="AB104" i="103"/>
  <c r="AB103" i="103"/>
  <c r="AB102" i="103"/>
  <c r="AB101" i="103"/>
  <c r="AB100" i="103"/>
  <c r="AB99" i="103"/>
  <c r="AB98" i="103"/>
  <c r="AB97" i="103"/>
  <c r="AB96" i="103"/>
  <c r="AB95" i="103"/>
  <c r="AB94" i="103"/>
  <c r="AB93" i="103"/>
  <c r="AB92" i="103"/>
  <c r="AB91" i="103"/>
  <c r="AM90" i="103"/>
  <c r="AL90" i="103"/>
  <c r="AK90" i="103"/>
  <c r="AJ90" i="103"/>
  <c r="AI90" i="103"/>
  <c r="AH90" i="103"/>
  <c r="AG90" i="103"/>
  <c r="AF90" i="103"/>
  <c r="AE90" i="103"/>
  <c r="AD90" i="103"/>
  <c r="AC90" i="103"/>
  <c r="AB90" i="103"/>
  <c r="AB78" i="103"/>
  <c r="AB77" i="103"/>
  <c r="AB76" i="103"/>
  <c r="AB75" i="103"/>
  <c r="AB74" i="103"/>
  <c r="AB73" i="103"/>
  <c r="AB72" i="103"/>
  <c r="AB71" i="103"/>
  <c r="AB70" i="103"/>
  <c r="AB69" i="103"/>
  <c r="AB68" i="103"/>
  <c r="AB67" i="103"/>
  <c r="AB66" i="103"/>
  <c r="AB65" i="103"/>
  <c r="AB64" i="103"/>
  <c r="AM63" i="103"/>
  <c r="AL63" i="103"/>
  <c r="AK63" i="103"/>
  <c r="AJ63" i="103"/>
  <c r="AI63" i="103"/>
  <c r="AH63" i="103"/>
  <c r="AG63" i="103"/>
  <c r="AF63" i="103"/>
  <c r="AE63" i="103"/>
  <c r="AD63" i="103"/>
  <c r="AC63" i="103"/>
  <c r="AB63" i="103"/>
  <c r="AB51" i="103"/>
  <c r="AB50" i="103"/>
  <c r="AB49" i="103"/>
  <c r="AB48" i="103"/>
  <c r="AB47" i="103"/>
  <c r="AB46" i="103"/>
  <c r="AB45" i="103"/>
  <c r="AB44" i="103"/>
  <c r="AB43" i="103"/>
  <c r="AB42" i="103"/>
  <c r="AB41" i="103"/>
  <c r="AB40" i="103"/>
  <c r="AB39" i="103"/>
  <c r="AB38" i="103"/>
  <c r="AB37" i="103"/>
  <c r="AM36" i="103"/>
  <c r="AL36" i="103"/>
  <c r="AK36" i="103"/>
  <c r="AJ36" i="103"/>
  <c r="AI36" i="103"/>
  <c r="AH36" i="103"/>
  <c r="AG36" i="103"/>
  <c r="AF36" i="103"/>
  <c r="AE36" i="103"/>
  <c r="AD36" i="103"/>
  <c r="AC36" i="103"/>
  <c r="AB36" i="103"/>
  <c r="AB24" i="103"/>
  <c r="AB23" i="103"/>
  <c r="AB22" i="103"/>
  <c r="AB21" i="103"/>
  <c r="AB20" i="103"/>
  <c r="AB19" i="103"/>
  <c r="AB18" i="103"/>
  <c r="AB17" i="103"/>
  <c r="AB16" i="103"/>
  <c r="AB15" i="103"/>
  <c r="AB14" i="103"/>
  <c r="AB13" i="103"/>
  <c r="AB12" i="103"/>
  <c r="AB11" i="103"/>
  <c r="AB10" i="103"/>
  <c r="AM9" i="103"/>
  <c r="AL9" i="103"/>
  <c r="AK9" i="103"/>
  <c r="AJ9" i="103"/>
  <c r="AI9" i="103"/>
  <c r="AH9" i="103"/>
  <c r="AG9" i="103"/>
  <c r="AF9" i="103"/>
  <c r="AE9" i="103"/>
  <c r="AD9" i="103"/>
  <c r="AC9" i="103"/>
  <c r="AB9" i="103"/>
  <c r="AB214" i="102"/>
  <c r="AB213" i="102"/>
  <c r="AB212" i="102"/>
  <c r="AB211" i="102"/>
  <c r="AB210" i="102"/>
  <c r="AB209" i="102"/>
  <c r="AB208" i="102"/>
  <c r="AB207" i="102"/>
  <c r="AB206" i="102"/>
  <c r="AB205" i="102"/>
  <c r="AB204" i="102"/>
  <c r="AB203" i="102"/>
  <c r="AB202" i="102"/>
  <c r="AB201" i="102"/>
  <c r="AB200" i="102"/>
  <c r="AB199" i="102"/>
  <c r="AM198" i="102"/>
  <c r="AL198" i="102"/>
  <c r="AK198" i="102"/>
  <c r="AJ198" i="102"/>
  <c r="AI198" i="102"/>
  <c r="AH198" i="102"/>
  <c r="AG198" i="102"/>
  <c r="AF198" i="102"/>
  <c r="AE198" i="102"/>
  <c r="AD198" i="102"/>
  <c r="AC198" i="102"/>
  <c r="AB198" i="102"/>
  <c r="AB187" i="102"/>
  <c r="AB186" i="102"/>
  <c r="AB185" i="102"/>
  <c r="AB184" i="102"/>
  <c r="AB183" i="102"/>
  <c r="AB182" i="102"/>
  <c r="AB181" i="102"/>
  <c r="AB180" i="102"/>
  <c r="AB179" i="102"/>
  <c r="AB178" i="102"/>
  <c r="AB177" i="102"/>
  <c r="AB176" i="102"/>
  <c r="AB175" i="102"/>
  <c r="AB174" i="102"/>
  <c r="AB173" i="102"/>
  <c r="AB172" i="102"/>
  <c r="AM171" i="102"/>
  <c r="AL171" i="102"/>
  <c r="AK171" i="102"/>
  <c r="AJ171" i="102"/>
  <c r="AI171" i="102"/>
  <c r="AH171" i="102"/>
  <c r="AG171" i="102"/>
  <c r="AF171" i="102"/>
  <c r="AE171" i="102"/>
  <c r="AD171" i="102"/>
  <c r="AC171" i="102"/>
  <c r="AB171" i="102"/>
  <c r="AB160" i="102"/>
  <c r="AB159" i="102"/>
  <c r="AB158" i="102"/>
  <c r="AB157" i="102"/>
  <c r="AB156" i="102"/>
  <c r="AB155" i="102"/>
  <c r="AB154" i="102"/>
  <c r="AB153" i="102"/>
  <c r="AB152" i="102"/>
  <c r="AB151" i="102"/>
  <c r="AB150" i="102"/>
  <c r="AB149" i="102"/>
  <c r="AB148" i="102"/>
  <c r="AB147" i="102"/>
  <c r="AB146" i="102"/>
  <c r="AB145" i="102"/>
  <c r="AM144" i="102"/>
  <c r="AL144" i="102"/>
  <c r="AK144" i="102"/>
  <c r="AJ144" i="102"/>
  <c r="AI144" i="102"/>
  <c r="AH144" i="102"/>
  <c r="AG144" i="102"/>
  <c r="AF144" i="102"/>
  <c r="AE144" i="102"/>
  <c r="AD144" i="102"/>
  <c r="AC144" i="102"/>
  <c r="AB144" i="102"/>
  <c r="AB133" i="102"/>
  <c r="AB132" i="102"/>
  <c r="AB131" i="102"/>
  <c r="AB130" i="102"/>
  <c r="AB129" i="102"/>
  <c r="AB128" i="102"/>
  <c r="AB127" i="102"/>
  <c r="AB126" i="102"/>
  <c r="AB125" i="102"/>
  <c r="AB124" i="102"/>
  <c r="AB123" i="102"/>
  <c r="AB122" i="102"/>
  <c r="AB121" i="102"/>
  <c r="AB120" i="102"/>
  <c r="AB119" i="102"/>
  <c r="AB118" i="102"/>
  <c r="AM117" i="102"/>
  <c r="AL117" i="102"/>
  <c r="AK117" i="102"/>
  <c r="AJ117" i="102"/>
  <c r="AI117" i="102"/>
  <c r="AH117" i="102"/>
  <c r="AG117" i="102"/>
  <c r="AF117" i="102"/>
  <c r="AE117" i="102"/>
  <c r="AD117" i="102"/>
  <c r="AC117" i="102"/>
  <c r="AB117" i="102"/>
  <c r="AB106" i="102"/>
  <c r="AB105" i="102"/>
  <c r="AB104" i="102"/>
  <c r="AB103" i="102"/>
  <c r="AB102" i="102"/>
  <c r="AB101" i="102"/>
  <c r="AB100" i="102"/>
  <c r="AB99" i="102"/>
  <c r="AB98" i="102"/>
  <c r="AB97" i="102"/>
  <c r="AB96" i="102"/>
  <c r="AB95" i="102"/>
  <c r="AB94" i="102"/>
  <c r="AB93" i="102"/>
  <c r="AB92" i="102"/>
  <c r="AB91" i="102"/>
  <c r="AM90" i="102"/>
  <c r="AL90" i="102"/>
  <c r="AK90" i="102"/>
  <c r="AJ90" i="102"/>
  <c r="AI90" i="102"/>
  <c r="AH90" i="102"/>
  <c r="AG90" i="102"/>
  <c r="AF90" i="102"/>
  <c r="AE90" i="102"/>
  <c r="AD90" i="102"/>
  <c r="AC90" i="102"/>
  <c r="AB90" i="102"/>
  <c r="AB79" i="102"/>
  <c r="AB78" i="102"/>
  <c r="AB77" i="102"/>
  <c r="AB76" i="102"/>
  <c r="AB75" i="102"/>
  <c r="AB74" i="102"/>
  <c r="AB73" i="102"/>
  <c r="AB72" i="102"/>
  <c r="AB71" i="102"/>
  <c r="AB70" i="102"/>
  <c r="AB69" i="102"/>
  <c r="AB68" i="102"/>
  <c r="AB67" i="102"/>
  <c r="AB66" i="102"/>
  <c r="AB65" i="102"/>
  <c r="AB64" i="102"/>
  <c r="AM63" i="102"/>
  <c r="AL63" i="102"/>
  <c r="AK63" i="102"/>
  <c r="AJ63" i="102"/>
  <c r="AI63" i="102"/>
  <c r="AH63" i="102"/>
  <c r="AG63" i="102"/>
  <c r="AF63" i="102"/>
  <c r="AE63" i="102"/>
  <c r="AD63" i="102"/>
  <c r="AC63" i="102"/>
  <c r="AB63" i="102"/>
  <c r="AB52" i="102"/>
  <c r="AB51" i="102"/>
  <c r="AB50" i="102"/>
  <c r="AB49" i="102"/>
  <c r="AB48" i="102"/>
  <c r="AB47" i="102"/>
  <c r="AB46" i="102"/>
  <c r="AB45" i="102"/>
  <c r="AB44" i="102"/>
  <c r="AB43" i="102"/>
  <c r="AB42" i="102"/>
  <c r="AB41" i="102"/>
  <c r="AB40" i="102"/>
  <c r="AB39" i="102"/>
  <c r="AB38" i="102"/>
  <c r="AB37" i="102"/>
  <c r="AM36" i="102"/>
  <c r="AL36" i="102"/>
  <c r="AK36" i="102"/>
  <c r="AJ36" i="102"/>
  <c r="AI36" i="102"/>
  <c r="AH36" i="102"/>
  <c r="AG36" i="102"/>
  <c r="AF36" i="102"/>
  <c r="AE36" i="102"/>
  <c r="AD36" i="102"/>
  <c r="AC36" i="102"/>
  <c r="AB36" i="102"/>
  <c r="AB25" i="102"/>
  <c r="AB24" i="102"/>
  <c r="AB23" i="102"/>
  <c r="AB22" i="102"/>
  <c r="AB21" i="102"/>
  <c r="AB20" i="102"/>
  <c r="AB19" i="102"/>
  <c r="AB18" i="102"/>
  <c r="AB17" i="102"/>
  <c r="AB16" i="102"/>
  <c r="AB15" i="102"/>
  <c r="AB14" i="102"/>
  <c r="AB13" i="102"/>
  <c r="AB12" i="102"/>
  <c r="AB11" i="102"/>
  <c r="AB10" i="102"/>
  <c r="AM9" i="102"/>
  <c r="AL9" i="102"/>
  <c r="AK9" i="102"/>
  <c r="AJ9" i="102"/>
  <c r="AI9" i="102"/>
  <c r="AH9" i="102"/>
  <c r="AG9" i="102"/>
  <c r="AF9" i="102"/>
  <c r="AE9" i="102"/>
  <c r="AD9" i="102"/>
  <c r="AC9" i="102"/>
  <c r="AB9" i="102"/>
  <c r="B213" i="101"/>
  <c r="B212" i="101"/>
  <c r="B211" i="101"/>
  <c r="B210" i="101"/>
  <c r="B209" i="101"/>
  <c r="B208" i="101"/>
  <c r="B207" i="101"/>
  <c r="B206" i="101"/>
  <c r="B205" i="101"/>
  <c r="B204" i="101"/>
  <c r="B203" i="101"/>
  <c r="B202" i="101"/>
  <c r="B201" i="101"/>
  <c r="B200" i="101"/>
  <c r="B199" i="101"/>
  <c r="M198" i="101"/>
  <c r="L198" i="101"/>
  <c r="K198" i="101"/>
  <c r="J198" i="101"/>
  <c r="I198" i="101"/>
  <c r="H198" i="101"/>
  <c r="G198" i="101"/>
  <c r="F198" i="101"/>
  <c r="E198" i="101"/>
  <c r="D198" i="101"/>
  <c r="C198" i="101"/>
  <c r="B198" i="101"/>
  <c r="B186" i="101"/>
  <c r="B185" i="101"/>
  <c r="B184" i="101"/>
  <c r="B183" i="101"/>
  <c r="B182" i="101"/>
  <c r="B181" i="101"/>
  <c r="B180" i="101"/>
  <c r="B179" i="101"/>
  <c r="B178" i="101"/>
  <c r="B177" i="101"/>
  <c r="B176" i="101"/>
  <c r="B175" i="101"/>
  <c r="B174" i="101"/>
  <c r="B173" i="101"/>
  <c r="B172" i="101"/>
  <c r="M171" i="101"/>
  <c r="L171" i="101"/>
  <c r="K171" i="101"/>
  <c r="J171" i="101"/>
  <c r="I171" i="101"/>
  <c r="H171" i="101"/>
  <c r="G171" i="101"/>
  <c r="F171" i="101"/>
  <c r="E171" i="101"/>
  <c r="D171" i="101"/>
  <c r="C171" i="101"/>
  <c r="B171" i="101"/>
  <c r="B159" i="101"/>
  <c r="B158" i="101"/>
  <c r="B157" i="101"/>
  <c r="B156" i="101"/>
  <c r="B155" i="101"/>
  <c r="B154" i="101"/>
  <c r="B153" i="101"/>
  <c r="B152" i="101"/>
  <c r="B151" i="101"/>
  <c r="B150" i="101"/>
  <c r="B149" i="101"/>
  <c r="B148" i="101"/>
  <c r="B147" i="101"/>
  <c r="B146" i="101"/>
  <c r="B145" i="101"/>
  <c r="M144" i="101"/>
  <c r="L144" i="101"/>
  <c r="K144" i="101"/>
  <c r="J144" i="101"/>
  <c r="I144" i="101"/>
  <c r="H144" i="101"/>
  <c r="G144" i="101"/>
  <c r="F144" i="101"/>
  <c r="E144" i="101"/>
  <c r="D144" i="101"/>
  <c r="C144" i="101"/>
  <c r="B144" i="101"/>
  <c r="B132" i="101"/>
  <c r="B131" i="101"/>
  <c r="B130" i="101"/>
  <c r="B129" i="101"/>
  <c r="B128" i="101"/>
  <c r="B127" i="101"/>
  <c r="B126" i="101"/>
  <c r="B125" i="101"/>
  <c r="B124" i="101"/>
  <c r="B123" i="101"/>
  <c r="B122" i="101"/>
  <c r="B121" i="101"/>
  <c r="B120" i="101"/>
  <c r="B119" i="101"/>
  <c r="B118" i="101"/>
  <c r="M117" i="101"/>
  <c r="L117" i="101"/>
  <c r="K117" i="101"/>
  <c r="J117" i="101"/>
  <c r="I117" i="101"/>
  <c r="H117" i="101"/>
  <c r="G117" i="101"/>
  <c r="F117" i="101"/>
  <c r="E117" i="101"/>
  <c r="D117" i="101"/>
  <c r="C117" i="101"/>
  <c r="B117" i="101"/>
  <c r="B105" i="101"/>
  <c r="B104" i="101"/>
  <c r="B103" i="101"/>
  <c r="B102" i="101"/>
  <c r="B101" i="101"/>
  <c r="B100" i="101"/>
  <c r="B99" i="101"/>
  <c r="B98" i="101"/>
  <c r="B97" i="101"/>
  <c r="B96" i="101"/>
  <c r="B95" i="101"/>
  <c r="B94" i="101"/>
  <c r="B93" i="101"/>
  <c r="B92" i="101"/>
  <c r="B91" i="101"/>
  <c r="M90" i="101"/>
  <c r="L90" i="101"/>
  <c r="K90" i="101"/>
  <c r="J90" i="101"/>
  <c r="I90" i="101"/>
  <c r="H90" i="101"/>
  <c r="G90" i="101"/>
  <c r="F90" i="101"/>
  <c r="E90" i="101"/>
  <c r="D90" i="101"/>
  <c r="C90" i="101"/>
  <c r="B90" i="101"/>
  <c r="B78" i="101"/>
  <c r="B77" i="101"/>
  <c r="B76" i="101"/>
  <c r="B75" i="101"/>
  <c r="B74" i="101"/>
  <c r="B73" i="101"/>
  <c r="B72" i="101"/>
  <c r="B71" i="101"/>
  <c r="B70" i="101"/>
  <c r="B69" i="101"/>
  <c r="B68" i="101"/>
  <c r="B67" i="101"/>
  <c r="B66" i="101"/>
  <c r="B65" i="101"/>
  <c r="B64" i="101"/>
  <c r="M63" i="101"/>
  <c r="L63" i="101"/>
  <c r="K63" i="101"/>
  <c r="J63" i="101"/>
  <c r="I63" i="101"/>
  <c r="H63" i="101"/>
  <c r="G63" i="101"/>
  <c r="F63" i="101"/>
  <c r="E63" i="101"/>
  <c r="D63" i="101"/>
  <c r="C63" i="101"/>
  <c r="B63" i="101"/>
  <c r="B51" i="101"/>
  <c r="B50" i="101"/>
  <c r="B49" i="101"/>
  <c r="B48" i="101"/>
  <c r="B47" i="101"/>
  <c r="B46" i="101"/>
  <c r="B45" i="101"/>
  <c r="B44" i="101"/>
  <c r="B43" i="101"/>
  <c r="B42" i="101"/>
  <c r="B41" i="101"/>
  <c r="B40" i="101"/>
  <c r="B39" i="101"/>
  <c r="B38" i="101"/>
  <c r="B37" i="101"/>
  <c r="M36" i="101"/>
  <c r="L36" i="101"/>
  <c r="K36" i="101"/>
  <c r="J36" i="101"/>
  <c r="I36" i="101"/>
  <c r="H36" i="101"/>
  <c r="G36" i="101"/>
  <c r="F36" i="101"/>
  <c r="E36" i="101"/>
  <c r="D36" i="101"/>
  <c r="C36" i="101"/>
  <c r="B36" i="101"/>
  <c r="B24" i="101"/>
  <c r="B23" i="101"/>
  <c r="B22" i="101"/>
  <c r="B21" i="101"/>
  <c r="B20" i="101"/>
  <c r="B19" i="101"/>
  <c r="B18" i="101"/>
  <c r="B17" i="101"/>
  <c r="B16" i="101"/>
  <c r="B15" i="101"/>
  <c r="B14" i="101"/>
  <c r="B13" i="101"/>
  <c r="B12" i="101"/>
  <c r="B11" i="101"/>
  <c r="B10" i="101"/>
  <c r="M9" i="101"/>
  <c r="L9" i="101"/>
  <c r="K9" i="101"/>
  <c r="J9" i="101"/>
  <c r="I9" i="101"/>
  <c r="H9" i="101"/>
  <c r="G9" i="101"/>
  <c r="F9" i="101"/>
  <c r="E9" i="101"/>
  <c r="D9" i="101"/>
  <c r="C9" i="101"/>
  <c r="B9" i="101"/>
  <c r="AB213" i="101"/>
  <c r="AB212" i="101"/>
  <c r="AB211" i="101"/>
  <c r="AB210" i="101"/>
  <c r="AB209" i="101"/>
  <c r="AB208" i="101"/>
  <c r="AB207" i="101"/>
  <c r="AB206" i="101"/>
  <c r="AB205" i="101"/>
  <c r="AB204" i="101"/>
  <c r="AB203" i="101"/>
  <c r="AB202" i="101"/>
  <c r="AB201" i="101"/>
  <c r="AB200" i="101"/>
  <c r="AB199" i="101"/>
  <c r="AM198" i="101"/>
  <c r="AL198" i="101"/>
  <c r="AK198" i="101"/>
  <c r="AJ198" i="101"/>
  <c r="AI198" i="101"/>
  <c r="AH198" i="101"/>
  <c r="AG198" i="101"/>
  <c r="AF198" i="101"/>
  <c r="AE198" i="101"/>
  <c r="AD198" i="101"/>
  <c r="AC198" i="101"/>
  <c r="AB198" i="101"/>
  <c r="AB186" i="101"/>
  <c r="AB185" i="101"/>
  <c r="AB184" i="101"/>
  <c r="AB183" i="101"/>
  <c r="AB182" i="101"/>
  <c r="AB181" i="101"/>
  <c r="AB180" i="101"/>
  <c r="AB179" i="101"/>
  <c r="AB178" i="101"/>
  <c r="AB177" i="101"/>
  <c r="AB176" i="101"/>
  <c r="AB175" i="101"/>
  <c r="AB174" i="101"/>
  <c r="AB173" i="101"/>
  <c r="AB172" i="101"/>
  <c r="AM171" i="101"/>
  <c r="AL171" i="101"/>
  <c r="AK171" i="101"/>
  <c r="AJ171" i="101"/>
  <c r="AI171" i="101"/>
  <c r="AH171" i="101"/>
  <c r="AG171" i="101"/>
  <c r="AF171" i="101"/>
  <c r="AE171" i="101"/>
  <c r="AD171" i="101"/>
  <c r="AC171" i="101"/>
  <c r="AB171" i="101"/>
  <c r="AB159" i="101"/>
  <c r="AB158" i="101"/>
  <c r="AB157" i="101"/>
  <c r="AB156" i="101"/>
  <c r="AB155" i="101"/>
  <c r="AB154" i="101"/>
  <c r="AB153" i="101"/>
  <c r="AB152" i="101"/>
  <c r="AB151" i="101"/>
  <c r="AB150" i="101"/>
  <c r="AB149" i="101"/>
  <c r="AB148" i="101"/>
  <c r="AB147" i="101"/>
  <c r="AB146" i="101"/>
  <c r="AB145" i="101"/>
  <c r="AM144" i="101"/>
  <c r="AL144" i="101"/>
  <c r="AK144" i="101"/>
  <c r="AJ144" i="101"/>
  <c r="AI144" i="101"/>
  <c r="AH144" i="101"/>
  <c r="AG144" i="101"/>
  <c r="AF144" i="101"/>
  <c r="AE144" i="101"/>
  <c r="AD144" i="101"/>
  <c r="AC144" i="101"/>
  <c r="AB144" i="101"/>
  <c r="AB132" i="101"/>
  <c r="AB131" i="101"/>
  <c r="AB130" i="101"/>
  <c r="AB129" i="101"/>
  <c r="AB128" i="101"/>
  <c r="AB127" i="101"/>
  <c r="AB126" i="101"/>
  <c r="AB125" i="101"/>
  <c r="AB124" i="101"/>
  <c r="AB123" i="101"/>
  <c r="AB122" i="101"/>
  <c r="AB121" i="101"/>
  <c r="AB120" i="101"/>
  <c r="AB119" i="101"/>
  <c r="AB118" i="101"/>
  <c r="AM117" i="101"/>
  <c r="AL117" i="101"/>
  <c r="AK117" i="101"/>
  <c r="AJ117" i="101"/>
  <c r="AI117" i="101"/>
  <c r="AH117" i="101"/>
  <c r="AG117" i="101"/>
  <c r="AF117" i="101"/>
  <c r="AE117" i="101"/>
  <c r="AD117" i="101"/>
  <c r="AC117" i="101"/>
  <c r="AB117" i="101"/>
  <c r="AB105" i="101"/>
  <c r="AB104" i="101"/>
  <c r="AB103" i="101"/>
  <c r="AB102" i="101"/>
  <c r="AB101" i="101"/>
  <c r="AB100" i="101"/>
  <c r="AB99" i="101"/>
  <c r="AB98" i="101"/>
  <c r="AB97" i="101"/>
  <c r="AB96" i="101"/>
  <c r="AB95" i="101"/>
  <c r="AB94" i="101"/>
  <c r="AB93" i="101"/>
  <c r="AB92" i="101"/>
  <c r="AB91" i="101"/>
  <c r="AM90" i="101"/>
  <c r="AL90" i="101"/>
  <c r="AK90" i="101"/>
  <c r="AJ90" i="101"/>
  <c r="AI90" i="101"/>
  <c r="AH90" i="101"/>
  <c r="AG90" i="101"/>
  <c r="AF90" i="101"/>
  <c r="AE90" i="101"/>
  <c r="AD90" i="101"/>
  <c r="AC90" i="101"/>
  <c r="AB90" i="101"/>
  <c r="AB78" i="101"/>
  <c r="AB77" i="101"/>
  <c r="AB76" i="101"/>
  <c r="AB75" i="101"/>
  <c r="AB74" i="101"/>
  <c r="AB73" i="101"/>
  <c r="AB72" i="101"/>
  <c r="AB71" i="101"/>
  <c r="AB70" i="101"/>
  <c r="AB69" i="101"/>
  <c r="AB68" i="101"/>
  <c r="AB67" i="101"/>
  <c r="AB66" i="101"/>
  <c r="AB65" i="101"/>
  <c r="AB64" i="101"/>
  <c r="AM63" i="101"/>
  <c r="AL63" i="101"/>
  <c r="AK63" i="101"/>
  <c r="AJ63" i="101"/>
  <c r="AI63" i="101"/>
  <c r="AH63" i="101"/>
  <c r="AG63" i="101"/>
  <c r="AF63" i="101"/>
  <c r="AE63" i="101"/>
  <c r="AD63" i="101"/>
  <c r="AC63" i="101"/>
  <c r="AB63" i="101"/>
  <c r="AB51" i="101"/>
  <c r="AB50" i="101"/>
  <c r="AB49" i="101"/>
  <c r="AB48" i="101"/>
  <c r="AB47" i="101"/>
  <c r="AB46" i="101"/>
  <c r="AB45" i="101"/>
  <c r="AB44" i="101"/>
  <c r="AB43" i="101"/>
  <c r="AB42" i="101"/>
  <c r="AB41" i="101"/>
  <c r="AB40" i="101"/>
  <c r="AB39" i="101"/>
  <c r="AB38" i="101"/>
  <c r="AB37" i="101"/>
  <c r="AM36" i="101"/>
  <c r="AL36" i="101"/>
  <c r="AK36" i="101"/>
  <c r="AJ36" i="101"/>
  <c r="AI36" i="101"/>
  <c r="AH36" i="101"/>
  <c r="AG36" i="101"/>
  <c r="AF36" i="101"/>
  <c r="AE36" i="101"/>
  <c r="AD36" i="101"/>
  <c r="AC36" i="101"/>
  <c r="AB36" i="101"/>
  <c r="AB24" i="101"/>
  <c r="AB23" i="101"/>
  <c r="AB22" i="101"/>
  <c r="AB21" i="101"/>
  <c r="AB20" i="101"/>
  <c r="AB19" i="101"/>
  <c r="AB18" i="101"/>
  <c r="AB17" i="101"/>
  <c r="AB16" i="101"/>
  <c r="AB15" i="101"/>
  <c r="AB14" i="101"/>
  <c r="AB13" i="101"/>
  <c r="AB12" i="101"/>
  <c r="AB11" i="101"/>
  <c r="AB10" i="101"/>
  <c r="AM9" i="101"/>
  <c r="AL9" i="101"/>
  <c r="AK9" i="101"/>
  <c r="AJ9" i="101"/>
  <c r="AI9" i="101"/>
  <c r="AH9" i="101"/>
  <c r="AG9" i="101"/>
  <c r="AF9" i="101"/>
  <c r="AE9" i="101"/>
  <c r="AD9" i="101"/>
  <c r="AC9" i="101"/>
  <c r="AB9" i="101"/>
  <c r="B198" i="92"/>
  <c r="C198" i="92"/>
  <c r="D198" i="92"/>
  <c r="E198" i="92"/>
  <c r="F198" i="92"/>
  <c r="G198" i="92"/>
  <c r="H198" i="92"/>
  <c r="I198" i="92"/>
  <c r="J198" i="92"/>
  <c r="K198" i="92"/>
  <c r="L198" i="92"/>
  <c r="M198" i="92"/>
  <c r="B199" i="92"/>
  <c r="B200" i="92"/>
  <c r="B201" i="92"/>
  <c r="B202" i="92"/>
  <c r="B203" i="92"/>
  <c r="B204" i="92"/>
  <c r="B205" i="92"/>
  <c r="B206" i="92"/>
  <c r="B207" i="92"/>
  <c r="B208" i="92"/>
  <c r="B209" i="92"/>
  <c r="B210" i="92"/>
  <c r="B211" i="92"/>
  <c r="B212" i="92"/>
  <c r="B213" i="92"/>
  <c r="B214" i="92"/>
  <c r="B215" i="92"/>
  <c r="B216" i="92"/>
  <c r="B217" i="92"/>
  <c r="B171" i="92"/>
  <c r="C171" i="92"/>
  <c r="D171" i="92"/>
  <c r="E171" i="92"/>
  <c r="F171" i="92"/>
  <c r="G171" i="92"/>
  <c r="H171" i="92"/>
  <c r="I171" i="92"/>
  <c r="J171" i="92"/>
  <c r="K171" i="92"/>
  <c r="L171" i="92"/>
  <c r="M171" i="92"/>
  <c r="B172" i="92"/>
  <c r="B173" i="92"/>
  <c r="B174" i="92"/>
  <c r="B175" i="92"/>
  <c r="B176" i="92"/>
  <c r="B177" i="92"/>
  <c r="B178" i="92"/>
  <c r="B179" i="92"/>
  <c r="B180" i="92"/>
  <c r="B181" i="92"/>
  <c r="B182" i="92"/>
  <c r="B183" i="92"/>
  <c r="B184" i="92"/>
  <c r="B185" i="92"/>
  <c r="B186" i="92"/>
  <c r="B187" i="92"/>
  <c r="B188" i="92"/>
  <c r="B189" i="92"/>
  <c r="B190" i="92"/>
  <c r="B144" i="92"/>
  <c r="C144" i="92"/>
  <c r="D144" i="92"/>
  <c r="E144" i="92"/>
  <c r="F144" i="92"/>
  <c r="G144" i="92"/>
  <c r="H144" i="92"/>
  <c r="I144" i="92"/>
  <c r="J144" i="92"/>
  <c r="K144" i="92"/>
  <c r="L144" i="92"/>
  <c r="M144" i="92"/>
  <c r="B145" i="92"/>
  <c r="B146" i="92"/>
  <c r="B147" i="92"/>
  <c r="B148" i="92"/>
  <c r="B149" i="92"/>
  <c r="B150" i="92"/>
  <c r="B151" i="92"/>
  <c r="B152" i="92"/>
  <c r="B153" i="92"/>
  <c r="B154" i="92"/>
  <c r="B155" i="92"/>
  <c r="B156" i="92"/>
  <c r="B157" i="92"/>
  <c r="B158" i="92"/>
  <c r="B159" i="92"/>
  <c r="B160" i="92"/>
  <c r="B161" i="92"/>
  <c r="B162" i="92"/>
  <c r="B163" i="92"/>
  <c r="B117" i="92"/>
  <c r="C117" i="92"/>
  <c r="D117" i="92"/>
  <c r="E117" i="92"/>
  <c r="F117" i="92"/>
  <c r="G117" i="92"/>
  <c r="H117" i="92"/>
  <c r="I117" i="92"/>
  <c r="J117" i="92"/>
  <c r="K117" i="92"/>
  <c r="L117" i="92"/>
  <c r="M117" i="92"/>
  <c r="B118" i="92"/>
  <c r="B119" i="92"/>
  <c r="B120" i="92"/>
  <c r="B121" i="92"/>
  <c r="B122" i="92"/>
  <c r="B123" i="92"/>
  <c r="B124" i="92"/>
  <c r="B125" i="92"/>
  <c r="B126" i="92"/>
  <c r="B127" i="92"/>
  <c r="B128" i="92"/>
  <c r="B129" i="92"/>
  <c r="B130" i="92"/>
  <c r="B131" i="92"/>
  <c r="B132" i="92"/>
  <c r="B133" i="92"/>
  <c r="B134" i="92"/>
  <c r="B135" i="92"/>
  <c r="B136" i="92"/>
  <c r="AB217" i="92"/>
  <c r="AB216" i="92"/>
  <c r="AB215" i="92"/>
  <c r="AB214" i="92"/>
  <c r="AB213" i="92"/>
  <c r="AB212" i="92"/>
  <c r="AB211" i="92"/>
  <c r="AB210" i="92"/>
  <c r="AB209" i="92"/>
  <c r="AB208" i="92"/>
  <c r="AB207" i="92"/>
  <c r="AB206" i="92"/>
  <c r="AB205" i="92"/>
  <c r="AB204" i="92"/>
  <c r="AB203" i="92"/>
  <c r="AB202" i="92"/>
  <c r="AB201" i="92"/>
  <c r="AB200" i="92"/>
  <c r="AB199" i="92"/>
  <c r="AM198" i="92"/>
  <c r="AL198" i="92"/>
  <c r="AK198" i="92"/>
  <c r="AJ198" i="92"/>
  <c r="AI198" i="92"/>
  <c r="AH198" i="92"/>
  <c r="AG198" i="92"/>
  <c r="AF198" i="92"/>
  <c r="AE198" i="92"/>
  <c r="AD198" i="92"/>
  <c r="AC198" i="92"/>
  <c r="AB198" i="92"/>
  <c r="AB190" i="92"/>
  <c r="AB189" i="92"/>
  <c r="AB188" i="92"/>
  <c r="AB187" i="92"/>
  <c r="AB186" i="92"/>
  <c r="AB185" i="92"/>
  <c r="AB184" i="92"/>
  <c r="AB183" i="92"/>
  <c r="AB182" i="92"/>
  <c r="AB181" i="92"/>
  <c r="AB180" i="92"/>
  <c r="AB179" i="92"/>
  <c r="AB178" i="92"/>
  <c r="AB177" i="92"/>
  <c r="AB176" i="92"/>
  <c r="AB175" i="92"/>
  <c r="AB174" i="92"/>
  <c r="AB173" i="92"/>
  <c r="AB172" i="92"/>
  <c r="AM171" i="92"/>
  <c r="AL171" i="92"/>
  <c r="AK171" i="92"/>
  <c r="AJ171" i="92"/>
  <c r="AI171" i="92"/>
  <c r="AH171" i="92"/>
  <c r="AG171" i="92"/>
  <c r="AF171" i="92"/>
  <c r="AE171" i="92"/>
  <c r="AD171" i="92"/>
  <c r="AC171" i="92"/>
  <c r="AB171" i="92"/>
  <c r="AB163" i="92"/>
  <c r="AB162" i="92"/>
  <c r="AB161" i="92"/>
  <c r="AB160" i="92"/>
  <c r="AB159" i="92"/>
  <c r="AB158" i="92"/>
  <c r="AB157" i="92"/>
  <c r="AB156" i="92"/>
  <c r="AB155" i="92"/>
  <c r="AB154" i="92"/>
  <c r="AB153" i="92"/>
  <c r="AB152" i="92"/>
  <c r="AB151" i="92"/>
  <c r="AB150" i="92"/>
  <c r="AB149" i="92"/>
  <c r="AB148" i="92"/>
  <c r="AB147" i="92"/>
  <c r="AB146" i="92"/>
  <c r="AB145" i="92"/>
  <c r="AM144" i="92"/>
  <c r="AL144" i="92"/>
  <c r="AK144" i="92"/>
  <c r="AJ144" i="92"/>
  <c r="AI144" i="92"/>
  <c r="AH144" i="92"/>
  <c r="AG144" i="92"/>
  <c r="AF144" i="92"/>
  <c r="AE144" i="92"/>
  <c r="AD144" i="92"/>
  <c r="AC144" i="92"/>
  <c r="AB144" i="92"/>
  <c r="AB136" i="92"/>
  <c r="AB135" i="92"/>
  <c r="AB134" i="92"/>
  <c r="AB133" i="92"/>
  <c r="AB132" i="92"/>
  <c r="AB131" i="92"/>
  <c r="AB130" i="92"/>
  <c r="AB129" i="92"/>
  <c r="AB128" i="92"/>
  <c r="AB127" i="92"/>
  <c r="AB126" i="92"/>
  <c r="AB125" i="92"/>
  <c r="AB124" i="92"/>
  <c r="AB123" i="92"/>
  <c r="AB122" i="92"/>
  <c r="AB121" i="92"/>
  <c r="AB120" i="92"/>
  <c r="AB119" i="92"/>
  <c r="AB118" i="92"/>
  <c r="AM117" i="92"/>
  <c r="AL117" i="92"/>
  <c r="AK117" i="92"/>
  <c r="AJ117" i="92"/>
  <c r="AI117" i="92"/>
  <c r="AH117" i="92"/>
  <c r="AG117" i="92"/>
  <c r="AF117" i="92"/>
  <c r="AE117" i="92"/>
  <c r="AD117" i="92"/>
  <c r="AC117" i="92"/>
  <c r="AB117" i="92"/>
  <c r="B90" i="92"/>
  <c r="C90" i="92"/>
  <c r="D90" i="92"/>
  <c r="E90" i="92"/>
  <c r="F90" i="92"/>
  <c r="G90" i="92"/>
  <c r="H90" i="92"/>
  <c r="I90" i="92"/>
  <c r="J90" i="92"/>
  <c r="K90" i="92"/>
  <c r="L90" i="92"/>
  <c r="M90" i="92"/>
  <c r="B91" i="92"/>
  <c r="B92" i="92"/>
  <c r="B93" i="92"/>
  <c r="B94" i="92"/>
  <c r="B95" i="92"/>
  <c r="B96" i="92"/>
  <c r="B97" i="92"/>
  <c r="B98" i="92"/>
  <c r="B99" i="92"/>
  <c r="B100" i="92"/>
  <c r="B101" i="92"/>
  <c r="B102" i="92"/>
  <c r="B103" i="92"/>
  <c r="B104" i="92"/>
  <c r="B105" i="92"/>
  <c r="B106" i="92"/>
  <c r="B107" i="92"/>
  <c r="B108" i="92"/>
  <c r="B109" i="92"/>
  <c r="B63" i="92"/>
  <c r="C63" i="92"/>
  <c r="D63" i="92"/>
  <c r="E63" i="92"/>
  <c r="F63" i="92"/>
  <c r="G63" i="92"/>
  <c r="H63" i="92"/>
  <c r="I63" i="92"/>
  <c r="J63" i="92"/>
  <c r="K63" i="92"/>
  <c r="L63" i="92"/>
  <c r="M63" i="92"/>
  <c r="B64" i="92"/>
  <c r="B65" i="92"/>
  <c r="B66" i="92"/>
  <c r="B67" i="92"/>
  <c r="B68" i="92"/>
  <c r="B69" i="92"/>
  <c r="B70" i="92"/>
  <c r="B71" i="92"/>
  <c r="B72" i="92"/>
  <c r="B73" i="92"/>
  <c r="B74" i="92"/>
  <c r="B75" i="92"/>
  <c r="B76" i="92"/>
  <c r="B77" i="92"/>
  <c r="B78" i="92"/>
  <c r="B79" i="92"/>
  <c r="B80" i="92"/>
  <c r="B81" i="92"/>
  <c r="B82" i="92"/>
  <c r="AM63" i="92"/>
  <c r="AL63" i="92"/>
  <c r="AK63" i="92"/>
  <c r="AJ63" i="92"/>
  <c r="AI63" i="92"/>
  <c r="AH63" i="92"/>
  <c r="AG63" i="92"/>
  <c r="AF63" i="92"/>
  <c r="AE63" i="92"/>
  <c r="AD63" i="92"/>
  <c r="AC63" i="92"/>
  <c r="AB63" i="92"/>
  <c r="AB90" i="92"/>
  <c r="AC90" i="92"/>
  <c r="AD90" i="92"/>
  <c r="AE90" i="92"/>
  <c r="AF90" i="92"/>
  <c r="AG90" i="92"/>
  <c r="AH90" i="92"/>
  <c r="AI90" i="92"/>
  <c r="AJ90" i="92"/>
  <c r="AK90" i="92"/>
  <c r="AL90" i="92"/>
  <c r="AM90" i="92"/>
  <c r="AB91" i="92"/>
  <c r="AB92" i="92"/>
  <c r="AB93" i="92"/>
  <c r="AB94" i="92"/>
  <c r="AB95" i="92"/>
  <c r="AB96" i="92"/>
  <c r="AB97" i="92"/>
  <c r="AB98" i="92"/>
  <c r="AB99" i="92"/>
  <c r="AB100" i="92"/>
  <c r="AB101" i="92"/>
  <c r="AB102" i="92"/>
  <c r="AB103" i="92"/>
  <c r="AB104" i="92"/>
  <c r="AB105" i="92"/>
  <c r="AB106" i="92"/>
  <c r="AB107" i="92"/>
  <c r="AB108" i="92"/>
  <c r="AB109" i="92"/>
  <c r="AB82" i="92"/>
  <c r="AB81" i="92"/>
  <c r="AB80" i="92"/>
  <c r="AB79" i="92"/>
  <c r="AB78" i="92"/>
  <c r="AB77" i="92"/>
  <c r="AB76" i="92"/>
  <c r="AB75" i="92"/>
  <c r="AB74" i="92"/>
  <c r="AB73" i="92"/>
  <c r="AB72" i="92"/>
  <c r="AB71" i="92"/>
  <c r="AB70" i="92"/>
  <c r="AB69" i="92"/>
  <c r="AB68" i="92"/>
  <c r="AB67" i="92"/>
  <c r="AB66" i="92"/>
  <c r="AB65" i="92"/>
  <c r="AB64" i="92"/>
  <c r="AB36" i="92"/>
  <c r="AC36" i="92"/>
  <c r="AD36" i="92"/>
  <c r="AE36" i="92"/>
  <c r="AF36" i="92"/>
  <c r="AG36" i="92"/>
  <c r="AH36" i="92"/>
  <c r="AI36" i="92"/>
  <c r="AJ36" i="92"/>
  <c r="AK36" i="92"/>
  <c r="AL36" i="92"/>
  <c r="AM36" i="92"/>
  <c r="AB37" i="92"/>
  <c r="AB38" i="92"/>
  <c r="AB39" i="92"/>
  <c r="AB40" i="92"/>
  <c r="AB41" i="92"/>
  <c r="AB42" i="92"/>
  <c r="AB43" i="92"/>
  <c r="AB44" i="92"/>
  <c r="AB45" i="92"/>
  <c r="AB46" i="92"/>
  <c r="AB47" i="92"/>
  <c r="AB48" i="92"/>
  <c r="AB49" i="92"/>
  <c r="AB50" i="92"/>
  <c r="AB51" i="92"/>
  <c r="AB52" i="92"/>
  <c r="AB53" i="92"/>
  <c r="AB54" i="92"/>
  <c r="AB55" i="92"/>
  <c r="AC9" i="92"/>
  <c r="AD9" i="92"/>
  <c r="AE9" i="92"/>
  <c r="AF9" i="92"/>
  <c r="AG9" i="92"/>
  <c r="AH9" i="92"/>
  <c r="AI9" i="92"/>
  <c r="AJ9" i="92"/>
  <c r="AK9" i="92"/>
  <c r="AL9" i="92"/>
  <c r="AM9" i="92"/>
  <c r="AB9" i="92"/>
  <c r="AB10" i="92"/>
  <c r="AB11" i="92"/>
  <c r="AB12" i="92"/>
  <c r="AB13" i="92"/>
  <c r="AB14" i="92"/>
  <c r="AB15" i="92"/>
  <c r="AB16" i="92"/>
  <c r="AB17" i="92"/>
  <c r="AB18" i="92"/>
  <c r="AB19" i="92"/>
  <c r="AB20" i="92"/>
  <c r="AB21" i="92"/>
  <c r="AB22" i="92"/>
  <c r="AB23" i="92"/>
  <c r="AB24" i="92"/>
  <c r="AB25" i="92"/>
  <c r="AB26" i="92"/>
  <c r="AB27" i="92"/>
  <c r="AB28" i="92"/>
  <c r="B9" i="92"/>
  <c r="C9" i="92"/>
  <c r="D9" i="92"/>
  <c r="E9" i="92"/>
  <c r="F9" i="92"/>
  <c r="G9" i="92"/>
  <c r="H9" i="92"/>
  <c r="I9" i="92"/>
  <c r="J9" i="92"/>
  <c r="K9" i="92"/>
  <c r="L9" i="92"/>
  <c r="M9" i="92"/>
  <c r="B10" i="92"/>
  <c r="B11" i="92"/>
  <c r="B12" i="92"/>
  <c r="B13" i="92"/>
  <c r="B14" i="92"/>
  <c r="B15" i="92"/>
  <c r="B16" i="92"/>
  <c r="B17" i="92"/>
  <c r="B18" i="92"/>
  <c r="B19" i="92"/>
  <c r="B20" i="92"/>
  <c r="B21" i="92"/>
  <c r="B22" i="92"/>
  <c r="B23" i="92"/>
  <c r="B24" i="92"/>
  <c r="B25" i="92"/>
  <c r="B26" i="92"/>
  <c r="B27" i="92"/>
  <c r="B28" i="92"/>
  <c r="B36" i="92"/>
  <c r="C36" i="92"/>
  <c r="D36" i="92"/>
  <c r="E36" i="92"/>
  <c r="F36" i="92"/>
  <c r="G36" i="92"/>
  <c r="H36" i="92"/>
  <c r="I36" i="92"/>
  <c r="J36" i="92"/>
  <c r="K36" i="92"/>
  <c r="L36" i="92"/>
  <c r="M36" i="92"/>
  <c r="B37" i="92"/>
  <c r="B38" i="92"/>
  <c r="B39" i="92"/>
  <c r="B40" i="92"/>
  <c r="B41" i="92"/>
  <c r="B42" i="92"/>
  <c r="B43" i="92"/>
  <c r="B44" i="92"/>
  <c r="B45" i="92"/>
  <c r="B46" i="92"/>
  <c r="B47" i="92"/>
  <c r="B48" i="92"/>
  <c r="B49" i="92"/>
  <c r="B50" i="92"/>
  <c r="B51" i="92"/>
  <c r="B52" i="92"/>
  <c r="B53" i="92"/>
  <c r="B54" i="92"/>
  <c r="B55" i="92"/>
  <c r="R9" i="98"/>
  <c r="R38" i="98"/>
  <c r="R37" i="98"/>
  <c r="R34" i="98"/>
  <c r="R33" i="98"/>
  <c r="R30" i="98"/>
  <c r="R29" i="98"/>
  <c r="R26" i="98"/>
  <c r="R25" i="98"/>
  <c r="R22" i="98"/>
  <c r="R21" i="98"/>
  <c r="R18" i="98"/>
  <c r="R17" i="98"/>
  <c r="R14" i="98"/>
  <c r="R13" i="98"/>
  <c r="R10" i="98"/>
  <c r="R6" i="98"/>
  <c r="O38" i="98"/>
  <c r="O37" i="98"/>
  <c r="O34" i="98"/>
  <c r="O33" i="98"/>
  <c r="O30" i="98"/>
  <c r="O29" i="98"/>
  <c r="O26" i="98"/>
  <c r="O25" i="98"/>
  <c r="O22" i="98"/>
  <c r="O21" i="98"/>
  <c r="O18" i="98"/>
  <c r="O17" i="98"/>
  <c r="O14" i="98"/>
  <c r="O13" i="98"/>
  <c r="O10" i="98"/>
  <c r="O9" i="98"/>
  <c r="O6" i="98"/>
  <c r="L38" i="98"/>
  <c r="L37" i="98"/>
  <c r="L34" i="98"/>
  <c r="L33" i="98"/>
  <c r="L30" i="98"/>
  <c r="L29" i="98"/>
  <c r="L26" i="98"/>
  <c r="L25" i="98"/>
  <c r="L22" i="98"/>
  <c r="L21" i="98"/>
  <c r="L18" i="98"/>
  <c r="L17" i="98"/>
  <c r="L14" i="98"/>
  <c r="L13" i="98"/>
  <c r="L10" i="98"/>
  <c r="L9" i="98"/>
  <c r="L6" i="98"/>
  <c r="I14" i="98"/>
  <c r="I13" i="98"/>
  <c r="I10" i="98"/>
  <c r="I9" i="98"/>
  <c r="I6" i="98"/>
  <c r="I17" i="98"/>
  <c r="I18" i="98"/>
  <c r="I21" i="98"/>
  <c r="I22" i="98"/>
  <c r="I25" i="98"/>
  <c r="I26" i="98"/>
  <c r="I29" i="98"/>
  <c r="I30" i="98"/>
  <c r="I33" i="98"/>
  <c r="I34" i="98"/>
  <c r="I37" i="98"/>
  <c r="I38" i="98"/>
  <c r="H4" i="95"/>
  <c r="AB52" i="95"/>
  <c r="H5" i="95"/>
  <c r="AB53" i="95"/>
  <c r="H6" i="95"/>
  <c r="AB54" i="95"/>
  <c r="H7" i="95"/>
  <c r="AB55" i="95"/>
  <c r="H8" i="95"/>
  <c r="AB56" i="95"/>
  <c r="H9" i="95"/>
  <c r="AB57" i="95"/>
  <c r="H10" i="95"/>
  <c r="AB58" i="95"/>
  <c r="H11" i="95"/>
  <c r="AB59" i="95"/>
  <c r="H12" i="95"/>
  <c r="AB60" i="95"/>
  <c r="H13" i="95"/>
  <c r="AB61" i="95"/>
  <c r="H14" i="95"/>
  <c r="AB62" i="95"/>
  <c r="H15" i="95"/>
  <c r="AB63" i="95"/>
  <c r="H16" i="95"/>
  <c r="AB64" i="95"/>
  <c r="H17" i="95"/>
  <c r="AB65" i="95"/>
  <c r="H18" i="95"/>
  <c r="AB66" i="95"/>
  <c r="H52" i="95"/>
  <c r="H53" i="95"/>
  <c r="H54" i="95"/>
  <c r="H55" i="95"/>
  <c r="H56" i="95"/>
  <c r="H57" i="95"/>
  <c r="H58" i="95"/>
  <c r="H59" i="95"/>
  <c r="H60" i="95"/>
  <c r="H61" i="95"/>
  <c r="H62" i="95"/>
  <c r="H63" i="95"/>
  <c r="H64" i="95"/>
  <c r="H65" i="95"/>
  <c r="H66" i="95"/>
  <c r="AB4" i="95"/>
  <c r="AB5" i="95"/>
  <c r="AB6" i="95"/>
  <c r="AB7" i="95"/>
  <c r="AB8" i="95"/>
  <c r="AB9" i="95"/>
  <c r="AB10" i="95"/>
  <c r="AB11" i="95"/>
  <c r="AB12" i="95"/>
  <c r="AB13" i="95"/>
  <c r="AB14" i="95"/>
  <c r="AB15" i="95"/>
  <c r="AB16" i="95"/>
  <c r="AB17" i="95"/>
  <c r="AB18" i="95"/>
  <c r="AR95" i="95"/>
  <c r="AQ95" i="95"/>
  <c r="AP95" i="95"/>
  <c r="AO95" i="95"/>
  <c r="AN95" i="95"/>
  <c r="AM95" i="95"/>
  <c r="AL95" i="95"/>
  <c r="AK95" i="95"/>
  <c r="AJ95" i="95"/>
  <c r="AI95" i="95"/>
  <c r="AH95" i="95"/>
  <c r="AR94" i="95"/>
  <c r="AQ94" i="95"/>
  <c r="AP94" i="95"/>
  <c r="AO94" i="95"/>
  <c r="AN94" i="95"/>
  <c r="AM94" i="95"/>
  <c r="AL94" i="95"/>
  <c r="AK94" i="95"/>
  <c r="AJ94" i="95"/>
  <c r="AI94" i="95"/>
  <c r="AH94" i="95"/>
  <c r="AR93" i="95"/>
  <c r="AQ93" i="95"/>
  <c r="AP93" i="95"/>
  <c r="AO93" i="95"/>
  <c r="AN93" i="95"/>
  <c r="AM93" i="95"/>
  <c r="AL93" i="95"/>
  <c r="AK93" i="95"/>
  <c r="AJ93" i="95"/>
  <c r="AI93" i="95"/>
  <c r="AH93" i="95"/>
  <c r="AR92" i="95"/>
  <c r="AQ92" i="95"/>
  <c r="AP92" i="95"/>
  <c r="AO92" i="95"/>
  <c r="AN92" i="95"/>
  <c r="AM92" i="95"/>
  <c r="AL92" i="95"/>
  <c r="AK92" i="95"/>
  <c r="AJ92" i="95"/>
  <c r="AI92" i="95"/>
  <c r="AH92" i="95"/>
  <c r="AR75" i="95"/>
  <c r="X75" i="95"/>
  <c r="AE66" i="95"/>
  <c r="AD66" i="95"/>
  <c r="K66" i="95"/>
  <c r="J66" i="95"/>
  <c r="AE65" i="95"/>
  <c r="AD65" i="95"/>
  <c r="K65" i="95"/>
  <c r="J65" i="95"/>
  <c r="AE64" i="95"/>
  <c r="AD64" i="95"/>
  <c r="K64" i="95"/>
  <c r="J64" i="95"/>
  <c r="AE63" i="95"/>
  <c r="AD63" i="95"/>
  <c r="K63" i="95"/>
  <c r="J63" i="95"/>
  <c r="AE62" i="95"/>
  <c r="AD62" i="95"/>
  <c r="K62" i="95"/>
  <c r="J62" i="95"/>
  <c r="AE61" i="95"/>
  <c r="AD61" i="95"/>
  <c r="K61" i="95"/>
  <c r="J61" i="95"/>
  <c r="AE60" i="95"/>
  <c r="AD60" i="95"/>
  <c r="K60" i="95"/>
  <c r="J60" i="95"/>
  <c r="AE59" i="95"/>
  <c r="AD59" i="95"/>
  <c r="K59" i="95"/>
  <c r="J59" i="95"/>
  <c r="AE58" i="95"/>
  <c r="AD58" i="95"/>
  <c r="K58" i="95"/>
  <c r="J58" i="95"/>
  <c r="AE57" i="95"/>
  <c r="AD57" i="95"/>
  <c r="K57" i="95"/>
  <c r="J57" i="95"/>
  <c r="AE56" i="95"/>
  <c r="AD56" i="95"/>
  <c r="K56" i="95"/>
  <c r="J56" i="95"/>
  <c r="AE55" i="95"/>
  <c r="AD55" i="95"/>
  <c r="K55" i="95"/>
  <c r="J55" i="95"/>
  <c r="AE54" i="95"/>
  <c r="AD54" i="95"/>
  <c r="K54" i="95"/>
  <c r="J54" i="95"/>
  <c r="AE53" i="95"/>
  <c r="AD53" i="95"/>
  <c r="K53" i="95"/>
  <c r="J53" i="95"/>
  <c r="AE52" i="95"/>
  <c r="AD52" i="95"/>
  <c r="K52" i="95"/>
  <c r="J52" i="95"/>
  <c r="AR50" i="95"/>
  <c r="AE50" i="95"/>
  <c r="X50" i="95"/>
  <c r="K50" i="95"/>
  <c r="AR27" i="95"/>
  <c r="X27" i="95"/>
  <c r="AE18" i="95"/>
  <c r="AD18" i="95"/>
  <c r="K18" i="95"/>
  <c r="J18" i="95"/>
  <c r="AE17" i="95"/>
  <c r="AD17" i="95"/>
  <c r="K17" i="95"/>
  <c r="J17" i="95"/>
  <c r="AE16" i="95"/>
  <c r="AD16" i="95"/>
  <c r="K16" i="95"/>
  <c r="J16" i="95"/>
  <c r="AE15" i="95"/>
  <c r="AD15" i="95"/>
  <c r="K15" i="95"/>
  <c r="J15" i="95"/>
  <c r="AE14" i="95"/>
  <c r="AD14" i="95"/>
  <c r="K14" i="95"/>
  <c r="J14" i="95"/>
  <c r="AE13" i="95"/>
  <c r="AD13" i="95"/>
  <c r="K13" i="95"/>
  <c r="J13" i="95"/>
  <c r="AE12" i="95"/>
  <c r="AD12" i="95"/>
  <c r="K12" i="95"/>
  <c r="J12" i="95"/>
  <c r="AE11" i="95"/>
  <c r="AD11" i="95"/>
  <c r="K11" i="95"/>
  <c r="J11" i="95"/>
  <c r="AE10" i="95"/>
  <c r="AD10" i="95"/>
  <c r="K10" i="95"/>
  <c r="J10" i="95"/>
  <c r="AE9" i="95"/>
  <c r="AD9" i="95"/>
  <c r="K9" i="95"/>
  <c r="J9" i="95"/>
  <c r="AE8" i="95"/>
  <c r="AD8" i="95"/>
  <c r="K8" i="95"/>
  <c r="J8" i="95"/>
  <c r="AE7" i="95"/>
  <c r="AD7" i="95"/>
  <c r="K7" i="95"/>
  <c r="J7" i="95"/>
  <c r="AE6" i="95"/>
  <c r="AD6" i="95"/>
  <c r="K6" i="95"/>
  <c r="J6" i="95"/>
  <c r="AE5" i="95"/>
  <c r="AD5" i="95"/>
  <c r="K5" i="95"/>
  <c r="J5" i="95"/>
  <c r="AE4" i="95"/>
  <c r="AD4" i="95"/>
  <c r="K4" i="95"/>
  <c r="J4" i="95"/>
  <c r="AR2" i="95"/>
  <c r="AE2" i="95"/>
  <c r="X2" i="95"/>
  <c r="K2" i="95"/>
  <c r="M23" i="32"/>
  <c r="M24" i="32"/>
  <c r="W24" i="32"/>
  <c r="M25" i="32"/>
  <c r="W25" i="32"/>
  <c r="M26" i="32"/>
  <c r="W26" i="32"/>
  <c r="M27" i="32"/>
  <c r="W27" i="32"/>
  <c r="M28" i="32"/>
  <c r="L29" i="32"/>
  <c r="W28" i="32"/>
  <c r="Q9" i="54"/>
  <c r="Q10" i="54"/>
  <c r="Q11" i="54"/>
  <c r="Q12" i="54"/>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M6" i="32"/>
  <c r="W6" i="32"/>
  <c r="AP9" i="54"/>
  <c r="AP10" i="54"/>
  <c r="AP11" i="54"/>
  <c r="AP12" i="54"/>
  <c r="AP13" i="54"/>
  <c r="AP14" i="54"/>
  <c r="AP15" i="54"/>
  <c r="AP16" i="54"/>
  <c r="AP17" i="54"/>
  <c r="AP18" i="54"/>
  <c r="AP19" i="54"/>
  <c r="AP20" i="54"/>
  <c r="AP21" i="54"/>
  <c r="AP22" i="54"/>
  <c r="AP23" i="54"/>
  <c r="AP24" i="54"/>
  <c r="AP25" i="54"/>
  <c r="AP26" i="54"/>
  <c r="AP27" i="54"/>
  <c r="AP28" i="54"/>
  <c r="AP29" i="54"/>
  <c r="AP30" i="54"/>
  <c r="AP31" i="54"/>
  <c r="AP32" i="54"/>
  <c r="AP33" i="54"/>
  <c r="AP34" i="54"/>
  <c r="AP35" i="54"/>
  <c r="AP36" i="54"/>
  <c r="AP37" i="54"/>
  <c r="AP38" i="54"/>
  <c r="AP39" i="54"/>
  <c r="AP40" i="54"/>
  <c r="AP41" i="54"/>
  <c r="AP42" i="54"/>
  <c r="AP43" i="54"/>
  <c r="AP44" i="54"/>
  <c r="AP45" i="54"/>
  <c r="AP46" i="54"/>
  <c r="AP47" i="54"/>
  <c r="AP48" i="54"/>
  <c r="AP49" i="54"/>
  <c r="AP50" i="54"/>
  <c r="AP51" i="54"/>
  <c r="AP52" i="54"/>
  <c r="M7" i="32"/>
  <c r="W7" i="32"/>
  <c r="M8" i="32"/>
  <c r="W8" i="32"/>
  <c r="M9" i="32"/>
  <c r="W9" i="32"/>
  <c r="M10" i="32"/>
  <c r="W10" i="32"/>
  <c r="M29" i="32"/>
  <c r="L30" i="32"/>
  <c r="H4" i="91"/>
  <c r="K4" i="91"/>
  <c r="J4" i="91"/>
  <c r="H5" i="91"/>
  <c r="H6" i="91"/>
  <c r="H7" i="91"/>
  <c r="H8" i="91"/>
  <c r="H9" i="91"/>
  <c r="H10" i="91"/>
  <c r="H11" i="91"/>
  <c r="H12" i="91"/>
  <c r="H13" i="91"/>
  <c r="H14" i="91"/>
  <c r="H15" i="91"/>
  <c r="H16" i="91"/>
  <c r="H17" i="91"/>
  <c r="H18" i="91"/>
  <c r="H19" i="91"/>
  <c r="M104" i="94"/>
  <c r="L104" i="94"/>
  <c r="K104" i="94"/>
  <c r="J104" i="94"/>
  <c r="I104" i="94"/>
  <c r="H104" i="94"/>
  <c r="G104" i="94"/>
  <c r="F104" i="94"/>
  <c r="E104" i="94"/>
  <c r="D104" i="94"/>
  <c r="C104" i="94"/>
  <c r="M103" i="94"/>
  <c r="L103" i="94"/>
  <c r="K103" i="94"/>
  <c r="J103" i="94"/>
  <c r="I103" i="94"/>
  <c r="H103" i="94"/>
  <c r="G103" i="94"/>
  <c r="F103" i="94"/>
  <c r="E103" i="94"/>
  <c r="D103" i="94"/>
  <c r="C103" i="94"/>
  <c r="M102" i="94"/>
  <c r="L102" i="94"/>
  <c r="K102" i="94"/>
  <c r="J102" i="94"/>
  <c r="I102" i="94"/>
  <c r="H102" i="94"/>
  <c r="G102" i="94"/>
  <c r="F102" i="94"/>
  <c r="E102" i="94"/>
  <c r="D102" i="94"/>
  <c r="C102" i="94"/>
  <c r="AB19" i="91"/>
  <c r="AB18" i="91"/>
  <c r="AB17" i="91"/>
  <c r="AB16" i="91"/>
  <c r="AB15" i="91"/>
  <c r="AB14" i="91"/>
  <c r="AB13" i="91"/>
  <c r="AB12" i="91"/>
  <c r="AB11" i="91"/>
  <c r="AB10" i="91"/>
  <c r="AB9" i="91"/>
  <c r="AB8" i="91"/>
  <c r="AB7" i="91"/>
  <c r="AB6" i="91"/>
  <c r="AB5" i="91"/>
  <c r="AB4" i="91"/>
  <c r="AR75" i="91"/>
  <c r="X75" i="91"/>
  <c r="H67" i="91"/>
  <c r="AB67" i="91"/>
  <c r="AE67" i="91"/>
  <c r="AD67" i="91"/>
  <c r="K67" i="91"/>
  <c r="J67" i="91"/>
  <c r="H66" i="91"/>
  <c r="AB66" i="91"/>
  <c r="AE66" i="91"/>
  <c r="AD66" i="91"/>
  <c r="K66" i="91"/>
  <c r="J66" i="91"/>
  <c r="H65" i="91"/>
  <c r="AB65" i="91"/>
  <c r="AE65" i="91"/>
  <c r="AD65" i="91"/>
  <c r="K65" i="91"/>
  <c r="J65" i="91"/>
  <c r="H64" i="91"/>
  <c r="AB64" i="91"/>
  <c r="AE64" i="91"/>
  <c r="AD64" i="91"/>
  <c r="K64" i="91"/>
  <c r="J64" i="91"/>
  <c r="H63" i="91"/>
  <c r="AB63" i="91"/>
  <c r="AE63" i="91"/>
  <c r="AD63" i="91"/>
  <c r="K63" i="91"/>
  <c r="J63" i="91"/>
  <c r="H62" i="91"/>
  <c r="AB62" i="91"/>
  <c r="AE62" i="91"/>
  <c r="AD62" i="91"/>
  <c r="K62" i="91"/>
  <c r="J62" i="91"/>
  <c r="H61" i="91"/>
  <c r="AB61" i="91"/>
  <c r="AE61" i="91"/>
  <c r="AD61" i="91"/>
  <c r="K61" i="91"/>
  <c r="J61" i="91"/>
  <c r="H60" i="91"/>
  <c r="AB60" i="91"/>
  <c r="AE60" i="91"/>
  <c r="AD60" i="91"/>
  <c r="K60" i="91"/>
  <c r="J60" i="91"/>
  <c r="H59" i="91"/>
  <c r="AB59" i="91"/>
  <c r="AE59" i="91"/>
  <c r="AD59" i="91"/>
  <c r="K59" i="91"/>
  <c r="J59" i="91"/>
  <c r="H58" i="91"/>
  <c r="AB58" i="91"/>
  <c r="AE58" i="91"/>
  <c r="AD58" i="91"/>
  <c r="K58" i="91"/>
  <c r="J58" i="91"/>
  <c r="H57" i="91"/>
  <c r="AB57" i="91"/>
  <c r="AE57" i="91"/>
  <c r="AD57" i="91"/>
  <c r="K57" i="91"/>
  <c r="J57" i="91"/>
  <c r="H56" i="91"/>
  <c r="AB56" i="91"/>
  <c r="AE56" i="91"/>
  <c r="AD56" i="91"/>
  <c r="K56" i="91"/>
  <c r="J56" i="91"/>
  <c r="H55" i="91"/>
  <c r="AB55" i="91"/>
  <c r="AE55" i="91"/>
  <c r="AD55" i="91"/>
  <c r="K55" i="91"/>
  <c r="J55" i="91"/>
  <c r="H54" i="91"/>
  <c r="AB54" i="91"/>
  <c r="AE54" i="91"/>
  <c r="AD54" i="91"/>
  <c r="K54" i="91"/>
  <c r="J54" i="91"/>
  <c r="H53" i="91"/>
  <c r="AB53" i="91"/>
  <c r="AE53" i="91"/>
  <c r="AD53" i="91"/>
  <c r="K53" i="91"/>
  <c r="J53" i="91"/>
  <c r="H52" i="91"/>
  <c r="AB52" i="91"/>
  <c r="AE52" i="91"/>
  <c r="AD52" i="91"/>
  <c r="K52" i="91"/>
  <c r="J52" i="91"/>
  <c r="AR50" i="91"/>
  <c r="AE50" i="91"/>
  <c r="X50" i="91"/>
  <c r="K50" i="91"/>
  <c r="AR27" i="91"/>
  <c r="X27" i="91"/>
  <c r="AE19" i="91"/>
  <c r="AD19" i="91"/>
  <c r="K19" i="91"/>
  <c r="J19" i="91"/>
  <c r="AE18" i="91"/>
  <c r="AD18" i="91"/>
  <c r="K18" i="91"/>
  <c r="J18" i="91"/>
  <c r="AE17" i="91"/>
  <c r="AD17" i="91"/>
  <c r="K17" i="91"/>
  <c r="J17" i="91"/>
  <c r="AE16" i="91"/>
  <c r="AD16" i="91"/>
  <c r="K16" i="91"/>
  <c r="J16" i="91"/>
  <c r="AE15" i="91"/>
  <c r="AD15" i="91"/>
  <c r="K15" i="91"/>
  <c r="J15" i="91"/>
  <c r="AE14" i="91"/>
  <c r="AD14" i="91"/>
  <c r="K14" i="91"/>
  <c r="J14" i="91"/>
  <c r="AE13" i="91"/>
  <c r="AD13" i="91"/>
  <c r="K13" i="91"/>
  <c r="J13" i="91"/>
  <c r="AE12" i="91"/>
  <c r="AD12" i="91"/>
  <c r="K12" i="91"/>
  <c r="J12" i="91"/>
  <c r="AE11" i="91"/>
  <c r="AD11" i="91"/>
  <c r="K11" i="91"/>
  <c r="J11" i="91"/>
  <c r="AE10" i="91"/>
  <c r="AD10" i="91"/>
  <c r="K10" i="91"/>
  <c r="J10" i="91"/>
  <c r="AE9" i="91"/>
  <c r="AD9" i="91"/>
  <c r="K9" i="91"/>
  <c r="J9" i="91"/>
  <c r="AE8" i="91"/>
  <c r="AD8" i="91"/>
  <c r="K8" i="91"/>
  <c r="J8" i="91"/>
  <c r="AE7" i="91"/>
  <c r="AD7" i="91"/>
  <c r="K7" i="91"/>
  <c r="J7" i="91"/>
  <c r="AE6" i="91"/>
  <c r="AD6" i="91"/>
  <c r="K6" i="91"/>
  <c r="J6" i="91"/>
  <c r="AE5" i="91"/>
  <c r="AD5" i="91"/>
  <c r="K5" i="91"/>
  <c r="J5" i="91"/>
  <c r="AE4" i="91"/>
  <c r="AD4" i="91"/>
  <c r="AR2" i="91"/>
  <c r="AE2" i="91"/>
  <c r="X2" i="91"/>
  <c r="K2" i="91"/>
  <c r="AB18" i="89"/>
  <c r="H18" i="89"/>
  <c r="AB17" i="89"/>
  <c r="H17" i="89"/>
  <c r="AB16" i="89"/>
  <c r="H16" i="89"/>
  <c r="AB15" i="89"/>
  <c r="H15" i="89"/>
  <c r="AB14" i="89"/>
  <c r="H14" i="89"/>
  <c r="AB13" i="89"/>
  <c r="H13" i="89"/>
  <c r="AB12" i="89"/>
  <c r="H12" i="89"/>
  <c r="AB11" i="89"/>
  <c r="H11" i="89"/>
  <c r="AB10" i="89"/>
  <c r="H10" i="89"/>
  <c r="AB9" i="89"/>
  <c r="H9" i="89"/>
  <c r="AB8" i="89"/>
  <c r="H8" i="89"/>
  <c r="AB7" i="89"/>
  <c r="H7" i="89"/>
  <c r="AB6" i="89"/>
  <c r="H6" i="89"/>
  <c r="AB5" i="89"/>
  <c r="H5" i="89"/>
  <c r="AB4" i="89"/>
  <c r="H4" i="89"/>
  <c r="AR75" i="89"/>
  <c r="X75" i="89"/>
  <c r="H66" i="89"/>
  <c r="AB66" i="89"/>
  <c r="AE66" i="89"/>
  <c r="AD66" i="89"/>
  <c r="K66" i="89"/>
  <c r="J66" i="89"/>
  <c r="H65" i="89"/>
  <c r="AB65" i="89"/>
  <c r="AE65" i="89"/>
  <c r="AD65" i="89"/>
  <c r="K65" i="89"/>
  <c r="J65" i="89"/>
  <c r="H64" i="89"/>
  <c r="AB64" i="89"/>
  <c r="AE64" i="89"/>
  <c r="AD64" i="89"/>
  <c r="K64" i="89"/>
  <c r="J64" i="89"/>
  <c r="H63" i="89"/>
  <c r="AB63" i="89"/>
  <c r="AE63" i="89"/>
  <c r="AD63" i="89"/>
  <c r="K63" i="89"/>
  <c r="J63" i="89"/>
  <c r="H62" i="89"/>
  <c r="AB62" i="89"/>
  <c r="AE62" i="89"/>
  <c r="AD62" i="89"/>
  <c r="K62" i="89"/>
  <c r="J62" i="89"/>
  <c r="H61" i="89"/>
  <c r="AB61" i="89"/>
  <c r="AE61" i="89"/>
  <c r="AD61" i="89"/>
  <c r="K61" i="89"/>
  <c r="J61" i="89"/>
  <c r="H60" i="89"/>
  <c r="AB60" i="89"/>
  <c r="AE60" i="89"/>
  <c r="AD60" i="89"/>
  <c r="K60" i="89"/>
  <c r="J60" i="89"/>
  <c r="H59" i="89"/>
  <c r="AB59" i="89"/>
  <c r="AE59" i="89"/>
  <c r="AD59" i="89"/>
  <c r="K59" i="89"/>
  <c r="J59" i="89"/>
  <c r="H58" i="89"/>
  <c r="AB58" i="89"/>
  <c r="AE58" i="89"/>
  <c r="AD58" i="89"/>
  <c r="K58" i="89"/>
  <c r="J58" i="89"/>
  <c r="H57" i="89"/>
  <c r="AB57" i="89"/>
  <c r="AE57" i="89"/>
  <c r="AD57" i="89"/>
  <c r="K57" i="89"/>
  <c r="J57" i="89"/>
  <c r="H56" i="89"/>
  <c r="AB56" i="89"/>
  <c r="AE56" i="89"/>
  <c r="AD56" i="89"/>
  <c r="K56" i="89"/>
  <c r="J56" i="89"/>
  <c r="H55" i="89"/>
  <c r="AB55" i="89"/>
  <c r="AE55" i="89"/>
  <c r="AD55" i="89"/>
  <c r="K55" i="89"/>
  <c r="J55" i="89"/>
  <c r="H54" i="89"/>
  <c r="AB54" i="89"/>
  <c r="AE54" i="89"/>
  <c r="AD54" i="89"/>
  <c r="K54" i="89"/>
  <c r="J54" i="89"/>
  <c r="H53" i="89"/>
  <c r="AB53" i="89"/>
  <c r="AE53" i="89"/>
  <c r="AD53" i="89"/>
  <c r="K53" i="89"/>
  <c r="J53" i="89"/>
  <c r="H52" i="89"/>
  <c r="AB52" i="89"/>
  <c r="AE52" i="89"/>
  <c r="AD52" i="89"/>
  <c r="K52" i="89"/>
  <c r="J52" i="89"/>
  <c r="AR50" i="89"/>
  <c r="AE50" i="89"/>
  <c r="X50" i="89"/>
  <c r="K50" i="89"/>
  <c r="AR27" i="89"/>
  <c r="X27" i="89"/>
  <c r="AE18" i="89"/>
  <c r="AD18" i="89"/>
  <c r="K18" i="89"/>
  <c r="J18" i="89"/>
  <c r="AE17" i="89"/>
  <c r="AD17" i="89"/>
  <c r="K17" i="89"/>
  <c r="J17" i="89"/>
  <c r="AE16" i="89"/>
  <c r="AD16" i="89"/>
  <c r="K16" i="89"/>
  <c r="J16" i="89"/>
  <c r="AE15" i="89"/>
  <c r="AD15" i="89"/>
  <c r="K15" i="89"/>
  <c r="J15" i="89"/>
  <c r="AE14" i="89"/>
  <c r="AD14" i="89"/>
  <c r="K14" i="89"/>
  <c r="J14" i="89"/>
  <c r="AE13" i="89"/>
  <c r="AD13" i="89"/>
  <c r="K13" i="89"/>
  <c r="J13" i="89"/>
  <c r="AE12" i="89"/>
  <c r="AD12" i="89"/>
  <c r="K12" i="89"/>
  <c r="J12" i="89"/>
  <c r="AE11" i="89"/>
  <c r="AD11" i="89"/>
  <c r="K11" i="89"/>
  <c r="J11" i="89"/>
  <c r="AE10" i="89"/>
  <c r="AD10" i="89"/>
  <c r="K10" i="89"/>
  <c r="J10" i="89"/>
  <c r="AE9" i="89"/>
  <c r="AD9" i="89"/>
  <c r="K9" i="89"/>
  <c r="J9" i="89"/>
  <c r="AE8" i="89"/>
  <c r="AD8" i="89"/>
  <c r="K8" i="89"/>
  <c r="J8" i="89"/>
  <c r="AE7" i="89"/>
  <c r="AD7" i="89"/>
  <c r="K7" i="89"/>
  <c r="J7" i="89"/>
  <c r="AE6" i="89"/>
  <c r="AD6" i="89"/>
  <c r="K6" i="89"/>
  <c r="J6" i="89"/>
  <c r="AE5" i="89"/>
  <c r="AD5" i="89"/>
  <c r="K5" i="89"/>
  <c r="J5" i="89"/>
  <c r="AE4" i="89"/>
  <c r="AD4" i="89"/>
  <c r="K4" i="89"/>
  <c r="J4" i="89"/>
  <c r="AR2" i="89"/>
  <c r="AE2" i="89"/>
  <c r="X2" i="89"/>
  <c r="K2" i="89"/>
  <c r="H4" i="83"/>
  <c r="H52" i="83"/>
  <c r="AB52" i="83"/>
  <c r="AD52" i="83"/>
  <c r="AE52" i="83"/>
  <c r="H5" i="83"/>
  <c r="H53" i="83"/>
  <c r="AB53" i="83"/>
  <c r="AD53" i="83"/>
  <c r="AE53" i="83"/>
  <c r="H6" i="83"/>
  <c r="H54" i="83"/>
  <c r="AB54" i="83"/>
  <c r="AD54" i="83"/>
  <c r="AE54" i="83"/>
  <c r="H7" i="83"/>
  <c r="H55" i="83"/>
  <c r="AB55" i="83"/>
  <c r="AD55" i="83"/>
  <c r="AE55" i="83"/>
  <c r="H8" i="83"/>
  <c r="H56" i="83"/>
  <c r="AB56" i="83"/>
  <c r="AD56" i="83"/>
  <c r="AE56" i="83"/>
  <c r="H9" i="83"/>
  <c r="H57" i="83"/>
  <c r="AB57" i="83"/>
  <c r="AD57" i="83"/>
  <c r="AE57" i="83"/>
  <c r="H10" i="83"/>
  <c r="H58" i="83"/>
  <c r="AB58" i="83"/>
  <c r="AD58" i="83"/>
  <c r="AE58" i="83"/>
  <c r="H11" i="83"/>
  <c r="H59" i="83"/>
  <c r="AB59" i="83"/>
  <c r="AD59" i="83"/>
  <c r="AE59" i="83"/>
  <c r="H12" i="83"/>
  <c r="H60" i="83"/>
  <c r="AB60" i="83"/>
  <c r="AD60" i="83"/>
  <c r="AE60" i="83"/>
  <c r="H13" i="83"/>
  <c r="H61" i="83"/>
  <c r="AB61" i="83"/>
  <c r="AD61" i="83"/>
  <c r="AE61" i="83"/>
  <c r="H14" i="83"/>
  <c r="H62" i="83"/>
  <c r="AB62" i="83"/>
  <c r="AD62" i="83"/>
  <c r="AE62" i="83"/>
  <c r="H15" i="83"/>
  <c r="H63" i="83"/>
  <c r="AB63" i="83"/>
  <c r="AD63" i="83"/>
  <c r="AE63" i="83"/>
  <c r="H16" i="83"/>
  <c r="H64" i="83"/>
  <c r="AB64" i="83"/>
  <c r="AD64" i="83"/>
  <c r="AE64" i="83"/>
  <c r="H17" i="83"/>
  <c r="H65" i="83"/>
  <c r="AB65" i="83"/>
  <c r="AD65" i="83"/>
  <c r="AE65" i="83"/>
  <c r="H18" i="83"/>
  <c r="H66" i="83"/>
  <c r="AB66" i="83"/>
  <c r="AD66" i="83"/>
  <c r="AE66" i="83"/>
  <c r="H19" i="83"/>
  <c r="H67" i="83"/>
  <c r="AB67" i="83"/>
  <c r="AD67" i="83"/>
  <c r="AE67" i="83"/>
  <c r="H20" i="83"/>
  <c r="H68" i="83"/>
  <c r="AB68" i="83"/>
  <c r="AD68" i="83"/>
  <c r="AE68" i="83"/>
  <c r="H21" i="83"/>
  <c r="H69" i="83"/>
  <c r="AB69" i="83"/>
  <c r="AD69" i="83"/>
  <c r="AE69" i="83"/>
  <c r="H22" i="83"/>
  <c r="H70" i="83"/>
  <c r="AB70" i="83"/>
  <c r="AD70" i="83"/>
  <c r="AE70" i="83"/>
  <c r="K70" i="83"/>
  <c r="J70" i="83"/>
  <c r="K69" i="83"/>
  <c r="J69" i="83"/>
  <c r="K68" i="83"/>
  <c r="J68" i="83"/>
  <c r="K67" i="83"/>
  <c r="J67" i="83"/>
  <c r="K66" i="83"/>
  <c r="J66" i="83"/>
  <c r="K65" i="83"/>
  <c r="J65" i="83"/>
  <c r="K64" i="83"/>
  <c r="J64" i="83"/>
  <c r="K63" i="83"/>
  <c r="J63" i="83"/>
  <c r="K62" i="83"/>
  <c r="J62" i="83"/>
  <c r="K61" i="83"/>
  <c r="J61" i="83"/>
  <c r="K60" i="83"/>
  <c r="J60" i="83"/>
  <c r="K59" i="83"/>
  <c r="J59" i="83"/>
  <c r="K58" i="83"/>
  <c r="J58" i="83"/>
  <c r="K57" i="83"/>
  <c r="J57" i="83"/>
  <c r="K56" i="83"/>
  <c r="J56" i="83"/>
  <c r="K55" i="83"/>
  <c r="J55" i="83"/>
  <c r="K54" i="83"/>
  <c r="J54" i="83"/>
  <c r="K53" i="83"/>
  <c r="J53" i="83"/>
  <c r="K52" i="83"/>
  <c r="J52" i="83"/>
  <c r="G10" i="88"/>
  <c r="G11" i="88"/>
  <c r="G12" i="88"/>
  <c r="G13" i="88"/>
  <c r="G14" i="88"/>
  <c r="G15" i="88"/>
  <c r="G16" i="88"/>
  <c r="G17" i="88"/>
  <c r="G18" i="88"/>
  <c r="G19" i="88"/>
  <c r="G20" i="88"/>
  <c r="G21" i="88"/>
  <c r="G22" i="88"/>
  <c r="G23" i="88"/>
  <c r="G24" i="88"/>
  <c r="G25" i="88"/>
  <c r="G26" i="88"/>
  <c r="G27" i="88"/>
  <c r="G28" i="88"/>
  <c r="AR75" i="83"/>
  <c r="X75" i="83"/>
  <c r="AR50" i="83"/>
  <c r="AE50" i="83"/>
  <c r="X50" i="83"/>
  <c r="K50" i="83"/>
  <c r="AR27" i="83"/>
  <c r="AR2" i="83"/>
  <c r="X27" i="83"/>
  <c r="X2" i="83"/>
  <c r="AE2" i="83"/>
  <c r="K2" i="83"/>
  <c r="J4" i="83"/>
  <c r="K4" i="83"/>
  <c r="J5" i="83"/>
  <c r="K5" i="83"/>
  <c r="J6" i="83"/>
  <c r="K6" i="83"/>
  <c r="J7" i="83"/>
  <c r="K7" i="83"/>
  <c r="J8" i="83"/>
  <c r="K8" i="83"/>
  <c r="J9" i="83"/>
  <c r="K9" i="83"/>
  <c r="J10" i="83"/>
  <c r="K10" i="83"/>
  <c r="J11" i="83"/>
  <c r="K11" i="83"/>
  <c r="J12" i="83"/>
  <c r="K12" i="83"/>
  <c r="J13" i="83"/>
  <c r="K13" i="83"/>
  <c r="J14" i="83"/>
  <c r="K14" i="83"/>
  <c r="J15" i="83"/>
  <c r="K15" i="83"/>
  <c r="J16" i="83"/>
  <c r="K16" i="83"/>
  <c r="J17" i="83"/>
  <c r="K17" i="83"/>
  <c r="J18" i="83"/>
  <c r="K18" i="83"/>
  <c r="J19" i="83"/>
  <c r="K19" i="83"/>
  <c r="J20" i="83"/>
  <c r="K20" i="83"/>
  <c r="J21" i="83"/>
  <c r="K21" i="83"/>
  <c r="J22" i="83"/>
  <c r="K22" i="83"/>
  <c r="AB22" i="83"/>
  <c r="AB21" i="83"/>
  <c r="AB20" i="83"/>
  <c r="AB19" i="83"/>
  <c r="AB18" i="83"/>
  <c r="AB17" i="83"/>
  <c r="AB16" i="83"/>
  <c r="AB15" i="83"/>
  <c r="AB14" i="83"/>
  <c r="AB13" i="83"/>
  <c r="AB12" i="83"/>
  <c r="AB11" i="83"/>
  <c r="AB10" i="83"/>
  <c r="AB9" i="83"/>
  <c r="AB8" i="83"/>
  <c r="AB7" i="83"/>
  <c r="AB6" i="83"/>
  <c r="AB5" i="83"/>
  <c r="AB4" i="83"/>
  <c r="AE4" i="83"/>
  <c r="AE5" i="83"/>
  <c r="AE6" i="83"/>
  <c r="AE7" i="83"/>
  <c r="AE8" i="83"/>
  <c r="AE9" i="83"/>
  <c r="AE10" i="83"/>
  <c r="AE11" i="83"/>
  <c r="AE12" i="83"/>
  <c r="AE13" i="83"/>
  <c r="AE14" i="83"/>
  <c r="AE15" i="83"/>
  <c r="AE16" i="83"/>
  <c r="AE17" i="83"/>
  <c r="AE18" i="83"/>
  <c r="AE19" i="83"/>
  <c r="AE20" i="83"/>
  <c r="AE21" i="83"/>
  <c r="AE22" i="83"/>
  <c r="AD22" i="83"/>
  <c r="AD21" i="83"/>
  <c r="AD20" i="83"/>
  <c r="AD19" i="83"/>
  <c r="AD18" i="83"/>
  <c r="AD17" i="83"/>
  <c r="AD16" i="83"/>
  <c r="AD15" i="83"/>
  <c r="AD14" i="83"/>
  <c r="AD13" i="83"/>
  <c r="AD12" i="83"/>
  <c r="AD11" i="83"/>
  <c r="AD10" i="83"/>
  <c r="AD9" i="83"/>
  <c r="AD8" i="83"/>
  <c r="AD7" i="83"/>
  <c r="AD6" i="83"/>
  <c r="AD5" i="83"/>
  <c r="AD4" i="83"/>
  <c r="U11" i="32"/>
  <c r="V11" i="32"/>
  <c r="W11" i="32"/>
  <c r="X11" i="32"/>
  <c r="U12" i="32"/>
  <c r="U21" i="32"/>
  <c r="V21" i="32"/>
  <c r="U30" i="32"/>
  <c r="W30" i="32"/>
  <c r="U37" i="32"/>
  <c r="V37" i="32"/>
  <c r="W37" i="32"/>
  <c r="X37" i="32"/>
  <c r="U39" i="32"/>
  <c r="X39" i="32"/>
  <c r="M15" i="32"/>
  <c r="Q15" i="32"/>
  <c r="Q33" i="32"/>
  <c r="I33" i="32"/>
  <c r="E33" i="32"/>
  <c r="M33" i="32"/>
  <c r="I15" i="32"/>
  <c r="E15" i="32"/>
  <c r="H11" i="32"/>
  <c r="L11" i="32"/>
  <c r="P11" i="32"/>
  <c r="D12" i="32"/>
  <c r="H12" i="32"/>
  <c r="L12" i="32"/>
  <c r="P12" i="32"/>
  <c r="X15" i="32"/>
  <c r="W15" i="32"/>
  <c r="V15" i="32"/>
  <c r="U15" i="32"/>
  <c r="D20" i="32"/>
  <c r="AD15" i="32"/>
  <c r="AE15" i="32"/>
  <c r="AB15" i="32"/>
  <c r="AC15" i="32"/>
  <c r="H20" i="32"/>
  <c r="L20" i="32"/>
  <c r="P20" i="32"/>
  <c r="D21" i="32"/>
  <c r="H21" i="32"/>
  <c r="L21" i="32"/>
  <c r="P21" i="32"/>
  <c r="E23" i="32"/>
  <c r="I23" i="32"/>
  <c r="Q23" i="32"/>
  <c r="E24" i="32"/>
  <c r="I24" i="32"/>
  <c r="Q24" i="32"/>
  <c r="X24" i="32"/>
  <c r="V24" i="32"/>
  <c r="U24" i="32"/>
  <c r="D29" i="32"/>
  <c r="AC24" i="32"/>
  <c r="AD24" i="32"/>
  <c r="AB24" i="32"/>
  <c r="AE24" i="32"/>
  <c r="H29" i="32"/>
  <c r="P29" i="32"/>
  <c r="D30" i="32"/>
  <c r="H30" i="32"/>
  <c r="P30" i="32"/>
  <c r="X33" i="32"/>
  <c r="W33" i="32"/>
  <c r="V33" i="32"/>
  <c r="U33" i="32"/>
  <c r="D38" i="32"/>
  <c r="AB33" i="32"/>
  <c r="AE33" i="32"/>
  <c r="AC33" i="32"/>
  <c r="AD33" i="32"/>
  <c r="H38" i="32"/>
  <c r="L38" i="32"/>
  <c r="P38" i="32"/>
  <c r="D39" i="32"/>
  <c r="H39" i="32"/>
  <c r="L39" i="32"/>
  <c r="P39" i="32"/>
  <c r="I6" i="32"/>
  <c r="I34" i="32"/>
  <c r="E25" i="32"/>
  <c r="M34" i="32"/>
  <c r="E34" i="32"/>
  <c r="Q34" i="32"/>
  <c r="Q6" i="32"/>
  <c r="E16" i="32"/>
  <c r="M16" i="32"/>
  <c r="E6" i="32"/>
  <c r="Q25" i="32"/>
  <c r="I25" i="32"/>
  <c r="I16" i="32"/>
  <c r="Q16" i="32"/>
  <c r="W34" i="32"/>
  <c r="V34" i="32"/>
  <c r="X34" i="32"/>
  <c r="U34" i="32"/>
  <c r="V16" i="32"/>
  <c r="U16" i="32"/>
  <c r="X16" i="32"/>
  <c r="W16" i="32"/>
  <c r="U6" i="32"/>
  <c r="V6" i="32"/>
  <c r="X6" i="32"/>
  <c r="X25" i="32"/>
  <c r="U25" i="32"/>
  <c r="V25" i="32"/>
  <c r="E7" i="32"/>
  <c r="I7" i="32"/>
  <c r="M17" i="32"/>
  <c r="Q26" i="32"/>
  <c r="I17" i="32"/>
  <c r="Q17" i="32"/>
  <c r="I26" i="32"/>
  <c r="E26" i="32"/>
  <c r="M35" i="32"/>
  <c r="I35" i="32"/>
  <c r="Q35" i="32"/>
  <c r="E17" i="32"/>
  <c r="E35" i="32"/>
  <c r="Q7" i="32"/>
  <c r="V26" i="32"/>
  <c r="U26" i="32"/>
  <c r="U17" i="32"/>
  <c r="X26" i="32"/>
  <c r="V17" i="32"/>
  <c r="X7" i="32"/>
  <c r="X35" i="32"/>
  <c r="X17" i="32"/>
  <c r="U35" i="32"/>
  <c r="V7" i="32"/>
  <c r="V35" i="32"/>
  <c r="W17" i="32"/>
  <c r="U7" i="32"/>
  <c r="W35" i="32"/>
  <c r="AC25" i="32"/>
  <c r="AB25" i="32"/>
  <c r="AB16" i="32"/>
  <c r="AE25" i="32"/>
  <c r="AC16" i="32"/>
  <c r="AD25" i="32"/>
  <c r="AE6" i="32"/>
  <c r="AD6" i="32"/>
  <c r="AE34" i="32"/>
  <c r="AE16" i="32"/>
  <c r="AB34" i="32"/>
  <c r="AC6" i="32"/>
  <c r="AC34" i="32"/>
  <c r="AD16" i="32"/>
  <c r="AB6" i="32"/>
  <c r="AD34" i="32"/>
  <c r="I8" i="32"/>
  <c r="Q36" i="32"/>
  <c r="E36" i="32"/>
  <c r="M36" i="32"/>
  <c r="E8" i="32"/>
  <c r="E27" i="32"/>
  <c r="M18" i="32"/>
  <c r="I27" i="32"/>
  <c r="I18" i="32"/>
  <c r="Q18" i="32"/>
  <c r="Q27" i="32"/>
  <c r="I36" i="32"/>
  <c r="Q8" i="32"/>
  <c r="X27" i="32"/>
  <c r="W18" i="32"/>
  <c r="E18" i="32"/>
  <c r="Q28" i="32"/>
  <c r="M19" i="32"/>
  <c r="X28" i="32"/>
  <c r="AE28" i="32"/>
  <c r="W19" i="32"/>
  <c r="AD19" i="32"/>
  <c r="AE27" i="32"/>
  <c r="AD18" i="32"/>
  <c r="U36" i="32"/>
  <c r="U18" i="32"/>
  <c r="U27" i="32"/>
  <c r="W36" i="32"/>
  <c r="V27" i="32"/>
  <c r="U8" i="32"/>
  <c r="V8" i="32"/>
  <c r="X8" i="32"/>
  <c r="V18" i="32"/>
  <c r="V36" i="32"/>
  <c r="X18" i="32"/>
  <c r="X36" i="32"/>
  <c r="AE26" i="32"/>
  <c r="AD17" i="32"/>
  <c r="AB35" i="32"/>
  <c r="AB17" i="32"/>
  <c r="AB26" i="32"/>
  <c r="AD35" i="32"/>
  <c r="AC26" i="32"/>
  <c r="AB7" i="32"/>
  <c r="AD7" i="32"/>
  <c r="AC7" i="32"/>
  <c r="AE7" i="32"/>
  <c r="AC17" i="32"/>
  <c r="AC35" i="32"/>
  <c r="AE17" i="32"/>
  <c r="AE35" i="32"/>
  <c r="AD26" i="32"/>
  <c r="I19" i="32"/>
  <c r="I28" i="32"/>
  <c r="E28" i="32"/>
  <c r="E19" i="32"/>
  <c r="E9" i="32"/>
  <c r="Q19" i="32"/>
  <c r="Q9" i="32"/>
  <c r="I9" i="32"/>
  <c r="U19" i="32"/>
  <c r="AB19" i="32"/>
  <c r="U28" i="32"/>
  <c r="V28" i="32"/>
  <c r="U9" i="32"/>
  <c r="V9" i="32"/>
  <c r="X9" i="32"/>
  <c r="V19" i="32"/>
  <c r="X19" i="32"/>
  <c r="E10" i="32"/>
  <c r="I10" i="32"/>
  <c r="Q10" i="32"/>
  <c r="X10" i="32"/>
  <c r="AE10" i="32"/>
  <c r="V10" i="32"/>
  <c r="AC10" i="32"/>
  <c r="U10" i="32"/>
  <c r="AB10" i="32"/>
  <c r="AD28" i="32"/>
  <c r="AE19" i="32"/>
  <c r="AC19" i="32"/>
  <c r="AE9" i="32"/>
  <c r="AC9" i="32"/>
  <c r="AD9" i="32"/>
  <c r="AB9" i="32"/>
  <c r="AC28" i="32"/>
  <c r="AB28" i="32"/>
  <c r="AD27" i="32"/>
  <c r="AE36" i="32"/>
  <c r="AE18" i="32"/>
  <c r="AC36" i="32"/>
  <c r="AC18" i="32"/>
  <c r="AE8" i="32"/>
  <c r="AC8" i="32"/>
  <c r="AD8" i="32"/>
  <c r="AB8" i="32"/>
  <c r="AC27" i="32"/>
  <c r="AD36" i="32"/>
  <c r="AB27" i="32"/>
  <c r="AB18" i="32"/>
  <c r="AB36" i="32"/>
  <c r="W29" i="32"/>
  <c r="AD29" i="32"/>
  <c r="AD10" i="32"/>
  <c r="E38" i="32"/>
  <c r="M20" i="32"/>
  <c r="I20" i="32"/>
  <c r="E29" i="32"/>
  <c r="E20" i="32"/>
  <c r="Q38" i="32"/>
  <c r="M38" i="32"/>
  <c r="Q20" i="32"/>
  <c r="Q29" i="32"/>
  <c r="I38" i="32"/>
  <c r="I29" i="32"/>
  <c r="V20" i="32"/>
  <c r="U38" i="32"/>
  <c r="AB38" i="32"/>
  <c r="U20" i="32"/>
  <c r="AB20" i="32"/>
  <c r="X20" i="32"/>
  <c r="X29" i="32"/>
  <c r="W20" i="32"/>
  <c r="V38" i="32"/>
  <c r="W38" i="32"/>
  <c r="X38" i="32"/>
  <c r="V29" i="32"/>
  <c r="U29" i="32"/>
  <c r="AB29" i="32"/>
  <c r="M12" i="32"/>
  <c r="AC20" i="32"/>
  <c r="W12" i="32"/>
  <c r="AD12" i="32"/>
  <c r="AE29" i="32"/>
  <c r="AE20" i="32"/>
  <c r="AC29" i="32"/>
  <c r="AE38" i="32"/>
  <c r="AD38" i="32"/>
  <c r="AC38" i="32"/>
  <c r="AD20" i="32"/>
  <c r="I39" i="32"/>
  <c r="I12" i="32"/>
  <c r="Q30" i="32"/>
  <c r="M21" i="32"/>
  <c r="I30" i="32"/>
  <c r="M39" i="32"/>
  <c r="Q12" i="32"/>
  <c r="Q21" i="32"/>
  <c r="V12" i="32"/>
  <c r="AC12" i="32"/>
  <c r="W21" i="32"/>
  <c r="AD21" i="32"/>
  <c r="V30" i="32"/>
  <c r="AC30" i="32"/>
  <c r="V39" i="32"/>
  <c r="AC39" i="32"/>
  <c r="X21" i="32"/>
  <c r="AE21" i="32"/>
  <c r="W39" i="32"/>
  <c r="AD39" i="32"/>
  <c r="X30" i="32"/>
  <c r="AE30" i="32"/>
  <c r="X12" i="32"/>
  <c r="AE12" i="32"/>
  <c r="AG15" i="32"/>
  <c r="AG6" i="32"/>
  <c r="AG24" i="32"/>
  <c r="AG33" i="32"/>
  <c r="AG3" i="32"/>
</calcChain>
</file>

<file path=xl/sharedStrings.xml><?xml version="1.0" encoding="utf-8"?>
<sst xmlns="http://schemas.openxmlformats.org/spreadsheetml/2006/main" count="11403" uniqueCount="545">
  <si>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</si>
  <si>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</si>
  <si>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</si>
  <si>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</si>
  <si>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</si>
  <si>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</si>
  <si>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</si>
  <si>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</si>
  <si>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</si>
  <si>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</si>
  <si>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</si>
  <si>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</si>
  <si>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</si>
  <si>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</si>
  <si>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</si>
  <si>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</si>
  <si>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</si>
  <si>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</si>
  <si>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</si>
  <si>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</si>
  <si>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</si>
  <si>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</si>
  <si>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</si>
  <si>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</si>
  <si>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</si>
  <si>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</si>
  <si>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</si>
  <si>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</si>
  <si>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</si>
  <si>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</si>
  <si>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</si>
  <si>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</si>
  <si>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</si>
  <si>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</si>
  <si>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</si>
  <si>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</si>
  <si>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</si>
  <si>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</si>
  <si>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</si>
  <si>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</si>
  <si>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</si>
  <si>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</si>
  <si>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</si>
  <si>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</si>
  <si>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</si>
  <si>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</si>
  <si>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</si>
  <si>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</si>
  <si>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</si>
  <si>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</si>
  <si>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</si>
  <si>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</si>
  <si>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</si>
  <si>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</si>
  <si>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</si>
  <si>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</si>
  <si>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</si>
  <si>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</si>
  <si>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</si>
  <si>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</si>
  <si>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</si>
  <si>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</si>
  <si>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</si>
  <si>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</si>
  <si>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</si>
  <si>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</si>
  <si>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</si>
  <si>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</si>
  <si>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</si>
  <si>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</si>
  <si>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</si>
  <si>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</si>
  <si>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</si>
  <si>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</si>
  <si>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</si>
  <si>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</si>
  <si>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</si>
  <si>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</si>
  <si>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</si>
  <si>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</si>
  <si>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</si>
  <si>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</si>
  <si>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</si>
  <si>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</si>
  <si>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</si>
  <si>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</si>
  <si>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</si>
  <si>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</si>
  <si>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</si>
  <si>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</si>
  <si>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</si>
  <si>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</si>
  <si>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</si>
  <si>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</si>
  <si>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</si>
  <si>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</si>
  <si>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</si>
  <si>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</si>
  <si>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</si>
  <si>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</si>
  <si>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</si>
  <si>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</si>
  <si>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</si>
  <si>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</si>
  <si>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</si>
  <si>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</si>
  <si>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</si>
  <si>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</si>
  <si>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</si>
  <si>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</si>
  <si>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</si>
  <si>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</si>
  <si>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</si>
  <si>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</si>
  <si>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</si>
  <si>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</si>
  <si>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</si>
  <si>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</si>
  <si>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</si>
  <si>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</si>
  <si>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</si>
  <si>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</si>
  <si>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</si>
  <si>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</si>
  <si>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</si>
  <si>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</si>
  <si>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</si>
  <si>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</si>
  <si>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</si>
  <si>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</si>
  <si>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</si>
  <si>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</si>
  <si>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</si>
  <si>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</si>
  <si>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</si>
  <si>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</si>
  <si>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</si>
  <si>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</si>
  <si>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</si>
  <si>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</si>
  <si>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</si>
  <si>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</si>
  <si>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</si>
  <si>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</si>
  <si>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</si>
  <si>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</si>
  <si>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</si>
  <si>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</si>
  <si>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</si>
  <si>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</si>
  <si>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</si>
  <si>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</si>
  <si>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</si>
  <si>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</si>
  <si>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</si>
  <si>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</si>
  <si>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</si>
  <si>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</si>
  <si>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</si>
  <si>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</si>
  <si>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</si>
  <si>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</si>
  <si>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</si>
  <si>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</si>
  <si>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</si>
  <si>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</si>
  <si>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</si>
  <si>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</si>
  <si>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</si>
  <si>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</si>
  <si>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</si>
  <si>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</si>
  <si>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</si>
  <si>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</si>
  <si>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</si>
  <si>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</si>
  <si>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</si>
  <si>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</si>
  <si>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</si>
  <si>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</si>
  <si>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</si>
  <si>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</si>
  <si>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</si>
  <si>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</si>
  <si>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</si>
  <si>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</si>
  <si>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</si>
  <si>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</si>
  <si>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</si>
  <si>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</si>
  <si>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</si>
  <si>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</si>
  <si>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</si>
  <si>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</si>
  <si>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</si>
  <si>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</si>
  <si>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</si>
  <si>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</si>
  <si>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</si>
  <si>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</si>
  <si>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</si>
  <si>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</si>
  <si>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</si>
  <si>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</si>
  <si>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</si>
  <si>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</si>
  <si>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</si>
  <si>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</si>
  <si>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</si>
  <si>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</si>
  <si>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</si>
  <si>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</si>
  <si>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</si>
  <si>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</si>
  <si>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</si>
  <si>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</si>
  <si>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</si>
  <si>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</si>
  <si>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</si>
  <si>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</si>
  <si>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</si>
  <si>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</si>
  <si>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</si>
  <si>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</si>
  <si>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</si>
  <si>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</si>
  <si>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</si>
  <si>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</si>
  <si>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</si>
  <si>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</si>
  <si>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</si>
  <si>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</si>
  <si>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</si>
  <si>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</si>
  <si>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</si>
  <si>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</si>
  <si>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</si>
  <si>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</si>
  <si>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</si>
  <si>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</si>
  <si>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</si>
  <si>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</si>
  <si>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</si>
  <si>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</si>
  <si>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</si>
  <si>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</si>
  <si>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</si>
  <si>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</si>
  <si>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</si>
  <si>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</si>
  <si>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</si>
  <si>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</si>
  <si>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</si>
  <si>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</si>
  <si>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</si>
  <si>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</si>
  <si>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</si>
  <si>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</si>
  <si>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</si>
  <si>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</si>
  <si>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</si>
  <si>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</si>
  <si>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</si>
  <si>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</si>
  <si>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</si>
  <si>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</si>
  <si>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</si>
  <si>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</si>
  <si>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</si>
  <si>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</si>
  <si>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</si>
  <si>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</si>
  <si>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</si>
  <si>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</si>
  <si>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</si>
  <si>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</si>
  <si>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</si>
  <si>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</si>
  <si>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</si>
  <si>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</si>
  <si>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</si>
  <si>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</si>
  <si>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</si>
  <si>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</si>
  <si>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</si>
  <si>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</si>
  <si>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</si>
  <si>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</si>
  <si>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</si>
  <si>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</si>
  <si>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</si>
  <si>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</si>
  <si>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</si>
  <si>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</si>
  <si>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</si>
  <si>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</si>
  <si>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</si>
  <si>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</si>
  <si>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</si>
  <si>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</si>
  <si>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</si>
  <si>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</si>
  <si>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</si>
  <si>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</si>
  <si>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</si>
  <si>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</si>
  <si>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</si>
  <si>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</si>
  <si>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</si>
  <si>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</si>
  <si>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</si>
  <si>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</si>
  <si>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</si>
  <si>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</si>
  <si>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</si>
  <si>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</si>
  <si>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</si>
  <si>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</si>
  <si>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</si>
  <si>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</si>
  <si>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</si>
  <si>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</si>
  <si>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</si>
  <si>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</si>
  <si>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</si>
  <si>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</si>
  <si>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</si>
  <si>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</si>
  <si>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</si>
  <si>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</si>
  <si>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</si>
  <si>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</si>
  <si>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</si>
  <si>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</si>
  <si>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</si>
  <si>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</si>
  <si>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</si>
  <si>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</si>
  <si>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</si>
  <si>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</si>
  <si>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</si>
  <si>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</si>
  <si>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</si>
  <si>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</si>
  <si>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</si>
  <si>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</si>
  <si>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</si>
  <si>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</si>
  <si>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</si>
  <si>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</si>
  <si>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</si>
  <si>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</si>
  <si>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</si>
  <si>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</si>
  <si>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</si>
  <si>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</si>
  <si>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</si>
  <si>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</si>
  <si>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</si>
  <si>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</si>
  <si>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</si>
  <si>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</si>
  <si>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</si>
  <si>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</si>
  <si>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</si>
  <si>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</si>
  <si>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</si>
  <si>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</si>
  <si>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</si>
  <si>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</si>
  <si>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</si>
  <si>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</si>
  <si>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</si>
  <si>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</si>
  <si>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</si>
  <si>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</si>
  <si>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</si>
  <si>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</si>
  <si>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</si>
  <si>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</si>
  <si>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</si>
  <si>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</si>
  <si>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</si>
  <si>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</si>
  <si>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</si>
  <si>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</si>
  <si>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</si>
  <si>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</si>
  <si>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</si>
  <si>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</si>
  <si>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</si>
  <si>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</si>
  <si>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</si>
  <si>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</si>
  <si>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</si>
  <si>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</si>
  <si>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</si>
  <si>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</si>
  <si>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</si>
  <si>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</si>
  <si>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</si>
  <si>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</si>
  <si>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</si>
  <si>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</si>
  <si>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</si>
  <si>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</si>
  <si>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</si>
  <si>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</si>
  <si>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Act/365_isda</t>
  </si>
  <si>
    <t>EDQ5</t>
  </si>
  <si>
    <t>EDU5</t>
  </si>
  <si>
    <t>EDV5</t>
  </si>
  <si>
    <t>EDX5</t>
  </si>
  <si>
    <t>EDZ5</t>
  </si>
  <si>
    <t>EDH6</t>
  </si>
  <si>
    <t>EDM6</t>
  </si>
  <si>
    <t>EDU6</t>
  </si>
  <si>
    <t>EDZ6</t>
  </si>
  <si>
    <t>EDH7</t>
  </si>
  <si>
    <t>EDM7</t>
  </si>
  <si>
    <t>EDU7</t>
  </si>
  <si>
    <t>EDZ7</t>
  </si>
  <si>
    <t>EDH8</t>
  </si>
  <si>
    <t>Valuation Date</t>
  </si>
  <si>
    <t>Notional</t>
  </si>
  <si>
    <t>End Date</t>
  </si>
  <si>
    <t>ParRateYC</t>
  </si>
  <si>
    <t>Bps</t>
  </si>
  <si>
    <t>ParRate4</t>
  </si>
  <si>
    <t>Payer/Receiver</t>
  </si>
  <si>
    <t>PAYER</t>
  </si>
  <si>
    <t>Effective Date</t>
  </si>
  <si>
    <t>Curve ID</t>
  </si>
  <si>
    <t>Spline</t>
  </si>
  <si>
    <t>Forecast Curve</t>
  </si>
  <si>
    <t>6ML</t>
  </si>
  <si>
    <t>Discount Curve</t>
  </si>
  <si>
    <t>Interp Forwards</t>
  </si>
  <si>
    <t>EOM Roll</t>
  </si>
  <si>
    <t>Swap Details</t>
  </si>
  <si>
    <t>FIXED LEG</t>
  </si>
  <si>
    <t>FLOAT LEG</t>
  </si>
  <si>
    <t>Rate / Spread</t>
  </si>
  <si>
    <t>rollConv</t>
  </si>
  <si>
    <t>firstStub</t>
  </si>
  <si>
    <t>lastStub</t>
  </si>
  <si>
    <t>rollDay</t>
  </si>
  <si>
    <t>fixingLag</t>
  </si>
  <si>
    <t>0D</t>
  </si>
  <si>
    <t>firstFixing</t>
  </si>
  <si>
    <t>lastFixing</t>
  </si>
  <si>
    <t>Total</t>
  </si>
  <si>
    <t>paymentLag</t>
  </si>
  <si>
    <t>StubType</t>
  </si>
  <si>
    <t>None</t>
  </si>
  <si>
    <t>GBP_GBPCSA</t>
  </si>
  <si>
    <t>NYB:LNB</t>
  </si>
  <si>
    <t>ShortStart</t>
  </si>
  <si>
    <t>TKB:LNB</t>
  </si>
  <si>
    <t>Par Swaps</t>
  </si>
  <si>
    <t>Swap PVs: Fixed Rate Bumping</t>
  </si>
  <si>
    <t>Par Rates</t>
  </si>
  <si>
    <t>Swap PVs: Float Spread Bumping ( Bps )</t>
  </si>
  <si>
    <t>Interp Fwds</t>
  </si>
  <si>
    <t>EUR Swap</t>
  </si>
  <si>
    <t>Difference</t>
  </si>
  <si>
    <t>EUR Tests</t>
  </si>
  <si>
    <t xml:space="preserve">Test 1: </t>
  </si>
  <si>
    <t>Tenor</t>
  </si>
  <si>
    <t>Swap PV</t>
  </si>
  <si>
    <t>Expected</t>
  </si>
  <si>
    <t>Price Tolerance</t>
  </si>
  <si>
    <t>Error Count</t>
  </si>
  <si>
    <t>RECEIVER</t>
  </si>
  <si>
    <t>Error Count:</t>
  </si>
  <si>
    <t>Do Par Swaps Price to Zero ?</t>
  </si>
  <si>
    <t>Test 2:</t>
  </si>
  <si>
    <t>Par Rate Bumping</t>
  </si>
  <si>
    <t>Test 3:</t>
  </si>
  <si>
    <t>Float Spread Bumping ( Bps )</t>
  </si>
  <si>
    <t>Test 4:</t>
  </si>
  <si>
    <t>Test 5:</t>
  </si>
  <si>
    <t>PV inversely proportional to Fixed Rate</t>
  </si>
  <si>
    <t>2a) PV inversely proportional to Fixed Rate</t>
  </si>
  <si>
    <t>2b) Absolute PV is monotonically increasing over time</t>
  </si>
  <si>
    <t>3b) Absolute PV is monotonically increasing over time</t>
  </si>
  <si>
    <t>3a) PV proportional to Float Rate</t>
  </si>
  <si>
    <t>4a) PV inversely proportional to Fixed Rate</t>
  </si>
  <si>
    <t>4b) Absolute PV is monotonically increasing over time</t>
  </si>
  <si>
    <r>
      <t xml:space="preserve">Payer Swaps using Interpolate Forwards = </t>
    </r>
    <r>
      <rPr>
        <sz val="11"/>
        <color rgb="FF0000FF"/>
        <rFont val="Calibri"/>
        <family val="2"/>
        <scheme val="minor"/>
      </rPr>
      <t>FALSE</t>
    </r>
    <r>
      <rPr>
        <sz val="11"/>
        <rFont val="Calibri"/>
        <family val="2"/>
        <scheme val="minor"/>
      </rPr>
      <t xml:space="preserve"> </t>
    </r>
  </si>
  <si>
    <r>
      <t xml:space="preserve">Payer Swaps using Interpolate Forwards = </t>
    </r>
    <r>
      <rPr>
        <sz val="11"/>
        <color rgb="FF0000FF"/>
        <rFont val="Calibri"/>
        <family val="2"/>
        <scheme val="minor"/>
      </rPr>
      <t>TRUE</t>
    </r>
    <r>
      <rPr>
        <sz val="11"/>
        <rFont val="Calibri"/>
        <family val="2"/>
        <scheme val="minor"/>
      </rPr>
      <t xml:space="preserve"> </t>
    </r>
  </si>
  <si>
    <t>5a) PV inversely proportional to Fixed Rate</t>
  </si>
  <si>
    <t>5b) Absolute PV is monotonically increasing over time</t>
  </si>
  <si>
    <t>Test 6</t>
  </si>
  <si>
    <t>6b) Absolute PV is monotonically increasing over time</t>
  </si>
  <si>
    <r>
      <t xml:space="preserve">Receiver Swaps using Interpolate Forwards = </t>
    </r>
    <r>
      <rPr>
        <sz val="11"/>
        <color rgb="FF0000FF"/>
        <rFont val="Calibri"/>
        <family val="2"/>
        <scheme val="minor"/>
      </rPr>
      <t>TRUE</t>
    </r>
    <r>
      <rPr>
        <sz val="11"/>
        <rFont val="Calibri"/>
        <family val="2"/>
        <scheme val="minor"/>
      </rPr>
      <t xml:space="preserve"> </t>
    </r>
  </si>
  <si>
    <t>6a) PV proportional to Fixed Rate</t>
  </si>
  <si>
    <t>Test 7:</t>
  </si>
  <si>
    <t>7a) PV proportional to Float Rate</t>
  </si>
  <si>
    <t>7b) Absolute PV is monotonically increasing over time</t>
  </si>
  <si>
    <t>Test 8:</t>
  </si>
  <si>
    <t>8b) Absolute PV is monotonically increasing over time</t>
  </si>
  <si>
    <r>
      <t xml:space="preserve">Receiver Swaps using Interpolate Forwards = </t>
    </r>
    <r>
      <rPr>
        <sz val="11"/>
        <color rgb="FF0000FF"/>
        <rFont val="Calibri"/>
        <family val="2"/>
        <scheme val="minor"/>
      </rPr>
      <t>FALSE</t>
    </r>
    <r>
      <rPr>
        <sz val="11"/>
        <rFont val="Calibri"/>
        <family val="2"/>
        <scheme val="minor"/>
      </rPr>
      <t xml:space="preserve"> </t>
    </r>
  </si>
  <si>
    <t>8a) PV proportional to Fixed Rate</t>
  </si>
  <si>
    <t>Test 9:</t>
  </si>
  <si>
    <t>9a) PV inversely proportional to Fixed Rate</t>
  </si>
  <si>
    <t>9b) Absolute PV is monotonically increasing over time</t>
  </si>
  <si>
    <t>USD Tests</t>
  </si>
  <si>
    <t>GBP Tests</t>
  </si>
  <si>
    <t>JPY Tests</t>
  </si>
  <si>
    <t>Results</t>
  </si>
  <si>
    <t>Errors</t>
  </si>
  <si>
    <t>Pass?</t>
  </si>
  <si>
    <t>Absolute PV is monotonically increasing over time</t>
  </si>
  <si>
    <t>PV proportional to Float Rate</t>
  </si>
  <si>
    <t>PV proportional to Fixed Rate</t>
  </si>
  <si>
    <t>Price Tests</t>
  </si>
  <si>
    <t>Payer Swaps PV decreases as Fixed Rate Increases</t>
  </si>
  <si>
    <t>Payer Swaps Absolute PV increases over time</t>
  </si>
  <si>
    <t>Payer Swaps PV increases with Floating Spread</t>
  </si>
  <si>
    <r>
      <rPr>
        <sz val="11"/>
        <color rgb="FF0000FF"/>
        <rFont val="Calibri"/>
        <family val="2"/>
        <scheme val="minor"/>
      </rPr>
      <t>PAYER</t>
    </r>
    <r>
      <rPr>
        <sz val="11"/>
        <rFont val="Calibri"/>
        <family val="2"/>
        <scheme val="minor"/>
      </rPr>
      <t xml:space="preserve"> SWAPS:  Interp Forwards  </t>
    </r>
    <r>
      <rPr>
        <sz val="11"/>
        <color rgb="FF0000FF"/>
        <rFont val="Calibri"/>
        <family val="2"/>
        <scheme val="minor"/>
      </rPr>
      <t>TRUE</t>
    </r>
  </si>
  <si>
    <r>
      <rPr>
        <sz val="11"/>
        <color rgb="FF0000FF"/>
        <rFont val="Calibri"/>
        <family val="2"/>
        <scheme val="minor"/>
      </rPr>
      <t>RECEIVER</t>
    </r>
    <r>
      <rPr>
        <sz val="11"/>
        <rFont val="Calibri"/>
        <family val="2"/>
        <scheme val="minor"/>
      </rPr>
      <t xml:space="preserve"> SWAPS:  Interp Forwards  </t>
    </r>
    <r>
      <rPr>
        <sz val="11"/>
        <color rgb="FF0000FF"/>
        <rFont val="Calibri"/>
        <family val="2"/>
        <scheme val="minor"/>
      </rPr>
      <t>TRUE</t>
    </r>
  </si>
  <si>
    <r>
      <rPr>
        <sz val="11"/>
        <color rgb="FF0000FF"/>
        <rFont val="Calibri"/>
        <family val="2"/>
        <scheme val="minor"/>
      </rPr>
      <t>PAYER</t>
    </r>
    <r>
      <rPr>
        <sz val="11"/>
        <rFont val="Calibri"/>
        <family val="2"/>
        <scheme val="minor"/>
      </rPr>
      <t xml:space="preserve"> SWAPS:  Interp Forwards  </t>
    </r>
    <r>
      <rPr>
        <sz val="11"/>
        <color rgb="FF0000FF"/>
        <rFont val="Calibri"/>
        <family val="2"/>
        <scheme val="minor"/>
      </rPr>
      <t>FALSE</t>
    </r>
  </si>
  <si>
    <r>
      <rPr>
        <sz val="11"/>
        <color rgb="FF0000FF"/>
        <rFont val="Calibri"/>
        <family val="2"/>
        <scheme val="minor"/>
      </rPr>
      <t>RECEIVER</t>
    </r>
    <r>
      <rPr>
        <sz val="11"/>
        <rFont val="Calibri"/>
        <family val="2"/>
        <scheme val="minor"/>
      </rPr>
      <t xml:space="preserve"> SWAPS:  Interp Forwards  </t>
    </r>
    <r>
      <rPr>
        <sz val="11"/>
        <color rgb="FF0000FF"/>
        <rFont val="Calibri"/>
        <family val="2"/>
        <scheme val="minor"/>
      </rPr>
      <t>FALSE</t>
    </r>
  </si>
  <si>
    <t>RESULTS</t>
  </si>
  <si>
    <t>Price Test Summary</t>
  </si>
  <si>
    <t>EUR Price Snapshots</t>
  </si>
  <si>
    <t>Payer Swaps</t>
  </si>
  <si>
    <t>Fixed Rate Bumping</t>
  </si>
  <si>
    <t>Interp Forwards = TRUE</t>
  </si>
  <si>
    <t>Float Spread Bumping</t>
  </si>
  <si>
    <t>Snapshot Tolerance</t>
  </si>
  <si>
    <t>Interp Forwards = FALSE</t>
  </si>
  <si>
    <t>Receiver Swaps</t>
  </si>
  <si>
    <t>USD Price Snapshots</t>
  </si>
  <si>
    <t>GBP Price Snapshots</t>
  </si>
  <si>
    <t>JPY Price Snapshots</t>
  </si>
  <si>
    <t>Snapshot Tests</t>
  </si>
  <si>
    <t>PVs when bumping fixed rate</t>
  </si>
  <si>
    <t>PVs when bumping floating spread</t>
  </si>
  <si>
    <t>Do prices match the hard-coded snapshots ?</t>
  </si>
  <si>
    <t>Do price pass behavioural tests?</t>
  </si>
  <si>
    <t>Test Result</t>
  </si>
  <si>
    <r>
      <t>Test Result</t>
    </r>
    <r>
      <rPr>
        <vertAlign val="superscript"/>
        <sz val="11"/>
        <color rgb="FFFF0000"/>
        <rFont val="Calibri"/>
        <family val="2"/>
        <scheme val="minor"/>
      </rPr>
      <t>1</t>
    </r>
  </si>
  <si>
    <r>
      <rPr>
        <vertAlign val="superscript"/>
        <sz val="11"/>
        <color rgb="FFFF0000"/>
        <rFont val="Calibri"/>
        <family val="2"/>
        <scheme val="minor"/>
      </rPr>
      <t>1</t>
    </r>
    <r>
      <rPr>
        <sz val="11"/>
        <rFont val="Calibri"/>
        <family val="2"/>
        <scheme val="minor"/>
      </rPr>
      <t>See Test Summary Pages for Tests Performed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</si>
</sst>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_ * #,##0_ ;_ * \-#,##0_ ;_ * &quot;-&quot;_ ;_ @_ "/>
    <numFmt numFmtId="176" formatCode="ddd\,\ dd\-mmm\-yy"/>
    <numFmt numFmtId="177" formatCode="ddd\ d\-mmm\-yy"/>
  </numFmts>
  <fonts count="48">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6"/>
      <color theme="1"/>
      <name val="Calibri"/>
      <family val="2"/>
      <scheme val="minor"/>
    </font>
    <font>
      <sz val="48"/>
      <color theme="0"/>
      <name val="Calibri"/>
      <family val="2"/>
      <scheme val="minor"/>
    </font>
    <font>
      <vertAlign val="superscript"/>
      <sz val="11"/>
      <color rgb="FFFF0000"/>
      <name val="Calibri"/>
      <family val="2"/>
      <scheme val="minor"/>
    </font>
  </fonts>
  <fills count="35">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0000"/>
        <bgColor indexed="64"/>
      </patternFill>
    </fill>
    <fill>
      <patternFill patternType="solid">
        <fgColor rgb="FF66FF33"/>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5"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318">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6" fontId="8" fillId="31" borderId="33" xfId="0" applyNumberFormat="1" applyFont="1" applyFill="1" applyBorder="1" applyAlignment="1">
      <alignment horizontal="center" vertical="center"/>
    </xf>
    <xf numFmtId="172" fontId="0" fillId="0" borderId="0" xfId="0" applyNumberFormat="1" applyAlignment="1">
      <alignment horizontal="left" vertical="center"/>
    </xf>
    <xf numFmtId="172" fontId="0" fillId="0" borderId="0" xfId="0" applyNumberFormat="1"/>
    <xf numFmtId="0" fontId="0" fillId="31" borderId="3" xfId="0" applyFill="1" applyBorder="1"/>
    <xf numFmtId="3" fontId="0" fillId="0" borderId="3" xfId="0" applyNumberFormat="1" applyBorder="1" applyAlignment="1">
      <alignment horizontal="center"/>
    </xf>
    <xf numFmtId="0" fontId="0" fillId="0" borderId="6" xfId="0" applyBorder="1" applyAlignment="1">
      <alignment horizontal="center"/>
    </xf>
    <xf numFmtId="0" fontId="0" fillId="0" borderId="0" xfId="0" applyAlignment="1">
      <alignment horizontal="center" vertical="center"/>
    </xf>
    <xf numFmtId="0" fontId="0" fillId="31" borderId="5" xfId="0" applyFill="1" applyBorder="1"/>
    <xf numFmtId="0" fontId="0" fillId="0" borderId="5" xfId="0" applyBorder="1" applyAlignment="1">
      <alignment horizontal="center"/>
    </xf>
    <xf numFmtId="15" fontId="0" fillId="0" borderId="0" xfId="0" applyNumberFormat="1" applyAlignment="1">
      <alignment horizontal="center" vertical="center"/>
    </xf>
    <xf numFmtId="172" fontId="9" fillId="0" borderId="0" xfId="0" applyNumberFormat="1" applyFont="1" applyAlignment="1">
      <alignment horizontal="center" vertical="center"/>
    </xf>
    <xf numFmtId="172" fontId="0" fillId="0" borderId="0" xfId="0" applyNumberFormat="1" applyAlignment="1">
      <alignment horizontal="center" vertical="center"/>
    </xf>
    <xf numFmtId="4" fontId="0" fillId="0" borderId="0" xfId="0" applyNumberFormat="1" applyAlignment="1">
      <alignment horizontal="center" vertical="center"/>
    </xf>
    <xf numFmtId="0" fontId="0" fillId="0" borderId="10" xfId="0" applyBorder="1"/>
    <xf numFmtId="0" fontId="0" fillId="0" borderId="10" xfId="0" applyBorder="1" applyAlignment="1">
      <alignment horizontal="center"/>
    </xf>
    <xf numFmtId="177" fontId="8" fillId="0" borderId="3" xfId="0" applyNumberFormat="1" applyFont="1" applyFill="1" applyBorder="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168" fontId="0" fillId="0" borderId="3" xfId="0" applyNumberFormat="1" applyBorder="1" applyAlignment="1">
      <alignment horizontal="center" vertical="center"/>
    </xf>
    <xf numFmtId="4" fontId="0" fillId="0" borderId="3" xfId="0" applyNumberFormat="1" applyBorder="1" applyAlignment="1">
      <alignment horizontal="center" vertical="center"/>
    </xf>
    <xf numFmtId="0" fontId="0" fillId="0" borderId="4" xfId="0" applyBorder="1" applyAlignment="1">
      <alignment horizontal="center" vertical="center"/>
    </xf>
    <xf numFmtId="0" fontId="0" fillId="0" borderId="4" xfId="0" quotePrefix="1" applyBorder="1" applyAlignment="1">
      <alignment horizontal="center" vertical="center"/>
    </xf>
    <xf numFmtId="0" fontId="0" fillId="0" borderId="0" xfId="0" quotePrefix="1" applyAlignment="1">
      <alignment horizontal="center" vertical="center"/>
    </xf>
    <xf numFmtId="15" fontId="0" fillId="0" borderId="4" xfId="0" applyNumberFormat="1" applyBorder="1" applyAlignment="1">
      <alignment horizontal="center" vertical="center"/>
    </xf>
    <xf numFmtId="0" fontId="9" fillId="0" borderId="6" xfId="0" applyFont="1" applyBorder="1" applyAlignment="1">
      <alignment horizontal="center" vertical="center"/>
    </xf>
    <xf numFmtId="171" fontId="0" fillId="0" borderId="6" xfId="0" applyNumberFormat="1" applyBorder="1" applyAlignment="1">
      <alignment horizontal="center" vertical="center"/>
    </xf>
    <xf numFmtId="0" fontId="8" fillId="0" borderId="4" xfId="0" quotePrefix="1" applyFont="1" applyFill="1" applyBorder="1" applyAlignment="1">
      <alignment horizontal="center" vertical="center"/>
    </xf>
    <xf numFmtId="172" fontId="0" fillId="0" borderId="4" xfId="0" applyNumberFormat="1" applyBorder="1" applyAlignment="1">
      <alignment horizontal="center" vertical="center"/>
    </xf>
    <xf numFmtId="0" fontId="1" fillId="0" borderId="0" xfId="0" applyFont="1" applyAlignment="1">
      <alignment horizontal="left" vertical="center"/>
    </xf>
    <xf numFmtId="4" fontId="1" fillId="0" borderId="0" xfId="0" applyNumberFormat="1" applyFont="1" applyAlignment="1">
      <alignment horizontal="center" vertical="center"/>
    </xf>
    <xf numFmtId="171" fontId="0" fillId="0" borderId="4" xfId="0" applyNumberFormat="1" applyBorder="1" applyAlignment="1">
      <alignment horizontal="center" vertical="center"/>
    </xf>
    <xf numFmtId="0" fontId="0" fillId="0" borderId="5" xfId="0" quotePrefix="1" applyBorder="1" applyAlignment="1">
      <alignment horizontal="center" vertical="center"/>
    </xf>
    <xf numFmtId="3" fontId="0" fillId="0" borderId="0" xfId="0" applyNumberFormat="1" applyAlignment="1">
      <alignment horizontal="center" vertical="center"/>
    </xf>
    <xf numFmtId="3" fontId="0" fillId="0" borderId="0" xfId="0" applyNumberFormat="1"/>
    <xf numFmtId="0" fontId="0" fillId="0" borderId="3" xfId="0" applyBorder="1" applyAlignment="1">
      <alignment horizontal="center" vertical="center"/>
    </xf>
    <xf numFmtId="3" fontId="0" fillId="0" borderId="0" xfId="0" applyNumberFormat="1" applyAlignment="1">
      <alignment horizontal="center"/>
    </xf>
    <xf numFmtId="10" fontId="0" fillId="0" borderId="0" xfId="0" applyNumberFormat="1" applyAlignment="1">
      <alignment horizontal="center" vertical="center"/>
    </xf>
    <xf numFmtId="11" fontId="0" fillId="0" borderId="0" xfId="0" applyNumberFormat="1" applyFont="1" applyAlignment="1">
      <alignment horizontal="center" vertical="center"/>
    </xf>
    <xf numFmtId="0" fontId="0" fillId="0" borderId="0" xfId="0" applyAlignment="1">
      <alignment horizontal="left" vertical="center"/>
    </xf>
    <xf numFmtId="0" fontId="7" fillId="0" borderId="0" xfId="0" applyFont="1"/>
    <xf numFmtId="172" fontId="9" fillId="0" borderId="0" xfId="0" quotePrefix="1" applyNumberFormat="1" applyFont="1" applyAlignment="1">
      <alignment horizontal="center" vertical="center"/>
    </xf>
    <xf numFmtId="0" fontId="8" fillId="0" borderId="0" xfId="0" applyFont="1" applyAlignment="1">
      <alignment horizontal="center"/>
    </xf>
    <xf numFmtId="0" fontId="34" fillId="0" borderId="0" xfId="0" applyFont="1" applyAlignment="1">
      <alignment horizontal="center" vertical="center"/>
    </xf>
    <xf numFmtId="0" fontId="34" fillId="0" borderId="0" xfId="0" applyFont="1" applyAlignment="1">
      <alignment horizontal="left" vertical="center"/>
    </xf>
    <xf numFmtId="0" fontId="9" fillId="0" borderId="0" xfId="0" applyFont="1" applyAlignment="1">
      <alignment horizontal="left" vertical="center"/>
    </xf>
    <xf numFmtId="0" fontId="0" fillId="0" borderId="0" xfId="0" applyAlignment="1">
      <alignment horizontal="left" vertical="center"/>
    </xf>
    <xf numFmtId="0" fontId="8" fillId="0" borderId="0" xfId="0" applyFont="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 fontId="0" fillId="0" borderId="6" xfId="0" applyNumberFormat="1" applyBorder="1" applyAlignment="1">
      <alignment horizontal="center" vertical="center"/>
    </xf>
    <xf numFmtId="4" fontId="0" fillId="0" borderId="0" xfId="0" applyNumberFormat="1" applyBorder="1" applyAlignment="1">
      <alignment horizontal="center" vertical="center"/>
    </xf>
    <xf numFmtId="0" fontId="0" fillId="0" borderId="7" xfId="0" applyBorder="1" applyAlignment="1">
      <alignment horizontal="center" vertical="center"/>
    </xf>
    <xf numFmtId="4" fontId="0" fillId="0" borderId="8" xfId="0" applyNumberFormat="1" applyBorder="1" applyAlignment="1">
      <alignment horizontal="center" vertical="center"/>
    </xf>
    <xf numFmtId="4" fontId="0" fillId="0" borderId="10" xfId="0" applyNumberFormat="1" applyBorder="1" applyAlignment="1">
      <alignment horizontal="center" vertical="center"/>
    </xf>
    <xf numFmtId="0" fontId="0" fillId="0" borderId="9" xfId="0"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3" fontId="0" fillId="0" borderId="0" xfId="0" applyNumberFormat="1" applyBorder="1" applyAlignment="1">
      <alignment horizontal="center" vertical="center"/>
    </xf>
    <xf numFmtId="3" fontId="0" fillId="0" borderId="7" xfId="0" applyNumberFormat="1" applyBorder="1" applyAlignment="1">
      <alignment horizontal="center" vertical="center"/>
    </xf>
    <xf numFmtId="3" fontId="0" fillId="0" borderId="10" xfId="0" applyNumberFormat="1" applyBorder="1" applyAlignment="1">
      <alignment horizontal="center" vertical="center"/>
    </xf>
    <xf numFmtId="3" fontId="0" fillId="0" borderId="9" xfId="0" applyNumberFormat="1" applyBorder="1" applyAlignment="1">
      <alignment horizontal="center" vertical="center"/>
    </xf>
    <xf numFmtId="4" fontId="0" fillId="0" borderId="4" xfId="0" applyNumberFormat="1" applyBorder="1" applyAlignment="1">
      <alignment horizontal="center" vertical="center"/>
    </xf>
    <xf numFmtId="4" fontId="0" fillId="0" borderId="5" xfId="0" applyNumberFormat="1" applyBorder="1" applyAlignment="1">
      <alignment horizontal="center" vertical="center"/>
    </xf>
    <xf numFmtId="0" fontId="7" fillId="0" borderId="0" xfId="0" applyFont="1" applyAlignment="1">
      <alignment horizontal="left" vertical="center"/>
    </xf>
    <xf numFmtId="3" fontId="0" fillId="0" borderId="7" xfId="0" quotePrefix="1" applyNumberFormat="1" applyBorder="1" applyAlignment="1">
      <alignment horizontal="center" vertical="center"/>
    </xf>
    <xf numFmtId="3" fontId="8" fillId="0" borderId="0" xfId="0" applyNumberFormat="1" applyFont="1" applyAlignment="1">
      <alignment horizontal="center" vertical="center"/>
    </xf>
    <xf numFmtId="4" fontId="0" fillId="0" borderId="12" xfId="0" applyNumberFormat="1" applyBorder="1" applyAlignment="1">
      <alignment horizontal="center" vertical="center"/>
    </xf>
    <xf numFmtId="4" fontId="0" fillId="0" borderId="13" xfId="0" applyNumberFormat="1" applyBorder="1" applyAlignment="1">
      <alignment horizontal="center" vertical="center"/>
    </xf>
    <xf numFmtId="3" fontId="8" fillId="0" borderId="0" xfId="0" applyNumberFormat="1" applyFont="1" applyBorder="1" applyAlignment="1">
      <alignment horizontal="center" vertical="center"/>
    </xf>
    <xf numFmtId="0" fontId="8" fillId="0" borderId="0" xfId="0" applyFont="1" applyAlignment="1">
      <alignment horizontal="left" vertical="center"/>
    </xf>
    <xf numFmtId="3" fontId="8" fillId="0" borderId="7" xfId="0" quotePrefix="1" applyNumberFormat="1" applyFont="1" applyBorder="1" applyAlignment="1">
      <alignment horizontal="center" vertical="center"/>
    </xf>
    <xf numFmtId="3" fontId="8" fillId="0" borderId="7" xfId="0" applyNumberFormat="1" applyFont="1" applyBorder="1" applyAlignment="1">
      <alignment horizontal="center" vertical="center"/>
    </xf>
    <xf numFmtId="3" fontId="14" fillId="0" borderId="10" xfId="0" quotePrefix="1" applyNumberFormat="1" applyFont="1" applyBorder="1" applyAlignment="1">
      <alignment horizontal="center" vertical="center"/>
    </xf>
    <xf numFmtId="3" fontId="14" fillId="0" borderId="9" xfId="0" quotePrefix="1" applyNumberFormat="1" applyFont="1" applyBorder="1" applyAlignment="1">
      <alignment horizontal="center" vertical="center"/>
    </xf>
    <xf numFmtId="3" fontId="8" fillId="0" borderId="0" xfId="0" quotePrefix="1" applyNumberFormat="1" applyFont="1" applyBorder="1" applyAlignment="1">
      <alignment horizontal="center" vertical="center"/>
    </xf>
    <xf numFmtId="3" fontId="8" fillId="0" borderId="10" xfId="0" quotePrefix="1" applyNumberFormat="1" applyFont="1" applyBorder="1" applyAlignment="1">
      <alignment horizontal="center" vertical="center"/>
    </xf>
    <xf numFmtId="0" fontId="8" fillId="34" borderId="0" xfId="0" applyFont="1" applyFill="1" applyAlignment="1">
      <alignment horizontal="center" vertical="center"/>
    </xf>
    <xf numFmtId="0" fontId="0" fillId="0" borderId="0" xfId="0" applyAlignment="1">
      <alignment horizontal="center" vertical="center"/>
    </xf>
    <xf numFmtId="0" fontId="45" fillId="0" borderId="0" xfId="0" applyFont="1" applyAlignment="1">
      <alignment horizontal="center" vertical="center"/>
    </xf>
    <xf numFmtId="0" fontId="45" fillId="0" borderId="0" xfId="0" applyFont="1" applyAlignment="1">
      <alignment horizontal="left" vertical="center"/>
    </xf>
    <xf numFmtId="0" fontId="0" fillId="0" borderId="0" xfId="0" applyAlignment="1"/>
    <xf numFmtId="0" fontId="46" fillId="33" borderId="11" xfId="0" applyFont="1" applyFill="1" applyBorder="1" applyAlignment="1">
      <alignment horizontal="center" vertical="center"/>
    </xf>
    <xf numFmtId="0" fontId="46" fillId="0" borderId="12" xfId="0" applyFont="1" applyBorder="1" applyAlignment="1">
      <alignment horizontal="center" vertical="center"/>
    </xf>
    <xf numFmtId="0" fontId="46" fillId="0" borderId="13" xfId="0" applyFont="1" applyBorder="1" applyAlignment="1">
      <alignment horizontal="center" vertical="center"/>
    </xf>
    <xf numFmtId="0" fontId="46" fillId="0" borderId="6" xfId="0" applyFont="1" applyBorder="1" applyAlignment="1">
      <alignment horizontal="center" vertical="center"/>
    </xf>
    <xf numFmtId="0" fontId="46" fillId="0" borderId="0" xfId="0" applyFont="1" applyBorder="1" applyAlignment="1">
      <alignment horizontal="center" vertical="center"/>
    </xf>
    <xf numFmtId="0" fontId="46" fillId="0" borderId="7" xfId="0" applyFont="1" applyBorder="1" applyAlignment="1">
      <alignment horizontal="center" vertical="center"/>
    </xf>
    <xf numFmtId="0" fontId="46" fillId="0" borderId="8" xfId="0" applyFont="1" applyBorder="1" applyAlignment="1">
      <alignment horizontal="center" vertical="center"/>
    </xf>
    <xf numFmtId="0" fontId="46" fillId="0" borderId="10" xfId="0" applyFont="1" applyBorder="1" applyAlignment="1">
      <alignment horizontal="center" vertical="center"/>
    </xf>
    <xf numFmtId="0" fontId="46" fillId="0" borderId="9" xfId="0" applyFont="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2">
    <dxf>
      <font>
        <color theme="1"/>
      </font>
      <fill>
        <patternFill>
          <bgColor rgb="FF00FF00"/>
        </patternFill>
      </fill>
    </dxf>
    <dxf>
      <font>
        <color theme="1"/>
      </font>
      <fill>
        <patternFill>
          <bgColor rgb="FF00FF00"/>
        </patternFill>
      </fill>
    </dxf>
  </dxfs>
  <tableStyles count="0" defaultTableStyle="TableStyleMedium2" defaultPivotStyle="PivotStyleLight16"/>
  <colors>
    <mruColors>
      <color rgb="FF006600"/>
      <color rgb="FF0000FF"/>
      <color rgb="FF66FF33"/>
      <color rgb="FF00CC00"/>
      <color rgb="FFFF0066"/>
      <color rgb="FFBC04A6"/>
      <color rgb="FF00FF00"/>
      <color rgb="FF009900"/>
      <color rgb="FF339933"/>
      <color rgb="FF33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J16"/>
  <sheetViews>
    <sheetView showGridLines="0" tabSelected="1" workbookViewId="0"/>
  </sheetViews>
  <sheetFormatPr defaultRowHeight="15"/>
  <cols>
    <col min="2" max="2" width="15.140625" customWidth="1"/>
    <col min="3" max="3" width="16.5703125" customWidth="1"/>
  </cols>
  <sheetData>
    <row r="2" spans="2:10" ht="15" customHeight="1">
      <c r="B2" t="s">
        <v>423</v>
      </c>
      <c r="C2" s="218">
        <v>42198</v>
      </c>
      <c r="F2" t="s">
        <v>543</v>
      </c>
    </row>
    <row r="3" spans="2:10" ht="15" customHeight="1">
      <c r="F3" s="302" t="str">
        <f ca="1">Result</f>
        <v>PASS</v>
      </c>
      <c r="G3" s="311"/>
      <c r="H3" s="311"/>
      <c r="I3" s="311"/>
      <c r="J3" s="312"/>
    </row>
    <row r="4" spans="2:10" ht="15" customHeight="1">
      <c r="F4" s="313"/>
      <c r="G4" s="298"/>
      <c r="H4" s="298"/>
      <c r="I4" s="298"/>
      <c r="J4" s="314"/>
    </row>
    <row r="5" spans="2:10" ht="15" customHeight="1">
      <c r="F5" s="313"/>
      <c r="G5" s="298"/>
      <c r="H5" s="298"/>
      <c r="I5" s="298"/>
      <c r="J5" s="314"/>
    </row>
    <row r="6" spans="2:10" ht="15" customHeight="1">
      <c r="F6" s="315"/>
      <c r="G6" s="316"/>
      <c r="H6" s="316"/>
      <c r="I6" s="316"/>
      <c r="J6" s="317"/>
    </row>
    <row r="7" spans="2:10" ht="17.25">
      <c r="F7" s="259" t="s">
        <v>544</v>
      </c>
    </row>
    <row r="9" spans="2:10">
      <c r="B9" s="259" t="s">
        <v>471</v>
      </c>
    </row>
    <row r="10" spans="2:10">
      <c r="B10" s="261">
        <v>9.9999999999999995E-7</v>
      </c>
    </row>
    <row r="12" spans="2:10">
      <c r="B12" s="259" t="s">
        <v>531</v>
      </c>
    </row>
    <row r="13" spans="2:10">
      <c r="B13" s="261">
        <v>0.01</v>
      </c>
    </row>
    <row r="16" spans="2:10">
      <c r="B16" s="259"/>
    </row>
  </sheetData>
  <mergeCells count="1">
    <mergeCell ref="F3:J6"/>
  </mergeCells>
  <conditionalFormatting sqref="F3">
    <cfRule type="expression" dxfId="1" priority="1">
      <formula>F3="PASS"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B222CA"/>
  </sheetPr>
  <dimension ref="B2:CQ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110">
        <v>42198</v>
      </c>
      <c r="J8" s="72" t="s">
        <v>174</v>
      </c>
      <c r="K8" s="34" t="s">
        <v>0</v>
      </c>
      <c r="M8" s="74" t="s">
        <v>76</v>
      </c>
      <c r="N8" s="75" t="s">
        <v>75</v>
      </c>
      <c r="O8" s="75" t="s">
        <v>139</v>
      </c>
      <c r="P8" s="75" t="s">
        <v>138</v>
      </c>
      <c r="Q8" s="76" t="s">
        <v>173</v>
      </c>
      <c r="S8" s="67" t="s">
        <v>172</v>
      </c>
      <c r="T8" s="68" t="s">
        <v>75</v>
      </c>
      <c r="V8" s="55" t="s">
        <v>170</v>
      </c>
      <c r="W8" s="110">
        <v>42198</v>
      </c>
      <c r="Y8" s="55" t="s">
        <v>117</v>
      </c>
      <c r="Z8" s="34" t="s">
        <v>0</v>
      </c>
      <c r="AB8" s="12" t="s">
        <v>117</v>
      </c>
      <c r="AC8" s="34" t="s">
        <v>0</v>
      </c>
      <c r="AE8" s="66"/>
      <c r="AF8" s="38"/>
      <c r="AG8" s="21"/>
      <c r="AH8" s="21"/>
      <c r="AI8" s="22"/>
      <c r="AK8" s="55" t="s">
        <v>117</v>
      </c>
      <c r="AL8" s="125" t="s">
        <v>0</v>
      </c>
      <c r="AN8" s="70" t="s">
        <v>76</v>
      </c>
      <c r="AO8" s="80" t="s">
        <v>75</v>
      </c>
      <c r="AP8" s="81" t="s">
        <v>175</v>
      </c>
      <c r="AQ8" s="6"/>
      <c r="AR8" s="55" t="s">
        <v>170</v>
      </c>
      <c r="AS8" s="110">
        <v>42198</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-1.1999999999999999E-3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1.33E-3</v>
      </c>
      <c r="AP9" s="83" t="b">
        <v>1</v>
      </c>
      <c r="AQ9" s="6"/>
      <c r="AR9" s="56" t="s">
        <v>162</v>
      </c>
      <c r="AS9" s="86" t="s">
        <v>2</v>
      </c>
      <c r="AU9" s="78" t="s">
        <v>169</v>
      </c>
      <c r="AV9" s="102" t="b">
        <v>0</v>
      </c>
      <c r="AX9" s="87" t="s">
        <v>160</v>
      </c>
      <c r="AY9" s="103">
        <v>7.2000000000000005E-4</v>
      </c>
      <c r="BA9" s="78" t="s">
        <v>169</v>
      </c>
      <c r="BB9" s="102" t="b">
        <v>0</v>
      </c>
      <c r="BD9" s="87" t="s">
        <v>160</v>
      </c>
      <c r="BE9" s="103">
        <v>7.2000000000000005E-4</v>
      </c>
      <c r="BG9" s="78" t="s">
        <v>169</v>
      </c>
      <c r="BH9" s="102" t="b">
        <v>0</v>
      </c>
      <c r="BJ9" s="87" t="s">
        <v>160</v>
      </c>
      <c r="BK9" s="103">
        <v>1.0349999999999999E-3</v>
      </c>
      <c r="BM9" s="56" t="s">
        <v>162</v>
      </c>
      <c r="BN9" s="86" t="s">
        <v>2</v>
      </c>
      <c r="BP9" s="78" t="s">
        <v>255</v>
      </c>
      <c r="BQ9" s="102" t="s">
        <v>29</v>
      </c>
      <c r="BS9" s="78" t="s">
        <v>255</v>
      </c>
      <c r="BT9" s="102" t="s">
        <v>29</v>
      </c>
      <c r="BV9" s="78" t="s">
        <v>255</v>
      </c>
      <c r="BW9" s="102" t="s">
        <v>29</v>
      </c>
      <c r="BY9" s="78" t="s">
        <v>255</v>
      </c>
      <c r="BZ9" s="102" t="s">
        <v>29</v>
      </c>
      <c r="CB9" s="87" t="s">
        <v>160</v>
      </c>
      <c r="CC9" s="103">
        <v>-2.3249999999999998E-3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-1.23E-3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2.4399999999999999E-3</v>
      </c>
      <c r="AP10" s="83" t="b">
        <v>1</v>
      </c>
      <c r="AQ10" s="6"/>
      <c r="AR10" s="56" t="s">
        <v>143</v>
      </c>
      <c r="AS10" s="86" t="s">
        <v>29</v>
      </c>
      <c r="AU10" s="56" t="s">
        <v>161</v>
      </c>
      <c r="AV10" s="17" t="s">
        <v>261</v>
      </c>
      <c r="AX10" s="87" t="s">
        <v>42</v>
      </c>
      <c r="AY10" s="103">
        <v>8.6249999999999999E-4</v>
      </c>
      <c r="BA10" s="56" t="s">
        <v>161</v>
      </c>
      <c r="BB10" s="17" t="s">
        <v>261</v>
      </c>
      <c r="BD10" s="87" t="s">
        <v>42</v>
      </c>
      <c r="BE10" s="103">
        <v>8.275E-4</v>
      </c>
      <c r="BG10" s="56" t="s">
        <v>161</v>
      </c>
      <c r="BH10" s="17" t="s">
        <v>261</v>
      </c>
      <c r="BJ10" s="87" t="s">
        <v>42</v>
      </c>
      <c r="BK10" s="103">
        <v>1.0150000000000001E-3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-1.245E-3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3.9199999999999999E-3</v>
      </c>
      <c r="AP11" s="83" t="b">
        <v>1</v>
      </c>
      <c r="AQ11" s="6"/>
      <c r="AR11" s="56" t="s">
        <v>136</v>
      </c>
      <c r="AS11" s="86" t="s">
        <v>135</v>
      </c>
      <c r="AU11" s="56" t="s">
        <v>154</v>
      </c>
      <c r="AV11" s="17" t="s">
        <v>55</v>
      </c>
      <c r="AX11" s="87" t="s">
        <v>39</v>
      </c>
      <c r="AY11" s="103">
        <v>9.1E-4</v>
      </c>
      <c r="BA11" s="56" t="s">
        <v>154</v>
      </c>
      <c r="BB11" s="17" t="s">
        <v>55</v>
      </c>
      <c r="BD11" s="87" t="s">
        <v>39</v>
      </c>
      <c r="BE11" s="103">
        <v>9.2750000000000005E-4</v>
      </c>
      <c r="BG11" s="56" t="s">
        <v>154</v>
      </c>
      <c r="BH11" s="17" t="s">
        <v>55</v>
      </c>
      <c r="BJ11" s="87" t="s">
        <v>39</v>
      </c>
      <c r="BK11" s="103">
        <v>1.0349999999999999E-3</v>
      </c>
      <c r="BM11" s="56" t="s">
        <v>136</v>
      </c>
      <c r="BN11" s="86" t="s">
        <v>135</v>
      </c>
      <c r="BP11" s="56" t="s">
        <v>218</v>
      </c>
      <c r="BQ11" s="86" t="s">
        <v>262</v>
      </c>
      <c r="BS11" s="56" t="s">
        <v>218</v>
      </c>
      <c r="BT11" s="86" t="s">
        <v>262</v>
      </c>
      <c r="BV11" s="56" t="s">
        <v>218</v>
      </c>
      <c r="BW11" s="86" t="s">
        <v>262</v>
      </c>
      <c r="BY11" s="56" t="s">
        <v>218</v>
      </c>
      <c r="BZ11" s="86" t="s">
        <v>262</v>
      </c>
      <c r="CB11" s="87" t="s">
        <v>39</v>
      </c>
      <c r="CC11" s="103">
        <v>-2.6749999999999999E-3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-1.2099999999999999E-3</v>
      </c>
      <c r="O12" s="89"/>
      <c r="P12" s="89"/>
      <c r="Q12" s="90" t="b">
        <v>1</v>
      </c>
      <c r="S12" s="97"/>
      <c r="T12" s="98"/>
      <c r="V12" s="56" t="s">
        <v>130</v>
      </c>
      <c r="W12" s="86" t="s">
        <v>408</v>
      </c>
      <c r="Y12" s="62"/>
      <c r="Z12" s="18"/>
      <c r="AB12" s="63" t="s">
        <v>123</v>
      </c>
      <c r="AC12" s="18" t="b">
        <v>1</v>
      </c>
      <c r="AE12" s="14" t="s">
        <v>88</v>
      </c>
      <c r="AF12" s="147" t="s">
        <v>88</v>
      </c>
      <c r="AG12" s="27"/>
      <c r="AH12" s="27"/>
      <c r="AI12" s="28"/>
      <c r="AK12" s="56" t="s">
        <v>1</v>
      </c>
      <c r="AL12" s="86" t="s">
        <v>152</v>
      </c>
      <c r="AN12" s="71" t="s">
        <v>33</v>
      </c>
      <c r="AO12" s="82">
        <v>5.6110000000000005E-3</v>
      </c>
      <c r="AP12" s="83" t="b">
        <v>1</v>
      </c>
      <c r="AQ12" s="6"/>
      <c r="AR12" s="56" t="s">
        <v>130</v>
      </c>
      <c r="AS12" s="86" t="s">
        <v>129</v>
      </c>
      <c r="AU12" s="56" t="s">
        <v>151</v>
      </c>
      <c r="AV12" s="17" t="s">
        <v>78</v>
      </c>
      <c r="AX12" s="87" t="s">
        <v>35</v>
      </c>
      <c r="AY12" s="103">
        <v>9.4250000000000009E-4</v>
      </c>
      <c r="BA12" s="56" t="s">
        <v>151</v>
      </c>
      <c r="BB12" s="17" t="s">
        <v>77</v>
      </c>
      <c r="BD12" s="87" t="s">
        <v>35</v>
      </c>
      <c r="BE12" s="103">
        <v>9.7499999999999996E-4</v>
      </c>
      <c r="BG12" s="56" t="s">
        <v>151</v>
      </c>
      <c r="BH12" s="17" t="s">
        <v>152</v>
      </c>
      <c r="BJ12" s="87" t="s">
        <v>35</v>
      </c>
      <c r="BK12" s="103">
        <v>1.2199999999999999E-3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-2.7374999999999999E-3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-1.25E-3</v>
      </c>
      <c r="O13" s="89"/>
      <c r="P13" s="89"/>
      <c r="Q13" s="90" t="b">
        <v>1</v>
      </c>
      <c r="S13" s="97"/>
      <c r="T13" s="98"/>
      <c r="V13" s="56" t="s">
        <v>122</v>
      </c>
      <c r="W13" s="86" t="s">
        <v>121</v>
      </c>
      <c r="Y13" s="6"/>
      <c r="Z13" s="4"/>
      <c r="AA13" s="6"/>
      <c r="AB13" s="8"/>
      <c r="AC13" s="4"/>
      <c r="AE13" s="4"/>
      <c r="AF13" s="4"/>
      <c r="AK13" s="56" t="s">
        <v>144</v>
      </c>
      <c r="AL13" s="86" t="s">
        <v>78</v>
      </c>
      <c r="AN13" s="71" t="s">
        <v>131</v>
      </c>
      <c r="AO13" s="82">
        <v>7.3000000000000001E-3</v>
      </c>
      <c r="AP13" s="83" t="b">
        <v>1</v>
      </c>
      <c r="AQ13" s="6"/>
      <c r="AR13" s="56" t="s">
        <v>122</v>
      </c>
      <c r="AS13" s="86" t="s">
        <v>121</v>
      </c>
      <c r="AU13" s="56" t="s">
        <v>148</v>
      </c>
      <c r="AV13" s="17" t="s">
        <v>40</v>
      </c>
      <c r="AX13" s="87" t="s">
        <v>33</v>
      </c>
      <c r="AY13" s="103">
        <v>9.3499999999999996E-4</v>
      </c>
      <c r="BA13" s="56" t="s">
        <v>148</v>
      </c>
      <c r="BB13" s="17" t="s">
        <v>40</v>
      </c>
      <c r="BD13" s="87" t="s">
        <v>33</v>
      </c>
      <c r="BE13" s="103">
        <v>1.0025000000000001E-3</v>
      </c>
      <c r="BG13" s="56" t="s">
        <v>148</v>
      </c>
      <c r="BH13" s="17" t="s">
        <v>40</v>
      </c>
      <c r="BJ13" s="87" t="s">
        <v>33</v>
      </c>
      <c r="BK13" s="103">
        <v>1.2199999999999999E-3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-2.7750000000000001E-3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-1.2600000000000001E-3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8.9020000000000002E-3</v>
      </c>
      <c r="AP14" s="83" t="b">
        <v>1</v>
      </c>
      <c r="AQ14" s="6"/>
      <c r="AR14" s="56" t="s">
        <v>140</v>
      </c>
      <c r="AS14" s="86" t="s">
        <v>29</v>
      </c>
      <c r="AU14" s="56" t="s">
        <v>141</v>
      </c>
      <c r="AV14" s="17" t="s">
        <v>43</v>
      </c>
      <c r="AX14" s="87" t="s">
        <v>131</v>
      </c>
      <c r="AY14" s="103">
        <v>9.3749999999999997E-4</v>
      </c>
      <c r="BA14" s="56" t="s">
        <v>141</v>
      </c>
      <c r="BB14" s="17" t="s">
        <v>43</v>
      </c>
      <c r="BD14" s="87" t="s">
        <v>131</v>
      </c>
      <c r="BE14" s="103">
        <v>1.0025000000000001E-3</v>
      </c>
      <c r="BG14" s="56" t="s">
        <v>141</v>
      </c>
      <c r="BH14" s="17" t="s">
        <v>43</v>
      </c>
      <c r="BJ14" s="87" t="s">
        <v>131</v>
      </c>
      <c r="BK14" s="103">
        <v>1.2099999999999999E-3</v>
      </c>
      <c r="BM14" s="56" t="s">
        <v>140</v>
      </c>
      <c r="BN14" s="86" t="s">
        <v>29</v>
      </c>
      <c r="BP14" s="56" t="s">
        <v>228</v>
      </c>
      <c r="BQ14" s="86" t="s">
        <v>40</v>
      </c>
      <c r="BS14" s="56" t="s">
        <v>228</v>
      </c>
      <c r="BT14" s="86" t="s">
        <v>40</v>
      </c>
      <c r="BV14" s="56" t="s">
        <v>228</v>
      </c>
      <c r="BW14" s="86" t="s">
        <v>40</v>
      </c>
      <c r="BY14" s="56" t="s">
        <v>228</v>
      </c>
      <c r="BZ14" s="86" t="s">
        <v>40</v>
      </c>
      <c r="CB14" s="87" t="s">
        <v>131</v>
      </c>
      <c r="CC14" s="103">
        <v>-2.7687499999999999E-3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-1.2920000000000002E-3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1.038E-2</v>
      </c>
      <c r="AP15" s="83" t="b">
        <v>1</v>
      </c>
      <c r="AQ15" s="6"/>
      <c r="AR15" s="56" t="s">
        <v>157</v>
      </c>
      <c r="AS15" s="86" t="s">
        <v>29</v>
      </c>
      <c r="AU15" s="56" t="s">
        <v>132</v>
      </c>
      <c r="AV15" s="31" t="s">
        <v>201</v>
      </c>
      <c r="AX15" s="87" t="s">
        <v>31</v>
      </c>
      <c r="AY15" s="103">
        <v>9.2249999999999993E-4</v>
      </c>
      <c r="BA15" s="56" t="s">
        <v>132</v>
      </c>
      <c r="BB15" s="31" t="s">
        <v>201</v>
      </c>
      <c r="BD15" s="87" t="s">
        <v>31</v>
      </c>
      <c r="BE15" s="103">
        <v>1.0025000000000001E-3</v>
      </c>
      <c r="BG15" s="56" t="s">
        <v>132</v>
      </c>
      <c r="BH15" s="31" t="s">
        <v>201</v>
      </c>
      <c r="BJ15" s="87" t="s">
        <v>31</v>
      </c>
      <c r="BK15" s="103">
        <v>1.1999999999999999E-3</v>
      </c>
      <c r="BM15" s="56" t="s">
        <v>157</v>
      </c>
      <c r="BN15" s="86" t="s">
        <v>29</v>
      </c>
      <c r="BP15" s="56" t="s">
        <v>231</v>
      </c>
      <c r="BQ15" s="86" t="s">
        <v>133</v>
      </c>
      <c r="BS15" s="56" t="s">
        <v>231</v>
      </c>
      <c r="BT15" s="86" t="s">
        <v>133</v>
      </c>
      <c r="BV15" s="56" t="s">
        <v>231</v>
      </c>
      <c r="BW15" s="86" t="s">
        <v>133</v>
      </c>
      <c r="BY15" s="56" t="s">
        <v>231</v>
      </c>
      <c r="BZ15" s="86" t="s">
        <v>133</v>
      </c>
      <c r="CB15" s="87" t="s">
        <v>31</v>
      </c>
      <c r="CC15" s="103">
        <v>-2.7625000000000002E-3</v>
      </c>
      <c r="CE15" s="56" t="s">
        <v>157</v>
      </c>
      <c r="CF15" s="86" t="s">
        <v>29</v>
      </c>
      <c r="CH15" s="56"/>
      <c r="CI15" s="86"/>
      <c r="CK15" s="150"/>
      <c r="CL15" s="151"/>
      <c r="CN15" s="56"/>
      <c r="CO15" s="86"/>
    </row>
    <row r="16" spans="2:93">
      <c r="F16" t="s">
        <v>12</v>
      </c>
      <c r="G16" s="56" t="s">
        <v>122</v>
      </c>
      <c r="H16" s="86" t="s">
        <v>121</v>
      </c>
      <c r="J16" s="73"/>
      <c r="K16" s="17"/>
      <c r="M16" s="87" t="s">
        <v>70</v>
      </c>
      <c r="N16" s="88">
        <v>-1.305E-3</v>
      </c>
      <c r="O16" s="89"/>
      <c r="P16" s="89"/>
      <c r="Q16" s="90" t="b">
        <v>1</v>
      </c>
      <c r="S16" s="97"/>
      <c r="T16" s="98"/>
      <c r="V16" s="56" t="s">
        <v>230</v>
      </c>
      <c r="W16" s="86" t="b">
        <v>1</v>
      </c>
      <c r="Y16" s="13" t="s">
        <v>124</v>
      </c>
      <c r="Z16" s="17" t="s">
        <v>3</v>
      </c>
      <c r="AB16" s="54"/>
      <c r="AC16" s="36"/>
      <c r="AE16" s="42"/>
      <c r="AF16" s="43"/>
      <c r="AG16" s="43"/>
      <c r="AH16" s="44"/>
      <c r="AI16" s="184" t="s">
        <v>88</v>
      </c>
      <c r="AK16" s="56" t="s">
        <v>123</v>
      </c>
      <c r="AL16" s="86" t="b">
        <v>1</v>
      </c>
      <c r="AN16" s="71" t="s">
        <v>113</v>
      </c>
      <c r="AO16" s="82">
        <v>1.171E-2</v>
      </c>
      <c r="AP16" s="83" t="b">
        <v>1</v>
      </c>
      <c r="AQ16" s="6"/>
      <c r="AR16" s="56" t="s">
        <v>230</v>
      </c>
      <c r="AS16" s="86" t="b">
        <v>0</v>
      </c>
      <c r="AU16" s="56" t="s">
        <v>126</v>
      </c>
      <c r="AV16" s="31" t="s">
        <v>63</v>
      </c>
      <c r="AX16" s="87" t="s">
        <v>119</v>
      </c>
      <c r="AY16" s="103">
        <v>9.0249999999999998E-4</v>
      </c>
      <c r="BA16" s="56" t="s">
        <v>126</v>
      </c>
      <c r="BB16" s="109" t="s">
        <v>364</v>
      </c>
      <c r="BD16" s="87" t="s">
        <v>119</v>
      </c>
      <c r="BE16" s="103">
        <v>1.0025000000000001E-3</v>
      </c>
      <c r="BG16" s="56" t="s">
        <v>126</v>
      </c>
      <c r="BH16" s="31" t="s">
        <v>63</v>
      </c>
      <c r="BJ16" s="87" t="s">
        <v>119</v>
      </c>
      <c r="BK16" s="103">
        <v>1.1800000000000001E-3</v>
      </c>
      <c r="BM16" s="56" t="s">
        <v>230</v>
      </c>
      <c r="BN16" s="86" t="b">
        <v>0</v>
      </c>
      <c r="BP16" s="56" t="s">
        <v>216</v>
      </c>
      <c r="BQ16" s="31" t="s">
        <v>201</v>
      </c>
      <c r="BS16" s="56" t="s">
        <v>216</v>
      </c>
      <c r="BT16" s="31" t="s">
        <v>201</v>
      </c>
      <c r="BV16" s="56" t="s">
        <v>216</v>
      </c>
      <c r="BW16" s="31" t="s">
        <v>201</v>
      </c>
      <c r="BY16" s="56" t="s">
        <v>216</v>
      </c>
      <c r="BZ16" s="31" t="s">
        <v>201</v>
      </c>
      <c r="CB16" s="87" t="s">
        <v>119</v>
      </c>
      <c r="CC16" s="103">
        <v>-2.7000000000000001E-3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1.2851999999999999E-2</v>
      </c>
      <c r="AP17" s="83" t="b">
        <v>1</v>
      </c>
      <c r="AQ17" s="6"/>
      <c r="AR17" s="56" t="s">
        <v>232</v>
      </c>
      <c r="AS17" s="86" t="b">
        <v>0</v>
      </c>
      <c r="AU17" s="56" t="s">
        <v>120</v>
      </c>
      <c r="AV17" s="109" t="s">
        <v>23</v>
      </c>
      <c r="AX17" s="87" t="s">
        <v>113</v>
      </c>
      <c r="AY17" s="103">
        <v>8.7750000000000002E-4</v>
      </c>
      <c r="BA17" s="56" t="s">
        <v>120</v>
      </c>
      <c r="BB17" s="109" t="s">
        <v>53</v>
      </c>
      <c r="BD17" s="87" t="s">
        <v>113</v>
      </c>
      <c r="BE17" s="103">
        <v>9.9250000000000011E-4</v>
      </c>
      <c r="BG17" s="56" t="s">
        <v>120</v>
      </c>
      <c r="BH17" s="109" t="s">
        <v>265</v>
      </c>
      <c r="BJ17" s="87" t="s">
        <v>113</v>
      </c>
      <c r="BK17" s="103">
        <v>1.16E-3</v>
      </c>
      <c r="BM17" s="56" t="s">
        <v>232</v>
      </c>
      <c r="BN17" s="86" t="b">
        <v>0</v>
      </c>
      <c r="BP17" s="56" t="s">
        <v>220</v>
      </c>
      <c r="BQ17" s="31" t="s">
        <v>381</v>
      </c>
      <c r="BS17" s="56" t="s">
        <v>220</v>
      </c>
      <c r="BT17" s="31" t="s">
        <v>381</v>
      </c>
      <c r="BV17" s="56" t="s">
        <v>220</v>
      </c>
      <c r="BW17" s="31" t="s">
        <v>381</v>
      </c>
      <c r="BY17" s="56" t="s">
        <v>220</v>
      </c>
      <c r="BZ17" s="31" t="s">
        <v>381</v>
      </c>
      <c r="CB17" s="87" t="s">
        <v>113</v>
      </c>
      <c r="CC17" s="103">
        <v>-2.6375000000000001E-3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-1.33E-3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1.3846000000000001E-2</v>
      </c>
      <c r="AP18" s="83" t="b">
        <v>1</v>
      </c>
      <c r="AQ18" s="6"/>
      <c r="AR18" s="56" t="s">
        <v>110</v>
      </c>
      <c r="AS18" s="86" t="b">
        <v>0</v>
      </c>
      <c r="AU18" s="56" t="s">
        <v>114</v>
      </c>
      <c r="AV18" s="17" t="s">
        <v>55</v>
      </c>
      <c r="AX18" s="87" t="s">
        <v>28</v>
      </c>
      <c r="AY18" s="103">
        <v>8.3000000000000012E-4</v>
      </c>
      <c r="BA18" s="56" t="s">
        <v>114</v>
      </c>
      <c r="BB18" s="17" t="s">
        <v>55</v>
      </c>
      <c r="BD18" s="87" t="s">
        <v>28</v>
      </c>
      <c r="BE18" s="103">
        <v>9.8249999999999987E-4</v>
      </c>
      <c r="BG18" s="56" t="s">
        <v>114</v>
      </c>
      <c r="BH18" s="17" t="s">
        <v>55</v>
      </c>
      <c r="BJ18" s="87" t="s">
        <v>28</v>
      </c>
      <c r="BK18" s="103">
        <v>1.1300000000000001E-3</v>
      </c>
      <c r="BM18" s="56" t="s">
        <v>110</v>
      </c>
      <c r="BN18" s="86" t="b">
        <v>0</v>
      </c>
      <c r="BP18" s="56" t="s">
        <v>233</v>
      </c>
      <c r="BQ18" s="86" t="s">
        <v>53</v>
      </c>
      <c r="BS18" s="56" t="s">
        <v>233</v>
      </c>
      <c r="BT18" s="86" t="s">
        <v>53</v>
      </c>
      <c r="BV18" s="56" t="s">
        <v>233</v>
      </c>
      <c r="BW18" s="86" t="s">
        <v>53</v>
      </c>
      <c r="BY18" s="56" t="s">
        <v>233</v>
      </c>
      <c r="BZ18" s="86" t="s">
        <v>53</v>
      </c>
      <c r="CB18" s="87" t="s">
        <v>28</v>
      </c>
      <c r="CC18" s="103">
        <v>-2.575E-3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-1.3270000000000001E-3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1.4710000000000001E-2</v>
      </c>
      <c r="AP19" s="83" t="b">
        <v>1</v>
      </c>
      <c r="AQ19" s="6"/>
      <c r="AR19" s="56" t="s">
        <v>107</v>
      </c>
      <c r="AS19" s="86" t="b">
        <v>0</v>
      </c>
      <c r="AU19" s="56" t="s">
        <v>109</v>
      </c>
      <c r="AV19" s="17" t="s">
        <v>261</v>
      </c>
      <c r="AX19" s="87" t="s">
        <v>366</v>
      </c>
      <c r="AY19" s="103">
        <v>8.0999999999999996E-4</v>
      </c>
      <c r="BA19" s="56" t="s">
        <v>109</v>
      </c>
      <c r="BB19" s="17" t="s">
        <v>261</v>
      </c>
      <c r="BD19" s="87" t="s">
        <v>366</v>
      </c>
      <c r="BE19" s="103">
        <v>9.7249999999999995E-4</v>
      </c>
      <c r="BG19" s="56" t="s">
        <v>109</v>
      </c>
      <c r="BH19" s="17" t="s">
        <v>261</v>
      </c>
      <c r="BJ19" s="87" t="s">
        <v>366</v>
      </c>
      <c r="BK19" s="103">
        <v>1.1000000000000001E-3</v>
      </c>
      <c r="BM19" s="56" t="s">
        <v>107</v>
      </c>
      <c r="BN19" s="86" t="b">
        <v>0</v>
      </c>
      <c r="BP19" s="56" t="s">
        <v>234</v>
      </c>
      <c r="BQ19" s="86" t="s">
        <v>55</v>
      </c>
      <c r="BS19" s="56" t="s">
        <v>234</v>
      </c>
      <c r="BT19" s="86" t="s">
        <v>55</v>
      </c>
      <c r="BV19" s="56" t="s">
        <v>234</v>
      </c>
      <c r="BW19" s="86" t="s">
        <v>55</v>
      </c>
      <c r="BY19" s="56" t="s">
        <v>234</v>
      </c>
      <c r="BZ19" s="86" t="s">
        <v>55</v>
      </c>
      <c r="CB19" s="87" t="s">
        <v>366</v>
      </c>
      <c r="CC19" s="103">
        <v>-2.4875000000000001E-3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-1.3500000000000001E-3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1.6576999999999998E-2</v>
      </c>
      <c r="AP20" s="83" t="b">
        <v>1</v>
      </c>
      <c r="AQ20" s="6"/>
      <c r="AR20" s="56" t="s">
        <v>115</v>
      </c>
      <c r="AS20" s="86" t="s">
        <v>104</v>
      </c>
      <c r="AU20" s="56" t="s">
        <v>105</v>
      </c>
      <c r="AV20" s="17" t="s">
        <v>48</v>
      </c>
      <c r="AX20" s="87" t="s">
        <v>26</v>
      </c>
      <c r="AY20" s="103">
        <v>7.7999999999999999E-4</v>
      </c>
      <c r="BA20" s="56" t="s">
        <v>105</v>
      </c>
      <c r="BB20" s="17" t="s">
        <v>48</v>
      </c>
      <c r="BD20" s="87" t="s">
        <v>26</v>
      </c>
      <c r="BE20" s="103">
        <v>9.6250000000000003E-4</v>
      </c>
      <c r="BG20" s="56" t="s">
        <v>105</v>
      </c>
      <c r="BH20" s="17" t="s">
        <v>48</v>
      </c>
      <c r="BJ20" s="87" t="s">
        <v>26</v>
      </c>
      <c r="BK20" s="103">
        <v>1.0499999999999999E-3</v>
      </c>
      <c r="BM20" s="56" t="s">
        <v>115</v>
      </c>
      <c r="BN20" s="86" t="s">
        <v>104</v>
      </c>
      <c r="BP20" s="56" t="s">
        <v>236</v>
      </c>
      <c r="BQ20" s="86" t="s">
        <v>46</v>
      </c>
      <c r="BS20" s="56" t="s">
        <v>236</v>
      </c>
      <c r="BT20" s="86" t="s">
        <v>46</v>
      </c>
      <c r="BV20" s="56" t="s">
        <v>236</v>
      </c>
      <c r="BW20" s="86" t="s">
        <v>46</v>
      </c>
      <c r="BY20" s="56" t="s">
        <v>236</v>
      </c>
      <c r="BZ20" s="86" t="s">
        <v>46</v>
      </c>
      <c r="CB20" s="87" t="s">
        <v>26</v>
      </c>
      <c r="CC20" s="103">
        <v>-2.39375E-3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1.806E-2</v>
      </c>
      <c r="AP21" s="83" t="b">
        <v>1</v>
      </c>
      <c r="AQ21" s="6"/>
      <c r="AR21" s="56" t="s">
        <v>100</v>
      </c>
      <c r="AS21" s="86" t="s">
        <v>29</v>
      </c>
      <c r="AU21" s="56" t="s">
        <v>101</v>
      </c>
      <c r="AV21" s="17" t="s">
        <v>261</v>
      </c>
      <c r="AX21" s="87" t="s">
        <v>376</v>
      </c>
      <c r="AY21" s="103">
        <v>7.2999999999999996E-4</v>
      </c>
      <c r="BA21" s="56" t="s">
        <v>101</v>
      </c>
      <c r="BB21" s="17" t="s">
        <v>261</v>
      </c>
      <c r="BD21" s="87" t="s">
        <v>24</v>
      </c>
      <c r="BE21" s="103">
        <v>9.1250000000000001E-4</v>
      </c>
      <c r="BG21" s="56" t="s">
        <v>101</v>
      </c>
      <c r="BH21" s="17" t="s">
        <v>261</v>
      </c>
      <c r="BJ21" s="87" t="s">
        <v>24</v>
      </c>
      <c r="BK21" s="103">
        <v>9.4000000000000008E-4</v>
      </c>
      <c r="BM21" s="56" t="s">
        <v>100</v>
      </c>
      <c r="BN21" s="86" t="s">
        <v>29</v>
      </c>
      <c r="BP21" s="56" t="s">
        <v>237</v>
      </c>
      <c r="BQ21" s="86" t="s">
        <v>48</v>
      </c>
      <c r="BS21" s="56" t="s">
        <v>237</v>
      </c>
      <c r="BT21" s="86" t="s">
        <v>48</v>
      </c>
      <c r="BV21" s="56" t="s">
        <v>237</v>
      </c>
      <c r="BW21" s="86" t="s">
        <v>48</v>
      </c>
      <c r="BY21" s="56" t="s">
        <v>237</v>
      </c>
      <c r="BZ21" s="86" t="s">
        <v>48</v>
      </c>
      <c r="CB21" s="87" t="s">
        <v>376</v>
      </c>
      <c r="CC21" s="103">
        <v>-2.3625E-3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-1.34E-3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1.8381999999999999E-2</v>
      </c>
      <c r="AP22" s="83" t="b">
        <v>1</v>
      </c>
      <c r="AQ22" s="6"/>
      <c r="AR22" s="56" t="s">
        <v>235</v>
      </c>
      <c r="AS22" s="86" t="b">
        <v>1</v>
      </c>
      <c r="AU22" s="56" t="s">
        <v>96</v>
      </c>
      <c r="AV22" s="17" t="s">
        <v>43</v>
      </c>
      <c r="AX22" s="87" t="s">
        <v>377</v>
      </c>
      <c r="AY22" s="103">
        <v>6.9999999999999999E-4</v>
      </c>
      <c r="BA22" s="56" t="s">
        <v>96</v>
      </c>
      <c r="BB22" s="17" t="s">
        <v>43</v>
      </c>
      <c r="BD22" s="87" t="s">
        <v>20</v>
      </c>
      <c r="BE22" s="103">
        <v>8.1249999999999996E-4</v>
      </c>
      <c r="BG22" s="56" t="s">
        <v>96</v>
      </c>
      <c r="BH22" s="17" t="s">
        <v>43</v>
      </c>
      <c r="BJ22" s="87" t="s">
        <v>20</v>
      </c>
      <c r="BK22" s="103">
        <v>8.3000000000000012E-4</v>
      </c>
      <c r="BM22" s="56" t="s">
        <v>235</v>
      </c>
      <c r="BN22" s="86" t="b">
        <v>1</v>
      </c>
      <c r="BP22" s="56" t="s">
        <v>238</v>
      </c>
      <c r="BQ22" s="86" t="s">
        <v>46</v>
      </c>
      <c r="BS22" s="56" t="s">
        <v>238</v>
      </c>
      <c r="BT22" s="86" t="s">
        <v>46</v>
      </c>
      <c r="BV22" s="56" t="s">
        <v>238</v>
      </c>
      <c r="BW22" s="86" t="s">
        <v>46</v>
      </c>
      <c r="BY22" s="56" t="s">
        <v>238</v>
      </c>
      <c r="BZ22" s="86" t="s">
        <v>46</v>
      </c>
      <c r="CB22" s="87" t="s">
        <v>377</v>
      </c>
      <c r="CC22" s="103">
        <v>-2.2875E-3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1.8489999999999999E-2</v>
      </c>
      <c r="AP23" s="83" t="b">
        <v>1</v>
      </c>
      <c r="AQ23" s="6"/>
      <c r="AR23" s="13" t="s">
        <v>91</v>
      </c>
      <c r="AS23" s="86" t="s">
        <v>29</v>
      </c>
      <c r="AU23" s="79" t="s">
        <v>92</v>
      </c>
      <c r="AV23" s="20" t="s">
        <v>40</v>
      </c>
      <c r="AX23" s="87" t="s">
        <v>24</v>
      </c>
      <c r="AY23" s="103">
        <v>6.7000000000000002E-4</v>
      </c>
      <c r="BA23" s="79" t="s">
        <v>92</v>
      </c>
      <c r="BB23" s="20" t="s">
        <v>40</v>
      </c>
      <c r="BD23" s="87" t="s">
        <v>18</v>
      </c>
      <c r="BE23" s="103">
        <v>7.2249999999999994E-4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-2.2125000000000001E-3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-1.2149999999999999E-3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1.8610000000000002E-2</v>
      </c>
      <c r="AP24" s="83" t="b">
        <v>1</v>
      </c>
      <c r="AQ24" s="6"/>
      <c r="AR24" s="13" t="s">
        <v>193</v>
      </c>
      <c r="AS24" s="86" t="s">
        <v>29</v>
      </c>
      <c r="AU24" s="78" t="s">
        <v>87</v>
      </c>
      <c r="AV24" s="102" t="s">
        <v>261</v>
      </c>
      <c r="AX24" s="87" t="s">
        <v>20</v>
      </c>
      <c r="AY24" s="103">
        <v>5.5999999999999995E-4</v>
      </c>
      <c r="BA24" s="78" t="s">
        <v>87</v>
      </c>
      <c r="BB24" s="102" t="s">
        <v>261</v>
      </c>
      <c r="BD24" s="87" t="s">
        <v>17</v>
      </c>
      <c r="BE24" s="103">
        <v>6.6500000000000001E-4</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-1.9124999999999999E-3</v>
      </c>
      <c r="CE24" s="13" t="s">
        <v>193</v>
      </c>
      <c r="CF24" s="86" t="s">
        <v>29</v>
      </c>
      <c r="CH24" s="56"/>
      <c r="CI24" s="86"/>
      <c r="CK24" s="56"/>
      <c r="CL24" s="86"/>
      <c r="CN24" s="56"/>
      <c r="CO24" s="86"/>
    </row>
    <row r="25" spans="2:95">
      <c r="B25" s="62"/>
      <c r="C25" s="135"/>
      <c r="D25" s="136"/>
      <c r="E25" s="137"/>
      <c r="F25" t="s">
        <v>12</v>
      </c>
      <c r="M25" s="87" t="s">
        <v>42</v>
      </c>
      <c r="N25" s="88">
        <v>-9.2000000000000003E-4</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1.8595E-2</v>
      </c>
      <c r="AP25" s="83" t="b">
        <v>1</v>
      </c>
      <c r="AQ25" s="6"/>
      <c r="AR25" s="13" t="s">
        <v>263</v>
      </c>
      <c r="AS25" s="86" t="b">
        <v>1</v>
      </c>
      <c r="AU25" s="56" t="s">
        <v>85</v>
      </c>
      <c r="AV25" s="17" t="s">
        <v>55</v>
      </c>
      <c r="AX25" s="87" t="s">
        <v>18</v>
      </c>
      <c r="AY25" s="103">
        <v>4.75E-4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-1.6624999999999999E-3</v>
      </c>
      <c r="CE25" s="13" t="s">
        <v>263</v>
      </c>
      <c r="CF25" s="86" t="b">
        <v>1</v>
      </c>
      <c r="CH25" s="56"/>
      <c r="CI25" s="86"/>
      <c r="CK25" s="56"/>
      <c r="CL25" s="86"/>
      <c r="CN25" s="56"/>
      <c r="CO25" s="86"/>
    </row>
    <row r="26" spans="2:95">
      <c r="F26" t="s">
        <v>12</v>
      </c>
      <c r="M26" s="87" t="s">
        <v>365</v>
      </c>
      <c r="N26" s="88">
        <v>-5.3499999999999999E-4</v>
      </c>
      <c r="O26" s="89"/>
      <c r="P26" s="89"/>
      <c r="Q26" s="90" t="b">
        <v>1</v>
      </c>
      <c r="S26" s="97"/>
      <c r="T26" s="98"/>
      <c r="V26" s="13" t="s">
        <v>81</v>
      </c>
      <c r="W26" s="86" t="s">
        <v>201</v>
      </c>
      <c r="Y26" s="215" t="s">
        <v>23</v>
      </c>
      <c r="Z26" s="216">
        <v>5.0999999999999993E-4</v>
      </c>
      <c r="AB26" s="54"/>
      <c r="AC26" s="36"/>
      <c r="AE26" s="50"/>
      <c r="AF26" s="51"/>
      <c r="AG26" s="51"/>
      <c r="AH26" s="51"/>
      <c r="AI26" s="186" t="s">
        <v>88</v>
      </c>
      <c r="AK26" s="56"/>
      <c r="AL26" s="86"/>
      <c r="AN26" s="71" t="s">
        <v>368</v>
      </c>
      <c r="AO26" s="82">
        <v>1.8402999999999999E-2</v>
      </c>
      <c r="AP26" s="83" t="b">
        <v>1</v>
      </c>
      <c r="AQ26" s="6"/>
      <c r="AR26" s="13" t="s">
        <v>81</v>
      </c>
      <c r="AS26" s="86" t="s">
        <v>201</v>
      </c>
      <c r="AU26" s="56" t="s">
        <v>83</v>
      </c>
      <c r="AV26" s="86" t="s">
        <v>77</v>
      </c>
      <c r="AX26" s="87" t="s">
        <v>17</v>
      </c>
      <c r="AY26" s="103">
        <v>4.2499999999999998E-4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-1.4875000000000001E-3</v>
      </c>
      <c r="CE26" s="13"/>
      <c r="CF26" s="86"/>
      <c r="CH26" s="56"/>
      <c r="CI26" s="86"/>
      <c r="CK26" s="56"/>
      <c r="CL26" s="86"/>
      <c r="CN26" s="56"/>
      <c r="CO26" s="86"/>
    </row>
    <row r="27" spans="2:95">
      <c r="B27" s="2" t="s">
        <v>356</v>
      </c>
      <c r="C27" s="9"/>
      <c r="F27" t="s">
        <v>12</v>
      </c>
      <c r="M27" s="87" t="s">
        <v>39</v>
      </c>
      <c r="N27" s="88">
        <v>1.4E-5</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1.8200000000000001E-2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-1.6624999999999999E-3</v>
      </c>
      <c r="CE27" s="13"/>
      <c r="CF27" s="86"/>
      <c r="CH27" s="56"/>
      <c r="CI27" s="86"/>
      <c r="CK27" s="56"/>
      <c r="CL27" s="86"/>
      <c r="CN27" s="56"/>
      <c r="CO27" s="86"/>
    </row>
    <row r="28" spans="2:95">
      <c r="B28" s="55" t="s">
        <v>201</v>
      </c>
      <c r="C28" s="126" t="s">
        <v>203</v>
      </c>
      <c r="D28" s="127"/>
      <c r="E28" s="128"/>
      <c r="F28" t="s">
        <v>12</v>
      </c>
      <c r="M28" s="87" t="s">
        <v>35</v>
      </c>
      <c r="N28" s="88">
        <v>1.4299999999999998E-3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-1.9499999999999999E-3</v>
      </c>
      <c r="CE28" s="13"/>
      <c r="CF28" s="86"/>
      <c r="CH28" s="56"/>
      <c r="CI28" s="86"/>
      <c r="CK28" s="56"/>
      <c r="CL28" s="86"/>
      <c r="CN28" s="56"/>
      <c r="CO28" s="86"/>
    </row>
    <row r="29" spans="2:95">
      <c r="B29" s="56" t="s">
        <v>63</v>
      </c>
      <c r="C29" s="129" t="s">
        <v>300</v>
      </c>
      <c r="D29" s="130"/>
      <c r="E29" s="131"/>
      <c r="F29" t="s">
        <v>12</v>
      </c>
      <c r="M29" s="87" t="s">
        <v>33</v>
      </c>
      <c r="N29" s="88">
        <v>3.075E-3</v>
      </c>
      <c r="O29" s="89"/>
      <c r="P29" s="89"/>
      <c r="Q29" s="90" t="b">
        <v>1</v>
      </c>
      <c r="S29" s="97"/>
      <c r="T29" s="98"/>
      <c r="V29" s="13"/>
      <c r="W29" s="86"/>
      <c r="Y29" s="54" t="s">
        <v>23</v>
      </c>
      <c r="Z29" s="36">
        <v>4.8999999999999998E-4</v>
      </c>
      <c r="AB29" s="54" t="s">
        <v>71</v>
      </c>
      <c r="AC29" s="36">
        <v>5.0999999999999993E-4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4.7299999999999998E-3</v>
      </c>
      <c r="O30" s="89"/>
      <c r="P30" s="89"/>
      <c r="Q30" s="90" t="b">
        <v>1</v>
      </c>
      <c r="S30" s="97"/>
      <c r="T30" s="98"/>
      <c r="V30" s="13"/>
      <c r="W30" s="86"/>
      <c r="Y30" s="54"/>
      <c r="Z30" s="36"/>
      <c r="AB30" s="54" t="s">
        <v>68</v>
      </c>
      <c r="AC30" s="36">
        <v>5.2999999999999998E-4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6.3400000000000001E-3</v>
      </c>
      <c r="O31" s="89"/>
      <c r="P31" s="89"/>
      <c r="Q31" s="90" t="b">
        <v>1</v>
      </c>
      <c r="S31" s="97"/>
      <c r="T31" s="98"/>
      <c r="V31" s="13"/>
      <c r="W31" s="86"/>
      <c r="Y31" s="54"/>
      <c r="Z31" s="36"/>
      <c r="AB31" s="54" t="s">
        <v>66</v>
      </c>
      <c r="AC31" s="36">
        <v>5.9999999999999995E-4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7.835E-3</v>
      </c>
      <c r="O32" s="89"/>
      <c r="P32" s="89"/>
      <c r="Q32" s="90" t="b">
        <v>1</v>
      </c>
      <c r="S32" s="97"/>
      <c r="T32" s="98"/>
      <c r="V32" s="13"/>
      <c r="W32" s="86"/>
      <c r="Y32" s="54"/>
      <c r="Z32" s="36"/>
      <c r="AA32" s="3"/>
      <c r="AB32" s="54" t="s">
        <v>62</v>
      </c>
      <c r="AC32" s="36">
        <v>6.4000000000000005E-4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9.1700000000000011E-3</v>
      </c>
      <c r="O33" s="89"/>
      <c r="P33" s="89"/>
      <c r="Q33" s="90" t="b">
        <v>1</v>
      </c>
      <c r="S33" s="97"/>
      <c r="T33" s="98"/>
      <c r="V33" s="13"/>
      <c r="W33" s="86"/>
      <c r="Y33" s="54"/>
      <c r="Z33" s="36"/>
      <c r="AA33" s="3"/>
      <c r="AB33" s="54" t="s">
        <v>58</v>
      </c>
      <c r="AC33" s="36">
        <v>6.9000000000000008E-4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1.0369999999999999E-2</v>
      </c>
      <c r="O34" s="89"/>
      <c r="P34" s="89"/>
      <c r="Q34" s="90" t="b">
        <v>1</v>
      </c>
      <c r="S34" s="97"/>
      <c r="T34" s="98"/>
      <c r="V34" s="13"/>
      <c r="W34" s="86"/>
      <c r="Y34" s="54"/>
      <c r="Z34" s="36"/>
      <c r="AA34" s="3"/>
      <c r="AB34" s="54" t="s">
        <v>369</v>
      </c>
      <c r="AC34" s="36">
        <v>7.6999999999999996E-4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1.142E-2</v>
      </c>
      <c r="O35" s="89"/>
      <c r="P35" s="89"/>
      <c r="Q35" s="90" t="b">
        <v>1</v>
      </c>
      <c r="S35" s="97"/>
      <c r="T35" s="98"/>
      <c r="V35" s="13"/>
      <c r="W35" s="86"/>
      <c r="Y35" s="54"/>
      <c r="Z35" s="36"/>
      <c r="AA35" s="3"/>
      <c r="AB35" s="54" t="s">
        <v>370</v>
      </c>
      <c r="AC35" s="36">
        <v>8.4000000000000003E-4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1.2319999999999999E-2</v>
      </c>
      <c r="O36" s="89"/>
      <c r="P36" s="89"/>
      <c r="Q36" s="90" t="b">
        <v>1</v>
      </c>
      <c r="S36" s="97"/>
      <c r="T36" s="98"/>
      <c r="V36" s="13"/>
      <c r="W36" s="86"/>
      <c r="Y36" s="54"/>
      <c r="Z36" s="36"/>
      <c r="AA36" s="3"/>
      <c r="AB36" s="54" t="s">
        <v>371</v>
      </c>
      <c r="AC36" s="36">
        <v>9.1E-4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1.4339999999999999E-2</v>
      </c>
      <c r="O37" s="89"/>
      <c r="P37" s="89"/>
      <c r="Q37" s="90" t="b">
        <v>1</v>
      </c>
      <c r="S37" s="97"/>
      <c r="T37" s="98"/>
      <c r="V37" s="13"/>
      <c r="W37" s="86"/>
      <c r="Y37" s="54"/>
      <c r="Z37" s="36"/>
      <c r="AA37" s="3"/>
      <c r="AB37" s="54" t="s">
        <v>372</v>
      </c>
      <c r="AC37" s="36">
        <v>1.0199999999999999E-3</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1.6091999999999999E-2</v>
      </c>
      <c r="O38" s="89"/>
      <c r="P38" s="89"/>
      <c r="Q38" s="90" t="b">
        <v>1</v>
      </c>
      <c r="S38" s="97"/>
      <c r="T38" s="98"/>
      <c r="V38" s="13"/>
      <c r="W38" s="86"/>
      <c r="Y38" s="54"/>
      <c r="Z38" s="36"/>
      <c r="AB38" s="54" t="s">
        <v>373</v>
      </c>
      <c r="AC38" s="36">
        <v>1.1299999999999999E-3</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1.66E-2</v>
      </c>
      <c r="O39" s="89"/>
      <c r="P39" s="89"/>
      <c r="Q39" s="90" t="b">
        <v>1</v>
      </c>
      <c r="S39" s="97"/>
      <c r="T39" s="98"/>
      <c r="V39" s="13"/>
      <c r="W39" s="86"/>
      <c r="Y39" s="54"/>
      <c r="Z39" s="36"/>
      <c r="AB39" s="54" t="s">
        <v>374</v>
      </c>
      <c r="AC39" s="36">
        <v>1.24E-3</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1.6827000000000002E-2</v>
      </c>
      <c r="O40" s="89"/>
      <c r="P40" s="89"/>
      <c r="Q40" s="90" t="b">
        <v>1</v>
      </c>
      <c r="S40" s="97"/>
      <c r="T40" s="98"/>
      <c r="V40" s="13"/>
      <c r="W40" s="86"/>
      <c r="Y40" s="54"/>
      <c r="Z40" s="36"/>
      <c r="AB40" s="54" t="s">
        <v>375</v>
      </c>
      <c r="AC40" s="36">
        <v>1.49E-3</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1.6605000000000002E-2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1.6695000000000002E-2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1.6854999999999998E-2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B222CA"/>
    <pageSetUpPr fitToPage="1"/>
  </sheetPr>
  <dimension ref="B3:CM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91">
      <c r="CI3" s="217"/>
      <c r="CJ3" s="214"/>
    </row>
    <row r="4" spans="2:91">
      <c r="CI4" s="217"/>
      <c r="CJ4" s="214"/>
    </row>
    <row r="5" spans="2:91"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91">
      <c r="CI6" s="217"/>
      <c r="CJ6" s="214"/>
    </row>
    <row r="7" spans="2:91">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91">
      <c r="B8" s="55" t="s">
        <v>201</v>
      </c>
      <c r="C8" s="126" t="s">
        <v>349</v>
      </c>
      <c r="D8" s="127"/>
      <c r="E8" s="128"/>
      <c r="G8" s="55" t="s">
        <v>170</v>
      </c>
      <c r="H8" s="110">
        <v>42198</v>
      </c>
      <c r="J8" s="72" t="s">
        <v>174</v>
      </c>
      <c r="K8" s="34" t="s">
        <v>86</v>
      </c>
      <c r="M8" s="74" t="s">
        <v>76</v>
      </c>
      <c r="N8" s="75" t="s">
        <v>75</v>
      </c>
      <c r="O8" s="75" t="s">
        <v>139</v>
      </c>
      <c r="P8" s="75" t="s">
        <v>138</v>
      </c>
      <c r="Q8" s="76" t="s">
        <v>173</v>
      </c>
      <c r="S8" s="67" t="s">
        <v>172</v>
      </c>
      <c r="T8" s="68" t="s">
        <v>75</v>
      </c>
      <c r="V8" s="55" t="s">
        <v>170</v>
      </c>
      <c r="W8" s="110">
        <v>42198</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42198</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42198</v>
      </c>
      <c r="BY8" s="55" t="s">
        <v>216</v>
      </c>
      <c r="BZ8" s="33" t="s">
        <v>307</v>
      </c>
      <c r="CB8" s="55" t="s">
        <v>216</v>
      </c>
      <c r="CC8" s="33" t="s">
        <v>308</v>
      </c>
      <c r="CE8" s="55" t="s">
        <v>216</v>
      </c>
      <c r="CF8" s="33" t="s">
        <v>309</v>
      </c>
      <c r="CI8" s="217"/>
      <c r="CJ8" s="214"/>
    </row>
    <row r="9" spans="2:91">
      <c r="B9" s="56" t="s">
        <v>63</v>
      </c>
      <c r="C9" s="129" t="s">
        <v>9</v>
      </c>
      <c r="D9" s="130"/>
      <c r="E9" s="131"/>
      <c r="G9" s="56" t="s">
        <v>162</v>
      </c>
      <c r="H9" s="86" t="s">
        <v>190</v>
      </c>
      <c r="J9" s="73" t="s">
        <v>130</v>
      </c>
      <c r="K9" s="17" t="s">
        <v>3</v>
      </c>
      <c r="M9" s="87" t="s">
        <v>72</v>
      </c>
      <c r="N9" s="88">
        <v>1.2999999999999999E-3</v>
      </c>
      <c r="O9" s="89"/>
      <c r="P9" s="89"/>
      <c r="Q9" s="90" t="b">
        <f>IF(OR(N9="",N9=0),FALSE,TRUE)</f>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1.5833E-2</v>
      </c>
      <c r="AP9" s="83" t="b">
        <f t="shared" ref="AP9:AP52" si="0">IF(OR(AO9="",AO9=0),FALSE,IF(OR(RIGHT(AN9,1)="M",AND(RIGHT(AN9,1)="Y",VALUE(LEFT(AN9,LEN(AN9)-1))&lt;=2)),FALSE,TRUE))</f>
        <v>1</v>
      </c>
      <c r="AR9" s="56" t="s">
        <v>162</v>
      </c>
      <c r="AS9" s="86" t="s">
        <v>190</v>
      </c>
      <c r="AU9" s="78" t="s">
        <v>169</v>
      </c>
      <c r="AV9" s="102" t="s">
        <v>168</v>
      </c>
      <c r="AX9" s="87" t="s">
        <v>160</v>
      </c>
      <c r="AY9" s="103">
        <v>8.7500000000000002E-4</v>
      </c>
      <c r="BA9" s="78" t="s">
        <v>169</v>
      </c>
      <c r="BB9" s="102" t="s">
        <v>168</v>
      </c>
      <c r="BD9" s="87" t="s">
        <v>160</v>
      </c>
      <c r="BE9" s="103">
        <v>9.5E-4</v>
      </c>
      <c r="BG9" s="78" t="s">
        <v>169</v>
      </c>
      <c r="BH9" s="102" t="s">
        <v>168</v>
      </c>
      <c r="BJ9" s="87" t="s">
        <v>160</v>
      </c>
      <c r="BK9" s="103">
        <v>2.6749999999999999E-3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91">
      <c r="B10" s="56" t="s">
        <v>206</v>
      </c>
      <c r="C10" s="132" t="s">
        <v>318</v>
      </c>
      <c r="D10" s="133"/>
      <c r="E10" s="134"/>
      <c r="G10" s="56" t="s">
        <v>143</v>
      </c>
      <c r="H10" s="86" t="s">
        <v>29</v>
      </c>
      <c r="J10" s="73" t="s">
        <v>122</v>
      </c>
      <c r="K10" s="17" t="s">
        <v>152</v>
      </c>
      <c r="M10" s="87" t="s">
        <v>97</v>
      </c>
      <c r="N10" s="88">
        <v>1.237E-3</v>
      </c>
      <c r="O10" s="89"/>
      <c r="P10" s="89"/>
      <c r="Q10" s="90" t="b">
        <f t="shared" ref="Q10:Q52" si="1">IF(OR(N10="",N10=0),FALSE,TRUE)</f>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1.8329999999999999E-2</v>
      </c>
      <c r="AP10" s="83" t="b">
        <f t="shared" si="0"/>
        <v>1</v>
      </c>
      <c r="AR10" s="56" t="s">
        <v>143</v>
      </c>
      <c r="AS10" s="86" t="s">
        <v>29</v>
      </c>
      <c r="AU10" s="56" t="s">
        <v>161</v>
      </c>
      <c r="AV10" s="17" t="s">
        <v>86</v>
      </c>
      <c r="AX10" s="87" t="s">
        <v>42</v>
      </c>
      <c r="AY10" s="103">
        <v>7.8750000000000001E-4</v>
      </c>
      <c r="BA10" s="56" t="s">
        <v>161</v>
      </c>
      <c r="BB10" s="17" t="s">
        <v>86</v>
      </c>
      <c r="BD10" s="87" t="s">
        <v>42</v>
      </c>
      <c r="BE10" s="103">
        <v>1.1125E-3</v>
      </c>
      <c r="BG10" s="56" t="s">
        <v>161</v>
      </c>
      <c r="BH10" s="17" t="s">
        <v>86</v>
      </c>
      <c r="BJ10" s="87" t="s">
        <v>42</v>
      </c>
      <c r="BK10" s="103">
        <v>2.0999999999999999E-3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91">
      <c r="B11" s="56" t="s">
        <v>207</v>
      </c>
      <c r="C11" s="132" t="s">
        <v>316</v>
      </c>
      <c r="D11" s="133"/>
      <c r="E11" s="134"/>
      <c r="G11" s="56" t="s">
        <v>140</v>
      </c>
      <c r="H11" s="86" t="s">
        <v>29</v>
      </c>
      <c r="J11" s="73" t="s">
        <v>150</v>
      </c>
      <c r="K11" s="17" t="s">
        <v>149</v>
      </c>
      <c r="M11" s="87" t="s">
        <v>93</v>
      </c>
      <c r="N11" s="88">
        <v>1.2850000000000001E-3</v>
      </c>
      <c r="O11" s="89"/>
      <c r="P11" s="89"/>
      <c r="Q11" s="90" t="b">
        <f t="shared" si="1"/>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2.0375999999999998E-2</v>
      </c>
      <c r="AP11" s="83" t="b">
        <f t="shared" si="0"/>
        <v>1</v>
      </c>
      <c r="AR11" s="56" t="s">
        <v>140</v>
      </c>
      <c r="AS11" s="86" t="s">
        <v>29</v>
      </c>
      <c r="AU11" s="56" t="s">
        <v>154</v>
      </c>
      <c r="AV11" s="17" t="s">
        <v>55</v>
      </c>
      <c r="AX11" s="87" t="s">
        <v>39</v>
      </c>
      <c r="AY11" s="103">
        <v>7.3749999999999998E-4</v>
      </c>
      <c r="BA11" s="56" t="s">
        <v>154</v>
      </c>
      <c r="BB11" s="17" t="s">
        <v>55</v>
      </c>
      <c r="BD11" s="87" t="s">
        <v>39</v>
      </c>
      <c r="BE11" s="103">
        <v>1.225E-3</v>
      </c>
      <c r="BG11" s="56" t="s">
        <v>154</v>
      </c>
      <c r="BH11" s="17" t="s">
        <v>55</v>
      </c>
      <c r="BJ11" s="87" t="s">
        <v>39</v>
      </c>
      <c r="BK11" s="103">
        <v>2.3E-3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91">
      <c r="B12" s="152" t="s">
        <v>287</v>
      </c>
      <c r="C12" s="132" t="s">
        <v>317</v>
      </c>
      <c r="D12" s="133"/>
      <c r="E12" s="134"/>
      <c r="G12" s="56" t="s">
        <v>157</v>
      </c>
      <c r="H12" s="86" t="s">
        <v>29</v>
      </c>
      <c r="J12" s="73" t="s">
        <v>134</v>
      </c>
      <c r="K12" s="17" t="s">
        <v>133</v>
      </c>
      <c r="M12" s="87" t="s">
        <v>89</v>
      </c>
      <c r="N12" s="88">
        <v>1.31E-3</v>
      </c>
      <c r="O12" s="89"/>
      <c r="P12" s="89"/>
      <c r="Q12" s="90" t="b">
        <f t="shared" si="1"/>
        <v>1</v>
      </c>
      <c r="S12" s="97"/>
      <c r="T12" s="98"/>
      <c r="V12" s="56" t="s">
        <v>157</v>
      </c>
      <c r="W12" s="86" t="s">
        <v>29</v>
      </c>
      <c r="Y12" s="62"/>
      <c r="Z12" s="18"/>
      <c r="AB12" s="63" t="s">
        <v>123</v>
      </c>
      <c r="AC12" s="18" t="b">
        <v>1</v>
      </c>
      <c r="AE12" s="14"/>
      <c r="AF12" s="147"/>
      <c r="AG12" s="27"/>
      <c r="AH12" s="27"/>
      <c r="AI12" s="28"/>
      <c r="AK12" s="56" t="s">
        <v>1</v>
      </c>
      <c r="AL12" s="86" t="s">
        <v>78</v>
      </c>
      <c r="AN12" s="71" t="s">
        <v>31</v>
      </c>
      <c r="AO12" s="82">
        <v>2.2040000000000001E-2</v>
      </c>
      <c r="AP12" s="83" t="b">
        <f t="shared" si="0"/>
        <v>1</v>
      </c>
      <c r="AR12" s="56" t="s">
        <v>157</v>
      </c>
      <c r="AS12" s="86" t="s">
        <v>29</v>
      </c>
      <c r="AU12" s="56" t="s">
        <v>151</v>
      </c>
      <c r="AV12" s="17" t="s">
        <v>78</v>
      </c>
      <c r="AX12" s="87" t="s">
        <v>35</v>
      </c>
      <c r="AY12" s="103">
        <v>7.1374999999999997E-4</v>
      </c>
      <c r="BA12" s="56" t="s">
        <v>151</v>
      </c>
      <c r="BB12" s="17" t="s">
        <v>77</v>
      </c>
      <c r="BD12" s="87" t="s">
        <v>35</v>
      </c>
      <c r="BE12" s="103">
        <v>1.25E-3</v>
      </c>
      <c r="BG12" s="56" t="s">
        <v>151</v>
      </c>
      <c r="BH12" s="17" t="s">
        <v>152</v>
      </c>
      <c r="BJ12" s="87" t="s">
        <v>35</v>
      </c>
      <c r="BK12" s="103">
        <v>2.225E-3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91">
      <c r="B13" s="56" t="s">
        <v>208</v>
      </c>
      <c r="C13" s="132" t="s">
        <v>354</v>
      </c>
      <c r="D13" s="133"/>
      <c r="E13" s="134"/>
      <c r="G13" s="56" t="s">
        <v>230</v>
      </c>
      <c r="H13" s="86" t="b">
        <v>0</v>
      </c>
      <c r="J13" s="73" t="s">
        <v>156</v>
      </c>
      <c r="K13" s="17" t="s">
        <v>155</v>
      </c>
      <c r="M13" s="87" t="s">
        <v>21</v>
      </c>
      <c r="N13" s="88">
        <v>1.32E-3</v>
      </c>
      <c r="O13" s="89"/>
      <c r="P13" s="89"/>
      <c r="Q13" s="90" t="b">
        <f t="shared" si="1"/>
        <v>1</v>
      </c>
      <c r="S13" s="97"/>
      <c r="T13" s="98"/>
      <c r="V13" s="56" t="s">
        <v>230</v>
      </c>
      <c r="W13" s="86" t="b">
        <v>0</v>
      </c>
      <c r="Y13" s="6"/>
      <c r="Z13" s="4"/>
      <c r="AA13" s="6"/>
      <c r="AB13" s="8"/>
      <c r="AC13" s="4"/>
      <c r="AK13" s="56" t="s">
        <v>144</v>
      </c>
      <c r="AL13" s="86" t="s">
        <v>77</v>
      </c>
      <c r="AN13" s="71" t="s">
        <v>119</v>
      </c>
      <c r="AO13" s="82">
        <v>2.3375E-2</v>
      </c>
      <c r="AP13" s="83" t="b">
        <f t="shared" si="0"/>
        <v>1</v>
      </c>
      <c r="AR13" s="56" t="s">
        <v>230</v>
      </c>
      <c r="AS13" s="86" t="b">
        <v>0</v>
      </c>
      <c r="AU13" s="56" t="s">
        <v>148</v>
      </c>
      <c r="AV13" s="17" t="s">
        <v>40</v>
      </c>
      <c r="AX13" s="87" t="s">
        <v>33</v>
      </c>
      <c r="AY13" s="103">
        <v>7.1250000000000003E-4</v>
      </c>
      <c r="BA13" s="56" t="s">
        <v>148</v>
      </c>
      <c r="BB13" s="17" t="s">
        <v>40</v>
      </c>
      <c r="BD13" s="87" t="s">
        <v>33</v>
      </c>
      <c r="BE13" s="103">
        <v>1.2625E-3</v>
      </c>
      <c r="BG13" s="56" t="s">
        <v>148</v>
      </c>
      <c r="BH13" s="17" t="s">
        <v>40</v>
      </c>
      <c r="BJ13" s="87" t="s">
        <v>33</v>
      </c>
      <c r="BK13" s="103">
        <v>2.2000000000000001E-3</v>
      </c>
      <c r="BM13" s="56"/>
      <c r="BN13" s="86"/>
      <c r="BP13" s="56"/>
      <c r="BQ13" s="86"/>
      <c r="BS13" s="87"/>
      <c r="BT13" s="103"/>
      <c r="BV13" s="56" t="s">
        <v>230</v>
      </c>
      <c r="BW13" s="86" t="b">
        <v>0</v>
      </c>
      <c r="BY13" s="56"/>
      <c r="BZ13" s="86"/>
      <c r="CB13" s="56"/>
      <c r="CC13" s="86"/>
      <c r="CE13" s="56"/>
      <c r="CF13" s="86"/>
      <c r="CI13" s="217"/>
      <c r="CJ13" s="214"/>
    </row>
    <row r="14" spans="2:91">
      <c r="B14" s="56"/>
      <c r="C14" s="132"/>
      <c r="D14" s="133"/>
      <c r="E14" s="134"/>
      <c r="G14" s="56" t="s">
        <v>232</v>
      </c>
      <c r="H14" s="86" t="b">
        <v>1</v>
      </c>
      <c r="J14" s="73" t="s">
        <v>115</v>
      </c>
      <c r="K14" s="17" t="s">
        <v>40</v>
      </c>
      <c r="M14" s="87" t="s">
        <v>59</v>
      </c>
      <c r="N14" s="88">
        <v>1.34E-3</v>
      </c>
      <c r="O14" s="89"/>
      <c r="P14" s="89"/>
      <c r="Q14" s="90" t="b">
        <f t="shared" si="1"/>
        <v>1</v>
      </c>
      <c r="S14" s="97"/>
      <c r="T14" s="98"/>
      <c r="V14" s="56" t="s">
        <v>232</v>
      </c>
      <c r="W14" s="86" t="b">
        <v>1</v>
      </c>
      <c r="Y14" s="7" t="s">
        <v>147</v>
      </c>
      <c r="Z14" s="4"/>
      <c r="AA14" s="6"/>
      <c r="AB14" s="5" t="s">
        <v>146</v>
      </c>
      <c r="AC14" s="4"/>
      <c r="AE14" s="2" t="s">
        <v>145</v>
      </c>
      <c r="AF14" s="4"/>
      <c r="AK14" s="56" t="s">
        <v>4</v>
      </c>
      <c r="AL14" s="86" t="s">
        <v>29</v>
      </c>
      <c r="AN14" s="71" t="s">
        <v>113</v>
      </c>
      <c r="AO14" s="82">
        <v>2.4462999999999999E-2</v>
      </c>
      <c r="AP14" s="83" t="b">
        <f t="shared" si="0"/>
        <v>1</v>
      </c>
      <c r="AR14" s="56" t="s">
        <v>232</v>
      </c>
      <c r="AS14" s="86" t="b">
        <v>1</v>
      </c>
      <c r="AU14" s="56" t="s">
        <v>141</v>
      </c>
      <c r="AV14" s="17" t="s">
        <v>43</v>
      </c>
      <c r="AX14" s="87" t="s">
        <v>131</v>
      </c>
      <c r="AY14" s="103">
        <v>7.3749999999999998E-4</v>
      </c>
      <c r="BA14" s="56" t="s">
        <v>141</v>
      </c>
      <c r="BB14" s="17" t="s">
        <v>43</v>
      </c>
      <c r="BD14" s="87" t="s">
        <v>131</v>
      </c>
      <c r="BE14" s="103">
        <v>1.2375000000000001E-3</v>
      </c>
      <c r="BG14" s="56" t="s">
        <v>141</v>
      </c>
      <c r="BH14" s="17" t="s">
        <v>43</v>
      </c>
      <c r="BJ14" s="87" t="s">
        <v>31</v>
      </c>
      <c r="BK14" s="103">
        <v>2.2125000000000001E-3</v>
      </c>
      <c r="BM14" s="56"/>
      <c r="BN14" s="86"/>
      <c r="BP14" s="56"/>
      <c r="BQ14" s="86"/>
      <c r="BS14" s="87"/>
      <c r="BT14" s="103"/>
      <c r="BV14" s="56" t="s">
        <v>232</v>
      </c>
      <c r="BW14" s="86" t="b">
        <v>1</v>
      </c>
      <c r="BY14" s="56"/>
      <c r="BZ14" s="86"/>
      <c r="CB14" s="56"/>
      <c r="CC14" s="86"/>
      <c r="CE14" s="56"/>
      <c r="CF14" s="86"/>
      <c r="CI14" s="217"/>
      <c r="CJ14" s="217"/>
      <c r="CK14" s="217"/>
      <c r="CL14" s="217"/>
      <c r="CM14" s="217"/>
    </row>
    <row r="15" spans="2:91">
      <c r="B15" s="62"/>
      <c r="C15" s="135"/>
      <c r="D15" s="136"/>
      <c r="E15" s="137"/>
      <c r="G15" s="56" t="s">
        <v>110</v>
      </c>
      <c r="H15" s="86" t="b">
        <v>0</v>
      </c>
      <c r="J15" s="73" t="s">
        <v>128</v>
      </c>
      <c r="K15" s="17" t="s">
        <v>127</v>
      </c>
      <c r="M15" s="87" t="s">
        <v>53</v>
      </c>
      <c r="N15" s="88">
        <v>1.6000000000000001E-3</v>
      </c>
      <c r="O15" s="89"/>
      <c r="P15" s="89"/>
      <c r="Q15" s="90" t="b">
        <f t="shared" si="1"/>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2.5365000000000002E-2</v>
      </c>
      <c r="AP15" s="83" t="b">
        <f t="shared" si="0"/>
        <v>1</v>
      </c>
      <c r="AR15" s="56" t="s">
        <v>110</v>
      </c>
      <c r="AS15" s="86" t="b">
        <v>0</v>
      </c>
      <c r="AU15" s="56" t="s">
        <v>132</v>
      </c>
      <c r="AV15" s="31" t="s">
        <v>201</v>
      </c>
      <c r="AX15" s="87" t="s">
        <v>31</v>
      </c>
      <c r="AY15" s="103">
        <v>7.5000000000000002E-4</v>
      </c>
      <c r="BA15" s="56" t="s">
        <v>132</v>
      </c>
      <c r="BB15" s="31" t="s">
        <v>201</v>
      </c>
      <c r="BD15" s="87" t="s">
        <v>31</v>
      </c>
      <c r="BE15" s="103">
        <v>1.1999999999999999E-3</v>
      </c>
      <c r="BG15" s="56" t="s">
        <v>132</v>
      </c>
      <c r="BH15" s="31" t="s">
        <v>201</v>
      </c>
      <c r="BJ15" s="87" t="s">
        <v>28</v>
      </c>
      <c r="BK15" s="103">
        <v>2.2499999999999998E-3</v>
      </c>
      <c r="BM15" s="56"/>
      <c r="BN15" s="86"/>
      <c r="BP15" s="56"/>
      <c r="BQ15" s="86"/>
      <c r="BS15" s="87"/>
      <c r="BT15" s="103"/>
      <c r="BV15" s="56" t="s">
        <v>110</v>
      </c>
      <c r="BW15" s="86" t="b">
        <v>0</v>
      </c>
      <c r="BY15" s="56"/>
      <c r="BZ15" s="86"/>
      <c r="CB15" s="56"/>
      <c r="CC15" s="86"/>
      <c r="CE15" s="56"/>
      <c r="CF15" s="86"/>
      <c r="CI15" s="217"/>
      <c r="CJ15" s="217"/>
      <c r="CK15" s="217"/>
      <c r="CL15" s="217"/>
      <c r="CM15" s="217"/>
    </row>
    <row r="16" spans="2:91">
      <c r="G16" s="56" t="s">
        <v>107</v>
      </c>
      <c r="H16" s="86" t="b">
        <v>0</v>
      </c>
      <c r="J16" s="73" t="s">
        <v>19</v>
      </c>
      <c r="K16" s="17">
        <v>31</v>
      </c>
      <c r="M16" s="87" t="s">
        <v>74</v>
      </c>
      <c r="N16" s="88">
        <v>1.7699999999999999E-3</v>
      </c>
      <c r="O16" s="89"/>
      <c r="P16" s="89"/>
      <c r="Q16" s="90" t="b">
        <f t="shared" si="1"/>
        <v>1</v>
      </c>
      <c r="S16" s="97"/>
      <c r="T16" s="98"/>
      <c r="V16" s="56" t="s">
        <v>107</v>
      </c>
      <c r="W16" s="86" t="b">
        <v>0</v>
      </c>
      <c r="Y16" s="13" t="s">
        <v>130</v>
      </c>
      <c r="Z16" s="17" t="s">
        <v>217</v>
      </c>
      <c r="AB16" s="54"/>
      <c r="AC16" s="36"/>
      <c r="AE16" s="181" t="s">
        <v>409</v>
      </c>
      <c r="AF16" s="43">
        <v>42235</v>
      </c>
      <c r="AG16" s="43">
        <v>42326</v>
      </c>
      <c r="AH16" s="176">
        <v>99.68</v>
      </c>
      <c r="AI16" s="184"/>
      <c r="AK16" s="56" t="s">
        <v>111</v>
      </c>
      <c r="AL16" s="86" t="b">
        <v>1</v>
      </c>
      <c r="AN16" s="71" t="s">
        <v>366</v>
      </c>
      <c r="AO16" s="82">
        <v>2.6099999999999998E-2</v>
      </c>
      <c r="AP16" s="83" t="b">
        <f t="shared" si="0"/>
        <v>1</v>
      </c>
      <c r="AR16" s="56" t="s">
        <v>107</v>
      </c>
      <c r="AS16" s="86" t="b">
        <v>0</v>
      </c>
      <c r="AU16" s="56" t="s">
        <v>126</v>
      </c>
      <c r="AV16" s="31" t="s">
        <v>63</v>
      </c>
      <c r="AX16" s="87" t="s">
        <v>119</v>
      </c>
      <c r="AY16" s="103">
        <v>7.7999999999999999E-4</v>
      </c>
      <c r="BA16" s="56" t="s">
        <v>126</v>
      </c>
      <c r="BB16" s="31" t="s">
        <v>63</v>
      </c>
      <c r="BD16" s="87" t="s">
        <v>119</v>
      </c>
      <c r="BE16" s="103">
        <v>1.1624999999999999E-3</v>
      </c>
      <c r="BG16" s="56" t="s">
        <v>126</v>
      </c>
      <c r="BH16" s="31" t="s">
        <v>63</v>
      </c>
      <c r="BJ16" s="87" t="s">
        <v>26</v>
      </c>
      <c r="BK16" s="103">
        <v>2.2374999999999999E-3</v>
      </c>
      <c r="BM16" s="56"/>
      <c r="BN16" s="86"/>
      <c r="BP16" s="78"/>
      <c r="BQ16" s="106"/>
      <c r="BS16" s="87"/>
      <c r="BT16" s="103"/>
      <c r="BV16" s="56" t="s">
        <v>107</v>
      </c>
      <c r="BW16" s="86" t="b">
        <v>0</v>
      </c>
      <c r="BY16" s="56"/>
      <c r="BZ16" s="86"/>
      <c r="CB16" s="56"/>
      <c r="CC16" s="86"/>
      <c r="CE16" s="56"/>
      <c r="CF16" s="86"/>
      <c r="CI16" s="217"/>
      <c r="CJ16" s="217"/>
      <c r="CK16" s="217"/>
      <c r="CL16" s="217"/>
      <c r="CM16" s="217"/>
    </row>
    <row r="17" spans="2:91">
      <c r="B17" s="2" t="s">
        <v>355</v>
      </c>
      <c r="C17" s="9"/>
      <c r="G17" s="56" t="s">
        <v>100</v>
      </c>
      <c r="H17" s="86" t="s">
        <v>29</v>
      </c>
      <c r="J17" s="73" t="s">
        <v>103</v>
      </c>
      <c r="K17" s="17" t="b">
        <v>1</v>
      </c>
      <c r="M17" s="87" t="s">
        <v>70</v>
      </c>
      <c r="N17" s="88">
        <v>1.92E-3</v>
      </c>
      <c r="O17" s="89"/>
      <c r="P17" s="89"/>
      <c r="Q17" s="90" t="b">
        <f t="shared" si="1"/>
        <v>1</v>
      </c>
      <c r="S17" s="97"/>
      <c r="T17" s="98"/>
      <c r="V17" s="56" t="s">
        <v>100</v>
      </c>
      <c r="W17" s="86" t="s">
        <v>29</v>
      </c>
      <c r="Y17" s="13" t="s">
        <v>122</v>
      </c>
      <c r="Z17" s="17" t="s">
        <v>222</v>
      </c>
      <c r="AB17" s="54"/>
      <c r="AC17" s="36"/>
      <c r="AE17" s="42" t="s">
        <v>410</v>
      </c>
      <c r="AF17" s="43">
        <v>42263</v>
      </c>
      <c r="AG17" s="43">
        <v>42354</v>
      </c>
      <c r="AH17" s="176">
        <v>99.625</v>
      </c>
      <c r="AI17" s="184"/>
      <c r="AK17" s="56" t="s">
        <v>102</v>
      </c>
      <c r="AL17" s="86" t="b">
        <v>1</v>
      </c>
      <c r="AN17" s="71" t="s">
        <v>26</v>
      </c>
      <c r="AO17" s="82">
        <v>2.6724999999999999E-2</v>
      </c>
      <c r="AP17" s="83" t="b">
        <f t="shared" si="0"/>
        <v>1</v>
      </c>
      <c r="AR17" s="56" t="s">
        <v>100</v>
      </c>
      <c r="AS17" s="86" t="s">
        <v>29</v>
      </c>
      <c r="AU17" s="56" t="s">
        <v>120</v>
      </c>
      <c r="AV17" s="109" t="s">
        <v>23</v>
      </c>
      <c r="AX17" s="87" t="s">
        <v>113</v>
      </c>
      <c r="AY17" s="103">
        <v>8.0999999999999996E-4</v>
      </c>
      <c r="BA17" s="56" t="s">
        <v>120</v>
      </c>
      <c r="BB17" s="109" t="s">
        <v>53</v>
      </c>
      <c r="BD17" s="87" t="s">
        <v>113</v>
      </c>
      <c r="BE17" s="103">
        <v>1.1249999999999999E-3</v>
      </c>
      <c r="BG17" s="56" t="s">
        <v>120</v>
      </c>
      <c r="BH17" s="109" t="s">
        <v>265</v>
      </c>
      <c r="BJ17" s="87" t="s">
        <v>24</v>
      </c>
      <c r="BK17" s="103">
        <v>2.2374999999999999E-3</v>
      </c>
      <c r="BM17" s="56"/>
      <c r="BN17" s="86"/>
      <c r="BP17" s="79"/>
      <c r="BQ17" s="107"/>
      <c r="BS17" s="87"/>
      <c r="BT17" s="103"/>
      <c r="BV17" s="56" t="s">
        <v>100</v>
      </c>
      <c r="BW17" s="86" t="s">
        <v>29</v>
      </c>
      <c r="BY17" s="56"/>
      <c r="BZ17" s="86"/>
      <c r="CB17" s="56"/>
      <c r="CC17" s="86"/>
      <c r="CE17" s="56"/>
      <c r="CF17" s="86"/>
      <c r="CI17" s="217"/>
      <c r="CJ17" s="217"/>
      <c r="CK17" s="217"/>
      <c r="CL17" s="217"/>
      <c r="CM17" s="217"/>
    </row>
    <row r="18" spans="2:91">
      <c r="B18" s="55" t="s">
        <v>201</v>
      </c>
      <c r="C18" s="126" t="s">
        <v>349</v>
      </c>
      <c r="D18" s="127"/>
      <c r="E18" s="128"/>
      <c r="G18" s="56" t="s">
        <v>235</v>
      </c>
      <c r="H18" s="86" t="b">
        <v>0</v>
      </c>
      <c r="J18" s="56"/>
      <c r="K18" s="15"/>
      <c r="M18" s="87" t="s">
        <v>23</v>
      </c>
      <c r="N18" s="88">
        <v>2.1800000000000001E-3</v>
      </c>
      <c r="O18" s="89"/>
      <c r="P18" s="89"/>
      <c r="Q18" s="90" t="b">
        <f t="shared" si="1"/>
        <v>1</v>
      </c>
      <c r="S18" s="97"/>
      <c r="T18" s="98"/>
      <c r="V18" s="56" t="s">
        <v>235</v>
      </c>
      <c r="W18" s="86" t="b">
        <v>0</v>
      </c>
      <c r="Y18" s="13" t="s">
        <v>134</v>
      </c>
      <c r="Z18" s="17" t="s">
        <v>43</v>
      </c>
      <c r="AB18" s="54"/>
      <c r="AC18" s="36"/>
      <c r="AE18" s="45" t="s">
        <v>411</v>
      </c>
      <c r="AF18" s="46">
        <v>42298</v>
      </c>
      <c r="AG18" s="46">
        <v>42389</v>
      </c>
      <c r="AH18" s="177">
        <v>99.575000000000003</v>
      </c>
      <c r="AI18" s="185"/>
      <c r="AK18" s="56" t="s">
        <v>94</v>
      </c>
      <c r="AL18" s="86">
        <v>2</v>
      </c>
      <c r="AN18" s="71" t="s">
        <v>24</v>
      </c>
      <c r="AO18" s="82">
        <v>2.8036999999999999E-2</v>
      </c>
      <c r="AP18" s="83" t="b">
        <f t="shared" si="0"/>
        <v>1</v>
      </c>
      <c r="AR18" s="56" t="s">
        <v>235</v>
      </c>
      <c r="AS18" s="86" t="b">
        <v>0</v>
      </c>
      <c r="AU18" s="56" t="s">
        <v>114</v>
      </c>
      <c r="AV18" s="17" t="s">
        <v>55</v>
      </c>
      <c r="AX18" s="87" t="s">
        <v>28</v>
      </c>
      <c r="AY18" s="103">
        <v>8.0000000000000004E-4</v>
      </c>
      <c r="BA18" s="56" t="s">
        <v>114</v>
      </c>
      <c r="BB18" s="17" t="s">
        <v>55</v>
      </c>
      <c r="BD18" s="87" t="s">
        <v>28</v>
      </c>
      <c r="BE18" s="103">
        <v>1.1000000000000001E-3</v>
      </c>
      <c r="BG18" s="56" t="s">
        <v>114</v>
      </c>
      <c r="BH18" s="17" t="s">
        <v>55</v>
      </c>
      <c r="BJ18" s="87" t="s">
        <v>20</v>
      </c>
      <c r="BK18" s="103">
        <v>2.225E-3</v>
      </c>
      <c r="BM18" s="56"/>
      <c r="BN18" s="86"/>
      <c r="BP18" s="56"/>
      <c r="BQ18" s="86"/>
      <c r="BS18" s="87"/>
      <c r="BT18" s="103"/>
      <c r="BV18" s="56" t="s">
        <v>235</v>
      </c>
      <c r="BW18" s="86" t="b">
        <v>0</v>
      </c>
      <c r="BY18" s="56"/>
      <c r="BZ18" s="86"/>
      <c r="CB18" s="56"/>
      <c r="CC18" s="86"/>
      <c r="CE18" s="56"/>
      <c r="CF18" s="86"/>
      <c r="CI18" s="217"/>
      <c r="CJ18" s="217"/>
      <c r="CK18" s="217"/>
      <c r="CL18" s="217"/>
      <c r="CM18" s="217"/>
    </row>
    <row r="19" spans="2:91">
      <c r="B19" s="56" t="s">
        <v>63</v>
      </c>
      <c r="C19" s="129" t="s">
        <v>9</v>
      </c>
      <c r="D19" s="130"/>
      <c r="E19" s="131"/>
      <c r="G19" s="56" t="s">
        <v>254</v>
      </c>
      <c r="H19" s="86" t="b">
        <v>1</v>
      </c>
      <c r="J19" s="56"/>
      <c r="K19" s="15"/>
      <c r="M19" s="87" t="s">
        <v>57</v>
      </c>
      <c r="N19" s="88">
        <v>2.8999999999999998E-3</v>
      </c>
      <c r="O19" s="89"/>
      <c r="P19" s="89"/>
      <c r="Q19" s="90" t="b">
        <f t="shared" si="1"/>
        <v>1</v>
      </c>
      <c r="S19" s="97"/>
      <c r="T19" s="98"/>
      <c r="V19" s="56" t="s">
        <v>254</v>
      </c>
      <c r="W19" s="86" t="b">
        <v>1</v>
      </c>
      <c r="Y19" s="57" t="s">
        <v>115</v>
      </c>
      <c r="Z19" s="17" t="s">
        <v>227</v>
      </c>
      <c r="AB19" s="54"/>
      <c r="AC19" s="36"/>
      <c r="AE19" s="45" t="s">
        <v>412</v>
      </c>
      <c r="AF19" s="46">
        <v>42326</v>
      </c>
      <c r="AG19" s="46">
        <v>42417</v>
      </c>
      <c r="AH19" s="177">
        <v>99.525000000000006</v>
      </c>
      <c r="AI19" s="185"/>
      <c r="AK19" s="56" t="s">
        <v>90</v>
      </c>
      <c r="AL19" s="86" t="s">
        <v>40</v>
      </c>
      <c r="AN19" s="71" t="s">
        <v>20</v>
      </c>
      <c r="AO19" s="82">
        <v>2.9229999999999999E-2</v>
      </c>
      <c r="AP19" s="83" t="b">
        <f t="shared" si="0"/>
        <v>1</v>
      </c>
      <c r="AR19" s="56" t="s">
        <v>254</v>
      </c>
      <c r="AS19" s="86" t="b">
        <v>1</v>
      </c>
      <c r="AU19" s="56" t="s">
        <v>109</v>
      </c>
      <c r="AV19" s="17" t="s">
        <v>46</v>
      </c>
      <c r="AX19" s="87" t="s">
        <v>26</v>
      </c>
      <c r="AY19" s="103">
        <v>8.3750000000000003E-4</v>
      </c>
      <c r="BA19" s="56" t="s">
        <v>109</v>
      </c>
      <c r="BB19" s="17" t="s">
        <v>46</v>
      </c>
      <c r="BD19" s="87" t="s">
        <v>26</v>
      </c>
      <c r="BE19" s="103">
        <v>1.0625000000000001E-3</v>
      </c>
      <c r="BG19" s="56" t="s">
        <v>109</v>
      </c>
      <c r="BH19" s="17" t="s">
        <v>46</v>
      </c>
      <c r="BJ19" s="87" t="s">
        <v>18</v>
      </c>
      <c r="BK19" s="103">
        <v>2.2000000000000001E-3</v>
      </c>
      <c r="BM19" s="56"/>
      <c r="BN19" s="86"/>
      <c r="BP19" s="56"/>
      <c r="BQ19" s="86"/>
      <c r="BS19" s="87"/>
      <c r="BT19" s="103"/>
      <c r="BV19" s="56" t="s">
        <v>254</v>
      </c>
      <c r="BW19" s="86" t="b">
        <v>1</v>
      </c>
      <c r="BY19" s="56"/>
      <c r="BZ19" s="86"/>
      <c r="CB19" s="56"/>
      <c r="CC19" s="86"/>
      <c r="CE19" s="56"/>
      <c r="CF19" s="86"/>
      <c r="CI19" s="217"/>
      <c r="CJ19" s="217"/>
      <c r="CK19" s="217"/>
      <c r="CL19" s="217"/>
      <c r="CM19" s="217"/>
    </row>
    <row r="20" spans="2:91">
      <c r="B20" s="56" t="s">
        <v>363</v>
      </c>
      <c r="C20" s="129" t="s">
        <v>8</v>
      </c>
      <c r="D20" s="133"/>
      <c r="E20" s="134"/>
      <c r="G20" s="56" t="s">
        <v>91</v>
      </c>
      <c r="H20" s="86" t="s">
        <v>29</v>
      </c>
      <c r="J20" s="56"/>
      <c r="K20" s="15"/>
      <c r="M20" s="87" t="s">
        <v>265</v>
      </c>
      <c r="N20" s="88">
        <v>3.6800000000000001E-3</v>
      </c>
      <c r="O20" s="89"/>
      <c r="P20" s="89"/>
      <c r="Q20" s="90" t="b">
        <f t="shared" si="1"/>
        <v>1</v>
      </c>
      <c r="S20" s="97"/>
      <c r="T20" s="98"/>
      <c r="V20" s="56" t="s">
        <v>91</v>
      </c>
      <c r="W20" s="86" t="s">
        <v>29</v>
      </c>
      <c r="Y20" s="57" t="s">
        <v>123</v>
      </c>
      <c r="Z20" s="17" t="b">
        <v>1</v>
      </c>
      <c r="AB20" s="54"/>
      <c r="AC20" s="36"/>
      <c r="AE20" s="45" t="s">
        <v>413</v>
      </c>
      <c r="AF20" s="46">
        <v>42354</v>
      </c>
      <c r="AG20" s="46">
        <v>42445</v>
      </c>
      <c r="AH20" s="177">
        <v>99.454999999999998</v>
      </c>
      <c r="AI20" s="185"/>
      <c r="AK20" s="56" t="s">
        <v>34</v>
      </c>
      <c r="AL20" s="86" t="b">
        <v>1</v>
      </c>
      <c r="AN20" s="71" t="s">
        <v>18</v>
      </c>
      <c r="AO20" s="82">
        <v>2.9790000000000001E-2</v>
      </c>
      <c r="AP20" s="83" t="b">
        <f t="shared" si="0"/>
        <v>1</v>
      </c>
      <c r="AR20" s="56" t="s">
        <v>91</v>
      </c>
      <c r="AS20" s="86" t="s">
        <v>29</v>
      </c>
      <c r="AU20" s="56" t="s">
        <v>105</v>
      </c>
      <c r="AV20" s="17" t="s">
        <v>48</v>
      </c>
      <c r="AX20" s="87" t="s">
        <v>24</v>
      </c>
      <c r="AY20" s="103">
        <v>8.7874999999999997E-4</v>
      </c>
      <c r="BA20" s="56" t="s">
        <v>105</v>
      </c>
      <c r="BB20" s="17" t="s">
        <v>48</v>
      </c>
      <c r="BD20" s="87" t="s">
        <v>24</v>
      </c>
      <c r="BE20" s="103">
        <v>1.0375E-3</v>
      </c>
      <c r="BG20" s="56" t="s">
        <v>105</v>
      </c>
      <c r="BH20" s="17" t="s">
        <v>48</v>
      </c>
      <c r="BJ20" s="87" t="s">
        <v>17</v>
      </c>
      <c r="BK20" s="103">
        <v>2.2125000000000001E-3</v>
      </c>
      <c r="BM20" s="56"/>
      <c r="BN20" s="86"/>
      <c r="BP20" s="56"/>
      <c r="BQ20" s="86"/>
      <c r="BS20" s="87"/>
      <c r="BT20" s="103"/>
      <c r="BV20" s="56" t="s">
        <v>91</v>
      </c>
      <c r="BW20" s="86" t="s">
        <v>29</v>
      </c>
      <c r="BY20" s="56"/>
      <c r="BZ20" s="86"/>
      <c r="CB20" s="56"/>
      <c r="CC20" s="86"/>
      <c r="CE20" s="56"/>
      <c r="CF20" s="86"/>
      <c r="CI20" s="217"/>
      <c r="CJ20" s="217"/>
      <c r="CK20" s="217"/>
      <c r="CL20" s="217"/>
      <c r="CM20" s="217"/>
    </row>
    <row r="21" spans="2:91">
      <c r="B21" s="56" t="s">
        <v>206</v>
      </c>
      <c r="C21" s="132" t="s">
        <v>318</v>
      </c>
      <c r="D21" s="133"/>
      <c r="E21" s="134"/>
      <c r="G21" s="56"/>
      <c r="H21" s="86"/>
      <c r="J21" s="56"/>
      <c r="K21" s="15"/>
      <c r="M21" s="87" t="s">
        <v>45</v>
      </c>
      <c r="N21" s="88">
        <v>5.4400000000000004E-3</v>
      </c>
      <c r="O21" s="89"/>
      <c r="P21" s="89"/>
      <c r="Q21" s="90" t="b">
        <f t="shared" si="1"/>
        <v>1</v>
      </c>
      <c r="S21" s="97"/>
      <c r="T21" s="98"/>
      <c r="V21" s="56" t="s">
        <v>81</v>
      </c>
      <c r="W21" s="86" t="s">
        <v>201</v>
      </c>
      <c r="Y21" s="57"/>
      <c r="Z21" s="17"/>
      <c r="AB21" s="54"/>
      <c r="AC21" s="36"/>
      <c r="AE21" s="45" t="s">
        <v>414</v>
      </c>
      <c r="AF21" s="46">
        <v>42445</v>
      </c>
      <c r="AG21" s="46">
        <v>42536</v>
      </c>
      <c r="AH21" s="177">
        <v>99.265000000000001</v>
      </c>
      <c r="AI21" s="185"/>
      <c r="AK21" s="56" t="s">
        <v>99</v>
      </c>
      <c r="AL21" s="86" t="s">
        <v>98</v>
      </c>
      <c r="AN21" s="71" t="s">
        <v>17</v>
      </c>
      <c r="AO21" s="82">
        <v>3.0135000000000002E-2</v>
      </c>
      <c r="AP21" s="83" t="b">
        <f t="shared" si="0"/>
        <v>1</v>
      </c>
      <c r="AR21" s="56" t="s">
        <v>81</v>
      </c>
      <c r="AS21" s="86" t="s">
        <v>201</v>
      </c>
      <c r="AU21" s="56" t="s">
        <v>101</v>
      </c>
      <c r="AV21" s="17" t="s">
        <v>46</v>
      </c>
      <c r="AX21" s="87" t="s">
        <v>20</v>
      </c>
      <c r="AY21" s="103">
        <v>8.9999999999999998E-4</v>
      </c>
      <c r="BA21" s="56" t="s">
        <v>101</v>
      </c>
      <c r="BB21" s="17" t="s">
        <v>46</v>
      </c>
      <c r="BD21" s="87" t="s">
        <v>20</v>
      </c>
      <c r="BE21" s="103">
        <v>1.0499999999999999E-3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17"/>
      <c r="CK21" s="217"/>
      <c r="CL21" s="217"/>
      <c r="CM21" s="217"/>
    </row>
    <row r="22" spans="2:91">
      <c r="B22" s="56" t="s">
        <v>207</v>
      </c>
      <c r="C22" s="132" t="s">
        <v>316</v>
      </c>
      <c r="D22" s="133"/>
      <c r="E22" s="134"/>
      <c r="G22" s="56"/>
      <c r="H22" s="17"/>
      <c r="J22" s="56"/>
      <c r="K22" s="17"/>
      <c r="M22" s="87" t="s">
        <v>42</v>
      </c>
      <c r="N22" s="88">
        <v>7.28E-3</v>
      </c>
      <c r="O22" s="89" t="s">
        <v>88</v>
      </c>
      <c r="P22" s="89" t="s">
        <v>88</v>
      </c>
      <c r="Q22" s="90" t="b">
        <f t="shared" si="1"/>
        <v>1</v>
      </c>
      <c r="S22" s="97"/>
      <c r="T22" s="98"/>
      <c r="V22" s="56"/>
      <c r="W22" s="86"/>
      <c r="Y22" s="57"/>
      <c r="Z22" s="17"/>
      <c r="AB22" s="54"/>
      <c r="AC22" s="36"/>
      <c r="AE22" s="45" t="s">
        <v>415</v>
      </c>
      <c r="AF22" s="46">
        <v>42536</v>
      </c>
      <c r="AG22" s="46">
        <v>42634</v>
      </c>
      <c r="AH22" s="177">
        <v>99.06</v>
      </c>
      <c r="AI22" s="185"/>
      <c r="AK22" s="56"/>
      <c r="AL22" s="86"/>
      <c r="AN22" s="71" t="s">
        <v>15</v>
      </c>
      <c r="AO22" s="82">
        <v>3.0314999999999998E-2</v>
      </c>
      <c r="AP22" s="83" t="b">
        <f t="shared" si="0"/>
        <v>1</v>
      </c>
      <c r="AR22" s="56"/>
      <c r="AS22" s="17"/>
      <c r="AU22" s="56" t="s">
        <v>96</v>
      </c>
      <c r="AV22" s="17" t="s">
        <v>43</v>
      </c>
      <c r="AX22" s="87" t="s">
        <v>18</v>
      </c>
      <c r="AY22" s="103">
        <v>9.1250000000000001E-4</v>
      </c>
      <c r="BA22" s="56" t="s">
        <v>96</v>
      </c>
      <c r="BB22" s="17" t="s">
        <v>43</v>
      </c>
      <c r="BD22" s="87" t="s">
        <v>18</v>
      </c>
      <c r="BE22" s="103">
        <v>1.075E-3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17"/>
      <c r="CK22" s="217"/>
      <c r="CL22" s="217"/>
      <c r="CM22" s="217"/>
    </row>
    <row r="23" spans="2:91">
      <c r="B23" s="152" t="s">
        <v>287</v>
      </c>
      <c r="C23" s="132" t="s">
        <v>317</v>
      </c>
      <c r="D23" s="133"/>
      <c r="E23" s="134"/>
      <c r="G23" s="13"/>
      <c r="H23" s="30"/>
      <c r="J23" s="13"/>
      <c r="K23" s="30"/>
      <c r="M23" s="87" t="s">
        <v>39</v>
      </c>
      <c r="N23" s="88">
        <v>1.0620000000000001E-2</v>
      </c>
      <c r="O23" s="89" t="s">
        <v>88</v>
      </c>
      <c r="P23" s="89" t="s">
        <v>88</v>
      </c>
      <c r="Q23" s="90" t="b">
        <f t="shared" si="1"/>
        <v>1</v>
      </c>
      <c r="S23" s="97"/>
      <c r="T23" s="98"/>
      <c r="V23" s="56"/>
      <c r="W23" s="86"/>
      <c r="Y23" s="57"/>
      <c r="Z23" s="17"/>
      <c r="AB23" s="54"/>
      <c r="AC23" s="36"/>
      <c r="AE23" s="45" t="s">
        <v>416</v>
      </c>
      <c r="AF23" s="46">
        <v>42634</v>
      </c>
      <c r="AG23" s="46">
        <v>42725</v>
      </c>
      <c r="AH23" s="177">
        <v>98.83</v>
      </c>
      <c r="AI23" s="185"/>
      <c r="AK23" s="56"/>
      <c r="AL23" s="86"/>
      <c r="AN23" s="71" t="s">
        <v>14</v>
      </c>
      <c r="AO23" s="82">
        <v>3.0139999999999997E-2</v>
      </c>
      <c r="AP23" s="83" t="b">
        <f t="shared" si="0"/>
        <v>1</v>
      </c>
      <c r="AR23" s="13"/>
      <c r="AS23" s="30"/>
      <c r="AU23" s="79" t="s">
        <v>92</v>
      </c>
      <c r="AV23" s="20" t="s">
        <v>40</v>
      </c>
      <c r="AX23" s="87" t="s">
        <v>17</v>
      </c>
      <c r="AY23" s="103">
        <v>9.1250000000000001E-4</v>
      </c>
      <c r="BA23" s="79" t="s">
        <v>92</v>
      </c>
      <c r="BB23" s="20" t="s">
        <v>40</v>
      </c>
      <c r="BD23" s="87" t="s">
        <v>17</v>
      </c>
      <c r="BE23" s="103">
        <v>1.0874999999999999E-3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17"/>
      <c r="CK23" s="217"/>
      <c r="CL23" s="217"/>
      <c r="CM23" s="217"/>
    </row>
    <row r="24" spans="2:91">
      <c r="B24" s="56"/>
      <c r="C24" s="132"/>
      <c r="D24" s="133"/>
      <c r="E24" s="134"/>
      <c r="G24" s="14"/>
      <c r="H24" s="32"/>
      <c r="J24" s="14"/>
      <c r="K24" s="32"/>
      <c r="M24" s="87" t="s">
        <v>35</v>
      </c>
      <c r="N24" s="88">
        <v>1.3469999999999999E-2</v>
      </c>
      <c r="O24" s="89" t="s">
        <v>88</v>
      </c>
      <c r="P24" s="89" t="s">
        <v>88</v>
      </c>
      <c r="Q24" s="90" t="b">
        <f t="shared" si="1"/>
        <v>1</v>
      </c>
      <c r="S24" s="97"/>
      <c r="T24" s="98"/>
      <c r="V24" s="56"/>
      <c r="W24" s="86"/>
      <c r="Y24" s="57"/>
      <c r="Z24" s="17"/>
      <c r="AB24" s="54"/>
      <c r="AC24" s="36"/>
      <c r="AE24" s="45" t="s">
        <v>417</v>
      </c>
      <c r="AF24" s="46">
        <v>42725</v>
      </c>
      <c r="AG24" s="46">
        <v>42809</v>
      </c>
      <c r="AH24" s="177">
        <v>98.605000000000004</v>
      </c>
      <c r="AI24" s="185"/>
      <c r="AK24" s="56"/>
      <c r="AL24" s="86"/>
      <c r="AN24" s="71" t="s">
        <v>88</v>
      </c>
      <c r="AO24" s="82" t="s">
        <v>88</v>
      </c>
      <c r="AP24" s="83" t="b">
        <f t="shared" si="0"/>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17"/>
      <c r="CK24" s="217"/>
      <c r="CL24" s="217"/>
      <c r="CM24" s="217"/>
    </row>
    <row r="25" spans="2:91">
      <c r="B25" s="62"/>
      <c r="C25" s="135"/>
      <c r="D25" s="136"/>
      <c r="E25" s="137"/>
      <c r="M25" s="87" t="s">
        <v>33</v>
      </c>
      <c r="N25" s="88">
        <v>1.5910000000000001E-2</v>
      </c>
      <c r="O25" s="89"/>
      <c r="P25" s="89"/>
      <c r="Q25" s="90" t="b">
        <f t="shared" si="1"/>
        <v>1</v>
      </c>
      <c r="S25" s="97"/>
      <c r="T25" s="98"/>
      <c r="V25" s="56"/>
      <c r="W25" s="86"/>
      <c r="Y25" s="58"/>
      <c r="Z25" s="20"/>
      <c r="AB25" s="65"/>
      <c r="AC25" s="41"/>
      <c r="AE25" s="48" t="s">
        <v>418</v>
      </c>
      <c r="AF25" s="46">
        <v>42809</v>
      </c>
      <c r="AG25" s="46">
        <v>42907</v>
      </c>
      <c r="AH25" s="178">
        <v>98.415000000000006</v>
      </c>
      <c r="AI25" s="185"/>
      <c r="AK25" s="56"/>
      <c r="AL25" s="86"/>
      <c r="AN25" s="71" t="s">
        <v>88</v>
      </c>
      <c r="AO25" s="82" t="s">
        <v>88</v>
      </c>
      <c r="AP25" s="83" t="b">
        <f t="shared" si="0"/>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17"/>
      <c r="CK25" s="217"/>
      <c r="CL25" s="217"/>
      <c r="CM25" s="217"/>
    </row>
    <row r="26" spans="2:91">
      <c r="M26" s="87" t="s">
        <v>31</v>
      </c>
      <c r="N26" s="88">
        <v>1.9562800000000002E-2</v>
      </c>
      <c r="O26" s="89"/>
      <c r="P26" s="89"/>
      <c r="Q26" s="90" t="b">
        <f t="shared" si="1"/>
        <v>1</v>
      </c>
      <c r="S26" s="97"/>
      <c r="T26" s="98"/>
      <c r="V26" s="13"/>
      <c r="W26" s="30"/>
      <c r="Y26" s="57"/>
      <c r="Z26" s="17"/>
      <c r="AB26" s="54"/>
      <c r="AC26" s="36"/>
      <c r="AE26" s="50" t="s">
        <v>419</v>
      </c>
      <c r="AF26" s="182">
        <v>42907</v>
      </c>
      <c r="AG26" s="182">
        <v>42998</v>
      </c>
      <c r="AH26" s="178">
        <v>98.23</v>
      </c>
      <c r="AI26" s="186"/>
      <c r="AK26" s="56"/>
      <c r="AL26" s="86"/>
      <c r="AN26" s="71" t="s">
        <v>88</v>
      </c>
      <c r="AO26" s="82" t="s">
        <v>88</v>
      </c>
      <c r="AP26" s="83" t="b">
        <f t="shared" si="0"/>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17"/>
      <c r="CK26" s="217"/>
      <c r="CL26" s="217"/>
      <c r="CM26" s="217"/>
    </row>
    <row r="27" spans="2:91">
      <c r="B27" s="2" t="s">
        <v>356</v>
      </c>
      <c r="C27" s="9"/>
      <c r="M27" s="87" t="s">
        <v>28</v>
      </c>
      <c r="N27" s="88">
        <v>2.2876500000000001E-2</v>
      </c>
      <c r="O27" s="89"/>
      <c r="P27" s="89"/>
      <c r="Q27" s="90" t="b">
        <f t="shared" si="1"/>
        <v>1</v>
      </c>
      <c r="S27" s="97"/>
      <c r="T27" s="98"/>
      <c r="V27" s="13"/>
      <c r="W27" s="30"/>
      <c r="Y27" s="59" t="s">
        <v>80</v>
      </c>
      <c r="Z27" s="17"/>
      <c r="AB27" s="59" t="s">
        <v>79</v>
      </c>
      <c r="AC27" s="36"/>
      <c r="AE27" s="50" t="s">
        <v>420</v>
      </c>
      <c r="AF27" s="182">
        <v>42998</v>
      </c>
      <c r="AG27" s="182">
        <v>43089</v>
      </c>
      <c r="AH27" s="178">
        <v>98.07</v>
      </c>
      <c r="AI27" s="186"/>
      <c r="AK27" s="56"/>
      <c r="AL27" s="86"/>
      <c r="AN27" s="71" t="s">
        <v>88</v>
      </c>
      <c r="AO27" s="82" t="s">
        <v>88</v>
      </c>
      <c r="AP27" s="83" t="b">
        <f t="shared" si="0"/>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17"/>
      <c r="CK27" s="217"/>
      <c r="CL27" s="217"/>
      <c r="CM27" s="217"/>
    </row>
    <row r="28" spans="2:91">
      <c r="B28" s="55" t="s">
        <v>201</v>
      </c>
      <c r="C28" s="126" t="s">
        <v>202</v>
      </c>
      <c r="D28" s="127"/>
      <c r="E28" s="128"/>
      <c r="M28" s="87" t="s">
        <v>26</v>
      </c>
      <c r="N28" s="88">
        <v>2.4225799999999999E-2</v>
      </c>
      <c r="O28" s="89"/>
      <c r="P28" s="89"/>
      <c r="Q28" s="90" t="b">
        <f t="shared" si="1"/>
        <v>1</v>
      </c>
      <c r="S28" s="97"/>
      <c r="T28" s="98"/>
      <c r="V28" s="13"/>
      <c r="W28" s="30"/>
      <c r="Y28" s="60" t="s">
        <v>76</v>
      </c>
      <c r="Z28" s="16" t="s">
        <v>75</v>
      </c>
      <c r="AB28" s="60" t="s">
        <v>76</v>
      </c>
      <c r="AC28" s="16" t="s">
        <v>75</v>
      </c>
      <c r="AE28" s="50" t="s">
        <v>421</v>
      </c>
      <c r="AF28" s="182">
        <v>43089</v>
      </c>
      <c r="AG28" s="182">
        <v>43180</v>
      </c>
      <c r="AH28" s="178">
        <v>97.915000000000006</v>
      </c>
      <c r="AI28" s="186"/>
      <c r="AK28" s="56"/>
      <c r="AL28" s="86"/>
      <c r="AN28" s="71" t="s">
        <v>88</v>
      </c>
      <c r="AO28" s="82" t="s">
        <v>88</v>
      </c>
      <c r="AP28" s="83" t="b">
        <f t="shared" si="0"/>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17"/>
      <c r="CK28" s="217"/>
      <c r="CL28" s="217"/>
      <c r="CM28" s="217"/>
    </row>
    <row r="29" spans="2:91">
      <c r="B29" s="56" t="s">
        <v>63</v>
      </c>
      <c r="C29" s="129" t="s">
        <v>9</v>
      </c>
      <c r="D29" s="130"/>
      <c r="E29" s="131"/>
      <c r="M29" s="87" t="s">
        <v>24</v>
      </c>
      <c r="N29" s="88">
        <v>2.5529099999999999E-2</v>
      </c>
      <c r="O29" s="89"/>
      <c r="P29" s="89"/>
      <c r="Q29" s="90" t="b">
        <f t="shared" si="1"/>
        <v>1</v>
      </c>
      <c r="S29" s="97"/>
      <c r="T29" s="98"/>
      <c r="V29" s="13"/>
      <c r="W29" s="30"/>
      <c r="Y29" s="54" t="s">
        <v>53</v>
      </c>
      <c r="Z29" s="188">
        <v>2.8579999999999999E-3</v>
      </c>
      <c r="AB29" s="54"/>
      <c r="AC29" s="36"/>
      <c r="AE29" s="50" t="s">
        <v>422</v>
      </c>
      <c r="AF29" s="182">
        <v>43180</v>
      </c>
      <c r="AG29" s="182">
        <v>43271</v>
      </c>
      <c r="AH29" s="178">
        <v>97.784999999999997</v>
      </c>
      <c r="AI29" s="186"/>
      <c r="AK29" s="56"/>
      <c r="AL29" s="86"/>
      <c r="AN29" s="71" t="s">
        <v>88</v>
      </c>
      <c r="AO29" s="82" t="s">
        <v>88</v>
      </c>
      <c r="AP29" s="83" t="b">
        <f t="shared" si="0"/>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17"/>
      <c r="CK29" s="217"/>
      <c r="CL29" s="217"/>
      <c r="CM29" s="217"/>
    </row>
    <row r="30" spans="2:91">
      <c r="B30" s="56" t="s">
        <v>206</v>
      </c>
      <c r="C30" s="132" t="s">
        <v>318</v>
      </c>
      <c r="D30" s="133"/>
      <c r="E30" s="134"/>
      <c r="M30" s="87" t="s">
        <v>20</v>
      </c>
      <c r="N30" s="88">
        <v>2.6720399999999998E-2</v>
      </c>
      <c r="O30" s="89"/>
      <c r="P30" s="89"/>
      <c r="Q30" s="90" t="b">
        <f t="shared" si="1"/>
        <v>1</v>
      </c>
      <c r="S30" s="97"/>
      <c r="T30" s="98"/>
      <c r="V30" s="13"/>
      <c r="W30" s="30"/>
      <c r="Y30" s="54"/>
      <c r="Z30" s="36"/>
      <c r="AB30" s="54"/>
      <c r="AC30" s="36"/>
      <c r="AE30" s="50" t="s">
        <v>12</v>
      </c>
      <c r="AF30" s="182" t="s">
        <v>12</v>
      </c>
      <c r="AG30" s="182" t="s">
        <v>12</v>
      </c>
      <c r="AH30" s="178" t="s">
        <v>88</v>
      </c>
      <c r="AI30" s="186"/>
      <c r="AK30" s="56"/>
      <c r="AL30" s="86"/>
      <c r="AN30" s="71" t="s">
        <v>88</v>
      </c>
      <c r="AO30" s="82" t="s">
        <v>88</v>
      </c>
      <c r="AP30" s="83" t="b">
        <f t="shared" si="0"/>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c r="CI30" s="217"/>
      <c r="CJ30" s="217"/>
      <c r="CK30" s="217"/>
      <c r="CL30" s="217"/>
      <c r="CM30" s="217"/>
    </row>
    <row r="31" spans="2:91">
      <c r="B31" s="56" t="s">
        <v>207</v>
      </c>
      <c r="C31" s="132" t="s">
        <v>316</v>
      </c>
      <c r="D31" s="133"/>
      <c r="E31" s="134"/>
      <c r="M31" s="87" t="s">
        <v>18</v>
      </c>
      <c r="N31" s="88">
        <v>2.72845E-2</v>
      </c>
      <c r="O31" s="89"/>
      <c r="P31" s="89"/>
      <c r="Q31" s="90" t="b">
        <f t="shared" si="1"/>
        <v>1</v>
      </c>
      <c r="S31" s="97"/>
      <c r="T31" s="98"/>
      <c r="V31" s="13"/>
      <c r="W31" s="30"/>
      <c r="Y31" s="54"/>
      <c r="Z31" s="36"/>
      <c r="AB31" s="54"/>
      <c r="AC31" s="36"/>
      <c r="AE31" s="50" t="s">
        <v>12</v>
      </c>
      <c r="AF31" s="182" t="s">
        <v>12</v>
      </c>
      <c r="AG31" s="182" t="s">
        <v>12</v>
      </c>
      <c r="AH31" s="178" t="s">
        <v>88</v>
      </c>
      <c r="AI31" s="186"/>
      <c r="AK31" s="56"/>
      <c r="AL31" s="86"/>
      <c r="AN31" s="71" t="s">
        <v>88</v>
      </c>
      <c r="AO31" s="82" t="s">
        <v>88</v>
      </c>
      <c r="AP31" s="83" t="b">
        <f t="shared" si="0"/>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91">
      <c r="B32" s="152" t="s">
        <v>287</v>
      </c>
      <c r="C32" s="132" t="s">
        <v>317</v>
      </c>
      <c r="D32" s="133"/>
      <c r="E32" s="134"/>
      <c r="M32" s="87" t="s">
        <v>17</v>
      </c>
      <c r="N32" s="88">
        <v>2.7620599999999999E-2</v>
      </c>
      <c r="O32" s="89"/>
      <c r="P32" s="89"/>
      <c r="Q32" s="90" t="b">
        <f t="shared" si="1"/>
        <v>1</v>
      </c>
      <c r="S32" s="97"/>
      <c r="T32" s="98"/>
      <c r="V32" s="13"/>
      <c r="W32" s="30"/>
      <c r="Y32" s="54"/>
      <c r="Z32" s="36"/>
      <c r="AA32" s="3"/>
      <c r="AB32" s="54"/>
      <c r="AC32" s="36"/>
      <c r="AD32" s="3"/>
      <c r="AE32" s="50" t="s">
        <v>12</v>
      </c>
      <c r="AF32" s="182" t="s">
        <v>12</v>
      </c>
      <c r="AG32" s="182" t="s">
        <v>12</v>
      </c>
      <c r="AH32" s="178" t="s">
        <v>88</v>
      </c>
      <c r="AI32" s="186"/>
      <c r="AK32" s="56"/>
      <c r="AL32" s="86"/>
      <c r="AN32" s="71" t="s">
        <v>88</v>
      </c>
      <c r="AO32" s="82" t="s">
        <v>88</v>
      </c>
      <c r="AP32" s="83" t="b">
        <f t="shared" si="0"/>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2.77956E-2</v>
      </c>
      <c r="O33" s="89"/>
      <c r="P33" s="89"/>
      <c r="Q33" s="90" t="b">
        <f t="shared" si="1"/>
        <v>1</v>
      </c>
      <c r="S33" s="97"/>
      <c r="T33" s="98"/>
      <c r="V33" s="13"/>
      <c r="W33" s="30"/>
      <c r="Y33" s="54"/>
      <c r="Z33" s="36"/>
      <c r="AA33" s="3"/>
      <c r="AB33" s="54"/>
      <c r="AC33" s="36"/>
      <c r="AD33" s="3"/>
      <c r="AE33" s="50" t="s">
        <v>12</v>
      </c>
      <c r="AF33" s="182" t="s">
        <v>12</v>
      </c>
      <c r="AG33" s="182" t="s">
        <v>12</v>
      </c>
      <c r="AH33" s="178" t="s">
        <v>88</v>
      </c>
      <c r="AI33" s="186"/>
      <c r="AK33" s="56"/>
      <c r="AL33" s="86"/>
      <c r="AN33" s="71" t="s">
        <v>88</v>
      </c>
      <c r="AO33" s="82" t="s">
        <v>88</v>
      </c>
      <c r="AP33" s="83" t="b">
        <f t="shared" si="0"/>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2.7630599999999998E-2</v>
      </c>
      <c r="O34" s="89"/>
      <c r="P34" s="89"/>
      <c r="Q34" s="90" t="b">
        <f t="shared" si="1"/>
        <v>1</v>
      </c>
      <c r="S34" s="97"/>
      <c r="T34" s="98"/>
      <c r="V34" s="13"/>
      <c r="W34" s="30"/>
      <c r="Y34" s="54"/>
      <c r="Z34" s="36"/>
      <c r="AA34" s="3"/>
      <c r="AB34" s="54"/>
      <c r="AC34" s="36"/>
      <c r="AD34" s="3"/>
      <c r="AE34" s="50" t="s">
        <v>12</v>
      </c>
      <c r="AF34" s="182" t="s">
        <v>12</v>
      </c>
      <c r="AG34" s="182" t="s">
        <v>12</v>
      </c>
      <c r="AH34" s="178" t="s">
        <v>88</v>
      </c>
      <c r="AI34" s="186"/>
      <c r="AK34" s="56"/>
      <c r="AL34" s="86"/>
      <c r="AN34" s="71" t="s">
        <v>88</v>
      </c>
      <c r="AO34" s="82" t="s">
        <v>88</v>
      </c>
      <c r="AP34" s="83" t="b">
        <f t="shared" si="0"/>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f>IF(OR(N35="",N35=0),FALSE,TRUE)</f>
        <v>0</v>
      </c>
      <c r="S35" s="97"/>
      <c r="T35" s="98"/>
      <c r="V35" s="13"/>
      <c r="W35" s="30"/>
      <c r="Y35" s="54"/>
      <c r="Z35" s="36"/>
      <c r="AA35" s="3"/>
      <c r="AB35" s="54"/>
      <c r="AC35" s="36"/>
      <c r="AD35" s="3"/>
      <c r="AE35" s="50" t="s">
        <v>12</v>
      </c>
      <c r="AF35" s="182" t="s">
        <v>12</v>
      </c>
      <c r="AG35" s="182" t="s">
        <v>12</v>
      </c>
      <c r="AH35" s="178" t="s">
        <v>88</v>
      </c>
      <c r="AI35" s="186"/>
      <c r="AK35" s="56"/>
      <c r="AL35" s="17"/>
      <c r="AN35" s="71" t="s">
        <v>88</v>
      </c>
      <c r="AO35" s="82" t="s">
        <v>88</v>
      </c>
      <c r="AP35" s="83" t="b">
        <f t="shared" si="0"/>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f t="shared" si="1"/>
        <v>0</v>
      </c>
      <c r="S36" s="97"/>
      <c r="T36" s="98"/>
      <c r="V36" s="13"/>
      <c r="W36" s="30"/>
      <c r="Y36" s="54"/>
      <c r="Z36" s="36"/>
      <c r="AA36" s="3"/>
      <c r="AB36" s="54"/>
      <c r="AC36" s="36"/>
      <c r="AD36" s="3"/>
      <c r="AE36" s="50" t="s">
        <v>12</v>
      </c>
      <c r="AF36" s="182" t="s">
        <v>12</v>
      </c>
      <c r="AG36" s="182" t="s">
        <v>12</v>
      </c>
      <c r="AH36" s="178" t="s">
        <v>88</v>
      </c>
      <c r="AI36" s="186"/>
      <c r="AK36" s="56"/>
      <c r="AL36" s="17"/>
      <c r="AN36" s="71" t="s">
        <v>88</v>
      </c>
      <c r="AO36" s="82" t="s">
        <v>88</v>
      </c>
      <c r="AP36" s="83" t="b">
        <f t="shared" si="0"/>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f t="shared" si="1"/>
        <v>0</v>
      </c>
      <c r="S37" s="97"/>
      <c r="T37" s="98"/>
      <c r="V37" s="13"/>
      <c r="W37" s="30"/>
      <c r="Y37" s="54"/>
      <c r="Z37" s="36"/>
      <c r="AA37" s="3"/>
      <c r="AB37" s="54"/>
      <c r="AC37" s="36"/>
      <c r="AD37" s="3"/>
      <c r="AE37" s="50" t="s">
        <v>12</v>
      </c>
      <c r="AF37" s="182" t="s">
        <v>12</v>
      </c>
      <c r="AG37" s="182" t="s">
        <v>12</v>
      </c>
      <c r="AH37" s="178" t="s">
        <v>88</v>
      </c>
      <c r="AI37" s="186"/>
      <c r="AK37" s="56"/>
      <c r="AL37" s="17"/>
      <c r="AN37" s="71" t="s">
        <v>88</v>
      </c>
      <c r="AO37" s="82" t="s">
        <v>88</v>
      </c>
      <c r="AP37" s="83" t="b">
        <f t="shared" si="0"/>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f t="shared" si="1"/>
        <v>0</v>
      </c>
      <c r="S38" s="97"/>
      <c r="T38" s="98"/>
      <c r="V38" s="13"/>
      <c r="W38" s="30"/>
      <c r="Y38" s="54"/>
      <c r="Z38" s="36"/>
      <c r="AB38" s="54"/>
      <c r="AC38" s="36"/>
      <c r="AE38" s="50" t="s">
        <v>12</v>
      </c>
      <c r="AF38" s="182" t="s">
        <v>12</v>
      </c>
      <c r="AG38" s="182" t="s">
        <v>12</v>
      </c>
      <c r="AH38" s="178" t="s">
        <v>88</v>
      </c>
      <c r="AI38" s="186"/>
      <c r="AK38" s="56"/>
      <c r="AL38" s="17"/>
      <c r="AN38" s="71" t="s">
        <v>88</v>
      </c>
      <c r="AO38" s="82" t="s">
        <v>88</v>
      </c>
      <c r="AP38" s="83" t="b">
        <f t="shared" si="0"/>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f t="shared" si="1"/>
        <v>0</v>
      </c>
      <c r="S39" s="97"/>
      <c r="T39" s="98"/>
      <c r="V39" s="13"/>
      <c r="W39" s="30"/>
      <c r="Y39" s="54"/>
      <c r="Z39" s="36"/>
      <c r="AB39" s="54"/>
      <c r="AC39" s="36"/>
      <c r="AE39" s="50" t="s">
        <v>12</v>
      </c>
      <c r="AF39" s="182" t="s">
        <v>12</v>
      </c>
      <c r="AG39" s="182" t="s">
        <v>12</v>
      </c>
      <c r="AH39" s="178" t="s">
        <v>88</v>
      </c>
      <c r="AI39" s="186"/>
      <c r="AK39" s="56"/>
      <c r="AL39" s="17"/>
      <c r="AN39" s="71" t="s">
        <v>88</v>
      </c>
      <c r="AO39" s="82" t="s">
        <v>88</v>
      </c>
      <c r="AP39" s="83" t="b">
        <f t="shared" si="0"/>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f t="shared" si="1"/>
        <v>0</v>
      </c>
      <c r="S40" s="97"/>
      <c r="T40" s="98"/>
      <c r="V40" s="13"/>
      <c r="W40" s="30"/>
      <c r="Y40" s="54"/>
      <c r="Z40" s="36"/>
      <c r="AB40" s="54"/>
      <c r="AC40" s="36"/>
      <c r="AE40" s="50" t="s">
        <v>12</v>
      </c>
      <c r="AF40" s="182" t="s">
        <v>12</v>
      </c>
      <c r="AG40" s="182" t="s">
        <v>12</v>
      </c>
      <c r="AH40" s="178" t="s">
        <v>88</v>
      </c>
      <c r="AI40" s="186"/>
      <c r="AK40" s="56"/>
      <c r="AL40" s="17"/>
      <c r="AN40" s="71" t="s">
        <v>88</v>
      </c>
      <c r="AO40" s="82" t="s">
        <v>88</v>
      </c>
      <c r="AP40" s="83" t="b">
        <f t="shared" si="0"/>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f t="shared" si="1"/>
        <v>0</v>
      </c>
      <c r="S41" s="97"/>
      <c r="T41" s="98"/>
      <c r="V41" s="13"/>
      <c r="W41" s="30"/>
      <c r="Y41" s="54"/>
      <c r="Z41" s="36"/>
      <c r="AB41" s="54"/>
      <c r="AC41" s="36"/>
      <c r="AE41" s="50" t="s">
        <v>12</v>
      </c>
      <c r="AF41" s="182" t="s">
        <v>12</v>
      </c>
      <c r="AG41" s="182" t="s">
        <v>12</v>
      </c>
      <c r="AH41" s="178" t="s">
        <v>88</v>
      </c>
      <c r="AI41" s="186"/>
      <c r="AK41" s="56"/>
      <c r="AL41" s="17"/>
      <c r="AN41" s="71" t="s">
        <v>88</v>
      </c>
      <c r="AO41" s="82" t="s">
        <v>88</v>
      </c>
      <c r="AP41" s="83" t="b">
        <f t="shared" si="0"/>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f t="shared" si="1"/>
        <v>0</v>
      </c>
      <c r="S42" s="97"/>
      <c r="T42" s="98"/>
      <c r="V42" s="13"/>
      <c r="W42" s="30"/>
      <c r="Y42" s="54"/>
      <c r="Z42" s="36"/>
      <c r="AB42" s="54"/>
      <c r="AC42" s="36"/>
      <c r="AE42" s="50" t="s">
        <v>12</v>
      </c>
      <c r="AF42" s="182" t="s">
        <v>12</v>
      </c>
      <c r="AG42" s="182" t="s">
        <v>12</v>
      </c>
      <c r="AH42" s="178" t="s">
        <v>88</v>
      </c>
      <c r="AI42" s="186"/>
      <c r="AK42" s="56"/>
      <c r="AL42" s="17"/>
      <c r="AN42" s="71" t="s">
        <v>88</v>
      </c>
      <c r="AO42" s="82" t="s">
        <v>88</v>
      </c>
      <c r="AP42" s="83" t="b">
        <f t="shared" si="0"/>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f t="shared" si="1"/>
        <v>0</v>
      </c>
      <c r="S43" s="97"/>
      <c r="T43" s="98"/>
      <c r="V43" s="13"/>
      <c r="W43" s="30"/>
      <c r="Y43" s="54"/>
      <c r="Z43" s="36"/>
      <c r="AB43" s="54"/>
      <c r="AC43" s="36"/>
      <c r="AE43" s="50" t="s">
        <v>12</v>
      </c>
      <c r="AF43" s="182" t="s">
        <v>12</v>
      </c>
      <c r="AG43" s="182" t="s">
        <v>12</v>
      </c>
      <c r="AH43" s="178" t="s">
        <v>88</v>
      </c>
      <c r="AI43" s="186"/>
      <c r="AK43" s="56"/>
      <c r="AL43" s="17"/>
      <c r="AN43" s="71" t="s">
        <v>88</v>
      </c>
      <c r="AO43" s="82" t="s">
        <v>88</v>
      </c>
      <c r="AP43" s="83" t="b">
        <f t="shared" si="0"/>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f t="shared" si="1"/>
        <v>0</v>
      </c>
      <c r="S44" s="97"/>
      <c r="T44" s="98"/>
      <c r="V44" s="13"/>
      <c r="W44" s="30"/>
      <c r="Y44" s="54"/>
      <c r="Z44" s="36"/>
      <c r="AB44" s="54"/>
      <c r="AC44" s="36"/>
      <c r="AE44" s="50" t="s">
        <v>12</v>
      </c>
      <c r="AF44" s="182" t="s">
        <v>12</v>
      </c>
      <c r="AG44" s="182" t="s">
        <v>12</v>
      </c>
      <c r="AH44" s="178" t="s">
        <v>88</v>
      </c>
      <c r="AI44" s="186"/>
      <c r="AK44" s="56"/>
      <c r="AL44" s="17"/>
      <c r="AN44" s="71" t="s">
        <v>88</v>
      </c>
      <c r="AO44" s="82" t="s">
        <v>88</v>
      </c>
      <c r="AP44" s="83" t="b">
        <f t="shared" si="0"/>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f t="shared" si="1"/>
        <v>0</v>
      </c>
      <c r="S45" s="97"/>
      <c r="T45" s="98"/>
      <c r="V45" s="13"/>
      <c r="W45" s="30"/>
      <c r="Y45" s="54"/>
      <c r="Z45" s="36"/>
      <c r="AB45" s="54"/>
      <c r="AC45" s="36"/>
      <c r="AE45" s="50" t="s">
        <v>12</v>
      </c>
      <c r="AF45" s="182" t="s">
        <v>12</v>
      </c>
      <c r="AG45" s="182" t="s">
        <v>12</v>
      </c>
      <c r="AH45" s="178" t="s">
        <v>88</v>
      </c>
      <c r="AI45" s="186"/>
      <c r="AK45" s="56"/>
      <c r="AL45" s="17"/>
      <c r="AN45" s="71" t="s">
        <v>88</v>
      </c>
      <c r="AO45" s="82" t="s">
        <v>88</v>
      </c>
      <c r="AP45" s="83" t="b">
        <f t="shared" si="0"/>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f t="shared" si="1"/>
        <v>0</v>
      </c>
      <c r="S46" s="97"/>
      <c r="T46" s="98"/>
      <c r="V46" s="13"/>
      <c r="W46" s="30"/>
      <c r="Y46" s="54"/>
      <c r="Z46" s="36"/>
      <c r="AB46" s="54"/>
      <c r="AC46" s="36"/>
      <c r="AE46" s="50" t="s">
        <v>12</v>
      </c>
      <c r="AF46" s="182" t="s">
        <v>12</v>
      </c>
      <c r="AG46" s="182" t="s">
        <v>12</v>
      </c>
      <c r="AH46" s="178" t="s">
        <v>88</v>
      </c>
      <c r="AI46" s="186"/>
      <c r="AK46" s="56"/>
      <c r="AL46" s="17"/>
      <c r="AN46" s="71" t="s">
        <v>88</v>
      </c>
      <c r="AO46" s="82" t="s">
        <v>88</v>
      </c>
      <c r="AP46" s="83" t="b">
        <f t="shared" si="0"/>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f t="shared" si="1"/>
        <v>0</v>
      </c>
      <c r="S47" s="97"/>
      <c r="T47" s="98"/>
      <c r="V47" s="13"/>
      <c r="W47" s="30"/>
      <c r="Y47" s="54"/>
      <c r="Z47" s="36"/>
      <c r="AB47" s="54"/>
      <c r="AC47" s="36"/>
      <c r="AE47" s="50" t="s">
        <v>12</v>
      </c>
      <c r="AF47" s="182" t="s">
        <v>12</v>
      </c>
      <c r="AG47" s="182" t="s">
        <v>12</v>
      </c>
      <c r="AH47" s="178" t="s">
        <v>88</v>
      </c>
      <c r="AI47" s="186"/>
      <c r="AK47" s="56"/>
      <c r="AL47" s="17"/>
      <c r="AN47" s="71" t="s">
        <v>88</v>
      </c>
      <c r="AO47" s="82" t="s">
        <v>88</v>
      </c>
      <c r="AP47" s="83" t="b">
        <f t="shared" si="0"/>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f t="shared" si="1"/>
        <v>0</v>
      </c>
      <c r="S48" s="97"/>
      <c r="T48" s="98"/>
      <c r="V48" s="13"/>
      <c r="W48" s="30"/>
      <c r="Y48" s="54"/>
      <c r="Z48" s="36"/>
      <c r="AB48" s="54"/>
      <c r="AC48" s="36"/>
      <c r="AE48" s="50" t="s">
        <v>12</v>
      </c>
      <c r="AF48" s="182" t="s">
        <v>12</v>
      </c>
      <c r="AG48" s="182" t="s">
        <v>12</v>
      </c>
      <c r="AH48" s="178" t="s">
        <v>88</v>
      </c>
      <c r="AI48" s="186"/>
      <c r="AK48" s="56"/>
      <c r="AL48" s="17"/>
      <c r="AN48" s="71" t="s">
        <v>88</v>
      </c>
      <c r="AO48" s="82" t="s">
        <v>88</v>
      </c>
      <c r="AP48" s="83" t="b">
        <f t="shared" si="0"/>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f t="shared" si="1"/>
        <v>0</v>
      </c>
      <c r="S49" s="97"/>
      <c r="T49" s="98"/>
      <c r="V49" s="13"/>
      <c r="W49" s="30"/>
      <c r="Y49" s="54"/>
      <c r="Z49" s="36"/>
      <c r="AB49" s="54"/>
      <c r="AC49" s="36"/>
      <c r="AE49" s="50" t="s">
        <v>12</v>
      </c>
      <c r="AF49" s="182" t="s">
        <v>12</v>
      </c>
      <c r="AG49" s="182" t="s">
        <v>12</v>
      </c>
      <c r="AH49" s="178" t="s">
        <v>88</v>
      </c>
      <c r="AI49" s="186"/>
      <c r="AK49" s="56"/>
      <c r="AL49" s="17"/>
      <c r="AN49" s="71"/>
      <c r="AO49" s="82"/>
      <c r="AP49" s="83" t="b">
        <f t="shared" si="0"/>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f t="shared" si="1"/>
        <v>0</v>
      </c>
      <c r="S50" s="97"/>
      <c r="T50" s="98"/>
      <c r="V50" s="13"/>
      <c r="W50" s="30"/>
      <c r="Y50" s="54"/>
      <c r="Z50" s="36"/>
      <c r="AB50" s="54"/>
      <c r="AC50" s="36"/>
      <c r="AE50" s="50" t="s">
        <v>12</v>
      </c>
      <c r="AF50" s="182" t="s">
        <v>12</v>
      </c>
      <c r="AG50" s="182" t="s">
        <v>12</v>
      </c>
      <c r="AH50" s="179" t="s">
        <v>88</v>
      </c>
      <c r="AI50" s="186"/>
      <c r="AK50" s="56"/>
      <c r="AL50" s="17"/>
      <c r="AN50" s="71"/>
      <c r="AO50" s="82"/>
      <c r="AP50" s="83" t="b">
        <f t="shared" si="0"/>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f t="shared" si="1"/>
        <v>0</v>
      </c>
      <c r="S51" s="99"/>
      <c r="T51" s="24"/>
      <c r="V51" s="13"/>
      <c r="W51" s="30"/>
      <c r="Y51" s="54"/>
      <c r="Z51" s="36"/>
      <c r="AB51" s="54"/>
      <c r="AC51" s="36"/>
      <c r="AE51" s="50" t="s">
        <v>12</v>
      </c>
      <c r="AF51" s="182" t="s">
        <v>12</v>
      </c>
      <c r="AG51" s="182" t="s">
        <v>12</v>
      </c>
      <c r="AH51" s="179" t="s">
        <v>88</v>
      </c>
      <c r="AI51" s="186"/>
      <c r="AK51" s="56"/>
      <c r="AL51" s="17"/>
      <c r="AN51" s="71"/>
      <c r="AO51" s="82"/>
      <c r="AP51" s="83" t="b">
        <f t="shared" si="0"/>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f t="shared" si="1"/>
        <v>0</v>
      </c>
      <c r="S52" s="100"/>
      <c r="T52" s="28"/>
      <c r="V52" s="14"/>
      <c r="W52" s="32"/>
      <c r="Y52" s="61"/>
      <c r="Z52" s="37"/>
      <c r="AB52" s="61"/>
      <c r="AC52" s="37"/>
      <c r="AE52" s="52" t="s">
        <v>12</v>
      </c>
      <c r="AF52" s="183" t="s">
        <v>12</v>
      </c>
      <c r="AG52" s="183" t="s">
        <v>12</v>
      </c>
      <c r="AH52" s="180" t="s">
        <v>88</v>
      </c>
      <c r="AI52" s="187"/>
      <c r="AK52" s="62"/>
      <c r="AL52" s="18"/>
      <c r="AN52" s="29"/>
      <c r="AO52" s="84"/>
      <c r="AP52" s="85" t="b">
        <f t="shared" si="0"/>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B222CA"/>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42198</v>
      </c>
      <c r="J8" s="72" t="s">
        <v>174</v>
      </c>
      <c r="K8" s="34" t="s">
        <v>259</v>
      </c>
      <c r="M8" s="74" t="s">
        <v>76</v>
      </c>
      <c r="N8" s="75" t="s">
        <v>75</v>
      </c>
      <c r="O8" s="75" t="s">
        <v>139</v>
      </c>
      <c r="P8" s="75" t="s">
        <v>138</v>
      </c>
      <c r="Q8" s="76" t="s">
        <v>173</v>
      </c>
      <c r="S8" s="67" t="s">
        <v>172</v>
      </c>
      <c r="T8" s="68" t="s">
        <v>75</v>
      </c>
      <c r="V8" s="55" t="s">
        <v>170</v>
      </c>
      <c r="W8" s="110">
        <v>42198</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42198</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4.5250000000000004E-3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1.1200000000000002E-2</v>
      </c>
      <c r="AP9" s="83" t="b">
        <v>1</v>
      </c>
      <c r="AQ9" s="6"/>
      <c r="AR9" s="56" t="s">
        <v>162</v>
      </c>
      <c r="AS9" s="86" t="s">
        <v>199</v>
      </c>
      <c r="AU9" s="78" t="s">
        <v>169</v>
      </c>
      <c r="AV9" s="102" t="b">
        <v>0</v>
      </c>
      <c r="AX9" s="87" t="s">
        <v>160</v>
      </c>
      <c r="AY9" s="103">
        <v>1.15E-3</v>
      </c>
      <c r="BA9" s="78" t="s">
        <v>169</v>
      </c>
      <c r="BB9" s="102" t="b">
        <v>0</v>
      </c>
      <c r="BD9" s="87" t="s">
        <v>160</v>
      </c>
      <c r="BE9" s="103">
        <v>1.9624999999999998E-3</v>
      </c>
      <c r="BG9" s="78" t="s">
        <v>169</v>
      </c>
      <c r="BH9" s="102" t="b">
        <v>0</v>
      </c>
      <c r="BJ9" s="87" t="s">
        <v>160</v>
      </c>
      <c r="BK9" s="103">
        <v>1.9499999999999999E-3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4.5620000000000001E-3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1.3849999999999999E-2</v>
      </c>
      <c r="AP10" s="83" t="b">
        <v>1</v>
      </c>
      <c r="AQ10" s="6"/>
      <c r="AR10" s="56" t="s">
        <v>159</v>
      </c>
      <c r="AS10" s="86" t="s">
        <v>29</v>
      </c>
      <c r="AU10" s="56" t="s">
        <v>161</v>
      </c>
      <c r="AV10" s="17" t="s">
        <v>197</v>
      </c>
      <c r="AX10" s="87" t="s">
        <v>42</v>
      </c>
      <c r="AY10" s="103">
        <v>1.1249999999999999E-3</v>
      </c>
      <c r="BA10" s="56" t="s">
        <v>161</v>
      </c>
      <c r="BB10" s="17" t="s">
        <v>197</v>
      </c>
      <c r="BD10" s="87" t="s">
        <v>42</v>
      </c>
      <c r="BE10" s="103">
        <v>2.0249999999999999E-3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-2.2499999999999999E-4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4.5599999999999998E-3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1.6001000000000001E-2</v>
      </c>
      <c r="AP11" s="83" t="b">
        <v>1</v>
      </c>
      <c r="AQ11" s="6"/>
      <c r="AR11" s="56" t="s">
        <v>153</v>
      </c>
      <c r="AS11" s="86" t="s">
        <v>135</v>
      </c>
      <c r="AU11" s="56" t="s">
        <v>154</v>
      </c>
      <c r="AV11" s="17" t="s">
        <v>198</v>
      </c>
      <c r="AX11" s="87" t="s">
        <v>39</v>
      </c>
      <c r="AY11" s="103">
        <v>1.1300000000000001E-3</v>
      </c>
      <c r="BA11" s="56" t="s">
        <v>154</v>
      </c>
      <c r="BB11" s="17" t="s">
        <v>198</v>
      </c>
      <c r="BD11" s="87" t="s">
        <v>39</v>
      </c>
      <c r="BE11" s="103">
        <v>2.0625000000000001E-3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-2.9999999999999997E-4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4.5650000000000005E-3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1.7749999999999998E-2</v>
      </c>
      <c r="AP12" s="83" t="b">
        <v>1</v>
      </c>
      <c r="AQ12" s="6"/>
      <c r="AR12" s="56" t="s">
        <v>5</v>
      </c>
      <c r="AS12" s="86" t="s">
        <v>129</v>
      </c>
      <c r="AU12" s="56" t="s">
        <v>151</v>
      </c>
      <c r="AV12" s="17" t="s">
        <v>78</v>
      </c>
      <c r="AX12" s="87" t="s">
        <v>35</v>
      </c>
      <c r="AY12" s="103">
        <v>1.16E-3</v>
      </c>
      <c r="BA12" s="56" t="s">
        <v>151</v>
      </c>
      <c r="BB12" s="17" t="s">
        <v>78</v>
      </c>
      <c r="BD12" s="87" t="s">
        <v>35</v>
      </c>
      <c r="BE12" s="103">
        <v>2.0500000000000002E-3</v>
      </c>
      <c r="BG12" s="56" t="s">
        <v>151</v>
      </c>
      <c r="BH12" s="17" t="s">
        <v>152</v>
      </c>
      <c r="BJ12" s="87" t="s">
        <v>35</v>
      </c>
      <c r="BK12" s="103">
        <v>1.8125000000000001E-3</v>
      </c>
      <c r="BM12" s="56" t="s">
        <v>5</v>
      </c>
      <c r="BN12" s="86" t="s">
        <v>129</v>
      </c>
      <c r="BP12" s="56" t="s">
        <v>151</v>
      </c>
      <c r="BQ12" s="86" t="s">
        <v>77</v>
      </c>
      <c r="BS12" s="56" t="s">
        <v>151</v>
      </c>
      <c r="BT12" s="86" t="s">
        <v>77</v>
      </c>
      <c r="BV12" s="56" t="s">
        <v>151</v>
      </c>
      <c r="BW12" s="86" t="s">
        <v>77</v>
      </c>
      <c r="BY12" s="56" t="s">
        <v>151</v>
      </c>
      <c r="BZ12" s="86" t="s">
        <v>77</v>
      </c>
      <c r="CB12" s="87" t="s">
        <v>35</v>
      </c>
      <c r="CC12" s="103">
        <v>-2.9999999999999997E-4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4.5700000000000003E-3</v>
      </c>
      <c r="O13" s="89"/>
      <c r="P13" s="89"/>
      <c r="Q13" s="90" t="b">
        <v>1</v>
      </c>
      <c r="S13" s="97"/>
      <c r="T13" s="98"/>
      <c r="V13" s="56" t="s">
        <v>1</v>
      </c>
      <c r="W13" s="86" t="s">
        <v>121</v>
      </c>
      <c r="Y13" s="6"/>
      <c r="Z13" s="4"/>
      <c r="AA13" s="6"/>
      <c r="AB13" s="8"/>
      <c r="AC13" s="4"/>
      <c r="AE13" s="4"/>
      <c r="AF13" s="4"/>
      <c r="AK13" s="56" t="s">
        <v>144</v>
      </c>
      <c r="AL13" s="86" t="s">
        <v>78</v>
      </c>
      <c r="AN13" s="71" t="s">
        <v>131</v>
      </c>
      <c r="AO13" s="82">
        <v>1.9130000000000001E-2</v>
      </c>
      <c r="AP13" s="83" t="b">
        <v>1</v>
      </c>
      <c r="AQ13" s="6"/>
      <c r="AR13" s="56" t="s">
        <v>1</v>
      </c>
      <c r="AS13" s="86" t="s">
        <v>121</v>
      </c>
      <c r="AU13" s="56" t="s">
        <v>148</v>
      </c>
      <c r="AV13" s="17" t="s">
        <v>40</v>
      </c>
      <c r="AX13" s="87" t="s">
        <v>33</v>
      </c>
      <c r="AY13" s="103">
        <v>1.175E-3</v>
      </c>
      <c r="BA13" s="56" t="s">
        <v>148</v>
      </c>
      <c r="BB13" s="17" t="s">
        <v>40</v>
      </c>
      <c r="BD13" s="87" t="s">
        <v>33</v>
      </c>
      <c r="BE13" s="103">
        <v>2.0500000000000002E-3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-3.5E-4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4.5850000000000005E-3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2.0259999999999997E-2</v>
      </c>
      <c r="AP14" s="83" t="b">
        <v>1</v>
      </c>
      <c r="AQ14" s="6"/>
      <c r="AR14" s="56" t="s">
        <v>140</v>
      </c>
      <c r="AS14" s="86" t="s">
        <v>29</v>
      </c>
      <c r="AU14" s="56" t="s">
        <v>141</v>
      </c>
      <c r="AV14" s="17">
        <v>0</v>
      </c>
      <c r="AX14" s="87" t="s">
        <v>131</v>
      </c>
      <c r="AY14" s="103">
        <v>1.1900000000000001E-3</v>
      </c>
      <c r="BA14" s="56" t="s">
        <v>141</v>
      </c>
      <c r="BB14" s="17">
        <v>0</v>
      </c>
      <c r="BD14" s="87" t="s">
        <v>131</v>
      </c>
      <c r="BE14" s="103">
        <v>2.0374999999999998E-3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-3.6000000000000002E-4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4.6250000000000006E-3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2.1190000000000001E-2</v>
      </c>
      <c r="AP15" s="83" t="b">
        <v>1</v>
      </c>
      <c r="AQ15" s="6"/>
      <c r="AR15" s="56" t="s">
        <v>4</v>
      </c>
      <c r="AS15" s="86" t="s">
        <v>29</v>
      </c>
      <c r="AU15" s="56" t="s">
        <v>132</v>
      </c>
      <c r="AV15" s="31" t="s">
        <v>201</v>
      </c>
      <c r="AX15" s="87" t="s">
        <v>31</v>
      </c>
      <c r="AY15" s="103">
        <v>1.1900000000000001E-3</v>
      </c>
      <c r="BA15" s="56" t="s">
        <v>132</v>
      </c>
      <c r="BB15" s="31" t="s">
        <v>201</v>
      </c>
      <c r="BD15" s="87" t="s">
        <v>31</v>
      </c>
      <c r="BE15" s="103">
        <v>2E-3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4.725E-3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2.197E-2</v>
      </c>
      <c r="AP16" s="83" t="b">
        <v>1</v>
      </c>
      <c r="AQ16" s="6"/>
      <c r="AR16" s="56" t="s">
        <v>125</v>
      </c>
      <c r="AS16" s="86" t="b">
        <v>0</v>
      </c>
      <c r="AU16" s="56" t="s">
        <v>126</v>
      </c>
      <c r="AV16" s="31" t="s">
        <v>63</v>
      </c>
      <c r="AX16" s="87" t="s">
        <v>119</v>
      </c>
      <c r="AY16" s="103">
        <v>1.1900000000000001E-3</v>
      </c>
      <c r="BA16" s="56" t="s">
        <v>126</v>
      </c>
      <c r="BB16" s="31" t="s">
        <v>63</v>
      </c>
      <c r="BD16" s="87" t="s">
        <v>119</v>
      </c>
      <c r="BE16" s="103">
        <v>1.9750000000000002E-3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-4.4000000000000002E-4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4.8130000000000004E-3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2.2620000000000001E-2</v>
      </c>
      <c r="AP17" s="83" t="b">
        <v>1</v>
      </c>
      <c r="AQ17" s="6"/>
      <c r="AR17" s="56" t="s">
        <v>118</v>
      </c>
      <c r="AS17" s="86" t="b">
        <v>0</v>
      </c>
      <c r="AU17" s="56" t="s">
        <v>120</v>
      </c>
      <c r="AV17" s="109" t="s">
        <v>23</v>
      </c>
      <c r="AX17" s="87" t="s">
        <v>113</v>
      </c>
      <c r="AY17" s="103">
        <v>1.1800000000000001E-3</v>
      </c>
      <c r="BA17" s="56" t="s">
        <v>120</v>
      </c>
      <c r="BB17" s="109" t="s">
        <v>23</v>
      </c>
      <c r="BD17" s="87" t="s">
        <v>113</v>
      </c>
      <c r="BE17" s="103">
        <v>1.9375E-3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-4.8999999999999998E-4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4.96E-3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2.3620000000000002E-2</v>
      </c>
      <c r="AP18" s="83" t="b">
        <v>1</v>
      </c>
      <c r="AQ18" s="6"/>
      <c r="AR18" s="56" t="s">
        <v>112</v>
      </c>
      <c r="AS18" s="86" t="b">
        <v>0</v>
      </c>
      <c r="AU18" s="56" t="s">
        <v>114</v>
      </c>
      <c r="AV18" s="17" t="s">
        <v>198</v>
      </c>
      <c r="AX18" s="87" t="s">
        <v>28</v>
      </c>
      <c r="AY18" s="103">
        <v>1.17E-3</v>
      </c>
      <c r="BA18" s="56" t="s">
        <v>114</v>
      </c>
      <c r="BB18" s="17" t="s">
        <v>198</v>
      </c>
      <c r="BD18" s="87" t="s">
        <v>28</v>
      </c>
      <c r="BE18" s="103">
        <v>1.9250000000000001E-3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-5.6500000000000007E-4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5.11E-3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2.4550000000000002E-2</v>
      </c>
      <c r="AP19" s="83" t="b">
        <v>1</v>
      </c>
      <c r="AQ19" s="6"/>
      <c r="AR19" s="56" t="s">
        <v>108</v>
      </c>
      <c r="AS19" s="86" t="b">
        <v>0</v>
      </c>
      <c r="AU19" s="56" t="s">
        <v>109</v>
      </c>
      <c r="AV19" s="17" t="s">
        <v>197</v>
      </c>
      <c r="AX19" s="87" t="s">
        <v>26</v>
      </c>
      <c r="AY19" s="103">
        <v>1.06E-3</v>
      </c>
      <c r="BA19" s="56" t="s">
        <v>109</v>
      </c>
      <c r="BB19" s="17" t="s">
        <v>197</v>
      </c>
      <c r="BD19" s="87" t="s">
        <v>26</v>
      </c>
      <c r="BE19" s="103">
        <v>1.7750000000000001E-3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-6.3499999999999993E-4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5.2500000000000003E-3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2.5075E-2</v>
      </c>
      <c r="AP20" s="83" t="b">
        <v>1</v>
      </c>
      <c r="AQ20" s="6"/>
      <c r="AR20" s="56" t="s">
        <v>90</v>
      </c>
      <c r="AS20" s="86" t="s">
        <v>104</v>
      </c>
      <c r="AU20" s="56" t="s">
        <v>105</v>
      </c>
      <c r="AV20" s="17" t="s">
        <v>48</v>
      </c>
      <c r="AX20" s="87" t="s">
        <v>24</v>
      </c>
      <c r="AY20" s="103">
        <v>9.1E-4</v>
      </c>
      <c r="BA20" s="56" t="s">
        <v>105</v>
      </c>
      <c r="BB20" s="17" t="s">
        <v>48</v>
      </c>
      <c r="BD20" s="87" t="s">
        <v>24</v>
      </c>
      <c r="BE20" s="103">
        <v>1.5874999999999999E-3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-7.2999999999999996E-4</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5.4000000000000003E-3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2.5049999999999999E-2</v>
      </c>
      <c r="AP21" s="83" t="b">
        <v>1</v>
      </c>
      <c r="AQ21" s="6"/>
      <c r="AR21" s="56" t="s">
        <v>100</v>
      </c>
      <c r="AS21" s="86" t="s">
        <v>29</v>
      </c>
      <c r="AU21" s="56" t="s">
        <v>101</v>
      </c>
      <c r="AV21" s="17" t="s">
        <v>197</v>
      </c>
      <c r="AX21" s="87" t="s">
        <v>20</v>
      </c>
      <c r="AY21" s="103">
        <v>7.2999999999999996E-4</v>
      </c>
      <c r="BA21" s="56" t="s">
        <v>101</v>
      </c>
      <c r="BB21" s="17" t="s">
        <v>197</v>
      </c>
      <c r="BD21" s="87" t="s">
        <v>20</v>
      </c>
      <c r="BE21" s="103">
        <v>1.3875000000000001E-3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-8.25E-4</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5.6000000000000008E-3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2.4900000000000002E-2</v>
      </c>
      <c r="AP22" s="83" t="b">
        <v>1</v>
      </c>
      <c r="AQ22" s="6"/>
      <c r="AR22" s="56" t="s">
        <v>95</v>
      </c>
      <c r="AS22" s="86" t="b">
        <v>1</v>
      </c>
      <c r="AU22" s="56" t="s">
        <v>96</v>
      </c>
      <c r="AV22" s="17">
        <v>0</v>
      </c>
      <c r="AX22" s="87" t="s">
        <v>18</v>
      </c>
      <c r="AY22" s="103">
        <v>6.3000000000000003E-4</v>
      </c>
      <c r="BA22" s="56" t="s">
        <v>96</v>
      </c>
      <c r="BB22" s="17">
        <v>0</v>
      </c>
      <c r="BD22" s="87" t="s">
        <v>18</v>
      </c>
      <c r="BE22" s="103">
        <v>1.2625E-3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-9.1E-4</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5.77E-3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2.4399999999999998E-2</v>
      </c>
      <c r="AP23" s="83" t="b">
        <v>1</v>
      </c>
      <c r="AQ23" s="6"/>
      <c r="AR23" s="13" t="s">
        <v>91</v>
      </c>
      <c r="AS23" s="86" t="s">
        <v>29</v>
      </c>
      <c r="AU23" s="79" t="s">
        <v>92</v>
      </c>
      <c r="AV23" s="20" t="s">
        <v>40</v>
      </c>
      <c r="AX23" s="87" t="s">
        <v>17</v>
      </c>
      <c r="AY23" s="103">
        <v>5.6999999999999998E-4</v>
      </c>
      <c r="BA23" s="79" t="s">
        <v>92</v>
      </c>
      <c r="BB23" s="20" t="s">
        <v>40</v>
      </c>
      <c r="BD23" s="87" t="s">
        <v>17</v>
      </c>
      <c r="BE23" s="103">
        <v>1.15E-3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7.0169999999999998E-3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2.4055E-2</v>
      </c>
      <c r="AP24" s="83" t="b">
        <v>1</v>
      </c>
      <c r="AQ24" s="6"/>
      <c r="AR24" s="13" t="s">
        <v>193</v>
      </c>
      <c r="AS24" s="86" t="s">
        <v>29</v>
      </c>
      <c r="AU24" s="78" t="s">
        <v>87</v>
      </c>
      <c r="AV24" s="102" t="s">
        <v>197</v>
      </c>
      <c r="AX24" s="87" t="s">
        <v>15</v>
      </c>
      <c r="AY24" s="103">
        <v>4.8749999999999998E-4</v>
      </c>
      <c r="BA24" s="78" t="s">
        <v>87</v>
      </c>
      <c r="BB24" s="102" t="s">
        <v>197</v>
      </c>
      <c r="BD24" s="87" t="s">
        <v>15</v>
      </c>
      <c r="BE24" s="103">
        <v>1.0250000000000001E-3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8.3800000000000003E-3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4.4999999999999999E-4</v>
      </c>
      <c r="BA25" s="56" t="s">
        <v>85</v>
      </c>
      <c r="BB25" s="17" t="s">
        <v>198</v>
      </c>
      <c r="BD25" s="87" t="s">
        <v>14</v>
      </c>
      <c r="BE25" s="103">
        <v>9.6250000000000003E-4</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-8.4499999999999994E-4</v>
      </c>
      <c r="CE25" s="13" t="s">
        <v>84</v>
      </c>
      <c r="CF25" s="86" t="b">
        <v>1</v>
      </c>
      <c r="CH25" s="56"/>
      <c r="CI25" s="86"/>
      <c r="CK25" s="56"/>
      <c r="CL25" s="86"/>
      <c r="CN25" s="56"/>
      <c r="CO25" s="86"/>
    </row>
    <row r="26" spans="2:93">
      <c r="F26" t="s">
        <v>12</v>
      </c>
      <c r="M26" s="87" t="s">
        <v>39</v>
      </c>
      <c r="N26" s="88">
        <v>1.085E-2</v>
      </c>
      <c r="O26" s="89"/>
      <c r="P26" s="89"/>
      <c r="Q26" s="90" t="b">
        <v>1</v>
      </c>
      <c r="S26" s="97"/>
      <c r="T26" s="98"/>
      <c r="V26" s="13" t="s">
        <v>81</v>
      </c>
      <c r="W26" s="86" t="s">
        <v>201</v>
      </c>
      <c r="Y26" s="215" t="s">
        <v>23</v>
      </c>
      <c r="Z26" s="216">
        <v>7.5900000000000004E-3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8.9999999999999998E-4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-6.4999999999999997E-4</v>
      </c>
      <c r="CE26" s="13" t="s">
        <v>81</v>
      </c>
      <c r="CF26" s="86" t="s">
        <v>201</v>
      </c>
      <c r="CH26" s="56"/>
      <c r="CI26" s="86"/>
      <c r="CK26" s="56"/>
      <c r="CL26" s="86"/>
      <c r="CN26" s="56"/>
      <c r="CO26" s="86"/>
    </row>
    <row r="27" spans="2:93">
      <c r="B27" s="2" t="s">
        <v>356</v>
      </c>
      <c r="C27" s="9"/>
      <c r="F27" t="s">
        <v>12</v>
      </c>
      <c r="M27" s="87" t="s">
        <v>35</v>
      </c>
      <c r="N27" s="88">
        <v>1.2895E-2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-2.5000000000000001E-5</v>
      </c>
      <c r="CE27" s="13"/>
      <c r="CF27" s="86"/>
      <c r="CH27" s="56"/>
      <c r="CI27" s="86"/>
      <c r="CK27" s="56"/>
      <c r="CL27" s="86"/>
      <c r="CN27" s="56"/>
      <c r="CO27" s="86"/>
    </row>
    <row r="28" spans="2:93">
      <c r="B28" s="55" t="s">
        <v>201</v>
      </c>
      <c r="C28" s="126" t="s">
        <v>204</v>
      </c>
      <c r="D28" s="127"/>
      <c r="E28" s="128"/>
      <c r="F28" t="s">
        <v>12</v>
      </c>
      <c r="M28" s="87" t="s">
        <v>33</v>
      </c>
      <c r="N28" s="88">
        <v>1.4574999999999999E-2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3.7500000000000001E-4</v>
      </c>
      <c r="CE28" s="13"/>
      <c r="CF28" s="86"/>
      <c r="CH28" s="56"/>
      <c r="CI28" s="86"/>
      <c r="CK28" s="56"/>
      <c r="CL28" s="86"/>
      <c r="CN28" s="56"/>
      <c r="CO28" s="86"/>
    </row>
    <row r="29" spans="2:93">
      <c r="B29" s="56" t="s">
        <v>63</v>
      </c>
      <c r="C29" s="129" t="s">
        <v>310</v>
      </c>
      <c r="D29" s="130"/>
      <c r="E29" s="131"/>
      <c r="F29" t="s">
        <v>12</v>
      </c>
      <c r="M29" s="87" t="s">
        <v>131</v>
      </c>
      <c r="N29" s="88">
        <v>1.5925000000000002E-2</v>
      </c>
      <c r="O29" s="89"/>
      <c r="P29" s="89"/>
      <c r="Q29" s="90" t="b">
        <v>1</v>
      </c>
      <c r="S29" s="97"/>
      <c r="T29" s="98"/>
      <c r="V29" s="13"/>
      <c r="W29" s="86"/>
      <c r="Y29" s="54" t="s">
        <v>23</v>
      </c>
      <c r="Z29" s="36">
        <v>7.3312999999999998E-3</v>
      </c>
      <c r="AB29" s="54" t="s">
        <v>71</v>
      </c>
      <c r="AC29" s="36">
        <v>7.5900000000000004E-3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1.7059999999999999E-2</v>
      </c>
      <c r="O30" s="89"/>
      <c r="P30" s="89"/>
      <c r="Q30" s="90" t="b">
        <v>1</v>
      </c>
      <c r="S30" s="97"/>
      <c r="T30" s="98"/>
      <c r="V30" s="13"/>
      <c r="W30" s="86"/>
      <c r="Y30" s="54"/>
      <c r="Z30" s="36"/>
      <c r="AB30" s="54" t="s">
        <v>68</v>
      </c>
      <c r="AC30" s="36">
        <v>7.8799999999999999E-3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1.8005E-2</v>
      </c>
      <c r="O31" s="89"/>
      <c r="P31" s="89"/>
      <c r="Q31" s="90" t="b">
        <v>1</v>
      </c>
      <c r="S31" s="97"/>
      <c r="T31" s="98"/>
      <c r="V31" s="13"/>
      <c r="W31" s="86"/>
      <c r="Y31" s="54"/>
      <c r="Z31" s="36"/>
      <c r="AB31" s="54" t="s">
        <v>66</v>
      </c>
      <c r="AC31" s="36">
        <v>8.199999999999999E-3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1.8787000000000002E-2</v>
      </c>
      <c r="O32" s="89"/>
      <c r="P32" s="89"/>
      <c r="Q32" s="90" t="b">
        <v>1</v>
      </c>
      <c r="S32" s="97"/>
      <c r="T32" s="98"/>
      <c r="V32" s="13"/>
      <c r="W32" s="86"/>
      <c r="Y32" s="54"/>
      <c r="Z32" s="36"/>
      <c r="AA32" s="3"/>
      <c r="AB32" s="54" t="s">
        <v>62</v>
      </c>
      <c r="AC32" s="36">
        <v>8.6E-3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1.9474999999999999E-2</v>
      </c>
      <c r="O33" s="89"/>
      <c r="P33" s="89"/>
      <c r="Q33" s="90" t="b">
        <v>1</v>
      </c>
      <c r="S33" s="97"/>
      <c r="T33" s="98"/>
      <c r="V33" s="13"/>
      <c r="W33" s="86"/>
      <c r="Y33" s="54"/>
      <c r="Z33" s="36"/>
      <c r="AA33" s="3"/>
      <c r="AB33" s="54" t="s">
        <v>58</v>
      </c>
      <c r="AC33" s="36">
        <v>9.0000000000000011E-3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2.0659999999999998E-2</v>
      </c>
      <c r="O34" s="89"/>
      <c r="P34" s="89"/>
      <c r="Q34" s="90" t="b">
        <v>1</v>
      </c>
      <c r="S34" s="97"/>
      <c r="T34" s="98"/>
      <c r="V34" s="13"/>
      <c r="W34" s="86"/>
      <c r="Y34" s="54"/>
      <c r="Z34" s="36"/>
      <c r="AA34" s="3"/>
      <c r="AB34" s="54" t="s">
        <v>369</v>
      </c>
      <c r="AC34" s="36">
        <v>9.4999999999999998E-3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2.1909999999999999E-2</v>
      </c>
      <c r="O35" s="89"/>
      <c r="P35" s="89"/>
      <c r="Q35" s="90" t="b">
        <v>1</v>
      </c>
      <c r="S35" s="97"/>
      <c r="T35" s="98"/>
      <c r="V35" s="13"/>
      <c r="W35" s="86"/>
      <c r="Y35" s="54"/>
      <c r="Z35" s="36"/>
      <c r="AA35" s="3"/>
      <c r="AB35" s="54" t="s">
        <v>372</v>
      </c>
      <c r="AC35" s="36">
        <v>1.0800000000000001E-2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2.2858E-2</v>
      </c>
      <c r="O36" s="89"/>
      <c r="P36" s="89"/>
      <c r="Q36" s="90" t="b">
        <v>1</v>
      </c>
      <c r="S36" s="97"/>
      <c r="T36" s="98"/>
      <c r="V36" s="13"/>
      <c r="W36" s="86"/>
      <c r="Y36" s="54"/>
      <c r="Z36" s="36"/>
      <c r="AA36" s="3"/>
      <c r="AB36" s="54" t="s">
        <v>375</v>
      </c>
      <c r="AC36" s="36">
        <v>1.248E-2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2.3054999999999999E-2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2.3092999999999999E-2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2.283E-2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2.2620000000000001E-2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B222CA"/>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42198</v>
      </c>
      <c r="J8" s="72" t="s">
        <v>174</v>
      </c>
      <c r="K8" s="34" t="s">
        <v>212</v>
      </c>
      <c r="M8" s="74" t="s">
        <v>76</v>
      </c>
      <c r="N8" s="75" t="s">
        <v>75</v>
      </c>
      <c r="O8" s="75" t="s">
        <v>139</v>
      </c>
      <c r="P8" s="75" t="s">
        <v>138</v>
      </c>
      <c r="Q8" s="76" t="s">
        <v>173</v>
      </c>
      <c r="S8" s="67" t="s">
        <v>172</v>
      </c>
      <c r="T8" s="68" t="s">
        <v>75</v>
      </c>
      <c r="V8" s="55" t="s">
        <v>170</v>
      </c>
      <c r="W8" s="110">
        <v>42198</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42198</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1.4050000000000002E-3</v>
      </c>
      <c r="AP9" s="83" t="b">
        <v>0</v>
      </c>
      <c r="AQ9" s="6"/>
      <c r="AR9" s="56" t="s">
        <v>162</v>
      </c>
      <c r="AS9" s="86" t="s">
        <v>200</v>
      </c>
      <c r="AU9" s="78" t="s">
        <v>169</v>
      </c>
      <c r="AV9" s="102" t="s">
        <v>168</v>
      </c>
      <c r="AX9" s="87" t="s">
        <v>160</v>
      </c>
      <c r="AY9" s="103">
        <v>3.3750000000000002E-4</v>
      </c>
      <c r="BA9" s="78" t="s">
        <v>169</v>
      </c>
      <c r="BB9" s="102" t="s">
        <v>168</v>
      </c>
      <c r="BD9" s="87" t="s">
        <v>160</v>
      </c>
      <c r="BE9" s="103">
        <v>6.3750000000000005E-4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-4.2399999999999998E-3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7.3130000000000005E-4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1.485E-3</v>
      </c>
      <c r="AP10" s="83" t="b">
        <v>0</v>
      </c>
      <c r="AQ10" s="6"/>
      <c r="AR10" s="56" t="s">
        <v>143</v>
      </c>
      <c r="AS10" s="86" t="s">
        <v>29</v>
      </c>
      <c r="AU10" s="56" t="s">
        <v>161</v>
      </c>
      <c r="AV10" s="17" t="s">
        <v>215</v>
      </c>
      <c r="AX10" s="87" t="s">
        <v>42</v>
      </c>
      <c r="AY10" s="103">
        <v>3.6193200000000003E-4</v>
      </c>
      <c r="BA10" s="56" t="s">
        <v>161</v>
      </c>
      <c r="BB10" s="17" t="s">
        <v>215</v>
      </c>
      <c r="BD10" s="87" t="s">
        <v>42</v>
      </c>
      <c r="BE10" s="103">
        <v>6.2500000000000001E-4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-5.29985E-3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7.2499999999999995E-4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1.7625E-3</v>
      </c>
      <c r="AP11" s="83" t="b">
        <v>1</v>
      </c>
      <c r="AQ11" s="6"/>
      <c r="AR11" s="56" t="s">
        <v>140</v>
      </c>
      <c r="AS11" s="86" t="s">
        <v>29</v>
      </c>
      <c r="AU11" s="56" t="s">
        <v>154</v>
      </c>
      <c r="AV11" s="17" t="s">
        <v>55</v>
      </c>
      <c r="AX11" s="87" t="s">
        <v>39</v>
      </c>
      <c r="AY11" s="103">
        <v>3.838E-4</v>
      </c>
      <c r="BA11" s="56" t="s">
        <v>154</v>
      </c>
      <c r="BB11" s="17" t="s">
        <v>55</v>
      </c>
      <c r="BD11" s="87" t="s">
        <v>39</v>
      </c>
      <c r="BE11" s="103">
        <v>6.4999999999999997E-4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-6.1500000000000001E-3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7.1880000000000002E-4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2.225E-3</v>
      </c>
      <c r="AP12" s="83" t="b">
        <v>1</v>
      </c>
      <c r="AQ12" s="6"/>
      <c r="AR12" s="56" t="s">
        <v>157</v>
      </c>
      <c r="AS12" s="86" t="s">
        <v>29</v>
      </c>
      <c r="AU12" s="56" t="s">
        <v>151</v>
      </c>
      <c r="AV12" s="17" t="s">
        <v>78</v>
      </c>
      <c r="AX12" s="87" t="s">
        <v>35</v>
      </c>
      <c r="AY12" s="103">
        <v>4.125E-4</v>
      </c>
      <c r="BA12" s="56" t="s">
        <v>151</v>
      </c>
      <c r="BB12" s="17" t="s">
        <v>78</v>
      </c>
      <c r="BD12" s="87" t="s">
        <v>35</v>
      </c>
      <c r="BE12" s="103">
        <v>6.8749999999999996E-4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-6.7850499999999999E-3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7.0999999999999991E-4</v>
      </c>
      <c r="O13" s="89"/>
      <c r="P13" s="89"/>
      <c r="Q13" s="90" t="b">
        <v>1</v>
      </c>
      <c r="S13" s="97"/>
      <c r="T13" s="98"/>
      <c r="V13" s="56" t="s">
        <v>230</v>
      </c>
      <c r="W13" s="86" t="b">
        <v>0</v>
      </c>
      <c r="Y13" s="6"/>
      <c r="Z13" s="4"/>
      <c r="AA13" s="6"/>
      <c r="AB13" s="8"/>
      <c r="AC13" s="4"/>
      <c r="AE13" s="4"/>
      <c r="AF13" s="4"/>
      <c r="AK13" s="56" t="s">
        <v>270</v>
      </c>
      <c r="AL13" s="86" t="s">
        <v>269</v>
      </c>
      <c r="AN13" s="71" t="s">
        <v>33</v>
      </c>
      <c r="AO13" s="82">
        <v>2.8249999999999998E-3</v>
      </c>
      <c r="AP13" s="83" t="b">
        <v>1</v>
      </c>
      <c r="AQ13" s="6"/>
      <c r="AR13" s="56" t="s">
        <v>230</v>
      </c>
      <c r="AS13" s="86" t="b">
        <v>0</v>
      </c>
      <c r="AU13" s="56" t="s">
        <v>148</v>
      </c>
      <c r="AV13" s="17" t="s">
        <v>40</v>
      </c>
      <c r="AX13" s="87" t="s">
        <v>33</v>
      </c>
      <c r="AY13" s="103">
        <v>4.3750000000000001E-4</v>
      </c>
      <c r="BA13" s="56" t="s">
        <v>148</v>
      </c>
      <c r="BB13" s="17" t="s">
        <v>40</v>
      </c>
      <c r="BD13" s="87" t="s">
        <v>33</v>
      </c>
      <c r="BE13" s="103">
        <v>7.1250000000000003E-4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-7.2251000000000008E-3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6.9000000000000008E-4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3.5049999999999999E-3</v>
      </c>
      <c r="AP14" s="83" t="b">
        <v>1</v>
      </c>
      <c r="AQ14" s="6"/>
      <c r="AR14" s="56" t="s">
        <v>232</v>
      </c>
      <c r="AS14" s="86" t="b">
        <v>0</v>
      </c>
      <c r="AU14" s="56" t="s">
        <v>141</v>
      </c>
      <c r="AV14" s="17" t="s">
        <v>43</v>
      </c>
      <c r="AX14" s="87" t="s">
        <v>131</v>
      </c>
      <c r="AY14" s="103">
        <v>4.6250000000000002E-4</v>
      </c>
      <c r="BA14" s="56" t="s">
        <v>141</v>
      </c>
      <c r="BB14" s="17" t="s">
        <v>43</v>
      </c>
      <c r="BD14" s="87" t="s">
        <v>131</v>
      </c>
      <c r="BE14" s="103">
        <v>7.1250000000000003E-4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-7.4626000000000007E-3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6.7969999999999999E-4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4.215E-3</v>
      </c>
      <c r="AP15" s="83" t="b">
        <v>1</v>
      </c>
      <c r="AQ15" s="6"/>
      <c r="AR15" s="56" t="s">
        <v>110</v>
      </c>
      <c r="AS15" s="86" t="b">
        <v>0</v>
      </c>
      <c r="AU15" s="56" t="s">
        <v>132</v>
      </c>
      <c r="AV15" s="31" t="s">
        <v>201</v>
      </c>
      <c r="AX15" s="87" t="s">
        <v>31</v>
      </c>
      <c r="AY15" s="103">
        <v>4.8755300000000005E-4</v>
      </c>
      <c r="BA15" s="56" t="s">
        <v>132</v>
      </c>
      <c r="BB15" s="31" t="s">
        <v>201</v>
      </c>
      <c r="BD15" s="87" t="s">
        <v>31</v>
      </c>
      <c r="BE15" s="103">
        <v>7.3749999999999998E-4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-7.5251499999999995E-3</v>
      </c>
      <c r="CE15" s="56" t="s">
        <v>110</v>
      </c>
      <c r="CF15" s="86" t="b">
        <v>0</v>
      </c>
      <c r="CH15" s="56"/>
      <c r="CI15" s="86"/>
      <c r="CK15" s="56"/>
      <c r="CL15" s="86"/>
      <c r="CN15" s="56"/>
      <c r="CO15" s="86"/>
    </row>
    <row r="16" spans="2:93">
      <c r="F16" t="s">
        <v>12</v>
      </c>
      <c r="G16" s="56" t="s">
        <v>107</v>
      </c>
      <c r="H16" s="86" t="b">
        <v>0</v>
      </c>
      <c r="J16" s="73"/>
      <c r="K16" s="17"/>
      <c r="M16" s="87" t="s">
        <v>74</v>
      </c>
      <c r="N16" s="88">
        <v>6.7000000000000002E-4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4.9300000000000004E-3</v>
      </c>
      <c r="AP16" s="83" t="b">
        <v>1</v>
      </c>
      <c r="AQ16" s="6"/>
      <c r="AR16" s="56" t="s">
        <v>107</v>
      </c>
      <c r="AS16" s="86" t="b">
        <v>0</v>
      </c>
      <c r="AU16" s="56" t="s">
        <v>126</v>
      </c>
      <c r="AV16" s="31" t="s">
        <v>63</v>
      </c>
      <c r="AX16" s="87" t="s">
        <v>119</v>
      </c>
      <c r="AY16" s="103">
        <v>5.1290999999999999E-4</v>
      </c>
      <c r="BA16" s="56" t="s">
        <v>126</v>
      </c>
      <c r="BB16" s="31" t="s">
        <v>63</v>
      </c>
      <c r="BD16" s="87" t="s">
        <v>119</v>
      </c>
      <c r="BE16" s="103">
        <v>7.6250000000000005E-4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-7.4503500000000005E-3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6.6E-4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5.6350000000000003E-3</v>
      </c>
      <c r="AP17" s="83" t="b">
        <v>1</v>
      </c>
      <c r="AQ17" s="6"/>
      <c r="AR17" s="56" t="s">
        <v>100</v>
      </c>
      <c r="AS17" s="86" t="s">
        <v>29</v>
      </c>
      <c r="AU17" s="56" t="s">
        <v>120</v>
      </c>
      <c r="AV17" s="109" t="s">
        <v>23</v>
      </c>
      <c r="AX17" s="87" t="s">
        <v>113</v>
      </c>
      <c r="AY17" s="103">
        <v>5.4960000000000002E-4</v>
      </c>
      <c r="BA17" s="56" t="s">
        <v>120</v>
      </c>
      <c r="BB17" s="109" t="s">
        <v>23</v>
      </c>
      <c r="BD17" s="87" t="s">
        <v>113</v>
      </c>
      <c r="BE17" s="103">
        <v>8.0000000000000004E-4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-7.2968500000000006E-3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6.6E-4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6.3549999999999995E-3</v>
      </c>
      <c r="AP18" s="83" t="b">
        <v>1</v>
      </c>
      <c r="AQ18" s="6"/>
      <c r="AR18" s="56" t="s">
        <v>235</v>
      </c>
      <c r="AS18" s="86" t="b">
        <v>1</v>
      </c>
      <c r="AU18" s="56" t="s">
        <v>114</v>
      </c>
      <c r="AV18" s="17" t="s">
        <v>55</v>
      </c>
      <c r="AX18" s="87" t="s">
        <v>28</v>
      </c>
      <c r="AY18" s="103">
        <v>5.7521799999999995E-4</v>
      </c>
      <c r="BA18" s="56" t="s">
        <v>114</v>
      </c>
      <c r="BB18" s="17" t="s">
        <v>55</v>
      </c>
      <c r="BD18" s="87" t="s">
        <v>28</v>
      </c>
      <c r="BE18" s="103">
        <v>8.4999999999999995E-4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-7.1001999999999992E-3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6.4999999999999997E-4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7.8000000000000005E-3</v>
      </c>
      <c r="AP19" s="83" t="b">
        <v>1</v>
      </c>
      <c r="AQ19" s="6"/>
      <c r="AR19" s="56" t="s">
        <v>81</v>
      </c>
      <c r="AS19" s="86" t="s">
        <v>201</v>
      </c>
      <c r="AU19" s="56" t="s">
        <v>109</v>
      </c>
      <c r="AV19" s="17" t="s">
        <v>46</v>
      </c>
      <c r="AX19" s="87" t="s">
        <v>366</v>
      </c>
      <c r="AY19" s="103">
        <v>5.8750000000000002E-4</v>
      </c>
      <c r="BA19" s="56" t="s">
        <v>109</v>
      </c>
      <c r="BB19" s="17" t="s">
        <v>46</v>
      </c>
      <c r="BD19" s="87" t="s">
        <v>26</v>
      </c>
      <c r="BE19" s="103">
        <v>8.3750000000000003E-4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-6.8999999999999999E-3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6.4999999999999997E-4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9.9500000000000005E-3</v>
      </c>
      <c r="AP20" s="83" t="b">
        <v>1</v>
      </c>
      <c r="AQ20" s="6"/>
      <c r="AR20" s="56" t="s">
        <v>254</v>
      </c>
      <c r="AS20" s="86" t="b">
        <v>1</v>
      </c>
      <c r="AU20" s="56" t="s">
        <v>105</v>
      </c>
      <c r="AV20" s="17" t="s">
        <v>48</v>
      </c>
      <c r="AX20" s="87" t="s">
        <v>26</v>
      </c>
      <c r="AY20" s="103">
        <v>5.7570899999999999E-4</v>
      </c>
      <c r="BA20" s="56" t="s">
        <v>105</v>
      </c>
      <c r="BB20" s="17" t="s">
        <v>48</v>
      </c>
      <c r="BD20" s="87" t="s">
        <v>24</v>
      </c>
      <c r="BE20" s="103">
        <v>8.1249999999999996E-4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-6.6752499999999998E-3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6.4000000000000005E-4</v>
      </c>
      <c r="O21" s="89"/>
      <c r="P21" s="89"/>
      <c r="Q21" s="90" t="b">
        <v>1</v>
      </c>
      <c r="S21" s="97"/>
      <c r="T21" s="98"/>
      <c r="V21" s="56"/>
      <c r="W21" s="86"/>
      <c r="Y21" s="57"/>
      <c r="Z21" s="17"/>
      <c r="AB21" s="54"/>
      <c r="AC21" s="36"/>
      <c r="AE21" s="45"/>
      <c r="AF21" s="46"/>
      <c r="AG21" s="46"/>
      <c r="AH21" s="47"/>
      <c r="AI21" s="185" t="s">
        <v>88</v>
      </c>
      <c r="AK21" s="56"/>
      <c r="AL21" s="86"/>
      <c r="AN21" s="71" t="s">
        <v>20</v>
      </c>
      <c r="AO21" s="82">
        <v>1.269E-2</v>
      </c>
      <c r="AP21" s="83" t="b">
        <v>1</v>
      </c>
      <c r="AQ21" s="6"/>
      <c r="AR21" s="56"/>
      <c r="AS21" s="86"/>
      <c r="AU21" s="56" t="s">
        <v>101</v>
      </c>
      <c r="AV21" s="17" t="s">
        <v>46</v>
      </c>
      <c r="AX21" s="87" t="s">
        <v>24</v>
      </c>
      <c r="AY21" s="103">
        <v>5.6338100000000006E-4</v>
      </c>
      <c r="BA21" s="56" t="s">
        <v>101</v>
      </c>
      <c r="BB21" s="17" t="s">
        <v>46</v>
      </c>
      <c r="BD21" s="87" t="s">
        <v>20</v>
      </c>
      <c r="BE21" s="103">
        <v>7.8750000000000001E-4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-6.4999999999999997E-3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6.38E-4</v>
      </c>
      <c r="O22" s="89"/>
      <c r="P22" s="89"/>
      <c r="Q22" s="90" t="b">
        <v>1</v>
      </c>
      <c r="S22" s="97"/>
      <c r="T22" s="98"/>
      <c r="V22" s="56"/>
      <c r="W22" s="86"/>
      <c r="Y22" s="57"/>
      <c r="Z22" s="17"/>
      <c r="AB22" s="54"/>
      <c r="AC22" s="36"/>
      <c r="AE22" s="45"/>
      <c r="AF22" s="46"/>
      <c r="AG22" s="46"/>
      <c r="AH22" s="47"/>
      <c r="AI22" s="185" t="s">
        <v>88</v>
      </c>
      <c r="AK22" s="56"/>
      <c r="AL22" s="86"/>
      <c r="AN22" s="71" t="s">
        <v>18</v>
      </c>
      <c r="AO22" s="82">
        <v>1.4199999999999999E-2</v>
      </c>
      <c r="AP22" s="83" t="b">
        <v>1</v>
      </c>
      <c r="AQ22" s="6"/>
      <c r="AR22" s="56"/>
      <c r="AS22" s="86"/>
      <c r="AU22" s="56" t="s">
        <v>96</v>
      </c>
      <c r="AV22" s="17" t="s">
        <v>43</v>
      </c>
      <c r="AX22" s="87" t="s">
        <v>20</v>
      </c>
      <c r="AY22" s="103">
        <v>5.5385000000000005E-4</v>
      </c>
      <c r="BA22" s="56" t="s">
        <v>96</v>
      </c>
      <c r="BB22" s="17" t="s">
        <v>43</v>
      </c>
      <c r="BD22" s="87" t="s">
        <v>18</v>
      </c>
      <c r="BE22" s="103">
        <v>7.7499999999999997E-4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-6.3249999999999999E-3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6.38E-4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1.4999999999999999E-2</v>
      </c>
      <c r="AP23" s="83" t="b">
        <v>1</v>
      </c>
      <c r="AQ23" s="6"/>
      <c r="AR23" s="13"/>
      <c r="AS23" s="86"/>
      <c r="AU23" s="79" t="s">
        <v>92</v>
      </c>
      <c r="AV23" s="20" t="s">
        <v>40</v>
      </c>
      <c r="AX23" s="87" t="s">
        <v>18</v>
      </c>
      <c r="AY23" s="103">
        <v>5.5245000000000001E-4</v>
      </c>
      <c r="BA23" s="79" t="s">
        <v>92</v>
      </c>
      <c r="BB23" s="20" t="s">
        <v>40</v>
      </c>
      <c r="BD23" s="87" t="s">
        <v>17</v>
      </c>
      <c r="BE23" s="103">
        <v>7.6250000000000005E-4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-6.1252499999999996E-3</v>
      </c>
      <c r="CE23" s="13"/>
      <c r="CF23" s="86"/>
      <c r="CH23" s="56"/>
      <c r="CI23" s="86"/>
      <c r="CK23" s="56"/>
      <c r="CL23" s="86"/>
      <c r="CN23" s="56"/>
      <c r="CO23" s="86"/>
    </row>
    <row r="24" spans="2:93">
      <c r="B24" s="56"/>
      <c r="C24" s="132"/>
      <c r="D24" s="133"/>
      <c r="E24" s="134"/>
      <c r="F24" t="s">
        <v>12</v>
      </c>
      <c r="G24" s="14"/>
      <c r="H24" s="32"/>
      <c r="J24" s="14"/>
      <c r="K24" s="32"/>
      <c r="M24" s="87" t="s">
        <v>265</v>
      </c>
      <c r="N24" s="88">
        <v>6.3750000000000005E-4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1.5637499999999999E-2</v>
      </c>
      <c r="AP24" s="83" t="b">
        <v>1</v>
      </c>
      <c r="AQ24" s="6"/>
      <c r="AR24" s="13"/>
      <c r="AS24" s="86"/>
      <c r="AU24" s="78" t="s">
        <v>87</v>
      </c>
      <c r="AV24" s="102" t="s">
        <v>215</v>
      </c>
      <c r="AX24" s="87" t="s">
        <v>17</v>
      </c>
      <c r="AY24" s="103">
        <v>5.5008499999999996E-4</v>
      </c>
      <c r="BA24" s="78" t="s">
        <v>87</v>
      </c>
      <c r="BB24" s="102" t="s">
        <v>215</v>
      </c>
      <c r="BD24" s="87" t="s">
        <v>15</v>
      </c>
      <c r="BE24" s="103">
        <v>7.3749999999999998E-4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-5.3877500000000002E-3</v>
      </c>
      <c r="CE24" s="13"/>
      <c r="CF24" s="86"/>
      <c r="CH24" s="56"/>
      <c r="CI24" s="86"/>
      <c r="CK24" s="56"/>
      <c r="CL24" s="86"/>
      <c r="CN24" s="56"/>
      <c r="CO24" s="86"/>
    </row>
    <row r="25" spans="2:93">
      <c r="B25" s="62"/>
      <c r="C25" s="135"/>
      <c r="D25" s="136"/>
      <c r="E25" s="137"/>
      <c r="F25" t="s">
        <v>12</v>
      </c>
      <c r="M25" s="87" t="s">
        <v>45</v>
      </c>
      <c r="N25" s="88">
        <v>6.38E-4</v>
      </c>
      <c r="O25" s="89"/>
      <c r="P25" s="89"/>
      <c r="Q25" s="90" t="b">
        <v>1</v>
      </c>
      <c r="S25" s="97"/>
      <c r="T25" s="98"/>
      <c r="V25" s="13"/>
      <c r="W25" s="86"/>
      <c r="Y25" s="58"/>
      <c r="Z25" s="20"/>
      <c r="AB25" s="65"/>
      <c r="AC25" s="41"/>
      <c r="AE25" s="48"/>
      <c r="AF25" s="46"/>
      <c r="AG25" s="46"/>
      <c r="AH25" s="49"/>
      <c r="AI25" s="185" t="s">
        <v>88</v>
      </c>
      <c r="AK25" s="56"/>
      <c r="AL25" s="86"/>
      <c r="AN25" s="71" t="s">
        <v>15</v>
      </c>
      <c r="AO25" s="82">
        <v>1.6174999999999998E-2</v>
      </c>
      <c r="AP25" s="83" t="b">
        <v>1</v>
      </c>
      <c r="AQ25" s="6"/>
      <c r="AR25" s="13"/>
      <c r="AS25" s="86"/>
      <c r="AU25" s="56" t="s">
        <v>85</v>
      </c>
      <c r="AV25" s="17" t="s">
        <v>55</v>
      </c>
      <c r="AX25" s="87" t="s">
        <v>15</v>
      </c>
      <c r="AY25" s="103">
        <v>5.4968300000000003E-4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-4.8563499999999997E-3</v>
      </c>
      <c r="CE25" s="13"/>
      <c r="CF25" s="86"/>
      <c r="CH25" s="56"/>
      <c r="CI25" s="86"/>
      <c r="CK25" s="56"/>
      <c r="CL25" s="86"/>
      <c r="CN25" s="56"/>
      <c r="CO25" s="86"/>
    </row>
    <row r="26" spans="2:93">
      <c r="F26" t="s">
        <v>12</v>
      </c>
      <c r="M26" s="87" t="s">
        <v>42</v>
      </c>
      <c r="N26" s="88">
        <v>6.7500000000000004E-4</v>
      </c>
      <c r="O26" s="89"/>
      <c r="P26" s="89"/>
      <c r="Q26" s="90" t="b">
        <v>1</v>
      </c>
      <c r="S26" s="97"/>
      <c r="T26" s="98"/>
      <c r="V26" s="13"/>
      <c r="W26" s="86"/>
      <c r="Y26" s="215" t="s">
        <v>23</v>
      </c>
      <c r="Z26" s="216">
        <v>1.3500000000000001E-3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-4.4752999999999998E-3</v>
      </c>
      <c r="CE26" s="13"/>
      <c r="CF26" s="86"/>
      <c r="CH26" s="56"/>
      <c r="CI26" s="86"/>
      <c r="CK26" s="56"/>
      <c r="CL26" s="86"/>
      <c r="CN26" s="56"/>
      <c r="CO26" s="86"/>
    </row>
    <row r="27" spans="2:93">
      <c r="B27" s="2" t="s">
        <v>356</v>
      </c>
      <c r="C27" s="9"/>
      <c r="F27" t="s">
        <v>12</v>
      </c>
      <c r="M27" s="87" t="s">
        <v>39</v>
      </c>
      <c r="N27" s="88">
        <v>8.4000000000000003E-4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-3.8124999999999999E-3</v>
      </c>
      <c r="CE27" s="13"/>
      <c r="CF27" s="86"/>
      <c r="CH27" s="56"/>
      <c r="CI27" s="86"/>
      <c r="CK27" s="56"/>
      <c r="CL27" s="86"/>
      <c r="CN27" s="56"/>
      <c r="CO27" s="86"/>
    </row>
    <row r="28" spans="2:93">
      <c r="B28" s="55" t="s">
        <v>201</v>
      </c>
      <c r="C28" s="126" t="s">
        <v>210</v>
      </c>
      <c r="D28" s="127"/>
      <c r="E28" s="128"/>
      <c r="F28" t="s">
        <v>12</v>
      </c>
      <c r="M28" s="87" t="s">
        <v>35</v>
      </c>
      <c r="N28" s="88">
        <v>1.1999999999999999E-3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-3.2750000000000001E-3</v>
      </c>
      <c r="CE28" s="13"/>
      <c r="CF28" s="86"/>
      <c r="CH28" s="56"/>
      <c r="CI28" s="86"/>
      <c r="CK28" s="56"/>
      <c r="CL28" s="86"/>
      <c r="CN28" s="56"/>
      <c r="CO28" s="86"/>
    </row>
    <row r="29" spans="2:93">
      <c r="B29" s="56" t="s">
        <v>63</v>
      </c>
      <c r="C29" s="129" t="s">
        <v>338</v>
      </c>
      <c r="D29" s="130"/>
      <c r="E29" s="131"/>
      <c r="F29" t="s">
        <v>12</v>
      </c>
      <c r="M29" s="87" t="s">
        <v>33</v>
      </c>
      <c r="N29" s="88">
        <v>1.7125E-3</v>
      </c>
      <c r="O29" s="89"/>
      <c r="P29" s="89"/>
      <c r="Q29" s="90" t="b">
        <v>1</v>
      </c>
      <c r="S29" s="97"/>
      <c r="T29" s="98"/>
      <c r="V29" s="13"/>
      <c r="W29" s="86"/>
      <c r="Y29" s="54" t="s">
        <v>23</v>
      </c>
      <c r="Z29" s="36">
        <v>1.3429E-3</v>
      </c>
      <c r="AB29" s="54" t="s">
        <v>71</v>
      </c>
      <c r="AC29" s="36">
        <v>1.3500000000000001E-3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2.3436999999999998E-3</v>
      </c>
      <c r="O30" s="89"/>
      <c r="P30" s="89"/>
      <c r="Q30" s="90" t="b">
        <v>1</v>
      </c>
      <c r="S30" s="97"/>
      <c r="T30" s="98"/>
      <c r="V30" s="13"/>
      <c r="W30" s="86"/>
      <c r="Y30" s="54"/>
      <c r="Z30" s="36"/>
      <c r="AB30" s="54" t="s">
        <v>68</v>
      </c>
      <c r="AC30" s="36">
        <v>1.3550000000000001E-3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2.9687999999999997E-3</v>
      </c>
      <c r="O31" s="89"/>
      <c r="P31" s="89"/>
      <c r="Q31" s="90" t="b">
        <v>1</v>
      </c>
      <c r="S31" s="97"/>
      <c r="T31" s="98"/>
      <c r="V31" s="13"/>
      <c r="W31" s="86"/>
      <c r="Y31" s="54"/>
      <c r="Z31" s="36"/>
      <c r="AB31" s="54" t="s">
        <v>66</v>
      </c>
      <c r="AC31" s="36">
        <v>1.3650000000000001E-3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3.6125000000000003E-3</v>
      </c>
      <c r="O32" s="89"/>
      <c r="P32" s="89"/>
      <c r="Q32" s="90" t="b">
        <v>1</v>
      </c>
      <c r="S32" s="97"/>
      <c r="T32" s="98"/>
      <c r="V32" s="13"/>
      <c r="W32" s="86"/>
      <c r="Y32" s="54"/>
      <c r="Z32" s="36"/>
      <c r="AA32" s="3"/>
      <c r="AB32" s="54" t="s">
        <v>62</v>
      </c>
      <c r="AC32" s="36">
        <v>1.3750000000000001E-3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4.2312000000000001E-3</v>
      </c>
      <c r="O33" s="89"/>
      <c r="P33" s="89"/>
      <c r="Q33" s="90" t="b">
        <v>1</v>
      </c>
      <c r="S33" s="97"/>
      <c r="T33" s="98"/>
      <c r="V33" s="13"/>
      <c r="W33" s="86"/>
      <c r="Y33" s="54"/>
      <c r="Z33" s="36"/>
      <c r="AA33" s="3"/>
      <c r="AB33" s="54" t="s">
        <v>58</v>
      </c>
      <c r="AC33" s="36">
        <v>1.3875000000000001E-3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4.875E-3</v>
      </c>
      <c r="O34" s="89"/>
      <c r="P34" s="89"/>
      <c r="Q34" s="90" t="b">
        <v>1</v>
      </c>
      <c r="S34" s="97"/>
      <c r="T34" s="98"/>
      <c r="V34" s="13"/>
      <c r="W34" s="86"/>
      <c r="Y34" s="54"/>
      <c r="Z34" s="36"/>
      <c r="AA34" s="3"/>
      <c r="AB34" s="54" t="s">
        <v>369</v>
      </c>
      <c r="AC34" s="36">
        <v>1.3950000000000002E-3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5.5249999999999995E-3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6.1624999999999996E-3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8.2874999999999997E-3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1.1075E-2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1.24875E-2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1.325E-2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1.3962499999999999E-2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1.4499999999999999E-2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3366FF"/>
    <pageSetUpPr fitToPage="1"/>
  </sheetPr>
  <dimension ref="A2:AG41"/>
  <sheetViews>
    <sheetView showGridLines="0" workbookViewId="0"/>
  </sheetViews>
  <sheetFormatPr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63" t="s">
        <v>279</v>
      </c>
      <c r="G2" s="116"/>
      <c r="H2" s="146"/>
      <c r="I2" s="263" t="s">
        <v>280</v>
      </c>
      <c r="K2" s="116"/>
      <c r="L2" s="146"/>
      <c r="M2" s="263" t="s">
        <v>281</v>
      </c>
      <c r="O2" s="116"/>
      <c r="P2" s="146"/>
      <c r="Q2" s="263" t="s">
        <v>282</v>
      </c>
      <c r="T2" s="263" t="s">
        <v>391</v>
      </c>
      <c r="U2" s="265"/>
      <c r="V2" s="265"/>
      <c r="W2" s="265"/>
      <c r="X2" s="265"/>
      <c r="AA2" s="263" t="s">
        <v>393</v>
      </c>
      <c r="AB2" s="265"/>
      <c r="AC2" s="265"/>
      <c r="AD2" s="265"/>
      <c r="AE2" s="265"/>
      <c r="AG2" s="143" t="s">
        <v>392</v>
      </c>
    </row>
    <row r="3" spans="1:33" ht="15" customHeight="1">
      <c r="A3" s="175" t="s">
        <v>367</v>
      </c>
      <c r="D3" s="146"/>
      <c r="E3" s="264"/>
      <c r="G3" s="117"/>
      <c r="H3" s="146"/>
      <c r="I3" s="264"/>
      <c r="K3" s="117"/>
      <c r="L3" s="146"/>
      <c r="M3" s="264"/>
      <c r="O3" s="117"/>
      <c r="P3" s="146"/>
      <c r="Q3" s="264"/>
      <c r="S3" s="112"/>
      <c r="T3" s="264"/>
      <c r="U3" s="265"/>
      <c r="V3" s="265"/>
      <c r="W3" s="265"/>
      <c r="X3" s="265"/>
      <c r="AA3" s="264"/>
      <c r="AB3" s="265"/>
      <c r="AC3" s="265"/>
      <c r="AD3" s="265"/>
      <c r="AE3" s="265"/>
      <c r="AG3" s="173">
        <f ca="1">SUM(CurveErrorsUSD,CurveErrorsEUR,CurveErrorsGBP,CurveErrorsJPY)</f>
        <v>0</v>
      </c>
    </row>
    <row r="4" spans="1:33">
      <c r="S4" s="174"/>
      <c r="T4" s="174"/>
      <c r="U4" s="144"/>
      <c r="V4" s="144"/>
      <c r="W4" s="144"/>
      <c r="X4" s="144"/>
    </row>
    <row r="5" spans="1:33">
      <c r="A5" s="262"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62" t="s">
        <v>190</v>
      </c>
      <c r="T5" s="11" t="s">
        <v>399</v>
      </c>
      <c r="U5" s="195" t="s">
        <v>279</v>
      </c>
      <c r="V5" s="195" t="s">
        <v>280</v>
      </c>
      <c r="W5" s="195" t="s">
        <v>281</v>
      </c>
      <c r="X5" s="195" t="s">
        <v>282</v>
      </c>
      <c r="Z5" s="262" t="s">
        <v>190</v>
      </c>
      <c r="AA5" s="11" t="s">
        <v>382</v>
      </c>
      <c r="AB5" s="195" t="s">
        <v>279</v>
      </c>
      <c r="AC5" s="195" t="s">
        <v>280</v>
      </c>
      <c r="AD5" s="195" t="s">
        <v>281</v>
      </c>
      <c r="AE5" s="195" t="s">
        <v>282</v>
      </c>
      <c r="AG5" s="143" t="s">
        <v>394</v>
      </c>
    </row>
    <row r="6" spans="1:33">
      <c r="A6" s="262"/>
      <c r="B6" s="114" t="s">
        <v>12</v>
      </c>
      <c r="C6" s="122" t="s">
        <v>201</v>
      </c>
      <c r="D6" s="168" t="s">
        <v>277</v>
      </c>
      <c r="E6" s="153" t="str">
        <f ca="1">_xll.mirSetUpOISCurve(E$5,C$6,YieldCurvePropertiesOIS,OISConv,OISRates,OISCurveNamesNativeCSA,OISHistoricalRates)&amp;"@"&amp;NOW()</f>
        <v>OIS OIS Curve has been set@42223.6616465278</v>
      </c>
      <c r="F6" s="114" t="s">
        <v>12</v>
      </c>
      <c r="G6" s="119" t="s">
        <v>201</v>
      </c>
      <c r="H6" s="166" t="s">
        <v>277</v>
      </c>
      <c r="I6" s="160" t="str">
        <f ca="1">_xll.mirSetUpOISCurve(I$5,G$6,YieldCurvePropertiesOIS,OISConv,OISRates,OISCurveNamesFWDFX,OISHistoricalRates)&amp;"@"&amp;NOW()</f>
        <v>OIS OIS Curve has been set@42223.6616452546</v>
      </c>
      <c r="J6" s="114" t="s">
        <v>12</v>
      </c>
      <c r="K6" s="119" t="s">
        <v>201</v>
      </c>
      <c r="L6" s="168" t="s">
        <v>277</v>
      </c>
      <c r="M6" s="160" t="str">
        <f ca="1">_xll.mirSetUpOISCurve(M$5,K$6,YieldCurvePropertiesOIS,OISConv,OISRates,OISCurveNamesFWDFX,OISHistoricalRates)&amp;"@"&amp;NOW()</f>
        <v>OIS OIS Curve has been set@42223.6616407407</v>
      </c>
      <c r="N6" s="114" t="s">
        <v>12</v>
      </c>
      <c r="O6" s="119" t="s">
        <v>201</v>
      </c>
      <c r="P6" s="168" t="s">
        <v>277</v>
      </c>
      <c r="Q6" s="160" t="str">
        <f ca="1">_xll.mirSetUpOISCurve(Q$5,O$6,YieldCurvePropertiesOIS,OISConv,OISRates,OISCurveNamesFWDFX,OISHistoricalRates)&amp;"@"&amp;NOW()</f>
        <v>OIS OIS Curve has been set@42223.6616459491</v>
      </c>
      <c r="R6" s="114" t="s">
        <v>12</v>
      </c>
      <c r="S6" s="262"/>
      <c r="T6" s="192" t="s">
        <v>201</v>
      </c>
      <c r="U6" s="169" t="b">
        <f t="shared" ref="U6:U12" ca="1" si="0">IF(UPPER(LEFT(E6,3))=LEFT(C6,3),TRUE,FALSE)</f>
        <v>1</v>
      </c>
      <c r="V6" s="169" t="b">
        <f t="shared" ref="V6:V12" ca="1" si="1">IF(UPPER(LEFT(I6,3))=LEFT(G6,3),TRUE,FALSE)</f>
        <v>1</v>
      </c>
      <c r="W6" s="169" t="b">
        <f t="shared" ref="W6:W12" ca="1" si="2">IF(UPPER(LEFT(M6,3))=LEFT(K6,3),TRUE,FALSE)</f>
        <v>1</v>
      </c>
      <c r="X6" s="169" t="b">
        <f t="shared" ref="X6:X12" ca="1" si="3">IF(UPPER(LEFT(Q6,3))=LEFT(O6,3),TRUE,FALSE)</f>
        <v>1</v>
      </c>
      <c r="Z6" s="262"/>
      <c r="AA6" s="192" t="s">
        <v>201</v>
      </c>
      <c r="AB6" s="196">
        <f t="shared" ref="AB6:AE10" ca="1" si="4">IF(ISERROR(U6),1,IF(U6,0,1))</f>
        <v>0</v>
      </c>
      <c r="AC6" s="189">
        <f t="shared" ca="1" si="4"/>
        <v>0</v>
      </c>
      <c r="AD6" s="189">
        <f t="shared" ca="1" si="4"/>
        <v>0</v>
      </c>
      <c r="AE6" s="197">
        <f t="shared" ca="1" si="4"/>
        <v>0</v>
      </c>
      <c r="AG6" s="173">
        <f ca="1">SUM(ErrorCountUSDUSDCSA,ErrorCountUSDEURCSA,ErrorCountUSDGBPCSA,ErrorCountUSDJPYCSA)</f>
        <v>0</v>
      </c>
    </row>
    <row r="7" spans="1:33">
      <c r="B7" s="114" t="s">
        <v>12</v>
      </c>
      <c r="C7" s="123" t="s">
        <v>63</v>
      </c>
      <c r="D7" s="201" t="s">
        <v>275</v>
      </c>
      <c r="E7" s="154" t="str">
        <f ca="1">IF(U6,_xll.mirSetUpSwapCurve(E$5,C7,YieldCurvePropertiesSTD,MoneyMarketData,LiborConv,LiborData,SwapsConv,SwapsData,FRAConv,FRADatax3,FRADatax6,FuturesConv,FuturesData,,,SwapCurveNamesNativeCSA,SwapCurveNameDF2)&amp;NOW()&amp;"@"&amp;NOW(),"#ERROR")</f>
        <v>STD Swap Curve has been set42223.6616472222@42223.6616472222</v>
      </c>
      <c r="F7" s="114" t="s">
        <v>12</v>
      </c>
      <c r="G7" s="120" t="s">
        <v>63</v>
      </c>
      <c r="H7" s="202" t="s">
        <v>275</v>
      </c>
      <c r="I7" s="161" t="str">
        <f ca="1">IF(V6,_xll.mirSetUpSwapCurve(I$5,G7,YieldCurvePropertiesSTD,MoneyMarketData,LiborConv,LiborData,SwapsConv,SwapsData,FRAConv,FRADatax3,FRADatax6,FuturesConv,FuturesData,,,SwapCurveNamesFWDFX,SwapCurveNameDF2)&amp;"@"&amp;NOW(),"#ERROR")</f>
        <v>STD Swap Curve has been set@42223.6616474537</v>
      </c>
      <c r="J7" s="114" t="s">
        <v>12</v>
      </c>
      <c r="K7" s="120" t="s">
        <v>63</v>
      </c>
      <c r="L7" s="201" t="s">
        <v>275</v>
      </c>
      <c r="M7" s="161" t="str">
        <f ca="1">IF(W6,_xll.mirSetUpSwapCurve(M$5,K7,YieldCurvePropertiesSTD,MoneyMarketData,LiborConv,LiborData,SwapsConv,SwapsData,FRAConv,FRADatax3,FRADatax6,FuturesConv,FuturesData,,,SwapCurveNamesFWDFX,SwapCurveNameDF2)&amp;"@"&amp;NOW(),"#ERROR")</f>
        <v>STD Swap Curve has been set@42223.6616409722</v>
      </c>
      <c r="N7" s="114" t="s">
        <v>12</v>
      </c>
      <c r="O7" s="120" t="s">
        <v>63</v>
      </c>
      <c r="P7" s="201" t="s">
        <v>275</v>
      </c>
      <c r="Q7" s="161" t="str">
        <f ca="1">IF(X6,_xll.mirSetUpSwapCurve(Q$5,O7,YieldCurvePropertiesSTD,MoneyMarketData,LiborConv,LiborData,SwapsConv,SwapsData,FRAConv,FRADatax3,FRADatax6,FuturesConv,FuturesData,,,SwapCurveNamesFWDFX,SwapCurveNameDF2)&amp;"@"&amp;NOW(),"#ERROR")</f>
        <v>STD Swap Curve has been set@42223.6616490741</v>
      </c>
      <c r="R7" s="114" t="s">
        <v>12</v>
      </c>
      <c r="S7" s="118"/>
      <c r="T7" s="193" t="s">
        <v>63</v>
      </c>
      <c r="U7" s="171" t="b">
        <f t="shared" ca="1" si="0"/>
        <v>1</v>
      </c>
      <c r="V7" s="171" t="b">
        <f t="shared" ca="1" si="1"/>
        <v>1</v>
      </c>
      <c r="W7" s="171" t="b">
        <f t="shared" ca="1" si="2"/>
        <v>1</v>
      </c>
      <c r="X7" s="171" t="b">
        <f t="shared" ca="1" si="3"/>
        <v>1</v>
      </c>
      <c r="Z7" s="118"/>
      <c r="AA7" s="193" t="s">
        <v>63</v>
      </c>
      <c r="AB7" s="198">
        <f t="shared" ca="1" si="4"/>
        <v>0</v>
      </c>
      <c r="AC7" s="190">
        <f t="shared" ca="1" si="4"/>
        <v>0</v>
      </c>
      <c r="AD7" s="190">
        <f t="shared" ca="1" si="4"/>
        <v>0</v>
      </c>
      <c r="AE7" s="199">
        <f t="shared" ca="1" si="4"/>
        <v>0</v>
      </c>
    </row>
    <row r="8" spans="1:33">
      <c r="B8" s="114" t="s">
        <v>12</v>
      </c>
      <c r="C8" s="123" t="s">
        <v>206</v>
      </c>
      <c r="D8" s="170" t="s">
        <v>273</v>
      </c>
      <c r="E8" s="154" t="str">
        <f ca="1">IF(U7,_xll.mirSetUpBasisSwapCurve(E$5,C8,YieldCurvePropertiesTenorBasis,BasisConv3x6,BasisData3x6,TenorBasis3x6CurveNamesNativeCSA)&amp;"@"&amp;NOW(),"#ERROR")</f>
        <v>3M6MBasis BasisSwap Curve has been set@42223.66165</v>
      </c>
      <c r="F8" s="114" t="s">
        <v>12</v>
      </c>
      <c r="G8" s="120" t="s">
        <v>206</v>
      </c>
      <c r="H8" s="145" t="s">
        <v>273</v>
      </c>
      <c r="I8" s="161" t="str">
        <f ca="1">IF(V7,_xll.mirSetUpBasisSwapCurve(I$5,G8,YieldCurvePropertiesTenorBasis,BasisConv3x6,BasisData3x6,TenorBasis3x6CurveNamesFWDFX)&amp;"@"&amp;NOW(),"#ERROR")</f>
        <v>3M6MBasis BasisSwap Curve has been set@42223.6616491898</v>
      </c>
      <c r="J8" s="114" t="s">
        <v>12</v>
      </c>
      <c r="K8" s="120" t="s">
        <v>206</v>
      </c>
      <c r="L8" s="170" t="s">
        <v>273</v>
      </c>
      <c r="M8" s="161" t="str">
        <f ca="1">IF(W7,_xll.mirSetUpBasisSwapCurve(M$5,K8,YieldCurvePropertiesTenorBasis,BasisConv3x6,BasisData3x6,TenorBasis3x6CurveNamesFWDFX)&amp;"@"&amp;NOW(),"#ERROR")</f>
        <v>3M6MBasis BasisSwap Curve has been set@42223.6616409722</v>
      </c>
      <c r="N8" s="114" t="s">
        <v>12</v>
      </c>
      <c r="O8" s="120" t="s">
        <v>206</v>
      </c>
      <c r="P8" s="170" t="s">
        <v>273</v>
      </c>
      <c r="Q8" s="161" t="str">
        <f ca="1">IF(X7,_xll.mirSetUpBasisSwapCurve(Q$5,O8,YieldCurvePropertiesTenorBasis,BasisConv3x6,BasisData3x6,TenorBasis3x6CurveNamesFWDFX)&amp;"@"&amp;NOW(),"#ERROR")</f>
        <v>3M6MBasis BasisSwap Curve has been set@42223.6616519676</v>
      </c>
      <c r="R8" s="114" t="s">
        <v>12</v>
      </c>
      <c r="S8" s="118"/>
      <c r="T8" s="193" t="s">
        <v>206</v>
      </c>
      <c r="U8" s="171" t="b">
        <f t="shared" ca="1" si="0"/>
        <v>1</v>
      </c>
      <c r="V8" s="171" t="b">
        <f t="shared" ca="1" si="1"/>
        <v>1</v>
      </c>
      <c r="W8" s="171" t="b">
        <f t="shared" ca="1" si="2"/>
        <v>1</v>
      </c>
      <c r="X8" s="171" t="b">
        <f t="shared" ca="1" si="3"/>
        <v>1</v>
      </c>
      <c r="Z8" s="118"/>
      <c r="AA8" s="193" t="s">
        <v>206</v>
      </c>
      <c r="AB8" s="198">
        <f t="shared" ca="1" si="4"/>
        <v>0</v>
      </c>
      <c r="AC8" s="190">
        <f t="shared" ca="1" si="4"/>
        <v>0</v>
      </c>
      <c r="AD8" s="190">
        <f t="shared" ca="1" si="4"/>
        <v>0</v>
      </c>
      <c r="AE8" s="199">
        <f t="shared" ca="1" si="4"/>
        <v>0</v>
      </c>
    </row>
    <row r="9" spans="1:33">
      <c r="B9" s="114" t="s">
        <v>12</v>
      </c>
      <c r="C9" s="123" t="s">
        <v>207</v>
      </c>
      <c r="D9" s="170" t="s">
        <v>274</v>
      </c>
      <c r="E9" s="154" t="str">
        <f ca="1">IF(U8,_xll.mirSetUpBasisSwapCurve(E$5,C9,YieldCurvePropertiesTenorBasis,BasisConv1x3,BasisData1x3,TenorBasis1x3CurveNamesNativeCSA)&amp;"@"&amp;NOW(),"#ERROR")</f>
        <v>1M3MBasis BasisSwap Curve has been set@42223.6616528935</v>
      </c>
      <c r="F9" s="114" t="s">
        <v>12</v>
      </c>
      <c r="G9" s="120" t="s">
        <v>207</v>
      </c>
      <c r="H9" s="145" t="s">
        <v>274</v>
      </c>
      <c r="I9" s="161" t="str">
        <f ca="1">IF(V8,_xll.mirSetUpBasisSwapCurve(I$5,G9,YieldCurvePropertiesTenorBasis,BasisConv1x3,BasisData1x3,TenorBasis1x3CurveNamesFWDFX)&amp;"@"&amp;NOW(),"#ERROR")</f>
        <v>1M3MBasis BasisSwap Curve has been set@42223.6616533565</v>
      </c>
      <c r="J9" s="114" t="s">
        <v>12</v>
      </c>
      <c r="K9" s="120" t="s">
        <v>207</v>
      </c>
      <c r="L9" s="170" t="s">
        <v>274</v>
      </c>
      <c r="M9" s="161" t="str">
        <f ca="1">IF(W8,_xll.mirSetUpBasisSwapCurve(M$5,K9,YieldCurvePropertiesTenorBasis,BasisConv1x3,BasisData1x3,TenorBasis1x3CurveNamesFWDFX)&amp;"@"&amp;NOW(),"#ERROR")</f>
        <v>1M3MBasis BasisSwap Curve has been set@42223.661641088</v>
      </c>
      <c r="N9" s="114" t="s">
        <v>12</v>
      </c>
      <c r="O9" s="120" t="s">
        <v>207</v>
      </c>
      <c r="P9" s="170" t="s">
        <v>274</v>
      </c>
      <c r="Q9" s="161" t="str">
        <f ca="1">IF(X8,_xll.mirSetUpBasisSwapCurve(Q$5,O9,YieldCurvePropertiesTenorBasis,BasisConv1x3,BasisData1x3,TenorBasis1x3CurveNamesFWDFX)&amp;"@"&amp;NOW(),"#ERROR")</f>
        <v>1M3MBasis BasisSwap Curve has been set@42223.6616532407</v>
      </c>
      <c r="R9" s="114" t="s">
        <v>12</v>
      </c>
      <c r="S9" s="118"/>
      <c r="T9" s="193" t="s">
        <v>207</v>
      </c>
      <c r="U9" s="171" t="b">
        <f t="shared" ca="1" si="0"/>
        <v>1</v>
      </c>
      <c r="V9" s="171" t="b">
        <f t="shared" ca="1" si="1"/>
        <v>1</v>
      </c>
      <c r="W9" s="171" t="b">
        <f t="shared" ca="1" si="2"/>
        <v>1</v>
      </c>
      <c r="X9" s="171" t="b">
        <f t="shared" ca="1" si="3"/>
        <v>1</v>
      </c>
      <c r="Z9" s="118"/>
      <c r="AA9" s="193" t="s">
        <v>207</v>
      </c>
      <c r="AB9" s="198">
        <f t="shared" ca="1" si="4"/>
        <v>0</v>
      </c>
      <c r="AC9" s="190">
        <f t="shared" ca="1" si="4"/>
        <v>0</v>
      </c>
      <c r="AD9" s="190">
        <f t="shared" ca="1" si="4"/>
        <v>0</v>
      </c>
      <c r="AE9" s="199">
        <f t="shared" ca="1" si="4"/>
        <v>0</v>
      </c>
    </row>
    <row r="10" spans="1:33">
      <c r="B10" s="114" t="s">
        <v>12</v>
      </c>
      <c r="C10" s="203" t="s">
        <v>287</v>
      </c>
      <c r="D10" s="201" t="s">
        <v>286</v>
      </c>
      <c r="E10" s="154" t="str">
        <f ca="1">IF(U9,_xll.mirSetUpBasisSwapCurve(E$5,C10,YieldCurvePropertiesTenorBasis,BasisConv3x12,BasisData3x12,TenorBasis3x12CurveNamesNativeCSA)&amp;"@"&amp;NOW(),"#ERROR")</f>
        <v>3M12MBasis BasisSwap Curve has been set@42223.661653588</v>
      </c>
      <c r="F10" s="114" t="s">
        <v>12</v>
      </c>
      <c r="G10" s="204" t="s">
        <v>287</v>
      </c>
      <c r="H10" s="202" t="s">
        <v>286</v>
      </c>
      <c r="I10" s="161" t="str">
        <f ca="1">IF(V9,_xll.mirSetUpBasisSwapCurve(I$5,G10,YieldCurvePropertiesTenorBasis,BasisConv3x12,BasisData3x12,TenorBasis3x12CurveNamesFWDFX)&amp;"@"&amp;NOW(),"#ERROR")</f>
        <v>3M12MBasis BasisSwap Curve has been set@42223.661653588</v>
      </c>
      <c r="J10" s="114" t="s">
        <v>12</v>
      </c>
      <c r="K10" s="204" t="s">
        <v>287</v>
      </c>
      <c r="L10" s="201" t="s">
        <v>286</v>
      </c>
      <c r="M10" s="161" t="str">
        <f ca="1">IF(W9,_xll.mirSetUpBasisSwapCurve(M$5,K10,YieldCurvePropertiesTenorBasis,BasisConv3x12,BasisData3x12,TenorBasis3x12CurveNamesFWDFX)&amp;"@"&amp;NOW(),"#ERROR")</f>
        <v>3M12MBasis BasisSwap Curve has been set@42223.6616413194</v>
      </c>
      <c r="N10" s="114" t="s">
        <v>12</v>
      </c>
      <c r="O10" s="204" t="s">
        <v>287</v>
      </c>
      <c r="P10" s="201" t="s">
        <v>286</v>
      </c>
      <c r="Q10" s="161" t="str">
        <f ca="1">IF(X9,_xll.mirSetUpBasisSwapCurve(Q$5,O10,YieldCurvePropertiesTenorBasis,BasisConv3x12,BasisData3x12,TenorBasis3x12CurveNamesFWDFX)&amp;"@"&amp;NOW(),"#ERROR")</f>
        <v>3M12MBasis BasisSwap Curve has been set@42223.661653588</v>
      </c>
      <c r="R10" s="114" t="s">
        <v>12</v>
      </c>
      <c r="S10" s="118"/>
      <c r="T10" s="193" t="s">
        <v>287</v>
      </c>
      <c r="U10" s="171" t="b">
        <f t="shared" ca="1" si="0"/>
        <v>1</v>
      </c>
      <c r="V10" s="171" t="b">
        <f t="shared" ca="1" si="1"/>
        <v>1</v>
      </c>
      <c r="W10" s="171" t="b">
        <f t="shared" ca="1" si="2"/>
        <v>1</v>
      </c>
      <c r="X10" s="171" t="b">
        <f t="shared" ca="1" si="3"/>
        <v>1</v>
      </c>
      <c r="Z10" s="118"/>
      <c r="AA10" s="193" t="s">
        <v>287</v>
      </c>
      <c r="AB10" s="198">
        <f t="shared" ca="1" si="4"/>
        <v>0</v>
      </c>
      <c r="AC10" s="190">
        <f t="shared" ca="1" si="4"/>
        <v>0</v>
      </c>
      <c r="AD10" s="190">
        <f t="shared" ca="1" si="4"/>
        <v>0</v>
      </c>
      <c r="AE10" s="199">
        <f t="shared" ca="1" si="4"/>
        <v>0</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str">
        <f ca="1">IF(AND(isLoadedCurveUSD_EURCSA,isLoadedXccyEUR_EURCSA),_xll.mirSetUpFwdFXConstantCurve(I$5,G12,ConstForwardFXProperties,ConstForwardFXEURCSA,FwdFXConstCurveNamesFWDFX)&amp;"@"&amp;NOW(),"#ERROR")</f>
        <v>FwdFXConst FwdFXConstant Curve has been set@42223.6616575231</v>
      </c>
      <c r="J12" s="114" t="s">
        <v>12</v>
      </c>
      <c r="K12" s="121" t="s">
        <v>209</v>
      </c>
      <c r="L12" s="167" t="str">
        <f>"Proxy: Xccy Basis USD/"&amp;LEFT(M$2,3)</f>
        <v>Proxy: Xccy Basis USD/GBP</v>
      </c>
      <c r="M12" s="163" t="str">
        <f ca="1">IF(AND(isLoadedCurveUSD_GBPCSA,isLoadedXccyGBP_GBPCSA),_xll.mirSetUpFwdFXConstantCurve(M$5,K12,ConstForwardFXProperties,ConstForwardFXGBPCSA,FwdFXConstCurveNamesFWDFX)&amp;"@"&amp;NOW(),"#ERROR")</f>
        <v>FwdFXConst FwdFXConstant Curve has been set@42223.6616575231</v>
      </c>
      <c r="N12" s="114" t="s">
        <v>12</v>
      </c>
      <c r="O12" s="121" t="s">
        <v>209</v>
      </c>
      <c r="P12" s="167" t="str">
        <f>"Proxy: Xccy Basis USD/"&amp;LEFT(Q$2,3)</f>
        <v>Proxy: Xccy Basis USD/JPY</v>
      </c>
      <c r="Q12" s="163" t="str">
        <f ca="1">IF(AND(isLoadedCurveUSD_JPYCSA,isLoadedXccyJPY_JPYCSA),_xll.mirSetUpFwdFXConstantCurve(Q$5,O12,ConstForwardFXProperties,ConstForwardFXJPYCSA,FwdFXConstCurveNamesFWDFX)&amp;"@"&amp;NOW(),"#ERROR")</f>
        <v>FwdFXConst FwdFXConstant Curve has been set@42223.6616575231</v>
      </c>
      <c r="R12" s="114" t="s">
        <v>12</v>
      </c>
      <c r="S12" s="118"/>
      <c r="T12" s="194" t="s">
        <v>209</v>
      </c>
      <c r="U12" s="172" t="b">
        <f t="shared" si="0"/>
        <v>0</v>
      </c>
      <c r="V12" s="172" t="b">
        <f t="shared" ca="1" si="1"/>
        <v>1</v>
      </c>
      <c r="W12" s="172" t="b">
        <f t="shared" ca="1" si="2"/>
        <v>1</v>
      </c>
      <c r="X12" s="172" t="b">
        <f t="shared" ca="1" si="3"/>
        <v>1</v>
      </c>
      <c r="Z12" s="118"/>
      <c r="AA12" s="194" t="s">
        <v>209</v>
      </c>
      <c r="AB12" s="208" t="s">
        <v>6</v>
      </c>
      <c r="AC12" s="191">
        <f ca="1">IF(ISERROR(V12),1,IF(V12,0,1))</f>
        <v>0</v>
      </c>
      <c r="AD12" s="191">
        <f ca="1">IF(ISERROR(W12),1,IF(W12,0,1))</f>
        <v>0</v>
      </c>
      <c r="AE12" s="200">
        <f ca="1">IF(ISERROR(X12),1,IF(X12,0,1))</f>
        <v>0</v>
      </c>
    </row>
    <row r="13" spans="1:33">
      <c r="D13" s="145"/>
      <c r="F13" s="114" t="s">
        <v>12</v>
      </c>
      <c r="H13" s="145"/>
      <c r="L13" s="145"/>
      <c r="P13" s="145"/>
      <c r="S13" s="118"/>
      <c r="U13" s="145"/>
      <c r="V13" s="145"/>
      <c r="W13" s="145"/>
      <c r="X13" s="145"/>
      <c r="Z13" s="118"/>
      <c r="AB13" s="145"/>
      <c r="AC13" s="145"/>
      <c r="AD13" s="145"/>
      <c r="AE13" s="145"/>
    </row>
    <row r="14" spans="1:33" ht="15" customHeight="1">
      <c r="A14" s="262"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62" t="s">
        <v>2</v>
      </c>
      <c r="T14" s="11" t="s">
        <v>399</v>
      </c>
      <c r="U14" s="195" t="s">
        <v>279</v>
      </c>
      <c r="V14" s="195" t="s">
        <v>280</v>
      </c>
      <c r="W14" s="195" t="s">
        <v>281</v>
      </c>
      <c r="X14" s="195" t="s">
        <v>282</v>
      </c>
      <c r="Z14" s="262" t="s">
        <v>2</v>
      </c>
      <c r="AA14" s="11" t="s">
        <v>382</v>
      </c>
      <c r="AB14" s="195" t="s">
        <v>279</v>
      </c>
      <c r="AC14" s="195" t="s">
        <v>280</v>
      </c>
      <c r="AD14" s="195" t="s">
        <v>281</v>
      </c>
      <c r="AE14" s="195" t="s">
        <v>282</v>
      </c>
      <c r="AG14" s="143" t="s">
        <v>395</v>
      </c>
    </row>
    <row r="15" spans="1:33">
      <c r="A15" s="262"/>
      <c r="B15" s="114" t="s">
        <v>12</v>
      </c>
      <c r="C15" s="119" t="s">
        <v>201</v>
      </c>
      <c r="D15" s="166" t="s">
        <v>276</v>
      </c>
      <c r="E15" s="160" t="str">
        <f ca="1">_xll.mirSetUpOISCurve(E$14,C15,'EUR Curve Config'!YieldCurvePropertiesOIS,'EUR Curve Config'!OISConv,'EUR Curve Config'!OISRates,'EUR Curve Config'!OISCurveNamesXCCY,'EUR Curve Config'!OISHistoricalRates)&amp;"@"&amp;NOW()</f>
        <v>OIS OIS Curve has been set@42223.6616439815</v>
      </c>
      <c r="F15" s="114" t="s">
        <v>12</v>
      </c>
      <c r="G15" s="122" t="s">
        <v>201</v>
      </c>
      <c r="H15" s="168" t="s">
        <v>276</v>
      </c>
      <c r="I15" s="153" t="str">
        <f ca="1">_xll.mirSetUpOISCurve(I$14,G15,'EUR Curve Config'!YieldCurvePropertiesOIS,'EUR Curve Config'!OISConv,'EUR Curve Config'!OISRates,'EUR Curve Config'!OISCurveNamesNativeCSA,'EUR Curve Config'!OISHistoricalRates)&amp;"@"&amp;NOW()</f>
        <v>OIS OIS Curve has been set@42223.6616436343</v>
      </c>
      <c r="J15" s="114" t="s">
        <v>12</v>
      </c>
      <c r="K15" s="119" t="s">
        <v>201</v>
      </c>
      <c r="L15" s="168" t="s">
        <v>276</v>
      </c>
      <c r="M15" s="160" t="str">
        <f ca="1">_xll.mirSetUpOISCurve(M$14,K15,'EUR Curve Config'!YieldCurvePropertiesOIS,'EUR Curve Config'!OISConv,'EUR Curve Config'!OISRates,'EUR Curve Config'!OISCurveNamesXCCYandFWDFX,'EUR Curve Config'!OISHistoricalRates)&amp;"@"&amp;NOW()</f>
        <v>OIS OIS Curve has been set@42223.6616418982</v>
      </c>
      <c r="N15" s="114" t="s">
        <v>12</v>
      </c>
      <c r="O15" s="119" t="s">
        <v>201</v>
      </c>
      <c r="P15" s="168" t="s">
        <v>276</v>
      </c>
      <c r="Q15" s="160" t="str">
        <f ca="1">_xll.mirSetUpOISCurve(Q$14,O15,'EUR Curve Config'!YieldCurvePropertiesOIS,'EUR Curve Config'!OISConv,'EUR Curve Config'!OISRates,'EUR Curve Config'!OISCurveNamesXCCYandFWDFX,'EUR Curve Config'!OISHistoricalRates)&amp;"@"&amp;NOW()</f>
        <v>OIS OIS Curve has been set@42223.6616422454</v>
      </c>
      <c r="R15" s="114" t="s">
        <v>12</v>
      </c>
      <c r="S15" s="262"/>
      <c r="T15" s="192" t="s">
        <v>201</v>
      </c>
      <c r="U15" s="169" t="b">
        <f t="shared" ref="U15:U21" ca="1" si="5">IF(UPPER(LEFT(E15,3))=LEFT(C15,3),TRUE,FALSE)</f>
        <v>1</v>
      </c>
      <c r="V15" s="169" t="b">
        <f t="shared" ref="V15:V21" ca="1" si="6">IF(UPPER(LEFT(I15,3))=LEFT(G15,3),TRUE,FALSE)</f>
        <v>1</v>
      </c>
      <c r="W15" s="169" t="b">
        <f t="shared" ref="W15:W21" ca="1" si="7">IF(UPPER(LEFT(M15,3))=LEFT(K15,3),TRUE,FALSE)</f>
        <v>1</v>
      </c>
      <c r="X15" s="169" t="b">
        <f t="shared" ref="X15:X21" ca="1" si="8">IF(UPPER(LEFT(Q15,3))=LEFT(O15,3),TRUE,FALSE)</f>
        <v>1</v>
      </c>
      <c r="Z15" s="262"/>
      <c r="AA15" s="192" t="s">
        <v>201</v>
      </c>
      <c r="AB15" s="196">
        <f t="shared" ref="AB15:AE20" ca="1" si="9">IF(ISERROR(U15),1,IF(U15,0,1))</f>
        <v>0</v>
      </c>
      <c r="AC15" s="189">
        <f t="shared" ca="1" si="9"/>
        <v>0</v>
      </c>
      <c r="AD15" s="189">
        <f t="shared" ca="1" si="9"/>
        <v>0</v>
      </c>
      <c r="AE15" s="197">
        <f t="shared" ca="1" si="9"/>
        <v>0</v>
      </c>
      <c r="AG15" s="173">
        <f ca="1">SUM(ErrorCountEURUSDCSA,ErrorCountEUREURCSA,ErrorCountEURGBPCSA,ErrorCountEURJPYCSA)</f>
        <v>0</v>
      </c>
    </row>
    <row r="16" spans="1:33">
      <c r="B16" s="114" t="s">
        <v>12</v>
      </c>
      <c r="C16" s="120" t="s">
        <v>63</v>
      </c>
      <c r="D16" s="145" t="s">
        <v>278</v>
      </c>
      <c r="E16" s="161" t="str">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STD Swap Curve has been set@42223.6616461805</v>
      </c>
      <c r="F16" s="114" t="s">
        <v>12</v>
      </c>
      <c r="G16" s="123" t="s">
        <v>63</v>
      </c>
      <c r="H16" s="170" t="s">
        <v>278</v>
      </c>
      <c r="I16" s="157" t="str">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STD Swap Curve has been set@42223.661646875</v>
      </c>
      <c r="J16" s="114" t="s">
        <v>12</v>
      </c>
      <c r="K16" s="120" t="s">
        <v>63</v>
      </c>
      <c r="L16" s="170" t="s">
        <v>278</v>
      </c>
      <c r="M16" s="161" t="str">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set@42223.661646412</v>
      </c>
      <c r="N16" s="114" t="s">
        <v>12</v>
      </c>
      <c r="O16" s="120" t="s">
        <v>63</v>
      </c>
      <c r="P16" s="170" t="s">
        <v>278</v>
      </c>
      <c r="Q16" s="161" t="str">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set@42223.6616471065</v>
      </c>
      <c r="R16" s="114" t="s">
        <v>12</v>
      </c>
      <c r="S16" s="118"/>
      <c r="T16" s="193" t="s">
        <v>63</v>
      </c>
      <c r="U16" s="171" t="b">
        <f t="shared" ca="1" si="5"/>
        <v>1</v>
      </c>
      <c r="V16" s="171" t="b">
        <f t="shared" ca="1" si="6"/>
        <v>1</v>
      </c>
      <c r="W16" s="171" t="b">
        <f t="shared" ca="1" si="7"/>
        <v>1</v>
      </c>
      <c r="X16" s="171" t="b">
        <f t="shared" ca="1" si="8"/>
        <v>1</v>
      </c>
      <c r="Z16" s="118"/>
      <c r="AA16" s="193" t="s">
        <v>63</v>
      </c>
      <c r="AB16" s="198">
        <f t="shared" ca="1" si="9"/>
        <v>0</v>
      </c>
      <c r="AC16" s="190">
        <f t="shared" ca="1" si="9"/>
        <v>0</v>
      </c>
      <c r="AD16" s="190">
        <f t="shared" ca="1" si="9"/>
        <v>0</v>
      </c>
      <c r="AE16" s="199">
        <f t="shared" ca="1" si="9"/>
        <v>0</v>
      </c>
    </row>
    <row r="17" spans="1:33">
      <c r="B17" s="114" t="s">
        <v>12</v>
      </c>
      <c r="C17" s="120" t="s">
        <v>206</v>
      </c>
      <c r="D17" s="145" t="s">
        <v>273</v>
      </c>
      <c r="E17" s="161" t="str">
        <f ca="1">IF(U16,_xll.mirSetUpBasisSwapCurve(E$14,C17,'EUR Curve Config'!YieldCurvePropertiesTenorBasis,'EUR Curve Config'!BasisConv3x6,'EUR Curve Config'!BasisData3x6,'EUR Curve Config'!TenorBasis3x6CurveNamesXCCY)&amp;"@"&amp;NOW(),"#ERROR")</f>
        <v>3M6MBasis BasisSwap Curve has been set@42223.6616488426</v>
      </c>
      <c r="F17" s="114" t="s">
        <v>12</v>
      </c>
      <c r="G17" s="123" t="s">
        <v>206</v>
      </c>
      <c r="H17" s="170" t="s">
        <v>273</v>
      </c>
      <c r="I17" s="154" t="str">
        <f ca="1">IF(V16,_xll.mirSetUpBasisSwapCurve(I$14,G17,'EUR Curve Config'!YieldCurvePropertiesTenorBasis,'EUR Curve Config'!BasisConv3x6,'EUR Curve Config'!BasisData3x6,'EUR Curve Config'!TenorBasis3x6CurveNamesNativeCSA)&amp;"@"&amp;NOW(),"#ERROR")</f>
        <v>3M6MBasis BasisSwap Curve has been set@42223.6616478009</v>
      </c>
      <c r="J17" s="114" t="s">
        <v>12</v>
      </c>
      <c r="K17" s="120" t="s">
        <v>206</v>
      </c>
      <c r="L17" s="170" t="s">
        <v>273</v>
      </c>
      <c r="M17" s="161" t="str">
        <f ca="1">IF(W16,_xll.mirSetUpBasisSwapCurve(M$14,K17,'EUR Curve Config'!YieldCurvePropertiesTenorBasis,'EUR Curve Config'!BasisConv3x6,'EUR Curve Config'!BasisData3x6,'EUR Curve Config'!TenorBasis3x6CurveNamesXCCYandFWDFX)&amp;"@"&amp;NOW(),"#ERROR")</f>
        <v>3M6MBasis BasisSwap Curve has been set@42223.6616474537</v>
      </c>
      <c r="N17" s="114" t="s">
        <v>12</v>
      </c>
      <c r="O17" s="120" t="s">
        <v>206</v>
      </c>
      <c r="P17" s="170" t="s">
        <v>273</v>
      </c>
      <c r="Q17" s="161" t="str">
        <f ca="1">IF(X16,_xll.mirSetUpBasisSwapCurve(Q$14,O17,'EUR Curve Config'!YieldCurvePropertiesTenorBasis,'EUR Curve Config'!BasisConv3x6,'EUR Curve Config'!BasisData3x6,'EUR Curve Config'!TenorBasis3x6CurveNamesXCCYandFWDFX)&amp;"@"&amp;NOW(),"#ERROR")</f>
        <v>3M6MBasis BasisSwap Curve has been set@42223.6616480324</v>
      </c>
      <c r="R17" s="114" t="s">
        <v>12</v>
      </c>
      <c r="S17" s="118"/>
      <c r="T17" s="193" t="s">
        <v>206</v>
      </c>
      <c r="U17" s="171" t="b">
        <f t="shared" ca="1" si="5"/>
        <v>1</v>
      </c>
      <c r="V17" s="171" t="b">
        <f t="shared" ca="1" si="6"/>
        <v>1</v>
      </c>
      <c r="W17" s="171" t="b">
        <f t="shared" ca="1" si="7"/>
        <v>1</v>
      </c>
      <c r="X17" s="171" t="b">
        <f t="shared" ca="1" si="8"/>
        <v>1</v>
      </c>
      <c r="Z17" s="118"/>
      <c r="AA17" s="193" t="s">
        <v>206</v>
      </c>
      <c r="AB17" s="198">
        <f t="shared" ca="1" si="9"/>
        <v>0</v>
      </c>
      <c r="AC17" s="190">
        <f t="shared" ca="1" si="9"/>
        <v>0</v>
      </c>
      <c r="AD17" s="190">
        <f t="shared" ca="1" si="9"/>
        <v>0</v>
      </c>
      <c r="AE17" s="199">
        <f t="shared" ca="1" si="9"/>
        <v>0</v>
      </c>
    </row>
    <row r="18" spans="1:33">
      <c r="B18" s="114" t="s">
        <v>12</v>
      </c>
      <c r="C18" s="120" t="s">
        <v>207</v>
      </c>
      <c r="D18" s="145" t="s">
        <v>274</v>
      </c>
      <c r="E18" s="161" t="str">
        <f ca="1">IF(U17,_xll.mirSetUpBasisSwapCurve(E$14,C18,'EUR Curve Config'!YieldCurvePropertiesTenorBasis,'EUR Curve Config'!BasisConv1x3,'EUR Curve Config'!BasisData1x3,'EUR Curve Config'!TenorBasis1x3CurveNamesXCCY)&amp;"@"&amp;NOW(),"#ERROR")</f>
        <v>1M3MBasis BasisSwap Curve has been set@42223.6616520833</v>
      </c>
      <c r="F18" s="114" t="s">
        <v>12</v>
      </c>
      <c r="G18" s="123" t="s">
        <v>207</v>
      </c>
      <c r="H18" s="170" t="s">
        <v>274</v>
      </c>
      <c r="I18" s="154" t="str">
        <f ca="1">IF(V17,_xll.mirSetUpBasisSwapCurve(I$14,G18,'EUR Curve Config'!YieldCurvePropertiesTenorBasis,'EUR Curve Config'!BasisConv1x3,'EUR Curve Config'!BasisData1x3,'EUR Curve Config'!TenorBasis1x3CurveNamesNativeCSA)&amp;"@"&amp;NOW(),"#ERROR")</f>
        <v>1M3MBasis BasisSwap Curve has been set@42223.6616510417</v>
      </c>
      <c r="J18" s="114" t="s">
        <v>12</v>
      </c>
      <c r="K18" s="120" t="s">
        <v>207</v>
      </c>
      <c r="L18" s="170" t="s">
        <v>274</v>
      </c>
      <c r="M18" s="161" t="str">
        <f ca="1">IF(W17,_xll.mirSetUpBasisSwapCurve(M$14,K18,'EUR Curve Config'!YieldCurvePropertiesTenorBasis,'EUR Curve Config'!BasisConv1x3,'EUR Curve Config'!BasisData1x3,'EUR Curve Config'!TenorBasis1x3CurveNamesXCCYandFWDFX)&amp;"@"&amp;NOW(),"#ERROR")</f>
        <v>1M3MBasis BasisSwap Curve has been set@42223.661650463</v>
      </c>
      <c r="N18" s="114" t="s">
        <v>12</v>
      </c>
      <c r="O18" s="120" t="s">
        <v>207</v>
      </c>
      <c r="P18" s="170" t="s">
        <v>274</v>
      </c>
      <c r="Q18" s="161" t="str">
        <f ca="1">IF(X17,_xll.mirSetUpBasisSwapCurve(Q$14,O18,'EUR Curve Config'!YieldCurvePropertiesTenorBasis,'EUR Curve Config'!BasisConv1x3,'EUR Curve Config'!BasisData1x3,'EUR Curve Config'!TenorBasis1x3CurveNamesXCCYandFWDFX)&amp;"@"&amp;NOW(),"#ERROR")</f>
        <v>1M3MBasis BasisSwap Curve has been set@42223.6616512731</v>
      </c>
      <c r="R18" s="114" t="s">
        <v>12</v>
      </c>
      <c r="S18" s="118"/>
      <c r="T18" s="193" t="s">
        <v>207</v>
      </c>
      <c r="U18" s="171" t="b">
        <f t="shared" ca="1" si="5"/>
        <v>1</v>
      </c>
      <c r="V18" s="171" t="b">
        <f t="shared" ca="1" si="6"/>
        <v>1</v>
      </c>
      <c r="W18" s="171" t="b">
        <f t="shared" ca="1" si="7"/>
        <v>1</v>
      </c>
      <c r="X18" s="171" t="b">
        <f t="shared" ca="1" si="8"/>
        <v>1</v>
      </c>
      <c r="Z18" s="118"/>
      <c r="AA18" s="193" t="s">
        <v>207</v>
      </c>
      <c r="AB18" s="198">
        <f t="shared" ca="1" si="9"/>
        <v>0</v>
      </c>
      <c r="AC18" s="190">
        <f t="shared" ca="1" si="9"/>
        <v>0</v>
      </c>
      <c r="AD18" s="190">
        <f t="shared" ca="1" si="9"/>
        <v>0</v>
      </c>
      <c r="AE18" s="199">
        <f t="shared" ca="1" si="9"/>
        <v>0</v>
      </c>
    </row>
    <row r="19" spans="1:33">
      <c r="B19" s="114" t="s">
        <v>12</v>
      </c>
      <c r="C19" s="120" t="s">
        <v>288</v>
      </c>
      <c r="D19" s="145" t="s">
        <v>289</v>
      </c>
      <c r="E19" s="161" t="str">
        <f ca="1">IF(U18,_xll.mirSetUpBasisSwapCurve(E$14,C19,'EUR Curve Config'!YieldCurvePropertiesTenorBasis,'EUR Curve Config'!BasisConv6x12,'EUR Curve Config'!BasisData6x12,'EUR Curve Config'!TenorBasis6x12CurveNamesXCCY)&amp;"@"&amp;NOW(),"#ERROR")</f>
        <v>6M12MBasis BasisSwap Curve has been set@42223.661652662</v>
      </c>
      <c r="F19" s="114" t="s">
        <v>12</v>
      </c>
      <c r="G19" s="123" t="s">
        <v>288</v>
      </c>
      <c r="H19" s="170" t="s">
        <v>289</v>
      </c>
      <c r="I19" s="154" t="str">
        <f ca="1">IF(V18,_xll.mirSetUpBasisSwapCurve(I$14,G19,'EUR Curve Config'!YieldCurvePropertiesTenorBasis,'EUR Curve Config'!BasisConv6x12,'EUR Curve Config'!BasisData6x12,'EUR Curve Config'!TenorBasis6x12CurveNamesNativeCSA)&amp;"@"&amp;NOW(),"#ERROR")</f>
        <v>6M12MBasis BasisSwap Curve has been set@42223.6616525463</v>
      </c>
      <c r="J19" s="114" t="s">
        <v>12</v>
      </c>
      <c r="K19" s="120" t="s">
        <v>288</v>
      </c>
      <c r="L19" s="170" t="s">
        <v>289</v>
      </c>
      <c r="M19" s="161" t="str">
        <f ca="1">IF(W18,_xll.mirSetUpBasisSwapCurve(M$14,K19,'EUR Curve Config'!YieldCurvePropertiesTenorBasis,'EUR Curve Config'!BasisConv6x12,'EUR Curve Config'!BasisData6x12,'EUR Curve Config'!TenorBasis6x12CurveNamesXCCYandFWDFX)&amp;"@"&amp;NOW(),"#ERROR")</f>
        <v>6M12MBasis BasisSwap Curve has been set@42223.6616523148</v>
      </c>
      <c r="N19" s="114" t="s">
        <v>12</v>
      </c>
      <c r="O19" s="120" t="s">
        <v>288</v>
      </c>
      <c r="P19" s="170" t="s">
        <v>289</v>
      </c>
      <c r="Q19" s="161" t="str">
        <f ca="1">IF(X18,_xll.mirSetUpBasisSwapCurve(Q$14,O19,'EUR Curve Config'!YieldCurvePropertiesTenorBasis,'EUR Curve Config'!BasisConv6x12,'EUR Curve Config'!BasisData6x12,'EUR Curve Config'!TenorBasis6x12CurveNamesXCCYandFWDFX)&amp;"@"&amp;NOW(),"#ERROR")</f>
        <v>6M12MBasis BasisSwap Curve has been set@42223.6616530093</v>
      </c>
      <c r="R19" s="114" t="s">
        <v>12</v>
      </c>
      <c r="S19" s="118"/>
      <c r="T19" s="193" t="s">
        <v>288</v>
      </c>
      <c r="U19" s="171" t="b">
        <f t="shared" ca="1" si="5"/>
        <v>1</v>
      </c>
      <c r="V19" s="171" t="b">
        <f t="shared" ca="1" si="6"/>
        <v>1</v>
      </c>
      <c r="W19" s="171" t="b">
        <f t="shared" ca="1" si="7"/>
        <v>1</v>
      </c>
      <c r="X19" s="171" t="b">
        <f t="shared" ca="1" si="8"/>
        <v>1</v>
      </c>
      <c r="Z19" s="118"/>
      <c r="AA19" s="193" t="s">
        <v>288</v>
      </c>
      <c r="AB19" s="198">
        <f t="shared" ca="1" si="9"/>
        <v>0</v>
      </c>
      <c r="AC19" s="190">
        <f t="shared" ca="1" si="9"/>
        <v>0</v>
      </c>
      <c r="AD19" s="190">
        <f t="shared" ca="1" si="9"/>
        <v>0</v>
      </c>
      <c r="AE19" s="199">
        <f t="shared" ca="1" si="9"/>
        <v>0</v>
      </c>
    </row>
    <row r="20" spans="1:33">
      <c r="B20" s="114" t="s">
        <v>12</v>
      </c>
      <c r="C20" s="120" t="s">
        <v>208</v>
      </c>
      <c r="D20" s="145" t="str">
        <f>"Xccy Basis "&amp;$A14&amp;"/"&amp;"USD"</f>
        <v>Xccy Basis EUR/USD</v>
      </c>
      <c r="E20" s="161" t="str">
        <f ca="1">IF(AND(U17,isLoadedCurveUSD_USDCSA),_xll.mirSetUpBasisSwapCurve(E$14,C20,'EUR Curve Config'!XccyBasisProperties,'EUR Curve Config'!XccyBasisConvUSDCSA,'EUR Curve Config'!XccyBasisData,'EUR Curve Config'!XccyBasisCurveNamesXCCY)&amp;"@"&amp;NOW(),"#ERROR")</f>
        <v>XccyBasis BasisSwap Curve has been set@42223.6616554398</v>
      </c>
      <c r="F20" s="114" t="s">
        <v>12</v>
      </c>
      <c r="G20" s="123" t="s">
        <v>208</v>
      </c>
      <c r="H20" s="170" t="str">
        <f>"Xccy Basis "&amp;$A14&amp;"/"&amp;"USD"</f>
        <v>Xccy Basis EUR/USD</v>
      </c>
      <c r="I20" s="158" t="str">
        <f ca="1">IF(AND(V19,isLoadedCurveUSD_EURCSA),_xll.mirSetUpBasisSwapCurve(I$14,G20,'EUR Curve Config'!XccyBasisProperties,'EUR Curve Config'!XccyBasisConvEURCSA,'EUR Curve Config'!XccyBasisData,'EUR Curve Config'!XccyBasisCurveNamesNativeCSA)&amp;"@"&amp;NOW(),"#ERROR")</f>
        <v>XccyBasis BasisSwap Curve has been set@42223.6616546296</v>
      </c>
      <c r="J20" s="114" t="s">
        <v>12</v>
      </c>
      <c r="K20" s="120" t="s">
        <v>208</v>
      </c>
      <c r="L20" s="170" t="str">
        <f>"Xccy Basis "&amp;$A14&amp;"/"&amp;"USD"</f>
        <v>Xccy Basis EUR/USD</v>
      </c>
      <c r="M20" s="161" t="str">
        <f ca="1">IF(AND(W19,isLoadedCurveUSD_GBPCSA),_xll.mirSetUpBasisSwapCurve(M$14,K20,'EUR Curve Config'!XccyBasisProperties,'EUR Curve Config'!XccyBasisConvGBPCSA,'EUR Curve Config'!XccyBasisData,'EUR Curve Config'!XccyBasisCurveNamesXCCYandFWDFX)&amp;"@"&amp;NOW(),"#ERROR")</f>
        <v>XccyBasis BasisSwap Curve has been set@42223.6616542824</v>
      </c>
      <c r="N20" s="114" t="s">
        <v>12</v>
      </c>
      <c r="O20" s="120" t="s">
        <v>208</v>
      </c>
      <c r="P20" s="170" t="str">
        <f>"Xccy Basis "&amp;$A14&amp;"/"&amp;"USD"</f>
        <v>Xccy Basis EUR/USD</v>
      </c>
      <c r="Q20" s="161" t="str">
        <f ca="1">IF(AND(X19,isLoadedCurveUSD_JPYCSA),_xll.mirSetUpBasisSwapCurve(Q$14,O20,'EUR Curve Config'!XccyBasisProperties,'EUR Curve Config'!XccyBasisConvJPYCSA,'EUR Curve Config'!XccyBasisData,'EUR Curve Config'!XccyBasisCurveNamesXCCYandFWDFX)&amp;"@"&amp;NOW(),"#ERROR")</f>
        <v>XccyBasis BasisSwap Curve has been set@42223.6616564815</v>
      </c>
      <c r="R20" s="114" t="s">
        <v>12</v>
      </c>
      <c r="S20" s="118"/>
      <c r="T20" s="193" t="s">
        <v>208</v>
      </c>
      <c r="U20" s="171" t="b">
        <f t="shared" ca="1" si="5"/>
        <v>1</v>
      </c>
      <c r="V20" s="171" t="b">
        <f t="shared" ca="1" si="6"/>
        <v>1</v>
      </c>
      <c r="W20" s="171" t="b">
        <f t="shared" ca="1" si="7"/>
        <v>1</v>
      </c>
      <c r="X20" s="171" t="b">
        <f t="shared" ca="1" si="8"/>
        <v>1</v>
      </c>
      <c r="Z20" s="118"/>
      <c r="AA20" s="193" t="s">
        <v>208</v>
      </c>
      <c r="AB20" s="198">
        <f t="shared" ca="1" si="9"/>
        <v>0</v>
      </c>
      <c r="AC20" s="190">
        <f t="shared" ca="1" si="9"/>
        <v>0</v>
      </c>
      <c r="AD20" s="190">
        <f t="shared" ca="1" si="9"/>
        <v>0</v>
      </c>
      <c r="AE20" s="199">
        <f t="shared" ca="1" si="9"/>
        <v>0</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str">
        <f ca="1">IF(AND(W20,isLoadedXccyGBP_GBPCSA),_xll.mirSetUpFwdFXConstantCurve(M$14,K21,'EUR Curve Config'!ConstForwardFXProperties,'EUR Curve Config'!ConstForwardFXGBPCSA,'EUR Curve Config'!FwdFXConstCurveNamesXCCYandFWDFX)&amp;"@"&amp;NOW(),"#ERROR")</f>
        <v>FwdFXConst FwdFXConstant Curve has been set@42223.6616575231</v>
      </c>
      <c r="N21" s="114" t="s">
        <v>12</v>
      </c>
      <c r="O21" s="121" t="s">
        <v>209</v>
      </c>
      <c r="P21" s="167" t="str">
        <f>"Proxy: Xccy Basis USD/"&amp;LEFT(Q$2,3)</f>
        <v>Proxy: Xccy Basis USD/JPY</v>
      </c>
      <c r="Q21" s="163" t="str">
        <f ca="1">IF(AND(X20,isLoadedXccyJPY_JPYCSA),_xll.mirSetUpFwdFXConstantCurve(Q$14,O21,'EUR Curve Config'!ConstForwardFXProperties,'EUR Curve Config'!ConstForwardFXJPYCSA,'EUR Curve Config'!FwdFXConstCurveNamesXCCYandFWDFX)&amp;"@"&amp;NOW(),"#ERROR")</f>
        <v>FwdFXConst FwdFXConstant Curve has been set@42223.6616575231</v>
      </c>
      <c r="R21" s="114" t="s">
        <v>12</v>
      </c>
      <c r="S21" s="118"/>
      <c r="T21" s="194" t="s">
        <v>209</v>
      </c>
      <c r="U21" s="172" t="b">
        <f t="shared" si="5"/>
        <v>0</v>
      </c>
      <c r="V21" s="172" t="b">
        <f t="shared" si="6"/>
        <v>0</v>
      </c>
      <c r="W21" s="172" t="b">
        <f t="shared" ca="1" si="7"/>
        <v>1</v>
      </c>
      <c r="X21" s="172" t="b">
        <f t="shared" ca="1" si="8"/>
        <v>1</v>
      </c>
      <c r="Z21" s="118"/>
      <c r="AA21" s="194" t="s">
        <v>209</v>
      </c>
      <c r="AB21" s="208" t="s">
        <v>6</v>
      </c>
      <c r="AC21" s="211" t="s">
        <v>6</v>
      </c>
      <c r="AD21" s="191">
        <f ca="1">IF(ISERROR(W21),1,IF(W21,0,1))</f>
        <v>0</v>
      </c>
      <c r="AE21" s="200">
        <f ca="1">IF(ISERROR(X21),1,IF(X21,0,1))</f>
        <v>0</v>
      </c>
    </row>
    <row r="22" spans="1:33">
      <c r="D22" s="145"/>
      <c r="E22" s="138"/>
      <c r="H22" s="145"/>
      <c r="L22" s="145"/>
      <c r="P22" s="145"/>
      <c r="R22" s="114" t="s">
        <v>12</v>
      </c>
      <c r="S22" s="118"/>
      <c r="U22" s="145"/>
      <c r="V22" s="145"/>
      <c r="W22" s="145"/>
      <c r="X22" s="145"/>
      <c r="Z22" s="118"/>
      <c r="AB22" s="145"/>
      <c r="AC22" s="145"/>
      <c r="AD22" s="145"/>
      <c r="AE22" s="145"/>
    </row>
    <row r="23" spans="1:33">
      <c r="A23" s="262"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62" t="s">
        <v>199</v>
      </c>
      <c r="T23" s="11" t="s">
        <v>399</v>
      </c>
      <c r="U23" s="195" t="s">
        <v>279</v>
      </c>
      <c r="V23" s="195" t="s">
        <v>280</v>
      </c>
      <c r="W23" s="195" t="s">
        <v>281</v>
      </c>
      <c r="X23" s="195" t="s">
        <v>282</v>
      </c>
      <c r="Z23" s="262" t="s">
        <v>199</v>
      </c>
      <c r="AA23" s="11" t="s">
        <v>382</v>
      </c>
      <c r="AB23" s="195" t="s">
        <v>279</v>
      </c>
      <c r="AC23" s="195" t="s">
        <v>280</v>
      </c>
      <c r="AD23" s="195" t="s">
        <v>281</v>
      </c>
      <c r="AE23" s="195" t="s">
        <v>282</v>
      </c>
      <c r="AG23" s="143" t="s">
        <v>396</v>
      </c>
    </row>
    <row r="24" spans="1:33">
      <c r="A24" s="262"/>
      <c r="B24" s="114" t="s">
        <v>12</v>
      </c>
      <c r="C24" s="119" t="s">
        <v>201</v>
      </c>
      <c r="D24" s="166" t="s">
        <v>284</v>
      </c>
      <c r="E24" s="160" t="str">
        <f ca="1">_xll.mirSetUpOISCurve(E$23,C24,'GBP Curve Config'!YieldCurvePropertiesOIS,'GBP Curve Config'!OISConv,'GBP Curve Config'!OISRates,'GBP Curve Config'!OISCurveNamesXCCY,'GBP Curve Config'!OISHistoricalRates)&amp;"@"&amp;NOW()</f>
        <v>OIS OIS Curve has been set@42223.6616443287</v>
      </c>
      <c r="F24" s="114" t="s">
        <v>12</v>
      </c>
      <c r="G24" s="119" t="s">
        <v>201</v>
      </c>
      <c r="H24" s="166" t="s">
        <v>284</v>
      </c>
      <c r="I24" s="160" t="str">
        <f ca="1">_xll.mirSetUpOISCurve(I$23,G24,'GBP Curve Config'!YieldCurvePropertiesOIS,'GBP Curve Config'!OISConv,'GBP Curve Config'!OISRates,'GBP Curve Config'!OISCurveNamesXCCYandFWDFX,'GBP Curve Config'!OISHistoricalRates)&amp;"@"&amp;NOW()</f>
        <v>OIS OIS Curve has been set@42223.6616446759</v>
      </c>
      <c r="J24" s="114" t="s">
        <v>12</v>
      </c>
      <c r="K24" s="122" t="s">
        <v>201</v>
      </c>
      <c r="L24" s="168" t="s">
        <v>284</v>
      </c>
      <c r="M24" s="153" t="str">
        <f ca="1">_xll.mirSetUpOISCurve(M$23,K24,'GBP Curve Config'!YieldCurvePropertiesOIS,'GBP Curve Config'!OISConv,'GBP Curve Config'!OISRates,'GBP Curve Config'!OISCurveNamesNativeCSA,'GBP Curve Config'!OISHistoricalRates)&amp;"@"&amp;NOW()</f>
        <v>OIS OIS Curve has been set@42223.6616396991</v>
      </c>
      <c r="N24" s="114" t="s">
        <v>12</v>
      </c>
      <c r="O24" s="119" t="s">
        <v>201</v>
      </c>
      <c r="P24" s="168" t="s">
        <v>284</v>
      </c>
      <c r="Q24" s="160" t="str">
        <f ca="1">_xll.mirSetUpOISCurve(Q$23,O24,'GBP Curve Config'!YieldCurvePropertiesOIS,'GBP Curve Config'!OISConv,'GBP Curve Config'!OISRates,'GBP Curve Config'!OISCurveNamesXCCYandFWDFX,'GBP Curve Config'!OISHistoricalRates)&amp;"@"&amp;NOW()</f>
        <v>OIS OIS Curve has been set@42223.6616449074</v>
      </c>
      <c r="R24" s="114" t="s">
        <v>12</v>
      </c>
      <c r="S24" s="262"/>
      <c r="T24" s="192" t="s">
        <v>201</v>
      </c>
      <c r="U24" s="169" t="b">
        <f t="shared" ref="U24:U30" ca="1" si="10">IF(UPPER(LEFT(E24,3))=LEFT(C24,3),TRUE,FALSE)</f>
        <v>1</v>
      </c>
      <c r="V24" s="169" t="b">
        <f t="shared" ref="V24:V30" ca="1" si="11">IF(UPPER(LEFT(I24,3))=LEFT(G24,3),TRUE,FALSE)</f>
        <v>1</v>
      </c>
      <c r="W24" s="169" t="b">
        <f t="shared" ref="W24:W30" ca="1" si="12">IF(UPPER(LEFT(M24,3))=LEFT(K24,3),TRUE,FALSE)</f>
        <v>1</v>
      </c>
      <c r="X24" s="169" t="b">
        <f t="shared" ref="X24:X30" ca="1" si="13">IF(UPPER(LEFT(Q24,3))=LEFT(O24,3),TRUE,FALSE)</f>
        <v>1</v>
      </c>
      <c r="Z24" s="262"/>
      <c r="AA24" s="192" t="s">
        <v>201</v>
      </c>
      <c r="AB24" s="196">
        <f t="shared" ref="AB24:AE29" ca="1" si="14">IF(ISERROR(U24),1,IF(U24,0,1))</f>
        <v>0</v>
      </c>
      <c r="AC24" s="189">
        <f t="shared" ca="1" si="14"/>
        <v>0</v>
      </c>
      <c r="AD24" s="189">
        <f t="shared" ca="1" si="14"/>
        <v>0</v>
      </c>
      <c r="AE24" s="197">
        <f t="shared" ca="1" si="14"/>
        <v>0</v>
      </c>
      <c r="AG24" s="173">
        <f ca="1">SUM(ErrorCountGBPUSDCSA,ErrorCountGBPEURCSA,ErrorCountGBPGBPCSA,ErrorCountGBPJPYCSA)</f>
        <v>0</v>
      </c>
    </row>
    <row r="25" spans="1:33">
      <c r="B25" s="114" t="s">
        <v>12</v>
      </c>
      <c r="C25" s="120" t="s">
        <v>63</v>
      </c>
      <c r="D25" s="145" t="s">
        <v>283</v>
      </c>
      <c r="E25" s="161" t="str">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STD Swap Curve has been set@42223.6616454861</v>
      </c>
      <c r="F25" s="114" t="s">
        <v>12</v>
      </c>
      <c r="G25" s="120" t="s">
        <v>63</v>
      </c>
      <c r="H25" s="145" t="s">
        <v>283</v>
      </c>
      <c r="I25" s="161" t="str">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set@42223.661646875</v>
      </c>
      <c r="J25" s="114" t="s">
        <v>12</v>
      </c>
      <c r="K25" s="123" t="s">
        <v>63</v>
      </c>
      <c r="L25" s="170" t="s">
        <v>283</v>
      </c>
      <c r="M25" s="157" t="str">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STD Swap Curve has been set@42223.6616398148</v>
      </c>
      <c r="N25" s="114" t="s">
        <v>12</v>
      </c>
      <c r="O25" s="120" t="s">
        <v>63</v>
      </c>
      <c r="P25" s="170" t="s">
        <v>283</v>
      </c>
      <c r="Q25" s="161" t="str">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set@42223.6616467593</v>
      </c>
      <c r="R25" s="114" t="s">
        <v>12</v>
      </c>
      <c r="S25" s="118"/>
      <c r="T25" s="193" t="s">
        <v>63</v>
      </c>
      <c r="U25" s="171" t="b">
        <f t="shared" ca="1" si="10"/>
        <v>1</v>
      </c>
      <c r="V25" s="171" t="b">
        <f t="shared" ca="1" si="11"/>
        <v>1</v>
      </c>
      <c r="W25" s="171" t="b">
        <f t="shared" ca="1" si="12"/>
        <v>1</v>
      </c>
      <c r="X25" s="171" t="b">
        <f t="shared" ca="1" si="13"/>
        <v>1</v>
      </c>
      <c r="Z25" s="118"/>
      <c r="AA25" s="193" t="s">
        <v>63</v>
      </c>
      <c r="AB25" s="198">
        <f t="shared" ca="1" si="14"/>
        <v>0</v>
      </c>
      <c r="AC25" s="190">
        <f t="shared" ca="1" si="14"/>
        <v>0</v>
      </c>
      <c r="AD25" s="190">
        <f t="shared" ca="1" si="14"/>
        <v>0</v>
      </c>
      <c r="AE25" s="199">
        <f t="shared" ca="1" si="14"/>
        <v>0</v>
      </c>
    </row>
    <row r="26" spans="1:33">
      <c r="B26" s="114" t="s">
        <v>12</v>
      </c>
      <c r="C26" s="120" t="s">
        <v>206</v>
      </c>
      <c r="D26" s="145" t="s">
        <v>273</v>
      </c>
      <c r="E26" s="161" t="str">
        <f ca="1">IF(U25,_xll.mirSetUpBasisSwapCurve(E$23,C26,'GBP Curve Config'!YieldCurvePropertiesTenorBasis,'GBP Curve Config'!BasisConv3x6,'GBP Curve Config'!BasisData3x6,'GBP Curve Config'!TenorBasis3x6CurveNamesXCCY)&amp;"@"&amp;NOW(),"#ERROR")</f>
        <v>3M6MBasis BasisSwap Curve has been set@42223.6616481481</v>
      </c>
      <c r="F26" s="114" t="s">
        <v>12</v>
      </c>
      <c r="G26" s="120" t="s">
        <v>206</v>
      </c>
      <c r="H26" s="145" t="s">
        <v>273</v>
      </c>
      <c r="I26" s="161" t="str">
        <f ca="1">IF(V25,_xll.mirSetUpBasisSwapCurve(I$23,G26,'GBP Curve Config'!YieldCurvePropertiesTenorBasis,'GBP Curve Config'!BasisConv3x6,'GBP Curve Config'!BasisData3x6,'GBP Curve Config'!TenorBasis3x6CurveNamesXCCYandFWDFX)&amp;"@"&amp;NOW(),"#ERROR")</f>
        <v>3M6MBasis BasisSwap Curve has been set@42223.6616480324</v>
      </c>
      <c r="J26" s="114" t="s">
        <v>12</v>
      </c>
      <c r="K26" s="123" t="s">
        <v>206</v>
      </c>
      <c r="L26" s="170" t="s">
        <v>273</v>
      </c>
      <c r="M26" s="154" t="str">
        <f ca="1">IF(W25,_xll.mirSetUpBasisSwapCurve(M$23,K26,'GBP Curve Config'!YieldCurvePropertiesTenorBasis,'GBP Curve Config'!BasisConv3x6,'GBP Curve Config'!BasisData3x6,'GBP Curve Config'!TenorBasis3x6CurveNamesNativeCSA)&amp;"@"&amp;NOW(),"#ERROR")</f>
        <v>3M6MBasis BasisSwap Curve has been set@42223.6616398148</v>
      </c>
      <c r="N26" s="114" t="s">
        <v>12</v>
      </c>
      <c r="O26" s="120" t="s">
        <v>206</v>
      </c>
      <c r="P26" s="170" t="s">
        <v>273</v>
      </c>
      <c r="Q26" s="161" t="str">
        <f ca="1">IF(X25,_xll.mirSetUpBasisSwapCurve(Q$23,O26,'GBP Curve Config'!YieldCurvePropertiesTenorBasis,'GBP Curve Config'!BasisConv3x6,'GBP Curve Config'!BasisData3x6,'GBP Curve Config'!TenorBasis3x6CurveNamesXCCYandFWDFX)&amp;"@"&amp;NOW(),"#ERROR")</f>
        <v>3M6MBasis BasisSwap Curve has been set@42223.6616475694</v>
      </c>
      <c r="R26" s="114" t="s">
        <v>12</v>
      </c>
      <c r="S26" s="118"/>
      <c r="T26" s="193" t="s">
        <v>206</v>
      </c>
      <c r="U26" s="171" t="b">
        <f t="shared" ca="1" si="10"/>
        <v>1</v>
      </c>
      <c r="V26" s="171" t="b">
        <f t="shared" ca="1" si="11"/>
        <v>1</v>
      </c>
      <c r="W26" s="171" t="b">
        <f t="shared" ca="1" si="12"/>
        <v>1</v>
      </c>
      <c r="X26" s="171" t="b">
        <f t="shared" ca="1" si="13"/>
        <v>1</v>
      </c>
      <c r="Z26" s="118"/>
      <c r="AA26" s="193" t="s">
        <v>206</v>
      </c>
      <c r="AB26" s="198">
        <f t="shared" ca="1" si="14"/>
        <v>0</v>
      </c>
      <c r="AC26" s="190">
        <f t="shared" ca="1" si="14"/>
        <v>0</v>
      </c>
      <c r="AD26" s="190">
        <f t="shared" ca="1" si="14"/>
        <v>0</v>
      </c>
      <c r="AE26" s="199">
        <f t="shared" ca="1" si="14"/>
        <v>0</v>
      </c>
    </row>
    <row r="27" spans="1:33">
      <c r="B27" s="114" t="s">
        <v>12</v>
      </c>
      <c r="C27" s="205" t="s">
        <v>211</v>
      </c>
      <c r="D27" s="145" t="s">
        <v>385</v>
      </c>
      <c r="E27" s="161" t="str">
        <f ca="1">IF(U26,_xll.mirSetUpBasisSwapCurve(E$23,C27,'GBP Curve Config'!YieldCurvePropertiesTenorBasis,'GBP Curve Config'!BasisConv1x3,'GBP Curve Config'!BasisData1x3,'GBP Curve Config'!TenorBasis1x6CurveNamesXCCY)&amp;"@"&amp;NOW(),"#ERROR")</f>
        <v>1M6MBasis BasisSwap Curve has been set@42223.6616503472</v>
      </c>
      <c r="F27" s="114" t="s">
        <v>12</v>
      </c>
      <c r="G27" s="205" t="s">
        <v>211</v>
      </c>
      <c r="H27" s="202" t="s">
        <v>385</v>
      </c>
      <c r="I27" s="161" t="str">
        <f ca="1">IF(V26,_xll.mirSetUpBasisSwapCurve(I$23,G27,'GBP Curve Config'!YieldCurvePropertiesTenorBasis,'GBP Curve Config'!BasisConv1x3,'GBP Curve Config'!BasisData1x3,'GBP Curve Config'!TenorBasis1x6CurveNamesXCCYandFWDFX)&amp;"@"&amp;NOW(),"#ERROR")</f>
        <v>1M6MBasis BasisSwap Curve has been set@42223.6616509259</v>
      </c>
      <c r="J27" s="114" t="s">
        <v>12</v>
      </c>
      <c r="K27" s="206" t="s">
        <v>211</v>
      </c>
      <c r="L27" s="202" t="s">
        <v>385</v>
      </c>
      <c r="M27" s="154" t="str">
        <f ca="1">IF(W26,_xll.mirSetUpBasisSwapCurve(M$23,K27,'GBP Curve Config'!YieldCurvePropertiesTenorBasis,'GBP Curve Config'!BasisConv1x3,'GBP Curve Config'!BasisData1x3,'GBP Curve Config'!TenorBasis1x6CurveNamesNativeCSA)&amp;"@"&amp;NOW(),"#ERROR")</f>
        <v>1M6MBasis BasisSwap Curve has been set@42223.661640162</v>
      </c>
      <c r="N27" s="114" t="s">
        <v>12</v>
      </c>
      <c r="O27" s="205" t="s">
        <v>211</v>
      </c>
      <c r="P27" s="202" t="s">
        <v>385</v>
      </c>
      <c r="Q27" s="161" t="str">
        <f ca="1">IF(X26,_xll.mirSetUpBasisSwapCurve(Q$23,O27,'GBP Curve Config'!YieldCurvePropertiesTenorBasis,'GBP Curve Config'!BasisConv1x3,'GBP Curve Config'!BasisData1x3,'GBP Curve Config'!TenorBasis1x6CurveNamesXCCYandFWDFX)&amp;"@"&amp;NOW(),"#ERROR")</f>
        <v>1M6MBasis BasisSwap Curve has been set@42223.6616516204</v>
      </c>
      <c r="R27" s="114" t="s">
        <v>12</v>
      </c>
      <c r="S27" s="118"/>
      <c r="T27" s="193" t="s">
        <v>211</v>
      </c>
      <c r="U27" s="171" t="b">
        <f t="shared" ca="1" si="10"/>
        <v>1</v>
      </c>
      <c r="V27" s="171" t="b">
        <f t="shared" ca="1" si="11"/>
        <v>1</v>
      </c>
      <c r="W27" s="171" t="b">
        <f t="shared" ca="1" si="12"/>
        <v>1</v>
      </c>
      <c r="X27" s="171" t="b">
        <f t="shared" ca="1" si="13"/>
        <v>1</v>
      </c>
      <c r="Z27" s="118"/>
      <c r="AA27" s="193" t="s">
        <v>211</v>
      </c>
      <c r="AB27" s="198">
        <f t="shared" ca="1" si="14"/>
        <v>0</v>
      </c>
      <c r="AC27" s="190">
        <f t="shared" ca="1" si="14"/>
        <v>0</v>
      </c>
      <c r="AD27" s="190">
        <f t="shared" ca="1" si="14"/>
        <v>0</v>
      </c>
      <c r="AE27" s="199">
        <f t="shared" ca="1" si="14"/>
        <v>0</v>
      </c>
    </row>
    <row r="28" spans="1:33">
      <c r="B28" s="114" t="s">
        <v>12</v>
      </c>
      <c r="C28" s="120" t="s">
        <v>288</v>
      </c>
      <c r="D28" s="145" t="s">
        <v>289</v>
      </c>
      <c r="E28" s="161" t="str">
        <f ca="1">IF(U27,_xll.mirSetUpBasisSwapCurve(E$23,C28,'GBP Curve Config'!YieldCurvePropertiesTenorBasis,'GBP Curve Config'!BasisConv6x12,'GBP Curve Config'!BasisData6x12,'GBP Curve Config'!TenorBasis6x12CurveNamesXCCY)&amp;"@"&amp;NOW(),"#ERROR")</f>
        <v>6M12MBasis BasisSwap Curve has been set@42223.661652662</v>
      </c>
      <c r="F28" s="114" t="s">
        <v>12</v>
      </c>
      <c r="G28" s="120" t="s">
        <v>288</v>
      </c>
      <c r="H28" s="145" t="s">
        <v>289</v>
      </c>
      <c r="I28" s="161" t="str">
        <f ca="1">IF(V27,_xll.mirSetUpBasisSwapCurve(I$23,G28,'GBP Curve Config'!YieldCurvePropertiesTenorBasis,'GBP Curve Config'!BasisConv6x12,'GBP Curve Config'!BasisData6x12,'GBP Curve Config'!TenorBasis6x12CurveNamesXCCYandFWDFX)&amp;"@"&amp;NOW(),"#ERROR")</f>
        <v>6M12MBasis BasisSwap Curve has been set@42223.6616525463</v>
      </c>
      <c r="J28" s="114" t="s">
        <v>12</v>
      </c>
      <c r="K28" s="123" t="s">
        <v>288</v>
      </c>
      <c r="L28" s="170" t="s">
        <v>289</v>
      </c>
      <c r="M28" s="154" t="str">
        <f ca="1">IF(W27,_xll.mirSetUpBasisSwapCurve(M$23,K28,'GBP Curve Config'!YieldCurvePropertiesTenorBasis,'GBP Curve Config'!BasisConv6x12,'GBP Curve Config'!BasisData6x12,'GBP Curve Config'!TenorBasis6x12CurveNamesNativeCSA)&amp;"@"&amp;NOW(),"#ERROR")</f>
        <v>6M12MBasis BasisSwap Curve has been set@42223.6616403935</v>
      </c>
      <c r="N28" s="114" t="s">
        <v>12</v>
      </c>
      <c r="O28" s="120" t="s">
        <v>288</v>
      </c>
      <c r="P28" s="170" t="s">
        <v>289</v>
      </c>
      <c r="Q28" s="161" t="str">
        <f ca="1">IF(X27,_xll.mirSetUpBasisSwapCurve(Q$23,O28,'GBP Curve Config'!YieldCurvePropertiesTenorBasis,'GBP Curve Config'!BasisConv6x12,'GBP Curve Config'!BasisData6x12,'GBP Curve Config'!TenorBasis6x12CurveNamesXCCYandFWDFX)&amp;"@"&amp;NOW(),"#ERROR")</f>
        <v>6M12MBasis BasisSwap Curve has been set@42223.6616523148</v>
      </c>
      <c r="R28" s="114" t="s">
        <v>12</v>
      </c>
      <c r="S28" s="118"/>
      <c r="T28" s="193" t="s">
        <v>288</v>
      </c>
      <c r="U28" s="171" t="b">
        <f t="shared" ca="1" si="10"/>
        <v>1</v>
      </c>
      <c r="V28" s="171" t="b">
        <f t="shared" ca="1" si="11"/>
        <v>1</v>
      </c>
      <c r="W28" s="171" t="b">
        <f t="shared" ca="1" si="12"/>
        <v>1</v>
      </c>
      <c r="X28" s="171" t="b">
        <f t="shared" ca="1" si="13"/>
        <v>1</v>
      </c>
      <c r="Z28" s="118"/>
      <c r="AA28" s="193" t="s">
        <v>288</v>
      </c>
      <c r="AB28" s="198">
        <f t="shared" ca="1" si="14"/>
        <v>0</v>
      </c>
      <c r="AC28" s="190">
        <f t="shared" ca="1" si="14"/>
        <v>0</v>
      </c>
      <c r="AD28" s="190">
        <f t="shared" ca="1" si="14"/>
        <v>0</v>
      </c>
      <c r="AE28" s="199">
        <f t="shared" ca="1" si="14"/>
        <v>0</v>
      </c>
    </row>
    <row r="29" spans="1:33">
      <c r="B29" s="114" t="s">
        <v>12</v>
      </c>
      <c r="C29" s="120" t="s">
        <v>208</v>
      </c>
      <c r="D29" s="145" t="str">
        <f>"Xccy Basis "&amp;$A23&amp;"/"&amp;"USD"</f>
        <v>Xccy Basis GBP/USD</v>
      </c>
      <c r="E29" s="161" t="str">
        <f ca="1">IF(AND(U28,isLoadedCurveUSD_USDCSA),_xll.mirSetUpBasisSwapCurve(E$23,C29,'GBP Curve Config'!XccyBasisProperties,'GBP Curve Config'!XccyBasisConvUSDCSA,'GBP Curve Config'!XccyBasisData,'GBP Curve Config'!XccyBasisCurveNamesXCCY)&amp;"@"&amp;NOW(),"#ERROR")</f>
        <v>XccyBasis BasisSwap Curve has been set@42223.6616549769</v>
      </c>
      <c r="F29" s="114" t="s">
        <v>12</v>
      </c>
      <c r="G29" s="120" t="s">
        <v>208</v>
      </c>
      <c r="H29" s="145" t="str">
        <f>"Xccy Basis "&amp;$A23&amp;"/"&amp;"USD"</f>
        <v>Xccy Basis GBP/USD</v>
      </c>
      <c r="I29" s="161" t="str">
        <f ca="1">IF(AND(V28,isLoadedCurveUSD_EURCSA),_xll.mirSetUpBasisSwapCurve(I$23,G29,'GBP Curve Config'!XccyBasisProperties,'GBP Curve Config'!XccyBasisConvEURCSA,'GBP Curve Config'!XccyBasisData,'GBP Curve Config'!XccyBasisCurveNamesXCCYandFWDFX)&amp;"@"&amp;NOW(),"#ERROR")</f>
        <v>XccyBasis BasisSwap Curve has been set@42223.6616575231</v>
      </c>
      <c r="J29" s="114" t="s">
        <v>12</v>
      </c>
      <c r="K29" s="123" t="s">
        <v>208</v>
      </c>
      <c r="L29" s="170" t="str">
        <f>"Xccy Basis "&amp;$A23&amp;"/"&amp;"USD"</f>
        <v>Xccy Basis GBP/USD</v>
      </c>
      <c r="M29" s="158" t="str">
        <f ca="1">IF(AND(W28,isLoadedCurveUSD_GBPCSA),_xll.mirSetUpBasisSwapCurve(M$23,K29,'GBP Curve Config'!XccyBasisProperties,'GBP Curve Config'!XccyBasisConvGBPCSA,'GBP Curve Config'!XccyBasisData,'GBP Curve Config'!XccyBasisCurveNamesNativeCSA)&amp;"@"&amp;NOW(),"#ERROR")</f>
        <v>XccyBasis BasisSwap Curve has been set@42223.6616414352</v>
      </c>
      <c r="N29" s="114" t="s">
        <v>12</v>
      </c>
      <c r="O29" s="120" t="s">
        <v>208</v>
      </c>
      <c r="P29" s="170" t="str">
        <f>"Xccy Basis "&amp;$A23&amp;"/"&amp;"USD"</f>
        <v>Xccy Basis GBP/USD</v>
      </c>
      <c r="Q29" s="161" t="str">
        <f ca="1">IF(AND(X28,isLoadedCurveUSD_JPYCSA),_xll.mirSetUpBasisSwapCurve(Q$23,O29,'GBP Curve Config'!XccyBasisProperties,'GBP Curve Config'!XccyBasisConvJPYCSA,'GBP Curve Config'!XccyBasisData,'GBP Curve Config'!XccyBasisCurveNamesXCCYandFWDFX)&amp;"@"&amp;NOW(),"#ERROR")</f>
        <v>XccyBasis BasisSwap Curve has been set@42223.6616568287</v>
      </c>
      <c r="R29" s="114" t="s">
        <v>12</v>
      </c>
      <c r="S29" s="118"/>
      <c r="T29" s="193" t="s">
        <v>208</v>
      </c>
      <c r="U29" s="171" t="b">
        <f t="shared" ca="1" si="10"/>
        <v>1</v>
      </c>
      <c r="V29" s="171" t="b">
        <f t="shared" ca="1" si="11"/>
        <v>1</v>
      </c>
      <c r="W29" s="171" t="b">
        <f t="shared" ca="1" si="12"/>
        <v>1</v>
      </c>
      <c r="X29" s="171" t="b">
        <f t="shared" ca="1" si="13"/>
        <v>1</v>
      </c>
      <c r="Z29" s="118"/>
      <c r="AA29" s="193" t="s">
        <v>208</v>
      </c>
      <c r="AB29" s="198">
        <f t="shared" ca="1" si="14"/>
        <v>0</v>
      </c>
      <c r="AC29" s="190">
        <f t="shared" ca="1" si="14"/>
        <v>0</v>
      </c>
      <c r="AD29" s="190">
        <f t="shared" ca="1" si="14"/>
        <v>0</v>
      </c>
      <c r="AE29" s="199">
        <f t="shared" ca="1" si="14"/>
        <v>0</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str">
        <f ca="1">IF(AND(V29,isLoadedXccyEUR_EURCSA),_xll.mirSetUpFwdFXConstantCurve(I$23,G30,'GBP Curve Config'!ConstForwardFXProperties,'GBP Curve Config'!ConstForwardFXEURCSA,'GBP Curve Config'!FwdFXConstCurveNamesXCCYandFWDFX)&amp;"@"&amp;NOW(),"#ERROR")</f>
        <v>FwdFXConst FwdFXConstant Curve has been set@42223.6616575231</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str">
        <f ca="1">IF(AND(X29,isLoadedXccyJPY_JPYCSA),_xll.mirSetUpFwdFXConstantCurve(Q$23,O30,'GBP Curve Config'!ConstForwardFXProperties,'GBP Curve Config'!ConstForwardFXJPYCSA,'GBP Curve Config'!FwdFXConstCurveNamesXCCYandFWDFX)&amp;"@"&amp;NOW(),"#ERROR")</f>
        <v>FwdFXConst FwdFXConstant Curve has been set@42223.6616575231</v>
      </c>
      <c r="R30" s="114" t="s">
        <v>12</v>
      </c>
      <c r="S30" s="118"/>
      <c r="T30" s="194" t="s">
        <v>209</v>
      </c>
      <c r="U30" s="172" t="b">
        <f t="shared" si="10"/>
        <v>0</v>
      </c>
      <c r="V30" s="172" t="b">
        <f t="shared" ca="1" si="11"/>
        <v>1</v>
      </c>
      <c r="W30" s="172" t="b">
        <f t="shared" si="12"/>
        <v>0</v>
      </c>
      <c r="X30" s="172" t="b">
        <f t="shared" ca="1" si="13"/>
        <v>1</v>
      </c>
      <c r="Z30" s="118"/>
      <c r="AA30" s="194" t="s">
        <v>209</v>
      </c>
      <c r="AB30" s="208" t="s">
        <v>6</v>
      </c>
      <c r="AC30" s="191">
        <f ca="1">IF(ISERROR(V30),1,IF(V30,0,1))</f>
        <v>0</v>
      </c>
      <c r="AD30" s="211" t="s">
        <v>6</v>
      </c>
      <c r="AE30" s="200">
        <f ca="1">IF(ISERROR(X30),1,IF(X30,0,1))</f>
        <v>0</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62"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62" t="s">
        <v>200</v>
      </c>
      <c r="T32" s="11" t="s">
        <v>399</v>
      </c>
      <c r="U32" s="195" t="s">
        <v>279</v>
      </c>
      <c r="V32" s="195" t="s">
        <v>280</v>
      </c>
      <c r="W32" s="195" t="s">
        <v>281</v>
      </c>
      <c r="X32" s="195" t="s">
        <v>282</v>
      </c>
      <c r="Z32" s="262" t="s">
        <v>200</v>
      </c>
      <c r="AA32" s="11" t="s">
        <v>382</v>
      </c>
      <c r="AB32" s="195" t="s">
        <v>279</v>
      </c>
      <c r="AC32" s="195" t="s">
        <v>280</v>
      </c>
      <c r="AD32" s="195" t="s">
        <v>281</v>
      </c>
      <c r="AE32" s="195" t="s">
        <v>282</v>
      </c>
      <c r="AG32" s="143" t="s">
        <v>397</v>
      </c>
    </row>
    <row r="33" spans="1:33">
      <c r="A33" s="262"/>
      <c r="B33" s="114" t="s">
        <v>12</v>
      </c>
      <c r="C33" s="119" t="s">
        <v>201</v>
      </c>
      <c r="D33" s="166" t="s">
        <v>285</v>
      </c>
      <c r="E33" s="160" t="str">
        <f ca="1">_xll.mirSetUpOISCurve(E$32,C33,'JPY Curve Config'!YieldCurvePropertiesOIS,'JPY Curve Config'!OISConv,'JPY Curve Config'!OISRates,'JPY Curve Config'!OISCurveNamesXCCY,'JPY Curve Config'!OISHistoricalRates)&amp;"@"&amp;NOW()</f>
        <v>OIS OIS Curve has been set@42223.6616430556</v>
      </c>
      <c r="F33" s="114" t="s">
        <v>12</v>
      </c>
      <c r="G33" s="119" t="s">
        <v>201</v>
      </c>
      <c r="H33" s="166" t="s">
        <v>285</v>
      </c>
      <c r="I33" s="160" t="str">
        <f ca="1">_xll.mirSetUpOISCurve(I$32,G33,'JPY Curve Config'!YieldCurvePropertiesOIS,'JPY Curve Config'!OISConv,'JPY Curve Config'!OISRates,'JPY Curve Config'!OISCurveNamesXCCYandFWDFX,'JPY Curve Config'!OISHistoricalRates)&amp;"@"&amp;NOW()</f>
        <v>OIS OIS Curve has been set@42223.6616427083</v>
      </c>
      <c r="J33" s="114" t="s">
        <v>12</v>
      </c>
      <c r="K33" s="119" t="s">
        <v>201</v>
      </c>
      <c r="L33" s="168" t="s">
        <v>285</v>
      </c>
      <c r="M33" s="160" t="str">
        <f ca="1">_xll.mirSetUpOISCurve(M$32,K33,'JPY Curve Config'!YieldCurvePropertiesOIS,'JPY Curve Config'!OISConv,'JPY Curve Config'!OISRates,'JPY Curve Config'!OISCurveNamesXCCYandFWDFX,'JPY Curve Config'!OISHistoricalRates)&amp;"@"&amp;NOW()</f>
        <v>OIS OIS Curve has been set@42223.661643287</v>
      </c>
      <c r="N33" s="114" t="s">
        <v>12</v>
      </c>
      <c r="O33" s="122" t="s">
        <v>201</v>
      </c>
      <c r="P33" s="168" t="s">
        <v>285</v>
      </c>
      <c r="Q33" s="153" t="str">
        <f ca="1">_xll.mirSetUpOISCurve(Q$32,O33,'JPY Curve Config'!YieldCurvePropertiesOIS,'JPY Curve Config'!OISConv,'JPY Curve Config'!OISRates,'JPY Curve Config'!OISCurveNamesNativeCSA,'JPY Curve Config'!OISHistoricalRates)&amp;"@"&amp;NOW()</f>
        <v>OIS OIS Curve has been set@42223.6616425926</v>
      </c>
      <c r="R33" s="114" t="s">
        <v>12</v>
      </c>
      <c r="S33" s="262"/>
      <c r="T33" s="192" t="s">
        <v>201</v>
      </c>
      <c r="U33" s="169" t="b">
        <f t="shared" ref="U33:U39" ca="1" si="15">IF(UPPER(LEFT(E33,3))=LEFT(C33,3),TRUE,FALSE)</f>
        <v>1</v>
      </c>
      <c r="V33" s="169" t="b">
        <f t="shared" ref="V33:V39" ca="1" si="16">IF(UPPER(LEFT(I33,3))=LEFT(G33,3),TRUE,FALSE)</f>
        <v>1</v>
      </c>
      <c r="W33" s="169" t="b">
        <f t="shared" ref="W33:W39" ca="1" si="17">IF(UPPER(LEFT(M33,3))=LEFT(K33,3),TRUE,FALSE)</f>
        <v>1</v>
      </c>
      <c r="X33" s="169" t="b">
        <f t="shared" ref="X33:X39" ca="1" si="18">IF(UPPER(LEFT(Q33,3))=LEFT(O33,3),TRUE,FALSE)</f>
        <v>1</v>
      </c>
      <c r="Z33" s="262"/>
      <c r="AA33" s="192" t="s">
        <v>201</v>
      </c>
      <c r="AB33" s="196">
        <f t="shared" ref="AB33:AE36" ca="1" si="19">IF(ISERROR(U33),1,IF(U33,0,1))</f>
        <v>0</v>
      </c>
      <c r="AC33" s="189">
        <f t="shared" ca="1" si="19"/>
        <v>0</v>
      </c>
      <c r="AD33" s="189">
        <f t="shared" ca="1" si="19"/>
        <v>0</v>
      </c>
      <c r="AE33" s="197">
        <f t="shared" ca="1" si="19"/>
        <v>0</v>
      </c>
      <c r="AG33" s="173">
        <f ca="1">SUM(ErrorCountJPYUSDCSA,ErrorCountJPYEURCSA,ErrorCountJPYGBPCSA,ErrorCountJPYJPYCSA)</f>
        <v>0</v>
      </c>
    </row>
    <row r="34" spans="1:33">
      <c r="B34" s="114" t="s">
        <v>12</v>
      </c>
      <c r="C34" s="120" t="s">
        <v>63</v>
      </c>
      <c r="D34" s="145" t="s">
        <v>283</v>
      </c>
      <c r="E34" s="161" t="str">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STD Swap Curve has been set@42223.6616456019</v>
      </c>
      <c r="F34" s="114" t="s">
        <v>12</v>
      </c>
      <c r="G34" s="120" t="s">
        <v>63</v>
      </c>
      <c r="H34" s="145" t="s">
        <v>283</v>
      </c>
      <c r="I34" s="161" t="str">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set@42223.6616454861</v>
      </c>
      <c r="J34" s="114" t="s">
        <v>12</v>
      </c>
      <c r="K34" s="120" t="s">
        <v>63</v>
      </c>
      <c r="L34" s="170" t="s">
        <v>283</v>
      </c>
      <c r="M34" s="161" t="str">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set@42223.6616456019</v>
      </c>
      <c r="N34" s="114" t="s">
        <v>12</v>
      </c>
      <c r="O34" s="123" t="s">
        <v>63</v>
      </c>
      <c r="P34" s="170" t="s">
        <v>283</v>
      </c>
      <c r="Q34" s="157" t="str">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STD Swap Curve has been set@42223.6616458333</v>
      </c>
      <c r="R34" s="114" t="s">
        <v>12</v>
      </c>
      <c r="S34" s="118"/>
      <c r="T34" s="193" t="s">
        <v>63</v>
      </c>
      <c r="U34" s="171" t="b">
        <f t="shared" ca="1" si="15"/>
        <v>1</v>
      </c>
      <c r="V34" s="171" t="b">
        <f t="shared" ca="1" si="16"/>
        <v>1</v>
      </c>
      <c r="W34" s="171" t="b">
        <f t="shared" ca="1" si="17"/>
        <v>1</v>
      </c>
      <c r="X34" s="171" t="b">
        <f t="shared" ca="1" si="18"/>
        <v>1</v>
      </c>
      <c r="Z34" s="118"/>
      <c r="AA34" s="193" t="s">
        <v>63</v>
      </c>
      <c r="AB34" s="198">
        <f t="shared" ca="1" si="19"/>
        <v>0</v>
      </c>
      <c r="AC34" s="190">
        <f t="shared" ca="1" si="19"/>
        <v>0</v>
      </c>
      <c r="AD34" s="190">
        <f t="shared" ca="1" si="19"/>
        <v>0</v>
      </c>
      <c r="AE34" s="199">
        <f t="shared" ca="1" si="19"/>
        <v>0</v>
      </c>
    </row>
    <row r="35" spans="1:33">
      <c r="B35" s="114" t="s">
        <v>12</v>
      </c>
      <c r="C35" s="120" t="s">
        <v>206</v>
      </c>
      <c r="D35" s="145" t="s">
        <v>273</v>
      </c>
      <c r="E35" s="161" t="str">
        <f ca="1">IF(U34,_xll.mirSetUpBasisSwapCurve(E$32,C35,'JPY Curve Config'!YieldCurvePropertiesTenorBasis,'JPY Curve Config'!BasisConv3x6,'JPY Curve Config'!BasisData3x6,'JPY Curve Config'!TenorBasis3x6CurveNamesXCCY)&amp;"@"&amp;NOW(),"#ERROR")</f>
        <v>3M6MBasis BasisSwap Curve has been set@42223.6616488426</v>
      </c>
      <c r="F35" s="114" t="s">
        <v>12</v>
      </c>
      <c r="G35" s="120" t="s">
        <v>206</v>
      </c>
      <c r="H35" s="145" t="s">
        <v>273</v>
      </c>
      <c r="I35" s="161" t="str">
        <f ca="1">IF(V34,_xll.mirSetUpBasisSwapCurve(I$32,G35,'JPY Curve Config'!YieldCurvePropertiesTenorBasis,'JPY Curve Config'!BasisConv3x6,'JPY Curve Config'!BasisData3x6,'JPY Curve Config'!TenorBasis3x6CurveNamesXCCYandFWDFX)&amp;"@"&amp;NOW(),"#ERROR")</f>
        <v>3M6MBasis BasisSwap Curve has been set@42223.6616484954</v>
      </c>
      <c r="J35" s="114" t="s">
        <v>12</v>
      </c>
      <c r="K35" s="120" t="s">
        <v>206</v>
      </c>
      <c r="L35" s="170" t="s">
        <v>273</v>
      </c>
      <c r="M35" s="161" t="str">
        <f ca="1">IF(W34,_xll.mirSetUpBasisSwapCurve(M$32,K35,'JPY Curve Config'!YieldCurvePropertiesTenorBasis,'JPY Curve Config'!BasisConv3x6,'JPY Curve Config'!BasisData3x6,'JPY Curve Config'!TenorBasis3x6CurveNamesXCCYandFWDFX)&amp;"@"&amp;NOW(),"#ERROR")</f>
        <v>3M6MBasis BasisSwap Curve has been set@42223.6616483796</v>
      </c>
      <c r="N35" s="114" t="s">
        <v>12</v>
      </c>
      <c r="O35" s="123" t="s">
        <v>206</v>
      </c>
      <c r="P35" s="170" t="s">
        <v>273</v>
      </c>
      <c r="Q35" s="154" t="str">
        <f ca="1">IF(X34,_xll.mirSetUpBasisSwapCurve(Q$32,O35,'JPY Curve Config'!YieldCurvePropertiesTenorBasis,'JPY Curve Config'!BasisConv3x6,'JPY Curve Config'!BasisData3x6,'JPY Curve Config'!TenorBasis3x6CurveNamesNativeCSA)&amp;"@"&amp;NOW(),"#ERROR")</f>
        <v>3M6MBasis BasisSwap Curve has been set@42223.6616487269</v>
      </c>
      <c r="R35" s="114" t="s">
        <v>12</v>
      </c>
      <c r="S35" s="118"/>
      <c r="T35" s="193" t="s">
        <v>206</v>
      </c>
      <c r="U35" s="171" t="b">
        <f t="shared" ca="1" si="15"/>
        <v>1</v>
      </c>
      <c r="V35" s="171" t="b">
        <f t="shared" ca="1" si="16"/>
        <v>1</v>
      </c>
      <c r="W35" s="171" t="b">
        <f t="shared" ca="1" si="17"/>
        <v>1</v>
      </c>
      <c r="X35" s="171" t="b">
        <f t="shared" ca="1" si="18"/>
        <v>1</v>
      </c>
      <c r="Z35" s="118"/>
      <c r="AA35" s="193" t="s">
        <v>206</v>
      </c>
      <c r="AB35" s="198">
        <f t="shared" ca="1" si="19"/>
        <v>0</v>
      </c>
      <c r="AC35" s="190">
        <f t="shared" ca="1" si="19"/>
        <v>0</v>
      </c>
      <c r="AD35" s="190">
        <f t="shared" ca="1" si="19"/>
        <v>0</v>
      </c>
      <c r="AE35" s="199">
        <f t="shared" ca="1" si="19"/>
        <v>0</v>
      </c>
    </row>
    <row r="36" spans="1:33">
      <c r="B36" s="114" t="s">
        <v>12</v>
      </c>
      <c r="C36" s="205" t="s">
        <v>211</v>
      </c>
      <c r="D36" s="145" t="s">
        <v>385</v>
      </c>
      <c r="E36" s="161" t="str">
        <f ca="1">IF(U35,_xll.mirSetUpBasisSwapCurve(E$32,C36,'JPY Curve Config'!YieldCurvePropertiesTenorBasis,'JPY Curve Config'!BasisConv1x3,'JPY Curve Config'!BasisData1x3,'JPY Curve Config'!TenorBasis1x6CurveNamesXCCY)&amp;"@"&amp;NOW(),"#ERROR")</f>
        <v>1M6MBasis BasisSwap Curve has been set@42223.6616496528</v>
      </c>
      <c r="F36" s="114" t="s">
        <v>12</v>
      </c>
      <c r="G36" s="205" t="s">
        <v>211</v>
      </c>
      <c r="H36" s="202" t="s">
        <v>385</v>
      </c>
      <c r="I36" s="161" t="str">
        <f ca="1">IF(V35,_xll.mirSetUpBasisSwapCurve(I$32,G36,'JPY Curve Config'!YieldCurvePropertiesTenorBasis,'JPY Curve Config'!BasisConv1x3,'JPY Curve Config'!BasisData1x3,'JPY Curve Config'!TenorBasis1x6CurveNamesXCCYandFWDFX)&amp;"@"&amp;NOW(),"#ERROR")</f>
        <v>1M6MBasis BasisSwap Curve has been set@42223.6616519676</v>
      </c>
      <c r="J36" s="114" t="s">
        <v>12</v>
      </c>
      <c r="K36" s="205" t="s">
        <v>211</v>
      </c>
      <c r="L36" s="202" t="s">
        <v>385</v>
      </c>
      <c r="M36" s="161" t="str">
        <f ca="1">IF(W35,_xll.mirSetUpBasisSwapCurve(M$32,K36,'JPY Curve Config'!YieldCurvePropertiesTenorBasis,'JPY Curve Config'!BasisConv1x3,'JPY Curve Config'!BasisData1x3,'JPY Curve Config'!TenorBasis1x6CurveNamesXCCYandFWDFX)&amp;"@"&amp;NOW(),"#ERROR")</f>
        <v>1M6MBasis BasisSwap Curve has been set@42223.6616497685</v>
      </c>
      <c r="N36" s="114" t="s">
        <v>12</v>
      </c>
      <c r="O36" s="206" t="s">
        <v>211</v>
      </c>
      <c r="P36" s="202" t="s">
        <v>385</v>
      </c>
      <c r="Q36" s="154" t="str">
        <f ca="1">IF(X35,_xll.mirSetUpBasisSwapCurve(Q$32,O36,'JPY Curve Config'!YieldCurvePropertiesTenorBasis,'JPY Curve Config'!BasisConv1x3,'JPY Curve Config'!BasisData1x3,'JPY Curve Config'!TenorBasis1x6CurveNamesNativeCSA)&amp;"@"&amp;NOW(),"#ERROR")</f>
        <v>1M6MBasis BasisSwap Curve has been set@42223.6616494213</v>
      </c>
      <c r="R36" s="114" t="s">
        <v>12</v>
      </c>
      <c r="S36" s="118"/>
      <c r="T36" s="193" t="s">
        <v>211</v>
      </c>
      <c r="U36" s="171" t="b">
        <f t="shared" ca="1" si="15"/>
        <v>1</v>
      </c>
      <c r="V36" s="171" t="b">
        <f t="shared" ca="1" si="16"/>
        <v>1</v>
      </c>
      <c r="W36" s="171" t="b">
        <f t="shared" ca="1" si="17"/>
        <v>1</v>
      </c>
      <c r="X36" s="171" t="b">
        <f t="shared" ca="1" si="18"/>
        <v>1</v>
      </c>
      <c r="Z36" s="118"/>
      <c r="AA36" s="193" t="s">
        <v>211</v>
      </c>
      <c r="AB36" s="198">
        <f t="shared" ca="1" si="19"/>
        <v>0</v>
      </c>
      <c r="AC36" s="190">
        <f t="shared" ca="1" si="19"/>
        <v>0</v>
      </c>
      <c r="AD36" s="190">
        <f t="shared" ca="1" si="19"/>
        <v>0</v>
      </c>
      <c r="AE36" s="199">
        <f t="shared" ca="1" si="19"/>
        <v>0</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str">
        <f ca="1">IF(AND(U36,isLoadedCurveUSD_USDCSA),_xll.mirSetUpBasisSwapCurve(E$32,C38,'JPY Curve Config'!XccyBasisProperties,'JPY Curve Config'!XccyBasisConvUSDCSA,'JPY Curve Config'!XccyBasisData,'JPY Curve Config'!XccyBasisCurveNamesXCCY)&amp;"@"&amp;NOW(),"#ERROR")</f>
        <v>XccyBasis BasisSwap Curve has been set@42223.6616541667</v>
      </c>
      <c r="F38" s="114" t="s">
        <v>12</v>
      </c>
      <c r="G38" s="120" t="s">
        <v>208</v>
      </c>
      <c r="H38" s="145" t="str">
        <f>"Xccy Basis "&amp;$A32&amp;"/"&amp;"USD"</f>
        <v>Xccy Basis JPY/USD</v>
      </c>
      <c r="I38" s="161" t="str">
        <f ca="1">IF(AND(V36,isLoadedCurveUSD_JPYCSA),_xll.mirSetUpBasisSwapCurve(I$32,G38,'JPY Curve Config'!XccyBasisProperties,'JPY Curve Config'!XccyBasisConvJPYCSA,'JPY Curve Config'!XccyBasisData,'JPY Curve Config'!XccyBasisCurveNamesXCCYandFWDFX)&amp;"@"&amp;NOW(),"#ERROR")</f>
        <v>XccyBasis BasisSwap Curve has been set@42223.6616571759</v>
      </c>
      <c r="J38" s="114" t="s">
        <v>12</v>
      </c>
      <c r="K38" s="120" t="s">
        <v>208</v>
      </c>
      <c r="L38" s="170" t="str">
        <f>"Xccy Basis "&amp;$A32&amp;"/"&amp;"USD"</f>
        <v>Xccy Basis JPY/USD</v>
      </c>
      <c r="M38" s="161" t="str">
        <f ca="1">IF(AND(W36,isLoadedCurveUSD_GBPCSA),_xll.mirSetUpBasisSwapCurve(M$32,K38,'JPY Curve Config'!XccyBasisProperties,'JPY Curve Config'!XccyBasisConvGBPCSA,'JPY Curve Config'!XccyBasisData,'JPY Curve Config'!XccyBasisCurveNamesXCCYandFWDFX)&amp;"@"&amp;NOW(),"#ERROR")</f>
        <v>XccyBasis BasisSwap Curve has been set@42223.6616561343</v>
      </c>
      <c r="N38" s="114" t="s">
        <v>12</v>
      </c>
      <c r="O38" s="123" t="s">
        <v>208</v>
      </c>
      <c r="P38" s="170" t="str">
        <f>"Xccy Basis "&amp;$A32&amp;"/"&amp;"USD"</f>
        <v>Xccy Basis JPY/USD</v>
      </c>
      <c r="Q38" s="158" t="str">
        <f ca="1">IF(AND(X36,isLoadedCurveUSD_JPYCSA),_xll.mirSetUpBasisSwapCurve(Q$32,O38,'JPY Curve Config'!XccyBasisProperties,'JPY Curve Config'!XccyBasisConvJPYCSA,'JPY Curve Config'!XccyBasisData,'JPY Curve Config'!XccyBasisCurveNamesNativeCSA)&amp;"@"&amp;NOW(),"#ERROR")</f>
        <v>XccyBasis BasisSwap Curve has been set@42223.661655787</v>
      </c>
      <c r="R38" s="114" t="s">
        <v>12</v>
      </c>
      <c r="S38" s="118"/>
      <c r="T38" s="193" t="s">
        <v>208</v>
      </c>
      <c r="U38" s="171" t="b">
        <f ca="1">IF(UPPER(LEFT(E38,3))=LEFT(C38,3),TRUE,FALSE)</f>
        <v>1</v>
      </c>
      <c r="V38" s="171" t="b">
        <f t="shared" ca="1" si="16"/>
        <v>1</v>
      </c>
      <c r="W38" s="171" t="b">
        <f t="shared" ca="1" si="17"/>
        <v>1</v>
      </c>
      <c r="X38" s="171" t="b">
        <f t="shared" ca="1" si="18"/>
        <v>1</v>
      </c>
      <c r="Z38" s="118"/>
      <c r="AA38" s="193" t="s">
        <v>208</v>
      </c>
      <c r="AB38" s="198">
        <f ca="1">IF(ISERROR(U38),1,IF(U38,0,1))</f>
        <v>0</v>
      </c>
      <c r="AC38" s="190">
        <f ca="1">IF(ISERROR(V38),1,IF(V38,0,1))</f>
        <v>0</v>
      </c>
      <c r="AD38" s="190">
        <f ca="1">IF(ISERROR(W38),1,IF(W38,0,1))</f>
        <v>0</v>
      </c>
      <c r="AE38" s="199">
        <f ca="1">IF(ISERROR(X38),1,IF(X38,0,1))</f>
        <v>0</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str">
        <f ca="1">IF(AND(V38,isLoadedXccyEUR_EURCSA),_xll.mirSetUpFwdFXConstantCurve(I$32,G39,'JPY Curve Config'!ConstForwardFXProperties,'JPY Curve Config'!ConstForwardFXEURCSA,'JPY Curve Config'!FwdFXConstCurveNamesXCCYandFWDFX)&amp;"@"&amp;NOW(),"#ERROR")</f>
        <v>FwdFXConst FwdFXConstant Curve has been set@42223.6616575231</v>
      </c>
      <c r="J39" s="114" t="s">
        <v>12</v>
      </c>
      <c r="K39" s="121" t="s">
        <v>209</v>
      </c>
      <c r="L39" s="167" t="str">
        <f>"Proxy: Xccy Basis USD/"&amp;LEFT(M$2,3)</f>
        <v>Proxy: Xccy Basis USD/GBP</v>
      </c>
      <c r="M39" s="163" t="str">
        <f ca="1">IF(AND(W38,isLoadedXccyGBP_GBPCSA),_xll.mirSetUpFwdFXConstantCurve(M$32,K39,'JPY Curve Config'!ConstForwardFXProperties,'JPY Curve Config'!ConstForwardFXGBPCSA,'JPY Curve Config'!FwdFXConstCurveNamesXCCYandFWDFX)&amp;"@"&amp;NOW(),"#ERROR")</f>
        <v>FwdFXConst FwdFXConstant Curve has been set@42223.6616575231</v>
      </c>
      <c r="N39" s="114" t="s">
        <v>12</v>
      </c>
      <c r="O39" s="124" t="s">
        <v>209</v>
      </c>
      <c r="P39" s="167" t="str">
        <f>"Proxy: Xccy Basis USD/"&amp;LEFT(Q$2,3)</f>
        <v>Proxy: Xccy Basis USD/JPY</v>
      </c>
      <c r="Q39" s="156" t="s">
        <v>6</v>
      </c>
      <c r="R39" s="114" t="s">
        <v>12</v>
      </c>
      <c r="S39" s="118"/>
      <c r="T39" s="194" t="s">
        <v>209</v>
      </c>
      <c r="U39" s="172" t="b">
        <f t="shared" si="15"/>
        <v>0</v>
      </c>
      <c r="V39" s="172" t="b">
        <f t="shared" ca="1" si="16"/>
        <v>1</v>
      </c>
      <c r="W39" s="172" t="b">
        <f t="shared" ca="1" si="17"/>
        <v>1</v>
      </c>
      <c r="X39" s="172" t="b">
        <f t="shared" si="18"/>
        <v>0</v>
      </c>
      <c r="Z39" s="118"/>
      <c r="AA39" s="194" t="s">
        <v>209</v>
      </c>
      <c r="AB39" s="208" t="s">
        <v>6</v>
      </c>
      <c r="AC39" s="191">
        <f ca="1">IF(ISERROR(V39),1,IF(V39,0,1))</f>
        <v>0</v>
      </c>
      <c r="AD39" s="191">
        <f ca="1">IF(ISERROR(W39),1,IF(W39,0,1))</f>
        <v>0</v>
      </c>
      <c r="AE39" s="213" t="s">
        <v>6</v>
      </c>
    </row>
    <row r="41" spans="1:33">
      <c r="AG41" s="114"/>
    </row>
  </sheetData>
  <mergeCells count="18">
    <mergeCell ref="T2:X3"/>
    <mergeCell ref="AA2:AE3"/>
    <mergeCell ref="S5:S6"/>
    <mergeCell ref="S14:S15"/>
    <mergeCell ref="S23:S24"/>
    <mergeCell ref="S32:S33"/>
    <mergeCell ref="Z5:Z6"/>
    <mergeCell ref="Z14:Z15"/>
    <mergeCell ref="Z23:Z24"/>
    <mergeCell ref="Z32:Z33"/>
    <mergeCell ref="A5:A6"/>
    <mergeCell ref="A14:A15"/>
    <mergeCell ref="A23:A24"/>
    <mergeCell ref="A32:A33"/>
    <mergeCell ref="Q2:Q3"/>
    <mergeCell ref="E2:E3"/>
    <mergeCell ref="I2:I3"/>
    <mergeCell ref="M2:M3"/>
  </mergeCells>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339933"/>
  </sheetPr>
  <dimension ref="B1:AR95"/>
  <sheetViews>
    <sheetView showGridLines="0" zoomScaleNormal="100" workbookViewId="0"/>
  </sheetViews>
  <sheetFormatPr defaultRowHeight="15"/>
  <cols>
    <col min="2" max="2" width="15.7109375" customWidth="1"/>
    <col min="3" max="4" width="18.7109375" customWidth="1"/>
    <col min="5" max="5" width="15.28515625" customWidth="1"/>
    <col min="6" max="8" width="10.7109375" customWidth="1"/>
    <col min="9" max="9" width="10.140625" customWidth="1"/>
    <col min="10" max="10" width="10.85546875" customWidth="1"/>
    <col min="11" max="13" width="10.5703125" customWidth="1"/>
    <col min="14" max="14" width="14" customWidth="1"/>
    <col min="15" max="24" width="12.5703125" customWidth="1"/>
    <col min="25" max="25" width="9.85546875" customWidth="1"/>
    <col min="26" max="26" width="10.7109375" customWidth="1"/>
    <col min="27" max="27" width="13.42578125" customWidth="1"/>
    <col min="28" max="32" width="10.7109375" customWidth="1"/>
    <col min="33" max="42" width="9.7109375" customWidth="1"/>
    <col min="43" max="43" width="11.85546875" customWidth="1"/>
    <col min="44" max="44" width="9.7109375" customWidth="1"/>
  </cols>
  <sheetData>
    <row r="1" spans="2:44">
      <c r="F1" s="219"/>
      <c r="G1" s="217"/>
      <c r="H1" s="220"/>
      <c r="P1" s="257"/>
    </row>
    <row r="2" spans="2:44">
      <c r="B2" t="s">
        <v>464</v>
      </c>
      <c r="F2" t="s">
        <v>461</v>
      </c>
      <c r="G2" s="217"/>
      <c r="J2" t="s">
        <v>463</v>
      </c>
      <c r="K2" s="259" t="b">
        <f>$C$11</f>
        <v>1</v>
      </c>
      <c r="M2" s="219" t="s">
        <v>460</v>
      </c>
      <c r="N2" s="219"/>
      <c r="O2" s="229"/>
      <c r="P2" s="252"/>
      <c r="Q2" s="252"/>
      <c r="R2" s="229"/>
      <c r="S2" s="229" t="s">
        <v>459</v>
      </c>
      <c r="T2" s="229"/>
      <c r="U2" s="229"/>
      <c r="V2" s="229"/>
      <c r="W2" t="s">
        <v>463</v>
      </c>
      <c r="X2" s="259" t="b">
        <f>$C$11</f>
        <v>1</v>
      </c>
      <c r="Z2" t="s">
        <v>461</v>
      </c>
      <c r="AA2" s="217"/>
      <c r="AD2" t="s">
        <v>463</v>
      </c>
      <c r="AE2" s="259" t="b">
        <f>$D$11</f>
        <v>0</v>
      </c>
      <c r="AG2" s="219" t="s">
        <v>460</v>
      </c>
      <c r="AH2" s="219"/>
      <c r="AI2" s="229"/>
      <c r="AJ2" s="252"/>
      <c r="AK2" s="252"/>
      <c r="AL2" s="229"/>
      <c r="AM2" s="229" t="s">
        <v>459</v>
      </c>
      <c r="AN2" s="229"/>
      <c r="AO2" s="229"/>
      <c r="AP2" s="229"/>
      <c r="AQ2" t="s">
        <v>463</v>
      </c>
      <c r="AR2" s="259" t="b">
        <f>$D$11</f>
        <v>0</v>
      </c>
    </row>
    <row r="3" spans="2:44">
      <c r="B3" s="221" t="s">
        <v>424</v>
      </c>
      <c r="C3" s="222">
        <v>1000000</v>
      </c>
      <c r="D3" s="223"/>
      <c r="F3" s="224" t="s">
        <v>76</v>
      </c>
      <c r="G3" s="224" t="s">
        <v>425</v>
      </c>
      <c r="H3" s="224" t="s">
        <v>426</v>
      </c>
      <c r="I3" s="224" t="s">
        <v>428</v>
      </c>
      <c r="J3" s="224" t="s">
        <v>465</v>
      </c>
      <c r="K3" s="224" t="s">
        <v>427</v>
      </c>
      <c r="L3" s="224"/>
      <c r="M3" s="224" t="s">
        <v>76</v>
      </c>
      <c r="N3" s="256">
        <v>-0.05</v>
      </c>
      <c r="O3" s="256">
        <f>N3+1%</f>
        <v>-0.04</v>
      </c>
      <c r="P3" s="256">
        <f t="shared" ref="P3:X3" si="0">O3+1%</f>
        <v>-0.03</v>
      </c>
      <c r="Q3" s="256">
        <f t="shared" si="0"/>
        <v>-1.9999999999999997E-2</v>
      </c>
      <c r="R3" s="256">
        <f t="shared" si="0"/>
        <v>-9.9999999999999967E-3</v>
      </c>
      <c r="S3" s="256">
        <f t="shared" si="0"/>
        <v>0</v>
      </c>
      <c r="T3" s="256">
        <f t="shared" si="0"/>
        <v>0.01</v>
      </c>
      <c r="U3" s="256">
        <f t="shared" si="0"/>
        <v>0.02</v>
      </c>
      <c r="V3" s="256">
        <f t="shared" si="0"/>
        <v>0.03</v>
      </c>
      <c r="W3" s="256">
        <f t="shared" si="0"/>
        <v>0.04</v>
      </c>
      <c r="X3" s="256">
        <f t="shared" si="0"/>
        <v>0.05</v>
      </c>
      <c r="Z3" s="224" t="s">
        <v>76</v>
      </c>
      <c r="AA3" s="224" t="s">
        <v>425</v>
      </c>
      <c r="AB3" s="224" t="s">
        <v>426</v>
      </c>
      <c r="AC3" s="224" t="s">
        <v>428</v>
      </c>
      <c r="AD3" s="224" t="s">
        <v>465</v>
      </c>
      <c r="AE3" s="224" t="s">
        <v>427</v>
      </c>
      <c r="AG3" s="224" t="s">
        <v>76</v>
      </c>
      <c r="AH3" s="256">
        <v>-0.05</v>
      </c>
      <c r="AI3" s="256">
        <f>AH3+1%</f>
        <v>-0.04</v>
      </c>
      <c r="AJ3" s="256">
        <f t="shared" ref="AJ3" si="1">AI3+1%</f>
        <v>-0.03</v>
      </c>
      <c r="AK3" s="256">
        <f t="shared" ref="AK3" si="2">AJ3+1%</f>
        <v>-1.9999999999999997E-2</v>
      </c>
      <c r="AL3" s="256">
        <f t="shared" ref="AL3" si="3">AK3+1%</f>
        <v>-9.9999999999999967E-3</v>
      </c>
      <c r="AM3" s="256">
        <f t="shared" ref="AM3" si="4">AL3+1%</f>
        <v>0</v>
      </c>
      <c r="AN3" s="256">
        <f t="shared" ref="AN3" si="5">AM3+1%</f>
        <v>0.01</v>
      </c>
      <c r="AO3" s="256">
        <f t="shared" ref="AO3" si="6">AN3+1%</f>
        <v>0.02</v>
      </c>
      <c r="AP3" s="256">
        <f t="shared" ref="AP3" si="7">AO3+1%</f>
        <v>0.03</v>
      </c>
      <c r="AQ3" s="256">
        <f t="shared" ref="AQ3" si="8">AP3+1%</f>
        <v>0.04</v>
      </c>
      <c r="AR3" s="256">
        <f t="shared" ref="AR3" si="9">AQ3+1%</f>
        <v>0.05</v>
      </c>
    </row>
    <row r="4" spans="2:44">
      <c r="B4" s="225" t="s">
        <v>429</v>
      </c>
      <c r="C4" s="226" t="s">
        <v>430</v>
      </c>
      <c r="D4" s="223"/>
      <c r="F4" s="227" t="s">
        <v>42</v>
      </c>
      <c r="G4" s="227">
        <f>_xll.mirGetDate($C$6,F4)</f>
        <v>42931</v>
      </c>
      <c r="H4" s="228">
        <f>'EUR Curve Config'!$AO9</f>
        <v>1.33E-3</v>
      </c>
      <c r="I4" s="229">
        <f ca="1">IF(NOW(),_xll.mirGetParRate4($C$6,F4,$C$7,$C$16,$C$17,$C$18,$C$19,$C$20,$C$21,$C$22,$C$26,$C$27,$D$16,$D$17,$D$18,$D$19,$D$20,$D$21,$D$22,$D$23,$D$24,$D$25,$D$26,$D$27,$C$8,$C$9,$C$10,$C$11,$C$12),"")</f>
        <v>1.3300000037928903E-3</v>
      </c>
      <c r="J4" s="229">
        <f t="shared" ref="J4:J22" ca="1" si="10">I4-H4</f>
        <v>3.7928902640177453E-12</v>
      </c>
      <c r="K4" s="230">
        <f t="shared" ref="K4:K22" ca="1" si="11">(I4-H4)*10000</f>
        <v>3.7928902640177453E-8</v>
      </c>
      <c r="L4" s="230" t="s">
        <v>12</v>
      </c>
      <c r="M4" s="230" t="s">
        <v>42</v>
      </c>
      <c r="N4" s="255">
        <f ca="1">IF(NOW(),_xll.mirSwapPV($C$3,$C$4,$C$6,$G4,$C$7,$I4+N$3,$C$16,$C$17,$C$18,$C$19,$C$20,$C$21,$C$22,$C$26,$C$27,$D$15,$D$16,$D$17,$D$18,$D$19,$D$20,$D$21,$D$22,$D$23,$D$24,$D$25,$D$26,$D$27,$C$8,$C$9,$C$10,$C$11,$C$12),"")</f>
        <v>100441.45996346937</v>
      </c>
      <c r="O4" s="255">
        <f ca="1">IF(NOW(),_xll.mirSwapPV($C$3,$C$4,$C$6,$G4,$C$7,$I4+O$3,$C$16,$C$17,$C$18,$C$19,$C$20,$C$21,$C$22,$C$26,$C$27,$D$15,$D$16,$D$17,$D$18,$D$19,$D$20,$D$21,$D$22,$D$23,$D$24,$D$25,$D$26,$D$27,$C$8,$C$9,$C$10,$C$11,$C$12),"")</f>
        <v>80353.167970775496</v>
      </c>
      <c r="P4" s="255">
        <f ca="1">IF(NOW(),_xll.mirSwapPV($C$3,$C$4,$C$6,$G4,$C$7,$I4+P$3,$C$16,$C$17,$C$18,$C$19,$C$20,$C$21,$C$22,$C$26,$C$27,$D$15,$D$16,$D$17,$D$18,$D$19,$D$20,$D$21,$D$22,$D$23,$D$24,$D$25,$D$26,$D$27,$C$8,$C$9,$C$10,$C$11,$C$12),"")</f>
        <v>60264.875978081611</v>
      </c>
      <c r="Q4" s="255">
        <f ca="1">IF(NOW(),_xll.mirSwapPV($C$3,$C$4,$C$6,$G4,$C$7,$I4+Q$3,$C$16,$C$17,$C$18,$C$19,$C$20,$C$21,$C$22,$C$26,$C$27,$D$15,$D$16,$D$17,$D$18,$D$19,$D$20,$D$21,$D$22,$D$23,$D$24,$D$25,$D$26,$D$27,$C$8,$C$9,$C$10,$C$11,$C$12),"")</f>
        <v>40176.583985387741</v>
      </c>
      <c r="R4" s="255">
        <f ca="1">IF(NOW(),_xll.mirSwapPV($C$3,$C$4,$C$6,$G4,$C$7,$I4+R$3,$C$16,$C$17,$C$18,$C$19,$C$20,$C$21,$C$22,$C$26,$C$27,$D$15,$D$16,$D$17,$D$18,$D$19,$D$20,$D$21,$D$22,$D$23,$D$24,$D$25,$D$26,$D$27,$C$8,$C$9,$C$10,$C$11,$C$12),"")</f>
        <v>20088.291992693863</v>
      </c>
      <c r="S4" s="255">
        <f ca="1">IF(NOW(),_xll.mirSwapPV($C$3,$C$4,$C$6,$G4,$C$7,$I4+S$3,$C$16,$C$17,$C$18,$C$19,$C$20,$C$21,$C$22,$C$26,$C$27,$D$15,$D$16,$D$17,$D$18,$D$19,$D$20,$D$21,$D$22,$D$23,$D$24,$D$25,$D$26,$D$27,$C$8,$C$9,$C$10,$C$11,$C$12),"")</f>
        <v>0</v>
      </c>
      <c r="T4" s="255">
        <f ca="1">IF(NOW(),_xll.mirSwapPV($C$3,$C$4,$C$6,$G4,$C$7,$I4+T$3,$C$16,$C$17,$C$18,$C$19,$C$20,$C$21,$C$22,$C$26,$C$27,$D$15,$D$16,$D$17,$D$18,$D$19,$D$20,$D$21,$D$22,$D$23,$D$24,$D$25,$D$26,$D$27,$C$8,$C$9,$C$10,$C$11,$C$12),"")</f>
        <v>-20088.291992693874</v>
      </c>
      <c r="U4" s="255">
        <f ca="1">IF(NOW(),_xll.mirSwapPV($C$3,$C$4,$C$6,$G4,$C$7,$I4+U$3,$C$16,$C$17,$C$18,$C$19,$C$20,$C$21,$C$22,$C$26,$C$27,$D$15,$D$16,$D$17,$D$18,$D$19,$D$20,$D$21,$D$22,$D$23,$D$24,$D$25,$D$26,$D$27,$C$8,$C$9,$C$10,$C$11,$C$12),"")</f>
        <v>-40176.583985387748</v>
      </c>
      <c r="V4" s="255">
        <f ca="1">IF(NOW(),_xll.mirSwapPV($C$3,$C$4,$C$6,$G4,$C$7,$I4+V$3,$C$16,$C$17,$C$18,$C$19,$C$20,$C$21,$C$22,$C$26,$C$27,$D$15,$D$16,$D$17,$D$18,$D$19,$D$20,$D$21,$D$22,$D$23,$D$24,$D$25,$D$26,$D$27,$C$8,$C$9,$C$10,$C$11,$C$12),"")</f>
        <v>-60264.875978081611</v>
      </c>
      <c r="W4" s="255">
        <f ca="1">IF(NOW(),_xll.mirSwapPV($C$3,$C$4,$C$6,$G4,$C$7,$I4+W$3,$C$16,$C$17,$C$18,$C$19,$C$20,$C$21,$C$22,$C$26,$C$27,$D$15,$D$16,$D$17,$D$18,$D$19,$D$20,$D$21,$D$22,$D$23,$D$24,$D$25,$D$26,$D$27,$C$8,$C$9,$C$10,$C$11,$C$12),"")</f>
        <v>-80353.167970775481</v>
      </c>
      <c r="X4" s="255">
        <f ca="1">IF(NOW(),_xll.mirSwapPV($C$3,$C$4,$C$6,$G4,$C$7,$I4+X$3,$C$16,$C$17,$C$18,$C$19,$C$20,$C$21,$C$22,$C$26,$C$27,$D$15,$D$16,$D$17,$D$18,$D$19,$D$20,$D$21,$D$22,$D$23,$D$24,$D$25,$D$26,$D$27,$C$8,$C$9,$C$10,$C$11,$C$12),"")</f>
        <v>-100441.45996346936</v>
      </c>
      <c r="Y4" s="230" t="s">
        <v>12</v>
      </c>
      <c r="Z4" s="227" t="s">
        <v>42</v>
      </c>
      <c r="AA4" s="227">
        <f>_xll.mirGetDate($C$6,Z4)</f>
        <v>42931</v>
      </c>
      <c r="AB4" s="228">
        <f>'EUR Curve Config'!$AO9</f>
        <v>1.33E-3</v>
      </c>
      <c r="AC4" s="229">
        <f ca="1">IF(NOW(),_xll.mirGetParRate4($C$6,Z4,$C$7,$C$16,$C$17,$C$18,$C$19,$C$20,$C$21,$C$22,$C$26,$C$27,$D$16,$D$17,$D$18,$D$19,$D$20,$D$21,$D$22,$D$23,$D$24,$D$25,$D$26,$D$27,$C$8,$C$9,$C$10,$D$11,$C$12),"")</f>
        <v>1.3300000037928944E-3</v>
      </c>
      <c r="AD4" s="229">
        <f t="shared" ref="AD4:AD22" ca="1" si="12">AC4-AB4</f>
        <v>3.7928943839860008E-12</v>
      </c>
      <c r="AE4" s="230">
        <f t="shared" ref="AE4:AE22" ca="1" si="13">(AC4-AB4)*10000</f>
        <v>3.7928943839860008E-8</v>
      </c>
      <c r="AG4" s="230" t="s">
        <v>42</v>
      </c>
      <c r="AH4" s="255">
        <f ca="1">IF(NOW(),_xll.mirSwapPV($C$3,$C$4,$C$6,$G4,$C$7,$I4+AH$3,$C$16,$C$17,$C$18,$C$19,$C$20,$C$21,$C$22,$C$26,$C$27,$D$15,$D$16,$D$17,$D$18,$D$19,$D$20,$D$21,$D$22,$D$23,$D$24,$D$25,$D$26,$D$27,$C$8,$C$9,$C$10,$D$11,$C$12),"")</f>
        <v>100441.45996346939</v>
      </c>
      <c r="AI4" s="255">
        <f ca="1">IF(NOW(),_xll.mirSwapPV($C$3,$C$4,$C$6,$G4,$C$7,$I4+AI$3,$C$16,$C$17,$C$18,$C$19,$C$20,$C$21,$C$22,$C$26,$C$27,$D$15,$D$16,$D$17,$D$18,$D$19,$D$20,$D$21,$D$22,$D$23,$D$24,$D$25,$D$26,$D$27,$C$8,$C$9,$C$10,$D$11,$C$12),"")</f>
        <v>80353.16797077551</v>
      </c>
      <c r="AJ4" s="255">
        <f ca="1">IF(NOW(),_xll.mirSwapPV($C$3,$C$4,$C$6,$G4,$C$7,$I4+AJ$3,$C$16,$C$17,$C$18,$C$19,$C$20,$C$21,$C$22,$C$26,$C$27,$D$15,$D$16,$D$17,$D$18,$D$19,$D$20,$D$21,$D$22,$D$23,$D$24,$D$25,$D$26,$D$27,$C$8,$C$9,$C$10,$D$11,$C$12),"")</f>
        <v>60264.875978081618</v>
      </c>
      <c r="AK4" s="255">
        <f ca="1">IF(NOW(),_xll.mirSwapPV($C$3,$C$4,$C$6,$G4,$C$7,$I4+AK$3,$C$16,$C$17,$C$18,$C$19,$C$20,$C$21,$C$22,$C$26,$C$27,$D$15,$D$16,$D$17,$D$18,$D$19,$D$20,$D$21,$D$22,$D$23,$D$24,$D$25,$D$26,$D$27,$C$8,$C$9,$C$10,$D$11,$C$12),"")</f>
        <v>40176.583985387748</v>
      </c>
      <c r="AL4" s="255">
        <f ca="1">IF(NOW(),_xll.mirSwapPV($C$3,$C$4,$C$6,$G4,$C$7,$I4+AL$3,$C$16,$C$17,$C$18,$C$19,$C$20,$C$21,$C$22,$C$26,$C$27,$D$15,$D$16,$D$17,$D$18,$D$19,$D$20,$D$21,$D$22,$D$23,$D$24,$D$25,$D$26,$D$27,$C$8,$C$9,$C$10,$D$11,$C$12),"")</f>
        <v>20088.29199269387</v>
      </c>
      <c r="AM4" s="255">
        <f ca="1">IF(NOW(),_xll.mirSwapPV($C$3,$C$4,$C$6,$G4,$C$7,$I4+AM$3,$C$16,$C$17,$C$18,$C$19,$C$20,$C$21,$C$22,$C$26,$C$27,$D$15,$D$16,$D$17,$D$18,$D$19,$D$20,$D$21,$D$22,$D$23,$D$24,$D$25,$D$26,$D$27,$C$8,$C$9,$C$10,$D$11,$C$12),"")</f>
        <v>8.2399365108898337E-12</v>
      </c>
      <c r="AN4" s="255">
        <f ca="1">IF(NOW(),_xll.mirSwapPV($C$3,$C$4,$C$6,$G4,$C$7,$I4+AN$3,$C$16,$C$17,$C$18,$C$19,$C$20,$C$21,$C$22,$C$26,$C$27,$D$15,$D$16,$D$17,$D$18,$D$19,$D$20,$D$21,$D$22,$D$23,$D$24,$D$25,$D$26,$D$27,$C$8,$C$9,$C$10,$D$11,$C$12),"")</f>
        <v>-20088.291992693867</v>
      </c>
      <c r="AO4" s="255">
        <f ca="1">IF(NOW(),_xll.mirSwapPV($C$3,$C$4,$C$6,$G4,$C$7,$I4+AO$3,$C$16,$C$17,$C$18,$C$19,$C$20,$C$21,$C$22,$C$26,$C$27,$D$15,$D$16,$D$17,$D$18,$D$19,$D$20,$D$21,$D$22,$D$23,$D$24,$D$25,$D$26,$D$27,$C$8,$C$9,$C$10,$D$11,$C$12),"")</f>
        <v>-40176.583985387741</v>
      </c>
      <c r="AP4" s="255">
        <f ca="1">IF(NOW(),_xll.mirSwapPV($C$3,$C$4,$C$6,$G4,$C$7,$I4+AP$3,$C$16,$C$17,$C$18,$C$19,$C$20,$C$21,$C$22,$C$26,$C$27,$D$15,$D$16,$D$17,$D$18,$D$19,$D$20,$D$21,$D$22,$D$23,$D$24,$D$25,$D$26,$D$27,$C$8,$C$9,$C$10,$D$11,$C$12),"")</f>
        <v>-60264.875978081604</v>
      </c>
      <c r="AQ4" s="255">
        <f ca="1">IF(NOW(),_xll.mirSwapPV($C$3,$C$4,$C$6,$G4,$C$7,$I4+AQ$3,$C$16,$C$17,$C$18,$C$19,$C$20,$C$21,$C$22,$C$26,$C$27,$D$15,$D$16,$D$17,$D$18,$D$19,$D$20,$D$21,$D$22,$D$23,$D$24,$D$25,$D$26,$D$27,$C$8,$C$9,$C$10,$D$11,$C$12),"")</f>
        <v>-80353.167970775467</v>
      </c>
      <c r="AR4" s="255">
        <f ca="1">IF(NOW(),_xll.mirSwapPV($C$3,$C$4,$C$6,$G4,$C$7,$I4+AR$3,$C$16,$C$17,$C$18,$C$19,$C$20,$C$21,$C$22,$C$26,$C$27,$D$15,$D$16,$D$17,$D$18,$D$19,$D$20,$D$21,$D$22,$D$23,$D$24,$D$25,$D$26,$D$27,$C$8,$C$9,$C$10,$D$11,$C$12),"")</f>
        <v>-100441.45996346934</v>
      </c>
    </row>
    <row r="5" spans="2:44">
      <c r="B5" s="231"/>
      <c r="C5" s="231"/>
      <c r="D5" s="232"/>
      <c r="F5" s="224" t="s">
        <v>39</v>
      </c>
      <c r="G5" s="227">
        <f>_xll.mirGetDate($C$6,F5)</f>
        <v>43296</v>
      </c>
      <c r="H5" s="228">
        <f>'EUR Curve Config'!$AO10</f>
        <v>2.4399999999999999E-3</v>
      </c>
      <c r="I5" s="229">
        <f ca="1">IF(NOW(),_xll.mirGetParRate4($C$6,F5,$C$7,$C$16,$C$17,$C$18,$C$19,$C$20,$C$21,$C$22,$C$26,$C$27,$D$16,$D$17,$D$18,$D$19,$D$20,$D$21,$D$22,$D$23,$D$24,$D$25,$D$26,$D$27,$C$8,$C$9,$C$10,$C$11,$C$12),"")</f>
        <v>2.4400000271853112E-3</v>
      </c>
      <c r="J5" s="229">
        <f t="shared" ca="1" si="10"/>
        <v>2.7185311293753678E-11</v>
      </c>
      <c r="K5" s="230">
        <f t="shared" ca="1" si="11"/>
        <v>2.7185311293753678E-7</v>
      </c>
      <c r="L5" s="230" t="s">
        <v>12</v>
      </c>
      <c r="M5" s="230" t="s">
        <v>39</v>
      </c>
      <c r="N5" s="255">
        <f ca="1">IF(NOW(),_xll.mirSwapPV($C$3,$C$4,$C$6,$G5,$C$7,$I5+N$3,$C$16,$C$17,$C$18,$C$19,$C$20,$C$21,$C$22,$C$26,$C$27,$D$15,$D$16,$D$17,$D$18,$D$19,$D$20,$D$21,$D$22,$D$23,$D$24,$D$25,$D$26,$D$27,$C$8,$C$9,$C$10,$C$11,$C$12),"")</f>
        <v>150300.80743458585</v>
      </c>
      <c r="O5" s="255">
        <f ca="1">IF(NOW(),_xll.mirSwapPV($C$3,$C$4,$C$6,$G5,$C$7,$I5+O$3,$C$16,$C$17,$C$18,$C$19,$C$20,$C$21,$C$22,$C$26,$C$27,$D$15,$D$16,$D$17,$D$18,$D$19,$D$20,$D$21,$D$22,$D$23,$D$24,$D$25,$D$26,$D$27,$C$8,$C$9,$C$10,$C$11,$C$12),"")</f>
        <v>120240.64594766869</v>
      </c>
      <c r="P5" s="255">
        <f ca="1">IF(NOW(),_xll.mirSwapPV($C$3,$C$4,$C$6,$G5,$C$7,$I5+P$3,$C$16,$C$17,$C$18,$C$19,$C$20,$C$21,$C$22,$C$26,$C$27,$D$15,$D$16,$D$17,$D$18,$D$19,$D$20,$D$21,$D$22,$D$23,$D$24,$D$25,$D$26,$D$27,$C$8,$C$9,$C$10,$C$11,$C$12),"")</f>
        <v>90180.484460751526</v>
      </c>
      <c r="Q5" s="255">
        <f ca="1">IF(NOW(),_xll.mirSwapPV($C$3,$C$4,$C$6,$G5,$C$7,$I5+Q$3,$C$16,$C$17,$C$18,$C$19,$C$20,$C$21,$C$22,$C$26,$C$27,$D$15,$D$16,$D$17,$D$18,$D$19,$D$20,$D$21,$D$22,$D$23,$D$24,$D$25,$D$26,$D$27,$C$8,$C$9,$C$10,$C$11,$C$12),"")</f>
        <v>60120.322973834343</v>
      </c>
      <c r="R5" s="255">
        <f ca="1">IF(NOW(),_xll.mirSwapPV($C$3,$C$4,$C$6,$G5,$C$7,$I5+R$3,$C$16,$C$17,$C$18,$C$19,$C$20,$C$21,$C$22,$C$26,$C$27,$D$15,$D$16,$D$17,$D$18,$D$19,$D$20,$D$21,$D$22,$D$23,$D$24,$D$25,$D$26,$D$27,$C$8,$C$9,$C$10,$C$11,$C$12),"")</f>
        <v>30060.161486917168</v>
      </c>
      <c r="S5" s="255">
        <f ca="1">IF(NOW(),_xll.mirSwapPV($C$3,$C$4,$C$6,$G5,$C$7,$I5+S$3,$C$16,$C$17,$C$18,$C$19,$C$20,$C$21,$C$22,$C$26,$C$27,$D$15,$D$16,$D$17,$D$18,$D$19,$D$20,$D$21,$D$22,$D$23,$D$24,$D$25,$D$26,$D$27,$C$8,$C$9,$C$10,$C$11,$C$12),"")</f>
        <v>-8.6736173798840355E-13</v>
      </c>
      <c r="T5" s="255">
        <f ca="1">IF(NOW(),_xll.mirSwapPV($C$3,$C$4,$C$6,$G5,$C$7,$I5+T$3,$C$16,$C$17,$C$18,$C$19,$C$20,$C$21,$C$22,$C$26,$C$27,$D$15,$D$16,$D$17,$D$18,$D$19,$D$20,$D$21,$D$22,$D$23,$D$24,$D$25,$D$26,$D$27,$C$8,$C$9,$C$10,$C$11,$C$12),"")</f>
        <v>-30060.161486917175</v>
      </c>
      <c r="U5" s="255">
        <f ca="1">IF(NOW(),_xll.mirSwapPV($C$3,$C$4,$C$6,$G5,$C$7,$I5+U$3,$C$16,$C$17,$C$18,$C$19,$C$20,$C$21,$C$22,$C$26,$C$27,$D$15,$D$16,$D$17,$D$18,$D$19,$D$20,$D$21,$D$22,$D$23,$D$24,$D$25,$D$26,$D$27,$C$8,$C$9,$C$10,$C$11,$C$12),"")</f>
        <v>-60120.322973834351</v>
      </c>
      <c r="V5" s="255">
        <f ca="1">IF(NOW(),_xll.mirSwapPV($C$3,$C$4,$C$6,$G5,$C$7,$I5+V$3,$C$16,$C$17,$C$18,$C$19,$C$20,$C$21,$C$22,$C$26,$C$27,$D$15,$D$16,$D$17,$D$18,$D$19,$D$20,$D$21,$D$22,$D$23,$D$24,$D$25,$D$26,$D$27,$C$8,$C$9,$C$10,$C$11,$C$12),"")</f>
        <v>-90180.484460751526</v>
      </c>
      <c r="W5" s="255">
        <f ca="1">IF(NOW(),_xll.mirSwapPV($C$3,$C$4,$C$6,$G5,$C$7,$I5+W$3,$C$16,$C$17,$C$18,$C$19,$C$20,$C$21,$C$22,$C$26,$C$27,$D$15,$D$16,$D$17,$D$18,$D$19,$D$20,$D$21,$D$22,$D$23,$D$24,$D$25,$D$26,$D$27,$C$8,$C$9,$C$10,$C$11,$C$12),"")</f>
        <v>-120240.64594766872</v>
      </c>
      <c r="X5" s="255">
        <f ca="1">IF(NOW(),_xll.mirSwapPV($C$3,$C$4,$C$6,$G5,$C$7,$I5+X$3,$C$16,$C$17,$C$18,$C$19,$C$20,$C$21,$C$22,$C$26,$C$27,$D$15,$D$16,$D$17,$D$18,$D$19,$D$20,$D$21,$D$22,$D$23,$D$24,$D$25,$D$26,$D$27,$C$8,$C$9,$C$10,$C$11,$C$12),"")</f>
        <v>-150300.80743458591</v>
      </c>
      <c r="Y5" s="230" t="s">
        <v>12</v>
      </c>
      <c r="Z5" s="224" t="s">
        <v>39</v>
      </c>
      <c r="AA5" s="227">
        <f>_xll.mirGetDate($C$6,Z5)</f>
        <v>43296</v>
      </c>
      <c r="AB5" s="228">
        <f>'EUR Curve Config'!$AO10</f>
        <v>2.4399999999999999E-3</v>
      </c>
      <c r="AC5" s="229">
        <f ca="1">IF(NOW(),_xll.mirGetParRate4($C$6,Z5,$C$7,$C$16,$C$17,$C$18,$C$19,$C$20,$C$21,$C$22,$C$26,$C$27,$D$16,$D$17,$D$18,$D$19,$D$20,$D$21,$D$22,$D$23,$D$24,$D$25,$D$26,$D$27,$C$8,$C$9,$C$10,$D$11,$C$12),"")</f>
        <v>2.4400000271853034E-3</v>
      </c>
      <c r="AD5" s="229">
        <f t="shared" ca="1" si="12"/>
        <v>2.7185303487498036E-11</v>
      </c>
      <c r="AE5" s="230">
        <f t="shared" ca="1" si="13"/>
        <v>2.7185303487498036E-7</v>
      </c>
      <c r="AG5" s="230" t="s">
        <v>39</v>
      </c>
      <c r="AH5" s="255">
        <f ca="1">IF(NOW(),_xll.mirSwapPV($C$3,$C$4,$C$6,$G5,$C$7,$I5+AH$3,$C$16,$C$17,$C$18,$C$19,$C$20,$C$21,$C$22,$C$26,$C$27,$D$15,$D$16,$D$17,$D$18,$D$19,$D$20,$D$21,$D$22,$D$23,$D$24,$D$25,$D$26,$D$27,$C$8,$C$9,$C$10,$D$11,$C$12),"")</f>
        <v>150300.80743458585</v>
      </c>
      <c r="AI5" s="255">
        <f ca="1">IF(NOW(),_xll.mirSwapPV($C$3,$C$4,$C$6,$G5,$C$7,$I5+AI$3,$C$16,$C$17,$C$18,$C$19,$C$20,$C$21,$C$22,$C$26,$C$27,$D$15,$D$16,$D$17,$D$18,$D$19,$D$20,$D$21,$D$22,$D$23,$D$24,$D$25,$D$26,$D$27,$C$8,$C$9,$C$10,$D$11,$C$12),"")</f>
        <v>120240.64594766866</v>
      </c>
      <c r="AJ5" s="255">
        <f ca="1">IF(NOW(),_xll.mirSwapPV($C$3,$C$4,$C$6,$G5,$C$7,$I5+AJ$3,$C$16,$C$17,$C$18,$C$19,$C$20,$C$21,$C$22,$C$26,$C$27,$D$15,$D$16,$D$17,$D$18,$D$19,$D$20,$D$21,$D$22,$D$23,$D$24,$D$25,$D$26,$D$27,$C$8,$C$9,$C$10,$D$11,$C$12),"")</f>
        <v>90180.484460751497</v>
      </c>
      <c r="AK5" s="255">
        <f ca="1">IF(NOW(),_xll.mirSwapPV($C$3,$C$4,$C$6,$G5,$C$7,$I5+AK$3,$C$16,$C$17,$C$18,$C$19,$C$20,$C$21,$C$22,$C$26,$C$27,$D$15,$D$16,$D$17,$D$18,$D$19,$D$20,$D$21,$D$22,$D$23,$D$24,$D$25,$D$26,$D$27,$C$8,$C$9,$C$10,$D$11,$C$12),"")</f>
        <v>60120.322973834322</v>
      </c>
      <c r="AL5" s="255">
        <f ca="1">IF(NOW(),_xll.mirSwapPV($C$3,$C$4,$C$6,$G5,$C$7,$I5+AL$3,$C$16,$C$17,$C$18,$C$19,$C$20,$C$21,$C$22,$C$26,$C$27,$D$15,$D$16,$D$17,$D$18,$D$19,$D$20,$D$21,$D$22,$D$23,$D$24,$D$25,$D$26,$D$27,$C$8,$C$9,$C$10,$D$11,$C$12),"")</f>
        <v>30060.161486917143</v>
      </c>
      <c r="AM5" s="255">
        <f ca="1">IF(NOW(),_xll.mirSwapPV($C$3,$C$4,$C$6,$G5,$C$7,$I5+AM$3,$C$16,$C$17,$C$18,$C$19,$C$20,$C$21,$C$22,$C$26,$C$27,$D$15,$D$16,$D$17,$D$18,$D$19,$D$20,$D$21,$D$22,$D$23,$D$24,$D$25,$D$26,$D$27,$C$8,$C$9,$C$10,$D$11,$C$12),"")</f>
        <v>-2.3418766925686896E-11</v>
      </c>
      <c r="AN5" s="255">
        <f ca="1">IF(NOW(),_xll.mirSwapPV($C$3,$C$4,$C$6,$G5,$C$7,$I5+AN$3,$C$16,$C$17,$C$18,$C$19,$C$20,$C$21,$C$22,$C$26,$C$27,$D$15,$D$16,$D$17,$D$18,$D$19,$D$20,$D$21,$D$22,$D$23,$D$24,$D$25,$D$26,$D$27,$C$8,$C$9,$C$10,$D$11,$C$12),"")</f>
        <v>-30060.161486917201</v>
      </c>
      <c r="AO5" s="255">
        <f ca="1">IF(NOW(),_xll.mirSwapPV($C$3,$C$4,$C$6,$G5,$C$7,$I5+AO$3,$C$16,$C$17,$C$18,$C$19,$C$20,$C$21,$C$22,$C$26,$C$27,$D$15,$D$16,$D$17,$D$18,$D$19,$D$20,$D$21,$D$22,$D$23,$D$24,$D$25,$D$26,$D$27,$C$8,$C$9,$C$10,$D$11,$C$12),"")</f>
        <v>-60120.32297383438</v>
      </c>
      <c r="AP5" s="255">
        <f ca="1">IF(NOW(),_xll.mirSwapPV($C$3,$C$4,$C$6,$G5,$C$7,$I5+AP$3,$C$16,$C$17,$C$18,$C$19,$C$20,$C$21,$C$22,$C$26,$C$27,$D$15,$D$16,$D$17,$D$18,$D$19,$D$20,$D$21,$D$22,$D$23,$D$24,$D$25,$D$26,$D$27,$C$8,$C$9,$C$10,$D$11,$C$12),"")</f>
        <v>-90180.484460751555</v>
      </c>
      <c r="AQ5" s="255">
        <f ca="1">IF(NOW(),_xll.mirSwapPV($C$3,$C$4,$C$6,$G5,$C$7,$I5+AQ$3,$C$16,$C$17,$C$18,$C$19,$C$20,$C$21,$C$22,$C$26,$C$27,$D$15,$D$16,$D$17,$D$18,$D$19,$D$20,$D$21,$D$22,$D$23,$D$24,$D$25,$D$26,$D$27,$C$8,$C$9,$C$10,$D$11,$C$12),"")</f>
        <v>-120240.64594766875</v>
      </c>
      <c r="AR5" s="255">
        <f ca="1">IF(NOW(),_xll.mirSwapPV($C$3,$C$4,$C$6,$G5,$C$7,$I5+AR$3,$C$16,$C$17,$C$18,$C$19,$C$20,$C$21,$C$22,$C$26,$C$27,$D$15,$D$16,$D$17,$D$18,$D$19,$D$20,$D$21,$D$22,$D$23,$D$24,$D$25,$D$26,$D$27,$C$8,$C$9,$C$10,$D$11,$C$12),"")</f>
        <v>-150300.80743458591</v>
      </c>
    </row>
    <row r="6" spans="2:44">
      <c r="B6" s="221" t="s">
        <v>431</v>
      </c>
      <c r="C6" s="233">
        <v>42200</v>
      </c>
      <c r="D6" s="233"/>
      <c r="F6" s="224" t="s">
        <v>35</v>
      </c>
      <c r="G6" s="227">
        <f>_xll.mirGetDate($C$6,F6)</f>
        <v>43661</v>
      </c>
      <c r="H6" s="228">
        <f>'EUR Curve Config'!$AO11</f>
        <v>3.9199999999999999E-3</v>
      </c>
      <c r="I6" s="229">
        <f ca="1">IF(NOW(),_xll.mirGetParRate4($C$6,F6,$C$7,$C$16,$C$17,$C$18,$C$19,$C$20,$C$21,$C$22,$C$26,$C$27,$D$16,$D$17,$D$18,$D$19,$D$20,$D$21,$D$22,$D$23,$D$24,$D$25,$D$26,$D$27,$C$8,$C$9,$C$10,$C$11,$C$12),"")</f>
        <v>3.9199991911133165E-3</v>
      </c>
      <c r="J6" s="229">
        <f t="shared" ca="1" si="10"/>
        <v>-8.0888668332890212E-10</v>
      </c>
      <c r="K6" s="230">
        <f t="shared" ca="1" si="11"/>
        <v>-8.0888668332890212E-6</v>
      </c>
      <c r="L6" s="230" t="s">
        <v>12</v>
      </c>
      <c r="M6" s="230" t="s">
        <v>35</v>
      </c>
      <c r="N6" s="255">
        <f ca="1">IF(NOW(),_xll.mirSwapPV($C$3,$C$4,$C$6,$G6,$C$7,$I6+N$3,$C$16,$C$17,$C$18,$C$19,$C$20,$C$21,$C$22,$C$26,$C$27,$D$15,$D$16,$D$17,$D$18,$D$19,$D$20,$D$21,$D$22,$D$23,$D$24,$D$25,$D$26,$D$27,$C$8,$C$9,$C$10,$C$11,$C$12),"")</f>
        <v>199873.1557084099</v>
      </c>
      <c r="O6" s="255">
        <f ca="1">IF(NOW(),_xll.mirSwapPV($C$3,$C$4,$C$6,$G6,$C$7,$I6+O$3,$C$16,$C$17,$C$18,$C$19,$C$20,$C$21,$C$22,$C$26,$C$27,$D$15,$D$16,$D$17,$D$18,$D$19,$D$20,$D$21,$D$22,$D$23,$D$24,$D$25,$D$26,$D$27,$C$8,$C$9,$C$10,$C$11,$C$12),"")</f>
        <v>159898.52456672789</v>
      </c>
      <c r="P6" s="255">
        <f ca="1">IF(NOW(),_xll.mirSwapPV($C$3,$C$4,$C$6,$G6,$C$7,$I6+P$3,$C$16,$C$17,$C$18,$C$19,$C$20,$C$21,$C$22,$C$26,$C$27,$D$15,$D$16,$D$17,$D$18,$D$19,$D$20,$D$21,$D$22,$D$23,$D$24,$D$25,$D$26,$D$27,$C$8,$C$9,$C$10,$C$11,$C$12),"")</f>
        <v>119923.89342504593</v>
      </c>
      <c r="Q6" s="255">
        <f ca="1">IF(NOW(),_xll.mirSwapPV($C$3,$C$4,$C$6,$G6,$C$7,$I6+Q$3,$C$16,$C$17,$C$18,$C$19,$C$20,$C$21,$C$22,$C$26,$C$27,$D$15,$D$16,$D$17,$D$18,$D$19,$D$20,$D$21,$D$22,$D$23,$D$24,$D$25,$D$26,$D$27,$C$8,$C$9,$C$10,$C$11,$C$12),"")</f>
        <v>79949.262283363947</v>
      </c>
      <c r="R6" s="255">
        <f ca="1">IF(NOW(),_xll.mirSwapPV($C$3,$C$4,$C$6,$G6,$C$7,$I6+R$3,$C$16,$C$17,$C$18,$C$19,$C$20,$C$21,$C$22,$C$26,$C$27,$D$15,$D$16,$D$17,$D$18,$D$19,$D$20,$D$21,$D$22,$D$23,$D$24,$D$25,$D$26,$D$27,$C$8,$C$9,$C$10,$C$11,$C$12),"")</f>
        <v>39974.631141681966</v>
      </c>
      <c r="S6" s="255">
        <f ca="1">IF(NOW(),_xll.mirSwapPV($C$3,$C$4,$C$6,$G6,$C$7,$I6+S$3,$C$16,$C$17,$C$18,$C$19,$C$20,$C$21,$C$22,$C$26,$C$27,$D$15,$D$16,$D$17,$D$18,$D$19,$D$20,$D$21,$D$22,$D$23,$D$24,$D$25,$D$26,$D$27,$C$8,$C$9,$C$10,$C$11,$C$12),"")</f>
        <v>0</v>
      </c>
      <c r="T6" s="255">
        <f ca="1">IF(NOW(),_xll.mirSwapPV($C$3,$C$4,$C$6,$G6,$C$7,$I6+T$3,$C$16,$C$17,$C$18,$C$19,$C$20,$C$21,$C$22,$C$26,$C$27,$D$15,$D$16,$D$17,$D$18,$D$19,$D$20,$D$21,$D$22,$D$23,$D$24,$D$25,$D$26,$D$27,$C$8,$C$9,$C$10,$C$11,$C$12),"")</f>
        <v>-39974.631141681981</v>
      </c>
      <c r="U6" s="255">
        <f ca="1">IF(NOW(),_xll.mirSwapPV($C$3,$C$4,$C$6,$G6,$C$7,$I6+U$3,$C$16,$C$17,$C$18,$C$19,$C$20,$C$21,$C$22,$C$26,$C$27,$D$15,$D$16,$D$17,$D$18,$D$19,$D$20,$D$21,$D$22,$D$23,$D$24,$D$25,$D$26,$D$27,$C$8,$C$9,$C$10,$C$11,$C$12),"")</f>
        <v>-79949.262283363947</v>
      </c>
      <c r="V6" s="255">
        <f ca="1">IF(NOW(),_xll.mirSwapPV($C$3,$C$4,$C$6,$G6,$C$7,$I6+V$3,$C$16,$C$17,$C$18,$C$19,$C$20,$C$21,$C$22,$C$26,$C$27,$D$15,$D$16,$D$17,$D$18,$D$19,$D$20,$D$21,$D$22,$D$23,$D$24,$D$25,$D$26,$D$27,$C$8,$C$9,$C$10,$C$11,$C$12),"")</f>
        <v>-119923.89342504591</v>
      </c>
      <c r="W6" s="255">
        <f ca="1">IF(NOW(),_xll.mirSwapPV($C$3,$C$4,$C$6,$G6,$C$7,$I6+W$3,$C$16,$C$17,$C$18,$C$19,$C$20,$C$21,$C$22,$C$26,$C$27,$D$15,$D$16,$D$17,$D$18,$D$19,$D$20,$D$21,$D$22,$D$23,$D$24,$D$25,$D$26,$D$27,$C$8,$C$9,$C$10,$C$11,$C$12),"")</f>
        <v>-159898.52456672792</v>
      </c>
      <c r="X6" s="255">
        <f ca="1">IF(NOW(),_xll.mirSwapPV($C$3,$C$4,$C$6,$G6,$C$7,$I6+X$3,$C$16,$C$17,$C$18,$C$19,$C$20,$C$21,$C$22,$C$26,$C$27,$D$15,$D$16,$D$17,$D$18,$D$19,$D$20,$D$21,$D$22,$D$23,$D$24,$D$25,$D$26,$D$27,$C$8,$C$9,$C$10,$C$11,$C$12),"")</f>
        <v>-199873.15570840987</v>
      </c>
      <c r="Y6" s="230" t="s">
        <v>12</v>
      </c>
      <c r="Z6" s="224" t="s">
        <v>35</v>
      </c>
      <c r="AA6" s="227">
        <f>_xll.mirGetDate($C$6,Z6)</f>
        <v>43661</v>
      </c>
      <c r="AB6" s="228">
        <f>'EUR Curve Config'!$AO11</f>
        <v>3.9199999999999999E-3</v>
      </c>
      <c r="AC6" s="229">
        <f ca="1">IF(NOW(),_xll.mirGetParRate4($C$6,Z6,$C$7,$C$16,$C$17,$C$18,$C$19,$C$20,$C$21,$C$22,$C$26,$C$27,$D$16,$D$17,$D$18,$D$19,$D$20,$D$21,$D$22,$D$23,$D$24,$D$25,$D$26,$D$27,$C$8,$C$9,$C$10,$D$11,$C$12),"")</f>
        <v>3.9199991911133356E-3</v>
      </c>
      <c r="AD6" s="229">
        <f t="shared" ca="1" si="12"/>
        <v>-8.0888666424694389E-10</v>
      </c>
      <c r="AE6" s="230">
        <f t="shared" ca="1" si="13"/>
        <v>-8.0888666424694389E-6</v>
      </c>
      <c r="AG6" s="230" t="s">
        <v>35</v>
      </c>
      <c r="AH6" s="255">
        <f ca="1">IF(NOW(),_xll.mirSwapPV($C$3,$C$4,$C$6,$G6,$C$7,$I6+AH$3,$C$16,$C$17,$C$18,$C$19,$C$20,$C$21,$C$22,$C$26,$C$27,$D$15,$D$16,$D$17,$D$18,$D$19,$D$20,$D$21,$D$22,$D$23,$D$24,$D$25,$D$26,$D$27,$C$8,$C$9,$C$10,$D$11,$C$12),"")</f>
        <v>199873.15570840999</v>
      </c>
      <c r="AI6" s="255">
        <f ca="1">IF(NOW(),_xll.mirSwapPV($C$3,$C$4,$C$6,$G6,$C$7,$I6+AI$3,$C$16,$C$17,$C$18,$C$19,$C$20,$C$21,$C$22,$C$26,$C$27,$D$15,$D$16,$D$17,$D$18,$D$19,$D$20,$D$21,$D$22,$D$23,$D$24,$D$25,$D$26,$D$27,$C$8,$C$9,$C$10,$D$11,$C$12),"")</f>
        <v>159898.52456672798</v>
      </c>
      <c r="AJ6" s="255">
        <f ca="1">IF(NOW(),_xll.mirSwapPV($C$3,$C$4,$C$6,$G6,$C$7,$I6+AJ$3,$C$16,$C$17,$C$18,$C$19,$C$20,$C$21,$C$22,$C$26,$C$27,$D$15,$D$16,$D$17,$D$18,$D$19,$D$20,$D$21,$D$22,$D$23,$D$24,$D$25,$D$26,$D$27,$C$8,$C$9,$C$10,$D$11,$C$12),"")</f>
        <v>119923.893425046</v>
      </c>
      <c r="AK6" s="255">
        <f ca="1">IF(NOW(),_xll.mirSwapPV($C$3,$C$4,$C$6,$G6,$C$7,$I6+AK$3,$C$16,$C$17,$C$18,$C$19,$C$20,$C$21,$C$22,$C$26,$C$27,$D$15,$D$16,$D$17,$D$18,$D$19,$D$20,$D$21,$D$22,$D$23,$D$24,$D$25,$D$26,$D$27,$C$8,$C$9,$C$10,$D$11,$C$12),"")</f>
        <v>79949.26228336402</v>
      </c>
      <c r="AL6" s="255">
        <f ca="1">IF(NOW(),_xll.mirSwapPV($C$3,$C$4,$C$6,$G6,$C$7,$I6+AL$3,$C$16,$C$17,$C$18,$C$19,$C$20,$C$21,$C$22,$C$26,$C$27,$D$15,$D$16,$D$17,$D$18,$D$19,$D$20,$D$21,$D$22,$D$23,$D$24,$D$25,$D$26,$D$27,$C$8,$C$9,$C$10,$D$11,$C$12),"")</f>
        <v>39974.631141682039</v>
      </c>
      <c r="AM6" s="255">
        <f ca="1">IF(NOW(),_xll.mirSwapPV($C$3,$C$4,$C$6,$G6,$C$7,$I6+AM$3,$C$16,$C$17,$C$18,$C$19,$C$20,$C$21,$C$22,$C$26,$C$27,$D$15,$D$16,$D$17,$D$18,$D$19,$D$20,$D$21,$D$22,$D$23,$D$24,$D$25,$D$26,$D$27,$C$8,$C$9,$C$10,$D$11,$C$12),"")</f>
        <v>7.6327832942979512E-11</v>
      </c>
      <c r="AN6" s="255">
        <f ca="1">IF(NOW(),_xll.mirSwapPV($C$3,$C$4,$C$6,$G6,$C$7,$I6+AN$3,$C$16,$C$17,$C$18,$C$19,$C$20,$C$21,$C$22,$C$26,$C$27,$D$15,$D$16,$D$17,$D$18,$D$19,$D$20,$D$21,$D$22,$D$23,$D$24,$D$25,$D$26,$D$27,$C$8,$C$9,$C$10,$D$11,$C$12),"")</f>
        <v>-39974.631141681901</v>
      </c>
      <c r="AO6" s="255">
        <f ca="1">IF(NOW(),_xll.mirSwapPV($C$3,$C$4,$C$6,$G6,$C$7,$I6+AO$3,$C$16,$C$17,$C$18,$C$19,$C$20,$C$21,$C$22,$C$26,$C$27,$D$15,$D$16,$D$17,$D$18,$D$19,$D$20,$D$21,$D$22,$D$23,$D$24,$D$25,$D$26,$D$27,$C$8,$C$9,$C$10,$D$11,$C$12),"")</f>
        <v>-79949.262283363874</v>
      </c>
      <c r="AP6" s="255">
        <f ca="1">IF(NOW(),_xll.mirSwapPV($C$3,$C$4,$C$6,$G6,$C$7,$I6+AP$3,$C$16,$C$17,$C$18,$C$19,$C$20,$C$21,$C$22,$C$26,$C$27,$D$15,$D$16,$D$17,$D$18,$D$19,$D$20,$D$21,$D$22,$D$23,$D$24,$D$25,$D$26,$D$27,$C$8,$C$9,$C$10,$D$11,$C$12),"")</f>
        <v>-119923.89342504586</v>
      </c>
      <c r="AQ6" s="255">
        <f ca="1">IF(NOW(),_xll.mirSwapPV($C$3,$C$4,$C$6,$G6,$C$7,$I6+AQ$3,$C$16,$C$17,$C$18,$C$19,$C$20,$C$21,$C$22,$C$26,$C$27,$D$15,$D$16,$D$17,$D$18,$D$19,$D$20,$D$21,$D$22,$D$23,$D$24,$D$25,$D$26,$D$27,$C$8,$C$9,$C$10,$D$11,$C$12),"")</f>
        <v>-159898.52456672784</v>
      </c>
      <c r="AR6" s="255">
        <f ca="1">IF(NOW(),_xll.mirSwapPV($C$3,$C$4,$C$6,$G6,$C$7,$I6+AR$3,$C$16,$C$17,$C$18,$C$19,$C$20,$C$21,$C$22,$C$26,$C$27,$D$15,$D$16,$D$17,$D$18,$D$19,$D$20,$D$21,$D$22,$D$23,$D$24,$D$25,$D$26,$D$27,$C$8,$C$9,$C$10,$D$11,$C$12),"")</f>
        <v>-199873.15570840979</v>
      </c>
    </row>
    <row r="7" spans="2:44">
      <c r="B7" s="234" t="s">
        <v>432</v>
      </c>
      <c r="C7" s="235" t="s">
        <v>315</v>
      </c>
      <c r="D7" s="235"/>
      <c r="F7" s="224" t="s">
        <v>33</v>
      </c>
      <c r="G7" s="227">
        <f>_xll.mirGetDate($C$6,F7)</f>
        <v>44027</v>
      </c>
      <c r="H7" s="228">
        <f>'EUR Curve Config'!$AO12</f>
        <v>5.6110000000000005E-3</v>
      </c>
      <c r="I7" s="229">
        <f ca="1">IF(NOW(),_xll.mirGetParRate4($C$6,F7,$C$7,$C$16,$C$17,$C$18,$C$19,$C$20,$C$21,$C$22,$C$26,$C$27,$D$16,$D$17,$D$18,$D$19,$D$20,$D$21,$D$22,$D$23,$D$24,$D$25,$D$26,$D$27,$C$8,$C$9,$C$10,$C$11,$C$12),"")</f>
        <v>5.6109974685727357E-3</v>
      </c>
      <c r="J7" s="229">
        <f t="shared" ca="1" si="10"/>
        <v>-2.5314272648555014E-9</v>
      </c>
      <c r="K7" s="230">
        <f t="shared" ca="1" si="11"/>
        <v>-2.5314272648555014E-5</v>
      </c>
      <c r="L7" s="230" t="s">
        <v>12</v>
      </c>
      <c r="M7" s="230" t="s">
        <v>33</v>
      </c>
      <c r="N7" s="255">
        <f ca="1">IF(NOW(),_xll.mirSwapPV($C$3,$C$4,$C$6,$G7,$C$7,$I7+N$3,$C$16,$C$17,$C$18,$C$19,$C$20,$C$21,$C$22,$C$26,$C$27,$D$15,$D$16,$D$17,$D$18,$D$19,$D$20,$D$21,$D$22,$D$23,$D$24,$D$25,$D$26,$D$27,$C$8,$C$9,$C$10,$C$11,$C$12),"")</f>
        <v>249096.03223594063</v>
      </c>
      <c r="O7" s="255">
        <f ca="1">IF(NOW(),_xll.mirSwapPV($C$3,$C$4,$C$6,$G7,$C$7,$I7+O$3,$C$16,$C$17,$C$18,$C$19,$C$20,$C$21,$C$22,$C$26,$C$27,$D$15,$D$16,$D$17,$D$18,$D$19,$D$20,$D$21,$D$22,$D$23,$D$24,$D$25,$D$26,$D$27,$C$8,$C$9,$C$10,$C$11,$C$12),"")</f>
        <v>199276.8257887525</v>
      </c>
      <c r="P7" s="255">
        <f ca="1">IF(NOW(),_xll.mirSwapPV($C$3,$C$4,$C$6,$G7,$C$7,$I7+P$3,$C$16,$C$17,$C$18,$C$19,$C$20,$C$21,$C$22,$C$26,$C$27,$D$15,$D$16,$D$17,$D$18,$D$19,$D$20,$D$21,$D$22,$D$23,$D$24,$D$25,$D$26,$D$27,$C$8,$C$9,$C$10,$C$11,$C$12),"")</f>
        <v>149457.61934156436</v>
      </c>
      <c r="Q7" s="255">
        <f ca="1">IF(NOW(),_xll.mirSwapPV($C$3,$C$4,$C$6,$G7,$C$7,$I7+Q$3,$C$16,$C$17,$C$18,$C$19,$C$20,$C$21,$C$22,$C$26,$C$27,$D$15,$D$16,$D$17,$D$18,$D$19,$D$20,$D$21,$D$22,$D$23,$D$24,$D$25,$D$26,$D$27,$C$8,$C$9,$C$10,$C$11,$C$12),"")</f>
        <v>99638.412894376233</v>
      </c>
      <c r="R7" s="255">
        <f ca="1">IF(NOW(),_xll.mirSwapPV($C$3,$C$4,$C$6,$G7,$C$7,$I7+R$3,$C$16,$C$17,$C$18,$C$19,$C$20,$C$21,$C$22,$C$26,$C$27,$D$15,$D$16,$D$17,$D$18,$D$19,$D$20,$D$21,$D$22,$D$23,$D$24,$D$25,$D$26,$D$27,$C$8,$C$9,$C$10,$C$11,$C$12),"")</f>
        <v>49819.206447188102</v>
      </c>
      <c r="S7" s="255">
        <f ca="1">IF(NOW(),_xll.mirSwapPV($C$3,$C$4,$C$6,$G7,$C$7,$I7+S$3,$C$16,$C$17,$C$18,$C$19,$C$20,$C$21,$C$22,$C$26,$C$27,$D$15,$D$16,$D$17,$D$18,$D$19,$D$20,$D$21,$D$22,$D$23,$D$24,$D$25,$D$26,$D$27,$C$8,$C$9,$C$10,$C$11,$C$12),"")</f>
        <v>0</v>
      </c>
      <c r="T7" s="255">
        <f ca="1">IF(NOW(),_xll.mirSwapPV($C$3,$C$4,$C$6,$G7,$C$7,$I7+T$3,$C$16,$C$17,$C$18,$C$19,$C$20,$C$21,$C$22,$C$26,$C$27,$D$15,$D$16,$D$17,$D$18,$D$19,$D$20,$D$21,$D$22,$D$23,$D$24,$D$25,$D$26,$D$27,$C$8,$C$9,$C$10,$C$11,$C$12),"")</f>
        <v>-49819.206447188124</v>
      </c>
      <c r="U7" s="255">
        <f ca="1">IF(NOW(),_xll.mirSwapPV($C$3,$C$4,$C$6,$G7,$C$7,$I7+U$3,$C$16,$C$17,$C$18,$C$19,$C$20,$C$21,$C$22,$C$26,$C$27,$D$15,$D$16,$D$17,$D$18,$D$19,$D$20,$D$21,$D$22,$D$23,$D$24,$D$25,$D$26,$D$27,$C$8,$C$9,$C$10,$C$11,$C$12),"")</f>
        <v>-99638.412894376248</v>
      </c>
      <c r="V7" s="255">
        <f ca="1">IF(NOW(),_xll.mirSwapPV($C$3,$C$4,$C$6,$G7,$C$7,$I7+V$3,$C$16,$C$17,$C$18,$C$19,$C$20,$C$21,$C$22,$C$26,$C$27,$D$15,$D$16,$D$17,$D$18,$D$19,$D$20,$D$21,$D$22,$D$23,$D$24,$D$25,$D$26,$D$27,$C$8,$C$9,$C$10,$C$11,$C$12),"")</f>
        <v>-149457.61934156436</v>
      </c>
      <c r="W7" s="255">
        <f ca="1">IF(NOW(),_xll.mirSwapPV($C$3,$C$4,$C$6,$G7,$C$7,$I7+W$3,$C$16,$C$17,$C$18,$C$19,$C$20,$C$21,$C$22,$C$26,$C$27,$D$15,$D$16,$D$17,$D$18,$D$19,$D$20,$D$21,$D$22,$D$23,$D$24,$D$25,$D$26,$D$27,$C$8,$C$9,$C$10,$C$11,$C$12),"")</f>
        <v>-199276.8257887525</v>
      </c>
      <c r="X7" s="255">
        <f ca="1">IF(NOW(),_xll.mirSwapPV($C$3,$C$4,$C$6,$G7,$C$7,$I7+X$3,$C$16,$C$17,$C$18,$C$19,$C$20,$C$21,$C$22,$C$26,$C$27,$D$15,$D$16,$D$17,$D$18,$D$19,$D$20,$D$21,$D$22,$D$23,$D$24,$D$25,$D$26,$D$27,$C$8,$C$9,$C$10,$C$11,$C$12),"")</f>
        <v>-249096.03223594066</v>
      </c>
      <c r="Y7" s="230" t="s">
        <v>12</v>
      </c>
      <c r="Z7" s="224" t="s">
        <v>33</v>
      </c>
      <c r="AA7" s="227">
        <f>_xll.mirGetDate($C$6,Z7)</f>
        <v>44027</v>
      </c>
      <c r="AB7" s="228">
        <f>'EUR Curve Config'!$AO12</f>
        <v>5.6110000000000005E-3</v>
      </c>
      <c r="AC7" s="229">
        <f ca="1">IF(NOW(),_xll.mirGetParRate4($C$6,Z7,$C$7,$C$16,$C$17,$C$18,$C$19,$C$20,$C$21,$C$22,$C$26,$C$27,$D$16,$D$17,$D$18,$D$19,$D$20,$D$21,$D$22,$D$23,$D$24,$D$25,$D$26,$D$27,$C$8,$C$9,$C$10,$D$11,$C$12),"")</f>
        <v>5.6109974685727383E-3</v>
      </c>
      <c r="AD7" s="229">
        <f t="shared" ca="1" si="12"/>
        <v>-2.5314272622534162E-9</v>
      </c>
      <c r="AE7" s="230">
        <f t="shared" ca="1" si="13"/>
        <v>-2.5314272622534162E-5</v>
      </c>
      <c r="AG7" s="230" t="s">
        <v>33</v>
      </c>
      <c r="AH7" s="255">
        <f ca="1">IF(NOW(),_xll.mirSwapPV($C$3,$C$4,$C$6,$G7,$C$7,$I7+AH$3,$C$16,$C$17,$C$18,$C$19,$C$20,$C$21,$C$22,$C$26,$C$27,$D$15,$D$16,$D$17,$D$18,$D$19,$D$20,$D$21,$D$22,$D$23,$D$24,$D$25,$D$26,$D$27,$C$8,$C$9,$C$10,$D$11,$C$12),"")</f>
        <v>249096.03223594063</v>
      </c>
      <c r="AI7" s="255">
        <f ca="1">IF(NOW(),_xll.mirSwapPV($C$3,$C$4,$C$6,$G7,$C$7,$I7+AI$3,$C$16,$C$17,$C$18,$C$19,$C$20,$C$21,$C$22,$C$26,$C$27,$D$15,$D$16,$D$17,$D$18,$D$19,$D$20,$D$21,$D$22,$D$23,$D$24,$D$25,$D$26,$D$27,$C$8,$C$9,$C$10,$D$11,$C$12),"")</f>
        <v>199276.8257887525</v>
      </c>
      <c r="AJ7" s="255">
        <f ca="1">IF(NOW(),_xll.mirSwapPV($C$3,$C$4,$C$6,$G7,$C$7,$I7+AJ$3,$C$16,$C$17,$C$18,$C$19,$C$20,$C$21,$C$22,$C$26,$C$27,$D$15,$D$16,$D$17,$D$18,$D$19,$D$20,$D$21,$D$22,$D$23,$D$24,$D$25,$D$26,$D$27,$C$8,$C$9,$C$10,$D$11,$C$12),"")</f>
        <v>149457.61934156436</v>
      </c>
      <c r="AK7" s="255">
        <f ca="1">IF(NOW(),_xll.mirSwapPV($C$3,$C$4,$C$6,$G7,$C$7,$I7+AK$3,$C$16,$C$17,$C$18,$C$19,$C$20,$C$21,$C$22,$C$26,$C$27,$D$15,$D$16,$D$17,$D$18,$D$19,$D$20,$D$21,$D$22,$D$23,$D$24,$D$25,$D$26,$D$27,$C$8,$C$9,$C$10,$D$11,$C$12),"")</f>
        <v>99638.412894376248</v>
      </c>
      <c r="AL7" s="255">
        <f ca="1">IF(NOW(),_xll.mirSwapPV($C$3,$C$4,$C$6,$G7,$C$7,$I7+AL$3,$C$16,$C$17,$C$18,$C$19,$C$20,$C$21,$C$22,$C$26,$C$27,$D$15,$D$16,$D$17,$D$18,$D$19,$D$20,$D$21,$D$22,$D$23,$D$24,$D$25,$D$26,$D$27,$C$8,$C$9,$C$10,$D$11,$C$12),"")</f>
        <v>49819.206447188117</v>
      </c>
      <c r="AM7" s="255">
        <f ca="1">IF(NOW(),_xll.mirSwapPV($C$3,$C$4,$C$6,$G7,$C$7,$I7+AM$3,$C$16,$C$17,$C$18,$C$19,$C$20,$C$21,$C$22,$C$26,$C$27,$D$15,$D$16,$D$17,$D$18,$D$19,$D$20,$D$21,$D$22,$D$23,$D$24,$D$25,$D$26,$D$27,$C$8,$C$9,$C$10,$D$11,$C$12),"")</f>
        <v>1.3877787807814457E-11</v>
      </c>
      <c r="AN7" s="255">
        <f ca="1">IF(NOW(),_xll.mirSwapPV($C$3,$C$4,$C$6,$G7,$C$7,$I7+AN$3,$C$16,$C$17,$C$18,$C$19,$C$20,$C$21,$C$22,$C$26,$C$27,$D$15,$D$16,$D$17,$D$18,$D$19,$D$20,$D$21,$D$22,$D$23,$D$24,$D$25,$D$26,$D$27,$C$8,$C$9,$C$10,$D$11,$C$12),"")</f>
        <v>-49819.206447188109</v>
      </c>
      <c r="AO7" s="255">
        <f ca="1">IF(NOW(),_xll.mirSwapPV($C$3,$C$4,$C$6,$G7,$C$7,$I7+AO$3,$C$16,$C$17,$C$18,$C$19,$C$20,$C$21,$C$22,$C$26,$C$27,$D$15,$D$16,$D$17,$D$18,$D$19,$D$20,$D$21,$D$22,$D$23,$D$24,$D$25,$D$26,$D$27,$C$8,$C$9,$C$10,$D$11,$C$12),"")</f>
        <v>-99638.412894376233</v>
      </c>
      <c r="AP7" s="255">
        <f ca="1">IF(NOW(),_xll.mirSwapPV($C$3,$C$4,$C$6,$G7,$C$7,$I7+AP$3,$C$16,$C$17,$C$18,$C$19,$C$20,$C$21,$C$22,$C$26,$C$27,$D$15,$D$16,$D$17,$D$18,$D$19,$D$20,$D$21,$D$22,$D$23,$D$24,$D$25,$D$26,$D$27,$C$8,$C$9,$C$10,$D$11,$C$12),"")</f>
        <v>-149457.61934156436</v>
      </c>
      <c r="AQ7" s="255">
        <f ca="1">IF(NOW(),_xll.mirSwapPV($C$3,$C$4,$C$6,$G7,$C$7,$I7+AQ$3,$C$16,$C$17,$C$18,$C$19,$C$20,$C$21,$C$22,$C$26,$C$27,$D$15,$D$16,$D$17,$D$18,$D$19,$D$20,$D$21,$D$22,$D$23,$D$24,$D$25,$D$26,$D$27,$C$8,$C$9,$C$10,$D$11,$C$12),"")</f>
        <v>-199276.8257887525</v>
      </c>
      <c r="AR7" s="255">
        <f ca="1">IF(NOW(),_xll.mirSwapPV($C$3,$C$4,$C$6,$G7,$C$7,$I7+AR$3,$C$16,$C$17,$C$18,$C$19,$C$20,$C$21,$C$22,$C$26,$C$27,$D$15,$D$16,$D$17,$D$18,$D$19,$D$20,$D$21,$D$22,$D$23,$D$24,$D$25,$D$26,$D$27,$C$8,$C$9,$C$10,$D$11,$C$12),"")</f>
        <v>-249096.03223594063</v>
      </c>
    </row>
    <row r="8" spans="2:44">
      <c r="B8" s="234" t="s">
        <v>4</v>
      </c>
      <c r="C8" s="235" t="s">
        <v>433</v>
      </c>
      <c r="D8" s="235"/>
      <c r="F8" s="224" t="s">
        <v>131</v>
      </c>
      <c r="G8" s="227">
        <f>_xll.mirGetDate($C$6,F8)</f>
        <v>44392</v>
      </c>
      <c r="H8" s="228">
        <f>'EUR Curve Config'!$AO13</f>
        <v>7.3000000000000001E-3</v>
      </c>
      <c r="I8" s="229">
        <f ca="1">IF(NOW(),_xll.mirGetParRate4($C$6,F8,$C$7,$C$16,$C$17,$C$18,$C$19,$C$20,$C$21,$C$22,$C$26,$C$27,$D$16,$D$17,$D$18,$D$19,$D$20,$D$21,$D$22,$D$23,$D$24,$D$25,$D$26,$D$27,$C$8,$C$9,$C$10,$C$11,$C$12),"")</f>
        <v>7.2999979491817262E-3</v>
      </c>
      <c r="J8" s="229">
        <f t="shared" ca="1" si="10"/>
        <v>-2.0508182738826486E-9</v>
      </c>
      <c r="K8" s="230">
        <f t="shared" ca="1" si="11"/>
        <v>-2.0508182738826486E-5</v>
      </c>
      <c r="L8" s="230" t="s">
        <v>12</v>
      </c>
      <c r="M8" s="230" t="s">
        <v>131</v>
      </c>
      <c r="N8" s="255">
        <f ca="1">IF(NOW(),_xll.mirSwapPV($C$3,$C$4,$C$6,$G8,$C$7,$I8+N$3,$C$16,$C$17,$C$18,$C$19,$C$20,$C$21,$C$22,$C$26,$C$27,$D$15,$D$16,$D$17,$D$18,$D$19,$D$20,$D$21,$D$22,$D$23,$D$24,$D$25,$D$26,$D$27,$C$8,$C$9,$C$10,$C$11,$C$12),"")</f>
        <v>297667.53869917651</v>
      </c>
      <c r="O8" s="255">
        <f ca="1">IF(NOW(),_xll.mirSwapPV($C$3,$C$4,$C$6,$G8,$C$7,$I8+O$3,$C$16,$C$17,$C$18,$C$19,$C$20,$C$21,$C$22,$C$26,$C$27,$D$15,$D$16,$D$17,$D$18,$D$19,$D$20,$D$21,$D$22,$D$23,$D$24,$D$25,$D$26,$D$27,$C$8,$C$9,$C$10,$C$11,$C$12),"")</f>
        <v>238134.03095934118</v>
      </c>
      <c r="P8" s="255">
        <f ca="1">IF(NOW(),_xll.mirSwapPV($C$3,$C$4,$C$6,$G8,$C$7,$I8+P$3,$C$16,$C$17,$C$18,$C$19,$C$20,$C$21,$C$22,$C$26,$C$27,$D$15,$D$16,$D$17,$D$18,$D$19,$D$20,$D$21,$D$22,$D$23,$D$24,$D$25,$D$26,$D$27,$C$8,$C$9,$C$10,$C$11,$C$12),"")</f>
        <v>178600.52321950591</v>
      </c>
      <c r="Q8" s="255">
        <f ca="1">IF(NOW(),_xll.mirSwapPV($C$3,$C$4,$C$6,$G8,$C$7,$I8+Q$3,$C$16,$C$17,$C$18,$C$19,$C$20,$C$21,$C$22,$C$26,$C$27,$D$15,$D$16,$D$17,$D$18,$D$19,$D$20,$D$21,$D$22,$D$23,$D$24,$D$25,$D$26,$D$27,$C$8,$C$9,$C$10,$C$11,$C$12),"")</f>
        <v>119067.01547967059</v>
      </c>
      <c r="R8" s="255">
        <f ca="1">IF(NOW(),_xll.mirSwapPV($C$3,$C$4,$C$6,$G8,$C$7,$I8+R$3,$C$16,$C$17,$C$18,$C$19,$C$20,$C$21,$C$22,$C$26,$C$27,$D$15,$D$16,$D$17,$D$18,$D$19,$D$20,$D$21,$D$22,$D$23,$D$24,$D$25,$D$26,$D$27,$C$8,$C$9,$C$10,$C$11,$C$12),"")</f>
        <v>59533.507739835273</v>
      </c>
      <c r="S8" s="255">
        <f ca="1">IF(NOW(),_xll.mirSwapPV($C$3,$C$4,$C$6,$G8,$C$7,$I8+S$3,$C$16,$C$17,$C$18,$C$19,$C$20,$C$21,$C$22,$C$26,$C$27,$D$15,$D$16,$D$17,$D$18,$D$19,$D$20,$D$21,$D$22,$D$23,$D$24,$D$25,$D$26,$D$27,$C$8,$C$9,$C$10,$C$11,$C$12),"")</f>
        <v>0</v>
      </c>
      <c r="T8" s="255">
        <f ca="1">IF(NOW(),_xll.mirSwapPV($C$3,$C$4,$C$6,$G8,$C$7,$I8+T$3,$C$16,$C$17,$C$18,$C$19,$C$20,$C$21,$C$22,$C$26,$C$27,$D$15,$D$16,$D$17,$D$18,$D$19,$D$20,$D$21,$D$22,$D$23,$D$24,$D$25,$D$26,$D$27,$C$8,$C$9,$C$10,$C$11,$C$12),"")</f>
        <v>-59533.507739835302</v>
      </c>
      <c r="U8" s="255">
        <f ca="1">IF(NOW(),_xll.mirSwapPV($C$3,$C$4,$C$6,$G8,$C$7,$I8+U$3,$C$16,$C$17,$C$18,$C$19,$C$20,$C$21,$C$22,$C$26,$C$27,$D$15,$D$16,$D$17,$D$18,$D$19,$D$20,$D$21,$D$22,$D$23,$D$24,$D$25,$D$26,$D$27,$C$8,$C$9,$C$10,$C$11,$C$12),"")</f>
        <v>-119067.0154796706</v>
      </c>
      <c r="V8" s="255">
        <f ca="1">IF(NOW(),_xll.mirSwapPV($C$3,$C$4,$C$6,$G8,$C$7,$I8+V$3,$C$16,$C$17,$C$18,$C$19,$C$20,$C$21,$C$22,$C$26,$C$27,$D$15,$D$16,$D$17,$D$18,$D$19,$D$20,$D$21,$D$22,$D$23,$D$24,$D$25,$D$26,$D$27,$C$8,$C$9,$C$10,$C$11,$C$12),"")</f>
        <v>-178600.52321950594</v>
      </c>
      <c r="W8" s="255">
        <f ca="1">IF(NOW(),_xll.mirSwapPV($C$3,$C$4,$C$6,$G8,$C$7,$I8+W$3,$C$16,$C$17,$C$18,$C$19,$C$20,$C$21,$C$22,$C$26,$C$27,$D$15,$D$16,$D$17,$D$18,$D$19,$D$20,$D$21,$D$22,$D$23,$D$24,$D$25,$D$26,$D$27,$C$8,$C$9,$C$10,$C$11,$C$12),"")</f>
        <v>-238134.03095934121</v>
      </c>
      <c r="X8" s="255">
        <f ca="1">IF(NOW(),_xll.mirSwapPV($C$3,$C$4,$C$6,$G8,$C$7,$I8+X$3,$C$16,$C$17,$C$18,$C$19,$C$20,$C$21,$C$22,$C$26,$C$27,$D$15,$D$16,$D$17,$D$18,$D$19,$D$20,$D$21,$D$22,$D$23,$D$24,$D$25,$D$26,$D$27,$C$8,$C$9,$C$10,$C$11,$C$12),"")</f>
        <v>-297667.53869917657</v>
      </c>
      <c r="Y8" s="230" t="s">
        <v>12</v>
      </c>
      <c r="Z8" s="224" t="s">
        <v>131</v>
      </c>
      <c r="AA8" s="227">
        <f>_xll.mirGetDate($C$6,Z8)</f>
        <v>44392</v>
      </c>
      <c r="AB8" s="228">
        <f>'EUR Curve Config'!$AO13</f>
        <v>7.3000000000000001E-3</v>
      </c>
      <c r="AC8" s="229">
        <f ca="1">IF(NOW(),_xll.mirGetParRate4($C$6,Z8,$C$7,$C$16,$C$17,$C$18,$C$19,$C$20,$C$21,$C$22,$C$26,$C$27,$D$16,$D$17,$D$18,$D$19,$D$20,$D$21,$D$22,$D$23,$D$24,$D$25,$D$26,$D$27,$C$8,$C$9,$C$10,$D$11,$C$12),"")</f>
        <v>7.2999979491817314E-3</v>
      </c>
      <c r="AD8" s="229">
        <f t="shared" ca="1" si="12"/>
        <v>-2.0508182686784782E-9</v>
      </c>
      <c r="AE8" s="230">
        <f t="shared" ca="1" si="13"/>
        <v>-2.0508182686784782E-5</v>
      </c>
      <c r="AG8" s="230" t="s">
        <v>131</v>
      </c>
      <c r="AH8" s="255">
        <f ca="1">IF(NOW(),_xll.mirSwapPV($C$3,$C$4,$C$6,$G8,$C$7,$I8+AH$3,$C$16,$C$17,$C$18,$C$19,$C$20,$C$21,$C$22,$C$26,$C$27,$D$15,$D$16,$D$17,$D$18,$D$19,$D$20,$D$21,$D$22,$D$23,$D$24,$D$25,$D$26,$D$27,$C$8,$C$9,$C$10,$D$11,$C$12),"")</f>
        <v>297667.53869917657</v>
      </c>
      <c r="AI8" s="255">
        <f ca="1">IF(NOW(),_xll.mirSwapPV($C$3,$C$4,$C$6,$G8,$C$7,$I8+AI$3,$C$16,$C$17,$C$18,$C$19,$C$20,$C$21,$C$22,$C$26,$C$27,$D$15,$D$16,$D$17,$D$18,$D$19,$D$20,$D$21,$D$22,$D$23,$D$24,$D$25,$D$26,$D$27,$C$8,$C$9,$C$10,$D$11,$C$12),"")</f>
        <v>238134.03095934121</v>
      </c>
      <c r="AJ8" s="255">
        <f ca="1">IF(NOW(),_xll.mirSwapPV($C$3,$C$4,$C$6,$G8,$C$7,$I8+AJ$3,$C$16,$C$17,$C$18,$C$19,$C$20,$C$21,$C$22,$C$26,$C$27,$D$15,$D$16,$D$17,$D$18,$D$19,$D$20,$D$21,$D$22,$D$23,$D$24,$D$25,$D$26,$D$27,$C$8,$C$9,$C$10,$D$11,$C$12),"")</f>
        <v>178600.52321950594</v>
      </c>
      <c r="AK8" s="255">
        <f ca="1">IF(NOW(),_xll.mirSwapPV($C$3,$C$4,$C$6,$G8,$C$7,$I8+AK$3,$C$16,$C$17,$C$18,$C$19,$C$20,$C$21,$C$22,$C$26,$C$27,$D$15,$D$16,$D$17,$D$18,$D$19,$D$20,$D$21,$D$22,$D$23,$D$24,$D$25,$D$26,$D$27,$C$8,$C$9,$C$10,$D$11,$C$12),"")</f>
        <v>119067.01547967063</v>
      </c>
      <c r="AL8" s="255">
        <f ca="1">IF(NOW(),_xll.mirSwapPV($C$3,$C$4,$C$6,$G8,$C$7,$I8+AL$3,$C$16,$C$17,$C$18,$C$19,$C$20,$C$21,$C$22,$C$26,$C$27,$D$15,$D$16,$D$17,$D$18,$D$19,$D$20,$D$21,$D$22,$D$23,$D$24,$D$25,$D$26,$D$27,$C$8,$C$9,$C$10,$D$11,$C$12),"")</f>
        <v>59533.507739835317</v>
      </c>
      <c r="AM8" s="255">
        <f ca="1">IF(NOW(),_xll.mirSwapPV($C$3,$C$4,$C$6,$G8,$C$7,$I8+AM$3,$C$16,$C$17,$C$18,$C$19,$C$20,$C$21,$C$22,$C$26,$C$27,$D$15,$D$16,$D$17,$D$18,$D$19,$D$20,$D$21,$D$22,$D$23,$D$24,$D$25,$D$26,$D$27,$C$8,$C$9,$C$10,$D$11,$C$12),"")</f>
        <v>3.4694469519536142E-11</v>
      </c>
      <c r="AN8" s="255">
        <f ca="1">IF(NOW(),_xll.mirSwapPV($C$3,$C$4,$C$6,$G8,$C$7,$I8+AN$3,$C$16,$C$17,$C$18,$C$19,$C$20,$C$21,$C$22,$C$26,$C$27,$D$15,$D$16,$D$17,$D$18,$D$19,$D$20,$D$21,$D$22,$D$23,$D$24,$D$25,$D$26,$D$27,$C$8,$C$9,$C$10,$D$11,$C$12),"")</f>
        <v>-59533.507739835266</v>
      </c>
      <c r="AO8" s="255">
        <f ca="1">IF(NOW(),_xll.mirSwapPV($C$3,$C$4,$C$6,$G8,$C$7,$I8+AO$3,$C$16,$C$17,$C$18,$C$19,$C$20,$C$21,$C$22,$C$26,$C$27,$D$15,$D$16,$D$17,$D$18,$D$19,$D$20,$D$21,$D$22,$D$23,$D$24,$D$25,$D$26,$D$27,$C$8,$C$9,$C$10,$D$11,$C$12),"")</f>
        <v>-119067.01547967058</v>
      </c>
      <c r="AP8" s="255">
        <f ca="1">IF(NOW(),_xll.mirSwapPV($C$3,$C$4,$C$6,$G8,$C$7,$I8+AP$3,$C$16,$C$17,$C$18,$C$19,$C$20,$C$21,$C$22,$C$26,$C$27,$D$15,$D$16,$D$17,$D$18,$D$19,$D$20,$D$21,$D$22,$D$23,$D$24,$D$25,$D$26,$D$27,$C$8,$C$9,$C$10,$D$11,$C$12),"")</f>
        <v>-178600.52321950591</v>
      </c>
      <c r="AQ8" s="255">
        <f ca="1">IF(NOW(),_xll.mirSwapPV($C$3,$C$4,$C$6,$G8,$C$7,$I8+AQ$3,$C$16,$C$17,$C$18,$C$19,$C$20,$C$21,$C$22,$C$26,$C$27,$D$15,$D$16,$D$17,$D$18,$D$19,$D$20,$D$21,$D$22,$D$23,$D$24,$D$25,$D$26,$D$27,$C$8,$C$9,$C$10,$D$11,$C$12),"")</f>
        <v>-238134.03095934118</v>
      </c>
      <c r="AR8" s="255">
        <f ca="1">IF(NOW(),_xll.mirSwapPV($C$3,$C$4,$C$6,$G8,$C$7,$I8+AR$3,$C$16,$C$17,$C$18,$C$19,$C$20,$C$21,$C$22,$C$26,$C$27,$D$15,$D$16,$D$17,$D$18,$D$19,$D$20,$D$21,$D$22,$D$23,$D$24,$D$25,$D$26,$D$27,$C$8,$C$9,$C$10,$D$11,$C$12),"")</f>
        <v>-297667.53869917651</v>
      </c>
    </row>
    <row r="9" spans="2:44">
      <c r="B9" s="234" t="s">
        <v>434</v>
      </c>
      <c r="C9" s="235" t="s">
        <v>435</v>
      </c>
      <c r="D9" s="235"/>
      <c r="F9" s="224" t="s">
        <v>31</v>
      </c>
      <c r="G9" s="227">
        <f>_xll.mirGetDate($C$6,F9)</f>
        <v>44757</v>
      </c>
      <c r="H9" s="228">
        <f>'EUR Curve Config'!$AO14</f>
        <v>8.9020000000000002E-3</v>
      </c>
      <c r="I9" s="229">
        <f ca="1">IF(NOW(),_xll.mirGetParRate4($C$6,F9,$C$7,$C$16,$C$17,$C$18,$C$19,$C$20,$C$21,$C$22,$C$26,$C$27,$D$16,$D$17,$D$18,$D$19,$D$20,$D$21,$D$22,$D$23,$D$24,$D$25,$D$26,$D$27,$C$8,$C$9,$C$10,$C$11,$C$12),"")</f>
        <v>8.9019960214639336E-3</v>
      </c>
      <c r="J9" s="229">
        <f t="shared" ca="1" si="10"/>
        <v>-3.9785360665678393E-9</v>
      </c>
      <c r="K9" s="230">
        <f t="shared" ca="1" si="11"/>
        <v>-3.9785360665678393E-5</v>
      </c>
      <c r="L9" s="230" t="s">
        <v>12</v>
      </c>
      <c r="M9" s="230" t="s">
        <v>31</v>
      </c>
      <c r="N9" s="255">
        <f ca="1">IF(NOW(),_xll.mirSwapPV($C$3,$C$4,$C$6,$G9,$C$7,$I9+N$3,$C$16,$C$17,$C$18,$C$19,$C$20,$C$21,$C$22,$C$26,$C$27,$D$15,$D$16,$D$17,$D$18,$D$19,$D$20,$D$21,$D$22,$D$23,$D$24,$D$25,$D$26,$D$27,$C$8,$C$9,$C$10,$C$11,$C$12),"")</f>
        <v>345445.58092836302</v>
      </c>
      <c r="O9" s="255">
        <f ca="1">IF(NOW(),_xll.mirSwapPV($C$3,$C$4,$C$6,$G9,$C$7,$I9+O$3,$C$16,$C$17,$C$18,$C$19,$C$20,$C$21,$C$22,$C$26,$C$27,$D$15,$D$16,$D$17,$D$18,$D$19,$D$20,$D$21,$D$22,$D$23,$D$24,$D$25,$D$26,$D$27,$C$8,$C$9,$C$10,$C$11,$C$12),"")</f>
        <v>276356.46474269044</v>
      </c>
      <c r="P9" s="255">
        <f ca="1">IF(NOW(),_xll.mirSwapPV($C$3,$C$4,$C$6,$G9,$C$7,$I9+P$3,$C$16,$C$17,$C$18,$C$19,$C$20,$C$21,$C$22,$C$26,$C$27,$D$15,$D$16,$D$17,$D$18,$D$19,$D$20,$D$21,$D$22,$D$23,$D$24,$D$25,$D$26,$D$27,$C$8,$C$9,$C$10,$C$11,$C$12),"")</f>
        <v>207267.34855701777</v>
      </c>
      <c r="Q9" s="255">
        <f ca="1">IF(NOW(),_xll.mirSwapPV($C$3,$C$4,$C$6,$G9,$C$7,$I9+Q$3,$C$16,$C$17,$C$18,$C$19,$C$20,$C$21,$C$22,$C$26,$C$27,$D$15,$D$16,$D$17,$D$18,$D$19,$D$20,$D$21,$D$22,$D$23,$D$24,$D$25,$D$26,$D$27,$C$8,$C$9,$C$10,$C$11,$C$12),"")</f>
        <v>138178.23237134519</v>
      </c>
      <c r="R9" s="255">
        <f ca="1">IF(NOW(),_xll.mirSwapPV($C$3,$C$4,$C$6,$G9,$C$7,$I9+R$3,$C$16,$C$17,$C$18,$C$19,$C$20,$C$21,$C$22,$C$26,$C$27,$D$15,$D$16,$D$17,$D$18,$D$19,$D$20,$D$21,$D$22,$D$23,$D$24,$D$25,$D$26,$D$27,$C$8,$C$9,$C$10,$C$11,$C$12),"")</f>
        <v>69089.116185672581</v>
      </c>
      <c r="S9" s="255">
        <f ca="1">IF(NOW(),_xll.mirSwapPV($C$3,$C$4,$C$6,$G9,$C$7,$I9+S$3,$C$16,$C$17,$C$18,$C$19,$C$20,$C$21,$C$22,$C$26,$C$27,$D$15,$D$16,$D$17,$D$18,$D$19,$D$20,$D$21,$D$22,$D$23,$D$24,$D$25,$D$26,$D$27,$C$8,$C$9,$C$10,$C$11,$C$12),"")</f>
        <v>6.9388939039072284E-12</v>
      </c>
      <c r="T9" s="255">
        <f ca="1">IF(NOW(),_xll.mirSwapPV($C$3,$C$4,$C$6,$G9,$C$7,$I9+T$3,$C$16,$C$17,$C$18,$C$19,$C$20,$C$21,$C$22,$C$26,$C$27,$D$15,$D$16,$D$17,$D$18,$D$19,$D$20,$D$21,$D$22,$D$23,$D$24,$D$25,$D$26,$D$27,$C$8,$C$9,$C$10,$C$11,$C$12),"")</f>
        <v>-69089.116185672581</v>
      </c>
      <c r="U9" s="255">
        <f ca="1">IF(NOW(),_xll.mirSwapPV($C$3,$C$4,$C$6,$G9,$C$7,$I9+U$3,$C$16,$C$17,$C$18,$C$19,$C$20,$C$21,$C$22,$C$26,$C$27,$D$15,$D$16,$D$17,$D$18,$D$19,$D$20,$D$21,$D$22,$D$23,$D$24,$D$25,$D$26,$D$27,$C$8,$C$9,$C$10,$C$11,$C$12),"")</f>
        <v>-138178.23237134519</v>
      </c>
      <c r="V9" s="255">
        <f ca="1">IF(NOW(),_xll.mirSwapPV($C$3,$C$4,$C$6,$G9,$C$7,$I9+V$3,$C$16,$C$17,$C$18,$C$19,$C$20,$C$21,$C$22,$C$26,$C$27,$D$15,$D$16,$D$17,$D$18,$D$19,$D$20,$D$21,$D$22,$D$23,$D$24,$D$25,$D$26,$D$27,$C$8,$C$9,$C$10,$C$11,$C$12),"")</f>
        <v>-207267.34855701777</v>
      </c>
      <c r="W9" s="255">
        <f ca="1">IF(NOW(),_xll.mirSwapPV($C$3,$C$4,$C$6,$G9,$C$7,$I9+W$3,$C$16,$C$17,$C$18,$C$19,$C$20,$C$21,$C$22,$C$26,$C$27,$D$15,$D$16,$D$17,$D$18,$D$19,$D$20,$D$21,$D$22,$D$23,$D$24,$D$25,$D$26,$D$27,$C$8,$C$9,$C$10,$C$11,$C$12),"")</f>
        <v>-276356.46474269038</v>
      </c>
      <c r="X9" s="255">
        <f ca="1">IF(NOW(),_xll.mirSwapPV($C$3,$C$4,$C$6,$G9,$C$7,$I9+X$3,$C$16,$C$17,$C$18,$C$19,$C$20,$C$21,$C$22,$C$26,$C$27,$D$15,$D$16,$D$17,$D$18,$D$19,$D$20,$D$21,$D$22,$D$23,$D$24,$D$25,$D$26,$D$27,$C$8,$C$9,$C$10,$C$11,$C$12),"")</f>
        <v>-345445.58092836302</v>
      </c>
      <c r="Y9" s="230" t="s">
        <v>12</v>
      </c>
      <c r="Z9" s="224" t="s">
        <v>31</v>
      </c>
      <c r="AA9" s="227">
        <f>_xll.mirGetDate($C$6,Z9)</f>
        <v>44757</v>
      </c>
      <c r="AB9" s="228">
        <f>'EUR Curve Config'!$AO14</f>
        <v>8.9020000000000002E-3</v>
      </c>
      <c r="AC9" s="229">
        <f ca="1">IF(NOW(),_xll.mirGetParRate4($C$6,Z9,$C$7,$C$16,$C$17,$C$18,$C$19,$C$20,$C$21,$C$22,$C$26,$C$27,$D$16,$D$17,$D$18,$D$19,$D$20,$D$21,$D$22,$D$23,$D$24,$D$25,$D$26,$D$27,$C$8,$C$9,$C$10,$D$11,$C$12),"")</f>
        <v>8.9019960214639319E-3</v>
      </c>
      <c r="AD9" s="229">
        <f t="shared" ca="1" si="12"/>
        <v>-3.9785360683025628E-9</v>
      </c>
      <c r="AE9" s="230">
        <f t="shared" ca="1" si="13"/>
        <v>-3.9785360683025628E-5</v>
      </c>
      <c r="AG9" s="230" t="s">
        <v>31</v>
      </c>
      <c r="AH9" s="255">
        <f ca="1">IF(NOW(),_xll.mirSwapPV($C$3,$C$4,$C$6,$G9,$C$7,$I9+AH$3,$C$16,$C$17,$C$18,$C$19,$C$20,$C$21,$C$22,$C$26,$C$27,$D$15,$D$16,$D$17,$D$18,$D$19,$D$20,$D$21,$D$22,$D$23,$D$24,$D$25,$D$26,$D$27,$C$8,$C$9,$C$10,$D$11,$C$12),"")</f>
        <v>345445.58092836296</v>
      </c>
      <c r="AI9" s="255">
        <f ca="1">IF(NOW(),_xll.mirSwapPV($C$3,$C$4,$C$6,$G9,$C$7,$I9+AI$3,$C$16,$C$17,$C$18,$C$19,$C$20,$C$21,$C$22,$C$26,$C$27,$D$15,$D$16,$D$17,$D$18,$D$19,$D$20,$D$21,$D$22,$D$23,$D$24,$D$25,$D$26,$D$27,$C$8,$C$9,$C$10,$D$11,$C$12),"")</f>
        <v>276356.46474269038</v>
      </c>
      <c r="AJ9" s="255">
        <f ca="1">IF(NOW(),_xll.mirSwapPV($C$3,$C$4,$C$6,$G9,$C$7,$I9+AJ$3,$C$16,$C$17,$C$18,$C$19,$C$20,$C$21,$C$22,$C$26,$C$27,$D$15,$D$16,$D$17,$D$18,$D$19,$D$20,$D$21,$D$22,$D$23,$D$24,$D$25,$D$26,$D$27,$C$8,$C$9,$C$10,$D$11,$C$12),"")</f>
        <v>207267.34855701777</v>
      </c>
      <c r="AK9" s="255">
        <f ca="1">IF(NOW(),_xll.mirSwapPV($C$3,$C$4,$C$6,$G9,$C$7,$I9+AK$3,$C$16,$C$17,$C$18,$C$19,$C$20,$C$21,$C$22,$C$26,$C$27,$D$15,$D$16,$D$17,$D$18,$D$19,$D$20,$D$21,$D$22,$D$23,$D$24,$D$25,$D$26,$D$27,$C$8,$C$9,$C$10,$D$11,$C$12),"")</f>
        <v>138178.23237134519</v>
      </c>
      <c r="AL9" s="255">
        <f ca="1">IF(NOW(),_xll.mirSwapPV($C$3,$C$4,$C$6,$G9,$C$7,$I9+AL$3,$C$16,$C$17,$C$18,$C$19,$C$20,$C$21,$C$22,$C$26,$C$27,$D$15,$D$16,$D$17,$D$18,$D$19,$D$20,$D$21,$D$22,$D$23,$D$24,$D$25,$D$26,$D$27,$C$8,$C$9,$C$10,$D$11,$C$12),"")</f>
        <v>69089.116185672567</v>
      </c>
      <c r="AM9" s="255">
        <f ca="1">IF(NOW(),_xll.mirSwapPV($C$3,$C$4,$C$6,$G9,$C$7,$I9+AM$3,$C$16,$C$17,$C$18,$C$19,$C$20,$C$21,$C$22,$C$26,$C$27,$D$15,$D$16,$D$17,$D$18,$D$19,$D$20,$D$21,$D$22,$D$23,$D$24,$D$25,$D$26,$D$27,$C$8,$C$9,$C$10,$D$11,$C$12),"")</f>
        <v>-6.9388939039072284E-12</v>
      </c>
      <c r="AN9" s="255">
        <f ca="1">IF(NOW(),_xll.mirSwapPV($C$3,$C$4,$C$6,$G9,$C$7,$I9+AN$3,$C$16,$C$17,$C$18,$C$19,$C$20,$C$21,$C$22,$C$26,$C$27,$D$15,$D$16,$D$17,$D$18,$D$19,$D$20,$D$21,$D$22,$D$23,$D$24,$D$25,$D$26,$D$27,$C$8,$C$9,$C$10,$D$11,$C$12),"")</f>
        <v>-69089.116185672596</v>
      </c>
      <c r="AO9" s="255">
        <f ca="1">IF(NOW(),_xll.mirSwapPV($C$3,$C$4,$C$6,$G9,$C$7,$I9+AO$3,$C$16,$C$17,$C$18,$C$19,$C$20,$C$21,$C$22,$C$26,$C$27,$D$15,$D$16,$D$17,$D$18,$D$19,$D$20,$D$21,$D$22,$D$23,$D$24,$D$25,$D$26,$D$27,$C$8,$C$9,$C$10,$D$11,$C$12),"")</f>
        <v>-138178.23237134522</v>
      </c>
      <c r="AP9" s="255">
        <f ca="1">IF(NOW(),_xll.mirSwapPV($C$3,$C$4,$C$6,$G9,$C$7,$I9+AP$3,$C$16,$C$17,$C$18,$C$19,$C$20,$C$21,$C$22,$C$26,$C$27,$D$15,$D$16,$D$17,$D$18,$D$19,$D$20,$D$21,$D$22,$D$23,$D$24,$D$25,$D$26,$D$27,$C$8,$C$9,$C$10,$D$11,$C$12),"")</f>
        <v>-207267.3485570178</v>
      </c>
      <c r="AQ9" s="255">
        <f ca="1">IF(NOW(),_xll.mirSwapPV($C$3,$C$4,$C$6,$G9,$C$7,$I9+AQ$3,$C$16,$C$17,$C$18,$C$19,$C$20,$C$21,$C$22,$C$26,$C$27,$D$15,$D$16,$D$17,$D$18,$D$19,$D$20,$D$21,$D$22,$D$23,$D$24,$D$25,$D$26,$D$27,$C$8,$C$9,$C$10,$D$11,$C$12),"")</f>
        <v>-276356.46474269038</v>
      </c>
      <c r="AR9" s="255">
        <f ca="1">IF(NOW(),_xll.mirSwapPV($C$3,$C$4,$C$6,$G9,$C$7,$I9+AR$3,$C$16,$C$17,$C$18,$C$19,$C$20,$C$21,$C$22,$C$26,$C$27,$D$15,$D$16,$D$17,$D$18,$D$19,$D$20,$D$21,$D$22,$D$23,$D$24,$D$25,$D$26,$D$27,$C$8,$C$9,$C$10,$D$11,$C$12),"")</f>
        <v>-345445.58092836308</v>
      </c>
    </row>
    <row r="10" spans="2:44">
      <c r="B10" s="234" t="s">
        <v>436</v>
      </c>
      <c r="C10" s="235" t="s">
        <v>201</v>
      </c>
      <c r="D10" s="235"/>
      <c r="F10" s="224" t="s">
        <v>119</v>
      </c>
      <c r="G10" s="227">
        <f>_xll.mirGetDate($C$6,F10)</f>
        <v>45122</v>
      </c>
      <c r="H10" s="228">
        <f>'EUR Curve Config'!$AO15</f>
        <v>1.038E-2</v>
      </c>
      <c r="I10" s="229">
        <f ca="1">IF(NOW(),_xll.mirGetParRate4($C$6,F10,$C$7,$C$16,$C$17,$C$18,$C$19,$C$20,$C$21,$C$22,$C$26,$C$27,$D$16,$D$17,$D$18,$D$19,$D$20,$D$21,$D$22,$D$23,$D$24,$D$25,$D$26,$D$27,$C$8,$C$9,$C$10,$C$11,$C$12),"")</f>
        <v>1.0379997229105721E-2</v>
      </c>
      <c r="J10" s="229">
        <f t="shared" ca="1" si="10"/>
        <v>-2.770894279649494E-9</v>
      </c>
      <c r="K10" s="230">
        <f t="shared" ca="1" si="11"/>
        <v>-2.770894279649494E-5</v>
      </c>
      <c r="L10" s="230" t="s">
        <v>12</v>
      </c>
      <c r="M10" s="230" t="s">
        <v>119</v>
      </c>
      <c r="N10" s="255">
        <f ca="1">IF(NOW(),_xll.mirSwapPV($C$3,$C$4,$C$6,$G10,$C$7,$I10+N$3,$C$16,$C$17,$C$18,$C$19,$C$20,$C$21,$C$22,$C$26,$C$27,$D$15,$D$16,$D$17,$D$18,$D$19,$D$20,$D$21,$D$22,$D$23,$D$24,$D$25,$D$26,$D$27,$C$8,$C$9,$C$10,$C$11,$C$12),"")</f>
        <v>392585.59739955037</v>
      </c>
      <c r="O10" s="255">
        <f ca="1">IF(NOW(),_xll.mirSwapPV($C$3,$C$4,$C$6,$G10,$C$7,$I10+O$3,$C$16,$C$17,$C$18,$C$19,$C$20,$C$21,$C$22,$C$26,$C$27,$D$15,$D$16,$D$17,$D$18,$D$19,$D$20,$D$21,$D$22,$D$23,$D$24,$D$25,$D$26,$D$27,$C$8,$C$9,$C$10,$C$11,$C$12),"")</f>
        <v>314068.47791964019</v>
      </c>
      <c r="P10" s="255">
        <f ca="1">IF(NOW(),_xll.mirSwapPV($C$3,$C$4,$C$6,$G10,$C$7,$I10+P$3,$C$16,$C$17,$C$18,$C$19,$C$20,$C$21,$C$22,$C$26,$C$27,$D$15,$D$16,$D$17,$D$18,$D$19,$D$20,$D$21,$D$22,$D$23,$D$24,$D$25,$D$26,$D$27,$C$8,$C$9,$C$10,$C$11,$C$12),"")</f>
        <v>235551.35843973019</v>
      </c>
      <c r="Q10" s="255">
        <f ca="1">IF(NOW(),_xll.mirSwapPV($C$3,$C$4,$C$6,$G10,$C$7,$I10+Q$3,$C$16,$C$17,$C$18,$C$19,$C$20,$C$21,$C$22,$C$26,$C$27,$D$15,$D$16,$D$17,$D$18,$D$19,$D$20,$D$21,$D$22,$D$23,$D$24,$D$25,$D$26,$D$27,$C$8,$C$9,$C$10,$C$11,$C$12),"")</f>
        <v>157034.2389598201</v>
      </c>
      <c r="R10" s="255">
        <f ca="1">IF(NOW(),_xll.mirSwapPV($C$3,$C$4,$C$6,$G10,$C$7,$I10+R$3,$C$16,$C$17,$C$18,$C$19,$C$20,$C$21,$C$22,$C$26,$C$27,$D$15,$D$16,$D$17,$D$18,$D$19,$D$20,$D$21,$D$22,$D$23,$D$24,$D$25,$D$26,$D$27,$C$8,$C$9,$C$10,$C$11,$C$12),"")</f>
        <v>78517.119479910034</v>
      </c>
      <c r="S10" s="255">
        <f ca="1">IF(NOW(),_xll.mirSwapPV($C$3,$C$4,$C$6,$G10,$C$7,$I10+S$3,$C$16,$C$17,$C$18,$C$19,$C$20,$C$21,$C$22,$C$26,$C$27,$D$15,$D$16,$D$17,$D$18,$D$19,$D$20,$D$21,$D$22,$D$23,$D$24,$D$25,$D$26,$D$27,$C$8,$C$9,$C$10,$C$11,$C$12),"")</f>
        <v>0</v>
      </c>
      <c r="T10" s="255">
        <f ca="1">IF(NOW(),_xll.mirSwapPV($C$3,$C$4,$C$6,$G10,$C$7,$I10+T$3,$C$16,$C$17,$C$18,$C$19,$C$20,$C$21,$C$22,$C$26,$C$27,$D$15,$D$16,$D$17,$D$18,$D$19,$D$20,$D$21,$D$22,$D$23,$D$24,$D$25,$D$26,$D$27,$C$8,$C$9,$C$10,$C$11,$C$12),"")</f>
        <v>-78517.119479910078</v>
      </c>
      <c r="U10" s="255">
        <f ca="1">IF(NOW(),_xll.mirSwapPV($C$3,$C$4,$C$6,$G10,$C$7,$I10+U$3,$C$16,$C$17,$C$18,$C$19,$C$20,$C$21,$C$22,$C$26,$C$27,$D$15,$D$16,$D$17,$D$18,$D$19,$D$20,$D$21,$D$22,$D$23,$D$24,$D$25,$D$26,$D$27,$C$8,$C$9,$C$10,$C$11,$C$12),"")</f>
        <v>-157034.23895982013</v>
      </c>
      <c r="V10" s="255">
        <f ca="1">IF(NOW(),_xll.mirSwapPV($C$3,$C$4,$C$6,$G10,$C$7,$I10+V$3,$C$16,$C$17,$C$18,$C$19,$C$20,$C$21,$C$22,$C$26,$C$27,$D$15,$D$16,$D$17,$D$18,$D$19,$D$20,$D$21,$D$22,$D$23,$D$24,$D$25,$D$26,$D$27,$C$8,$C$9,$C$10,$C$11,$C$12),"")</f>
        <v>-235551.35843973019</v>
      </c>
      <c r="W10" s="255">
        <f ca="1">IF(NOW(),_xll.mirSwapPV($C$3,$C$4,$C$6,$G10,$C$7,$I10+W$3,$C$16,$C$17,$C$18,$C$19,$C$20,$C$21,$C$22,$C$26,$C$27,$D$15,$D$16,$D$17,$D$18,$D$19,$D$20,$D$21,$D$22,$D$23,$D$24,$D$25,$D$26,$D$27,$C$8,$C$9,$C$10,$C$11,$C$12),"")</f>
        <v>-314068.47791964025</v>
      </c>
      <c r="X10" s="255">
        <f ca="1">IF(NOW(),_xll.mirSwapPV($C$3,$C$4,$C$6,$G10,$C$7,$I10+X$3,$C$16,$C$17,$C$18,$C$19,$C$20,$C$21,$C$22,$C$26,$C$27,$D$15,$D$16,$D$17,$D$18,$D$19,$D$20,$D$21,$D$22,$D$23,$D$24,$D$25,$D$26,$D$27,$C$8,$C$9,$C$10,$C$11,$C$12),"")</f>
        <v>-392585.59739955037</v>
      </c>
      <c r="Y10" s="230" t="s">
        <v>12</v>
      </c>
      <c r="Z10" s="224" t="s">
        <v>119</v>
      </c>
      <c r="AA10" s="227">
        <f>_xll.mirGetDate($C$6,Z10)</f>
        <v>45122</v>
      </c>
      <c r="AB10" s="228">
        <f>'EUR Curve Config'!$AO15</f>
        <v>1.038E-2</v>
      </c>
      <c r="AC10" s="229">
        <f ca="1">IF(NOW(),_xll.mirGetParRate4($C$6,Z10,$C$7,$C$16,$C$17,$C$18,$C$19,$C$20,$C$21,$C$22,$C$26,$C$27,$D$16,$D$17,$D$18,$D$19,$D$20,$D$21,$D$22,$D$23,$D$24,$D$25,$D$26,$D$27,$C$8,$C$9,$C$10,$D$11,$C$12),"")</f>
        <v>1.0379997229105728E-2</v>
      </c>
      <c r="AD10" s="229">
        <f t="shared" ca="1" si="12"/>
        <v>-2.7708942727106001E-9</v>
      </c>
      <c r="AE10" s="230">
        <f t="shared" ca="1" si="13"/>
        <v>-2.7708942727106001E-5</v>
      </c>
      <c r="AG10" s="230" t="s">
        <v>119</v>
      </c>
      <c r="AH10" s="255">
        <f ca="1">IF(NOW(),_xll.mirSwapPV($C$3,$C$4,$C$6,$G10,$C$7,$I10+AH$3,$C$16,$C$17,$C$18,$C$19,$C$20,$C$21,$C$22,$C$26,$C$27,$D$15,$D$16,$D$17,$D$18,$D$19,$D$20,$D$21,$D$22,$D$23,$D$24,$D$25,$D$26,$D$27,$C$8,$C$9,$C$10,$D$11,$C$12),"")</f>
        <v>392585.59739955037</v>
      </c>
      <c r="AI10" s="255">
        <f ca="1">IF(NOW(),_xll.mirSwapPV($C$3,$C$4,$C$6,$G10,$C$7,$I10+AI$3,$C$16,$C$17,$C$18,$C$19,$C$20,$C$21,$C$22,$C$26,$C$27,$D$15,$D$16,$D$17,$D$18,$D$19,$D$20,$D$21,$D$22,$D$23,$D$24,$D$25,$D$26,$D$27,$C$8,$C$9,$C$10,$D$11,$C$12),"")</f>
        <v>314068.47791964031</v>
      </c>
      <c r="AJ10" s="255">
        <f ca="1">IF(NOW(),_xll.mirSwapPV($C$3,$C$4,$C$6,$G10,$C$7,$I10+AJ$3,$C$16,$C$17,$C$18,$C$19,$C$20,$C$21,$C$22,$C$26,$C$27,$D$15,$D$16,$D$17,$D$18,$D$19,$D$20,$D$21,$D$22,$D$23,$D$24,$D$25,$D$26,$D$27,$C$8,$C$9,$C$10,$D$11,$C$12),"")</f>
        <v>235551.35843973025</v>
      </c>
      <c r="AK10" s="255">
        <f ca="1">IF(NOW(),_xll.mirSwapPV($C$3,$C$4,$C$6,$G10,$C$7,$I10+AK$3,$C$16,$C$17,$C$18,$C$19,$C$20,$C$21,$C$22,$C$26,$C$27,$D$15,$D$16,$D$17,$D$18,$D$19,$D$20,$D$21,$D$22,$D$23,$D$24,$D$25,$D$26,$D$27,$C$8,$C$9,$C$10,$D$11,$C$12),"")</f>
        <v>157034.23895982016</v>
      </c>
      <c r="AL10" s="255">
        <f ca="1">IF(NOW(),_xll.mirSwapPV($C$3,$C$4,$C$6,$G10,$C$7,$I10+AL$3,$C$16,$C$17,$C$18,$C$19,$C$20,$C$21,$C$22,$C$26,$C$27,$D$15,$D$16,$D$17,$D$18,$D$19,$D$20,$D$21,$D$22,$D$23,$D$24,$D$25,$D$26,$D$27,$C$8,$C$9,$C$10,$D$11,$C$12),"")</f>
        <v>78517.119479910092</v>
      </c>
      <c r="AM10" s="255">
        <f ca="1">IF(NOW(),_xll.mirSwapPV($C$3,$C$4,$C$6,$G10,$C$7,$I10+AM$3,$C$16,$C$17,$C$18,$C$19,$C$20,$C$21,$C$22,$C$26,$C$27,$D$15,$D$16,$D$17,$D$18,$D$19,$D$20,$D$21,$D$22,$D$23,$D$24,$D$25,$D$26,$D$27,$C$8,$C$9,$C$10,$D$11,$C$12),"")</f>
        <v>5.5511151231257827E-11</v>
      </c>
      <c r="AN10" s="255">
        <f ca="1">IF(NOW(),_xll.mirSwapPV($C$3,$C$4,$C$6,$G10,$C$7,$I10+AN$3,$C$16,$C$17,$C$18,$C$19,$C$20,$C$21,$C$22,$C$26,$C$27,$D$15,$D$16,$D$17,$D$18,$D$19,$D$20,$D$21,$D$22,$D$23,$D$24,$D$25,$D$26,$D$27,$C$8,$C$9,$C$10,$D$11,$C$12),"")</f>
        <v>-78517.119479910019</v>
      </c>
      <c r="AO10" s="255">
        <f ca="1">IF(NOW(),_xll.mirSwapPV($C$3,$C$4,$C$6,$G10,$C$7,$I10+AO$3,$C$16,$C$17,$C$18,$C$19,$C$20,$C$21,$C$22,$C$26,$C$27,$D$15,$D$16,$D$17,$D$18,$D$19,$D$20,$D$21,$D$22,$D$23,$D$24,$D$25,$D$26,$D$27,$C$8,$C$9,$C$10,$D$11,$C$12),"")</f>
        <v>-157034.23895982007</v>
      </c>
      <c r="AP10" s="255">
        <f ca="1">IF(NOW(),_xll.mirSwapPV($C$3,$C$4,$C$6,$G10,$C$7,$I10+AP$3,$C$16,$C$17,$C$18,$C$19,$C$20,$C$21,$C$22,$C$26,$C$27,$D$15,$D$16,$D$17,$D$18,$D$19,$D$20,$D$21,$D$22,$D$23,$D$24,$D$25,$D$26,$D$27,$C$8,$C$9,$C$10,$D$11,$C$12),"")</f>
        <v>-235551.35843973013</v>
      </c>
      <c r="AQ10" s="255">
        <f ca="1">IF(NOW(),_xll.mirSwapPV($C$3,$C$4,$C$6,$G10,$C$7,$I10+AQ$3,$C$16,$C$17,$C$18,$C$19,$C$20,$C$21,$C$22,$C$26,$C$27,$D$15,$D$16,$D$17,$D$18,$D$19,$D$20,$D$21,$D$22,$D$23,$D$24,$D$25,$D$26,$D$27,$C$8,$C$9,$C$10,$D$11,$C$12),"")</f>
        <v>-314068.47791964019</v>
      </c>
      <c r="AR10" s="255">
        <f ca="1">IF(NOW(),_xll.mirSwapPV($C$3,$C$4,$C$6,$G10,$C$7,$I10+AR$3,$C$16,$C$17,$C$18,$C$19,$C$20,$C$21,$C$22,$C$26,$C$27,$D$15,$D$16,$D$17,$D$18,$D$19,$D$20,$D$21,$D$22,$D$23,$D$24,$D$25,$D$26,$D$27,$C$8,$C$9,$C$10,$D$11,$C$12),"")</f>
        <v>-392585.59739955032</v>
      </c>
    </row>
    <row r="11" spans="2:44">
      <c r="B11" s="234" t="s">
        <v>437</v>
      </c>
      <c r="C11" s="236" t="b">
        <v>1</v>
      </c>
      <c r="D11" s="236" t="b">
        <v>0</v>
      </c>
      <c r="F11" s="224" t="s">
        <v>113</v>
      </c>
      <c r="G11" s="227">
        <f>_xll.mirGetDate($C$6,F11)</f>
        <v>45488</v>
      </c>
      <c r="H11" s="228">
        <f>'EUR Curve Config'!$AO16</f>
        <v>1.171E-2</v>
      </c>
      <c r="I11" s="229">
        <f ca="1">IF(NOW(),_xll.mirGetParRate4($C$6,F11,$C$7,$C$16,$C$17,$C$18,$C$19,$C$20,$C$21,$C$22,$C$26,$C$27,$D$16,$D$17,$D$18,$D$19,$D$20,$D$21,$D$22,$D$23,$D$24,$D$25,$D$26,$D$27,$C$8,$C$9,$C$10,$C$11,$C$12),"")</f>
        <v>1.1709995961894653E-2</v>
      </c>
      <c r="J11" s="229">
        <f t="shared" ca="1" si="10"/>
        <v>-4.0381053466320704E-9</v>
      </c>
      <c r="K11" s="230">
        <f t="shared" ca="1" si="11"/>
        <v>-4.0381053466320704E-5</v>
      </c>
      <c r="L11" s="230" t="s">
        <v>12</v>
      </c>
      <c r="M11" s="230" t="s">
        <v>113</v>
      </c>
      <c r="N11" s="255">
        <f ca="1">IF(NOW(),_xll.mirSwapPV($C$3,$C$4,$C$6,$G11,$C$7,$I11+N$3,$C$16,$C$17,$C$18,$C$19,$C$20,$C$21,$C$22,$C$26,$C$27,$D$15,$D$16,$D$17,$D$18,$D$19,$D$20,$D$21,$D$22,$D$23,$D$24,$D$25,$D$26,$D$27,$C$8,$C$9,$C$10,$C$11,$C$12),"")</f>
        <v>438252.52539896447</v>
      </c>
      <c r="O11" s="255">
        <f ca="1">IF(NOW(),_xll.mirSwapPV($C$3,$C$4,$C$6,$G11,$C$7,$I11+O$3,$C$16,$C$17,$C$18,$C$19,$C$20,$C$21,$C$22,$C$26,$C$27,$D$15,$D$16,$D$17,$D$18,$D$19,$D$20,$D$21,$D$22,$D$23,$D$24,$D$25,$D$26,$D$27,$C$8,$C$9,$C$10,$C$11,$C$12),"")</f>
        <v>350602.02031917154</v>
      </c>
      <c r="P11" s="255">
        <f ca="1">IF(NOW(),_xll.mirSwapPV($C$3,$C$4,$C$6,$G11,$C$7,$I11+P$3,$C$16,$C$17,$C$18,$C$19,$C$20,$C$21,$C$22,$C$26,$C$27,$D$15,$D$16,$D$17,$D$18,$D$19,$D$20,$D$21,$D$22,$D$23,$D$24,$D$25,$D$26,$D$27,$C$8,$C$9,$C$10,$C$11,$C$12),"")</f>
        <v>262951.51523937867</v>
      </c>
      <c r="Q11" s="255">
        <f ca="1">IF(NOW(),_xll.mirSwapPV($C$3,$C$4,$C$6,$G11,$C$7,$I11+Q$3,$C$16,$C$17,$C$18,$C$19,$C$20,$C$21,$C$22,$C$26,$C$27,$D$15,$D$16,$D$17,$D$18,$D$19,$D$20,$D$21,$D$22,$D$23,$D$24,$D$25,$D$26,$D$27,$C$8,$C$9,$C$10,$C$11,$C$12),"")</f>
        <v>175301.01015958577</v>
      </c>
      <c r="R11" s="255">
        <f ca="1">IF(NOW(),_xll.mirSwapPV($C$3,$C$4,$C$6,$G11,$C$7,$I11+R$3,$C$16,$C$17,$C$18,$C$19,$C$20,$C$21,$C$22,$C$26,$C$27,$D$15,$D$16,$D$17,$D$18,$D$19,$D$20,$D$21,$D$22,$D$23,$D$24,$D$25,$D$26,$D$27,$C$8,$C$9,$C$10,$C$11,$C$12),"")</f>
        <v>87650.505079792856</v>
      </c>
      <c r="S11" s="255">
        <f ca="1">IF(NOW(),_xll.mirSwapPV($C$3,$C$4,$C$6,$G11,$C$7,$I11+S$3,$C$16,$C$17,$C$18,$C$19,$C$20,$C$21,$C$22,$C$26,$C$27,$D$15,$D$16,$D$17,$D$18,$D$19,$D$20,$D$21,$D$22,$D$23,$D$24,$D$25,$D$26,$D$27,$C$8,$C$9,$C$10,$C$11,$C$12),"")</f>
        <v>-1.3877787807814457E-11</v>
      </c>
      <c r="T11" s="255">
        <f ca="1">IF(NOW(),_xll.mirSwapPV($C$3,$C$4,$C$6,$G11,$C$7,$I11+T$3,$C$16,$C$17,$C$18,$C$19,$C$20,$C$21,$C$22,$C$26,$C$27,$D$15,$D$16,$D$17,$D$18,$D$19,$D$20,$D$21,$D$22,$D$23,$D$24,$D$25,$D$26,$D$27,$C$8,$C$9,$C$10,$C$11,$C$12),"")</f>
        <v>-87650.5050797929</v>
      </c>
      <c r="U11" s="255">
        <f ca="1">IF(NOW(),_xll.mirSwapPV($C$3,$C$4,$C$6,$G11,$C$7,$I11+U$3,$C$16,$C$17,$C$18,$C$19,$C$20,$C$21,$C$22,$C$26,$C$27,$D$15,$D$16,$D$17,$D$18,$D$19,$D$20,$D$21,$D$22,$D$23,$D$24,$D$25,$D$26,$D$27,$C$8,$C$9,$C$10,$C$11,$C$12),"")</f>
        <v>-175301.01015958577</v>
      </c>
      <c r="V11" s="255">
        <f ca="1">IF(NOW(),_xll.mirSwapPV($C$3,$C$4,$C$6,$G11,$C$7,$I11+V$3,$C$16,$C$17,$C$18,$C$19,$C$20,$C$21,$C$22,$C$26,$C$27,$D$15,$D$16,$D$17,$D$18,$D$19,$D$20,$D$21,$D$22,$D$23,$D$24,$D$25,$D$26,$D$27,$C$8,$C$9,$C$10,$C$11,$C$12),"")</f>
        <v>-262951.51523937873</v>
      </c>
      <c r="W11" s="255">
        <f ca="1">IF(NOW(),_xll.mirSwapPV($C$3,$C$4,$C$6,$G11,$C$7,$I11+W$3,$C$16,$C$17,$C$18,$C$19,$C$20,$C$21,$C$22,$C$26,$C$27,$D$15,$D$16,$D$17,$D$18,$D$19,$D$20,$D$21,$D$22,$D$23,$D$24,$D$25,$D$26,$D$27,$C$8,$C$9,$C$10,$C$11,$C$12),"")</f>
        <v>-350602.0203191716</v>
      </c>
      <c r="X11" s="255">
        <f ca="1">IF(NOW(),_xll.mirSwapPV($C$3,$C$4,$C$6,$G11,$C$7,$I11+X$3,$C$16,$C$17,$C$18,$C$19,$C$20,$C$21,$C$22,$C$26,$C$27,$D$15,$D$16,$D$17,$D$18,$D$19,$D$20,$D$21,$D$22,$D$23,$D$24,$D$25,$D$26,$D$27,$C$8,$C$9,$C$10,$C$11,$C$12),"")</f>
        <v>-438252.52539896447</v>
      </c>
      <c r="Y11" s="230" t="s">
        <v>12</v>
      </c>
      <c r="Z11" s="224" t="s">
        <v>113</v>
      </c>
      <c r="AA11" s="227">
        <f>_xll.mirGetDate($C$6,Z11)</f>
        <v>45488</v>
      </c>
      <c r="AB11" s="228">
        <f>'EUR Curve Config'!$AO16</f>
        <v>1.171E-2</v>
      </c>
      <c r="AC11" s="229">
        <f ca="1">IF(NOW(),_xll.mirGetParRate4($C$6,Z11,$C$7,$C$16,$C$17,$C$18,$C$19,$C$20,$C$21,$C$22,$C$26,$C$27,$D$16,$D$17,$D$18,$D$19,$D$20,$D$21,$D$22,$D$23,$D$24,$D$25,$D$26,$D$27,$C$8,$C$9,$C$10,$D$11,$C$12),"")</f>
        <v>1.1709995961894643E-2</v>
      </c>
      <c r="AD11" s="229">
        <f t="shared" ca="1" si="12"/>
        <v>-4.0381053570404113E-9</v>
      </c>
      <c r="AE11" s="230">
        <f t="shared" ca="1" si="13"/>
        <v>-4.0381053570404113E-5</v>
      </c>
      <c r="AG11" s="230" t="s">
        <v>113</v>
      </c>
      <c r="AH11" s="255">
        <f ca="1">IF(NOW(),_xll.mirSwapPV($C$3,$C$4,$C$6,$G11,$C$7,$I11+AH$3,$C$16,$C$17,$C$18,$C$19,$C$20,$C$21,$C$22,$C$26,$C$27,$D$15,$D$16,$D$17,$D$18,$D$19,$D$20,$D$21,$D$22,$D$23,$D$24,$D$25,$D$26,$D$27,$C$8,$C$9,$C$10,$D$11,$C$12),"")</f>
        <v>438252.52539896441</v>
      </c>
      <c r="AI11" s="255">
        <f ca="1">IF(NOW(),_xll.mirSwapPV($C$3,$C$4,$C$6,$G11,$C$7,$I11+AI$3,$C$16,$C$17,$C$18,$C$19,$C$20,$C$21,$C$22,$C$26,$C$27,$D$15,$D$16,$D$17,$D$18,$D$19,$D$20,$D$21,$D$22,$D$23,$D$24,$D$25,$D$26,$D$27,$C$8,$C$9,$C$10,$D$11,$C$12),"")</f>
        <v>350602.02031917148</v>
      </c>
      <c r="AJ11" s="255">
        <f ca="1">IF(NOW(),_xll.mirSwapPV($C$3,$C$4,$C$6,$G11,$C$7,$I11+AJ$3,$C$16,$C$17,$C$18,$C$19,$C$20,$C$21,$C$22,$C$26,$C$27,$D$15,$D$16,$D$17,$D$18,$D$19,$D$20,$D$21,$D$22,$D$23,$D$24,$D$25,$D$26,$D$27,$C$8,$C$9,$C$10,$D$11,$C$12),"")</f>
        <v>262951.51523937855</v>
      </c>
      <c r="AK11" s="255">
        <f ca="1">IF(NOW(),_xll.mirSwapPV($C$3,$C$4,$C$6,$G11,$C$7,$I11+AK$3,$C$16,$C$17,$C$18,$C$19,$C$20,$C$21,$C$22,$C$26,$C$27,$D$15,$D$16,$D$17,$D$18,$D$19,$D$20,$D$21,$D$22,$D$23,$D$24,$D$25,$D$26,$D$27,$C$8,$C$9,$C$10,$D$11,$C$12),"")</f>
        <v>175301.01015958565</v>
      </c>
      <c r="AL11" s="255">
        <f ca="1">IF(NOW(),_xll.mirSwapPV($C$3,$C$4,$C$6,$G11,$C$7,$I11+AL$3,$C$16,$C$17,$C$18,$C$19,$C$20,$C$21,$C$22,$C$26,$C$27,$D$15,$D$16,$D$17,$D$18,$D$19,$D$20,$D$21,$D$22,$D$23,$D$24,$D$25,$D$26,$D$27,$C$8,$C$9,$C$10,$D$11,$C$12),"")</f>
        <v>87650.505079792769</v>
      </c>
      <c r="AM11" s="255">
        <f ca="1">IF(NOW(),_xll.mirSwapPV($C$3,$C$4,$C$6,$G11,$C$7,$I11+AM$3,$C$16,$C$17,$C$18,$C$19,$C$20,$C$21,$C$22,$C$26,$C$27,$D$15,$D$16,$D$17,$D$18,$D$19,$D$20,$D$21,$D$22,$D$23,$D$24,$D$25,$D$26,$D$27,$C$8,$C$9,$C$10,$D$11,$C$12),"")</f>
        <v>-9.7144514654701197E-11</v>
      </c>
      <c r="AN11" s="255">
        <f ca="1">IF(NOW(),_xll.mirSwapPV($C$3,$C$4,$C$6,$G11,$C$7,$I11+AN$3,$C$16,$C$17,$C$18,$C$19,$C$20,$C$21,$C$22,$C$26,$C$27,$D$15,$D$16,$D$17,$D$18,$D$19,$D$20,$D$21,$D$22,$D$23,$D$24,$D$25,$D$26,$D$27,$C$8,$C$9,$C$10,$D$11,$C$12),"")</f>
        <v>-87650.505079792987</v>
      </c>
      <c r="AO11" s="255">
        <f ca="1">IF(NOW(),_xll.mirSwapPV($C$3,$C$4,$C$6,$G11,$C$7,$I11+AO$3,$C$16,$C$17,$C$18,$C$19,$C$20,$C$21,$C$22,$C$26,$C$27,$D$15,$D$16,$D$17,$D$18,$D$19,$D$20,$D$21,$D$22,$D$23,$D$24,$D$25,$D$26,$D$27,$C$8,$C$9,$C$10,$D$11,$C$12),"")</f>
        <v>-175301.01015958583</v>
      </c>
      <c r="AP11" s="255">
        <f ca="1">IF(NOW(),_xll.mirSwapPV($C$3,$C$4,$C$6,$G11,$C$7,$I11+AP$3,$C$16,$C$17,$C$18,$C$19,$C$20,$C$21,$C$22,$C$26,$C$27,$D$15,$D$16,$D$17,$D$18,$D$19,$D$20,$D$21,$D$22,$D$23,$D$24,$D$25,$D$26,$D$27,$C$8,$C$9,$C$10,$D$11,$C$12),"")</f>
        <v>-262951.51523937879</v>
      </c>
      <c r="AQ11" s="255">
        <f ca="1">IF(NOW(),_xll.mirSwapPV($C$3,$C$4,$C$6,$G11,$C$7,$I11+AQ$3,$C$16,$C$17,$C$18,$C$19,$C$20,$C$21,$C$22,$C$26,$C$27,$D$15,$D$16,$D$17,$D$18,$D$19,$D$20,$D$21,$D$22,$D$23,$D$24,$D$25,$D$26,$D$27,$C$8,$C$9,$C$10,$D$11,$C$12),"")</f>
        <v>-350602.02031917166</v>
      </c>
      <c r="AR11" s="255">
        <f ca="1">IF(NOW(),_xll.mirSwapPV($C$3,$C$4,$C$6,$G11,$C$7,$I11+AR$3,$C$16,$C$17,$C$18,$C$19,$C$20,$C$21,$C$22,$C$26,$C$27,$D$15,$D$16,$D$17,$D$18,$D$19,$D$20,$D$21,$D$22,$D$23,$D$24,$D$25,$D$26,$D$27,$C$8,$C$9,$C$10,$D$11,$C$12),"")</f>
        <v>-438252.52539896453</v>
      </c>
    </row>
    <row r="12" spans="2:44">
      <c r="B12" s="225" t="s">
        <v>438</v>
      </c>
      <c r="C12" s="237" t="b">
        <v>1</v>
      </c>
      <c r="D12" s="237"/>
      <c r="F12" s="224" t="s">
        <v>28</v>
      </c>
      <c r="G12" s="227">
        <f>_xll.mirGetDate($C$6,F12)</f>
        <v>45853</v>
      </c>
      <c r="H12" s="228">
        <f>'EUR Curve Config'!$AO17</f>
        <v>1.2851999999999999E-2</v>
      </c>
      <c r="I12" s="229">
        <f ca="1">IF(NOW(),_xll.mirGetParRate4($C$6,F12,$C$7,$C$16,$C$17,$C$18,$C$19,$C$20,$C$21,$C$22,$C$26,$C$27,$D$16,$D$17,$D$18,$D$19,$D$20,$D$21,$D$22,$D$23,$D$24,$D$25,$D$26,$D$27,$C$8,$C$9,$C$10,$C$11,$C$12),"")</f>
        <v>1.285199462772421E-2</v>
      </c>
      <c r="J12" s="229">
        <f t="shared" ca="1" si="10"/>
        <v>-5.3722757891588868E-9</v>
      </c>
      <c r="K12" s="230">
        <f t="shared" ca="1" si="11"/>
        <v>-5.3722757891588868E-5</v>
      </c>
      <c r="L12" s="230" t="s">
        <v>12</v>
      </c>
      <c r="M12" s="230" t="s">
        <v>28</v>
      </c>
      <c r="N12" s="255">
        <f ca="1">IF(NOW(),_xll.mirSwapPV($C$3,$C$4,$C$6,$G12,$C$7,$I12+N$3,$C$16,$C$17,$C$18,$C$19,$C$20,$C$21,$C$22,$C$26,$C$27,$D$15,$D$16,$D$17,$D$18,$D$19,$D$20,$D$21,$D$22,$D$23,$D$24,$D$25,$D$26,$D$27,$C$8,$C$9,$C$10,$C$11,$C$12),"")</f>
        <v>483168.64497448748</v>
      </c>
      <c r="O12" s="255">
        <f ca="1">IF(NOW(),_xll.mirSwapPV($C$3,$C$4,$C$6,$G12,$C$7,$I12+O$3,$C$16,$C$17,$C$18,$C$19,$C$20,$C$21,$C$22,$C$26,$C$27,$D$15,$D$16,$D$17,$D$18,$D$19,$D$20,$D$21,$D$22,$D$23,$D$24,$D$25,$D$26,$D$27,$C$8,$C$9,$C$10,$C$11,$C$12),"")</f>
        <v>386534.91597958998</v>
      </c>
      <c r="P12" s="255">
        <f ca="1">IF(NOW(),_xll.mirSwapPV($C$3,$C$4,$C$6,$G12,$C$7,$I12+P$3,$C$16,$C$17,$C$18,$C$19,$C$20,$C$21,$C$22,$C$26,$C$27,$D$15,$D$16,$D$17,$D$18,$D$19,$D$20,$D$21,$D$22,$D$23,$D$24,$D$25,$D$26,$D$27,$C$8,$C$9,$C$10,$C$11,$C$12),"")</f>
        <v>289901.18698469247</v>
      </c>
      <c r="Q12" s="255">
        <f ca="1">IF(NOW(),_xll.mirSwapPV($C$3,$C$4,$C$6,$G12,$C$7,$I12+Q$3,$C$16,$C$17,$C$18,$C$19,$C$20,$C$21,$C$22,$C$26,$C$27,$D$15,$D$16,$D$17,$D$18,$D$19,$D$20,$D$21,$D$22,$D$23,$D$24,$D$25,$D$26,$D$27,$C$8,$C$9,$C$10,$C$11,$C$12),"")</f>
        <v>193267.45798979493</v>
      </c>
      <c r="R12" s="255">
        <f ca="1">IF(NOW(),_xll.mirSwapPV($C$3,$C$4,$C$6,$G12,$C$7,$I12+R$3,$C$16,$C$17,$C$18,$C$19,$C$20,$C$21,$C$22,$C$26,$C$27,$D$15,$D$16,$D$17,$D$18,$D$19,$D$20,$D$21,$D$22,$D$23,$D$24,$D$25,$D$26,$D$27,$C$8,$C$9,$C$10,$C$11,$C$12),"")</f>
        <v>96633.728994897465</v>
      </c>
      <c r="S12" s="255">
        <f ca="1">IF(NOW(),_xll.mirSwapPV($C$3,$C$4,$C$6,$G12,$C$7,$I12+S$3,$C$16,$C$17,$C$18,$C$19,$C$20,$C$21,$C$22,$C$26,$C$27,$D$15,$D$16,$D$17,$D$18,$D$19,$D$20,$D$21,$D$22,$D$23,$D$24,$D$25,$D$26,$D$27,$C$8,$C$9,$C$10,$C$11,$C$12),"")</f>
        <v>0</v>
      </c>
      <c r="T12" s="255">
        <f ca="1">IF(NOW(),_xll.mirSwapPV($C$3,$C$4,$C$6,$G12,$C$7,$I12+T$3,$C$16,$C$17,$C$18,$C$19,$C$20,$C$21,$C$22,$C$26,$C$27,$D$15,$D$16,$D$17,$D$18,$D$19,$D$20,$D$21,$D$22,$D$23,$D$24,$D$25,$D$26,$D$27,$C$8,$C$9,$C$10,$C$11,$C$12),"")</f>
        <v>-96633.728994897479</v>
      </c>
      <c r="U12" s="255">
        <f ca="1">IF(NOW(),_xll.mirSwapPV($C$3,$C$4,$C$6,$G12,$C$7,$I12+U$3,$C$16,$C$17,$C$18,$C$19,$C$20,$C$21,$C$22,$C$26,$C$27,$D$15,$D$16,$D$17,$D$18,$D$19,$D$20,$D$21,$D$22,$D$23,$D$24,$D$25,$D$26,$D$27,$C$8,$C$9,$C$10,$C$11,$C$12),"")</f>
        <v>-193267.45798979493</v>
      </c>
      <c r="V12" s="255">
        <f ca="1">IF(NOW(),_xll.mirSwapPV($C$3,$C$4,$C$6,$G12,$C$7,$I12+V$3,$C$16,$C$17,$C$18,$C$19,$C$20,$C$21,$C$22,$C$26,$C$27,$D$15,$D$16,$D$17,$D$18,$D$19,$D$20,$D$21,$D$22,$D$23,$D$24,$D$25,$D$26,$D$27,$C$8,$C$9,$C$10,$C$11,$C$12),"")</f>
        <v>-289901.18698469247</v>
      </c>
      <c r="W12" s="255">
        <f ca="1">IF(NOW(),_xll.mirSwapPV($C$3,$C$4,$C$6,$G12,$C$7,$I12+W$3,$C$16,$C$17,$C$18,$C$19,$C$20,$C$21,$C$22,$C$26,$C$27,$D$15,$D$16,$D$17,$D$18,$D$19,$D$20,$D$21,$D$22,$D$23,$D$24,$D$25,$D$26,$D$27,$C$8,$C$9,$C$10,$C$11,$C$12),"")</f>
        <v>-386534.91597958998</v>
      </c>
      <c r="X12" s="255">
        <f ca="1">IF(NOW(),_xll.mirSwapPV($C$3,$C$4,$C$6,$G12,$C$7,$I12+X$3,$C$16,$C$17,$C$18,$C$19,$C$20,$C$21,$C$22,$C$26,$C$27,$D$15,$D$16,$D$17,$D$18,$D$19,$D$20,$D$21,$D$22,$D$23,$D$24,$D$25,$D$26,$D$27,$C$8,$C$9,$C$10,$C$11,$C$12),"")</f>
        <v>-483168.64497448754</v>
      </c>
      <c r="Y12" s="230" t="s">
        <v>12</v>
      </c>
      <c r="Z12" s="224" t="s">
        <v>28</v>
      </c>
      <c r="AA12" s="227">
        <f>_xll.mirGetDate($C$6,Z12)</f>
        <v>45853</v>
      </c>
      <c r="AB12" s="228">
        <f>'EUR Curve Config'!$AO17</f>
        <v>1.2851999999999999E-2</v>
      </c>
      <c r="AC12" s="229">
        <f ca="1">IF(NOW(),_xll.mirGetParRate4($C$6,Z12,$C$7,$C$16,$C$17,$C$18,$C$19,$C$20,$C$21,$C$22,$C$26,$C$27,$D$16,$D$17,$D$18,$D$19,$D$20,$D$21,$D$22,$D$23,$D$24,$D$25,$D$26,$D$27,$C$8,$C$9,$C$10,$D$11,$C$12),"")</f>
        <v>1.2851994627724225E-2</v>
      </c>
      <c r="AD12" s="229">
        <f t="shared" ca="1" si="12"/>
        <v>-5.3722757735463755E-9</v>
      </c>
      <c r="AE12" s="230">
        <f t="shared" ca="1" si="13"/>
        <v>-5.3722757735463755E-5</v>
      </c>
      <c r="AG12" s="230" t="s">
        <v>28</v>
      </c>
      <c r="AH12" s="255">
        <f ca="1">IF(NOW(),_xll.mirSwapPV($C$3,$C$4,$C$6,$G12,$C$7,$I12+AH$3,$C$16,$C$17,$C$18,$C$19,$C$20,$C$21,$C$22,$C$26,$C$27,$D$15,$D$16,$D$17,$D$18,$D$19,$D$20,$D$21,$D$22,$D$23,$D$24,$D$25,$D$26,$D$27,$C$8,$C$9,$C$10,$D$11,$C$12),"")</f>
        <v>483168.6449744876</v>
      </c>
      <c r="AI12" s="255">
        <f ca="1">IF(NOW(),_xll.mirSwapPV($C$3,$C$4,$C$6,$G12,$C$7,$I12+AI$3,$C$16,$C$17,$C$18,$C$19,$C$20,$C$21,$C$22,$C$26,$C$27,$D$15,$D$16,$D$17,$D$18,$D$19,$D$20,$D$21,$D$22,$D$23,$D$24,$D$25,$D$26,$D$27,$C$8,$C$9,$C$10,$D$11,$C$12),"")</f>
        <v>386534.91597959009</v>
      </c>
      <c r="AJ12" s="255">
        <f ca="1">IF(NOW(),_xll.mirSwapPV($C$3,$C$4,$C$6,$G12,$C$7,$I12+AJ$3,$C$16,$C$17,$C$18,$C$19,$C$20,$C$21,$C$22,$C$26,$C$27,$D$15,$D$16,$D$17,$D$18,$D$19,$D$20,$D$21,$D$22,$D$23,$D$24,$D$25,$D$26,$D$27,$C$8,$C$9,$C$10,$D$11,$C$12),"")</f>
        <v>289901.18698469258</v>
      </c>
      <c r="AK12" s="255">
        <f ca="1">IF(NOW(),_xll.mirSwapPV($C$3,$C$4,$C$6,$G12,$C$7,$I12+AK$3,$C$16,$C$17,$C$18,$C$19,$C$20,$C$21,$C$22,$C$26,$C$27,$D$15,$D$16,$D$17,$D$18,$D$19,$D$20,$D$21,$D$22,$D$23,$D$24,$D$25,$D$26,$D$27,$C$8,$C$9,$C$10,$D$11,$C$12),"")</f>
        <v>193267.4579897951</v>
      </c>
      <c r="AL12" s="255">
        <f ca="1">IF(NOW(),_xll.mirSwapPV($C$3,$C$4,$C$6,$G12,$C$7,$I12+AL$3,$C$16,$C$17,$C$18,$C$19,$C$20,$C$21,$C$22,$C$26,$C$27,$D$15,$D$16,$D$17,$D$18,$D$19,$D$20,$D$21,$D$22,$D$23,$D$24,$D$25,$D$26,$D$27,$C$8,$C$9,$C$10,$D$11,$C$12),"")</f>
        <v>96633.72899489761</v>
      </c>
      <c r="AM12" s="255">
        <f ca="1">IF(NOW(),_xll.mirSwapPV($C$3,$C$4,$C$6,$G12,$C$7,$I12+AM$3,$C$16,$C$17,$C$18,$C$19,$C$20,$C$21,$C$22,$C$26,$C$27,$D$15,$D$16,$D$17,$D$18,$D$19,$D$20,$D$21,$D$22,$D$23,$D$24,$D$25,$D$26,$D$27,$C$8,$C$9,$C$10,$D$11,$C$12),"")</f>
        <v>1.3877787807814457E-10</v>
      </c>
      <c r="AN12" s="255">
        <f ca="1">IF(NOW(),_xll.mirSwapPV($C$3,$C$4,$C$6,$G12,$C$7,$I12+AN$3,$C$16,$C$17,$C$18,$C$19,$C$20,$C$21,$C$22,$C$26,$C$27,$D$15,$D$16,$D$17,$D$18,$D$19,$D$20,$D$21,$D$22,$D$23,$D$24,$D$25,$D$26,$D$27,$C$8,$C$9,$C$10,$D$11,$C$12),"")</f>
        <v>-96633.728994897348</v>
      </c>
      <c r="AO12" s="255">
        <f ca="1">IF(NOW(),_xll.mirSwapPV($C$3,$C$4,$C$6,$G12,$C$7,$I12+AO$3,$C$16,$C$17,$C$18,$C$19,$C$20,$C$21,$C$22,$C$26,$C$27,$D$15,$D$16,$D$17,$D$18,$D$19,$D$20,$D$21,$D$22,$D$23,$D$24,$D$25,$D$26,$D$27,$C$8,$C$9,$C$10,$D$11,$C$12),"")</f>
        <v>-193267.45798979484</v>
      </c>
      <c r="AP12" s="255">
        <f ca="1">IF(NOW(),_xll.mirSwapPV($C$3,$C$4,$C$6,$G12,$C$7,$I12+AP$3,$C$16,$C$17,$C$18,$C$19,$C$20,$C$21,$C$22,$C$26,$C$27,$D$15,$D$16,$D$17,$D$18,$D$19,$D$20,$D$21,$D$22,$D$23,$D$24,$D$25,$D$26,$D$27,$C$8,$C$9,$C$10,$D$11,$C$12),"")</f>
        <v>-289901.18698469235</v>
      </c>
      <c r="AQ12" s="255">
        <f ca="1">IF(NOW(),_xll.mirSwapPV($C$3,$C$4,$C$6,$G12,$C$7,$I12+AQ$3,$C$16,$C$17,$C$18,$C$19,$C$20,$C$21,$C$22,$C$26,$C$27,$D$15,$D$16,$D$17,$D$18,$D$19,$D$20,$D$21,$D$22,$D$23,$D$24,$D$25,$D$26,$D$27,$C$8,$C$9,$C$10,$D$11,$C$12),"")</f>
        <v>-386534.91597958986</v>
      </c>
      <c r="AR12" s="255">
        <f ca="1">IF(NOW(),_xll.mirSwapPV($C$3,$C$4,$C$6,$G12,$C$7,$I12+AR$3,$C$16,$C$17,$C$18,$C$19,$C$20,$C$21,$C$22,$C$26,$C$27,$D$15,$D$16,$D$17,$D$18,$D$19,$D$20,$D$21,$D$22,$D$23,$D$24,$D$25,$D$26,$D$27,$C$8,$C$9,$C$10,$D$11,$C$12),"")</f>
        <v>-483168.64497448743</v>
      </c>
    </row>
    <row r="13" spans="2:44">
      <c r="F13" s="224" t="s">
        <v>366</v>
      </c>
      <c r="G13" s="227">
        <f>_xll.mirGetDate($C$6,F13)</f>
        <v>46218</v>
      </c>
      <c r="H13" s="228">
        <f>'EUR Curve Config'!$AO18</f>
        <v>1.3846000000000001E-2</v>
      </c>
      <c r="I13" s="229">
        <f ca="1">IF(NOW(),_xll.mirGetParRate4($C$6,F13,$C$7,$C$16,$C$17,$C$18,$C$19,$C$20,$C$21,$C$22,$C$26,$C$27,$D$16,$D$17,$D$18,$D$19,$D$20,$D$21,$D$22,$D$23,$D$24,$D$25,$D$26,$D$27,$C$8,$C$9,$C$10,$C$11,$C$12),"")</f>
        <v>1.3845994522552181E-2</v>
      </c>
      <c r="J13" s="229">
        <f t="shared" ca="1" si="10"/>
        <v>-5.4774478199653975E-9</v>
      </c>
      <c r="K13" s="230">
        <f t="shared" ca="1" si="11"/>
        <v>-5.4774478199653975E-5</v>
      </c>
      <c r="L13" s="230" t="s">
        <v>12</v>
      </c>
      <c r="M13" s="230" t="s">
        <v>366</v>
      </c>
      <c r="N13" s="255">
        <f ca="1">IF(NOW(),_xll.mirSwapPV($C$3,$C$4,$C$6,$G13,$C$7,$I13+N$3,$C$16,$C$17,$C$18,$C$19,$C$20,$C$21,$C$22,$C$26,$C$27,$D$15,$D$16,$D$17,$D$18,$D$19,$D$20,$D$21,$D$22,$D$23,$D$24,$D$25,$D$26,$D$27,$C$8,$C$9,$C$10,$C$11,$C$12),"")</f>
        <v>527061.76365639444</v>
      </c>
      <c r="O13" s="255">
        <f ca="1">IF(NOW(),_xll.mirSwapPV($C$3,$C$4,$C$6,$G13,$C$7,$I13+O$3,$C$16,$C$17,$C$18,$C$19,$C$20,$C$21,$C$22,$C$26,$C$27,$D$15,$D$16,$D$17,$D$18,$D$19,$D$20,$D$21,$D$22,$D$23,$D$24,$D$25,$D$26,$D$27,$C$8,$C$9,$C$10,$C$11,$C$12),"")</f>
        <v>421649.41092511552</v>
      </c>
      <c r="P13" s="255">
        <f ca="1">IF(NOW(),_xll.mirSwapPV($C$3,$C$4,$C$6,$G13,$C$7,$I13+P$3,$C$16,$C$17,$C$18,$C$19,$C$20,$C$21,$C$22,$C$26,$C$27,$D$15,$D$16,$D$17,$D$18,$D$19,$D$20,$D$21,$D$22,$D$23,$D$24,$D$25,$D$26,$D$27,$C$8,$C$9,$C$10,$C$11,$C$12),"")</f>
        <v>316237.05819383665</v>
      </c>
      <c r="Q13" s="255">
        <f ca="1">IF(NOW(),_xll.mirSwapPV($C$3,$C$4,$C$6,$G13,$C$7,$I13+Q$3,$C$16,$C$17,$C$18,$C$19,$C$20,$C$21,$C$22,$C$26,$C$27,$D$15,$D$16,$D$17,$D$18,$D$19,$D$20,$D$21,$D$22,$D$23,$D$24,$D$25,$D$26,$D$27,$C$8,$C$9,$C$10,$C$11,$C$12),"")</f>
        <v>210824.70546255773</v>
      </c>
      <c r="R13" s="255">
        <f ca="1">IF(NOW(),_xll.mirSwapPV($C$3,$C$4,$C$6,$G13,$C$7,$I13+R$3,$C$16,$C$17,$C$18,$C$19,$C$20,$C$21,$C$22,$C$26,$C$27,$D$15,$D$16,$D$17,$D$18,$D$19,$D$20,$D$21,$D$22,$D$23,$D$24,$D$25,$D$26,$D$27,$C$8,$C$9,$C$10,$C$11,$C$12),"")</f>
        <v>105412.35273127886</v>
      </c>
      <c r="S13" s="255">
        <f ca="1">IF(NOW(),_xll.mirSwapPV($C$3,$C$4,$C$6,$G13,$C$7,$I13+S$3,$C$16,$C$17,$C$18,$C$19,$C$20,$C$21,$C$22,$C$26,$C$27,$D$15,$D$16,$D$17,$D$18,$D$19,$D$20,$D$21,$D$22,$D$23,$D$24,$D$25,$D$26,$D$27,$C$8,$C$9,$C$10,$C$11,$C$12),"")</f>
        <v>0</v>
      </c>
      <c r="T13" s="255">
        <f ca="1">IF(NOW(),_xll.mirSwapPV($C$3,$C$4,$C$6,$G13,$C$7,$I13+T$3,$C$16,$C$17,$C$18,$C$19,$C$20,$C$21,$C$22,$C$26,$C$27,$D$15,$D$16,$D$17,$D$18,$D$19,$D$20,$D$21,$D$22,$D$23,$D$24,$D$25,$D$26,$D$27,$C$8,$C$9,$C$10,$C$11,$C$12),"")</f>
        <v>-105412.35273127888</v>
      </c>
      <c r="U13" s="255">
        <f ca="1">IF(NOW(),_xll.mirSwapPV($C$3,$C$4,$C$6,$G13,$C$7,$I13+U$3,$C$16,$C$17,$C$18,$C$19,$C$20,$C$21,$C$22,$C$26,$C$27,$D$15,$D$16,$D$17,$D$18,$D$19,$D$20,$D$21,$D$22,$D$23,$D$24,$D$25,$D$26,$D$27,$C$8,$C$9,$C$10,$C$11,$C$12),"")</f>
        <v>-210824.70546255773</v>
      </c>
      <c r="V13" s="255">
        <f ca="1">IF(NOW(),_xll.mirSwapPV($C$3,$C$4,$C$6,$G13,$C$7,$I13+V$3,$C$16,$C$17,$C$18,$C$19,$C$20,$C$21,$C$22,$C$26,$C$27,$D$15,$D$16,$D$17,$D$18,$D$19,$D$20,$D$21,$D$22,$D$23,$D$24,$D$25,$D$26,$D$27,$C$8,$C$9,$C$10,$C$11,$C$12),"")</f>
        <v>-316237.05819383665</v>
      </c>
      <c r="W13" s="255">
        <f ca="1">IF(NOW(),_xll.mirSwapPV($C$3,$C$4,$C$6,$G13,$C$7,$I13+W$3,$C$16,$C$17,$C$18,$C$19,$C$20,$C$21,$C$22,$C$26,$C$27,$D$15,$D$16,$D$17,$D$18,$D$19,$D$20,$D$21,$D$22,$D$23,$D$24,$D$25,$D$26,$D$27,$C$8,$C$9,$C$10,$C$11,$C$12),"")</f>
        <v>-421649.41092511563</v>
      </c>
      <c r="X13" s="255">
        <f ca="1">IF(NOW(),_xll.mirSwapPV($C$3,$C$4,$C$6,$G13,$C$7,$I13+X$3,$C$16,$C$17,$C$18,$C$19,$C$20,$C$21,$C$22,$C$26,$C$27,$D$15,$D$16,$D$17,$D$18,$D$19,$D$20,$D$21,$D$22,$D$23,$D$24,$D$25,$D$26,$D$27,$C$8,$C$9,$C$10,$C$11,$C$12),"")</f>
        <v>-527061.76365639444</v>
      </c>
      <c r="Y13" s="230" t="s">
        <v>12</v>
      </c>
      <c r="Z13" s="224" t="s">
        <v>366</v>
      </c>
      <c r="AA13" s="227">
        <f>_xll.mirGetDate($C$6,Z13)</f>
        <v>46218</v>
      </c>
      <c r="AB13" s="228">
        <f>'EUR Curve Config'!$AO18</f>
        <v>1.3846000000000001E-2</v>
      </c>
      <c r="AC13" s="229">
        <f ca="1">IF(NOW(),_xll.mirGetParRate4($C$6,Z13,$C$7,$C$16,$C$17,$C$18,$C$19,$C$20,$C$21,$C$22,$C$26,$C$27,$D$16,$D$17,$D$18,$D$19,$D$20,$D$21,$D$22,$D$23,$D$24,$D$25,$D$26,$D$27,$C$8,$C$9,$C$10,$D$11,$C$12),"")</f>
        <v>1.38459945225522E-2</v>
      </c>
      <c r="AD13" s="229">
        <f t="shared" ca="1" si="12"/>
        <v>-5.4774478008834393E-9</v>
      </c>
      <c r="AE13" s="230">
        <f t="shared" ca="1" si="13"/>
        <v>-5.4774478008834393E-5</v>
      </c>
      <c r="AG13" s="230" t="s">
        <v>366</v>
      </c>
      <c r="AH13" s="255">
        <f ca="1">IF(NOW(),_xll.mirSwapPV($C$3,$C$4,$C$6,$G13,$C$7,$I13+AH$3,$C$16,$C$17,$C$18,$C$19,$C$20,$C$21,$C$22,$C$26,$C$27,$D$15,$D$16,$D$17,$D$18,$D$19,$D$20,$D$21,$D$22,$D$23,$D$24,$D$25,$D$26,$D$27,$C$8,$C$9,$C$10,$D$11,$C$12),"")</f>
        <v>527061.76365639456</v>
      </c>
      <c r="AI13" s="255">
        <f ca="1">IF(NOW(),_xll.mirSwapPV($C$3,$C$4,$C$6,$G13,$C$7,$I13+AI$3,$C$16,$C$17,$C$18,$C$19,$C$20,$C$21,$C$22,$C$26,$C$27,$D$15,$D$16,$D$17,$D$18,$D$19,$D$20,$D$21,$D$22,$D$23,$D$24,$D$25,$D$26,$D$27,$C$8,$C$9,$C$10,$D$11,$C$12),"")</f>
        <v>421649.41092511569</v>
      </c>
      <c r="AJ13" s="255">
        <f ca="1">IF(NOW(),_xll.mirSwapPV($C$3,$C$4,$C$6,$G13,$C$7,$I13+AJ$3,$C$16,$C$17,$C$18,$C$19,$C$20,$C$21,$C$22,$C$26,$C$27,$D$15,$D$16,$D$17,$D$18,$D$19,$D$20,$D$21,$D$22,$D$23,$D$24,$D$25,$D$26,$D$27,$C$8,$C$9,$C$10,$D$11,$C$12),"")</f>
        <v>316237.05819383683</v>
      </c>
      <c r="AK13" s="255">
        <f ca="1">IF(NOW(),_xll.mirSwapPV($C$3,$C$4,$C$6,$G13,$C$7,$I13+AK$3,$C$16,$C$17,$C$18,$C$19,$C$20,$C$21,$C$22,$C$26,$C$27,$D$15,$D$16,$D$17,$D$18,$D$19,$D$20,$D$21,$D$22,$D$23,$D$24,$D$25,$D$26,$D$27,$C$8,$C$9,$C$10,$D$11,$C$12),"")</f>
        <v>210824.70546255793</v>
      </c>
      <c r="AL13" s="255">
        <f ca="1">IF(NOW(),_xll.mirSwapPV($C$3,$C$4,$C$6,$G13,$C$7,$I13+AL$3,$C$16,$C$17,$C$18,$C$19,$C$20,$C$21,$C$22,$C$26,$C$27,$D$15,$D$16,$D$17,$D$18,$D$19,$D$20,$D$21,$D$22,$D$23,$D$24,$D$25,$D$26,$D$27,$C$8,$C$9,$C$10,$D$11,$C$12),"")</f>
        <v>105412.35273127905</v>
      </c>
      <c r="AM13" s="255">
        <f ca="1">IF(NOW(),_xll.mirSwapPV($C$3,$C$4,$C$6,$G13,$C$7,$I13+AM$3,$C$16,$C$17,$C$18,$C$19,$C$20,$C$21,$C$22,$C$26,$C$27,$D$15,$D$16,$D$17,$D$18,$D$19,$D$20,$D$21,$D$22,$D$23,$D$24,$D$25,$D$26,$D$27,$C$8,$C$9,$C$10,$D$11,$C$12),"")</f>
        <v>1.9428902930940239E-10</v>
      </c>
      <c r="AN13" s="255">
        <f ca="1">IF(NOW(),_xll.mirSwapPV($C$3,$C$4,$C$6,$G13,$C$7,$I13+AN$3,$C$16,$C$17,$C$18,$C$19,$C$20,$C$21,$C$22,$C$26,$C$27,$D$15,$D$16,$D$17,$D$18,$D$19,$D$20,$D$21,$D$22,$D$23,$D$24,$D$25,$D$26,$D$27,$C$8,$C$9,$C$10,$D$11,$C$12),"")</f>
        <v>-105412.35273127869</v>
      </c>
      <c r="AO13" s="255">
        <f ca="1">IF(NOW(),_xll.mirSwapPV($C$3,$C$4,$C$6,$G13,$C$7,$I13+AO$3,$C$16,$C$17,$C$18,$C$19,$C$20,$C$21,$C$22,$C$26,$C$27,$D$15,$D$16,$D$17,$D$18,$D$19,$D$20,$D$21,$D$22,$D$23,$D$24,$D$25,$D$26,$D$27,$C$8,$C$9,$C$10,$D$11,$C$12),"")</f>
        <v>-210824.70546255755</v>
      </c>
      <c r="AP13" s="255">
        <f ca="1">IF(NOW(),_xll.mirSwapPV($C$3,$C$4,$C$6,$G13,$C$7,$I13+AP$3,$C$16,$C$17,$C$18,$C$19,$C$20,$C$21,$C$22,$C$26,$C$27,$D$15,$D$16,$D$17,$D$18,$D$19,$D$20,$D$21,$D$22,$D$23,$D$24,$D$25,$D$26,$D$27,$C$8,$C$9,$C$10,$D$11,$C$12),"")</f>
        <v>-316237.05819383648</v>
      </c>
      <c r="AQ13" s="255">
        <f ca="1">IF(NOW(),_xll.mirSwapPV($C$3,$C$4,$C$6,$G13,$C$7,$I13+AQ$3,$C$16,$C$17,$C$18,$C$19,$C$20,$C$21,$C$22,$C$26,$C$27,$D$15,$D$16,$D$17,$D$18,$D$19,$D$20,$D$21,$D$22,$D$23,$D$24,$D$25,$D$26,$D$27,$C$8,$C$9,$C$10,$D$11,$C$12),"")</f>
        <v>-421649.41092511546</v>
      </c>
      <c r="AR13" s="255">
        <f ca="1">IF(NOW(),_xll.mirSwapPV($C$3,$C$4,$C$6,$G13,$C$7,$I13+AR$3,$C$16,$C$17,$C$18,$C$19,$C$20,$C$21,$C$22,$C$26,$C$27,$D$15,$D$16,$D$17,$D$18,$D$19,$D$20,$D$21,$D$22,$D$23,$D$24,$D$25,$D$26,$D$27,$C$8,$C$9,$C$10,$D$11,$C$12),"")</f>
        <v>-527061.76365639421</v>
      </c>
    </row>
    <row r="14" spans="2:44">
      <c r="B14" t="s">
        <v>439</v>
      </c>
      <c r="C14" s="112" t="s">
        <v>440</v>
      </c>
      <c r="D14" s="112" t="s">
        <v>441</v>
      </c>
      <c r="F14" s="224" t="s">
        <v>26</v>
      </c>
      <c r="G14" s="227">
        <f>_xll.mirGetDate($C$6,F14)</f>
        <v>46583</v>
      </c>
      <c r="H14" s="228">
        <f>'EUR Curve Config'!$AO19</f>
        <v>1.4710000000000001E-2</v>
      </c>
      <c r="I14" s="229">
        <f ca="1">IF(NOW(),_xll.mirGetParRate4($C$6,F14,$C$7,$C$16,$C$17,$C$18,$C$19,$C$20,$C$21,$C$22,$C$26,$C$27,$D$16,$D$17,$D$18,$D$19,$D$20,$D$21,$D$22,$D$23,$D$24,$D$25,$D$26,$D$27,$C$8,$C$9,$C$10,$C$11,$C$12),"")</f>
        <v>1.4709997179326445E-2</v>
      </c>
      <c r="J14" s="229">
        <f t="shared" ca="1" si="10"/>
        <v>-2.8206735558367058E-9</v>
      </c>
      <c r="K14" s="230">
        <f t="shared" ca="1" si="11"/>
        <v>-2.8206735558367058E-5</v>
      </c>
      <c r="L14" s="230" t="s">
        <v>12</v>
      </c>
      <c r="M14" s="230" t="s">
        <v>26</v>
      </c>
      <c r="N14" s="255">
        <f ca="1">IF(NOW(),_xll.mirSwapPV($C$3,$C$4,$C$6,$G14,$C$7,$I14+N$3,$C$16,$C$17,$C$18,$C$19,$C$20,$C$21,$C$22,$C$26,$C$27,$D$15,$D$16,$D$17,$D$18,$D$19,$D$20,$D$21,$D$22,$D$23,$D$24,$D$25,$D$26,$D$27,$C$8,$C$9,$C$10,$C$11,$C$12),"")</f>
        <v>569938.0308485931</v>
      </c>
      <c r="O14" s="255">
        <f ca="1">IF(NOW(),_xll.mirSwapPV($C$3,$C$4,$C$6,$G14,$C$7,$I14+O$3,$C$16,$C$17,$C$18,$C$19,$C$20,$C$21,$C$22,$C$26,$C$27,$D$15,$D$16,$D$17,$D$18,$D$19,$D$20,$D$21,$D$22,$D$23,$D$24,$D$25,$D$26,$D$27,$C$8,$C$9,$C$10,$C$11,$C$12),"")</f>
        <v>455950.42467887449</v>
      </c>
      <c r="P14" s="255">
        <f ca="1">IF(NOW(),_xll.mirSwapPV($C$3,$C$4,$C$6,$G14,$C$7,$I14+P$3,$C$16,$C$17,$C$18,$C$19,$C$20,$C$21,$C$22,$C$26,$C$27,$D$15,$D$16,$D$17,$D$18,$D$19,$D$20,$D$21,$D$22,$D$23,$D$24,$D$25,$D$26,$D$27,$C$8,$C$9,$C$10,$C$11,$C$12),"")</f>
        <v>341962.81850915583</v>
      </c>
      <c r="Q14" s="255">
        <f ca="1">IF(NOW(),_xll.mirSwapPV($C$3,$C$4,$C$6,$G14,$C$7,$I14+Q$3,$C$16,$C$17,$C$18,$C$19,$C$20,$C$21,$C$22,$C$26,$C$27,$D$15,$D$16,$D$17,$D$18,$D$19,$D$20,$D$21,$D$22,$D$23,$D$24,$D$25,$D$26,$D$27,$C$8,$C$9,$C$10,$C$11,$C$12),"")</f>
        <v>227975.21233943719</v>
      </c>
      <c r="R14" s="255">
        <f ca="1">IF(NOW(),_xll.mirSwapPV($C$3,$C$4,$C$6,$G14,$C$7,$I14+R$3,$C$16,$C$17,$C$18,$C$19,$C$20,$C$21,$C$22,$C$26,$C$27,$D$15,$D$16,$D$17,$D$18,$D$19,$D$20,$D$21,$D$22,$D$23,$D$24,$D$25,$D$26,$D$27,$C$8,$C$9,$C$10,$C$11,$C$12),"")</f>
        <v>113987.60616971858</v>
      </c>
      <c r="S14" s="255">
        <f ca="1">IF(NOW(),_xll.mirSwapPV($C$3,$C$4,$C$6,$G14,$C$7,$I14+S$3,$C$16,$C$17,$C$18,$C$19,$C$20,$C$21,$C$22,$C$26,$C$27,$D$15,$D$16,$D$17,$D$18,$D$19,$D$20,$D$21,$D$22,$D$23,$D$24,$D$25,$D$26,$D$27,$C$8,$C$9,$C$10,$C$11,$C$12),"")</f>
        <v>0</v>
      </c>
      <c r="T14" s="255">
        <f ca="1">IF(NOW(),_xll.mirSwapPV($C$3,$C$4,$C$6,$G14,$C$7,$I14+T$3,$C$16,$C$17,$C$18,$C$19,$C$20,$C$21,$C$22,$C$26,$C$27,$D$15,$D$16,$D$17,$D$18,$D$19,$D$20,$D$21,$D$22,$D$23,$D$24,$D$25,$D$26,$D$27,$C$8,$C$9,$C$10,$C$11,$C$12),"")</f>
        <v>-113987.60616971865</v>
      </c>
      <c r="U14" s="255">
        <f ca="1">IF(NOW(),_xll.mirSwapPV($C$3,$C$4,$C$6,$G14,$C$7,$I14+U$3,$C$16,$C$17,$C$18,$C$19,$C$20,$C$21,$C$22,$C$26,$C$27,$D$15,$D$16,$D$17,$D$18,$D$19,$D$20,$D$21,$D$22,$D$23,$D$24,$D$25,$D$26,$D$27,$C$8,$C$9,$C$10,$C$11,$C$12),"")</f>
        <v>-227975.2123394373</v>
      </c>
      <c r="V14" s="255">
        <f ca="1">IF(NOW(),_xll.mirSwapPV($C$3,$C$4,$C$6,$G14,$C$7,$I14+V$3,$C$16,$C$17,$C$18,$C$19,$C$20,$C$21,$C$22,$C$26,$C$27,$D$15,$D$16,$D$17,$D$18,$D$19,$D$20,$D$21,$D$22,$D$23,$D$24,$D$25,$D$26,$D$27,$C$8,$C$9,$C$10,$C$11,$C$12),"")</f>
        <v>-341962.81850915577</v>
      </c>
      <c r="W14" s="255">
        <f ca="1">IF(NOW(),_xll.mirSwapPV($C$3,$C$4,$C$6,$G14,$C$7,$I14+W$3,$C$16,$C$17,$C$18,$C$19,$C$20,$C$21,$C$22,$C$26,$C$27,$D$15,$D$16,$D$17,$D$18,$D$19,$D$20,$D$21,$D$22,$D$23,$D$24,$D$25,$D$26,$D$27,$C$8,$C$9,$C$10,$C$11,$C$12),"")</f>
        <v>-455950.42467887449</v>
      </c>
      <c r="X14" s="255">
        <f ca="1">IF(NOW(),_xll.mirSwapPV($C$3,$C$4,$C$6,$G14,$C$7,$I14+X$3,$C$16,$C$17,$C$18,$C$19,$C$20,$C$21,$C$22,$C$26,$C$27,$D$15,$D$16,$D$17,$D$18,$D$19,$D$20,$D$21,$D$22,$D$23,$D$24,$D$25,$D$26,$D$27,$C$8,$C$9,$C$10,$C$11,$C$12),"")</f>
        <v>-569938.0308485931</v>
      </c>
      <c r="Y14" s="230" t="s">
        <v>12</v>
      </c>
      <c r="Z14" s="224" t="s">
        <v>26</v>
      </c>
      <c r="AA14" s="227">
        <f>_xll.mirGetDate($C$6,Z14)</f>
        <v>46583</v>
      </c>
      <c r="AB14" s="228">
        <f>'EUR Curve Config'!$AO19</f>
        <v>1.4710000000000001E-2</v>
      </c>
      <c r="AC14" s="229">
        <f ca="1">IF(NOW(),_xll.mirGetParRate4($C$6,Z14,$C$7,$C$16,$C$17,$C$18,$C$19,$C$20,$C$21,$C$22,$C$26,$C$27,$D$16,$D$17,$D$18,$D$19,$D$20,$D$21,$D$22,$D$23,$D$24,$D$25,$D$26,$D$27,$C$8,$C$9,$C$10,$D$11,$C$12),"")</f>
        <v>1.4709997179326455E-2</v>
      </c>
      <c r="AD14" s="229">
        <f t="shared" ca="1" si="12"/>
        <v>-2.8206735454283649E-9</v>
      </c>
      <c r="AE14" s="230">
        <f t="shared" ca="1" si="13"/>
        <v>-2.8206735454283649E-5</v>
      </c>
      <c r="AG14" s="230" t="s">
        <v>26</v>
      </c>
      <c r="AH14" s="255">
        <f ca="1">IF(NOW(),_xll.mirSwapPV($C$3,$C$4,$C$6,$G14,$C$7,$I14+AH$3,$C$16,$C$17,$C$18,$C$19,$C$20,$C$21,$C$22,$C$26,$C$27,$D$15,$D$16,$D$17,$D$18,$D$19,$D$20,$D$21,$D$22,$D$23,$D$24,$D$25,$D$26,$D$27,$C$8,$C$9,$C$10,$D$11,$C$12),"")</f>
        <v>569938.03084859333</v>
      </c>
      <c r="AI14" s="255">
        <f ca="1">IF(NOW(),_xll.mirSwapPV($C$3,$C$4,$C$6,$G14,$C$7,$I14+AI$3,$C$16,$C$17,$C$18,$C$19,$C$20,$C$21,$C$22,$C$26,$C$27,$D$15,$D$16,$D$17,$D$18,$D$19,$D$20,$D$21,$D$22,$D$23,$D$24,$D$25,$D$26,$D$27,$C$8,$C$9,$C$10,$D$11,$C$12),"")</f>
        <v>455950.42467887461</v>
      </c>
      <c r="AJ14" s="255">
        <f ca="1">IF(NOW(),_xll.mirSwapPV($C$3,$C$4,$C$6,$G14,$C$7,$I14+AJ$3,$C$16,$C$17,$C$18,$C$19,$C$20,$C$21,$C$22,$C$26,$C$27,$D$15,$D$16,$D$17,$D$18,$D$19,$D$20,$D$21,$D$22,$D$23,$D$24,$D$25,$D$26,$D$27,$C$8,$C$9,$C$10,$D$11,$C$12),"")</f>
        <v>341962.81850915594</v>
      </c>
      <c r="AK14" s="255">
        <f ca="1">IF(NOW(),_xll.mirSwapPV($C$3,$C$4,$C$6,$G14,$C$7,$I14+AK$3,$C$16,$C$17,$C$18,$C$19,$C$20,$C$21,$C$22,$C$26,$C$27,$D$15,$D$16,$D$17,$D$18,$D$19,$D$20,$D$21,$D$22,$D$23,$D$24,$D$25,$D$26,$D$27,$C$8,$C$9,$C$10,$D$11,$C$12),"")</f>
        <v>227975.2123394373</v>
      </c>
      <c r="AL14" s="255">
        <f ca="1">IF(NOW(),_xll.mirSwapPV($C$3,$C$4,$C$6,$G14,$C$7,$I14+AL$3,$C$16,$C$17,$C$18,$C$19,$C$20,$C$21,$C$22,$C$26,$C$27,$D$15,$D$16,$D$17,$D$18,$D$19,$D$20,$D$21,$D$22,$D$23,$D$24,$D$25,$D$26,$D$27,$C$8,$C$9,$C$10,$D$11,$C$12),"")</f>
        <v>113987.60616971868</v>
      </c>
      <c r="AM14" s="255">
        <f ca="1">IF(NOW(),_xll.mirSwapPV($C$3,$C$4,$C$6,$G14,$C$7,$I14+AM$3,$C$16,$C$17,$C$18,$C$19,$C$20,$C$21,$C$22,$C$26,$C$27,$D$15,$D$16,$D$17,$D$18,$D$19,$D$20,$D$21,$D$22,$D$23,$D$24,$D$25,$D$26,$D$27,$C$8,$C$9,$C$10,$D$11,$C$12),"")</f>
        <v>1.1102230246251565E-10</v>
      </c>
      <c r="AN14" s="255">
        <f ca="1">IF(NOW(),_xll.mirSwapPV($C$3,$C$4,$C$6,$G14,$C$7,$I14+AN$3,$C$16,$C$17,$C$18,$C$19,$C$20,$C$21,$C$22,$C$26,$C$27,$D$15,$D$16,$D$17,$D$18,$D$19,$D$20,$D$21,$D$22,$D$23,$D$24,$D$25,$D$26,$D$27,$C$8,$C$9,$C$10,$D$11,$C$12),"")</f>
        <v>-113987.60616971854</v>
      </c>
      <c r="AO14" s="255">
        <f ca="1">IF(NOW(),_xll.mirSwapPV($C$3,$C$4,$C$6,$G14,$C$7,$I14+AO$3,$C$16,$C$17,$C$18,$C$19,$C$20,$C$21,$C$22,$C$26,$C$27,$D$15,$D$16,$D$17,$D$18,$D$19,$D$20,$D$21,$D$22,$D$23,$D$24,$D$25,$D$26,$D$27,$C$8,$C$9,$C$10,$D$11,$C$12),"")</f>
        <v>-227975.21233943719</v>
      </c>
      <c r="AP14" s="255">
        <f ca="1">IF(NOW(),_xll.mirSwapPV($C$3,$C$4,$C$6,$G14,$C$7,$I14+AP$3,$C$16,$C$17,$C$18,$C$19,$C$20,$C$21,$C$22,$C$26,$C$27,$D$15,$D$16,$D$17,$D$18,$D$19,$D$20,$D$21,$D$22,$D$23,$D$24,$D$25,$D$26,$D$27,$C$8,$C$9,$C$10,$D$11,$C$12),"")</f>
        <v>-341962.81850915565</v>
      </c>
      <c r="AQ14" s="255">
        <f ca="1">IF(NOW(),_xll.mirSwapPV($C$3,$C$4,$C$6,$G14,$C$7,$I14+AQ$3,$C$16,$C$17,$C$18,$C$19,$C$20,$C$21,$C$22,$C$26,$C$27,$D$15,$D$16,$D$17,$D$18,$D$19,$D$20,$D$21,$D$22,$D$23,$D$24,$D$25,$D$26,$D$27,$C$8,$C$9,$C$10,$D$11,$C$12),"")</f>
        <v>-455950.42467887438</v>
      </c>
      <c r="AR14" s="255">
        <f ca="1">IF(NOW(),_xll.mirSwapPV($C$3,$C$4,$C$6,$G14,$C$7,$I14+AR$3,$C$16,$C$17,$C$18,$C$19,$C$20,$C$21,$C$22,$C$26,$C$27,$D$15,$D$16,$D$17,$D$18,$D$19,$D$20,$D$21,$D$22,$D$23,$D$24,$D$25,$D$26,$D$27,$C$8,$C$9,$C$10,$D$11,$C$12),"")</f>
        <v>-569938.03084859299</v>
      </c>
    </row>
    <row r="15" spans="2:44">
      <c r="B15" s="221" t="s">
        <v>442</v>
      </c>
      <c r="C15" s="238">
        <v>0</v>
      </c>
      <c r="D15" s="239">
        <v>0</v>
      </c>
      <c r="F15" s="224" t="s">
        <v>24</v>
      </c>
      <c r="G15" s="227">
        <f>_xll.mirGetDate($C$6,F15)</f>
        <v>47679</v>
      </c>
      <c r="H15" s="228">
        <f>'EUR Curve Config'!$AO20</f>
        <v>1.6576999999999998E-2</v>
      </c>
      <c r="I15" s="229">
        <f ca="1">IF(NOW(),_xll.mirGetParRate4($C$6,F15,$C$7,$C$16,$C$17,$C$18,$C$19,$C$20,$C$21,$C$22,$C$26,$C$27,$D$16,$D$17,$D$18,$D$19,$D$20,$D$21,$D$22,$D$23,$D$24,$D$25,$D$26,$D$27,$C$8,$C$9,$C$10,$C$11,$C$12),"")</f>
        <v>1.6577002831123962E-2</v>
      </c>
      <c r="J15" s="229">
        <f t="shared" ca="1" si="10"/>
        <v>2.831123963736859E-9</v>
      </c>
      <c r="K15" s="230">
        <f t="shared" ca="1" si="11"/>
        <v>2.831123963736859E-5</v>
      </c>
      <c r="L15" s="230" t="s">
        <v>12</v>
      </c>
      <c r="M15" s="230" t="s">
        <v>24</v>
      </c>
      <c r="N15" s="255">
        <f ca="1">IF(NOW(),_xll.mirSwapPV($C$3,$C$4,$C$6,$G15,$C$7,$I15+N$3,$C$16,$C$17,$C$18,$C$19,$C$20,$C$21,$C$22,$C$26,$C$27,$D$15,$D$16,$D$17,$D$18,$D$19,$D$20,$D$21,$D$22,$D$23,$D$24,$D$25,$D$26,$D$27,$C$8,$C$9,$C$10,$C$11,$C$12),"")</f>
        <v>692615.23399544926</v>
      </c>
      <c r="O15" s="255">
        <f ca="1">IF(NOW(),_xll.mirSwapPV($C$3,$C$4,$C$6,$G15,$C$7,$I15+O$3,$C$16,$C$17,$C$18,$C$19,$C$20,$C$21,$C$22,$C$26,$C$27,$D$15,$D$16,$D$17,$D$18,$D$19,$D$20,$D$21,$D$22,$D$23,$D$24,$D$25,$D$26,$D$27,$C$8,$C$9,$C$10,$C$11,$C$12),"")</f>
        <v>554092.18719635939</v>
      </c>
      <c r="P15" s="255">
        <f ca="1">IF(NOW(),_xll.mirSwapPV($C$3,$C$4,$C$6,$G15,$C$7,$I15+P$3,$C$16,$C$17,$C$18,$C$19,$C$20,$C$21,$C$22,$C$26,$C$27,$D$15,$D$16,$D$17,$D$18,$D$19,$D$20,$D$21,$D$22,$D$23,$D$24,$D$25,$D$26,$D$27,$C$8,$C$9,$C$10,$C$11,$C$12),"")</f>
        <v>415569.14039726957</v>
      </c>
      <c r="Q15" s="255">
        <f ca="1">IF(NOW(),_xll.mirSwapPV($C$3,$C$4,$C$6,$G15,$C$7,$I15+Q$3,$C$16,$C$17,$C$18,$C$19,$C$20,$C$21,$C$22,$C$26,$C$27,$D$15,$D$16,$D$17,$D$18,$D$19,$D$20,$D$21,$D$22,$D$23,$D$24,$D$25,$D$26,$D$27,$C$8,$C$9,$C$10,$C$11,$C$12),"")</f>
        <v>277046.09359817969</v>
      </c>
      <c r="R15" s="255">
        <f ca="1">IF(NOW(),_xll.mirSwapPV($C$3,$C$4,$C$6,$G15,$C$7,$I15+R$3,$C$16,$C$17,$C$18,$C$19,$C$20,$C$21,$C$22,$C$26,$C$27,$D$15,$D$16,$D$17,$D$18,$D$19,$D$20,$D$21,$D$22,$D$23,$D$24,$D$25,$D$26,$D$27,$C$8,$C$9,$C$10,$C$11,$C$12),"")</f>
        <v>138523.04679908982</v>
      </c>
      <c r="S15" s="255">
        <f ca="1">IF(NOW(),_xll.mirSwapPV($C$3,$C$4,$C$6,$G15,$C$7,$I15+S$3,$C$16,$C$17,$C$18,$C$19,$C$20,$C$21,$C$22,$C$26,$C$27,$D$15,$D$16,$D$17,$D$18,$D$19,$D$20,$D$21,$D$22,$D$23,$D$24,$D$25,$D$26,$D$27,$C$8,$C$9,$C$10,$C$11,$C$12),"")</f>
        <v>0</v>
      </c>
      <c r="T15" s="255">
        <f ca="1">IF(NOW(),_xll.mirSwapPV($C$3,$C$4,$C$6,$G15,$C$7,$I15+T$3,$C$16,$C$17,$C$18,$C$19,$C$20,$C$21,$C$22,$C$26,$C$27,$D$15,$D$16,$D$17,$D$18,$D$19,$D$20,$D$21,$D$22,$D$23,$D$24,$D$25,$D$26,$D$27,$C$8,$C$9,$C$10,$C$11,$C$12),"")</f>
        <v>-138523.04679908988</v>
      </c>
      <c r="U15" s="255">
        <f ca="1">IF(NOW(),_xll.mirSwapPV($C$3,$C$4,$C$6,$G15,$C$7,$I15+U$3,$C$16,$C$17,$C$18,$C$19,$C$20,$C$21,$C$22,$C$26,$C$27,$D$15,$D$16,$D$17,$D$18,$D$19,$D$20,$D$21,$D$22,$D$23,$D$24,$D$25,$D$26,$D$27,$C$8,$C$9,$C$10,$C$11,$C$12),"")</f>
        <v>-277046.09359817969</v>
      </c>
      <c r="V15" s="255">
        <f ca="1">IF(NOW(),_xll.mirSwapPV($C$3,$C$4,$C$6,$G15,$C$7,$I15+V$3,$C$16,$C$17,$C$18,$C$19,$C$20,$C$21,$C$22,$C$26,$C$27,$D$15,$D$16,$D$17,$D$18,$D$19,$D$20,$D$21,$D$22,$D$23,$D$24,$D$25,$D$26,$D$27,$C$8,$C$9,$C$10,$C$11,$C$12),"")</f>
        <v>-415569.14039726957</v>
      </c>
      <c r="W15" s="255">
        <f ca="1">IF(NOW(),_xll.mirSwapPV($C$3,$C$4,$C$6,$G15,$C$7,$I15+W$3,$C$16,$C$17,$C$18,$C$19,$C$20,$C$21,$C$22,$C$26,$C$27,$D$15,$D$16,$D$17,$D$18,$D$19,$D$20,$D$21,$D$22,$D$23,$D$24,$D$25,$D$26,$D$27,$C$8,$C$9,$C$10,$C$11,$C$12),"")</f>
        <v>-554092.18719635939</v>
      </c>
      <c r="X15" s="255">
        <f ca="1">IF(NOW(),_xll.mirSwapPV($C$3,$C$4,$C$6,$G15,$C$7,$I15+X$3,$C$16,$C$17,$C$18,$C$19,$C$20,$C$21,$C$22,$C$26,$C$27,$D$15,$D$16,$D$17,$D$18,$D$19,$D$20,$D$21,$D$22,$D$23,$D$24,$D$25,$D$26,$D$27,$C$8,$C$9,$C$10,$C$11,$C$12),"")</f>
        <v>-692615.23399544938</v>
      </c>
      <c r="Y15" s="230" t="s">
        <v>12</v>
      </c>
      <c r="Z15" s="224" t="s">
        <v>24</v>
      </c>
      <c r="AA15" s="227">
        <f>_xll.mirGetDate($C$6,Z15)</f>
        <v>47679</v>
      </c>
      <c r="AB15" s="228">
        <f>'EUR Curve Config'!$AO20</f>
        <v>1.6576999999999998E-2</v>
      </c>
      <c r="AC15" s="229">
        <f ca="1">IF(NOW(),_xll.mirGetParRate4($C$6,Z15,$C$7,$C$16,$C$17,$C$18,$C$19,$C$20,$C$21,$C$22,$C$26,$C$27,$D$16,$D$17,$D$18,$D$19,$D$20,$D$21,$D$22,$D$23,$D$24,$D$25,$D$26,$D$27,$C$8,$C$9,$C$10,$D$11,$C$12),"")</f>
        <v>1.6577002831123969E-2</v>
      </c>
      <c r="AD15" s="229">
        <f t="shared" ca="1" si="12"/>
        <v>2.8311239706757529E-9</v>
      </c>
      <c r="AE15" s="230">
        <f t="shared" ca="1" si="13"/>
        <v>2.8311239706757529E-5</v>
      </c>
      <c r="AG15" s="230" t="s">
        <v>24</v>
      </c>
      <c r="AH15" s="255">
        <f ca="1">IF(NOW(),_xll.mirSwapPV($C$3,$C$4,$C$6,$G15,$C$7,$I15+AH$3,$C$16,$C$17,$C$18,$C$19,$C$20,$C$21,$C$22,$C$26,$C$27,$D$15,$D$16,$D$17,$D$18,$D$19,$D$20,$D$21,$D$22,$D$23,$D$24,$D$25,$D$26,$D$27,$C$8,$C$9,$C$10,$D$11,$C$12),"")</f>
        <v>692615.2339954495</v>
      </c>
      <c r="AI15" s="255">
        <f ca="1">IF(NOW(),_xll.mirSwapPV($C$3,$C$4,$C$6,$G15,$C$7,$I15+AI$3,$C$16,$C$17,$C$18,$C$19,$C$20,$C$21,$C$22,$C$26,$C$27,$D$15,$D$16,$D$17,$D$18,$D$19,$D$20,$D$21,$D$22,$D$23,$D$24,$D$25,$D$26,$D$27,$C$8,$C$9,$C$10,$D$11,$C$12),"")</f>
        <v>554092.1871963595</v>
      </c>
      <c r="AJ15" s="255">
        <f ca="1">IF(NOW(),_xll.mirSwapPV($C$3,$C$4,$C$6,$G15,$C$7,$I15+AJ$3,$C$16,$C$17,$C$18,$C$19,$C$20,$C$21,$C$22,$C$26,$C$27,$D$15,$D$16,$D$17,$D$18,$D$19,$D$20,$D$21,$D$22,$D$23,$D$24,$D$25,$D$26,$D$27,$C$8,$C$9,$C$10,$D$11,$C$12),"")</f>
        <v>415569.14039726969</v>
      </c>
      <c r="AK15" s="255">
        <f ca="1">IF(NOW(),_xll.mirSwapPV($C$3,$C$4,$C$6,$G15,$C$7,$I15+AK$3,$C$16,$C$17,$C$18,$C$19,$C$20,$C$21,$C$22,$C$26,$C$27,$D$15,$D$16,$D$17,$D$18,$D$19,$D$20,$D$21,$D$22,$D$23,$D$24,$D$25,$D$26,$D$27,$C$8,$C$9,$C$10,$D$11,$C$12),"")</f>
        <v>277046.09359817975</v>
      </c>
      <c r="AL15" s="255">
        <f ca="1">IF(NOW(),_xll.mirSwapPV($C$3,$C$4,$C$6,$G15,$C$7,$I15+AL$3,$C$16,$C$17,$C$18,$C$19,$C$20,$C$21,$C$22,$C$26,$C$27,$D$15,$D$16,$D$17,$D$18,$D$19,$D$20,$D$21,$D$22,$D$23,$D$24,$D$25,$D$26,$D$27,$C$8,$C$9,$C$10,$D$11,$C$12),"")</f>
        <v>138523.04679908991</v>
      </c>
      <c r="AM15" s="255">
        <f ca="1">IF(NOW(),_xll.mirSwapPV($C$3,$C$4,$C$6,$G15,$C$7,$I15+AM$3,$C$16,$C$17,$C$18,$C$19,$C$20,$C$21,$C$22,$C$26,$C$27,$D$15,$D$16,$D$17,$D$18,$D$19,$D$20,$D$21,$D$22,$D$23,$D$24,$D$25,$D$26,$D$27,$C$8,$C$9,$C$10,$D$11,$C$12),"")</f>
        <v>1.1102230246251565E-10</v>
      </c>
      <c r="AN15" s="255">
        <f ca="1">IF(NOW(),_xll.mirSwapPV($C$3,$C$4,$C$6,$G15,$C$7,$I15+AN$3,$C$16,$C$17,$C$18,$C$19,$C$20,$C$21,$C$22,$C$26,$C$27,$D$15,$D$16,$D$17,$D$18,$D$19,$D$20,$D$21,$D$22,$D$23,$D$24,$D$25,$D$26,$D$27,$C$8,$C$9,$C$10,$D$11,$C$12),"")</f>
        <v>-138523.04679908979</v>
      </c>
      <c r="AO15" s="255">
        <f ca="1">IF(NOW(),_xll.mirSwapPV($C$3,$C$4,$C$6,$G15,$C$7,$I15+AO$3,$C$16,$C$17,$C$18,$C$19,$C$20,$C$21,$C$22,$C$26,$C$27,$D$15,$D$16,$D$17,$D$18,$D$19,$D$20,$D$21,$D$22,$D$23,$D$24,$D$25,$D$26,$D$27,$C$8,$C$9,$C$10,$D$11,$C$12),"")</f>
        <v>-277046.09359817958</v>
      </c>
      <c r="AP15" s="255">
        <f ca="1">IF(NOW(),_xll.mirSwapPV($C$3,$C$4,$C$6,$G15,$C$7,$I15+AP$3,$C$16,$C$17,$C$18,$C$19,$C$20,$C$21,$C$22,$C$26,$C$27,$D$15,$D$16,$D$17,$D$18,$D$19,$D$20,$D$21,$D$22,$D$23,$D$24,$D$25,$D$26,$D$27,$C$8,$C$9,$C$10,$D$11,$C$12),"")</f>
        <v>-415569.14039726945</v>
      </c>
      <c r="AQ15" s="255">
        <f ca="1">IF(NOW(),_xll.mirSwapPV($C$3,$C$4,$C$6,$G15,$C$7,$I15+AQ$3,$C$16,$C$17,$C$18,$C$19,$C$20,$C$21,$C$22,$C$26,$C$27,$D$15,$D$16,$D$17,$D$18,$D$19,$D$20,$D$21,$D$22,$D$23,$D$24,$D$25,$D$26,$D$27,$C$8,$C$9,$C$10,$D$11,$C$12),"")</f>
        <v>-554092.18719635927</v>
      </c>
      <c r="AR15" s="255">
        <f ca="1">IF(NOW(),_xll.mirSwapPV($C$3,$C$4,$C$6,$G15,$C$7,$I15+AR$3,$C$16,$C$17,$C$18,$C$19,$C$20,$C$21,$C$22,$C$26,$C$27,$D$15,$D$16,$D$17,$D$18,$D$19,$D$20,$D$21,$D$22,$D$23,$D$24,$D$25,$D$26,$D$27,$C$8,$C$9,$C$10,$D$11,$C$12),"")</f>
        <v>-692615.23399544926</v>
      </c>
    </row>
    <row r="16" spans="2:44">
      <c r="B16" s="234" t="s">
        <v>122</v>
      </c>
      <c r="C16" s="240" t="s">
        <v>152</v>
      </c>
      <c r="D16" s="240" t="s">
        <v>78</v>
      </c>
      <c r="E16" s="227"/>
      <c r="F16" s="224" t="s">
        <v>20</v>
      </c>
      <c r="G16" s="227">
        <f>_xll.mirGetDate($C$6,F16)</f>
        <v>49505</v>
      </c>
      <c r="H16" s="228">
        <f>'EUR Curve Config'!$AO21</f>
        <v>1.806E-2</v>
      </c>
      <c r="I16" s="229">
        <f ca="1">IF(NOW(),_xll.mirGetParRate4($C$6,F16,$C$7,$C$16,$C$17,$C$18,$C$19,$C$20,$C$21,$C$22,$C$26,$C$27,$D$16,$D$17,$D$18,$D$19,$D$20,$D$21,$D$22,$D$23,$D$24,$D$25,$D$26,$D$27,$C$8,$C$9,$C$10,$C$11,$C$12),"")</f>
        <v>1.806000094632125E-2</v>
      </c>
      <c r="J16" s="229">
        <f t="shared" ca="1" si="10"/>
        <v>9.4632125052784843E-10</v>
      </c>
      <c r="K16" s="230">
        <f t="shared" ca="1" si="11"/>
        <v>9.4632125052784843E-6</v>
      </c>
      <c r="L16" s="230" t="s">
        <v>12</v>
      </c>
      <c r="M16" s="230" t="s">
        <v>20</v>
      </c>
      <c r="N16" s="255">
        <f ca="1">IF(NOW(),_xll.mirSwapPV($C$3,$C$4,$C$6,$G16,$C$7,$I16+N$3,$C$16,$C$17,$C$18,$C$19,$C$20,$C$21,$C$22,$C$26,$C$27,$D$15,$D$16,$D$17,$D$18,$D$19,$D$20,$D$21,$D$22,$D$23,$D$24,$D$25,$D$26,$D$27,$C$8,$C$9,$C$10,$C$11,$C$12),"")</f>
        <v>879086.65850046882</v>
      </c>
      <c r="O16" s="255">
        <f ca="1">IF(NOW(),_xll.mirSwapPV($C$3,$C$4,$C$6,$G16,$C$7,$I16+O$3,$C$16,$C$17,$C$18,$C$19,$C$20,$C$21,$C$22,$C$26,$C$27,$D$15,$D$16,$D$17,$D$18,$D$19,$D$20,$D$21,$D$22,$D$23,$D$24,$D$25,$D$26,$D$27,$C$8,$C$9,$C$10,$C$11,$C$12),"")</f>
        <v>703269.32680037513</v>
      </c>
      <c r="P16" s="255">
        <f ca="1">IF(NOW(),_xll.mirSwapPV($C$3,$C$4,$C$6,$G16,$C$7,$I16+P$3,$C$16,$C$17,$C$18,$C$19,$C$20,$C$21,$C$22,$C$26,$C$27,$D$15,$D$16,$D$17,$D$18,$D$19,$D$20,$D$21,$D$22,$D$23,$D$24,$D$25,$D$26,$D$27,$C$8,$C$9,$C$10,$C$11,$C$12),"")</f>
        <v>527451.99510028132</v>
      </c>
      <c r="Q16" s="255">
        <f ca="1">IF(NOW(),_xll.mirSwapPV($C$3,$C$4,$C$6,$G16,$C$7,$I16+Q$3,$C$16,$C$17,$C$18,$C$19,$C$20,$C$21,$C$22,$C$26,$C$27,$D$15,$D$16,$D$17,$D$18,$D$19,$D$20,$D$21,$D$22,$D$23,$D$24,$D$25,$D$26,$D$27,$C$8,$C$9,$C$10,$C$11,$C$12),"")</f>
        <v>351634.66340018745</v>
      </c>
      <c r="R16" s="255">
        <f ca="1">IF(NOW(),_xll.mirSwapPV($C$3,$C$4,$C$6,$G16,$C$7,$I16+R$3,$C$16,$C$17,$C$18,$C$19,$C$20,$C$21,$C$22,$C$26,$C$27,$D$15,$D$16,$D$17,$D$18,$D$19,$D$20,$D$21,$D$22,$D$23,$D$24,$D$25,$D$26,$D$27,$C$8,$C$9,$C$10,$C$11,$C$12),"")</f>
        <v>175817.33170009372</v>
      </c>
      <c r="S16" s="255">
        <f ca="1">IF(NOW(),_xll.mirSwapPV($C$3,$C$4,$C$6,$G16,$C$7,$I16+S$3,$C$16,$C$17,$C$18,$C$19,$C$20,$C$21,$C$22,$C$26,$C$27,$D$15,$D$16,$D$17,$D$18,$D$19,$D$20,$D$21,$D$22,$D$23,$D$24,$D$25,$D$26,$D$27,$C$8,$C$9,$C$10,$C$11,$C$12),"")</f>
        <v>0</v>
      </c>
      <c r="T16" s="255">
        <f ca="1">IF(NOW(),_xll.mirSwapPV($C$3,$C$4,$C$6,$G16,$C$7,$I16+T$3,$C$16,$C$17,$C$18,$C$19,$C$20,$C$21,$C$22,$C$26,$C$27,$D$15,$D$16,$D$17,$D$18,$D$19,$D$20,$D$21,$D$22,$D$23,$D$24,$D$25,$D$26,$D$27,$C$8,$C$9,$C$10,$C$11,$C$12),"")</f>
        <v>-175817.33170009378</v>
      </c>
      <c r="U16" s="255">
        <f ca="1">IF(NOW(),_xll.mirSwapPV($C$3,$C$4,$C$6,$G16,$C$7,$I16+U$3,$C$16,$C$17,$C$18,$C$19,$C$20,$C$21,$C$22,$C$26,$C$27,$D$15,$D$16,$D$17,$D$18,$D$19,$D$20,$D$21,$D$22,$D$23,$D$24,$D$25,$D$26,$D$27,$C$8,$C$9,$C$10,$C$11,$C$12),"")</f>
        <v>-351634.66340018756</v>
      </c>
      <c r="V16" s="255">
        <f ca="1">IF(NOW(),_xll.mirSwapPV($C$3,$C$4,$C$6,$G16,$C$7,$I16+V$3,$C$16,$C$17,$C$18,$C$19,$C$20,$C$21,$C$22,$C$26,$C$27,$D$15,$D$16,$D$17,$D$18,$D$19,$D$20,$D$21,$D$22,$D$23,$D$24,$D$25,$D$26,$D$27,$C$8,$C$9,$C$10,$C$11,$C$12),"")</f>
        <v>-527451.9951002812</v>
      </c>
      <c r="W16" s="255">
        <f ca="1">IF(NOW(),_xll.mirSwapPV($C$3,$C$4,$C$6,$G16,$C$7,$I16+W$3,$C$16,$C$17,$C$18,$C$19,$C$20,$C$21,$C$22,$C$26,$C$27,$D$15,$D$16,$D$17,$D$18,$D$19,$D$20,$D$21,$D$22,$D$23,$D$24,$D$25,$D$26,$D$27,$C$8,$C$9,$C$10,$C$11,$C$12),"")</f>
        <v>-703269.3268003749</v>
      </c>
      <c r="X16" s="255">
        <f ca="1">IF(NOW(),_xll.mirSwapPV($C$3,$C$4,$C$6,$G16,$C$7,$I16+X$3,$C$16,$C$17,$C$18,$C$19,$C$20,$C$21,$C$22,$C$26,$C$27,$D$15,$D$16,$D$17,$D$18,$D$19,$D$20,$D$21,$D$22,$D$23,$D$24,$D$25,$D$26,$D$27,$C$8,$C$9,$C$10,$C$11,$C$12),"")</f>
        <v>-879086.65850046882</v>
      </c>
      <c r="Y16" s="230" t="s">
        <v>12</v>
      </c>
      <c r="Z16" s="224" t="s">
        <v>20</v>
      </c>
      <c r="AA16" s="227">
        <f>_xll.mirGetDate($C$6,Z16)</f>
        <v>49505</v>
      </c>
      <c r="AB16" s="228">
        <f>'EUR Curve Config'!$AO21</f>
        <v>1.806E-2</v>
      </c>
      <c r="AC16" s="229">
        <f ca="1">IF(NOW(),_xll.mirGetParRate4($C$6,Z16,$C$7,$C$16,$C$17,$C$18,$C$19,$C$20,$C$21,$C$22,$C$26,$C$27,$D$16,$D$17,$D$18,$D$19,$D$20,$D$21,$D$22,$D$23,$D$24,$D$25,$D$26,$D$27,$C$8,$C$9,$C$10,$D$11,$C$12),"")</f>
        <v>1.8060000946321254E-2</v>
      </c>
      <c r="AD16" s="229">
        <f t="shared" ca="1" si="12"/>
        <v>9.4632125399729539E-10</v>
      </c>
      <c r="AE16" s="230">
        <f t="shared" ca="1" si="13"/>
        <v>9.4632125399729539E-6</v>
      </c>
      <c r="AG16" s="230" t="s">
        <v>20</v>
      </c>
      <c r="AH16" s="255">
        <f ca="1">IF(NOW(),_xll.mirSwapPV($C$3,$C$4,$C$6,$G16,$C$7,$I16+AH$3,$C$16,$C$17,$C$18,$C$19,$C$20,$C$21,$C$22,$C$26,$C$27,$D$15,$D$16,$D$17,$D$18,$D$19,$D$20,$D$21,$D$22,$D$23,$D$24,$D$25,$D$26,$D$27,$C$8,$C$9,$C$10,$D$11,$C$12),"")</f>
        <v>879086.65850046882</v>
      </c>
      <c r="AI16" s="255">
        <f ca="1">IF(NOW(),_xll.mirSwapPV($C$3,$C$4,$C$6,$G16,$C$7,$I16+AI$3,$C$16,$C$17,$C$18,$C$19,$C$20,$C$21,$C$22,$C$26,$C$27,$D$15,$D$16,$D$17,$D$18,$D$19,$D$20,$D$21,$D$22,$D$23,$D$24,$D$25,$D$26,$D$27,$C$8,$C$9,$C$10,$D$11,$C$12),"")</f>
        <v>703269.32680037513</v>
      </c>
      <c r="AJ16" s="255">
        <f ca="1">IF(NOW(),_xll.mirSwapPV($C$3,$C$4,$C$6,$G16,$C$7,$I16+AJ$3,$C$16,$C$17,$C$18,$C$19,$C$20,$C$21,$C$22,$C$26,$C$27,$D$15,$D$16,$D$17,$D$18,$D$19,$D$20,$D$21,$D$22,$D$23,$D$24,$D$25,$D$26,$D$27,$C$8,$C$9,$C$10,$D$11,$C$12),"")</f>
        <v>527451.99510028132</v>
      </c>
      <c r="AK16" s="255">
        <f ca="1">IF(NOW(),_xll.mirSwapPV($C$3,$C$4,$C$6,$G16,$C$7,$I16+AK$3,$C$16,$C$17,$C$18,$C$19,$C$20,$C$21,$C$22,$C$26,$C$27,$D$15,$D$16,$D$17,$D$18,$D$19,$D$20,$D$21,$D$22,$D$23,$D$24,$D$25,$D$26,$D$27,$C$8,$C$9,$C$10,$D$11,$C$12),"")</f>
        <v>351634.66340018751</v>
      </c>
      <c r="AL16" s="255">
        <f ca="1">IF(NOW(),_xll.mirSwapPV($C$3,$C$4,$C$6,$G16,$C$7,$I16+AL$3,$C$16,$C$17,$C$18,$C$19,$C$20,$C$21,$C$22,$C$26,$C$27,$D$15,$D$16,$D$17,$D$18,$D$19,$D$20,$D$21,$D$22,$D$23,$D$24,$D$25,$D$26,$D$27,$C$8,$C$9,$C$10,$D$11,$C$12),"")</f>
        <v>175817.33170009378</v>
      </c>
      <c r="AM16" s="255">
        <f ca="1">IF(NOW(),_xll.mirSwapPV($C$3,$C$4,$C$6,$G16,$C$7,$I16+AM$3,$C$16,$C$17,$C$18,$C$19,$C$20,$C$21,$C$22,$C$26,$C$27,$D$15,$D$16,$D$17,$D$18,$D$19,$D$20,$D$21,$D$22,$D$23,$D$24,$D$25,$D$26,$D$27,$C$8,$C$9,$C$10,$D$11,$C$12),"")</f>
        <v>5.5511151231257827E-11</v>
      </c>
      <c r="AN16" s="255">
        <f ca="1">IF(NOW(),_xll.mirSwapPV($C$3,$C$4,$C$6,$G16,$C$7,$I16+AN$3,$C$16,$C$17,$C$18,$C$19,$C$20,$C$21,$C$22,$C$26,$C$27,$D$15,$D$16,$D$17,$D$18,$D$19,$D$20,$D$21,$D$22,$D$23,$D$24,$D$25,$D$26,$D$27,$C$8,$C$9,$C$10,$D$11,$C$12),"")</f>
        <v>-175817.33170009372</v>
      </c>
      <c r="AO16" s="255">
        <f ca="1">IF(NOW(),_xll.mirSwapPV($C$3,$C$4,$C$6,$G16,$C$7,$I16+AO$3,$C$16,$C$17,$C$18,$C$19,$C$20,$C$21,$C$22,$C$26,$C$27,$D$15,$D$16,$D$17,$D$18,$D$19,$D$20,$D$21,$D$22,$D$23,$D$24,$D$25,$D$26,$D$27,$C$8,$C$9,$C$10,$D$11,$C$12),"")</f>
        <v>-351634.66340018751</v>
      </c>
      <c r="AP16" s="255">
        <f ca="1">IF(NOW(),_xll.mirSwapPV($C$3,$C$4,$C$6,$G16,$C$7,$I16+AP$3,$C$16,$C$17,$C$18,$C$19,$C$20,$C$21,$C$22,$C$26,$C$27,$D$15,$D$16,$D$17,$D$18,$D$19,$D$20,$D$21,$D$22,$D$23,$D$24,$D$25,$D$26,$D$27,$C$8,$C$9,$C$10,$D$11,$C$12),"")</f>
        <v>-527451.9951002812</v>
      </c>
      <c r="AQ16" s="255">
        <f ca="1">IF(NOW(),_xll.mirSwapPV($C$3,$C$4,$C$6,$G16,$C$7,$I16+AQ$3,$C$16,$C$17,$C$18,$C$19,$C$20,$C$21,$C$22,$C$26,$C$27,$D$15,$D$16,$D$17,$D$18,$D$19,$D$20,$D$21,$D$22,$D$23,$D$24,$D$25,$D$26,$D$27,$C$8,$C$9,$C$10,$D$11,$C$12),"")</f>
        <v>-703269.3268003749</v>
      </c>
      <c r="AR16" s="255">
        <f ca="1">IF(NOW(),_xll.mirSwapPV($C$3,$C$4,$C$6,$G16,$C$7,$I16+AR$3,$C$16,$C$17,$C$18,$C$19,$C$20,$C$21,$C$22,$C$26,$C$27,$D$15,$D$16,$D$17,$D$18,$D$19,$D$20,$D$21,$D$22,$D$23,$D$24,$D$25,$D$26,$D$27,$C$8,$C$9,$C$10,$D$11,$C$12),"")</f>
        <v>-879086.65850046882</v>
      </c>
    </row>
    <row r="17" spans="2:44">
      <c r="B17" s="234" t="s">
        <v>130</v>
      </c>
      <c r="C17" s="241" t="s">
        <v>163</v>
      </c>
      <c r="D17" s="241" t="s">
        <v>3</v>
      </c>
      <c r="E17" s="242"/>
      <c r="F17" s="224" t="s">
        <v>18</v>
      </c>
      <c r="G17" s="227">
        <f>_xll.mirGetDate($C$6,F17)</f>
        <v>51332</v>
      </c>
      <c r="H17" s="228">
        <f>'EUR Curve Config'!$AO22</f>
        <v>1.8381999999999999E-2</v>
      </c>
      <c r="I17" s="229">
        <f ca="1">IF(NOW(),_xll.mirGetParRate4($C$6,F17,$C$7,$C$16,$C$17,$C$18,$C$19,$C$20,$C$21,$C$22,$C$26,$C$27,$D$16,$D$17,$D$18,$D$19,$D$20,$D$21,$D$22,$D$23,$D$24,$D$25,$D$26,$D$27,$C$8,$C$9,$C$10,$C$11,$C$12),"")</f>
        <v>1.8381997727570959E-2</v>
      </c>
      <c r="J17" s="229">
        <f t="shared" ca="1" si="10"/>
        <v>-2.2724290400788494E-9</v>
      </c>
      <c r="K17" s="230">
        <f t="shared" ca="1" si="11"/>
        <v>-2.2724290400788494E-5</v>
      </c>
      <c r="L17" s="230" t="s">
        <v>12</v>
      </c>
      <c r="M17" s="230" t="s">
        <v>18</v>
      </c>
      <c r="N17" s="255">
        <f ca="1">IF(NOW(),_xll.mirSwapPV($C$3,$C$4,$C$6,$G17,$C$7,$I17+N$3,$C$16,$C$17,$C$18,$C$19,$C$20,$C$21,$C$22,$C$26,$C$27,$D$15,$D$16,$D$17,$D$18,$D$19,$D$20,$D$21,$D$22,$D$23,$D$24,$D$25,$D$26,$D$27,$C$8,$C$9,$C$10,$C$11,$C$12),"")</f>
        <v>1047182.7946827149</v>
      </c>
      <c r="O17" s="255">
        <f ca="1">IF(NOW(),_xll.mirSwapPV($C$3,$C$4,$C$6,$G17,$C$7,$I17+O$3,$C$16,$C$17,$C$18,$C$19,$C$20,$C$21,$C$22,$C$26,$C$27,$D$15,$D$16,$D$17,$D$18,$D$19,$D$20,$D$21,$D$22,$D$23,$D$24,$D$25,$D$26,$D$27,$C$8,$C$9,$C$10,$C$11,$C$12),"")</f>
        <v>837746.23574617179</v>
      </c>
      <c r="P17" s="255">
        <f ca="1">IF(NOW(),_xll.mirSwapPV($C$3,$C$4,$C$6,$G17,$C$7,$I17+P$3,$C$16,$C$17,$C$18,$C$19,$C$20,$C$21,$C$22,$C$26,$C$27,$D$15,$D$16,$D$17,$D$18,$D$19,$D$20,$D$21,$D$22,$D$23,$D$24,$D$25,$D$26,$D$27,$C$8,$C$9,$C$10,$C$11,$C$12),"")</f>
        <v>628309.67680962884</v>
      </c>
      <c r="Q17" s="255">
        <f ca="1">IF(NOW(),_xll.mirSwapPV($C$3,$C$4,$C$6,$G17,$C$7,$I17+Q$3,$C$16,$C$17,$C$18,$C$19,$C$20,$C$21,$C$22,$C$26,$C$27,$D$15,$D$16,$D$17,$D$18,$D$19,$D$20,$D$21,$D$22,$D$23,$D$24,$D$25,$D$26,$D$27,$C$8,$C$9,$C$10,$C$11,$C$12),"")</f>
        <v>418873.11787308584</v>
      </c>
      <c r="R17" s="255">
        <f ca="1">IF(NOW(),_xll.mirSwapPV($C$3,$C$4,$C$6,$G17,$C$7,$I17+R$3,$C$16,$C$17,$C$18,$C$19,$C$20,$C$21,$C$22,$C$26,$C$27,$D$15,$D$16,$D$17,$D$18,$D$19,$D$20,$D$21,$D$22,$D$23,$D$24,$D$25,$D$26,$D$27,$C$8,$C$9,$C$10,$C$11,$C$12),"")</f>
        <v>209436.55893654289</v>
      </c>
      <c r="S17" s="255">
        <f ca="1">IF(NOW(),_xll.mirSwapPV($C$3,$C$4,$C$6,$G17,$C$7,$I17+S$3,$C$16,$C$17,$C$18,$C$19,$C$20,$C$21,$C$22,$C$26,$C$27,$D$15,$D$16,$D$17,$D$18,$D$19,$D$20,$D$21,$D$22,$D$23,$D$24,$D$25,$D$26,$D$27,$C$8,$C$9,$C$10,$C$11,$C$12),"")</f>
        <v>0</v>
      </c>
      <c r="T17" s="255">
        <f ca="1">IF(NOW(),_xll.mirSwapPV($C$3,$C$4,$C$6,$G17,$C$7,$I17+T$3,$C$16,$C$17,$C$18,$C$19,$C$20,$C$21,$C$22,$C$26,$C$27,$D$15,$D$16,$D$17,$D$18,$D$19,$D$20,$D$21,$D$22,$D$23,$D$24,$D$25,$D$26,$D$27,$C$8,$C$9,$C$10,$C$11,$C$12),"")</f>
        <v>-209436.55893654301</v>
      </c>
      <c r="U17" s="255">
        <f ca="1">IF(NOW(),_xll.mirSwapPV($C$3,$C$4,$C$6,$G17,$C$7,$I17+U$3,$C$16,$C$17,$C$18,$C$19,$C$20,$C$21,$C$22,$C$26,$C$27,$D$15,$D$16,$D$17,$D$18,$D$19,$D$20,$D$21,$D$22,$D$23,$D$24,$D$25,$D$26,$D$27,$C$8,$C$9,$C$10,$C$11,$C$12),"")</f>
        <v>-418873.11787308601</v>
      </c>
      <c r="V17" s="255">
        <f ca="1">IF(NOW(),_xll.mirSwapPV($C$3,$C$4,$C$6,$G17,$C$7,$I17+V$3,$C$16,$C$17,$C$18,$C$19,$C$20,$C$21,$C$22,$C$26,$C$27,$D$15,$D$16,$D$17,$D$18,$D$19,$D$20,$D$21,$D$22,$D$23,$D$24,$D$25,$D$26,$D$27,$C$8,$C$9,$C$10,$C$11,$C$12),"")</f>
        <v>-628309.67680962896</v>
      </c>
      <c r="W17" s="255">
        <f ca="1">IF(NOW(),_xll.mirSwapPV($C$3,$C$4,$C$6,$G17,$C$7,$I17+W$3,$C$16,$C$17,$C$18,$C$19,$C$20,$C$21,$C$22,$C$26,$C$27,$D$15,$D$16,$D$17,$D$18,$D$19,$D$20,$D$21,$D$22,$D$23,$D$24,$D$25,$D$26,$D$27,$C$8,$C$9,$C$10,$C$11,$C$12),"")</f>
        <v>-837746.23574617191</v>
      </c>
      <c r="X17" s="255">
        <f ca="1">IF(NOW(),_xll.mirSwapPV($C$3,$C$4,$C$6,$G17,$C$7,$I17+X$3,$C$16,$C$17,$C$18,$C$19,$C$20,$C$21,$C$22,$C$26,$C$27,$D$15,$D$16,$D$17,$D$18,$D$19,$D$20,$D$21,$D$22,$D$23,$D$24,$D$25,$D$26,$D$27,$C$8,$C$9,$C$10,$C$11,$C$12),"")</f>
        <v>-1047182.7946827146</v>
      </c>
      <c r="Y17" s="230" t="s">
        <v>12</v>
      </c>
      <c r="Z17" s="224" t="s">
        <v>18</v>
      </c>
      <c r="AA17" s="227">
        <f>_xll.mirGetDate($C$6,Z17)</f>
        <v>51332</v>
      </c>
      <c r="AB17" s="228">
        <f>'EUR Curve Config'!$AO22</f>
        <v>1.8381999999999999E-2</v>
      </c>
      <c r="AC17" s="229">
        <f ca="1">IF(NOW(),_xll.mirGetParRate4($C$6,Z17,$C$7,$C$16,$C$17,$C$18,$C$19,$C$20,$C$21,$C$22,$C$26,$C$27,$D$16,$D$17,$D$18,$D$19,$D$20,$D$21,$D$22,$D$23,$D$24,$D$25,$D$26,$D$27,$C$8,$C$9,$C$10,$D$11,$C$12),"")</f>
        <v>1.8381997727570955E-2</v>
      </c>
      <c r="AD17" s="229">
        <f t="shared" ca="1" si="12"/>
        <v>-2.2724290435482963E-9</v>
      </c>
      <c r="AE17" s="230">
        <f t="shared" ca="1" si="13"/>
        <v>-2.2724290435482963E-5</v>
      </c>
      <c r="AG17" s="230" t="s">
        <v>18</v>
      </c>
      <c r="AH17" s="255">
        <f ca="1">IF(NOW(),_xll.mirSwapPV($C$3,$C$4,$C$6,$G17,$C$7,$I17+AH$3,$C$16,$C$17,$C$18,$C$19,$C$20,$C$21,$C$22,$C$26,$C$27,$D$15,$D$16,$D$17,$D$18,$D$19,$D$20,$D$21,$D$22,$D$23,$D$24,$D$25,$D$26,$D$27,$C$8,$C$9,$C$10,$D$11,$C$12),"")</f>
        <v>1047182.7946827146</v>
      </c>
      <c r="AI17" s="255">
        <f ca="1">IF(NOW(),_xll.mirSwapPV($C$3,$C$4,$C$6,$G17,$C$7,$I17+AI$3,$C$16,$C$17,$C$18,$C$19,$C$20,$C$21,$C$22,$C$26,$C$27,$D$15,$D$16,$D$17,$D$18,$D$19,$D$20,$D$21,$D$22,$D$23,$D$24,$D$25,$D$26,$D$27,$C$8,$C$9,$C$10,$D$11,$C$12),"")</f>
        <v>837746.23574617179</v>
      </c>
      <c r="AJ17" s="255">
        <f ca="1">IF(NOW(),_xll.mirSwapPV($C$3,$C$4,$C$6,$G17,$C$7,$I17+AJ$3,$C$16,$C$17,$C$18,$C$19,$C$20,$C$21,$C$22,$C$26,$C$27,$D$15,$D$16,$D$17,$D$18,$D$19,$D$20,$D$21,$D$22,$D$23,$D$24,$D$25,$D$26,$D$27,$C$8,$C$9,$C$10,$D$11,$C$12),"")</f>
        <v>628309.67680962884</v>
      </c>
      <c r="AK17" s="255">
        <f ca="1">IF(NOW(),_xll.mirSwapPV($C$3,$C$4,$C$6,$G17,$C$7,$I17+AK$3,$C$16,$C$17,$C$18,$C$19,$C$20,$C$21,$C$22,$C$26,$C$27,$D$15,$D$16,$D$17,$D$18,$D$19,$D$20,$D$21,$D$22,$D$23,$D$24,$D$25,$D$26,$D$27,$C$8,$C$9,$C$10,$D$11,$C$12),"")</f>
        <v>418873.11787308572</v>
      </c>
      <c r="AL17" s="255">
        <f ca="1">IF(NOW(),_xll.mirSwapPV($C$3,$C$4,$C$6,$G17,$C$7,$I17+AL$3,$C$16,$C$17,$C$18,$C$19,$C$20,$C$21,$C$22,$C$26,$C$27,$D$15,$D$16,$D$17,$D$18,$D$19,$D$20,$D$21,$D$22,$D$23,$D$24,$D$25,$D$26,$D$27,$C$8,$C$9,$C$10,$D$11,$C$12),"")</f>
        <v>209436.55893654277</v>
      </c>
      <c r="AM17" s="255">
        <f ca="1">IF(NOW(),_xll.mirSwapPV($C$3,$C$4,$C$6,$G17,$C$7,$I17+AM$3,$C$16,$C$17,$C$18,$C$19,$C$20,$C$21,$C$22,$C$26,$C$27,$D$15,$D$16,$D$17,$D$18,$D$19,$D$20,$D$21,$D$22,$D$23,$D$24,$D$25,$D$26,$D$27,$C$8,$C$9,$C$10,$D$11,$C$12),"")</f>
        <v>-1.1102230246251565E-10</v>
      </c>
      <c r="AN17" s="255">
        <f ca="1">IF(NOW(),_xll.mirSwapPV($C$3,$C$4,$C$6,$G17,$C$7,$I17+AN$3,$C$16,$C$17,$C$18,$C$19,$C$20,$C$21,$C$22,$C$26,$C$27,$D$15,$D$16,$D$17,$D$18,$D$19,$D$20,$D$21,$D$22,$D$23,$D$24,$D$25,$D$26,$D$27,$C$8,$C$9,$C$10,$D$11,$C$12),"")</f>
        <v>-209436.55893654312</v>
      </c>
      <c r="AO17" s="255">
        <f ca="1">IF(NOW(),_xll.mirSwapPV($C$3,$C$4,$C$6,$G17,$C$7,$I17+AO$3,$C$16,$C$17,$C$18,$C$19,$C$20,$C$21,$C$22,$C$26,$C$27,$D$15,$D$16,$D$17,$D$18,$D$19,$D$20,$D$21,$D$22,$D$23,$D$24,$D$25,$D$26,$D$27,$C$8,$C$9,$C$10,$D$11,$C$12),"")</f>
        <v>-418873.11787308613</v>
      </c>
      <c r="AP17" s="255">
        <f ca="1">IF(NOW(),_xll.mirSwapPV($C$3,$C$4,$C$6,$G17,$C$7,$I17+AP$3,$C$16,$C$17,$C$18,$C$19,$C$20,$C$21,$C$22,$C$26,$C$27,$D$15,$D$16,$D$17,$D$18,$D$19,$D$20,$D$21,$D$22,$D$23,$D$24,$D$25,$D$26,$D$27,$C$8,$C$9,$C$10,$D$11,$C$12),"")</f>
        <v>-628309.67680962896</v>
      </c>
      <c r="AQ17" s="255">
        <f ca="1">IF(NOW(),_xll.mirSwapPV($C$3,$C$4,$C$6,$G17,$C$7,$I17+AQ$3,$C$16,$C$17,$C$18,$C$19,$C$20,$C$21,$C$22,$C$26,$C$27,$D$15,$D$16,$D$17,$D$18,$D$19,$D$20,$D$21,$D$22,$D$23,$D$24,$D$25,$D$26,$D$27,$C$8,$C$9,$C$10,$D$11,$C$12),"")</f>
        <v>-837746.23574617202</v>
      </c>
      <c r="AR17" s="255">
        <f ca="1">IF(NOW(),_xll.mirSwapPV($C$3,$C$4,$C$6,$G17,$C$7,$I17+AR$3,$C$16,$C$17,$C$18,$C$19,$C$20,$C$21,$C$22,$C$26,$C$27,$D$15,$D$16,$D$17,$D$18,$D$19,$D$20,$D$21,$D$22,$D$23,$D$24,$D$25,$D$26,$D$27,$C$8,$C$9,$C$10,$D$11,$C$12),"")</f>
        <v>-1047182.7946827149</v>
      </c>
    </row>
    <row r="18" spans="2:44">
      <c r="B18" s="234" t="s">
        <v>443</v>
      </c>
      <c r="C18" s="240" t="s">
        <v>40</v>
      </c>
      <c r="D18" s="240" t="s">
        <v>40</v>
      </c>
      <c r="E18" s="224"/>
      <c r="F18" s="224" t="s">
        <v>17</v>
      </c>
      <c r="G18" s="227">
        <f>_xll.mirGetDate($C$6,F18)</f>
        <v>53158</v>
      </c>
      <c r="H18" s="228">
        <f>'EUR Curve Config'!$AO23</f>
        <v>1.8489999999999999E-2</v>
      </c>
      <c r="I18" s="229">
        <f ca="1">IF(NOW(),_xll.mirGetParRate4($C$6,F18,$C$7,$C$16,$C$17,$C$18,$C$19,$C$20,$C$21,$C$22,$C$26,$C$27,$D$16,$D$17,$D$18,$D$19,$D$20,$D$21,$D$22,$D$23,$D$24,$D$25,$D$26,$D$27,$C$8,$C$9,$C$10,$C$11,$C$12),"")</f>
        <v>1.8489999277909661E-2</v>
      </c>
      <c r="J18" s="229">
        <f t="shared" ca="1" si="10"/>
        <v>-7.2209033891157404E-10</v>
      </c>
      <c r="K18" s="230">
        <f t="shared" ca="1" si="11"/>
        <v>-7.2209033891157404E-6</v>
      </c>
      <c r="L18" s="230" t="s">
        <v>12</v>
      </c>
      <c r="M18" s="230" t="s">
        <v>17</v>
      </c>
      <c r="N18" s="255">
        <f ca="1">IF(NOW(),_xll.mirSwapPV($C$3,$C$4,$C$6,$G18,$C$7,$I18+N$3,$C$16,$C$17,$C$18,$C$19,$C$20,$C$21,$C$22,$C$26,$C$27,$D$15,$D$16,$D$17,$D$18,$D$19,$D$20,$D$21,$D$22,$D$23,$D$24,$D$25,$D$26,$D$27,$C$8,$C$9,$C$10,$C$11,$C$12),"")</f>
        <v>1200253.8604142829</v>
      </c>
      <c r="O18" s="255">
        <f ca="1">IF(NOW(),_xll.mirSwapPV($C$3,$C$4,$C$6,$G18,$C$7,$I18+O$3,$C$16,$C$17,$C$18,$C$19,$C$20,$C$21,$C$22,$C$26,$C$27,$D$15,$D$16,$D$17,$D$18,$D$19,$D$20,$D$21,$D$22,$D$23,$D$24,$D$25,$D$26,$D$27,$C$8,$C$9,$C$10,$C$11,$C$12),"")</f>
        <v>960203.08833142626</v>
      </c>
      <c r="P18" s="255">
        <f ca="1">IF(NOW(),_xll.mirSwapPV($C$3,$C$4,$C$6,$G18,$C$7,$I18+P$3,$C$16,$C$17,$C$18,$C$19,$C$20,$C$21,$C$22,$C$26,$C$27,$D$15,$D$16,$D$17,$D$18,$D$19,$D$20,$D$21,$D$22,$D$23,$D$24,$D$25,$D$26,$D$27,$C$8,$C$9,$C$10,$C$11,$C$12),"")</f>
        <v>720152.31624856964</v>
      </c>
      <c r="Q18" s="255">
        <f ca="1">IF(NOW(),_xll.mirSwapPV($C$3,$C$4,$C$6,$G18,$C$7,$I18+Q$3,$C$16,$C$17,$C$18,$C$19,$C$20,$C$21,$C$22,$C$26,$C$27,$D$15,$D$16,$D$17,$D$18,$D$19,$D$20,$D$21,$D$22,$D$23,$D$24,$D$25,$D$26,$D$27,$C$8,$C$9,$C$10,$C$11,$C$12),"")</f>
        <v>480101.54416571307</v>
      </c>
      <c r="R18" s="255">
        <f ca="1">IF(NOW(),_xll.mirSwapPV($C$3,$C$4,$C$6,$G18,$C$7,$I18+R$3,$C$16,$C$17,$C$18,$C$19,$C$20,$C$21,$C$22,$C$26,$C$27,$D$15,$D$16,$D$17,$D$18,$D$19,$D$20,$D$21,$D$22,$D$23,$D$24,$D$25,$D$26,$D$27,$C$8,$C$9,$C$10,$C$11,$C$12),"")</f>
        <v>240050.77208285648</v>
      </c>
      <c r="S18" s="255">
        <f ca="1">IF(NOW(),_xll.mirSwapPV($C$3,$C$4,$C$6,$G18,$C$7,$I18+S$3,$C$16,$C$17,$C$18,$C$19,$C$20,$C$21,$C$22,$C$26,$C$27,$D$15,$D$16,$D$17,$D$18,$D$19,$D$20,$D$21,$D$22,$D$23,$D$24,$D$25,$D$26,$D$27,$C$8,$C$9,$C$10,$C$11,$C$12),"")</f>
        <v>-5.5511151231257827E-11</v>
      </c>
      <c r="T18" s="255">
        <f ca="1">IF(NOW(),_xll.mirSwapPV($C$3,$C$4,$C$6,$G18,$C$7,$I18+T$3,$C$16,$C$17,$C$18,$C$19,$C$20,$C$21,$C$22,$C$26,$C$27,$D$15,$D$16,$D$17,$D$18,$D$19,$D$20,$D$21,$D$22,$D$23,$D$24,$D$25,$D$26,$D$27,$C$8,$C$9,$C$10,$C$11,$C$12),"")</f>
        <v>-240050.77208285668</v>
      </c>
      <c r="U18" s="255">
        <f ca="1">IF(NOW(),_xll.mirSwapPV($C$3,$C$4,$C$6,$G18,$C$7,$I18+U$3,$C$16,$C$17,$C$18,$C$19,$C$20,$C$21,$C$22,$C$26,$C$27,$D$15,$D$16,$D$17,$D$18,$D$19,$D$20,$D$21,$D$22,$D$23,$D$24,$D$25,$D$26,$D$27,$C$8,$C$9,$C$10,$C$11,$C$12),"")</f>
        <v>-480101.54416571331</v>
      </c>
      <c r="V18" s="255">
        <f ca="1">IF(NOW(),_xll.mirSwapPV($C$3,$C$4,$C$6,$G18,$C$7,$I18+V$3,$C$16,$C$17,$C$18,$C$19,$C$20,$C$21,$C$22,$C$26,$C$27,$D$15,$D$16,$D$17,$D$18,$D$19,$D$20,$D$21,$D$22,$D$23,$D$24,$D$25,$D$26,$D$27,$C$8,$C$9,$C$10,$C$11,$C$12),"")</f>
        <v>-720152.31624856987</v>
      </c>
      <c r="W18" s="255">
        <f ca="1">IF(NOW(),_xll.mirSwapPV($C$3,$C$4,$C$6,$G18,$C$7,$I18+W$3,$C$16,$C$17,$C$18,$C$19,$C$20,$C$21,$C$22,$C$26,$C$27,$D$15,$D$16,$D$17,$D$18,$D$19,$D$20,$D$21,$D$22,$D$23,$D$24,$D$25,$D$26,$D$27,$C$8,$C$9,$C$10,$C$11,$C$12),"")</f>
        <v>-960203.08833142649</v>
      </c>
      <c r="X18" s="255">
        <f ca="1">IF(NOW(),_xll.mirSwapPV($C$3,$C$4,$C$6,$G18,$C$7,$I18+X$3,$C$16,$C$17,$C$18,$C$19,$C$20,$C$21,$C$22,$C$26,$C$27,$D$15,$D$16,$D$17,$D$18,$D$19,$D$20,$D$21,$D$22,$D$23,$D$24,$D$25,$D$26,$D$27,$C$8,$C$9,$C$10,$C$11,$C$12),"")</f>
        <v>-1200253.8604142831</v>
      </c>
      <c r="Y18" s="230" t="s">
        <v>12</v>
      </c>
      <c r="Z18" s="224" t="s">
        <v>17</v>
      </c>
      <c r="AA18" s="227">
        <f>_xll.mirGetDate($C$6,Z18)</f>
        <v>53158</v>
      </c>
      <c r="AB18" s="228">
        <f>'EUR Curve Config'!$AO23</f>
        <v>1.8489999999999999E-2</v>
      </c>
      <c r="AC18" s="229">
        <f ca="1">IF(NOW(),_xll.mirGetParRate4($C$6,Z18,$C$7,$C$16,$C$17,$C$18,$C$19,$C$20,$C$21,$C$22,$C$26,$C$27,$D$16,$D$17,$D$18,$D$19,$D$20,$D$21,$D$22,$D$23,$D$24,$D$25,$D$26,$D$27,$C$8,$C$9,$C$10,$D$11,$C$12),"")</f>
        <v>1.8489999277909654E-2</v>
      </c>
      <c r="AD18" s="229">
        <f t="shared" ca="1" si="12"/>
        <v>-7.2209034585046794E-10</v>
      </c>
      <c r="AE18" s="230">
        <f t="shared" ca="1" si="13"/>
        <v>-7.2209034585046794E-6</v>
      </c>
      <c r="AG18" s="230" t="s">
        <v>17</v>
      </c>
      <c r="AH18" s="255">
        <f ca="1">IF(NOW(),_xll.mirSwapPV($C$3,$C$4,$C$6,$G18,$C$7,$I18+AH$3,$C$16,$C$17,$C$18,$C$19,$C$20,$C$21,$C$22,$C$26,$C$27,$D$15,$D$16,$D$17,$D$18,$D$19,$D$20,$D$21,$D$22,$D$23,$D$24,$D$25,$D$26,$D$27,$C$8,$C$9,$C$10,$D$11,$C$12),"")</f>
        <v>1200253.8604142829</v>
      </c>
      <c r="AI18" s="255">
        <f ca="1">IF(NOW(),_xll.mirSwapPV($C$3,$C$4,$C$6,$G18,$C$7,$I18+AI$3,$C$16,$C$17,$C$18,$C$19,$C$20,$C$21,$C$22,$C$26,$C$27,$D$15,$D$16,$D$17,$D$18,$D$19,$D$20,$D$21,$D$22,$D$23,$D$24,$D$25,$D$26,$D$27,$C$8,$C$9,$C$10,$D$11,$C$12),"")</f>
        <v>960203.08833142626</v>
      </c>
      <c r="AJ18" s="255">
        <f ca="1">IF(NOW(),_xll.mirSwapPV($C$3,$C$4,$C$6,$G18,$C$7,$I18+AJ$3,$C$16,$C$17,$C$18,$C$19,$C$20,$C$21,$C$22,$C$26,$C$27,$D$15,$D$16,$D$17,$D$18,$D$19,$D$20,$D$21,$D$22,$D$23,$D$24,$D$25,$D$26,$D$27,$C$8,$C$9,$C$10,$D$11,$C$12),"")</f>
        <v>720152.31624856952</v>
      </c>
      <c r="AK18" s="255">
        <f ca="1">IF(NOW(),_xll.mirSwapPV($C$3,$C$4,$C$6,$G18,$C$7,$I18+AK$3,$C$16,$C$17,$C$18,$C$19,$C$20,$C$21,$C$22,$C$26,$C$27,$D$15,$D$16,$D$17,$D$18,$D$19,$D$20,$D$21,$D$22,$D$23,$D$24,$D$25,$D$26,$D$27,$C$8,$C$9,$C$10,$D$11,$C$12),"")</f>
        <v>480101.54416571296</v>
      </c>
      <c r="AL18" s="255">
        <f ca="1">IF(NOW(),_xll.mirSwapPV($C$3,$C$4,$C$6,$G18,$C$7,$I18+AL$3,$C$16,$C$17,$C$18,$C$19,$C$20,$C$21,$C$22,$C$26,$C$27,$D$15,$D$16,$D$17,$D$18,$D$19,$D$20,$D$21,$D$22,$D$23,$D$24,$D$25,$D$26,$D$27,$C$8,$C$9,$C$10,$D$11,$C$12),"")</f>
        <v>240050.77208285636</v>
      </c>
      <c r="AM18" s="255">
        <f ca="1">IF(NOW(),_xll.mirSwapPV($C$3,$C$4,$C$6,$G18,$C$7,$I18+AM$3,$C$16,$C$17,$C$18,$C$19,$C$20,$C$21,$C$22,$C$26,$C$27,$D$15,$D$16,$D$17,$D$18,$D$19,$D$20,$D$21,$D$22,$D$23,$D$24,$D$25,$D$26,$D$27,$C$8,$C$9,$C$10,$D$11,$C$12),"")</f>
        <v>-1.6653345369377348E-10</v>
      </c>
      <c r="AN18" s="255">
        <f ca="1">IF(NOW(),_xll.mirSwapPV($C$3,$C$4,$C$6,$G18,$C$7,$I18+AN$3,$C$16,$C$17,$C$18,$C$19,$C$20,$C$21,$C$22,$C$26,$C$27,$D$15,$D$16,$D$17,$D$18,$D$19,$D$20,$D$21,$D$22,$D$23,$D$24,$D$25,$D$26,$D$27,$C$8,$C$9,$C$10,$D$11,$C$12),"")</f>
        <v>-240050.7720828568</v>
      </c>
      <c r="AO18" s="255">
        <f ca="1">IF(NOW(),_xll.mirSwapPV($C$3,$C$4,$C$6,$G18,$C$7,$I18+AO$3,$C$16,$C$17,$C$18,$C$19,$C$20,$C$21,$C$22,$C$26,$C$27,$D$15,$D$16,$D$17,$D$18,$D$19,$D$20,$D$21,$D$22,$D$23,$D$24,$D$25,$D$26,$D$27,$C$8,$C$9,$C$10,$D$11,$C$12),"")</f>
        <v>-480101.54416571342</v>
      </c>
      <c r="AP18" s="255">
        <f ca="1">IF(NOW(),_xll.mirSwapPV($C$3,$C$4,$C$6,$G18,$C$7,$I18+AP$3,$C$16,$C$17,$C$18,$C$19,$C$20,$C$21,$C$22,$C$26,$C$27,$D$15,$D$16,$D$17,$D$18,$D$19,$D$20,$D$21,$D$22,$D$23,$D$24,$D$25,$D$26,$D$27,$C$8,$C$9,$C$10,$D$11,$C$12),"")</f>
        <v>-720152.31624856987</v>
      </c>
      <c r="AQ18" s="255">
        <f ca="1">IF(NOW(),_xll.mirSwapPV($C$3,$C$4,$C$6,$G18,$C$7,$I18+AQ$3,$C$16,$C$17,$C$18,$C$19,$C$20,$C$21,$C$22,$C$26,$C$27,$D$15,$D$16,$D$17,$D$18,$D$19,$D$20,$D$21,$D$22,$D$23,$D$24,$D$25,$D$26,$D$27,$C$8,$C$9,$C$10,$D$11,$C$12),"")</f>
        <v>-960203.08833142649</v>
      </c>
      <c r="AR18" s="255">
        <f ca="1">IF(NOW(),_xll.mirSwapPV($C$3,$C$4,$C$6,$G18,$C$7,$I18+AR$3,$C$16,$C$17,$C$18,$C$19,$C$20,$C$21,$C$22,$C$26,$C$27,$D$15,$D$16,$D$17,$D$18,$D$19,$D$20,$D$21,$D$22,$D$23,$D$24,$D$25,$D$26,$D$27,$C$8,$C$9,$C$10,$D$11,$C$12),"")</f>
        <v>-1200253.8604142831</v>
      </c>
    </row>
    <row r="19" spans="2:44">
      <c r="B19" s="234" t="s">
        <v>174</v>
      </c>
      <c r="C19" s="240" t="s">
        <v>0</v>
      </c>
      <c r="D19" s="240" t="s">
        <v>0</v>
      </c>
      <c r="E19" s="224"/>
      <c r="F19" s="224" t="s">
        <v>16</v>
      </c>
      <c r="G19" s="227">
        <f>_xll.mirGetDate($C$6,F19)</f>
        <v>54984</v>
      </c>
      <c r="H19" s="228">
        <f>'EUR Curve Config'!$AO24</f>
        <v>1.8610000000000002E-2</v>
      </c>
      <c r="I19" s="229">
        <f ca="1">IF(NOW(),_xll.mirGetParRate4($C$6,F19,$C$7,$C$16,$C$17,$C$18,$C$19,$C$20,$C$21,$C$22,$C$26,$C$27,$D$16,$D$17,$D$18,$D$19,$D$20,$D$21,$D$22,$D$23,$D$24,$D$25,$D$26,$D$27,$C$8,$C$9,$C$10,$C$11,$C$12),"")</f>
        <v>1.8609999422073354E-2</v>
      </c>
      <c r="J19" s="229">
        <f t="shared" ca="1" si="10"/>
        <v>-5.7792664751032952E-10</v>
      </c>
      <c r="K19" s="230">
        <f t="shared" ca="1" si="11"/>
        <v>-5.7792664751032952E-6</v>
      </c>
      <c r="L19" s="230" t="s">
        <v>12</v>
      </c>
      <c r="M19" s="230" t="s">
        <v>16</v>
      </c>
      <c r="N19" s="255">
        <f ca="1">IF(NOW(),_xll.mirSwapPV($C$3,$C$4,$C$6,$G19,$C$7,$I19+N$3,$C$16,$C$17,$C$18,$C$19,$C$20,$C$21,$C$22,$C$26,$C$27,$D$15,$D$16,$D$17,$D$18,$D$19,$D$20,$D$21,$D$22,$D$23,$D$24,$D$25,$D$26,$D$27,$C$8,$C$9,$C$10,$C$11,$C$12),"")</f>
        <v>1341179.2700771403</v>
      </c>
      <c r="O19" s="255">
        <f ca="1">IF(NOW(),_xll.mirSwapPV($C$3,$C$4,$C$6,$G19,$C$7,$I19+O$3,$C$16,$C$17,$C$18,$C$19,$C$20,$C$21,$C$22,$C$26,$C$27,$D$15,$D$16,$D$17,$D$18,$D$19,$D$20,$D$21,$D$22,$D$23,$D$24,$D$25,$D$26,$D$27,$C$8,$C$9,$C$10,$C$11,$C$12),"")</f>
        <v>1072943.4160617122</v>
      </c>
      <c r="P19" s="255">
        <f ca="1">IF(NOW(),_xll.mirSwapPV($C$3,$C$4,$C$6,$G19,$C$7,$I19+P$3,$C$16,$C$17,$C$18,$C$19,$C$20,$C$21,$C$22,$C$26,$C$27,$D$15,$D$16,$D$17,$D$18,$D$19,$D$20,$D$21,$D$22,$D$23,$D$24,$D$25,$D$26,$D$27,$C$8,$C$9,$C$10,$C$11,$C$12),"")</f>
        <v>804707.56204628397</v>
      </c>
      <c r="Q19" s="255">
        <f ca="1">IF(NOW(),_xll.mirSwapPV($C$3,$C$4,$C$6,$G19,$C$7,$I19+Q$3,$C$16,$C$17,$C$18,$C$19,$C$20,$C$21,$C$22,$C$26,$C$27,$D$15,$D$16,$D$17,$D$18,$D$19,$D$20,$D$21,$D$22,$D$23,$D$24,$D$25,$D$26,$D$27,$C$8,$C$9,$C$10,$C$11,$C$12),"")</f>
        <v>536471.70803085598</v>
      </c>
      <c r="R19" s="255">
        <f ca="1">IF(NOW(),_xll.mirSwapPV($C$3,$C$4,$C$6,$G19,$C$7,$I19+R$3,$C$16,$C$17,$C$18,$C$19,$C$20,$C$21,$C$22,$C$26,$C$27,$D$15,$D$16,$D$17,$D$18,$D$19,$D$20,$D$21,$D$22,$D$23,$D$24,$D$25,$D$26,$D$27,$C$8,$C$9,$C$10,$C$11,$C$12),"")</f>
        <v>268235.85401542793</v>
      </c>
      <c r="S19" s="255">
        <f ca="1">IF(NOW(),_xll.mirSwapPV($C$3,$C$4,$C$6,$G19,$C$7,$I19+S$3,$C$16,$C$17,$C$18,$C$19,$C$20,$C$21,$C$22,$C$26,$C$27,$D$15,$D$16,$D$17,$D$18,$D$19,$D$20,$D$21,$D$22,$D$23,$D$24,$D$25,$D$26,$D$27,$C$8,$C$9,$C$10,$C$11,$C$12),"")</f>
        <v>0</v>
      </c>
      <c r="T19" s="255">
        <f ca="1">IF(NOW(),_xll.mirSwapPV($C$3,$C$4,$C$6,$G19,$C$7,$I19+T$3,$C$16,$C$17,$C$18,$C$19,$C$20,$C$21,$C$22,$C$26,$C$27,$D$15,$D$16,$D$17,$D$18,$D$19,$D$20,$D$21,$D$22,$D$23,$D$24,$D$25,$D$26,$D$27,$C$8,$C$9,$C$10,$C$11,$C$12),"")</f>
        <v>-268235.85401542799</v>
      </c>
      <c r="U19" s="255">
        <f ca="1">IF(NOW(),_xll.mirSwapPV($C$3,$C$4,$C$6,$G19,$C$7,$I19+U$3,$C$16,$C$17,$C$18,$C$19,$C$20,$C$21,$C$22,$C$26,$C$27,$D$15,$D$16,$D$17,$D$18,$D$19,$D$20,$D$21,$D$22,$D$23,$D$24,$D$25,$D$26,$D$27,$C$8,$C$9,$C$10,$C$11,$C$12),"")</f>
        <v>-536471.7080308561</v>
      </c>
      <c r="V19" s="255">
        <f ca="1">IF(NOW(),_xll.mirSwapPV($C$3,$C$4,$C$6,$G19,$C$7,$I19+V$3,$C$16,$C$17,$C$18,$C$19,$C$20,$C$21,$C$22,$C$26,$C$27,$D$15,$D$16,$D$17,$D$18,$D$19,$D$20,$D$21,$D$22,$D$23,$D$24,$D$25,$D$26,$D$27,$C$8,$C$9,$C$10,$C$11,$C$12),"")</f>
        <v>-804707.56204628397</v>
      </c>
      <c r="W19" s="255">
        <f ca="1">IF(NOW(),_xll.mirSwapPV($C$3,$C$4,$C$6,$G19,$C$7,$I19+W$3,$C$16,$C$17,$C$18,$C$19,$C$20,$C$21,$C$22,$C$26,$C$27,$D$15,$D$16,$D$17,$D$18,$D$19,$D$20,$D$21,$D$22,$D$23,$D$24,$D$25,$D$26,$D$27,$C$8,$C$9,$C$10,$C$11,$C$12),"")</f>
        <v>-1072943.4160617122</v>
      </c>
      <c r="X19" s="255">
        <f ca="1">IF(NOW(),_xll.mirSwapPV($C$3,$C$4,$C$6,$G19,$C$7,$I19+X$3,$C$16,$C$17,$C$18,$C$19,$C$20,$C$21,$C$22,$C$26,$C$27,$D$15,$D$16,$D$17,$D$18,$D$19,$D$20,$D$21,$D$22,$D$23,$D$24,$D$25,$D$26,$D$27,$C$8,$C$9,$C$10,$C$11,$C$12),"")</f>
        <v>-1341179.2700771401</v>
      </c>
      <c r="Y19" s="230" t="s">
        <v>12</v>
      </c>
      <c r="Z19" s="224" t="s">
        <v>16</v>
      </c>
      <c r="AA19" s="227">
        <f>_xll.mirGetDate($C$6,Z19)</f>
        <v>54984</v>
      </c>
      <c r="AB19" s="228">
        <f>'EUR Curve Config'!$AO24</f>
        <v>1.8610000000000002E-2</v>
      </c>
      <c r="AC19" s="229">
        <f ca="1">IF(NOW(),_xll.mirGetParRate4($C$6,Z19,$C$7,$C$16,$C$17,$C$18,$C$19,$C$20,$C$21,$C$22,$C$26,$C$27,$D$16,$D$17,$D$18,$D$19,$D$20,$D$21,$D$22,$D$23,$D$24,$D$25,$D$26,$D$27,$C$8,$C$9,$C$10,$D$11,$C$12),"")</f>
        <v>1.8609999422073344E-2</v>
      </c>
      <c r="AD19" s="229">
        <f t="shared" ca="1" si="12"/>
        <v>-5.7792665791867037E-10</v>
      </c>
      <c r="AE19" s="230">
        <f t="shared" ca="1" si="13"/>
        <v>-5.7792665791867037E-6</v>
      </c>
      <c r="AG19" s="230" t="s">
        <v>16</v>
      </c>
      <c r="AH19" s="255">
        <f ca="1">IF(NOW(),_xll.mirSwapPV($C$3,$C$4,$C$6,$G19,$C$7,$I19+AH$3,$C$16,$C$17,$C$18,$C$19,$C$20,$C$21,$C$22,$C$26,$C$27,$D$15,$D$16,$D$17,$D$18,$D$19,$D$20,$D$21,$D$22,$D$23,$D$24,$D$25,$D$26,$D$27,$C$8,$C$9,$C$10,$D$11,$C$12),"")</f>
        <v>1341179.2700771401</v>
      </c>
      <c r="AI19" s="255">
        <f ca="1">IF(NOW(),_xll.mirSwapPV($C$3,$C$4,$C$6,$G19,$C$7,$I19+AI$3,$C$16,$C$17,$C$18,$C$19,$C$20,$C$21,$C$22,$C$26,$C$27,$D$15,$D$16,$D$17,$D$18,$D$19,$D$20,$D$21,$D$22,$D$23,$D$24,$D$25,$D$26,$D$27,$C$8,$C$9,$C$10,$D$11,$C$12),"")</f>
        <v>1072943.416061712</v>
      </c>
      <c r="AJ19" s="255">
        <f ca="1">IF(NOW(),_xll.mirSwapPV($C$3,$C$4,$C$6,$G19,$C$7,$I19+AJ$3,$C$16,$C$17,$C$18,$C$19,$C$20,$C$21,$C$22,$C$26,$C$27,$D$15,$D$16,$D$17,$D$18,$D$19,$D$20,$D$21,$D$22,$D$23,$D$24,$D$25,$D$26,$D$27,$C$8,$C$9,$C$10,$D$11,$C$12),"")</f>
        <v>804707.56204628374</v>
      </c>
      <c r="AK19" s="255">
        <f ca="1">IF(NOW(),_xll.mirSwapPV($C$3,$C$4,$C$6,$G19,$C$7,$I19+AK$3,$C$16,$C$17,$C$18,$C$19,$C$20,$C$21,$C$22,$C$26,$C$27,$D$15,$D$16,$D$17,$D$18,$D$19,$D$20,$D$21,$D$22,$D$23,$D$24,$D$25,$D$26,$D$27,$C$8,$C$9,$C$10,$D$11,$C$12),"")</f>
        <v>536471.70803085575</v>
      </c>
      <c r="AL19" s="255">
        <f ca="1">IF(NOW(),_xll.mirSwapPV($C$3,$C$4,$C$6,$G19,$C$7,$I19+AL$3,$C$16,$C$17,$C$18,$C$19,$C$20,$C$21,$C$22,$C$26,$C$27,$D$15,$D$16,$D$17,$D$18,$D$19,$D$20,$D$21,$D$22,$D$23,$D$24,$D$25,$D$26,$D$27,$C$8,$C$9,$C$10,$D$11,$C$12),"")</f>
        <v>268235.8540154277</v>
      </c>
      <c r="AM19" s="255">
        <f ca="1">IF(NOW(),_xll.mirSwapPV($C$3,$C$4,$C$6,$G19,$C$7,$I19+AM$3,$C$16,$C$17,$C$18,$C$19,$C$20,$C$21,$C$22,$C$26,$C$27,$D$15,$D$16,$D$17,$D$18,$D$19,$D$20,$D$21,$D$22,$D$23,$D$24,$D$25,$D$26,$D$27,$C$8,$C$9,$C$10,$D$11,$C$12),"")</f>
        <v>-2.2204460492503131E-10</v>
      </c>
      <c r="AN19" s="255">
        <f ca="1">IF(NOW(),_xll.mirSwapPV($C$3,$C$4,$C$6,$G19,$C$7,$I19+AN$3,$C$16,$C$17,$C$18,$C$19,$C$20,$C$21,$C$22,$C$26,$C$27,$D$15,$D$16,$D$17,$D$18,$D$19,$D$20,$D$21,$D$22,$D$23,$D$24,$D$25,$D$26,$D$27,$C$8,$C$9,$C$10,$D$11,$C$12),"")</f>
        <v>-268235.85401542822</v>
      </c>
      <c r="AO19" s="255">
        <f ca="1">IF(NOW(),_xll.mirSwapPV($C$3,$C$4,$C$6,$G19,$C$7,$I19+AO$3,$C$16,$C$17,$C$18,$C$19,$C$20,$C$21,$C$22,$C$26,$C$27,$D$15,$D$16,$D$17,$D$18,$D$19,$D$20,$D$21,$D$22,$D$23,$D$24,$D$25,$D$26,$D$27,$C$8,$C$9,$C$10,$D$11,$C$12),"")</f>
        <v>-536471.70803085633</v>
      </c>
      <c r="AP19" s="255">
        <f ca="1">IF(NOW(),_xll.mirSwapPV($C$3,$C$4,$C$6,$G19,$C$7,$I19+AP$3,$C$16,$C$17,$C$18,$C$19,$C$20,$C$21,$C$22,$C$26,$C$27,$D$15,$D$16,$D$17,$D$18,$D$19,$D$20,$D$21,$D$22,$D$23,$D$24,$D$25,$D$26,$D$27,$C$8,$C$9,$C$10,$D$11,$C$12),"")</f>
        <v>-804707.56204628421</v>
      </c>
      <c r="AQ19" s="255">
        <f ca="1">IF(NOW(),_xll.mirSwapPV($C$3,$C$4,$C$6,$G19,$C$7,$I19+AQ$3,$C$16,$C$17,$C$18,$C$19,$C$20,$C$21,$C$22,$C$26,$C$27,$D$15,$D$16,$D$17,$D$18,$D$19,$D$20,$D$21,$D$22,$D$23,$D$24,$D$25,$D$26,$D$27,$C$8,$C$9,$C$10,$D$11,$C$12),"")</f>
        <v>-1072943.4160617124</v>
      </c>
      <c r="AR19" s="255">
        <f ca="1">IF(NOW(),_xll.mirSwapPV($C$3,$C$4,$C$6,$G19,$C$7,$I19+AR$3,$C$16,$C$17,$C$18,$C$19,$C$20,$C$21,$C$22,$C$26,$C$27,$D$15,$D$16,$D$17,$D$18,$D$19,$D$20,$D$21,$D$22,$D$23,$D$24,$D$25,$D$26,$D$27,$C$8,$C$9,$C$10,$D$11,$C$12),"")</f>
        <v>-1341179.2700771403</v>
      </c>
    </row>
    <row r="20" spans="2:44">
      <c r="B20" s="234" t="s">
        <v>444</v>
      </c>
      <c r="C20" s="243"/>
      <c r="D20" s="243"/>
      <c r="E20" s="244"/>
      <c r="F20" s="224" t="s">
        <v>15</v>
      </c>
      <c r="G20" s="227">
        <f>_xll.mirGetDate($C$6,F20)</f>
        <v>56810</v>
      </c>
      <c r="H20" s="228">
        <f>'EUR Curve Config'!$AO25</f>
        <v>1.8595E-2</v>
      </c>
      <c r="I20" s="229">
        <f ca="1">IF(NOW(),_xll.mirGetParRate4($C$6,F20,$C$7,$C$16,$C$17,$C$18,$C$19,$C$20,$C$21,$C$22,$C$26,$C$27,$D$16,$D$17,$D$18,$D$19,$D$20,$D$21,$D$22,$D$23,$D$24,$D$25,$D$26,$D$27,$C$8,$C$9,$C$10,$C$11,$C$12),"")</f>
        <v>1.8595000703518945E-2</v>
      </c>
      <c r="J20" s="229">
        <f t="shared" ca="1" si="10"/>
        <v>7.0351894448927865E-10</v>
      </c>
      <c r="K20" s="230">
        <f t="shared" ca="1" si="11"/>
        <v>7.0351894448927865E-6</v>
      </c>
      <c r="L20" s="230" t="s">
        <v>12</v>
      </c>
      <c r="M20" s="230" t="s">
        <v>15</v>
      </c>
      <c r="N20" s="255">
        <f ca="1">IF(NOW(),_xll.mirSwapPV($C$3,$C$4,$C$6,$G20,$C$7,$I20+N$3,$C$16,$C$17,$C$18,$C$19,$C$20,$C$21,$C$22,$C$26,$C$27,$D$15,$D$16,$D$17,$D$18,$D$19,$D$20,$D$21,$D$22,$D$23,$D$24,$D$25,$D$26,$D$27,$C$8,$C$9,$C$10,$C$11,$C$12),"")</f>
        <v>1471307.5991774679</v>
      </c>
      <c r="O20" s="255">
        <f ca="1">IF(NOW(),_xll.mirSwapPV($C$3,$C$4,$C$6,$G20,$C$7,$I20+O$3,$C$16,$C$17,$C$18,$C$19,$C$20,$C$21,$C$22,$C$26,$C$27,$D$15,$D$16,$D$17,$D$18,$D$19,$D$20,$D$21,$D$22,$D$23,$D$24,$D$25,$D$26,$D$27,$C$8,$C$9,$C$10,$C$11,$C$12),"")</f>
        <v>1177046.0793419741</v>
      </c>
      <c r="P20" s="255">
        <f ca="1">IF(NOW(),_xll.mirSwapPV($C$3,$C$4,$C$6,$G20,$C$7,$I20+P$3,$C$16,$C$17,$C$18,$C$19,$C$20,$C$21,$C$22,$C$26,$C$27,$D$15,$D$16,$D$17,$D$18,$D$19,$D$20,$D$21,$D$22,$D$23,$D$24,$D$25,$D$26,$D$27,$C$8,$C$9,$C$10,$C$11,$C$12),"")</f>
        <v>882784.55950648058</v>
      </c>
      <c r="Q20" s="255">
        <f ca="1">IF(NOW(),_xll.mirSwapPV($C$3,$C$4,$C$6,$G20,$C$7,$I20+Q$3,$C$16,$C$17,$C$18,$C$19,$C$20,$C$21,$C$22,$C$26,$C$27,$D$15,$D$16,$D$17,$D$18,$D$19,$D$20,$D$21,$D$22,$D$23,$D$24,$D$25,$D$26,$D$27,$C$8,$C$9,$C$10,$C$11,$C$12),"")</f>
        <v>588523.03967098705</v>
      </c>
      <c r="R20" s="255">
        <f ca="1">IF(NOW(),_xll.mirSwapPV($C$3,$C$4,$C$6,$G20,$C$7,$I20+R$3,$C$16,$C$17,$C$18,$C$19,$C$20,$C$21,$C$22,$C$26,$C$27,$D$15,$D$16,$D$17,$D$18,$D$19,$D$20,$D$21,$D$22,$D$23,$D$24,$D$25,$D$26,$D$27,$C$8,$C$9,$C$10,$C$11,$C$12),"")</f>
        <v>294261.51983549347</v>
      </c>
      <c r="S20" s="255">
        <f ca="1">IF(NOW(),_xll.mirSwapPV($C$3,$C$4,$C$6,$G20,$C$7,$I20+S$3,$C$16,$C$17,$C$18,$C$19,$C$20,$C$21,$C$22,$C$26,$C$27,$D$15,$D$16,$D$17,$D$18,$D$19,$D$20,$D$21,$D$22,$D$23,$D$24,$D$25,$D$26,$D$27,$C$8,$C$9,$C$10,$C$11,$C$12),"")</f>
        <v>0</v>
      </c>
      <c r="T20" s="255">
        <f ca="1">IF(NOW(),_xll.mirSwapPV($C$3,$C$4,$C$6,$G20,$C$7,$I20+T$3,$C$16,$C$17,$C$18,$C$19,$C$20,$C$21,$C$22,$C$26,$C$27,$D$15,$D$16,$D$17,$D$18,$D$19,$D$20,$D$21,$D$22,$D$23,$D$24,$D$25,$D$26,$D$27,$C$8,$C$9,$C$10,$C$11,$C$12),"")</f>
        <v>-294261.51983549353</v>
      </c>
      <c r="U20" s="255">
        <f ca="1">IF(NOW(),_xll.mirSwapPV($C$3,$C$4,$C$6,$G20,$C$7,$I20+U$3,$C$16,$C$17,$C$18,$C$19,$C$20,$C$21,$C$22,$C$26,$C$27,$D$15,$D$16,$D$17,$D$18,$D$19,$D$20,$D$21,$D$22,$D$23,$D$24,$D$25,$D$26,$D$27,$C$8,$C$9,$C$10,$C$11,$C$12),"")</f>
        <v>-588523.03967098694</v>
      </c>
      <c r="V20" s="255">
        <f ca="1">IF(NOW(),_xll.mirSwapPV($C$3,$C$4,$C$6,$G20,$C$7,$I20+V$3,$C$16,$C$17,$C$18,$C$19,$C$20,$C$21,$C$22,$C$26,$C$27,$D$15,$D$16,$D$17,$D$18,$D$19,$D$20,$D$21,$D$22,$D$23,$D$24,$D$25,$D$26,$D$27,$C$8,$C$9,$C$10,$C$11,$C$12),"")</f>
        <v>-882784.55950648058</v>
      </c>
      <c r="W20" s="255">
        <f ca="1">IF(NOW(),_xll.mirSwapPV($C$3,$C$4,$C$6,$G20,$C$7,$I20+W$3,$C$16,$C$17,$C$18,$C$19,$C$20,$C$21,$C$22,$C$26,$C$27,$D$15,$D$16,$D$17,$D$18,$D$19,$D$20,$D$21,$D$22,$D$23,$D$24,$D$25,$D$26,$D$27,$C$8,$C$9,$C$10,$C$11,$C$12),"")</f>
        <v>-1177046.0793419741</v>
      </c>
      <c r="X20" s="255">
        <f ca="1">IF(NOW(),_xll.mirSwapPV($C$3,$C$4,$C$6,$G20,$C$7,$I20+X$3,$C$16,$C$17,$C$18,$C$19,$C$20,$C$21,$C$22,$C$26,$C$27,$D$15,$D$16,$D$17,$D$18,$D$19,$D$20,$D$21,$D$22,$D$23,$D$24,$D$25,$D$26,$D$27,$C$8,$C$9,$C$10,$C$11,$C$12),"")</f>
        <v>-1471307.5991774681</v>
      </c>
      <c r="Y20" s="230" t="s">
        <v>12</v>
      </c>
      <c r="Z20" s="224" t="s">
        <v>15</v>
      </c>
      <c r="AA20" s="227">
        <f>_xll.mirGetDate($C$6,Z20)</f>
        <v>56810</v>
      </c>
      <c r="AB20" s="228">
        <f>'EUR Curve Config'!$AO25</f>
        <v>1.8595E-2</v>
      </c>
      <c r="AC20" s="229">
        <f ca="1">IF(NOW(),_xll.mirGetParRate4($C$6,Z20,$C$7,$C$16,$C$17,$C$18,$C$19,$C$20,$C$21,$C$22,$C$26,$C$27,$D$16,$D$17,$D$18,$D$19,$D$20,$D$21,$D$22,$D$23,$D$24,$D$25,$D$26,$D$27,$C$8,$C$9,$C$10,$D$11,$C$12),"")</f>
        <v>1.8595000703518959E-2</v>
      </c>
      <c r="AD20" s="229">
        <f t="shared" ca="1" si="12"/>
        <v>7.0351895836706646E-10</v>
      </c>
      <c r="AE20" s="230">
        <f t="shared" ca="1" si="13"/>
        <v>7.0351895836706646E-6</v>
      </c>
      <c r="AG20" s="230" t="s">
        <v>15</v>
      </c>
      <c r="AH20" s="255">
        <f ca="1">IF(NOW(),_xll.mirSwapPV($C$3,$C$4,$C$6,$G20,$C$7,$I20+AH$3,$C$16,$C$17,$C$18,$C$19,$C$20,$C$21,$C$22,$C$26,$C$27,$D$15,$D$16,$D$17,$D$18,$D$19,$D$20,$D$21,$D$22,$D$23,$D$24,$D$25,$D$26,$D$27,$C$8,$C$9,$C$10,$D$11,$C$12),"")</f>
        <v>1471307.5991774681</v>
      </c>
      <c r="AI20" s="255">
        <f ca="1">IF(NOW(),_xll.mirSwapPV($C$3,$C$4,$C$6,$G20,$C$7,$I20+AI$3,$C$16,$C$17,$C$18,$C$19,$C$20,$C$21,$C$22,$C$26,$C$27,$D$15,$D$16,$D$17,$D$18,$D$19,$D$20,$D$21,$D$22,$D$23,$D$24,$D$25,$D$26,$D$27,$C$8,$C$9,$C$10,$D$11,$C$12),"")</f>
        <v>1177046.0793419746</v>
      </c>
      <c r="AJ20" s="255">
        <f ca="1">IF(NOW(),_xll.mirSwapPV($C$3,$C$4,$C$6,$G20,$C$7,$I20+AJ$3,$C$16,$C$17,$C$18,$C$19,$C$20,$C$21,$C$22,$C$26,$C$27,$D$15,$D$16,$D$17,$D$18,$D$19,$D$20,$D$21,$D$22,$D$23,$D$24,$D$25,$D$26,$D$27,$C$8,$C$9,$C$10,$D$11,$C$12),"")</f>
        <v>882784.55950648093</v>
      </c>
      <c r="AK20" s="255">
        <f ca="1">IF(NOW(),_xll.mirSwapPV($C$3,$C$4,$C$6,$G20,$C$7,$I20+AK$3,$C$16,$C$17,$C$18,$C$19,$C$20,$C$21,$C$22,$C$26,$C$27,$D$15,$D$16,$D$17,$D$18,$D$19,$D$20,$D$21,$D$22,$D$23,$D$24,$D$25,$D$26,$D$27,$C$8,$C$9,$C$10,$D$11,$C$12),"")</f>
        <v>588523.0396709874</v>
      </c>
      <c r="AL20" s="255">
        <f ca="1">IF(NOW(),_xll.mirSwapPV($C$3,$C$4,$C$6,$G20,$C$7,$I20+AL$3,$C$16,$C$17,$C$18,$C$19,$C$20,$C$21,$C$22,$C$26,$C$27,$D$15,$D$16,$D$17,$D$18,$D$19,$D$20,$D$21,$D$22,$D$23,$D$24,$D$25,$D$26,$D$27,$C$8,$C$9,$C$10,$D$11,$C$12),"")</f>
        <v>294261.51983549382</v>
      </c>
      <c r="AM20" s="255">
        <f ca="1">IF(NOW(),_xll.mirSwapPV($C$3,$C$4,$C$6,$G20,$C$7,$I20+AM$3,$C$16,$C$17,$C$18,$C$19,$C$20,$C$21,$C$22,$C$26,$C$27,$D$15,$D$16,$D$17,$D$18,$D$19,$D$20,$D$21,$D$22,$D$23,$D$24,$D$25,$D$26,$D$27,$C$8,$C$9,$C$10,$D$11,$C$12),"")</f>
        <v>3.3306690738754696E-10</v>
      </c>
      <c r="AN20" s="255">
        <f ca="1">IF(NOW(),_xll.mirSwapPV($C$3,$C$4,$C$6,$G20,$C$7,$I20+AN$3,$C$16,$C$17,$C$18,$C$19,$C$20,$C$21,$C$22,$C$26,$C$27,$D$15,$D$16,$D$17,$D$18,$D$19,$D$20,$D$21,$D$22,$D$23,$D$24,$D$25,$D$26,$D$27,$C$8,$C$9,$C$10,$D$11,$C$12),"")</f>
        <v>-294261.51983549318</v>
      </c>
      <c r="AO20" s="255">
        <f ca="1">IF(NOW(),_xll.mirSwapPV($C$3,$C$4,$C$6,$G20,$C$7,$I20+AO$3,$C$16,$C$17,$C$18,$C$19,$C$20,$C$21,$C$22,$C$26,$C$27,$D$15,$D$16,$D$17,$D$18,$D$19,$D$20,$D$21,$D$22,$D$23,$D$24,$D$25,$D$26,$D$27,$C$8,$C$9,$C$10,$D$11,$C$12),"")</f>
        <v>-588523.03967098659</v>
      </c>
      <c r="AP20" s="255">
        <f ca="1">IF(NOW(),_xll.mirSwapPV($C$3,$C$4,$C$6,$G20,$C$7,$I20+AP$3,$C$16,$C$17,$C$18,$C$19,$C$20,$C$21,$C$22,$C$26,$C$27,$D$15,$D$16,$D$17,$D$18,$D$19,$D$20,$D$21,$D$22,$D$23,$D$24,$D$25,$D$26,$D$27,$C$8,$C$9,$C$10,$D$11,$C$12),"")</f>
        <v>-882784.55950648023</v>
      </c>
      <c r="AQ20" s="255">
        <f ca="1">IF(NOW(),_xll.mirSwapPV($C$3,$C$4,$C$6,$G20,$C$7,$I20+AQ$3,$C$16,$C$17,$C$18,$C$19,$C$20,$C$21,$C$22,$C$26,$C$27,$D$15,$D$16,$D$17,$D$18,$D$19,$D$20,$D$21,$D$22,$D$23,$D$24,$D$25,$D$26,$D$27,$C$8,$C$9,$C$10,$D$11,$C$12),"")</f>
        <v>-1177046.0793419736</v>
      </c>
      <c r="AR20" s="255">
        <f ca="1">IF(NOW(),_xll.mirSwapPV($C$3,$C$4,$C$6,$G20,$C$7,$I20+AR$3,$C$16,$C$17,$C$18,$C$19,$C$20,$C$21,$C$22,$C$26,$C$27,$D$15,$D$16,$D$17,$D$18,$D$19,$D$20,$D$21,$D$22,$D$23,$D$24,$D$25,$D$26,$D$27,$C$8,$C$9,$C$10,$D$11,$C$12),"")</f>
        <v>-1471307.5991774676</v>
      </c>
    </row>
    <row r="21" spans="2:44">
      <c r="B21" s="234" t="s">
        <v>445</v>
      </c>
      <c r="C21" s="243"/>
      <c r="D21" s="243"/>
      <c r="E21" s="245"/>
      <c r="F21" s="224" t="s">
        <v>368</v>
      </c>
      <c r="G21" s="227">
        <f>_xll.mirGetDate($C$6,F21)</f>
        <v>58637</v>
      </c>
      <c r="H21" s="228">
        <f>'EUR Curve Config'!$AO26</f>
        <v>1.8402999999999999E-2</v>
      </c>
      <c r="I21" s="229">
        <f ca="1">IF(NOW(),_xll.mirGetParRate4($C$6,F21,$C$7,$C$16,$C$17,$C$18,$C$19,$C$20,$C$21,$C$22,$C$26,$C$27,$D$16,$D$17,$D$18,$D$19,$D$20,$D$21,$D$22,$D$23,$D$24,$D$25,$D$26,$D$27,$C$8,$C$9,$C$10,$C$11,$C$12),"")</f>
        <v>1.8403000180285529E-2</v>
      </c>
      <c r="J21" s="229">
        <f t="shared" ca="1" si="10"/>
        <v>1.8028552956073085E-10</v>
      </c>
      <c r="K21" s="230">
        <f t="shared" ca="1" si="11"/>
        <v>1.8028552956073085E-6</v>
      </c>
      <c r="L21" s="230" t="s">
        <v>12</v>
      </c>
      <c r="M21" s="230" t="s">
        <v>368</v>
      </c>
      <c r="N21" s="255">
        <f ca="1">IF(NOW(),_xll.mirSwapPV($C$3,$C$4,$C$6,$G21,$C$7,$I21+N$3,$C$16,$C$17,$C$18,$C$19,$C$20,$C$21,$C$22,$C$26,$C$27,$D$15,$D$16,$D$17,$D$18,$D$19,$D$20,$D$21,$D$22,$D$23,$D$24,$D$25,$D$26,$D$27,$C$8,$C$9,$C$10,$C$11,$C$12),"")</f>
        <v>1589983.8927858977</v>
      </c>
      <c r="O21" s="255">
        <f ca="1">IF(NOW(),_xll.mirSwapPV($C$3,$C$4,$C$6,$G21,$C$7,$I21+O$3,$C$16,$C$17,$C$18,$C$19,$C$20,$C$21,$C$22,$C$26,$C$27,$D$15,$D$16,$D$17,$D$18,$D$19,$D$20,$D$21,$D$22,$D$23,$D$24,$D$25,$D$26,$D$27,$C$8,$C$9,$C$10,$C$11,$C$12),"")</f>
        <v>1271987.114228718</v>
      </c>
      <c r="P21" s="255">
        <f ca="1">IF(NOW(),_xll.mirSwapPV($C$3,$C$4,$C$6,$G21,$C$7,$I21+P$3,$C$16,$C$17,$C$18,$C$19,$C$20,$C$21,$C$22,$C$26,$C$27,$D$15,$D$16,$D$17,$D$18,$D$19,$D$20,$D$21,$D$22,$D$23,$D$24,$D$25,$D$26,$D$27,$C$8,$C$9,$C$10,$C$11,$C$12),"")</f>
        <v>953990.33567153849</v>
      </c>
      <c r="Q21" s="255">
        <f ca="1">IF(NOW(),_xll.mirSwapPV($C$3,$C$4,$C$6,$G21,$C$7,$I21+Q$3,$C$16,$C$17,$C$18,$C$19,$C$20,$C$21,$C$22,$C$26,$C$27,$D$15,$D$16,$D$17,$D$18,$D$19,$D$20,$D$21,$D$22,$D$23,$D$24,$D$25,$D$26,$D$27,$C$8,$C$9,$C$10,$C$11,$C$12),"")</f>
        <v>635993.55711435887</v>
      </c>
      <c r="R21" s="255">
        <f ca="1">IF(NOW(),_xll.mirSwapPV($C$3,$C$4,$C$6,$G21,$C$7,$I21+R$3,$C$16,$C$17,$C$18,$C$19,$C$20,$C$21,$C$22,$C$26,$C$27,$D$15,$D$16,$D$17,$D$18,$D$19,$D$20,$D$21,$D$22,$D$23,$D$24,$D$25,$D$26,$D$27,$C$8,$C$9,$C$10,$C$11,$C$12),"")</f>
        <v>317996.77855717938</v>
      </c>
      <c r="S21" s="255">
        <f ca="1">IF(NOW(),_xll.mirSwapPV($C$3,$C$4,$C$6,$G21,$C$7,$I21+S$3,$C$16,$C$17,$C$18,$C$19,$C$20,$C$21,$C$22,$C$26,$C$27,$D$15,$D$16,$D$17,$D$18,$D$19,$D$20,$D$21,$D$22,$D$23,$D$24,$D$25,$D$26,$D$27,$C$8,$C$9,$C$10,$C$11,$C$12),"")</f>
        <v>0</v>
      </c>
      <c r="T21" s="255">
        <f ca="1">IF(NOW(),_xll.mirSwapPV($C$3,$C$4,$C$6,$G21,$C$7,$I21+T$3,$C$16,$C$17,$C$18,$C$19,$C$20,$C$21,$C$22,$C$26,$C$27,$D$15,$D$16,$D$17,$D$18,$D$19,$D$20,$D$21,$D$22,$D$23,$D$24,$D$25,$D$26,$D$27,$C$8,$C$9,$C$10,$C$11,$C$12),"")</f>
        <v>-317996.77855717944</v>
      </c>
      <c r="U21" s="255">
        <f ca="1">IF(NOW(),_xll.mirSwapPV($C$3,$C$4,$C$6,$G21,$C$7,$I21+U$3,$C$16,$C$17,$C$18,$C$19,$C$20,$C$21,$C$22,$C$26,$C$27,$D$15,$D$16,$D$17,$D$18,$D$19,$D$20,$D$21,$D$22,$D$23,$D$24,$D$25,$D$26,$D$27,$C$8,$C$9,$C$10,$C$11,$C$12),"")</f>
        <v>-635993.55711435899</v>
      </c>
      <c r="V21" s="255">
        <f ca="1">IF(NOW(),_xll.mirSwapPV($C$3,$C$4,$C$6,$G21,$C$7,$I21+V$3,$C$16,$C$17,$C$18,$C$19,$C$20,$C$21,$C$22,$C$26,$C$27,$D$15,$D$16,$D$17,$D$18,$D$19,$D$20,$D$21,$D$22,$D$23,$D$24,$D$25,$D$26,$D$27,$C$8,$C$9,$C$10,$C$11,$C$12),"")</f>
        <v>-953990.33567153837</v>
      </c>
      <c r="W21" s="255">
        <f ca="1">IF(NOW(),_xll.mirSwapPV($C$3,$C$4,$C$6,$G21,$C$7,$I21+W$3,$C$16,$C$17,$C$18,$C$19,$C$20,$C$21,$C$22,$C$26,$C$27,$D$15,$D$16,$D$17,$D$18,$D$19,$D$20,$D$21,$D$22,$D$23,$D$24,$D$25,$D$26,$D$27,$C$8,$C$9,$C$10,$C$11,$C$12),"")</f>
        <v>-1271987.1142287182</v>
      </c>
      <c r="X21" s="255">
        <f ca="1">IF(NOW(),_xll.mirSwapPV($C$3,$C$4,$C$6,$G21,$C$7,$I21+X$3,$C$16,$C$17,$C$18,$C$19,$C$20,$C$21,$C$22,$C$26,$C$27,$D$15,$D$16,$D$17,$D$18,$D$19,$D$20,$D$21,$D$22,$D$23,$D$24,$D$25,$D$26,$D$27,$C$8,$C$9,$C$10,$C$11,$C$12),"")</f>
        <v>-1589983.8927858972</v>
      </c>
      <c r="Y21" s="230" t="s">
        <v>12</v>
      </c>
      <c r="Z21" s="224" t="s">
        <v>368</v>
      </c>
      <c r="AA21" s="227">
        <f>_xll.mirGetDate($C$6,Z21)</f>
        <v>58637</v>
      </c>
      <c r="AB21" s="228">
        <f>'EUR Curve Config'!$AO26</f>
        <v>1.8402999999999999E-2</v>
      </c>
      <c r="AC21" s="229">
        <f ca="1">IF(NOW(),_xll.mirGetParRate4($C$6,Z21,$C$7,$C$16,$C$17,$C$18,$C$19,$C$20,$C$21,$C$22,$C$26,$C$27,$D$16,$D$17,$D$18,$D$19,$D$20,$D$21,$D$22,$D$23,$D$24,$D$25,$D$26,$D$27,$C$8,$C$9,$C$10,$D$11,$C$12),"")</f>
        <v>1.8403000180285543E-2</v>
      </c>
      <c r="AD21" s="229">
        <f t="shared" ca="1" si="12"/>
        <v>1.8028554343851866E-10</v>
      </c>
      <c r="AE21" s="230">
        <f t="shared" ca="1" si="13"/>
        <v>1.8028554343851866E-6</v>
      </c>
      <c r="AG21" s="230" t="s">
        <v>368</v>
      </c>
      <c r="AH21" s="255">
        <f ca="1">IF(NOW(),_xll.mirSwapPV($C$3,$C$4,$C$6,$G21,$C$7,$I21+AH$3,$C$16,$C$17,$C$18,$C$19,$C$20,$C$21,$C$22,$C$26,$C$27,$D$15,$D$16,$D$17,$D$18,$D$19,$D$20,$D$21,$D$22,$D$23,$D$24,$D$25,$D$26,$D$27,$C$8,$C$9,$C$10,$D$11,$C$12),"")</f>
        <v>1589983.8927858982</v>
      </c>
      <c r="AI21" s="255">
        <f ca="1">IF(NOW(),_xll.mirSwapPV($C$3,$C$4,$C$6,$G21,$C$7,$I21+AI$3,$C$16,$C$17,$C$18,$C$19,$C$20,$C$21,$C$22,$C$26,$C$27,$D$15,$D$16,$D$17,$D$18,$D$19,$D$20,$D$21,$D$22,$D$23,$D$24,$D$25,$D$26,$D$27,$C$8,$C$9,$C$10,$D$11,$C$12),"")</f>
        <v>1271987.1142287184</v>
      </c>
      <c r="AJ21" s="255">
        <f ca="1">IF(NOW(),_xll.mirSwapPV($C$3,$C$4,$C$6,$G21,$C$7,$I21+AJ$3,$C$16,$C$17,$C$18,$C$19,$C$20,$C$21,$C$22,$C$26,$C$27,$D$15,$D$16,$D$17,$D$18,$D$19,$D$20,$D$21,$D$22,$D$23,$D$24,$D$25,$D$26,$D$27,$C$8,$C$9,$C$10,$D$11,$C$12),"")</f>
        <v>953990.33567153895</v>
      </c>
      <c r="AK21" s="255">
        <f ca="1">IF(NOW(),_xll.mirSwapPV($C$3,$C$4,$C$6,$G21,$C$7,$I21+AK$3,$C$16,$C$17,$C$18,$C$19,$C$20,$C$21,$C$22,$C$26,$C$27,$D$15,$D$16,$D$17,$D$18,$D$19,$D$20,$D$21,$D$22,$D$23,$D$24,$D$25,$D$26,$D$27,$C$8,$C$9,$C$10,$D$11,$C$12),"")</f>
        <v>635993.55711435934</v>
      </c>
      <c r="AL21" s="255">
        <f ca="1">IF(NOW(),_xll.mirSwapPV($C$3,$C$4,$C$6,$G21,$C$7,$I21+AL$3,$C$16,$C$17,$C$18,$C$19,$C$20,$C$21,$C$22,$C$26,$C$27,$D$15,$D$16,$D$17,$D$18,$D$19,$D$20,$D$21,$D$22,$D$23,$D$24,$D$25,$D$26,$D$27,$C$8,$C$9,$C$10,$D$11,$C$12),"")</f>
        <v>317996.77855717984</v>
      </c>
      <c r="AM21" s="255">
        <f ca="1">IF(NOW(),_xll.mirSwapPV($C$3,$C$4,$C$6,$G21,$C$7,$I21+AM$3,$C$16,$C$17,$C$18,$C$19,$C$20,$C$21,$C$22,$C$26,$C$27,$D$15,$D$16,$D$17,$D$18,$D$19,$D$20,$D$21,$D$22,$D$23,$D$24,$D$25,$D$26,$D$27,$C$8,$C$9,$C$10,$D$11,$C$12),"")</f>
        <v>4.4408920985006262E-10</v>
      </c>
      <c r="AN21" s="255">
        <f ca="1">IF(NOW(),_xll.mirSwapPV($C$3,$C$4,$C$6,$G21,$C$7,$I21+AN$3,$C$16,$C$17,$C$18,$C$19,$C$20,$C$21,$C$22,$C$26,$C$27,$D$15,$D$16,$D$17,$D$18,$D$19,$D$20,$D$21,$D$22,$D$23,$D$24,$D$25,$D$26,$D$27,$C$8,$C$9,$C$10,$D$11,$C$12),"")</f>
        <v>-317996.77855717903</v>
      </c>
      <c r="AO21" s="255">
        <f ca="1">IF(NOW(),_xll.mirSwapPV($C$3,$C$4,$C$6,$G21,$C$7,$I21+AO$3,$C$16,$C$17,$C$18,$C$19,$C$20,$C$21,$C$22,$C$26,$C$27,$D$15,$D$16,$D$17,$D$18,$D$19,$D$20,$D$21,$D$22,$D$23,$D$24,$D$25,$D$26,$D$27,$C$8,$C$9,$C$10,$D$11,$C$12),"")</f>
        <v>-635993.55711435853</v>
      </c>
      <c r="AP21" s="255">
        <f ca="1">IF(NOW(),_xll.mirSwapPV($C$3,$C$4,$C$6,$G21,$C$7,$I21+AP$3,$C$16,$C$17,$C$18,$C$19,$C$20,$C$21,$C$22,$C$26,$C$27,$D$15,$D$16,$D$17,$D$18,$D$19,$D$20,$D$21,$D$22,$D$23,$D$24,$D$25,$D$26,$D$27,$C$8,$C$9,$C$10,$D$11,$C$12),"")</f>
        <v>-953990.33567153791</v>
      </c>
      <c r="AQ21" s="255">
        <f ca="1">IF(NOW(),_xll.mirSwapPV($C$3,$C$4,$C$6,$G21,$C$7,$I21+AQ$3,$C$16,$C$17,$C$18,$C$19,$C$20,$C$21,$C$22,$C$26,$C$27,$D$15,$D$16,$D$17,$D$18,$D$19,$D$20,$D$21,$D$22,$D$23,$D$24,$D$25,$D$26,$D$27,$C$8,$C$9,$C$10,$D$11,$C$12),"")</f>
        <v>-1271987.1142287177</v>
      </c>
      <c r="AR21" s="255">
        <f ca="1">IF(NOW(),_xll.mirSwapPV($C$3,$C$4,$C$6,$G21,$C$7,$I21+AR$3,$C$16,$C$17,$C$18,$C$19,$C$20,$C$21,$C$22,$C$26,$C$27,$D$15,$D$16,$D$17,$D$18,$D$19,$D$20,$D$21,$D$22,$D$23,$D$24,$D$25,$D$26,$D$27,$C$8,$C$9,$C$10,$D$11,$C$12),"")</f>
        <v>-1589983.892785897</v>
      </c>
    </row>
    <row r="22" spans="2:44">
      <c r="B22" s="234" t="s">
        <v>446</v>
      </c>
      <c r="C22" s="240">
        <f>DAY(C6)</f>
        <v>15</v>
      </c>
      <c r="D22" s="240">
        <f>DAY(C6)</f>
        <v>15</v>
      </c>
      <c r="F22" s="224" t="s">
        <v>14</v>
      </c>
      <c r="G22" s="227">
        <f>_xll.mirGetDate($C$6,F22)</f>
        <v>60463</v>
      </c>
      <c r="H22" s="228">
        <f>'EUR Curve Config'!$AO27</f>
        <v>1.8200000000000001E-2</v>
      </c>
      <c r="I22" s="229">
        <f ca="1">IF(NOW(),_xll.mirGetParRate4($C$6,F22,$C$7,$C$16,$C$17,$C$18,$C$19,$C$20,$C$21,$C$22,$C$26,$C$27,$D$16,$D$17,$D$18,$D$19,$D$20,$D$21,$D$22,$D$23,$D$24,$D$25,$D$26,$D$27,$C$8,$C$9,$C$10,$C$11,$C$12),"")</f>
        <v>1.8199999459767857E-2</v>
      </c>
      <c r="J22" s="229">
        <f t="shared" ca="1" si="10"/>
        <v>-5.4023214374199213E-10</v>
      </c>
      <c r="K22" s="230">
        <f t="shared" ca="1" si="11"/>
        <v>-5.4023214374199213E-6</v>
      </c>
      <c r="L22" s="230" t="s">
        <v>12</v>
      </c>
      <c r="M22" s="230" t="s">
        <v>14</v>
      </c>
      <c r="N22" s="255">
        <f ca="1">IF(NOW(),_xll.mirSwapPV($C$3,$C$4,$C$6,$G22,$C$7,$I22+N$3,$C$16,$C$17,$C$18,$C$19,$C$20,$C$21,$C$22,$C$26,$C$27,$D$15,$D$16,$D$17,$D$18,$D$19,$D$20,$D$21,$D$22,$D$23,$D$24,$D$25,$D$26,$D$27,$C$8,$C$9,$C$10,$C$11,$C$12),"")</f>
        <v>1698516.6839658313</v>
      </c>
      <c r="O22" s="255">
        <f ca="1">IF(NOW(),_xll.mirSwapPV($C$3,$C$4,$C$6,$G22,$C$7,$I22+O$3,$C$16,$C$17,$C$18,$C$19,$C$20,$C$21,$C$22,$C$26,$C$27,$D$15,$D$16,$D$17,$D$18,$D$19,$D$20,$D$21,$D$22,$D$23,$D$24,$D$25,$D$26,$D$27,$C$8,$C$9,$C$10,$C$11,$C$12),"")</f>
        <v>1358813.3471726649</v>
      </c>
      <c r="P22" s="255">
        <f ca="1">IF(NOW(),_xll.mirSwapPV($C$3,$C$4,$C$6,$G22,$C$7,$I22+P$3,$C$16,$C$17,$C$18,$C$19,$C$20,$C$21,$C$22,$C$26,$C$27,$D$15,$D$16,$D$17,$D$18,$D$19,$D$20,$D$21,$D$22,$D$23,$D$24,$D$25,$D$26,$D$27,$C$8,$C$9,$C$10,$C$11,$C$12),"")</f>
        <v>1019110.0103794988</v>
      </c>
      <c r="Q22" s="255">
        <f ca="1">IF(NOW(),_xll.mirSwapPV($C$3,$C$4,$C$6,$G22,$C$7,$I22+Q$3,$C$16,$C$17,$C$18,$C$19,$C$20,$C$21,$C$22,$C$26,$C$27,$D$15,$D$16,$D$17,$D$18,$D$19,$D$20,$D$21,$D$22,$D$23,$D$24,$D$25,$D$26,$D$27,$C$8,$C$9,$C$10,$C$11,$C$12),"")</f>
        <v>679406.67358633247</v>
      </c>
      <c r="R22" s="255">
        <f ca="1">IF(NOW(),_xll.mirSwapPV($C$3,$C$4,$C$6,$G22,$C$7,$I22+R$3,$C$16,$C$17,$C$18,$C$19,$C$20,$C$21,$C$22,$C$26,$C$27,$D$15,$D$16,$D$17,$D$18,$D$19,$D$20,$D$21,$D$22,$D$23,$D$24,$D$25,$D$26,$D$27,$C$8,$C$9,$C$10,$C$11,$C$12),"")</f>
        <v>339703.33679316618</v>
      </c>
      <c r="S22" s="255">
        <f ca="1">IF(NOW(),_xll.mirSwapPV($C$3,$C$4,$C$6,$G22,$C$7,$I22+S$3,$C$16,$C$17,$C$18,$C$19,$C$20,$C$21,$C$22,$C$26,$C$27,$D$15,$D$16,$D$17,$D$18,$D$19,$D$20,$D$21,$D$22,$D$23,$D$24,$D$25,$D$26,$D$27,$C$8,$C$9,$C$10,$C$11,$C$12),"")</f>
        <v>0</v>
      </c>
      <c r="T22" s="255">
        <f ca="1">IF(NOW(),_xll.mirSwapPV($C$3,$C$4,$C$6,$G22,$C$7,$I22+T$3,$C$16,$C$17,$C$18,$C$19,$C$20,$C$21,$C$22,$C$26,$C$27,$D$15,$D$16,$D$17,$D$18,$D$19,$D$20,$D$21,$D$22,$D$23,$D$24,$D$25,$D$26,$D$27,$C$8,$C$9,$C$10,$C$11,$C$12),"")</f>
        <v>-339703.33679316635</v>
      </c>
      <c r="U22" s="255">
        <f ca="1">IF(NOW(),_xll.mirSwapPV($C$3,$C$4,$C$6,$G22,$C$7,$I22+U$3,$C$16,$C$17,$C$18,$C$19,$C$20,$C$21,$C$22,$C$26,$C$27,$D$15,$D$16,$D$17,$D$18,$D$19,$D$20,$D$21,$D$22,$D$23,$D$24,$D$25,$D$26,$D$27,$C$8,$C$9,$C$10,$C$11,$C$12),"")</f>
        <v>-679406.67358633259</v>
      </c>
      <c r="V22" s="255">
        <f ca="1">IF(NOW(),_xll.mirSwapPV($C$3,$C$4,$C$6,$G22,$C$7,$I22+V$3,$C$16,$C$17,$C$18,$C$19,$C$20,$C$21,$C$22,$C$26,$C$27,$D$15,$D$16,$D$17,$D$18,$D$19,$D$20,$D$21,$D$22,$D$23,$D$24,$D$25,$D$26,$D$27,$C$8,$C$9,$C$10,$C$11,$C$12),"")</f>
        <v>-1019110.0103794986</v>
      </c>
      <c r="W22" s="255">
        <f ca="1">IF(NOW(),_xll.mirSwapPV($C$3,$C$4,$C$6,$G22,$C$7,$I22+W$3,$C$16,$C$17,$C$18,$C$19,$C$20,$C$21,$C$22,$C$26,$C$27,$D$15,$D$16,$D$17,$D$18,$D$19,$D$20,$D$21,$D$22,$D$23,$D$24,$D$25,$D$26,$D$27,$C$8,$C$9,$C$10,$C$11,$C$12),"")</f>
        <v>-1358813.3471726649</v>
      </c>
      <c r="X22" s="255">
        <f ca="1">IF(NOW(),_xll.mirSwapPV($C$3,$C$4,$C$6,$G22,$C$7,$I22+X$3,$C$16,$C$17,$C$18,$C$19,$C$20,$C$21,$C$22,$C$26,$C$27,$D$15,$D$16,$D$17,$D$18,$D$19,$D$20,$D$21,$D$22,$D$23,$D$24,$D$25,$D$26,$D$27,$C$8,$C$9,$C$10,$C$11,$C$12),"")</f>
        <v>-1698516.6839658313</v>
      </c>
      <c r="Y22" s="230" t="s">
        <v>12</v>
      </c>
      <c r="Z22" s="224" t="s">
        <v>14</v>
      </c>
      <c r="AA22" s="227">
        <f>_xll.mirGetDate($C$6,Z22)</f>
        <v>60463</v>
      </c>
      <c r="AB22" s="228">
        <f>'EUR Curve Config'!$AO27</f>
        <v>1.8200000000000001E-2</v>
      </c>
      <c r="AC22" s="229">
        <f ca="1">IF(NOW(),_xll.mirGetParRate4($C$6,Z22,$C$7,$C$16,$C$17,$C$18,$C$19,$C$20,$C$21,$C$22,$C$26,$C$27,$D$16,$D$17,$D$18,$D$19,$D$20,$D$21,$D$22,$D$23,$D$24,$D$25,$D$26,$D$27,$C$8,$C$9,$C$10,$D$11,$C$12),"")</f>
        <v>1.8199999459767868E-2</v>
      </c>
      <c r="AD22" s="229">
        <f t="shared" ca="1" si="12"/>
        <v>-5.4023213333365128E-10</v>
      </c>
      <c r="AE22" s="230">
        <f t="shared" ca="1" si="13"/>
        <v>-5.4023213333365128E-6</v>
      </c>
      <c r="AG22" s="230" t="s">
        <v>14</v>
      </c>
      <c r="AH22" s="255">
        <f ca="1">IF(NOW(),_xll.mirSwapPV($C$3,$C$4,$C$6,$G22,$C$7,$I22+AH$3,$C$16,$C$17,$C$18,$C$19,$C$20,$C$21,$C$22,$C$26,$C$27,$D$15,$D$16,$D$17,$D$18,$D$19,$D$20,$D$21,$D$22,$D$23,$D$24,$D$25,$D$26,$D$27,$C$8,$C$9,$C$10,$D$11,$C$12),"")</f>
        <v>1698516.6839658318</v>
      </c>
      <c r="AI22" s="255">
        <f ca="1">IF(NOW(),_xll.mirSwapPV($C$3,$C$4,$C$6,$G22,$C$7,$I22+AI$3,$C$16,$C$17,$C$18,$C$19,$C$20,$C$21,$C$22,$C$26,$C$27,$D$15,$D$16,$D$17,$D$18,$D$19,$D$20,$D$21,$D$22,$D$23,$D$24,$D$25,$D$26,$D$27,$C$8,$C$9,$C$10,$D$11,$C$12),"")</f>
        <v>1358813.3471726654</v>
      </c>
      <c r="AJ22" s="255">
        <f ca="1">IF(NOW(),_xll.mirSwapPV($C$3,$C$4,$C$6,$G22,$C$7,$I22+AJ$3,$C$16,$C$17,$C$18,$C$19,$C$20,$C$21,$C$22,$C$26,$C$27,$D$15,$D$16,$D$17,$D$18,$D$19,$D$20,$D$21,$D$22,$D$23,$D$24,$D$25,$D$26,$D$27,$C$8,$C$9,$C$10,$D$11,$C$12),"")</f>
        <v>1019110.0103794989</v>
      </c>
      <c r="AK22" s="255">
        <f ca="1">IF(NOW(),_xll.mirSwapPV($C$3,$C$4,$C$6,$G22,$C$7,$I22+AK$3,$C$16,$C$17,$C$18,$C$19,$C$20,$C$21,$C$22,$C$26,$C$27,$D$15,$D$16,$D$17,$D$18,$D$19,$D$20,$D$21,$D$22,$D$23,$D$24,$D$25,$D$26,$D$27,$C$8,$C$9,$C$10,$D$11,$C$12),"")</f>
        <v>679406.67358633282</v>
      </c>
      <c r="AL22" s="255">
        <f ca="1">IF(NOW(),_xll.mirSwapPV($C$3,$C$4,$C$6,$G22,$C$7,$I22+AL$3,$C$16,$C$17,$C$18,$C$19,$C$20,$C$21,$C$22,$C$26,$C$27,$D$15,$D$16,$D$17,$D$18,$D$19,$D$20,$D$21,$D$22,$D$23,$D$24,$D$25,$D$26,$D$27,$C$8,$C$9,$C$10,$D$11,$C$12),"")</f>
        <v>339703.33679316653</v>
      </c>
      <c r="AM22" s="255">
        <f ca="1">IF(NOW(),_xll.mirSwapPV($C$3,$C$4,$C$6,$G22,$C$7,$I22+AM$3,$C$16,$C$17,$C$18,$C$19,$C$20,$C$21,$C$22,$C$26,$C$27,$D$15,$D$16,$D$17,$D$18,$D$19,$D$20,$D$21,$D$22,$D$23,$D$24,$D$25,$D$26,$D$27,$C$8,$C$9,$C$10,$D$11,$C$12),"")</f>
        <v>3.3306690738754696E-10</v>
      </c>
      <c r="AN22" s="255">
        <f ca="1">IF(NOW(),_xll.mirSwapPV($C$3,$C$4,$C$6,$G22,$C$7,$I22+AN$3,$C$16,$C$17,$C$18,$C$19,$C$20,$C$21,$C$22,$C$26,$C$27,$D$15,$D$16,$D$17,$D$18,$D$19,$D$20,$D$21,$D$22,$D$23,$D$24,$D$25,$D$26,$D$27,$C$8,$C$9,$C$10,$D$11,$C$12),"")</f>
        <v>-339703.336793166</v>
      </c>
      <c r="AO22" s="255">
        <f ca="1">IF(NOW(),_xll.mirSwapPV($C$3,$C$4,$C$6,$G22,$C$7,$I22+AO$3,$C$16,$C$17,$C$18,$C$19,$C$20,$C$21,$C$22,$C$26,$C$27,$D$15,$D$16,$D$17,$D$18,$D$19,$D$20,$D$21,$D$22,$D$23,$D$24,$D$25,$D$26,$D$27,$C$8,$C$9,$C$10,$D$11,$C$12),"")</f>
        <v>-679406.67358633224</v>
      </c>
      <c r="AP22" s="255">
        <f ca="1">IF(NOW(),_xll.mirSwapPV($C$3,$C$4,$C$6,$G22,$C$7,$I22+AP$3,$C$16,$C$17,$C$18,$C$19,$C$20,$C$21,$C$22,$C$26,$C$27,$D$15,$D$16,$D$17,$D$18,$D$19,$D$20,$D$21,$D$22,$D$23,$D$24,$D$25,$D$26,$D$27,$C$8,$C$9,$C$10,$D$11,$C$12),"")</f>
        <v>-1019110.0103794984</v>
      </c>
      <c r="AQ22" s="255">
        <f ca="1">IF(NOW(),_xll.mirSwapPV($C$3,$C$4,$C$6,$G22,$C$7,$I22+AQ$3,$C$16,$C$17,$C$18,$C$19,$C$20,$C$21,$C$22,$C$26,$C$27,$D$15,$D$16,$D$17,$D$18,$D$19,$D$20,$D$21,$D$22,$D$23,$D$24,$D$25,$D$26,$D$27,$C$8,$C$9,$C$10,$D$11,$C$12),"")</f>
        <v>-1358813.3471726647</v>
      </c>
      <c r="AR22" s="255">
        <f ca="1">IF(NOW(),_xll.mirSwapPV($C$3,$C$4,$C$6,$G22,$C$7,$I22+AR$3,$C$16,$C$17,$C$18,$C$19,$C$20,$C$21,$C$22,$C$26,$C$27,$D$15,$D$16,$D$17,$D$18,$D$19,$D$20,$D$21,$D$22,$D$23,$D$24,$D$25,$D$26,$D$27,$C$8,$C$9,$C$10,$D$11,$C$12),"")</f>
        <v>-1698516.6839658308</v>
      </c>
    </row>
    <row r="23" spans="2:44">
      <c r="B23" s="234" t="s">
        <v>447</v>
      </c>
      <c r="C23" s="241" t="s">
        <v>6</v>
      </c>
      <c r="D23" s="246" t="s">
        <v>448</v>
      </c>
      <c r="F23" s="224"/>
      <c r="G23" s="224"/>
      <c r="H23" s="224"/>
      <c r="K23" s="10"/>
      <c r="L23" s="10"/>
      <c r="M23" s="10"/>
      <c r="P23" s="252"/>
      <c r="AG23" s="10"/>
      <c r="AJ23" s="252"/>
    </row>
    <row r="24" spans="2:44">
      <c r="B24" s="234" t="s">
        <v>449</v>
      </c>
      <c r="C24" s="241" t="s">
        <v>6</v>
      </c>
      <c r="D24" s="247">
        <f>'EUR Curve Config'!$Z$29</f>
        <v>4.8999999999999998E-4</v>
      </c>
      <c r="F24" s="224"/>
      <c r="G24" s="224"/>
      <c r="H24" s="224"/>
      <c r="I24" s="11"/>
      <c r="J24" s="248"/>
      <c r="K24" s="249"/>
      <c r="L24" s="249"/>
      <c r="M24" s="249"/>
      <c r="AG24" s="249"/>
    </row>
    <row r="25" spans="2:44">
      <c r="B25" s="234" t="s">
        <v>450</v>
      </c>
      <c r="C25" s="241" t="s">
        <v>6</v>
      </c>
      <c r="D25" s="250"/>
      <c r="I25" s="224"/>
      <c r="J25" s="224"/>
      <c r="K25" s="230"/>
      <c r="L25" s="230"/>
      <c r="M25" s="230"/>
      <c r="AG25" s="230"/>
    </row>
    <row r="26" spans="2:44">
      <c r="B26" s="234" t="s">
        <v>452</v>
      </c>
      <c r="C26" s="246" t="s">
        <v>448</v>
      </c>
      <c r="D26" s="246" t="s">
        <v>448</v>
      </c>
      <c r="M26" s="259"/>
      <c r="AG26" s="259"/>
    </row>
    <row r="27" spans="2:44">
      <c r="B27" s="225" t="s">
        <v>453</v>
      </c>
      <c r="C27" s="251" t="s">
        <v>454</v>
      </c>
      <c r="D27" s="251" t="s">
        <v>454</v>
      </c>
      <c r="F27" s="224"/>
      <c r="G27" s="118"/>
      <c r="M27" s="219" t="s">
        <v>462</v>
      </c>
      <c r="N27" s="219"/>
      <c r="O27" s="229"/>
      <c r="P27" s="252"/>
      <c r="Q27" s="252"/>
      <c r="R27" s="229"/>
      <c r="S27" s="229" t="s">
        <v>459</v>
      </c>
      <c r="T27" s="229"/>
      <c r="U27" s="229"/>
      <c r="V27" s="229"/>
      <c r="W27" t="s">
        <v>463</v>
      </c>
      <c r="X27" s="259" t="b">
        <f>$C$11</f>
        <v>1</v>
      </c>
      <c r="AG27" s="219" t="s">
        <v>462</v>
      </c>
      <c r="AH27" s="219"/>
      <c r="AI27" s="229"/>
      <c r="AJ27" s="252"/>
      <c r="AK27" s="252"/>
      <c r="AL27" s="229"/>
      <c r="AM27" s="229" t="s">
        <v>459</v>
      </c>
      <c r="AN27" s="229"/>
      <c r="AO27" s="229"/>
      <c r="AP27" s="229"/>
      <c r="AQ27" t="s">
        <v>463</v>
      </c>
      <c r="AR27" s="259" t="b">
        <f>$D$11</f>
        <v>0</v>
      </c>
    </row>
    <row r="28" spans="2:44">
      <c r="F28" s="224"/>
      <c r="G28" s="224"/>
      <c r="H28" s="224"/>
      <c r="I28" s="224"/>
      <c r="J28" s="224"/>
      <c r="K28" s="224"/>
      <c r="L28" s="224"/>
      <c r="M28" s="224" t="s">
        <v>76</v>
      </c>
      <c r="N28" s="230">
        <v>500</v>
      </c>
      <c r="O28" s="230">
        <f>N28-100</f>
        <v>400</v>
      </c>
      <c r="P28" s="230">
        <f t="shared" ref="P28:X28" si="14">O28-100</f>
        <v>300</v>
      </c>
      <c r="Q28" s="230">
        <f t="shared" si="14"/>
        <v>200</v>
      </c>
      <c r="R28" s="230">
        <f t="shared" si="14"/>
        <v>100</v>
      </c>
      <c r="S28" s="230">
        <f t="shared" si="14"/>
        <v>0</v>
      </c>
      <c r="T28" s="230">
        <f t="shared" si="14"/>
        <v>-100</v>
      </c>
      <c r="U28" s="230">
        <f t="shared" si="14"/>
        <v>-200</v>
      </c>
      <c r="V28" s="230">
        <f t="shared" si="14"/>
        <v>-300</v>
      </c>
      <c r="W28" s="230">
        <f t="shared" si="14"/>
        <v>-400</v>
      </c>
      <c r="X28" s="230">
        <f t="shared" si="14"/>
        <v>-500</v>
      </c>
      <c r="Y28" s="224"/>
      <c r="AE28" s="11"/>
      <c r="AG28" s="224" t="s">
        <v>76</v>
      </c>
      <c r="AH28" s="230">
        <v>500</v>
      </c>
      <c r="AI28" s="230">
        <f>AH28-100</f>
        <v>400</v>
      </c>
      <c r="AJ28" s="230">
        <f t="shared" ref="AJ28" si="15">AI28-100</f>
        <v>300</v>
      </c>
      <c r="AK28" s="230">
        <f t="shared" ref="AK28" si="16">AJ28-100</f>
        <v>200</v>
      </c>
      <c r="AL28" s="230">
        <f t="shared" ref="AL28" si="17">AK28-100</f>
        <v>100</v>
      </c>
      <c r="AM28" s="230">
        <f t="shared" ref="AM28" si="18">AL28-100</f>
        <v>0</v>
      </c>
      <c r="AN28" s="230">
        <f t="shared" ref="AN28" si="19">AM28-100</f>
        <v>-100</v>
      </c>
      <c r="AO28" s="230">
        <f t="shared" ref="AO28" si="20">AN28-100</f>
        <v>-200</v>
      </c>
      <c r="AP28" s="230">
        <f t="shared" ref="AP28" si="21">AO28-100</f>
        <v>-300</v>
      </c>
      <c r="AQ28" s="230">
        <f t="shared" ref="AQ28" si="22">AP28-100</f>
        <v>-400</v>
      </c>
      <c r="AR28" s="230">
        <f t="shared" ref="AR28" si="23">AQ28-100</f>
        <v>-500</v>
      </c>
    </row>
    <row r="29" spans="2:44">
      <c r="F29" s="230"/>
      <c r="G29" s="227"/>
      <c r="H29" s="229"/>
      <c r="I29" s="229"/>
      <c r="J29" s="229"/>
      <c r="K29" s="230"/>
      <c r="L29" s="230"/>
      <c r="M29" s="230" t="s">
        <v>42</v>
      </c>
      <c r="N29" s="255">
        <f ca="1">IF(NOW(),_xll.mirSwapPV($C$3,$C$4,$C$6,$G4,$C$7,$I4,$C$16,$C$17,$C$18,$C$19,$C$20,$C$21,$C$22,$C$26,$C$27,N$28,$D$16,$D$17,$D$18,$D$19,$D$20,$D$21,$D$22,$D$23,$D$24,$D$25,$D$26,$D$27,$C$8,$C$9,$C$10,$C$11,$C$12),"")</f>
        <v>101953.21509841588</v>
      </c>
      <c r="O29" s="255">
        <f ca="1">IF(NOW(),_xll.mirSwapPV($C$3,$C$4,$C$6,$G4,$C$7,$I4,$C$16,$C$17,$C$18,$C$19,$C$20,$C$21,$C$22,$C$26,$C$27,O$28,$D$16,$D$17,$D$18,$D$19,$D$20,$D$21,$D$22,$D$23,$D$24,$D$25,$D$26,$D$27,$C$8,$C$9,$C$10,$C$11,$C$12),"")</f>
        <v>81562.572078732701</v>
      </c>
      <c r="P29" s="255">
        <f ca="1">IF(NOW(),_xll.mirSwapPV($C$3,$C$4,$C$6,$G4,$C$7,$I4,$C$16,$C$17,$C$18,$C$19,$C$20,$C$21,$C$22,$C$26,$C$27,P$28,$D$16,$D$17,$D$18,$D$19,$D$20,$D$21,$D$22,$D$23,$D$24,$D$25,$D$26,$D$27,$C$8,$C$9,$C$10,$C$11,$C$12),"")</f>
        <v>61171.929059049529</v>
      </c>
      <c r="Q29" s="255">
        <f ca="1">IF(NOW(),_xll.mirSwapPV($C$3,$C$4,$C$6,$G4,$C$7,$I4,$C$16,$C$17,$C$18,$C$19,$C$20,$C$21,$C$22,$C$26,$C$27,Q$28,$D$16,$D$17,$D$18,$D$19,$D$20,$D$21,$D$22,$D$23,$D$24,$D$25,$D$26,$D$27,$C$8,$C$9,$C$10,$C$11,$C$12),"")</f>
        <v>40781.286039366358</v>
      </c>
      <c r="R29" s="255">
        <f ca="1">IF(NOW(),_xll.mirSwapPV($C$3,$C$4,$C$6,$G4,$C$7,$I4,$C$16,$C$17,$C$18,$C$19,$C$20,$C$21,$C$22,$C$26,$C$27,R$28,$D$16,$D$17,$D$18,$D$19,$D$20,$D$21,$D$22,$D$23,$D$24,$D$25,$D$26,$D$27,$C$8,$C$9,$C$10,$C$11,$C$12),"")</f>
        <v>20390.643019683172</v>
      </c>
      <c r="S29" s="255">
        <f ca="1">IF(NOW(),_xll.mirSwapPV($C$3,$C$4,$C$6,$G4,$C$7,$I4,$C$16,$C$17,$C$18,$C$19,$C$20,$C$21,$C$22,$C$26,$C$27,S$28,$D$16,$D$17,$D$18,$D$19,$D$20,$D$21,$D$22,$D$23,$D$24,$D$25,$D$26,$D$27,$C$8,$C$9,$C$10,$C$11,$C$12),"")</f>
        <v>0</v>
      </c>
      <c r="T29" s="255">
        <f ca="1">IF(NOW(),_xll.mirSwapPV($C$3,$C$4,$C$6,$G4,$C$7,$I4,$C$16,$C$17,$C$18,$C$19,$C$20,$C$21,$C$22,$C$26,$C$27,T$28,$D$16,$D$17,$D$18,$D$19,$D$20,$D$21,$D$22,$D$23,$D$24,$D$25,$D$26,$D$27,$C$8,$C$9,$C$10,$C$11,$C$12),"")</f>
        <v>-20390.643019683172</v>
      </c>
      <c r="U29" s="255">
        <f ca="1">IF(NOW(),_xll.mirSwapPV($C$3,$C$4,$C$6,$G4,$C$7,$I4,$C$16,$C$17,$C$18,$C$19,$C$20,$C$21,$C$22,$C$26,$C$27,U$28,$D$16,$D$17,$D$18,$D$19,$D$20,$D$21,$D$22,$D$23,$D$24,$D$25,$D$26,$D$27,$C$8,$C$9,$C$10,$C$11,$C$12),"")</f>
        <v>-40781.28603936635</v>
      </c>
      <c r="V29" s="255">
        <f ca="1">IF(NOW(),_xll.mirSwapPV($C$3,$C$4,$C$6,$G4,$C$7,$I4,$C$16,$C$17,$C$18,$C$19,$C$20,$C$21,$C$22,$C$26,$C$27,V$28,$D$16,$D$17,$D$18,$D$19,$D$20,$D$21,$D$22,$D$23,$D$24,$D$25,$D$26,$D$27,$C$8,$C$9,$C$10,$C$11,$C$12),"")</f>
        <v>-61171.929059049529</v>
      </c>
      <c r="W29" s="255">
        <f ca="1">IF(NOW(),_xll.mirSwapPV($C$3,$C$4,$C$6,$G4,$C$7,$I4,$C$16,$C$17,$C$18,$C$19,$C$20,$C$21,$C$22,$C$26,$C$27,W$28,$D$16,$D$17,$D$18,$D$19,$D$20,$D$21,$D$22,$D$23,$D$24,$D$25,$D$26,$D$27,$C$8,$C$9,$C$10,$C$11,$C$12),"")</f>
        <v>-81562.572078732701</v>
      </c>
      <c r="X29" s="255">
        <f ca="1">IF(NOW(),_xll.mirSwapPV($C$3,$C$4,$C$6,$G4,$C$7,$I4,$C$16,$C$17,$C$18,$C$19,$C$20,$C$21,$C$22,$C$26,$C$27,X$28,$D$16,$D$17,$D$18,$D$19,$D$20,$D$21,$D$22,$D$23,$D$24,$D$25,$D$26,$D$27,$C$8,$C$9,$C$10,$C$11,$C$12),"")</f>
        <v>-101953.21509841588</v>
      </c>
      <c r="Y29" s="229"/>
      <c r="AE29" s="230"/>
      <c r="AG29" s="230" t="s">
        <v>42</v>
      </c>
      <c r="AH29" s="255">
        <f ca="1">IF(NOW(),_xll.mirSwapPV($C$3,$C$4,$C$6,$AA4,$C$7,$AC4,$C$16,$C$17,$C$18,$C$19,$C$20,$C$21,$C$22,$C$26,$C$27,AH$28,$D$16,$D$17,$D$18,$D$19,$D$20,$D$21,$D$22,$D$23,$D$24,$D$25,$D$26,$D$27,$C$8,$C$9,$C$10,$D$11,$C$12),"")</f>
        <v>101953.21509841587</v>
      </c>
      <c r="AI29" s="255">
        <f ca="1">IF(NOW(),_xll.mirSwapPV($C$3,$C$4,$C$6,$AA4,$C$7,$AC4,$C$16,$C$17,$C$18,$C$19,$C$20,$C$21,$C$22,$C$26,$C$27,AI$28,$D$16,$D$17,$D$18,$D$19,$D$20,$D$21,$D$22,$D$23,$D$24,$D$25,$D$26,$D$27,$C$8,$C$9,$C$10,$D$11,$C$12),"")</f>
        <v>81562.572078732686</v>
      </c>
      <c r="AJ29" s="255">
        <f ca="1">IF(NOW(),_xll.mirSwapPV($C$3,$C$4,$C$6,$AA4,$C$7,$AC4,$C$16,$C$17,$C$18,$C$19,$C$20,$C$21,$C$22,$C$26,$C$27,AJ$28,$D$16,$D$17,$D$18,$D$19,$D$20,$D$21,$D$22,$D$23,$D$24,$D$25,$D$26,$D$27,$C$8,$C$9,$C$10,$D$11,$C$12),"")</f>
        <v>61171.929059049537</v>
      </c>
      <c r="AK29" s="255">
        <f ca="1">IF(NOW(),_xll.mirSwapPV($C$3,$C$4,$C$6,$AA4,$C$7,$AC4,$C$16,$C$17,$C$18,$C$19,$C$20,$C$21,$C$22,$C$26,$C$27,AK$28,$D$16,$D$17,$D$18,$D$19,$D$20,$D$21,$D$22,$D$23,$D$24,$D$25,$D$26,$D$27,$C$8,$C$9,$C$10,$D$11,$C$12),"")</f>
        <v>40781.28603936635</v>
      </c>
      <c r="AL29" s="255">
        <f ca="1">IF(NOW(),_xll.mirSwapPV($C$3,$C$4,$C$6,$AA4,$C$7,$AC4,$C$16,$C$17,$C$18,$C$19,$C$20,$C$21,$C$22,$C$26,$C$27,AL$28,$D$16,$D$17,$D$18,$D$19,$D$20,$D$21,$D$22,$D$23,$D$24,$D$25,$D$26,$D$27,$C$8,$C$9,$C$10,$D$11,$C$12),"")</f>
        <v>20390.643019683175</v>
      </c>
      <c r="AM29" s="255">
        <f ca="1">IF(NOW(),_xll.mirSwapPV($C$3,$C$4,$C$6,$AA4,$C$7,$AC4,$C$16,$C$17,$C$18,$C$19,$C$20,$C$21,$C$22,$C$26,$C$27,AM$28,$D$16,$D$17,$D$18,$D$19,$D$20,$D$21,$D$22,$D$23,$D$24,$D$25,$D$26,$D$27,$C$8,$C$9,$C$10,$D$11,$C$12),"")</f>
        <v>0</v>
      </c>
      <c r="AN29" s="255">
        <f ca="1">IF(NOW(),_xll.mirSwapPV($C$3,$C$4,$C$6,$AA4,$C$7,$AC4,$C$16,$C$17,$C$18,$C$19,$C$20,$C$21,$C$22,$C$26,$C$27,AN$28,$D$16,$D$17,$D$18,$D$19,$D$20,$D$21,$D$22,$D$23,$D$24,$D$25,$D$26,$D$27,$C$8,$C$9,$C$10,$D$11,$C$12),"")</f>
        <v>-20390.643019683175</v>
      </c>
      <c r="AO29" s="255">
        <f ca="1">IF(NOW(),_xll.mirSwapPV($C$3,$C$4,$C$6,$AA4,$C$7,$AC4,$C$16,$C$17,$C$18,$C$19,$C$20,$C$21,$C$22,$C$26,$C$27,AO$28,$D$16,$D$17,$D$18,$D$19,$D$20,$D$21,$D$22,$D$23,$D$24,$D$25,$D$26,$D$27,$C$8,$C$9,$C$10,$D$11,$C$12),"")</f>
        <v>-40781.28603936635</v>
      </c>
      <c r="AP29" s="255">
        <f ca="1">IF(NOW(),_xll.mirSwapPV($C$3,$C$4,$C$6,$AA4,$C$7,$AC4,$C$16,$C$17,$C$18,$C$19,$C$20,$C$21,$C$22,$C$26,$C$27,AP$28,$D$16,$D$17,$D$18,$D$19,$D$20,$D$21,$D$22,$D$23,$D$24,$D$25,$D$26,$D$27,$C$8,$C$9,$C$10,$D$11,$C$12),"")</f>
        <v>-61171.929059049529</v>
      </c>
      <c r="AQ29" s="255">
        <f ca="1">IF(NOW(),_xll.mirSwapPV($C$3,$C$4,$C$6,$AA4,$C$7,$AC4,$C$16,$C$17,$C$18,$C$19,$C$20,$C$21,$C$22,$C$26,$C$27,AQ$28,$D$16,$D$17,$D$18,$D$19,$D$20,$D$21,$D$22,$D$23,$D$24,$D$25,$D$26,$D$27,$C$8,$C$9,$C$10,$D$11,$C$12),"")</f>
        <v>-81562.572078732715</v>
      </c>
      <c r="AR29" s="255">
        <f ca="1">IF(NOW(),_xll.mirSwapPV($C$3,$C$4,$C$6,$AA4,$C$7,$AC4,$C$16,$C$17,$C$18,$C$19,$C$20,$C$21,$C$22,$C$26,$C$27,AR$28,$D$16,$D$17,$D$18,$D$19,$D$20,$D$21,$D$22,$D$23,$D$24,$D$25,$D$26,$D$27,$C$8,$C$9,$C$10,$D$11,$C$12),"")</f>
        <v>-101953.21509841588</v>
      </c>
    </row>
    <row r="30" spans="2:44">
      <c r="F30" s="230"/>
      <c r="G30" s="227"/>
      <c r="H30" s="229"/>
      <c r="I30" s="229"/>
      <c r="J30" s="229"/>
      <c r="K30" s="230"/>
      <c r="L30" s="230"/>
      <c r="M30" s="230" t="s">
        <v>39</v>
      </c>
      <c r="N30" s="255">
        <f ca="1">IF(NOW(),_xll.mirSwapPV($C$3,$C$4,$C$6,$G5,$C$7,$I5,$C$16,$C$17,$C$18,$C$19,$C$20,$C$21,$C$22,$C$26,$C$27,N$28,$D$16,$D$17,$D$18,$D$19,$D$20,$D$21,$D$22,$D$23,$D$24,$D$25,$D$26,$D$27,$C$8,$C$9,$C$10,$C$11,$C$12),"")</f>
        <v>152542.46364885772</v>
      </c>
      <c r="O30" s="255">
        <f ca="1">IF(NOW(),_xll.mirSwapPV($C$3,$C$4,$C$6,$G5,$C$7,$I5,$C$16,$C$17,$C$18,$C$19,$C$20,$C$21,$C$22,$C$26,$C$27,O$28,$D$16,$D$17,$D$18,$D$19,$D$20,$D$21,$D$22,$D$23,$D$24,$D$25,$D$26,$D$27,$C$8,$C$9,$C$10,$C$11,$C$12),"")</f>
        <v>122033.97091908618</v>
      </c>
      <c r="P30" s="255">
        <f ca="1">IF(NOW(),_xll.mirSwapPV($C$3,$C$4,$C$6,$G5,$C$7,$I5,$C$16,$C$17,$C$18,$C$19,$C$20,$C$21,$C$22,$C$26,$C$27,P$28,$D$16,$D$17,$D$18,$D$19,$D$20,$D$21,$D$22,$D$23,$D$24,$D$25,$D$26,$D$27,$C$8,$C$9,$C$10,$C$11,$C$12),"")</f>
        <v>91525.478189314628</v>
      </c>
      <c r="Q30" s="255">
        <f ca="1">IF(NOW(),_xll.mirSwapPV($C$3,$C$4,$C$6,$G5,$C$7,$I5,$C$16,$C$17,$C$18,$C$19,$C$20,$C$21,$C$22,$C$26,$C$27,Q$28,$D$16,$D$17,$D$18,$D$19,$D$20,$D$21,$D$22,$D$23,$D$24,$D$25,$D$26,$D$27,$C$8,$C$9,$C$10,$C$11,$C$12),"")</f>
        <v>61016.985459543095</v>
      </c>
      <c r="R30" s="255">
        <f ca="1">IF(NOW(),_xll.mirSwapPV($C$3,$C$4,$C$6,$G5,$C$7,$I5,$C$16,$C$17,$C$18,$C$19,$C$20,$C$21,$C$22,$C$26,$C$27,R$28,$D$16,$D$17,$D$18,$D$19,$D$20,$D$21,$D$22,$D$23,$D$24,$D$25,$D$26,$D$27,$C$8,$C$9,$C$10,$C$11,$C$12),"")</f>
        <v>30508.492729771533</v>
      </c>
      <c r="S30" s="255">
        <f ca="1">IF(NOW(),_xll.mirSwapPV($C$3,$C$4,$C$6,$G5,$C$7,$I5,$C$16,$C$17,$C$18,$C$19,$C$20,$C$21,$C$22,$C$26,$C$27,S$28,$D$16,$D$17,$D$18,$D$19,$D$20,$D$21,$D$22,$D$23,$D$24,$D$25,$D$26,$D$27,$C$8,$C$9,$C$10,$C$11,$C$12),"")</f>
        <v>-8.6736173798840355E-13</v>
      </c>
      <c r="T30" s="255">
        <f ca="1">IF(NOW(),_xll.mirSwapPV($C$3,$C$4,$C$6,$G5,$C$7,$I5,$C$16,$C$17,$C$18,$C$19,$C$20,$C$21,$C$22,$C$26,$C$27,T$28,$D$16,$D$17,$D$18,$D$19,$D$20,$D$21,$D$22,$D$23,$D$24,$D$25,$D$26,$D$27,$C$8,$C$9,$C$10,$C$11,$C$12),"")</f>
        <v>-30508.49272977154</v>
      </c>
      <c r="U30" s="255">
        <f ca="1">IF(NOW(),_xll.mirSwapPV($C$3,$C$4,$C$6,$G5,$C$7,$I5,$C$16,$C$17,$C$18,$C$19,$C$20,$C$21,$C$22,$C$26,$C$27,U$28,$D$16,$D$17,$D$18,$D$19,$D$20,$D$21,$D$22,$D$23,$D$24,$D$25,$D$26,$D$27,$C$8,$C$9,$C$10,$C$11,$C$12),"")</f>
        <v>-61016.985459543088</v>
      </c>
      <c r="V30" s="255">
        <f ca="1">IF(NOW(),_xll.mirSwapPV($C$3,$C$4,$C$6,$G5,$C$7,$I5,$C$16,$C$17,$C$18,$C$19,$C$20,$C$21,$C$22,$C$26,$C$27,V$28,$D$16,$D$17,$D$18,$D$19,$D$20,$D$21,$D$22,$D$23,$D$24,$D$25,$D$26,$D$27,$C$8,$C$9,$C$10,$C$11,$C$12),"")</f>
        <v>-91525.478189314628</v>
      </c>
      <c r="W30" s="255">
        <f ca="1">IF(NOW(),_xll.mirSwapPV($C$3,$C$4,$C$6,$G5,$C$7,$I5,$C$16,$C$17,$C$18,$C$19,$C$20,$C$21,$C$22,$C$26,$C$27,W$28,$D$16,$D$17,$D$18,$D$19,$D$20,$D$21,$D$22,$D$23,$D$24,$D$25,$D$26,$D$27,$C$8,$C$9,$C$10,$C$11,$C$12),"")</f>
        <v>-122033.97091908618</v>
      </c>
      <c r="X30" s="255">
        <f ca="1">IF(NOW(),_xll.mirSwapPV($C$3,$C$4,$C$6,$G5,$C$7,$I5,$C$16,$C$17,$C$18,$C$19,$C$20,$C$21,$C$22,$C$26,$C$27,X$28,$D$16,$D$17,$D$18,$D$19,$D$20,$D$21,$D$22,$D$23,$D$24,$D$25,$D$26,$D$27,$C$8,$C$9,$C$10,$C$11,$C$12),"")</f>
        <v>-152542.46364885769</v>
      </c>
      <c r="Y30" s="229"/>
      <c r="AG30" s="230" t="s">
        <v>39</v>
      </c>
      <c r="AH30" s="255">
        <f ca="1">IF(NOW(),_xll.mirSwapPV($C$3,$C$4,$C$6,$AA5,$C$7,$AC5,$C$16,$C$17,$C$18,$C$19,$C$20,$C$21,$C$22,$C$26,$C$27,AH$28,$D$16,$D$17,$D$18,$D$19,$D$20,$D$21,$D$22,$D$23,$D$24,$D$25,$D$26,$D$27,$C$8,$C$9,$C$10,$D$11,$C$12),"")</f>
        <v>152542.46364885769</v>
      </c>
      <c r="AI30" s="255">
        <f ca="1">IF(NOW(),_xll.mirSwapPV($C$3,$C$4,$C$6,$AA5,$C$7,$AC5,$C$16,$C$17,$C$18,$C$19,$C$20,$C$21,$C$22,$C$26,$C$27,AI$28,$D$16,$D$17,$D$18,$D$19,$D$20,$D$21,$D$22,$D$23,$D$24,$D$25,$D$26,$D$27,$C$8,$C$9,$C$10,$D$11,$C$12),"")</f>
        <v>122033.97091908618</v>
      </c>
      <c r="AJ30" s="255">
        <f ca="1">IF(NOW(),_xll.mirSwapPV($C$3,$C$4,$C$6,$AA5,$C$7,$AC5,$C$16,$C$17,$C$18,$C$19,$C$20,$C$21,$C$22,$C$26,$C$27,AJ$28,$D$16,$D$17,$D$18,$D$19,$D$20,$D$21,$D$22,$D$23,$D$24,$D$25,$D$26,$D$27,$C$8,$C$9,$C$10,$D$11,$C$12),"")</f>
        <v>91525.478189314643</v>
      </c>
      <c r="AK30" s="255">
        <f ca="1">IF(NOW(),_xll.mirSwapPV($C$3,$C$4,$C$6,$AA5,$C$7,$AC5,$C$16,$C$17,$C$18,$C$19,$C$20,$C$21,$C$22,$C$26,$C$27,AK$28,$D$16,$D$17,$D$18,$D$19,$D$20,$D$21,$D$22,$D$23,$D$24,$D$25,$D$26,$D$27,$C$8,$C$9,$C$10,$D$11,$C$12),"")</f>
        <v>61016.985459543081</v>
      </c>
      <c r="AL30" s="255">
        <f ca="1">IF(NOW(),_xll.mirSwapPV($C$3,$C$4,$C$6,$AA5,$C$7,$AC5,$C$16,$C$17,$C$18,$C$19,$C$20,$C$21,$C$22,$C$26,$C$27,AL$28,$D$16,$D$17,$D$18,$D$19,$D$20,$D$21,$D$22,$D$23,$D$24,$D$25,$D$26,$D$27,$C$8,$C$9,$C$10,$D$11,$C$12),"")</f>
        <v>30508.492729771537</v>
      </c>
      <c r="AM30" s="255">
        <f ca="1">IF(NOW(),_xll.mirSwapPV($C$3,$C$4,$C$6,$AA5,$C$7,$AC5,$C$16,$C$17,$C$18,$C$19,$C$20,$C$21,$C$22,$C$26,$C$27,AM$28,$D$16,$D$17,$D$18,$D$19,$D$20,$D$21,$D$22,$D$23,$D$24,$D$25,$D$26,$D$27,$C$8,$C$9,$C$10,$D$11,$C$12),"")</f>
        <v>0</v>
      </c>
      <c r="AN30" s="255">
        <f ca="1">IF(NOW(),_xll.mirSwapPV($C$3,$C$4,$C$6,$AA5,$C$7,$AC5,$C$16,$C$17,$C$18,$C$19,$C$20,$C$21,$C$22,$C$26,$C$27,AN$28,$D$16,$D$17,$D$18,$D$19,$D$20,$D$21,$D$22,$D$23,$D$24,$D$25,$D$26,$D$27,$C$8,$C$9,$C$10,$D$11,$C$12),"")</f>
        <v>-30508.492729771544</v>
      </c>
      <c r="AO30" s="255">
        <f ca="1">IF(NOW(),_xll.mirSwapPV($C$3,$C$4,$C$6,$AA5,$C$7,$AC5,$C$16,$C$17,$C$18,$C$19,$C$20,$C$21,$C$22,$C$26,$C$27,AO$28,$D$16,$D$17,$D$18,$D$19,$D$20,$D$21,$D$22,$D$23,$D$24,$D$25,$D$26,$D$27,$C$8,$C$9,$C$10,$D$11,$C$12),"")</f>
        <v>-61016.985459543081</v>
      </c>
      <c r="AP30" s="255">
        <f ca="1">IF(NOW(),_xll.mirSwapPV($C$3,$C$4,$C$6,$AA5,$C$7,$AC5,$C$16,$C$17,$C$18,$C$19,$C$20,$C$21,$C$22,$C$26,$C$27,AP$28,$D$16,$D$17,$D$18,$D$19,$D$20,$D$21,$D$22,$D$23,$D$24,$D$25,$D$26,$D$27,$C$8,$C$9,$C$10,$D$11,$C$12),"")</f>
        <v>-91525.478189314628</v>
      </c>
      <c r="AQ30" s="255">
        <f ca="1">IF(NOW(),_xll.mirSwapPV($C$3,$C$4,$C$6,$AA5,$C$7,$AC5,$C$16,$C$17,$C$18,$C$19,$C$20,$C$21,$C$22,$C$26,$C$27,AQ$28,$D$16,$D$17,$D$18,$D$19,$D$20,$D$21,$D$22,$D$23,$D$24,$D$25,$D$26,$D$27,$C$8,$C$9,$C$10,$D$11,$C$12),"")</f>
        <v>-122033.97091908618</v>
      </c>
      <c r="AR30" s="255">
        <f ca="1">IF(NOW(),_xll.mirSwapPV($C$3,$C$4,$C$6,$AA5,$C$7,$AC5,$C$16,$C$17,$C$18,$C$19,$C$20,$C$21,$C$22,$C$26,$C$27,AR$28,$D$16,$D$17,$D$18,$D$19,$D$20,$D$21,$D$22,$D$23,$D$24,$D$25,$D$26,$D$27,$C$8,$C$9,$C$10,$D$11,$C$12),"")</f>
        <v>-152542.46364885769</v>
      </c>
    </row>
    <row r="31" spans="2:44">
      <c r="F31" s="230"/>
      <c r="G31" s="227"/>
      <c r="H31" s="229"/>
      <c r="I31" s="229"/>
      <c r="J31" s="229"/>
      <c r="K31" s="230"/>
      <c r="L31" s="230"/>
      <c r="M31" s="230" t="s">
        <v>35</v>
      </c>
      <c r="N31" s="255">
        <f ca="1">IF(NOW(),_xll.mirSwapPV($C$3,$C$4,$C$6,$G6,$C$7,$I6,$C$16,$C$17,$C$18,$C$19,$C$20,$C$21,$C$22,$C$26,$C$27,N$28,$D$16,$D$17,$D$18,$D$19,$D$20,$D$21,$D$22,$D$23,$D$24,$D$25,$D$26,$D$27,$C$8,$C$9,$C$10,$C$11,$C$12),"")</f>
        <v>202890.72538400179</v>
      </c>
      <c r="O31" s="255">
        <f ca="1">IF(NOW(),_xll.mirSwapPV($C$3,$C$4,$C$6,$G6,$C$7,$I6,$C$16,$C$17,$C$18,$C$19,$C$20,$C$21,$C$22,$C$26,$C$27,O$28,$D$16,$D$17,$D$18,$D$19,$D$20,$D$21,$D$22,$D$23,$D$24,$D$25,$D$26,$D$27,$C$8,$C$9,$C$10,$C$11,$C$12),"")</f>
        <v>162312.58030720145</v>
      </c>
      <c r="P31" s="255">
        <f ca="1">IF(NOW(),_xll.mirSwapPV($C$3,$C$4,$C$6,$G6,$C$7,$I6,$C$16,$C$17,$C$18,$C$19,$C$20,$C$21,$C$22,$C$26,$C$27,P$28,$D$16,$D$17,$D$18,$D$19,$D$20,$D$21,$D$22,$D$23,$D$24,$D$25,$D$26,$D$27,$C$8,$C$9,$C$10,$C$11,$C$12),"")</f>
        <v>121734.43523040108</v>
      </c>
      <c r="Q31" s="255">
        <f ca="1">IF(NOW(),_xll.mirSwapPV($C$3,$C$4,$C$6,$G6,$C$7,$I6,$C$16,$C$17,$C$18,$C$19,$C$20,$C$21,$C$22,$C$26,$C$27,Q$28,$D$16,$D$17,$D$18,$D$19,$D$20,$D$21,$D$22,$D$23,$D$24,$D$25,$D$26,$D$27,$C$8,$C$9,$C$10,$C$11,$C$12),"")</f>
        <v>81156.290153600741</v>
      </c>
      <c r="R31" s="255">
        <f ca="1">IF(NOW(),_xll.mirSwapPV($C$3,$C$4,$C$6,$G6,$C$7,$I6,$C$16,$C$17,$C$18,$C$19,$C$20,$C$21,$C$22,$C$26,$C$27,R$28,$D$16,$D$17,$D$18,$D$19,$D$20,$D$21,$D$22,$D$23,$D$24,$D$25,$D$26,$D$27,$C$8,$C$9,$C$10,$C$11,$C$12),"")</f>
        <v>40578.145076800356</v>
      </c>
      <c r="S31" s="255">
        <f ca="1">IF(NOW(),_xll.mirSwapPV($C$3,$C$4,$C$6,$G6,$C$7,$I6,$C$16,$C$17,$C$18,$C$19,$C$20,$C$21,$C$22,$C$26,$C$27,S$28,$D$16,$D$17,$D$18,$D$19,$D$20,$D$21,$D$22,$D$23,$D$24,$D$25,$D$26,$D$27,$C$8,$C$9,$C$10,$C$11,$C$12),"")</f>
        <v>0</v>
      </c>
      <c r="T31" s="255">
        <f ca="1">IF(NOW(),_xll.mirSwapPV($C$3,$C$4,$C$6,$G6,$C$7,$I6,$C$16,$C$17,$C$18,$C$19,$C$20,$C$21,$C$22,$C$26,$C$27,T$28,$D$16,$D$17,$D$18,$D$19,$D$20,$D$21,$D$22,$D$23,$D$24,$D$25,$D$26,$D$27,$C$8,$C$9,$C$10,$C$11,$C$12),"")</f>
        <v>-40578.145076800356</v>
      </c>
      <c r="U31" s="255">
        <f ca="1">IF(NOW(),_xll.mirSwapPV($C$3,$C$4,$C$6,$G6,$C$7,$I6,$C$16,$C$17,$C$18,$C$19,$C$20,$C$21,$C$22,$C$26,$C$27,U$28,$D$16,$D$17,$D$18,$D$19,$D$20,$D$21,$D$22,$D$23,$D$24,$D$25,$D$26,$D$27,$C$8,$C$9,$C$10,$C$11,$C$12),"")</f>
        <v>-81156.290153600727</v>
      </c>
      <c r="V31" s="255">
        <f ca="1">IF(NOW(),_xll.mirSwapPV($C$3,$C$4,$C$6,$G6,$C$7,$I6,$C$16,$C$17,$C$18,$C$19,$C$20,$C$21,$C$22,$C$26,$C$27,V$28,$D$16,$D$17,$D$18,$D$19,$D$20,$D$21,$D$22,$D$23,$D$24,$D$25,$D$26,$D$27,$C$8,$C$9,$C$10,$C$11,$C$12),"")</f>
        <v>-121734.43523040108</v>
      </c>
      <c r="W31" s="255">
        <f ca="1">IF(NOW(),_xll.mirSwapPV($C$3,$C$4,$C$6,$G6,$C$7,$I6,$C$16,$C$17,$C$18,$C$19,$C$20,$C$21,$C$22,$C$26,$C$27,W$28,$D$16,$D$17,$D$18,$D$19,$D$20,$D$21,$D$22,$D$23,$D$24,$D$25,$D$26,$D$27,$C$8,$C$9,$C$10,$C$11,$C$12),"")</f>
        <v>-162312.58030720145</v>
      </c>
      <c r="X31" s="255">
        <f ca="1">IF(NOW(),_xll.mirSwapPV($C$3,$C$4,$C$6,$G6,$C$7,$I6,$C$16,$C$17,$C$18,$C$19,$C$20,$C$21,$C$22,$C$26,$C$27,X$28,$D$16,$D$17,$D$18,$D$19,$D$20,$D$21,$D$22,$D$23,$D$24,$D$25,$D$26,$D$27,$C$8,$C$9,$C$10,$C$11,$C$12),"")</f>
        <v>-202890.72538400182</v>
      </c>
      <c r="Y31" s="229"/>
      <c r="AG31" s="230" t="s">
        <v>35</v>
      </c>
      <c r="AH31" s="255">
        <f ca="1">IF(NOW(),_xll.mirSwapPV($C$3,$C$4,$C$6,$AA6,$C$7,$AC6,$C$16,$C$17,$C$18,$C$19,$C$20,$C$21,$C$22,$C$26,$C$27,AH$28,$D$16,$D$17,$D$18,$D$19,$D$20,$D$21,$D$22,$D$23,$D$24,$D$25,$D$26,$D$27,$C$8,$C$9,$C$10,$D$11,$C$12),"")</f>
        <v>202890.72538400179</v>
      </c>
      <c r="AI31" s="255">
        <f ca="1">IF(NOW(),_xll.mirSwapPV($C$3,$C$4,$C$6,$AA6,$C$7,$AC6,$C$16,$C$17,$C$18,$C$19,$C$20,$C$21,$C$22,$C$26,$C$27,AI$28,$D$16,$D$17,$D$18,$D$19,$D$20,$D$21,$D$22,$D$23,$D$24,$D$25,$D$26,$D$27,$C$8,$C$9,$C$10,$D$11,$C$12),"")</f>
        <v>162312.58030720142</v>
      </c>
      <c r="AJ31" s="255">
        <f ca="1">IF(NOW(),_xll.mirSwapPV($C$3,$C$4,$C$6,$AA6,$C$7,$AC6,$C$16,$C$17,$C$18,$C$19,$C$20,$C$21,$C$22,$C$26,$C$27,AJ$28,$D$16,$D$17,$D$18,$D$19,$D$20,$D$21,$D$22,$D$23,$D$24,$D$25,$D$26,$D$27,$C$8,$C$9,$C$10,$D$11,$C$12),"")</f>
        <v>121734.4352304011</v>
      </c>
      <c r="AK31" s="255">
        <f ca="1">IF(NOW(),_xll.mirSwapPV($C$3,$C$4,$C$6,$AA6,$C$7,$AC6,$C$16,$C$17,$C$18,$C$19,$C$20,$C$21,$C$22,$C$26,$C$27,AK$28,$D$16,$D$17,$D$18,$D$19,$D$20,$D$21,$D$22,$D$23,$D$24,$D$25,$D$26,$D$27,$C$8,$C$9,$C$10,$D$11,$C$12),"")</f>
        <v>81156.290153600712</v>
      </c>
      <c r="AL31" s="255">
        <f ca="1">IF(NOW(),_xll.mirSwapPV($C$3,$C$4,$C$6,$AA6,$C$7,$AC6,$C$16,$C$17,$C$18,$C$19,$C$20,$C$21,$C$22,$C$26,$C$27,AL$28,$D$16,$D$17,$D$18,$D$19,$D$20,$D$21,$D$22,$D$23,$D$24,$D$25,$D$26,$D$27,$C$8,$C$9,$C$10,$D$11,$C$12),"")</f>
        <v>40578.145076800356</v>
      </c>
      <c r="AM31" s="255">
        <f ca="1">IF(NOW(),_xll.mirSwapPV($C$3,$C$4,$C$6,$AA6,$C$7,$AC6,$C$16,$C$17,$C$18,$C$19,$C$20,$C$21,$C$22,$C$26,$C$27,AM$28,$D$16,$D$17,$D$18,$D$19,$D$20,$D$21,$D$22,$D$23,$D$24,$D$25,$D$26,$D$27,$C$8,$C$9,$C$10,$D$11,$C$12),"")</f>
        <v>0</v>
      </c>
      <c r="AN31" s="255">
        <f ca="1">IF(NOW(),_xll.mirSwapPV($C$3,$C$4,$C$6,$AA6,$C$7,$AC6,$C$16,$C$17,$C$18,$C$19,$C$20,$C$21,$C$22,$C$26,$C$27,AN$28,$D$16,$D$17,$D$18,$D$19,$D$20,$D$21,$D$22,$D$23,$D$24,$D$25,$D$26,$D$27,$C$8,$C$9,$C$10,$D$11,$C$12),"")</f>
        <v>-40578.145076800363</v>
      </c>
      <c r="AO31" s="255">
        <f ca="1">IF(NOW(),_xll.mirSwapPV($C$3,$C$4,$C$6,$AA6,$C$7,$AC6,$C$16,$C$17,$C$18,$C$19,$C$20,$C$21,$C$22,$C$26,$C$27,AO$28,$D$16,$D$17,$D$18,$D$19,$D$20,$D$21,$D$22,$D$23,$D$24,$D$25,$D$26,$D$27,$C$8,$C$9,$C$10,$D$11,$C$12),"")</f>
        <v>-81156.290153600727</v>
      </c>
      <c r="AP31" s="255">
        <f ca="1">IF(NOW(),_xll.mirSwapPV($C$3,$C$4,$C$6,$AA6,$C$7,$AC6,$C$16,$C$17,$C$18,$C$19,$C$20,$C$21,$C$22,$C$26,$C$27,AP$28,$D$16,$D$17,$D$18,$D$19,$D$20,$D$21,$D$22,$D$23,$D$24,$D$25,$D$26,$D$27,$C$8,$C$9,$C$10,$D$11,$C$12),"")</f>
        <v>-121734.43523040107</v>
      </c>
      <c r="AQ31" s="255">
        <f ca="1">IF(NOW(),_xll.mirSwapPV($C$3,$C$4,$C$6,$AA6,$C$7,$AC6,$C$16,$C$17,$C$18,$C$19,$C$20,$C$21,$C$22,$C$26,$C$27,AQ$28,$D$16,$D$17,$D$18,$D$19,$D$20,$D$21,$D$22,$D$23,$D$24,$D$25,$D$26,$D$27,$C$8,$C$9,$C$10,$D$11,$C$12),"")</f>
        <v>-162312.58030720145</v>
      </c>
      <c r="AR31" s="255">
        <f ca="1">IF(NOW(),_xll.mirSwapPV($C$3,$C$4,$C$6,$AA6,$C$7,$AC6,$C$16,$C$17,$C$18,$C$19,$C$20,$C$21,$C$22,$C$26,$C$27,AR$28,$D$16,$D$17,$D$18,$D$19,$D$20,$D$21,$D$22,$D$23,$D$24,$D$25,$D$26,$D$27,$C$8,$C$9,$C$10,$D$11,$C$12),"")</f>
        <v>-202890.72538400179</v>
      </c>
    </row>
    <row r="32" spans="2:44">
      <c r="F32" s="230"/>
      <c r="G32" s="227"/>
      <c r="H32" s="229"/>
      <c r="I32" s="229"/>
      <c r="J32" s="229"/>
      <c r="K32" s="230"/>
      <c r="L32" s="230"/>
      <c r="M32" s="230" t="s">
        <v>33</v>
      </c>
      <c r="N32" s="255">
        <f ca="1">IF(NOW(),_xll.mirSwapPV($C$3,$C$4,$C$6,$G7,$C$7,$I7,$C$16,$C$17,$C$18,$C$19,$C$20,$C$21,$C$22,$C$26,$C$27,N$28,$D$16,$D$17,$D$18,$D$19,$D$20,$D$21,$D$22,$D$23,$D$24,$D$25,$D$26,$D$27,$C$8,$C$9,$C$10,$C$11,$C$12),"")</f>
        <v>253069.5285075022</v>
      </c>
      <c r="O32" s="255">
        <f ca="1">IF(NOW(),_xll.mirSwapPV($C$3,$C$4,$C$6,$G7,$C$7,$I7,$C$16,$C$17,$C$18,$C$19,$C$20,$C$21,$C$22,$C$26,$C$27,O$28,$D$16,$D$17,$D$18,$D$19,$D$20,$D$21,$D$22,$D$23,$D$24,$D$25,$D$26,$D$27,$C$8,$C$9,$C$10,$C$11,$C$12),"")</f>
        <v>202455.6228060018</v>
      </c>
      <c r="P32" s="255">
        <f ca="1">IF(NOW(),_xll.mirSwapPV($C$3,$C$4,$C$6,$G7,$C$7,$I7,$C$16,$C$17,$C$18,$C$19,$C$20,$C$21,$C$22,$C$26,$C$27,P$28,$D$16,$D$17,$D$18,$D$19,$D$20,$D$21,$D$22,$D$23,$D$24,$D$25,$D$26,$D$27,$C$8,$C$9,$C$10,$C$11,$C$12),"")</f>
        <v>151841.71710450135</v>
      </c>
      <c r="Q32" s="255">
        <f ca="1">IF(NOW(),_xll.mirSwapPV($C$3,$C$4,$C$6,$G7,$C$7,$I7,$C$16,$C$17,$C$18,$C$19,$C$20,$C$21,$C$22,$C$26,$C$27,Q$28,$D$16,$D$17,$D$18,$D$19,$D$20,$D$21,$D$22,$D$23,$D$24,$D$25,$D$26,$D$27,$C$8,$C$9,$C$10,$C$11,$C$12),"")</f>
        <v>101227.81140300092</v>
      </c>
      <c r="R32" s="255">
        <f ca="1">IF(NOW(),_xll.mirSwapPV($C$3,$C$4,$C$6,$G7,$C$7,$I7,$C$16,$C$17,$C$18,$C$19,$C$20,$C$21,$C$22,$C$26,$C$27,R$28,$D$16,$D$17,$D$18,$D$19,$D$20,$D$21,$D$22,$D$23,$D$24,$D$25,$D$26,$D$27,$C$8,$C$9,$C$10,$C$11,$C$12),"")</f>
        <v>50613.905701500429</v>
      </c>
      <c r="S32" s="255">
        <f ca="1">IF(NOW(),_xll.mirSwapPV($C$3,$C$4,$C$6,$G7,$C$7,$I7,$C$16,$C$17,$C$18,$C$19,$C$20,$C$21,$C$22,$C$26,$C$27,S$28,$D$16,$D$17,$D$18,$D$19,$D$20,$D$21,$D$22,$D$23,$D$24,$D$25,$D$26,$D$27,$C$8,$C$9,$C$10,$C$11,$C$12),"")</f>
        <v>0</v>
      </c>
      <c r="T32" s="255">
        <f ca="1">IF(NOW(),_xll.mirSwapPV($C$3,$C$4,$C$6,$G7,$C$7,$I7,$C$16,$C$17,$C$18,$C$19,$C$20,$C$21,$C$22,$C$26,$C$27,T$28,$D$16,$D$17,$D$18,$D$19,$D$20,$D$21,$D$22,$D$23,$D$24,$D$25,$D$26,$D$27,$C$8,$C$9,$C$10,$C$11,$C$12),"")</f>
        <v>-50613.905701500444</v>
      </c>
      <c r="U32" s="255">
        <f ca="1">IF(NOW(),_xll.mirSwapPV($C$3,$C$4,$C$6,$G7,$C$7,$I7,$C$16,$C$17,$C$18,$C$19,$C$20,$C$21,$C$22,$C$26,$C$27,U$28,$D$16,$D$17,$D$18,$D$19,$D$20,$D$21,$D$22,$D$23,$D$24,$D$25,$D$26,$D$27,$C$8,$C$9,$C$10,$C$11,$C$12),"")</f>
        <v>-101227.81140300089</v>
      </c>
      <c r="V32" s="255">
        <f ca="1">IF(NOW(),_xll.mirSwapPV($C$3,$C$4,$C$6,$G7,$C$7,$I7,$C$16,$C$17,$C$18,$C$19,$C$20,$C$21,$C$22,$C$26,$C$27,V$28,$D$16,$D$17,$D$18,$D$19,$D$20,$D$21,$D$22,$D$23,$D$24,$D$25,$D$26,$D$27,$C$8,$C$9,$C$10,$C$11,$C$12),"")</f>
        <v>-151841.71710450135</v>
      </c>
      <c r="W32" s="255">
        <f ca="1">IF(NOW(),_xll.mirSwapPV($C$3,$C$4,$C$6,$G7,$C$7,$I7,$C$16,$C$17,$C$18,$C$19,$C$20,$C$21,$C$22,$C$26,$C$27,W$28,$D$16,$D$17,$D$18,$D$19,$D$20,$D$21,$D$22,$D$23,$D$24,$D$25,$D$26,$D$27,$C$8,$C$9,$C$10,$C$11,$C$12),"")</f>
        <v>-202455.62280600177</v>
      </c>
      <c r="X32" s="255">
        <f ca="1">IF(NOW(),_xll.mirSwapPV($C$3,$C$4,$C$6,$G7,$C$7,$I7,$C$16,$C$17,$C$18,$C$19,$C$20,$C$21,$C$22,$C$26,$C$27,X$28,$D$16,$D$17,$D$18,$D$19,$D$20,$D$21,$D$22,$D$23,$D$24,$D$25,$D$26,$D$27,$C$8,$C$9,$C$10,$C$11,$C$12),"")</f>
        <v>-253069.5285075022</v>
      </c>
      <c r="Y32" s="229"/>
      <c r="AE32" s="252"/>
      <c r="AG32" s="230" t="s">
        <v>33</v>
      </c>
      <c r="AH32" s="255">
        <f ca="1">IF(NOW(),_xll.mirSwapPV($C$3,$C$4,$C$6,$AA7,$C$7,$AC7,$C$16,$C$17,$C$18,$C$19,$C$20,$C$21,$C$22,$C$26,$C$27,AH$28,$D$16,$D$17,$D$18,$D$19,$D$20,$D$21,$D$22,$D$23,$D$24,$D$25,$D$26,$D$27,$C$8,$C$9,$C$10,$D$11,$C$12),"")</f>
        <v>253069.5285075022</v>
      </c>
      <c r="AI32" s="255">
        <f ca="1">IF(NOW(),_xll.mirSwapPV($C$3,$C$4,$C$6,$AA7,$C$7,$AC7,$C$16,$C$17,$C$18,$C$19,$C$20,$C$21,$C$22,$C$26,$C$27,AI$28,$D$16,$D$17,$D$18,$D$19,$D$20,$D$21,$D$22,$D$23,$D$24,$D$25,$D$26,$D$27,$C$8,$C$9,$C$10,$D$11,$C$12),"")</f>
        <v>202455.62280600177</v>
      </c>
      <c r="AJ32" s="255">
        <f ca="1">IF(NOW(),_xll.mirSwapPV($C$3,$C$4,$C$6,$AA7,$C$7,$AC7,$C$16,$C$17,$C$18,$C$19,$C$20,$C$21,$C$22,$C$26,$C$27,AJ$28,$D$16,$D$17,$D$18,$D$19,$D$20,$D$21,$D$22,$D$23,$D$24,$D$25,$D$26,$D$27,$C$8,$C$9,$C$10,$D$11,$C$12),"")</f>
        <v>151841.71710450135</v>
      </c>
      <c r="AK32" s="255">
        <f ca="1">IF(NOW(),_xll.mirSwapPV($C$3,$C$4,$C$6,$AA7,$C$7,$AC7,$C$16,$C$17,$C$18,$C$19,$C$20,$C$21,$C$22,$C$26,$C$27,AK$28,$D$16,$D$17,$D$18,$D$19,$D$20,$D$21,$D$22,$D$23,$D$24,$D$25,$D$26,$D$27,$C$8,$C$9,$C$10,$D$11,$C$12),"")</f>
        <v>101227.81140300087</v>
      </c>
      <c r="AL32" s="255">
        <f ca="1">IF(NOW(),_xll.mirSwapPV($C$3,$C$4,$C$6,$AA7,$C$7,$AC7,$C$16,$C$17,$C$18,$C$19,$C$20,$C$21,$C$22,$C$26,$C$27,AL$28,$D$16,$D$17,$D$18,$D$19,$D$20,$D$21,$D$22,$D$23,$D$24,$D$25,$D$26,$D$27,$C$8,$C$9,$C$10,$D$11,$C$12),"")</f>
        <v>50613.905701500429</v>
      </c>
      <c r="AM32" s="255">
        <f ca="1">IF(NOW(),_xll.mirSwapPV($C$3,$C$4,$C$6,$AA7,$C$7,$AC7,$C$16,$C$17,$C$18,$C$19,$C$20,$C$21,$C$22,$C$26,$C$27,AM$28,$D$16,$D$17,$D$18,$D$19,$D$20,$D$21,$D$22,$D$23,$D$24,$D$25,$D$26,$D$27,$C$8,$C$9,$C$10,$D$11,$C$12),"")</f>
        <v>0</v>
      </c>
      <c r="AN32" s="255">
        <f ca="1">IF(NOW(),_xll.mirSwapPV($C$3,$C$4,$C$6,$AA7,$C$7,$AC7,$C$16,$C$17,$C$18,$C$19,$C$20,$C$21,$C$22,$C$26,$C$27,AN$28,$D$16,$D$17,$D$18,$D$19,$D$20,$D$21,$D$22,$D$23,$D$24,$D$25,$D$26,$D$27,$C$8,$C$9,$C$10,$D$11,$C$12),"")</f>
        <v>-50613.905701500444</v>
      </c>
      <c r="AO32" s="255">
        <f ca="1">IF(NOW(),_xll.mirSwapPV($C$3,$C$4,$C$6,$AA7,$C$7,$AC7,$C$16,$C$17,$C$18,$C$19,$C$20,$C$21,$C$22,$C$26,$C$27,AO$28,$D$16,$D$17,$D$18,$D$19,$D$20,$D$21,$D$22,$D$23,$D$24,$D$25,$D$26,$D$27,$C$8,$C$9,$C$10,$D$11,$C$12),"")</f>
        <v>-101227.8114030009</v>
      </c>
      <c r="AP32" s="255">
        <f ca="1">IF(NOW(),_xll.mirSwapPV($C$3,$C$4,$C$6,$AA7,$C$7,$AC7,$C$16,$C$17,$C$18,$C$19,$C$20,$C$21,$C$22,$C$26,$C$27,AP$28,$D$16,$D$17,$D$18,$D$19,$D$20,$D$21,$D$22,$D$23,$D$24,$D$25,$D$26,$D$27,$C$8,$C$9,$C$10,$D$11,$C$12),"")</f>
        <v>-151841.71710450135</v>
      </c>
      <c r="AQ32" s="255">
        <f ca="1">IF(NOW(),_xll.mirSwapPV($C$3,$C$4,$C$6,$AA7,$C$7,$AC7,$C$16,$C$17,$C$18,$C$19,$C$20,$C$21,$C$22,$C$26,$C$27,AQ$28,$D$16,$D$17,$D$18,$D$19,$D$20,$D$21,$D$22,$D$23,$D$24,$D$25,$D$26,$D$27,$C$8,$C$9,$C$10,$D$11,$C$12),"")</f>
        <v>-202455.62280600177</v>
      </c>
      <c r="AR32" s="255">
        <f ca="1">IF(NOW(),_xll.mirSwapPV($C$3,$C$4,$C$6,$AA7,$C$7,$AC7,$C$16,$C$17,$C$18,$C$19,$C$20,$C$21,$C$22,$C$26,$C$27,AR$28,$D$16,$D$17,$D$18,$D$19,$D$20,$D$21,$D$22,$D$23,$D$24,$D$25,$D$26,$D$27,$C$8,$C$9,$C$10,$D$11,$C$12),"")</f>
        <v>-253069.5285075022</v>
      </c>
    </row>
    <row r="33" spans="6:44">
      <c r="F33" s="230"/>
      <c r="G33" s="227"/>
      <c r="H33" s="229"/>
      <c r="I33" s="229"/>
      <c r="J33" s="229"/>
      <c r="K33" s="230"/>
      <c r="L33" s="230"/>
      <c r="M33" s="230" t="s">
        <v>131</v>
      </c>
      <c r="N33" s="255">
        <f ca="1">IF(NOW(),_xll.mirSwapPV($C$3,$C$4,$C$6,$G8,$C$7,$I8,$C$16,$C$17,$C$18,$C$19,$C$20,$C$21,$C$22,$C$26,$C$27,N$28,$D$16,$D$17,$D$18,$D$19,$D$20,$D$21,$D$22,$D$23,$D$24,$D$25,$D$26,$D$27,$C$8,$C$9,$C$10,$C$11,$C$12),"")</f>
        <v>302490.7129720439</v>
      </c>
      <c r="O33" s="255">
        <f ca="1">IF(NOW(),_xll.mirSwapPV($C$3,$C$4,$C$6,$G8,$C$7,$I8,$C$16,$C$17,$C$18,$C$19,$C$20,$C$21,$C$22,$C$26,$C$27,O$28,$D$16,$D$17,$D$18,$D$19,$D$20,$D$21,$D$22,$D$23,$D$24,$D$25,$D$26,$D$27,$C$8,$C$9,$C$10,$C$11,$C$12),"")</f>
        <v>241992.57037763516</v>
      </c>
      <c r="P33" s="255">
        <f ca="1">IF(NOW(),_xll.mirSwapPV($C$3,$C$4,$C$6,$G8,$C$7,$I8,$C$16,$C$17,$C$18,$C$19,$C$20,$C$21,$C$22,$C$26,$C$27,P$28,$D$16,$D$17,$D$18,$D$19,$D$20,$D$21,$D$22,$D$23,$D$24,$D$25,$D$26,$D$27,$C$8,$C$9,$C$10,$C$11,$C$12),"")</f>
        <v>181494.42778322636</v>
      </c>
      <c r="Q33" s="255">
        <f ca="1">IF(NOW(),_xll.mirSwapPV($C$3,$C$4,$C$6,$G8,$C$7,$I8,$C$16,$C$17,$C$18,$C$19,$C$20,$C$21,$C$22,$C$26,$C$27,Q$28,$D$16,$D$17,$D$18,$D$19,$D$20,$D$21,$D$22,$D$23,$D$24,$D$25,$D$26,$D$27,$C$8,$C$9,$C$10,$C$11,$C$12),"")</f>
        <v>120996.28518881758</v>
      </c>
      <c r="R33" s="255">
        <f ca="1">IF(NOW(),_xll.mirSwapPV($C$3,$C$4,$C$6,$G8,$C$7,$I8,$C$16,$C$17,$C$18,$C$19,$C$20,$C$21,$C$22,$C$26,$C$27,R$28,$D$16,$D$17,$D$18,$D$19,$D$20,$D$21,$D$22,$D$23,$D$24,$D$25,$D$26,$D$27,$C$8,$C$9,$C$10,$C$11,$C$12),"")</f>
        <v>60498.142594408746</v>
      </c>
      <c r="S33" s="255">
        <f ca="1">IF(NOW(),_xll.mirSwapPV($C$3,$C$4,$C$6,$G8,$C$7,$I8,$C$16,$C$17,$C$18,$C$19,$C$20,$C$21,$C$22,$C$26,$C$27,S$28,$D$16,$D$17,$D$18,$D$19,$D$20,$D$21,$D$22,$D$23,$D$24,$D$25,$D$26,$D$27,$C$8,$C$9,$C$10,$C$11,$C$12),"")</f>
        <v>0</v>
      </c>
      <c r="T33" s="255">
        <f ca="1">IF(NOW(),_xll.mirSwapPV($C$3,$C$4,$C$6,$G8,$C$7,$I8,$C$16,$C$17,$C$18,$C$19,$C$20,$C$21,$C$22,$C$26,$C$27,T$28,$D$16,$D$17,$D$18,$D$19,$D$20,$D$21,$D$22,$D$23,$D$24,$D$25,$D$26,$D$27,$C$8,$C$9,$C$10,$C$11,$C$12),"")</f>
        <v>-60498.142594408768</v>
      </c>
      <c r="U33" s="255">
        <f ca="1">IF(NOW(),_xll.mirSwapPV($C$3,$C$4,$C$6,$G8,$C$7,$I8,$C$16,$C$17,$C$18,$C$19,$C$20,$C$21,$C$22,$C$26,$C$27,U$28,$D$16,$D$17,$D$18,$D$19,$D$20,$D$21,$D$22,$D$23,$D$24,$D$25,$D$26,$D$27,$C$8,$C$9,$C$10,$C$11,$C$12),"")</f>
        <v>-120996.28518881754</v>
      </c>
      <c r="V33" s="255">
        <f ca="1">IF(NOW(),_xll.mirSwapPV($C$3,$C$4,$C$6,$G8,$C$7,$I8,$C$16,$C$17,$C$18,$C$19,$C$20,$C$21,$C$22,$C$26,$C$27,V$28,$D$16,$D$17,$D$18,$D$19,$D$20,$D$21,$D$22,$D$23,$D$24,$D$25,$D$26,$D$27,$C$8,$C$9,$C$10,$C$11,$C$12),"")</f>
        <v>-181494.42778322633</v>
      </c>
      <c r="W33" s="255">
        <f ca="1">IF(NOW(),_xll.mirSwapPV($C$3,$C$4,$C$6,$G8,$C$7,$I8,$C$16,$C$17,$C$18,$C$19,$C$20,$C$21,$C$22,$C$26,$C$27,W$28,$D$16,$D$17,$D$18,$D$19,$D$20,$D$21,$D$22,$D$23,$D$24,$D$25,$D$26,$D$27,$C$8,$C$9,$C$10,$C$11,$C$12),"")</f>
        <v>-241992.57037763507</v>
      </c>
      <c r="X33" s="255">
        <f ca="1">IF(NOW(),_xll.mirSwapPV($C$3,$C$4,$C$6,$G8,$C$7,$I8,$C$16,$C$17,$C$18,$C$19,$C$20,$C$21,$C$22,$C$26,$C$27,X$28,$D$16,$D$17,$D$18,$D$19,$D$20,$D$21,$D$22,$D$23,$D$24,$D$25,$D$26,$D$27,$C$8,$C$9,$C$10,$C$11,$C$12),"")</f>
        <v>-302490.7129720439</v>
      </c>
      <c r="Y33" s="229"/>
      <c r="AE33" s="10"/>
      <c r="AG33" s="230" t="s">
        <v>131</v>
      </c>
      <c r="AH33" s="255">
        <f ca="1">IF(NOW(),_xll.mirSwapPV($C$3,$C$4,$C$6,$AA8,$C$7,$AC8,$C$16,$C$17,$C$18,$C$19,$C$20,$C$21,$C$22,$C$26,$C$27,AH$28,$D$16,$D$17,$D$18,$D$19,$D$20,$D$21,$D$22,$D$23,$D$24,$D$25,$D$26,$D$27,$C$8,$C$9,$C$10,$D$11,$C$12),"")</f>
        <v>302490.71297204384</v>
      </c>
      <c r="AI33" s="255">
        <f ca="1">IF(NOW(),_xll.mirSwapPV($C$3,$C$4,$C$6,$AA8,$C$7,$AC8,$C$16,$C$17,$C$18,$C$19,$C$20,$C$21,$C$22,$C$26,$C$27,AI$28,$D$16,$D$17,$D$18,$D$19,$D$20,$D$21,$D$22,$D$23,$D$24,$D$25,$D$26,$D$27,$C$8,$C$9,$C$10,$D$11,$C$12),"")</f>
        <v>241992.57037763507</v>
      </c>
      <c r="AJ33" s="255">
        <f ca="1">IF(NOW(),_xll.mirSwapPV($C$3,$C$4,$C$6,$AA8,$C$7,$AC8,$C$16,$C$17,$C$18,$C$19,$C$20,$C$21,$C$22,$C$26,$C$27,AJ$28,$D$16,$D$17,$D$18,$D$19,$D$20,$D$21,$D$22,$D$23,$D$24,$D$25,$D$26,$D$27,$C$8,$C$9,$C$10,$D$11,$C$12),"")</f>
        <v>181494.42778322636</v>
      </c>
      <c r="AK33" s="255">
        <f ca="1">IF(NOW(),_xll.mirSwapPV($C$3,$C$4,$C$6,$AA8,$C$7,$AC8,$C$16,$C$17,$C$18,$C$19,$C$20,$C$21,$C$22,$C$26,$C$27,AK$28,$D$16,$D$17,$D$18,$D$19,$D$20,$D$21,$D$22,$D$23,$D$24,$D$25,$D$26,$D$27,$C$8,$C$9,$C$10,$D$11,$C$12),"")</f>
        <v>120996.28518881752</v>
      </c>
      <c r="AL33" s="255">
        <f ca="1">IF(NOW(),_xll.mirSwapPV($C$3,$C$4,$C$6,$AA8,$C$7,$AC8,$C$16,$C$17,$C$18,$C$19,$C$20,$C$21,$C$22,$C$26,$C$27,AL$28,$D$16,$D$17,$D$18,$D$19,$D$20,$D$21,$D$22,$D$23,$D$24,$D$25,$D$26,$D$27,$C$8,$C$9,$C$10,$D$11,$C$12),"")</f>
        <v>60498.142594408739</v>
      </c>
      <c r="AM33" s="255">
        <f ca="1">IF(NOW(),_xll.mirSwapPV($C$3,$C$4,$C$6,$AA8,$C$7,$AC8,$C$16,$C$17,$C$18,$C$19,$C$20,$C$21,$C$22,$C$26,$C$27,AM$28,$D$16,$D$17,$D$18,$D$19,$D$20,$D$21,$D$22,$D$23,$D$24,$D$25,$D$26,$D$27,$C$8,$C$9,$C$10,$D$11,$C$12),"")</f>
        <v>0</v>
      </c>
      <c r="AN33" s="255">
        <f ca="1">IF(NOW(),_xll.mirSwapPV($C$3,$C$4,$C$6,$AA8,$C$7,$AC8,$C$16,$C$17,$C$18,$C$19,$C$20,$C$21,$C$22,$C$26,$C$27,AN$28,$D$16,$D$17,$D$18,$D$19,$D$20,$D$21,$D$22,$D$23,$D$24,$D$25,$D$26,$D$27,$C$8,$C$9,$C$10,$D$11,$C$12),"")</f>
        <v>-60498.142594408775</v>
      </c>
      <c r="AO33" s="255">
        <f ca="1">IF(NOW(),_xll.mirSwapPV($C$3,$C$4,$C$6,$AA8,$C$7,$AC8,$C$16,$C$17,$C$18,$C$19,$C$20,$C$21,$C$22,$C$26,$C$27,AO$28,$D$16,$D$17,$D$18,$D$19,$D$20,$D$21,$D$22,$D$23,$D$24,$D$25,$D$26,$D$27,$C$8,$C$9,$C$10,$D$11,$C$12),"")</f>
        <v>-120996.28518881755</v>
      </c>
      <c r="AP33" s="255">
        <f ca="1">IF(NOW(),_xll.mirSwapPV($C$3,$C$4,$C$6,$AA8,$C$7,$AC8,$C$16,$C$17,$C$18,$C$19,$C$20,$C$21,$C$22,$C$26,$C$27,AP$28,$D$16,$D$17,$D$18,$D$19,$D$20,$D$21,$D$22,$D$23,$D$24,$D$25,$D$26,$D$27,$C$8,$C$9,$C$10,$D$11,$C$12),"")</f>
        <v>-181494.42778322633</v>
      </c>
      <c r="AQ33" s="255">
        <f ca="1">IF(NOW(),_xll.mirSwapPV($C$3,$C$4,$C$6,$AA8,$C$7,$AC8,$C$16,$C$17,$C$18,$C$19,$C$20,$C$21,$C$22,$C$26,$C$27,AQ$28,$D$16,$D$17,$D$18,$D$19,$D$20,$D$21,$D$22,$D$23,$D$24,$D$25,$D$26,$D$27,$C$8,$C$9,$C$10,$D$11,$C$12),"")</f>
        <v>-241992.5703776351</v>
      </c>
      <c r="AR33" s="255">
        <f ca="1">IF(NOW(),_xll.mirSwapPV($C$3,$C$4,$C$6,$AA8,$C$7,$AC8,$C$16,$C$17,$C$18,$C$19,$C$20,$C$21,$C$22,$C$26,$C$27,AR$28,$D$16,$D$17,$D$18,$D$19,$D$20,$D$21,$D$22,$D$23,$D$24,$D$25,$D$26,$D$27,$C$8,$C$9,$C$10,$D$11,$C$12),"")</f>
        <v>-302490.7129720439</v>
      </c>
    </row>
    <row r="34" spans="6:44">
      <c r="F34" s="230"/>
      <c r="G34" s="227"/>
      <c r="H34" s="229"/>
      <c r="I34" s="229"/>
      <c r="J34" s="229"/>
      <c r="K34" s="230"/>
      <c r="L34" s="230"/>
      <c r="M34" s="230" t="s">
        <v>31</v>
      </c>
      <c r="N34" s="255">
        <f ca="1">IF(NOW(),_xll.mirSwapPV($C$3,$C$4,$C$6,$G9,$C$7,$I9,$C$16,$C$17,$C$18,$C$19,$C$20,$C$21,$C$22,$C$26,$C$27,N$28,$D$16,$D$17,$D$18,$D$19,$D$20,$D$21,$D$22,$D$23,$D$24,$D$25,$D$26,$D$27,$C$8,$C$9,$C$10,$C$11,$C$12),"")</f>
        <v>351141.27427565056</v>
      </c>
      <c r="O34" s="255">
        <f ca="1">IF(NOW(),_xll.mirSwapPV($C$3,$C$4,$C$6,$G9,$C$7,$I9,$C$16,$C$17,$C$18,$C$19,$C$20,$C$21,$C$22,$C$26,$C$27,O$28,$D$16,$D$17,$D$18,$D$19,$D$20,$D$21,$D$22,$D$23,$D$24,$D$25,$D$26,$D$27,$C$8,$C$9,$C$10,$C$11,$C$12),"")</f>
        <v>280913.01942052058</v>
      </c>
      <c r="P34" s="255">
        <f ca="1">IF(NOW(),_xll.mirSwapPV($C$3,$C$4,$C$6,$G9,$C$7,$I9,$C$16,$C$17,$C$18,$C$19,$C$20,$C$21,$C$22,$C$26,$C$27,P$28,$D$16,$D$17,$D$18,$D$19,$D$20,$D$21,$D$22,$D$23,$D$24,$D$25,$D$26,$D$27,$C$8,$C$9,$C$10,$C$11,$C$12),"")</f>
        <v>210684.76456539039</v>
      </c>
      <c r="Q34" s="255">
        <f ca="1">IF(NOW(),_xll.mirSwapPV($C$3,$C$4,$C$6,$G9,$C$7,$I9,$C$16,$C$17,$C$18,$C$19,$C$20,$C$21,$C$22,$C$26,$C$27,Q$28,$D$16,$D$17,$D$18,$D$19,$D$20,$D$21,$D$22,$D$23,$D$24,$D$25,$D$26,$D$27,$C$8,$C$9,$C$10,$C$11,$C$12),"")</f>
        <v>140456.50971026029</v>
      </c>
      <c r="R34" s="255">
        <f ca="1">IF(NOW(),_xll.mirSwapPV($C$3,$C$4,$C$6,$G9,$C$7,$I9,$C$16,$C$17,$C$18,$C$19,$C$20,$C$21,$C$22,$C$26,$C$27,R$28,$D$16,$D$17,$D$18,$D$19,$D$20,$D$21,$D$22,$D$23,$D$24,$D$25,$D$26,$D$27,$C$8,$C$9,$C$10,$C$11,$C$12),"")</f>
        <v>70228.254855130101</v>
      </c>
      <c r="S34" s="255">
        <f ca="1">IF(NOW(),_xll.mirSwapPV($C$3,$C$4,$C$6,$G9,$C$7,$I9,$C$16,$C$17,$C$18,$C$19,$C$20,$C$21,$C$22,$C$26,$C$27,S$28,$D$16,$D$17,$D$18,$D$19,$D$20,$D$21,$D$22,$D$23,$D$24,$D$25,$D$26,$D$27,$C$8,$C$9,$C$10,$C$11,$C$12),"")</f>
        <v>6.9388939039072284E-12</v>
      </c>
      <c r="T34" s="255">
        <f ca="1">IF(NOW(),_xll.mirSwapPV($C$3,$C$4,$C$6,$G9,$C$7,$I9,$C$16,$C$17,$C$18,$C$19,$C$20,$C$21,$C$22,$C$26,$C$27,T$28,$D$16,$D$17,$D$18,$D$19,$D$20,$D$21,$D$22,$D$23,$D$24,$D$25,$D$26,$D$27,$C$8,$C$9,$C$10,$C$11,$C$12),"")</f>
        <v>-70228.254855130115</v>
      </c>
      <c r="U34" s="255">
        <f ca="1">IF(NOW(),_xll.mirSwapPV($C$3,$C$4,$C$6,$G9,$C$7,$I9,$C$16,$C$17,$C$18,$C$19,$C$20,$C$21,$C$22,$C$26,$C$27,U$28,$D$16,$D$17,$D$18,$D$19,$D$20,$D$21,$D$22,$D$23,$D$24,$D$25,$D$26,$D$27,$C$8,$C$9,$C$10,$C$11,$C$12),"")</f>
        <v>-140456.50971026023</v>
      </c>
      <c r="V34" s="255">
        <f ca="1">IF(NOW(),_xll.mirSwapPV($C$3,$C$4,$C$6,$G9,$C$7,$I9,$C$16,$C$17,$C$18,$C$19,$C$20,$C$21,$C$22,$C$26,$C$27,V$28,$D$16,$D$17,$D$18,$D$19,$D$20,$D$21,$D$22,$D$23,$D$24,$D$25,$D$26,$D$27,$C$8,$C$9,$C$10,$C$11,$C$12),"")</f>
        <v>-210684.76456539033</v>
      </c>
      <c r="W34" s="255">
        <f ca="1">IF(NOW(),_xll.mirSwapPV($C$3,$C$4,$C$6,$G9,$C$7,$I9,$C$16,$C$17,$C$18,$C$19,$C$20,$C$21,$C$22,$C$26,$C$27,W$28,$D$16,$D$17,$D$18,$D$19,$D$20,$D$21,$D$22,$D$23,$D$24,$D$25,$D$26,$D$27,$C$8,$C$9,$C$10,$C$11,$C$12),"")</f>
        <v>-280913.01942052046</v>
      </c>
      <c r="X34" s="255">
        <f ca="1">IF(NOW(),_xll.mirSwapPV($C$3,$C$4,$C$6,$G9,$C$7,$I9,$C$16,$C$17,$C$18,$C$19,$C$20,$C$21,$C$22,$C$26,$C$27,X$28,$D$16,$D$17,$D$18,$D$19,$D$20,$D$21,$D$22,$D$23,$D$24,$D$25,$D$26,$D$27,$C$8,$C$9,$C$10,$C$11,$C$12),"")</f>
        <v>-351141.27427565062</v>
      </c>
      <c r="Y34" s="229"/>
      <c r="AG34" s="230" t="s">
        <v>31</v>
      </c>
      <c r="AH34" s="255">
        <f ca="1">IF(NOW(),_xll.mirSwapPV($C$3,$C$4,$C$6,$AA9,$C$7,$AC9,$C$16,$C$17,$C$18,$C$19,$C$20,$C$21,$C$22,$C$26,$C$27,AH$28,$D$16,$D$17,$D$18,$D$19,$D$20,$D$21,$D$22,$D$23,$D$24,$D$25,$D$26,$D$27,$C$8,$C$9,$C$10,$D$11,$C$12),"")</f>
        <v>351141.27427565056</v>
      </c>
      <c r="AI34" s="255">
        <f ca="1">IF(NOW(),_xll.mirSwapPV($C$3,$C$4,$C$6,$AA9,$C$7,$AC9,$C$16,$C$17,$C$18,$C$19,$C$20,$C$21,$C$22,$C$26,$C$27,AI$28,$D$16,$D$17,$D$18,$D$19,$D$20,$D$21,$D$22,$D$23,$D$24,$D$25,$D$26,$D$27,$C$8,$C$9,$C$10,$D$11,$C$12),"")</f>
        <v>280913.0194205204</v>
      </c>
      <c r="AJ34" s="255">
        <f ca="1">IF(NOW(),_xll.mirSwapPV($C$3,$C$4,$C$6,$AA9,$C$7,$AC9,$C$16,$C$17,$C$18,$C$19,$C$20,$C$21,$C$22,$C$26,$C$27,AJ$28,$D$16,$D$17,$D$18,$D$19,$D$20,$D$21,$D$22,$D$23,$D$24,$D$25,$D$26,$D$27,$C$8,$C$9,$C$10,$D$11,$C$12),"")</f>
        <v>210684.76456539039</v>
      </c>
      <c r="AK34" s="255">
        <f ca="1">IF(NOW(),_xll.mirSwapPV($C$3,$C$4,$C$6,$AA9,$C$7,$AC9,$C$16,$C$17,$C$18,$C$19,$C$20,$C$21,$C$22,$C$26,$C$27,AK$28,$D$16,$D$17,$D$18,$D$19,$D$20,$D$21,$D$22,$D$23,$D$24,$D$25,$D$26,$D$27,$C$8,$C$9,$C$10,$D$11,$C$12),"")</f>
        <v>140456.5097102602</v>
      </c>
      <c r="AL34" s="255">
        <f ca="1">IF(NOW(),_xll.mirSwapPV($C$3,$C$4,$C$6,$AA9,$C$7,$AC9,$C$16,$C$17,$C$18,$C$19,$C$20,$C$21,$C$22,$C$26,$C$27,AL$28,$D$16,$D$17,$D$18,$D$19,$D$20,$D$21,$D$22,$D$23,$D$24,$D$25,$D$26,$D$27,$C$8,$C$9,$C$10,$D$11,$C$12),"")</f>
        <v>70228.254855130101</v>
      </c>
      <c r="AM34" s="255">
        <f ca="1">IF(NOW(),_xll.mirSwapPV($C$3,$C$4,$C$6,$AA9,$C$7,$AC9,$C$16,$C$17,$C$18,$C$19,$C$20,$C$21,$C$22,$C$26,$C$27,AM$28,$D$16,$D$17,$D$18,$D$19,$D$20,$D$21,$D$22,$D$23,$D$24,$D$25,$D$26,$D$27,$C$8,$C$9,$C$10,$D$11,$C$12),"")</f>
        <v>0</v>
      </c>
      <c r="AN34" s="255">
        <f ca="1">IF(NOW(),_xll.mirSwapPV($C$3,$C$4,$C$6,$AA9,$C$7,$AC9,$C$16,$C$17,$C$18,$C$19,$C$20,$C$21,$C$22,$C$26,$C$27,AN$28,$D$16,$D$17,$D$18,$D$19,$D$20,$D$21,$D$22,$D$23,$D$24,$D$25,$D$26,$D$27,$C$8,$C$9,$C$10,$D$11,$C$12),"")</f>
        <v>-70228.25485513013</v>
      </c>
      <c r="AO34" s="255">
        <f ca="1">IF(NOW(),_xll.mirSwapPV($C$3,$C$4,$C$6,$AA9,$C$7,$AC9,$C$16,$C$17,$C$18,$C$19,$C$20,$C$21,$C$22,$C$26,$C$27,AO$28,$D$16,$D$17,$D$18,$D$19,$D$20,$D$21,$D$22,$D$23,$D$24,$D$25,$D$26,$D$27,$C$8,$C$9,$C$10,$D$11,$C$12),"")</f>
        <v>-140456.50971026026</v>
      </c>
      <c r="AP34" s="255">
        <f ca="1">IF(NOW(),_xll.mirSwapPV($C$3,$C$4,$C$6,$AA9,$C$7,$AC9,$C$16,$C$17,$C$18,$C$19,$C$20,$C$21,$C$22,$C$26,$C$27,AP$28,$D$16,$D$17,$D$18,$D$19,$D$20,$D$21,$D$22,$D$23,$D$24,$D$25,$D$26,$D$27,$C$8,$C$9,$C$10,$D$11,$C$12),"")</f>
        <v>-210684.76456539036</v>
      </c>
      <c r="AQ34" s="255">
        <f ca="1">IF(NOW(),_xll.mirSwapPV($C$3,$C$4,$C$6,$AA9,$C$7,$AC9,$C$16,$C$17,$C$18,$C$19,$C$20,$C$21,$C$22,$C$26,$C$27,AQ$28,$D$16,$D$17,$D$18,$D$19,$D$20,$D$21,$D$22,$D$23,$D$24,$D$25,$D$26,$D$27,$C$8,$C$9,$C$10,$D$11,$C$12),"")</f>
        <v>-280913.01942052052</v>
      </c>
      <c r="AR34" s="255">
        <f ca="1">IF(NOW(),_xll.mirSwapPV($C$3,$C$4,$C$6,$AA9,$C$7,$AC9,$C$16,$C$17,$C$18,$C$19,$C$20,$C$21,$C$22,$C$26,$C$27,AR$28,$D$16,$D$17,$D$18,$D$19,$D$20,$D$21,$D$22,$D$23,$D$24,$D$25,$D$26,$D$27,$C$8,$C$9,$C$10,$D$11,$C$12),"")</f>
        <v>-351141.27427565056</v>
      </c>
    </row>
    <row r="35" spans="6:44">
      <c r="F35" s="230"/>
      <c r="G35" s="227"/>
      <c r="H35" s="229"/>
      <c r="I35" s="229"/>
      <c r="J35" s="229"/>
      <c r="K35" s="230"/>
      <c r="L35" s="230"/>
      <c r="M35" s="230" t="s">
        <v>119</v>
      </c>
      <c r="N35" s="255">
        <f ca="1">IF(NOW(),_xll.mirSwapPV($C$3,$C$4,$C$6,$G10,$C$7,$I10,$C$16,$C$17,$C$18,$C$19,$C$20,$C$21,$C$22,$C$26,$C$27,N$28,$D$16,$D$17,$D$18,$D$19,$D$20,$D$21,$D$22,$D$23,$D$24,$D$25,$D$26,$D$27,$C$8,$C$9,$C$10,$C$11,$C$12),"")</f>
        <v>399166.62011515006</v>
      </c>
      <c r="O35" s="255">
        <f ca="1">IF(NOW(),_xll.mirSwapPV($C$3,$C$4,$C$6,$G10,$C$7,$I10,$C$16,$C$17,$C$18,$C$19,$C$20,$C$21,$C$22,$C$26,$C$27,O$28,$D$16,$D$17,$D$18,$D$19,$D$20,$D$21,$D$22,$D$23,$D$24,$D$25,$D$26,$D$27,$C$8,$C$9,$C$10,$C$11,$C$12),"")</f>
        <v>319333.29609212012</v>
      </c>
      <c r="P35" s="255">
        <f ca="1">IF(NOW(),_xll.mirSwapPV($C$3,$C$4,$C$6,$G10,$C$7,$I10,$C$16,$C$17,$C$18,$C$19,$C$20,$C$21,$C$22,$C$26,$C$27,P$28,$D$16,$D$17,$D$18,$D$19,$D$20,$D$21,$D$22,$D$23,$D$24,$D$25,$D$26,$D$27,$C$8,$C$9,$C$10,$C$11,$C$12),"")</f>
        <v>239499.97206909009</v>
      </c>
      <c r="Q35" s="255">
        <f ca="1">IF(NOW(),_xll.mirSwapPV($C$3,$C$4,$C$6,$G10,$C$7,$I10,$C$16,$C$17,$C$18,$C$19,$C$20,$C$21,$C$22,$C$26,$C$27,Q$28,$D$16,$D$17,$D$18,$D$19,$D$20,$D$21,$D$22,$D$23,$D$24,$D$25,$D$26,$D$27,$C$8,$C$9,$C$10,$C$11,$C$12),"")</f>
        <v>159666.64804606006</v>
      </c>
      <c r="R35" s="255">
        <f ca="1">IF(NOW(),_xll.mirSwapPV($C$3,$C$4,$C$6,$G10,$C$7,$I10,$C$16,$C$17,$C$18,$C$19,$C$20,$C$21,$C$22,$C$26,$C$27,R$28,$D$16,$D$17,$D$18,$D$19,$D$20,$D$21,$D$22,$D$23,$D$24,$D$25,$D$26,$D$27,$C$8,$C$9,$C$10,$C$11,$C$12),"")</f>
        <v>79833.324023029971</v>
      </c>
      <c r="S35" s="255">
        <f ca="1">IF(NOW(),_xll.mirSwapPV($C$3,$C$4,$C$6,$G10,$C$7,$I10,$C$16,$C$17,$C$18,$C$19,$C$20,$C$21,$C$22,$C$26,$C$27,S$28,$D$16,$D$17,$D$18,$D$19,$D$20,$D$21,$D$22,$D$23,$D$24,$D$25,$D$26,$D$27,$C$8,$C$9,$C$10,$C$11,$C$12),"")</f>
        <v>0</v>
      </c>
      <c r="T35" s="255">
        <f ca="1">IF(NOW(),_xll.mirSwapPV($C$3,$C$4,$C$6,$G10,$C$7,$I10,$C$16,$C$17,$C$18,$C$19,$C$20,$C$21,$C$22,$C$26,$C$27,T$28,$D$16,$D$17,$D$18,$D$19,$D$20,$D$21,$D$22,$D$23,$D$24,$D$25,$D$26,$D$27,$C$8,$C$9,$C$10,$C$11,$C$12),"")</f>
        <v>-79833.32402303</v>
      </c>
      <c r="U35" s="255">
        <f ca="1">IF(NOW(),_xll.mirSwapPV($C$3,$C$4,$C$6,$G10,$C$7,$I10,$C$16,$C$17,$C$18,$C$19,$C$20,$C$21,$C$22,$C$26,$C$27,U$28,$D$16,$D$17,$D$18,$D$19,$D$20,$D$21,$D$22,$D$23,$D$24,$D$25,$D$26,$D$27,$C$8,$C$9,$C$10,$C$11,$C$12),"")</f>
        <v>-159666.64804606</v>
      </c>
      <c r="V35" s="255">
        <f ca="1">IF(NOW(),_xll.mirSwapPV($C$3,$C$4,$C$6,$G10,$C$7,$I10,$C$16,$C$17,$C$18,$C$19,$C$20,$C$21,$C$22,$C$26,$C$27,V$28,$D$16,$D$17,$D$18,$D$19,$D$20,$D$21,$D$22,$D$23,$D$24,$D$25,$D$26,$D$27,$C$8,$C$9,$C$10,$C$11,$C$12),"")</f>
        <v>-239499.97206909006</v>
      </c>
      <c r="W35" s="255">
        <f ca="1">IF(NOW(),_xll.mirSwapPV($C$3,$C$4,$C$6,$G10,$C$7,$I10,$C$16,$C$17,$C$18,$C$19,$C$20,$C$21,$C$22,$C$26,$C$27,W$28,$D$16,$D$17,$D$18,$D$19,$D$20,$D$21,$D$22,$D$23,$D$24,$D$25,$D$26,$D$27,$C$8,$C$9,$C$10,$C$11,$C$12),"")</f>
        <v>-319333.29609212</v>
      </c>
      <c r="X35" s="255">
        <f ca="1">IF(NOW(),_xll.mirSwapPV($C$3,$C$4,$C$6,$G10,$C$7,$I10,$C$16,$C$17,$C$18,$C$19,$C$20,$C$21,$C$22,$C$26,$C$27,X$28,$D$16,$D$17,$D$18,$D$19,$D$20,$D$21,$D$22,$D$23,$D$24,$D$25,$D$26,$D$27,$C$8,$C$9,$C$10,$C$11,$C$12),"")</f>
        <v>-399166.62011515006</v>
      </c>
      <c r="Y35" s="229"/>
      <c r="AE35" s="10"/>
      <c r="AF35" s="253"/>
      <c r="AG35" s="230" t="s">
        <v>119</v>
      </c>
      <c r="AH35" s="255">
        <f ca="1">IF(NOW(),_xll.mirSwapPV($C$3,$C$4,$C$6,$AA10,$C$7,$AC10,$C$16,$C$17,$C$18,$C$19,$C$20,$C$21,$C$22,$C$26,$C$27,AH$28,$D$16,$D$17,$D$18,$D$19,$D$20,$D$21,$D$22,$D$23,$D$24,$D$25,$D$26,$D$27,$C$8,$C$9,$C$10,$D$11,$C$12),"")</f>
        <v>399166.62011515</v>
      </c>
      <c r="AI35" s="255">
        <f ca="1">IF(NOW(),_xll.mirSwapPV($C$3,$C$4,$C$6,$AA10,$C$7,$AC10,$C$16,$C$17,$C$18,$C$19,$C$20,$C$21,$C$22,$C$26,$C$27,AI$28,$D$16,$D$17,$D$18,$D$19,$D$20,$D$21,$D$22,$D$23,$D$24,$D$25,$D$26,$D$27,$C$8,$C$9,$C$10,$D$11,$C$12),"")</f>
        <v>319333.29609212</v>
      </c>
      <c r="AJ35" s="255">
        <f ca="1">IF(NOW(),_xll.mirSwapPV($C$3,$C$4,$C$6,$AA10,$C$7,$AC10,$C$16,$C$17,$C$18,$C$19,$C$20,$C$21,$C$22,$C$26,$C$27,AJ$28,$D$16,$D$17,$D$18,$D$19,$D$20,$D$21,$D$22,$D$23,$D$24,$D$25,$D$26,$D$27,$C$8,$C$9,$C$10,$D$11,$C$12),"")</f>
        <v>239499.97206909009</v>
      </c>
      <c r="AK35" s="255">
        <f ca="1">IF(NOW(),_xll.mirSwapPV($C$3,$C$4,$C$6,$AA10,$C$7,$AC10,$C$16,$C$17,$C$18,$C$19,$C$20,$C$21,$C$22,$C$26,$C$27,AK$28,$D$16,$D$17,$D$18,$D$19,$D$20,$D$21,$D$22,$D$23,$D$24,$D$25,$D$26,$D$27,$C$8,$C$9,$C$10,$D$11,$C$12),"")</f>
        <v>159666.64804605997</v>
      </c>
      <c r="AL35" s="255">
        <f ca="1">IF(NOW(),_xll.mirSwapPV($C$3,$C$4,$C$6,$AA10,$C$7,$AC10,$C$16,$C$17,$C$18,$C$19,$C$20,$C$21,$C$22,$C$26,$C$27,AL$28,$D$16,$D$17,$D$18,$D$19,$D$20,$D$21,$D$22,$D$23,$D$24,$D$25,$D$26,$D$27,$C$8,$C$9,$C$10,$D$11,$C$12),"")</f>
        <v>79833.324023029971</v>
      </c>
      <c r="AM35" s="255">
        <f ca="1">IF(NOW(),_xll.mirSwapPV($C$3,$C$4,$C$6,$AA10,$C$7,$AC10,$C$16,$C$17,$C$18,$C$19,$C$20,$C$21,$C$22,$C$26,$C$27,AM$28,$D$16,$D$17,$D$18,$D$19,$D$20,$D$21,$D$22,$D$23,$D$24,$D$25,$D$26,$D$27,$C$8,$C$9,$C$10,$D$11,$C$12),"")</f>
        <v>0</v>
      </c>
      <c r="AN35" s="255">
        <f ca="1">IF(NOW(),_xll.mirSwapPV($C$3,$C$4,$C$6,$AA10,$C$7,$AC10,$C$16,$C$17,$C$18,$C$19,$C$20,$C$21,$C$22,$C$26,$C$27,AN$28,$D$16,$D$17,$D$18,$D$19,$D$20,$D$21,$D$22,$D$23,$D$24,$D$25,$D$26,$D$27,$C$8,$C$9,$C$10,$D$11,$C$12),"")</f>
        <v>-79833.324023030014</v>
      </c>
      <c r="AO35" s="255">
        <f ca="1">IF(NOW(),_xll.mirSwapPV($C$3,$C$4,$C$6,$AA10,$C$7,$AC10,$C$16,$C$17,$C$18,$C$19,$C$20,$C$21,$C$22,$C$26,$C$27,AO$28,$D$16,$D$17,$D$18,$D$19,$D$20,$D$21,$D$22,$D$23,$D$24,$D$25,$D$26,$D$27,$C$8,$C$9,$C$10,$D$11,$C$12),"")</f>
        <v>-159666.64804606</v>
      </c>
      <c r="AP35" s="255">
        <f ca="1">IF(NOW(),_xll.mirSwapPV($C$3,$C$4,$C$6,$AA10,$C$7,$AC10,$C$16,$C$17,$C$18,$C$19,$C$20,$C$21,$C$22,$C$26,$C$27,AP$28,$D$16,$D$17,$D$18,$D$19,$D$20,$D$21,$D$22,$D$23,$D$24,$D$25,$D$26,$D$27,$C$8,$C$9,$C$10,$D$11,$C$12),"")</f>
        <v>-239499.97206909009</v>
      </c>
      <c r="AQ35" s="255">
        <f ca="1">IF(NOW(),_xll.mirSwapPV($C$3,$C$4,$C$6,$AA10,$C$7,$AC10,$C$16,$C$17,$C$18,$C$19,$C$20,$C$21,$C$22,$C$26,$C$27,AQ$28,$D$16,$D$17,$D$18,$D$19,$D$20,$D$21,$D$22,$D$23,$D$24,$D$25,$D$26,$D$27,$C$8,$C$9,$C$10,$D$11,$C$12),"")</f>
        <v>-319333.29609212</v>
      </c>
      <c r="AR35" s="255">
        <f ca="1">IF(NOW(),_xll.mirSwapPV($C$3,$C$4,$C$6,$AA10,$C$7,$AC10,$C$16,$C$17,$C$18,$C$19,$C$20,$C$21,$C$22,$C$26,$C$27,AR$28,$D$16,$D$17,$D$18,$D$19,$D$20,$D$21,$D$22,$D$23,$D$24,$D$25,$D$26,$D$27,$C$8,$C$9,$C$10,$D$11,$C$12),"")</f>
        <v>-399166.62011515006</v>
      </c>
    </row>
    <row r="36" spans="6:44">
      <c r="F36" s="230"/>
      <c r="G36" s="227"/>
      <c r="H36" s="229"/>
      <c r="I36" s="229"/>
      <c r="J36" s="229"/>
      <c r="K36" s="230"/>
      <c r="L36" s="230"/>
      <c r="M36" s="230" t="s">
        <v>113</v>
      </c>
      <c r="N36" s="255">
        <f ca="1">IF(NOW(),_xll.mirSwapPV($C$3,$C$4,$C$6,$G11,$C$7,$I11,$C$16,$C$17,$C$18,$C$19,$C$20,$C$21,$C$22,$C$26,$C$27,N$28,$D$16,$D$17,$D$18,$D$19,$D$20,$D$21,$D$22,$D$23,$D$24,$D$25,$D$26,$D$27,$C$8,$C$9,$C$10,$C$11,$C$12),"")</f>
        <v>445844.23518302286</v>
      </c>
      <c r="O36" s="255">
        <f ca="1">IF(NOW(),_xll.mirSwapPV($C$3,$C$4,$C$6,$G11,$C$7,$I11,$C$16,$C$17,$C$18,$C$19,$C$20,$C$21,$C$22,$C$26,$C$27,O$28,$D$16,$D$17,$D$18,$D$19,$D$20,$D$21,$D$22,$D$23,$D$24,$D$25,$D$26,$D$27,$C$8,$C$9,$C$10,$C$11,$C$12),"")</f>
        <v>356675.38814641844</v>
      </c>
      <c r="P36" s="255">
        <f ca="1">IF(NOW(),_xll.mirSwapPV($C$3,$C$4,$C$6,$G11,$C$7,$I11,$C$16,$C$17,$C$18,$C$19,$C$20,$C$21,$C$22,$C$26,$C$27,P$28,$D$16,$D$17,$D$18,$D$19,$D$20,$D$21,$D$22,$D$23,$D$24,$D$25,$D$26,$D$27,$C$8,$C$9,$C$10,$C$11,$C$12),"")</f>
        <v>267506.54110981378</v>
      </c>
      <c r="Q36" s="255">
        <f ca="1">IF(NOW(),_xll.mirSwapPV($C$3,$C$4,$C$6,$G11,$C$7,$I11,$C$16,$C$17,$C$18,$C$19,$C$20,$C$21,$C$22,$C$26,$C$27,Q$28,$D$16,$D$17,$D$18,$D$19,$D$20,$D$21,$D$22,$D$23,$D$24,$D$25,$D$26,$D$27,$C$8,$C$9,$C$10,$C$11,$C$12),"")</f>
        <v>178337.69407320925</v>
      </c>
      <c r="R36" s="255">
        <f ca="1">IF(NOW(),_xll.mirSwapPV($C$3,$C$4,$C$6,$G11,$C$7,$I11,$C$16,$C$17,$C$18,$C$19,$C$20,$C$21,$C$22,$C$26,$C$27,R$28,$D$16,$D$17,$D$18,$D$19,$D$20,$D$21,$D$22,$D$23,$D$24,$D$25,$D$26,$D$27,$C$8,$C$9,$C$10,$C$11,$C$12),"")</f>
        <v>89168.847036604522</v>
      </c>
      <c r="S36" s="255">
        <f ca="1">IF(NOW(),_xll.mirSwapPV($C$3,$C$4,$C$6,$G11,$C$7,$I11,$C$16,$C$17,$C$18,$C$19,$C$20,$C$21,$C$22,$C$26,$C$27,S$28,$D$16,$D$17,$D$18,$D$19,$D$20,$D$21,$D$22,$D$23,$D$24,$D$25,$D$26,$D$27,$C$8,$C$9,$C$10,$C$11,$C$12),"")</f>
        <v>-1.3877787807814457E-11</v>
      </c>
      <c r="T36" s="255">
        <f ca="1">IF(NOW(),_xll.mirSwapPV($C$3,$C$4,$C$6,$G11,$C$7,$I11,$C$16,$C$17,$C$18,$C$19,$C$20,$C$21,$C$22,$C$26,$C$27,T$28,$D$16,$D$17,$D$18,$D$19,$D$20,$D$21,$D$22,$D$23,$D$24,$D$25,$D$26,$D$27,$C$8,$C$9,$C$10,$C$11,$C$12),"")</f>
        <v>-89168.847036604609</v>
      </c>
      <c r="U36" s="255">
        <f ca="1">IF(NOW(),_xll.mirSwapPV($C$3,$C$4,$C$6,$G11,$C$7,$I11,$C$16,$C$17,$C$18,$C$19,$C$20,$C$21,$C$22,$C$26,$C$27,U$28,$D$16,$D$17,$D$18,$D$19,$D$20,$D$21,$D$22,$D$23,$D$24,$D$25,$D$26,$D$27,$C$8,$C$9,$C$10,$C$11,$C$12),"")</f>
        <v>-178337.69407320922</v>
      </c>
      <c r="V36" s="255">
        <f ca="1">IF(NOW(),_xll.mirSwapPV($C$3,$C$4,$C$6,$G11,$C$7,$I11,$C$16,$C$17,$C$18,$C$19,$C$20,$C$21,$C$22,$C$26,$C$27,V$28,$D$16,$D$17,$D$18,$D$19,$D$20,$D$21,$D$22,$D$23,$D$24,$D$25,$D$26,$D$27,$C$8,$C$9,$C$10,$C$11,$C$12),"")</f>
        <v>-267506.54110981378</v>
      </c>
      <c r="W36" s="255">
        <f ca="1">IF(NOW(),_xll.mirSwapPV($C$3,$C$4,$C$6,$G11,$C$7,$I11,$C$16,$C$17,$C$18,$C$19,$C$20,$C$21,$C$22,$C$26,$C$27,W$28,$D$16,$D$17,$D$18,$D$19,$D$20,$D$21,$D$22,$D$23,$D$24,$D$25,$D$26,$D$27,$C$8,$C$9,$C$10,$C$11,$C$12),"")</f>
        <v>-356675.38814641844</v>
      </c>
      <c r="X36" s="255">
        <f ca="1">IF(NOW(),_xll.mirSwapPV($C$3,$C$4,$C$6,$G11,$C$7,$I11,$C$16,$C$17,$C$18,$C$19,$C$20,$C$21,$C$22,$C$26,$C$27,X$28,$D$16,$D$17,$D$18,$D$19,$D$20,$D$21,$D$22,$D$23,$D$24,$D$25,$D$26,$D$27,$C$8,$C$9,$C$10,$C$11,$C$12),"")</f>
        <v>-445844.23518302297</v>
      </c>
      <c r="Y36" s="229"/>
      <c r="AG36" s="230" t="s">
        <v>113</v>
      </c>
      <c r="AH36" s="255">
        <f ca="1">IF(NOW(),_xll.mirSwapPV($C$3,$C$4,$C$6,$AA11,$C$7,$AC11,$C$16,$C$17,$C$18,$C$19,$C$20,$C$21,$C$22,$C$26,$C$27,AH$28,$D$16,$D$17,$D$18,$D$19,$D$20,$D$21,$D$22,$D$23,$D$24,$D$25,$D$26,$D$27,$C$8,$C$9,$C$10,$D$11,$C$12),"")</f>
        <v>445844.23518302286</v>
      </c>
      <c r="AI36" s="255">
        <f ca="1">IF(NOW(),_xll.mirSwapPV($C$3,$C$4,$C$6,$AA11,$C$7,$AC11,$C$16,$C$17,$C$18,$C$19,$C$20,$C$21,$C$22,$C$26,$C$27,AI$28,$D$16,$D$17,$D$18,$D$19,$D$20,$D$21,$D$22,$D$23,$D$24,$D$25,$D$26,$D$27,$C$8,$C$9,$C$10,$D$11,$C$12),"")</f>
        <v>356675.38814641832</v>
      </c>
      <c r="AJ36" s="255">
        <f ca="1">IF(NOW(),_xll.mirSwapPV($C$3,$C$4,$C$6,$AA11,$C$7,$AC11,$C$16,$C$17,$C$18,$C$19,$C$20,$C$21,$C$22,$C$26,$C$27,AJ$28,$D$16,$D$17,$D$18,$D$19,$D$20,$D$21,$D$22,$D$23,$D$24,$D$25,$D$26,$D$27,$C$8,$C$9,$C$10,$D$11,$C$12),"")</f>
        <v>267506.54110981378</v>
      </c>
      <c r="AK36" s="255">
        <f ca="1">IF(NOW(),_xll.mirSwapPV($C$3,$C$4,$C$6,$AA11,$C$7,$AC11,$C$16,$C$17,$C$18,$C$19,$C$20,$C$21,$C$22,$C$26,$C$27,AK$28,$D$16,$D$17,$D$18,$D$19,$D$20,$D$21,$D$22,$D$23,$D$24,$D$25,$D$26,$D$27,$C$8,$C$9,$C$10,$D$11,$C$12),"")</f>
        <v>178337.6940732091</v>
      </c>
      <c r="AL36" s="255">
        <f ca="1">IF(NOW(),_xll.mirSwapPV($C$3,$C$4,$C$6,$AA11,$C$7,$AC11,$C$16,$C$17,$C$18,$C$19,$C$20,$C$21,$C$22,$C$26,$C$27,AL$28,$D$16,$D$17,$D$18,$D$19,$D$20,$D$21,$D$22,$D$23,$D$24,$D$25,$D$26,$D$27,$C$8,$C$9,$C$10,$D$11,$C$12),"")</f>
        <v>89168.847036604537</v>
      </c>
      <c r="AM36" s="255">
        <f ca="1">IF(NOW(),_xll.mirSwapPV($C$3,$C$4,$C$6,$AA11,$C$7,$AC11,$C$16,$C$17,$C$18,$C$19,$C$20,$C$21,$C$22,$C$26,$C$27,AM$28,$D$16,$D$17,$D$18,$D$19,$D$20,$D$21,$D$22,$D$23,$D$24,$D$25,$D$26,$D$27,$C$8,$C$9,$C$10,$D$11,$C$12),"")</f>
        <v>0</v>
      </c>
      <c r="AN36" s="255">
        <f ca="1">IF(NOW(),_xll.mirSwapPV($C$3,$C$4,$C$6,$AA11,$C$7,$AC11,$C$16,$C$17,$C$18,$C$19,$C$20,$C$21,$C$22,$C$26,$C$27,AN$28,$D$16,$D$17,$D$18,$D$19,$D$20,$D$21,$D$22,$D$23,$D$24,$D$25,$D$26,$D$27,$C$8,$C$9,$C$10,$D$11,$C$12),"")</f>
        <v>-89168.847036604624</v>
      </c>
      <c r="AO36" s="255">
        <f ca="1">IF(NOW(),_xll.mirSwapPV($C$3,$C$4,$C$6,$AA11,$C$7,$AC11,$C$16,$C$17,$C$18,$C$19,$C$20,$C$21,$C$22,$C$26,$C$27,AO$28,$D$16,$D$17,$D$18,$D$19,$D$20,$D$21,$D$22,$D$23,$D$24,$D$25,$D$26,$D$27,$C$8,$C$9,$C$10,$D$11,$C$12),"")</f>
        <v>-178337.69407320922</v>
      </c>
      <c r="AP36" s="255">
        <f ca="1">IF(NOW(),_xll.mirSwapPV($C$3,$C$4,$C$6,$AA11,$C$7,$AC11,$C$16,$C$17,$C$18,$C$19,$C$20,$C$21,$C$22,$C$26,$C$27,AP$28,$D$16,$D$17,$D$18,$D$19,$D$20,$D$21,$D$22,$D$23,$D$24,$D$25,$D$26,$D$27,$C$8,$C$9,$C$10,$D$11,$C$12),"")</f>
        <v>-267506.54110981378</v>
      </c>
      <c r="AQ36" s="255">
        <f ca="1">IF(NOW(),_xll.mirSwapPV($C$3,$C$4,$C$6,$AA11,$C$7,$AC11,$C$16,$C$17,$C$18,$C$19,$C$20,$C$21,$C$22,$C$26,$C$27,AQ$28,$D$16,$D$17,$D$18,$D$19,$D$20,$D$21,$D$22,$D$23,$D$24,$D$25,$D$26,$D$27,$C$8,$C$9,$C$10,$D$11,$C$12),"")</f>
        <v>-356675.38814641844</v>
      </c>
      <c r="AR36" s="255">
        <f ca="1">IF(NOW(),_xll.mirSwapPV($C$3,$C$4,$C$6,$AA11,$C$7,$AC11,$C$16,$C$17,$C$18,$C$19,$C$20,$C$21,$C$22,$C$26,$C$27,AR$28,$D$16,$D$17,$D$18,$D$19,$D$20,$D$21,$D$22,$D$23,$D$24,$D$25,$D$26,$D$27,$C$8,$C$9,$C$10,$D$11,$C$12),"")</f>
        <v>-445844.23518302303</v>
      </c>
    </row>
    <row r="37" spans="6:44">
      <c r="F37" s="230"/>
      <c r="G37" s="227"/>
      <c r="H37" s="229"/>
      <c r="I37" s="229"/>
      <c r="J37" s="229"/>
      <c r="K37" s="230"/>
      <c r="L37" s="230"/>
      <c r="M37" s="230" t="s">
        <v>28</v>
      </c>
      <c r="N37" s="255">
        <f ca="1">IF(NOW(),_xll.mirSwapPV($C$3,$C$4,$C$6,$G12,$C$7,$I12,$C$16,$C$17,$C$18,$C$19,$C$20,$C$21,$C$22,$C$26,$C$27,N$28,$D$16,$D$17,$D$18,$D$19,$D$20,$D$21,$D$22,$D$23,$D$24,$D$25,$D$26,$D$27,$C$8,$C$9,$C$10,$C$11,$C$12),"")</f>
        <v>491641.46924409922</v>
      </c>
      <c r="O37" s="255">
        <f ca="1">IF(NOW(),_xll.mirSwapPV($C$3,$C$4,$C$6,$G12,$C$7,$I12,$C$16,$C$17,$C$18,$C$19,$C$20,$C$21,$C$22,$C$26,$C$27,O$28,$D$16,$D$17,$D$18,$D$19,$D$20,$D$21,$D$22,$D$23,$D$24,$D$25,$D$26,$D$27,$C$8,$C$9,$C$10,$C$11,$C$12),"")</f>
        <v>393313.17539527954</v>
      </c>
      <c r="P37" s="255">
        <f ca="1">IF(NOW(),_xll.mirSwapPV($C$3,$C$4,$C$6,$G12,$C$7,$I12,$C$16,$C$17,$C$18,$C$19,$C$20,$C$21,$C$22,$C$26,$C$27,P$28,$D$16,$D$17,$D$18,$D$19,$D$20,$D$21,$D$22,$D$23,$D$24,$D$25,$D$26,$D$27,$C$8,$C$9,$C$10,$C$11,$C$12),"")</f>
        <v>294984.88154645957</v>
      </c>
      <c r="Q37" s="255">
        <f ca="1">IF(NOW(),_xll.mirSwapPV($C$3,$C$4,$C$6,$G12,$C$7,$I12,$C$16,$C$17,$C$18,$C$19,$C$20,$C$21,$C$22,$C$26,$C$27,Q$28,$D$16,$D$17,$D$18,$D$19,$D$20,$D$21,$D$22,$D$23,$D$24,$D$25,$D$26,$D$27,$C$8,$C$9,$C$10,$C$11,$C$12),"")</f>
        <v>196656.58769763977</v>
      </c>
      <c r="R37" s="255">
        <f ca="1">IF(NOW(),_xll.mirSwapPV($C$3,$C$4,$C$6,$G12,$C$7,$I12,$C$16,$C$17,$C$18,$C$19,$C$20,$C$21,$C$22,$C$26,$C$27,R$28,$D$16,$D$17,$D$18,$D$19,$D$20,$D$21,$D$22,$D$23,$D$24,$D$25,$D$26,$D$27,$C$8,$C$9,$C$10,$C$11,$C$12),"")</f>
        <v>98328.293848819783</v>
      </c>
      <c r="S37" s="255">
        <f ca="1">IF(NOW(),_xll.mirSwapPV($C$3,$C$4,$C$6,$G12,$C$7,$I12,$C$16,$C$17,$C$18,$C$19,$C$20,$C$21,$C$22,$C$26,$C$27,S$28,$D$16,$D$17,$D$18,$D$19,$D$20,$D$21,$D$22,$D$23,$D$24,$D$25,$D$26,$D$27,$C$8,$C$9,$C$10,$C$11,$C$12),"")</f>
        <v>0</v>
      </c>
      <c r="T37" s="255">
        <f ca="1">IF(NOW(),_xll.mirSwapPV($C$3,$C$4,$C$6,$G12,$C$7,$I12,$C$16,$C$17,$C$18,$C$19,$C$20,$C$21,$C$22,$C$26,$C$27,T$28,$D$16,$D$17,$D$18,$D$19,$D$20,$D$21,$D$22,$D$23,$D$24,$D$25,$D$26,$D$27,$C$8,$C$9,$C$10,$C$11,$C$12),"")</f>
        <v>-98328.293848819856</v>
      </c>
      <c r="U37" s="255">
        <f ca="1">IF(NOW(),_xll.mirSwapPV($C$3,$C$4,$C$6,$G12,$C$7,$I12,$C$16,$C$17,$C$18,$C$19,$C$20,$C$21,$C$22,$C$26,$C$27,U$28,$D$16,$D$17,$D$18,$D$19,$D$20,$D$21,$D$22,$D$23,$D$24,$D$25,$D$26,$D$27,$C$8,$C$9,$C$10,$C$11,$C$12),"")</f>
        <v>-196656.58769763971</v>
      </c>
      <c r="V37" s="255">
        <f ca="1">IF(NOW(),_xll.mirSwapPV($C$3,$C$4,$C$6,$G12,$C$7,$I12,$C$16,$C$17,$C$18,$C$19,$C$20,$C$21,$C$22,$C$26,$C$27,V$28,$D$16,$D$17,$D$18,$D$19,$D$20,$D$21,$D$22,$D$23,$D$24,$D$25,$D$26,$D$27,$C$8,$C$9,$C$10,$C$11,$C$12),"")</f>
        <v>-294984.88154645963</v>
      </c>
      <c r="W37" s="255">
        <f ca="1">IF(NOW(),_xll.mirSwapPV($C$3,$C$4,$C$6,$G12,$C$7,$I12,$C$16,$C$17,$C$18,$C$19,$C$20,$C$21,$C$22,$C$26,$C$27,W$28,$D$16,$D$17,$D$18,$D$19,$D$20,$D$21,$D$22,$D$23,$D$24,$D$25,$D$26,$D$27,$C$8,$C$9,$C$10,$C$11,$C$12),"")</f>
        <v>-393313.17539527948</v>
      </c>
      <c r="X37" s="255">
        <f ca="1">IF(NOW(),_xll.mirSwapPV($C$3,$C$4,$C$6,$G12,$C$7,$I12,$C$16,$C$17,$C$18,$C$19,$C$20,$C$21,$C$22,$C$26,$C$27,X$28,$D$16,$D$17,$D$18,$D$19,$D$20,$D$21,$D$22,$D$23,$D$24,$D$25,$D$26,$D$27,$C$8,$C$9,$C$10,$C$11,$C$12),"")</f>
        <v>-491641.46924409934</v>
      </c>
      <c r="Y37" s="229"/>
      <c r="AG37" s="230" t="s">
        <v>28</v>
      </c>
      <c r="AH37" s="255">
        <f ca="1">IF(NOW(),_xll.mirSwapPV($C$3,$C$4,$C$6,$AA12,$C$7,$AC12,$C$16,$C$17,$C$18,$C$19,$C$20,$C$21,$C$22,$C$26,$C$27,AH$28,$D$16,$D$17,$D$18,$D$19,$D$20,$D$21,$D$22,$D$23,$D$24,$D$25,$D$26,$D$27,$C$8,$C$9,$C$10,$D$11,$C$12),"")</f>
        <v>491641.46924409911</v>
      </c>
      <c r="AI37" s="255">
        <f ca="1">IF(NOW(),_xll.mirSwapPV($C$3,$C$4,$C$6,$AA12,$C$7,$AC12,$C$16,$C$17,$C$18,$C$19,$C$20,$C$21,$C$22,$C$26,$C$27,AI$28,$D$16,$D$17,$D$18,$D$19,$D$20,$D$21,$D$22,$D$23,$D$24,$D$25,$D$26,$D$27,$C$8,$C$9,$C$10,$D$11,$C$12),"")</f>
        <v>393313.17539527931</v>
      </c>
      <c r="AJ37" s="255">
        <f ca="1">IF(NOW(),_xll.mirSwapPV($C$3,$C$4,$C$6,$AA12,$C$7,$AC12,$C$16,$C$17,$C$18,$C$19,$C$20,$C$21,$C$22,$C$26,$C$27,AJ$28,$D$16,$D$17,$D$18,$D$19,$D$20,$D$21,$D$22,$D$23,$D$24,$D$25,$D$26,$D$27,$C$8,$C$9,$C$10,$D$11,$C$12),"")</f>
        <v>294984.88154645963</v>
      </c>
      <c r="AK37" s="255">
        <f ca="1">IF(NOW(),_xll.mirSwapPV($C$3,$C$4,$C$6,$AA12,$C$7,$AC12,$C$16,$C$17,$C$18,$C$19,$C$20,$C$21,$C$22,$C$26,$C$27,AK$28,$D$16,$D$17,$D$18,$D$19,$D$20,$D$21,$D$22,$D$23,$D$24,$D$25,$D$26,$D$27,$C$8,$C$9,$C$10,$D$11,$C$12),"")</f>
        <v>196656.58769763962</v>
      </c>
      <c r="AL37" s="255">
        <f ca="1">IF(NOW(),_xll.mirSwapPV($C$3,$C$4,$C$6,$AA12,$C$7,$AC12,$C$16,$C$17,$C$18,$C$19,$C$20,$C$21,$C$22,$C$26,$C$27,AL$28,$D$16,$D$17,$D$18,$D$19,$D$20,$D$21,$D$22,$D$23,$D$24,$D$25,$D$26,$D$27,$C$8,$C$9,$C$10,$D$11,$C$12),"")</f>
        <v>98328.293848819769</v>
      </c>
      <c r="AM37" s="255">
        <f ca="1">IF(NOW(),_xll.mirSwapPV($C$3,$C$4,$C$6,$AA12,$C$7,$AC12,$C$16,$C$17,$C$18,$C$19,$C$20,$C$21,$C$22,$C$26,$C$27,AM$28,$D$16,$D$17,$D$18,$D$19,$D$20,$D$21,$D$22,$D$23,$D$24,$D$25,$D$26,$D$27,$C$8,$C$9,$C$10,$D$11,$C$12),"")</f>
        <v>-1.3877787807814457E-11</v>
      </c>
      <c r="AN37" s="255">
        <f ca="1">IF(NOW(),_xll.mirSwapPV($C$3,$C$4,$C$6,$AA12,$C$7,$AC12,$C$16,$C$17,$C$18,$C$19,$C$20,$C$21,$C$22,$C$26,$C$27,AN$28,$D$16,$D$17,$D$18,$D$19,$D$20,$D$21,$D$22,$D$23,$D$24,$D$25,$D$26,$D$27,$C$8,$C$9,$C$10,$D$11,$C$12),"")</f>
        <v>-98328.293848819914</v>
      </c>
      <c r="AO37" s="255">
        <f ca="1">IF(NOW(),_xll.mirSwapPV($C$3,$C$4,$C$6,$AA12,$C$7,$AC12,$C$16,$C$17,$C$18,$C$19,$C$20,$C$21,$C$22,$C$26,$C$27,AO$28,$D$16,$D$17,$D$18,$D$19,$D$20,$D$21,$D$22,$D$23,$D$24,$D$25,$D$26,$D$27,$C$8,$C$9,$C$10,$D$11,$C$12),"")</f>
        <v>-196656.58769763977</v>
      </c>
      <c r="AP37" s="255">
        <f ca="1">IF(NOW(),_xll.mirSwapPV($C$3,$C$4,$C$6,$AA12,$C$7,$AC12,$C$16,$C$17,$C$18,$C$19,$C$20,$C$21,$C$22,$C$26,$C$27,AP$28,$D$16,$D$17,$D$18,$D$19,$D$20,$D$21,$D$22,$D$23,$D$24,$D$25,$D$26,$D$27,$C$8,$C$9,$C$10,$D$11,$C$12),"")</f>
        <v>-294984.88154645963</v>
      </c>
      <c r="AQ37" s="255">
        <f ca="1">IF(NOW(),_xll.mirSwapPV($C$3,$C$4,$C$6,$AA12,$C$7,$AC12,$C$16,$C$17,$C$18,$C$19,$C$20,$C$21,$C$22,$C$26,$C$27,AQ$28,$D$16,$D$17,$D$18,$D$19,$D$20,$D$21,$D$22,$D$23,$D$24,$D$25,$D$26,$D$27,$C$8,$C$9,$C$10,$D$11,$C$12),"")</f>
        <v>-393313.17539527954</v>
      </c>
      <c r="AR37" s="255">
        <f ca="1">IF(NOW(),_xll.mirSwapPV($C$3,$C$4,$C$6,$AA12,$C$7,$AC12,$C$16,$C$17,$C$18,$C$19,$C$20,$C$21,$C$22,$C$26,$C$27,AR$28,$D$16,$D$17,$D$18,$D$19,$D$20,$D$21,$D$22,$D$23,$D$24,$D$25,$D$26,$D$27,$C$8,$C$9,$C$10,$D$11,$C$12),"")</f>
        <v>-491641.46924409934</v>
      </c>
    </row>
    <row r="38" spans="6:44">
      <c r="F38" s="230"/>
      <c r="G38" s="227"/>
      <c r="H38" s="229"/>
      <c r="I38" s="229"/>
      <c r="J38" s="229"/>
      <c r="K38" s="230"/>
      <c r="L38" s="230"/>
      <c r="M38" s="230" t="s">
        <v>366</v>
      </c>
      <c r="N38" s="255">
        <f ca="1">IF(NOW(),_xll.mirSwapPV($C$3,$C$4,$C$6,$G13,$C$7,$I13,$C$16,$C$17,$C$18,$C$19,$C$20,$C$21,$C$22,$C$26,$C$27,N$28,$D$16,$D$17,$D$18,$D$19,$D$20,$D$21,$D$22,$D$23,$D$24,$D$25,$D$26,$D$27,$C$8,$C$9,$C$10,$C$11,$C$12),"")</f>
        <v>536403.6230546463</v>
      </c>
      <c r="O38" s="255">
        <f ca="1">IF(NOW(),_xll.mirSwapPV($C$3,$C$4,$C$6,$G13,$C$7,$I13,$C$16,$C$17,$C$18,$C$19,$C$20,$C$21,$C$22,$C$26,$C$27,O$28,$D$16,$D$17,$D$18,$D$19,$D$20,$D$21,$D$22,$D$23,$D$24,$D$25,$D$26,$D$27,$C$8,$C$9,$C$10,$C$11,$C$12),"")</f>
        <v>429122.89844371722</v>
      </c>
      <c r="P38" s="255">
        <f ca="1">IF(NOW(),_xll.mirSwapPV($C$3,$C$4,$C$6,$G13,$C$7,$I13,$C$16,$C$17,$C$18,$C$19,$C$20,$C$21,$C$22,$C$26,$C$27,P$28,$D$16,$D$17,$D$18,$D$19,$D$20,$D$21,$D$22,$D$23,$D$24,$D$25,$D$26,$D$27,$C$8,$C$9,$C$10,$C$11,$C$12),"")</f>
        <v>321842.17383278778</v>
      </c>
      <c r="Q38" s="255">
        <f ca="1">IF(NOW(),_xll.mirSwapPV($C$3,$C$4,$C$6,$G13,$C$7,$I13,$C$16,$C$17,$C$18,$C$19,$C$20,$C$21,$C$22,$C$26,$C$27,Q$28,$D$16,$D$17,$D$18,$D$19,$D$20,$D$21,$D$22,$D$23,$D$24,$D$25,$D$26,$D$27,$C$8,$C$9,$C$10,$C$11,$C$12),"")</f>
        <v>214561.44922185864</v>
      </c>
      <c r="R38" s="255">
        <f ca="1">IF(NOW(),_xll.mirSwapPV($C$3,$C$4,$C$6,$G13,$C$7,$I13,$C$16,$C$17,$C$18,$C$19,$C$20,$C$21,$C$22,$C$26,$C$27,R$28,$D$16,$D$17,$D$18,$D$19,$D$20,$D$21,$D$22,$D$23,$D$24,$D$25,$D$26,$D$27,$C$8,$C$9,$C$10,$C$11,$C$12),"")</f>
        <v>107280.72461092922</v>
      </c>
      <c r="S38" s="255">
        <f ca="1">IF(NOW(),_xll.mirSwapPV($C$3,$C$4,$C$6,$G13,$C$7,$I13,$C$16,$C$17,$C$18,$C$19,$C$20,$C$21,$C$22,$C$26,$C$27,S$28,$D$16,$D$17,$D$18,$D$19,$D$20,$D$21,$D$22,$D$23,$D$24,$D$25,$D$26,$D$27,$C$8,$C$9,$C$10,$C$11,$C$12),"")</f>
        <v>0</v>
      </c>
      <c r="T38" s="255">
        <f ca="1">IF(NOW(),_xll.mirSwapPV($C$3,$C$4,$C$6,$G13,$C$7,$I13,$C$16,$C$17,$C$18,$C$19,$C$20,$C$21,$C$22,$C$26,$C$27,T$28,$D$16,$D$17,$D$18,$D$19,$D$20,$D$21,$D$22,$D$23,$D$24,$D$25,$D$26,$D$27,$C$8,$C$9,$C$10,$C$11,$C$12),"")</f>
        <v>-107280.72461092929</v>
      </c>
      <c r="U38" s="255">
        <f ca="1">IF(NOW(),_xll.mirSwapPV($C$3,$C$4,$C$6,$G13,$C$7,$I13,$C$16,$C$17,$C$18,$C$19,$C$20,$C$21,$C$22,$C$26,$C$27,U$28,$D$16,$D$17,$D$18,$D$19,$D$20,$D$21,$D$22,$D$23,$D$24,$D$25,$D$26,$D$27,$C$8,$C$9,$C$10,$C$11,$C$12),"")</f>
        <v>-214561.44922185855</v>
      </c>
      <c r="V38" s="255">
        <f ca="1">IF(NOW(),_xll.mirSwapPV($C$3,$C$4,$C$6,$G13,$C$7,$I13,$C$16,$C$17,$C$18,$C$19,$C$20,$C$21,$C$22,$C$26,$C$27,V$28,$D$16,$D$17,$D$18,$D$19,$D$20,$D$21,$D$22,$D$23,$D$24,$D$25,$D$26,$D$27,$C$8,$C$9,$C$10,$C$11,$C$12),"")</f>
        <v>-321842.17383278784</v>
      </c>
      <c r="W38" s="255">
        <f ca="1">IF(NOW(),_xll.mirSwapPV($C$3,$C$4,$C$6,$G13,$C$7,$I13,$C$16,$C$17,$C$18,$C$19,$C$20,$C$21,$C$22,$C$26,$C$27,W$28,$D$16,$D$17,$D$18,$D$19,$D$20,$D$21,$D$22,$D$23,$D$24,$D$25,$D$26,$D$27,$C$8,$C$9,$C$10,$C$11,$C$12),"")</f>
        <v>-429122.8984437171</v>
      </c>
      <c r="X38" s="255">
        <f ca="1">IF(NOW(),_xll.mirSwapPV($C$3,$C$4,$C$6,$G13,$C$7,$I13,$C$16,$C$17,$C$18,$C$19,$C$20,$C$21,$C$22,$C$26,$C$27,X$28,$D$16,$D$17,$D$18,$D$19,$D$20,$D$21,$D$22,$D$23,$D$24,$D$25,$D$26,$D$27,$C$8,$C$9,$C$10,$C$11,$C$12),"")</f>
        <v>-536403.62305464642</v>
      </c>
      <c r="Y38" s="229"/>
      <c r="AG38" s="230" t="s">
        <v>366</v>
      </c>
      <c r="AH38" s="255">
        <f ca="1">IF(NOW(),_xll.mirSwapPV($C$3,$C$4,$C$6,$AA13,$C$7,$AC13,$C$16,$C$17,$C$18,$C$19,$C$20,$C$21,$C$22,$C$26,$C$27,AH$28,$D$16,$D$17,$D$18,$D$19,$D$20,$D$21,$D$22,$D$23,$D$24,$D$25,$D$26,$D$27,$C$8,$C$9,$C$10,$D$11,$C$12),"")</f>
        <v>536403.62305464619</v>
      </c>
      <c r="AI38" s="255">
        <f ca="1">IF(NOW(),_xll.mirSwapPV($C$3,$C$4,$C$6,$AA13,$C$7,$AC13,$C$16,$C$17,$C$18,$C$19,$C$20,$C$21,$C$22,$C$26,$C$27,AI$28,$D$16,$D$17,$D$18,$D$19,$D$20,$D$21,$D$22,$D$23,$D$24,$D$25,$D$26,$D$27,$C$8,$C$9,$C$10,$D$11,$C$12),"")</f>
        <v>429122.89844371699</v>
      </c>
      <c r="AJ38" s="255">
        <f ca="1">IF(NOW(),_xll.mirSwapPV($C$3,$C$4,$C$6,$AA13,$C$7,$AC13,$C$16,$C$17,$C$18,$C$19,$C$20,$C$21,$C$22,$C$26,$C$27,AJ$28,$D$16,$D$17,$D$18,$D$19,$D$20,$D$21,$D$22,$D$23,$D$24,$D$25,$D$26,$D$27,$C$8,$C$9,$C$10,$D$11,$C$12),"")</f>
        <v>321842.17383278784</v>
      </c>
      <c r="AK38" s="255">
        <f ca="1">IF(NOW(),_xll.mirSwapPV($C$3,$C$4,$C$6,$AA13,$C$7,$AC13,$C$16,$C$17,$C$18,$C$19,$C$20,$C$21,$C$22,$C$26,$C$27,AK$28,$D$16,$D$17,$D$18,$D$19,$D$20,$D$21,$D$22,$D$23,$D$24,$D$25,$D$26,$D$27,$C$8,$C$9,$C$10,$D$11,$C$12),"")</f>
        <v>214561.44922185849</v>
      </c>
      <c r="AL38" s="255">
        <f ca="1">IF(NOW(),_xll.mirSwapPV($C$3,$C$4,$C$6,$AA13,$C$7,$AC13,$C$16,$C$17,$C$18,$C$19,$C$20,$C$21,$C$22,$C$26,$C$27,AL$28,$D$16,$D$17,$D$18,$D$19,$D$20,$D$21,$D$22,$D$23,$D$24,$D$25,$D$26,$D$27,$C$8,$C$9,$C$10,$D$11,$C$12),"")</f>
        <v>107280.72461092919</v>
      </c>
      <c r="AM38" s="255">
        <f ca="1">IF(NOW(),_xll.mirSwapPV($C$3,$C$4,$C$6,$AA13,$C$7,$AC13,$C$16,$C$17,$C$18,$C$19,$C$20,$C$21,$C$22,$C$26,$C$27,AM$28,$D$16,$D$17,$D$18,$D$19,$D$20,$D$21,$D$22,$D$23,$D$24,$D$25,$D$26,$D$27,$C$8,$C$9,$C$10,$D$11,$C$12),"")</f>
        <v>0</v>
      </c>
      <c r="AN38" s="255">
        <f ca="1">IF(NOW(),_xll.mirSwapPV($C$3,$C$4,$C$6,$AA13,$C$7,$AC13,$C$16,$C$17,$C$18,$C$19,$C$20,$C$21,$C$22,$C$26,$C$27,AN$28,$D$16,$D$17,$D$18,$D$19,$D$20,$D$21,$D$22,$D$23,$D$24,$D$25,$D$26,$D$27,$C$8,$C$9,$C$10,$D$11,$C$12),"")</f>
        <v>-107280.72461092933</v>
      </c>
      <c r="AO38" s="255">
        <f ca="1">IF(NOW(),_xll.mirSwapPV($C$3,$C$4,$C$6,$AA13,$C$7,$AC13,$C$16,$C$17,$C$18,$C$19,$C$20,$C$21,$C$22,$C$26,$C$27,AO$28,$D$16,$D$17,$D$18,$D$19,$D$20,$D$21,$D$22,$D$23,$D$24,$D$25,$D$26,$D$27,$C$8,$C$9,$C$10,$D$11,$C$12),"")</f>
        <v>-214561.44922185861</v>
      </c>
      <c r="AP38" s="255">
        <f ca="1">IF(NOW(),_xll.mirSwapPV($C$3,$C$4,$C$6,$AA13,$C$7,$AC13,$C$16,$C$17,$C$18,$C$19,$C$20,$C$21,$C$22,$C$26,$C$27,AP$28,$D$16,$D$17,$D$18,$D$19,$D$20,$D$21,$D$22,$D$23,$D$24,$D$25,$D$26,$D$27,$C$8,$C$9,$C$10,$D$11,$C$12),"")</f>
        <v>-321842.1738327879</v>
      </c>
      <c r="AQ38" s="255">
        <f ca="1">IF(NOW(),_xll.mirSwapPV($C$3,$C$4,$C$6,$AA13,$C$7,$AC13,$C$16,$C$17,$C$18,$C$19,$C$20,$C$21,$C$22,$C$26,$C$27,AQ$28,$D$16,$D$17,$D$18,$D$19,$D$20,$D$21,$D$22,$D$23,$D$24,$D$25,$D$26,$D$27,$C$8,$C$9,$C$10,$D$11,$C$12),"")</f>
        <v>-429122.89844371722</v>
      </c>
      <c r="AR38" s="255">
        <f ca="1">IF(NOW(),_xll.mirSwapPV($C$3,$C$4,$C$6,$AA13,$C$7,$AC13,$C$16,$C$17,$C$18,$C$19,$C$20,$C$21,$C$22,$C$26,$C$27,AR$28,$D$16,$D$17,$D$18,$D$19,$D$20,$D$21,$D$22,$D$23,$D$24,$D$25,$D$26,$D$27,$C$8,$C$9,$C$10,$D$11,$C$12),"")</f>
        <v>-536403.62305464654</v>
      </c>
    </row>
    <row r="39" spans="6:44">
      <c r="F39" s="230"/>
      <c r="G39" s="227"/>
      <c r="H39" s="229"/>
      <c r="I39" s="229"/>
      <c r="J39" s="229"/>
      <c r="K39" s="230"/>
      <c r="L39" s="230"/>
      <c r="M39" s="230" t="s">
        <v>26</v>
      </c>
      <c r="N39" s="255">
        <f ca="1">IF(NOW(),_xll.mirSwapPV($C$3,$C$4,$C$6,$G14,$C$7,$I14,$C$16,$C$17,$C$18,$C$19,$C$20,$C$21,$C$22,$C$26,$C$27,N$28,$D$16,$D$17,$D$18,$D$19,$D$20,$D$21,$D$22,$D$23,$D$24,$D$25,$D$26,$D$27,$C$8,$C$9,$C$10,$C$11,$C$12),"")</f>
        <v>580132.46295708523</v>
      </c>
      <c r="O39" s="255">
        <f ca="1">IF(NOW(),_xll.mirSwapPV($C$3,$C$4,$C$6,$G14,$C$7,$I14,$C$16,$C$17,$C$18,$C$19,$C$20,$C$21,$C$22,$C$26,$C$27,O$28,$D$16,$D$17,$D$18,$D$19,$D$20,$D$21,$D$22,$D$23,$D$24,$D$25,$D$26,$D$27,$C$8,$C$9,$C$10,$C$11,$C$12),"")</f>
        <v>464105.97036566836</v>
      </c>
      <c r="P39" s="255">
        <f ca="1">IF(NOW(),_xll.mirSwapPV($C$3,$C$4,$C$6,$G14,$C$7,$I14,$C$16,$C$17,$C$18,$C$19,$C$20,$C$21,$C$22,$C$26,$C$27,P$28,$D$16,$D$17,$D$18,$D$19,$D$20,$D$21,$D$22,$D$23,$D$24,$D$25,$D$26,$D$27,$C$8,$C$9,$C$10,$C$11,$C$12),"")</f>
        <v>348079.47777425119</v>
      </c>
      <c r="Q39" s="255">
        <f ca="1">IF(NOW(),_xll.mirSwapPV($C$3,$C$4,$C$6,$G14,$C$7,$I14,$C$16,$C$17,$C$18,$C$19,$C$20,$C$21,$C$22,$C$26,$C$27,Q$28,$D$16,$D$17,$D$18,$D$19,$D$20,$D$21,$D$22,$D$23,$D$24,$D$25,$D$26,$D$27,$C$8,$C$9,$C$10,$C$11,$C$12),"")</f>
        <v>232052.98518283424</v>
      </c>
      <c r="R39" s="255">
        <f ca="1">IF(NOW(),_xll.mirSwapPV($C$3,$C$4,$C$6,$G14,$C$7,$I14,$C$16,$C$17,$C$18,$C$19,$C$20,$C$21,$C$22,$C$26,$C$27,R$28,$D$16,$D$17,$D$18,$D$19,$D$20,$D$21,$D$22,$D$23,$D$24,$D$25,$D$26,$D$27,$C$8,$C$9,$C$10,$C$11,$C$12),"")</f>
        <v>116026.49259141706</v>
      </c>
      <c r="S39" s="255">
        <f ca="1">IF(NOW(),_xll.mirSwapPV($C$3,$C$4,$C$6,$G14,$C$7,$I14,$C$16,$C$17,$C$18,$C$19,$C$20,$C$21,$C$22,$C$26,$C$27,S$28,$D$16,$D$17,$D$18,$D$19,$D$20,$D$21,$D$22,$D$23,$D$24,$D$25,$D$26,$D$27,$C$8,$C$9,$C$10,$C$11,$C$12),"")</f>
        <v>0</v>
      </c>
      <c r="T39" s="255">
        <f ca="1">IF(NOW(),_xll.mirSwapPV($C$3,$C$4,$C$6,$G14,$C$7,$I14,$C$16,$C$17,$C$18,$C$19,$C$20,$C$21,$C$22,$C$26,$C$27,T$28,$D$16,$D$17,$D$18,$D$19,$D$20,$D$21,$D$22,$D$23,$D$24,$D$25,$D$26,$D$27,$C$8,$C$9,$C$10,$C$11,$C$12),"")</f>
        <v>-116026.49259141709</v>
      </c>
      <c r="U39" s="255">
        <f ca="1">IF(NOW(),_xll.mirSwapPV($C$3,$C$4,$C$6,$G14,$C$7,$I14,$C$16,$C$17,$C$18,$C$19,$C$20,$C$21,$C$22,$C$26,$C$27,U$28,$D$16,$D$17,$D$18,$D$19,$D$20,$D$21,$D$22,$D$23,$D$24,$D$25,$D$26,$D$27,$C$8,$C$9,$C$10,$C$11,$C$12),"")</f>
        <v>-232052.98518283418</v>
      </c>
      <c r="V39" s="255">
        <f ca="1">IF(NOW(),_xll.mirSwapPV($C$3,$C$4,$C$6,$G14,$C$7,$I14,$C$16,$C$17,$C$18,$C$19,$C$20,$C$21,$C$22,$C$26,$C$27,V$28,$D$16,$D$17,$D$18,$D$19,$D$20,$D$21,$D$22,$D$23,$D$24,$D$25,$D$26,$D$27,$C$8,$C$9,$C$10,$C$11,$C$12),"")</f>
        <v>-348079.47777425125</v>
      </c>
      <c r="W39" s="255">
        <f ca="1">IF(NOW(),_xll.mirSwapPV($C$3,$C$4,$C$6,$G14,$C$7,$I14,$C$16,$C$17,$C$18,$C$19,$C$20,$C$21,$C$22,$C$26,$C$27,W$28,$D$16,$D$17,$D$18,$D$19,$D$20,$D$21,$D$22,$D$23,$D$24,$D$25,$D$26,$D$27,$C$8,$C$9,$C$10,$C$11,$C$12),"")</f>
        <v>-464105.9703656683</v>
      </c>
      <c r="X39" s="255">
        <f ca="1">IF(NOW(),_xll.mirSwapPV($C$3,$C$4,$C$6,$G14,$C$7,$I14,$C$16,$C$17,$C$18,$C$19,$C$20,$C$21,$C$22,$C$26,$C$27,X$28,$D$16,$D$17,$D$18,$D$19,$D$20,$D$21,$D$22,$D$23,$D$24,$D$25,$D$26,$D$27,$C$8,$C$9,$C$10,$C$11,$C$12),"")</f>
        <v>-580132.46295708546</v>
      </c>
      <c r="Y39" s="229"/>
      <c r="AG39" s="230" t="s">
        <v>26</v>
      </c>
      <c r="AH39" s="255">
        <f ca="1">IF(NOW(),_xll.mirSwapPV($C$3,$C$4,$C$6,$AA14,$C$7,$AC14,$C$16,$C$17,$C$18,$C$19,$C$20,$C$21,$C$22,$C$26,$C$27,AH$28,$D$16,$D$17,$D$18,$D$19,$D$20,$D$21,$D$22,$D$23,$D$24,$D$25,$D$26,$D$27,$C$8,$C$9,$C$10,$D$11,$C$12),"")</f>
        <v>580132.46295708523</v>
      </c>
      <c r="AI39" s="255">
        <f ca="1">IF(NOW(),_xll.mirSwapPV($C$3,$C$4,$C$6,$AA14,$C$7,$AC14,$C$16,$C$17,$C$18,$C$19,$C$20,$C$21,$C$22,$C$26,$C$27,AI$28,$D$16,$D$17,$D$18,$D$19,$D$20,$D$21,$D$22,$D$23,$D$24,$D$25,$D$26,$D$27,$C$8,$C$9,$C$10,$D$11,$C$12),"")</f>
        <v>464105.97036566824</v>
      </c>
      <c r="AJ39" s="255">
        <f ca="1">IF(NOW(),_xll.mirSwapPV($C$3,$C$4,$C$6,$AA14,$C$7,$AC14,$C$16,$C$17,$C$18,$C$19,$C$20,$C$21,$C$22,$C$26,$C$27,AJ$28,$D$16,$D$17,$D$18,$D$19,$D$20,$D$21,$D$22,$D$23,$D$24,$D$25,$D$26,$D$27,$C$8,$C$9,$C$10,$D$11,$C$12),"")</f>
        <v>348079.47777425131</v>
      </c>
      <c r="AK39" s="255">
        <f ca="1">IF(NOW(),_xll.mirSwapPV($C$3,$C$4,$C$6,$AA14,$C$7,$AC14,$C$16,$C$17,$C$18,$C$19,$C$20,$C$21,$C$22,$C$26,$C$27,AK$28,$D$16,$D$17,$D$18,$D$19,$D$20,$D$21,$D$22,$D$23,$D$24,$D$25,$D$26,$D$27,$C$8,$C$9,$C$10,$D$11,$C$12),"")</f>
        <v>232052.98518283406</v>
      </c>
      <c r="AL39" s="255">
        <f ca="1">IF(NOW(),_xll.mirSwapPV($C$3,$C$4,$C$6,$AA14,$C$7,$AC14,$C$16,$C$17,$C$18,$C$19,$C$20,$C$21,$C$22,$C$26,$C$27,AL$28,$D$16,$D$17,$D$18,$D$19,$D$20,$D$21,$D$22,$D$23,$D$24,$D$25,$D$26,$D$27,$C$8,$C$9,$C$10,$D$11,$C$12),"")</f>
        <v>116026.49259141696</v>
      </c>
      <c r="AM39" s="255">
        <f ca="1">IF(NOW(),_xll.mirSwapPV($C$3,$C$4,$C$6,$AA14,$C$7,$AC14,$C$16,$C$17,$C$18,$C$19,$C$20,$C$21,$C$22,$C$26,$C$27,AM$28,$D$16,$D$17,$D$18,$D$19,$D$20,$D$21,$D$22,$D$23,$D$24,$D$25,$D$26,$D$27,$C$8,$C$9,$C$10,$D$11,$C$12),"")</f>
        <v>0</v>
      </c>
      <c r="AN39" s="255">
        <f ca="1">IF(NOW(),_xll.mirSwapPV($C$3,$C$4,$C$6,$AA14,$C$7,$AC14,$C$16,$C$17,$C$18,$C$19,$C$20,$C$21,$C$22,$C$26,$C$27,AN$28,$D$16,$D$17,$D$18,$D$19,$D$20,$D$21,$D$22,$D$23,$D$24,$D$25,$D$26,$D$27,$C$8,$C$9,$C$10,$D$11,$C$12),"")</f>
        <v>-116026.49259141715</v>
      </c>
      <c r="AO39" s="255">
        <f ca="1">IF(NOW(),_xll.mirSwapPV($C$3,$C$4,$C$6,$AA14,$C$7,$AC14,$C$16,$C$17,$C$18,$C$19,$C$20,$C$21,$C$22,$C$26,$C$27,AO$28,$D$16,$D$17,$D$18,$D$19,$D$20,$D$21,$D$22,$D$23,$D$24,$D$25,$D$26,$D$27,$C$8,$C$9,$C$10,$D$11,$C$12),"")</f>
        <v>-232052.98518283424</v>
      </c>
      <c r="AP39" s="255">
        <f ca="1">IF(NOW(),_xll.mirSwapPV($C$3,$C$4,$C$6,$AA14,$C$7,$AC14,$C$16,$C$17,$C$18,$C$19,$C$20,$C$21,$C$22,$C$26,$C$27,AP$28,$D$16,$D$17,$D$18,$D$19,$D$20,$D$21,$D$22,$D$23,$D$24,$D$25,$D$26,$D$27,$C$8,$C$9,$C$10,$D$11,$C$12),"")</f>
        <v>-348079.47777425137</v>
      </c>
      <c r="AQ39" s="255">
        <f ca="1">IF(NOW(),_xll.mirSwapPV($C$3,$C$4,$C$6,$AA14,$C$7,$AC14,$C$16,$C$17,$C$18,$C$19,$C$20,$C$21,$C$22,$C$26,$C$27,AQ$28,$D$16,$D$17,$D$18,$D$19,$D$20,$D$21,$D$22,$D$23,$D$24,$D$25,$D$26,$D$27,$C$8,$C$9,$C$10,$D$11,$C$12),"")</f>
        <v>-464105.97036566841</v>
      </c>
      <c r="AR39" s="255">
        <f ca="1">IF(NOW(),_xll.mirSwapPV($C$3,$C$4,$C$6,$AA14,$C$7,$AC14,$C$16,$C$17,$C$18,$C$19,$C$20,$C$21,$C$22,$C$26,$C$27,AR$28,$D$16,$D$17,$D$18,$D$19,$D$20,$D$21,$D$22,$D$23,$D$24,$D$25,$D$26,$D$27,$C$8,$C$9,$C$10,$D$11,$C$12),"")</f>
        <v>-580132.46295708546</v>
      </c>
    </row>
    <row r="40" spans="6:44">
      <c r="F40" s="230"/>
      <c r="G40" s="227"/>
      <c r="H40" s="229"/>
      <c r="I40" s="229"/>
      <c r="J40" s="229"/>
      <c r="K40" s="230"/>
      <c r="L40" s="230"/>
      <c r="M40" s="230" t="s">
        <v>24</v>
      </c>
      <c r="N40" s="255">
        <f ca="1">IF(NOW(),_xll.mirSwapPV($C$3,$C$4,$C$6,$G15,$C$7,$I15,$C$16,$C$17,$C$18,$C$19,$C$20,$C$21,$C$22,$C$26,$C$27,N$28,$D$16,$D$17,$D$18,$D$19,$D$20,$D$21,$D$22,$D$23,$D$24,$D$25,$D$26,$D$27,$C$8,$C$9,$C$10,$C$11,$C$12),"")</f>
        <v>705375.04990592063</v>
      </c>
      <c r="O40" s="255">
        <f ca="1">IF(NOW(),_xll.mirSwapPV($C$3,$C$4,$C$6,$G15,$C$7,$I15,$C$16,$C$17,$C$18,$C$19,$C$20,$C$21,$C$22,$C$26,$C$27,O$28,$D$16,$D$17,$D$18,$D$19,$D$20,$D$21,$D$22,$D$23,$D$24,$D$25,$D$26,$D$27,$C$8,$C$9,$C$10,$C$11,$C$12),"")</f>
        <v>564300.03992473683</v>
      </c>
      <c r="P40" s="255">
        <f ca="1">IF(NOW(),_xll.mirSwapPV($C$3,$C$4,$C$6,$G15,$C$7,$I15,$C$16,$C$17,$C$18,$C$19,$C$20,$C$21,$C$22,$C$26,$C$27,P$28,$D$16,$D$17,$D$18,$D$19,$D$20,$D$21,$D$22,$D$23,$D$24,$D$25,$D$26,$D$27,$C$8,$C$9,$C$10,$C$11,$C$12),"")</f>
        <v>423225.02994355239</v>
      </c>
      <c r="Q40" s="255">
        <f ca="1">IF(NOW(),_xll.mirSwapPV($C$3,$C$4,$C$6,$G15,$C$7,$I15,$C$16,$C$17,$C$18,$C$19,$C$20,$C$21,$C$22,$C$26,$C$27,Q$28,$D$16,$D$17,$D$18,$D$19,$D$20,$D$21,$D$22,$D$23,$D$24,$D$25,$D$26,$D$27,$C$8,$C$9,$C$10,$C$11,$C$12),"")</f>
        <v>282150.01996236842</v>
      </c>
      <c r="R40" s="255">
        <f ca="1">IF(NOW(),_xll.mirSwapPV($C$3,$C$4,$C$6,$G15,$C$7,$I15,$C$16,$C$17,$C$18,$C$19,$C$20,$C$21,$C$22,$C$26,$C$27,R$28,$D$16,$D$17,$D$18,$D$19,$D$20,$D$21,$D$22,$D$23,$D$24,$D$25,$D$26,$D$27,$C$8,$C$9,$C$10,$C$11,$C$12),"")</f>
        <v>141075.00998118412</v>
      </c>
      <c r="S40" s="255">
        <f ca="1">IF(NOW(),_xll.mirSwapPV($C$3,$C$4,$C$6,$G15,$C$7,$I15,$C$16,$C$17,$C$18,$C$19,$C$20,$C$21,$C$22,$C$26,$C$27,S$28,$D$16,$D$17,$D$18,$D$19,$D$20,$D$21,$D$22,$D$23,$D$24,$D$25,$D$26,$D$27,$C$8,$C$9,$C$10,$C$11,$C$12),"")</f>
        <v>0</v>
      </c>
      <c r="T40" s="255">
        <f ca="1">IF(NOW(),_xll.mirSwapPV($C$3,$C$4,$C$6,$G15,$C$7,$I15,$C$16,$C$17,$C$18,$C$19,$C$20,$C$21,$C$22,$C$26,$C$27,T$28,$D$16,$D$17,$D$18,$D$19,$D$20,$D$21,$D$22,$D$23,$D$24,$D$25,$D$26,$D$27,$C$8,$C$9,$C$10,$C$11,$C$12),"")</f>
        <v>-141075.00998118421</v>
      </c>
      <c r="U40" s="255">
        <f ca="1">IF(NOW(),_xll.mirSwapPV($C$3,$C$4,$C$6,$G15,$C$7,$I15,$C$16,$C$17,$C$18,$C$19,$C$20,$C$21,$C$22,$C$26,$C$27,U$28,$D$16,$D$17,$D$18,$D$19,$D$20,$D$21,$D$22,$D$23,$D$24,$D$25,$D$26,$D$27,$C$8,$C$9,$C$10,$C$11,$C$12),"")</f>
        <v>-282150.01996236836</v>
      </c>
      <c r="V40" s="255">
        <f ca="1">IF(NOW(),_xll.mirSwapPV($C$3,$C$4,$C$6,$G15,$C$7,$I15,$C$16,$C$17,$C$18,$C$19,$C$20,$C$21,$C$22,$C$26,$C$27,V$28,$D$16,$D$17,$D$18,$D$19,$D$20,$D$21,$D$22,$D$23,$D$24,$D$25,$D$26,$D$27,$C$8,$C$9,$C$10,$C$11,$C$12),"")</f>
        <v>-423225.02994355262</v>
      </c>
      <c r="W40" s="255">
        <f ca="1">IF(NOW(),_xll.mirSwapPV($C$3,$C$4,$C$6,$G15,$C$7,$I15,$C$16,$C$17,$C$18,$C$19,$C$20,$C$21,$C$22,$C$26,$C$27,W$28,$D$16,$D$17,$D$18,$D$19,$D$20,$D$21,$D$22,$D$23,$D$24,$D$25,$D$26,$D$27,$C$8,$C$9,$C$10,$C$11,$C$12),"")</f>
        <v>-564300.0399247366</v>
      </c>
      <c r="X40" s="255">
        <f ca="1">IF(NOW(),_xll.mirSwapPV($C$3,$C$4,$C$6,$G15,$C$7,$I15,$C$16,$C$17,$C$18,$C$19,$C$20,$C$21,$C$22,$C$26,$C$27,X$28,$D$16,$D$17,$D$18,$D$19,$D$20,$D$21,$D$22,$D$23,$D$24,$D$25,$D$26,$D$27,$C$8,$C$9,$C$10,$C$11,$C$12),"")</f>
        <v>-705375.04990592098</v>
      </c>
      <c r="Y40" s="229"/>
      <c r="AG40" s="230" t="s">
        <v>24</v>
      </c>
      <c r="AH40" s="255">
        <f ca="1">IF(NOW(),_xll.mirSwapPV($C$3,$C$4,$C$6,$AA15,$C$7,$AC15,$C$16,$C$17,$C$18,$C$19,$C$20,$C$21,$C$22,$C$26,$C$27,AH$28,$D$16,$D$17,$D$18,$D$19,$D$20,$D$21,$D$22,$D$23,$D$24,$D$25,$D$26,$D$27,$C$8,$C$9,$C$10,$D$11,$C$12),"")</f>
        <v>705375.04990592063</v>
      </c>
      <c r="AI40" s="255">
        <f ca="1">IF(NOW(),_xll.mirSwapPV($C$3,$C$4,$C$6,$AA15,$C$7,$AC15,$C$16,$C$17,$C$18,$C$19,$C$20,$C$21,$C$22,$C$26,$C$27,AI$28,$D$16,$D$17,$D$18,$D$19,$D$20,$D$21,$D$22,$D$23,$D$24,$D$25,$D$26,$D$27,$C$8,$C$9,$C$10,$D$11,$C$12),"")</f>
        <v>564300.0399247366</v>
      </c>
      <c r="AJ40" s="255">
        <f ca="1">IF(NOW(),_xll.mirSwapPV($C$3,$C$4,$C$6,$AA15,$C$7,$AC15,$C$16,$C$17,$C$18,$C$19,$C$20,$C$21,$C$22,$C$26,$C$27,AJ$28,$D$16,$D$17,$D$18,$D$19,$D$20,$D$21,$D$22,$D$23,$D$24,$D$25,$D$26,$D$27,$C$8,$C$9,$C$10,$D$11,$C$12),"")</f>
        <v>423225.02994355251</v>
      </c>
      <c r="AK40" s="255">
        <f ca="1">IF(NOW(),_xll.mirSwapPV($C$3,$C$4,$C$6,$AA15,$C$7,$AC15,$C$16,$C$17,$C$18,$C$19,$C$20,$C$21,$C$22,$C$26,$C$27,AK$28,$D$16,$D$17,$D$18,$D$19,$D$20,$D$21,$D$22,$D$23,$D$24,$D$25,$D$26,$D$27,$C$8,$C$9,$C$10,$D$11,$C$12),"")</f>
        <v>282150.0199623683</v>
      </c>
      <c r="AL40" s="255">
        <f ca="1">IF(NOW(),_xll.mirSwapPV($C$3,$C$4,$C$6,$AA15,$C$7,$AC15,$C$16,$C$17,$C$18,$C$19,$C$20,$C$21,$C$22,$C$26,$C$27,AL$28,$D$16,$D$17,$D$18,$D$19,$D$20,$D$21,$D$22,$D$23,$D$24,$D$25,$D$26,$D$27,$C$8,$C$9,$C$10,$D$11,$C$12),"")</f>
        <v>141075.00998118409</v>
      </c>
      <c r="AM40" s="255">
        <f ca="1">IF(NOW(),_xll.mirSwapPV($C$3,$C$4,$C$6,$AA15,$C$7,$AC15,$C$16,$C$17,$C$18,$C$19,$C$20,$C$21,$C$22,$C$26,$C$27,AM$28,$D$16,$D$17,$D$18,$D$19,$D$20,$D$21,$D$22,$D$23,$D$24,$D$25,$D$26,$D$27,$C$8,$C$9,$C$10,$D$11,$C$12),"")</f>
        <v>2.7755575615628914E-11</v>
      </c>
      <c r="AN40" s="255">
        <f ca="1">IF(NOW(),_xll.mirSwapPV($C$3,$C$4,$C$6,$AA15,$C$7,$AC15,$C$16,$C$17,$C$18,$C$19,$C$20,$C$21,$C$22,$C$26,$C$27,AN$28,$D$16,$D$17,$D$18,$D$19,$D$20,$D$21,$D$22,$D$23,$D$24,$D$25,$D$26,$D$27,$C$8,$C$9,$C$10,$D$11,$C$12),"")</f>
        <v>-141075.00998118421</v>
      </c>
      <c r="AO40" s="255">
        <f ca="1">IF(NOW(),_xll.mirSwapPV($C$3,$C$4,$C$6,$AA15,$C$7,$AC15,$C$16,$C$17,$C$18,$C$19,$C$20,$C$21,$C$22,$C$26,$C$27,AO$28,$D$16,$D$17,$D$18,$D$19,$D$20,$D$21,$D$22,$D$23,$D$24,$D$25,$D$26,$D$27,$C$8,$C$9,$C$10,$D$11,$C$12),"")</f>
        <v>-282150.01996236842</v>
      </c>
      <c r="AP40" s="255">
        <f ca="1">IF(NOW(),_xll.mirSwapPV($C$3,$C$4,$C$6,$AA15,$C$7,$AC15,$C$16,$C$17,$C$18,$C$19,$C$20,$C$21,$C$22,$C$26,$C$27,AP$28,$D$16,$D$17,$D$18,$D$19,$D$20,$D$21,$D$22,$D$23,$D$24,$D$25,$D$26,$D$27,$C$8,$C$9,$C$10,$D$11,$C$12),"")</f>
        <v>-423225.02994355268</v>
      </c>
      <c r="AQ40" s="255">
        <f ca="1">IF(NOW(),_xll.mirSwapPV($C$3,$C$4,$C$6,$AA15,$C$7,$AC15,$C$16,$C$17,$C$18,$C$19,$C$20,$C$21,$C$22,$C$26,$C$27,AQ$28,$D$16,$D$17,$D$18,$D$19,$D$20,$D$21,$D$22,$D$23,$D$24,$D$25,$D$26,$D$27,$C$8,$C$9,$C$10,$D$11,$C$12),"")</f>
        <v>-564300.03992473683</v>
      </c>
      <c r="AR40" s="255">
        <f ca="1">IF(NOW(),_xll.mirSwapPV($C$3,$C$4,$C$6,$AA15,$C$7,$AC15,$C$16,$C$17,$C$18,$C$19,$C$20,$C$21,$C$22,$C$26,$C$27,AR$28,$D$16,$D$17,$D$18,$D$19,$D$20,$D$21,$D$22,$D$23,$D$24,$D$25,$D$26,$D$27,$C$8,$C$9,$C$10,$D$11,$C$12),"")</f>
        <v>-705375.04990592098</v>
      </c>
    </row>
    <row r="41" spans="6:44">
      <c r="F41" s="230"/>
      <c r="G41" s="227"/>
      <c r="H41" s="229"/>
      <c r="I41" s="229"/>
      <c r="J41" s="229"/>
      <c r="K41" s="230"/>
      <c r="L41" s="230"/>
      <c r="M41" s="230" t="s">
        <v>20</v>
      </c>
      <c r="N41" s="255">
        <f ca="1">IF(NOW(),_xll.mirSwapPV($C$3,$C$4,$C$6,$G16,$C$7,$I16,$C$16,$C$17,$C$18,$C$19,$C$20,$C$21,$C$22,$C$26,$C$27,N$28,$D$16,$D$17,$D$18,$D$19,$D$20,$D$21,$D$22,$D$23,$D$24,$D$25,$D$26,$D$27,$C$8,$C$9,$C$10,$C$11,$C$12),"")</f>
        <v>895612.9666641826</v>
      </c>
      <c r="O41" s="255">
        <f ca="1">IF(NOW(),_xll.mirSwapPV($C$3,$C$4,$C$6,$G16,$C$7,$I16,$C$16,$C$17,$C$18,$C$19,$C$20,$C$21,$C$22,$C$26,$C$27,O$28,$D$16,$D$17,$D$18,$D$19,$D$20,$D$21,$D$22,$D$23,$D$24,$D$25,$D$26,$D$27,$C$8,$C$9,$C$10,$C$11,$C$12),"")</f>
        <v>716490.37333134655</v>
      </c>
      <c r="P41" s="255">
        <f ca="1">IF(NOW(),_xll.mirSwapPV($C$3,$C$4,$C$6,$G16,$C$7,$I16,$C$16,$C$17,$C$18,$C$19,$C$20,$C$21,$C$22,$C$26,$C$27,P$28,$D$16,$D$17,$D$18,$D$19,$D$20,$D$21,$D$22,$D$23,$D$24,$D$25,$D$26,$D$27,$C$8,$C$9,$C$10,$C$11,$C$12),"")</f>
        <v>537367.77999850968</v>
      </c>
      <c r="Q41" s="255">
        <f ca="1">IF(NOW(),_xll.mirSwapPV($C$3,$C$4,$C$6,$G16,$C$7,$I16,$C$16,$C$17,$C$18,$C$19,$C$20,$C$21,$C$22,$C$26,$C$27,Q$28,$D$16,$D$17,$D$18,$D$19,$D$20,$D$21,$D$22,$D$23,$D$24,$D$25,$D$26,$D$27,$C$8,$C$9,$C$10,$C$11,$C$12),"")</f>
        <v>358245.18666567316</v>
      </c>
      <c r="R41" s="255">
        <f ca="1">IF(NOW(),_xll.mirSwapPV($C$3,$C$4,$C$6,$G16,$C$7,$I16,$C$16,$C$17,$C$18,$C$19,$C$20,$C$21,$C$22,$C$26,$C$27,R$28,$D$16,$D$17,$D$18,$D$19,$D$20,$D$21,$D$22,$D$23,$D$24,$D$25,$D$26,$D$27,$C$8,$C$9,$C$10,$C$11,$C$12),"")</f>
        <v>179122.59333283652</v>
      </c>
      <c r="S41" s="255">
        <f ca="1">IF(NOW(),_xll.mirSwapPV($C$3,$C$4,$C$6,$G16,$C$7,$I16,$C$16,$C$17,$C$18,$C$19,$C$20,$C$21,$C$22,$C$26,$C$27,S$28,$D$16,$D$17,$D$18,$D$19,$D$20,$D$21,$D$22,$D$23,$D$24,$D$25,$D$26,$D$27,$C$8,$C$9,$C$10,$C$11,$C$12),"")</f>
        <v>0</v>
      </c>
      <c r="T41" s="255">
        <f ca="1">IF(NOW(),_xll.mirSwapPV($C$3,$C$4,$C$6,$G16,$C$7,$I16,$C$16,$C$17,$C$18,$C$19,$C$20,$C$21,$C$22,$C$26,$C$27,T$28,$D$16,$D$17,$D$18,$D$19,$D$20,$D$21,$D$22,$D$23,$D$24,$D$25,$D$26,$D$27,$C$8,$C$9,$C$10,$C$11,$C$12),"")</f>
        <v>-179122.5933328367</v>
      </c>
      <c r="U41" s="255">
        <f ca="1">IF(NOW(),_xll.mirSwapPV($C$3,$C$4,$C$6,$G16,$C$7,$I16,$C$16,$C$17,$C$18,$C$19,$C$20,$C$21,$C$22,$C$26,$C$27,U$28,$D$16,$D$17,$D$18,$D$19,$D$20,$D$21,$D$22,$D$23,$D$24,$D$25,$D$26,$D$27,$C$8,$C$9,$C$10,$C$11,$C$12),"")</f>
        <v>-358245.18666567327</v>
      </c>
      <c r="V41" s="255">
        <f ca="1">IF(NOW(),_xll.mirSwapPV($C$3,$C$4,$C$6,$G16,$C$7,$I16,$C$16,$C$17,$C$18,$C$19,$C$20,$C$21,$C$22,$C$26,$C$27,V$28,$D$16,$D$17,$D$18,$D$19,$D$20,$D$21,$D$22,$D$23,$D$24,$D$25,$D$26,$D$27,$C$8,$C$9,$C$10,$C$11,$C$12),"")</f>
        <v>-537367.77999850991</v>
      </c>
      <c r="W41" s="255">
        <f ca="1">IF(NOW(),_xll.mirSwapPV($C$3,$C$4,$C$6,$G16,$C$7,$I16,$C$16,$C$17,$C$18,$C$19,$C$20,$C$21,$C$22,$C$26,$C$27,W$28,$D$16,$D$17,$D$18,$D$19,$D$20,$D$21,$D$22,$D$23,$D$24,$D$25,$D$26,$D$27,$C$8,$C$9,$C$10,$C$11,$C$12),"")</f>
        <v>-716490.37333134632</v>
      </c>
      <c r="X41" s="255">
        <f ca="1">IF(NOW(),_xll.mirSwapPV($C$3,$C$4,$C$6,$G16,$C$7,$I16,$C$16,$C$17,$C$18,$C$19,$C$20,$C$21,$C$22,$C$26,$C$27,X$28,$D$16,$D$17,$D$18,$D$19,$D$20,$D$21,$D$22,$D$23,$D$24,$D$25,$D$26,$D$27,$C$8,$C$9,$C$10,$C$11,$C$12),"")</f>
        <v>-895612.96666418319</v>
      </c>
      <c r="Y41" s="229"/>
      <c r="AG41" s="230" t="s">
        <v>20</v>
      </c>
      <c r="AH41" s="255">
        <f ca="1">IF(NOW(),_xll.mirSwapPV($C$3,$C$4,$C$6,$AA16,$C$7,$AC16,$C$16,$C$17,$C$18,$C$19,$C$20,$C$21,$C$22,$C$26,$C$27,AH$28,$D$16,$D$17,$D$18,$D$19,$D$20,$D$21,$D$22,$D$23,$D$24,$D$25,$D$26,$D$27,$C$8,$C$9,$C$10,$D$11,$C$12),"")</f>
        <v>895612.96666418272</v>
      </c>
      <c r="AI41" s="255">
        <f ca="1">IF(NOW(),_xll.mirSwapPV($C$3,$C$4,$C$6,$AA16,$C$7,$AC16,$C$16,$C$17,$C$18,$C$19,$C$20,$C$21,$C$22,$C$26,$C$27,AI$28,$D$16,$D$17,$D$18,$D$19,$D$20,$D$21,$D$22,$D$23,$D$24,$D$25,$D$26,$D$27,$C$8,$C$9,$C$10,$D$11,$C$12),"")</f>
        <v>716490.37333134632</v>
      </c>
      <c r="AJ41" s="255">
        <f ca="1">IF(NOW(),_xll.mirSwapPV($C$3,$C$4,$C$6,$AA16,$C$7,$AC16,$C$16,$C$17,$C$18,$C$19,$C$20,$C$21,$C$22,$C$26,$C$27,AJ$28,$D$16,$D$17,$D$18,$D$19,$D$20,$D$21,$D$22,$D$23,$D$24,$D$25,$D$26,$D$27,$C$8,$C$9,$C$10,$D$11,$C$12),"")</f>
        <v>537367.77999850968</v>
      </c>
      <c r="AK41" s="255">
        <f ca="1">IF(NOW(),_xll.mirSwapPV($C$3,$C$4,$C$6,$AA16,$C$7,$AC16,$C$16,$C$17,$C$18,$C$19,$C$20,$C$21,$C$22,$C$26,$C$27,AK$28,$D$16,$D$17,$D$18,$D$19,$D$20,$D$21,$D$22,$D$23,$D$24,$D$25,$D$26,$D$27,$C$8,$C$9,$C$10,$D$11,$C$12),"")</f>
        <v>358245.18666567298</v>
      </c>
      <c r="AL41" s="255">
        <f ca="1">IF(NOW(),_xll.mirSwapPV($C$3,$C$4,$C$6,$AA16,$C$7,$AC16,$C$16,$C$17,$C$18,$C$19,$C$20,$C$21,$C$22,$C$26,$C$27,AL$28,$D$16,$D$17,$D$18,$D$19,$D$20,$D$21,$D$22,$D$23,$D$24,$D$25,$D$26,$D$27,$C$8,$C$9,$C$10,$D$11,$C$12),"")</f>
        <v>179122.59333283638</v>
      </c>
      <c r="AM41" s="255">
        <f ca="1">IF(NOW(),_xll.mirSwapPV($C$3,$C$4,$C$6,$AA16,$C$7,$AC16,$C$16,$C$17,$C$18,$C$19,$C$20,$C$21,$C$22,$C$26,$C$27,AM$28,$D$16,$D$17,$D$18,$D$19,$D$20,$D$21,$D$22,$D$23,$D$24,$D$25,$D$26,$D$27,$C$8,$C$9,$C$10,$D$11,$C$12),"")</f>
        <v>0</v>
      </c>
      <c r="AN41" s="255">
        <f ca="1">IF(NOW(),_xll.mirSwapPV($C$3,$C$4,$C$6,$AA16,$C$7,$AC16,$C$16,$C$17,$C$18,$C$19,$C$20,$C$21,$C$22,$C$26,$C$27,AN$28,$D$16,$D$17,$D$18,$D$19,$D$20,$D$21,$D$22,$D$23,$D$24,$D$25,$D$26,$D$27,$C$8,$C$9,$C$10,$D$11,$C$12),"")</f>
        <v>-179122.59333283672</v>
      </c>
      <c r="AO41" s="255">
        <f ca="1">IF(NOW(),_xll.mirSwapPV($C$3,$C$4,$C$6,$AA16,$C$7,$AC16,$C$16,$C$17,$C$18,$C$19,$C$20,$C$21,$C$22,$C$26,$C$27,AO$28,$D$16,$D$17,$D$18,$D$19,$D$20,$D$21,$D$22,$D$23,$D$24,$D$25,$D$26,$D$27,$C$8,$C$9,$C$10,$D$11,$C$12),"")</f>
        <v>-358245.18666567333</v>
      </c>
      <c r="AP41" s="255">
        <f ca="1">IF(NOW(),_xll.mirSwapPV($C$3,$C$4,$C$6,$AA16,$C$7,$AC16,$C$16,$C$17,$C$18,$C$19,$C$20,$C$21,$C$22,$C$26,$C$27,AP$28,$D$16,$D$17,$D$18,$D$19,$D$20,$D$21,$D$22,$D$23,$D$24,$D$25,$D$26,$D$27,$C$8,$C$9,$C$10,$D$11,$C$12),"")</f>
        <v>-537367.77999850991</v>
      </c>
      <c r="AQ41" s="255">
        <f ca="1">IF(NOW(),_xll.mirSwapPV($C$3,$C$4,$C$6,$AA16,$C$7,$AC16,$C$16,$C$17,$C$18,$C$19,$C$20,$C$21,$C$22,$C$26,$C$27,AQ$28,$D$16,$D$17,$D$18,$D$19,$D$20,$D$21,$D$22,$D$23,$D$24,$D$25,$D$26,$D$27,$C$8,$C$9,$C$10,$D$11,$C$12),"")</f>
        <v>-716490.37333134655</v>
      </c>
      <c r="AR41" s="255">
        <f ca="1">IF(NOW(),_xll.mirSwapPV($C$3,$C$4,$C$6,$AA16,$C$7,$AC16,$C$16,$C$17,$C$18,$C$19,$C$20,$C$21,$C$22,$C$26,$C$27,AR$28,$D$16,$D$17,$D$18,$D$19,$D$20,$D$21,$D$22,$D$23,$D$24,$D$25,$D$26,$D$27,$C$8,$C$9,$C$10,$D$11,$C$12),"")</f>
        <v>-895612.96666418319</v>
      </c>
    </row>
    <row r="42" spans="6:44">
      <c r="F42" s="230"/>
      <c r="G42" s="227"/>
      <c r="H42" s="229"/>
      <c r="I42" s="229"/>
      <c r="J42" s="229"/>
      <c r="K42" s="230"/>
      <c r="L42" s="230"/>
      <c r="M42" s="230" t="s">
        <v>18</v>
      </c>
      <c r="N42" s="255">
        <f ca="1">IF(NOW(),_xll.mirSwapPV($C$3,$C$4,$C$6,$G17,$C$7,$I17,$C$16,$C$17,$C$18,$C$19,$C$20,$C$21,$C$22,$C$26,$C$27,N$28,$D$16,$D$17,$D$18,$D$19,$D$20,$D$21,$D$22,$D$23,$D$24,$D$25,$D$26,$D$27,$C$8,$C$9,$C$10,$C$11,$C$12),"")</f>
        <v>1067055.5709118785</v>
      </c>
      <c r="O42" s="255">
        <f ca="1">IF(NOW(),_xll.mirSwapPV($C$3,$C$4,$C$6,$G17,$C$7,$I17,$C$16,$C$17,$C$18,$C$19,$C$20,$C$21,$C$22,$C$26,$C$27,O$28,$D$16,$D$17,$D$18,$D$19,$D$20,$D$21,$D$22,$D$23,$D$24,$D$25,$D$26,$D$27,$C$8,$C$9,$C$10,$C$11,$C$12),"")</f>
        <v>853644.45672950312</v>
      </c>
      <c r="P42" s="255">
        <f ca="1">IF(NOW(),_xll.mirSwapPV($C$3,$C$4,$C$6,$G17,$C$7,$I17,$C$16,$C$17,$C$18,$C$19,$C$20,$C$21,$C$22,$C$26,$C$27,P$28,$D$16,$D$17,$D$18,$D$19,$D$20,$D$21,$D$22,$D$23,$D$24,$D$25,$D$26,$D$27,$C$8,$C$9,$C$10,$C$11,$C$12),"")</f>
        <v>640233.34254712728</v>
      </c>
      <c r="Q42" s="255">
        <f ca="1">IF(NOW(),_xll.mirSwapPV($C$3,$C$4,$C$6,$G17,$C$7,$I17,$C$16,$C$17,$C$18,$C$19,$C$20,$C$21,$C$22,$C$26,$C$27,Q$28,$D$16,$D$17,$D$18,$D$19,$D$20,$D$21,$D$22,$D$23,$D$24,$D$25,$D$26,$D$27,$C$8,$C$9,$C$10,$C$11,$C$12),"")</f>
        <v>426822.22836475162</v>
      </c>
      <c r="R42" s="255">
        <f ca="1">IF(NOW(),_xll.mirSwapPV($C$3,$C$4,$C$6,$G17,$C$7,$I17,$C$16,$C$17,$C$18,$C$19,$C$20,$C$21,$C$22,$C$26,$C$27,R$28,$D$16,$D$17,$D$18,$D$19,$D$20,$D$21,$D$22,$D$23,$D$24,$D$25,$D$26,$D$27,$C$8,$C$9,$C$10,$C$11,$C$12),"")</f>
        <v>213411.11418237581</v>
      </c>
      <c r="S42" s="255">
        <f ca="1">IF(NOW(),_xll.mirSwapPV($C$3,$C$4,$C$6,$G17,$C$7,$I17,$C$16,$C$17,$C$18,$C$19,$C$20,$C$21,$C$22,$C$26,$C$27,S$28,$D$16,$D$17,$D$18,$D$19,$D$20,$D$21,$D$22,$D$23,$D$24,$D$25,$D$26,$D$27,$C$8,$C$9,$C$10,$C$11,$C$12),"")</f>
        <v>0</v>
      </c>
      <c r="T42" s="255">
        <f ca="1">IF(NOW(),_xll.mirSwapPV($C$3,$C$4,$C$6,$G17,$C$7,$I17,$C$16,$C$17,$C$18,$C$19,$C$20,$C$21,$C$22,$C$26,$C$27,T$28,$D$16,$D$17,$D$18,$D$19,$D$20,$D$21,$D$22,$D$23,$D$24,$D$25,$D$26,$D$27,$C$8,$C$9,$C$10,$C$11,$C$12),"")</f>
        <v>-213411.11418237592</v>
      </c>
      <c r="U42" s="255">
        <f ca="1">IF(NOW(),_xll.mirSwapPV($C$3,$C$4,$C$6,$G17,$C$7,$I17,$C$16,$C$17,$C$18,$C$19,$C$20,$C$21,$C$22,$C$26,$C$27,U$28,$D$16,$D$17,$D$18,$D$19,$D$20,$D$21,$D$22,$D$23,$D$24,$D$25,$D$26,$D$27,$C$8,$C$9,$C$10,$C$11,$C$12),"")</f>
        <v>-426822.22836475179</v>
      </c>
      <c r="V42" s="255">
        <f ca="1">IF(NOW(),_xll.mirSwapPV($C$3,$C$4,$C$6,$G17,$C$7,$I17,$C$16,$C$17,$C$18,$C$19,$C$20,$C$21,$C$22,$C$26,$C$27,V$28,$D$16,$D$17,$D$18,$D$19,$D$20,$D$21,$D$22,$D$23,$D$24,$D$25,$D$26,$D$27,$C$8,$C$9,$C$10,$C$11,$C$12),"")</f>
        <v>-640233.34254712763</v>
      </c>
      <c r="W42" s="255">
        <f ca="1">IF(NOW(),_xll.mirSwapPV($C$3,$C$4,$C$6,$G17,$C$7,$I17,$C$16,$C$17,$C$18,$C$19,$C$20,$C$21,$C$22,$C$26,$C$27,W$28,$D$16,$D$17,$D$18,$D$19,$D$20,$D$21,$D$22,$D$23,$D$24,$D$25,$D$26,$D$27,$C$8,$C$9,$C$10,$C$11,$C$12),"")</f>
        <v>-853644.45672950323</v>
      </c>
      <c r="X42" s="255">
        <f ca="1">IF(NOW(),_xll.mirSwapPV($C$3,$C$4,$C$6,$G17,$C$7,$I17,$C$16,$C$17,$C$18,$C$19,$C$20,$C$21,$C$22,$C$26,$C$27,X$28,$D$16,$D$17,$D$18,$D$19,$D$20,$D$21,$D$22,$D$23,$D$24,$D$25,$D$26,$D$27,$C$8,$C$9,$C$10,$C$11,$C$12),"")</f>
        <v>-1067055.5709118794</v>
      </c>
      <c r="Y42" s="229"/>
      <c r="AG42" s="230" t="s">
        <v>18</v>
      </c>
      <c r="AH42" s="255">
        <f ca="1">IF(NOW(),_xll.mirSwapPV($C$3,$C$4,$C$6,$AA17,$C$7,$AC17,$C$16,$C$17,$C$18,$C$19,$C$20,$C$21,$C$22,$C$26,$C$27,AH$28,$D$16,$D$17,$D$18,$D$19,$D$20,$D$21,$D$22,$D$23,$D$24,$D$25,$D$26,$D$27,$C$8,$C$9,$C$10,$D$11,$C$12),"")</f>
        <v>1067055.570911879</v>
      </c>
      <c r="AI42" s="255">
        <f ca="1">IF(NOW(),_xll.mirSwapPV($C$3,$C$4,$C$6,$AA17,$C$7,$AC17,$C$16,$C$17,$C$18,$C$19,$C$20,$C$21,$C$22,$C$26,$C$27,AI$28,$D$16,$D$17,$D$18,$D$19,$D$20,$D$21,$D$22,$D$23,$D$24,$D$25,$D$26,$D$27,$C$8,$C$9,$C$10,$D$11,$C$12),"")</f>
        <v>853644.45672950323</v>
      </c>
      <c r="AJ42" s="255">
        <f ca="1">IF(NOW(),_xll.mirSwapPV($C$3,$C$4,$C$6,$AA17,$C$7,$AC17,$C$16,$C$17,$C$18,$C$19,$C$20,$C$21,$C$22,$C$26,$C$27,AJ$28,$D$16,$D$17,$D$18,$D$19,$D$20,$D$21,$D$22,$D$23,$D$24,$D$25,$D$26,$D$27,$C$8,$C$9,$C$10,$D$11,$C$12),"")</f>
        <v>640233.34254712739</v>
      </c>
      <c r="AK42" s="255">
        <f ca="1">IF(NOW(),_xll.mirSwapPV($C$3,$C$4,$C$6,$AA17,$C$7,$AC17,$C$16,$C$17,$C$18,$C$19,$C$20,$C$21,$C$22,$C$26,$C$27,AK$28,$D$16,$D$17,$D$18,$D$19,$D$20,$D$21,$D$22,$D$23,$D$24,$D$25,$D$26,$D$27,$C$8,$C$9,$C$10,$D$11,$C$12),"")</f>
        <v>426822.2283647515</v>
      </c>
      <c r="AL42" s="255">
        <f ca="1">IF(NOW(),_xll.mirSwapPV($C$3,$C$4,$C$6,$AA17,$C$7,$AC17,$C$16,$C$17,$C$18,$C$19,$C$20,$C$21,$C$22,$C$26,$C$27,AL$28,$D$16,$D$17,$D$18,$D$19,$D$20,$D$21,$D$22,$D$23,$D$24,$D$25,$D$26,$D$27,$C$8,$C$9,$C$10,$D$11,$C$12),"")</f>
        <v>213411.11418237569</v>
      </c>
      <c r="AM42" s="255">
        <f ca="1">IF(NOW(),_xll.mirSwapPV($C$3,$C$4,$C$6,$AA17,$C$7,$AC17,$C$16,$C$17,$C$18,$C$19,$C$20,$C$21,$C$22,$C$26,$C$27,AM$28,$D$16,$D$17,$D$18,$D$19,$D$20,$D$21,$D$22,$D$23,$D$24,$D$25,$D$26,$D$27,$C$8,$C$9,$C$10,$D$11,$C$12),"")</f>
        <v>0</v>
      </c>
      <c r="AN42" s="255">
        <f ca="1">IF(NOW(),_xll.mirSwapPV($C$3,$C$4,$C$6,$AA17,$C$7,$AC17,$C$16,$C$17,$C$18,$C$19,$C$20,$C$21,$C$22,$C$26,$C$27,AN$28,$D$16,$D$17,$D$18,$D$19,$D$20,$D$21,$D$22,$D$23,$D$24,$D$25,$D$26,$D$27,$C$8,$C$9,$C$10,$D$11,$C$12),"")</f>
        <v>-213411.11418237587</v>
      </c>
      <c r="AO42" s="255">
        <f ca="1">IF(NOW(),_xll.mirSwapPV($C$3,$C$4,$C$6,$AA17,$C$7,$AC17,$C$16,$C$17,$C$18,$C$19,$C$20,$C$21,$C$22,$C$26,$C$27,AO$28,$D$16,$D$17,$D$18,$D$19,$D$20,$D$21,$D$22,$D$23,$D$24,$D$25,$D$26,$D$27,$C$8,$C$9,$C$10,$D$11,$C$12),"")</f>
        <v>-426822.22836475173</v>
      </c>
      <c r="AP42" s="255">
        <f ca="1">IF(NOW(),_xll.mirSwapPV($C$3,$C$4,$C$6,$AA17,$C$7,$AC17,$C$16,$C$17,$C$18,$C$19,$C$20,$C$21,$C$22,$C$26,$C$27,AP$28,$D$16,$D$17,$D$18,$D$19,$D$20,$D$21,$D$22,$D$23,$D$24,$D$25,$D$26,$D$27,$C$8,$C$9,$C$10,$D$11,$C$12),"")</f>
        <v>-640233.34254712763</v>
      </c>
      <c r="AQ42" s="255">
        <f ca="1">IF(NOW(),_xll.mirSwapPV($C$3,$C$4,$C$6,$AA17,$C$7,$AC17,$C$16,$C$17,$C$18,$C$19,$C$20,$C$21,$C$22,$C$26,$C$27,AQ$28,$D$16,$D$17,$D$18,$D$19,$D$20,$D$21,$D$22,$D$23,$D$24,$D$25,$D$26,$D$27,$C$8,$C$9,$C$10,$D$11,$C$12),"")</f>
        <v>-853644.45672950335</v>
      </c>
      <c r="AR42" s="255">
        <f ca="1">IF(NOW(),_xll.mirSwapPV($C$3,$C$4,$C$6,$AA17,$C$7,$AC17,$C$16,$C$17,$C$18,$C$19,$C$20,$C$21,$C$22,$C$26,$C$27,AR$28,$D$16,$D$17,$D$18,$D$19,$D$20,$D$21,$D$22,$D$23,$D$24,$D$25,$D$26,$D$27,$C$8,$C$9,$C$10,$D$11,$C$12),"")</f>
        <v>-1067055.5709118794</v>
      </c>
    </row>
    <row r="43" spans="6:44">
      <c r="F43" s="230"/>
      <c r="G43" s="227"/>
      <c r="H43" s="229"/>
      <c r="I43" s="229"/>
      <c r="J43" s="229"/>
      <c r="K43" s="230"/>
      <c r="L43" s="230"/>
      <c r="M43" s="230" t="s">
        <v>17</v>
      </c>
      <c r="N43" s="255">
        <f ca="1">IF(NOW(),_xll.mirSwapPV($C$3,$C$4,$C$6,$G18,$C$7,$I18,$C$16,$C$17,$C$18,$C$19,$C$20,$C$21,$C$22,$C$26,$C$27,N$28,$D$16,$D$17,$D$18,$D$19,$D$20,$D$21,$D$22,$D$23,$D$24,$D$25,$D$26,$D$27,$C$8,$C$9,$C$10,$C$11,$C$12),"")</f>
        <v>1223051.960409343</v>
      </c>
      <c r="O43" s="255">
        <f ca="1">IF(NOW(),_xll.mirSwapPV($C$3,$C$4,$C$6,$G18,$C$7,$I18,$C$16,$C$17,$C$18,$C$19,$C$20,$C$21,$C$22,$C$26,$C$27,O$28,$D$16,$D$17,$D$18,$D$19,$D$20,$D$21,$D$22,$D$23,$D$24,$D$25,$D$26,$D$27,$C$8,$C$9,$C$10,$C$11,$C$12),"")</f>
        <v>978441.56832747487</v>
      </c>
      <c r="P43" s="255">
        <f ca="1">IF(NOW(),_xll.mirSwapPV($C$3,$C$4,$C$6,$G18,$C$7,$I18,$C$16,$C$17,$C$18,$C$19,$C$20,$C$21,$C$22,$C$26,$C$27,P$28,$D$16,$D$17,$D$18,$D$19,$D$20,$D$21,$D$22,$D$23,$D$24,$D$25,$D$26,$D$27,$C$8,$C$9,$C$10,$C$11,$C$12),"")</f>
        <v>733831.17624560639</v>
      </c>
      <c r="Q43" s="255">
        <f ca="1">IF(NOW(),_xll.mirSwapPV($C$3,$C$4,$C$6,$G18,$C$7,$I18,$C$16,$C$17,$C$18,$C$19,$C$20,$C$21,$C$22,$C$26,$C$27,Q$28,$D$16,$D$17,$D$18,$D$19,$D$20,$D$21,$D$22,$D$23,$D$24,$D$25,$D$26,$D$27,$C$8,$C$9,$C$10,$C$11,$C$12),"")</f>
        <v>489220.78416373749</v>
      </c>
      <c r="R43" s="255">
        <f ca="1">IF(NOW(),_xll.mirSwapPV($C$3,$C$4,$C$6,$G18,$C$7,$I18,$C$16,$C$17,$C$18,$C$19,$C$20,$C$21,$C$22,$C$26,$C$27,R$28,$D$16,$D$17,$D$18,$D$19,$D$20,$D$21,$D$22,$D$23,$D$24,$D$25,$D$26,$D$27,$C$8,$C$9,$C$10,$C$11,$C$12),"")</f>
        <v>244610.39208186863</v>
      </c>
      <c r="S43" s="255">
        <f ca="1">IF(NOW(),_xll.mirSwapPV($C$3,$C$4,$C$6,$G18,$C$7,$I18,$C$16,$C$17,$C$18,$C$19,$C$20,$C$21,$C$22,$C$26,$C$27,S$28,$D$16,$D$17,$D$18,$D$19,$D$20,$D$21,$D$22,$D$23,$D$24,$D$25,$D$26,$D$27,$C$8,$C$9,$C$10,$C$11,$C$12),"")</f>
        <v>-5.5511151231257827E-11</v>
      </c>
      <c r="T43" s="255">
        <f ca="1">IF(NOW(),_xll.mirSwapPV($C$3,$C$4,$C$6,$G18,$C$7,$I18,$C$16,$C$17,$C$18,$C$19,$C$20,$C$21,$C$22,$C$26,$C$27,T$28,$D$16,$D$17,$D$18,$D$19,$D$20,$D$21,$D$22,$D$23,$D$24,$D$25,$D$26,$D$27,$C$8,$C$9,$C$10,$C$11,$C$12),"")</f>
        <v>-244610.39208186898</v>
      </c>
      <c r="U43" s="255">
        <f ca="1">IF(NOW(),_xll.mirSwapPV($C$3,$C$4,$C$6,$G18,$C$7,$I18,$C$16,$C$17,$C$18,$C$19,$C$20,$C$21,$C$22,$C$26,$C$27,U$28,$D$16,$D$17,$D$18,$D$19,$D$20,$D$21,$D$22,$D$23,$D$24,$D$25,$D$26,$D$27,$C$8,$C$9,$C$10,$C$11,$C$12),"")</f>
        <v>-489220.78416373784</v>
      </c>
      <c r="V43" s="255">
        <f ca="1">IF(NOW(),_xll.mirSwapPV($C$3,$C$4,$C$6,$G18,$C$7,$I18,$C$16,$C$17,$C$18,$C$19,$C$20,$C$21,$C$22,$C$26,$C$27,V$28,$D$16,$D$17,$D$18,$D$19,$D$20,$D$21,$D$22,$D$23,$D$24,$D$25,$D$26,$D$27,$C$8,$C$9,$C$10,$C$11,$C$12),"")</f>
        <v>-733831.17624560662</v>
      </c>
      <c r="W43" s="255">
        <f ca="1">IF(NOW(),_xll.mirSwapPV($C$3,$C$4,$C$6,$G18,$C$7,$I18,$C$16,$C$17,$C$18,$C$19,$C$20,$C$21,$C$22,$C$26,$C$27,W$28,$D$16,$D$17,$D$18,$D$19,$D$20,$D$21,$D$22,$D$23,$D$24,$D$25,$D$26,$D$27,$C$8,$C$9,$C$10,$C$11,$C$12),"")</f>
        <v>-978441.56832747511</v>
      </c>
      <c r="X43" s="255">
        <f ca="1">IF(NOW(),_xll.mirSwapPV($C$3,$C$4,$C$6,$G18,$C$7,$I18,$C$16,$C$17,$C$18,$C$19,$C$20,$C$21,$C$22,$C$26,$C$27,X$28,$D$16,$D$17,$D$18,$D$19,$D$20,$D$21,$D$22,$D$23,$D$24,$D$25,$D$26,$D$27,$C$8,$C$9,$C$10,$C$11,$C$12),"")</f>
        <v>-1223051.9604093444</v>
      </c>
      <c r="Y43" s="229"/>
      <c r="AG43" s="230" t="s">
        <v>17</v>
      </c>
      <c r="AH43" s="255">
        <f ca="1">IF(NOW(),_xll.mirSwapPV($C$3,$C$4,$C$6,$AA18,$C$7,$AC18,$C$16,$C$17,$C$18,$C$19,$C$20,$C$21,$C$22,$C$26,$C$27,AH$28,$D$16,$D$17,$D$18,$D$19,$D$20,$D$21,$D$22,$D$23,$D$24,$D$25,$D$26,$D$27,$C$8,$C$9,$C$10,$D$11,$C$12),"")</f>
        <v>1223051.9604093435</v>
      </c>
      <c r="AI43" s="255">
        <f ca="1">IF(NOW(),_xll.mirSwapPV($C$3,$C$4,$C$6,$AA18,$C$7,$AC18,$C$16,$C$17,$C$18,$C$19,$C$20,$C$21,$C$22,$C$26,$C$27,AI$28,$D$16,$D$17,$D$18,$D$19,$D$20,$D$21,$D$22,$D$23,$D$24,$D$25,$D$26,$D$27,$C$8,$C$9,$C$10,$D$11,$C$12),"")</f>
        <v>978441.56832747499</v>
      </c>
      <c r="AJ43" s="255">
        <f ca="1">IF(NOW(),_xll.mirSwapPV($C$3,$C$4,$C$6,$AA18,$C$7,$AC18,$C$16,$C$17,$C$18,$C$19,$C$20,$C$21,$C$22,$C$26,$C$27,AJ$28,$D$16,$D$17,$D$18,$D$19,$D$20,$D$21,$D$22,$D$23,$D$24,$D$25,$D$26,$D$27,$C$8,$C$9,$C$10,$D$11,$C$12),"")</f>
        <v>733831.17624560627</v>
      </c>
      <c r="AK43" s="255">
        <f ca="1">IF(NOW(),_xll.mirSwapPV($C$3,$C$4,$C$6,$AA18,$C$7,$AC18,$C$16,$C$17,$C$18,$C$19,$C$20,$C$21,$C$22,$C$26,$C$27,AK$28,$D$16,$D$17,$D$18,$D$19,$D$20,$D$21,$D$22,$D$23,$D$24,$D$25,$D$26,$D$27,$C$8,$C$9,$C$10,$D$11,$C$12),"")</f>
        <v>489220.78416373732</v>
      </c>
      <c r="AL43" s="255">
        <f ca="1">IF(NOW(),_xll.mirSwapPV($C$3,$C$4,$C$6,$AA18,$C$7,$AC18,$C$16,$C$17,$C$18,$C$19,$C$20,$C$21,$C$22,$C$26,$C$27,AL$28,$D$16,$D$17,$D$18,$D$19,$D$20,$D$21,$D$22,$D$23,$D$24,$D$25,$D$26,$D$27,$C$8,$C$9,$C$10,$D$11,$C$12),"")</f>
        <v>244610.39208186857</v>
      </c>
      <c r="AM43" s="255">
        <f ca="1">IF(NOW(),_xll.mirSwapPV($C$3,$C$4,$C$6,$AA18,$C$7,$AC18,$C$16,$C$17,$C$18,$C$19,$C$20,$C$21,$C$22,$C$26,$C$27,AM$28,$D$16,$D$17,$D$18,$D$19,$D$20,$D$21,$D$22,$D$23,$D$24,$D$25,$D$26,$D$27,$C$8,$C$9,$C$10,$D$11,$C$12),"")</f>
        <v>0</v>
      </c>
      <c r="AN43" s="255">
        <f ca="1">IF(NOW(),_xll.mirSwapPV($C$3,$C$4,$C$6,$AA18,$C$7,$AC18,$C$16,$C$17,$C$18,$C$19,$C$20,$C$21,$C$22,$C$26,$C$27,AN$28,$D$16,$D$17,$D$18,$D$19,$D$20,$D$21,$D$22,$D$23,$D$24,$D$25,$D$26,$D$27,$C$8,$C$9,$C$10,$D$11,$C$12),"")</f>
        <v>-244610.39208186892</v>
      </c>
      <c r="AO43" s="255">
        <f ca="1">IF(NOW(),_xll.mirSwapPV($C$3,$C$4,$C$6,$AA18,$C$7,$AC18,$C$16,$C$17,$C$18,$C$19,$C$20,$C$21,$C$22,$C$26,$C$27,AO$28,$D$16,$D$17,$D$18,$D$19,$D$20,$D$21,$D$22,$D$23,$D$24,$D$25,$D$26,$D$27,$C$8,$C$9,$C$10,$D$11,$C$12),"")</f>
        <v>-489220.78416373779</v>
      </c>
      <c r="AP43" s="255">
        <f ca="1">IF(NOW(),_xll.mirSwapPV($C$3,$C$4,$C$6,$AA18,$C$7,$AC18,$C$16,$C$17,$C$18,$C$19,$C$20,$C$21,$C$22,$C$26,$C$27,AP$28,$D$16,$D$17,$D$18,$D$19,$D$20,$D$21,$D$22,$D$23,$D$24,$D$25,$D$26,$D$27,$C$8,$C$9,$C$10,$D$11,$C$12),"")</f>
        <v>-733831.17624560662</v>
      </c>
      <c r="AQ43" s="255">
        <f ca="1">IF(NOW(),_xll.mirSwapPV($C$3,$C$4,$C$6,$AA18,$C$7,$AC18,$C$16,$C$17,$C$18,$C$19,$C$20,$C$21,$C$22,$C$26,$C$27,AQ$28,$D$16,$D$17,$D$18,$D$19,$D$20,$D$21,$D$22,$D$23,$D$24,$D$25,$D$26,$D$27,$C$8,$C$9,$C$10,$D$11,$C$12),"")</f>
        <v>-978441.56832747522</v>
      </c>
      <c r="AR43" s="255">
        <f ca="1">IF(NOW(),_xll.mirSwapPV($C$3,$C$4,$C$6,$AA18,$C$7,$AC18,$C$16,$C$17,$C$18,$C$19,$C$20,$C$21,$C$22,$C$26,$C$27,AR$28,$D$16,$D$17,$D$18,$D$19,$D$20,$D$21,$D$22,$D$23,$D$24,$D$25,$D$26,$D$27,$C$8,$C$9,$C$10,$D$11,$C$12),"")</f>
        <v>-1223051.9604093446</v>
      </c>
    </row>
    <row r="44" spans="6:44">
      <c r="F44" s="230"/>
      <c r="G44" s="227"/>
      <c r="H44" s="229"/>
      <c r="I44" s="229"/>
      <c r="J44" s="229"/>
      <c r="K44" s="230"/>
      <c r="L44" s="230"/>
      <c r="M44" s="230" t="s">
        <v>16</v>
      </c>
      <c r="N44" s="255">
        <f ca="1">IF(NOW(),_xll.mirSwapPV($C$3,$C$4,$C$6,$G19,$C$7,$I19,$C$16,$C$17,$C$18,$C$19,$C$20,$C$21,$C$22,$C$26,$C$27,N$28,$D$16,$D$17,$D$18,$D$19,$D$20,$D$21,$D$22,$D$23,$D$24,$D$25,$D$26,$D$27,$C$8,$C$9,$C$10,$C$11,$C$12),"")</f>
        <v>1366543.0648706765</v>
      </c>
      <c r="O44" s="255">
        <f ca="1">IF(NOW(),_xll.mirSwapPV($C$3,$C$4,$C$6,$G19,$C$7,$I19,$C$16,$C$17,$C$18,$C$19,$C$20,$C$21,$C$22,$C$26,$C$27,O$28,$D$16,$D$17,$D$18,$D$19,$D$20,$D$21,$D$22,$D$23,$D$24,$D$25,$D$26,$D$27,$C$8,$C$9,$C$10,$C$11,$C$12),"")</f>
        <v>1093234.451896542</v>
      </c>
      <c r="P44" s="255">
        <f ca="1">IF(NOW(),_xll.mirSwapPV($C$3,$C$4,$C$6,$G19,$C$7,$I19,$C$16,$C$17,$C$18,$C$19,$C$20,$C$21,$C$22,$C$26,$C$27,P$28,$D$16,$D$17,$D$18,$D$19,$D$20,$D$21,$D$22,$D$23,$D$24,$D$25,$D$26,$D$27,$C$8,$C$9,$C$10,$C$11,$C$12),"")</f>
        <v>819925.8389224062</v>
      </c>
      <c r="Q44" s="255">
        <f ca="1">IF(NOW(),_xll.mirSwapPV($C$3,$C$4,$C$6,$G19,$C$7,$I19,$C$16,$C$17,$C$18,$C$19,$C$20,$C$21,$C$22,$C$26,$C$27,Q$28,$D$16,$D$17,$D$18,$D$19,$D$20,$D$21,$D$22,$D$23,$D$24,$D$25,$D$26,$D$27,$C$8,$C$9,$C$10,$C$11,$C$12),"")</f>
        <v>546617.22594827111</v>
      </c>
      <c r="R44" s="255">
        <f ca="1">IF(NOW(),_xll.mirSwapPV($C$3,$C$4,$C$6,$G19,$C$7,$I19,$C$16,$C$17,$C$18,$C$19,$C$20,$C$21,$C$22,$C$26,$C$27,R$28,$D$16,$D$17,$D$18,$D$19,$D$20,$D$21,$D$22,$D$23,$D$24,$D$25,$D$26,$D$27,$C$8,$C$9,$C$10,$C$11,$C$12),"")</f>
        <v>273308.61297413561</v>
      </c>
      <c r="S44" s="255">
        <f ca="1">IF(NOW(),_xll.mirSwapPV($C$3,$C$4,$C$6,$G19,$C$7,$I19,$C$16,$C$17,$C$18,$C$19,$C$20,$C$21,$C$22,$C$26,$C$27,S$28,$D$16,$D$17,$D$18,$D$19,$D$20,$D$21,$D$22,$D$23,$D$24,$D$25,$D$26,$D$27,$C$8,$C$9,$C$10,$C$11,$C$12),"")</f>
        <v>0</v>
      </c>
      <c r="T44" s="255">
        <f ca="1">IF(NOW(),_xll.mirSwapPV($C$3,$C$4,$C$6,$G19,$C$7,$I19,$C$16,$C$17,$C$18,$C$19,$C$20,$C$21,$C$22,$C$26,$C$27,T$28,$D$16,$D$17,$D$18,$D$19,$D$20,$D$21,$D$22,$D$23,$D$24,$D$25,$D$26,$D$27,$C$8,$C$9,$C$10,$C$11,$C$12),"")</f>
        <v>-273308.61297413555</v>
      </c>
      <c r="U44" s="255">
        <f ca="1">IF(NOW(),_xll.mirSwapPV($C$3,$C$4,$C$6,$G19,$C$7,$I19,$C$16,$C$17,$C$18,$C$19,$C$20,$C$21,$C$22,$C$26,$C$27,U$28,$D$16,$D$17,$D$18,$D$19,$D$20,$D$21,$D$22,$D$23,$D$24,$D$25,$D$26,$D$27,$C$8,$C$9,$C$10,$C$11,$C$12),"")</f>
        <v>-546617.22594827099</v>
      </c>
      <c r="V44" s="255">
        <f ca="1">IF(NOW(),_xll.mirSwapPV($C$3,$C$4,$C$6,$G19,$C$7,$I19,$C$16,$C$17,$C$18,$C$19,$C$20,$C$21,$C$22,$C$26,$C$27,V$28,$D$16,$D$17,$D$18,$D$19,$D$20,$D$21,$D$22,$D$23,$D$24,$D$25,$D$26,$D$27,$C$8,$C$9,$C$10,$C$11,$C$12),"")</f>
        <v>-819925.83892240655</v>
      </c>
      <c r="W44" s="255">
        <f ca="1">IF(NOW(),_xll.mirSwapPV($C$3,$C$4,$C$6,$G19,$C$7,$I19,$C$16,$C$17,$C$18,$C$19,$C$20,$C$21,$C$22,$C$26,$C$27,W$28,$D$16,$D$17,$D$18,$D$19,$D$20,$D$21,$D$22,$D$23,$D$24,$D$25,$D$26,$D$27,$C$8,$C$9,$C$10,$C$11,$C$12),"")</f>
        <v>-1093234.4518965418</v>
      </c>
      <c r="X44" s="255">
        <f ca="1">IF(NOW(),_xll.mirSwapPV($C$3,$C$4,$C$6,$G19,$C$7,$I19,$C$16,$C$17,$C$18,$C$19,$C$20,$C$21,$C$22,$C$26,$C$27,X$28,$D$16,$D$17,$D$18,$D$19,$D$20,$D$21,$D$22,$D$23,$D$24,$D$25,$D$26,$D$27,$C$8,$C$9,$C$10,$C$11,$C$12),"")</f>
        <v>-1366543.0648706777</v>
      </c>
      <c r="Y44" s="229"/>
      <c r="AG44" s="230" t="s">
        <v>16</v>
      </c>
      <c r="AH44" s="255">
        <f ca="1">IF(NOW(),_xll.mirSwapPV($C$3,$C$4,$C$6,$AA19,$C$7,$AC19,$C$16,$C$17,$C$18,$C$19,$C$20,$C$21,$C$22,$C$26,$C$27,AH$28,$D$16,$D$17,$D$18,$D$19,$D$20,$D$21,$D$22,$D$23,$D$24,$D$25,$D$26,$D$27,$C$8,$C$9,$C$10,$D$11,$C$12),"")</f>
        <v>1366543.064870677</v>
      </c>
      <c r="AI44" s="255">
        <f ca="1">IF(NOW(),_xll.mirSwapPV($C$3,$C$4,$C$6,$AA19,$C$7,$AC19,$C$16,$C$17,$C$18,$C$19,$C$20,$C$21,$C$22,$C$26,$C$27,AI$28,$D$16,$D$17,$D$18,$D$19,$D$20,$D$21,$D$22,$D$23,$D$24,$D$25,$D$26,$D$27,$C$8,$C$9,$C$10,$D$11,$C$12),"")</f>
        <v>1093234.4518965418</v>
      </c>
      <c r="AJ44" s="255">
        <f ca="1">IF(NOW(),_xll.mirSwapPV($C$3,$C$4,$C$6,$AA19,$C$7,$AC19,$C$16,$C$17,$C$18,$C$19,$C$20,$C$21,$C$22,$C$26,$C$27,AJ$28,$D$16,$D$17,$D$18,$D$19,$D$20,$D$21,$D$22,$D$23,$D$24,$D$25,$D$26,$D$27,$C$8,$C$9,$C$10,$D$11,$C$12),"")</f>
        <v>819925.83892240631</v>
      </c>
      <c r="AK44" s="255">
        <f ca="1">IF(NOW(),_xll.mirSwapPV($C$3,$C$4,$C$6,$AA19,$C$7,$AC19,$C$16,$C$17,$C$18,$C$19,$C$20,$C$21,$C$22,$C$26,$C$27,AK$28,$D$16,$D$17,$D$18,$D$19,$D$20,$D$21,$D$22,$D$23,$D$24,$D$25,$D$26,$D$27,$C$8,$C$9,$C$10,$D$11,$C$12),"")</f>
        <v>546617.22594827123</v>
      </c>
      <c r="AL44" s="255">
        <f ca="1">IF(NOW(),_xll.mirSwapPV($C$3,$C$4,$C$6,$AA19,$C$7,$AC19,$C$16,$C$17,$C$18,$C$19,$C$20,$C$21,$C$22,$C$26,$C$27,AL$28,$D$16,$D$17,$D$18,$D$19,$D$20,$D$21,$D$22,$D$23,$D$24,$D$25,$D$26,$D$27,$C$8,$C$9,$C$10,$D$11,$C$12),"")</f>
        <v>273308.61297413532</v>
      </c>
      <c r="AM44" s="255">
        <f ca="1">IF(NOW(),_xll.mirSwapPV($C$3,$C$4,$C$6,$AA19,$C$7,$AC19,$C$16,$C$17,$C$18,$C$19,$C$20,$C$21,$C$22,$C$26,$C$27,AM$28,$D$16,$D$17,$D$18,$D$19,$D$20,$D$21,$D$22,$D$23,$D$24,$D$25,$D$26,$D$27,$C$8,$C$9,$C$10,$D$11,$C$12),"")</f>
        <v>5.5511151231257827E-11</v>
      </c>
      <c r="AN44" s="255">
        <f ca="1">IF(NOW(),_xll.mirSwapPV($C$3,$C$4,$C$6,$AA19,$C$7,$AC19,$C$16,$C$17,$C$18,$C$19,$C$20,$C$21,$C$22,$C$26,$C$27,AN$28,$D$16,$D$17,$D$18,$D$19,$D$20,$D$21,$D$22,$D$23,$D$24,$D$25,$D$26,$D$27,$C$8,$C$9,$C$10,$D$11,$C$12),"")</f>
        <v>-273308.61297413555</v>
      </c>
      <c r="AO44" s="255">
        <f ca="1">IF(NOW(),_xll.mirSwapPV($C$3,$C$4,$C$6,$AA19,$C$7,$AC19,$C$16,$C$17,$C$18,$C$19,$C$20,$C$21,$C$22,$C$26,$C$27,AO$28,$D$16,$D$17,$D$18,$D$19,$D$20,$D$21,$D$22,$D$23,$D$24,$D$25,$D$26,$D$27,$C$8,$C$9,$C$10,$D$11,$C$12),"")</f>
        <v>-546617.22594827111</v>
      </c>
      <c r="AP44" s="255">
        <f ca="1">IF(NOW(),_xll.mirSwapPV($C$3,$C$4,$C$6,$AA19,$C$7,$AC19,$C$16,$C$17,$C$18,$C$19,$C$20,$C$21,$C$22,$C$26,$C$27,AP$28,$D$16,$D$17,$D$18,$D$19,$D$20,$D$21,$D$22,$D$23,$D$24,$D$25,$D$26,$D$27,$C$8,$C$9,$C$10,$D$11,$C$12),"")</f>
        <v>-819925.83892240666</v>
      </c>
      <c r="AQ44" s="255">
        <f ca="1">IF(NOW(),_xll.mirSwapPV($C$3,$C$4,$C$6,$AA19,$C$7,$AC19,$C$16,$C$17,$C$18,$C$19,$C$20,$C$21,$C$22,$C$26,$C$27,AQ$28,$D$16,$D$17,$D$18,$D$19,$D$20,$D$21,$D$22,$D$23,$D$24,$D$25,$D$26,$D$27,$C$8,$C$9,$C$10,$D$11,$C$12),"")</f>
        <v>-1093234.4518965418</v>
      </c>
      <c r="AR44" s="255">
        <f ca="1">IF(NOW(),_xll.mirSwapPV($C$3,$C$4,$C$6,$AA19,$C$7,$AC19,$C$16,$C$17,$C$18,$C$19,$C$20,$C$21,$C$22,$C$26,$C$27,AR$28,$D$16,$D$17,$D$18,$D$19,$D$20,$D$21,$D$22,$D$23,$D$24,$D$25,$D$26,$D$27,$C$8,$C$9,$C$10,$D$11,$C$12),"")</f>
        <v>-1366543.0648706779</v>
      </c>
    </row>
    <row r="45" spans="6:44">
      <c r="F45" s="230"/>
      <c r="G45" s="227"/>
      <c r="H45" s="229"/>
      <c r="I45" s="229"/>
      <c r="J45" s="229"/>
      <c r="K45" s="230"/>
      <c r="L45" s="230"/>
      <c r="M45" s="230" t="s">
        <v>15</v>
      </c>
      <c r="N45" s="255">
        <f ca="1">IF(NOW(),_xll.mirSwapPV($C$3,$C$4,$C$6,$G20,$C$7,$I20,$C$16,$C$17,$C$18,$C$19,$C$20,$C$21,$C$22,$C$26,$C$27,N$28,$D$16,$D$17,$D$18,$D$19,$D$20,$D$21,$D$22,$D$23,$D$24,$D$25,$D$26,$D$27,$C$8,$C$9,$C$10,$C$11,$C$12),"")</f>
        <v>1499145.7303461705</v>
      </c>
      <c r="O45" s="255">
        <f ca="1">IF(NOW(),_xll.mirSwapPV($C$3,$C$4,$C$6,$G20,$C$7,$I20,$C$16,$C$17,$C$18,$C$19,$C$20,$C$21,$C$22,$C$26,$C$27,O$28,$D$16,$D$17,$D$18,$D$19,$D$20,$D$21,$D$22,$D$23,$D$24,$D$25,$D$26,$D$27,$C$8,$C$9,$C$10,$C$11,$C$12),"")</f>
        <v>1199316.5842769372</v>
      </c>
      <c r="P45" s="255">
        <f ca="1">IF(NOW(),_xll.mirSwapPV($C$3,$C$4,$C$6,$G20,$C$7,$I20,$C$16,$C$17,$C$18,$C$19,$C$20,$C$21,$C$22,$C$26,$C$27,P$28,$D$16,$D$17,$D$18,$D$19,$D$20,$D$21,$D$22,$D$23,$D$24,$D$25,$D$26,$D$27,$C$8,$C$9,$C$10,$C$11,$C$12),"")</f>
        <v>899487.43820770283</v>
      </c>
      <c r="Q45" s="255">
        <f ca="1">IF(NOW(),_xll.mirSwapPV($C$3,$C$4,$C$6,$G20,$C$7,$I20,$C$16,$C$17,$C$18,$C$19,$C$20,$C$21,$C$22,$C$26,$C$27,Q$28,$D$16,$D$17,$D$18,$D$19,$D$20,$D$21,$D$22,$D$23,$D$24,$D$25,$D$26,$D$27,$C$8,$C$9,$C$10,$C$11,$C$12),"")</f>
        <v>599658.29213846894</v>
      </c>
      <c r="R45" s="255">
        <f ca="1">IF(NOW(),_xll.mirSwapPV($C$3,$C$4,$C$6,$G20,$C$7,$I20,$C$16,$C$17,$C$18,$C$19,$C$20,$C$21,$C$22,$C$26,$C$27,R$28,$D$16,$D$17,$D$18,$D$19,$D$20,$D$21,$D$22,$D$23,$D$24,$D$25,$D$26,$D$27,$C$8,$C$9,$C$10,$C$11,$C$12),"")</f>
        <v>299829.14606923447</v>
      </c>
      <c r="S45" s="255">
        <f ca="1">IF(NOW(),_xll.mirSwapPV($C$3,$C$4,$C$6,$G20,$C$7,$I20,$C$16,$C$17,$C$18,$C$19,$C$20,$C$21,$C$22,$C$26,$C$27,S$28,$D$16,$D$17,$D$18,$D$19,$D$20,$D$21,$D$22,$D$23,$D$24,$D$25,$D$26,$D$27,$C$8,$C$9,$C$10,$C$11,$C$12),"")</f>
        <v>0</v>
      </c>
      <c r="T45" s="255">
        <f ca="1">IF(NOW(),_xll.mirSwapPV($C$3,$C$4,$C$6,$G20,$C$7,$I20,$C$16,$C$17,$C$18,$C$19,$C$20,$C$21,$C$22,$C$26,$C$27,T$28,$D$16,$D$17,$D$18,$D$19,$D$20,$D$21,$D$22,$D$23,$D$24,$D$25,$D$26,$D$27,$C$8,$C$9,$C$10,$C$11,$C$12),"")</f>
        <v>-299829.1460692343</v>
      </c>
      <c r="U45" s="255">
        <f ca="1">IF(NOW(),_xll.mirSwapPV($C$3,$C$4,$C$6,$G20,$C$7,$I20,$C$16,$C$17,$C$18,$C$19,$C$20,$C$21,$C$22,$C$26,$C$27,U$28,$D$16,$D$17,$D$18,$D$19,$D$20,$D$21,$D$22,$D$23,$D$24,$D$25,$D$26,$D$27,$C$8,$C$9,$C$10,$C$11,$C$12),"")</f>
        <v>-599658.29213846847</v>
      </c>
      <c r="V45" s="255">
        <f ca="1">IF(NOW(),_xll.mirSwapPV($C$3,$C$4,$C$6,$G20,$C$7,$I20,$C$16,$C$17,$C$18,$C$19,$C$20,$C$21,$C$22,$C$26,$C$27,V$28,$D$16,$D$17,$D$18,$D$19,$D$20,$D$21,$D$22,$D$23,$D$24,$D$25,$D$26,$D$27,$C$8,$C$9,$C$10,$C$11,$C$12),"")</f>
        <v>-899487.43820770271</v>
      </c>
      <c r="W45" s="255">
        <f ca="1">IF(NOW(),_xll.mirSwapPV($C$3,$C$4,$C$6,$G20,$C$7,$I20,$C$16,$C$17,$C$18,$C$19,$C$20,$C$21,$C$22,$C$26,$C$27,W$28,$D$16,$D$17,$D$18,$D$19,$D$20,$D$21,$D$22,$D$23,$D$24,$D$25,$D$26,$D$27,$C$8,$C$9,$C$10,$C$11,$C$12),"")</f>
        <v>-1199316.5842769367</v>
      </c>
      <c r="X45" s="255">
        <f ca="1">IF(NOW(),_xll.mirSwapPV($C$3,$C$4,$C$6,$G20,$C$7,$I20,$C$16,$C$17,$C$18,$C$19,$C$20,$C$21,$C$22,$C$26,$C$27,X$28,$D$16,$D$17,$D$18,$D$19,$D$20,$D$21,$D$22,$D$23,$D$24,$D$25,$D$26,$D$27,$C$8,$C$9,$C$10,$C$11,$C$12),"")</f>
        <v>-1499145.7303461712</v>
      </c>
      <c r="Y45" s="229"/>
      <c r="AG45" s="230" t="s">
        <v>15</v>
      </c>
      <c r="AH45" s="255">
        <f ca="1">IF(NOW(),_xll.mirSwapPV($C$3,$C$4,$C$6,$AA20,$C$7,$AC20,$C$16,$C$17,$C$18,$C$19,$C$20,$C$21,$C$22,$C$26,$C$27,AH$28,$D$16,$D$17,$D$18,$D$19,$D$20,$D$21,$D$22,$D$23,$D$24,$D$25,$D$26,$D$27,$C$8,$C$9,$C$10,$D$11,$C$12),"")</f>
        <v>1499145.7303461703</v>
      </c>
      <c r="AI45" s="255">
        <f ca="1">IF(NOW(),_xll.mirSwapPV($C$3,$C$4,$C$6,$AA20,$C$7,$AC20,$C$16,$C$17,$C$18,$C$19,$C$20,$C$21,$C$22,$C$26,$C$27,AI$28,$D$16,$D$17,$D$18,$D$19,$D$20,$D$21,$D$22,$D$23,$D$24,$D$25,$D$26,$D$27,$C$8,$C$9,$C$10,$D$11,$C$12),"")</f>
        <v>1199316.5842769365</v>
      </c>
      <c r="AJ45" s="255">
        <f ca="1">IF(NOW(),_xll.mirSwapPV($C$3,$C$4,$C$6,$AA20,$C$7,$AC20,$C$16,$C$17,$C$18,$C$19,$C$20,$C$21,$C$22,$C$26,$C$27,AJ$28,$D$16,$D$17,$D$18,$D$19,$D$20,$D$21,$D$22,$D$23,$D$24,$D$25,$D$26,$D$27,$C$8,$C$9,$C$10,$D$11,$C$12),"")</f>
        <v>899487.43820770248</v>
      </c>
      <c r="AK45" s="255">
        <f ca="1">IF(NOW(),_xll.mirSwapPV($C$3,$C$4,$C$6,$AA20,$C$7,$AC20,$C$16,$C$17,$C$18,$C$19,$C$20,$C$21,$C$22,$C$26,$C$27,AK$28,$D$16,$D$17,$D$18,$D$19,$D$20,$D$21,$D$22,$D$23,$D$24,$D$25,$D$26,$D$27,$C$8,$C$9,$C$10,$D$11,$C$12),"")</f>
        <v>599658.29213846859</v>
      </c>
      <c r="AL45" s="255">
        <f ca="1">IF(NOW(),_xll.mirSwapPV($C$3,$C$4,$C$6,$AA20,$C$7,$AC20,$C$16,$C$17,$C$18,$C$19,$C$20,$C$21,$C$22,$C$26,$C$27,AL$28,$D$16,$D$17,$D$18,$D$19,$D$20,$D$21,$D$22,$D$23,$D$24,$D$25,$D$26,$D$27,$C$8,$C$9,$C$10,$D$11,$C$12),"")</f>
        <v>299829.14606923383</v>
      </c>
      <c r="AM45" s="255">
        <f ca="1">IF(NOW(),_xll.mirSwapPV($C$3,$C$4,$C$6,$AA20,$C$7,$AC20,$C$16,$C$17,$C$18,$C$19,$C$20,$C$21,$C$22,$C$26,$C$27,AM$28,$D$16,$D$17,$D$18,$D$19,$D$20,$D$21,$D$22,$D$23,$D$24,$D$25,$D$26,$D$27,$C$8,$C$9,$C$10,$D$11,$C$12),"")</f>
        <v>0</v>
      </c>
      <c r="AN45" s="255">
        <f ca="1">IF(NOW(),_xll.mirSwapPV($C$3,$C$4,$C$6,$AA20,$C$7,$AC20,$C$16,$C$17,$C$18,$C$19,$C$20,$C$21,$C$22,$C$26,$C$27,AN$28,$D$16,$D$17,$D$18,$D$19,$D$20,$D$21,$D$22,$D$23,$D$24,$D$25,$D$26,$D$27,$C$8,$C$9,$C$10,$D$11,$C$12),"")</f>
        <v>-299829.14606923453</v>
      </c>
      <c r="AO45" s="255">
        <f ca="1">IF(NOW(),_xll.mirSwapPV($C$3,$C$4,$C$6,$AA20,$C$7,$AC20,$C$16,$C$17,$C$18,$C$19,$C$20,$C$21,$C$22,$C$26,$C$27,AO$28,$D$16,$D$17,$D$18,$D$19,$D$20,$D$21,$D$22,$D$23,$D$24,$D$25,$D$26,$D$27,$C$8,$C$9,$C$10,$D$11,$C$12),"")</f>
        <v>-599658.29213846894</v>
      </c>
      <c r="AP45" s="255">
        <f ca="1">IF(NOW(),_xll.mirSwapPV($C$3,$C$4,$C$6,$AA20,$C$7,$AC20,$C$16,$C$17,$C$18,$C$19,$C$20,$C$21,$C$22,$C$26,$C$27,AP$28,$D$16,$D$17,$D$18,$D$19,$D$20,$D$21,$D$22,$D$23,$D$24,$D$25,$D$26,$D$27,$C$8,$C$9,$C$10,$D$11,$C$12),"")</f>
        <v>-899487.43820770318</v>
      </c>
      <c r="AQ45" s="255">
        <f ca="1">IF(NOW(),_xll.mirSwapPV($C$3,$C$4,$C$6,$AA20,$C$7,$AC20,$C$16,$C$17,$C$18,$C$19,$C$20,$C$21,$C$22,$C$26,$C$27,AQ$28,$D$16,$D$17,$D$18,$D$19,$D$20,$D$21,$D$22,$D$23,$D$24,$D$25,$D$26,$D$27,$C$8,$C$9,$C$10,$D$11,$C$12),"")</f>
        <v>-1199316.5842769372</v>
      </c>
      <c r="AR45" s="255">
        <f ca="1">IF(NOW(),_xll.mirSwapPV($C$3,$C$4,$C$6,$AA20,$C$7,$AC20,$C$16,$C$17,$C$18,$C$19,$C$20,$C$21,$C$22,$C$26,$C$27,AR$28,$D$16,$D$17,$D$18,$D$19,$D$20,$D$21,$D$22,$D$23,$D$24,$D$25,$D$26,$D$27,$C$8,$C$9,$C$10,$D$11,$C$12),"")</f>
        <v>-1499145.7303461719</v>
      </c>
    </row>
    <row r="46" spans="6:44">
      <c r="F46" s="230"/>
      <c r="G46" s="227"/>
      <c r="H46" s="229"/>
      <c r="I46" s="229"/>
      <c r="J46" s="229"/>
      <c r="K46" s="230"/>
      <c r="L46" s="230"/>
      <c r="M46" s="230" t="s">
        <v>368</v>
      </c>
      <c r="N46" s="255">
        <f ca="1">IF(NOW(),_xll.mirSwapPV($C$3,$C$4,$C$6,$G21,$C$7,$I21,$C$16,$C$17,$C$18,$C$19,$C$20,$C$21,$C$22,$C$26,$C$27,N$28,$D$16,$D$17,$D$18,$D$19,$D$20,$D$21,$D$22,$D$23,$D$24,$D$25,$D$26,$D$27,$C$8,$C$9,$C$10,$C$11,$C$12),"")</f>
        <v>1620154.4699725835</v>
      </c>
      <c r="O46" s="255">
        <f ca="1">IF(NOW(),_xll.mirSwapPV($C$3,$C$4,$C$6,$G21,$C$7,$I21,$C$16,$C$17,$C$18,$C$19,$C$20,$C$21,$C$22,$C$26,$C$27,O$28,$D$16,$D$17,$D$18,$D$19,$D$20,$D$21,$D$22,$D$23,$D$24,$D$25,$D$26,$D$27,$C$8,$C$9,$C$10,$C$11,$C$12),"")</f>
        <v>1296123.5759780677</v>
      </c>
      <c r="P46" s="255">
        <f ca="1">IF(NOW(),_xll.mirSwapPV($C$3,$C$4,$C$6,$G21,$C$7,$I21,$C$16,$C$17,$C$18,$C$19,$C$20,$C$21,$C$22,$C$26,$C$27,P$28,$D$16,$D$17,$D$18,$D$19,$D$20,$D$21,$D$22,$D$23,$D$24,$D$25,$D$26,$D$27,$C$8,$C$9,$C$10,$C$11,$C$12),"")</f>
        <v>972092.68198355101</v>
      </c>
      <c r="Q46" s="255">
        <f ca="1">IF(NOW(),_xll.mirSwapPV($C$3,$C$4,$C$6,$G21,$C$7,$I21,$C$16,$C$17,$C$18,$C$19,$C$20,$C$21,$C$22,$C$26,$C$27,Q$28,$D$16,$D$17,$D$18,$D$19,$D$20,$D$21,$D$22,$D$23,$D$24,$D$25,$D$26,$D$27,$C$8,$C$9,$C$10,$C$11,$C$12),"")</f>
        <v>648061.78798903432</v>
      </c>
      <c r="R46" s="255">
        <f ca="1">IF(NOW(),_xll.mirSwapPV($C$3,$C$4,$C$6,$G21,$C$7,$I21,$C$16,$C$17,$C$18,$C$19,$C$20,$C$21,$C$22,$C$26,$C$27,R$28,$D$16,$D$17,$D$18,$D$19,$D$20,$D$21,$D$22,$D$23,$D$24,$D$25,$D$26,$D$27,$C$8,$C$9,$C$10,$C$11,$C$12),"")</f>
        <v>324030.89399451733</v>
      </c>
      <c r="S46" s="255">
        <f ca="1">IF(NOW(),_xll.mirSwapPV($C$3,$C$4,$C$6,$G21,$C$7,$I21,$C$16,$C$17,$C$18,$C$19,$C$20,$C$21,$C$22,$C$26,$C$27,S$28,$D$16,$D$17,$D$18,$D$19,$D$20,$D$21,$D$22,$D$23,$D$24,$D$25,$D$26,$D$27,$C$8,$C$9,$C$10,$C$11,$C$12),"")</f>
        <v>0</v>
      </c>
      <c r="T46" s="255">
        <f ca="1">IF(NOW(),_xll.mirSwapPV($C$3,$C$4,$C$6,$G21,$C$7,$I21,$C$16,$C$17,$C$18,$C$19,$C$20,$C$21,$C$22,$C$26,$C$27,T$28,$D$16,$D$17,$D$18,$D$19,$D$20,$D$21,$D$22,$D$23,$D$24,$D$25,$D$26,$D$27,$C$8,$C$9,$C$10,$C$11,$C$12),"")</f>
        <v>-324030.89399451693</v>
      </c>
      <c r="U46" s="255">
        <f ca="1">IF(NOW(),_xll.mirSwapPV($C$3,$C$4,$C$6,$G21,$C$7,$I21,$C$16,$C$17,$C$18,$C$19,$C$20,$C$21,$C$22,$C$26,$C$27,U$28,$D$16,$D$17,$D$18,$D$19,$D$20,$D$21,$D$22,$D$23,$D$24,$D$25,$D$26,$D$27,$C$8,$C$9,$C$10,$C$11,$C$12),"")</f>
        <v>-648061.78798903385</v>
      </c>
      <c r="V46" s="255">
        <f ca="1">IF(NOW(),_xll.mirSwapPV($C$3,$C$4,$C$6,$G21,$C$7,$I21,$C$16,$C$17,$C$18,$C$19,$C$20,$C$21,$C$22,$C$26,$C$27,V$28,$D$16,$D$17,$D$18,$D$19,$D$20,$D$21,$D$22,$D$23,$D$24,$D$25,$D$26,$D$27,$C$8,$C$9,$C$10,$C$11,$C$12),"")</f>
        <v>-972092.68198355066</v>
      </c>
      <c r="W46" s="255">
        <f ca="1">IF(NOW(),_xll.mirSwapPV($C$3,$C$4,$C$6,$G21,$C$7,$I21,$C$16,$C$17,$C$18,$C$19,$C$20,$C$21,$C$22,$C$26,$C$27,W$28,$D$16,$D$17,$D$18,$D$19,$D$20,$D$21,$D$22,$D$23,$D$24,$D$25,$D$26,$D$27,$C$8,$C$9,$C$10,$C$11,$C$12),"")</f>
        <v>-1296123.5759780677</v>
      </c>
      <c r="X46" s="255">
        <f ca="1">IF(NOW(),_xll.mirSwapPV($C$3,$C$4,$C$6,$G21,$C$7,$I21,$C$16,$C$17,$C$18,$C$19,$C$20,$C$21,$C$22,$C$26,$C$27,X$28,$D$16,$D$17,$D$18,$D$19,$D$20,$D$21,$D$22,$D$23,$D$24,$D$25,$D$26,$D$27,$C$8,$C$9,$C$10,$C$11,$C$12),"")</f>
        <v>-1620154.4699725846</v>
      </c>
      <c r="Y46" s="229"/>
      <c r="AG46" s="230" t="s">
        <v>368</v>
      </c>
      <c r="AH46" s="255">
        <f ca="1">IF(NOW(),_xll.mirSwapPV($C$3,$C$4,$C$6,$AA21,$C$7,$AC21,$C$16,$C$17,$C$18,$C$19,$C$20,$C$21,$C$22,$C$26,$C$27,AH$28,$D$16,$D$17,$D$18,$D$19,$D$20,$D$21,$D$22,$D$23,$D$24,$D$25,$D$26,$D$27,$C$8,$C$9,$C$10,$D$11,$C$12),"")</f>
        <v>1620154.4699725835</v>
      </c>
      <c r="AI46" s="255">
        <f ca="1">IF(NOW(),_xll.mirSwapPV($C$3,$C$4,$C$6,$AA21,$C$7,$AC21,$C$16,$C$17,$C$18,$C$19,$C$20,$C$21,$C$22,$C$26,$C$27,AI$28,$D$16,$D$17,$D$18,$D$19,$D$20,$D$21,$D$22,$D$23,$D$24,$D$25,$D$26,$D$27,$C$8,$C$9,$C$10,$D$11,$C$12),"")</f>
        <v>1296123.5759780672</v>
      </c>
      <c r="AJ46" s="255">
        <f ca="1">IF(NOW(),_xll.mirSwapPV($C$3,$C$4,$C$6,$AA21,$C$7,$AC21,$C$16,$C$17,$C$18,$C$19,$C$20,$C$21,$C$22,$C$26,$C$27,AJ$28,$D$16,$D$17,$D$18,$D$19,$D$20,$D$21,$D$22,$D$23,$D$24,$D$25,$D$26,$D$27,$C$8,$C$9,$C$10,$D$11,$C$12),"")</f>
        <v>972092.68198355054</v>
      </c>
      <c r="AK46" s="255">
        <f ca="1">IF(NOW(),_xll.mirSwapPV($C$3,$C$4,$C$6,$AA21,$C$7,$AC21,$C$16,$C$17,$C$18,$C$19,$C$20,$C$21,$C$22,$C$26,$C$27,AK$28,$D$16,$D$17,$D$18,$D$19,$D$20,$D$21,$D$22,$D$23,$D$24,$D$25,$D$26,$D$27,$C$8,$C$9,$C$10,$D$11,$C$12),"")</f>
        <v>648061.78798903408</v>
      </c>
      <c r="AL46" s="255">
        <f ca="1">IF(NOW(),_xll.mirSwapPV($C$3,$C$4,$C$6,$AA21,$C$7,$AC21,$C$16,$C$17,$C$18,$C$19,$C$20,$C$21,$C$22,$C$26,$C$27,AL$28,$D$16,$D$17,$D$18,$D$19,$D$20,$D$21,$D$22,$D$23,$D$24,$D$25,$D$26,$D$27,$C$8,$C$9,$C$10,$D$11,$C$12),"")</f>
        <v>324030.89399451658</v>
      </c>
      <c r="AM46" s="255">
        <f ca="1">IF(NOW(),_xll.mirSwapPV($C$3,$C$4,$C$6,$AA21,$C$7,$AC21,$C$16,$C$17,$C$18,$C$19,$C$20,$C$21,$C$22,$C$26,$C$27,AM$28,$D$16,$D$17,$D$18,$D$19,$D$20,$D$21,$D$22,$D$23,$D$24,$D$25,$D$26,$D$27,$C$8,$C$9,$C$10,$D$11,$C$12),"")</f>
        <v>0</v>
      </c>
      <c r="AN46" s="255">
        <f ca="1">IF(NOW(),_xll.mirSwapPV($C$3,$C$4,$C$6,$AA21,$C$7,$AC21,$C$16,$C$17,$C$18,$C$19,$C$20,$C$21,$C$22,$C$26,$C$27,AN$28,$D$16,$D$17,$D$18,$D$19,$D$20,$D$21,$D$22,$D$23,$D$24,$D$25,$D$26,$D$27,$C$8,$C$9,$C$10,$D$11,$C$12),"")</f>
        <v>-324030.89399451722</v>
      </c>
      <c r="AO46" s="255">
        <f ca="1">IF(NOW(),_xll.mirSwapPV($C$3,$C$4,$C$6,$AA21,$C$7,$AC21,$C$16,$C$17,$C$18,$C$19,$C$20,$C$21,$C$22,$C$26,$C$27,AO$28,$D$16,$D$17,$D$18,$D$19,$D$20,$D$21,$D$22,$D$23,$D$24,$D$25,$D$26,$D$27,$C$8,$C$9,$C$10,$D$11,$C$12),"")</f>
        <v>-648061.78798903432</v>
      </c>
      <c r="AP46" s="255">
        <f ca="1">IF(NOW(),_xll.mirSwapPV($C$3,$C$4,$C$6,$AA21,$C$7,$AC21,$C$16,$C$17,$C$18,$C$19,$C$20,$C$21,$C$22,$C$26,$C$27,AP$28,$D$16,$D$17,$D$18,$D$19,$D$20,$D$21,$D$22,$D$23,$D$24,$D$25,$D$26,$D$27,$C$8,$C$9,$C$10,$D$11,$C$12),"")</f>
        <v>-972092.68198355113</v>
      </c>
      <c r="AQ46" s="255">
        <f ca="1">IF(NOW(),_xll.mirSwapPV($C$3,$C$4,$C$6,$AA21,$C$7,$AC21,$C$16,$C$17,$C$18,$C$19,$C$20,$C$21,$C$22,$C$26,$C$27,AQ$28,$D$16,$D$17,$D$18,$D$19,$D$20,$D$21,$D$22,$D$23,$D$24,$D$25,$D$26,$D$27,$C$8,$C$9,$C$10,$D$11,$C$12),"")</f>
        <v>-1296123.5759780679</v>
      </c>
      <c r="AR46" s="255">
        <f ca="1">IF(NOW(),_xll.mirSwapPV($C$3,$C$4,$C$6,$AA21,$C$7,$AC21,$C$16,$C$17,$C$18,$C$19,$C$20,$C$21,$C$22,$C$26,$C$27,AR$28,$D$16,$D$17,$D$18,$D$19,$D$20,$D$21,$D$22,$D$23,$D$24,$D$25,$D$26,$D$27,$C$8,$C$9,$C$10,$D$11,$C$12),"")</f>
        <v>-1620154.4699725856</v>
      </c>
    </row>
    <row r="47" spans="6:44">
      <c r="F47" s="230"/>
      <c r="G47" s="227"/>
      <c r="H47" s="229"/>
      <c r="I47" s="229"/>
      <c r="J47" s="229"/>
      <c r="K47" s="230"/>
      <c r="L47" s="230"/>
      <c r="M47" s="230" t="s">
        <v>14</v>
      </c>
      <c r="N47" s="255">
        <f ca="1">IF(NOW(),_xll.mirSwapPV($C$3,$C$4,$C$6,$G22,$C$7,$I22,$C$16,$C$17,$C$18,$C$19,$C$20,$C$21,$C$22,$C$26,$C$27,N$28,$D$16,$D$17,$D$18,$D$19,$D$20,$D$21,$D$22,$D$23,$D$24,$D$25,$D$26,$D$27,$C$8,$C$9,$C$10,$C$11,$C$12),"")</f>
        <v>1730741.4546833574</v>
      </c>
      <c r="O47" s="255">
        <f ca="1">IF(NOW(),_xll.mirSwapPV($C$3,$C$4,$C$6,$G22,$C$7,$I22,$C$16,$C$17,$C$18,$C$19,$C$20,$C$21,$C$22,$C$26,$C$27,O$28,$D$16,$D$17,$D$18,$D$19,$D$20,$D$21,$D$22,$D$23,$D$24,$D$25,$D$26,$D$27,$C$8,$C$9,$C$10,$C$11,$C$12),"")</f>
        <v>1384593.1637466867</v>
      </c>
      <c r="P47" s="255">
        <f ca="1">IF(NOW(),_xll.mirSwapPV($C$3,$C$4,$C$6,$G22,$C$7,$I22,$C$16,$C$17,$C$18,$C$19,$C$20,$C$21,$C$22,$C$26,$C$27,P$28,$D$16,$D$17,$D$18,$D$19,$D$20,$D$21,$D$22,$D$23,$D$24,$D$25,$D$26,$D$27,$C$8,$C$9,$C$10,$C$11,$C$12),"")</f>
        <v>1038444.8728100156</v>
      </c>
      <c r="Q47" s="255">
        <f ca="1">IF(NOW(),_xll.mirSwapPV($C$3,$C$4,$C$6,$G22,$C$7,$I22,$C$16,$C$17,$C$18,$C$19,$C$20,$C$21,$C$22,$C$26,$C$27,Q$28,$D$16,$D$17,$D$18,$D$19,$D$20,$D$21,$D$22,$D$23,$D$24,$D$25,$D$26,$D$27,$C$8,$C$9,$C$10,$C$11,$C$12),"")</f>
        <v>692296.58187334414</v>
      </c>
      <c r="R47" s="255">
        <f ca="1">IF(NOW(),_xll.mirSwapPV($C$3,$C$4,$C$6,$G22,$C$7,$I22,$C$16,$C$17,$C$18,$C$19,$C$20,$C$21,$C$22,$C$26,$C$27,R$28,$D$16,$D$17,$D$18,$D$19,$D$20,$D$21,$D$22,$D$23,$D$24,$D$25,$D$26,$D$27,$C$8,$C$9,$C$10,$C$11,$C$12),"")</f>
        <v>346148.2909366719</v>
      </c>
      <c r="S47" s="255">
        <f ca="1">IF(NOW(),_xll.mirSwapPV($C$3,$C$4,$C$6,$G22,$C$7,$I22,$C$16,$C$17,$C$18,$C$19,$C$20,$C$21,$C$22,$C$26,$C$27,S$28,$D$16,$D$17,$D$18,$D$19,$D$20,$D$21,$D$22,$D$23,$D$24,$D$25,$D$26,$D$27,$C$8,$C$9,$C$10,$C$11,$C$12),"")</f>
        <v>0</v>
      </c>
      <c r="T47" s="255">
        <f ca="1">IF(NOW(),_xll.mirSwapPV($C$3,$C$4,$C$6,$G22,$C$7,$I22,$C$16,$C$17,$C$18,$C$19,$C$20,$C$21,$C$22,$C$26,$C$27,T$28,$D$16,$D$17,$D$18,$D$19,$D$20,$D$21,$D$22,$D$23,$D$24,$D$25,$D$26,$D$27,$C$8,$C$9,$C$10,$C$11,$C$12),"")</f>
        <v>-346148.29093667178</v>
      </c>
      <c r="U47" s="255">
        <f ca="1">IF(NOW(),_xll.mirSwapPV($C$3,$C$4,$C$6,$G22,$C$7,$I22,$C$16,$C$17,$C$18,$C$19,$C$20,$C$21,$C$22,$C$26,$C$27,U$28,$D$16,$D$17,$D$18,$D$19,$D$20,$D$21,$D$22,$D$23,$D$24,$D$25,$D$26,$D$27,$C$8,$C$9,$C$10,$C$11,$C$12),"")</f>
        <v>-692296.58187334356</v>
      </c>
      <c r="V47" s="255">
        <f ca="1">IF(NOW(),_xll.mirSwapPV($C$3,$C$4,$C$6,$G22,$C$7,$I22,$C$16,$C$17,$C$18,$C$19,$C$20,$C$21,$C$22,$C$26,$C$27,V$28,$D$16,$D$17,$D$18,$D$19,$D$20,$D$21,$D$22,$D$23,$D$24,$D$25,$D$26,$D$27,$C$8,$C$9,$C$10,$C$11,$C$12),"")</f>
        <v>-1038444.8728100153</v>
      </c>
      <c r="W47" s="255">
        <f ca="1">IF(NOW(),_xll.mirSwapPV($C$3,$C$4,$C$6,$G22,$C$7,$I22,$C$16,$C$17,$C$18,$C$19,$C$20,$C$21,$C$22,$C$26,$C$27,W$28,$D$16,$D$17,$D$18,$D$19,$D$20,$D$21,$D$22,$D$23,$D$24,$D$25,$D$26,$D$27,$C$8,$C$9,$C$10,$C$11,$C$12),"")</f>
        <v>-1384593.1637466867</v>
      </c>
      <c r="X47" s="255">
        <f ca="1">IF(NOW(),_xll.mirSwapPV($C$3,$C$4,$C$6,$G22,$C$7,$I22,$C$16,$C$17,$C$18,$C$19,$C$20,$C$21,$C$22,$C$26,$C$27,X$28,$D$16,$D$17,$D$18,$D$19,$D$20,$D$21,$D$22,$D$23,$D$24,$D$25,$D$26,$D$27,$C$8,$C$9,$C$10,$C$11,$C$12),"")</f>
        <v>-1730741.4546833585</v>
      </c>
      <c r="Y47" s="229"/>
      <c r="AG47" s="230" t="s">
        <v>14</v>
      </c>
      <c r="AH47" s="255">
        <f ca="1">IF(NOW(),_xll.mirSwapPV($C$3,$C$4,$C$6,$AA22,$C$7,$AC22,$C$16,$C$17,$C$18,$C$19,$C$20,$C$21,$C$22,$C$26,$C$27,AH$28,$D$16,$D$17,$D$18,$D$19,$D$20,$D$21,$D$22,$D$23,$D$24,$D$25,$D$26,$D$27,$C$8,$C$9,$C$10,$D$11,$C$12),"")</f>
        <v>1730741.4546833574</v>
      </c>
      <c r="AI47" s="255">
        <f ca="1">IF(NOW(),_xll.mirSwapPV($C$3,$C$4,$C$6,$AA22,$C$7,$AC22,$C$16,$C$17,$C$18,$C$19,$C$20,$C$21,$C$22,$C$26,$C$27,AI$28,$D$16,$D$17,$D$18,$D$19,$D$20,$D$21,$D$22,$D$23,$D$24,$D$25,$D$26,$D$27,$C$8,$C$9,$C$10,$D$11,$C$12),"")</f>
        <v>1384593.1637466867</v>
      </c>
      <c r="AJ47" s="255">
        <f ca="1">IF(NOW(),_xll.mirSwapPV($C$3,$C$4,$C$6,$AA22,$C$7,$AC22,$C$16,$C$17,$C$18,$C$19,$C$20,$C$21,$C$22,$C$26,$C$27,AJ$28,$D$16,$D$17,$D$18,$D$19,$D$20,$D$21,$D$22,$D$23,$D$24,$D$25,$D$26,$D$27,$C$8,$C$9,$C$10,$D$11,$C$12),"")</f>
        <v>1038444.8728100153</v>
      </c>
      <c r="AK47" s="255">
        <f ca="1">IF(NOW(),_xll.mirSwapPV($C$3,$C$4,$C$6,$AA22,$C$7,$AC22,$C$16,$C$17,$C$18,$C$19,$C$20,$C$21,$C$22,$C$26,$C$27,AK$28,$D$16,$D$17,$D$18,$D$19,$D$20,$D$21,$D$22,$D$23,$D$24,$D$25,$D$26,$D$27,$C$8,$C$9,$C$10,$D$11,$C$12),"")</f>
        <v>692296.58187334402</v>
      </c>
      <c r="AL47" s="255">
        <f ca="1">IF(NOW(),_xll.mirSwapPV($C$3,$C$4,$C$6,$AA22,$C$7,$AC22,$C$16,$C$17,$C$18,$C$19,$C$20,$C$21,$C$22,$C$26,$C$27,AL$28,$D$16,$D$17,$D$18,$D$19,$D$20,$D$21,$D$22,$D$23,$D$24,$D$25,$D$26,$D$27,$C$8,$C$9,$C$10,$D$11,$C$12),"")</f>
        <v>346148.29093667143</v>
      </c>
      <c r="AM47" s="255">
        <f ca="1">IF(NOW(),_xll.mirSwapPV($C$3,$C$4,$C$6,$AA22,$C$7,$AC22,$C$16,$C$17,$C$18,$C$19,$C$20,$C$21,$C$22,$C$26,$C$27,AM$28,$D$16,$D$17,$D$18,$D$19,$D$20,$D$21,$D$22,$D$23,$D$24,$D$25,$D$26,$D$27,$C$8,$C$9,$C$10,$D$11,$C$12),"")</f>
        <v>0</v>
      </c>
      <c r="AN47" s="255">
        <f ca="1">IF(NOW(),_xll.mirSwapPV($C$3,$C$4,$C$6,$AA22,$C$7,$AC22,$C$16,$C$17,$C$18,$C$19,$C$20,$C$21,$C$22,$C$26,$C$27,AN$28,$D$16,$D$17,$D$18,$D$19,$D$20,$D$21,$D$22,$D$23,$D$24,$D$25,$D$26,$D$27,$C$8,$C$9,$C$10,$D$11,$C$12),"")</f>
        <v>-346148.29093667207</v>
      </c>
      <c r="AO47" s="255">
        <f ca="1">IF(NOW(),_xll.mirSwapPV($C$3,$C$4,$C$6,$AA22,$C$7,$AC22,$C$16,$C$17,$C$18,$C$19,$C$20,$C$21,$C$22,$C$26,$C$27,AO$28,$D$16,$D$17,$D$18,$D$19,$D$20,$D$21,$D$22,$D$23,$D$24,$D$25,$D$26,$D$27,$C$8,$C$9,$C$10,$D$11,$C$12),"")</f>
        <v>-692296.58187334391</v>
      </c>
      <c r="AP47" s="255">
        <f ca="1">IF(NOW(),_xll.mirSwapPV($C$3,$C$4,$C$6,$AA22,$C$7,$AC22,$C$16,$C$17,$C$18,$C$19,$C$20,$C$21,$C$22,$C$26,$C$27,AP$28,$D$16,$D$17,$D$18,$D$19,$D$20,$D$21,$D$22,$D$23,$D$24,$D$25,$D$26,$D$27,$C$8,$C$9,$C$10,$D$11,$C$12),"")</f>
        <v>-1038444.8728100156</v>
      </c>
      <c r="AQ47" s="255">
        <f ca="1">IF(NOW(),_xll.mirSwapPV($C$3,$C$4,$C$6,$AA22,$C$7,$AC22,$C$16,$C$17,$C$18,$C$19,$C$20,$C$21,$C$22,$C$26,$C$27,AQ$28,$D$16,$D$17,$D$18,$D$19,$D$20,$D$21,$D$22,$D$23,$D$24,$D$25,$D$26,$D$27,$C$8,$C$9,$C$10,$D$11,$C$12),"")</f>
        <v>-1384593.1637466871</v>
      </c>
      <c r="AR47" s="255">
        <f ca="1">IF(NOW(),_xll.mirSwapPV($C$3,$C$4,$C$6,$AA22,$C$7,$AC22,$C$16,$C$17,$C$18,$C$19,$C$20,$C$21,$C$22,$C$26,$C$27,AR$28,$D$16,$D$17,$D$18,$D$19,$D$20,$D$21,$D$22,$D$23,$D$24,$D$25,$D$26,$D$27,$C$8,$C$9,$C$10,$D$11,$C$12),"")</f>
        <v>-1730741.4546833595</v>
      </c>
    </row>
    <row r="48" spans="6:44">
      <c r="F48" s="230"/>
      <c r="G48" s="227"/>
      <c r="H48" s="229"/>
      <c r="I48" s="229"/>
      <c r="J48" s="224"/>
      <c r="K48" s="224"/>
      <c r="L48" s="224"/>
      <c r="M48" s="224"/>
      <c r="Y48" s="224"/>
    </row>
    <row r="49" spans="2:44">
      <c r="F49" s="224"/>
      <c r="G49" s="224"/>
      <c r="H49" s="224"/>
      <c r="I49" s="224"/>
      <c r="J49" s="224"/>
      <c r="K49" s="230"/>
      <c r="L49" s="230"/>
      <c r="M49" s="230"/>
      <c r="N49" s="224"/>
      <c r="O49" s="224"/>
      <c r="P49" s="224"/>
      <c r="Q49" s="224"/>
      <c r="R49" s="224"/>
      <c r="S49" s="224"/>
      <c r="T49" s="224"/>
      <c r="U49" s="224"/>
      <c r="V49" s="224"/>
      <c r="W49" s="224"/>
      <c r="X49" s="224"/>
      <c r="Y49" s="224"/>
      <c r="AD49" s="10"/>
    </row>
    <row r="50" spans="2:44">
      <c r="B50" t="s">
        <v>2</v>
      </c>
      <c r="F50" t="s">
        <v>461</v>
      </c>
      <c r="G50" s="217"/>
      <c r="J50" t="s">
        <v>463</v>
      </c>
      <c r="K50" s="259" t="b">
        <f>$C$11</f>
        <v>1</v>
      </c>
      <c r="M50" s="219" t="s">
        <v>460</v>
      </c>
      <c r="N50" s="219"/>
      <c r="O50" s="229"/>
      <c r="P50" s="252"/>
      <c r="Q50" s="252"/>
      <c r="R50" s="229"/>
      <c r="S50" s="229" t="s">
        <v>459</v>
      </c>
      <c r="T50" s="229"/>
      <c r="U50" s="229"/>
      <c r="V50" s="229"/>
      <c r="W50" t="s">
        <v>463</v>
      </c>
      <c r="X50" s="259" t="b">
        <f>$C$11</f>
        <v>1</v>
      </c>
      <c r="Z50" t="s">
        <v>461</v>
      </c>
      <c r="AA50" s="217"/>
      <c r="AD50" t="s">
        <v>463</v>
      </c>
      <c r="AE50" s="259" t="b">
        <f>$D$11</f>
        <v>0</v>
      </c>
      <c r="AG50" s="219" t="s">
        <v>460</v>
      </c>
      <c r="AH50" s="219"/>
      <c r="AI50" s="229"/>
      <c r="AJ50" s="252"/>
      <c r="AK50" s="252"/>
      <c r="AL50" s="229"/>
      <c r="AM50" s="229" t="s">
        <v>459</v>
      </c>
      <c r="AN50" s="229"/>
      <c r="AO50" s="229"/>
      <c r="AP50" s="229"/>
      <c r="AQ50" t="s">
        <v>463</v>
      </c>
      <c r="AR50" s="259" t="b">
        <f>$D$11</f>
        <v>0</v>
      </c>
    </row>
    <row r="51" spans="2:44">
      <c r="B51" s="221" t="s">
        <v>424</v>
      </c>
      <c r="C51" s="222">
        <v>1000000</v>
      </c>
      <c r="D51" s="223"/>
      <c r="F51" s="224" t="s">
        <v>76</v>
      </c>
      <c r="G51" s="224" t="s">
        <v>425</v>
      </c>
      <c r="H51" s="224" t="s">
        <v>426</v>
      </c>
      <c r="I51" s="224" t="s">
        <v>428</v>
      </c>
      <c r="J51" s="224" t="s">
        <v>465</v>
      </c>
      <c r="K51" s="224" t="s">
        <v>427</v>
      </c>
      <c r="L51" s="224"/>
      <c r="M51" s="224" t="s">
        <v>76</v>
      </c>
      <c r="N51" s="256">
        <v>-0.05</v>
      </c>
      <c r="O51" s="256">
        <f>N51+1%</f>
        <v>-0.04</v>
      </c>
      <c r="P51" s="256">
        <f t="shared" ref="P51" si="24">O51+1%</f>
        <v>-0.03</v>
      </c>
      <c r="Q51" s="256">
        <f t="shared" ref="Q51" si="25">P51+1%</f>
        <v>-1.9999999999999997E-2</v>
      </c>
      <c r="R51" s="256">
        <f t="shared" ref="R51" si="26">Q51+1%</f>
        <v>-9.9999999999999967E-3</v>
      </c>
      <c r="S51" s="256">
        <f t="shared" ref="S51" si="27">R51+1%</f>
        <v>0</v>
      </c>
      <c r="T51" s="256">
        <f t="shared" ref="T51" si="28">S51+1%</f>
        <v>0.01</v>
      </c>
      <c r="U51" s="256">
        <f t="shared" ref="U51" si="29">T51+1%</f>
        <v>0.02</v>
      </c>
      <c r="V51" s="256">
        <f t="shared" ref="V51" si="30">U51+1%</f>
        <v>0.03</v>
      </c>
      <c r="W51" s="256">
        <f t="shared" ref="W51" si="31">V51+1%</f>
        <v>0.04</v>
      </c>
      <c r="X51" s="256">
        <f t="shared" ref="X51" si="32">W51+1%</f>
        <v>0.05</v>
      </c>
      <c r="Z51" s="224" t="s">
        <v>76</v>
      </c>
      <c r="AA51" s="224" t="s">
        <v>425</v>
      </c>
      <c r="AB51" s="224" t="s">
        <v>426</v>
      </c>
      <c r="AC51" s="224" t="s">
        <v>428</v>
      </c>
      <c r="AD51" s="224" t="s">
        <v>465</v>
      </c>
      <c r="AE51" s="224" t="s">
        <v>427</v>
      </c>
      <c r="AG51" s="224" t="s">
        <v>76</v>
      </c>
      <c r="AH51" s="256">
        <v>-0.05</v>
      </c>
      <c r="AI51" s="256">
        <f>AH51+1%</f>
        <v>-0.04</v>
      </c>
      <c r="AJ51" s="256">
        <f t="shared" ref="AJ51" si="33">AI51+1%</f>
        <v>-0.03</v>
      </c>
      <c r="AK51" s="256">
        <f t="shared" ref="AK51" si="34">AJ51+1%</f>
        <v>-1.9999999999999997E-2</v>
      </c>
      <c r="AL51" s="256">
        <f t="shared" ref="AL51" si="35">AK51+1%</f>
        <v>-9.9999999999999967E-3</v>
      </c>
      <c r="AM51" s="256">
        <f t="shared" ref="AM51" si="36">AL51+1%</f>
        <v>0</v>
      </c>
      <c r="AN51" s="256">
        <f t="shared" ref="AN51" si="37">AM51+1%</f>
        <v>0.01</v>
      </c>
      <c r="AO51" s="256">
        <f t="shared" ref="AO51" si="38">AN51+1%</f>
        <v>0.02</v>
      </c>
      <c r="AP51" s="256">
        <f t="shared" ref="AP51" si="39">AO51+1%</f>
        <v>0.03</v>
      </c>
      <c r="AQ51" s="256">
        <f t="shared" ref="AQ51" si="40">AP51+1%</f>
        <v>0.04</v>
      </c>
      <c r="AR51" s="256">
        <f t="shared" ref="AR51" si="41">AQ51+1%</f>
        <v>0.05</v>
      </c>
    </row>
    <row r="52" spans="2:44">
      <c r="B52" s="225" t="s">
        <v>429</v>
      </c>
      <c r="C52" s="226" t="s">
        <v>473</v>
      </c>
      <c r="D52" s="223"/>
      <c r="F52" s="227" t="s">
        <v>42</v>
      </c>
      <c r="G52" s="227">
        <f>_xll.mirGetDate($C$6,F52)</f>
        <v>42931</v>
      </c>
      <c r="H52" s="260">
        <f>H4</f>
        <v>1.33E-3</v>
      </c>
      <c r="I52" s="229">
        <f ca="1">IF(NOW(),_xll.mirGetParRate4($C$54,$G52,$C$55,$C$64,$C$65,$C$66,$C$67,$C$68,$C$69,$C$70,$C$74,$C$75,$D$64,$D$65,$D$66,$D$67,$D$68,$D$69,$D$70,$D$71,$D$72,$D$73,$D$74,$D$75,$C$56,$C$57,$C$58,$C$59,$C$60),"")</f>
        <v>1.3300000037928903E-3</v>
      </c>
      <c r="J52" s="229">
        <f t="shared" ref="J52:J70" ca="1" si="42">I52-H52</f>
        <v>3.7928902640177453E-12</v>
      </c>
      <c r="K52" s="230">
        <f t="shared" ref="K52:K70" ca="1" si="43">(I52-H52)*10000</f>
        <v>3.7928902640177453E-8</v>
      </c>
      <c r="L52" s="230" t="s">
        <v>12</v>
      </c>
      <c r="M52" s="230" t="s">
        <v>42</v>
      </c>
      <c r="N52" s="255">
        <f ca="1">IF(NOW(),_xll.mirSwapPV($C$51,$C$52,$C$54,$G52,$C$55,$I52+N$51,$C$64,$C$65,$C$66,$C$67,$C$68,$C$69,$C$70,$C$74,$C$75,$D$63,$D$64,$D$65,$D$66,$D$67,$D$68,$D$69,$D$70,$D$71,$D$72,$D$73,$D$74,$D$75,$C$56,$C$57,$C$58,$C$59,$C$60),"")</f>
        <v>-100441.45996346937</v>
      </c>
      <c r="O52" s="255">
        <f ca="1">IF(NOW(),_xll.mirSwapPV($C$51,$C$52,$C$54,$G52,$C$55,$I52+O$51,$C$64,$C$65,$C$66,$C$67,$C$68,$C$69,$C$70,$C$74,$C$75,$D$63,$D$64,$D$65,$D$66,$D$67,$D$68,$D$69,$D$70,$D$71,$D$72,$D$73,$D$74,$D$75,$C$56,$C$57,$C$58,$C$59,$C$60),"")</f>
        <v>-80353.167970775496</v>
      </c>
      <c r="P52" s="255">
        <f ca="1">IF(NOW(),_xll.mirSwapPV($C$51,$C$52,$C$54,$G52,$C$55,$I52+P$51,$C$64,$C$65,$C$66,$C$67,$C$68,$C$69,$C$70,$C$74,$C$75,$D$63,$D$64,$D$65,$D$66,$D$67,$D$68,$D$69,$D$70,$D$71,$D$72,$D$73,$D$74,$D$75,$C$56,$C$57,$C$58,$C$59,$C$60),"")</f>
        <v>-60264.875978081611</v>
      </c>
      <c r="Q52" s="255">
        <f ca="1">IF(NOW(),_xll.mirSwapPV($C$51,$C$52,$C$54,$G52,$C$55,$I52+Q$51,$C$64,$C$65,$C$66,$C$67,$C$68,$C$69,$C$70,$C$74,$C$75,$D$63,$D$64,$D$65,$D$66,$D$67,$D$68,$D$69,$D$70,$D$71,$D$72,$D$73,$D$74,$D$75,$C$56,$C$57,$C$58,$C$59,$C$60),"")</f>
        <v>-40176.583985387741</v>
      </c>
      <c r="R52" s="255">
        <f ca="1">IF(NOW(),_xll.mirSwapPV($C$51,$C$52,$C$54,$G52,$C$55,$I52+R$51,$C$64,$C$65,$C$66,$C$67,$C$68,$C$69,$C$70,$C$74,$C$75,$D$63,$D$64,$D$65,$D$66,$D$67,$D$68,$D$69,$D$70,$D$71,$D$72,$D$73,$D$74,$D$75,$C$56,$C$57,$C$58,$C$59,$C$60),"")</f>
        <v>-20088.291992693863</v>
      </c>
      <c r="S52" s="255">
        <f ca="1">IF(NOW(),_xll.mirSwapPV($C$51,$C$52,$C$54,$G52,$C$55,$I52+S$51,$C$64,$C$65,$C$66,$C$67,$C$68,$C$69,$C$70,$C$74,$C$75,$D$63,$D$64,$D$65,$D$66,$D$67,$D$68,$D$69,$D$70,$D$71,$D$72,$D$73,$D$74,$D$75,$C$56,$C$57,$C$58,$C$59,$C$60),"")</f>
        <v>0</v>
      </c>
      <c r="T52" s="255">
        <f ca="1">IF(NOW(),_xll.mirSwapPV($C$51,$C$52,$C$54,$G52,$C$55,$I52+T$51,$C$64,$C$65,$C$66,$C$67,$C$68,$C$69,$C$70,$C$74,$C$75,$D$63,$D$64,$D$65,$D$66,$D$67,$D$68,$D$69,$D$70,$D$71,$D$72,$D$73,$D$74,$D$75,$C$56,$C$57,$C$58,$C$59,$C$60),"")</f>
        <v>20088.291992693874</v>
      </c>
      <c r="U52" s="255">
        <f ca="1">IF(NOW(),_xll.mirSwapPV($C$51,$C$52,$C$54,$G52,$C$55,$I52+U$51,$C$64,$C$65,$C$66,$C$67,$C$68,$C$69,$C$70,$C$74,$C$75,$D$63,$D$64,$D$65,$D$66,$D$67,$D$68,$D$69,$D$70,$D$71,$D$72,$D$73,$D$74,$D$75,$C$56,$C$57,$C$58,$C$59,$C$60),"")</f>
        <v>40176.583985387748</v>
      </c>
      <c r="V52" s="255">
        <f ca="1">IF(NOW(),_xll.mirSwapPV($C$51,$C$52,$C$54,$G52,$C$55,$I52+V$51,$C$64,$C$65,$C$66,$C$67,$C$68,$C$69,$C$70,$C$74,$C$75,$D$63,$D$64,$D$65,$D$66,$D$67,$D$68,$D$69,$D$70,$D$71,$D$72,$D$73,$D$74,$D$75,$C$56,$C$57,$C$58,$C$59,$C$60),"")</f>
        <v>60264.875978081611</v>
      </c>
      <c r="W52" s="255">
        <f ca="1">IF(NOW(),_xll.mirSwapPV($C$51,$C$52,$C$54,$G52,$C$55,$I52+W$51,$C$64,$C$65,$C$66,$C$67,$C$68,$C$69,$C$70,$C$74,$C$75,$D$63,$D$64,$D$65,$D$66,$D$67,$D$68,$D$69,$D$70,$D$71,$D$72,$D$73,$D$74,$D$75,$C$56,$C$57,$C$58,$C$59,$C$60),"")</f>
        <v>80353.167970775481</v>
      </c>
      <c r="X52" s="255">
        <f ca="1">IF(NOW(),_xll.mirSwapPV($C$51,$C$52,$C$54,$G52,$C$55,$I52+X$51,$C$64,$C$65,$C$66,$C$67,$C$68,$C$69,$C$70,$C$74,$C$75,$D$63,$D$64,$D$65,$D$66,$D$67,$D$68,$D$69,$D$70,$D$71,$D$72,$D$73,$D$74,$D$75,$C$56,$C$57,$C$58,$C$59,$C$60),"")</f>
        <v>100441.45996346936</v>
      </c>
      <c r="Y52" s="230" t="s">
        <v>12</v>
      </c>
      <c r="Z52" s="227" t="s">
        <v>42</v>
      </c>
      <c r="AA52" s="227">
        <f>_xll.mirGetDate($C$6,Z52)</f>
        <v>42931</v>
      </c>
      <c r="AB52" s="260">
        <f>H52</f>
        <v>1.33E-3</v>
      </c>
      <c r="AC52" s="229">
        <f ca="1">IF(NOW(),_xll.mirGetParRate4($C$54,$AA52,$C$55,$C$64,$C$65,$C$66,$C$67,$C$68,$C$69,$C$70,$C$74,$C$75,$D$64,$D$65,$D$66,$D$67,$D$68,$D$69,$D$70,$D$71,$D$72,$D$73,$D$74,$D$75,$C$56,$C$57,$C$58,$D$59,$C$60),"")</f>
        <v>1.3300000037928944E-3</v>
      </c>
      <c r="AD52" s="229">
        <f t="shared" ref="AD52:AD70" ca="1" si="44">AC52-AB52</f>
        <v>3.7928943839860008E-12</v>
      </c>
      <c r="AE52" s="230">
        <f t="shared" ref="AE52:AE70" ca="1" si="45">(AC52-AB52)*10000</f>
        <v>3.7928943839860008E-8</v>
      </c>
      <c r="AG52" s="230" t="s">
        <v>42</v>
      </c>
      <c r="AH52" s="255">
        <f ca="1">IF(NOW(),_xll.mirSwapPV($C$51,$C$52,$C$54,$AA52,$C$55,$AC52+AH$51,$C$64,$C$65,$C$66,$C$67,$C$68,$C$69,$C$70,$C$74,$C$75,$D$63,$D$64,$D$65,$D$66,$D$67,$D$68,$D$69,$D$70,$D$71,$D$72,$D$73,$D$74,$D$75,$C$56,$C$57,$C$58,$D$59,$C$60),"")</f>
        <v>-100441.45996346937</v>
      </c>
      <c r="AI52" s="255">
        <f ca="1">IF(NOW(),_xll.mirSwapPV($C$51,$C$52,$C$54,$AA52,$C$55,$AC52+AI$51,$C$64,$C$65,$C$66,$C$67,$C$68,$C$69,$C$70,$C$74,$C$75,$D$63,$D$64,$D$65,$D$66,$D$67,$D$68,$D$69,$D$70,$D$71,$D$72,$D$73,$D$74,$D$75,$C$56,$C$57,$C$58,$D$59,$C$60),"")</f>
        <v>-80353.167970775496</v>
      </c>
      <c r="AJ52" s="255">
        <f ca="1">IF(NOW(),_xll.mirSwapPV($C$51,$C$52,$C$54,$AA52,$C$55,$AC52+AJ$51,$C$64,$C$65,$C$66,$C$67,$C$68,$C$69,$C$70,$C$74,$C$75,$D$63,$D$64,$D$65,$D$66,$D$67,$D$68,$D$69,$D$70,$D$71,$D$72,$D$73,$D$74,$D$75,$C$56,$C$57,$C$58,$D$59,$C$60),"")</f>
        <v>-60264.875978081611</v>
      </c>
      <c r="AK52" s="255">
        <f ca="1">IF(NOW(),_xll.mirSwapPV($C$51,$C$52,$C$54,$AA52,$C$55,$AC52+AK$51,$C$64,$C$65,$C$66,$C$67,$C$68,$C$69,$C$70,$C$74,$C$75,$D$63,$D$64,$D$65,$D$66,$D$67,$D$68,$D$69,$D$70,$D$71,$D$72,$D$73,$D$74,$D$75,$C$56,$C$57,$C$58,$D$59,$C$60),"")</f>
        <v>-40176.583985387741</v>
      </c>
      <c r="AL52" s="255">
        <f ca="1">IF(NOW(),_xll.mirSwapPV($C$51,$C$52,$C$54,$AA52,$C$55,$AC52+AL$51,$C$64,$C$65,$C$66,$C$67,$C$68,$C$69,$C$70,$C$74,$C$75,$D$63,$D$64,$D$65,$D$66,$D$67,$D$68,$D$69,$D$70,$D$71,$D$72,$D$73,$D$74,$D$75,$C$56,$C$57,$C$58,$D$59,$C$60),"")</f>
        <v>-20088.291992693863</v>
      </c>
      <c r="AM52" s="255">
        <f ca="1">IF(NOW(),_xll.mirSwapPV($C$51,$C$52,$C$54,$AA52,$C$55,$AC52+AM$51,$C$64,$C$65,$C$66,$C$67,$C$68,$C$69,$C$70,$C$74,$C$75,$D$63,$D$64,$D$65,$D$66,$D$67,$D$68,$D$69,$D$70,$D$71,$D$72,$D$73,$D$74,$D$75,$C$56,$C$57,$C$58,$D$59,$C$60),"")</f>
        <v>0</v>
      </c>
      <c r="AN52" s="255">
        <f ca="1">IF(NOW(),_xll.mirSwapPV($C$51,$C$52,$C$54,$AA52,$C$55,$AC52+AN$51,$C$64,$C$65,$C$66,$C$67,$C$68,$C$69,$C$70,$C$74,$C$75,$D$63,$D$64,$D$65,$D$66,$D$67,$D$68,$D$69,$D$70,$D$71,$D$72,$D$73,$D$74,$D$75,$C$56,$C$57,$C$58,$D$59,$C$60),"")</f>
        <v>20088.291992693874</v>
      </c>
      <c r="AO52" s="255">
        <f ca="1">IF(NOW(),_xll.mirSwapPV($C$51,$C$52,$C$54,$AA52,$C$55,$AC52+AO$51,$C$64,$C$65,$C$66,$C$67,$C$68,$C$69,$C$70,$C$74,$C$75,$D$63,$D$64,$D$65,$D$66,$D$67,$D$68,$D$69,$D$70,$D$71,$D$72,$D$73,$D$74,$D$75,$C$56,$C$57,$C$58,$D$59,$C$60),"")</f>
        <v>40176.583985387748</v>
      </c>
      <c r="AP52" s="255">
        <f ca="1">IF(NOW(),_xll.mirSwapPV($C$51,$C$52,$C$54,$AA52,$C$55,$AC52+AP$51,$C$64,$C$65,$C$66,$C$67,$C$68,$C$69,$C$70,$C$74,$C$75,$D$63,$D$64,$D$65,$D$66,$D$67,$D$68,$D$69,$D$70,$D$71,$D$72,$D$73,$D$74,$D$75,$C$56,$C$57,$C$58,$D$59,$C$60),"")</f>
        <v>60264.875978081618</v>
      </c>
      <c r="AQ52" s="255">
        <f ca="1">IF(NOW(),_xll.mirSwapPV($C$51,$C$52,$C$54,$AA52,$C$55,$AC52+AQ$51,$C$64,$C$65,$C$66,$C$67,$C$68,$C$69,$C$70,$C$74,$C$75,$D$63,$D$64,$D$65,$D$66,$D$67,$D$68,$D$69,$D$70,$D$71,$D$72,$D$73,$D$74,$D$75,$C$56,$C$57,$C$58,$D$59,$C$60),"")</f>
        <v>80353.167970775481</v>
      </c>
      <c r="AR52" s="255">
        <f ca="1">IF(NOW(),_xll.mirSwapPV($C$51,$C$52,$C$54,$AA52,$C$55,$AC52+AR$51,$C$64,$C$65,$C$66,$C$67,$C$68,$C$69,$C$70,$C$74,$C$75,$D$63,$D$64,$D$65,$D$66,$D$67,$D$68,$D$69,$D$70,$D$71,$D$72,$D$73,$D$74,$D$75,$C$56,$C$57,$C$58,$D$59,$C$60),"")</f>
        <v>100441.45996346936</v>
      </c>
    </row>
    <row r="53" spans="2:44">
      <c r="B53" s="231"/>
      <c r="C53" s="231"/>
      <c r="D53" s="232"/>
      <c r="F53" s="224" t="s">
        <v>39</v>
      </c>
      <c r="G53" s="227">
        <f>_xll.mirGetDate($C$6,F53)</f>
        <v>43296</v>
      </c>
      <c r="H53" s="260">
        <f t="shared" ref="H53:H70" si="46">H5</f>
        <v>2.4399999999999999E-3</v>
      </c>
      <c r="I53" s="229">
        <f ca="1">IF(NOW(),_xll.mirGetParRate4($C$54,$G53,$C$55,$C$64,$C$65,$C$66,$C$67,$C$68,$C$69,$C$70,$C$74,$C$75,$D$64,$D$65,$D$66,$D$67,$D$68,$D$69,$D$70,$D$71,$D$72,$D$73,$D$74,$D$75,$C$56,$C$57,$C$58,$C$59,$C$60),"")</f>
        <v>2.4400000271853112E-3</v>
      </c>
      <c r="J53" s="229">
        <f t="shared" ca="1" si="42"/>
        <v>2.7185311293753678E-11</v>
      </c>
      <c r="K53" s="230">
        <f t="shared" ca="1" si="43"/>
        <v>2.7185311293753678E-7</v>
      </c>
      <c r="L53" s="230" t="s">
        <v>12</v>
      </c>
      <c r="M53" s="230" t="s">
        <v>39</v>
      </c>
      <c r="N53" s="255">
        <f ca="1">IF(NOW(),_xll.mirSwapPV($C$51,$C$52,$C$54,$G53,$C$55,$I53+N$51,$C$64,$C$65,$C$66,$C$67,$C$68,$C$69,$C$70,$C$74,$C$75,$D$63,$D$64,$D$65,$D$66,$D$67,$D$68,$D$69,$D$70,$D$71,$D$72,$D$73,$D$74,$D$75,$C$56,$C$57,$C$58,$C$59,$C$60),"")</f>
        <v>-150300.80743458585</v>
      </c>
      <c r="O53" s="255">
        <f ca="1">IF(NOW(),_xll.mirSwapPV($C$51,$C$52,$C$54,$G53,$C$55,$I53+O$51,$C$64,$C$65,$C$66,$C$67,$C$68,$C$69,$C$70,$C$74,$C$75,$D$63,$D$64,$D$65,$D$66,$D$67,$D$68,$D$69,$D$70,$D$71,$D$72,$D$73,$D$74,$D$75,$C$56,$C$57,$C$58,$C$59,$C$60),"")</f>
        <v>-120240.64594766869</v>
      </c>
      <c r="P53" s="255">
        <f ca="1">IF(NOW(),_xll.mirSwapPV($C$51,$C$52,$C$54,$G53,$C$55,$I53+P$51,$C$64,$C$65,$C$66,$C$67,$C$68,$C$69,$C$70,$C$74,$C$75,$D$63,$D$64,$D$65,$D$66,$D$67,$D$68,$D$69,$D$70,$D$71,$D$72,$D$73,$D$74,$D$75,$C$56,$C$57,$C$58,$C$59,$C$60),"")</f>
        <v>-90180.484460751526</v>
      </c>
      <c r="Q53" s="255">
        <f ca="1">IF(NOW(),_xll.mirSwapPV($C$51,$C$52,$C$54,$G53,$C$55,$I53+Q$51,$C$64,$C$65,$C$66,$C$67,$C$68,$C$69,$C$70,$C$74,$C$75,$D$63,$D$64,$D$65,$D$66,$D$67,$D$68,$D$69,$D$70,$D$71,$D$72,$D$73,$D$74,$D$75,$C$56,$C$57,$C$58,$C$59,$C$60),"")</f>
        <v>-60120.322973834343</v>
      </c>
      <c r="R53" s="255">
        <f ca="1">IF(NOW(),_xll.mirSwapPV($C$51,$C$52,$C$54,$G53,$C$55,$I53+R$51,$C$64,$C$65,$C$66,$C$67,$C$68,$C$69,$C$70,$C$74,$C$75,$D$63,$D$64,$D$65,$D$66,$D$67,$D$68,$D$69,$D$70,$D$71,$D$72,$D$73,$D$74,$D$75,$C$56,$C$57,$C$58,$C$59,$C$60),"")</f>
        <v>-30060.161486917168</v>
      </c>
      <c r="S53" s="255">
        <f ca="1">IF(NOW(),_xll.mirSwapPV($C$51,$C$52,$C$54,$G53,$C$55,$I53+S$51,$C$64,$C$65,$C$66,$C$67,$C$68,$C$69,$C$70,$C$74,$C$75,$D$63,$D$64,$D$65,$D$66,$D$67,$D$68,$D$69,$D$70,$D$71,$D$72,$D$73,$D$74,$D$75,$C$56,$C$57,$C$58,$C$59,$C$60),"")</f>
        <v>8.6736173798840355E-13</v>
      </c>
      <c r="T53" s="255">
        <f ca="1">IF(NOW(),_xll.mirSwapPV($C$51,$C$52,$C$54,$G53,$C$55,$I53+T$51,$C$64,$C$65,$C$66,$C$67,$C$68,$C$69,$C$70,$C$74,$C$75,$D$63,$D$64,$D$65,$D$66,$D$67,$D$68,$D$69,$D$70,$D$71,$D$72,$D$73,$D$74,$D$75,$C$56,$C$57,$C$58,$C$59,$C$60),"")</f>
        <v>30060.161486917175</v>
      </c>
      <c r="U53" s="255">
        <f ca="1">IF(NOW(),_xll.mirSwapPV($C$51,$C$52,$C$54,$G53,$C$55,$I53+U$51,$C$64,$C$65,$C$66,$C$67,$C$68,$C$69,$C$70,$C$74,$C$75,$D$63,$D$64,$D$65,$D$66,$D$67,$D$68,$D$69,$D$70,$D$71,$D$72,$D$73,$D$74,$D$75,$C$56,$C$57,$C$58,$C$59,$C$60),"")</f>
        <v>60120.322973834351</v>
      </c>
      <c r="V53" s="255">
        <f ca="1">IF(NOW(),_xll.mirSwapPV($C$51,$C$52,$C$54,$G53,$C$55,$I53+V$51,$C$64,$C$65,$C$66,$C$67,$C$68,$C$69,$C$70,$C$74,$C$75,$D$63,$D$64,$D$65,$D$66,$D$67,$D$68,$D$69,$D$70,$D$71,$D$72,$D$73,$D$74,$D$75,$C$56,$C$57,$C$58,$C$59,$C$60),"")</f>
        <v>90180.484460751526</v>
      </c>
      <c r="W53" s="255">
        <f ca="1">IF(NOW(),_xll.mirSwapPV($C$51,$C$52,$C$54,$G53,$C$55,$I53+W$51,$C$64,$C$65,$C$66,$C$67,$C$68,$C$69,$C$70,$C$74,$C$75,$D$63,$D$64,$D$65,$D$66,$D$67,$D$68,$D$69,$D$70,$D$71,$D$72,$D$73,$D$74,$D$75,$C$56,$C$57,$C$58,$C$59,$C$60),"")</f>
        <v>120240.64594766872</v>
      </c>
      <c r="X53" s="255">
        <f ca="1">IF(NOW(),_xll.mirSwapPV($C$51,$C$52,$C$54,$G53,$C$55,$I53+X$51,$C$64,$C$65,$C$66,$C$67,$C$68,$C$69,$C$70,$C$74,$C$75,$D$63,$D$64,$D$65,$D$66,$D$67,$D$68,$D$69,$D$70,$D$71,$D$72,$D$73,$D$74,$D$75,$C$56,$C$57,$C$58,$C$59,$C$60),"")</f>
        <v>150300.80743458591</v>
      </c>
      <c r="Y53" s="230" t="s">
        <v>12</v>
      </c>
      <c r="Z53" s="224" t="s">
        <v>39</v>
      </c>
      <c r="AA53" s="227">
        <f>_xll.mirGetDate($C$6,Z53)</f>
        <v>43296</v>
      </c>
      <c r="AB53" s="260">
        <f t="shared" ref="AB53:AB70" si="47">H53</f>
        <v>2.4399999999999999E-3</v>
      </c>
      <c r="AC53" s="229">
        <f ca="1">IF(NOW(),_xll.mirGetParRate4($C$54,$AA53,$C$55,$C$64,$C$65,$C$66,$C$67,$C$68,$C$69,$C$70,$C$74,$C$75,$D$64,$D$65,$D$66,$D$67,$D$68,$D$69,$D$70,$D$71,$D$72,$D$73,$D$74,$D$75,$C$56,$C$57,$C$58,$D$59,$C$60),"")</f>
        <v>2.4400000271853034E-3</v>
      </c>
      <c r="AD53" s="229">
        <f t="shared" ca="1" si="44"/>
        <v>2.7185303487498036E-11</v>
      </c>
      <c r="AE53" s="230">
        <f t="shared" ca="1" si="45"/>
        <v>2.7185303487498036E-7</v>
      </c>
      <c r="AG53" s="230" t="s">
        <v>39</v>
      </c>
      <c r="AH53" s="255">
        <f ca="1">IF(NOW(),_xll.mirSwapPV($C$51,$C$52,$C$54,$AA53,$C$55,$AC53+AH$51,$C$64,$C$65,$C$66,$C$67,$C$68,$C$69,$C$70,$C$74,$C$75,$D$63,$D$64,$D$65,$D$66,$D$67,$D$68,$D$69,$D$70,$D$71,$D$72,$D$73,$D$74,$D$75,$C$56,$C$57,$C$58,$D$59,$C$60),"")</f>
        <v>-150300.80743458591</v>
      </c>
      <c r="AI53" s="255">
        <f ca="1">IF(NOW(),_xll.mirSwapPV($C$51,$C$52,$C$54,$AA53,$C$55,$AC53+AI$51,$C$64,$C$65,$C$66,$C$67,$C$68,$C$69,$C$70,$C$74,$C$75,$D$63,$D$64,$D$65,$D$66,$D$67,$D$68,$D$69,$D$70,$D$71,$D$72,$D$73,$D$74,$D$75,$C$56,$C$57,$C$58,$D$59,$C$60),"")</f>
        <v>-120240.6459476687</v>
      </c>
      <c r="AJ53" s="255">
        <f ca="1">IF(NOW(),_xll.mirSwapPV($C$51,$C$52,$C$54,$AA53,$C$55,$AC53+AJ$51,$C$64,$C$65,$C$66,$C$67,$C$68,$C$69,$C$70,$C$74,$C$75,$D$63,$D$64,$D$65,$D$66,$D$67,$D$68,$D$69,$D$70,$D$71,$D$72,$D$73,$D$74,$D$75,$C$56,$C$57,$C$58,$D$59,$C$60),"")</f>
        <v>-90180.484460751512</v>
      </c>
      <c r="AK53" s="255">
        <f ca="1">IF(NOW(),_xll.mirSwapPV($C$51,$C$52,$C$54,$AA53,$C$55,$AC53+AK$51,$C$64,$C$65,$C$66,$C$67,$C$68,$C$69,$C$70,$C$74,$C$75,$D$63,$D$64,$D$65,$D$66,$D$67,$D$68,$D$69,$D$70,$D$71,$D$72,$D$73,$D$74,$D$75,$C$56,$C$57,$C$58,$D$59,$C$60),"")</f>
        <v>-60120.322973834336</v>
      </c>
      <c r="AL53" s="255">
        <f ca="1">IF(NOW(),_xll.mirSwapPV($C$51,$C$52,$C$54,$AA53,$C$55,$AC53+AL$51,$C$64,$C$65,$C$66,$C$67,$C$68,$C$69,$C$70,$C$74,$C$75,$D$63,$D$64,$D$65,$D$66,$D$67,$D$68,$D$69,$D$70,$D$71,$D$72,$D$73,$D$74,$D$75,$C$56,$C$57,$C$58,$D$59,$C$60),"")</f>
        <v>-30060.161486917164</v>
      </c>
      <c r="AM53" s="255">
        <f ca="1">IF(NOW(),_xll.mirSwapPV($C$51,$C$52,$C$54,$AA53,$C$55,$AC53+AM$51,$C$64,$C$65,$C$66,$C$67,$C$68,$C$69,$C$70,$C$74,$C$75,$D$63,$D$64,$D$65,$D$66,$D$67,$D$68,$D$69,$D$70,$D$71,$D$72,$D$73,$D$74,$D$75,$C$56,$C$57,$C$58,$D$59,$C$60),"")</f>
        <v>0</v>
      </c>
      <c r="AN53" s="255">
        <f ca="1">IF(NOW(),_xll.mirSwapPV($C$51,$C$52,$C$54,$AA53,$C$55,$AC53+AN$51,$C$64,$C$65,$C$66,$C$67,$C$68,$C$69,$C$70,$C$74,$C$75,$D$63,$D$64,$D$65,$D$66,$D$67,$D$68,$D$69,$D$70,$D$71,$D$72,$D$73,$D$74,$D$75,$C$56,$C$57,$C$58,$D$59,$C$60),"")</f>
        <v>30060.161486917179</v>
      </c>
      <c r="AO53" s="255">
        <f ca="1">IF(NOW(),_xll.mirSwapPV($C$51,$C$52,$C$54,$AA53,$C$55,$AC53+AO$51,$C$64,$C$65,$C$66,$C$67,$C$68,$C$69,$C$70,$C$74,$C$75,$D$63,$D$64,$D$65,$D$66,$D$67,$D$68,$D$69,$D$70,$D$71,$D$72,$D$73,$D$74,$D$75,$C$56,$C$57,$C$58,$D$59,$C$60),"")</f>
        <v>60120.322973834351</v>
      </c>
      <c r="AP53" s="255">
        <f ca="1">IF(NOW(),_xll.mirSwapPV($C$51,$C$52,$C$54,$AA53,$C$55,$AC53+AP$51,$C$64,$C$65,$C$66,$C$67,$C$68,$C$69,$C$70,$C$74,$C$75,$D$63,$D$64,$D$65,$D$66,$D$67,$D$68,$D$69,$D$70,$D$71,$D$72,$D$73,$D$74,$D$75,$C$56,$C$57,$C$58,$D$59,$C$60),"")</f>
        <v>90180.484460751512</v>
      </c>
      <c r="AQ53" s="255">
        <f ca="1">IF(NOW(),_xll.mirSwapPV($C$51,$C$52,$C$54,$AA53,$C$55,$AC53+AQ$51,$C$64,$C$65,$C$66,$C$67,$C$68,$C$69,$C$70,$C$74,$C$75,$D$63,$D$64,$D$65,$D$66,$D$67,$D$68,$D$69,$D$70,$D$71,$D$72,$D$73,$D$74,$D$75,$C$56,$C$57,$C$58,$D$59,$C$60),"")</f>
        <v>120240.64594766869</v>
      </c>
      <c r="AR53" s="255">
        <f ca="1">IF(NOW(),_xll.mirSwapPV($C$51,$C$52,$C$54,$AA53,$C$55,$AC53+AR$51,$C$64,$C$65,$C$66,$C$67,$C$68,$C$69,$C$70,$C$74,$C$75,$D$63,$D$64,$D$65,$D$66,$D$67,$D$68,$D$69,$D$70,$D$71,$D$72,$D$73,$D$74,$D$75,$C$56,$C$57,$C$58,$D$59,$C$60),"")</f>
        <v>150300.80743458585</v>
      </c>
    </row>
    <row r="54" spans="2:44">
      <c r="B54" s="221" t="s">
        <v>431</v>
      </c>
      <c r="C54" s="233">
        <v>42200</v>
      </c>
      <c r="D54" s="233"/>
      <c r="F54" s="224" t="s">
        <v>35</v>
      </c>
      <c r="G54" s="227">
        <f>_xll.mirGetDate($C$6,F54)</f>
        <v>43661</v>
      </c>
      <c r="H54" s="260">
        <f t="shared" si="46"/>
        <v>3.9199999999999999E-3</v>
      </c>
      <c r="I54" s="229">
        <f ca="1">IF(NOW(),_xll.mirGetParRate4($C$54,$G54,$C$55,$C$64,$C$65,$C$66,$C$67,$C$68,$C$69,$C$70,$C$74,$C$75,$D$64,$D$65,$D$66,$D$67,$D$68,$D$69,$D$70,$D$71,$D$72,$D$73,$D$74,$D$75,$C$56,$C$57,$C$58,$C$59,$C$60),"")</f>
        <v>3.9199991911133165E-3</v>
      </c>
      <c r="J54" s="229">
        <f t="shared" ca="1" si="42"/>
        <v>-8.0888668332890212E-10</v>
      </c>
      <c r="K54" s="230">
        <f t="shared" ca="1" si="43"/>
        <v>-8.0888668332890212E-6</v>
      </c>
      <c r="L54" s="230" t="s">
        <v>12</v>
      </c>
      <c r="M54" s="230" t="s">
        <v>35</v>
      </c>
      <c r="N54" s="255">
        <f ca="1">IF(NOW(),_xll.mirSwapPV($C$51,$C$52,$C$54,$G54,$C$55,$I54+N$51,$C$64,$C$65,$C$66,$C$67,$C$68,$C$69,$C$70,$C$74,$C$75,$D$63,$D$64,$D$65,$D$66,$D$67,$D$68,$D$69,$D$70,$D$71,$D$72,$D$73,$D$74,$D$75,$C$56,$C$57,$C$58,$C$59,$C$60),"")</f>
        <v>-199873.1557084099</v>
      </c>
      <c r="O54" s="255">
        <f ca="1">IF(NOW(),_xll.mirSwapPV($C$51,$C$52,$C$54,$G54,$C$55,$I54+O$51,$C$64,$C$65,$C$66,$C$67,$C$68,$C$69,$C$70,$C$74,$C$75,$D$63,$D$64,$D$65,$D$66,$D$67,$D$68,$D$69,$D$70,$D$71,$D$72,$D$73,$D$74,$D$75,$C$56,$C$57,$C$58,$C$59,$C$60),"")</f>
        <v>-159898.52456672789</v>
      </c>
      <c r="P54" s="255">
        <f ca="1">IF(NOW(),_xll.mirSwapPV($C$51,$C$52,$C$54,$G54,$C$55,$I54+P$51,$C$64,$C$65,$C$66,$C$67,$C$68,$C$69,$C$70,$C$74,$C$75,$D$63,$D$64,$D$65,$D$66,$D$67,$D$68,$D$69,$D$70,$D$71,$D$72,$D$73,$D$74,$D$75,$C$56,$C$57,$C$58,$C$59,$C$60),"")</f>
        <v>-119923.89342504593</v>
      </c>
      <c r="Q54" s="255">
        <f ca="1">IF(NOW(),_xll.mirSwapPV($C$51,$C$52,$C$54,$G54,$C$55,$I54+Q$51,$C$64,$C$65,$C$66,$C$67,$C$68,$C$69,$C$70,$C$74,$C$75,$D$63,$D$64,$D$65,$D$66,$D$67,$D$68,$D$69,$D$70,$D$71,$D$72,$D$73,$D$74,$D$75,$C$56,$C$57,$C$58,$C$59,$C$60),"")</f>
        <v>-79949.262283363947</v>
      </c>
      <c r="R54" s="255">
        <f ca="1">IF(NOW(),_xll.mirSwapPV($C$51,$C$52,$C$54,$G54,$C$55,$I54+R$51,$C$64,$C$65,$C$66,$C$67,$C$68,$C$69,$C$70,$C$74,$C$75,$D$63,$D$64,$D$65,$D$66,$D$67,$D$68,$D$69,$D$70,$D$71,$D$72,$D$73,$D$74,$D$75,$C$56,$C$57,$C$58,$C$59,$C$60),"")</f>
        <v>-39974.631141681966</v>
      </c>
      <c r="S54" s="255">
        <f ca="1">IF(NOW(),_xll.mirSwapPV($C$51,$C$52,$C$54,$G54,$C$55,$I54+S$51,$C$64,$C$65,$C$66,$C$67,$C$68,$C$69,$C$70,$C$74,$C$75,$D$63,$D$64,$D$65,$D$66,$D$67,$D$68,$D$69,$D$70,$D$71,$D$72,$D$73,$D$74,$D$75,$C$56,$C$57,$C$58,$C$59,$C$60),"")</f>
        <v>0</v>
      </c>
      <c r="T54" s="255">
        <f ca="1">IF(NOW(),_xll.mirSwapPV($C$51,$C$52,$C$54,$G54,$C$55,$I54+T$51,$C$64,$C$65,$C$66,$C$67,$C$68,$C$69,$C$70,$C$74,$C$75,$D$63,$D$64,$D$65,$D$66,$D$67,$D$68,$D$69,$D$70,$D$71,$D$72,$D$73,$D$74,$D$75,$C$56,$C$57,$C$58,$C$59,$C$60),"")</f>
        <v>39974.631141681981</v>
      </c>
      <c r="U54" s="255">
        <f ca="1">IF(NOW(),_xll.mirSwapPV($C$51,$C$52,$C$54,$G54,$C$55,$I54+U$51,$C$64,$C$65,$C$66,$C$67,$C$68,$C$69,$C$70,$C$74,$C$75,$D$63,$D$64,$D$65,$D$66,$D$67,$D$68,$D$69,$D$70,$D$71,$D$72,$D$73,$D$74,$D$75,$C$56,$C$57,$C$58,$C$59,$C$60),"")</f>
        <v>79949.262283363947</v>
      </c>
      <c r="V54" s="255">
        <f ca="1">IF(NOW(),_xll.mirSwapPV($C$51,$C$52,$C$54,$G54,$C$55,$I54+V$51,$C$64,$C$65,$C$66,$C$67,$C$68,$C$69,$C$70,$C$74,$C$75,$D$63,$D$64,$D$65,$D$66,$D$67,$D$68,$D$69,$D$70,$D$71,$D$72,$D$73,$D$74,$D$75,$C$56,$C$57,$C$58,$C$59,$C$60),"")</f>
        <v>119923.89342504591</v>
      </c>
      <c r="W54" s="255">
        <f ca="1">IF(NOW(),_xll.mirSwapPV($C$51,$C$52,$C$54,$G54,$C$55,$I54+W$51,$C$64,$C$65,$C$66,$C$67,$C$68,$C$69,$C$70,$C$74,$C$75,$D$63,$D$64,$D$65,$D$66,$D$67,$D$68,$D$69,$D$70,$D$71,$D$72,$D$73,$D$74,$D$75,$C$56,$C$57,$C$58,$C$59,$C$60),"")</f>
        <v>159898.52456672792</v>
      </c>
      <c r="X54" s="255">
        <f ca="1">IF(NOW(),_xll.mirSwapPV($C$51,$C$52,$C$54,$G54,$C$55,$I54+X$51,$C$64,$C$65,$C$66,$C$67,$C$68,$C$69,$C$70,$C$74,$C$75,$D$63,$D$64,$D$65,$D$66,$D$67,$D$68,$D$69,$D$70,$D$71,$D$72,$D$73,$D$74,$D$75,$C$56,$C$57,$C$58,$C$59,$C$60),"")</f>
        <v>199873.15570840987</v>
      </c>
      <c r="Y54" s="230" t="s">
        <v>12</v>
      </c>
      <c r="Z54" s="224" t="s">
        <v>35</v>
      </c>
      <c r="AA54" s="227">
        <f>_xll.mirGetDate($C$6,Z54)</f>
        <v>43661</v>
      </c>
      <c r="AB54" s="260">
        <f t="shared" si="47"/>
        <v>3.9199999999999999E-3</v>
      </c>
      <c r="AC54" s="229">
        <f ca="1">IF(NOW(),_xll.mirGetParRate4($C$54,$AA54,$C$55,$C$64,$C$65,$C$66,$C$67,$C$68,$C$69,$C$70,$C$74,$C$75,$D$64,$D$65,$D$66,$D$67,$D$68,$D$69,$D$70,$D$71,$D$72,$D$73,$D$74,$D$75,$C$56,$C$57,$C$58,$D$59,$C$60),"")</f>
        <v>3.9199991911133356E-3</v>
      </c>
      <c r="AD54" s="229">
        <f t="shared" ca="1" si="44"/>
        <v>-8.0888666424694389E-10</v>
      </c>
      <c r="AE54" s="230">
        <f t="shared" ca="1" si="45"/>
        <v>-8.0888666424694389E-6</v>
      </c>
      <c r="AG54" s="230" t="s">
        <v>35</v>
      </c>
      <c r="AH54" s="255">
        <f ca="1">IF(NOW(),_xll.mirSwapPV($C$51,$C$52,$C$54,$AA54,$C$55,$AC54+AH$51,$C$64,$C$65,$C$66,$C$67,$C$68,$C$69,$C$70,$C$74,$C$75,$D$63,$D$64,$D$65,$D$66,$D$67,$D$68,$D$69,$D$70,$D$71,$D$72,$D$73,$D$74,$D$75,$C$56,$C$57,$C$58,$D$59,$C$60),"")</f>
        <v>-199873.1557084099</v>
      </c>
      <c r="AI54" s="255">
        <f ca="1">IF(NOW(),_xll.mirSwapPV($C$51,$C$52,$C$54,$AA54,$C$55,$AC54+AI$51,$C$64,$C$65,$C$66,$C$67,$C$68,$C$69,$C$70,$C$74,$C$75,$D$63,$D$64,$D$65,$D$66,$D$67,$D$68,$D$69,$D$70,$D$71,$D$72,$D$73,$D$74,$D$75,$C$56,$C$57,$C$58,$D$59,$C$60),"")</f>
        <v>-159898.52456672792</v>
      </c>
      <c r="AJ54" s="255">
        <f ca="1">IF(NOW(),_xll.mirSwapPV($C$51,$C$52,$C$54,$AA54,$C$55,$AC54+AJ$51,$C$64,$C$65,$C$66,$C$67,$C$68,$C$69,$C$70,$C$74,$C$75,$D$63,$D$64,$D$65,$D$66,$D$67,$D$68,$D$69,$D$70,$D$71,$D$72,$D$73,$D$74,$D$75,$C$56,$C$57,$C$58,$D$59,$C$60),"")</f>
        <v>-119923.89342504593</v>
      </c>
      <c r="AK54" s="255">
        <f ca="1">IF(NOW(),_xll.mirSwapPV($C$51,$C$52,$C$54,$AA54,$C$55,$AC54+AK$51,$C$64,$C$65,$C$66,$C$67,$C$68,$C$69,$C$70,$C$74,$C$75,$D$63,$D$64,$D$65,$D$66,$D$67,$D$68,$D$69,$D$70,$D$71,$D$72,$D$73,$D$74,$D$75,$C$56,$C$57,$C$58,$D$59,$C$60),"")</f>
        <v>-79949.262283363947</v>
      </c>
      <c r="AL54" s="255">
        <f ca="1">IF(NOW(),_xll.mirSwapPV($C$51,$C$52,$C$54,$AA54,$C$55,$AC54+AL$51,$C$64,$C$65,$C$66,$C$67,$C$68,$C$69,$C$70,$C$74,$C$75,$D$63,$D$64,$D$65,$D$66,$D$67,$D$68,$D$69,$D$70,$D$71,$D$72,$D$73,$D$74,$D$75,$C$56,$C$57,$C$58,$D$59,$C$60),"")</f>
        <v>-39974.631141681966</v>
      </c>
      <c r="AM54" s="255">
        <f ca="1">IF(NOW(),_xll.mirSwapPV($C$51,$C$52,$C$54,$AA54,$C$55,$AC54+AM$51,$C$64,$C$65,$C$66,$C$67,$C$68,$C$69,$C$70,$C$74,$C$75,$D$63,$D$64,$D$65,$D$66,$D$67,$D$68,$D$69,$D$70,$D$71,$D$72,$D$73,$D$74,$D$75,$C$56,$C$57,$C$58,$D$59,$C$60),"")</f>
        <v>0</v>
      </c>
      <c r="AN54" s="255">
        <f ca="1">IF(NOW(),_xll.mirSwapPV($C$51,$C$52,$C$54,$AA54,$C$55,$AC54+AN$51,$C$64,$C$65,$C$66,$C$67,$C$68,$C$69,$C$70,$C$74,$C$75,$D$63,$D$64,$D$65,$D$66,$D$67,$D$68,$D$69,$D$70,$D$71,$D$72,$D$73,$D$74,$D$75,$C$56,$C$57,$C$58,$D$59,$C$60),"")</f>
        <v>39974.631141681981</v>
      </c>
      <c r="AO54" s="255">
        <f ca="1">IF(NOW(),_xll.mirSwapPV($C$51,$C$52,$C$54,$AA54,$C$55,$AC54+AO$51,$C$64,$C$65,$C$66,$C$67,$C$68,$C$69,$C$70,$C$74,$C$75,$D$63,$D$64,$D$65,$D$66,$D$67,$D$68,$D$69,$D$70,$D$71,$D$72,$D$73,$D$74,$D$75,$C$56,$C$57,$C$58,$D$59,$C$60),"")</f>
        <v>79949.262283363962</v>
      </c>
      <c r="AP54" s="255">
        <f ca="1">IF(NOW(),_xll.mirSwapPV($C$51,$C$52,$C$54,$AA54,$C$55,$AC54+AP$51,$C$64,$C$65,$C$66,$C$67,$C$68,$C$69,$C$70,$C$74,$C$75,$D$63,$D$64,$D$65,$D$66,$D$67,$D$68,$D$69,$D$70,$D$71,$D$72,$D$73,$D$74,$D$75,$C$56,$C$57,$C$58,$D$59,$C$60),"")</f>
        <v>119923.89342504593</v>
      </c>
      <c r="AQ54" s="255">
        <f ca="1">IF(NOW(),_xll.mirSwapPV($C$51,$C$52,$C$54,$AA54,$C$55,$AC54+AQ$51,$C$64,$C$65,$C$66,$C$67,$C$68,$C$69,$C$70,$C$74,$C$75,$D$63,$D$64,$D$65,$D$66,$D$67,$D$68,$D$69,$D$70,$D$71,$D$72,$D$73,$D$74,$D$75,$C$56,$C$57,$C$58,$D$59,$C$60),"")</f>
        <v>159898.52456672789</v>
      </c>
      <c r="AR54" s="255">
        <f ca="1">IF(NOW(),_xll.mirSwapPV($C$51,$C$52,$C$54,$AA54,$C$55,$AC54+AR$51,$C$64,$C$65,$C$66,$C$67,$C$68,$C$69,$C$70,$C$74,$C$75,$D$63,$D$64,$D$65,$D$66,$D$67,$D$68,$D$69,$D$70,$D$71,$D$72,$D$73,$D$74,$D$75,$C$56,$C$57,$C$58,$D$59,$C$60),"")</f>
        <v>199873.15570840987</v>
      </c>
    </row>
    <row r="55" spans="2:44">
      <c r="B55" s="234" t="s">
        <v>432</v>
      </c>
      <c r="C55" s="235" t="s">
        <v>315</v>
      </c>
      <c r="D55" s="235"/>
      <c r="F55" s="224" t="s">
        <v>33</v>
      </c>
      <c r="G55" s="227">
        <f>_xll.mirGetDate($C$6,F55)</f>
        <v>44027</v>
      </c>
      <c r="H55" s="260">
        <f t="shared" si="46"/>
        <v>5.6110000000000005E-3</v>
      </c>
      <c r="I55" s="229">
        <f ca="1">IF(NOW(),_xll.mirGetParRate4($C$54,$G55,$C$55,$C$64,$C$65,$C$66,$C$67,$C$68,$C$69,$C$70,$C$74,$C$75,$D$64,$D$65,$D$66,$D$67,$D$68,$D$69,$D$70,$D$71,$D$72,$D$73,$D$74,$D$75,$C$56,$C$57,$C$58,$C$59,$C$60),"")</f>
        <v>5.6109974685727357E-3</v>
      </c>
      <c r="J55" s="229">
        <f t="shared" ca="1" si="42"/>
        <v>-2.5314272648555014E-9</v>
      </c>
      <c r="K55" s="230">
        <f t="shared" ca="1" si="43"/>
        <v>-2.5314272648555014E-5</v>
      </c>
      <c r="L55" s="230" t="s">
        <v>12</v>
      </c>
      <c r="M55" s="230" t="s">
        <v>33</v>
      </c>
      <c r="N55" s="255">
        <f ca="1">IF(NOW(),_xll.mirSwapPV($C$51,$C$52,$C$54,$G55,$C$55,$I55+N$51,$C$64,$C$65,$C$66,$C$67,$C$68,$C$69,$C$70,$C$74,$C$75,$D$63,$D$64,$D$65,$D$66,$D$67,$D$68,$D$69,$D$70,$D$71,$D$72,$D$73,$D$74,$D$75,$C$56,$C$57,$C$58,$C$59,$C$60),"")</f>
        <v>-249096.03223594063</v>
      </c>
      <c r="O55" s="255">
        <f ca="1">IF(NOW(),_xll.mirSwapPV($C$51,$C$52,$C$54,$G55,$C$55,$I55+O$51,$C$64,$C$65,$C$66,$C$67,$C$68,$C$69,$C$70,$C$74,$C$75,$D$63,$D$64,$D$65,$D$66,$D$67,$D$68,$D$69,$D$70,$D$71,$D$72,$D$73,$D$74,$D$75,$C$56,$C$57,$C$58,$C$59,$C$60),"")</f>
        <v>-199276.8257887525</v>
      </c>
      <c r="P55" s="255">
        <f ca="1">IF(NOW(),_xll.mirSwapPV($C$51,$C$52,$C$54,$G55,$C$55,$I55+P$51,$C$64,$C$65,$C$66,$C$67,$C$68,$C$69,$C$70,$C$74,$C$75,$D$63,$D$64,$D$65,$D$66,$D$67,$D$68,$D$69,$D$70,$D$71,$D$72,$D$73,$D$74,$D$75,$C$56,$C$57,$C$58,$C$59,$C$60),"")</f>
        <v>-149457.61934156436</v>
      </c>
      <c r="Q55" s="255">
        <f ca="1">IF(NOW(),_xll.mirSwapPV($C$51,$C$52,$C$54,$G55,$C$55,$I55+Q$51,$C$64,$C$65,$C$66,$C$67,$C$68,$C$69,$C$70,$C$74,$C$75,$D$63,$D$64,$D$65,$D$66,$D$67,$D$68,$D$69,$D$70,$D$71,$D$72,$D$73,$D$74,$D$75,$C$56,$C$57,$C$58,$C$59,$C$60),"")</f>
        <v>-99638.412894376233</v>
      </c>
      <c r="R55" s="255">
        <f ca="1">IF(NOW(),_xll.mirSwapPV($C$51,$C$52,$C$54,$G55,$C$55,$I55+R$51,$C$64,$C$65,$C$66,$C$67,$C$68,$C$69,$C$70,$C$74,$C$75,$D$63,$D$64,$D$65,$D$66,$D$67,$D$68,$D$69,$D$70,$D$71,$D$72,$D$73,$D$74,$D$75,$C$56,$C$57,$C$58,$C$59,$C$60),"")</f>
        <v>-49819.206447188102</v>
      </c>
      <c r="S55" s="255">
        <f ca="1">IF(NOW(),_xll.mirSwapPV($C$51,$C$52,$C$54,$G55,$C$55,$I55+S$51,$C$64,$C$65,$C$66,$C$67,$C$68,$C$69,$C$70,$C$74,$C$75,$D$63,$D$64,$D$65,$D$66,$D$67,$D$68,$D$69,$D$70,$D$71,$D$72,$D$73,$D$74,$D$75,$C$56,$C$57,$C$58,$C$59,$C$60),"")</f>
        <v>0</v>
      </c>
      <c r="T55" s="255">
        <f ca="1">IF(NOW(),_xll.mirSwapPV($C$51,$C$52,$C$54,$G55,$C$55,$I55+T$51,$C$64,$C$65,$C$66,$C$67,$C$68,$C$69,$C$70,$C$74,$C$75,$D$63,$D$64,$D$65,$D$66,$D$67,$D$68,$D$69,$D$70,$D$71,$D$72,$D$73,$D$74,$D$75,$C$56,$C$57,$C$58,$C$59,$C$60),"")</f>
        <v>49819.206447188124</v>
      </c>
      <c r="U55" s="255">
        <f ca="1">IF(NOW(),_xll.mirSwapPV($C$51,$C$52,$C$54,$G55,$C$55,$I55+U$51,$C$64,$C$65,$C$66,$C$67,$C$68,$C$69,$C$70,$C$74,$C$75,$D$63,$D$64,$D$65,$D$66,$D$67,$D$68,$D$69,$D$70,$D$71,$D$72,$D$73,$D$74,$D$75,$C$56,$C$57,$C$58,$C$59,$C$60),"")</f>
        <v>99638.412894376248</v>
      </c>
      <c r="V55" s="255">
        <f ca="1">IF(NOW(),_xll.mirSwapPV($C$51,$C$52,$C$54,$G55,$C$55,$I55+V$51,$C$64,$C$65,$C$66,$C$67,$C$68,$C$69,$C$70,$C$74,$C$75,$D$63,$D$64,$D$65,$D$66,$D$67,$D$68,$D$69,$D$70,$D$71,$D$72,$D$73,$D$74,$D$75,$C$56,$C$57,$C$58,$C$59,$C$60),"")</f>
        <v>149457.61934156436</v>
      </c>
      <c r="W55" s="255">
        <f ca="1">IF(NOW(),_xll.mirSwapPV($C$51,$C$52,$C$54,$G55,$C$55,$I55+W$51,$C$64,$C$65,$C$66,$C$67,$C$68,$C$69,$C$70,$C$74,$C$75,$D$63,$D$64,$D$65,$D$66,$D$67,$D$68,$D$69,$D$70,$D$71,$D$72,$D$73,$D$74,$D$75,$C$56,$C$57,$C$58,$C$59,$C$60),"")</f>
        <v>199276.8257887525</v>
      </c>
      <c r="X55" s="255">
        <f ca="1">IF(NOW(),_xll.mirSwapPV($C$51,$C$52,$C$54,$G55,$C$55,$I55+X$51,$C$64,$C$65,$C$66,$C$67,$C$68,$C$69,$C$70,$C$74,$C$75,$D$63,$D$64,$D$65,$D$66,$D$67,$D$68,$D$69,$D$70,$D$71,$D$72,$D$73,$D$74,$D$75,$C$56,$C$57,$C$58,$C$59,$C$60),"")</f>
        <v>249096.03223594066</v>
      </c>
      <c r="Y55" s="230" t="s">
        <v>12</v>
      </c>
      <c r="Z55" s="224" t="s">
        <v>33</v>
      </c>
      <c r="AA55" s="227">
        <f>_xll.mirGetDate($C$6,Z55)</f>
        <v>44027</v>
      </c>
      <c r="AB55" s="260">
        <f t="shared" si="47"/>
        <v>5.6110000000000005E-3</v>
      </c>
      <c r="AC55" s="229">
        <f ca="1">IF(NOW(),_xll.mirGetParRate4($C$54,$AA55,$C$55,$C$64,$C$65,$C$66,$C$67,$C$68,$C$69,$C$70,$C$74,$C$75,$D$64,$D$65,$D$66,$D$67,$D$68,$D$69,$D$70,$D$71,$D$72,$D$73,$D$74,$D$75,$C$56,$C$57,$C$58,$D$59,$C$60),"")</f>
        <v>5.6109974685727383E-3</v>
      </c>
      <c r="AD55" s="229">
        <f t="shared" ca="1" si="44"/>
        <v>-2.5314272622534162E-9</v>
      </c>
      <c r="AE55" s="230">
        <f t="shared" ca="1" si="45"/>
        <v>-2.5314272622534162E-5</v>
      </c>
      <c r="AG55" s="230" t="s">
        <v>33</v>
      </c>
      <c r="AH55" s="255">
        <f ca="1">IF(NOW(),_xll.mirSwapPV($C$51,$C$52,$C$54,$AA55,$C$55,$AC55+AH$51,$C$64,$C$65,$C$66,$C$67,$C$68,$C$69,$C$70,$C$74,$C$75,$D$63,$D$64,$D$65,$D$66,$D$67,$D$68,$D$69,$D$70,$D$71,$D$72,$D$73,$D$74,$D$75,$C$56,$C$57,$C$58,$D$59,$C$60),"")</f>
        <v>-249096.03223594063</v>
      </c>
      <c r="AI55" s="255">
        <f ca="1">IF(NOW(),_xll.mirSwapPV($C$51,$C$52,$C$54,$AA55,$C$55,$AC55+AI$51,$C$64,$C$65,$C$66,$C$67,$C$68,$C$69,$C$70,$C$74,$C$75,$D$63,$D$64,$D$65,$D$66,$D$67,$D$68,$D$69,$D$70,$D$71,$D$72,$D$73,$D$74,$D$75,$C$56,$C$57,$C$58,$D$59,$C$60),"")</f>
        <v>-199276.8257887525</v>
      </c>
      <c r="AJ55" s="255">
        <f ca="1">IF(NOW(),_xll.mirSwapPV($C$51,$C$52,$C$54,$AA55,$C$55,$AC55+AJ$51,$C$64,$C$65,$C$66,$C$67,$C$68,$C$69,$C$70,$C$74,$C$75,$D$63,$D$64,$D$65,$D$66,$D$67,$D$68,$D$69,$D$70,$D$71,$D$72,$D$73,$D$74,$D$75,$C$56,$C$57,$C$58,$D$59,$C$60),"")</f>
        <v>-149457.61934156436</v>
      </c>
      <c r="AK55" s="255">
        <f ca="1">IF(NOW(),_xll.mirSwapPV($C$51,$C$52,$C$54,$AA55,$C$55,$AC55+AK$51,$C$64,$C$65,$C$66,$C$67,$C$68,$C$69,$C$70,$C$74,$C$75,$D$63,$D$64,$D$65,$D$66,$D$67,$D$68,$D$69,$D$70,$D$71,$D$72,$D$73,$D$74,$D$75,$C$56,$C$57,$C$58,$D$59,$C$60),"")</f>
        <v>-99638.412894376219</v>
      </c>
      <c r="AL55" s="255">
        <f ca="1">IF(NOW(),_xll.mirSwapPV($C$51,$C$52,$C$54,$AA55,$C$55,$AC55+AL$51,$C$64,$C$65,$C$66,$C$67,$C$68,$C$69,$C$70,$C$74,$C$75,$D$63,$D$64,$D$65,$D$66,$D$67,$D$68,$D$69,$D$70,$D$71,$D$72,$D$73,$D$74,$D$75,$C$56,$C$57,$C$58,$D$59,$C$60),"")</f>
        <v>-49819.206447188109</v>
      </c>
      <c r="AM55" s="255">
        <f ca="1">IF(NOW(),_xll.mirSwapPV($C$51,$C$52,$C$54,$AA55,$C$55,$AC55+AM$51,$C$64,$C$65,$C$66,$C$67,$C$68,$C$69,$C$70,$C$74,$C$75,$D$63,$D$64,$D$65,$D$66,$D$67,$D$68,$D$69,$D$70,$D$71,$D$72,$D$73,$D$74,$D$75,$C$56,$C$57,$C$58,$D$59,$C$60),"")</f>
        <v>0</v>
      </c>
      <c r="AN55" s="255">
        <f ca="1">IF(NOW(),_xll.mirSwapPV($C$51,$C$52,$C$54,$AA55,$C$55,$AC55+AN$51,$C$64,$C$65,$C$66,$C$67,$C$68,$C$69,$C$70,$C$74,$C$75,$D$63,$D$64,$D$65,$D$66,$D$67,$D$68,$D$69,$D$70,$D$71,$D$72,$D$73,$D$74,$D$75,$C$56,$C$57,$C$58,$D$59,$C$60),"")</f>
        <v>49819.206447188124</v>
      </c>
      <c r="AO55" s="255">
        <f ca="1">IF(NOW(),_xll.mirSwapPV($C$51,$C$52,$C$54,$AA55,$C$55,$AC55+AO$51,$C$64,$C$65,$C$66,$C$67,$C$68,$C$69,$C$70,$C$74,$C$75,$D$63,$D$64,$D$65,$D$66,$D$67,$D$68,$D$69,$D$70,$D$71,$D$72,$D$73,$D$74,$D$75,$C$56,$C$57,$C$58,$D$59,$C$60),"")</f>
        <v>99638.412894376263</v>
      </c>
      <c r="AP55" s="255">
        <f ca="1">IF(NOW(),_xll.mirSwapPV($C$51,$C$52,$C$54,$AA55,$C$55,$AC55+AP$51,$C$64,$C$65,$C$66,$C$67,$C$68,$C$69,$C$70,$C$74,$C$75,$D$63,$D$64,$D$65,$D$66,$D$67,$D$68,$D$69,$D$70,$D$71,$D$72,$D$73,$D$74,$D$75,$C$56,$C$57,$C$58,$D$59,$C$60),"")</f>
        <v>149457.61934156436</v>
      </c>
      <c r="AQ55" s="255">
        <f ca="1">IF(NOW(),_xll.mirSwapPV($C$51,$C$52,$C$54,$AA55,$C$55,$AC55+AQ$51,$C$64,$C$65,$C$66,$C$67,$C$68,$C$69,$C$70,$C$74,$C$75,$D$63,$D$64,$D$65,$D$66,$D$67,$D$68,$D$69,$D$70,$D$71,$D$72,$D$73,$D$74,$D$75,$C$56,$C$57,$C$58,$D$59,$C$60),"")</f>
        <v>199276.8257887525</v>
      </c>
      <c r="AR55" s="255">
        <f ca="1">IF(NOW(),_xll.mirSwapPV($C$51,$C$52,$C$54,$AA55,$C$55,$AC55+AR$51,$C$64,$C$65,$C$66,$C$67,$C$68,$C$69,$C$70,$C$74,$C$75,$D$63,$D$64,$D$65,$D$66,$D$67,$D$68,$D$69,$D$70,$D$71,$D$72,$D$73,$D$74,$D$75,$C$56,$C$57,$C$58,$D$59,$C$60),"")</f>
        <v>249096.03223594063</v>
      </c>
    </row>
    <row r="56" spans="2:44">
      <c r="B56" s="234" t="s">
        <v>4</v>
      </c>
      <c r="C56" s="235" t="s">
        <v>433</v>
      </c>
      <c r="D56" s="235"/>
      <c r="F56" s="224" t="s">
        <v>131</v>
      </c>
      <c r="G56" s="227">
        <f>_xll.mirGetDate($C$6,F56)</f>
        <v>44392</v>
      </c>
      <c r="H56" s="260">
        <f t="shared" si="46"/>
        <v>7.3000000000000001E-3</v>
      </c>
      <c r="I56" s="229">
        <f ca="1">IF(NOW(),_xll.mirGetParRate4($C$54,$G56,$C$55,$C$64,$C$65,$C$66,$C$67,$C$68,$C$69,$C$70,$C$74,$C$75,$D$64,$D$65,$D$66,$D$67,$D$68,$D$69,$D$70,$D$71,$D$72,$D$73,$D$74,$D$75,$C$56,$C$57,$C$58,$C$59,$C$60),"")</f>
        <v>7.2999979491817262E-3</v>
      </c>
      <c r="J56" s="229">
        <f t="shared" ca="1" si="42"/>
        <v>-2.0508182738826486E-9</v>
      </c>
      <c r="K56" s="230">
        <f t="shared" ca="1" si="43"/>
        <v>-2.0508182738826486E-5</v>
      </c>
      <c r="L56" s="230" t="s">
        <v>12</v>
      </c>
      <c r="M56" s="230" t="s">
        <v>131</v>
      </c>
      <c r="N56" s="255">
        <f ca="1">IF(NOW(),_xll.mirSwapPV($C$51,$C$52,$C$54,$G56,$C$55,$I56+N$51,$C$64,$C$65,$C$66,$C$67,$C$68,$C$69,$C$70,$C$74,$C$75,$D$63,$D$64,$D$65,$D$66,$D$67,$D$68,$D$69,$D$70,$D$71,$D$72,$D$73,$D$74,$D$75,$C$56,$C$57,$C$58,$C$59,$C$60),"")</f>
        <v>-297667.53869917651</v>
      </c>
      <c r="O56" s="255">
        <f ca="1">IF(NOW(),_xll.mirSwapPV($C$51,$C$52,$C$54,$G56,$C$55,$I56+O$51,$C$64,$C$65,$C$66,$C$67,$C$68,$C$69,$C$70,$C$74,$C$75,$D$63,$D$64,$D$65,$D$66,$D$67,$D$68,$D$69,$D$70,$D$71,$D$72,$D$73,$D$74,$D$75,$C$56,$C$57,$C$58,$C$59,$C$60),"")</f>
        <v>-238134.03095934118</v>
      </c>
      <c r="P56" s="255">
        <f ca="1">IF(NOW(),_xll.mirSwapPV($C$51,$C$52,$C$54,$G56,$C$55,$I56+P$51,$C$64,$C$65,$C$66,$C$67,$C$68,$C$69,$C$70,$C$74,$C$75,$D$63,$D$64,$D$65,$D$66,$D$67,$D$68,$D$69,$D$70,$D$71,$D$72,$D$73,$D$74,$D$75,$C$56,$C$57,$C$58,$C$59,$C$60),"")</f>
        <v>-178600.52321950591</v>
      </c>
      <c r="Q56" s="255">
        <f ca="1">IF(NOW(),_xll.mirSwapPV($C$51,$C$52,$C$54,$G56,$C$55,$I56+Q$51,$C$64,$C$65,$C$66,$C$67,$C$68,$C$69,$C$70,$C$74,$C$75,$D$63,$D$64,$D$65,$D$66,$D$67,$D$68,$D$69,$D$70,$D$71,$D$72,$D$73,$D$74,$D$75,$C$56,$C$57,$C$58,$C$59,$C$60),"")</f>
        <v>-119067.01547967059</v>
      </c>
      <c r="R56" s="255">
        <f ca="1">IF(NOW(),_xll.mirSwapPV($C$51,$C$52,$C$54,$G56,$C$55,$I56+R$51,$C$64,$C$65,$C$66,$C$67,$C$68,$C$69,$C$70,$C$74,$C$75,$D$63,$D$64,$D$65,$D$66,$D$67,$D$68,$D$69,$D$70,$D$71,$D$72,$D$73,$D$74,$D$75,$C$56,$C$57,$C$58,$C$59,$C$60),"")</f>
        <v>-59533.507739835273</v>
      </c>
      <c r="S56" s="255">
        <f ca="1">IF(NOW(),_xll.mirSwapPV($C$51,$C$52,$C$54,$G56,$C$55,$I56+S$51,$C$64,$C$65,$C$66,$C$67,$C$68,$C$69,$C$70,$C$74,$C$75,$D$63,$D$64,$D$65,$D$66,$D$67,$D$68,$D$69,$D$70,$D$71,$D$72,$D$73,$D$74,$D$75,$C$56,$C$57,$C$58,$C$59,$C$60),"")</f>
        <v>0</v>
      </c>
      <c r="T56" s="255">
        <f ca="1">IF(NOW(),_xll.mirSwapPV($C$51,$C$52,$C$54,$G56,$C$55,$I56+T$51,$C$64,$C$65,$C$66,$C$67,$C$68,$C$69,$C$70,$C$74,$C$75,$D$63,$D$64,$D$65,$D$66,$D$67,$D$68,$D$69,$D$70,$D$71,$D$72,$D$73,$D$74,$D$75,$C$56,$C$57,$C$58,$C$59,$C$60),"")</f>
        <v>59533.507739835302</v>
      </c>
      <c r="U56" s="255">
        <f ca="1">IF(NOW(),_xll.mirSwapPV($C$51,$C$52,$C$54,$G56,$C$55,$I56+U$51,$C$64,$C$65,$C$66,$C$67,$C$68,$C$69,$C$70,$C$74,$C$75,$D$63,$D$64,$D$65,$D$66,$D$67,$D$68,$D$69,$D$70,$D$71,$D$72,$D$73,$D$74,$D$75,$C$56,$C$57,$C$58,$C$59,$C$60),"")</f>
        <v>119067.0154796706</v>
      </c>
      <c r="V56" s="255">
        <f ca="1">IF(NOW(),_xll.mirSwapPV($C$51,$C$52,$C$54,$G56,$C$55,$I56+V$51,$C$64,$C$65,$C$66,$C$67,$C$68,$C$69,$C$70,$C$74,$C$75,$D$63,$D$64,$D$65,$D$66,$D$67,$D$68,$D$69,$D$70,$D$71,$D$72,$D$73,$D$74,$D$75,$C$56,$C$57,$C$58,$C$59,$C$60),"")</f>
        <v>178600.52321950594</v>
      </c>
      <c r="W56" s="255">
        <f ca="1">IF(NOW(),_xll.mirSwapPV($C$51,$C$52,$C$54,$G56,$C$55,$I56+W$51,$C$64,$C$65,$C$66,$C$67,$C$68,$C$69,$C$70,$C$74,$C$75,$D$63,$D$64,$D$65,$D$66,$D$67,$D$68,$D$69,$D$70,$D$71,$D$72,$D$73,$D$74,$D$75,$C$56,$C$57,$C$58,$C$59,$C$60),"")</f>
        <v>238134.03095934121</v>
      </c>
      <c r="X56" s="255">
        <f ca="1">IF(NOW(),_xll.mirSwapPV($C$51,$C$52,$C$54,$G56,$C$55,$I56+X$51,$C$64,$C$65,$C$66,$C$67,$C$68,$C$69,$C$70,$C$74,$C$75,$D$63,$D$64,$D$65,$D$66,$D$67,$D$68,$D$69,$D$70,$D$71,$D$72,$D$73,$D$74,$D$75,$C$56,$C$57,$C$58,$C$59,$C$60),"")</f>
        <v>297667.53869917657</v>
      </c>
      <c r="Y56" s="230" t="s">
        <v>12</v>
      </c>
      <c r="Z56" s="224" t="s">
        <v>131</v>
      </c>
      <c r="AA56" s="227">
        <f>_xll.mirGetDate($C$6,Z56)</f>
        <v>44392</v>
      </c>
      <c r="AB56" s="260">
        <f t="shared" si="47"/>
        <v>7.3000000000000001E-3</v>
      </c>
      <c r="AC56" s="229">
        <f ca="1">IF(NOW(),_xll.mirGetParRate4($C$54,$AA56,$C$55,$C$64,$C$65,$C$66,$C$67,$C$68,$C$69,$C$70,$C$74,$C$75,$D$64,$D$65,$D$66,$D$67,$D$68,$D$69,$D$70,$D$71,$D$72,$D$73,$D$74,$D$75,$C$56,$C$57,$C$58,$D$59,$C$60),"")</f>
        <v>7.2999979491817314E-3</v>
      </c>
      <c r="AD56" s="229">
        <f t="shared" ca="1" si="44"/>
        <v>-2.0508182686784782E-9</v>
      </c>
      <c r="AE56" s="230">
        <f t="shared" ca="1" si="45"/>
        <v>-2.0508182686784782E-5</v>
      </c>
      <c r="AG56" s="230" t="s">
        <v>131</v>
      </c>
      <c r="AH56" s="255">
        <f ca="1">IF(NOW(),_xll.mirSwapPV($C$51,$C$52,$C$54,$AA56,$C$55,$AC56+AH$51,$C$64,$C$65,$C$66,$C$67,$C$68,$C$69,$C$70,$C$74,$C$75,$D$63,$D$64,$D$65,$D$66,$D$67,$D$68,$D$69,$D$70,$D$71,$D$72,$D$73,$D$74,$D$75,$C$56,$C$57,$C$58,$D$59,$C$60),"")</f>
        <v>-297667.53869917657</v>
      </c>
      <c r="AI56" s="255">
        <f ca="1">IF(NOW(),_xll.mirSwapPV($C$51,$C$52,$C$54,$AA56,$C$55,$AC56+AI$51,$C$64,$C$65,$C$66,$C$67,$C$68,$C$69,$C$70,$C$74,$C$75,$D$63,$D$64,$D$65,$D$66,$D$67,$D$68,$D$69,$D$70,$D$71,$D$72,$D$73,$D$74,$D$75,$C$56,$C$57,$C$58,$D$59,$C$60),"")</f>
        <v>-238134.03095934121</v>
      </c>
      <c r="AJ56" s="255">
        <f ca="1">IF(NOW(),_xll.mirSwapPV($C$51,$C$52,$C$54,$AA56,$C$55,$AC56+AJ$51,$C$64,$C$65,$C$66,$C$67,$C$68,$C$69,$C$70,$C$74,$C$75,$D$63,$D$64,$D$65,$D$66,$D$67,$D$68,$D$69,$D$70,$D$71,$D$72,$D$73,$D$74,$D$75,$C$56,$C$57,$C$58,$D$59,$C$60),"")</f>
        <v>-178600.52321950591</v>
      </c>
      <c r="AK56" s="255">
        <f ca="1">IF(NOW(),_xll.mirSwapPV($C$51,$C$52,$C$54,$AA56,$C$55,$AC56+AK$51,$C$64,$C$65,$C$66,$C$67,$C$68,$C$69,$C$70,$C$74,$C$75,$D$63,$D$64,$D$65,$D$66,$D$67,$D$68,$D$69,$D$70,$D$71,$D$72,$D$73,$D$74,$D$75,$C$56,$C$57,$C$58,$D$59,$C$60),"")</f>
        <v>-119067.01547967058</v>
      </c>
      <c r="AL56" s="255">
        <f ca="1">IF(NOW(),_xll.mirSwapPV($C$51,$C$52,$C$54,$AA56,$C$55,$AC56+AL$51,$C$64,$C$65,$C$66,$C$67,$C$68,$C$69,$C$70,$C$74,$C$75,$D$63,$D$64,$D$65,$D$66,$D$67,$D$68,$D$69,$D$70,$D$71,$D$72,$D$73,$D$74,$D$75,$C$56,$C$57,$C$58,$D$59,$C$60),"")</f>
        <v>-59533.507739835281</v>
      </c>
      <c r="AM56" s="255">
        <f ca="1">IF(NOW(),_xll.mirSwapPV($C$51,$C$52,$C$54,$AA56,$C$55,$AC56+AM$51,$C$64,$C$65,$C$66,$C$67,$C$68,$C$69,$C$70,$C$74,$C$75,$D$63,$D$64,$D$65,$D$66,$D$67,$D$68,$D$69,$D$70,$D$71,$D$72,$D$73,$D$74,$D$75,$C$56,$C$57,$C$58,$D$59,$C$60),"")</f>
        <v>0</v>
      </c>
      <c r="AN56" s="255">
        <f ca="1">IF(NOW(),_xll.mirSwapPV($C$51,$C$52,$C$54,$AA56,$C$55,$AC56+AN$51,$C$64,$C$65,$C$66,$C$67,$C$68,$C$69,$C$70,$C$74,$C$75,$D$63,$D$64,$D$65,$D$66,$D$67,$D$68,$D$69,$D$70,$D$71,$D$72,$D$73,$D$74,$D$75,$C$56,$C$57,$C$58,$D$59,$C$60),"")</f>
        <v>59533.507739835295</v>
      </c>
      <c r="AO56" s="255">
        <f ca="1">IF(NOW(),_xll.mirSwapPV($C$51,$C$52,$C$54,$AA56,$C$55,$AC56+AO$51,$C$64,$C$65,$C$66,$C$67,$C$68,$C$69,$C$70,$C$74,$C$75,$D$63,$D$64,$D$65,$D$66,$D$67,$D$68,$D$69,$D$70,$D$71,$D$72,$D$73,$D$74,$D$75,$C$56,$C$57,$C$58,$D$59,$C$60),"")</f>
        <v>119067.0154796706</v>
      </c>
      <c r="AP56" s="255">
        <f ca="1">IF(NOW(),_xll.mirSwapPV($C$51,$C$52,$C$54,$AA56,$C$55,$AC56+AP$51,$C$64,$C$65,$C$66,$C$67,$C$68,$C$69,$C$70,$C$74,$C$75,$D$63,$D$64,$D$65,$D$66,$D$67,$D$68,$D$69,$D$70,$D$71,$D$72,$D$73,$D$74,$D$75,$C$56,$C$57,$C$58,$D$59,$C$60),"")</f>
        <v>178600.52321950591</v>
      </c>
      <c r="AQ56" s="255">
        <f ca="1">IF(NOW(),_xll.mirSwapPV($C$51,$C$52,$C$54,$AA56,$C$55,$AC56+AQ$51,$C$64,$C$65,$C$66,$C$67,$C$68,$C$69,$C$70,$C$74,$C$75,$D$63,$D$64,$D$65,$D$66,$D$67,$D$68,$D$69,$D$70,$D$71,$D$72,$D$73,$D$74,$D$75,$C$56,$C$57,$C$58,$D$59,$C$60),"")</f>
        <v>238134.03095934118</v>
      </c>
      <c r="AR56" s="255">
        <f ca="1">IF(NOW(),_xll.mirSwapPV($C$51,$C$52,$C$54,$AA56,$C$55,$AC56+AR$51,$C$64,$C$65,$C$66,$C$67,$C$68,$C$69,$C$70,$C$74,$C$75,$D$63,$D$64,$D$65,$D$66,$D$67,$D$68,$D$69,$D$70,$D$71,$D$72,$D$73,$D$74,$D$75,$C$56,$C$57,$C$58,$D$59,$C$60),"")</f>
        <v>297667.53869917651</v>
      </c>
    </row>
    <row r="57" spans="2:44">
      <c r="B57" s="234" t="s">
        <v>434</v>
      </c>
      <c r="C57" s="235" t="s">
        <v>435</v>
      </c>
      <c r="D57" s="235"/>
      <c r="F57" s="224" t="s">
        <v>31</v>
      </c>
      <c r="G57" s="227">
        <f>_xll.mirGetDate($C$6,F57)</f>
        <v>44757</v>
      </c>
      <c r="H57" s="260">
        <f t="shared" si="46"/>
        <v>8.9020000000000002E-3</v>
      </c>
      <c r="I57" s="229">
        <f ca="1">IF(NOW(),_xll.mirGetParRate4($C$54,$G57,$C$55,$C$64,$C$65,$C$66,$C$67,$C$68,$C$69,$C$70,$C$74,$C$75,$D$64,$D$65,$D$66,$D$67,$D$68,$D$69,$D$70,$D$71,$D$72,$D$73,$D$74,$D$75,$C$56,$C$57,$C$58,$C$59,$C$60),"")</f>
        <v>8.9019960214639336E-3</v>
      </c>
      <c r="J57" s="229">
        <f t="shared" ca="1" si="42"/>
        <v>-3.9785360665678393E-9</v>
      </c>
      <c r="K57" s="230">
        <f t="shared" ca="1" si="43"/>
        <v>-3.9785360665678393E-5</v>
      </c>
      <c r="L57" s="230" t="s">
        <v>12</v>
      </c>
      <c r="M57" s="230" t="s">
        <v>31</v>
      </c>
      <c r="N57" s="255">
        <f ca="1">IF(NOW(),_xll.mirSwapPV($C$51,$C$52,$C$54,$G57,$C$55,$I57+N$51,$C$64,$C$65,$C$66,$C$67,$C$68,$C$69,$C$70,$C$74,$C$75,$D$63,$D$64,$D$65,$D$66,$D$67,$D$68,$D$69,$D$70,$D$71,$D$72,$D$73,$D$74,$D$75,$C$56,$C$57,$C$58,$C$59,$C$60),"")</f>
        <v>-345445.58092836302</v>
      </c>
      <c r="O57" s="255">
        <f ca="1">IF(NOW(),_xll.mirSwapPV($C$51,$C$52,$C$54,$G57,$C$55,$I57+O$51,$C$64,$C$65,$C$66,$C$67,$C$68,$C$69,$C$70,$C$74,$C$75,$D$63,$D$64,$D$65,$D$66,$D$67,$D$68,$D$69,$D$70,$D$71,$D$72,$D$73,$D$74,$D$75,$C$56,$C$57,$C$58,$C$59,$C$60),"")</f>
        <v>-276356.46474269044</v>
      </c>
      <c r="P57" s="255">
        <f ca="1">IF(NOW(),_xll.mirSwapPV($C$51,$C$52,$C$54,$G57,$C$55,$I57+P$51,$C$64,$C$65,$C$66,$C$67,$C$68,$C$69,$C$70,$C$74,$C$75,$D$63,$D$64,$D$65,$D$66,$D$67,$D$68,$D$69,$D$70,$D$71,$D$72,$D$73,$D$74,$D$75,$C$56,$C$57,$C$58,$C$59,$C$60),"")</f>
        <v>-207267.34855701777</v>
      </c>
      <c r="Q57" s="255">
        <f ca="1">IF(NOW(),_xll.mirSwapPV($C$51,$C$52,$C$54,$G57,$C$55,$I57+Q$51,$C$64,$C$65,$C$66,$C$67,$C$68,$C$69,$C$70,$C$74,$C$75,$D$63,$D$64,$D$65,$D$66,$D$67,$D$68,$D$69,$D$70,$D$71,$D$72,$D$73,$D$74,$D$75,$C$56,$C$57,$C$58,$C$59,$C$60),"")</f>
        <v>-138178.23237134519</v>
      </c>
      <c r="R57" s="255">
        <f ca="1">IF(NOW(),_xll.mirSwapPV($C$51,$C$52,$C$54,$G57,$C$55,$I57+R$51,$C$64,$C$65,$C$66,$C$67,$C$68,$C$69,$C$70,$C$74,$C$75,$D$63,$D$64,$D$65,$D$66,$D$67,$D$68,$D$69,$D$70,$D$71,$D$72,$D$73,$D$74,$D$75,$C$56,$C$57,$C$58,$C$59,$C$60),"")</f>
        <v>-69089.116185672581</v>
      </c>
      <c r="S57" s="255">
        <f ca="1">IF(NOW(),_xll.mirSwapPV($C$51,$C$52,$C$54,$G57,$C$55,$I57+S$51,$C$64,$C$65,$C$66,$C$67,$C$68,$C$69,$C$70,$C$74,$C$75,$D$63,$D$64,$D$65,$D$66,$D$67,$D$68,$D$69,$D$70,$D$71,$D$72,$D$73,$D$74,$D$75,$C$56,$C$57,$C$58,$C$59,$C$60),"")</f>
        <v>-6.9388939039072284E-12</v>
      </c>
      <c r="T57" s="255">
        <f ca="1">IF(NOW(),_xll.mirSwapPV($C$51,$C$52,$C$54,$G57,$C$55,$I57+T$51,$C$64,$C$65,$C$66,$C$67,$C$68,$C$69,$C$70,$C$74,$C$75,$D$63,$D$64,$D$65,$D$66,$D$67,$D$68,$D$69,$D$70,$D$71,$D$72,$D$73,$D$74,$D$75,$C$56,$C$57,$C$58,$C$59,$C$60),"")</f>
        <v>69089.116185672581</v>
      </c>
      <c r="U57" s="255">
        <f ca="1">IF(NOW(),_xll.mirSwapPV($C$51,$C$52,$C$54,$G57,$C$55,$I57+U$51,$C$64,$C$65,$C$66,$C$67,$C$68,$C$69,$C$70,$C$74,$C$75,$D$63,$D$64,$D$65,$D$66,$D$67,$D$68,$D$69,$D$70,$D$71,$D$72,$D$73,$D$74,$D$75,$C$56,$C$57,$C$58,$C$59,$C$60),"")</f>
        <v>138178.23237134519</v>
      </c>
      <c r="V57" s="255">
        <f ca="1">IF(NOW(),_xll.mirSwapPV($C$51,$C$52,$C$54,$G57,$C$55,$I57+V$51,$C$64,$C$65,$C$66,$C$67,$C$68,$C$69,$C$70,$C$74,$C$75,$D$63,$D$64,$D$65,$D$66,$D$67,$D$68,$D$69,$D$70,$D$71,$D$72,$D$73,$D$74,$D$75,$C$56,$C$57,$C$58,$C$59,$C$60),"")</f>
        <v>207267.34855701777</v>
      </c>
      <c r="W57" s="255">
        <f ca="1">IF(NOW(),_xll.mirSwapPV($C$51,$C$52,$C$54,$G57,$C$55,$I57+W$51,$C$64,$C$65,$C$66,$C$67,$C$68,$C$69,$C$70,$C$74,$C$75,$D$63,$D$64,$D$65,$D$66,$D$67,$D$68,$D$69,$D$70,$D$71,$D$72,$D$73,$D$74,$D$75,$C$56,$C$57,$C$58,$C$59,$C$60),"")</f>
        <v>276356.46474269038</v>
      </c>
      <c r="X57" s="255">
        <f ca="1">IF(NOW(),_xll.mirSwapPV($C$51,$C$52,$C$54,$G57,$C$55,$I57+X$51,$C$64,$C$65,$C$66,$C$67,$C$68,$C$69,$C$70,$C$74,$C$75,$D$63,$D$64,$D$65,$D$66,$D$67,$D$68,$D$69,$D$70,$D$71,$D$72,$D$73,$D$74,$D$75,$C$56,$C$57,$C$58,$C$59,$C$60),"")</f>
        <v>345445.58092836302</v>
      </c>
      <c r="Y57" s="230" t="s">
        <v>12</v>
      </c>
      <c r="Z57" s="224" t="s">
        <v>31</v>
      </c>
      <c r="AA57" s="227">
        <f>_xll.mirGetDate($C$6,Z57)</f>
        <v>44757</v>
      </c>
      <c r="AB57" s="260">
        <f t="shared" si="47"/>
        <v>8.9020000000000002E-3</v>
      </c>
      <c r="AC57" s="229">
        <f ca="1">IF(NOW(),_xll.mirGetParRate4($C$54,$AA57,$C$55,$C$64,$C$65,$C$66,$C$67,$C$68,$C$69,$C$70,$C$74,$C$75,$D$64,$D$65,$D$66,$D$67,$D$68,$D$69,$D$70,$D$71,$D$72,$D$73,$D$74,$D$75,$C$56,$C$57,$C$58,$D$59,$C$60),"")</f>
        <v>8.9019960214639319E-3</v>
      </c>
      <c r="AD57" s="229">
        <f t="shared" ca="1" si="44"/>
        <v>-3.9785360683025628E-9</v>
      </c>
      <c r="AE57" s="230">
        <f t="shared" ca="1" si="45"/>
        <v>-3.9785360683025628E-5</v>
      </c>
      <c r="AG57" s="230" t="s">
        <v>31</v>
      </c>
      <c r="AH57" s="255">
        <f ca="1">IF(NOW(),_xll.mirSwapPV($C$51,$C$52,$C$54,$AA57,$C$55,$AC57+AH$51,$C$64,$C$65,$C$66,$C$67,$C$68,$C$69,$C$70,$C$74,$C$75,$D$63,$D$64,$D$65,$D$66,$D$67,$D$68,$D$69,$D$70,$D$71,$D$72,$D$73,$D$74,$D$75,$C$56,$C$57,$C$58,$D$59,$C$60),"")</f>
        <v>-345445.58092836308</v>
      </c>
      <c r="AI57" s="255">
        <f ca="1">IF(NOW(),_xll.mirSwapPV($C$51,$C$52,$C$54,$AA57,$C$55,$AC57+AI$51,$C$64,$C$65,$C$66,$C$67,$C$68,$C$69,$C$70,$C$74,$C$75,$D$63,$D$64,$D$65,$D$66,$D$67,$D$68,$D$69,$D$70,$D$71,$D$72,$D$73,$D$74,$D$75,$C$56,$C$57,$C$58,$D$59,$C$60),"")</f>
        <v>-276356.46474269044</v>
      </c>
      <c r="AJ57" s="255">
        <f ca="1">IF(NOW(),_xll.mirSwapPV($C$51,$C$52,$C$54,$AA57,$C$55,$AC57+AJ$51,$C$64,$C$65,$C$66,$C$67,$C$68,$C$69,$C$70,$C$74,$C$75,$D$63,$D$64,$D$65,$D$66,$D$67,$D$68,$D$69,$D$70,$D$71,$D$72,$D$73,$D$74,$D$75,$C$56,$C$57,$C$58,$D$59,$C$60),"")</f>
        <v>-207267.3485570178</v>
      </c>
      <c r="AK57" s="255">
        <f ca="1">IF(NOW(),_xll.mirSwapPV($C$51,$C$52,$C$54,$AA57,$C$55,$AC57+AK$51,$C$64,$C$65,$C$66,$C$67,$C$68,$C$69,$C$70,$C$74,$C$75,$D$63,$D$64,$D$65,$D$66,$D$67,$D$68,$D$69,$D$70,$D$71,$D$72,$D$73,$D$74,$D$75,$C$56,$C$57,$C$58,$D$59,$C$60),"")</f>
        <v>-138178.23237134519</v>
      </c>
      <c r="AL57" s="255">
        <f ca="1">IF(NOW(),_xll.mirSwapPV($C$51,$C$52,$C$54,$AA57,$C$55,$AC57+AL$51,$C$64,$C$65,$C$66,$C$67,$C$68,$C$69,$C$70,$C$74,$C$75,$D$63,$D$64,$D$65,$D$66,$D$67,$D$68,$D$69,$D$70,$D$71,$D$72,$D$73,$D$74,$D$75,$C$56,$C$57,$C$58,$D$59,$C$60),"")</f>
        <v>-69089.116185672581</v>
      </c>
      <c r="AM57" s="255">
        <f ca="1">IF(NOW(),_xll.mirSwapPV($C$51,$C$52,$C$54,$AA57,$C$55,$AC57+AM$51,$C$64,$C$65,$C$66,$C$67,$C$68,$C$69,$C$70,$C$74,$C$75,$D$63,$D$64,$D$65,$D$66,$D$67,$D$68,$D$69,$D$70,$D$71,$D$72,$D$73,$D$74,$D$75,$C$56,$C$57,$C$58,$D$59,$C$60),"")</f>
        <v>0</v>
      </c>
      <c r="AN57" s="255">
        <f ca="1">IF(NOW(),_xll.mirSwapPV($C$51,$C$52,$C$54,$AA57,$C$55,$AC57+AN$51,$C$64,$C$65,$C$66,$C$67,$C$68,$C$69,$C$70,$C$74,$C$75,$D$63,$D$64,$D$65,$D$66,$D$67,$D$68,$D$69,$D$70,$D$71,$D$72,$D$73,$D$74,$D$75,$C$56,$C$57,$C$58,$D$59,$C$60),"")</f>
        <v>69089.116185672596</v>
      </c>
      <c r="AO57" s="255">
        <f ca="1">IF(NOW(),_xll.mirSwapPV($C$51,$C$52,$C$54,$AA57,$C$55,$AC57+AO$51,$C$64,$C$65,$C$66,$C$67,$C$68,$C$69,$C$70,$C$74,$C$75,$D$63,$D$64,$D$65,$D$66,$D$67,$D$68,$D$69,$D$70,$D$71,$D$72,$D$73,$D$74,$D$75,$C$56,$C$57,$C$58,$D$59,$C$60),"")</f>
        <v>138178.23237134522</v>
      </c>
      <c r="AP57" s="255">
        <f ca="1">IF(NOW(),_xll.mirSwapPV($C$51,$C$52,$C$54,$AA57,$C$55,$AC57+AP$51,$C$64,$C$65,$C$66,$C$67,$C$68,$C$69,$C$70,$C$74,$C$75,$D$63,$D$64,$D$65,$D$66,$D$67,$D$68,$D$69,$D$70,$D$71,$D$72,$D$73,$D$74,$D$75,$C$56,$C$57,$C$58,$D$59,$C$60),"")</f>
        <v>207267.3485570178</v>
      </c>
      <c r="AQ57" s="255">
        <f ca="1">IF(NOW(),_xll.mirSwapPV($C$51,$C$52,$C$54,$AA57,$C$55,$AC57+AQ$51,$C$64,$C$65,$C$66,$C$67,$C$68,$C$69,$C$70,$C$74,$C$75,$D$63,$D$64,$D$65,$D$66,$D$67,$D$68,$D$69,$D$70,$D$71,$D$72,$D$73,$D$74,$D$75,$C$56,$C$57,$C$58,$D$59,$C$60),"")</f>
        <v>276356.46474269038</v>
      </c>
      <c r="AR57" s="255">
        <f ca="1">IF(NOW(),_xll.mirSwapPV($C$51,$C$52,$C$54,$AA57,$C$55,$AC57+AR$51,$C$64,$C$65,$C$66,$C$67,$C$68,$C$69,$C$70,$C$74,$C$75,$D$63,$D$64,$D$65,$D$66,$D$67,$D$68,$D$69,$D$70,$D$71,$D$72,$D$73,$D$74,$D$75,$C$56,$C$57,$C$58,$D$59,$C$60),"")</f>
        <v>345445.58092836296</v>
      </c>
    </row>
    <row r="58" spans="2:44">
      <c r="B58" s="234" t="s">
        <v>436</v>
      </c>
      <c r="C58" s="235" t="s">
        <v>201</v>
      </c>
      <c r="D58" s="235"/>
      <c r="F58" s="224" t="s">
        <v>119</v>
      </c>
      <c r="G58" s="227">
        <f>_xll.mirGetDate($C$6,F58)</f>
        <v>45122</v>
      </c>
      <c r="H58" s="260">
        <f t="shared" si="46"/>
        <v>1.038E-2</v>
      </c>
      <c r="I58" s="229">
        <f ca="1">IF(NOW(),_xll.mirGetParRate4($C$54,$G58,$C$55,$C$64,$C$65,$C$66,$C$67,$C$68,$C$69,$C$70,$C$74,$C$75,$D$64,$D$65,$D$66,$D$67,$D$68,$D$69,$D$70,$D$71,$D$72,$D$73,$D$74,$D$75,$C$56,$C$57,$C$58,$C$59,$C$60),"")</f>
        <v>1.0379997229105721E-2</v>
      </c>
      <c r="J58" s="229">
        <f t="shared" ca="1" si="42"/>
        <v>-2.770894279649494E-9</v>
      </c>
      <c r="K58" s="230">
        <f t="shared" ca="1" si="43"/>
        <v>-2.770894279649494E-5</v>
      </c>
      <c r="L58" s="230" t="s">
        <v>12</v>
      </c>
      <c r="M58" s="230" t="s">
        <v>119</v>
      </c>
      <c r="N58" s="255">
        <f ca="1">IF(NOW(),_xll.mirSwapPV($C$51,$C$52,$C$54,$G58,$C$55,$I58+N$51,$C$64,$C$65,$C$66,$C$67,$C$68,$C$69,$C$70,$C$74,$C$75,$D$63,$D$64,$D$65,$D$66,$D$67,$D$68,$D$69,$D$70,$D$71,$D$72,$D$73,$D$74,$D$75,$C$56,$C$57,$C$58,$C$59,$C$60),"")</f>
        <v>-392585.59739955037</v>
      </c>
      <c r="O58" s="255">
        <f ca="1">IF(NOW(),_xll.mirSwapPV($C$51,$C$52,$C$54,$G58,$C$55,$I58+O$51,$C$64,$C$65,$C$66,$C$67,$C$68,$C$69,$C$70,$C$74,$C$75,$D$63,$D$64,$D$65,$D$66,$D$67,$D$68,$D$69,$D$70,$D$71,$D$72,$D$73,$D$74,$D$75,$C$56,$C$57,$C$58,$C$59,$C$60),"")</f>
        <v>-314068.47791964019</v>
      </c>
      <c r="P58" s="255">
        <f ca="1">IF(NOW(),_xll.mirSwapPV($C$51,$C$52,$C$54,$G58,$C$55,$I58+P$51,$C$64,$C$65,$C$66,$C$67,$C$68,$C$69,$C$70,$C$74,$C$75,$D$63,$D$64,$D$65,$D$66,$D$67,$D$68,$D$69,$D$70,$D$71,$D$72,$D$73,$D$74,$D$75,$C$56,$C$57,$C$58,$C$59,$C$60),"")</f>
        <v>-235551.35843973019</v>
      </c>
      <c r="Q58" s="255">
        <f ca="1">IF(NOW(),_xll.mirSwapPV($C$51,$C$52,$C$54,$G58,$C$55,$I58+Q$51,$C$64,$C$65,$C$66,$C$67,$C$68,$C$69,$C$70,$C$74,$C$75,$D$63,$D$64,$D$65,$D$66,$D$67,$D$68,$D$69,$D$70,$D$71,$D$72,$D$73,$D$74,$D$75,$C$56,$C$57,$C$58,$C$59,$C$60),"")</f>
        <v>-157034.2389598201</v>
      </c>
      <c r="R58" s="255">
        <f ca="1">IF(NOW(),_xll.mirSwapPV($C$51,$C$52,$C$54,$G58,$C$55,$I58+R$51,$C$64,$C$65,$C$66,$C$67,$C$68,$C$69,$C$70,$C$74,$C$75,$D$63,$D$64,$D$65,$D$66,$D$67,$D$68,$D$69,$D$70,$D$71,$D$72,$D$73,$D$74,$D$75,$C$56,$C$57,$C$58,$C$59,$C$60),"")</f>
        <v>-78517.119479910034</v>
      </c>
      <c r="S58" s="255">
        <f ca="1">IF(NOW(),_xll.mirSwapPV($C$51,$C$52,$C$54,$G58,$C$55,$I58+S$51,$C$64,$C$65,$C$66,$C$67,$C$68,$C$69,$C$70,$C$74,$C$75,$D$63,$D$64,$D$65,$D$66,$D$67,$D$68,$D$69,$D$70,$D$71,$D$72,$D$73,$D$74,$D$75,$C$56,$C$57,$C$58,$C$59,$C$60),"")</f>
        <v>0</v>
      </c>
      <c r="T58" s="255">
        <f ca="1">IF(NOW(),_xll.mirSwapPV($C$51,$C$52,$C$54,$G58,$C$55,$I58+T$51,$C$64,$C$65,$C$66,$C$67,$C$68,$C$69,$C$70,$C$74,$C$75,$D$63,$D$64,$D$65,$D$66,$D$67,$D$68,$D$69,$D$70,$D$71,$D$72,$D$73,$D$74,$D$75,$C$56,$C$57,$C$58,$C$59,$C$60),"")</f>
        <v>78517.119479910078</v>
      </c>
      <c r="U58" s="255">
        <f ca="1">IF(NOW(),_xll.mirSwapPV($C$51,$C$52,$C$54,$G58,$C$55,$I58+U$51,$C$64,$C$65,$C$66,$C$67,$C$68,$C$69,$C$70,$C$74,$C$75,$D$63,$D$64,$D$65,$D$66,$D$67,$D$68,$D$69,$D$70,$D$71,$D$72,$D$73,$D$74,$D$75,$C$56,$C$57,$C$58,$C$59,$C$60),"")</f>
        <v>157034.23895982013</v>
      </c>
      <c r="V58" s="255">
        <f ca="1">IF(NOW(),_xll.mirSwapPV($C$51,$C$52,$C$54,$G58,$C$55,$I58+V$51,$C$64,$C$65,$C$66,$C$67,$C$68,$C$69,$C$70,$C$74,$C$75,$D$63,$D$64,$D$65,$D$66,$D$67,$D$68,$D$69,$D$70,$D$71,$D$72,$D$73,$D$74,$D$75,$C$56,$C$57,$C$58,$C$59,$C$60),"")</f>
        <v>235551.35843973019</v>
      </c>
      <c r="W58" s="255">
        <f ca="1">IF(NOW(),_xll.mirSwapPV($C$51,$C$52,$C$54,$G58,$C$55,$I58+W$51,$C$64,$C$65,$C$66,$C$67,$C$68,$C$69,$C$70,$C$74,$C$75,$D$63,$D$64,$D$65,$D$66,$D$67,$D$68,$D$69,$D$70,$D$71,$D$72,$D$73,$D$74,$D$75,$C$56,$C$57,$C$58,$C$59,$C$60),"")</f>
        <v>314068.47791964025</v>
      </c>
      <c r="X58" s="255">
        <f ca="1">IF(NOW(),_xll.mirSwapPV($C$51,$C$52,$C$54,$G58,$C$55,$I58+X$51,$C$64,$C$65,$C$66,$C$67,$C$68,$C$69,$C$70,$C$74,$C$75,$D$63,$D$64,$D$65,$D$66,$D$67,$D$68,$D$69,$D$70,$D$71,$D$72,$D$73,$D$74,$D$75,$C$56,$C$57,$C$58,$C$59,$C$60),"")</f>
        <v>392585.59739955037</v>
      </c>
      <c r="Y58" s="230" t="s">
        <v>12</v>
      </c>
      <c r="Z58" s="224" t="s">
        <v>119</v>
      </c>
      <c r="AA58" s="227">
        <f>_xll.mirGetDate($C$6,Z58)</f>
        <v>45122</v>
      </c>
      <c r="AB58" s="260">
        <f t="shared" si="47"/>
        <v>1.038E-2</v>
      </c>
      <c r="AC58" s="229">
        <f ca="1">IF(NOW(),_xll.mirGetParRate4($C$54,$AA58,$C$55,$C$64,$C$65,$C$66,$C$67,$C$68,$C$69,$C$70,$C$74,$C$75,$D$64,$D$65,$D$66,$D$67,$D$68,$D$69,$D$70,$D$71,$D$72,$D$73,$D$74,$D$75,$C$56,$C$57,$C$58,$D$59,$C$60),"")</f>
        <v>1.0379997229105728E-2</v>
      </c>
      <c r="AD58" s="229">
        <f t="shared" ca="1" si="44"/>
        <v>-2.7708942727106001E-9</v>
      </c>
      <c r="AE58" s="230">
        <f t="shared" ca="1" si="45"/>
        <v>-2.7708942727106001E-5</v>
      </c>
      <c r="AG58" s="230" t="s">
        <v>119</v>
      </c>
      <c r="AH58" s="255">
        <f ca="1">IF(NOW(),_xll.mirSwapPV($C$51,$C$52,$C$54,$AA58,$C$55,$AC58+AH$51,$C$64,$C$65,$C$66,$C$67,$C$68,$C$69,$C$70,$C$74,$C$75,$D$63,$D$64,$D$65,$D$66,$D$67,$D$68,$D$69,$D$70,$D$71,$D$72,$D$73,$D$74,$D$75,$C$56,$C$57,$C$58,$D$59,$C$60),"")</f>
        <v>-392585.59739955037</v>
      </c>
      <c r="AI58" s="255">
        <f ca="1">IF(NOW(),_xll.mirSwapPV($C$51,$C$52,$C$54,$AA58,$C$55,$AC58+AI$51,$C$64,$C$65,$C$66,$C$67,$C$68,$C$69,$C$70,$C$74,$C$75,$D$63,$D$64,$D$65,$D$66,$D$67,$D$68,$D$69,$D$70,$D$71,$D$72,$D$73,$D$74,$D$75,$C$56,$C$57,$C$58,$D$59,$C$60),"")</f>
        <v>-314068.47791964025</v>
      </c>
      <c r="AJ58" s="255">
        <f ca="1">IF(NOW(),_xll.mirSwapPV($C$51,$C$52,$C$54,$AA58,$C$55,$AC58+AJ$51,$C$64,$C$65,$C$66,$C$67,$C$68,$C$69,$C$70,$C$74,$C$75,$D$63,$D$64,$D$65,$D$66,$D$67,$D$68,$D$69,$D$70,$D$71,$D$72,$D$73,$D$74,$D$75,$C$56,$C$57,$C$58,$D$59,$C$60),"")</f>
        <v>-235551.35843973019</v>
      </c>
      <c r="AK58" s="255">
        <f ca="1">IF(NOW(),_xll.mirSwapPV($C$51,$C$52,$C$54,$AA58,$C$55,$AC58+AK$51,$C$64,$C$65,$C$66,$C$67,$C$68,$C$69,$C$70,$C$74,$C$75,$D$63,$D$64,$D$65,$D$66,$D$67,$D$68,$D$69,$D$70,$D$71,$D$72,$D$73,$D$74,$D$75,$C$56,$C$57,$C$58,$D$59,$C$60),"")</f>
        <v>-157034.2389598201</v>
      </c>
      <c r="AL58" s="255">
        <f ca="1">IF(NOW(),_xll.mirSwapPV($C$51,$C$52,$C$54,$AA58,$C$55,$AC58+AL$51,$C$64,$C$65,$C$66,$C$67,$C$68,$C$69,$C$70,$C$74,$C$75,$D$63,$D$64,$D$65,$D$66,$D$67,$D$68,$D$69,$D$70,$D$71,$D$72,$D$73,$D$74,$D$75,$C$56,$C$57,$C$58,$D$59,$C$60),"")</f>
        <v>-78517.119479910034</v>
      </c>
      <c r="AM58" s="255">
        <f ca="1">IF(NOW(),_xll.mirSwapPV($C$51,$C$52,$C$54,$AA58,$C$55,$AC58+AM$51,$C$64,$C$65,$C$66,$C$67,$C$68,$C$69,$C$70,$C$74,$C$75,$D$63,$D$64,$D$65,$D$66,$D$67,$D$68,$D$69,$D$70,$D$71,$D$72,$D$73,$D$74,$D$75,$C$56,$C$57,$C$58,$D$59,$C$60),"")</f>
        <v>0</v>
      </c>
      <c r="AN58" s="255">
        <f ca="1">IF(NOW(),_xll.mirSwapPV($C$51,$C$52,$C$54,$AA58,$C$55,$AC58+AN$51,$C$64,$C$65,$C$66,$C$67,$C$68,$C$69,$C$70,$C$74,$C$75,$D$63,$D$64,$D$65,$D$66,$D$67,$D$68,$D$69,$D$70,$D$71,$D$72,$D$73,$D$74,$D$75,$C$56,$C$57,$C$58,$D$59,$C$60),"")</f>
        <v>78517.119479910049</v>
      </c>
      <c r="AO58" s="255">
        <f ca="1">IF(NOW(),_xll.mirSwapPV($C$51,$C$52,$C$54,$AA58,$C$55,$AC58+AO$51,$C$64,$C$65,$C$66,$C$67,$C$68,$C$69,$C$70,$C$74,$C$75,$D$63,$D$64,$D$65,$D$66,$D$67,$D$68,$D$69,$D$70,$D$71,$D$72,$D$73,$D$74,$D$75,$C$56,$C$57,$C$58,$D$59,$C$60),"")</f>
        <v>157034.2389598201</v>
      </c>
      <c r="AP58" s="255">
        <f ca="1">IF(NOW(),_xll.mirSwapPV($C$51,$C$52,$C$54,$AA58,$C$55,$AC58+AP$51,$C$64,$C$65,$C$66,$C$67,$C$68,$C$69,$C$70,$C$74,$C$75,$D$63,$D$64,$D$65,$D$66,$D$67,$D$68,$D$69,$D$70,$D$71,$D$72,$D$73,$D$74,$D$75,$C$56,$C$57,$C$58,$D$59,$C$60),"")</f>
        <v>235551.35843973019</v>
      </c>
      <c r="AQ58" s="255">
        <f ca="1">IF(NOW(),_xll.mirSwapPV($C$51,$C$52,$C$54,$AA58,$C$55,$AC58+AQ$51,$C$64,$C$65,$C$66,$C$67,$C$68,$C$69,$C$70,$C$74,$C$75,$D$63,$D$64,$D$65,$D$66,$D$67,$D$68,$D$69,$D$70,$D$71,$D$72,$D$73,$D$74,$D$75,$C$56,$C$57,$C$58,$D$59,$C$60),"")</f>
        <v>314068.47791964025</v>
      </c>
      <c r="AR58" s="255">
        <f ca="1">IF(NOW(),_xll.mirSwapPV($C$51,$C$52,$C$54,$AA58,$C$55,$AC58+AR$51,$C$64,$C$65,$C$66,$C$67,$C$68,$C$69,$C$70,$C$74,$C$75,$D$63,$D$64,$D$65,$D$66,$D$67,$D$68,$D$69,$D$70,$D$71,$D$72,$D$73,$D$74,$D$75,$C$56,$C$57,$C$58,$D$59,$C$60),"")</f>
        <v>392585.59739955037</v>
      </c>
    </row>
    <row r="59" spans="2:44">
      <c r="B59" s="234" t="s">
        <v>437</v>
      </c>
      <c r="C59" s="236" t="b">
        <v>1</v>
      </c>
      <c r="D59" s="236" t="b">
        <v>0</v>
      </c>
      <c r="F59" s="224" t="s">
        <v>113</v>
      </c>
      <c r="G59" s="227">
        <f>_xll.mirGetDate($C$6,F59)</f>
        <v>45488</v>
      </c>
      <c r="H59" s="260">
        <f t="shared" si="46"/>
        <v>1.171E-2</v>
      </c>
      <c r="I59" s="229">
        <f ca="1">IF(NOW(),_xll.mirGetParRate4($C$54,$G59,$C$55,$C$64,$C$65,$C$66,$C$67,$C$68,$C$69,$C$70,$C$74,$C$75,$D$64,$D$65,$D$66,$D$67,$D$68,$D$69,$D$70,$D$71,$D$72,$D$73,$D$74,$D$75,$C$56,$C$57,$C$58,$C$59,$C$60),"")</f>
        <v>1.1709995961894653E-2</v>
      </c>
      <c r="J59" s="229">
        <f t="shared" ca="1" si="42"/>
        <v>-4.0381053466320704E-9</v>
      </c>
      <c r="K59" s="230">
        <f t="shared" ca="1" si="43"/>
        <v>-4.0381053466320704E-5</v>
      </c>
      <c r="L59" s="230" t="s">
        <v>12</v>
      </c>
      <c r="M59" s="230" t="s">
        <v>113</v>
      </c>
      <c r="N59" s="255">
        <f ca="1">IF(NOW(),_xll.mirSwapPV($C$51,$C$52,$C$54,$G59,$C$55,$I59+N$51,$C$64,$C$65,$C$66,$C$67,$C$68,$C$69,$C$70,$C$74,$C$75,$D$63,$D$64,$D$65,$D$66,$D$67,$D$68,$D$69,$D$70,$D$71,$D$72,$D$73,$D$74,$D$75,$C$56,$C$57,$C$58,$C$59,$C$60),"")</f>
        <v>-438252.52539896447</v>
      </c>
      <c r="O59" s="255">
        <f ca="1">IF(NOW(),_xll.mirSwapPV($C$51,$C$52,$C$54,$G59,$C$55,$I59+O$51,$C$64,$C$65,$C$66,$C$67,$C$68,$C$69,$C$70,$C$74,$C$75,$D$63,$D$64,$D$65,$D$66,$D$67,$D$68,$D$69,$D$70,$D$71,$D$72,$D$73,$D$74,$D$75,$C$56,$C$57,$C$58,$C$59,$C$60),"")</f>
        <v>-350602.02031917154</v>
      </c>
      <c r="P59" s="255">
        <f ca="1">IF(NOW(),_xll.mirSwapPV($C$51,$C$52,$C$54,$G59,$C$55,$I59+P$51,$C$64,$C$65,$C$66,$C$67,$C$68,$C$69,$C$70,$C$74,$C$75,$D$63,$D$64,$D$65,$D$66,$D$67,$D$68,$D$69,$D$70,$D$71,$D$72,$D$73,$D$74,$D$75,$C$56,$C$57,$C$58,$C$59,$C$60),"")</f>
        <v>-262951.51523937867</v>
      </c>
      <c r="Q59" s="255">
        <f ca="1">IF(NOW(),_xll.mirSwapPV($C$51,$C$52,$C$54,$G59,$C$55,$I59+Q$51,$C$64,$C$65,$C$66,$C$67,$C$68,$C$69,$C$70,$C$74,$C$75,$D$63,$D$64,$D$65,$D$66,$D$67,$D$68,$D$69,$D$70,$D$71,$D$72,$D$73,$D$74,$D$75,$C$56,$C$57,$C$58,$C$59,$C$60),"")</f>
        <v>-175301.01015958577</v>
      </c>
      <c r="R59" s="255">
        <f ca="1">IF(NOW(),_xll.mirSwapPV($C$51,$C$52,$C$54,$G59,$C$55,$I59+R$51,$C$64,$C$65,$C$66,$C$67,$C$68,$C$69,$C$70,$C$74,$C$75,$D$63,$D$64,$D$65,$D$66,$D$67,$D$68,$D$69,$D$70,$D$71,$D$72,$D$73,$D$74,$D$75,$C$56,$C$57,$C$58,$C$59,$C$60),"")</f>
        <v>-87650.505079792856</v>
      </c>
      <c r="S59" s="255">
        <f ca="1">IF(NOW(),_xll.mirSwapPV($C$51,$C$52,$C$54,$G59,$C$55,$I59+S$51,$C$64,$C$65,$C$66,$C$67,$C$68,$C$69,$C$70,$C$74,$C$75,$D$63,$D$64,$D$65,$D$66,$D$67,$D$68,$D$69,$D$70,$D$71,$D$72,$D$73,$D$74,$D$75,$C$56,$C$57,$C$58,$C$59,$C$60),"")</f>
        <v>1.3877787807814457E-11</v>
      </c>
      <c r="T59" s="255">
        <f ca="1">IF(NOW(),_xll.mirSwapPV($C$51,$C$52,$C$54,$G59,$C$55,$I59+T$51,$C$64,$C$65,$C$66,$C$67,$C$68,$C$69,$C$70,$C$74,$C$75,$D$63,$D$64,$D$65,$D$66,$D$67,$D$68,$D$69,$D$70,$D$71,$D$72,$D$73,$D$74,$D$75,$C$56,$C$57,$C$58,$C$59,$C$60),"")</f>
        <v>87650.5050797929</v>
      </c>
      <c r="U59" s="255">
        <f ca="1">IF(NOW(),_xll.mirSwapPV($C$51,$C$52,$C$54,$G59,$C$55,$I59+U$51,$C$64,$C$65,$C$66,$C$67,$C$68,$C$69,$C$70,$C$74,$C$75,$D$63,$D$64,$D$65,$D$66,$D$67,$D$68,$D$69,$D$70,$D$71,$D$72,$D$73,$D$74,$D$75,$C$56,$C$57,$C$58,$C$59,$C$60),"")</f>
        <v>175301.01015958577</v>
      </c>
      <c r="V59" s="255">
        <f ca="1">IF(NOW(),_xll.mirSwapPV($C$51,$C$52,$C$54,$G59,$C$55,$I59+V$51,$C$64,$C$65,$C$66,$C$67,$C$68,$C$69,$C$70,$C$74,$C$75,$D$63,$D$64,$D$65,$D$66,$D$67,$D$68,$D$69,$D$70,$D$71,$D$72,$D$73,$D$74,$D$75,$C$56,$C$57,$C$58,$C$59,$C$60),"")</f>
        <v>262951.51523937873</v>
      </c>
      <c r="W59" s="255">
        <f ca="1">IF(NOW(),_xll.mirSwapPV($C$51,$C$52,$C$54,$G59,$C$55,$I59+W$51,$C$64,$C$65,$C$66,$C$67,$C$68,$C$69,$C$70,$C$74,$C$75,$D$63,$D$64,$D$65,$D$66,$D$67,$D$68,$D$69,$D$70,$D$71,$D$72,$D$73,$D$74,$D$75,$C$56,$C$57,$C$58,$C$59,$C$60),"")</f>
        <v>350602.0203191716</v>
      </c>
      <c r="X59" s="255">
        <f ca="1">IF(NOW(),_xll.mirSwapPV($C$51,$C$52,$C$54,$G59,$C$55,$I59+X$51,$C$64,$C$65,$C$66,$C$67,$C$68,$C$69,$C$70,$C$74,$C$75,$D$63,$D$64,$D$65,$D$66,$D$67,$D$68,$D$69,$D$70,$D$71,$D$72,$D$73,$D$74,$D$75,$C$56,$C$57,$C$58,$C$59,$C$60),"")</f>
        <v>438252.52539896447</v>
      </c>
      <c r="Y59" s="230" t="s">
        <v>12</v>
      </c>
      <c r="Z59" s="224" t="s">
        <v>113</v>
      </c>
      <c r="AA59" s="227">
        <f>_xll.mirGetDate($C$6,Z59)</f>
        <v>45488</v>
      </c>
      <c r="AB59" s="260">
        <f t="shared" si="47"/>
        <v>1.171E-2</v>
      </c>
      <c r="AC59" s="229">
        <f ca="1">IF(NOW(),_xll.mirGetParRate4($C$54,$AA59,$C$55,$C$64,$C$65,$C$66,$C$67,$C$68,$C$69,$C$70,$C$74,$C$75,$D$64,$D$65,$D$66,$D$67,$D$68,$D$69,$D$70,$D$71,$D$72,$D$73,$D$74,$D$75,$C$56,$C$57,$C$58,$D$59,$C$60),"")</f>
        <v>1.1709995961894643E-2</v>
      </c>
      <c r="AD59" s="229">
        <f t="shared" ca="1" si="44"/>
        <v>-4.0381053570404113E-9</v>
      </c>
      <c r="AE59" s="230">
        <f t="shared" ca="1" si="45"/>
        <v>-4.0381053570404113E-5</v>
      </c>
      <c r="AG59" s="230" t="s">
        <v>113</v>
      </c>
      <c r="AH59" s="255">
        <f ca="1">IF(NOW(),_xll.mirSwapPV($C$51,$C$52,$C$54,$AA59,$C$55,$AC59+AH$51,$C$64,$C$65,$C$66,$C$67,$C$68,$C$69,$C$70,$C$74,$C$75,$D$63,$D$64,$D$65,$D$66,$D$67,$D$68,$D$69,$D$70,$D$71,$D$72,$D$73,$D$74,$D$75,$C$56,$C$57,$C$58,$D$59,$C$60),"")</f>
        <v>-438252.52539896453</v>
      </c>
      <c r="AI59" s="255">
        <f ca="1">IF(NOW(),_xll.mirSwapPV($C$51,$C$52,$C$54,$AA59,$C$55,$AC59+AI$51,$C$64,$C$65,$C$66,$C$67,$C$68,$C$69,$C$70,$C$74,$C$75,$D$63,$D$64,$D$65,$D$66,$D$67,$D$68,$D$69,$D$70,$D$71,$D$72,$D$73,$D$74,$D$75,$C$56,$C$57,$C$58,$D$59,$C$60),"")</f>
        <v>-350602.0203191716</v>
      </c>
      <c r="AJ59" s="255">
        <f ca="1">IF(NOW(),_xll.mirSwapPV($C$51,$C$52,$C$54,$AA59,$C$55,$AC59+AJ$51,$C$64,$C$65,$C$66,$C$67,$C$68,$C$69,$C$70,$C$74,$C$75,$D$63,$D$64,$D$65,$D$66,$D$67,$D$68,$D$69,$D$70,$D$71,$D$72,$D$73,$D$74,$D$75,$C$56,$C$57,$C$58,$D$59,$C$60),"")</f>
        <v>-262951.51523937873</v>
      </c>
      <c r="AK59" s="255">
        <f ca="1">IF(NOW(),_xll.mirSwapPV($C$51,$C$52,$C$54,$AA59,$C$55,$AC59+AK$51,$C$64,$C$65,$C$66,$C$67,$C$68,$C$69,$C$70,$C$74,$C$75,$D$63,$D$64,$D$65,$D$66,$D$67,$D$68,$D$69,$D$70,$D$71,$D$72,$D$73,$D$74,$D$75,$C$56,$C$57,$C$58,$D$59,$C$60),"")</f>
        <v>-175301.01015958577</v>
      </c>
      <c r="AL59" s="255">
        <f ca="1">IF(NOW(),_xll.mirSwapPV($C$51,$C$52,$C$54,$AA59,$C$55,$AC59+AL$51,$C$64,$C$65,$C$66,$C$67,$C$68,$C$69,$C$70,$C$74,$C$75,$D$63,$D$64,$D$65,$D$66,$D$67,$D$68,$D$69,$D$70,$D$71,$D$72,$D$73,$D$74,$D$75,$C$56,$C$57,$C$58,$D$59,$C$60),"")</f>
        <v>-87650.505079792871</v>
      </c>
      <c r="AM59" s="255">
        <f ca="1">IF(NOW(),_xll.mirSwapPV($C$51,$C$52,$C$54,$AA59,$C$55,$AC59+AM$51,$C$64,$C$65,$C$66,$C$67,$C$68,$C$69,$C$70,$C$74,$C$75,$D$63,$D$64,$D$65,$D$66,$D$67,$D$68,$D$69,$D$70,$D$71,$D$72,$D$73,$D$74,$D$75,$C$56,$C$57,$C$58,$D$59,$C$60),"")</f>
        <v>0</v>
      </c>
      <c r="AN59" s="255">
        <f ca="1">IF(NOW(),_xll.mirSwapPV($C$51,$C$52,$C$54,$AA59,$C$55,$AC59+AN$51,$C$64,$C$65,$C$66,$C$67,$C$68,$C$69,$C$70,$C$74,$C$75,$D$63,$D$64,$D$65,$D$66,$D$67,$D$68,$D$69,$D$70,$D$71,$D$72,$D$73,$D$74,$D$75,$C$56,$C$57,$C$58,$D$59,$C$60),"")</f>
        <v>87650.5050797929</v>
      </c>
      <c r="AO59" s="255">
        <f ca="1">IF(NOW(),_xll.mirSwapPV($C$51,$C$52,$C$54,$AA59,$C$55,$AC59+AO$51,$C$64,$C$65,$C$66,$C$67,$C$68,$C$69,$C$70,$C$74,$C$75,$D$63,$D$64,$D$65,$D$66,$D$67,$D$68,$D$69,$D$70,$D$71,$D$72,$D$73,$D$74,$D$75,$C$56,$C$57,$C$58,$D$59,$C$60),"")</f>
        <v>175301.01015958577</v>
      </c>
      <c r="AP59" s="255">
        <f ca="1">IF(NOW(),_xll.mirSwapPV($C$51,$C$52,$C$54,$AA59,$C$55,$AC59+AP$51,$C$64,$C$65,$C$66,$C$67,$C$68,$C$69,$C$70,$C$74,$C$75,$D$63,$D$64,$D$65,$D$66,$D$67,$D$68,$D$69,$D$70,$D$71,$D$72,$D$73,$D$74,$D$75,$C$56,$C$57,$C$58,$D$59,$C$60),"")</f>
        <v>262951.51523937867</v>
      </c>
      <c r="AQ59" s="255">
        <f ca="1">IF(NOW(),_xll.mirSwapPV($C$51,$C$52,$C$54,$AA59,$C$55,$AC59+AQ$51,$C$64,$C$65,$C$66,$C$67,$C$68,$C$69,$C$70,$C$74,$C$75,$D$63,$D$64,$D$65,$D$66,$D$67,$D$68,$D$69,$D$70,$D$71,$D$72,$D$73,$D$74,$D$75,$C$56,$C$57,$C$58,$D$59,$C$60),"")</f>
        <v>350602.02031917154</v>
      </c>
      <c r="AR59" s="255">
        <f ca="1">IF(NOW(),_xll.mirSwapPV($C$51,$C$52,$C$54,$AA59,$C$55,$AC59+AR$51,$C$64,$C$65,$C$66,$C$67,$C$68,$C$69,$C$70,$C$74,$C$75,$D$63,$D$64,$D$65,$D$66,$D$67,$D$68,$D$69,$D$70,$D$71,$D$72,$D$73,$D$74,$D$75,$C$56,$C$57,$C$58,$D$59,$C$60),"")</f>
        <v>438252.52539896441</v>
      </c>
    </row>
    <row r="60" spans="2:44">
      <c r="B60" s="225" t="s">
        <v>438</v>
      </c>
      <c r="C60" s="237" t="b">
        <v>1</v>
      </c>
      <c r="D60" s="237"/>
      <c r="F60" s="224" t="s">
        <v>28</v>
      </c>
      <c r="G60" s="227">
        <f>_xll.mirGetDate($C$6,F60)</f>
        <v>45853</v>
      </c>
      <c r="H60" s="260">
        <f t="shared" si="46"/>
        <v>1.2851999999999999E-2</v>
      </c>
      <c r="I60" s="229">
        <f ca="1">IF(NOW(),_xll.mirGetParRate4($C$54,$G60,$C$55,$C$64,$C$65,$C$66,$C$67,$C$68,$C$69,$C$70,$C$74,$C$75,$D$64,$D$65,$D$66,$D$67,$D$68,$D$69,$D$70,$D$71,$D$72,$D$73,$D$74,$D$75,$C$56,$C$57,$C$58,$C$59,$C$60),"")</f>
        <v>1.285199462772421E-2</v>
      </c>
      <c r="J60" s="229">
        <f t="shared" ca="1" si="42"/>
        <v>-5.3722757891588868E-9</v>
      </c>
      <c r="K60" s="230">
        <f t="shared" ca="1" si="43"/>
        <v>-5.3722757891588868E-5</v>
      </c>
      <c r="L60" s="230" t="s">
        <v>12</v>
      </c>
      <c r="M60" s="230" t="s">
        <v>28</v>
      </c>
      <c r="N60" s="255">
        <f ca="1">IF(NOW(),_xll.mirSwapPV($C$51,$C$52,$C$54,$G60,$C$55,$I60+N$51,$C$64,$C$65,$C$66,$C$67,$C$68,$C$69,$C$70,$C$74,$C$75,$D$63,$D$64,$D$65,$D$66,$D$67,$D$68,$D$69,$D$70,$D$71,$D$72,$D$73,$D$74,$D$75,$C$56,$C$57,$C$58,$C$59,$C$60),"")</f>
        <v>-483168.64497448748</v>
      </c>
      <c r="O60" s="255">
        <f ca="1">IF(NOW(),_xll.mirSwapPV($C$51,$C$52,$C$54,$G60,$C$55,$I60+O$51,$C$64,$C$65,$C$66,$C$67,$C$68,$C$69,$C$70,$C$74,$C$75,$D$63,$D$64,$D$65,$D$66,$D$67,$D$68,$D$69,$D$70,$D$71,$D$72,$D$73,$D$74,$D$75,$C$56,$C$57,$C$58,$C$59,$C$60),"")</f>
        <v>-386534.91597958998</v>
      </c>
      <c r="P60" s="255">
        <f ca="1">IF(NOW(),_xll.mirSwapPV($C$51,$C$52,$C$54,$G60,$C$55,$I60+P$51,$C$64,$C$65,$C$66,$C$67,$C$68,$C$69,$C$70,$C$74,$C$75,$D$63,$D$64,$D$65,$D$66,$D$67,$D$68,$D$69,$D$70,$D$71,$D$72,$D$73,$D$74,$D$75,$C$56,$C$57,$C$58,$C$59,$C$60),"")</f>
        <v>-289901.18698469247</v>
      </c>
      <c r="Q60" s="255">
        <f ca="1">IF(NOW(),_xll.mirSwapPV($C$51,$C$52,$C$54,$G60,$C$55,$I60+Q$51,$C$64,$C$65,$C$66,$C$67,$C$68,$C$69,$C$70,$C$74,$C$75,$D$63,$D$64,$D$65,$D$66,$D$67,$D$68,$D$69,$D$70,$D$71,$D$72,$D$73,$D$74,$D$75,$C$56,$C$57,$C$58,$C$59,$C$60),"")</f>
        <v>-193267.45798979493</v>
      </c>
      <c r="R60" s="255">
        <f ca="1">IF(NOW(),_xll.mirSwapPV($C$51,$C$52,$C$54,$G60,$C$55,$I60+R$51,$C$64,$C$65,$C$66,$C$67,$C$68,$C$69,$C$70,$C$74,$C$75,$D$63,$D$64,$D$65,$D$66,$D$67,$D$68,$D$69,$D$70,$D$71,$D$72,$D$73,$D$74,$D$75,$C$56,$C$57,$C$58,$C$59,$C$60),"")</f>
        <v>-96633.728994897465</v>
      </c>
      <c r="S60" s="255">
        <f ca="1">IF(NOW(),_xll.mirSwapPV($C$51,$C$52,$C$54,$G60,$C$55,$I60+S$51,$C$64,$C$65,$C$66,$C$67,$C$68,$C$69,$C$70,$C$74,$C$75,$D$63,$D$64,$D$65,$D$66,$D$67,$D$68,$D$69,$D$70,$D$71,$D$72,$D$73,$D$74,$D$75,$C$56,$C$57,$C$58,$C$59,$C$60),"")</f>
        <v>0</v>
      </c>
      <c r="T60" s="255">
        <f ca="1">IF(NOW(),_xll.mirSwapPV($C$51,$C$52,$C$54,$G60,$C$55,$I60+T$51,$C$64,$C$65,$C$66,$C$67,$C$68,$C$69,$C$70,$C$74,$C$75,$D$63,$D$64,$D$65,$D$66,$D$67,$D$68,$D$69,$D$70,$D$71,$D$72,$D$73,$D$74,$D$75,$C$56,$C$57,$C$58,$C$59,$C$60),"")</f>
        <v>96633.728994897479</v>
      </c>
      <c r="U60" s="255">
        <f ca="1">IF(NOW(),_xll.mirSwapPV($C$51,$C$52,$C$54,$G60,$C$55,$I60+U$51,$C$64,$C$65,$C$66,$C$67,$C$68,$C$69,$C$70,$C$74,$C$75,$D$63,$D$64,$D$65,$D$66,$D$67,$D$68,$D$69,$D$70,$D$71,$D$72,$D$73,$D$74,$D$75,$C$56,$C$57,$C$58,$C$59,$C$60),"")</f>
        <v>193267.45798979493</v>
      </c>
      <c r="V60" s="255">
        <f ca="1">IF(NOW(),_xll.mirSwapPV($C$51,$C$52,$C$54,$G60,$C$55,$I60+V$51,$C$64,$C$65,$C$66,$C$67,$C$68,$C$69,$C$70,$C$74,$C$75,$D$63,$D$64,$D$65,$D$66,$D$67,$D$68,$D$69,$D$70,$D$71,$D$72,$D$73,$D$74,$D$75,$C$56,$C$57,$C$58,$C$59,$C$60),"")</f>
        <v>289901.18698469247</v>
      </c>
      <c r="W60" s="255">
        <f ca="1">IF(NOW(),_xll.mirSwapPV($C$51,$C$52,$C$54,$G60,$C$55,$I60+W$51,$C$64,$C$65,$C$66,$C$67,$C$68,$C$69,$C$70,$C$74,$C$75,$D$63,$D$64,$D$65,$D$66,$D$67,$D$68,$D$69,$D$70,$D$71,$D$72,$D$73,$D$74,$D$75,$C$56,$C$57,$C$58,$C$59,$C$60),"")</f>
        <v>386534.91597958998</v>
      </c>
      <c r="X60" s="255">
        <f ca="1">IF(NOW(),_xll.mirSwapPV($C$51,$C$52,$C$54,$G60,$C$55,$I60+X$51,$C$64,$C$65,$C$66,$C$67,$C$68,$C$69,$C$70,$C$74,$C$75,$D$63,$D$64,$D$65,$D$66,$D$67,$D$68,$D$69,$D$70,$D$71,$D$72,$D$73,$D$74,$D$75,$C$56,$C$57,$C$58,$C$59,$C$60),"")</f>
        <v>483168.64497448754</v>
      </c>
      <c r="Y60" s="230" t="s">
        <v>12</v>
      </c>
      <c r="Z60" s="224" t="s">
        <v>28</v>
      </c>
      <c r="AA60" s="227">
        <f>_xll.mirGetDate($C$6,Z60)</f>
        <v>45853</v>
      </c>
      <c r="AB60" s="260">
        <f t="shared" si="47"/>
        <v>1.2851999999999999E-2</v>
      </c>
      <c r="AC60" s="229">
        <f ca="1">IF(NOW(),_xll.mirGetParRate4($C$54,$AA60,$C$55,$C$64,$C$65,$C$66,$C$67,$C$68,$C$69,$C$70,$C$74,$C$75,$D$64,$D$65,$D$66,$D$67,$D$68,$D$69,$D$70,$D$71,$D$72,$D$73,$D$74,$D$75,$C$56,$C$57,$C$58,$D$59,$C$60),"")</f>
        <v>1.2851994627724225E-2</v>
      </c>
      <c r="AD60" s="229">
        <f t="shared" ca="1" si="44"/>
        <v>-5.3722757735463755E-9</v>
      </c>
      <c r="AE60" s="230">
        <f t="shared" ca="1" si="45"/>
        <v>-5.3722757735463755E-5</v>
      </c>
      <c r="AG60" s="230" t="s">
        <v>28</v>
      </c>
      <c r="AH60" s="255">
        <f ca="1">IF(NOW(),_xll.mirSwapPV($C$51,$C$52,$C$54,$AA60,$C$55,$AC60+AH$51,$C$64,$C$65,$C$66,$C$67,$C$68,$C$69,$C$70,$C$74,$C$75,$D$63,$D$64,$D$65,$D$66,$D$67,$D$68,$D$69,$D$70,$D$71,$D$72,$D$73,$D$74,$D$75,$C$56,$C$57,$C$58,$D$59,$C$60),"")</f>
        <v>-483168.64497448748</v>
      </c>
      <c r="AI60" s="255">
        <f ca="1">IF(NOW(),_xll.mirSwapPV($C$51,$C$52,$C$54,$AA60,$C$55,$AC60+AI$51,$C$64,$C$65,$C$66,$C$67,$C$68,$C$69,$C$70,$C$74,$C$75,$D$63,$D$64,$D$65,$D$66,$D$67,$D$68,$D$69,$D$70,$D$71,$D$72,$D$73,$D$74,$D$75,$C$56,$C$57,$C$58,$D$59,$C$60),"")</f>
        <v>-386534.91597958992</v>
      </c>
      <c r="AJ60" s="255">
        <f ca="1">IF(NOW(),_xll.mirSwapPV($C$51,$C$52,$C$54,$AA60,$C$55,$AC60+AJ$51,$C$64,$C$65,$C$66,$C$67,$C$68,$C$69,$C$70,$C$74,$C$75,$D$63,$D$64,$D$65,$D$66,$D$67,$D$68,$D$69,$D$70,$D$71,$D$72,$D$73,$D$74,$D$75,$C$56,$C$57,$C$58,$D$59,$C$60),"")</f>
        <v>-289901.18698469247</v>
      </c>
      <c r="AK60" s="255">
        <f ca="1">IF(NOW(),_xll.mirSwapPV($C$51,$C$52,$C$54,$AA60,$C$55,$AC60+AK$51,$C$64,$C$65,$C$66,$C$67,$C$68,$C$69,$C$70,$C$74,$C$75,$D$63,$D$64,$D$65,$D$66,$D$67,$D$68,$D$69,$D$70,$D$71,$D$72,$D$73,$D$74,$D$75,$C$56,$C$57,$C$58,$D$59,$C$60),"")</f>
        <v>-193267.45798979493</v>
      </c>
      <c r="AL60" s="255">
        <f ca="1">IF(NOW(),_xll.mirSwapPV($C$51,$C$52,$C$54,$AA60,$C$55,$AC60+AL$51,$C$64,$C$65,$C$66,$C$67,$C$68,$C$69,$C$70,$C$74,$C$75,$D$63,$D$64,$D$65,$D$66,$D$67,$D$68,$D$69,$D$70,$D$71,$D$72,$D$73,$D$74,$D$75,$C$56,$C$57,$C$58,$D$59,$C$60),"")</f>
        <v>-96633.72899489745</v>
      </c>
      <c r="AM60" s="255">
        <f ca="1">IF(NOW(),_xll.mirSwapPV($C$51,$C$52,$C$54,$AA60,$C$55,$AC60+AM$51,$C$64,$C$65,$C$66,$C$67,$C$68,$C$69,$C$70,$C$74,$C$75,$D$63,$D$64,$D$65,$D$66,$D$67,$D$68,$D$69,$D$70,$D$71,$D$72,$D$73,$D$74,$D$75,$C$56,$C$57,$C$58,$D$59,$C$60),"")</f>
        <v>1.3877787807814457E-11</v>
      </c>
      <c r="AN60" s="255">
        <f ca="1">IF(NOW(),_xll.mirSwapPV($C$51,$C$52,$C$54,$AA60,$C$55,$AC60+AN$51,$C$64,$C$65,$C$66,$C$67,$C$68,$C$69,$C$70,$C$74,$C$75,$D$63,$D$64,$D$65,$D$66,$D$67,$D$68,$D$69,$D$70,$D$71,$D$72,$D$73,$D$74,$D$75,$C$56,$C$57,$C$58,$D$59,$C$60),"")</f>
        <v>96633.728994897509</v>
      </c>
      <c r="AO60" s="255">
        <f ca="1">IF(NOW(),_xll.mirSwapPV($C$51,$C$52,$C$54,$AA60,$C$55,$AC60+AO$51,$C$64,$C$65,$C$66,$C$67,$C$68,$C$69,$C$70,$C$74,$C$75,$D$63,$D$64,$D$65,$D$66,$D$67,$D$68,$D$69,$D$70,$D$71,$D$72,$D$73,$D$74,$D$75,$C$56,$C$57,$C$58,$D$59,$C$60),"")</f>
        <v>193267.45798979505</v>
      </c>
      <c r="AP60" s="255">
        <f ca="1">IF(NOW(),_xll.mirSwapPV($C$51,$C$52,$C$54,$AA60,$C$55,$AC60+AP$51,$C$64,$C$65,$C$66,$C$67,$C$68,$C$69,$C$70,$C$74,$C$75,$D$63,$D$64,$D$65,$D$66,$D$67,$D$68,$D$69,$D$70,$D$71,$D$72,$D$73,$D$74,$D$75,$C$56,$C$57,$C$58,$D$59,$C$60),"")</f>
        <v>289901.18698469247</v>
      </c>
      <c r="AQ60" s="255">
        <f ca="1">IF(NOW(),_xll.mirSwapPV($C$51,$C$52,$C$54,$AA60,$C$55,$AC60+AQ$51,$C$64,$C$65,$C$66,$C$67,$C$68,$C$69,$C$70,$C$74,$C$75,$D$63,$D$64,$D$65,$D$66,$D$67,$D$68,$D$69,$D$70,$D$71,$D$72,$D$73,$D$74,$D$75,$C$56,$C$57,$C$58,$D$59,$C$60),"")</f>
        <v>386534.91597958998</v>
      </c>
      <c r="AR60" s="255">
        <f ca="1">IF(NOW(),_xll.mirSwapPV($C$51,$C$52,$C$54,$AA60,$C$55,$AC60+AR$51,$C$64,$C$65,$C$66,$C$67,$C$68,$C$69,$C$70,$C$74,$C$75,$D$63,$D$64,$D$65,$D$66,$D$67,$D$68,$D$69,$D$70,$D$71,$D$72,$D$73,$D$74,$D$75,$C$56,$C$57,$C$58,$D$59,$C$60),"")</f>
        <v>483168.64497448754</v>
      </c>
    </row>
    <row r="61" spans="2:44">
      <c r="F61" s="224" t="s">
        <v>366</v>
      </c>
      <c r="G61" s="227">
        <f>_xll.mirGetDate($C$6,F61)</f>
        <v>46218</v>
      </c>
      <c r="H61" s="260">
        <f t="shared" si="46"/>
        <v>1.3846000000000001E-2</v>
      </c>
      <c r="I61" s="229">
        <f ca="1">IF(NOW(),_xll.mirGetParRate4($C$54,$G61,$C$55,$C$64,$C$65,$C$66,$C$67,$C$68,$C$69,$C$70,$C$74,$C$75,$D$64,$D$65,$D$66,$D$67,$D$68,$D$69,$D$70,$D$71,$D$72,$D$73,$D$74,$D$75,$C$56,$C$57,$C$58,$C$59,$C$60),"")</f>
        <v>1.3845994522552181E-2</v>
      </c>
      <c r="J61" s="229">
        <f t="shared" ca="1" si="42"/>
        <v>-5.4774478199653975E-9</v>
      </c>
      <c r="K61" s="230">
        <f t="shared" ca="1" si="43"/>
        <v>-5.4774478199653975E-5</v>
      </c>
      <c r="L61" s="230" t="s">
        <v>12</v>
      </c>
      <c r="M61" s="230" t="s">
        <v>366</v>
      </c>
      <c r="N61" s="255">
        <f ca="1">IF(NOW(),_xll.mirSwapPV($C$51,$C$52,$C$54,$G61,$C$55,$I61+N$51,$C$64,$C$65,$C$66,$C$67,$C$68,$C$69,$C$70,$C$74,$C$75,$D$63,$D$64,$D$65,$D$66,$D$67,$D$68,$D$69,$D$70,$D$71,$D$72,$D$73,$D$74,$D$75,$C$56,$C$57,$C$58,$C$59,$C$60),"")</f>
        <v>-527061.76365639444</v>
      </c>
      <c r="O61" s="255">
        <f ca="1">IF(NOW(),_xll.mirSwapPV($C$51,$C$52,$C$54,$G61,$C$55,$I61+O$51,$C$64,$C$65,$C$66,$C$67,$C$68,$C$69,$C$70,$C$74,$C$75,$D$63,$D$64,$D$65,$D$66,$D$67,$D$68,$D$69,$D$70,$D$71,$D$72,$D$73,$D$74,$D$75,$C$56,$C$57,$C$58,$C$59,$C$60),"")</f>
        <v>-421649.41092511552</v>
      </c>
      <c r="P61" s="255">
        <f ca="1">IF(NOW(),_xll.mirSwapPV($C$51,$C$52,$C$54,$G61,$C$55,$I61+P$51,$C$64,$C$65,$C$66,$C$67,$C$68,$C$69,$C$70,$C$74,$C$75,$D$63,$D$64,$D$65,$D$66,$D$67,$D$68,$D$69,$D$70,$D$71,$D$72,$D$73,$D$74,$D$75,$C$56,$C$57,$C$58,$C$59,$C$60),"")</f>
        <v>-316237.05819383665</v>
      </c>
      <c r="Q61" s="255">
        <f ca="1">IF(NOW(),_xll.mirSwapPV($C$51,$C$52,$C$54,$G61,$C$55,$I61+Q$51,$C$64,$C$65,$C$66,$C$67,$C$68,$C$69,$C$70,$C$74,$C$75,$D$63,$D$64,$D$65,$D$66,$D$67,$D$68,$D$69,$D$70,$D$71,$D$72,$D$73,$D$74,$D$75,$C$56,$C$57,$C$58,$C$59,$C$60),"")</f>
        <v>-210824.70546255773</v>
      </c>
      <c r="R61" s="255">
        <f ca="1">IF(NOW(),_xll.mirSwapPV($C$51,$C$52,$C$54,$G61,$C$55,$I61+R$51,$C$64,$C$65,$C$66,$C$67,$C$68,$C$69,$C$70,$C$74,$C$75,$D$63,$D$64,$D$65,$D$66,$D$67,$D$68,$D$69,$D$70,$D$71,$D$72,$D$73,$D$74,$D$75,$C$56,$C$57,$C$58,$C$59,$C$60),"")</f>
        <v>-105412.35273127886</v>
      </c>
      <c r="S61" s="255">
        <f ca="1">IF(NOW(),_xll.mirSwapPV($C$51,$C$52,$C$54,$G61,$C$55,$I61+S$51,$C$64,$C$65,$C$66,$C$67,$C$68,$C$69,$C$70,$C$74,$C$75,$D$63,$D$64,$D$65,$D$66,$D$67,$D$68,$D$69,$D$70,$D$71,$D$72,$D$73,$D$74,$D$75,$C$56,$C$57,$C$58,$C$59,$C$60),"")</f>
        <v>0</v>
      </c>
      <c r="T61" s="255">
        <f ca="1">IF(NOW(),_xll.mirSwapPV($C$51,$C$52,$C$54,$G61,$C$55,$I61+T$51,$C$64,$C$65,$C$66,$C$67,$C$68,$C$69,$C$70,$C$74,$C$75,$D$63,$D$64,$D$65,$D$66,$D$67,$D$68,$D$69,$D$70,$D$71,$D$72,$D$73,$D$74,$D$75,$C$56,$C$57,$C$58,$C$59,$C$60),"")</f>
        <v>105412.35273127888</v>
      </c>
      <c r="U61" s="255">
        <f ca="1">IF(NOW(),_xll.mirSwapPV($C$51,$C$52,$C$54,$G61,$C$55,$I61+U$51,$C$64,$C$65,$C$66,$C$67,$C$68,$C$69,$C$70,$C$74,$C$75,$D$63,$D$64,$D$65,$D$66,$D$67,$D$68,$D$69,$D$70,$D$71,$D$72,$D$73,$D$74,$D$75,$C$56,$C$57,$C$58,$C$59,$C$60),"")</f>
        <v>210824.70546255773</v>
      </c>
      <c r="V61" s="255">
        <f ca="1">IF(NOW(),_xll.mirSwapPV($C$51,$C$52,$C$54,$G61,$C$55,$I61+V$51,$C$64,$C$65,$C$66,$C$67,$C$68,$C$69,$C$70,$C$74,$C$75,$D$63,$D$64,$D$65,$D$66,$D$67,$D$68,$D$69,$D$70,$D$71,$D$72,$D$73,$D$74,$D$75,$C$56,$C$57,$C$58,$C$59,$C$60),"")</f>
        <v>316237.05819383665</v>
      </c>
      <c r="W61" s="255">
        <f ca="1">IF(NOW(),_xll.mirSwapPV($C$51,$C$52,$C$54,$G61,$C$55,$I61+W$51,$C$64,$C$65,$C$66,$C$67,$C$68,$C$69,$C$70,$C$74,$C$75,$D$63,$D$64,$D$65,$D$66,$D$67,$D$68,$D$69,$D$70,$D$71,$D$72,$D$73,$D$74,$D$75,$C$56,$C$57,$C$58,$C$59,$C$60),"")</f>
        <v>421649.41092511563</v>
      </c>
      <c r="X61" s="255">
        <f ca="1">IF(NOW(),_xll.mirSwapPV($C$51,$C$52,$C$54,$G61,$C$55,$I61+X$51,$C$64,$C$65,$C$66,$C$67,$C$68,$C$69,$C$70,$C$74,$C$75,$D$63,$D$64,$D$65,$D$66,$D$67,$D$68,$D$69,$D$70,$D$71,$D$72,$D$73,$D$74,$D$75,$C$56,$C$57,$C$58,$C$59,$C$60),"")</f>
        <v>527061.76365639444</v>
      </c>
      <c r="Y61" s="230" t="s">
        <v>12</v>
      </c>
      <c r="Z61" s="224" t="s">
        <v>366</v>
      </c>
      <c r="AA61" s="227">
        <f>_xll.mirGetDate($C$6,Z61)</f>
        <v>46218</v>
      </c>
      <c r="AB61" s="260">
        <f t="shared" si="47"/>
        <v>1.3846000000000001E-2</v>
      </c>
      <c r="AC61" s="229">
        <f ca="1">IF(NOW(),_xll.mirGetParRate4($C$54,$AA61,$C$55,$C$64,$C$65,$C$66,$C$67,$C$68,$C$69,$C$70,$C$74,$C$75,$D$64,$D$65,$D$66,$D$67,$D$68,$D$69,$D$70,$D$71,$D$72,$D$73,$D$74,$D$75,$C$56,$C$57,$C$58,$D$59,$C$60),"")</f>
        <v>1.38459945225522E-2</v>
      </c>
      <c r="AD61" s="229">
        <f t="shared" ca="1" si="44"/>
        <v>-5.4774478008834393E-9</v>
      </c>
      <c r="AE61" s="230">
        <f t="shared" ca="1" si="45"/>
        <v>-5.4774478008834393E-5</v>
      </c>
      <c r="AG61" s="230" t="s">
        <v>366</v>
      </c>
      <c r="AH61" s="255">
        <f ca="1">IF(NOW(),_xll.mirSwapPV($C$51,$C$52,$C$54,$AA61,$C$55,$AC61+AH$51,$C$64,$C$65,$C$66,$C$67,$C$68,$C$69,$C$70,$C$74,$C$75,$D$63,$D$64,$D$65,$D$66,$D$67,$D$68,$D$69,$D$70,$D$71,$D$72,$D$73,$D$74,$D$75,$C$56,$C$57,$C$58,$D$59,$C$60),"")</f>
        <v>-527061.76365639456</v>
      </c>
      <c r="AI61" s="255">
        <f ca="1">IF(NOW(),_xll.mirSwapPV($C$51,$C$52,$C$54,$AA61,$C$55,$AC61+AI$51,$C$64,$C$65,$C$66,$C$67,$C$68,$C$69,$C$70,$C$74,$C$75,$D$63,$D$64,$D$65,$D$66,$D$67,$D$68,$D$69,$D$70,$D$71,$D$72,$D$73,$D$74,$D$75,$C$56,$C$57,$C$58,$D$59,$C$60),"")</f>
        <v>-421649.41092511552</v>
      </c>
      <c r="AJ61" s="255">
        <f ca="1">IF(NOW(),_xll.mirSwapPV($C$51,$C$52,$C$54,$AA61,$C$55,$AC61+AJ$51,$C$64,$C$65,$C$66,$C$67,$C$68,$C$69,$C$70,$C$74,$C$75,$D$63,$D$64,$D$65,$D$66,$D$67,$D$68,$D$69,$D$70,$D$71,$D$72,$D$73,$D$74,$D$75,$C$56,$C$57,$C$58,$D$59,$C$60),"")</f>
        <v>-316237.05819383665</v>
      </c>
      <c r="AK61" s="255">
        <f ca="1">IF(NOW(),_xll.mirSwapPV($C$51,$C$52,$C$54,$AA61,$C$55,$AC61+AK$51,$C$64,$C$65,$C$66,$C$67,$C$68,$C$69,$C$70,$C$74,$C$75,$D$63,$D$64,$D$65,$D$66,$D$67,$D$68,$D$69,$D$70,$D$71,$D$72,$D$73,$D$74,$D$75,$C$56,$C$57,$C$58,$D$59,$C$60),"")</f>
        <v>-210824.70546255773</v>
      </c>
      <c r="AL61" s="255">
        <f ca="1">IF(NOW(),_xll.mirSwapPV($C$51,$C$52,$C$54,$AA61,$C$55,$AC61+AL$51,$C$64,$C$65,$C$66,$C$67,$C$68,$C$69,$C$70,$C$74,$C$75,$D$63,$D$64,$D$65,$D$66,$D$67,$D$68,$D$69,$D$70,$D$71,$D$72,$D$73,$D$74,$D$75,$C$56,$C$57,$C$58,$D$59,$C$60),"")</f>
        <v>-105412.35273127885</v>
      </c>
      <c r="AM61" s="255">
        <f ca="1">IF(NOW(),_xll.mirSwapPV($C$51,$C$52,$C$54,$AA61,$C$55,$AC61+AM$51,$C$64,$C$65,$C$66,$C$67,$C$68,$C$69,$C$70,$C$74,$C$75,$D$63,$D$64,$D$65,$D$66,$D$67,$D$68,$D$69,$D$70,$D$71,$D$72,$D$73,$D$74,$D$75,$C$56,$C$57,$C$58,$D$59,$C$60),"")</f>
        <v>0</v>
      </c>
      <c r="AN61" s="255">
        <f ca="1">IF(NOW(),_xll.mirSwapPV($C$51,$C$52,$C$54,$AA61,$C$55,$AC61+AN$51,$C$64,$C$65,$C$66,$C$67,$C$68,$C$69,$C$70,$C$74,$C$75,$D$63,$D$64,$D$65,$D$66,$D$67,$D$68,$D$69,$D$70,$D$71,$D$72,$D$73,$D$74,$D$75,$C$56,$C$57,$C$58,$D$59,$C$60),"")</f>
        <v>105412.35273127886</v>
      </c>
      <c r="AO61" s="255">
        <f ca="1">IF(NOW(),_xll.mirSwapPV($C$51,$C$52,$C$54,$AA61,$C$55,$AC61+AO$51,$C$64,$C$65,$C$66,$C$67,$C$68,$C$69,$C$70,$C$74,$C$75,$D$63,$D$64,$D$65,$D$66,$D$67,$D$68,$D$69,$D$70,$D$71,$D$72,$D$73,$D$74,$D$75,$C$56,$C$57,$C$58,$D$59,$C$60),"")</f>
        <v>210824.70546255776</v>
      </c>
      <c r="AP61" s="255">
        <f ca="1">IF(NOW(),_xll.mirSwapPV($C$51,$C$52,$C$54,$AA61,$C$55,$AC61+AP$51,$C$64,$C$65,$C$66,$C$67,$C$68,$C$69,$C$70,$C$74,$C$75,$D$63,$D$64,$D$65,$D$66,$D$67,$D$68,$D$69,$D$70,$D$71,$D$72,$D$73,$D$74,$D$75,$C$56,$C$57,$C$58,$D$59,$C$60),"")</f>
        <v>316237.05819383665</v>
      </c>
      <c r="AQ61" s="255">
        <f ca="1">IF(NOW(),_xll.mirSwapPV($C$51,$C$52,$C$54,$AA61,$C$55,$AC61+AQ$51,$C$64,$C$65,$C$66,$C$67,$C$68,$C$69,$C$70,$C$74,$C$75,$D$63,$D$64,$D$65,$D$66,$D$67,$D$68,$D$69,$D$70,$D$71,$D$72,$D$73,$D$74,$D$75,$C$56,$C$57,$C$58,$D$59,$C$60),"")</f>
        <v>421649.41092511563</v>
      </c>
      <c r="AR61" s="255">
        <f ca="1">IF(NOW(),_xll.mirSwapPV($C$51,$C$52,$C$54,$AA61,$C$55,$AC61+AR$51,$C$64,$C$65,$C$66,$C$67,$C$68,$C$69,$C$70,$C$74,$C$75,$D$63,$D$64,$D$65,$D$66,$D$67,$D$68,$D$69,$D$70,$D$71,$D$72,$D$73,$D$74,$D$75,$C$56,$C$57,$C$58,$D$59,$C$60),"")</f>
        <v>527061.76365639444</v>
      </c>
    </row>
    <row r="62" spans="2:44">
      <c r="B62" t="s">
        <v>439</v>
      </c>
      <c r="C62" s="112" t="s">
        <v>440</v>
      </c>
      <c r="D62" s="112" t="s">
        <v>441</v>
      </c>
      <c r="F62" s="224" t="s">
        <v>26</v>
      </c>
      <c r="G62" s="227">
        <f>_xll.mirGetDate($C$6,F62)</f>
        <v>46583</v>
      </c>
      <c r="H62" s="260">
        <f t="shared" si="46"/>
        <v>1.4710000000000001E-2</v>
      </c>
      <c r="I62" s="229">
        <f ca="1">IF(NOW(),_xll.mirGetParRate4($C$54,$G62,$C$55,$C$64,$C$65,$C$66,$C$67,$C$68,$C$69,$C$70,$C$74,$C$75,$D$64,$D$65,$D$66,$D$67,$D$68,$D$69,$D$70,$D$71,$D$72,$D$73,$D$74,$D$75,$C$56,$C$57,$C$58,$C$59,$C$60),"")</f>
        <v>1.4709997179326445E-2</v>
      </c>
      <c r="J62" s="229">
        <f t="shared" ca="1" si="42"/>
        <v>-2.8206735558367058E-9</v>
      </c>
      <c r="K62" s="230">
        <f t="shared" ca="1" si="43"/>
        <v>-2.8206735558367058E-5</v>
      </c>
      <c r="L62" s="230" t="s">
        <v>12</v>
      </c>
      <c r="M62" s="230" t="s">
        <v>26</v>
      </c>
      <c r="N62" s="255">
        <f ca="1">IF(NOW(),_xll.mirSwapPV($C$51,$C$52,$C$54,$G62,$C$55,$I62+N$51,$C$64,$C$65,$C$66,$C$67,$C$68,$C$69,$C$70,$C$74,$C$75,$D$63,$D$64,$D$65,$D$66,$D$67,$D$68,$D$69,$D$70,$D$71,$D$72,$D$73,$D$74,$D$75,$C$56,$C$57,$C$58,$C$59,$C$60),"")</f>
        <v>-569938.0308485931</v>
      </c>
      <c r="O62" s="255">
        <f ca="1">IF(NOW(),_xll.mirSwapPV($C$51,$C$52,$C$54,$G62,$C$55,$I62+O$51,$C$64,$C$65,$C$66,$C$67,$C$68,$C$69,$C$70,$C$74,$C$75,$D$63,$D$64,$D$65,$D$66,$D$67,$D$68,$D$69,$D$70,$D$71,$D$72,$D$73,$D$74,$D$75,$C$56,$C$57,$C$58,$C$59,$C$60),"")</f>
        <v>-455950.42467887449</v>
      </c>
      <c r="P62" s="255">
        <f ca="1">IF(NOW(),_xll.mirSwapPV($C$51,$C$52,$C$54,$G62,$C$55,$I62+P$51,$C$64,$C$65,$C$66,$C$67,$C$68,$C$69,$C$70,$C$74,$C$75,$D$63,$D$64,$D$65,$D$66,$D$67,$D$68,$D$69,$D$70,$D$71,$D$72,$D$73,$D$74,$D$75,$C$56,$C$57,$C$58,$C$59,$C$60),"")</f>
        <v>-341962.81850915583</v>
      </c>
      <c r="Q62" s="255">
        <f ca="1">IF(NOW(),_xll.mirSwapPV($C$51,$C$52,$C$54,$G62,$C$55,$I62+Q$51,$C$64,$C$65,$C$66,$C$67,$C$68,$C$69,$C$70,$C$74,$C$75,$D$63,$D$64,$D$65,$D$66,$D$67,$D$68,$D$69,$D$70,$D$71,$D$72,$D$73,$D$74,$D$75,$C$56,$C$57,$C$58,$C$59,$C$60),"")</f>
        <v>-227975.21233943719</v>
      </c>
      <c r="R62" s="255">
        <f ca="1">IF(NOW(),_xll.mirSwapPV($C$51,$C$52,$C$54,$G62,$C$55,$I62+R$51,$C$64,$C$65,$C$66,$C$67,$C$68,$C$69,$C$70,$C$74,$C$75,$D$63,$D$64,$D$65,$D$66,$D$67,$D$68,$D$69,$D$70,$D$71,$D$72,$D$73,$D$74,$D$75,$C$56,$C$57,$C$58,$C$59,$C$60),"")</f>
        <v>-113987.60616971858</v>
      </c>
      <c r="S62" s="255">
        <f ca="1">IF(NOW(),_xll.mirSwapPV($C$51,$C$52,$C$54,$G62,$C$55,$I62+S$51,$C$64,$C$65,$C$66,$C$67,$C$68,$C$69,$C$70,$C$74,$C$75,$D$63,$D$64,$D$65,$D$66,$D$67,$D$68,$D$69,$D$70,$D$71,$D$72,$D$73,$D$74,$D$75,$C$56,$C$57,$C$58,$C$59,$C$60),"")</f>
        <v>0</v>
      </c>
      <c r="T62" s="255">
        <f ca="1">IF(NOW(),_xll.mirSwapPV($C$51,$C$52,$C$54,$G62,$C$55,$I62+T$51,$C$64,$C$65,$C$66,$C$67,$C$68,$C$69,$C$70,$C$74,$C$75,$D$63,$D$64,$D$65,$D$66,$D$67,$D$68,$D$69,$D$70,$D$71,$D$72,$D$73,$D$74,$D$75,$C$56,$C$57,$C$58,$C$59,$C$60),"")</f>
        <v>113987.60616971865</v>
      </c>
      <c r="U62" s="255">
        <f ca="1">IF(NOW(),_xll.mirSwapPV($C$51,$C$52,$C$54,$G62,$C$55,$I62+U$51,$C$64,$C$65,$C$66,$C$67,$C$68,$C$69,$C$70,$C$74,$C$75,$D$63,$D$64,$D$65,$D$66,$D$67,$D$68,$D$69,$D$70,$D$71,$D$72,$D$73,$D$74,$D$75,$C$56,$C$57,$C$58,$C$59,$C$60),"")</f>
        <v>227975.2123394373</v>
      </c>
      <c r="V62" s="255">
        <f ca="1">IF(NOW(),_xll.mirSwapPV($C$51,$C$52,$C$54,$G62,$C$55,$I62+V$51,$C$64,$C$65,$C$66,$C$67,$C$68,$C$69,$C$70,$C$74,$C$75,$D$63,$D$64,$D$65,$D$66,$D$67,$D$68,$D$69,$D$70,$D$71,$D$72,$D$73,$D$74,$D$75,$C$56,$C$57,$C$58,$C$59,$C$60),"")</f>
        <v>341962.81850915577</v>
      </c>
      <c r="W62" s="255">
        <f ca="1">IF(NOW(),_xll.mirSwapPV($C$51,$C$52,$C$54,$G62,$C$55,$I62+W$51,$C$64,$C$65,$C$66,$C$67,$C$68,$C$69,$C$70,$C$74,$C$75,$D$63,$D$64,$D$65,$D$66,$D$67,$D$68,$D$69,$D$70,$D$71,$D$72,$D$73,$D$74,$D$75,$C$56,$C$57,$C$58,$C$59,$C$60),"")</f>
        <v>455950.42467887449</v>
      </c>
      <c r="X62" s="255">
        <f ca="1">IF(NOW(),_xll.mirSwapPV($C$51,$C$52,$C$54,$G62,$C$55,$I62+X$51,$C$64,$C$65,$C$66,$C$67,$C$68,$C$69,$C$70,$C$74,$C$75,$D$63,$D$64,$D$65,$D$66,$D$67,$D$68,$D$69,$D$70,$D$71,$D$72,$D$73,$D$74,$D$75,$C$56,$C$57,$C$58,$C$59,$C$60),"")</f>
        <v>569938.0308485931</v>
      </c>
      <c r="Y62" s="230" t="s">
        <v>12</v>
      </c>
      <c r="Z62" s="224" t="s">
        <v>26</v>
      </c>
      <c r="AA62" s="227">
        <f>_xll.mirGetDate($C$6,Z62)</f>
        <v>46583</v>
      </c>
      <c r="AB62" s="260">
        <f t="shared" si="47"/>
        <v>1.4710000000000001E-2</v>
      </c>
      <c r="AC62" s="229">
        <f ca="1">IF(NOW(),_xll.mirGetParRate4($C$54,$AA62,$C$55,$C$64,$C$65,$C$66,$C$67,$C$68,$C$69,$C$70,$C$74,$C$75,$D$64,$D$65,$D$66,$D$67,$D$68,$D$69,$D$70,$D$71,$D$72,$D$73,$D$74,$D$75,$C$56,$C$57,$C$58,$D$59,$C$60),"")</f>
        <v>1.4709997179326455E-2</v>
      </c>
      <c r="AD62" s="229">
        <f t="shared" ca="1" si="44"/>
        <v>-2.8206735454283649E-9</v>
      </c>
      <c r="AE62" s="230">
        <f t="shared" ca="1" si="45"/>
        <v>-2.8206735454283649E-5</v>
      </c>
      <c r="AG62" s="230" t="s">
        <v>26</v>
      </c>
      <c r="AH62" s="255">
        <f ca="1">IF(NOW(),_xll.mirSwapPV($C$51,$C$52,$C$54,$AA62,$C$55,$AC62+AH$51,$C$64,$C$65,$C$66,$C$67,$C$68,$C$69,$C$70,$C$74,$C$75,$D$63,$D$64,$D$65,$D$66,$D$67,$D$68,$D$69,$D$70,$D$71,$D$72,$D$73,$D$74,$D$75,$C$56,$C$57,$C$58,$D$59,$C$60),"")</f>
        <v>-569938.0308485931</v>
      </c>
      <c r="AI62" s="255">
        <f ca="1">IF(NOW(),_xll.mirSwapPV($C$51,$C$52,$C$54,$AA62,$C$55,$AC62+AI$51,$C$64,$C$65,$C$66,$C$67,$C$68,$C$69,$C$70,$C$74,$C$75,$D$63,$D$64,$D$65,$D$66,$D$67,$D$68,$D$69,$D$70,$D$71,$D$72,$D$73,$D$74,$D$75,$C$56,$C$57,$C$58,$D$59,$C$60),"")</f>
        <v>-455950.42467887449</v>
      </c>
      <c r="AJ62" s="255">
        <f ca="1">IF(NOW(),_xll.mirSwapPV($C$51,$C$52,$C$54,$AA62,$C$55,$AC62+AJ$51,$C$64,$C$65,$C$66,$C$67,$C$68,$C$69,$C$70,$C$74,$C$75,$D$63,$D$64,$D$65,$D$66,$D$67,$D$68,$D$69,$D$70,$D$71,$D$72,$D$73,$D$74,$D$75,$C$56,$C$57,$C$58,$D$59,$C$60),"")</f>
        <v>-341962.81850915583</v>
      </c>
      <c r="AK62" s="255">
        <f ca="1">IF(NOW(),_xll.mirSwapPV($C$51,$C$52,$C$54,$AA62,$C$55,$AC62+AK$51,$C$64,$C$65,$C$66,$C$67,$C$68,$C$69,$C$70,$C$74,$C$75,$D$63,$D$64,$D$65,$D$66,$D$67,$D$68,$D$69,$D$70,$D$71,$D$72,$D$73,$D$74,$D$75,$C$56,$C$57,$C$58,$D$59,$C$60),"")</f>
        <v>-227975.21233943719</v>
      </c>
      <c r="AL62" s="255">
        <f ca="1">IF(NOW(),_xll.mirSwapPV($C$51,$C$52,$C$54,$AA62,$C$55,$AC62+AL$51,$C$64,$C$65,$C$66,$C$67,$C$68,$C$69,$C$70,$C$74,$C$75,$D$63,$D$64,$D$65,$D$66,$D$67,$D$68,$D$69,$D$70,$D$71,$D$72,$D$73,$D$74,$D$75,$C$56,$C$57,$C$58,$D$59,$C$60),"")</f>
        <v>-113987.60616971857</v>
      </c>
      <c r="AM62" s="255">
        <f ca="1">IF(NOW(),_xll.mirSwapPV($C$51,$C$52,$C$54,$AA62,$C$55,$AC62+AM$51,$C$64,$C$65,$C$66,$C$67,$C$68,$C$69,$C$70,$C$74,$C$75,$D$63,$D$64,$D$65,$D$66,$D$67,$D$68,$D$69,$D$70,$D$71,$D$72,$D$73,$D$74,$D$75,$C$56,$C$57,$C$58,$D$59,$C$60),"")</f>
        <v>0</v>
      </c>
      <c r="AN62" s="255">
        <f ca="1">IF(NOW(),_xll.mirSwapPV($C$51,$C$52,$C$54,$AA62,$C$55,$AC62+AN$51,$C$64,$C$65,$C$66,$C$67,$C$68,$C$69,$C$70,$C$74,$C$75,$D$63,$D$64,$D$65,$D$66,$D$67,$D$68,$D$69,$D$70,$D$71,$D$72,$D$73,$D$74,$D$75,$C$56,$C$57,$C$58,$D$59,$C$60),"")</f>
        <v>113987.60616971859</v>
      </c>
      <c r="AO62" s="255">
        <f ca="1">IF(NOW(),_xll.mirSwapPV($C$51,$C$52,$C$54,$AA62,$C$55,$AC62+AO$51,$C$64,$C$65,$C$66,$C$67,$C$68,$C$69,$C$70,$C$74,$C$75,$D$63,$D$64,$D$65,$D$66,$D$67,$D$68,$D$69,$D$70,$D$71,$D$72,$D$73,$D$74,$D$75,$C$56,$C$57,$C$58,$D$59,$C$60),"")</f>
        <v>227975.21233943725</v>
      </c>
      <c r="AP62" s="255">
        <f ca="1">IF(NOW(),_xll.mirSwapPV($C$51,$C$52,$C$54,$AA62,$C$55,$AC62+AP$51,$C$64,$C$65,$C$66,$C$67,$C$68,$C$69,$C$70,$C$74,$C$75,$D$63,$D$64,$D$65,$D$66,$D$67,$D$68,$D$69,$D$70,$D$71,$D$72,$D$73,$D$74,$D$75,$C$56,$C$57,$C$58,$D$59,$C$60),"")</f>
        <v>341962.81850915588</v>
      </c>
      <c r="AQ62" s="255">
        <f ca="1">IF(NOW(),_xll.mirSwapPV($C$51,$C$52,$C$54,$AA62,$C$55,$AC62+AQ$51,$C$64,$C$65,$C$66,$C$67,$C$68,$C$69,$C$70,$C$74,$C$75,$D$63,$D$64,$D$65,$D$66,$D$67,$D$68,$D$69,$D$70,$D$71,$D$72,$D$73,$D$74,$D$75,$C$56,$C$57,$C$58,$D$59,$C$60),"")</f>
        <v>455950.42467887449</v>
      </c>
      <c r="AR62" s="255">
        <f ca="1">IF(NOW(),_xll.mirSwapPV($C$51,$C$52,$C$54,$AA62,$C$55,$AC62+AR$51,$C$64,$C$65,$C$66,$C$67,$C$68,$C$69,$C$70,$C$74,$C$75,$D$63,$D$64,$D$65,$D$66,$D$67,$D$68,$D$69,$D$70,$D$71,$D$72,$D$73,$D$74,$D$75,$C$56,$C$57,$C$58,$D$59,$C$60),"")</f>
        <v>569938.03084859322</v>
      </c>
    </row>
    <row r="63" spans="2:44">
      <c r="B63" s="221" t="s">
        <v>442</v>
      </c>
      <c r="C63" s="238">
        <v>0</v>
      </c>
      <c r="D63" s="239">
        <v>0</v>
      </c>
      <c r="F63" s="224" t="s">
        <v>24</v>
      </c>
      <c r="G63" s="227">
        <f>_xll.mirGetDate($C$6,F63)</f>
        <v>47679</v>
      </c>
      <c r="H63" s="260">
        <f t="shared" si="46"/>
        <v>1.6576999999999998E-2</v>
      </c>
      <c r="I63" s="229">
        <f ca="1">IF(NOW(),_xll.mirGetParRate4($C$54,$G63,$C$55,$C$64,$C$65,$C$66,$C$67,$C$68,$C$69,$C$70,$C$74,$C$75,$D$64,$D$65,$D$66,$D$67,$D$68,$D$69,$D$70,$D$71,$D$72,$D$73,$D$74,$D$75,$C$56,$C$57,$C$58,$C$59,$C$60),"")</f>
        <v>1.6577002831123962E-2</v>
      </c>
      <c r="J63" s="229">
        <f t="shared" ca="1" si="42"/>
        <v>2.831123963736859E-9</v>
      </c>
      <c r="K63" s="230">
        <f t="shared" ca="1" si="43"/>
        <v>2.831123963736859E-5</v>
      </c>
      <c r="L63" s="230" t="s">
        <v>12</v>
      </c>
      <c r="M63" s="230" t="s">
        <v>24</v>
      </c>
      <c r="N63" s="255">
        <f ca="1">IF(NOW(),_xll.mirSwapPV($C$51,$C$52,$C$54,$G63,$C$55,$I63+N$51,$C$64,$C$65,$C$66,$C$67,$C$68,$C$69,$C$70,$C$74,$C$75,$D$63,$D$64,$D$65,$D$66,$D$67,$D$68,$D$69,$D$70,$D$71,$D$72,$D$73,$D$74,$D$75,$C$56,$C$57,$C$58,$C$59,$C$60),"")</f>
        <v>-692615.23399544926</v>
      </c>
      <c r="O63" s="255">
        <f ca="1">IF(NOW(),_xll.mirSwapPV($C$51,$C$52,$C$54,$G63,$C$55,$I63+O$51,$C$64,$C$65,$C$66,$C$67,$C$68,$C$69,$C$70,$C$74,$C$75,$D$63,$D$64,$D$65,$D$66,$D$67,$D$68,$D$69,$D$70,$D$71,$D$72,$D$73,$D$74,$D$75,$C$56,$C$57,$C$58,$C$59,$C$60),"")</f>
        <v>-554092.18719635939</v>
      </c>
      <c r="P63" s="255">
        <f ca="1">IF(NOW(),_xll.mirSwapPV($C$51,$C$52,$C$54,$G63,$C$55,$I63+P$51,$C$64,$C$65,$C$66,$C$67,$C$68,$C$69,$C$70,$C$74,$C$75,$D$63,$D$64,$D$65,$D$66,$D$67,$D$68,$D$69,$D$70,$D$71,$D$72,$D$73,$D$74,$D$75,$C$56,$C$57,$C$58,$C$59,$C$60),"")</f>
        <v>-415569.14039726957</v>
      </c>
      <c r="Q63" s="255">
        <f ca="1">IF(NOW(),_xll.mirSwapPV($C$51,$C$52,$C$54,$G63,$C$55,$I63+Q$51,$C$64,$C$65,$C$66,$C$67,$C$68,$C$69,$C$70,$C$74,$C$75,$D$63,$D$64,$D$65,$D$66,$D$67,$D$68,$D$69,$D$70,$D$71,$D$72,$D$73,$D$74,$D$75,$C$56,$C$57,$C$58,$C$59,$C$60),"")</f>
        <v>-277046.09359817969</v>
      </c>
      <c r="R63" s="255">
        <f ca="1">IF(NOW(),_xll.mirSwapPV($C$51,$C$52,$C$54,$G63,$C$55,$I63+R$51,$C$64,$C$65,$C$66,$C$67,$C$68,$C$69,$C$70,$C$74,$C$75,$D$63,$D$64,$D$65,$D$66,$D$67,$D$68,$D$69,$D$70,$D$71,$D$72,$D$73,$D$74,$D$75,$C$56,$C$57,$C$58,$C$59,$C$60),"")</f>
        <v>-138523.04679908982</v>
      </c>
      <c r="S63" s="255">
        <f ca="1">IF(NOW(),_xll.mirSwapPV($C$51,$C$52,$C$54,$G63,$C$55,$I63+S$51,$C$64,$C$65,$C$66,$C$67,$C$68,$C$69,$C$70,$C$74,$C$75,$D$63,$D$64,$D$65,$D$66,$D$67,$D$68,$D$69,$D$70,$D$71,$D$72,$D$73,$D$74,$D$75,$C$56,$C$57,$C$58,$C$59,$C$60),"")</f>
        <v>0</v>
      </c>
      <c r="T63" s="255">
        <f ca="1">IF(NOW(),_xll.mirSwapPV($C$51,$C$52,$C$54,$G63,$C$55,$I63+T$51,$C$64,$C$65,$C$66,$C$67,$C$68,$C$69,$C$70,$C$74,$C$75,$D$63,$D$64,$D$65,$D$66,$D$67,$D$68,$D$69,$D$70,$D$71,$D$72,$D$73,$D$74,$D$75,$C$56,$C$57,$C$58,$C$59,$C$60),"")</f>
        <v>138523.04679908988</v>
      </c>
      <c r="U63" s="255">
        <f ca="1">IF(NOW(),_xll.mirSwapPV($C$51,$C$52,$C$54,$G63,$C$55,$I63+U$51,$C$64,$C$65,$C$66,$C$67,$C$68,$C$69,$C$70,$C$74,$C$75,$D$63,$D$64,$D$65,$D$66,$D$67,$D$68,$D$69,$D$70,$D$71,$D$72,$D$73,$D$74,$D$75,$C$56,$C$57,$C$58,$C$59,$C$60),"")</f>
        <v>277046.09359817969</v>
      </c>
      <c r="V63" s="255">
        <f ca="1">IF(NOW(),_xll.mirSwapPV($C$51,$C$52,$C$54,$G63,$C$55,$I63+V$51,$C$64,$C$65,$C$66,$C$67,$C$68,$C$69,$C$70,$C$74,$C$75,$D$63,$D$64,$D$65,$D$66,$D$67,$D$68,$D$69,$D$70,$D$71,$D$72,$D$73,$D$74,$D$75,$C$56,$C$57,$C$58,$C$59,$C$60),"")</f>
        <v>415569.14039726957</v>
      </c>
      <c r="W63" s="255">
        <f ca="1">IF(NOW(),_xll.mirSwapPV($C$51,$C$52,$C$54,$G63,$C$55,$I63+W$51,$C$64,$C$65,$C$66,$C$67,$C$68,$C$69,$C$70,$C$74,$C$75,$D$63,$D$64,$D$65,$D$66,$D$67,$D$68,$D$69,$D$70,$D$71,$D$72,$D$73,$D$74,$D$75,$C$56,$C$57,$C$58,$C$59,$C$60),"")</f>
        <v>554092.18719635939</v>
      </c>
      <c r="X63" s="255">
        <f ca="1">IF(NOW(),_xll.mirSwapPV($C$51,$C$52,$C$54,$G63,$C$55,$I63+X$51,$C$64,$C$65,$C$66,$C$67,$C$68,$C$69,$C$70,$C$74,$C$75,$D$63,$D$64,$D$65,$D$66,$D$67,$D$68,$D$69,$D$70,$D$71,$D$72,$D$73,$D$74,$D$75,$C$56,$C$57,$C$58,$C$59,$C$60),"")</f>
        <v>692615.23399544938</v>
      </c>
      <c r="Y63" s="230" t="s">
        <v>12</v>
      </c>
      <c r="Z63" s="224" t="s">
        <v>24</v>
      </c>
      <c r="AA63" s="227">
        <f>_xll.mirGetDate($C$6,Z63)</f>
        <v>47679</v>
      </c>
      <c r="AB63" s="260">
        <f t="shared" si="47"/>
        <v>1.6576999999999998E-2</v>
      </c>
      <c r="AC63" s="229">
        <f ca="1">IF(NOW(),_xll.mirGetParRate4($C$54,$AA63,$C$55,$C$64,$C$65,$C$66,$C$67,$C$68,$C$69,$C$70,$C$74,$C$75,$D$64,$D$65,$D$66,$D$67,$D$68,$D$69,$D$70,$D$71,$D$72,$D$73,$D$74,$D$75,$C$56,$C$57,$C$58,$D$59,$C$60),"")</f>
        <v>1.6577002831123969E-2</v>
      </c>
      <c r="AD63" s="229">
        <f t="shared" ca="1" si="44"/>
        <v>2.8311239706757529E-9</v>
      </c>
      <c r="AE63" s="230">
        <f t="shared" ca="1" si="45"/>
        <v>2.8311239706757529E-5</v>
      </c>
      <c r="AG63" s="230" t="s">
        <v>24</v>
      </c>
      <c r="AH63" s="255">
        <f ca="1">IF(NOW(),_xll.mirSwapPV($C$51,$C$52,$C$54,$AA63,$C$55,$AC63+AH$51,$C$64,$C$65,$C$66,$C$67,$C$68,$C$69,$C$70,$C$74,$C$75,$D$63,$D$64,$D$65,$D$66,$D$67,$D$68,$D$69,$D$70,$D$71,$D$72,$D$73,$D$74,$D$75,$C$56,$C$57,$C$58,$D$59,$C$60),"")</f>
        <v>-692615.23399544926</v>
      </c>
      <c r="AI63" s="255">
        <f ca="1">IF(NOW(),_xll.mirSwapPV($C$51,$C$52,$C$54,$AA63,$C$55,$AC63+AI$51,$C$64,$C$65,$C$66,$C$67,$C$68,$C$69,$C$70,$C$74,$C$75,$D$63,$D$64,$D$65,$D$66,$D$67,$D$68,$D$69,$D$70,$D$71,$D$72,$D$73,$D$74,$D$75,$C$56,$C$57,$C$58,$D$59,$C$60),"")</f>
        <v>-554092.18719635939</v>
      </c>
      <c r="AJ63" s="255">
        <f ca="1">IF(NOW(),_xll.mirSwapPV($C$51,$C$52,$C$54,$AA63,$C$55,$AC63+AJ$51,$C$64,$C$65,$C$66,$C$67,$C$68,$C$69,$C$70,$C$74,$C$75,$D$63,$D$64,$D$65,$D$66,$D$67,$D$68,$D$69,$D$70,$D$71,$D$72,$D$73,$D$74,$D$75,$C$56,$C$57,$C$58,$D$59,$C$60),"")</f>
        <v>-415569.14039726957</v>
      </c>
      <c r="AK63" s="255">
        <f ca="1">IF(NOW(),_xll.mirSwapPV($C$51,$C$52,$C$54,$AA63,$C$55,$AC63+AK$51,$C$64,$C$65,$C$66,$C$67,$C$68,$C$69,$C$70,$C$74,$C$75,$D$63,$D$64,$D$65,$D$66,$D$67,$D$68,$D$69,$D$70,$D$71,$D$72,$D$73,$D$74,$D$75,$C$56,$C$57,$C$58,$D$59,$C$60),"")</f>
        <v>-277046.09359817969</v>
      </c>
      <c r="AL63" s="255">
        <f ca="1">IF(NOW(),_xll.mirSwapPV($C$51,$C$52,$C$54,$AA63,$C$55,$AC63+AL$51,$C$64,$C$65,$C$66,$C$67,$C$68,$C$69,$C$70,$C$74,$C$75,$D$63,$D$64,$D$65,$D$66,$D$67,$D$68,$D$69,$D$70,$D$71,$D$72,$D$73,$D$74,$D$75,$C$56,$C$57,$C$58,$D$59,$C$60),"")</f>
        <v>-138523.04679908985</v>
      </c>
      <c r="AM63" s="255">
        <f ca="1">IF(NOW(),_xll.mirSwapPV($C$51,$C$52,$C$54,$AA63,$C$55,$AC63+AM$51,$C$64,$C$65,$C$66,$C$67,$C$68,$C$69,$C$70,$C$74,$C$75,$D$63,$D$64,$D$65,$D$66,$D$67,$D$68,$D$69,$D$70,$D$71,$D$72,$D$73,$D$74,$D$75,$C$56,$C$57,$C$58,$D$59,$C$60),"")</f>
        <v>-2.7755575615628914E-11</v>
      </c>
      <c r="AN63" s="255">
        <f ca="1">IF(NOW(),_xll.mirSwapPV($C$51,$C$52,$C$54,$AA63,$C$55,$AC63+AN$51,$C$64,$C$65,$C$66,$C$67,$C$68,$C$69,$C$70,$C$74,$C$75,$D$63,$D$64,$D$65,$D$66,$D$67,$D$68,$D$69,$D$70,$D$71,$D$72,$D$73,$D$74,$D$75,$C$56,$C$57,$C$58,$D$59,$C$60),"")</f>
        <v>138523.04679908985</v>
      </c>
      <c r="AO63" s="255">
        <f ca="1">IF(NOW(),_xll.mirSwapPV($C$51,$C$52,$C$54,$AA63,$C$55,$AC63+AO$51,$C$64,$C$65,$C$66,$C$67,$C$68,$C$69,$C$70,$C$74,$C$75,$D$63,$D$64,$D$65,$D$66,$D$67,$D$68,$D$69,$D$70,$D$71,$D$72,$D$73,$D$74,$D$75,$C$56,$C$57,$C$58,$D$59,$C$60),"")</f>
        <v>277046.09359817975</v>
      </c>
      <c r="AP63" s="255">
        <f ca="1">IF(NOW(),_xll.mirSwapPV($C$51,$C$52,$C$54,$AA63,$C$55,$AC63+AP$51,$C$64,$C$65,$C$66,$C$67,$C$68,$C$69,$C$70,$C$74,$C$75,$D$63,$D$64,$D$65,$D$66,$D$67,$D$68,$D$69,$D$70,$D$71,$D$72,$D$73,$D$74,$D$75,$C$56,$C$57,$C$58,$D$59,$C$60),"")</f>
        <v>415569.14039726945</v>
      </c>
      <c r="AQ63" s="255">
        <f ca="1">IF(NOW(),_xll.mirSwapPV($C$51,$C$52,$C$54,$AA63,$C$55,$AC63+AQ$51,$C$64,$C$65,$C$66,$C$67,$C$68,$C$69,$C$70,$C$74,$C$75,$D$63,$D$64,$D$65,$D$66,$D$67,$D$68,$D$69,$D$70,$D$71,$D$72,$D$73,$D$74,$D$75,$C$56,$C$57,$C$58,$D$59,$C$60),"")</f>
        <v>554092.18719635939</v>
      </c>
      <c r="AR63" s="255">
        <f ca="1">IF(NOW(),_xll.mirSwapPV($C$51,$C$52,$C$54,$AA63,$C$55,$AC63+AR$51,$C$64,$C$65,$C$66,$C$67,$C$68,$C$69,$C$70,$C$74,$C$75,$D$63,$D$64,$D$65,$D$66,$D$67,$D$68,$D$69,$D$70,$D$71,$D$72,$D$73,$D$74,$D$75,$C$56,$C$57,$C$58,$D$59,$C$60),"")</f>
        <v>692615.23399544926</v>
      </c>
    </row>
    <row r="64" spans="2:44">
      <c r="B64" s="234" t="s">
        <v>122</v>
      </c>
      <c r="C64" s="240" t="s">
        <v>152</v>
      </c>
      <c r="D64" s="240" t="s">
        <v>78</v>
      </c>
      <c r="E64" s="227"/>
      <c r="F64" s="224" t="s">
        <v>20</v>
      </c>
      <c r="G64" s="227">
        <f>_xll.mirGetDate($C$6,F64)</f>
        <v>49505</v>
      </c>
      <c r="H64" s="260">
        <f t="shared" si="46"/>
        <v>1.806E-2</v>
      </c>
      <c r="I64" s="229">
        <f ca="1">IF(NOW(),_xll.mirGetParRate4($C$54,$G64,$C$55,$C$64,$C$65,$C$66,$C$67,$C$68,$C$69,$C$70,$C$74,$C$75,$D$64,$D$65,$D$66,$D$67,$D$68,$D$69,$D$70,$D$71,$D$72,$D$73,$D$74,$D$75,$C$56,$C$57,$C$58,$C$59,$C$60),"")</f>
        <v>1.806000094632125E-2</v>
      </c>
      <c r="J64" s="229">
        <f t="shared" ca="1" si="42"/>
        <v>9.4632125052784843E-10</v>
      </c>
      <c r="K64" s="230">
        <f t="shared" ca="1" si="43"/>
        <v>9.4632125052784843E-6</v>
      </c>
      <c r="L64" s="230" t="s">
        <v>12</v>
      </c>
      <c r="M64" s="230" t="s">
        <v>20</v>
      </c>
      <c r="N64" s="255">
        <f ca="1">IF(NOW(),_xll.mirSwapPV($C$51,$C$52,$C$54,$G64,$C$55,$I64+N$51,$C$64,$C$65,$C$66,$C$67,$C$68,$C$69,$C$70,$C$74,$C$75,$D$63,$D$64,$D$65,$D$66,$D$67,$D$68,$D$69,$D$70,$D$71,$D$72,$D$73,$D$74,$D$75,$C$56,$C$57,$C$58,$C$59,$C$60),"")</f>
        <v>-879086.65850046882</v>
      </c>
      <c r="O64" s="255">
        <f ca="1">IF(NOW(),_xll.mirSwapPV($C$51,$C$52,$C$54,$G64,$C$55,$I64+O$51,$C$64,$C$65,$C$66,$C$67,$C$68,$C$69,$C$70,$C$74,$C$75,$D$63,$D$64,$D$65,$D$66,$D$67,$D$68,$D$69,$D$70,$D$71,$D$72,$D$73,$D$74,$D$75,$C$56,$C$57,$C$58,$C$59,$C$60),"")</f>
        <v>-703269.32680037513</v>
      </c>
      <c r="P64" s="255">
        <f ca="1">IF(NOW(),_xll.mirSwapPV($C$51,$C$52,$C$54,$G64,$C$55,$I64+P$51,$C$64,$C$65,$C$66,$C$67,$C$68,$C$69,$C$70,$C$74,$C$75,$D$63,$D$64,$D$65,$D$66,$D$67,$D$68,$D$69,$D$70,$D$71,$D$72,$D$73,$D$74,$D$75,$C$56,$C$57,$C$58,$C$59,$C$60),"")</f>
        <v>-527451.99510028132</v>
      </c>
      <c r="Q64" s="255">
        <f ca="1">IF(NOW(),_xll.mirSwapPV($C$51,$C$52,$C$54,$G64,$C$55,$I64+Q$51,$C$64,$C$65,$C$66,$C$67,$C$68,$C$69,$C$70,$C$74,$C$75,$D$63,$D$64,$D$65,$D$66,$D$67,$D$68,$D$69,$D$70,$D$71,$D$72,$D$73,$D$74,$D$75,$C$56,$C$57,$C$58,$C$59,$C$60),"")</f>
        <v>-351634.66340018745</v>
      </c>
      <c r="R64" s="255">
        <f ca="1">IF(NOW(),_xll.mirSwapPV($C$51,$C$52,$C$54,$G64,$C$55,$I64+R$51,$C$64,$C$65,$C$66,$C$67,$C$68,$C$69,$C$70,$C$74,$C$75,$D$63,$D$64,$D$65,$D$66,$D$67,$D$68,$D$69,$D$70,$D$71,$D$72,$D$73,$D$74,$D$75,$C$56,$C$57,$C$58,$C$59,$C$60),"")</f>
        <v>-175817.33170009372</v>
      </c>
      <c r="S64" s="255">
        <f ca="1">IF(NOW(),_xll.mirSwapPV($C$51,$C$52,$C$54,$G64,$C$55,$I64+S$51,$C$64,$C$65,$C$66,$C$67,$C$68,$C$69,$C$70,$C$74,$C$75,$D$63,$D$64,$D$65,$D$66,$D$67,$D$68,$D$69,$D$70,$D$71,$D$72,$D$73,$D$74,$D$75,$C$56,$C$57,$C$58,$C$59,$C$60),"")</f>
        <v>0</v>
      </c>
      <c r="T64" s="255">
        <f ca="1">IF(NOW(),_xll.mirSwapPV($C$51,$C$52,$C$54,$G64,$C$55,$I64+T$51,$C$64,$C$65,$C$66,$C$67,$C$68,$C$69,$C$70,$C$74,$C$75,$D$63,$D$64,$D$65,$D$66,$D$67,$D$68,$D$69,$D$70,$D$71,$D$72,$D$73,$D$74,$D$75,$C$56,$C$57,$C$58,$C$59,$C$60),"")</f>
        <v>175817.33170009378</v>
      </c>
      <c r="U64" s="255">
        <f ca="1">IF(NOW(),_xll.mirSwapPV($C$51,$C$52,$C$54,$G64,$C$55,$I64+U$51,$C$64,$C$65,$C$66,$C$67,$C$68,$C$69,$C$70,$C$74,$C$75,$D$63,$D$64,$D$65,$D$66,$D$67,$D$68,$D$69,$D$70,$D$71,$D$72,$D$73,$D$74,$D$75,$C$56,$C$57,$C$58,$C$59,$C$60),"")</f>
        <v>351634.66340018756</v>
      </c>
      <c r="V64" s="255">
        <f ca="1">IF(NOW(),_xll.mirSwapPV($C$51,$C$52,$C$54,$G64,$C$55,$I64+V$51,$C$64,$C$65,$C$66,$C$67,$C$68,$C$69,$C$70,$C$74,$C$75,$D$63,$D$64,$D$65,$D$66,$D$67,$D$68,$D$69,$D$70,$D$71,$D$72,$D$73,$D$74,$D$75,$C$56,$C$57,$C$58,$C$59,$C$60),"")</f>
        <v>527451.9951002812</v>
      </c>
      <c r="W64" s="255">
        <f ca="1">IF(NOW(),_xll.mirSwapPV($C$51,$C$52,$C$54,$G64,$C$55,$I64+W$51,$C$64,$C$65,$C$66,$C$67,$C$68,$C$69,$C$70,$C$74,$C$75,$D$63,$D$64,$D$65,$D$66,$D$67,$D$68,$D$69,$D$70,$D$71,$D$72,$D$73,$D$74,$D$75,$C$56,$C$57,$C$58,$C$59,$C$60),"")</f>
        <v>703269.3268003749</v>
      </c>
      <c r="X64" s="255">
        <f ca="1">IF(NOW(),_xll.mirSwapPV($C$51,$C$52,$C$54,$G64,$C$55,$I64+X$51,$C$64,$C$65,$C$66,$C$67,$C$68,$C$69,$C$70,$C$74,$C$75,$D$63,$D$64,$D$65,$D$66,$D$67,$D$68,$D$69,$D$70,$D$71,$D$72,$D$73,$D$74,$D$75,$C$56,$C$57,$C$58,$C$59,$C$60),"")</f>
        <v>879086.65850046882</v>
      </c>
      <c r="Y64" s="230" t="s">
        <v>12</v>
      </c>
      <c r="Z64" s="224" t="s">
        <v>20</v>
      </c>
      <c r="AA64" s="227">
        <f>_xll.mirGetDate($C$6,Z64)</f>
        <v>49505</v>
      </c>
      <c r="AB64" s="260">
        <f t="shared" si="47"/>
        <v>1.806E-2</v>
      </c>
      <c r="AC64" s="229">
        <f ca="1">IF(NOW(),_xll.mirGetParRate4($C$54,$AA64,$C$55,$C$64,$C$65,$C$66,$C$67,$C$68,$C$69,$C$70,$C$74,$C$75,$D$64,$D$65,$D$66,$D$67,$D$68,$D$69,$D$70,$D$71,$D$72,$D$73,$D$74,$D$75,$C$56,$C$57,$C$58,$D$59,$C$60),"")</f>
        <v>1.8060000946321254E-2</v>
      </c>
      <c r="AD64" s="229">
        <f t="shared" ca="1" si="44"/>
        <v>9.4632125399729539E-10</v>
      </c>
      <c r="AE64" s="230">
        <f t="shared" ca="1" si="45"/>
        <v>9.4632125399729539E-6</v>
      </c>
      <c r="AG64" s="230" t="s">
        <v>20</v>
      </c>
      <c r="AH64" s="255">
        <f ca="1">IF(NOW(),_xll.mirSwapPV($C$51,$C$52,$C$54,$AA64,$C$55,$AC64+AH$51,$C$64,$C$65,$C$66,$C$67,$C$68,$C$69,$C$70,$C$74,$C$75,$D$63,$D$64,$D$65,$D$66,$D$67,$D$68,$D$69,$D$70,$D$71,$D$72,$D$73,$D$74,$D$75,$C$56,$C$57,$C$58,$D$59,$C$60),"")</f>
        <v>-879086.65850046882</v>
      </c>
      <c r="AI64" s="255">
        <f ca="1">IF(NOW(),_xll.mirSwapPV($C$51,$C$52,$C$54,$AA64,$C$55,$AC64+AI$51,$C$64,$C$65,$C$66,$C$67,$C$68,$C$69,$C$70,$C$74,$C$75,$D$63,$D$64,$D$65,$D$66,$D$67,$D$68,$D$69,$D$70,$D$71,$D$72,$D$73,$D$74,$D$75,$C$56,$C$57,$C$58,$D$59,$C$60),"")</f>
        <v>-703269.32680037501</v>
      </c>
      <c r="AJ64" s="255">
        <f ca="1">IF(NOW(),_xll.mirSwapPV($C$51,$C$52,$C$54,$AA64,$C$55,$AC64+AJ$51,$C$64,$C$65,$C$66,$C$67,$C$68,$C$69,$C$70,$C$74,$C$75,$D$63,$D$64,$D$65,$D$66,$D$67,$D$68,$D$69,$D$70,$D$71,$D$72,$D$73,$D$74,$D$75,$C$56,$C$57,$C$58,$D$59,$C$60),"")</f>
        <v>-527451.99510028132</v>
      </c>
      <c r="AK64" s="255">
        <f ca="1">IF(NOW(),_xll.mirSwapPV($C$51,$C$52,$C$54,$AA64,$C$55,$AC64+AK$51,$C$64,$C$65,$C$66,$C$67,$C$68,$C$69,$C$70,$C$74,$C$75,$D$63,$D$64,$D$65,$D$66,$D$67,$D$68,$D$69,$D$70,$D$71,$D$72,$D$73,$D$74,$D$75,$C$56,$C$57,$C$58,$D$59,$C$60),"")</f>
        <v>-351634.66340018745</v>
      </c>
      <c r="AL64" s="255">
        <f ca="1">IF(NOW(),_xll.mirSwapPV($C$51,$C$52,$C$54,$AA64,$C$55,$AC64+AL$51,$C$64,$C$65,$C$66,$C$67,$C$68,$C$69,$C$70,$C$74,$C$75,$D$63,$D$64,$D$65,$D$66,$D$67,$D$68,$D$69,$D$70,$D$71,$D$72,$D$73,$D$74,$D$75,$C$56,$C$57,$C$58,$D$59,$C$60),"")</f>
        <v>-175817.33170009369</v>
      </c>
      <c r="AM64" s="255">
        <f ca="1">IF(NOW(),_xll.mirSwapPV($C$51,$C$52,$C$54,$AA64,$C$55,$AC64+AM$51,$C$64,$C$65,$C$66,$C$67,$C$68,$C$69,$C$70,$C$74,$C$75,$D$63,$D$64,$D$65,$D$66,$D$67,$D$68,$D$69,$D$70,$D$71,$D$72,$D$73,$D$74,$D$75,$C$56,$C$57,$C$58,$D$59,$C$60),"")</f>
        <v>0</v>
      </c>
      <c r="AN64" s="255">
        <f ca="1">IF(NOW(),_xll.mirSwapPV($C$51,$C$52,$C$54,$AA64,$C$55,$AC64+AN$51,$C$64,$C$65,$C$66,$C$67,$C$68,$C$69,$C$70,$C$74,$C$75,$D$63,$D$64,$D$65,$D$66,$D$67,$D$68,$D$69,$D$70,$D$71,$D$72,$D$73,$D$74,$D$75,$C$56,$C$57,$C$58,$D$59,$C$60),"")</f>
        <v>175817.33170009372</v>
      </c>
      <c r="AO64" s="255">
        <f ca="1">IF(NOW(),_xll.mirSwapPV($C$51,$C$52,$C$54,$AA64,$C$55,$AC64+AO$51,$C$64,$C$65,$C$66,$C$67,$C$68,$C$69,$C$70,$C$74,$C$75,$D$63,$D$64,$D$65,$D$66,$D$67,$D$68,$D$69,$D$70,$D$71,$D$72,$D$73,$D$74,$D$75,$C$56,$C$57,$C$58,$D$59,$C$60),"")</f>
        <v>351634.66340018751</v>
      </c>
      <c r="AP64" s="255">
        <f ca="1">IF(NOW(),_xll.mirSwapPV($C$51,$C$52,$C$54,$AA64,$C$55,$AC64+AP$51,$C$64,$C$65,$C$66,$C$67,$C$68,$C$69,$C$70,$C$74,$C$75,$D$63,$D$64,$D$65,$D$66,$D$67,$D$68,$D$69,$D$70,$D$71,$D$72,$D$73,$D$74,$D$75,$C$56,$C$57,$C$58,$D$59,$C$60),"")</f>
        <v>527451.9951002812</v>
      </c>
      <c r="AQ64" s="255">
        <f ca="1">IF(NOW(),_xll.mirSwapPV($C$51,$C$52,$C$54,$AA64,$C$55,$AC64+AQ$51,$C$64,$C$65,$C$66,$C$67,$C$68,$C$69,$C$70,$C$74,$C$75,$D$63,$D$64,$D$65,$D$66,$D$67,$D$68,$D$69,$D$70,$D$71,$D$72,$D$73,$D$74,$D$75,$C$56,$C$57,$C$58,$D$59,$C$60),"")</f>
        <v>703269.32680037513</v>
      </c>
      <c r="AR64" s="255">
        <f ca="1">IF(NOW(),_xll.mirSwapPV($C$51,$C$52,$C$54,$AA64,$C$55,$AC64+AR$51,$C$64,$C$65,$C$66,$C$67,$C$68,$C$69,$C$70,$C$74,$C$75,$D$63,$D$64,$D$65,$D$66,$D$67,$D$68,$D$69,$D$70,$D$71,$D$72,$D$73,$D$74,$D$75,$C$56,$C$57,$C$58,$D$59,$C$60),"")</f>
        <v>879086.65850046882</v>
      </c>
    </row>
    <row r="65" spans="2:44">
      <c r="B65" s="234" t="s">
        <v>130</v>
      </c>
      <c r="C65" s="241" t="s">
        <v>163</v>
      </c>
      <c r="D65" s="241" t="s">
        <v>3</v>
      </c>
      <c r="E65" s="242"/>
      <c r="F65" s="224" t="s">
        <v>18</v>
      </c>
      <c r="G65" s="227">
        <f>_xll.mirGetDate($C$6,F65)</f>
        <v>51332</v>
      </c>
      <c r="H65" s="260">
        <f t="shared" si="46"/>
        <v>1.8381999999999999E-2</v>
      </c>
      <c r="I65" s="229">
        <f ca="1">IF(NOW(),_xll.mirGetParRate4($C$54,$G65,$C$55,$C$64,$C$65,$C$66,$C$67,$C$68,$C$69,$C$70,$C$74,$C$75,$D$64,$D$65,$D$66,$D$67,$D$68,$D$69,$D$70,$D$71,$D$72,$D$73,$D$74,$D$75,$C$56,$C$57,$C$58,$C$59,$C$60),"")</f>
        <v>1.8381997727570959E-2</v>
      </c>
      <c r="J65" s="229">
        <f t="shared" ca="1" si="42"/>
        <v>-2.2724290400788494E-9</v>
      </c>
      <c r="K65" s="230">
        <f t="shared" ca="1" si="43"/>
        <v>-2.2724290400788494E-5</v>
      </c>
      <c r="L65" s="230" t="s">
        <v>12</v>
      </c>
      <c r="M65" s="230" t="s">
        <v>18</v>
      </c>
      <c r="N65" s="255">
        <f ca="1">IF(NOW(),_xll.mirSwapPV($C$51,$C$52,$C$54,$G65,$C$55,$I65+N$51,$C$64,$C$65,$C$66,$C$67,$C$68,$C$69,$C$70,$C$74,$C$75,$D$63,$D$64,$D$65,$D$66,$D$67,$D$68,$D$69,$D$70,$D$71,$D$72,$D$73,$D$74,$D$75,$C$56,$C$57,$C$58,$C$59,$C$60),"")</f>
        <v>-1047182.7946827149</v>
      </c>
      <c r="O65" s="255">
        <f ca="1">IF(NOW(),_xll.mirSwapPV($C$51,$C$52,$C$54,$G65,$C$55,$I65+O$51,$C$64,$C$65,$C$66,$C$67,$C$68,$C$69,$C$70,$C$74,$C$75,$D$63,$D$64,$D$65,$D$66,$D$67,$D$68,$D$69,$D$70,$D$71,$D$72,$D$73,$D$74,$D$75,$C$56,$C$57,$C$58,$C$59,$C$60),"")</f>
        <v>-837746.23574617179</v>
      </c>
      <c r="P65" s="255">
        <f ca="1">IF(NOW(),_xll.mirSwapPV($C$51,$C$52,$C$54,$G65,$C$55,$I65+P$51,$C$64,$C$65,$C$66,$C$67,$C$68,$C$69,$C$70,$C$74,$C$75,$D$63,$D$64,$D$65,$D$66,$D$67,$D$68,$D$69,$D$70,$D$71,$D$72,$D$73,$D$74,$D$75,$C$56,$C$57,$C$58,$C$59,$C$60),"")</f>
        <v>-628309.67680962884</v>
      </c>
      <c r="Q65" s="255">
        <f ca="1">IF(NOW(),_xll.mirSwapPV($C$51,$C$52,$C$54,$G65,$C$55,$I65+Q$51,$C$64,$C$65,$C$66,$C$67,$C$68,$C$69,$C$70,$C$74,$C$75,$D$63,$D$64,$D$65,$D$66,$D$67,$D$68,$D$69,$D$70,$D$71,$D$72,$D$73,$D$74,$D$75,$C$56,$C$57,$C$58,$C$59,$C$60),"")</f>
        <v>-418873.11787308584</v>
      </c>
      <c r="R65" s="255">
        <f ca="1">IF(NOW(),_xll.mirSwapPV($C$51,$C$52,$C$54,$G65,$C$55,$I65+R$51,$C$64,$C$65,$C$66,$C$67,$C$68,$C$69,$C$70,$C$74,$C$75,$D$63,$D$64,$D$65,$D$66,$D$67,$D$68,$D$69,$D$70,$D$71,$D$72,$D$73,$D$74,$D$75,$C$56,$C$57,$C$58,$C$59,$C$60),"")</f>
        <v>-209436.55893654289</v>
      </c>
      <c r="S65" s="255">
        <f ca="1">IF(NOW(),_xll.mirSwapPV($C$51,$C$52,$C$54,$G65,$C$55,$I65+S$51,$C$64,$C$65,$C$66,$C$67,$C$68,$C$69,$C$70,$C$74,$C$75,$D$63,$D$64,$D$65,$D$66,$D$67,$D$68,$D$69,$D$70,$D$71,$D$72,$D$73,$D$74,$D$75,$C$56,$C$57,$C$58,$C$59,$C$60),"")</f>
        <v>0</v>
      </c>
      <c r="T65" s="255">
        <f ca="1">IF(NOW(),_xll.mirSwapPV($C$51,$C$52,$C$54,$G65,$C$55,$I65+T$51,$C$64,$C$65,$C$66,$C$67,$C$68,$C$69,$C$70,$C$74,$C$75,$D$63,$D$64,$D$65,$D$66,$D$67,$D$68,$D$69,$D$70,$D$71,$D$72,$D$73,$D$74,$D$75,$C$56,$C$57,$C$58,$C$59,$C$60),"")</f>
        <v>209436.55893654301</v>
      </c>
      <c r="U65" s="255">
        <f ca="1">IF(NOW(),_xll.mirSwapPV($C$51,$C$52,$C$54,$G65,$C$55,$I65+U$51,$C$64,$C$65,$C$66,$C$67,$C$68,$C$69,$C$70,$C$74,$C$75,$D$63,$D$64,$D$65,$D$66,$D$67,$D$68,$D$69,$D$70,$D$71,$D$72,$D$73,$D$74,$D$75,$C$56,$C$57,$C$58,$C$59,$C$60),"")</f>
        <v>418873.11787308601</v>
      </c>
      <c r="V65" s="255">
        <f ca="1">IF(NOW(),_xll.mirSwapPV($C$51,$C$52,$C$54,$G65,$C$55,$I65+V$51,$C$64,$C$65,$C$66,$C$67,$C$68,$C$69,$C$70,$C$74,$C$75,$D$63,$D$64,$D$65,$D$66,$D$67,$D$68,$D$69,$D$70,$D$71,$D$72,$D$73,$D$74,$D$75,$C$56,$C$57,$C$58,$C$59,$C$60),"")</f>
        <v>628309.67680962896</v>
      </c>
      <c r="W65" s="255">
        <f ca="1">IF(NOW(),_xll.mirSwapPV($C$51,$C$52,$C$54,$G65,$C$55,$I65+W$51,$C$64,$C$65,$C$66,$C$67,$C$68,$C$69,$C$70,$C$74,$C$75,$D$63,$D$64,$D$65,$D$66,$D$67,$D$68,$D$69,$D$70,$D$71,$D$72,$D$73,$D$74,$D$75,$C$56,$C$57,$C$58,$C$59,$C$60),"")</f>
        <v>837746.23574617191</v>
      </c>
      <c r="X65" s="255">
        <f ca="1">IF(NOW(),_xll.mirSwapPV($C$51,$C$52,$C$54,$G65,$C$55,$I65+X$51,$C$64,$C$65,$C$66,$C$67,$C$68,$C$69,$C$70,$C$74,$C$75,$D$63,$D$64,$D$65,$D$66,$D$67,$D$68,$D$69,$D$70,$D$71,$D$72,$D$73,$D$74,$D$75,$C$56,$C$57,$C$58,$C$59,$C$60),"")</f>
        <v>1047182.7946827146</v>
      </c>
      <c r="Y65" s="230" t="s">
        <v>12</v>
      </c>
      <c r="Z65" s="224" t="s">
        <v>18</v>
      </c>
      <c r="AA65" s="227">
        <f>_xll.mirGetDate($C$6,Z65)</f>
        <v>51332</v>
      </c>
      <c r="AB65" s="260">
        <f t="shared" si="47"/>
        <v>1.8381999999999999E-2</v>
      </c>
      <c r="AC65" s="229">
        <f ca="1">IF(NOW(),_xll.mirGetParRate4($C$54,$AA65,$C$55,$C$64,$C$65,$C$66,$C$67,$C$68,$C$69,$C$70,$C$74,$C$75,$D$64,$D$65,$D$66,$D$67,$D$68,$D$69,$D$70,$D$71,$D$72,$D$73,$D$74,$D$75,$C$56,$C$57,$C$58,$D$59,$C$60),"")</f>
        <v>1.8381997727570955E-2</v>
      </c>
      <c r="AD65" s="229">
        <f t="shared" ca="1" si="44"/>
        <v>-2.2724290435482963E-9</v>
      </c>
      <c r="AE65" s="230">
        <f t="shared" ca="1" si="45"/>
        <v>-2.2724290435482963E-5</v>
      </c>
      <c r="AG65" s="230" t="s">
        <v>18</v>
      </c>
      <c r="AH65" s="255">
        <f ca="1">IF(NOW(),_xll.mirSwapPV($C$51,$C$52,$C$54,$AA65,$C$55,$AC65+AH$51,$C$64,$C$65,$C$66,$C$67,$C$68,$C$69,$C$70,$C$74,$C$75,$D$63,$D$64,$D$65,$D$66,$D$67,$D$68,$D$69,$D$70,$D$71,$D$72,$D$73,$D$74,$D$75,$C$56,$C$57,$C$58,$D$59,$C$60),"")</f>
        <v>-1047182.7946827146</v>
      </c>
      <c r="AI65" s="255">
        <f ca="1">IF(NOW(),_xll.mirSwapPV($C$51,$C$52,$C$54,$AA65,$C$55,$AC65+AI$51,$C$64,$C$65,$C$66,$C$67,$C$68,$C$69,$C$70,$C$74,$C$75,$D$63,$D$64,$D$65,$D$66,$D$67,$D$68,$D$69,$D$70,$D$71,$D$72,$D$73,$D$74,$D$75,$C$56,$C$57,$C$58,$D$59,$C$60),"")</f>
        <v>-837746.23574617179</v>
      </c>
      <c r="AJ65" s="255">
        <f ca="1">IF(NOW(),_xll.mirSwapPV($C$51,$C$52,$C$54,$AA65,$C$55,$AC65+AJ$51,$C$64,$C$65,$C$66,$C$67,$C$68,$C$69,$C$70,$C$74,$C$75,$D$63,$D$64,$D$65,$D$66,$D$67,$D$68,$D$69,$D$70,$D$71,$D$72,$D$73,$D$74,$D$75,$C$56,$C$57,$C$58,$D$59,$C$60),"")</f>
        <v>-628309.67680962884</v>
      </c>
      <c r="AK65" s="255">
        <f ca="1">IF(NOW(),_xll.mirSwapPV($C$51,$C$52,$C$54,$AA65,$C$55,$AC65+AK$51,$C$64,$C$65,$C$66,$C$67,$C$68,$C$69,$C$70,$C$74,$C$75,$D$63,$D$64,$D$65,$D$66,$D$67,$D$68,$D$69,$D$70,$D$71,$D$72,$D$73,$D$74,$D$75,$C$56,$C$57,$C$58,$D$59,$C$60),"")</f>
        <v>-418873.11787308578</v>
      </c>
      <c r="AL65" s="255">
        <f ca="1">IF(NOW(),_xll.mirSwapPV($C$51,$C$52,$C$54,$AA65,$C$55,$AC65+AL$51,$C$64,$C$65,$C$66,$C$67,$C$68,$C$69,$C$70,$C$74,$C$75,$D$63,$D$64,$D$65,$D$66,$D$67,$D$68,$D$69,$D$70,$D$71,$D$72,$D$73,$D$74,$D$75,$C$56,$C$57,$C$58,$D$59,$C$60),"")</f>
        <v>-209436.55893654286</v>
      </c>
      <c r="AM65" s="255">
        <f ca="1">IF(NOW(),_xll.mirSwapPV($C$51,$C$52,$C$54,$AA65,$C$55,$AC65+AM$51,$C$64,$C$65,$C$66,$C$67,$C$68,$C$69,$C$70,$C$74,$C$75,$D$63,$D$64,$D$65,$D$66,$D$67,$D$68,$D$69,$D$70,$D$71,$D$72,$D$73,$D$74,$D$75,$C$56,$C$57,$C$58,$D$59,$C$60),"")</f>
        <v>0</v>
      </c>
      <c r="AN65" s="255">
        <f ca="1">IF(NOW(),_xll.mirSwapPV($C$51,$C$52,$C$54,$AA65,$C$55,$AC65+AN$51,$C$64,$C$65,$C$66,$C$67,$C$68,$C$69,$C$70,$C$74,$C$75,$D$63,$D$64,$D$65,$D$66,$D$67,$D$68,$D$69,$D$70,$D$71,$D$72,$D$73,$D$74,$D$75,$C$56,$C$57,$C$58,$D$59,$C$60),"")</f>
        <v>209436.55893654289</v>
      </c>
      <c r="AO65" s="255">
        <f ca="1">IF(NOW(),_xll.mirSwapPV($C$51,$C$52,$C$54,$AA65,$C$55,$AC65+AO$51,$C$64,$C$65,$C$66,$C$67,$C$68,$C$69,$C$70,$C$74,$C$75,$D$63,$D$64,$D$65,$D$66,$D$67,$D$68,$D$69,$D$70,$D$71,$D$72,$D$73,$D$74,$D$75,$C$56,$C$57,$C$58,$D$59,$C$60),"")</f>
        <v>418873.1178730859</v>
      </c>
      <c r="AP65" s="255">
        <f ca="1">IF(NOW(),_xll.mirSwapPV($C$51,$C$52,$C$54,$AA65,$C$55,$AC65+AP$51,$C$64,$C$65,$C$66,$C$67,$C$68,$C$69,$C$70,$C$74,$C$75,$D$63,$D$64,$D$65,$D$66,$D$67,$D$68,$D$69,$D$70,$D$71,$D$72,$D$73,$D$74,$D$75,$C$56,$C$57,$C$58,$D$59,$C$60),"")</f>
        <v>628309.67680962896</v>
      </c>
      <c r="AQ65" s="255">
        <f ca="1">IF(NOW(),_xll.mirSwapPV($C$51,$C$52,$C$54,$AA65,$C$55,$AC65+AQ$51,$C$64,$C$65,$C$66,$C$67,$C$68,$C$69,$C$70,$C$74,$C$75,$D$63,$D$64,$D$65,$D$66,$D$67,$D$68,$D$69,$D$70,$D$71,$D$72,$D$73,$D$74,$D$75,$C$56,$C$57,$C$58,$D$59,$C$60),"")</f>
        <v>837746.23574617179</v>
      </c>
      <c r="AR65" s="255">
        <f ca="1">IF(NOW(),_xll.mirSwapPV($C$51,$C$52,$C$54,$AA65,$C$55,$AC65+AR$51,$C$64,$C$65,$C$66,$C$67,$C$68,$C$69,$C$70,$C$74,$C$75,$D$63,$D$64,$D$65,$D$66,$D$67,$D$68,$D$69,$D$70,$D$71,$D$72,$D$73,$D$74,$D$75,$C$56,$C$57,$C$58,$D$59,$C$60),"")</f>
        <v>1047182.7946827149</v>
      </c>
    </row>
    <row r="66" spans="2:44">
      <c r="B66" s="234" t="s">
        <v>443</v>
      </c>
      <c r="C66" s="240" t="s">
        <v>40</v>
      </c>
      <c r="D66" s="240" t="s">
        <v>40</v>
      </c>
      <c r="E66" s="224"/>
      <c r="F66" s="224" t="s">
        <v>17</v>
      </c>
      <c r="G66" s="227">
        <f>_xll.mirGetDate($C$6,F66)</f>
        <v>53158</v>
      </c>
      <c r="H66" s="260">
        <f t="shared" si="46"/>
        <v>1.8489999999999999E-2</v>
      </c>
      <c r="I66" s="229">
        <f ca="1">IF(NOW(),_xll.mirGetParRate4($C$54,$G66,$C$55,$C$64,$C$65,$C$66,$C$67,$C$68,$C$69,$C$70,$C$74,$C$75,$D$64,$D$65,$D$66,$D$67,$D$68,$D$69,$D$70,$D$71,$D$72,$D$73,$D$74,$D$75,$C$56,$C$57,$C$58,$C$59,$C$60),"")</f>
        <v>1.8489999277909661E-2</v>
      </c>
      <c r="J66" s="229">
        <f t="shared" ca="1" si="42"/>
        <v>-7.2209033891157404E-10</v>
      </c>
      <c r="K66" s="230">
        <f t="shared" ca="1" si="43"/>
        <v>-7.2209033891157404E-6</v>
      </c>
      <c r="L66" s="230" t="s">
        <v>12</v>
      </c>
      <c r="M66" s="230" t="s">
        <v>17</v>
      </c>
      <c r="N66" s="255">
        <f ca="1">IF(NOW(),_xll.mirSwapPV($C$51,$C$52,$C$54,$G66,$C$55,$I66+N$51,$C$64,$C$65,$C$66,$C$67,$C$68,$C$69,$C$70,$C$74,$C$75,$D$63,$D$64,$D$65,$D$66,$D$67,$D$68,$D$69,$D$70,$D$71,$D$72,$D$73,$D$74,$D$75,$C$56,$C$57,$C$58,$C$59,$C$60),"")</f>
        <v>-1200253.8604142829</v>
      </c>
      <c r="O66" s="255">
        <f ca="1">IF(NOW(),_xll.mirSwapPV($C$51,$C$52,$C$54,$G66,$C$55,$I66+O$51,$C$64,$C$65,$C$66,$C$67,$C$68,$C$69,$C$70,$C$74,$C$75,$D$63,$D$64,$D$65,$D$66,$D$67,$D$68,$D$69,$D$70,$D$71,$D$72,$D$73,$D$74,$D$75,$C$56,$C$57,$C$58,$C$59,$C$60),"")</f>
        <v>-960203.08833142626</v>
      </c>
      <c r="P66" s="255">
        <f ca="1">IF(NOW(),_xll.mirSwapPV($C$51,$C$52,$C$54,$G66,$C$55,$I66+P$51,$C$64,$C$65,$C$66,$C$67,$C$68,$C$69,$C$70,$C$74,$C$75,$D$63,$D$64,$D$65,$D$66,$D$67,$D$68,$D$69,$D$70,$D$71,$D$72,$D$73,$D$74,$D$75,$C$56,$C$57,$C$58,$C$59,$C$60),"")</f>
        <v>-720152.31624856964</v>
      </c>
      <c r="Q66" s="255">
        <f ca="1">IF(NOW(),_xll.mirSwapPV($C$51,$C$52,$C$54,$G66,$C$55,$I66+Q$51,$C$64,$C$65,$C$66,$C$67,$C$68,$C$69,$C$70,$C$74,$C$75,$D$63,$D$64,$D$65,$D$66,$D$67,$D$68,$D$69,$D$70,$D$71,$D$72,$D$73,$D$74,$D$75,$C$56,$C$57,$C$58,$C$59,$C$60),"")</f>
        <v>-480101.54416571307</v>
      </c>
      <c r="R66" s="255">
        <f ca="1">IF(NOW(),_xll.mirSwapPV($C$51,$C$52,$C$54,$G66,$C$55,$I66+R$51,$C$64,$C$65,$C$66,$C$67,$C$68,$C$69,$C$70,$C$74,$C$75,$D$63,$D$64,$D$65,$D$66,$D$67,$D$68,$D$69,$D$70,$D$71,$D$72,$D$73,$D$74,$D$75,$C$56,$C$57,$C$58,$C$59,$C$60),"")</f>
        <v>-240050.77208285648</v>
      </c>
      <c r="S66" s="255">
        <f ca="1">IF(NOW(),_xll.mirSwapPV($C$51,$C$52,$C$54,$G66,$C$55,$I66+S$51,$C$64,$C$65,$C$66,$C$67,$C$68,$C$69,$C$70,$C$74,$C$75,$D$63,$D$64,$D$65,$D$66,$D$67,$D$68,$D$69,$D$70,$D$71,$D$72,$D$73,$D$74,$D$75,$C$56,$C$57,$C$58,$C$59,$C$60),"")</f>
        <v>5.5511151231257827E-11</v>
      </c>
      <c r="T66" s="255">
        <f ca="1">IF(NOW(),_xll.mirSwapPV($C$51,$C$52,$C$54,$G66,$C$55,$I66+T$51,$C$64,$C$65,$C$66,$C$67,$C$68,$C$69,$C$70,$C$74,$C$75,$D$63,$D$64,$D$65,$D$66,$D$67,$D$68,$D$69,$D$70,$D$71,$D$72,$D$73,$D$74,$D$75,$C$56,$C$57,$C$58,$C$59,$C$60),"")</f>
        <v>240050.77208285668</v>
      </c>
      <c r="U66" s="255">
        <f ca="1">IF(NOW(),_xll.mirSwapPV($C$51,$C$52,$C$54,$G66,$C$55,$I66+U$51,$C$64,$C$65,$C$66,$C$67,$C$68,$C$69,$C$70,$C$74,$C$75,$D$63,$D$64,$D$65,$D$66,$D$67,$D$68,$D$69,$D$70,$D$71,$D$72,$D$73,$D$74,$D$75,$C$56,$C$57,$C$58,$C$59,$C$60),"")</f>
        <v>480101.54416571331</v>
      </c>
      <c r="V66" s="255">
        <f ca="1">IF(NOW(),_xll.mirSwapPV($C$51,$C$52,$C$54,$G66,$C$55,$I66+V$51,$C$64,$C$65,$C$66,$C$67,$C$68,$C$69,$C$70,$C$74,$C$75,$D$63,$D$64,$D$65,$D$66,$D$67,$D$68,$D$69,$D$70,$D$71,$D$72,$D$73,$D$74,$D$75,$C$56,$C$57,$C$58,$C$59,$C$60),"")</f>
        <v>720152.31624856987</v>
      </c>
      <c r="W66" s="255">
        <f ca="1">IF(NOW(),_xll.mirSwapPV($C$51,$C$52,$C$54,$G66,$C$55,$I66+W$51,$C$64,$C$65,$C$66,$C$67,$C$68,$C$69,$C$70,$C$74,$C$75,$D$63,$D$64,$D$65,$D$66,$D$67,$D$68,$D$69,$D$70,$D$71,$D$72,$D$73,$D$74,$D$75,$C$56,$C$57,$C$58,$C$59,$C$60),"")</f>
        <v>960203.08833142649</v>
      </c>
      <c r="X66" s="255">
        <f ca="1">IF(NOW(),_xll.mirSwapPV($C$51,$C$52,$C$54,$G66,$C$55,$I66+X$51,$C$64,$C$65,$C$66,$C$67,$C$68,$C$69,$C$70,$C$74,$C$75,$D$63,$D$64,$D$65,$D$66,$D$67,$D$68,$D$69,$D$70,$D$71,$D$72,$D$73,$D$74,$D$75,$C$56,$C$57,$C$58,$C$59,$C$60),"")</f>
        <v>1200253.8604142831</v>
      </c>
      <c r="Y66" s="230" t="s">
        <v>12</v>
      </c>
      <c r="Z66" s="224" t="s">
        <v>17</v>
      </c>
      <c r="AA66" s="227">
        <f>_xll.mirGetDate($C$6,Z66)</f>
        <v>53158</v>
      </c>
      <c r="AB66" s="260">
        <f t="shared" si="47"/>
        <v>1.8489999999999999E-2</v>
      </c>
      <c r="AC66" s="229">
        <f ca="1">IF(NOW(),_xll.mirGetParRate4($C$54,$AA66,$C$55,$C$64,$C$65,$C$66,$C$67,$C$68,$C$69,$C$70,$C$74,$C$75,$D$64,$D$65,$D$66,$D$67,$D$68,$D$69,$D$70,$D$71,$D$72,$D$73,$D$74,$D$75,$C$56,$C$57,$C$58,$D$59,$C$60),"")</f>
        <v>1.8489999277909654E-2</v>
      </c>
      <c r="AD66" s="229">
        <f t="shared" ca="1" si="44"/>
        <v>-7.2209034585046794E-10</v>
      </c>
      <c r="AE66" s="230">
        <f t="shared" ca="1" si="45"/>
        <v>-7.2209034585046794E-6</v>
      </c>
      <c r="AG66" s="230" t="s">
        <v>17</v>
      </c>
      <c r="AH66" s="255">
        <f ca="1">IF(NOW(),_xll.mirSwapPV($C$51,$C$52,$C$54,$AA66,$C$55,$AC66+AH$51,$C$64,$C$65,$C$66,$C$67,$C$68,$C$69,$C$70,$C$74,$C$75,$D$63,$D$64,$D$65,$D$66,$D$67,$D$68,$D$69,$D$70,$D$71,$D$72,$D$73,$D$74,$D$75,$C$56,$C$57,$C$58,$D$59,$C$60),"")</f>
        <v>-1200253.8604142829</v>
      </c>
      <c r="AI66" s="255">
        <f ca="1">IF(NOW(),_xll.mirSwapPV($C$51,$C$52,$C$54,$AA66,$C$55,$AC66+AI$51,$C$64,$C$65,$C$66,$C$67,$C$68,$C$69,$C$70,$C$74,$C$75,$D$63,$D$64,$D$65,$D$66,$D$67,$D$68,$D$69,$D$70,$D$71,$D$72,$D$73,$D$74,$D$75,$C$56,$C$57,$C$58,$D$59,$C$60),"")</f>
        <v>-960203.08833142626</v>
      </c>
      <c r="AJ66" s="255">
        <f ca="1">IF(NOW(),_xll.mirSwapPV($C$51,$C$52,$C$54,$AA66,$C$55,$AC66+AJ$51,$C$64,$C$65,$C$66,$C$67,$C$68,$C$69,$C$70,$C$74,$C$75,$D$63,$D$64,$D$65,$D$66,$D$67,$D$68,$D$69,$D$70,$D$71,$D$72,$D$73,$D$74,$D$75,$C$56,$C$57,$C$58,$D$59,$C$60),"")</f>
        <v>-720152.31624856964</v>
      </c>
      <c r="AK66" s="255">
        <f ca="1">IF(NOW(),_xll.mirSwapPV($C$51,$C$52,$C$54,$AA66,$C$55,$AC66+AK$51,$C$64,$C$65,$C$66,$C$67,$C$68,$C$69,$C$70,$C$74,$C$75,$D$63,$D$64,$D$65,$D$66,$D$67,$D$68,$D$69,$D$70,$D$71,$D$72,$D$73,$D$74,$D$75,$C$56,$C$57,$C$58,$D$59,$C$60),"")</f>
        <v>-480101.54416571307</v>
      </c>
      <c r="AL66" s="255">
        <f ca="1">IF(NOW(),_xll.mirSwapPV($C$51,$C$52,$C$54,$AA66,$C$55,$AC66+AL$51,$C$64,$C$65,$C$66,$C$67,$C$68,$C$69,$C$70,$C$74,$C$75,$D$63,$D$64,$D$65,$D$66,$D$67,$D$68,$D$69,$D$70,$D$71,$D$72,$D$73,$D$74,$D$75,$C$56,$C$57,$C$58,$D$59,$C$60),"")</f>
        <v>-240050.77208285654</v>
      </c>
      <c r="AM66" s="255">
        <f ca="1">IF(NOW(),_xll.mirSwapPV($C$51,$C$52,$C$54,$AA66,$C$55,$AC66+AM$51,$C$64,$C$65,$C$66,$C$67,$C$68,$C$69,$C$70,$C$74,$C$75,$D$63,$D$64,$D$65,$D$66,$D$67,$D$68,$D$69,$D$70,$D$71,$D$72,$D$73,$D$74,$D$75,$C$56,$C$57,$C$58,$D$59,$C$60),"")</f>
        <v>0</v>
      </c>
      <c r="AN66" s="255">
        <f ca="1">IF(NOW(),_xll.mirSwapPV($C$51,$C$52,$C$54,$AA66,$C$55,$AC66+AN$51,$C$64,$C$65,$C$66,$C$67,$C$68,$C$69,$C$70,$C$74,$C$75,$D$63,$D$64,$D$65,$D$66,$D$67,$D$68,$D$69,$D$70,$D$71,$D$72,$D$73,$D$74,$D$75,$C$56,$C$57,$C$58,$D$59,$C$60),"")</f>
        <v>240050.77208285657</v>
      </c>
      <c r="AO66" s="255">
        <f ca="1">IF(NOW(),_xll.mirSwapPV($C$51,$C$52,$C$54,$AA66,$C$55,$AC66+AO$51,$C$64,$C$65,$C$66,$C$67,$C$68,$C$69,$C$70,$C$74,$C$75,$D$63,$D$64,$D$65,$D$66,$D$67,$D$68,$D$69,$D$70,$D$71,$D$72,$D$73,$D$74,$D$75,$C$56,$C$57,$C$58,$D$59,$C$60),"")</f>
        <v>480101.54416571307</v>
      </c>
      <c r="AP66" s="255">
        <f ca="1">IF(NOW(),_xll.mirSwapPV($C$51,$C$52,$C$54,$AA66,$C$55,$AC66+AP$51,$C$64,$C$65,$C$66,$C$67,$C$68,$C$69,$C$70,$C$74,$C$75,$D$63,$D$64,$D$65,$D$66,$D$67,$D$68,$D$69,$D$70,$D$71,$D$72,$D$73,$D$74,$D$75,$C$56,$C$57,$C$58,$D$59,$C$60),"")</f>
        <v>720152.31624856964</v>
      </c>
      <c r="AQ66" s="255">
        <f ca="1">IF(NOW(),_xll.mirSwapPV($C$51,$C$52,$C$54,$AA66,$C$55,$AC66+AQ$51,$C$64,$C$65,$C$66,$C$67,$C$68,$C$69,$C$70,$C$74,$C$75,$D$63,$D$64,$D$65,$D$66,$D$67,$D$68,$D$69,$D$70,$D$71,$D$72,$D$73,$D$74,$D$75,$C$56,$C$57,$C$58,$D$59,$C$60),"")</f>
        <v>960203.08833142626</v>
      </c>
      <c r="AR66" s="255">
        <f ca="1">IF(NOW(),_xll.mirSwapPV($C$51,$C$52,$C$54,$AA66,$C$55,$AC66+AR$51,$C$64,$C$65,$C$66,$C$67,$C$68,$C$69,$C$70,$C$74,$C$75,$D$63,$D$64,$D$65,$D$66,$D$67,$D$68,$D$69,$D$70,$D$71,$D$72,$D$73,$D$74,$D$75,$C$56,$C$57,$C$58,$D$59,$C$60),"")</f>
        <v>1200253.8604142831</v>
      </c>
    </row>
    <row r="67" spans="2:44">
      <c r="B67" s="234" t="s">
        <v>174</v>
      </c>
      <c r="C67" s="240" t="s">
        <v>0</v>
      </c>
      <c r="D67" s="240" t="s">
        <v>0</v>
      </c>
      <c r="E67" s="224"/>
      <c r="F67" s="224" t="s">
        <v>16</v>
      </c>
      <c r="G67" s="227">
        <f>_xll.mirGetDate($C$6,F67)</f>
        <v>54984</v>
      </c>
      <c r="H67" s="260">
        <f t="shared" si="46"/>
        <v>1.8610000000000002E-2</v>
      </c>
      <c r="I67" s="229">
        <f ca="1">IF(NOW(),_xll.mirGetParRate4($C$54,$G67,$C$55,$C$64,$C$65,$C$66,$C$67,$C$68,$C$69,$C$70,$C$74,$C$75,$D$64,$D$65,$D$66,$D$67,$D$68,$D$69,$D$70,$D$71,$D$72,$D$73,$D$74,$D$75,$C$56,$C$57,$C$58,$C$59,$C$60),"")</f>
        <v>1.8609999422073354E-2</v>
      </c>
      <c r="J67" s="229">
        <f t="shared" ca="1" si="42"/>
        <v>-5.7792664751032952E-10</v>
      </c>
      <c r="K67" s="230">
        <f t="shared" ca="1" si="43"/>
        <v>-5.7792664751032952E-6</v>
      </c>
      <c r="L67" s="230" t="s">
        <v>12</v>
      </c>
      <c r="M67" s="230" t="s">
        <v>16</v>
      </c>
      <c r="N67" s="255">
        <f ca="1">IF(NOW(),_xll.mirSwapPV($C$51,$C$52,$C$54,$G67,$C$55,$I67+N$51,$C$64,$C$65,$C$66,$C$67,$C$68,$C$69,$C$70,$C$74,$C$75,$D$63,$D$64,$D$65,$D$66,$D$67,$D$68,$D$69,$D$70,$D$71,$D$72,$D$73,$D$74,$D$75,$C$56,$C$57,$C$58,$C$59,$C$60),"")</f>
        <v>-1341179.2700771403</v>
      </c>
      <c r="O67" s="255">
        <f ca="1">IF(NOW(),_xll.mirSwapPV($C$51,$C$52,$C$54,$G67,$C$55,$I67+O$51,$C$64,$C$65,$C$66,$C$67,$C$68,$C$69,$C$70,$C$74,$C$75,$D$63,$D$64,$D$65,$D$66,$D$67,$D$68,$D$69,$D$70,$D$71,$D$72,$D$73,$D$74,$D$75,$C$56,$C$57,$C$58,$C$59,$C$60),"")</f>
        <v>-1072943.4160617122</v>
      </c>
      <c r="P67" s="255">
        <f ca="1">IF(NOW(),_xll.mirSwapPV($C$51,$C$52,$C$54,$G67,$C$55,$I67+P$51,$C$64,$C$65,$C$66,$C$67,$C$68,$C$69,$C$70,$C$74,$C$75,$D$63,$D$64,$D$65,$D$66,$D$67,$D$68,$D$69,$D$70,$D$71,$D$72,$D$73,$D$74,$D$75,$C$56,$C$57,$C$58,$C$59,$C$60),"")</f>
        <v>-804707.56204628397</v>
      </c>
      <c r="Q67" s="255">
        <f ca="1">IF(NOW(),_xll.mirSwapPV($C$51,$C$52,$C$54,$G67,$C$55,$I67+Q$51,$C$64,$C$65,$C$66,$C$67,$C$68,$C$69,$C$70,$C$74,$C$75,$D$63,$D$64,$D$65,$D$66,$D$67,$D$68,$D$69,$D$70,$D$71,$D$72,$D$73,$D$74,$D$75,$C$56,$C$57,$C$58,$C$59,$C$60),"")</f>
        <v>-536471.70803085598</v>
      </c>
      <c r="R67" s="255">
        <f ca="1">IF(NOW(),_xll.mirSwapPV($C$51,$C$52,$C$54,$G67,$C$55,$I67+R$51,$C$64,$C$65,$C$66,$C$67,$C$68,$C$69,$C$70,$C$74,$C$75,$D$63,$D$64,$D$65,$D$66,$D$67,$D$68,$D$69,$D$70,$D$71,$D$72,$D$73,$D$74,$D$75,$C$56,$C$57,$C$58,$C$59,$C$60),"")</f>
        <v>-268235.85401542793</v>
      </c>
      <c r="S67" s="255">
        <f ca="1">IF(NOW(),_xll.mirSwapPV($C$51,$C$52,$C$54,$G67,$C$55,$I67+S$51,$C$64,$C$65,$C$66,$C$67,$C$68,$C$69,$C$70,$C$74,$C$75,$D$63,$D$64,$D$65,$D$66,$D$67,$D$68,$D$69,$D$70,$D$71,$D$72,$D$73,$D$74,$D$75,$C$56,$C$57,$C$58,$C$59,$C$60),"")</f>
        <v>0</v>
      </c>
      <c r="T67" s="255">
        <f ca="1">IF(NOW(),_xll.mirSwapPV($C$51,$C$52,$C$54,$G67,$C$55,$I67+T$51,$C$64,$C$65,$C$66,$C$67,$C$68,$C$69,$C$70,$C$74,$C$75,$D$63,$D$64,$D$65,$D$66,$D$67,$D$68,$D$69,$D$70,$D$71,$D$72,$D$73,$D$74,$D$75,$C$56,$C$57,$C$58,$C$59,$C$60),"")</f>
        <v>268235.85401542799</v>
      </c>
      <c r="U67" s="255">
        <f ca="1">IF(NOW(),_xll.mirSwapPV($C$51,$C$52,$C$54,$G67,$C$55,$I67+U$51,$C$64,$C$65,$C$66,$C$67,$C$68,$C$69,$C$70,$C$74,$C$75,$D$63,$D$64,$D$65,$D$66,$D$67,$D$68,$D$69,$D$70,$D$71,$D$72,$D$73,$D$74,$D$75,$C$56,$C$57,$C$58,$C$59,$C$60),"")</f>
        <v>536471.7080308561</v>
      </c>
      <c r="V67" s="255">
        <f ca="1">IF(NOW(),_xll.mirSwapPV($C$51,$C$52,$C$54,$G67,$C$55,$I67+V$51,$C$64,$C$65,$C$66,$C$67,$C$68,$C$69,$C$70,$C$74,$C$75,$D$63,$D$64,$D$65,$D$66,$D$67,$D$68,$D$69,$D$70,$D$71,$D$72,$D$73,$D$74,$D$75,$C$56,$C$57,$C$58,$C$59,$C$60),"")</f>
        <v>804707.56204628397</v>
      </c>
      <c r="W67" s="255">
        <f ca="1">IF(NOW(),_xll.mirSwapPV($C$51,$C$52,$C$54,$G67,$C$55,$I67+W$51,$C$64,$C$65,$C$66,$C$67,$C$68,$C$69,$C$70,$C$74,$C$75,$D$63,$D$64,$D$65,$D$66,$D$67,$D$68,$D$69,$D$70,$D$71,$D$72,$D$73,$D$74,$D$75,$C$56,$C$57,$C$58,$C$59,$C$60),"")</f>
        <v>1072943.4160617122</v>
      </c>
      <c r="X67" s="255">
        <f ca="1">IF(NOW(),_xll.mirSwapPV($C$51,$C$52,$C$54,$G67,$C$55,$I67+X$51,$C$64,$C$65,$C$66,$C$67,$C$68,$C$69,$C$70,$C$74,$C$75,$D$63,$D$64,$D$65,$D$66,$D$67,$D$68,$D$69,$D$70,$D$71,$D$72,$D$73,$D$74,$D$75,$C$56,$C$57,$C$58,$C$59,$C$60),"")</f>
        <v>1341179.2700771401</v>
      </c>
      <c r="Y67" s="230" t="s">
        <v>12</v>
      </c>
      <c r="Z67" s="224" t="s">
        <v>16</v>
      </c>
      <c r="AA67" s="227">
        <f>_xll.mirGetDate($C$6,Z67)</f>
        <v>54984</v>
      </c>
      <c r="AB67" s="260">
        <f t="shared" si="47"/>
        <v>1.8610000000000002E-2</v>
      </c>
      <c r="AC67" s="229">
        <f ca="1">IF(NOW(),_xll.mirGetParRate4($C$54,$AA67,$C$55,$C$64,$C$65,$C$66,$C$67,$C$68,$C$69,$C$70,$C$74,$C$75,$D$64,$D$65,$D$66,$D$67,$D$68,$D$69,$D$70,$D$71,$D$72,$D$73,$D$74,$D$75,$C$56,$C$57,$C$58,$D$59,$C$60),"")</f>
        <v>1.8609999422073344E-2</v>
      </c>
      <c r="AD67" s="229">
        <f t="shared" ca="1" si="44"/>
        <v>-5.7792665791867037E-10</v>
      </c>
      <c r="AE67" s="230">
        <f t="shared" ca="1" si="45"/>
        <v>-5.7792665791867037E-6</v>
      </c>
      <c r="AG67" s="230" t="s">
        <v>16</v>
      </c>
      <c r="AH67" s="255">
        <f ca="1">IF(NOW(),_xll.mirSwapPV($C$51,$C$52,$C$54,$AA67,$C$55,$AC67+AH$51,$C$64,$C$65,$C$66,$C$67,$C$68,$C$69,$C$70,$C$74,$C$75,$D$63,$D$64,$D$65,$D$66,$D$67,$D$68,$D$69,$D$70,$D$71,$D$72,$D$73,$D$74,$D$75,$C$56,$C$57,$C$58,$D$59,$C$60),"")</f>
        <v>-1341179.2700771403</v>
      </c>
      <c r="AI67" s="255">
        <f ca="1">IF(NOW(),_xll.mirSwapPV($C$51,$C$52,$C$54,$AA67,$C$55,$AC67+AI$51,$C$64,$C$65,$C$66,$C$67,$C$68,$C$69,$C$70,$C$74,$C$75,$D$63,$D$64,$D$65,$D$66,$D$67,$D$68,$D$69,$D$70,$D$71,$D$72,$D$73,$D$74,$D$75,$C$56,$C$57,$C$58,$D$59,$C$60),"")</f>
        <v>-1072943.4160617122</v>
      </c>
      <c r="AJ67" s="255">
        <f ca="1">IF(NOW(),_xll.mirSwapPV($C$51,$C$52,$C$54,$AA67,$C$55,$AC67+AJ$51,$C$64,$C$65,$C$66,$C$67,$C$68,$C$69,$C$70,$C$74,$C$75,$D$63,$D$64,$D$65,$D$66,$D$67,$D$68,$D$69,$D$70,$D$71,$D$72,$D$73,$D$74,$D$75,$C$56,$C$57,$C$58,$D$59,$C$60),"")</f>
        <v>-804707.56204628409</v>
      </c>
      <c r="AK67" s="255">
        <f ca="1">IF(NOW(),_xll.mirSwapPV($C$51,$C$52,$C$54,$AA67,$C$55,$AC67+AK$51,$C$64,$C$65,$C$66,$C$67,$C$68,$C$69,$C$70,$C$74,$C$75,$D$63,$D$64,$D$65,$D$66,$D$67,$D$68,$D$69,$D$70,$D$71,$D$72,$D$73,$D$74,$D$75,$C$56,$C$57,$C$58,$D$59,$C$60),"")</f>
        <v>-536471.7080308561</v>
      </c>
      <c r="AL67" s="255">
        <f ca="1">IF(NOW(),_xll.mirSwapPV($C$51,$C$52,$C$54,$AA67,$C$55,$AC67+AL$51,$C$64,$C$65,$C$66,$C$67,$C$68,$C$69,$C$70,$C$74,$C$75,$D$63,$D$64,$D$65,$D$66,$D$67,$D$68,$D$69,$D$70,$D$71,$D$72,$D$73,$D$74,$D$75,$C$56,$C$57,$C$58,$D$59,$C$60),"")</f>
        <v>-268235.85401542799</v>
      </c>
      <c r="AM67" s="255">
        <f ca="1">IF(NOW(),_xll.mirSwapPV($C$51,$C$52,$C$54,$AA67,$C$55,$AC67+AM$51,$C$64,$C$65,$C$66,$C$67,$C$68,$C$69,$C$70,$C$74,$C$75,$D$63,$D$64,$D$65,$D$66,$D$67,$D$68,$D$69,$D$70,$D$71,$D$72,$D$73,$D$74,$D$75,$C$56,$C$57,$C$58,$D$59,$C$60),"")</f>
        <v>-5.5511151231257827E-11</v>
      </c>
      <c r="AN67" s="255">
        <f ca="1">IF(NOW(),_xll.mirSwapPV($C$51,$C$52,$C$54,$AA67,$C$55,$AC67+AN$51,$C$64,$C$65,$C$66,$C$67,$C$68,$C$69,$C$70,$C$74,$C$75,$D$63,$D$64,$D$65,$D$66,$D$67,$D$68,$D$69,$D$70,$D$71,$D$72,$D$73,$D$74,$D$75,$C$56,$C$57,$C$58,$D$59,$C$60),"")</f>
        <v>268235.85401542811</v>
      </c>
      <c r="AO67" s="255">
        <f ca="1">IF(NOW(),_xll.mirSwapPV($C$51,$C$52,$C$54,$AA67,$C$55,$AC67+AO$51,$C$64,$C$65,$C$66,$C$67,$C$68,$C$69,$C$70,$C$74,$C$75,$D$63,$D$64,$D$65,$D$66,$D$67,$D$68,$D$69,$D$70,$D$71,$D$72,$D$73,$D$74,$D$75,$C$56,$C$57,$C$58,$D$59,$C$60),"")</f>
        <v>536471.70803085587</v>
      </c>
      <c r="AP67" s="255">
        <f ca="1">IF(NOW(),_xll.mirSwapPV($C$51,$C$52,$C$54,$AA67,$C$55,$AC67+AP$51,$C$64,$C$65,$C$66,$C$67,$C$68,$C$69,$C$70,$C$74,$C$75,$D$63,$D$64,$D$65,$D$66,$D$67,$D$68,$D$69,$D$70,$D$71,$D$72,$D$73,$D$74,$D$75,$C$56,$C$57,$C$58,$D$59,$C$60),"")</f>
        <v>804707.56204628397</v>
      </c>
      <c r="AQ67" s="255">
        <f ca="1">IF(NOW(),_xll.mirSwapPV($C$51,$C$52,$C$54,$AA67,$C$55,$AC67+AQ$51,$C$64,$C$65,$C$66,$C$67,$C$68,$C$69,$C$70,$C$74,$C$75,$D$63,$D$64,$D$65,$D$66,$D$67,$D$68,$D$69,$D$70,$D$71,$D$72,$D$73,$D$74,$D$75,$C$56,$C$57,$C$58,$D$59,$C$60),"")</f>
        <v>1072943.4160617122</v>
      </c>
      <c r="AR67" s="255">
        <f ca="1">IF(NOW(),_xll.mirSwapPV($C$51,$C$52,$C$54,$AA67,$C$55,$AC67+AR$51,$C$64,$C$65,$C$66,$C$67,$C$68,$C$69,$C$70,$C$74,$C$75,$D$63,$D$64,$D$65,$D$66,$D$67,$D$68,$D$69,$D$70,$D$71,$D$72,$D$73,$D$74,$D$75,$C$56,$C$57,$C$58,$D$59,$C$60),"")</f>
        <v>1341179.2700771403</v>
      </c>
    </row>
    <row r="68" spans="2:44">
      <c r="B68" s="234" t="s">
        <v>444</v>
      </c>
      <c r="C68" s="243"/>
      <c r="D68" s="243"/>
      <c r="E68" s="244"/>
      <c r="F68" s="224" t="s">
        <v>15</v>
      </c>
      <c r="G68" s="227">
        <f>_xll.mirGetDate($C$6,F68)</f>
        <v>56810</v>
      </c>
      <c r="H68" s="260">
        <f t="shared" si="46"/>
        <v>1.8595E-2</v>
      </c>
      <c r="I68" s="229">
        <f ca="1">IF(NOW(),_xll.mirGetParRate4($C$54,$G68,$C$55,$C$64,$C$65,$C$66,$C$67,$C$68,$C$69,$C$70,$C$74,$C$75,$D$64,$D$65,$D$66,$D$67,$D$68,$D$69,$D$70,$D$71,$D$72,$D$73,$D$74,$D$75,$C$56,$C$57,$C$58,$C$59,$C$60),"")</f>
        <v>1.8595000703518945E-2</v>
      </c>
      <c r="J68" s="229">
        <f t="shared" ca="1" si="42"/>
        <v>7.0351894448927865E-10</v>
      </c>
      <c r="K68" s="230">
        <f t="shared" ca="1" si="43"/>
        <v>7.0351894448927865E-6</v>
      </c>
      <c r="L68" s="230" t="s">
        <v>12</v>
      </c>
      <c r="M68" s="230" t="s">
        <v>15</v>
      </c>
      <c r="N68" s="255">
        <f ca="1">IF(NOW(),_xll.mirSwapPV($C$51,$C$52,$C$54,$G68,$C$55,$I68+N$51,$C$64,$C$65,$C$66,$C$67,$C$68,$C$69,$C$70,$C$74,$C$75,$D$63,$D$64,$D$65,$D$66,$D$67,$D$68,$D$69,$D$70,$D$71,$D$72,$D$73,$D$74,$D$75,$C$56,$C$57,$C$58,$C$59,$C$60),"")</f>
        <v>-1471307.5991774679</v>
      </c>
      <c r="O68" s="255">
        <f ca="1">IF(NOW(),_xll.mirSwapPV($C$51,$C$52,$C$54,$G68,$C$55,$I68+O$51,$C$64,$C$65,$C$66,$C$67,$C$68,$C$69,$C$70,$C$74,$C$75,$D$63,$D$64,$D$65,$D$66,$D$67,$D$68,$D$69,$D$70,$D$71,$D$72,$D$73,$D$74,$D$75,$C$56,$C$57,$C$58,$C$59,$C$60),"")</f>
        <v>-1177046.0793419741</v>
      </c>
      <c r="P68" s="255">
        <f ca="1">IF(NOW(),_xll.mirSwapPV($C$51,$C$52,$C$54,$G68,$C$55,$I68+P$51,$C$64,$C$65,$C$66,$C$67,$C$68,$C$69,$C$70,$C$74,$C$75,$D$63,$D$64,$D$65,$D$66,$D$67,$D$68,$D$69,$D$70,$D$71,$D$72,$D$73,$D$74,$D$75,$C$56,$C$57,$C$58,$C$59,$C$60),"")</f>
        <v>-882784.55950648058</v>
      </c>
      <c r="Q68" s="255">
        <f ca="1">IF(NOW(),_xll.mirSwapPV($C$51,$C$52,$C$54,$G68,$C$55,$I68+Q$51,$C$64,$C$65,$C$66,$C$67,$C$68,$C$69,$C$70,$C$74,$C$75,$D$63,$D$64,$D$65,$D$66,$D$67,$D$68,$D$69,$D$70,$D$71,$D$72,$D$73,$D$74,$D$75,$C$56,$C$57,$C$58,$C$59,$C$60),"")</f>
        <v>-588523.03967098705</v>
      </c>
      <c r="R68" s="255">
        <f ca="1">IF(NOW(),_xll.mirSwapPV($C$51,$C$52,$C$54,$G68,$C$55,$I68+R$51,$C$64,$C$65,$C$66,$C$67,$C$68,$C$69,$C$70,$C$74,$C$75,$D$63,$D$64,$D$65,$D$66,$D$67,$D$68,$D$69,$D$70,$D$71,$D$72,$D$73,$D$74,$D$75,$C$56,$C$57,$C$58,$C$59,$C$60),"")</f>
        <v>-294261.51983549347</v>
      </c>
      <c r="S68" s="255">
        <f ca="1">IF(NOW(),_xll.mirSwapPV($C$51,$C$52,$C$54,$G68,$C$55,$I68+S$51,$C$64,$C$65,$C$66,$C$67,$C$68,$C$69,$C$70,$C$74,$C$75,$D$63,$D$64,$D$65,$D$66,$D$67,$D$68,$D$69,$D$70,$D$71,$D$72,$D$73,$D$74,$D$75,$C$56,$C$57,$C$58,$C$59,$C$60),"")</f>
        <v>0</v>
      </c>
      <c r="T68" s="255">
        <f ca="1">IF(NOW(),_xll.mirSwapPV($C$51,$C$52,$C$54,$G68,$C$55,$I68+T$51,$C$64,$C$65,$C$66,$C$67,$C$68,$C$69,$C$70,$C$74,$C$75,$D$63,$D$64,$D$65,$D$66,$D$67,$D$68,$D$69,$D$70,$D$71,$D$72,$D$73,$D$74,$D$75,$C$56,$C$57,$C$58,$C$59,$C$60),"")</f>
        <v>294261.51983549353</v>
      </c>
      <c r="U68" s="255">
        <f ca="1">IF(NOW(),_xll.mirSwapPV($C$51,$C$52,$C$54,$G68,$C$55,$I68+U$51,$C$64,$C$65,$C$66,$C$67,$C$68,$C$69,$C$70,$C$74,$C$75,$D$63,$D$64,$D$65,$D$66,$D$67,$D$68,$D$69,$D$70,$D$71,$D$72,$D$73,$D$74,$D$75,$C$56,$C$57,$C$58,$C$59,$C$60),"")</f>
        <v>588523.03967098694</v>
      </c>
      <c r="V68" s="255">
        <f ca="1">IF(NOW(),_xll.mirSwapPV($C$51,$C$52,$C$54,$G68,$C$55,$I68+V$51,$C$64,$C$65,$C$66,$C$67,$C$68,$C$69,$C$70,$C$74,$C$75,$D$63,$D$64,$D$65,$D$66,$D$67,$D$68,$D$69,$D$70,$D$71,$D$72,$D$73,$D$74,$D$75,$C$56,$C$57,$C$58,$C$59,$C$60),"")</f>
        <v>882784.55950648058</v>
      </c>
      <c r="W68" s="255">
        <f ca="1">IF(NOW(),_xll.mirSwapPV($C$51,$C$52,$C$54,$G68,$C$55,$I68+W$51,$C$64,$C$65,$C$66,$C$67,$C$68,$C$69,$C$70,$C$74,$C$75,$D$63,$D$64,$D$65,$D$66,$D$67,$D$68,$D$69,$D$70,$D$71,$D$72,$D$73,$D$74,$D$75,$C$56,$C$57,$C$58,$C$59,$C$60),"")</f>
        <v>1177046.0793419741</v>
      </c>
      <c r="X68" s="255">
        <f ca="1">IF(NOW(),_xll.mirSwapPV($C$51,$C$52,$C$54,$G68,$C$55,$I68+X$51,$C$64,$C$65,$C$66,$C$67,$C$68,$C$69,$C$70,$C$74,$C$75,$D$63,$D$64,$D$65,$D$66,$D$67,$D$68,$D$69,$D$70,$D$71,$D$72,$D$73,$D$74,$D$75,$C$56,$C$57,$C$58,$C$59,$C$60),"")</f>
        <v>1471307.5991774681</v>
      </c>
      <c r="Y68" s="230" t="s">
        <v>12</v>
      </c>
      <c r="Z68" s="224" t="s">
        <v>15</v>
      </c>
      <c r="AA68" s="227">
        <f>_xll.mirGetDate($C$6,Z68)</f>
        <v>56810</v>
      </c>
      <c r="AB68" s="260">
        <f t="shared" si="47"/>
        <v>1.8595E-2</v>
      </c>
      <c r="AC68" s="229">
        <f ca="1">IF(NOW(),_xll.mirGetParRate4($C$54,$AA68,$C$55,$C$64,$C$65,$C$66,$C$67,$C$68,$C$69,$C$70,$C$74,$C$75,$D$64,$D$65,$D$66,$D$67,$D$68,$D$69,$D$70,$D$71,$D$72,$D$73,$D$74,$D$75,$C$56,$C$57,$C$58,$D$59,$C$60),"")</f>
        <v>1.8595000703518959E-2</v>
      </c>
      <c r="AD68" s="229">
        <f t="shared" ca="1" si="44"/>
        <v>7.0351895836706646E-10</v>
      </c>
      <c r="AE68" s="230">
        <f t="shared" ca="1" si="45"/>
        <v>7.0351895836706646E-6</v>
      </c>
      <c r="AG68" s="230" t="s">
        <v>15</v>
      </c>
      <c r="AH68" s="255">
        <f ca="1">IF(NOW(),_xll.mirSwapPV($C$51,$C$52,$C$54,$AA68,$C$55,$AC68+AH$51,$C$64,$C$65,$C$66,$C$67,$C$68,$C$69,$C$70,$C$74,$C$75,$D$63,$D$64,$D$65,$D$66,$D$67,$D$68,$D$69,$D$70,$D$71,$D$72,$D$73,$D$74,$D$75,$C$56,$C$57,$C$58,$D$59,$C$60),"")</f>
        <v>-1471307.5991774676</v>
      </c>
      <c r="AI68" s="255">
        <f ca="1">IF(NOW(),_xll.mirSwapPV($C$51,$C$52,$C$54,$AA68,$C$55,$AC68+AI$51,$C$64,$C$65,$C$66,$C$67,$C$68,$C$69,$C$70,$C$74,$C$75,$D$63,$D$64,$D$65,$D$66,$D$67,$D$68,$D$69,$D$70,$D$71,$D$72,$D$73,$D$74,$D$75,$C$56,$C$57,$C$58,$D$59,$C$60),"")</f>
        <v>-1177046.0793419741</v>
      </c>
      <c r="AJ68" s="255">
        <f ca="1">IF(NOW(),_xll.mirSwapPV($C$51,$C$52,$C$54,$AA68,$C$55,$AC68+AJ$51,$C$64,$C$65,$C$66,$C$67,$C$68,$C$69,$C$70,$C$74,$C$75,$D$63,$D$64,$D$65,$D$66,$D$67,$D$68,$D$69,$D$70,$D$71,$D$72,$D$73,$D$74,$D$75,$C$56,$C$57,$C$58,$D$59,$C$60),"")</f>
        <v>-882784.55950648047</v>
      </c>
      <c r="AK68" s="255">
        <f ca="1">IF(NOW(),_xll.mirSwapPV($C$51,$C$52,$C$54,$AA68,$C$55,$AC68+AK$51,$C$64,$C$65,$C$66,$C$67,$C$68,$C$69,$C$70,$C$74,$C$75,$D$63,$D$64,$D$65,$D$66,$D$67,$D$68,$D$69,$D$70,$D$71,$D$72,$D$73,$D$74,$D$75,$C$56,$C$57,$C$58,$D$59,$C$60),"")</f>
        <v>-588523.03967098694</v>
      </c>
      <c r="AL68" s="255">
        <f ca="1">IF(NOW(),_xll.mirSwapPV($C$51,$C$52,$C$54,$AA68,$C$55,$AC68+AL$51,$C$64,$C$65,$C$66,$C$67,$C$68,$C$69,$C$70,$C$74,$C$75,$D$63,$D$64,$D$65,$D$66,$D$67,$D$68,$D$69,$D$70,$D$71,$D$72,$D$73,$D$74,$D$75,$C$56,$C$57,$C$58,$D$59,$C$60),"")</f>
        <v>-294261.51983549341</v>
      </c>
      <c r="AM68" s="255">
        <f ca="1">IF(NOW(),_xll.mirSwapPV($C$51,$C$52,$C$54,$AA68,$C$55,$AC68+AM$51,$C$64,$C$65,$C$66,$C$67,$C$68,$C$69,$C$70,$C$74,$C$75,$D$63,$D$64,$D$65,$D$66,$D$67,$D$68,$D$69,$D$70,$D$71,$D$72,$D$73,$D$74,$D$75,$C$56,$C$57,$C$58,$D$59,$C$60),"")</f>
        <v>0</v>
      </c>
      <c r="AN68" s="255">
        <f ca="1">IF(NOW(),_xll.mirSwapPV($C$51,$C$52,$C$54,$AA68,$C$55,$AC68+AN$51,$C$64,$C$65,$C$66,$C$67,$C$68,$C$69,$C$70,$C$74,$C$75,$D$63,$D$64,$D$65,$D$66,$D$67,$D$68,$D$69,$D$70,$D$71,$D$72,$D$73,$D$74,$D$75,$C$56,$C$57,$C$58,$D$59,$C$60),"")</f>
        <v>294261.51983549364</v>
      </c>
      <c r="AO68" s="255">
        <f ca="1">IF(NOW(),_xll.mirSwapPV($C$51,$C$52,$C$54,$AA68,$C$55,$AC68+AO$51,$C$64,$C$65,$C$66,$C$67,$C$68,$C$69,$C$70,$C$74,$C$75,$D$63,$D$64,$D$65,$D$66,$D$67,$D$68,$D$69,$D$70,$D$71,$D$72,$D$73,$D$74,$D$75,$C$56,$C$57,$C$58,$D$59,$C$60),"")</f>
        <v>588523.03967098705</v>
      </c>
      <c r="AP68" s="255">
        <f ca="1">IF(NOW(),_xll.mirSwapPV($C$51,$C$52,$C$54,$AA68,$C$55,$AC68+AP$51,$C$64,$C$65,$C$66,$C$67,$C$68,$C$69,$C$70,$C$74,$C$75,$D$63,$D$64,$D$65,$D$66,$D$67,$D$68,$D$69,$D$70,$D$71,$D$72,$D$73,$D$74,$D$75,$C$56,$C$57,$C$58,$D$59,$C$60),"")</f>
        <v>882784.55950648047</v>
      </c>
      <c r="AQ68" s="255">
        <f ca="1">IF(NOW(),_xll.mirSwapPV($C$51,$C$52,$C$54,$AA68,$C$55,$AC68+AQ$51,$C$64,$C$65,$C$66,$C$67,$C$68,$C$69,$C$70,$C$74,$C$75,$D$63,$D$64,$D$65,$D$66,$D$67,$D$68,$D$69,$D$70,$D$71,$D$72,$D$73,$D$74,$D$75,$C$56,$C$57,$C$58,$D$59,$C$60),"")</f>
        <v>1177046.0793419741</v>
      </c>
      <c r="AR68" s="255">
        <f ca="1">IF(NOW(),_xll.mirSwapPV($C$51,$C$52,$C$54,$AA68,$C$55,$AC68+AR$51,$C$64,$C$65,$C$66,$C$67,$C$68,$C$69,$C$70,$C$74,$C$75,$D$63,$D$64,$D$65,$D$66,$D$67,$D$68,$D$69,$D$70,$D$71,$D$72,$D$73,$D$74,$D$75,$C$56,$C$57,$C$58,$D$59,$C$60),"")</f>
        <v>1471307.5991774676</v>
      </c>
    </row>
    <row r="69" spans="2:44">
      <c r="B69" s="234" t="s">
        <v>445</v>
      </c>
      <c r="C69" s="243"/>
      <c r="D69" s="243"/>
      <c r="E69" s="245"/>
      <c r="F69" s="224" t="s">
        <v>368</v>
      </c>
      <c r="G69" s="227">
        <f>_xll.mirGetDate($C$6,F69)</f>
        <v>58637</v>
      </c>
      <c r="H69" s="260">
        <f t="shared" si="46"/>
        <v>1.8402999999999999E-2</v>
      </c>
      <c r="I69" s="229">
        <f ca="1">IF(NOW(),_xll.mirGetParRate4($C$54,$G69,$C$55,$C$64,$C$65,$C$66,$C$67,$C$68,$C$69,$C$70,$C$74,$C$75,$D$64,$D$65,$D$66,$D$67,$D$68,$D$69,$D$70,$D$71,$D$72,$D$73,$D$74,$D$75,$C$56,$C$57,$C$58,$C$59,$C$60),"")</f>
        <v>1.8403000180285529E-2</v>
      </c>
      <c r="J69" s="229">
        <f t="shared" ca="1" si="42"/>
        <v>1.8028552956073085E-10</v>
      </c>
      <c r="K69" s="230">
        <f t="shared" ca="1" si="43"/>
        <v>1.8028552956073085E-6</v>
      </c>
      <c r="L69" s="230" t="s">
        <v>12</v>
      </c>
      <c r="M69" s="230" t="s">
        <v>368</v>
      </c>
      <c r="N69" s="255">
        <f ca="1">IF(NOW(),_xll.mirSwapPV($C$51,$C$52,$C$54,$G69,$C$55,$I69+N$51,$C$64,$C$65,$C$66,$C$67,$C$68,$C$69,$C$70,$C$74,$C$75,$D$63,$D$64,$D$65,$D$66,$D$67,$D$68,$D$69,$D$70,$D$71,$D$72,$D$73,$D$74,$D$75,$C$56,$C$57,$C$58,$C$59,$C$60),"")</f>
        <v>-1589983.8927858977</v>
      </c>
      <c r="O69" s="255">
        <f ca="1">IF(NOW(),_xll.mirSwapPV($C$51,$C$52,$C$54,$G69,$C$55,$I69+O$51,$C$64,$C$65,$C$66,$C$67,$C$68,$C$69,$C$70,$C$74,$C$75,$D$63,$D$64,$D$65,$D$66,$D$67,$D$68,$D$69,$D$70,$D$71,$D$72,$D$73,$D$74,$D$75,$C$56,$C$57,$C$58,$C$59,$C$60),"")</f>
        <v>-1271987.114228718</v>
      </c>
      <c r="P69" s="255">
        <f ca="1">IF(NOW(),_xll.mirSwapPV($C$51,$C$52,$C$54,$G69,$C$55,$I69+P$51,$C$64,$C$65,$C$66,$C$67,$C$68,$C$69,$C$70,$C$74,$C$75,$D$63,$D$64,$D$65,$D$66,$D$67,$D$68,$D$69,$D$70,$D$71,$D$72,$D$73,$D$74,$D$75,$C$56,$C$57,$C$58,$C$59,$C$60),"")</f>
        <v>-953990.33567153849</v>
      </c>
      <c r="Q69" s="255">
        <f ca="1">IF(NOW(),_xll.mirSwapPV($C$51,$C$52,$C$54,$G69,$C$55,$I69+Q$51,$C$64,$C$65,$C$66,$C$67,$C$68,$C$69,$C$70,$C$74,$C$75,$D$63,$D$64,$D$65,$D$66,$D$67,$D$68,$D$69,$D$70,$D$71,$D$72,$D$73,$D$74,$D$75,$C$56,$C$57,$C$58,$C$59,$C$60),"")</f>
        <v>-635993.55711435887</v>
      </c>
      <c r="R69" s="255">
        <f ca="1">IF(NOW(),_xll.mirSwapPV($C$51,$C$52,$C$54,$G69,$C$55,$I69+R$51,$C$64,$C$65,$C$66,$C$67,$C$68,$C$69,$C$70,$C$74,$C$75,$D$63,$D$64,$D$65,$D$66,$D$67,$D$68,$D$69,$D$70,$D$71,$D$72,$D$73,$D$74,$D$75,$C$56,$C$57,$C$58,$C$59,$C$60),"")</f>
        <v>-317996.77855717938</v>
      </c>
      <c r="S69" s="255">
        <f ca="1">IF(NOW(),_xll.mirSwapPV($C$51,$C$52,$C$54,$G69,$C$55,$I69+S$51,$C$64,$C$65,$C$66,$C$67,$C$68,$C$69,$C$70,$C$74,$C$75,$D$63,$D$64,$D$65,$D$66,$D$67,$D$68,$D$69,$D$70,$D$71,$D$72,$D$73,$D$74,$D$75,$C$56,$C$57,$C$58,$C$59,$C$60),"")</f>
        <v>0</v>
      </c>
      <c r="T69" s="255">
        <f ca="1">IF(NOW(),_xll.mirSwapPV($C$51,$C$52,$C$54,$G69,$C$55,$I69+T$51,$C$64,$C$65,$C$66,$C$67,$C$68,$C$69,$C$70,$C$74,$C$75,$D$63,$D$64,$D$65,$D$66,$D$67,$D$68,$D$69,$D$70,$D$71,$D$72,$D$73,$D$74,$D$75,$C$56,$C$57,$C$58,$C$59,$C$60),"")</f>
        <v>317996.77855717944</v>
      </c>
      <c r="U69" s="255">
        <f ca="1">IF(NOW(),_xll.mirSwapPV($C$51,$C$52,$C$54,$G69,$C$55,$I69+U$51,$C$64,$C$65,$C$66,$C$67,$C$68,$C$69,$C$70,$C$74,$C$75,$D$63,$D$64,$D$65,$D$66,$D$67,$D$68,$D$69,$D$70,$D$71,$D$72,$D$73,$D$74,$D$75,$C$56,$C$57,$C$58,$C$59,$C$60),"")</f>
        <v>635993.55711435899</v>
      </c>
      <c r="V69" s="255">
        <f ca="1">IF(NOW(),_xll.mirSwapPV($C$51,$C$52,$C$54,$G69,$C$55,$I69+V$51,$C$64,$C$65,$C$66,$C$67,$C$68,$C$69,$C$70,$C$74,$C$75,$D$63,$D$64,$D$65,$D$66,$D$67,$D$68,$D$69,$D$70,$D$71,$D$72,$D$73,$D$74,$D$75,$C$56,$C$57,$C$58,$C$59,$C$60),"")</f>
        <v>953990.33567153837</v>
      </c>
      <c r="W69" s="255">
        <f ca="1">IF(NOW(),_xll.mirSwapPV($C$51,$C$52,$C$54,$G69,$C$55,$I69+W$51,$C$64,$C$65,$C$66,$C$67,$C$68,$C$69,$C$70,$C$74,$C$75,$D$63,$D$64,$D$65,$D$66,$D$67,$D$68,$D$69,$D$70,$D$71,$D$72,$D$73,$D$74,$D$75,$C$56,$C$57,$C$58,$C$59,$C$60),"")</f>
        <v>1271987.1142287182</v>
      </c>
      <c r="X69" s="255">
        <f ca="1">IF(NOW(),_xll.mirSwapPV($C$51,$C$52,$C$54,$G69,$C$55,$I69+X$51,$C$64,$C$65,$C$66,$C$67,$C$68,$C$69,$C$70,$C$74,$C$75,$D$63,$D$64,$D$65,$D$66,$D$67,$D$68,$D$69,$D$70,$D$71,$D$72,$D$73,$D$74,$D$75,$C$56,$C$57,$C$58,$C$59,$C$60),"")</f>
        <v>1589983.8927858972</v>
      </c>
      <c r="Y69" s="230" t="s">
        <v>12</v>
      </c>
      <c r="Z69" s="224" t="s">
        <v>368</v>
      </c>
      <c r="AA69" s="227">
        <f>_xll.mirGetDate($C$6,Z69)</f>
        <v>58637</v>
      </c>
      <c r="AB69" s="260">
        <f t="shared" si="47"/>
        <v>1.8402999999999999E-2</v>
      </c>
      <c r="AC69" s="229">
        <f ca="1">IF(NOW(),_xll.mirGetParRate4($C$54,$AA69,$C$55,$C$64,$C$65,$C$66,$C$67,$C$68,$C$69,$C$70,$C$74,$C$75,$D$64,$D$65,$D$66,$D$67,$D$68,$D$69,$D$70,$D$71,$D$72,$D$73,$D$74,$D$75,$C$56,$C$57,$C$58,$D$59,$C$60),"")</f>
        <v>1.8403000180285543E-2</v>
      </c>
      <c r="AD69" s="229">
        <f t="shared" ca="1" si="44"/>
        <v>1.8028554343851866E-10</v>
      </c>
      <c r="AE69" s="230">
        <f t="shared" ca="1" si="45"/>
        <v>1.8028554343851866E-6</v>
      </c>
      <c r="AG69" s="230" t="s">
        <v>368</v>
      </c>
      <c r="AH69" s="255">
        <f ca="1">IF(NOW(),_xll.mirSwapPV($C$51,$C$52,$C$54,$AA69,$C$55,$AC69+AH$51,$C$64,$C$65,$C$66,$C$67,$C$68,$C$69,$C$70,$C$74,$C$75,$D$63,$D$64,$D$65,$D$66,$D$67,$D$68,$D$69,$D$70,$D$71,$D$72,$D$73,$D$74,$D$75,$C$56,$C$57,$C$58,$D$59,$C$60),"")</f>
        <v>-1589983.8927858977</v>
      </c>
      <c r="AI69" s="255">
        <f ca="1">IF(NOW(),_xll.mirSwapPV($C$51,$C$52,$C$54,$AA69,$C$55,$AC69+AI$51,$C$64,$C$65,$C$66,$C$67,$C$68,$C$69,$C$70,$C$74,$C$75,$D$63,$D$64,$D$65,$D$66,$D$67,$D$68,$D$69,$D$70,$D$71,$D$72,$D$73,$D$74,$D$75,$C$56,$C$57,$C$58,$D$59,$C$60),"")</f>
        <v>-1271987.114228718</v>
      </c>
      <c r="AJ69" s="255">
        <f ca="1">IF(NOW(),_xll.mirSwapPV($C$51,$C$52,$C$54,$AA69,$C$55,$AC69+AJ$51,$C$64,$C$65,$C$66,$C$67,$C$68,$C$69,$C$70,$C$74,$C$75,$D$63,$D$64,$D$65,$D$66,$D$67,$D$68,$D$69,$D$70,$D$71,$D$72,$D$73,$D$74,$D$75,$C$56,$C$57,$C$58,$D$59,$C$60),"")</f>
        <v>-953990.33567153849</v>
      </c>
      <c r="AK69" s="255">
        <f ca="1">IF(NOW(),_xll.mirSwapPV($C$51,$C$52,$C$54,$AA69,$C$55,$AC69+AK$51,$C$64,$C$65,$C$66,$C$67,$C$68,$C$69,$C$70,$C$74,$C$75,$D$63,$D$64,$D$65,$D$66,$D$67,$D$68,$D$69,$D$70,$D$71,$D$72,$D$73,$D$74,$D$75,$C$56,$C$57,$C$58,$D$59,$C$60),"")</f>
        <v>-635993.55711435887</v>
      </c>
      <c r="AL69" s="255">
        <f ca="1">IF(NOW(),_xll.mirSwapPV($C$51,$C$52,$C$54,$AA69,$C$55,$AC69+AL$51,$C$64,$C$65,$C$66,$C$67,$C$68,$C$69,$C$70,$C$74,$C$75,$D$63,$D$64,$D$65,$D$66,$D$67,$D$68,$D$69,$D$70,$D$71,$D$72,$D$73,$D$74,$D$75,$C$56,$C$57,$C$58,$D$59,$C$60),"")</f>
        <v>-317996.77855717938</v>
      </c>
      <c r="AM69" s="255">
        <f ca="1">IF(NOW(),_xll.mirSwapPV($C$51,$C$52,$C$54,$AA69,$C$55,$AC69+AM$51,$C$64,$C$65,$C$66,$C$67,$C$68,$C$69,$C$70,$C$74,$C$75,$D$63,$D$64,$D$65,$D$66,$D$67,$D$68,$D$69,$D$70,$D$71,$D$72,$D$73,$D$74,$D$75,$C$56,$C$57,$C$58,$D$59,$C$60),"")</f>
        <v>0</v>
      </c>
      <c r="AN69" s="255">
        <f ca="1">IF(NOW(),_xll.mirSwapPV($C$51,$C$52,$C$54,$AA69,$C$55,$AC69+AN$51,$C$64,$C$65,$C$66,$C$67,$C$68,$C$69,$C$70,$C$74,$C$75,$D$63,$D$64,$D$65,$D$66,$D$67,$D$68,$D$69,$D$70,$D$71,$D$72,$D$73,$D$74,$D$75,$C$56,$C$57,$C$58,$D$59,$C$60),"")</f>
        <v>317996.77855717944</v>
      </c>
      <c r="AO69" s="255">
        <f ca="1">IF(NOW(),_xll.mirSwapPV($C$51,$C$52,$C$54,$AA69,$C$55,$AC69+AO$51,$C$64,$C$65,$C$66,$C$67,$C$68,$C$69,$C$70,$C$74,$C$75,$D$63,$D$64,$D$65,$D$66,$D$67,$D$68,$D$69,$D$70,$D$71,$D$72,$D$73,$D$74,$D$75,$C$56,$C$57,$C$58,$D$59,$C$60),"")</f>
        <v>635993.55711435899</v>
      </c>
      <c r="AP69" s="255">
        <f ca="1">IF(NOW(),_xll.mirSwapPV($C$51,$C$52,$C$54,$AA69,$C$55,$AC69+AP$51,$C$64,$C$65,$C$66,$C$67,$C$68,$C$69,$C$70,$C$74,$C$75,$D$63,$D$64,$D$65,$D$66,$D$67,$D$68,$D$69,$D$70,$D$71,$D$72,$D$73,$D$74,$D$75,$C$56,$C$57,$C$58,$D$59,$C$60),"")</f>
        <v>953990.33567153837</v>
      </c>
      <c r="AQ69" s="255">
        <f ca="1">IF(NOW(),_xll.mirSwapPV($C$51,$C$52,$C$54,$AA69,$C$55,$AC69+AQ$51,$C$64,$C$65,$C$66,$C$67,$C$68,$C$69,$C$70,$C$74,$C$75,$D$63,$D$64,$D$65,$D$66,$D$67,$D$68,$D$69,$D$70,$D$71,$D$72,$D$73,$D$74,$D$75,$C$56,$C$57,$C$58,$D$59,$C$60),"")</f>
        <v>1271987.1142287182</v>
      </c>
      <c r="AR69" s="255">
        <f ca="1">IF(NOW(),_xll.mirSwapPV($C$51,$C$52,$C$54,$AA69,$C$55,$AC69+AR$51,$C$64,$C$65,$C$66,$C$67,$C$68,$C$69,$C$70,$C$74,$C$75,$D$63,$D$64,$D$65,$D$66,$D$67,$D$68,$D$69,$D$70,$D$71,$D$72,$D$73,$D$74,$D$75,$C$56,$C$57,$C$58,$D$59,$C$60),"")</f>
        <v>1589983.8927858972</v>
      </c>
    </row>
    <row r="70" spans="2:44">
      <c r="B70" s="234" t="s">
        <v>446</v>
      </c>
      <c r="C70" s="240">
        <f>DAY(C54)</f>
        <v>15</v>
      </c>
      <c r="D70" s="240">
        <f>DAY(C54)</f>
        <v>15</v>
      </c>
      <c r="F70" s="224" t="s">
        <v>14</v>
      </c>
      <c r="G70" s="227">
        <f>_xll.mirGetDate($C$6,F70)</f>
        <v>60463</v>
      </c>
      <c r="H70" s="260">
        <f t="shared" si="46"/>
        <v>1.8200000000000001E-2</v>
      </c>
      <c r="I70" s="229">
        <f ca="1">IF(NOW(),_xll.mirGetParRate4($C$54,$G70,$C$55,$C$64,$C$65,$C$66,$C$67,$C$68,$C$69,$C$70,$C$74,$C$75,$D$64,$D$65,$D$66,$D$67,$D$68,$D$69,$D$70,$D$71,$D$72,$D$73,$D$74,$D$75,$C$56,$C$57,$C$58,$C$59,$C$60),"")</f>
        <v>1.8199999459767857E-2</v>
      </c>
      <c r="J70" s="229">
        <f t="shared" ca="1" si="42"/>
        <v>-5.4023214374199213E-10</v>
      </c>
      <c r="K70" s="230">
        <f t="shared" ca="1" si="43"/>
        <v>-5.4023214374199213E-6</v>
      </c>
      <c r="L70" s="230" t="s">
        <v>12</v>
      </c>
      <c r="M70" s="230" t="s">
        <v>14</v>
      </c>
      <c r="N70" s="255">
        <f ca="1">IF(NOW(),_xll.mirSwapPV($C$51,$C$52,$C$54,$G70,$C$55,$I70+N$51,$C$64,$C$65,$C$66,$C$67,$C$68,$C$69,$C$70,$C$74,$C$75,$D$63,$D$64,$D$65,$D$66,$D$67,$D$68,$D$69,$D$70,$D$71,$D$72,$D$73,$D$74,$D$75,$C$56,$C$57,$C$58,$C$59,$C$60),"")</f>
        <v>-1698516.6839658313</v>
      </c>
      <c r="O70" s="255">
        <f ca="1">IF(NOW(),_xll.mirSwapPV($C$51,$C$52,$C$54,$G70,$C$55,$I70+O$51,$C$64,$C$65,$C$66,$C$67,$C$68,$C$69,$C$70,$C$74,$C$75,$D$63,$D$64,$D$65,$D$66,$D$67,$D$68,$D$69,$D$70,$D$71,$D$72,$D$73,$D$74,$D$75,$C$56,$C$57,$C$58,$C$59,$C$60),"")</f>
        <v>-1358813.3471726649</v>
      </c>
      <c r="P70" s="255">
        <f ca="1">IF(NOW(),_xll.mirSwapPV($C$51,$C$52,$C$54,$G70,$C$55,$I70+P$51,$C$64,$C$65,$C$66,$C$67,$C$68,$C$69,$C$70,$C$74,$C$75,$D$63,$D$64,$D$65,$D$66,$D$67,$D$68,$D$69,$D$70,$D$71,$D$72,$D$73,$D$74,$D$75,$C$56,$C$57,$C$58,$C$59,$C$60),"")</f>
        <v>-1019110.0103794988</v>
      </c>
      <c r="Q70" s="255">
        <f ca="1">IF(NOW(),_xll.mirSwapPV($C$51,$C$52,$C$54,$G70,$C$55,$I70+Q$51,$C$64,$C$65,$C$66,$C$67,$C$68,$C$69,$C$70,$C$74,$C$75,$D$63,$D$64,$D$65,$D$66,$D$67,$D$68,$D$69,$D$70,$D$71,$D$72,$D$73,$D$74,$D$75,$C$56,$C$57,$C$58,$C$59,$C$60),"")</f>
        <v>-679406.67358633247</v>
      </c>
      <c r="R70" s="255">
        <f ca="1">IF(NOW(),_xll.mirSwapPV($C$51,$C$52,$C$54,$G70,$C$55,$I70+R$51,$C$64,$C$65,$C$66,$C$67,$C$68,$C$69,$C$70,$C$74,$C$75,$D$63,$D$64,$D$65,$D$66,$D$67,$D$68,$D$69,$D$70,$D$71,$D$72,$D$73,$D$74,$D$75,$C$56,$C$57,$C$58,$C$59,$C$60),"")</f>
        <v>-339703.33679316618</v>
      </c>
      <c r="S70" s="255">
        <f ca="1">IF(NOW(),_xll.mirSwapPV($C$51,$C$52,$C$54,$G70,$C$55,$I70+S$51,$C$64,$C$65,$C$66,$C$67,$C$68,$C$69,$C$70,$C$74,$C$75,$D$63,$D$64,$D$65,$D$66,$D$67,$D$68,$D$69,$D$70,$D$71,$D$72,$D$73,$D$74,$D$75,$C$56,$C$57,$C$58,$C$59,$C$60),"")</f>
        <v>0</v>
      </c>
      <c r="T70" s="255">
        <f ca="1">IF(NOW(),_xll.mirSwapPV($C$51,$C$52,$C$54,$G70,$C$55,$I70+T$51,$C$64,$C$65,$C$66,$C$67,$C$68,$C$69,$C$70,$C$74,$C$75,$D$63,$D$64,$D$65,$D$66,$D$67,$D$68,$D$69,$D$70,$D$71,$D$72,$D$73,$D$74,$D$75,$C$56,$C$57,$C$58,$C$59,$C$60),"")</f>
        <v>339703.33679316635</v>
      </c>
      <c r="U70" s="255">
        <f ca="1">IF(NOW(),_xll.mirSwapPV($C$51,$C$52,$C$54,$G70,$C$55,$I70+U$51,$C$64,$C$65,$C$66,$C$67,$C$68,$C$69,$C$70,$C$74,$C$75,$D$63,$D$64,$D$65,$D$66,$D$67,$D$68,$D$69,$D$70,$D$71,$D$72,$D$73,$D$74,$D$75,$C$56,$C$57,$C$58,$C$59,$C$60),"")</f>
        <v>679406.67358633259</v>
      </c>
      <c r="V70" s="255">
        <f ca="1">IF(NOW(),_xll.mirSwapPV($C$51,$C$52,$C$54,$G70,$C$55,$I70+V$51,$C$64,$C$65,$C$66,$C$67,$C$68,$C$69,$C$70,$C$74,$C$75,$D$63,$D$64,$D$65,$D$66,$D$67,$D$68,$D$69,$D$70,$D$71,$D$72,$D$73,$D$74,$D$75,$C$56,$C$57,$C$58,$C$59,$C$60),"")</f>
        <v>1019110.0103794986</v>
      </c>
      <c r="W70" s="255">
        <f ca="1">IF(NOW(),_xll.mirSwapPV($C$51,$C$52,$C$54,$G70,$C$55,$I70+W$51,$C$64,$C$65,$C$66,$C$67,$C$68,$C$69,$C$70,$C$74,$C$75,$D$63,$D$64,$D$65,$D$66,$D$67,$D$68,$D$69,$D$70,$D$71,$D$72,$D$73,$D$74,$D$75,$C$56,$C$57,$C$58,$C$59,$C$60),"")</f>
        <v>1358813.3471726649</v>
      </c>
      <c r="X70" s="255">
        <f ca="1">IF(NOW(),_xll.mirSwapPV($C$51,$C$52,$C$54,$G70,$C$55,$I70+X$51,$C$64,$C$65,$C$66,$C$67,$C$68,$C$69,$C$70,$C$74,$C$75,$D$63,$D$64,$D$65,$D$66,$D$67,$D$68,$D$69,$D$70,$D$71,$D$72,$D$73,$D$74,$D$75,$C$56,$C$57,$C$58,$C$59,$C$60),"")</f>
        <v>1698516.6839658313</v>
      </c>
      <c r="Y70" s="230" t="s">
        <v>12</v>
      </c>
      <c r="Z70" s="224" t="s">
        <v>14</v>
      </c>
      <c r="AA70" s="227">
        <f>_xll.mirGetDate($C$6,Z70)</f>
        <v>60463</v>
      </c>
      <c r="AB70" s="260">
        <f t="shared" si="47"/>
        <v>1.8200000000000001E-2</v>
      </c>
      <c r="AC70" s="229">
        <f ca="1">IF(NOW(),_xll.mirGetParRate4($C$54,$AA70,$C$55,$C$64,$C$65,$C$66,$C$67,$C$68,$C$69,$C$70,$C$74,$C$75,$D$64,$D$65,$D$66,$D$67,$D$68,$D$69,$D$70,$D$71,$D$72,$D$73,$D$74,$D$75,$C$56,$C$57,$C$58,$D$59,$C$60),"")</f>
        <v>1.8199999459767868E-2</v>
      </c>
      <c r="AD70" s="229">
        <f t="shared" ca="1" si="44"/>
        <v>-5.4023213333365128E-10</v>
      </c>
      <c r="AE70" s="230">
        <f t="shared" ca="1" si="45"/>
        <v>-5.4023213333365128E-6</v>
      </c>
      <c r="AG70" s="230" t="s">
        <v>14</v>
      </c>
      <c r="AH70" s="255">
        <f ca="1">IF(NOW(),_xll.mirSwapPV($C$51,$C$52,$C$54,$AA70,$C$55,$AC70+AH$51,$C$64,$C$65,$C$66,$C$67,$C$68,$C$69,$C$70,$C$74,$C$75,$D$63,$D$64,$D$65,$D$66,$D$67,$D$68,$D$69,$D$70,$D$71,$D$72,$D$73,$D$74,$D$75,$C$56,$C$57,$C$58,$D$59,$C$60),"")</f>
        <v>-1698516.6839658313</v>
      </c>
      <c r="AI70" s="255">
        <f ca="1">IF(NOW(),_xll.mirSwapPV($C$51,$C$52,$C$54,$AA70,$C$55,$AC70+AI$51,$C$64,$C$65,$C$66,$C$67,$C$68,$C$69,$C$70,$C$74,$C$75,$D$63,$D$64,$D$65,$D$66,$D$67,$D$68,$D$69,$D$70,$D$71,$D$72,$D$73,$D$74,$D$75,$C$56,$C$57,$C$58,$D$59,$C$60),"")</f>
        <v>-1358813.3471726649</v>
      </c>
      <c r="AJ70" s="255">
        <f ca="1">IF(NOW(),_xll.mirSwapPV($C$51,$C$52,$C$54,$AA70,$C$55,$AC70+AJ$51,$C$64,$C$65,$C$66,$C$67,$C$68,$C$69,$C$70,$C$74,$C$75,$D$63,$D$64,$D$65,$D$66,$D$67,$D$68,$D$69,$D$70,$D$71,$D$72,$D$73,$D$74,$D$75,$C$56,$C$57,$C$58,$D$59,$C$60),"")</f>
        <v>-1019110.0103794986</v>
      </c>
      <c r="AK70" s="255">
        <f ca="1">IF(NOW(),_xll.mirSwapPV($C$51,$C$52,$C$54,$AA70,$C$55,$AC70+AK$51,$C$64,$C$65,$C$66,$C$67,$C$68,$C$69,$C$70,$C$74,$C$75,$D$63,$D$64,$D$65,$D$66,$D$67,$D$68,$D$69,$D$70,$D$71,$D$72,$D$73,$D$74,$D$75,$C$56,$C$57,$C$58,$D$59,$C$60),"")</f>
        <v>-679406.67358633236</v>
      </c>
      <c r="AL70" s="255">
        <f ca="1">IF(NOW(),_xll.mirSwapPV($C$51,$C$52,$C$54,$AA70,$C$55,$AC70+AL$51,$C$64,$C$65,$C$66,$C$67,$C$68,$C$69,$C$70,$C$74,$C$75,$D$63,$D$64,$D$65,$D$66,$D$67,$D$68,$D$69,$D$70,$D$71,$D$72,$D$73,$D$74,$D$75,$C$56,$C$57,$C$58,$D$59,$C$60),"")</f>
        <v>-339703.33679316612</v>
      </c>
      <c r="AM70" s="255">
        <f ca="1">IF(NOW(),_xll.mirSwapPV($C$51,$C$52,$C$54,$AA70,$C$55,$AC70+AM$51,$C$64,$C$65,$C$66,$C$67,$C$68,$C$69,$C$70,$C$74,$C$75,$D$63,$D$64,$D$65,$D$66,$D$67,$D$68,$D$69,$D$70,$D$71,$D$72,$D$73,$D$74,$D$75,$C$56,$C$57,$C$58,$D$59,$C$60),"")</f>
        <v>0</v>
      </c>
      <c r="AN70" s="255">
        <f ca="1">IF(NOW(),_xll.mirSwapPV($C$51,$C$52,$C$54,$AA70,$C$55,$AC70+AN$51,$C$64,$C$65,$C$66,$C$67,$C$68,$C$69,$C$70,$C$74,$C$75,$D$63,$D$64,$D$65,$D$66,$D$67,$D$68,$D$69,$D$70,$D$71,$D$72,$D$73,$D$74,$D$75,$C$56,$C$57,$C$58,$D$59,$C$60),"")</f>
        <v>339703.33679316624</v>
      </c>
      <c r="AO70" s="255">
        <f ca="1">IF(NOW(),_xll.mirSwapPV($C$51,$C$52,$C$54,$AA70,$C$55,$AC70+AO$51,$C$64,$C$65,$C$66,$C$67,$C$68,$C$69,$C$70,$C$74,$C$75,$D$63,$D$64,$D$65,$D$66,$D$67,$D$68,$D$69,$D$70,$D$71,$D$72,$D$73,$D$74,$D$75,$C$56,$C$57,$C$58,$D$59,$C$60),"")</f>
        <v>679406.67358633247</v>
      </c>
      <c r="AP70" s="255">
        <f ca="1">IF(NOW(),_xll.mirSwapPV($C$51,$C$52,$C$54,$AA70,$C$55,$AC70+AP$51,$C$64,$C$65,$C$66,$C$67,$C$68,$C$69,$C$70,$C$74,$C$75,$D$63,$D$64,$D$65,$D$66,$D$67,$D$68,$D$69,$D$70,$D$71,$D$72,$D$73,$D$74,$D$75,$C$56,$C$57,$C$58,$D$59,$C$60),"")</f>
        <v>1019110.0103794988</v>
      </c>
      <c r="AQ70" s="255">
        <f ca="1">IF(NOW(),_xll.mirSwapPV($C$51,$C$52,$C$54,$AA70,$C$55,$AC70+AQ$51,$C$64,$C$65,$C$66,$C$67,$C$68,$C$69,$C$70,$C$74,$C$75,$D$63,$D$64,$D$65,$D$66,$D$67,$D$68,$D$69,$D$70,$D$71,$D$72,$D$73,$D$74,$D$75,$C$56,$C$57,$C$58,$D$59,$C$60),"")</f>
        <v>1358813.3471726649</v>
      </c>
      <c r="AR70" s="255">
        <f ca="1">IF(NOW(),_xll.mirSwapPV($C$51,$C$52,$C$54,$AA70,$C$55,$AC70+AR$51,$C$64,$C$65,$C$66,$C$67,$C$68,$C$69,$C$70,$C$74,$C$75,$D$63,$D$64,$D$65,$D$66,$D$67,$D$68,$D$69,$D$70,$D$71,$D$72,$D$73,$D$74,$D$75,$C$56,$C$57,$C$58,$D$59,$C$60),"")</f>
        <v>1698516.6839658313</v>
      </c>
    </row>
    <row r="71" spans="2:44">
      <c r="B71" s="234" t="s">
        <v>447</v>
      </c>
      <c r="C71" s="241" t="s">
        <v>6</v>
      </c>
      <c r="D71" s="246" t="s">
        <v>448</v>
      </c>
      <c r="F71" s="224"/>
      <c r="G71" s="224"/>
      <c r="H71" s="224"/>
      <c r="K71" s="10"/>
      <c r="L71" s="10"/>
      <c r="M71" s="10"/>
      <c r="P71" s="252"/>
      <c r="AG71" s="10"/>
      <c r="AJ71" s="252"/>
    </row>
    <row r="72" spans="2:44">
      <c r="B72" s="234" t="s">
        <v>449</v>
      </c>
      <c r="C72" s="241" t="s">
        <v>6</v>
      </c>
      <c r="D72" s="247">
        <f>'EUR Curve Config'!$Z$29</f>
        <v>4.8999999999999998E-4</v>
      </c>
      <c r="F72" s="224"/>
      <c r="G72" s="224"/>
      <c r="H72" s="224"/>
      <c r="I72" s="11"/>
      <c r="J72" s="248"/>
      <c r="K72" s="249"/>
      <c r="L72" s="249"/>
      <c r="M72" s="249"/>
      <c r="AG72" s="249"/>
    </row>
    <row r="73" spans="2:44">
      <c r="B73" s="234" t="s">
        <v>450</v>
      </c>
      <c r="C73" s="241" t="s">
        <v>6</v>
      </c>
      <c r="D73" s="250"/>
      <c r="I73" s="224"/>
      <c r="J73" s="224"/>
      <c r="K73" s="230"/>
      <c r="L73" s="230"/>
      <c r="M73" s="230"/>
      <c r="AG73" s="230"/>
    </row>
    <row r="74" spans="2:44">
      <c r="B74" s="234" t="s">
        <v>452</v>
      </c>
      <c r="C74" s="246" t="s">
        <v>448</v>
      </c>
      <c r="D74" s="246" t="s">
        <v>448</v>
      </c>
      <c r="M74" s="259"/>
      <c r="AG74" s="259"/>
    </row>
    <row r="75" spans="2:44">
      <c r="B75" s="225" t="s">
        <v>453</v>
      </c>
      <c r="C75" s="251" t="s">
        <v>454</v>
      </c>
      <c r="D75" s="251" t="s">
        <v>454</v>
      </c>
      <c r="F75" s="224"/>
      <c r="G75" s="118"/>
      <c r="M75" s="219" t="s">
        <v>462</v>
      </c>
      <c r="N75" s="219"/>
      <c r="O75" s="229"/>
      <c r="P75" s="252"/>
      <c r="Q75" s="252"/>
      <c r="R75" s="229"/>
      <c r="S75" s="229" t="s">
        <v>459</v>
      </c>
      <c r="T75" s="229"/>
      <c r="U75" s="229"/>
      <c r="V75" s="229"/>
      <c r="W75" t="s">
        <v>463</v>
      </c>
      <c r="X75" s="259" t="b">
        <f>$C$11</f>
        <v>1</v>
      </c>
      <c r="AG75" s="219" t="s">
        <v>462</v>
      </c>
      <c r="AH75" s="219"/>
      <c r="AI75" s="229"/>
      <c r="AJ75" s="252"/>
      <c r="AK75" s="252"/>
      <c r="AL75" s="229"/>
      <c r="AM75" s="229" t="s">
        <v>459</v>
      </c>
      <c r="AN75" s="229"/>
      <c r="AO75" s="229"/>
      <c r="AP75" s="229"/>
      <c r="AQ75" t="s">
        <v>463</v>
      </c>
      <c r="AR75" s="259" t="b">
        <f>$D$11</f>
        <v>0</v>
      </c>
    </row>
    <row r="76" spans="2:44">
      <c r="F76" s="224"/>
      <c r="G76" s="224"/>
      <c r="H76" s="224"/>
      <c r="I76" s="224"/>
      <c r="J76" s="224"/>
      <c r="K76" s="224"/>
      <c r="L76" s="224"/>
      <c r="M76" s="224" t="s">
        <v>76</v>
      </c>
      <c r="N76" s="230">
        <v>500</v>
      </c>
      <c r="O76" s="230">
        <f>N76-100</f>
        <v>400</v>
      </c>
      <c r="P76" s="230">
        <f t="shared" ref="P76" si="48">O76-100</f>
        <v>300</v>
      </c>
      <c r="Q76" s="230">
        <f t="shared" ref="Q76" si="49">P76-100</f>
        <v>200</v>
      </c>
      <c r="R76" s="230">
        <f t="shared" ref="R76" si="50">Q76-100</f>
        <v>100</v>
      </c>
      <c r="S76" s="230">
        <f t="shared" ref="S76" si="51">R76-100</f>
        <v>0</v>
      </c>
      <c r="T76" s="230">
        <f t="shared" ref="T76" si="52">S76-100</f>
        <v>-100</v>
      </c>
      <c r="U76" s="230">
        <f t="shared" ref="U76" si="53">T76-100</f>
        <v>-200</v>
      </c>
      <c r="V76" s="230">
        <f t="shared" ref="V76" si="54">U76-100</f>
        <v>-300</v>
      </c>
      <c r="W76" s="230">
        <f t="shared" ref="W76" si="55">V76-100</f>
        <v>-400</v>
      </c>
      <c r="X76" s="230">
        <f t="shared" ref="X76" si="56">W76-100</f>
        <v>-500</v>
      </c>
      <c r="Y76" s="224"/>
      <c r="AE76" s="11"/>
      <c r="AG76" s="224" t="s">
        <v>76</v>
      </c>
      <c r="AH76" s="230">
        <v>500</v>
      </c>
      <c r="AI76" s="230">
        <f>AH76-100</f>
        <v>400</v>
      </c>
      <c r="AJ76" s="230">
        <f t="shared" ref="AJ76" si="57">AI76-100</f>
        <v>300</v>
      </c>
      <c r="AK76" s="230">
        <f t="shared" ref="AK76" si="58">AJ76-100</f>
        <v>200</v>
      </c>
      <c r="AL76" s="230">
        <f t="shared" ref="AL76" si="59">AK76-100</f>
        <v>100</v>
      </c>
      <c r="AM76" s="230">
        <f t="shared" ref="AM76" si="60">AL76-100</f>
        <v>0</v>
      </c>
      <c r="AN76" s="230">
        <f t="shared" ref="AN76" si="61">AM76-100</f>
        <v>-100</v>
      </c>
      <c r="AO76" s="230">
        <f t="shared" ref="AO76" si="62">AN76-100</f>
        <v>-200</v>
      </c>
      <c r="AP76" s="230">
        <f t="shared" ref="AP76" si="63">AO76-100</f>
        <v>-300</v>
      </c>
      <c r="AQ76" s="230">
        <f t="shared" ref="AQ76" si="64">AP76-100</f>
        <v>-400</v>
      </c>
      <c r="AR76" s="230">
        <f t="shared" ref="AR76" si="65">AQ76-100</f>
        <v>-500</v>
      </c>
    </row>
    <row r="77" spans="2:44">
      <c r="F77" s="230"/>
      <c r="G77" s="227"/>
      <c r="H77" s="229"/>
      <c r="I77" s="229"/>
      <c r="J77" s="229"/>
      <c r="K77" s="230"/>
      <c r="L77" s="230"/>
      <c r="M77" s="230" t="s">
        <v>42</v>
      </c>
      <c r="N77" s="255">
        <f ca="1">IF(NOW(),_xll.mirSwapPV($C$51,$C$52,$C$54,$G52,$C$55,$I52,$C$64,$C$65,$C$66,$C$67,$C$68,$C$69,$C$70,$C$74,$C$75,$D$63+N$76,$D$64,$D$65,$D$66,$D$67,$D$68,$D$69,$D$70,$D$71,$D$72,$D$73,$D$74,$D$75,$C$56,$C$57,$C$58,$C$59,$C$60),"")</f>
        <v>-101953.21509841588</v>
      </c>
      <c r="O77" s="255">
        <f ca="1">IF(NOW(),_xll.mirSwapPV($C$51,$C$52,$C$54,$G52,$C$55,$I52,$C$64,$C$65,$C$66,$C$67,$C$68,$C$69,$C$70,$C$74,$C$75,$D$63+O$76,$D$64,$D$65,$D$66,$D$67,$D$68,$D$69,$D$70,$D$71,$D$72,$D$73,$D$74,$D$75,$C$56,$C$57,$C$58,$C$59,$C$60),"")</f>
        <v>-81562.572078732701</v>
      </c>
      <c r="P77" s="255">
        <f ca="1">IF(NOW(),_xll.mirSwapPV($C$51,$C$52,$C$54,$G52,$C$55,$I52,$C$64,$C$65,$C$66,$C$67,$C$68,$C$69,$C$70,$C$74,$C$75,$D$63+P$76,$D$64,$D$65,$D$66,$D$67,$D$68,$D$69,$D$70,$D$71,$D$72,$D$73,$D$74,$D$75,$C$56,$C$57,$C$58,$C$59,$C$60),"")</f>
        <v>-61171.929059049529</v>
      </c>
      <c r="Q77" s="255">
        <f ca="1">IF(NOW(),_xll.mirSwapPV($C$51,$C$52,$C$54,$G52,$C$55,$I52,$C$64,$C$65,$C$66,$C$67,$C$68,$C$69,$C$70,$C$74,$C$75,$D$63+Q$76,$D$64,$D$65,$D$66,$D$67,$D$68,$D$69,$D$70,$D$71,$D$72,$D$73,$D$74,$D$75,$C$56,$C$57,$C$58,$C$59,$C$60),"")</f>
        <v>-40781.286039366358</v>
      </c>
      <c r="R77" s="255">
        <f ca="1">IF(NOW(),_xll.mirSwapPV($C$51,$C$52,$C$54,$G52,$C$55,$I52,$C$64,$C$65,$C$66,$C$67,$C$68,$C$69,$C$70,$C$74,$C$75,$D$63+R$76,$D$64,$D$65,$D$66,$D$67,$D$68,$D$69,$D$70,$D$71,$D$72,$D$73,$D$74,$D$75,$C$56,$C$57,$C$58,$C$59,$C$60),"")</f>
        <v>-20390.643019683172</v>
      </c>
      <c r="S77" s="255">
        <f ca="1">IF(NOW(),_xll.mirSwapPV($C$51,$C$52,$C$54,$G52,$C$55,$I52,$C$64,$C$65,$C$66,$C$67,$C$68,$C$69,$C$70,$C$74,$C$75,$D$63+S$76,$D$64,$D$65,$D$66,$D$67,$D$68,$D$69,$D$70,$D$71,$D$72,$D$73,$D$74,$D$75,$C$56,$C$57,$C$58,$C$59,$C$60),"")</f>
        <v>0</v>
      </c>
      <c r="T77" s="255">
        <f ca="1">IF(NOW(),_xll.mirSwapPV($C$51,$C$52,$C$54,$G52,$C$55,$I52,$C$64,$C$65,$C$66,$C$67,$C$68,$C$69,$C$70,$C$74,$C$75,$D$63+T$76,$D$64,$D$65,$D$66,$D$67,$D$68,$D$69,$D$70,$D$71,$D$72,$D$73,$D$74,$D$75,$C$56,$C$57,$C$58,$C$59,$C$60),"")</f>
        <v>20390.643019683172</v>
      </c>
      <c r="U77" s="255">
        <f ca="1">IF(NOW(),_xll.mirSwapPV($C$51,$C$52,$C$54,$G52,$C$55,$I52,$C$64,$C$65,$C$66,$C$67,$C$68,$C$69,$C$70,$C$74,$C$75,$D$63+U$76,$D$64,$D$65,$D$66,$D$67,$D$68,$D$69,$D$70,$D$71,$D$72,$D$73,$D$74,$D$75,$C$56,$C$57,$C$58,$C$59,$C$60),"")</f>
        <v>40781.28603936635</v>
      </c>
      <c r="V77" s="255">
        <f ca="1">IF(NOW(),_xll.mirSwapPV($C$51,$C$52,$C$54,$G52,$C$55,$I52,$C$64,$C$65,$C$66,$C$67,$C$68,$C$69,$C$70,$C$74,$C$75,$D$63+V$76,$D$64,$D$65,$D$66,$D$67,$D$68,$D$69,$D$70,$D$71,$D$72,$D$73,$D$74,$D$75,$C$56,$C$57,$C$58,$C$59,$C$60),"")</f>
        <v>61171.929059049529</v>
      </c>
      <c r="W77" s="255">
        <f ca="1">IF(NOW(),_xll.mirSwapPV($C$51,$C$52,$C$54,$G52,$C$55,$I52,$C$64,$C$65,$C$66,$C$67,$C$68,$C$69,$C$70,$C$74,$C$75,$D$63+W$76,$D$64,$D$65,$D$66,$D$67,$D$68,$D$69,$D$70,$D$71,$D$72,$D$73,$D$74,$D$75,$C$56,$C$57,$C$58,$C$59,$C$60),"")</f>
        <v>81562.572078732701</v>
      </c>
      <c r="X77" s="255">
        <f ca="1">IF(NOW(),_xll.mirSwapPV($C$51,$C$52,$C$54,$G52,$C$55,$I52,$C$64,$C$65,$C$66,$C$67,$C$68,$C$69,$C$70,$C$74,$C$75,$D$63+X$76,$D$64,$D$65,$D$66,$D$67,$D$68,$D$69,$D$70,$D$71,$D$72,$D$73,$D$74,$D$75,$C$56,$C$57,$C$58,$C$59,$C$60),"")</f>
        <v>101953.21509841588</v>
      </c>
      <c r="Y77" s="229"/>
      <c r="AE77" s="230"/>
      <c r="AG77" s="230" t="s">
        <v>42</v>
      </c>
      <c r="AH77" s="255">
        <f ca="1">IF(NOW(),_xll.mirSwapPV($C$51,$C$52,$C$54,$AA52,$C$55,$AC52,$C$64,$C$65,$C$66,$C$67,$C$68,$C$69,$C$70,$C$74,$C$75,$D$63+AH$76,$D$64,$D$65,$D$66,$D$67,$D$68,$D$69,$D$70,$D$71,$D$72,$D$73,$D$74,$D$75,$C$56,$C$57,$C$58,$D$59,$C$60),"")</f>
        <v>-101953.21509841587</v>
      </c>
      <c r="AI77" s="255">
        <f ca="1">IF(NOW(),_xll.mirSwapPV($C$51,$C$52,$C$54,$AA52,$C$55,$AC52,$C$64,$C$65,$C$66,$C$67,$C$68,$C$69,$C$70,$C$74,$C$75,$D$63+AI$76,$D$64,$D$65,$D$66,$D$67,$D$68,$D$69,$D$70,$D$71,$D$72,$D$73,$D$74,$D$75,$C$56,$C$57,$C$58,$D$59,$C$60),"")</f>
        <v>-81562.572078732686</v>
      </c>
      <c r="AJ77" s="255">
        <f ca="1">IF(NOW(),_xll.mirSwapPV($C$51,$C$52,$C$54,$AA52,$C$55,$AC52,$C$64,$C$65,$C$66,$C$67,$C$68,$C$69,$C$70,$C$74,$C$75,$D$63+AJ$76,$D$64,$D$65,$D$66,$D$67,$D$68,$D$69,$D$70,$D$71,$D$72,$D$73,$D$74,$D$75,$C$56,$C$57,$C$58,$D$59,$C$60),"")</f>
        <v>-61171.929059049537</v>
      </c>
      <c r="AK77" s="255">
        <f ca="1">IF(NOW(),_xll.mirSwapPV($C$51,$C$52,$C$54,$AA52,$C$55,$AC52,$C$64,$C$65,$C$66,$C$67,$C$68,$C$69,$C$70,$C$74,$C$75,$D$63+AK$76,$D$64,$D$65,$D$66,$D$67,$D$68,$D$69,$D$70,$D$71,$D$72,$D$73,$D$74,$D$75,$C$56,$C$57,$C$58,$D$59,$C$60),"")</f>
        <v>-40781.28603936635</v>
      </c>
      <c r="AL77" s="255">
        <f ca="1">IF(NOW(),_xll.mirSwapPV($C$51,$C$52,$C$54,$AA52,$C$55,$AC52,$C$64,$C$65,$C$66,$C$67,$C$68,$C$69,$C$70,$C$74,$C$75,$D$63+AL$76,$D$64,$D$65,$D$66,$D$67,$D$68,$D$69,$D$70,$D$71,$D$72,$D$73,$D$74,$D$75,$C$56,$C$57,$C$58,$D$59,$C$60),"")</f>
        <v>-20390.643019683175</v>
      </c>
      <c r="AM77" s="255">
        <f ca="1">IF(NOW(),_xll.mirSwapPV($C$51,$C$52,$C$54,$AA52,$C$55,$AC52,$C$64,$C$65,$C$66,$C$67,$C$68,$C$69,$C$70,$C$74,$C$75,$D$63+AM$76,$D$64,$D$65,$D$66,$D$67,$D$68,$D$69,$D$70,$D$71,$D$72,$D$73,$D$74,$D$75,$C$56,$C$57,$C$58,$D$59,$C$60),"")</f>
        <v>0</v>
      </c>
      <c r="AN77" s="255">
        <f ca="1">IF(NOW(),_xll.mirSwapPV($C$51,$C$52,$C$54,$AA52,$C$55,$AC52,$C$64,$C$65,$C$66,$C$67,$C$68,$C$69,$C$70,$C$74,$C$75,$D$63+AN$76,$D$64,$D$65,$D$66,$D$67,$D$68,$D$69,$D$70,$D$71,$D$72,$D$73,$D$74,$D$75,$C$56,$C$57,$C$58,$D$59,$C$60),"")</f>
        <v>20390.643019683175</v>
      </c>
      <c r="AO77" s="255">
        <f ca="1">IF(NOW(),_xll.mirSwapPV($C$51,$C$52,$C$54,$AA52,$C$55,$AC52,$C$64,$C$65,$C$66,$C$67,$C$68,$C$69,$C$70,$C$74,$C$75,$D$63+AO$76,$D$64,$D$65,$D$66,$D$67,$D$68,$D$69,$D$70,$D$71,$D$72,$D$73,$D$74,$D$75,$C$56,$C$57,$C$58,$D$59,$C$60),"")</f>
        <v>40781.28603936635</v>
      </c>
      <c r="AP77" s="255">
        <f ca="1">IF(NOW(),_xll.mirSwapPV($C$51,$C$52,$C$54,$AA52,$C$55,$AC52,$C$64,$C$65,$C$66,$C$67,$C$68,$C$69,$C$70,$C$74,$C$75,$D$63+AP$76,$D$64,$D$65,$D$66,$D$67,$D$68,$D$69,$D$70,$D$71,$D$72,$D$73,$D$74,$D$75,$C$56,$C$57,$C$58,$D$59,$C$60),"")</f>
        <v>61171.929059049529</v>
      </c>
      <c r="AQ77" s="255">
        <f ca="1">IF(NOW(),_xll.mirSwapPV($C$51,$C$52,$C$54,$AA52,$C$55,$AC52,$C$64,$C$65,$C$66,$C$67,$C$68,$C$69,$C$70,$C$74,$C$75,$D$63+AQ$76,$D$64,$D$65,$D$66,$D$67,$D$68,$D$69,$D$70,$D$71,$D$72,$D$73,$D$74,$D$75,$C$56,$C$57,$C$58,$D$59,$C$60),"")</f>
        <v>81562.572078732715</v>
      </c>
      <c r="AR77" s="255">
        <f ca="1">IF(NOW(),_xll.mirSwapPV($C$51,$C$52,$C$54,$AA52,$C$55,$AC52,$C$64,$C$65,$C$66,$C$67,$C$68,$C$69,$C$70,$C$74,$C$75,$D$63+AR$76,$D$64,$D$65,$D$66,$D$67,$D$68,$D$69,$D$70,$D$71,$D$72,$D$73,$D$74,$D$75,$C$56,$C$57,$C$58,$D$59,$C$60),"")</f>
        <v>101953.21509841588</v>
      </c>
    </row>
    <row r="78" spans="2:44">
      <c r="F78" s="230"/>
      <c r="G78" s="227"/>
      <c r="H78" s="229"/>
      <c r="I78" s="229"/>
      <c r="J78" s="229"/>
      <c r="K78" s="230"/>
      <c r="L78" s="230"/>
      <c r="M78" s="230" t="s">
        <v>39</v>
      </c>
      <c r="N78" s="255">
        <f ca="1">IF(NOW(),_xll.mirSwapPV($C$51,$C$52,$C$54,$G53,$C$55,$I53,$C$64,$C$65,$C$66,$C$67,$C$68,$C$69,$C$70,$C$74,$C$75,$D$63+N$76,$D$64,$D$65,$D$66,$D$67,$D$68,$D$69,$D$70,$D$71,$D$72,$D$73,$D$74,$D$75,$C$56,$C$57,$C$58,$C$59,$C$60),"")</f>
        <v>-152542.46364885772</v>
      </c>
      <c r="O78" s="255">
        <f ca="1">IF(NOW(),_xll.mirSwapPV($C$51,$C$52,$C$54,$G53,$C$55,$I53,$C$64,$C$65,$C$66,$C$67,$C$68,$C$69,$C$70,$C$74,$C$75,$D$63+O$76,$D$64,$D$65,$D$66,$D$67,$D$68,$D$69,$D$70,$D$71,$D$72,$D$73,$D$74,$D$75,$C$56,$C$57,$C$58,$C$59,$C$60),"")</f>
        <v>-122033.97091908618</v>
      </c>
      <c r="P78" s="255">
        <f ca="1">IF(NOW(),_xll.mirSwapPV($C$51,$C$52,$C$54,$G53,$C$55,$I53,$C$64,$C$65,$C$66,$C$67,$C$68,$C$69,$C$70,$C$74,$C$75,$D$63+P$76,$D$64,$D$65,$D$66,$D$67,$D$68,$D$69,$D$70,$D$71,$D$72,$D$73,$D$74,$D$75,$C$56,$C$57,$C$58,$C$59,$C$60),"")</f>
        <v>-91525.478189314628</v>
      </c>
      <c r="Q78" s="255">
        <f ca="1">IF(NOW(),_xll.mirSwapPV($C$51,$C$52,$C$54,$G53,$C$55,$I53,$C$64,$C$65,$C$66,$C$67,$C$68,$C$69,$C$70,$C$74,$C$75,$D$63+Q$76,$D$64,$D$65,$D$66,$D$67,$D$68,$D$69,$D$70,$D$71,$D$72,$D$73,$D$74,$D$75,$C$56,$C$57,$C$58,$C$59,$C$60),"")</f>
        <v>-61016.985459543095</v>
      </c>
      <c r="R78" s="255">
        <f ca="1">IF(NOW(),_xll.mirSwapPV($C$51,$C$52,$C$54,$G53,$C$55,$I53,$C$64,$C$65,$C$66,$C$67,$C$68,$C$69,$C$70,$C$74,$C$75,$D$63+R$76,$D$64,$D$65,$D$66,$D$67,$D$68,$D$69,$D$70,$D$71,$D$72,$D$73,$D$74,$D$75,$C$56,$C$57,$C$58,$C$59,$C$60),"")</f>
        <v>-30508.492729771533</v>
      </c>
      <c r="S78" s="255">
        <f ca="1">IF(NOW(),_xll.mirSwapPV($C$51,$C$52,$C$54,$G53,$C$55,$I53,$C$64,$C$65,$C$66,$C$67,$C$68,$C$69,$C$70,$C$74,$C$75,$D$63+S$76,$D$64,$D$65,$D$66,$D$67,$D$68,$D$69,$D$70,$D$71,$D$72,$D$73,$D$74,$D$75,$C$56,$C$57,$C$58,$C$59,$C$60),"")</f>
        <v>8.6736173798840355E-13</v>
      </c>
      <c r="T78" s="255">
        <f ca="1">IF(NOW(),_xll.mirSwapPV($C$51,$C$52,$C$54,$G53,$C$55,$I53,$C$64,$C$65,$C$66,$C$67,$C$68,$C$69,$C$70,$C$74,$C$75,$D$63+T$76,$D$64,$D$65,$D$66,$D$67,$D$68,$D$69,$D$70,$D$71,$D$72,$D$73,$D$74,$D$75,$C$56,$C$57,$C$58,$C$59,$C$60),"")</f>
        <v>30508.49272977154</v>
      </c>
      <c r="U78" s="255">
        <f ca="1">IF(NOW(),_xll.mirSwapPV($C$51,$C$52,$C$54,$G53,$C$55,$I53,$C$64,$C$65,$C$66,$C$67,$C$68,$C$69,$C$70,$C$74,$C$75,$D$63+U$76,$D$64,$D$65,$D$66,$D$67,$D$68,$D$69,$D$70,$D$71,$D$72,$D$73,$D$74,$D$75,$C$56,$C$57,$C$58,$C$59,$C$60),"")</f>
        <v>61016.985459543088</v>
      </c>
      <c r="V78" s="255">
        <f ca="1">IF(NOW(),_xll.mirSwapPV($C$51,$C$52,$C$54,$G53,$C$55,$I53,$C$64,$C$65,$C$66,$C$67,$C$68,$C$69,$C$70,$C$74,$C$75,$D$63+V$76,$D$64,$D$65,$D$66,$D$67,$D$68,$D$69,$D$70,$D$71,$D$72,$D$73,$D$74,$D$75,$C$56,$C$57,$C$58,$C$59,$C$60),"")</f>
        <v>91525.478189314628</v>
      </c>
      <c r="W78" s="255">
        <f ca="1">IF(NOW(),_xll.mirSwapPV($C$51,$C$52,$C$54,$G53,$C$55,$I53,$C$64,$C$65,$C$66,$C$67,$C$68,$C$69,$C$70,$C$74,$C$75,$D$63+W$76,$D$64,$D$65,$D$66,$D$67,$D$68,$D$69,$D$70,$D$71,$D$72,$D$73,$D$74,$D$75,$C$56,$C$57,$C$58,$C$59,$C$60),"")</f>
        <v>122033.97091908618</v>
      </c>
      <c r="X78" s="255">
        <f ca="1">IF(NOW(),_xll.mirSwapPV($C$51,$C$52,$C$54,$G53,$C$55,$I53,$C$64,$C$65,$C$66,$C$67,$C$68,$C$69,$C$70,$C$74,$C$75,$D$63+X$76,$D$64,$D$65,$D$66,$D$67,$D$68,$D$69,$D$70,$D$71,$D$72,$D$73,$D$74,$D$75,$C$56,$C$57,$C$58,$C$59,$C$60),"")</f>
        <v>152542.46364885769</v>
      </c>
      <c r="Y78" s="229"/>
      <c r="AG78" s="230" t="s">
        <v>39</v>
      </c>
      <c r="AH78" s="255">
        <f ca="1">IF(NOW(),_xll.mirSwapPV($C$51,$C$52,$C$54,$AA53,$C$55,$AC53,$C$64,$C$65,$C$66,$C$67,$C$68,$C$69,$C$70,$C$74,$C$75,$D$63+AH$76,$D$64,$D$65,$D$66,$D$67,$D$68,$D$69,$D$70,$D$71,$D$72,$D$73,$D$74,$D$75,$C$56,$C$57,$C$58,$D$59,$C$60),"")</f>
        <v>-152542.46364885769</v>
      </c>
      <c r="AI78" s="255">
        <f ca="1">IF(NOW(),_xll.mirSwapPV($C$51,$C$52,$C$54,$AA53,$C$55,$AC53,$C$64,$C$65,$C$66,$C$67,$C$68,$C$69,$C$70,$C$74,$C$75,$D$63+AI$76,$D$64,$D$65,$D$66,$D$67,$D$68,$D$69,$D$70,$D$71,$D$72,$D$73,$D$74,$D$75,$C$56,$C$57,$C$58,$D$59,$C$60),"")</f>
        <v>-122033.97091908618</v>
      </c>
      <c r="AJ78" s="255">
        <f ca="1">IF(NOW(),_xll.mirSwapPV($C$51,$C$52,$C$54,$AA53,$C$55,$AC53,$C$64,$C$65,$C$66,$C$67,$C$68,$C$69,$C$70,$C$74,$C$75,$D$63+AJ$76,$D$64,$D$65,$D$66,$D$67,$D$68,$D$69,$D$70,$D$71,$D$72,$D$73,$D$74,$D$75,$C$56,$C$57,$C$58,$D$59,$C$60),"")</f>
        <v>-91525.478189314643</v>
      </c>
      <c r="AK78" s="255">
        <f ca="1">IF(NOW(),_xll.mirSwapPV($C$51,$C$52,$C$54,$AA53,$C$55,$AC53,$C$64,$C$65,$C$66,$C$67,$C$68,$C$69,$C$70,$C$74,$C$75,$D$63+AK$76,$D$64,$D$65,$D$66,$D$67,$D$68,$D$69,$D$70,$D$71,$D$72,$D$73,$D$74,$D$75,$C$56,$C$57,$C$58,$D$59,$C$60),"")</f>
        <v>-61016.985459543081</v>
      </c>
      <c r="AL78" s="255">
        <f ca="1">IF(NOW(),_xll.mirSwapPV($C$51,$C$52,$C$54,$AA53,$C$55,$AC53,$C$64,$C$65,$C$66,$C$67,$C$68,$C$69,$C$70,$C$74,$C$75,$D$63+AL$76,$D$64,$D$65,$D$66,$D$67,$D$68,$D$69,$D$70,$D$71,$D$72,$D$73,$D$74,$D$75,$C$56,$C$57,$C$58,$D$59,$C$60),"")</f>
        <v>-30508.492729771537</v>
      </c>
      <c r="AM78" s="255">
        <f ca="1">IF(NOW(),_xll.mirSwapPV($C$51,$C$52,$C$54,$AA53,$C$55,$AC53,$C$64,$C$65,$C$66,$C$67,$C$68,$C$69,$C$70,$C$74,$C$75,$D$63+AM$76,$D$64,$D$65,$D$66,$D$67,$D$68,$D$69,$D$70,$D$71,$D$72,$D$73,$D$74,$D$75,$C$56,$C$57,$C$58,$D$59,$C$60),"")</f>
        <v>0</v>
      </c>
      <c r="AN78" s="255">
        <f ca="1">IF(NOW(),_xll.mirSwapPV($C$51,$C$52,$C$54,$AA53,$C$55,$AC53,$C$64,$C$65,$C$66,$C$67,$C$68,$C$69,$C$70,$C$74,$C$75,$D$63+AN$76,$D$64,$D$65,$D$66,$D$67,$D$68,$D$69,$D$70,$D$71,$D$72,$D$73,$D$74,$D$75,$C$56,$C$57,$C$58,$D$59,$C$60),"")</f>
        <v>30508.492729771544</v>
      </c>
      <c r="AO78" s="255">
        <f ca="1">IF(NOW(),_xll.mirSwapPV($C$51,$C$52,$C$54,$AA53,$C$55,$AC53,$C$64,$C$65,$C$66,$C$67,$C$68,$C$69,$C$70,$C$74,$C$75,$D$63+AO$76,$D$64,$D$65,$D$66,$D$67,$D$68,$D$69,$D$70,$D$71,$D$72,$D$73,$D$74,$D$75,$C$56,$C$57,$C$58,$D$59,$C$60),"")</f>
        <v>61016.985459543081</v>
      </c>
      <c r="AP78" s="255">
        <f ca="1">IF(NOW(),_xll.mirSwapPV($C$51,$C$52,$C$54,$AA53,$C$55,$AC53,$C$64,$C$65,$C$66,$C$67,$C$68,$C$69,$C$70,$C$74,$C$75,$D$63+AP$76,$D$64,$D$65,$D$66,$D$67,$D$68,$D$69,$D$70,$D$71,$D$72,$D$73,$D$74,$D$75,$C$56,$C$57,$C$58,$D$59,$C$60),"")</f>
        <v>91525.478189314628</v>
      </c>
      <c r="AQ78" s="255">
        <f ca="1">IF(NOW(),_xll.mirSwapPV($C$51,$C$52,$C$54,$AA53,$C$55,$AC53,$C$64,$C$65,$C$66,$C$67,$C$68,$C$69,$C$70,$C$74,$C$75,$D$63+AQ$76,$D$64,$D$65,$D$66,$D$67,$D$68,$D$69,$D$70,$D$71,$D$72,$D$73,$D$74,$D$75,$C$56,$C$57,$C$58,$D$59,$C$60),"")</f>
        <v>122033.97091908618</v>
      </c>
      <c r="AR78" s="255">
        <f ca="1">IF(NOW(),_xll.mirSwapPV($C$51,$C$52,$C$54,$AA53,$C$55,$AC53,$C$64,$C$65,$C$66,$C$67,$C$68,$C$69,$C$70,$C$74,$C$75,$D$63+AR$76,$D$64,$D$65,$D$66,$D$67,$D$68,$D$69,$D$70,$D$71,$D$72,$D$73,$D$74,$D$75,$C$56,$C$57,$C$58,$D$59,$C$60),"")</f>
        <v>152542.46364885769</v>
      </c>
    </row>
    <row r="79" spans="2:44">
      <c r="F79" s="230"/>
      <c r="G79" s="227"/>
      <c r="H79" s="229"/>
      <c r="I79" s="229"/>
      <c r="J79" s="229"/>
      <c r="K79" s="230"/>
      <c r="L79" s="230"/>
      <c r="M79" s="230" t="s">
        <v>35</v>
      </c>
      <c r="N79" s="255">
        <f ca="1">IF(NOW(),_xll.mirSwapPV($C$51,$C$52,$C$54,$G54,$C$55,$I54,$C$64,$C$65,$C$66,$C$67,$C$68,$C$69,$C$70,$C$74,$C$75,$D$63+N$76,$D$64,$D$65,$D$66,$D$67,$D$68,$D$69,$D$70,$D$71,$D$72,$D$73,$D$74,$D$75,$C$56,$C$57,$C$58,$C$59,$C$60),"")</f>
        <v>-202890.72538400179</v>
      </c>
      <c r="O79" s="255">
        <f ca="1">IF(NOW(),_xll.mirSwapPV($C$51,$C$52,$C$54,$G54,$C$55,$I54,$C$64,$C$65,$C$66,$C$67,$C$68,$C$69,$C$70,$C$74,$C$75,$D$63+O$76,$D$64,$D$65,$D$66,$D$67,$D$68,$D$69,$D$70,$D$71,$D$72,$D$73,$D$74,$D$75,$C$56,$C$57,$C$58,$C$59,$C$60),"")</f>
        <v>-162312.58030720145</v>
      </c>
      <c r="P79" s="255">
        <f ca="1">IF(NOW(),_xll.mirSwapPV($C$51,$C$52,$C$54,$G54,$C$55,$I54,$C$64,$C$65,$C$66,$C$67,$C$68,$C$69,$C$70,$C$74,$C$75,$D$63+P$76,$D$64,$D$65,$D$66,$D$67,$D$68,$D$69,$D$70,$D$71,$D$72,$D$73,$D$74,$D$75,$C$56,$C$57,$C$58,$C$59,$C$60),"")</f>
        <v>-121734.43523040108</v>
      </c>
      <c r="Q79" s="255">
        <f ca="1">IF(NOW(),_xll.mirSwapPV($C$51,$C$52,$C$54,$G54,$C$55,$I54,$C$64,$C$65,$C$66,$C$67,$C$68,$C$69,$C$70,$C$74,$C$75,$D$63+Q$76,$D$64,$D$65,$D$66,$D$67,$D$68,$D$69,$D$70,$D$71,$D$72,$D$73,$D$74,$D$75,$C$56,$C$57,$C$58,$C$59,$C$60),"")</f>
        <v>-81156.290153600741</v>
      </c>
      <c r="R79" s="255">
        <f ca="1">IF(NOW(),_xll.mirSwapPV($C$51,$C$52,$C$54,$G54,$C$55,$I54,$C$64,$C$65,$C$66,$C$67,$C$68,$C$69,$C$70,$C$74,$C$75,$D$63+R$76,$D$64,$D$65,$D$66,$D$67,$D$68,$D$69,$D$70,$D$71,$D$72,$D$73,$D$74,$D$75,$C$56,$C$57,$C$58,$C$59,$C$60),"")</f>
        <v>-40578.145076800356</v>
      </c>
      <c r="S79" s="255">
        <f ca="1">IF(NOW(),_xll.mirSwapPV($C$51,$C$52,$C$54,$G54,$C$55,$I54,$C$64,$C$65,$C$66,$C$67,$C$68,$C$69,$C$70,$C$74,$C$75,$D$63+S$76,$D$64,$D$65,$D$66,$D$67,$D$68,$D$69,$D$70,$D$71,$D$72,$D$73,$D$74,$D$75,$C$56,$C$57,$C$58,$C$59,$C$60),"")</f>
        <v>0</v>
      </c>
      <c r="T79" s="255">
        <f ca="1">IF(NOW(),_xll.mirSwapPV($C$51,$C$52,$C$54,$G54,$C$55,$I54,$C$64,$C$65,$C$66,$C$67,$C$68,$C$69,$C$70,$C$74,$C$75,$D$63+T$76,$D$64,$D$65,$D$66,$D$67,$D$68,$D$69,$D$70,$D$71,$D$72,$D$73,$D$74,$D$75,$C$56,$C$57,$C$58,$C$59,$C$60),"")</f>
        <v>40578.145076800356</v>
      </c>
      <c r="U79" s="255">
        <f ca="1">IF(NOW(),_xll.mirSwapPV($C$51,$C$52,$C$54,$G54,$C$55,$I54,$C$64,$C$65,$C$66,$C$67,$C$68,$C$69,$C$70,$C$74,$C$75,$D$63+U$76,$D$64,$D$65,$D$66,$D$67,$D$68,$D$69,$D$70,$D$71,$D$72,$D$73,$D$74,$D$75,$C$56,$C$57,$C$58,$C$59,$C$60),"")</f>
        <v>81156.290153600727</v>
      </c>
      <c r="V79" s="255">
        <f ca="1">IF(NOW(),_xll.mirSwapPV($C$51,$C$52,$C$54,$G54,$C$55,$I54,$C$64,$C$65,$C$66,$C$67,$C$68,$C$69,$C$70,$C$74,$C$75,$D$63+V$76,$D$64,$D$65,$D$66,$D$67,$D$68,$D$69,$D$70,$D$71,$D$72,$D$73,$D$74,$D$75,$C$56,$C$57,$C$58,$C$59,$C$60),"")</f>
        <v>121734.43523040108</v>
      </c>
      <c r="W79" s="255">
        <f ca="1">IF(NOW(),_xll.mirSwapPV($C$51,$C$52,$C$54,$G54,$C$55,$I54,$C$64,$C$65,$C$66,$C$67,$C$68,$C$69,$C$70,$C$74,$C$75,$D$63+W$76,$D$64,$D$65,$D$66,$D$67,$D$68,$D$69,$D$70,$D$71,$D$72,$D$73,$D$74,$D$75,$C$56,$C$57,$C$58,$C$59,$C$60),"")</f>
        <v>162312.58030720145</v>
      </c>
      <c r="X79" s="255">
        <f ca="1">IF(NOW(),_xll.mirSwapPV($C$51,$C$52,$C$54,$G54,$C$55,$I54,$C$64,$C$65,$C$66,$C$67,$C$68,$C$69,$C$70,$C$74,$C$75,$D$63+X$76,$D$64,$D$65,$D$66,$D$67,$D$68,$D$69,$D$70,$D$71,$D$72,$D$73,$D$74,$D$75,$C$56,$C$57,$C$58,$C$59,$C$60),"")</f>
        <v>202890.72538400182</v>
      </c>
      <c r="Y79" s="229"/>
      <c r="AG79" s="230" t="s">
        <v>35</v>
      </c>
      <c r="AH79" s="255">
        <f ca="1">IF(NOW(),_xll.mirSwapPV($C$51,$C$52,$C$54,$AA54,$C$55,$AC54,$C$64,$C$65,$C$66,$C$67,$C$68,$C$69,$C$70,$C$74,$C$75,$D$63+AH$76,$D$64,$D$65,$D$66,$D$67,$D$68,$D$69,$D$70,$D$71,$D$72,$D$73,$D$74,$D$75,$C$56,$C$57,$C$58,$D$59,$C$60),"")</f>
        <v>-202890.72538400179</v>
      </c>
      <c r="AI79" s="255">
        <f ca="1">IF(NOW(),_xll.mirSwapPV($C$51,$C$52,$C$54,$AA54,$C$55,$AC54,$C$64,$C$65,$C$66,$C$67,$C$68,$C$69,$C$70,$C$74,$C$75,$D$63+AI$76,$D$64,$D$65,$D$66,$D$67,$D$68,$D$69,$D$70,$D$71,$D$72,$D$73,$D$74,$D$75,$C$56,$C$57,$C$58,$D$59,$C$60),"")</f>
        <v>-162312.58030720142</v>
      </c>
      <c r="AJ79" s="255">
        <f ca="1">IF(NOW(),_xll.mirSwapPV($C$51,$C$52,$C$54,$AA54,$C$55,$AC54,$C$64,$C$65,$C$66,$C$67,$C$68,$C$69,$C$70,$C$74,$C$75,$D$63+AJ$76,$D$64,$D$65,$D$66,$D$67,$D$68,$D$69,$D$70,$D$71,$D$72,$D$73,$D$74,$D$75,$C$56,$C$57,$C$58,$D$59,$C$60),"")</f>
        <v>-121734.4352304011</v>
      </c>
      <c r="AK79" s="255">
        <f ca="1">IF(NOW(),_xll.mirSwapPV($C$51,$C$52,$C$54,$AA54,$C$55,$AC54,$C$64,$C$65,$C$66,$C$67,$C$68,$C$69,$C$70,$C$74,$C$75,$D$63+AK$76,$D$64,$D$65,$D$66,$D$67,$D$68,$D$69,$D$70,$D$71,$D$72,$D$73,$D$74,$D$75,$C$56,$C$57,$C$58,$D$59,$C$60),"")</f>
        <v>-81156.290153600712</v>
      </c>
      <c r="AL79" s="255">
        <f ca="1">IF(NOW(),_xll.mirSwapPV($C$51,$C$52,$C$54,$AA54,$C$55,$AC54,$C$64,$C$65,$C$66,$C$67,$C$68,$C$69,$C$70,$C$74,$C$75,$D$63+AL$76,$D$64,$D$65,$D$66,$D$67,$D$68,$D$69,$D$70,$D$71,$D$72,$D$73,$D$74,$D$75,$C$56,$C$57,$C$58,$D$59,$C$60),"")</f>
        <v>-40578.145076800356</v>
      </c>
      <c r="AM79" s="255">
        <f ca="1">IF(NOW(),_xll.mirSwapPV($C$51,$C$52,$C$54,$AA54,$C$55,$AC54,$C$64,$C$65,$C$66,$C$67,$C$68,$C$69,$C$70,$C$74,$C$75,$D$63+AM$76,$D$64,$D$65,$D$66,$D$67,$D$68,$D$69,$D$70,$D$71,$D$72,$D$73,$D$74,$D$75,$C$56,$C$57,$C$58,$D$59,$C$60),"")</f>
        <v>0</v>
      </c>
      <c r="AN79" s="255">
        <f ca="1">IF(NOW(),_xll.mirSwapPV($C$51,$C$52,$C$54,$AA54,$C$55,$AC54,$C$64,$C$65,$C$66,$C$67,$C$68,$C$69,$C$70,$C$74,$C$75,$D$63+AN$76,$D$64,$D$65,$D$66,$D$67,$D$68,$D$69,$D$70,$D$71,$D$72,$D$73,$D$74,$D$75,$C$56,$C$57,$C$58,$D$59,$C$60),"")</f>
        <v>40578.145076800363</v>
      </c>
      <c r="AO79" s="255">
        <f ca="1">IF(NOW(),_xll.mirSwapPV($C$51,$C$52,$C$54,$AA54,$C$55,$AC54,$C$64,$C$65,$C$66,$C$67,$C$68,$C$69,$C$70,$C$74,$C$75,$D$63+AO$76,$D$64,$D$65,$D$66,$D$67,$D$68,$D$69,$D$70,$D$71,$D$72,$D$73,$D$74,$D$75,$C$56,$C$57,$C$58,$D$59,$C$60),"")</f>
        <v>81156.290153600727</v>
      </c>
      <c r="AP79" s="255">
        <f ca="1">IF(NOW(),_xll.mirSwapPV($C$51,$C$52,$C$54,$AA54,$C$55,$AC54,$C$64,$C$65,$C$66,$C$67,$C$68,$C$69,$C$70,$C$74,$C$75,$D$63+AP$76,$D$64,$D$65,$D$66,$D$67,$D$68,$D$69,$D$70,$D$71,$D$72,$D$73,$D$74,$D$75,$C$56,$C$57,$C$58,$D$59,$C$60),"")</f>
        <v>121734.43523040107</v>
      </c>
      <c r="AQ79" s="255">
        <f ca="1">IF(NOW(),_xll.mirSwapPV($C$51,$C$52,$C$54,$AA54,$C$55,$AC54,$C$64,$C$65,$C$66,$C$67,$C$68,$C$69,$C$70,$C$74,$C$75,$D$63+AQ$76,$D$64,$D$65,$D$66,$D$67,$D$68,$D$69,$D$70,$D$71,$D$72,$D$73,$D$74,$D$75,$C$56,$C$57,$C$58,$D$59,$C$60),"")</f>
        <v>162312.58030720145</v>
      </c>
      <c r="AR79" s="255">
        <f ca="1">IF(NOW(),_xll.mirSwapPV($C$51,$C$52,$C$54,$AA54,$C$55,$AC54,$C$64,$C$65,$C$66,$C$67,$C$68,$C$69,$C$70,$C$74,$C$75,$D$63+AR$76,$D$64,$D$65,$D$66,$D$67,$D$68,$D$69,$D$70,$D$71,$D$72,$D$73,$D$74,$D$75,$C$56,$C$57,$C$58,$D$59,$C$60),"")</f>
        <v>202890.72538400179</v>
      </c>
    </row>
    <row r="80" spans="2:44">
      <c r="F80" s="230"/>
      <c r="G80" s="227"/>
      <c r="H80" s="229"/>
      <c r="I80" s="229"/>
      <c r="J80" s="229"/>
      <c r="K80" s="230"/>
      <c r="L80" s="230"/>
      <c r="M80" s="230" t="s">
        <v>33</v>
      </c>
      <c r="N80" s="255">
        <f ca="1">IF(NOW(),_xll.mirSwapPV($C$51,$C$52,$C$54,$G55,$C$55,$I55,$C$64,$C$65,$C$66,$C$67,$C$68,$C$69,$C$70,$C$74,$C$75,$D$63+N$76,$D$64,$D$65,$D$66,$D$67,$D$68,$D$69,$D$70,$D$71,$D$72,$D$73,$D$74,$D$75,$C$56,$C$57,$C$58,$C$59,$C$60),"")</f>
        <v>-253069.5285075022</v>
      </c>
      <c r="O80" s="255">
        <f ca="1">IF(NOW(),_xll.mirSwapPV($C$51,$C$52,$C$54,$G55,$C$55,$I55,$C$64,$C$65,$C$66,$C$67,$C$68,$C$69,$C$70,$C$74,$C$75,$D$63+O$76,$D$64,$D$65,$D$66,$D$67,$D$68,$D$69,$D$70,$D$71,$D$72,$D$73,$D$74,$D$75,$C$56,$C$57,$C$58,$C$59,$C$60),"")</f>
        <v>-202455.6228060018</v>
      </c>
      <c r="P80" s="255">
        <f ca="1">IF(NOW(),_xll.mirSwapPV($C$51,$C$52,$C$54,$G55,$C$55,$I55,$C$64,$C$65,$C$66,$C$67,$C$68,$C$69,$C$70,$C$74,$C$75,$D$63+P$76,$D$64,$D$65,$D$66,$D$67,$D$68,$D$69,$D$70,$D$71,$D$72,$D$73,$D$74,$D$75,$C$56,$C$57,$C$58,$C$59,$C$60),"")</f>
        <v>-151841.71710450135</v>
      </c>
      <c r="Q80" s="255">
        <f ca="1">IF(NOW(),_xll.mirSwapPV($C$51,$C$52,$C$54,$G55,$C$55,$I55,$C$64,$C$65,$C$66,$C$67,$C$68,$C$69,$C$70,$C$74,$C$75,$D$63+Q$76,$D$64,$D$65,$D$66,$D$67,$D$68,$D$69,$D$70,$D$71,$D$72,$D$73,$D$74,$D$75,$C$56,$C$57,$C$58,$C$59,$C$60),"")</f>
        <v>-101227.81140300092</v>
      </c>
      <c r="R80" s="255">
        <f ca="1">IF(NOW(),_xll.mirSwapPV($C$51,$C$52,$C$54,$G55,$C$55,$I55,$C$64,$C$65,$C$66,$C$67,$C$68,$C$69,$C$70,$C$74,$C$75,$D$63+R$76,$D$64,$D$65,$D$66,$D$67,$D$68,$D$69,$D$70,$D$71,$D$72,$D$73,$D$74,$D$75,$C$56,$C$57,$C$58,$C$59,$C$60),"")</f>
        <v>-50613.905701500429</v>
      </c>
      <c r="S80" s="255">
        <f ca="1">IF(NOW(),_xll.mirSwapPV($C$51,$C$52,$C$54,$G55,$C$55,$I55,$C$64,$C$65,$C$66,$C$67,$C$68,$C$69,$C$70,$C$74,$C$75,$D$63+S$76,$D$64,$D$65,$D$66,$D$67,$D$68,$D$69,$D$70,$D$71,$D$72,$D$73,$D$74,$D$75,$C$56,$C$57,$C$58,$C$59,$C$60),"")</f>
        <v>0</v>
      </c>
      <c r="T80" s="255">
        <f ca="1">IF(NOW(),_xll.mirSwapPV($C$51,$C$52,$C$54,$G55,$C$55,$I55,$C$64,$C$65,$C$66,$C$67,$C$68,$C$69,$C$70,$C$74,$C$75,$D$63+T$76,$D$64,$D$65,$D$66,$D$67,$D$68,$D$69,$D$70,$D$71,$D$72,$D$73,$D$74,$D$75,$C$56,$C$57,$C$58,$C$59,$C$60),"")</f>
        <v>50613.905701500444</v>
      </c>
      <c r="U80" s="255">
        <f ca="1">IF(NOW(),_xll.mirSwapPV($C$51,$C$52,$C$54,$G55,$C$55,$I55,$C$64,$C$65,$C$66,$C$67,$C$68,$C$69,$C$70,$C$74,$C$75,$D$63+U$76,$D$64,$D$65,$D$66,$D$67,$D$68,$D$69,$D$70,$D$71,$D$72,$D$73,$D$74,$D$75,$C$56,$C$57,$C$58,$C$59,$C$60),"")</f>
        <v>101227.81140300089</v>
      </c>
      <c r="V80" s="255">
        <f ca="1">IF(NOW(),_xll.mirSwapPV($C$51,$C$52,$C$54,$G55,$C$55,$I55,$C$64,$C$65,$C$66,$C$67,$C$68,$C$69,$C$70,$C$74,$C$75,$D$63+V$76,$D$64,$D$65,$D$66,$D$67,$D$68,$D$69,$D$70,$D$71,$D$72,$D$73,$D$74,$D$75,$C$56,$C$57,$C$58,$C$59,$C$60),"")</f>
        <v>151841.71710450135</v>
      </c>
      <c r="W80" s="255">
        <f ca="1">IF(NOW(),_xll.mirSwapPV($C$51,$C$52,$C$54,$G55,$C$55,$I55,$C$64,$C$65,$C$66,$C$67,$C$68,$C$69,$C$70,$C$74,$C$75,$D$63+W$76,$D$64,$D$65,$D$66,$D$67,$D$68,$D$69,$D$70,$D$71,$D$72,$D$73,$D$74,$D$75,$C$56,$C$57,$C$58,$C$59,$C$60),"")</f>
        <v>202455.62280600177</v>
      </c>
      <c r="X80" s="255">
        <f ca="1">IF(NOW(),_xll.mirSwapPV($C$51,$C$52,$C$54,$G55,$C$55,$I55,$C$64,$C$65,$C$66,$C$67,$C$68,$C$69,$C$70,$C$74,$C$75,$D$63+X$76,$D$64,$D$65,$D$66,$D$67,$D$68,$D$69,$D$70,$D$71,$D$72,$D$73,$D$74,$D$75,$C$56,$C$57,$C$58,$C$59,$C$60),"")</f>
        <v>253069.5285075022</v>
      </c>
      <c r="Y80" s="229"/>
      <c r="AE80" s="252"/>
      <c r="AG80" s="230" t="s">
        <v>33</v>
      </c>
      <c r="AH80" s="255">
        <f ca="1">IF(NOW(),_xll.mirSwapPV($C$51,$C$52,$C$54,$AA55,$C$55,$AC55,$C$64,$C$65,$C$66,$C$67,$C$68,$C$69,$C$70,$C$74,$C$75,$D$63+AH$76,$D$64,$D$65,$D$66,$D$67,$D$68,$D$69,$D$70,$D$71,$D$72,$D$73,$D$74,$D$75,$C$56,$C$57,$C$58,$D$59,$C$60),"")</f>
        <v>-253069.5285075022</v>
      </c>
      <c r="AI80" s="255">
        <f ca="1">IF(NOW(),_xll.mirSwapPV($C$51,$C$52,$C$54,$AA55,$C$55,$AC55,$C$64,$C$65,$C$66,$C$67,$C$68,$C$69,$C$70,$C$74,$C$75,$D$63+AI$76,$D$64,$D$65,$D$66,$D$67,$D$68,$D$69,$D$70,$D$71,$D$72,$D$73,$D$74,$D$75,$C$56,$C$57,$C$58,$D$59,$C$60),"")</f>
        <v>-202455.62280600177</v>
      </c>
      <c r="AJ80" s="255">
        <f ca="1">IF(NOW(),_xll.mirSwapPV($C$51,$C$52,$C$54,$AA55,$C$55,$AC55,$C$64,$C$65,$C$66,$C$67,$C$68,$C$69,$C$70,$C$74,$C$75,$D$63+AJ$76,$D$64,$D$65,$D$66,$D$67,$D$68,$D$69,$D$70,$D$71,$D$72,$D$73,$D$74,$D$75,$C$56,$C$57,$C$58,$D$59,$C$60),"")</f>
        <v>-151841.71710450135</v>
      </c>
      <c r="AK80" s="255">
        <f ca="1">IF(NOW(),_xll.mirSwapPV($C$51,$C$52,$C$54,$AA55,$C$55,$AC55,$C$64,$C$65,$C$66,$C$67,$C$68,$C$69,$C$70,$C$74,$C$75,$D$63+AK$76,$D$64,$D$65,$D$66,$D$67,$D$68,$D$69,$D$70,$D$71,$D$72,$D$73,$D$74,$D$75,$C$56,$C$57,$C$58,$D$59,$C$60),"")</f>
        <v>-101227.81140300087</v>
      </c>
      <c r="AL80" s="255">
        <f ca="1">IF(NOW(),_xll.mirSwapPV($C$51,$C$52,$C$54,$AA55,$C$55,$AC55,$C$64,$C$65,$C$66,$C$67,$C$68,$C$69,$C$70,$C$74,$C$75,$D$63+AL$76,$D$64,$D$65,$D$66,$D$67,$D$68,$D$69,$D$70,$D$71,$D$72,$D$73,$D$74,$D$75,$C$56,$C$57,$C$58,$D$59,$C$60),"")</f>
        <v>-50613.905701500429</v>
      </c>
      <c r="AM80" s="255">
        <f ca="1">IF(NOW(),_xll.mirSwapPV($C$51,$C$52,$C$54,$AA55,$C$55,$AC55,$C$64,$C$65,$C$66,$C$67,$C$68,$C$69,$C$70,$C$74,$C$75,$D$63+AM$76,$D$64,$D$65,$D$66,$D$67,$D$68,$D$69,$D$70,$D$71,$D$72,$D$73,$D$74,$D$75,$C$56,$C$57,$C$58,$D$59,$C$60),"")</f>
        <v>0</v>
      </c>
      <c r="AN80" s="255">
        <f ca="1">IF(NOW(),_xll.mirSwapPV($C$51,$C$52,$C$54,$AA55,$C$55,$AC55,$C$64,$C$65,$C$66,$C$67,$C$68,$C$69,$C$70,$C$74,$C$75,$D$63+AN$76,$D$64,$D$65,$D$66,$D$67,$D$68,$D$69,$D$70,$D$71,$D$72,$D$73,$D$74,$D$75,$C$56,$C$57,$C$58,$D$59,$C$60),"")</f>
        <v>50613.905701500444</v>
      </c>
      <c r="AO80" s="255">
        <f ca="1">IF(NOW(),_xll.mirSwapPV($C$51,$C$52,$C$54,$AA55,$C$55,$AC55,$C$64,$C$65,$C$66,$C$67,$C$68,$C$69,$C$70,$C$74,$C$75,$D$63+AO$76,$D$64,$D$65,$D$66,$D$67,$D$68,$D$69,$D$70,$D$71,$D$72,$D$73,$D$74,$D$75,$C$56,$C$57,$C$58,$D$59,$C$60),"")</f>
        <v>101227.8114030009</v>
      </c>
      <c r="AP80" s="255">
        <f ca="1">IF(NOW(),_xll.mirSwapPV($C$51,$C$52,$C$54,$AA55,$C$55,$AC55,$C$64,$C$65,$C$66,$C$67,$C$68,$C$69,$C$70,$C$74,$C$75,$D$63+AP$76,$D$64,$D$65,$D$66,$D$67,$D$68,$D$69,$D$70,$D$71,$D$72,$D$73,$D$74,$D$75,$C$56,$C$57,$C$58,$D$59,$C$60),"")</f>
        <v>151841.71710450135</v>
      </c>
      <c r="AQ80" s="255">
        <f ca="1">IF(NOW(),_xll.mirSwapPV($C$51,$C$52,$C$54,$AA55,$C$55,$AC55,$C$64,$C$65,$C$66,$C$67,$C$68,$C$69,$C$70,$C$74,$C$75,$D$63+AQ$76,$D$64,$D$65,$D$66,$D$67,$D$68,$D$69,$D$70,$D$71,$D$72,$D$73,$D$74,$D$75,$C$56,$C$57,$C$58,$D$59,$C$60),"")</f>
        <v>202455.62280600177</v>
      </c>
      <c r="AR80" s="255">
        <f ca="1">IF(NOW(),_xll.mirSwapPV($C$51,$C$52,$C$54,$AA55,$C$55,$AC55,$C$64,$C$65,$C$66,$C$67,$C$68,$C$69,$C$70,$C$74,$C$75,$D$63+AR$76,$D$64,$D$65,$D$66,$D$67,$D$68,$D$69,$D$70,$D$71,$D$72,$D$73,$D$74,$D$75,$C$56,$C$57,$C$58,$D$59,$C$60),"")</f>
        <v>253069.5285075022</v>
      </c>
    </row>
    <row r="81" spans="6:44">
      <c r="F81" s="230"/>
      <c r="G81" s="227"/>
      <c r="H81" s="229"/>
      <c r="I81" s="229"/>
      <c r="J81" s="229"/>
      <c r="K81" s="230"/>
      <c r="L81" s="230"/>
      <c r="M81" s="230" t="s">
        <v>131</v>
      </c>
      <c r="N81" s="255">
        <f ca="1">IF(NOW(),_xll.mirSwapPV($C$51,$C$52,$C$54,$G56,$C$55,$I56,$C$64,$C$65,$C$66,$C$67,$C$68,$C$69,$C$70,$C$74,$C$75,$D$63+N$76,$D$64,$D$65,$D$66,$D$67,$D$68,$D$69,$D$70,$D$71,$D$72,$D$73,$D$74,$D$75,$C$56,$C$57,$C$58,$C$59,$C$60),"")</f>
        <v>-302490.7129720439</v>
      </c>
      <c r="O81" s="255">
        <f ca="1">IF(NOW(),_xll.mirSwapPV($C$51,$C$52,$C$54,$G56,$C$55,$I56,$C$64,$C$65,$C$66,$C$67,$C$68,$C$69,$C$70,$C$74,$C$75,$D$63+O$76,$D$64,$D$65,$D$66,$D$67,$D$68,$D$69,$D$70,$D$71,$D$72,$D$73,$D$74,$D$75,$C$56,$C$57,$C$58,$C$59,$C$60),"")</f>
        <v>-241992.57037763516</v>
      </c>
      <c r="P81" s="255">
        <f ca="1">IF(NOW(),_xll.mirSwapPV($C$51,$C$52,$C$54,$G56,$C$55,$I56,$C$64,$C$65,$C$66,$C$67,$C$68,$C$69,$C$70,$C$74,$C$75,$D$63+P$76,$D$64,$D$65,$D$66,$D$67,$D$68,$D$69,$D$70,$D$71,$D$72,$D$73,$D$74,$D$75,$C$56,$C$57,$C$58,$C$59,$C$60),"")</f>
        <v>-181494.42778322636</v>
      </c>
      <c r="Q81" s="255">
        <f ca="1">IF(NOW(),_xll.mirSwapPV($C$51,$C$52,$C$54,$G56,$C$55,$I56,$C$64,$C$65,$C$66,$C$67,$C$68,$C$69,$C$70,$C$74,$C$75,$D$63+Q$76,$D$64,$D$65,$D$66,$D$67,$D$68,$D$69,$D$70,$D$71,$D$72,$D$73,$D$74,$D$75,$C$56,$C$57,$C$58,$C$59,$C$60),"")</f>
        <v>-120996.28518881758</v>
      </c>
      <c r="R81" s="255">
        <f ca="1">IF(NOW(),_xll.mirSwapPV($C$51,$C$52,$C$54,$G56,$C$55,$I56,$C$64,$C$65,$C$66,$C$67,$C$68,$C$69,$C$70,$C$74,$C$75,$D$63+R$76,$D$64,$D$65,$D$66,$D$67,$D$68,$D$69,$D$70,$D$71,$D$72,$D$73,$D$74,$D$75,$C$56,$C$57,$C$58,$C$59,$C$60),"")</f>
        <v>-60498.142594408746</v>
      </c>
      <c r="S81" s="255">
        <f ca="1">IF(NOW(),_xll.mirSwapPV($C$51,$C$52,$C$54,$G56,$C$55,$I56,$C$64,$C$65,$C$66,$C$67,$C$68,$C$69,$C$70,$C$74,$C$75,$D$63+S$76,$D$64,$D$65,$D$66,$D$67,$D$68,$D$69,$D$70,$D$71,$D$72,$D$73,$D$74,$D$75,$C$56,$C$57,$C$58,$C$59,$C$60),"")</f>
        <v>0</v>
      </c>
      <c r="T81" s="255">
        <f ca="1">IF(NOW(),_xll.mirSwapPV($C$51,$C$52,$C$54,$G56,$C$55,$I56,$C$64,$C$65,$C$66,$C$67,$C$68,$C$69,$C$70,$C$74,$C$75,$D$63+T$76,$D$64,$D$65,$D$66,$D$67,$D$68,$D$69,$D$70,$D$71,$D$72,$D$73,$D$74,$D$75,$C$56,$C$57,$C$58,$C$59,$C$60),"")</f>
        <v>60498.142594408768</v>
      </c>
      <c r="U81" s="255">
        <f ca="1">IF(NOW(),_xll.mirSwapPV($C$51,$C$52,$C$54,$G56,$C$55,$I56,$C$64,$C$65,$C$66,$C$67,$C$68,$C$69,$C$70,$C$74,$C$75,$D$63+U$76,$D$64,$D$65,$D$66,$D$67,$D$68,$D$69,$D$70,$D$71,$D$72,$D$73,$D$74,$D$75,$C$56,$C$57,$C$58,$C$59,$C$60),"")</f>
        <v>120996.28518881754</v>
      </c>
      <c r="V81" s="255">
        <f ca="1">IF(NOW(),_xll.mirSwapPV($C$51,$C$52,$C$54,$G56,$C$55,$I56,$C$64,$C$65,$C$66,$C$67,$C$68,$C$69,$C$70,$C$74,$C$75,$D$63+V$76,$D$64,$D$65,$D$66,$D$67,$D$68,$D$69,$D$70,$D$71,$D$72,$D$73,$D$74,$D$75,$C$56,$C$57,$C$58,$C$59,$C$60),"")</f>
        <v>181494.42778322633</v>
      </c>
      <c r="W81" s="255">
        <f ca="1">IF(NOW(),_xll.mirSwapPV($C$51,$C$52,$C$54,$G56,$C$55,$I56,$C$64,$C$65,$C$66,$C$67,$C$68,$C$69,$C$70,$C$74,$C$75,$D$63+W$76,$D$64,$D$65,$D$66,$D$67,$D$68,$D$69,$D$70,$D$71,$D$72,$D$73,$D$74,$D$75,$C$56,$C$57,$C$58,$C$59,$C$60),"")</f>
        <v>241992.57037763507</v>
      </c>
      <c r="X81" s="255">
        <f ca="1">IF(NOW(),_xll.mirSwapPV($C$51,$C$52,$C$54,$G56,$C$55,$I56,$C$64,$C$65,$C$66,$C$67,$C$68,$C$69,$C$70,$C$74,$C$75,$D$63+X$76,$D$64,$D$65,$D$66,$D$67,$D$68,$D$69,$D$70,$D$71,$D$72,$D$73,$D$74,$D$75,$C$56,$C$57,$C$58,$C$59,$C$60),"")</f>
        <v>302490.7129720439</v>
      </c>
      <c r="Y81" s="229"/>
      <c r="AE81" s="10"/>
      <c r="AG81" s="230" t="s">
        <v>131</v>
      </c>
      <c r="AH81" s="255">
        <f ca="1">IF(NOW(),_xll.mirSwapPV($C$51,$C$52,$C$54,$AA56,$C$55,$AC56,$C$64,$C$65,$C$66,$C$67,$C$68,$C$69,$C$70,$C$74,$C$75,$D$63+AH$76,$D$64,$D$65,$D$66,$D$67,$D$68,$D$69,$D$70,$D$71,$D$72,$D$73,$D$74,$D$75,$C$56,$C$57,$C$58,$D$59,$C$60),"")</f>
        <v>-302490.71297204384</v>
      </c>
      <c r="AI81" s="255">
        <f ca="1">IF(NOW(),_xll.mirSwapPV($C$51,$C$52,$C$54,$AA56,$C$55,$AC56,$C$64,$C$65,$C$66,$C$67,$C$68,$C$69,$C$70,$C$74,$C$75,$D$63+AI$76,$D$64,$D$65,$D$66,$D$67,$D$68,$D$69,$D$70,$D$71,$D$72,$D$73,$D$74,$D$75,$C$56,$C$57,$C$58,$D$59,$C$60),"")</f>
        <v>-241992.57037763507</v>
      </c>
      <c r="AJ81" s="255">
        <f ca="1">IF(NOW(),_xll.mirSwapPV($C$51,$C$52,$C$54,$AA56,$C$55,$AC56,$C$64,$C$65,$C$66,$C$67,$C$68,$C$69,$C$70,$C$74,$C$75,$D$63+AJ$76,$D$64,$D$65,$D$66,$D$67,$D$68,$D$69,$D$70,$D$71,$D$72,$D$73,$D$74,$D$75,$C$56,$C$57,$C$58,$D$59,$C$60),"")</f>
        <v>-181494.42778322636</v>
      </c>
      <c r="AK81" s="255">
        <f ca="1">IF(NOW(),_xll.mirSwapPV($C$51,$C$52,$C$54,$AA56,$C$55,$AC56,$C$64,$C$65,$C$66,$C$67,$C$68,$C$69,$C$70,$C$74,$C$75,$D$63+AK$76,$D$64,$D$65,$D$66,$D$67,$D$68,$D$69,$D$70,$D$71,$D$72,$D$73,$D$74,$D$75,$C$56,$C$57,$C$58,$D$59,$C$60),"")</f>
        <v>-120996.28518881752</v>
      </c>
      <c r="AL81" s="255">
        <f ca="1">IF(NOW(),_xll.mirSwapPV($C$51,$C$52,$C$54,$AA56,$C$55,$AC56,$C$64,$C$65,$C$66,$C$67,$C$68,$C$69,$C$70,$C$74,$C$75,$D$63+AL$76,$D$64,$D$65,$D$66,$D$67,$D$68,$D$69,$D$70,$D$71,$D$72,$D$73,$D$74,$D$75,$C$56,$C$57,$C$58,$D$59,$C$60),"")</f>
        <v>-60498.142594408739</v>
      </c>
      <c r="AM81" s="255">
        <f ca="1">IF(NOW(),_xll.mirSwapPV($C$51,$C$52,$C$54,$AA56,$C$55,$AC56,$C$64,$C$65,$C$66,$C$67,$C$68,$C$69,$C$70,$C$74,$C$75,$D$63+AM$76,$D$64,$D$65,$D$66,$D$67,$D$68,$D$69,$D$70,$D$71,$D$72,$D$73,$D$74,$D$75,$C$56,$C$57,$C$58,$D$59,$C$60),"")</f>
        <v>0</v>
      </c>
      <c r="AN81" s="255">
        <f ca="1">IF(NOW(),_xll.mirSwapPV($C$51,$C$52,$C$54,$AA56,$C$55,$AC56,$C$64,$C$65,$C$66,$C$67,$C$68,$C$69,$C$70,$C$74,$C$75,$D$63+AN$76,$D$64,$D$65,$D$66,$D$67,$D$68,$D$69,$D$70,$D$71,$D$72,$D$73,$D$74,$D$75,$C$56,$C$57,$C$58,$D$59,$C$60),"")</f>
        <v>60498.142594408775</v>
      </c>
      <c r="AO81" s="255">
        <f ca="1">IF(NOW(),_xll.mirSwapPV($C$51,$C$52,$C$54,$AA56,$C$55,$AC56,$C$64,$C$65,$C$66,$C$67,$C$68,$C$69,$C$70,$C$74,$C$75,$D$63+AO$76,$D$64,$D$65,$D$66,$D$67,$D$68,$D$69,$D$70,$D$71,$D$72,$D$73,$D$74,$D$75,$C$56,$C$57,$C$58,$D$59,$C$60),"")</f>
        <v>120996.28518881755</v>
      </c>
      <c r="AP81" s="255">
        <f ca="1">IF(NOW(),_xll.mirSwapPV($C$51,$C$52,$C$54,$AA56,$C$55,$AC56,$C$64,$C$65,$C$66,$C$67,$C$68,$C$69,$C$70,$C$74,$C$75,$D$63+AP$76,$D$64,$D$65,$D$66,$D$67,$D$68,$D$69,$D$70,$D$71,$D$72,$D$73,$D$74,$D$75,$C$56,$C$57,$C$58,$D$59,$C$60),"")</f>
        <v>181494.42778322633</v>
      </c>
      <c r="AQ81" s="255">
        <f ca="1">IF(NOW(),_xll.mirSwapPV($C$51,$C$52,$C$54,$AA56,$C$55,$AC56,$C$64,$C$65,$C$66,$C$67,$C$68,$C$69,$C$70,$C$74,$C$75,$D$63+AQ$76,$D$64,$D$65,$D$66,$D$67,$D$68,$D$69,$D$70,$D$71,$D$72,$D$73,$D$74,$D$75,$C$56,$C$57,$C$58,$D$59,$C$60),"")</f>
        <v>241992.5703776351</v>
      </c>
      <c r="AR81" s="255">
        <f ca="1">IF(NOW(),_xll.mirSwapPV($C$51,$C$52,$C$54,$AA56,$C$55,$AC56,$C$64,$C$65,$C$66,$C$67,$C$68,$C$69,$C$70,$C$74,$C$75,$D$63+AR$76,$D$64,$D$65,$D$66,$D$67,$D$68,$D$69,$D$70,$D$71,$D$72,$D$73,$D$74,$D$75,$C$56,$C$57,$C$58,$D$59,$C$60),"")</f>
        <v>302490.7129720439</v>
      </c>
    </row>
    <row r="82" spans="6:44">
      <c r="F82" s="230"/>
      <c r="G82" s="227"/>
      <c r="H82" s="229"/>
      <c r="I82" s="229"/>
      <c r="J82" s="229"/>
      <c r="K82" s="230"/>
      <c r="L82" s="230"/>
      <c r="M82" s="230" t="s">
        <v>31</v>
      </c>
      <c r="N82" s="255">
        <f ca="1">IF(NOW(),_xll.mirSwapPV($C$51,$C$52,$C$54,$G57,$C$55,$I57,$C$64,$C$65,$C$66,$C$67,$C$68,$C$69,$C$70,$C$74,$C$75,$D$63+N$76,$D$64,$D$65,$D$66,$D$67,$D$68,$D$69,$D$70,$D$71,$D$72,$D$73,$D$74,$D$75,$C$56,$C$57,$C$58,$C$59,$C$60),"")</f>
        <v>-351141.27427565056</v>
      </c>
      <c r="O82" s="255">
        <f ca="1">IF(NOW(),_xll.mirSwapPV($C$51,$C$52,$C$54,$G57,$C$55,$I57,$C$64,$C$65,$C$66,$C$67,$C$68,$C$69,$C$70,$C$74,$C$75,$D$63+O$76,$D$64,$D$65,$D$66,$D$67,$D$68,$D$69,$D$70,$D$71,$D$72,$D$73,$D$74,$D$75,$C$56,$C$57,$C$58,$C$59,$C$60),"")</f>
        <v>-280913.01942052058</v>
      </c>
      <c r="P82" s="255">
        <f ca="1">IF(NOW(),_xll.mirSwapPV($C$51,$C$52,$C$54,$G57,$C$55,$I57,$C$64,$C$65,$C$66,$C$67,$C$68,$C$69,$C$70,$C$74,$C$75,$D$63+P$76,$D$64,$D$65,$D$66,$D$67,$D$68,$D$69,$D$70,$D$71,$D$72,$D$73,$D$74,$D$75,$C$56,$C$57,$C$58,$C$59,$C$60),"")</f>
        <v>-210684.76456539039</v>
      </c>
      <c r="Q82" s="255">
        <f ca="1">IF(NOW(),_xll.mirSwapPV($C$51,$C$52,$C$54,$G57,$C$55,$I57,$C$64,$C$65,$C$66,$C$67,$C$68,$C$69,$C$70,$C$74,$C$75,$D$63+Q$76,$D$64,$D$65,$D$66,$D$67,$D$68,$D$69,$D$70,$D$71,$D$72,$D$73,$D$74,$D$75,$C$56,$C$57,$C$58,$C$59,$C$60),"")</f>
        <v>-140456.50971026029</v>
      </c>
      <c r="R82" s="255">
        <f ca="1">IF(NOW(),_xll.mirSwapPV($C$51,$C$52,$C$54,$G57,$C$55,$I57,$C$64,$C$65,$C$66,$C$67,$C$68,$C$69,$C$70,$C$74,$C$75,$D$63+R$76,$D$64,$D$65,$D$66,$D$67,$D$68,$D$69,$D$70,$D$71,$D$72,$D$73,$D$74,$D$75,$C$56,$C$57,$C$58,$C$59,$C$60),"")</f>
        <v>-70228.254855130101</v>
      </c>
      <c r="S82" s="255">
        <f ca="1">IF(NOW(),_xll.mirSwapPV($C$51,$C$52,$C$54,$G57,$C$55,$I57,$C$64,$C$65,$C$66,$C$67,$C$68,$C$69,$C$70,$C$74,$C$75,$D$63+S$76,$D$64,$D$65,$D$66,$D$67,$D$68,$D$69,$D$70,$D$71,$D$72,$D$73,$D$74,$D$75,$C$56,$C$57,$C$58,$C$59,$C$60),"")</f>
        <v>-6.9388939039072284E-12</v>
      </c>
      <c r="T82" s="255">
        <f ca="1">IF(NOW(),_xll.mirSwapPV($C$51,$C$52,$C$54,$G57,$C$55,$I57,$C$64,$C$65,$C$66,$C$67,$C$68,$C$69,$C$70,$C$74,$C$75,$D$63+T$76,$D$64,$D$65,$D$66,$D$67,$D$68,$D$69,$D$70,$D$71,$D$72,$D$73,$D$74,$D$75,$C$56,$C$57,$C$58,$C$59,$C$60),"")</f>
        <v>70228.254855130115</v>
      </c>
      <c r="U82" s="255">
        <f ca="1">IF(NOW(),_xll.mirSwapPV($C$51,$C$52,$C$54,$G57,$C$55,$I57,$C$64,$C$65,$C$66,$C$67,$C$68,$C$69,$C$70,$C$74,$C$75,$D$63+U$76,$D$64,$D$65,$D$66,$D$67,$D$68,$D$69,$D$70,$D$71,$D$72,$D$73,$D$74,$D$75,$C$56,$C$57,$C$58,$C$59,$C$60),"")</f>
        <v>140456.50971026023</v>
      </c>
      <c r="V82" s="255">
        <f ca="1">IF(NOW(),_xll.mirSwapPV($C$51,$C$52,$C$54,$G57,$C$55,$I57,$C$64,$C$65,$C$66,$C$67,$C$68,$C$69,$C$70,$C$74,$C$75,$D$63+V$76,$D$64,$D$65,$D$66,$D$67,$D$68,$D$69,$D$70,$D$71,$D$72,$D$73,$D$74,$D$75,$C$56,$C$57,$C$58,$C$59,$C$60),"")</f>
        <v>210684.76456539033</v>
      </c>
      <c r="W82" s="255">
        <f ca="1">IF(NOW(),_xll.mirSwapPV($C$51,$C$52,$C$54,$G57,$C$55,$I57,$C$64,$C$65,$C$66,$C$67,$C$68,$C$69,$C$70,$C$74,$C$75,$D$63+W$76,$D$64,$D$65,$D$66,$D$67,$D$68,$D$69,$D$70,$D$71,$D$72,$D$73,$D$74,$D$75,$C$56,$C$57,$C$58,$C$59,$C$60),"")</f>
        <v>280913.01942052046</v>
      </c>
      <c r="X82" s="255">
        <f ca="1">IF(NOW(),_xll.mirSwapPV($C$51,$C$52,$C$54,$G57,$C$55,$I57,$C$64,$C$65,$C$66,$C$67,$C$68,$C$69,$C$70,$C$74,$C$75,$D$63+X$76,$D$64,$D$65,$D$66,$D$67,$D$68,$D$69,$D$70,$D$71,$D$72,$D$73,$D$74,$D$75,$C$56,$C$57,$C$58,$C$59,$C$60),"")</f>
        <v>351141.27427565062</v>
      </c>
      <c r="Y82" s="229"/>
      <c r="AG82" s="230" t="s">
        <v>31</v>
      </c>
      <c r="AH82" s="255">
        <f ca="1">IF(NOW(),_xll.mirSwapPV($C$51,$C$52,$C$54,$AA57,$C$55,$AC57,$C$64,$C$65,$C$66,$C$67,$C$68,$C$69,$C$70,$C$74,$C$75,$D$63+AH$76,$D$64,$D$65,$D$66,$D$67,$D$68,$D$69,$D$70,$D$71,$D$72,$D$73,$D$74,$D$75,$C$56,$C$57,$C$58,$D$59,$C$60),"")</f>
        <v>-351141.27427565056</v>
      </c>
      <c r="AI82" s="255">
        <f ca="1">IF(NOW(),_xll.mirSwapPV($C$51,$C$52,$C$54,$AA57,$C$55,$AC57,$C$64,$C$65,$C$66,$C$67,$C$68,$C$69,$C$70,$C$74,$C$75,$D$63+AI$76,$D$64,$D$65,$D$66,$D$67,$D$68,$D$69,$D$70,$D$71,$D$72,$D$73,$D$74,$D$75,$C$56,$C$57,$C$58,$D$59,$C$60),"")</f>
        <v>-280913.0194205204</v>
      </c>
      <c r="AJ82" s="255">
        <f ca="1">IF(NOW(),_xll.mirSwapPV($C$51,$C$52,$C$54,$AA57,$C$55,$AC57,$C$64,$C$65,$C$66,$C$67,$C$68,$C$69,$C$70,$C$74,$C$75,$D$63+AJ$76,$D$64,$D$65,$D$66,$D$67,$D$68,$D$69,$D$70,$D$71,$D$72,$D$73,$D$74,$D$75,$C$56,$C$57,$C$58,$D$59,$C$60),"")</f>
        <v>-210684.76456539039</v>
      </c>
      <c r="AK82" s="255">
        <f ca="1">IF(NOW(),_xll.mirSwapPV($C$51,$C$52,$C$54,$AA57,$C$55,$AC57,$C$64,$C$65,$C$66,$C$67,$C$68,$C$69,$C$70,$C$74,$C$75,$D$63+AK$76,$D$64,$D$65,$D$66,$D$67,$D$68,$D$69,$D$70,$D$71,$D$72,$D$73,$D$74,$D$75,$C$56,$C$57,$C$58,$D$59,$C$60),"")</f>
        <v>-140456.5097102602</v>
      </c>
      <c r="AL82" s="255">
        <f ca="1">IF(NOW(),_xll.mirSwapPV($C$51,$C$52,$C$54,$AA57,$C$55,$AC57,$C$64,$C$65,$C$66,$C$67,$C$68,$C$69,$C$70,$C$74,$C$75,$D$63+AL$76,$D$64,$D$65,$D$66,$D$67,$D$68,$D$69,$D$70,$D$71,$D$72,$D$73,$D$74,$D$75,$C$56,$C$57,$C$58,$D$59,$C$60),"")</f>
        <v>-70228.254855130101</v>
      </c>
      <c r="AM82" s="255">
        <f ca="1">IF(NOW(),_xll.mirSwapPV($C$51,$C$52,$C$54,$AA57,$C$55,$AC57,$C$64,$C$65,$C$66,$C$67,$C$68,$C$69,$C$70,$C$74,$C$75,$D$63+AM$76,$D$64,$D$65,$D$66,$D$67,$D$68,$D$69,$D$70,$D$71,$D$72,$D$73,$D$74,$D$75,$C$56,$C$57,$C$58,$D$59,$C$60),"")</f>
        <v>0</v>
      </c>
      <c r="AN82" s="255">
        <f ca="1">IF(NOW(),_xll.mirSwapPV($C$51,$C$52,$C$54,$AA57,$C$55,$AC57,$C$64,$C$65,$C$66,$C$67,$C$68,$C$69,$C$70,$C$74,$C$75,$D$63+AN$76,$D$64,$D$65,$D$66,$D$67,$D$68,$D$69,$D$70,$D$71,$D$72,$D$73,$D$74,$D$75,$C$56,$C$57,$C$58,$D$59,$C$60),"")</f>
        <v>70228.25485513013</v>
      </c>
      <c r="AO82" s="255">
        <f ca="1">IF(NOW(),_xll.mirSwapPV($C$51,$C$52,$C$54,$AA57,$C$55,$AC57,$C$64,$C$65,$C$66,$C$67,$C$68,$C$69,$C$70,$C$74,$C$75,$D$63+AO$76,$D$64,$D$65,$D$66,$D$67,$D$68,$D$69,$D$70,$D$71,$D$72,$D$73,$D$74,$D$75,$C$56,$C$57,$C$58,$D$59,$C$60),"")</f>
        <v>140456.50971026026</v>
      </c>
      <c r="AP82" s="255">
        <f ca="1">IF(NOW(),_xll.mirSwapPV($C$51,$C$52,$C$54,$AA57,$C$55,$AC57,$C$64,$C$65,$C$66,$C$67,$C$68,$C$69,$C$70,$C$74,$C$75,$D$63+AP$76,$D$64,$D$65,$D$66,$D$67,$D$68,$D$69,$D$70,$D$71,$D$72,$D$73,$D$74,$D$75,$C$56,$C$57,$C$58,$D$59,$C$60),"")</f>
        <v>210684.76456539036</v>
      </c>
      <c r="AQ82" s="255">
        <f ca="1">IF(NOW(),_xll.mirSwapPV($C$51,$C$52,$C$54,$AA57,$C$55,$AC57,$C$64,$C$65,$C$66,$C$67,$C$68,$C$69,$C$70,$C$74,$C$75,$D$63+AQ$76,$D$64,$D$65,$D$66,$D$67,$D$68,$D$69,$D$70,$D$71,$D$72,$D$73,$D$74,$D$75,$C$56,$C$57,$C$58,$D$59,$C$60),"")</f>
        <v>280913.01942052052</v>
      </c>
      <c r="AR82" s="255">
        <f ca="1">IF(NOW(),_xll.mirSwapPV($C$51,$C$52,$C$54,$AA57,$C$55,$AC57,$C$64,$C$65,$C$66,$C$67,$C$68,$C$69,$C$70,$C$74,$C$75,$D$63+AR$76,$D$64,$D$65,$D$66,$D$67,$D$68,$D$69,$D$70,$D$71,$D$72,$D$73,$D$74,$D$75,$C$56,$C$57,$C$58,$D$59,$C$60),"")</f>
        <v>351141.27427565056</v>
      </c>
    </row>
    <row r="83" spans="6:44">
      <c r="F83" s="230"/>
      <c r="G83" s="227"/>
      <c r="H83" s="229"/>
      <c r="I83" s="229"/>
      <c r="J83" s="229"/>
      <c r="K83" s="230"/>
      <c r="L83" s="230"/>
      <c r="M83" s="230" t="s">
        <v>119</v>
      </c>
      <c r="N83" s="255">
        <f ca="1">IF(NOW(),_xll.mirSwapPV($C$51,$C$52,$C$54,$G58,$C$55,$I58,$C$64,$C$65,$C$66,$C$67,$C$68,$C$69,$C$70,$C$74,$C$75,$D$63+N$76,$D$64,$D$65,$D$66,$D$67,$D$68,$D$69,$D$70,$D$71,$D$72,$D$73,$D$74,$D$75,$C$56,$C$57,$C$58,$C$59,$C$60),"")</f>
        <v>-399166.62011515006</v>
      </c>
      <c r="O83" s="255">
        <f ca="1">IF(NOW(),_xll.mirSwapPV($C$51,$C$52,$C$54,$G58,$C$55,$I58,$C$64,$C$65,$C$66,$C$67,$C$68,$C$69,$C$70,$C$74,$C$75,$D$63+O$76,$D$64,$D$65,$D$66,$D$67,$D$68,$D$69,$D$70,$D$71,$D$72,$D$73,$D$74,$D$75,$C$56,$C$57,$C$58,$C$59,$C$60),"")</f>
        <v>-319333.29609212012</v>
      </c>
      <c r="P83" s="255">
        <f ca="1">IF(NOW(),_xll.mirSwapPV($C$51,$C$52,$C$54,$G58,$C$55,$I58,$C$64,$C$65,$C$66,$C$67,$C$68,$C$69,$C$70,$C$74,$C$75,$D$63+P$76,$D$64,$D$65,$D$66,$D$67,$D$68,$D$69,$D$70,$D$71,$D$72,$D$73,$D$74,$D$75,$C$56,$C$57,$C$58,$C$59,$C$60),"")</f>
        <v>-239499.97206909009</v>
      </c>
      <c r="Q83" s="255">
        <f ca="1">IF(NOW(),_xll.mirSwapPV($C$51,$C$52,$C$54,$G58,$C$55,$I58,$C$64,$C$65,$C$66,$C$67,$C$68,$C$69,$C$70,$C$74,$C$75,$D$63+Q$76,$D$64,$D$65,$D$66,$D$67,$D$68,$D$69,$D$70,$D$71,$D$72,$D$73,$D$74,$D$75,$C$56,$C$57,$C$58,$C$59,$C$60),"")</f>
        <v>-159666.64804606006</v>
      </c>
      <c r="R83" s="255">
        <f ca="1">IF(NOW(),_xll.mirSwapPV($C$51,$C$52,$C$54,$G58,$C$55,$I58,$C$64,$C$65,$C$66,$C$67,$C$68,$C$69,$C$70,$C$74,$C$75,$D$63+R$76,$D$64,$D$65,$D$66,$D$67,$D$68,$D$69,$D$70,$D$71,$D$72,$D$73,$D$74,$D$75,$C$56,$C$57,$C$58,$C$59,$C$60),"")</f>
        <v>-79833.324023029971</v>
      </c>
      <c r="S83" s="255">
        <f ca="1">IF(NOW(),_xll.mirSwapPV($C$51,$C$52,$C$54,$G58,$C$55,$I58,$C$64,$C$65,$C$66,$C$67,$C$68,$C$69,$C$70,$C$74,$C$75,$D$63+S$76,$D$64,$D$65,$D$66,$D$67,$D$68,$D$69,$D$70,$D$71,$D$72,$D$73,$D$74,$D$75,$C$56,$C$57,$C$58,$C$59,$C$60),"")</f>
        <v>0</v>
      </c>
      <c r="T83" s="255">
        <f ca="1">IF(NOW(),_xll.mirSwapPV($C$51,$C$52,$C$54,$G58,$C$55,$I58,$C$64,$C$65,$C$66,$C$67,$C$68,$C$69,$C$70,$C$74,$C$75,$D$63+T$76,$D$64,$D$65,$D$66,$D$67,$D$68,$D$69,$D$70,$D$71,$D$72,$D$73,$D$74,$D$75,$C$56,$C$57,$C$58,$C$59,$C$60),"")</f>
        <v>79833.32402303</v>
      </c>
      <c r="U83" s="255">
        <f ca="1">IF(NOW(),_xll.mirSwapPV($C$51,$C$52,$C$54,$G58,$C$55,$I58,$C$64,$C$65,$C$66,$C$67,$C$68,$C$69,$C$70,$C$74,$C$75,$D$63+U$76,$D$64,$D$65,$D$66,$D$67,$D$68,$D$69,$D$70,$D$71,$D$72,$D$73,$D$74,$D$75,$C$56,$C$57,$C$58,$C$59,$C$60),"")</f>
        <v>159666.64804606</v>
      </c>
      <c r="V83" s="255">
        <f ca="1">IF(NOW(),_xll.mirSwapPV($C$51,$C$52,$C$54,$G58,$C$55,$I58,$C$64,$C$65,$C$66,$C$67,$C$68,$C$69,$C$70,$C$74,$C$75,$D$63+V$76,$D$64,$D$65,$D$66,$D$67,$D$68,$D$69,$D$70,$D$71,$D$72,$D$73,$D$74,$D$75,$C$56,$C$57,$C$58,$C$59,$C$60),"")</f>
        <v>239499.97206909006</v>
      </c>
      <c r="W83" s="255">
        <f ca="1">IF(NOW(),_xll.mirSwapPV($C$51,$C$52,$C$54,$G58,$C$55,$I58,$C$64,$C$65,$C$66,$C$67,$C$68,$C$69,$C$70,$C$74,$C$75,$D$63+W$76,$D$64,$D$65,$D$66,$D$67,$D$68,$D$69,$D$70,$D$71,$D$72,$D$73,$D$74,$D$75,$C$56,$C$57,$C$58,$C$59,$C$60),"")</f>
        <v>319333.29609212</v>
      </c>
      <c r="X83" s="255">
        <f ca="1">IF(NOW(),_xll.mirSwapPV($C$51,$C$52,$C$54,$G58,$C$55,$I58,$C$64,$C$65,$C$66,$C$67,$C$68,$C$69,$C$70,$C$74,$C$75,$D$63+X$76,$D$64,$D$65,$D$66,$D$67,$D$68,$D$69,$D$70,$D$71,$D$72,$D$73,$D$74,$D$75,$C$56,$C$57,$C$58,$C$59,$C$60),"")</f>
        <v>399166.62011515006</v>
      </c>
      <c r="Y83" s="229"/>
      <c r="AE83" s="10"/>
      <c r="AF83" s="253"/>
      <c r="AG83" s="230" t="s">
        <v>119</v>
      </c>
      <c r="AH83" s="255">
        <f ca="1">IF(NOW(),_xll.mirSwapPV($C$51,$C$52,$C$54,$AA58,$C$55,$AC58,$C$64,$C$65,$C$66,$C$67,$C$68,$C$69,$C$70,$C$74,$C$75,$D$63+AH$76,$D$64,$D$65,$D$66,$D$67,$D$68,$D$69,$D$70,$D$71,$D$72,$D$73,$D$74,$D$75,$C$56,$C$57,$C$58,$D$59,$C$60),"")</f>
        <v>-399166.62011515</v>
      </c>
      <c r="AI83" s="255">
        <f ca="1">IF(NOW(),_xll.mirSwapPV($C$51,$C$52,$C$54,$AA58,$C$55,$AC58,$C$64,$C$65,$C$66,$C$67,$C$68,$C$69,$C$70,$C$74,$C$75,$D$63+AI$76,$D$64,$D$65,$D$66,$D$67,$D$68,$D$69,$D$70,$D$71,$D$72,$D$73,$D$74,$D$75,$C$56,$C$57,$C$58,$D$59,$C$60),"")</f>
        <v>-319333.29609212</v>
      </c>
      <c r="AJ83" s="255">
        <f ca="1">IF(NOW(),_xll.mirSwapPV($C$51,$C$52,$C$54,$AA58,$C$55,$AC58,$C$64,$C$65,$C$66,$C$67,$C$68,$C$69,$C$70,$C$74,$C$75,$D$63+AJ$76,$D$64,$D$65,$D$66,$D$67,$D$68,$D$69,$D$70,$D$71,$D$72,$D$73,$D$74,$D$75,$C$56,$C$57,$C$58,$D$59,$C$60),"")</f>
        <v>-239499.97206909009</v>
      </c>
      <c r="AK83" s="255">
        <f ca="1">IF(NOW(),_xll.mirSwapPV($C$51,$C$52,$C$54,$AA58,$C$55,$AC58,$C$64,$C$65,$C$66,$C$67,$C$68,$C$69,$C$70,$C$74,$C$75,$D$63+AK$76,$D$64,$D$65,$D$66,$D$67,$D$68,$D$69,$D$70,$D$71,$D$72,$D$73,$D$74,$D$75,$C$56,$C$57,$C$58,$D$59,$C$60),"")</f>
        <v>-159666.64804605997</v>
      </c>
      <c r="AL83" s="255">
        <f ca="1">IF(NOW(),_xll.mirSwapPV($C$51,$C$52,$C$54,$AA58,$C$55,$AC58,$C$64,$C$65,$C$66,$C$67,$C$68,$C$69,$C$70,$C$74,$C$75,$D$63+AL$76,$D$64,$D$65,$D$66,$D$67,$D$68,$D$69,$D$70,$D$71,$D$72,$D$73,$D$74,$D$75,$C$56,$C$57,$C$58,$D$59,$C$60),"")</f>
        <v>-79833.324023029971</v>
      </c>
      <c r="AM83" s="255">
        <f ca="1">IF(NOW(),_xll.mirSwapPV($C$51,$C$52,$C$54,$AA58,$C$55,$AC58,$C$64,$C$65,$C$66,$C$67,$C$68,$C$69,$C$70,$C$74,$C$75,$D$63+AM$76,$D$64,$D$65,$D$66,$D$67,$D$68,$D$69,$D$70,$D$71,$D$72,$D$73,$D$74,$D$75,$C$56,$C$57,$C$58,$D$59,$C$60),"")</f>
        <v>0</v>
      </c>
      <c r="AN83" s="255">
        <f ca="1">IF(NOW(),_xll.mirSwapPV($C$51,$C$52,$C$54,$AA58,$C$55,$AC58,$C$64,$C$65,$C$66,$C$67,$C$68,$C$69,$C$70,$C$74,$C$75,$D$63+AN$76,$D$64,$D$65,$D$66,$D$67,$D$68,$D$69,$D$70,$D$71,$D$72,$D$73,$D$74,$D$75,$C$56,$C$57,$C$58,$D$59,$C$60),"")</f>
        <v>79833.324023030014</v>
      </c>
      <c r="AO83" s="255">
        <f ca="1">IF(NOW(),_xll.mirSwapPV($C$51,$C$52,$C$54,$AA58,$C$55,$AC58,$C$64,$C$65,$C$66,$C$67,$C$68,$C$69,$C$70,$C$74,$C$75,$D$63+AO$76,$D$64,$D$65,$D$66,$D$67,$D$68,$D$69,$D$70,$D$71,$D$72,$D$73,$D$74,$D$75,$C$56,$C$57,$C$58,$D$59,$C$60),"")</f>
        <v>159666.64804606</v>
      </c>
      <c r="AP83" s="255">
        <f ca="1">IF(NOW(),_xll.mirSwapPV($C$51,$C$52,$C$54,$AA58,$C$55,$AC58,$C$64,$C$65,$C$66,$C$67,$C$68,$C$69,$C$70,$C$74,$C$75,$D$63+AP$76,$D$64,$D$65,$D$66,$D$67,$D$68,$D$69,$D$70,$D$71,$D$72,$D$73,$D$74,$D$75,$C$56,$C$57,$C$58,$D$59,$C$60),"")</f>
        <v>239499.97206909009</v>
      </c>
      <c r="AQ83" s="255">
        <f ca="1">IF(NOW(),_xll.mirSwapPV($C$51,$C$52,$C$54,$AA58,$C$55,$AC58,$C$64,$C$65,$C$66,$C$67,$C$68,$C$69,$C$70,$C$74,$C$75,$D$63+AQ$76,$D$64,$D$65,$D$66,$D$67,$D$68,$D$69,$D$70,$D$71,$D$72,$D$73,$D$74,$D$75,$C$56,$C$57,$C$58,$D$59,$C$60),"")</f>
        <v>319333.29609212</v>
      </c>
      <c r="AR83" s="255">
        <f ca="1">IF(NOW(),_xll.mirSwapPV($C$51,$C$52,$C$54,$AA58,$C$55,$AC58,$C$64,$C$65,$C$66,$C$67,$C$68,$C$69,$C$70,$C$74,$C$75,$D$63+AR$76,$D$64,$D$65,$D$66,$D$67,$D$68,$D$69,$D$70,$D$71,$D$72,$D$73,$D$74,$D$75,$C$56,$C$57,$C$58,$D$59,$C$60),"")</f>
        <v>399166.62011515006</v>
      </c>
    </row>
    <row r="84" spans="6:44">
      <c r="F84" s="230"/>
      <c r="G84" s="227"/>
      <c r="H84" s="229"/>
      <c r="I84" s="229"/>
      <c r="J84" s="229"/>
      <c r="K84" s="230"/>
      <c r="L84" s="230"/>
      <c r="M84" s="230" t="s">
        <v>113</v>
      </c>
      <c r="N84" s="255">
        <f ca="1">IF(NOW(),_xll.mirSwapPV($C$51,$C$52,$C$54,$G59,$C$55,$I59,$C$64,$C$65,$C$66,$C$67,$C$68,$C$69,$C$70,$C$74,$C$75,$D$63+N$76,$D$64,$D$65,$D$66,$D$67,$D$68,$D$69,$D$70,$D$71,$D$72,$D$73,$D$74,$D$75,$C$56,$C$57,$C$58,$C$59,$C$60),"")</f>
        <v>-445844.23518302286</v>
      </c>
      <c r="O84" s="255">
        <f ca="1">IF(NOW(),_xll.mirSwapPV($C$51,$C$52,$C$54,$G59,$C$55,$I59,$C$64,$C$65,$C$66,$C$67,$C$68,$C$69,$C$70,$C$74,$C$75,$D$63+O$76,$D$64,$D$65,$D$66,$D$67,$D$68,$D$69,$D$70,$D$71,$D$72,$D$73,$D$74,$D$75,$C$56,$C$57,$C$58,$C$59,$C$60),"")</f>
        <v>-356675.38814641844</v>
      </c>
      <c r="P84" s="255">
        <f ca="1">IF(NOW(),_xll.mirSwapPV($C$51,$C$52,$C$54,$G59,$C$55,$I59,$C$64,$C$65,$C$66,$C$67,$C$68,$C$69,$C$70,$C$74,$C$75,$D$63+P$76,$D$64,$D$65,$D$66,$D$67,$D$68,$D$69,$D$70,$D$71,$D$72,$D$73,$D$74,$D$75,$C$56,$C$57,$C$58,$C$59,$C$60),"")</f>
        <v>-267506.54110981378</v>
      </c>
      <c r="Q84" s="255">
        <f ca="1">IF(NOW(),_xll.mirSwapPV($C$51,$C$52,$C$54,$G59,$C$55,$I59,$C$64,$C$65,$C$66,$C$67,$C$68,$C$69,$C$70,$C$74,$C$75,$D$63+Q$76,$D$64,$D$65,$D$66,$D$67,$D$68,$D$69,$D$70,$D$71,$D$72,$D$73,$D$74,$D$75,$C$56,$C$57,$C$58,$C$59,$C$60),"")</f>
        <v>-178337.69407320925</v>
      </c>
      <c r="R84" s="255">
        <f ca="1">IF(NOW(),_xll.mirSwapPV($C$51,$C$52,$C$54,$G59,$C$55,$I59,$C$64,$C$65,$C$66,$C$67,$C$68,$C$69,$C$70,$C$74,$C$75,$D$63+R$76,$D$64,$D$65,$D$66,$D$67,$D$68,$D$69,$D$70,$D$71,$D$72,$D$73,$D$74,$D$75,$C$56,$C$57,$C$58,$C$59,$C$60),"")</f>
        <v>-89168.847036604522</v>
      </c>
      <c r="S84" s="255">
        <f ca="1">IF(NOW(),_xll.mirSwapPV($C$51,$C$52,$C$54,$G59,$C$55,$I59,$C$64,$C$65,$C$66,$C$67,$C$68,$C$69,$C$70,$C$74,$C$75,$D$63+S$76,$D$64,$D$65,$D$66,$D$67,$D$68,$D$69,$D$70,$D$71,$D$72,$D$73,$D$74,$D$75,$C$56,$C$57,$C$58,$C$59,$C$60),"")</f>
        <v>1.3877787807814457E-11</v>
      </c>
      <c r="T84" s="255">
        <f ca="1">IF(NOW(),_xll.mirSwapPV($C$51,$C$52,$C$54,$G59,$C$55,$I59,$C$64,$C$65,$C$66,$C$67,$C$68,$C$69,$C$70,$C$74,$C$75,$D$63+T$76,$D$64,$D$65,$D$66,$D$67,$D$68,$D$69,$D$70,$D$71,$D$72,$D$73,$D$74,$D$75,$C$56,$C$57,$C$58,$C$59,$C$60),"")</f>
        <v>89168.847036604609</v>
      </c>
      <c r="U84" s="255">
        <f ca="1">IF(NOW(),_xll.mirSwapPV($C$51,$C$52,$C$54,$G59,$C$55,$I59,$C$64,$C$65,$C$66,$C$67,$C$68,$C$69,$C$70,$C$74,$C$75,$D$63+U$76,$D$64,$D$65,$D$66,$D$67,$D$68,$D$69,$D$70,$D$71,$D$72,$D$73,$D$74,$D$75,$C$56,$C$57,$C$58,$C$59,$C$60),"")</f>
        <v>178337.69407320922</v>
      </c>
      <c r="V84" s="255">
        <f ca="1">IF(NOW(),_xll.mirSwapPV($C$51,$C$52,$C$54,$G59,$C$55,$I59,$C$64,$C$65,$C$66,$C$67,$C$68,$C$69,$C$70,$C$74,$C$75,$D$63+V$76,$D$64,$D$65,$D$66,$D$67,$D$68,$D$69,$D$70,$D$71,$D$72,$D$73,$D$74,$D$75,$C$56,$C$57,$C$58,$C$59,$C$60),"")</f>
        <v>267506.54110981378</v>
      </c>
      <c r="W84" s="255">
        <f ca="1">IF(NOW(),_xll.mirSwapPV($C$51,$C$52,$C$54,$G59,$C$55,$I59,$C$64,$C$65,$C$66,$C$67,$C$68,$C$69,$C$70,$C$74,$C$75,$D$63+W$76,$D$64,$D$65,$D$66,$D$67,$D$68,$D$69,$D$70,$D$71,$D$72,$D$73,$D$74,$D$75,$C$56,$C$57,$C$58,$C$59,$C$60),"")</f>
        <v>356675.38814641844</v>
      </c>
      <c r="X84" s="255">
        <f ca="1">IF(NOW(),_xll.mirSwapPV($C$51,$C$52,$C$54,$G59,$C$55,$I59,$C$64,$C$65,$C$66,$C$67,$C$68,$C$69,$C$70,$C$74,$C$75,$D$63+X$76,$D$64,$D$65,$D$66,$D$67,$D$68,$D$69,$D$70,$D$71,$D$72,$D$73,$D$74,$D$75,$C$56,$C$57,$C$58,$C$59,$C$60),"")</f>
        <v>445844.23518302297</v>
      </c>
      <c r="Y84" s="229"/>
      <c r="AG84" s="230" t="s">
        <v>113</v>
      </c>
      <c r="AH84" s="255">
        <f ca="1">IF(NOW(),_xll.mirSwapPV($C$51,$C$52,$C$54,$AA59,$C$55,$AC59,$C$64,$C$65,$C$66,$C$67,$C$68,$C$69,$C$70,$C$74,$C$75,$D$63+AH$76,$D$64,$D$65,$D$66,$D$67,$D$68,$D$69,$D$70,$D$71,$D$72,$D$73,$D$74,$D$75,$C$56,$C$57,$C$58,$D$59,$C$60),"")</f>
        <v>-445844.23518302286</v>
      </c>
      <c r="AI84" s="255">
        <f ca="1">IF(NOW(),_xll.mirSwapPV($C$51,$C$52,$C$54,$AA59,$C$55,$AC59,$C$64,$C$65,$C$66,$C$67,$C$68,$C$69,$C$70,$C$74,$C$75,$D$63+AI$76,$D$64,$D$65,$D$66,$D$67,$D$68,$D$69,$D$70,$D$71,$D$72,$D$73,$D$74,$D$75,$C$56,$C$57,$C$58,$D$59,$C$60),"")</f>
        <v>-356675.38814641832</v>
      </c>
      <c r="AJ84" s="255">
        <f ca="1">IF(NOW(),_xll.mirSwapPV($C$51,$C$52,$C$54,$AA59,$C$55,$AC59,$C$64,$C$65,$C$66,$C$67,$C$68,$C$69,$C$70,$C$74,$C$75,$D$63+AJ$76,$D$64,$D$65,$D$66,$D$67,$D$68,$D$69,$D$70,$D$71,$D$72,$D$73,$D$74,$D$75,$C$56,$C$57,$C$58,$D$59,$C$60),"")</f>
        <v>-267506.54110981378</v>
      </c>
      <c r="AK84" s="255">
        <f ca="1">IF(NOW(),_xll.mirSwapPV($C$51,$C$52,$C$54,$AA59,$C$55,$AC59,$C$64,$C$65,$C$66,$C$67,$C$68,$C$69,$C$70,$C$74,$C$75,$D$63+AK$76,$D$64,$D$65,$D$66,$D$67,$D$68,$D$69,$D$70,$D$71,$D$72,$D$73,$D$74,$D$75,$C$56,$C$57,$C$58,$D$59,$C$60),"")</f>
        <v>-178337.6940732091</v>
      </c>
      <c r="AL84" s="255">
        <f ca="1">IF(NOW(),_xll.mirSwapPV($C$51,$C$52,$C$54,$AA59,$C$55,$AC59,$C$64,$C$65,$C$66,$C$67,$C$68,$C$69,$C$70,$C$74,$C$75,$D$63+AL$76,$D$64,$D$65,$D$66,$D$67,$D$68,$D$69,$D$70,$D$71,$D$72,$D$73,$D$74,$D$75,$C$56,$C$57,$C$58,$D$59,$C$60),"")</f>
        <v>-89168.847036604537</v>
      </c>
      <c r="AM84" s="255">
        <f ca="1">IF(NOW(),_xll.mirSwapPV($C$51,$C$52,$C$54,$AA59,$C$55,$AC59,$C$64,$C$65,$C$66,$C$67,$C$68,$C$69,$C$70,$C$74,$C$75,$D$63+AM$76,$D$64,$D$65,$D$66,$D$67,$D$68,$D$69,$D$70,$D$71,$D$72,$D$73,$D$74,$D$75,$C$56,$C$57,$C$58,$D$59,$C$60),"")</f>
        <v>0</v>
      </c>
      <c r="AN84" s="255">
        <f ca="1">IF(NOW(),_xll.mirSwapPV($C$51,$C$52,$C$54,$AA59,$C$55,$AC59,$C$64,$C$65,$C$66,$C$67,$C$68,$C$69,$C$70,$C$74,$C$75,$D$63+AN$76,$D$64,$D$65,$D$66,$D$67,$D$68,$D$69,$D$70,$D$71,$D$72,$D$73,$D$74,$D$75,$C$56,$C$57,$C$58,$D$59,$C$60),"")</f>
        <v>89168.847036604624</v>
      </c>
      <c r="AO84" s="255">
        <f ca="1">IF(NOW(),_xll.mirSwapPV($C$51,$C$52,$C$54,$AA59,$C$55,$AC59,$C$64,$C$65,$C$66,$C$67,$C$68,$C$69,$C$70,$C$74,$C$75,$D$63+AO$76,$D$64,$D$65,$D$66,$D$67,$D$68,$D$69,$D$70,$D$71,$D$72,$D$73,$D$74,$D$75,$C$56,$C$57,$C$58,$D$59,$C$60),"")</f>
        <v>178337.69407320922</v>
      </c>
      <c r="AP84" s="255">
        <f ca="1">IF(NOW(),_xll.mirSwapPV($C$51,$C$52,$C$54,$AA59,$C$55,$AC59,$C$64,$C$65,$C$66,$C$67,$C$68,$C$69,$C$70,$C$74,$C$75,$D$63+AP$76,$D$64,$D$65,$D$66,$D$67,$D$68,$D$69,$D$70,$D$71,$D$72,$D$73,$D$74,$D$75,$C$56,$C$57,$C$58,$D$59,$C$60),"")</f>
        <v>267506.54110981378</v>
      </c>
      <c r="AQ84" s="255">
        <f ca="1">IF(NOW(),_xll.mirSwapPV($C$51,$C$52,$C$54,$AA59,$C$55,$AC59,$C$64,$C$65,$C$66,$C$67,$C$68,$C$69,$C$70,$C$74,$C$75,$D$63+AQ$76,$D$64,$D$65,$D$66,$D$67,$D$68,$D$69,$D$70,$D$71,$D$72,$D$73,$D$74,$D$75,$C$56,$C$57,$C$58,$D$59,$C$60),"")</f>
        <v>356675.38814641844</v>
      </c>
      <c r="AR84" s="255">
        <f ca="1">IF(NOW(),_xll.mirSwapPV($C$51,$C$52,$C$54,$AA59,$C$55,$AC59,$C$64,$C$65,$C$66,$C$67,$C$68,$C$69,$C$70,$C$74,$C$75,$D$63+AR$76,$D$64,$D$65,$D$66,$D$67,$D$68,$D$69,$D$70,$D$71,$D$72,$D$73,$D$74,$D$75,$C$56,$C$57,$C$58,$D$59,$C$60),"")</f>
        <v>445844.23518302303</v>
      </c>
    </row>
    <row r="85" spans="6:44">
      <c r="F85" s="230"/>
      <c r="G85" s="227"/>
      <c r="H85" s="229"/>
      <c r="I85" s="229"/>
      <c r="J85" s="229"/>
      <c r="K85" s="230"/>
      <c r="L85" s="230"/>
      <c r="M85" s="230" t="s">
        <v>28</v>
      </c>
      <c r="N85" s="255">
        <f ca="1">IF(NOW(),_xll.mirSwapPV($C$51,$C$52,$C$54,$G60,$C$55,$I60,$C$64,$C$65,$C$66,$C$67,$C$68,$C$69,$C$70,$C$74,$C$75,$D$63+N$76,$D$64,$D$65,$D$66,$D$67,$D$68,$D$69,$D$70,$D$71,$D$72,$D$73,$D$74,$D$75,$C$56,$C$57,$C$58,$C$59,$C$60),"")</f>
        <v>-491641.46924409922</v>
      </c>
      <c r="O85" s="255">
        <f ca="1">IF(NOW(),_xll.mirSwapPV($C$51,$C$52,$C$54,$G60,$C$55,$I60,$C$64,$C$65,$C$66,$C$67,$C$68,$C$69,$C$70,$C$74,$C$75,$D$63+O$76,$D$64,$D$65,$D$66,$D$67,$D$68,$D$69,$D$70,$D$71,$D$72,$D$73,$D$74,$D$75,$C$56,$C$57,$C$58,$C$59,$C$60),"")</f>
        <v>-393313.17539527954</v>
      </c>
      <c r="P85" s="255">
        <f ca="1">IF(NOW(),_xll.mirSwapPV($C$51,$C$52,$C$54,$G60,$C$55,$I60,$C$64,$C$65,$C$66,$C$67,$C$68,$C$69,$C$70,$C$74,$C$75,$D$63+P$76,$D$64,$D$65,$D$66,$D$67,$D$68,$D$69,$D$70,$D$71,$D$72,$D$73,$D$74,$D$75,$C$56,$C$57,$C$58,$C$59,$C$60),"")</f>
        <v>-294984.88154645957</v>
      </c>
      <c r="Q85" s="255">
        <f ca="1">IF(NOW(),_xll.mirSwapPV($C$51,$C$52,$C$54,$G60,$C$55,$I60,$C$64,$C$65,$C$66,$C$67,$C$68,$C$69,$C$70,$C$74,$C$75,$D$63+Q$76,$D$64,$D$65,$D$66,$D$67,$D$68,$D$69,$D$70,$D$71,$D$72,$D$73,$D$74,$D$75,$C$56,$C$57,$C$58,$C$59,$C$60),"")</f>
        <v>-196656.58769763977</v>
      </c>
      <c r="R85" s="255">
        <f ca="1">IF(NOW(),_xll.mirSwapPV($C$51,$C$52,$C$54,$G60,$C$55,$I60,$C$64,$C$65,$C$66,$C$67,$C$68,$C$69,$C$70,$C$74,$C$75,$D$63+R$76,$D$64,$D$65,$D$66,$D$67,$D$68,$D$69,$D$70,$D$71,$D$72,$D$73,$D$74,$D$75,$C$56,$C$57,$C$58,$C$59,$C$60),"")</f>
        <v>-98328.293848819783</v>
      </c>
      <c r="S85" s="255">
        <f ca="1">IF(NOW(),_xll.mirSwapPV($C$51,$C$52,$C$54,$G60,$C$55,$I60,$C$64,$C$65,$C$66,$C$67,$C$68,$C$69,$C$70,$C$74,$C$75,$D$63+S$76,$D$64,$D$65,$D$66,$D$67,$D$68,$D$69,$D$70,$D$71,$D$72,$D$73,$D$74,$D$75,$C$56,$C$57,$C$58,$C$59,$C$60),"")</f>
        <v>0</v>
      </c>
      <c r="T85" s="255">
        <f ca="1">IF(NOW(),_xll.mirSwapPV($C$51,$C$52,$C$54,$G60,$C$55,$I60,$C$64,$C$65,$C$66,$C$67,$C$68,$C$69,$C$70,$C$74,$C$75,$D$63+T$76,$D$64,$D$65,$D$66,$D$67,$D$68,$D$69,$D$70,$D$71,$D$72,$D$73,$D$74,$D$75,$C$56,$C$57,$C$58,$C$59,$C$60),"")</f>
        <v>98328.293848819856</v>
      </c>
      <c r="U85" s="255">
        <f ca="1">IF(NOW(),_xll.mirSwapPV($C$51,$C$52,$C$54,$G60,$C$55,$I60,$C$64,$C$65,$C$66,$C$67,$C$68,$C$69,$C$70,$C$74,$C$75,$D$63+U$76,$D$64,$D$65,$D$66,$D$67,$D$68,$D$69,$D$70,$D$71,$D$72,$D$73,$D$74,$D$75,$C$56,$C$57,$C$58,$C$59,$C$60),"")</f>
        <v>196656.58769763971</v>
      </c>
      <c r="V85" s="255">
        <f ca="1">IF(NOW(),_xll.mirSwapPV($C$51,$C$52,$C$54,$G60,$C$55,$I60,$C$64,$C$65,$C$66,$C$67,$C$68,$C$69,$C$70,$C$74,$C$75,$D$63+V$76,$D$64,$D$65,$D$66,$D$67,$D$68,$D$69,$D$70,$D$71,$D$72,$D$73,$D$74,$D$75,$C$56,$C$57,$C$58,$C$59,$C$60),"")</f>
        <v>294984.88154645963</v>
      </c>
      <c r="W85" s="255">
        <f ca="1">IF(NOW(),_xll.mirSwapPV($C$51,$C$52,$C$54,$G60,$C$55,$I60,$C$64,$C$65,$C$66,$C$67,$C$68,$C$69,$C$70,$C$74,$C$75,$D$63+W$76,$D$64,$D$65,$D$66,$D$67,$D$68,$D$69,$D$70,$D$71,$D$72,$D$73,$D$74,$D$75,$C$56,$C$57,$C$58,$C$59,$C$60),"")</f>
        <v>393313.17539527948</v>
      </c>
      <c r="X85" s="255">
        <f ca="1">IF(NOW(),_xll.mirSwapPV($C$51,$C$52,$C$54,$G60,$C$55,$I60,$C$64,$C$65,$C$66,$C$67,$C$68,$C$69,$C$70,$C$74,$C$75,$D$63+X$76,$D$64,$D$65,$D$66,$D$67,$D$68,$D$69,$D$70,$D$71,$D$72,$D$73,$D$74,$D$75,$C$56,$C$57,$C$58,$C$59,$C$60),"")</f>
        <v>491641.46924409934</v>
      </c>
      <c r="Y85" s="229"/>
      <c r="AG85" s="230" t="s">
        <v>28</v>
      </c>
      <c r="AH85" s="255">
        <f ca="1">IF(NOW(),_xll.mirSwapPV($C$51,$C$52,$C$54,$AA60,$C$55,$AC60,$C$64,$C$65,$C$66,$C$67,$C$68,$C$69,$C$70,$C$74,$C$75,$D$63+AH$76,$D$64,$D$65,$D$66,$D$67,$D$68,$D$69,$D$70,$D$71,$D$72,$D$73,$D$74,$D$75,$C$56,$C$57,$C$58,$D$59,$C$60),"")</f>
        <v>-491641.46924409911</v>
      </c>
      <c r="AI85" s="255">
        <f ca="1">IF(NOW(),_xll.mirSwapPV($C$51,$C$52,$C$54,$AA60,$C$55,$AC60,$C$64,$C$65,$C$66,$C$67,$C$68,$C$69,$C$70,$C$74,$C$75,$D$63+AI$76,$D$64,$D$65,$D$66,$D$67,$D$68,$D$69,$D$70,$D$71,$D$72,$D$73,$D$74,$D$75,$C$56,$C$57,$C$58,$D$59,$C$60),"")</f>
        <v>-393313.17539527931</v>
      </c>
      <c r="AJ85" s="255">
        <f ca="1">IF(NOW(),_xll.mirSwapPV($C$51,$C$52,$C$54,$AA60,$C$55,$AC60,$C$64,$C$65,$C$66,$C$67,$C$68,$C$69,$C$70,$C$74,$C$75,$D$63+AJ$76,$D$64,$D$65,$D$66,$D$67,$D$68,$D$69,$D$70,$D$71,$D$72,$D$73,$D$74,$D$75,$C$56,$C$57,$C$58,$D$59,$C$60),"")</f>
        <v>-294984.88154645963</v>
      </c>
      <c r="AK85" s="255">
        <f ca="1">IF(NOW(),_xll.mirSwapPV($C$51,$C$52,$C$54,$AA60,$C$55,$AC60,$C$64,$C$65,$C$66,$C$67,$C$68,$C$69,$C$70,$C$74,$C$75,$D$63+AK$76,$D$64,$D$65,$D$66,$D$67,$D$68,$D$69,$D$70,$D$71,$D$72,$D$73,$D$74,$D$75,$C$56,$C$57,$C$58,$D$59,$C$60),"")</f>
        <v>-196656.58769763962</v>
      </c>
      <c r="AL85" s="255">
        <f ca="1">IF(NOW(),_xll.mirSwapPV($C$51,$C$52,$C$54,$AA60,$C$55,$AC60,$C$64,$C$65,$C$66,$C$67,$C$68,$C$69,$C$70,$C$74,$C$75,$D$63+AL$76,$D$64,$D$65,$D$66,$D$67,$D$68,$D$69,$D$70,$D$71,$D$72,$D$73,$D$74,$D$75,$C$56,$C$57,$C$58,$D$59,$C$60),"")</f>
        <v>-98328.293848819769</v>
      </c>
      <c r="AM85" s="255">
        <f ca="1">IF(NOW(),_xll.mirSwapPV($C$51,$C$52,$C$54,$AA60,$C$55,$AC60,$C$64,$C$65,$C$66,$C$67,$C$68,$C$69,$C$70,$C$74,$C$75,$D$63+AM$76,$D$64,$D$65,$D$66,$D$67,$D$68,$D$69,$D$70,$D$71,$D$72,$D$73,$D$74,$D$75,$C$56,$C$57,$C$58,$D$59,$C$60),"")</f>
        <v>1.3877787807814457E-11</v>
      </c>
      <c r="AN85" s="255">
        <f ca="1">IF(NOW(),_xll.mirSwapPV($C$51,$C$52,$C$54,$AA60,$C$55,$AC60,$C$64,$C$65,$C$66,$C$67,$C$68,$C$69,$C$70,$C$74,$C$75,$D$63+AN$76,$D$64,$D$65,$D$66,$D$67,$D$68,$D$69,$D$70,$D$71,$D$72,$D$73,$D$74,$D$75,$C$56,$C$57,$C$58,$D$59,$C$60),"")</f>
        <v>98328.293848819914</v>
      </c>
      <c r="AO85" s="255">
        <f ca="1">IF(NOW(),_xll.mirSwapPV($C$51,$C$52,$C$54,$AA60,$C$55,$AC60,$C$64,$C$65,$C$66,$C$67,$C$68,$C$69,$C$70,$C$74,$C$75,$D$63+AO$76,$D$64,$D$65,$D$66,$D$67,$D$68,$D$69,$D$70,$D$71,$D$72,$D$73,$D$74,$D$75,$C$56,$C$57,$C$58,$D$59,$C$60),"")</f>
        <v>196656.58769763977</v>
      </c>
      <c r="AP85" s="255">
        <f ca="1">IF(NOW(),_xll.mirSwapPV($C$51,$C$52,$C$54,$AA60,$C$55,$AC60,$C$64,$C$65,$C$66,$C$67,$C$68,$C$69,$C$70,$C$74,$C$75,$D$63+AP$76,$D$64,$D$65,$D$66,$D$67,$D$68,$D$69,$D$70,$D$71,$D$72,$D$73,$D$74,$D$75,$C$56,$C$57,$C$58,$D$59,$C$60),"")</f>
        <v>294984.88154645963</v>
      </c>
      <c r="AQ85" s="255">
        <f ca="1">IF(NOW(),_xll.mirSwapPV($C$51,$C$52,$C$54,$AA60,$C$55,$AC60,$C$64,$C$65,$C$66,$C$67,$C$68,$C$69,$C$70,$C$74,$C$75,$D$63+AQ$76,$D$64,$D$65,$D$66,$D$67,$D$68,$D$69,$D$70,$D$71,$D$72,$D$73,$D$74,$D$75,$C$56,$C$57,$C$58,$D$59,$C$60),"")</f>
        <v>393313.17539527954</v>
      </c>
      <c r="AR85" s="255">
        <f ca="1">IF(NOW(),_xll.mirSwapPV($C$51,$C$52,$C$54,$AA60,$C$55,$AC60,$C$64,$C$65,$C$66,$C$67,$C$68,$C$69,$C$70,$C$74,$C$75,$D$63+AR$76,$D$64,$D$65,$D$66,$D$67,$D$68,$D$69,$D$70,$D$71,$D$72,$D$73,$D$74,$D$75,$C$56,$C$57,$C$58,$D$59,$C$60),"")</f>
        <v>491641.46924409934</v>
      </c>
    </row>
    <row r="86" spans="6:44">
      <c r="F86" s="230"/>
      <c r="G86" s="227"/>
      <c r="H86" s="229"/>
      <c r="I86" s="229"/>
      <c r="J86" s="229"/>
      <c r="K86" s="230"/>
      <c r="L86" s="230"/>
      <c r="M86" s="230" t="s">
        <v>366</v>
      </c>
      <c r="N86" s="255">
        <f ca="1">IF(NOW(),_xll.mirSwapPV($C$51,$C$52,$C$54,$G61,$C$55,$I61,$C$64,$C$65,$C$66,$C$67,$C$68,$C$69,$C$70,$C$74,$C$75,$D$63+N$76,$D$64,$D$65,$D$66,$D$67,$D$68,$D$69,$D$70,$D$71,$D$72,$D$73,$D$74,$D$75,$C$56,$C$57,$C$58,$C$59,$C$60),"")</f>
        <v>-536403.6230546463</v>
      </c>
      <c r="O86" s="255">
        <f ca="1">IF(NOW(),_xll.mirSwapPV($C$51,$C$52,$C$54,$G61,$C$55,$I61,$C$64,$C$65,$C$66,$C$67,$C$68,$C$69,$C$70,$C$74,$C$75,$D$63+O$76,$D$64,$D$65,$D$66,$D$67,$D$68,$D$69,$D$70,$D$71,$D$72,$D$73,$D$74,$D$75,$C$56,$C$57,$C$58,$C$59,$C$60),"")</f>
        <v>-429122.89844371722</v>
      </c>
      <c r="P86" s="255">
        <f ca="1">IF(NOW(),_xll.mirSwapPV($C$51,$C$52,$C$54,$G61,$C$55,$I61,$C$64,$C$65,$C$66,$C$67,$C$68,$C$69,$C$70,$C$74,$C$75,$D$63+P$76,$D$64,$D$65,$D$66,$D$67,$D$68,$D$69,$D$70,$D$71,$D$72,$D$73,$D$74,$D$75,$C$56,$C$57,$C$58,$C$59,$C$60),"")</f>
        <v>-321842.17383278778</v>
      </c>
      <c r="Q86" s="255">
        <f ca="1">IF(NOW(),_xll.mirSwapPV($C$51,$C$52,$C$54,$G61,$C$55,$I61,$C$64,$C$65,$C$66,$C$67,$C$68,$C$69,$C$70,$C$74,$C$75,$D$63+Q$76,$D$64,$D$65,$D$66,$D$67,$D$68,$D$69,$D$70,$D$71,$D$72,$D$73,$D$74,$D$75,$C$56,$C$57,$C$58,$C$59,$C$60),"")</f>
        <v>-214561.44922185864</v>
      </c>
      <c r="R86" s="255">
        <f ca="1">IF(NOW(),_xll.mirSwapPV($C$51,$C$52,$C$54,$G61,$C$55,$I61,$C$64,$C$65,$C$66,$C$67,$C$68,$C$69,$C$70,$C$74,$C$75,$D$63+R$76,$D$64,$D$65,$D$66,$D$67,$D$68,$D$69,$D$70,$D$71,$D$72,$D$73,$D$74,$D$75,$C$56,$C$57,$C$58,$C$59,$C$60),"")</f>
        <v>-107280.72461092922</v>
      </c>
      <c r="S86" s="255">
        <f ca="1">IF(NOW(),_xll.mirSwapPV($C$51,$C$52,$C$54,$G61,$C$55,$I61,$C$64,$C$65,$C$66,$C$67,$C$68,$C$69,$C$70,$C$74,$C$75,$D$63+S$76,$D$64,$D$65,$D$66,$D$67,$D$68,$D$69,$D$70,$D$71,$D$72,$D$73,$D$74,$D$75,$C$56,$C$57,$C$58,$C$59,$C$60),"")</f>
        <v>0</v>
      </c>
      <c r="T86" s="255">
        <f ca="1">IF(NOW(),_xll.mirSwapPV($C$51,$C$52,$C$54,$G61,$C$55,$I61,$C$64,$C$65,$C$66,$C$67,$C$68,$C$69,$C$70,$C$74,$C$75,$D$63+T$76,$D$64,$D$65,$D$66,$D$67,$D$68,$D$69,$D$70,$D$71,$D$72,$D$73,$D$74,$D$75,$C$56,$C$57,$C$58,$C$59,$C$60),"")</f>
        <v>107280.72461092929</v>
      </c>
      <c r="U86" s="255">
        <f ca="1">IF(NOW(),_xll.mirSwapPV($C$51,$C$52,$C$54,$G61,$C$55,$I61,$C$64,$C$65,$C$66,$C$67,$C$68,$C$69,$C$70,$C$74,$C$75,$D$63+U$76,$D$64,$D$65,$D$66,$D$67,$D$68,$D$69,$D$70,$D$71,$D$72,$D$73,$D$74,$D$75,$C$56,$C$57,$C$58,$C$59,$C$60),"")</f>
        <v>214561.44922185855</v>
      </c>
      <c r="V86" s="255">
        <f ca="1">IF(NOW(),_xll.mirSwapPV($C$51,$C$52,$C$54,$G61,$C$55,$I61,$C$64,$C$65,$C$66,$C$67,$C$68,$C$69,$C$70,$C$74,$C$75,$D$63+V$76,$D$64,$D$65,$D$66,$D$67,$D$68,$D$69,$D$70,$D$71,$D$72,$D$73,$D$74,$D$75,$C$56,$C$57,$C$58,$C$59,$C$60),"")</f>
        <v>321842.17383278784</v>
      </c>
      <c r="W86" s="255">
        <f ca="1">IF(NOW(),_xll.mirSwapPV($C$51,$C$52,$C$54,$G61,$C$55,$I61,$C$64,$C$65,$C$66,$C$67,$C$68,$C$69,$C$70,$C$74,$C$75,$D$63+W$76,$D$64,$D$65,$D$66,$D$67,$D$68,$D$69,$D$70,$D$71,$D$72,$D$73,$D$74,$D$75,$C$56,$C$57,$C$58,$C$59,$C$60),"")</f>
        <v>429122.8984437171</v>
      </c>
      <c r="X86" s="255">
        <f ca="1">IF(NOW(),_xll.mirSwapPV($C$51,$C$52,$C$54,$G61,$C$55,$I61,$C$64,$C$65,$C$66,$C$67,$C$68,$C$69,$C$70,$C$74,$C$75,$D$63+X$76,$D$64,$D$65,$D$66,$D$67,$D$68,$D$69,$D$70,$D$71,$D$72,$D$73,$D$74,$D$75,$C$56,$C$57,$C$58,$C$59,$C$60),"")</f>
        <v>536403.62305464642</v>
      </c>
      <c r="Y86" s="229"/>
      <c r="AG86" s="230" t="s">
        <v>366</v>
      </c>
      <c r="AH86" s="255">
        <f ca="1">IF(NOW(),_xll.mirSwapPV($C$51,$C$52,$C$54,$AA61,$C$55,$AC61,$C$64,$C$65,$C$66,$C$67,$C$68,$C$69,$C$70,$C$74,$C$75,$D$63+AH$76,$D$64,$D$65,$D$66,$D$67,$D$68,$D$69,$D$70,$D$71,$D$72,$D$73,$D$74,$D$75,$C$56,$C$57,$C$58,$D$59,$C$60),"")</f>
        <v>-536403.62305464619</v>
      </c>
      <c r="AI86" s="255">
        <f ca="1">IF(NOW(),_xll.mirSwapPV($C$51,$C$52,$C$54,$AA61,$C$55,$AC61,$C$64,$C$65,$C$66,$C$67,$C$68,$C$69,$C$70,$C$74,$C$75,$D$63+AI$76,$D$64,$D$65,$D$66,$D$67,$D$68,$D$69,$D$70,$D$71,$D$72,$D$73,$D$74,$D$75,$C$56,$C$57,$C$58,$D$59,$C$60),"")</f>
        <v>-429122.89844371699</v>
      </c>
      <c r="AJ86" s="255">
        <f ca="1">IF(NOW(),_xll.mirSwapPV($C$51,$C$52,$C$54,$AA61,$C$55,$AC61,$C$64,$C$65,$C$66,$C$67,$C$68,$C$69,$C$70,$C$74,$C$75,$D$63+AJ$76,$D$64,$D$65,$D$66,$D$67,$D$68,$D$69,$D$70,$D$71,$D$72,$D$73,$D$74,$D$75,$C$56,$C$57,$C$58,$D$59,$C$60),"")</f>
        <v>-321842.17383278784</v>
      </c>
      <c r="AK86" s="255">
        <f ca="1">IF(NOW(),_xll.mirSwapPV($C$51,$C$52,$C$54,$AA61,$C$55,$AC61,$C$64,$C$65,$C$66,$C$67,$C$68,$C$69,$C$70,$C$74,$C$75,$D$63+AK$76,$D$64,$D$65,$D$66,$D$67,$D$68,$D$69,$D$70,$D$71,$D$72,$D$73,$D$74,$D$75,$C$56,$C$57,$C$58,$D$59,$C$60),"")</f>
        <v>-214561.44922185849</v>
      </c>
      <c r="AL86" s="255">
        <f ca="1">IF(NOW(),_xll.mirSwapPV($C$51,$C$52,$C$54,$AA61,$C$55,$AC61,$C$64,$C$65,$C$66,$C$67,$C$68,$C$69,$C$70,$C$74,$C$75,$D$63+AL$76,$D$64,$D$65,$D$66,$D$67,$D$68,$D$69,$D$70,$D$71,$D$72,$D$73,$D$74,$D$75,$C$56,$C$57,$C$58,$D$59,$C$60),"")</f>
        <v>-107280.72461092919</v>
      </c>
      <c r="AM86" s="255">
        <f ca="1">IF(NOW(),_xll.mirSwapPV($C$51,$C$52,$C$54,$AA61,$C$55,$AC61,$C$64,$C$65,$C$66,$C$67,$C$68,$C$69,$C$70,$C$74,$C$75,$D$63+AM$76,$D$64,$D$65,$D$66,$D$67,$D$68,$D$69,$D$70,$D$71,$D$72,$D$73,$D$74,$D$75,$C$56,$C$57,$C$58,$D$59,$C$60),"")</f>
        <v>0</v>
      </c>
      <c r="AN86" s="255">
        <f ca="1">IF(NOW(),_xll.mirSwapPV($C$51,$C$52,$C$54,$AA61,$C$55,$AC61,$C$64,$C$65,$C$66,$C$67,$C$68,$C$69,$C$70,$C$74,$C$75,$D$63+AN$76,$D$64,$D$65,$D$66,$D$67,$D$68,$D$69,$D$70,$D$71,$D$72,$D$73,$D$74,$D$75,$C$56,$C$57,$C$58,$D$59,$C$60),"")</f>
        <v>107280.72461092933</v>
      </c>
      <c r="AO86" s="255">
        <f ca="1">IF(NOW(),_xll.mirSwapPV($C$51,$C$52,$C$54,$AA61,$C$55,$AC61,$C$64,$C$65,$C$66,$C$67,$C$68,$C$69,$C$70,$C$74,$C$75,$D$63+AO$76,$D$64,$D$65,$D$66,$D$67,$D$68,$D$69,$D$70,$D$71,$D$72,$D$73,$D$74,$D$75,$C$56,$C$57,$C$58,$D$59,$C$60),"")</f>
        <v>214561.44922185861</v>
      </c>
      <c r="AP86" s="255">
        <f ca="1">IF(NOW(),_xll.mirSwapPV($C$51,$C$52,$C$54,$AA61,$C$55,$AC61,$C$64,$C$65,$C$66,$C$67,$C$68,$C$69,$C$70,$C$74,$C$75,$D$63+AP$76,$D$64,$D$65,$D$66,$D$67,$D$68,$D$69,$D$70,$D$71,$D$72,$D$73,$D$74,$D$75,$C$56,$C$57,$C$58,$D$59,$C$60),"")</f>
        <v>321842.1738327879</v>
      </c>
      <c r="AQ86" s="255">
        <f ca="1">IF(NOW(),_xll.mirSwapPV($C$51,$C$52,$C$54,$AA61,$C$55,$AC61,$C$64,$C$65,$C$66,$C$67,$C$68,$C$69,$C$70,$C$74,$C$75,$D$63+AQ$76,$D$64,$D$65,$D$66,$D$67,$D$68,$D$69,$D$70,$D$71,$D$72,$D$73,$D$74,$D$75,$C$56,$C$57,$C$58,$D$59,$C$60),"")</f>
        <v>429122.89844371722</v>
      </c>
      <c r="AR86" s="255">
        <f ca="1">IF(NOW(),_xll.mirSwapPV($C$51,$C$52,$C$54,$AA61,$C$55,$AC61,$C$64,$C$65,$C$66,$C$67,$C$68,$C$69,$C$70,$C$74,$C$75,$D$63+AR$76,$D$64,$D$65,$D$66,$D$67,$D$68,$D$69,$D$70,$D$71,$D$72,$D$73,$D$74,$D$75,$C$56,$C$57,$C$58,$D$59,$C$60),"")</f>
        <v>536403.62305464654</v>
      </c>
    </row>
    <row r="87" spans="6:44">
      <c r="F87" s="230"/>
      <c r="G87" s="227"/>
      <c r="H87" s="229"/>
      <c r="I87" s="229"/>
      <c r="J87" s="229"/>
      <c r="K87" s="230"/>
      <c r="L87" s="230"/>
      <c r="M87" s="230" t="s">
        <v>26</v>
      </c>
      <c r="N87" s="255">
        <f ca="1">IF(NOW(),_xll.mirSwapPV($C$51,$C$52,$C$54,$G62,$C$55,$I62,$C$64,$C$65,$C$66,$C$67,$C$68,$C$69,$C$70,$C$74,$C$75,$D$63+N$76,$D$64,$D$65,$D$66,$D$67,$D$68,$D$69,$D$70,$D$71,$D$72,$D$73,$D$74,$D$75,$C$56,$C$57,$C$58,$C$59,$C$60),"")</f>
        <v>-580132.46295708523</v>
      </c>
      <c r="O87" s="255">
        <f ca="1">IF(NOW(),_xll.mirSwapPV($C$51,$C$52,$C$54,$G62,$C$55,$I62,$C$64,$C$65,$C$66,$C$67,$C$68,$C$69,$C$70,$C$74,$C$75,$D$63+O$76,$D$64,$D$65,$D$66,$D$67,$D$68,$D$69,$D$70,$D$71,$D$72,$D$73,$D$74,$D$75,$C$56,$C$57,$C$58,$C$59,$C$60),"")</f>
        <v>-464105.97036566836</v>
      </c>
      <c r="P87" s="255">
        <f ca="1">IF(NOW(),_xll.mirSwapPV($C$51,$C$52,$C$54,$G62,$C$55,$I62,$C$64,$C$65,$C$66,$C$67,$C$68,$C$69,$C$70,$C$74,$C$75,$D$63+P$76,$D$64,$D$65,$D$66,$D$67,$D$68,$D$69,$D$70,$D$71,$D$72,$D$73,$D$74,$D$75,$C$56,$C$57,$C$58,$C$59,$C$60),"")</f>
        <v>-348079.47777425119</v>
      </c>
      <c r="Q87" s="255">
        <f ca="1">IF(NOW(),_xll.mirSwapPV($C$51,$C$52,$C$54,$G62,$C$55,$I62,$C$64,$C$65,$C$66,$C$67,$C$68,$C$69,$C$70,$C$74,$C$75,$D$63+Q$76,$D$64,$D$65,$D$66,$D$67,$D$68,$D$69,$D$70,$D$71,$D$72,$D$73,$D$74,$D$75,$C$56,$C$57,$C$58,$C$59,$C$60),"")</f>
        <v>-232052.98518283424</v>
      </c>
      <c r="R87" s="255">
        <f ca="1">IF(NOW(),_xll.mirSwapPV($C$51,$C$52,$C$54,$G62,$C$55,$I62,$C$64,$C$65,$C$66,$C$67,$C$68,$C$69,$C$70,$C$74,$C$75,$D$63+R$76,$D$64,$D$65,$D$66,$D$67,$D$68,$D$69,$D$70,$D$71,$D$72,$D$73,$D$74,$D$75,$C$56,$C$57,$C$58,$C$59,$C$60),"")</f>
        <v>-116026.49259141706</v>
      </c>
      <c r="S87" s="255">
        <f ca="1">IF(NOW(),_xll.mirSwapPV($C$51,$C$52,$C$54,$G62,$C$55,$I62,$C$64,$C$65,$C$66,$C$67,$C$68,$C$69,$C$70,$C$74,$C$75,$D$63+S$76,$D$64,$D$65,$D$66,$D$67,$D$68,$D$69,$D$70,$D$71,$D$72,$D$73,$D$74,$D$75,$C$56,$C$57,$C$58,$C$59,$C$60),"")</f>
        <v>0</v>
      </c>
      <c r="T87" s="255">
        <f ca="1">IF(NOW(),_xll.mirSwapPV($C$51,$C$52,$C$54,$G62,$C$55,$I62,$C$64,$C$65,$C$66,$C$67,$C$68,$C$69,$C$70,$C$74,$C$75,$D$63+T$76,$D$64,$D$65,$D$66,$D$67,$D$68,$D$69,$D$70,$D$71,$D$72,$D$73,$D$74,$D$75,$C$56,$C$57,$C$58,$C$59,$C$60),"")</f>
        <v>116026.49259141709</v>
      </c>
      <c r="U87" s="255">
        <f ca="1">IF(NOW(),_xll.mirSwapPV($C$51,$C$52,$C$54,$G62,$C$55,$I62,$C$64,$C$65,$C$66,$C$67,$C$68,$C$69,$C$70,$C$74,$C$75,$D$63+U$76,$D$64,$D$65,$D$66,$D$67,$D$68,$D$69,$D$70,$D$71,$D$72,$D$73,$D$74,$D$75,$C$56,$C$57,$C$58,$C$59,$C$60),"")</f>
        <v>232052.98518283418</v>
      </c>
      <c r="V87" s="255">
        <f ca="1">IF(NOW(),_xll.mirSwapPV($C$51,$C$52,$C$54,$G62,$C$55,$I62,$C$64,$C$65,$C$66,$C$67,$C$68,$C$69,$C$70,$C$74,$C$75,$D$63+V$76,$D$64,$D$65,$D$66,$D$67,$D$68,$D$69,$D$70,$D$71,$D$72,$D$73,$D$74,$D$75,$C$56,$C$57,$C$58,$C$59,$C$60),"")</f>
        <v>348079.47777425125</v>
      </c>
      <c r="W87" s="255">
        <f ca="1">IF(NOW(),_xll.mirSwapPV($C$51,$C$52,$C$54,$G62,$C$55,$I62,$C$64,$C$65,$C$66,$C$67,$C$68,$C$69,$C$70,$C$74,$C$75,$D$63+W$76,$D$64,$D$65,$D$66,$D$67,$D$68,$D$69,$D$70,$D$71,$D$72,$D$73,$D$74,$D$75,$C$56,$C$57,$C$58,$C$59,$C$60),"")</f>
        <v>464105.9703656683</v>
      </c>
      <c r="X87" s="255">
        <f ca="1">IF(NOW(),_xll.mirSwapPV($C$51,$C$52,$C$54,$G62,$C$55,$I62,$C$64,$C$65,$C$66,$C$67,$C$68,$C$69,$C$70,$C$74,$C$75,$D$63+X$76,$D$64,$D$65,$D$66,$D$67,$D$68,$D$69,$D$70,$D$71,$D$72,$D$73,$D$74,$D$75,$C$56,$C$57,$C$58,$C$59,$C$60),"")</f>
        <v>580132.46295708546</v>
      </c>
      <c r="Y87" s="229"/>
      <c r="AG87" s="230" t="s">
        <v>26</v>
      </c>
      <c r="AH87" s="255">
        <f ca="1">IF(NOW(),_xll.mirSwapPV($C$51,$C$52,$C$54,$AA62,$C$55,$AC62,$C$64,$C$65,$C$66,$C$67,$C$68,$C$69,$C$70,$C$74,$C$75,$D$63+AH$76,$D$64,$D$65,$D$66,$D$67,$D$68,$D$69,$D$70,$D$71,$D$72,$D$73,$D$74,$D$75,$C$56,$C$57,$C$58,$D$59,$C$60),"")</f>
        <v>-580132.46295708523</v>
      </c>
      <c r="AI87" s="255">
        <f ca="1">IF(NOW(),_xll.mirSwapPV($C$51,$C$52,$C$54,$AA62,$C$55,$AC62,$C$64,$C$65,$C$66,$C$67,$C$68,$C$69,$C$70,$C$74,$C$75,$D$63+AI$76,$D$64,$D$65,$D$66,$D$67,$D$68,$D$69,$D$70,$D$71,$D$72,$D$73,$D$74,$D$75,$C$56,$C$57,$C$58,$D$59,$C$60),"")</f>
        <v>-464105.97036566824</v>
      </c>
      <c r="AJ87" s="255">
        <f ca="1">IF(NOW(),_xll.mirSwapPV($C$51,$C$52,$C$54,$AA62,$C$55,$AC62,$C$64,$C$65,$C$66,$C$67,$C$68,$C$69,$C$70,$C$74,$C$75,$D$63+AJ$76,$D$64,$D$65,$D$66,$D$67,$D$68,$D$69,$D$70,$D$71,$D$72,$D$73,$D$74,$D$75,$C$56,$C$57,$C$58,$D$59,$C$60),"")</f>
        <v>-348079.47777425131</v>
      </c>
      <c r="AK87" s="255">
        <f ca="1">IF(NOW(),_xll.mirSwapPV($C$51,$C$52,$C$54,$AA62,$C$55,$AC62,$C$64,$C$65,$C$66,$C$67,$C$68,$C$69,$C$70,$C$74,$C$75,$D$63+AK$76,$D$64,$D$65,$D$66,$D$67,$D$68,$D$69,$D$70,$D$71,$D$72,$D$73,$D$74,$D$75,$C$56,$C$57,$C$58,$D$59,$C$60),"")</f>
        <v>-232052.98518283406</v>
      </c>
      <c r="AL87" s="255">
        <f ca="1">IF(NOW(),_xll.mirSwapPV($C$51,$C$52,$C$54,$AA62,$C$55,$AC62,$C$64,$C$65,$C$66,$C$67,$C$68,$C$69,$C$70,$C$74,$C$75,$D$63+AL$76,$D$64,$D$65,$D$66,$D$67,$D$68,$D$69,$D$70,$D$71,$D$72,$D$73,$D$74,$D$75,$C$56,$C$57,$C$58,$D$59,$C$60),"")</f>
        <v>-116026.49259141696</v>
      </c>
      <c r="AM87" s="255">
        <f ca="1">IF(NOW(),_xll.mirSwapPV($C$51,$C$52,$C$54,$AA62,$C$55,$AC62,$C$64,$C$65,$C$66,$C$67,$C$68,$C$69,$C$70,$C$74,$C$75,$D$63+AM$76,$D$64,$D$65,$D$66,$D$67,$D$68,$D$69,$D$70,$D$71,$D$72,$D$73,$D$74,$D$75,$C$56,$C$57,$C$58,$D$59,$C$60),"")</f>
        <v>0</v>
      </c>
      <c r="AN87" s="255">
        <f ca="1">IF(NOW(),_xll.mirSwapPV($C$51,$C$52,$C$54,$AA62,$C$55,$AC62,$C$64,$C$65,$C$66,$C$67,$C$68,$C$69,$C$70,$C$74,$C$75,$D$63+AN$76,$D$64,$D$65,$D$66,$D$67,$D$68,$D$69,$D$70,$D$71,$D$72,$D$73,$D$74,$D$75,$C$56,$C$57,$C$58,$D$59,$C$60),"")</f>
        <v>116026.49259141715</v>
      </c>
      <c r="AO87" s="255">
        <f ca="1">IF(NOW(),_xll.mirSwapPV($C$51,$C$52,$C$54,$AA62,$C$55,$AC62,$C$64,$C$65,$C$66,$C$67,$C$68,$C$69,$C$70,$C$74,$C$75,$D$63+AO$76,$D$64,$D$65,$D$66,$D$67,$D$68,$D$69,$D$70,$D$71,$D$72,$D$73,$D$74,$D$75,$C$56,$C$57,$C$58,$D$59,$C$60),"")</f>
        <v>232052.98518283424</v>
      </c>
      <c r="AP87" s="255">
        <f ca="1">IF(NOW(),_xll.mirSwapPV($C$51,$C$52,$C$54,$AA62,$C$55,$AC62,$C$64,$C$65,$C$66,$C$67,$C$68,$C$69,$C$70,$C$74,$C$75,$D$63+AP$76,$D$64,$D$65,$D$66,$D$67,$D$68,$D$69,$D$70,$D$71,$D$72,$D$73,$D$74,$D$75,$C$56,$C$57,$C$58,$D$59,$C$60),"")</f>
        <v>348079.47777425137</v>
      </c>
      <c r="AQ87" s="255">
        <f ca="1">IF(NOW(),_xll.mirSwapPV($C$51,$C$52,$C$54,$AA62,$C$55,$AC62,$C$64,$C$65,$C$66,$C$67,$C$68,$C$69,$C$70,$C$74,$C$75,$D$63+AQ$76,$D$64,$D$65,$D$66,$D$67,$D$68,$D$69,$D$70,$D$71,$D$72,$D$73,$D$74,$D$75,$C$56,$C$57,$C$58,$D$59,$C$60),"")</f>
        <v>464105.97036566841</v>
      </c>
      <c r="AR87" s="255">
        <f ca="1">IF(NOW(),_xll.mirSwapPV($C$51,$C$52,$C$54,$AA62,$C$55,$AC62,$C$64,$C$65,$C$66,$C$67,$C$68,$C$69,$C$70,$C$74,$C$75,$D$63+AR$76,$D$64,$D$65,$D$66,$D$67,$D$68,$D$69,$D$70,$D$71,$D$72,$D$73,$D$74,$D$75,$C$56,$C$57,$C$58,$D$59,$C$60),"")</f>
        <v>580132.46295708546</v>
      </c>
    </row>
    <row r="88" spans="6:44">
      <c r="F88" s="230"/>
      <c r="G88" s="227"/>
      <c r="H88" s="229"/>
      <c r="I88" s="229"/>
      <c r="J88" s="229"/>
      <c r="K88" s="230"/>
      <c r="L88" s="230"/>
      <c r="M88" s="230" t="s">
        <v>24</v>
      </c>
      <c r="N88" s="255">
        <f ca="1">IF(NOW(),_xll.mirSwapPV($C$51,$C$52,$C$54,$G63,$C$55,$I63,$C$64,$C$65,$C$66,$C$67,$C$68,$C$69,$C$70,$C$74,$C$75,$D$63+N$76,$D$64,$D$65,$D$66,$D$67,$D$68,$D$69,$D$70,$D$71,$D$72,$D$73,$D$74,$D$75,$C$56,$C$57,$C$58,$C$59,$C$60),"")</f>
        <v>-705375.04990592063</v>
      </c>
      <c r="O88" s="255">
        <f ca="1">IF(NOW(),_xll.mirSwapPV($C$51,$C$52,$C$54,$G63,$C$55,$I63,$C$64,$C$65,$C$66,$C$67,$C$68,$C$69,$C$70,$C$74,$C$75,$D$63+O$76,$D$64,$D$65,$D$66,$D$67,$D$68,$D$69,$D$70,$D$71,$D$72,$D$73,$D$74,$D$75,$C$56,$C$57,$C$58,$C$59,$C$60),"")</f>
        <v>-564300.03992473683</v>
      </c>
      <c r="P88" s="255">
        <f ca="1">IF(NOW(),_xll.mirSwapPV($C$51,$C$52,$C$54,$G63,$C$55,$I63,$C$64,$C$65,$C$66,$C$67,$C$68,$C$69,$C$70,$C$74,$C$75,$D$63+P$76,$D$64,$D$65,$D$66,$D$67,$D$68,$D$69,$D$70,$D$71,$D$72,$D$73,$D$74,$D$75,$C$56,$C$57,$C$58,$C$59,$C$60),"")</f>
        <v>-423225.02994355239</v>
      </c>
      <c r="Q88" s="255">
        <f ca="1">IF(NOW(),_xll.mirSwapPV($C$51,$C$52,$C$54,$G63,$C$55,$I63,$C$64,$C$65,$C$66,$C$67,$C$68,$C$69,$C$70,$C$74,$C$75,$D$63+Q$76,$D$64,$D$65,$D$66,$D$67,$D$68,$D$69,$D$70,$D$71,$D$72,$D$73,$D$74,$D$75,$C$56,$C$57,$C$58,$C$59,$C$60),"")</f>
        <v>-282150.01996236842</v>
      </c>
      <c r="R88" s="255">
        <f ca="1">IF(NOW(),_xll.mirSwapPV($C$51,$C$52,$C$54,$G63,$C$55,$I63,$C$64,$C$65,$C$66,$C$67,$C$68,$C$69,$C$70,$C$74,$C$75,$D$63+R$76,$D$64,$D$65,$D$66,$D$67,$D$68,$D$69,$D$70,$D$71,$D$72,$D$73,$D$74,$D$75,$C$56,$C$57,$C$58,$C$59,$C$60),"")</f>
        <v>-141075.00998118412</v>
      </c>
      <c r="S88" s="255">
        <f ca="1">IF(NOW(),_xll.mirSwapPV($C$51,$C$52,$C$54,$G63,$C$55,$I63,$C$64,$C$65,$C$66,$C$67,$C$68,$C$69,$C$70,$C$74,$C$75,$D$63+S$76,$D$64,$D$65,$D$66,$D$67,$D$68,$D$69,$D$70,$D$71,$D$72,$D$73,$D$74,$D$75,$C$56,$C$57,$C$58,$C$59,$C$60),"")</f>
        <v>0</v>
      </c>
      <c r="T88" s="255">
        <f ca="1">IF(NOW(),_xll.mirSwapPV($C$51,$C$52,$C$54,$G63,$C$55,$I63,$C$64,$C$65,$C$66,$C$67,$C$68,$C$69,$C$70,$C$74,$C$75,$D$63+T$76,$D$64,$D$65,$D$66,$D$67,$D$68,$D$69,$D$70,$D$71,$D$72,$D$73,$D$74,$D$75,$C$56,$C$57,$C$58,$C$59,$C$60),"")</f>
        <v>141075.00998118421</v>
      </c>
      <c r="U88" s="255">
        <f ca="1">IF(NOW(),_xll.mirSwapPV($C$51,$C$52,$C$54,$G63,$C$55,$I63,$C$64,$C$65,$C$66,$C$67,$C$68,$C$69,$C$70,$C$74,$C$75,$D$63+U$76,$D$64,$D$65,$D$66,$D$67,$D$68,$D$69,$D$70,$D$71,$D$72,$D$73,$D$74,$D$75,$C$56,$C$57,$C$58,$C$59,$C$60),"")</f>
        <v>282150.01996236836</v>
      </c>
      <c r="V88" s="255">
        <f ca="1">IF(NOW(),_xll.mirSwapPV($C$51,$C$52,$C$54,$G63,$C$55,$I63,$C$64,$C$65,$C$66,$C$67,$C$68,$C$69,$C$70,$C$74,$C$75,$D$63+V$76,$D$64,$D$65,$D$66,$D$67,$D$68,$D$69,$D$70,$D$71,$D$72,$D$73,$D$74,$D$75,$C$56,$C$57,$C$58,$C$59,$C$60),"")</f>
        <v>423225.02994355262</v>
      </c>
      <c r="W88" s="255">
        <f ca="1">IF(NOW(),_xll.mirSwapPV($C$51,$C$52,$C$54,$G63,$C$55,$I63,$C$64,$C$65,$C$66,$C$67,$C$68,$C$69,$C$70,$C$74,$C$75,$D$63+W$76,$D$64,$D$65,$D$66,$D$67,$D$68,$D$69,$D$70,$D$71,$D$72,$D$73,$D$74,$D$75,$C$56,$C$57,$C$58,$C$59,$C$60),"")</f>
        <v>564300.0399247366</v>
      </c>
      <c r="X88" s="255">
        <f ca="1">IF(NOW(),_xll.mirSwapPV($C$51,$C$52,$C$54,$G63,$C$55,$I63,$C$64,$C$65,$C$66,$C$67,$C$68,$C$69,$C$70,$C$74,$C$75,$D$63+X$76,$D$64,$D$65,$D$66,$D$67,$D$68,$D$69,$D$70,$D$71,$D$72,$D$73,$D$74,$D$75,$C$56,$C$57,$C$58,$C$59,$C$60),"")</f>
        <v>705375.04990592098</v>
      </c>
      <c r="Y88" s="229"/>
      <c r="AG88" s="230" t="s">
        <v>24</v>
      </c>
      <c r="AH88" s="255">
        <f ca="1">IF(NOW(),_xll.mirSwapPV($C$51,$C$52,$C$54,$AA63,$C$55,$AC63,$C$64,$C$65,$C$66,$C$67,$C$68,$C$69,$C$70,$C$74,$C$75,$D$63+AH$76,$D$64,$D$65,$D$66,$D$67,$D$68,$D$69,$D$70,$D$71,$D$72,$D$73,$D$74,$D$75,$C$56,$C$57,$C$58,$D$59,$C$60),"")</f>
        <v>-705375.04990592063</v>
      </c>
      <c r="AI88" s="255">
        <f ca="1">IF(NOW(),_xll.mirSwapPV($C$51,$C$52,$C$54,$AA63,$C$55,$AC63,$C$64,$C$65,$C$66,$C$67,$C$68,$C$69,$C$70,$C$74,$C$75,$D$63+AI$76,$D$64,$D$65,$D$66,$D$67,$D$68,$D$69,$D$70,$D$71,$D$72,$D$73,$D$74,$D$75,$C$56,$C$57,$C$58,$D$59,$C$60),"")</f>
        <v>-564300.0399247366</v>
      </c>
      <c r="AJ88" s="255">
        <f ca="1">IF(NOW(),_xll.mirSwapPV($C$51,$C$52,$C$54,$AA63,$C$55,$AC63,$C$64,$C$65,$C$66,$C$67,$C$68,$C$69,$C$70,$C$74,$C$75,$D$63+AJ$76,$D$64,$D$65,$D$66,$D$67,$D$68,$D$69,$D$70,$D$71,$D$72,$D$73,$D$74,$D$75,$C$56,$C$57,$C$58,$D$59,$C$60),"")</f>
        <v>-423225.02994355251</v>
      </c>
      <c r="AK88" s="255">
        <f ca="1">IF(NOW(),_xll.mirSwapPV($C$51,$C$52,$C$54,$AA63,$C$55,$AC63,$C$64,$C$65,$C$66,$C$67,$C$68,$C$69,$C$70,$C$74,$C$75,$D$63+AK$76,$D$64,$D$65,$D$66,$D$67,$D$68,$D$69,$D$70,$D$71,$D$72,$D$73,$D$74,$D$75,$C$56,$C$57,$C$58,$D$59,$C$60),"")</f>
        <v>-282150.0199623683</v>
      </c>
      <c r="AL88" s="255">
        <f ca="1">IF(NOW(),_xll.mirSwapPV($C$51,$C$52,$C$54,$AA63,$C$55,$AC63,$C$64,$C$65,$C$66,$C$67,$C$68,$C$69,$C$70,$C$74,$C$75,$D$63+AL$76,$D$64,$D$65,$D$66,$D$67,$D$68,$D$69,$D$70,$D$71,$D$72,$D$73,$D$74,$D$75,$C$56,$C$57,$C$58,$D$59,$C$60),"")</f>
        <v>-141075.00998118409</v>
      </c>
      <c r="AM88" s="255">
        <f ca="1">IF(NOW(),_xll.mirSwapPV($C$51,$C$52,$C$54,$AA63,$C$55,$AC63,$C$64,$C$65,$C$66,$C$67,$C$68,$C$69,$C$70,$C$74,$C$75,$D$63+AM$76,$D$64,$D$65,$D$66,$D$67,$D$68,$D$69,$D$70,$D$71,$D$72,$D$73,$D$74,$D$75,$C$56,$C$57,$C$58,$D$59,$C$60),"")</f>
        <v>-2.7755575615628914E-11</v>
      </c>
      <c r="AN88" s="255">
        <f ca="1">IF(NOW(),_xll.mirSwapPV($C$51,$C$52,$C$54,$AA63,$C$55,$AC63,$C$64,$C$65,$C$66,$C$67,$C$68,$C$69,$C$70,$C$74,$C$75,$D$63+AN$76,$D$64,$D$65,$D$66,$D$67,$D$68,$D$69,$D$70,$D$71,$D$72,$D$73,$D$74,$D$75,$C$56,$C$57,$C$58,$D$59,$C$60),"")</f>
        <v>141075.00998118421</v>
      </c>
      <c r="AO88" s="255">
        <f ca="1">IF(NOW(),_xll.mirSwapPV($C$51,$C$52,$C$54,$AA63,$C$55,$AC63,$C$64,$C$65,$C$66,$C$67,$C$68,$C$69,$C$70,$C$74,$C$75,$D$63+AO$76,$D$64,$D$65,$D$66,$D$67,$D$68,$D$69,$D$70,$D$71,$D$72,$D$73,$D$74,$D$75,$C$56,$C$57,$C$58,$D$59,$C$60),"")</f>
        <v>282150.01996236842</v>
      </c>
      <c r="AP88" s="255">
        <f ca="1">IF(NOW(),_xll.mirSwapPV($C$51,$C$52,$C$54,$AA63,$C$55,$AC63,$C$64,$C$65,$C$66,$C$67,$C$68,$C$69,$C$70,$C$74,$C$75,$D$63+AP$76,$D$64,$D$65,$D$66,$D$67,$D$68,$D$69,$D$70,$D$71,$D$72,$D$73,$D$74,$D$75,$C$56,$C$57,$C$58,$D$59,$C$60),"")</f>
        <v>423225.02994355268</v>
      </c>
      <c r="AQ88" s="255">
        <f ca="1">IF(NOW(),_xll.mirSwapPV($C$51,$C$52,$C$54,$AA63,$C$55,$AC63,$C$64,$C$65,$C$66,$C$67,$C$68,$C$69,$C$70,$C$74,$C$75,$D$63+AQ$76,$D$64,$D$65,$D$66,$D$67,$D$68,$D$69,$D$70,$D$71,$D$72,$D$73,$D$74,$D$75,$C$56,$C$57,$C$58,$D$59,$C$60),"")</f>
        <v>564300.03992473683</v>
      </c>
      <c r="AR88" s="255">
        <f ca="1">IF(NOW(),_xll.mirSwapPV($C$51,$C$52,$C$54,$AA63,$C$55,$AC63,$C$64,$C$65,$C$66,$C$67,$C$68,$C$69,$C$70,$C$74,$C$75,$D$63+AR$76,$D$64,$D$65,$D$66,$D$67,$D$68,$D$69,$D$70,$D$71,$D$72,$D$73,$D$74,$D$75,$C$56,$C$57,$C$58,$D$59,$C$60),"")</f>
        <v>705375.04990592098</v>
      </c>
    </row>
    <row r="89" spans="6:44">
      <c r="F89" s="230"/>
      <c r="G89" s="227"/>
      <c r="H89" s="229"/>
      <c r="I89" s="229"/>
      <c r="J89" s="229"/>
      <c r="K89" s="230"/>
      <c r="L89" s="230"/>
      <c r="M89" s="230" t="s">
        <v>20</v>
      </c>
      <c r="N89" s="255">
        <f ca="1">IF(NOW(),_xll.mirSwapPV($C$51,$C$52,$C$54,$G64,$C$55,$I64,$C$64,$C$65,$C$66,$C$67,$C$68,$C$69,$C$70,$C$74,$C$75,$D$63+N$76,$D$64,$D$65,$D$66,$D$67,$D$68,$D$69,$D$70,$D$71,$D$72,$D$73,$D$74,$D$75,$C$56,$C$57,$C$58,$C$59,$C$60),"")</f>
        <v>-895612.9666641826</v>
      </c>
      <c r="O89" s="255">
        <f ca="1">IF(NOW(),_xll.mirSwapPV($C$51,$C$52,$C$54,$G64,$C$55,$I64,$C$64,$C$65,$C$66,$C$67,$C$68,$C$69,$C$70,$C$74,$C$75,$D$63+O$76,$D$64,$D$65,$D$66,$D$67,$D$68,$D$69,$D$70,$D$71,$D$72,$D$73,$D$74,$D$75,$C$56,$C$57,$C$58,$C$59,$C$60),"")</f>
        <v>-716490.37333134655</v>
      </c>
      <c r="P89" s="255">
        <f ca="1">IF(NOW(),_xll.mirSwapPV($C$51,$C$52,$C$54,$G64,$C$55,$I64,$C$64,$C$65,$C$66,$C$67,$C$68,$C$69,$C$70,$C$74,$C$75,$D$63+P$76,$D$64,$D$65,$D$66,$D$67,$D$68,$D$69,$D$70,$D$71,$D$72,$D$73,$D$74,$D$75,$C$56,$C$57,$C$58,$C$59,$C$60),"")</f>
        <v>-537367.77999850968</v>
      </c>
      <c r="Q89" s="255">
        <f ca="1">IF(NOW(),_xll.mirSwapPV($C$51,$C$52,$C$54,$G64,$C$55,$I64,$C$64,$C$65,$C$66,$C$67,$C$68,$C$69,$C$70,$C$74,$C$75,$D$63+Q$76,$D$64,$D$65,$D$66,$D$67,$D$68,$D$69,$D$70,$D$71,$D$72,$D$73,$D$74,$D$75,$C$56,$C$57,$C$58,$C$59,$C$60),"")</f>
        <v>-358245.18666567316</v>
      </c>
      <c r="R89" s="255">
        <f ca="1">IF(NOW(),_xll.mirSwapPV($C$51,$C$52,$C$54,$G64,$C$55,$I64,$C$64,$C$65,$C$66,$C$67,$C$68,$C$69,$C$70,$C$74,$C$75,$D$63+R$76,$D$64,$D$65,$D$66,$D$67,$D$68,$D$69,$D$70,$D$71,$D$72,$D$73,$D$74,$D$75,$C$56,$C$57,$C$58,$C$59,$C$60),"")</f>
        <v>-179122.59333283652</v>
      </c>
      <c r="S89" s="255">
        <f ca="1">IF(NOW(),_xll.mirSwapPV($C$51,$C$52,$C$54,$G64,$C$55,$I64,$C$64,$C$65,$C$66,$C$67,$C$68,$C$69,$C$70,$C$74,$C$75,$D$63+S$76,$D$64,$D$65,$D$66,$D$67,$D$68,$D$69,$D$70,$D$71,$D$72,$D$73,$D$74,$D$75,$C$56,$C$57,$C$58,$C$59,$C$60),"")</f>
        <v>0</v>
      </c>
      <c r="T89" s="255">
        <f ca="1">IF(NOW(),_xll.mirSwapPV($C$51,$C$52,$C$54,$G64,$C$55,$I64,$C$64,$C$65,$C$66,$C$67,$C$68,$C$69,$C$70,$C$74,$C$75,$D$63+T$76,$D$64,$D$65,$D$66,$D$67,$D$68,$D$69,$D$70,$D$71,$D$72,$D$73,$D$74,$D$75,$C$56,$C$57,$C$58,$C$59,$C$60),"")</f>
        <v>179122.5933328367</v>
      </c>
      <c r="U89" s="255">
        <f ca="1">IF(NOW(),_xll.mirSwapPV($C$51,$C$52,$C$54,$G64,$C$55,$I64,$C$64,$C$65,$C$66,$C$67,$C$68,$C$69,$C$70,$C$74,$C$75,$D$63+U$76,$D$64,$D$65,$D$66,$D$67,$D$68,$D$69,$D$70,$D$71,$D$72,$D$73,$D$74,$D$75,$C$56,$C$57,$C$58,$C$59,$C$60),"")</f>
        <v>358245.18666567327</v>
      </c>
      <c r="V89" s="255">
        <f ca="1">IF(NOW(),_xll.mirSwapPV($C$51,$C$52,$C$54,$G64,$C$55,$I64,$C$64,$C$65,$C$66,$C$67,$C$68,$C$69,$C$70,$C$74,$C$75,$D$63+V$76,$D$64,$D$65,$D$66,$D$67,$D$68,$D$69,$D$70,$D$71,$D$72,$D$73,$D$74,$D$75,$C$56,$C$57,$C$58,$C$59,$C$60),"")</f>
        <v>537367.77999850991</v>
      </c>
      <c r="W89" s="255">
        <f ca="1">IF(NOW(),_xll.mirSwapPV($C$51,$C$52,$C$54,$G64,$C$55,$I64,$C$64,$C$65,$C$66,$C$67,$C$68,$C$69,$C$70,$C$74,$C$75,$D$63+W$76,$D$64,$D$65,$D$66,$D$67,$D$68,$D$69,$D$70,$D$71,$D$72,$D$73,$D$74,$D$75,$C$56,$C$57,$C$58,$C$59,$C$60),"")</f>
        <v>716490.37333134632</v>
      </c>
      <c r="X89" s="255">
        <f ca="1">IF(NOW(),_xll.mirSwapPV($C$51,$C$52,$C$54,$G64,$C$55,$I64,$C$64,$C$65,$C$66,$C$67,$C$68,$C$69,$C$70,$C$74,$C$75,$D$63+X$76,$D$64,$D$65,$D$66,$D$67,$D$68,$D$69,$D$70,$D$71,$D$72,$D$73,$D$74,$D$75,$C$56,$C$57,$C$58,$C$59,$C$60),"")</f>
        <v>895612.96666418319</v>
      </c>
      <c r="Y89" s="229"/>
      <c r="AG89" s="230" t="s">
        <v>20</v>
      </c>
      <c r="AH89" s="255">
        <f ca="1">IF(NOW(),_xll.mirSwapPV($C$51,$C$52,$C$54,$AA64,$C$55,$AC64,$C$64,$C$65,$C$66,$C$67,$C$68,$C$69,$C$70,$C$74,$C$75,$D$63+AH$76,$D$64,$D$65,$D$66,$D$67,$D$68,$D$69,$D$70,$D$71,$D$72,$D$73,$D$74,$D$75,$C$56,$C$57,$C$58,$D$59,$C$60),"")</f>
        <v>-895612.96666418272</v>
      </c>
      <c r="AI89" s="255">
        <f ca="1">IF(NOW(),_xll.mirSwapPV($C$51,$C$52,$C$54,$AA64,$C$55,$AC64,$C$64,$C$65,$C$66,$C$67,$C$68,$C$69,$C$70,$C$74,$C$75,$D$63+AI$76,$D$64,$D$65,$D$66,$D$67,$D$68,$D$69,$D$70,$D$71,$D$72,$D$73,$D$74,$D$75,$C$56,$C$57,$C$58,$D$59,$C$60),"")</f>
        <v>-716490.37333134632</v>
      </c>
      <c r="AJ89" s="255">
        <f ca="1">IF(NOW(),_xll.mirSwapPV($C$51,$C$52,$C$54,$AA64,$C$55,$AC64,$C$64,$C$65,$C$66,$C$67,$C$68,$C$69,$C$70,$C$74,$C$75,$D$63+AJ$76,$D$64,$D$65,$D$66,$D$67,$D$68,$D$69,$D$70,$D$71,$D$72,$D$73,$D$74,$D$75,$C$56,$C$57,$C$58,$D$59,$C$60),"")</f>
        <v>-537367.77999850968</v>
      </c>
      <c r="AK89" s="255">
        <f ca="1">IF(NOW(),_xll.mirSwapPV($C$51,$C$52,$C$54,$AA64,$C$55,$AC64,$C$64,$C$65,$C$66,$C$67,$C$68,$C$69,$C$70,$C$74,$C$75,$D$63+AK$76,$D$64,$D$65,$D$66,$D$67,$D$68,$D$69,$D$70,$D$71,$D$72,$D$73,$D$74,$D$75,$C$56,$C$57,$C$58,$D$59,$C$60),"")</f>
        <v>-358245.18666567298</v>
      </c>
      <c r="AL89" s="255">
        <f ca="1">IF(NOW(),_xll.mirSwapPV($C$51,$C$52,$C$54,$AA64,$C$55,$AC64,$C$64,$C$65,$C$66,$C$67,$C$68,$C$69,$C$70,$C$74,$C$75,$D$63+AL$76,$D$64,$D$65,$D$66,$D$67,$D$68,$D$69,$D$70,$D$71,$D$72,$D$73,$D$74,$D$75,$C$56,$C$57,$C$58,$D$59,$C$60),"")</f>
        <v>-179122.59333283638</v>
      </c>
      <c r="AM89" s="255">
        <f ca="1">IF(NOW(),_xll.mirSwapPV($C$51,$C$52,$C$54,$AA64,$C$55,$AC64,$C$64,$C$65,$C$66,$C$67,$C$68,$C$69,$C$70,$C$74,$C$75,$D$63+AM$76,$D$64,$D$65,$D$66,$D$67,$D$68,$D$69,$D$70,$D$71,$D$72,$D$73,$D$74,$D$75,$C$56,$C$57,$C$58,$D$59,$C$60),"")</f>
        <v>0</v>
      </c>
      <c r="AN89" s="255">
        <f ca="1">IF(NOW(),_xll.mirSwapPV($C$51,$C$52,$C$54,$AA64,$C$55,$AC64,$C$64,$C$65,$C$66,$C$67,$C$68,$C$69,$C$70,$C$74,$C$75,$D$63+AN$76,$D$64,$D$65,$D$66,$D$67,$D$68,$D$69,$D$70,$D$71,$D$72,$D$73,$D$74,$D$75,$C$56,$C$57,$C$58,$D$59,$C$60),"")</f>
        <v>179122.59333283672</v>
      </c>
      <c r="AO89" s="255">
        <f ca="1">IF(NOW(),_xll.mirSwapPV($C$51,$C$52,$C$54,$AA64,$C$55,$AC64,$C$64,$C$65,$C$66,$C$67,$C$68,$C$69,$C$70,$C$74,$C$75,$D$63+AO$76,$D$64,$D$65,$D$66,$D$67,$D$68,$D$69,$D$70,$D$71,$D$72,$D$73,$D$74,$D$75,$C$56,$C$57,$C$58,$D$59,$C$60),"")</f>
        <v>358245.18666567333</v>
      </c>
      <c r="AP89" s="255">
        <f ca="1">IF(NOW(),_xll.mirSwapPV($C$51,$C$52,$C$54,$AA64,$C$55,$AC64,$C$64,$C$65,$C$66,$C$67,$C$68,$C$69,$C$70,$C$74,$C$75,$D$63+AP$76,$D$64,$D$65,$D$66,$D$67,$D$68,$D$69,$D$70,$D$71,$D$72,$D$73,$D$74,$D$75,$C$56,$C$57,$C$58,$D$59,$C$60),"")</f>
        <v>537367.77999850991</v>
      </c>
      <c r="AQ89" s="255">
        <f ca="1">IF(NOW(),_xll.mirSwapPV($C$51,$C$52,$C$54,$AA64,$C$55,$AC64,$C$64,$C$65,$C$66,$C$67,$C$68,$C$69,$C$70,$C$74,$C$75,$D$63+AQ$76,$D$64,$D$65,$D$66,$D$67,$D$68,$D$69,$D$70,$D$71,$D$72,$D$73,$D$74,$D$75,$C$56,$C$57,$C$58,$D$59,$C$60),"")</f>
        <v>716490.37333134655</v>
      </c>
      <c r="AR89" s="255">
        <f ca="1">IF(NOW(),_xll.mirSwapPV($C$51,$C$52,$C$54,$AA64,$C$55,$AC64,$C$64,$C$65,$C$66,$C$67,$C$68,$C$69,$C$70,$C$74,$C$75,$D$63+AR$76,$D$64,$D$65,$D$66,$D$67,$D$68,$D$69,$D$70,$D$71,$D$72,$D$73,$D$74,$D$75,$C$56,$C$57,$C$58,$D$59,$C$60),"")</f>
        <v>895612.96666418319</v>
      </c>
    </row>
    <row r="90" spans="6:44">
      <c r="F90" s="230"/>
      <c r="G90" s="227"/>
      <c r="H90" s="229"/>
      <c r="I90" s="229"/>
      <c r="J90" s="229"/>
      <c r="K90" s="230"/>
      <c r="L90" s="230"/>
      <c r="M90" s="230" t="s">
        <v>18</v>
      </c>
      <c r="N90" s="255">
        <f ca="1">IF(NOW(),_xll.mirSwapPV($C$51,$C$52,$C$54,$G65,$C$55,$I65,$C$64,$C$65,$C$66,$C$67,$C$68,$C$69,$C$70,$C$74,$C$75,$D$63+N$76,$D$64,$D$65,$D$66,$D$67,$D$68,$D$69,$D$70,$D$71,$D$72,$D$73,$D$74,$D$75,$C$56,$C$57,$C$58,$C$59,$C$60),"")</f>
        <v>-1067055.5709118785</v>
      </c>
      <c r="O90" s="255">
        <f ca="1">IF(NOW(),_xll.mirSwapPV($C$51,$C$52,$C$54,$G65,$C$55,$I65,$C$64,$C$65,$C$66,$C$67,$C$68,$C$69,$C$70,$C$74,$C$75,$D$63+O$76,$D$64,$D$65,$D$66,$D$67,$D$68,$D$69,$D$70,$D$71,$D$72,$D$73,$D$74,$D$75,$C$56,$C$57,$C$58,$C$59,$C$60),"")</f>
        <v>-853644.45672950312</v>
      </c>
      <c r="P90" s="255">
        <f ca="1">IF(NOW(),_xll.mirSwapPV($C$51,$C$52,$C$54,$G65,$C$55,$I65,$C$64,$C$65,$C$66,$C$67,$C$68,$C$69,$C$70,$C$74,$C$75,$D$63+P$76,$D$64,$D$65,$D$66,$D$67,$D$68,$D$69,$D$70,$D$71,$D$72,$D$73,$D$74,$D$75,$C$56,$C$57,$C$58,$C$59,$C$60),"")</f>
        <v>-640233.34254712728</v>
      </c>
      <c r="Q90" s="255">
        <f ca="1">IF(NOW(),_xll.mirSwapPV($C$51,$C$52,$C$54,$G65,$C$55,$I65,$C$64,$C$65,$C$66,$C$67,$C$68,$C$69,$C$70,$C$74,$C$75,$D$63+Q$76,$D$64,$D$65,$D$66,$D$67,$D$68,$D$69,$D$70,$D$71,$D$72,$D$73,$D$74,$D$75,$C$56,$C$57,$C$58,$C$59,$C$60),"")</f>
        <v>-426822.22836475162</v>
      </c>
      <c r="R90" s="255">
        <f ca="1">IF(NOW(),_xll.mirSwapPV($C$51,$C$52,$C$54,$G65,$C$55,$I65,$C$64,$C$65,$C$66,$C$67,$C$68,$C$69,$C$70,$C$74,$C$75,$D$63+R$76,$D$64,$D$65,$D$66,$D$67,$D$68,$D$69,$D$70,$D$71,$D$72,$D$73,$D$74,$D$75,$C$56,$C$57,$C$58,$C$59,$C$60),"")</f>
        <v>-213411.11418237581</v>
      </c>
      <c r="S90" s="255">
        <f ca="1">IF(NOW(),_xll.mirSwapPV($C$51,$C$52,$C$54,$G65,$C$55,$I65,$C$64,$C$65,$C$66,$C$67,$C$68,$C$69,$C$70,$C$74,$C$75,$D$63+S$76,$D$64,$D$65,$D$66,$D$67,$D$68,$D$69,$D$70,$D$71,$D$72,$D$73,$D$74,$D$75,$C$56,$C$57,$C$58,$C$59,$C$60),"")</f>
        <v>0</v>
      </c>
      <c r="T90" s="255">
        <f ca="1">IF(NOW(),_xll.mirSwapPV($C$51,$C$52,$C$54,$G65,$C$55,$I65,$C$64,$C$65,$C$66,$C$67,$C$68,$C$69,$C$70,$C$74,$C$75,$D$63+T$76,$D$64,$D$65,$D$66,$D$67,$D$68,$D$69,$D$70,$D$71,$D$72,$D$73,$D$74,$D$75,$C$56,$C$57,$C$58,$C$59,$C$60),"")</f>
        <v>213411.11418237592</v>
      </c>
      <c r="U90" s="255">
        <f ca="1">IF(NOW(),_xll.mirSwapPV($C$51,$C$52,$C$54,$G65,$C$55,$I65,$C$64,$C$65,$C$66,$C$67,$C$68,$C$69,$C$70,$C$74,$C$75,$D$63+U$76,$D$64,$D$65,$D$66,$D$67,$D$68,$D$69,$D$70,$D$71,$D$72,$D$73,$D$74,$D$75,$C$56,$C$57,$C$58,$C$59,$C$60),"")</f>
        <v>426822.22836475179</v>
      </c>
      <c r="V90" s="255">
        <f ca="1">IF(NOW(),_xll.mirSwapPV($C$51,$C$52,$C$54,$G65,$C$55,$I65,$C$64,$C$65,$C$66,$C$67,$C$68,$C$69,$C$70,$C$74,$C$75,$D$63+V$76,$D$64,$D$65,$D$66,$D$67,$D$68,$D$69,$D$70,$D$71,$D$72,$D$73,$D$74,$D$75,$C$56,$C$57,$C$58,$C$59,$C$60),"")</f>
        <v>640233.34254712763</v>
      </c>
      <c r="W90" s="255">
        <f ca="1">IF(NOW(),_xll.mirSwapPV($C$51,$C$52,$C$54,$G65,$C$55,$I65,$C$64,$C$65,$C$66,$C$67,$C$68,$C$69,$C$70,$C$74,$C$75,$D$63+W$76,$D$64,$D$65,$D$66,$D$67,$D$68,$D$69,$D$70,$D$71,$D$72,$D$73,$D$74,$D$75,$C$56,$C$57,$C$58,$C$59,$C$60),"")</f>
        <v>853644.45672950323</v>
      </c>
      <c r="X90" s="255">
        <f ca="1">IF(NOW(),_xll.mirSwapPV($C$51,$C$52,$C$54,$G65,$C$55,$I65,$C$64,$C$65,$C$66,$C$67,$C$68,$C$69,$C$70,$C$74,$C$75,$D$63+X$76,$D$64,$D$65,$D$66,$D$67,$D$68,$D$69,$D$70,$D$71,$D$72,$D$73,$D$74,$D$75,$C$56,$C$57,$C$58,$C$59,$C$60),"")</f>
        <v>1067055.5709118794</v>
      </c>
      <c r="Y90" s="229"/>
      <c r="AG90" s="230" t="s">
        <v>18</v>
      </c>
      <c r="AH90" s="255">
        <f ca="1">IF(NOW(),_xll.mirSwapPV($C$51,$C$52,$C$54,$AA65,$C$55,$AC65,$C$64,$C$65,$C$66,$C$67,$C$68,$C$69,$C$70,$C$74,$C$75,$D$63+AH$76,$D$64,$D$65,$D$66,$D$67,$D$68,$D$69,$D$70,$D$71,$D$72,$D$73,$D$74,$D$75,$C$56,$C$57,$C$58,$D$59,$C$60),"")</f>
        <v>-1067055.570911879</v>
      </c>
      <c r="AI90" s="255">
        <f ca="1">IF(NOW(),_xll.mirSwapPV($C$51,$C$52,$C$54,$AA65,$C$55,$AC65,$C$64,$C$65,$C$66,$C$67,$C$68,$C$69,$C$70,$C$74,$C$75,$D$63+AI$76,$D$64,$D$65,$D$66,$D$67,$D$68,$D$69,$D$70,$D$71,$D$72,$D$73,$D$74,$D$75,$C$56,$C$57,$C$58,$D$59,$C$60),"")</f>
        <v>-853644.45672950323</v>
      </c>
      <c r="AJ90" s="255">
        <f ca="1">IF(NOW(),_xll.mirSwapPV($C$51,$C$52,$C$54,$AA65,$C$55,$AC65,$C$64,$C$65,$C$66,$C$67,$C$68,$C$69,$C$70,$C$74,$C$75,$D$63+AJ$76,$D$64,$D$65,$D$66,$D$67,$D$68,$D$69,$D$70,$D$71,$D$72,$D$73,$D$74,$D$75,$C$56,$C$57,$C$58,$D$59,$C$60),"")</f>
        <v>-640233.34254712739</v>
      </c>
      <c r="AK90" s="255">
        <f ca="1">IF(NOW(),_xll.mirSwapPV($C$51,$C$52,$C$54,$AA65,$C$55,$AC65,$C$64,$C$65,$C$66,$C$67,$C$68,$C$69,$C$70,$C$74,$C$75,$D$63+AK$76,$D$64,$D$65,$D$66,$D$67,$D$68,$D$69,$D$70,$D$71,$D$72,$D$73,$D$74,$D$75,$C$56,$C$57,$C$58,$D$59,$C$60),"")</f>
        <v>-426822.2283647515</v>
      </c>
      <c r="AL90" s="255">
        <f ca="1">IF(NOW(),_xll.mirSwapPV($C$51,$C$52,$C$54,$AA65,$C$55,$AC65,$C$64,$C$65,$C$66,$C$67,$C$68,$C$69,$C$70,$C$74,$C$75,$D$63+AL$76,$D$64,$D$65,$D$66,$D$67,$D$68,$D$69,$D$70,$D$71,$D$72,$D$73,$D$74,$D$75,$C$56,$C$57,$C$58,$D$59,$C$60),"")</f>
        <v>-213411.11418237569</v>
      </c>
      <c r="AM90" s="255">
        <f ca="1">IF(NOW(),_xll.mirSwapPV($C$51,$C$52,$C$54,$AA65,$C$55,$AC65,$C$64,$C$65,$C$66,$C$67,$C$68,$C$69,$C$70,$C$74,$C$75,$D$63+AM$76,$D$64,$D$65,$D$66,$D$67,$D$68,$D$69,$D$70,$D$71,$D$72,$D$73,$D$74,$D$75,$C$56,$C$57,$C$58,$D$59,$C$60),"")</f>
        <v>0</v>
      </c>
      <c r="AN90" s="255">
        <f ca="1">IF(NOW(),_xll.mirSwapPV($C$51,$C$52,$C$54,$AA65,$C$55,$AC65,$C$64,$C$65,$C$66,$C$67,$C$68,$C$69,$C$70,$C$74,$C$75,$D$63+AN$76,$D$64,$D$65,$D$66,$D$67,$D$68,$D$69,$D$70,$D$71,$D$72,$D$73,$D$74,$D$75,$C$56,$C$57,$C$58,$D$59,$C$60),"")</f>
        <v>213411.11418237587</v>
      </c>
      <c r="AO90" s="255">
        <f ca="1">IF(NOW(),_xll.mirSwapPV($C$51,$C$52,$C$54,$AA65,$C$55,$AC65,$C$64,$C$65,$C$66,$C$67,$C$68,$C$69,$C$70,$C$74,$C$75,$D$63+AO$76,$D$64,$D$65,$D$66,$D$67,$D$68,$D$69,$D$70,$D$71,$D$72,$D$73,$D$74,$D$75,$C$56,$C$57,$C$58,$D$59,$C$60),"")</f>
        <v>426822.22836475173</v>
      </c>
      <c r="AP90" s="255">
        <f ca="1">IF(NOW(),_xll.mirSwapPV($C$51,$C$52,$C$54,$AA65,$C$55,$AC65,$C$64,$C$65,$C$66,$C$67,$C$68,$C$69,$C$70,$C$74,$C$75,$D$63+AP$76,$D$64,$D$65,$D$66,$D$67,$D$68,$D$69,$D$70,$D$71,$D$72,$D$73,$D$74,$D$75,$C$56,$C$57,$C$58,$D$59,$C$60),"")</f>
        <v>640233.34254712763</v>
      </c>
      <c r="AQ90" s="255">
        <f ca="1">IF(NOW(),_xll.mirSwapPV($C$51,$C$52,$C$54,$AA65,$C$55,$AC65,$C$64,$C$65,$C$66,$C$67,$C$68,$C$69,$C$70,$C$74,$C$75,$D$63+AQ$76,$D$64,$D$65,$D$66,$D$67,$D$68,$D$69,$D$70,$D$71,$D$72,$D$73,$D$74,$D$75,$C$56,$C$57,$C$58,$D$59,$C$60),"")</f>
        <v>853644.45672950335</v>
      </c>
      <c r="AR90" s="255">
        <f ca="1">IF(NOW(),_xll.mirSwapPV($C$51,$C$52,$C$54,$AA65,$C$55,$AC65,$C$64,$C$65,$C$66,$C$67,$C$68,$C$69,$C$70,$C$74,$C$75,$D$63+AR$76,$D$64,$D$65,$D$66,$D$67,$D$68,$D$69,$D$70,$D$71,$D$72,$D$73,$D$74,$D$75,$C$56,$C$57,$C$58,$D$59,$C$60),"")</f>
        <v>1067055.5709118794</v>
      </c>
    </row>
    <row r="91" spans="6:44">
      <c r="F91" s="230"/>
      <c r="G91" s="227"/>
      <c r="H91" s="229"/>
      <c r="I91" s="229"/>
      <c r="J91" s="229"/>
      <c r="K91" s="230"/>
      <c r="L91" s="230"/>
      <c r="M91" s="230" t="s">
        <v>17</v>
      </c>
      <c r="N91" s="255">
        <f ca="1">IF(NOW(),_xll.mirSwapPV($C$51,$C$52,$C$54,$G66,$C$55,$I66,$C$64,$C$65,$C$66,$C$67,$C$68,$C$69,$C$70,$C$74,$C$75,$D$63+N$76,$D$64,$D$65,$D$66,$D$67,$D$68,$D$69,$D$70,$D$71,$D$72,$D$73,$D$74,$D$75,$C$56,$C$57,$C$58,$C$59,$C$60),"")</f>
        <v>-1223051.960409343</v>
      </c>
      <c r="O91" s="255">
        <f ca="1">IF(NOW(),_xll.mirSwapPV($C$51,$C$52,$C$54,$G66,$C$55,$I66,$C$64,$C$65,$C$66,$C$67,$C$68,$C$69,$C$70,$C$74,$C$75,$D$63+O$76,$D$64,$D$65,$D$66,$D$67,$D$68,$D$69,$D$70,$D$71,$D$72,$D$73,$D$74,$D$75,$C$56,$C$57,$C$58,$C$59,$C$60),"")</f>
        <v>-978441.56832747487</v>
      </c>
      <c r="P91" s="255">
        <f ca="1">IF(NOW(),_xll.mirSwapPV($C$51,$C$52,$C$54,$G66,$C$55,$I66,$C$64,$C$65,$C$66,$C$67,$C$68,$C$69,$C$70,$C$74,$C$75,$D$63+P$76,$D$64,$D$65,$D$66,$D$67,$D$68,$D$69,$D$70,$D$71,$D$72,$D$73,$D$74,$D$75,$C$56,$C$57,$C$58,$C$59,$C$60),"")</f>
        <v>-733831.17624560639</v>
      </c>
      <c r="Q91" s="255">
        <f ca="1">IF(NOW(),_xll.mirSwapPV($C$51,$C$52,$C$54,$G66,$C$55,$I66,$C$64,$C$65,$C$66,$C$67,$C$68,$C$69,$C$70,$C$74,$C$75,$D$63+Q$76,$D$64,$D$65,$D$66,$D$67,$D$68,$D$69,$D$70,$D$71,$D$72,$D$73,$D$74,$D$75,$C$56,$C$57,$C$58,$C$59,$C$60),"")</f>
        <v>-489220.78416373749</v>
      </c>
      <c r="R91" s="255">
        <f ca="1">IF(NOW(),_xll.mirSwapPV($C$51,$C$52,$C$54,$G66,$C$55,$I66,$C$64,$C$65,$C$66,$C$67,$C$68,$C$69,$C$70,$C$74,$C$75,$D$63+R$76,$D$64,$D$65,$D$66,$D$67,$D$68,$D$69,$D$70,$D$71,$D$72,$D$73,$D$74,$D$75,$C$56,$C$57,$C$58,$C$59,$C$60),"")</f>
        <v>-244610.39208186863</v>
      </c>
      <c r="S91" s="255">
        <f ca="1">IF(NOW(),_xll.mirSwapPV($C$51,$C$52,$C$54,$G66,$C$55,$I66,$C$64,$C$65,$C$66,$C$67,$C$68,$C$69,$C$70,$C$74,$C$75,$D$63+S$76,$D$64,$D$65,$D$66,$D$67,$D$68,$D$69,$D$70,$D$71,$D$72,$D$73,$D$74,$D$75,$C$56,$C$57,$C$58,$C$59,$C$60),"")</f>
        <v>5.5511151231257827E-11</v>
      </c>
      <c r="T91" s="255">
        <f ca="1">IF(NOW(),_xll.mirSwapPV($C$51,$C$52,$C$54,$G66,$C$55,$I66,$C$64,$C$65,$C$66,$C$67,$C$68,$C$69,$C$70,$C$74,$C$75,$D$63+T$76,$D$64,$D$65,$D$66,$D$67,$D$68,$D$69,$D$70,$D$71,$D$72,$D$73,$D$74,$D$75,$C$56,$C$57,$C$58,$C$59,$C$60),"")</f>
        <v>244610.39208186898</v>
      </c>
      <c r="U91" s="255">
        <f ca="1">IF(NOW(),_xll.mirSwapPV($C$51,$C$52,$C$54,$G66,$C$55,$I66,$C$64,$C$65,$C$66,$C$67,$C$68,$C$69,$C$70,$C$74,$C$75,$D$63+U$76,$D$64,$D$65,$D$66,$D$67,$D$68,$D$69,$D$70,$D$71,$D$72,$D$73,$D$74,$D$75,$C$56,$C$57,$C$58,$C$59,$C$60),"")</f>
        <v>489220.78416373784</v>
      </c>
      <c r="V91" s="255">
        <f ca="1">IF(NOW(),_xll.mirSwapPV($C$51,$C$52,$C$54,$G66,$C$55,$I66,$C$64,$C$65,$C$66,$C$67,$C$68,$C$69,$C$70,$C$74,$C$75,$D$63+V$76,$D$64,$D$65,$D$66,$D$67,$D$68,$D$69,$D$70,$D$71,$D$72,$D$73,$D$74,$D$75,$C$56,$C$57,$C$58,$C$59,$C$60),"")</f>
        <v>733831.17624560662</v>
      </c>
      <c r="W91" s="255">
        <f ca="1">IF(NOW(),_xll.mirSwapPV($C$51,$C$52,$C$54,$G66,$C$55,$I66,$C$64,$C$65,$C$66,$C$67,$C$68,$C$69,$C$70,$C$74,$C$75,$D$63+W$76,$D$64,$D$65,$D$66,$D$67,$D$68,$D$69,$D$70,$D$71,$D$72,$D$73,$D$74,$D$75,$C$56,$C$57,$C$58,$C$59,$C$60),"")</f>
        <v>978441.56832747511</v>
      </c>
      <c r="X91" s="255">
        <f ca="1">IF(NOW(),_xll.mirSwapPV($C$51,$C$52,$C$54,$G66,$C$55,$I66,$C$64,$C$65,$C$66,$C$67,$C$68,$C$69,$C$70,$C$74,$C$75,$D$63+X$76,$D$64,$D$65,$D$66,$D$67,$D$68,$D$69,$D$70,$D$71,$D$72,$D$73,$D$74,$D$75,$C$56,$C$57,$C$58,$C$59,$C$60),"")</f>
        <v>1223051.9604093444</v>
      </c>
      <c r="Y91" s="229"/>
      <c r="AG91" s="230" t="s">
        <v>17</v>
      </c>
      <c r="AH91" s="255">
        <f ca="1">IF(NOW(),_xll.mirSwapPV($C$51,$C$52,$C$54,$AA66,$C$55,$AC66,$C$64,$C$65,$C$66,$C$67,$C$68,$C$69,$C$70,$C$74,$C$75,$D$63+AH$76,$D$64,$D$65,$D$66,$D$67,$D$68,$D$69,$D$70,$D$71,$D$72,$D$73,$D$74,$D$75,$C$56,$C$57,$C$58,$D$59,$C$60),"")</f>
        <v>-1223051.9604093435</v>
      </c>
      <c r="AI91" s="255">
        <f ca="1">IF(NOW(),_xll.mirSwapPV($C$51,$C$52,$C$54,$AA66,$C$55,$AC66,$C$64,$C$65,$C$66,$C$67,$C$68,$C$69,$C$70,$C$74,$C$75,$D$63+AI$76,$D$64,$D$65,$D$66,$D$67,$D$68,$D$69,$D$70,$D$71,$D$72,$D$73,$D$74,$D$75,$C$56,$C$57,$C$58,$D$59,$C$60),"")</f>
        <v>-978441.56832747499</v>
      </c>
      <c r="AJ91" s="255">
        <f ca="1">IF(NOW(),_xll.mirSwapPV($C$51,$C$52,$C$54,$AA66,$C$55,$AC66,$C$64,$C$65,$C$66,$C$67,$C$68,$C$69,$C$70,$C$74,$C$75,$D$63+AJ$76,$D$64,$D$65,$D$66,$D$67,$D$68,$D$69,$D$70,$D$71,$D$72,$D$73,$D$74,$D$75,$C$56,$C$57,$C$58,$D$59,$C$60),"")</f>
        <v>-733831.17624560627</v>
      </c>
      <c r="AK91" s="255">
        <f ca="1">IF(NOW(),_xll.mirSwapPV($C$51,$C$52,$C$54,$AA66,$C$55,$AC66,$C$64,$C$65,$C$66,$C$67,$C$68,$C$69,$C$70,$C$74,$C$75,$D$63+AK$76,$D$64,$D$65,$D$66,$D$67,$D$68,$D$69,$D$70,$D$71,$D$72,$D$73,$D$74,$D$75,$C$56,$C$57,$C$58,$D$59,$C$60),"")</f>
        <v>-489220.78416373732</v>
      </c>
      <c r="AL91" s="255">
        <f ca="1">IF(NOW(),_xll.mirSwapPV($C$51,$C$52,$C$54,$AA66,$C$55,$AC66,$C$64,$C$65,$C$66,$C$67,$C$68,$C$69,$C$70,$C$74,$C$75,$D$63+AL$76,$D$64,$D$65,$D$66,$D$67,$D$68,$D$69,$D$70,$D$71,$D$72,$D$73,$D$74,$D$75,$C$56,$C$57,$C$58,$D$59,$C$60),"")</f>
        <v>-244610.39208186857</v>
      </c>
      <c r="AM91" s="255">
        <f ca="1">IF(NOW(),_xll.mirSwapPV($C$51,$C$52,$C$54,$AA66,$C$55,$AC66,$C$64,$C$65,$C$66,$C$67,$C$68,$C$69,$C$70,$C$74,$C$75,$D$63+AM$76,$D$64,$D$65,$D$66,$D$67,$D$68,$D$69,$D$70,$D$71,$D$72,$D$73,$D$74,$D$75,$C$56,$C$57,$C$58,$D$59,$C$60),"")</f>
        <v>0</v>
      </c>
      <c r="AN91" s="255">
        <f ca="1">IF(NOW(),_xll.mirSwapPV($C$51,$C$52,$C$54,$AA66,$C$55,$AC66,$C$64,$C$65,$C$66,$C$67,$C$68,$C$69,$C$70,$C$74,$C$75,$D$63+AN$76,$D$64,$D$65,$D$66,$D$67,$D$68,$D$69,$D$70,$D$71,$D$72,$D$73,$D$74,$D$75,$C$56,$C$57,$C$58,$D$59,$C$60),"")</f>
        <v>244610.39208186892</v>
      </c>
      <c r="AO91" s="255">
        <f ca="1">IF(NOW(),_xll.mirSwapPV($C$51,$C$52,$C$54,$AA66,$C$55,$AC66,$C$64,$C$65,$C$66,$C$67,$C$68,$C$69,$C$70,$C$74,$C$75,$D$63+AO$76,$D$64,$D$65,$D$66,$D$67,$D$68,$D$69,$D$70,$D$71,$D$72,$D$73,$D$74,$D$75,$C$56,$C$57,$C$58,$D$59,$C$60),"")</f>
        <v>489220.78416373779</v>
      </c>
      <c r="AP91" s="255">
        <f ca="1">IF(NOW(),_xll.mirSwapPV($C$51,$C$52,$C$54,$AA66,$C$55,$AC66,$C$64,$C$65,$C$66,$C$67,$C$68,$C$69,$C$70,$C$74,$C$75,$D$63+AP$76,$D$64,$D$65,$D$66,$D$67,$D$68,$D$69,$D$70,$D$71,$D$72,$D$73,$D$74,$D$75,$C$56,$C$57,$C$58,$D$59,$C$60),"")</f>
        <v>733831.17624560662</v>
      </c>
      <c r="AQ91" s="255">
        <f ca="1">IF(NOW(),_xll.mirSwapPV($C$51,$C$52,$C$54,$AA66,$C$55,$AC66,$C$64,$C$65,$C$66,$C$67,$C$68,$C$69,$C$70,$C$74,$C$75,$D$63+AQ$76,$D$64,$D$65,$D$66,$D$67,$D$68,$D$69,$D$70,$D$71,$D$72,$D$73,$D$74,$D$75,$C$56,$C$57,$C$58,$D$59,$C$60),"")</f>
        <v>978441.56832747522</v>
      </c>
      <c r="AR91" s="255">
        <f ca="1">IF(NOW(),_xll.mirSwapPV($C$51,$C$52,$C$54,$AA66,$C$55,$AC66,$C$64,$C$65,$C$66,$C$67,$C$68,$C$69,$C$70,$C$74,$C$75,$D$63+AR$76,$D$64,$D$65,$D$66,$D$67,$D$68,$D$69,$D$70,$D$71,$D$72,$D$73,$D$74,$D$75,$C$56,$C$57,$C$58,$D$59,$C$60),"")</f>
        <v>1223051.9604093446</v>
      </c>
    </row>
    <row r="92" spans="6:44">
      <c r="F92" s="230"/>
      <c r="G92" s="227"/>
      <c r="H92" s="229"/>
      <c r="I92" s="229"/>
      <c r="J92" s="229"/>
      <c r="K92" s="230"/>
      <c r="L92" s="230"/>
      <c r="M92" s="230" t="s">
        <v>16</v>
      </c>
      <c r="N92" s="255">
        <f ca="1">IF(NOW(),_xll.mirSwapPV($C$51,$C$52,$C$54,$G67,$C$55,$I67,$C$64,$C$65,$C$66,$C$67,$C$68,$C$69,$C$70,$C$74,$C$75,$D$63+N$76,$D$64,$D$65,$D$66,$D$67,$D$68,$D$69,$D$70,$D$71,$D$72,$D$73,$D$74,$D$75,$C$56,$C$57,$C$58,$C$59,$C$60),"")</f>
        <v>-1366543.0648706765</v>
      </c>
      <c r="O92" s="255">
        <f ca="1">IF(NOW(),_xll.mirSwapPV($C$51,$C$52,$C$54,$G67,$C$55,$I67,$C$64,$C$65,$C$66,$C$67,$C$68,$C$69,$C$70,$C$74,$C$75,$D$63+O$76,$D$64,$D$65,$D$66,$D$67,$D$68,$D$69,$D$70,$D$71,$D$72,$D$73,$D$74,$D$75,$C$56,$C$57,$C$58,$C$59,$C$60),"")</f>
        <v>-1093234.451896542</v>
      </c>
      <c r="P92" s="255">
        <f ca="1">IF(NOW(),_xll.mirSwapPV($C$51,$C$52,$C$54,$G67,$C$55,$I67,$C$64,$C$65,$C$66,$C$67,$C$68,$C$69,$C$70,$C$74,$C$75,$D$63+P$76,$D$64,$D$65,$D$66,$D$67,$D$68,$D$69,$D$70,$D$71,$D$72,$D$73,$D$74,$D$75,$C$56,$C$57,$C$58,$C$59,$C$60),"")</f>
        <v>-819925.8389224062</v>
      </c>
      <c r="Q92" s="255">
        <f ca="1">IF(NOW(),_xll.mirSwapPV($C$51,$C$52,$C$54,$G67,$C$55,$I67,$C$64,$C$65,$C$66,$C$67,$C$68,$C$69,$C$70,$C$74,$C$75,$D$63+Q$76,$D$64,$D$65,$D$66,$D$67,$D$68,$D$69,$D$70,$D$71,$D$72,$D$73,$D$74,$D$75,$C$56,$C$57,$C$58,$C$59,$C$60),"")</f>
        <v>-546617.22594827111</v>
      </c>
      <c r="R92" s="255">
        <f ca="1">IF(NOW(),_xll.mirSwapPV($C$51,$C$52,$C$54,$G67,$C$55,$I67,$C$64,$C$65,$C$66,$C$67,$C$68,$C$69,$C$70,$C$74,$C$75,$D$63+R$76,$D$64,$D$65,$D$66,$D$67,$D$68,$D$69,$D$70,$D$71,$D$72,$D$73,$D$74,$D$75,$C$56,$C$57,$C$58,$C$59,$C$60),"")</f>
        <v>-273308.61297413561</v>
      </c>
      <c r="S92" s="255">
        <f ca="1">IF(NOW(),_xll.mirSwapPV($C$51,$C$52,$C$54,$G67,$C$55,$I67,$C$64,$C$65,$C$66,$C$67,$C$68,$C$69,$C$70,$C$74,$C$75,$D$63+S$76,$D$64,$D$65,$D$66,$D$67,$D$68,$D$69,$D$70,$D$71,$D$72,$D$73,$D$74,$D$75,$C$56,$C$57,$C$58,$C$59,$C$60),"")</f>
        <v>0</v>
      </c>
      <c r="T92" s="255">
        <f ca="1">IF(NOW(),_xll.mirSwapPV($C$51,$C$52,$C$54,$G67,$C$55,$I67,$C$64,$C$65,$C$66,$C$67,$C$68,$C$69,$C$70,$C$74,$C$75,$D$63+T$76,$D$64,$D$65,$D$66,$D$67,$D$68,$D$69,$D$70,$D$71,$D$72,$D$73,$D$74,$D$75,$C$56,$C$57,$C$58,$C$59,$C$60),"")</f>
        <v>273308.61297413555</v>
      </c>
      <c r="U92" s="255">
        <f ca="1">IF(NOW(),_xll.mirSwapPV($C$51,$C$52,$C$54,$G67,$C$55,$I67,$C$64,$C$65,$C$66,$C$67,$C$68,$C$69,$C$70,$C$74,$C$75,$D$63+U$76,$D$64,$D$65,$D$66,$D$67,$D$68,$D$69,$D$70,$D$71,$D$72,$D$73,$D$74,$D$75,$C$56,$C$57,$C$58,$C$59,$C$60),"")</f>
        <v>546617.22594827099</v>
      </c>
      <c r="V92" s="255">
        <f ca="1">IF(NOW(),_xll.mirSwapPV($C$51,$C$52,$C$54,$G67,$C$55,$I67,$C$64,$C$65,$C$66,$C$67,$C$68,$C$69,$C$70,$C$74,$C$75,$D$63+V$76,$D$64,$D$65,$D$66,$D$67,$D$68,$D$69,$D$70,$D$71,$D$72,$D$73,$D$74,$D$75,$C$56,$C$57,$C$58,$C$59,$C$60),"")</f>
        <v>819925.83892240655</v>
      </c>
      <c r="W92" s="255">
        <f ca="1">IF(NOW(),_xll.mirSwapPV($C$51,$C$52,$C$54,$G67,$C$55,$I67,$C$64,$C$65,$C$66,$C$67,$C$68,$C$69,$C$70,$C$74,$C$75,$D$63+W$76,$D$64,$D$65,$D$66,$D$67,$D$68,$D$69,$D$70,$D$71,$D$72,$D$73,$D$74,$D$75,$C$56,$C$57,$C$58,$C$59,$C$60),"")</f>
        <v>1093234.4518965418</v>
      </c>
      <c r="X92" s="255">
        <f ca="1">IF(NOW(),_xll.mirSwapPV($C$51,$C$52,$C$54,$G67,$C$55,$I67,$C$64,$C$65,$C$66,$C$67,$C$68,$C$69,$C$70,$C$74,$C$75,$D$63+X$76,$D$64,$D$65,$D$66,$D$67,$D$68,$D$69,$D$70,$D$71,$D$72,$D$73,$D$74,$D$75,$C$56,$C$57,$C$58,$C$59,$C$60),"")</f>
        <v>1366543.0648706777</v>
      </c>
      <c r="Y92" s="229"/>
      <c r="AG92" s="230" t="s">
        <v>16</v>
      </c>
      <c r="AH92" s="255">
        <f ca="1">IF(NOW(),_xll.mirSwapPV($C$51,$C$52,$C$54,$AA67,$C$55,$AC67,$C$64,$C$65,$C$66,$C$67,$C$68,$C$69,$C$70,$C$74,$C$75,$D$63+AH$76,$D$64,$D$65,$D$66,$D$67,$D$68,$D$69,$D$70,$D$71,$D$72,$D$73,$D$74,$D$75,$C$56,$C$57,$C$58,$D$59,$C$60),"")</f>
        <v>-1366543.064870677</v>
      </c>
      <c r="AI92" s="255">
        <f ca="1">IF(NOW(),_xll.mirSwapPV($C$51,$C$52,$C$54,$AA67,$C$55,$AC67,$C$64,$C$65,$C$66,$C$67,$C$68,$C$69,$C$70,$C$74,$C$75,$D$63+AI$76,$D$64,$D$65,$D$66,$D$67,$D$68,$D$69,$D$70,$D$71,$D$72,$D$73,$D$74,$D$75,$C$56,$C$57,$C$58,$D$59,$C$60),"")</f>
        <v>-1093234.4518965418</v>
      </c>
      <c r="AJ92" s="255">
        <f ca="1">IF(NOW(),_xll.mirSwapPV($C$51,$C$52,$C$54,$AA67,$C$55,$AC67,$C$64,$C$65,$C$66,$C$67,$C$68,$C$69,$C$70,$C$74,$C$75,$D$63+AJ$76,$D$64,$D$65,$D$66,$D$67,$D$68,$D$69,$D$70,$D$71,$D$72,$D$73,$D$74,$D$75,$C$56,$C$57,$C$58,$D$59,$C$60),"")</f>
        <v>-819925.83892240631</v>
      </c>
      <c r="AK92" s="255">
        <f ca="1">IF(NOW(),_xll.mirSwapPV($C$51,$C$52,$C$54,$AA67,$C$55,$AC67,$C$64,$C$65,$C$66,$C$67,$C$68,$C$69,$C$70,$C$74,$C$75,$D$63+AK$76,$D$64,$D$65,$D$66,$D$67,$D$68,$D$69,$D$70,$D$71,$D$72,$D$73,$D$74,$D$75,$C$56,$C$57,$C$58,$D$59,$C$60),"")</f>
        <v>-546617.22594827123</v>
      </c>
      <c r="AL92" s="255">
        <f ca="1">IF(NOW(),_xll.mirSwapPV($C$51,$C$52,$C$54,$AA67,$C$55,$AC67,$C$64,$C$65,$C$66,$C$67,$C$68,$C$69,$C$70,$C$74,$C$75,$D$63+AL$76,$D$64,$D$65,$D$66,$D$67,$D$68,$D$69,$D$70,$D$71,$D$72,$D$73,$D$74,$D$75,$C$56,$C$57,$C$58,$D$59,$C$60),"")</f>
        <v>-273308.61297413532</v>
      </c>
      <c r="AM92" s="255">
        <f ca="1">IF(NOW(),_xll.mirSwapPV($C$51,$C$52,$C$54,$AA67,$C$55,$AC67,$C$64,$C$65,$C$66,$C$67,$C$68,$C$69,$C$70,$C$74,$C$75,$D$63+AM$76,$D$64,$D$65,$D$66,$D$67,$D$68,$D$69,$D$70,$D$71,$D$72,$D$73,$D$74,$D$75,$C$56,$C$57,$C$58,$D$59,$C$60),"")</f>
        <v>-5.5511151231257827E-11</v>
      </c>
      <c r="AN92" s="255">
        <f ca="1">IF(NOW(),_xll.mirSwapPV($C$51,$C$52,$C$54,$AA67,$C$55,$AC67,$C$64,$C$65,$C$66,$C$67,$C$68,$C$69,$C$70,$C$74,$C$75,$D$63+AN$76,$D$64,$D$65,$D$66,$D$67,$D$68,$D$69,$D$70,$D$71,$D$72,$D$73,$D$74,$D$75,$C$56,$C$57,$C$58,$D$59,$C$60),"")</f>
        <v>273308.61297413555</v>
      </c>
      <c r="AO92" s="255">
        <f ca="1">IF(NOW(),_xll.mirSwapPV($C$51,$C$52,$C$54,$AA67,$C$55,$AC67,$C$64,$C$65,$C$66,$C$67,$C$68,$C$69,$C$70,$C$74,$C$75,$D$63+AO$76,$D$64,$D$65,$D$66,$D$67,$D$68,$D$69,$D$70,$D$71,$D$72,$D$73,$D$74,$D$75,$C$56,$C$57,$C$58,$D$59,$C$60),"")</f>
        <v>546617.22594827111</v>
      </c>
      <c r="AP92" s="255">
        <f ca="1">IF(NOW(),_xll.mirSwapPV($C$51,$C$52,$C$54,$AA67,$C$55,$AC67,$C$64,$C$65,$C$66,$C$67,$C$68,$C$69,$C$70,$C$74,$C$75,$D$63+AP$76,$D$64,$D$65,$D$66,$D$67,$D$68,$D$69,$D$70,$D$71,$D$72,$D$73,$D$74,$D$75,$C$56,$C$57,$C$58,$D$59,$C$60),"")</f>
        <v>819925.83892240666</v>
      </c>
      <c r="AQ92" s="255">
        <f ca="1">IF(NOW(),_xll.mirSwapPV($C$51,$C$52,$C$54,$AA67,$C$55,$AC67,$C$64,$C$65,$C$66,$C$67,$C$68,$C$69,$C$70,$C$74,$C$75,$D$63+AQ$76,$D$64,$D$65,$D$66,$D$67,$D$68,$D$69,$D$70,$D$71,$D$72,$D$73,$D$74,$D$75,$C$56,$C$57,$C$58,$D$59,$C$60),"")</f>
        <v>1093234.4518965418</v>
      </c>
      <c r="AR92" s="255">
        <f ca="1">IF(NOW(),_xll.mirSwapPV($C$51,$C$52,$C$54,$AA67,$C$55,$AC67,$C$64,$C$65,$C$66,$C$67,$C$68,$C$69,$C$70,$C$74,$C$75,$D$63+AR$76,$D$64,$D$65,$D$66,$D$67,$D$68,$D$69,$D$70,$D$71,$D$72,$D$73,$D$74,$D$75,$C$56,$C$57,$C$58,$D$59,$C$60),"")</f>
        <v>1366543.0648706779</v>
      </c>
    </row>
    <row r="93" spans="6:44">
      <c r="F93" s="230"/>
      <c r="G93" s="227"/>
      <c r="H93" s="229"/>
      <c r="I93" s="229"/>
      <c r="J93" s="229"/>
      <c r="K93" s="230"/>
      <c r="L93" s="230"/>
      <c r="M93" s="230" t="s">
        <v>15</v>
      </c>
      <c r="N93" s="255">
        <f ca="1">IF(NOW(),_xll.mirSwapPV($C$51,$C$52,$C$54,$G68,$C$55,$I68,$C$64,$C$65,$C$66,$C$67,$C$68,$C$69,$C$70,$C$74,$C$75,$D$63+N$76,$D$64,$D$65,$D$66,$D$67,$D$68,$D$69,$D$70,$D$71,$D$72,$D$73,$D$74,$D$75,$C$56,$C$57,$C$58,$C$59,$C$60),"")</f>
        <v>-1499145.7303461705</v>
      </c>
      <c r="O93" s="255">
        <f ca="1">IF(NOW(),_xll.mirSwapPV($C$51,$C$52,$C$54,$G68,$C$55,$I68,$C$64,$C$65,$C$66,$C$67,$C$68,$C$69,$C$70,$C$74,$C$75,$D$63+O$76,$D$64,$D$65,$D$66,$D$67,$D$68,$D$69,$D$70,$D$71,$D$72,$D$73,$D$74,$D$75,$C$56,$C$57,$C$58,$C$59,$C$60),"")</f>
        <v>-1199316.5842769372</v>
      </c>
      <c r="P93" s="255">
        <f ca="1">IF(NOW(),_xll.mirSwapPV($C$51,$C$52,$C$54,$G68,$C$55,$I68,$C$64,$C$65,$C$66,$C$67,$C$68,$C$69,$C$70,$C$74,$C$75,$D$63+P$76,$D$64,$D$65,$D$66,$D$67,$D$68,$D$69,$D$70,$D$71,$D$72,$D$73,$D$74,$D$75,$C$56,$C$57,$C$58,$C$59,$C$60),"")</f>
        <v>-899487.43820770283</v>
      </c>
      <c r="Q93" s="255">
        <f ca="1">IF(NOW(),_xll.mirSwapPV($C$51,$C$52,$C$54,$G68,$C$55,$I68,$C$64,$C$65,$C$66,$C$67,$C$68,$C$69,$C$70,$C$74,$C$75,$D$63+Q$76,$D$64,$D$65,$D$66,$D$67,$D$68,$D$69,$D$70,$D$71,$D$72,$D$73,$D$74,$D$75,$C$56,$C$57,$C$58,$C$59,$C$60),"")</f>
        <v>-599658.29213846894</v>
      </c>
      <c r="R93" s="255">
        <f ca="1">IF(NOW(),_xll.mirSwapPV($C$51,$C$52,$C$54,$G68,$C$55,$I68,$C$64,$C$65,$C$66,$C$67,$C$68,$C$69,$C$70,$C$74,$C$75,$D$63+R$76,$D$64,$D$65,$D$66,$D$67,$D$68,$D$69,$D$70,$D$71,$D$72,$D$73,$D$74,$D$75,$C$56,$C$57,$C$58,$C$59,$C$60),"")</f>
        <v>-299829.14606923447</v>
      </c>
      <c r="S93" s="255">
        <f ca="1">IF(NOW(),_xll.mirSwapPV($C$51,$C$52,$C$54,$G68,$C$55,$I68,$C$64,$C$65,$C$66,$C$67,$C$68,$C$69,$C$70,$C$74,$C$75,$D$63+S$76,$D$64,$D$65,$D$66,$D$67,$D$68,$D$69,$D$70,$D$71,$D$72,$D$73,$D$74,$D$75,$C$56,$C$57,$C$58,$C$59,$C$60),"")</f>
        <v>0</v>
      </c>
      <c r="T93" s="255">
        <f ca="1">IF(NOW(),_xll.mirSwapPV($C$51,$C$52,$C$54,$G68,$C$55,$I68,$C$64,$C$65,$C$66,$C$67,$C$68,$C$69,$C$70,$C$74,$C$75,$D$63+T$76,$D$64,$D$65,$D$66,$D$67,$D$68,$D$69,$D$70,$D$71,$D$72,$D$73,$D$74,$D$75,$C$56,$C$57,$C$58,$C$59,$C$60),"")</f>
        <v>299829.1460692343</v>
      </c>
      <c r="U93" s="255">
        <f ca="1">IF(NOW(),_xll.mirSwapPV($C$51,$C$52,$C$54,$G68,$C$55,$I68,$C$64,$C$65,$C$66,$C$67,$C$68,$C$69,$C$70,$C$74,$C$75,$D$63+U$76,$D$64,$D$65,$D$66,$D$67,$D$68,$D$69,$D$70,$D$71,$D$72,$D$73,$D$74,$D$75,$C$56,$C$57,$C$58,$C$59,$C$60),"")</f>
        <v>599658.29213846847</v>
      </c>
      <c r="V93" s="255">
        <f ca="1">IF(NOW(),_xll.mirSwapPV($C$51,$C$52,$C$54,$G68,$C$55,$I68,$C$64,$C$65,$C$66,$C$67,$C$68,$C$69,$C$70,$C$74,$C$75,$D$63+V$76,$D$64,$D$65,$D$66,$D$67,$D$68,$D$69,$D$70,$D$71,$D$72,$D$73,$D$74,$D$75,$C$56,$C$57,$C$58,$C$59,$C$60),"")</f>
        <v>899487.43820770271</v>
      </c>
      <c r="W93" s="255">
        <f ca="1">IF(NOW(),_xll.mirSwapPV($C$51,$C$52,$C$54,$G68,$C$55,$I68,$C$64,$C$65,$C$66,$C$67,$C$68,$C$69,$C$70,$C$74,$C$75,$D$63+W$76,$D$64,$D$65,$D$66,$D$67,$D$68,$D$69,$D$70,$D$71,$D$72,$D$73,$D$74,$D$75,$C$56,$C$57,$C$58,$C$59,$C$60),"")</f>
        <v>1199316.5842769367</v>
      </c>
      <c r="X93" s="255">
        <f ca="1">IF(NOW(),_xll.mirSwapPV($C$51,$C$52,$C$54,$G68,$C$55,$I68,$C$64,$C$65,$C$66,$C$67,$C$68,$C$69,$C$70,$C$74,$C$75,$D$63+X$76,$D$64,$D$65,$D$66,$D$67,$D$68,$D$69,$D$70,$D$71,$D$72,$D$73,$D$74,$D$75,$C$56,$C$57,$C$58,$C$59,$C$60),"")</f>
        <v>1499145.7303461712</v>
      </c>
      <c r="Y93" s="229"/>
      <c r="AG93" s="230" t="s">
        <v>15</v>
      </c>
      <c r="AH93" s="255">
        <f ca="1">IF(NOW(),_xll.mirSwapPV($C$51,$C$52,$C$54,$AA68,$C$55,$AC68,$C$64,$C$65,$C$66,$C$67,$C$68,$C$69,$C$70,$C$74,$C$75,$D$63+AH$76,$D$64,$D$65,$D$66,$D$67,$D$68,$D$69,$D$70,$D$71,$D$72,$D$73,$D$74,$D$75,$C$56,$C$57,$C$58,$D$59,$C$60),"")</f>
        <v>-1499145.7303461703</v>
      </c>
      <c r="AI93" s="255">
        <f ca="1">IF(NOW(),_xll.mirSwapPV($C$51,$C$52,$C$54,$AA68,$C$55,$AC68,$C$64,$C$65,$C$66,$C$67,$C$68,$C$69,$C$70,$C$74,$C$75,$D$63+AI$76,$D$64,$D$65,$D$66,$D$67,$D$68,$D$69,$D$70,$D$71,$D$72,$D$73,$D$74,$D$75,$C$56,$C$57,$C$58,$D$59,$C$60),"")</f>
        <v>-1199316.5842769365</v>
      </c>
      <c r="AJ93" s="255">
        <f ca="1">IF(NOW(),_xll.mirSwapPV($C$51,$C$52,$C$54,$AA68,$C$55,$AC68,$C$64,$C$65,$C$66,$C$67,$C$68,$C$69,$C$70,$C$74,$C$75,$D$63+AJ$76,$D$64,$D$65,$D$66,$D$67,$D$68,$D$69,$D$70,$D$71,$D$72,$D$73,$D$74,$D$75,$C$56,$C$57,$C$58,$D$59,$C$60),"")</f>
        <v>-899487.43820770248</v>
      </c>
      <c r="AK93" s="255">
        <f ca="1">IF(NOW(),_xll.mirSwapPV($C$51,$C$52,$C$54,$AA68,$C$55,$AC68,$C$64,$C$65,$C$66,$C$67,$C$68,$C$69,$C$70,$C$74,$C$75,$D$63+AK$76,$D$64,$D$65,$D$66,$D$67,$D$68,$D$69,$D$70,$D$71,$D$72,$D$73,$D$74,$D$75,$C$56,$C$57,$C$58,$D$59,$C$60),"")</f>
        <v>-599658.29213846859</v>
      </c>
      <c r="AL93" s="255">
        <f ca="1">IF(NOW(),_xll.mirSwapPV($C$51,$C$52,$C$54,$AA68,$C$55,$AC68,$C$64,$C$65,$C$66,$C$67,$C$68,$C$69,$C$70,$C$74,$C$75,$D$63+AL$76,$D$64,$D$65,$D$66,$D$67,$D$68,$D$69,$D$70,$D$71,$D$72,$D$73,$D$74,$D$75,$C$56,$C$57,$C$58,$D$59,$C$60),"")</f>
        <v>-299829.14606923383</v>
      </c>
      <c r="AM93" s="255">
        <f ca="1">IF(NOW(),_xll.mirSwapPV($C$51,$C$52,$C$54,$AA68,$C$55,$AC68,$C$64,$C$65,$C$66,$C$67,$C$68,$C$69,$C$70,$C$74,$C$75,$D$63+AM$76,$D$64,$D$65,$D$66,$D$67,$D$68,$D$69,$D$70,$D$71,$D$72,$D$73,$D$74,$D$75,$C$56,$C$57,$C$58,$D$59,$C$60),"")</f>
        <v>0</v>
      </c>
      <c r="AN93" s="255">
        <f ca="1">IF(NOW(),_xll.mirSwapPV($C$51,$C$52,$C$54,$AA68,$C$55,$AC68,$C$64,$C$65,$C$66,$C$67,$C$68,$C$69,$C$70,$C$74,$C$75,$D$63+AN$76,$D$64,$D$65,$D$66,$D$67,$D$68,$D$69,$D$70,$D$71,$D$72,$D$73,$D$74,$D$75,$C$56,$C$57,$C$58,$D$59,$C$60),"")</f>
        <v>299829.14606923453</v>
      </c>
      <c r="AO93" s="255">
        <f ca="1">IF(NOW(),_xll.mirSwapPV($C$51,$C$52,$C$54,$AA68,$C$55,$AC68,$C$64,$C$65,$C$66,$C$67,$C$68,$C$69,$C$70,$C$74,$C$75,$D$63+AO$76,$D$64,$D$65,$D$66,$D$67,$D$68,$D$69,$D$70,$D$71,$D$72,$D$73,$D$74,$D$75,$C$56,$C$57,$C$58,$D$59,$C$60),"")</f>
        <v>599658.29213846894</v>
      </c>
      <c r="AP93" s="255">
        <f ca="1">IF(NOW(),_xll.mirSwapPV($C$51,$C$52,$C$54,$AA68,$C$55,$AC68,$C$64,$C$65,$C$66,$C$67,$C$68,$C$69,$C$70,$C$74,$C$75,$D$63+AP$76,$D$64,$D$65,$D$66,$D$67,$D$68,$D$69,$D$70,$D$71,$D$72,$D$73,$D$74,$D$75,$C$56,$C$57,$C$58,$D$59,$C$60),"")</f>
        <v>899487.43820770318</v>
      </c>
      <c r="AQ93" s="255">
        <f ca="1">IF(NOW(),_xll.mirSwapPV($C$51,$C$52,$C$54,$AA68,$C$55,$AC68,$C$64,$C$65,$C$66,$C$67,$C$68,$C$69,$C$70,$C$74,$C$75,$D$63+AQ$76,$D$64,$D$65,$D$66,$D$67,$D$68,$D$69,$D$70,$D$71,$D$72,$D$73,$D$74,$D$75,$C$56,$C$57,$C$58,$D$59,$C$60),"")</f>
        <v>1199316.5842769372</v>
      </c>
      <c r="AR93" s="255">
        <f ca="1">IF(NOW(),_xll.mirSwapPV($C$51,$C$52,$C$54,$AA68,$C$55,$AC68,$C$64,$C$65,$C$66,$C$67,$C$68,$C$69,$C$70,$C$74,$C$75,$D$63+AR$76,$D$64,$D$65,$D$66,$D$67,$D$68,$D$69,$D$70,$D$71,$D$72,$D$73,$D$74,$D$75,$C$56,$C$57,$C$58,$D$59,$C$60),"")</f>
        <v>1499145.7303461719</v>
      </c>
    </row>
    <row r="94" spans="6:44">
      <c r="F94" s="230"/>
      <c r="G94" s="227"/>
      <c r="H94" s="229"/>
      <c r="I94" s="229"/>
      <c r="J94" s="229"/>
      <c r="K94" s="230"/>
      <c r="L94" s="230"/>
      <c r="M94" s="230" t="s">
        <v>368</v>
      </c>
      <c r="N94" s="255">
        <f ca="1">IF(NOW(),_xll.mirSwapPV($C$51,$C$52,$C$54,$G69,$C$55,$I69,$C$64,$C$65,$C$66,$C$67,$C$68,$C$69,$C$70,$C$74,$C$75,$D$63+N$76,$D$64,$D$65,$D$66,$D$67,$D$68,$D$69,$D$70,$D$71,$D$72,$D$73,$D$74,$D$75,$C$56,$C$57,$C$58,$C$59,$C$60),"")</f>
        <v>-1620154.4699725835</v>
      </c>
      <c r="O94" s="255">
        <f ca="1">IF(NOW(),_xll.mirSwapPV($C$51,$C$52,$C$54,$G69,$C$55,$I69,$C$64,$C$65,$C$66,$C$67,$C$68,$C$69,$C$70,$C$74,$C$75,$D$63+O$76,$D$64,$D$65,$D$66,$D$67,$D$68,$D$69,$D$70,$D$71,$D$72,$D$73,$D$74,$D$75,$C$56,$C$57,$C$58,$C$59,$C$60),"")</f>
        <v>-1296123.5759780677</v>
      </c>
      <c r="P94" s="255">
        <f ca="1">IF(NOW(),_xll.mirSwapPV($C$51,$C$52,$C$54,$G69,$C$55,$I69,$C$64,$C$65,$C$66,$C$67,$C$68,$C$69,$C$70,$C$74,$C$75,$D$63+P$76,$D$64,$D$65,$D$66,$D$67,$D$68,$D$69,$D$70,$D$71,$D$72,$D$73,$D$74,$D$75,$C$56,$C$57,$C$58,$C$59,$C$60),"")</f>
        <v>-972092.68198355101</v>
      </c>
      <c r="Q94" s="255">
        <f ca="1">IF(NOW(),_xll.mirSwapPV($C$51,$C$52,$C$54,$G69,$C$55,$I69,$C$64,$C$65,$C$66,$C$67,$C$68,$C$69,$C$70,$C$74,$C$75,$D$63+Q$76,$D$64,$D$65,$D$66,$D$67,$D$68,$D$69,$D$70,$D$71,$D$72,$D$73,$D$74,$D$75,$C$56,$C$57,$C$58,$C$59,$C$60),"")</f>
        <v>-648061.78798903432</v>
      </c>
      <c r="R94" s="255">
        <f ca="1">IF(NOW(),_xll.mirSwapPV($C$51,$C$52,$C$54,$G69,$C$55,$I69,$C$64,$C$65,$C$66,$C$67,$C$68,$C$69,$C$70,$C$74,$C$75,$D$63+R$76,$D$64,$D$65,$D$66,$D$67,$D$68,$D$69,$D$70,$D$71,$D$72,$D$73,$D$74,$D$75,$C$56,$C$57,$C$58,$C$59,$C$60),"")</f>
        <v>-324030.89399451733</v>
      </c>
      <c r="S94" s="255">
        <f ca="1">IF(NOW(),_xll.mirSwapPV($C$51,$C$52,$C$54,$G69,$C$55,$I69,$C$64,$C$65,$C$66,$C$67,$C$68,$C$69,$C$70,$C$74,$C$75,$D$63+S$76,$D$64,$D$65,$D$66,$D$67,$D$68,$D$69,$D$70,$D$71,$D$72,$D$73,$D$74,$D$75,$C$56,$C$57,$C$58,$C$59,$C$60),"")</f>
        <v>0</v>
      </c>
      <c r="T94" s="255">
        <f ca="1">IF(NOW(),_xll.mirSwapPV($C$51,$C$52,$C$54,$G69,$C$55,$I69,$C$64,$C$65,$C$66,$C$67,$C$68,$C$69,$C$70,$C$74,$C$75,$D$63+T$76,$D$64,$D$65,$D$66,$D$67,$D$68,$D$69,$D$70,$D$71,$D$72,$D$73,$D$74,$D$75,$C$56,$C$57,$C$58,$C$59,$C$60),"")</f>
        <v>324030.89399451693</v>
      </c>
      <c r="U94" s="255">
        <f ca="1">IF(NOW(),_xll.mirSwapPV($C$51,$C$52,$C$54,$G69,$C$55,$I69,$C$64,$C$65,$C$66,$C$67,$C$68,$C$69,$C$70,$C$74,$C$75,$D$63+U$76,$D$64,$D$65,$D$66,$D$67,$D$68,$D$69,$D$70,$D$71,$D$72,$D$73,$D$74,$D$75,$C$56,$C$57,$C$58,$C$59,$C$60),"")</f>
        <v>648061.78798903385</v>
      </c>
      <c r="V94" s="255">
        <f ca="1">IF(NOW(),_xll.mirSwapPV($C$51,$C$52,$C$54,$G69,$C$55,$I69,$C$64,$C$65,$C$66,$C$67,$C$68,$C$69,$C$70,$C$74,$C$75,$D$63+V$76,$D$64,$D$65,$D$66,$D$67,$D$68,$D$69,$D$70,$D$71,$D$72,$D$73,$D$74,$D$75,$C$56,$C$57,$C$58,$C$59,$C$60),"")</f>
        <v>972092.68198355066</v>
      </c>
      <c r="W94" s="255">
        <f ca="1">IF(NOW(),_xll.mirSwapPV($C$51,$C$52,$C$54,$G69,$C$55,$I69,$C$64,$C$65,$C$66,$C$67,$C$68,$C$69,$C$70,$C$74,$C$75,$D$63+W$76,$D$64,$D$65,$D$66,$D$67,$D$68,$D$69,$D$70,$D$71,$D$72,$D$73,$D$74,$D$75,$C$56,$C$57,$C$58,$C$59,$C$60),"")</f>
        <v>1296123.5759780677</v>
      </c>
      <c r="X94" s="255">
        <f ca="1">IF(NOW(),_xll.mirSwapPV($C$51,$C$52,$C$54,$G69,$C$55,$I69,$C$64,$C$65,$C$66,$C$67,$C$68,$C$69,$C$70,$C$74,$C$75,$D$63+X$76,$D$64,$D$65,$D$66,$D$67,$D$68,$D$69,$D$70,$D$71,$D$72,$D$73,$D$74,$D$75,$C$56,$C$57,$C$58,$C$59,$C$60),"")</f>
        <v>1620154.4699725846</v>
      </c>
      <c r="Y94" s="229"/>
      <c r="AG94" s="230" t="s">
        <v>368</v>
      </c>
      <c r="AH94" s="255">
        <f ca="1">IF(NOW(),_xll.mirSwapPV($C$51,$C$52,$C$54,$AA69,$C$55,$AC69,$C$64,$C$65,$C$66,$C$67,$C$68,$C$69,$C$70,$C$74,$C$75,$D$63+AH$76,$D$64,$D$65,$D$66,$D$67,$D$68,$D$69,$D$70,$D$71,$D$72,$D$73,$D$74,$D$75,$C$56,$C$57,$C$58,$D$59,$C$60),"")</f>
        <v>-1620154.4699725835</v>
      </c>
      <c r="AI94" s="255">
        <f ca="1">IF(NOW(),_xll.mirSwapPV($C$51,$C$52,$C$54,$AA69,$C$55,$AC69,$C$64,$C$65,$C$66,$C$67,$C$68,$C$69,$C$70,$C$74,$C$75,$D$63+AI$76,$D$64,$D$65,$D$66,$D$67,$D$68,$D$69,$D$70,$D$71,$D$72,$D$73,$D$74,$D$75,$C$56,$C$57,$C$58,$D$59,$C$60),"")</f>
        <v>-1296123.5759780672</v>
      </c>
      <c r="AJ94" s="255">
        <f ca="1">IF(NOW(),_xll.mirSwapPV($C$51,$C$52,$C$54,$AA69,$C$55,$AC69,$C$64,$C$65,$C$66,$C$67,$C$68,$C$69,$C$70,$C$74,$C$75,$D$63+AJ$76,$D$64,$D$65,$D$66,$D$67,$D$68,$D$69,$D$70,$D$71,$D$72,$D$73,$D$74,$D$75,$C$56,$C$57,$C$58,$D$59,$C$60),"")</f>
        <v>-972092.68198355054</v>
      </c>
      <c r="AK94" s="255">
        <f ca="1">IF(NOW(),_xll.mirSwapPV($C$51,$C$52,$C$54,$AA69,$C$55,$AC69,$C$64,$C$65,$C$66,$C$67,$C$68,$C$69,$C$70,$C$74,$C$75,$D$63+AK$76,$D$64,$D$65,$D$66,$D$67,$D$68,$D$69,$D$70,$D$71,$D$72,$D$73,$D$74,$D$75,$C$56,$C$57,$C$58,$D$59,$C$60),"")</f>
        <v>-648061.78798903408</v>
      </c>
      <c r="AL94" s="255">
        <f ca="1">IF(NOW(),_xll.mirSwapPV($C$51,$C$52,$C$54,$AA69,$C$55,$AC69,$C$64,$C$65,$C$66,$C$67,$C$68,$C$69,$C$70,$C$74,$C$75,$D$63+AL$76,$D$64,$D$65,$D$66,$D$67,$D$68,$D$69,$D$70,$D$71,$D$72,$D$73,$D$74,$D$75,$C$56,$C$57,$C$58,$D$59,$C$60),"")</f>
        <v>-324030.89399451658</v>
      </c>
      <c r="AM94" s="255">
        <f ca="1">IF(NOW(),_xll.mirSwapPV($C$51,$C$52,$C$54,$AA69,$C$55,$AC69,$C$64,$C$65,$C$66,$C$67,$C$68,$C$69,$C$70,$C$74,$C$75,$D$63+AM$76,$D$64,$D$65,$D$66,$D$67,$D$68,$D$69,$D$70,$D$71,$D$72,$D$73,$D$74,$D$75,$C$56,$C$57,$C$58,$D$59,$C$60),"")</f>
        <v>0</v>
      </c>
      <c r="AN94" s="255">
        <f ca="1">IF(NOW(),_xll.mirSwapPV($C$51,$C$52,$C$54,$AA69,$C$55,$AC69,$C$64,$C$65,$C$66,$C$67,$C$68,$C$69,$C$70,$C$74,$C$75,$D$63+AN$76,$D$64,$D$65,$D$66,$D$67,$D$68,$D$69,$D$70,$D$71,$D$72,$D$73,$D$74,$D$75,$C$56,$C$57,$C$58,$D$59,$C$60),"")</f>
        <v>324030.89399451722</v>
      </c>
      <c r="AO94" s="255">
        <f ca="1">IF(NOW(),_xll.mirSwapPV($C$51,$C$52,$C$54,$AA69,$C$55,$AC69,$C$64,$C$65,$C$66,$C$67,$C$68,$C$69,$C$70,$C$74,$C$75,$D$63+AO$76,$D$64,$D$65,$D$66,$D$67,$D$68,$D$69,$D$70,$D$71,$D$72,$D$73,$D$74,$D$75,$C$56,$C$57,$C$58,$D$59,$C$60),"")</f>
        <v>648061.78798903432</v>
      </c>
      <c r="AP94" s="255">
        <f ca="1">IF(NOW(),_xll.mirSwapPV($C$51,$C$52,$C$54,$AA69,$C$55,$AC69,$C$64,$C$65,$C$66,$C$67,$C$68,$C$69,$C$70,$C$74,$C$75,$D$63+AP$76,$D$64,$D$65,$D$66,$D$67,$D$68,$D$69,$D$70,$D$71,$D$72,$D$73,$D$74,$D$75,$C$56,$C$57,$C$58,$D$59,$C$60),"")</f>
        <v>972092.68198355113</v>
      </c>
      <c r="AQ94" s="255">
        <f ca="1">IF(NOW(),_xll.mirSwapPV($C$51,$C$52,$C$54,$AA69,$C$55,$AC69,$C$64,$C$65,$C$66,$C$67,$C$68,$C$69,$C$70,$C$74,$C$75,$D$63+AQ$76,$D$64,$D$65,$D$66,$D$67,$D$68,$D$69,$D$70,$D$71,$D$72,$D$73,$D$74,$D$75,$C$56,$C$57,$C$58,$D$59,$C$60),"")</f>
        <v>1296123.5759780679</v>
      </c>
      <c r="AR94" s="255">
        <f ca="1">IF(NOW(),_xll.mirSwapPV($C$51,$C$52,$C$54,$AA69,$C$55,$AC69,$C$64,$C$65,$C$66,$C$67,$C$68,$C$69,$C$70,$C$74,$C$75,$D$63+AR$76,$D$64,$D$65,$D$66,$D$67,$D$68,$D$69,$D$70,$D$71,$D$72,$D$73,$D$74,$D$75,$C$56,$C$57,$C$58,$D$59,$C$60),"")</f>
        <v>1620154.4699725856</v>
      </c>
    </row>
    <row r="95" spans="6:44">
      <c r="F95" s="230"/>
      <c r="G95" s="227"/>
      <c r="H95" s="229"/>
      <c r="I95" s="229"/>
      <c r="J95" s="229"/>
      <c r="K95" s="230"/>
      <c r="L95" s="230"/>
      <c r="M95" s="230" t="s">
        <v>14</v>
      </c>
      <c r="N95" s="255">
        <f ca="1">IF(NOW(),_xll.mirSwapPV($C$51,$C$52,$C$54,$G70,$C$55,$I70,$C$64,$C$65,$C$66,$C$67,$C$68,$C$69,$C$70,$C$74,$C$75,$D$63+N$76,$D$64,$D$65,$D$66,$D$67,$D$68,$D$69,$D$70,$D$71,$D$72,$D$73,$D$74,$D$75,$C$56,$C$57,$C$58,$C$59,$C$60),"")</f>
        <v>-1730741.4546833574</v>
      </c>
      <c r="O95" s="255">
        <f ca="1">IF(NOW(),_xll.mirSwapPV($C$51,$C$52,$C$54,$G70,$C$55,$I70,$C$64,$C$65,$C$66,$C$67,$C$68,$C$69,$C$70,$C$74,$C$75,$D$63+O$76,$D$64,$D$65,$D$66,$D$67,$D$68,$D$69,$D$70,$D$71,$D$72,$D$73,$D$74,$D$75,$C$56,$C$57,$C$58,$C$59,$C$60),"")</f>
        <v>-1384593.1637466867</v>
      </c>
      <c r="P95" s="255">
        <f ca="1">IF(NOW(),_xll.mirSwapPV($C$51,$C$52,$C$54,$G70,$C$55,$I70,$C$64,$C$65,$C$66,$C$67,$C$68,$C$69,$C$70,$C$74,$C$75,$D$63+P$76,$D$64,$D$65,$D$66,$D$67,$D$68,$D$69,$D$70,$D$71,$D$72,$D$73,$D$74,$D$75,$C$56,$C$57,$C$58,$C$59,$C$60),"")</f>
        <v>-1038444.8728100156</v>
      </c>
      <c r="Q95" s="255">
        <f ca="1">IF(NOW(),_xll.mirSwapPV($C$51,$C$52,$C$54,$G70,$C$55,$I70,$C$64,$C$65,$C$66,$C$67,$C$68,$C$69,$C$70,$C$74,$C$75,$D$63+Q$76,$D$64,$D$65,$D$66,$D$67,$D$68,$D$69,$D$70,$D$71,$D$72,$D$73,$D$74,$D$75,$C$56,$C$57,$C$58,$C$59,$C$60),"")</f>
        <v>-692296.58187334414</v>
      </c>
      <c r="R95" s="255">
        <f ca="1">IF(NOW(),_xll.mirSwapPV($C$51,$C$52,$C$54,$G70,$C$55,$I70,$C$64,$C$65,$C$66,$C$67,$C$68,$C$69,$C$70,$C$74,$C$75,$D$63+R$76,$D$64,$D$65,$D$66,$D$67,$D$68,$D$69,$D$70,$D$71,$D$72,$D$73,$D$74,$D$75,$C$56,$C$57,$C$58,$C$59,$C$60),"")</f>
        <v>-346148.2909366719</v>
      </c>
      <c r="S95" s="255">
        <f ca="1">IF(NOW(),_xll.mirSwapPV($C$51,$C$52,$C$54,$G70,$C$55,$I70,$C$64,$C$65,$C$66,$C$67,$C$68,$C$69,$C$70,$C$74,$C$75,$D$63+S$76,$D$64,$D$65,$D$66,$D$67,$D$68,$D$69,$D$70,$D$71,$D$72,$D$73,$D$74,$D$75,$C$56,$C$57,$C$58,$C$59,$C$60),"")</f>
        <v>0</v>
      </c>
      <c r="T95" s="255">
        <f ca="1">IF(NOW(),_xll.mirSwapPV($C$51,$C$52,$C$54,$G70,$C$55,$I70,$C$64,$C$65,$C$66,$C$67,$C$68,$C$69,$C$70,$C$74,$C$75,$D$63+T$76,$D$64,$D$65,$D$66,$D$67,$D$68,$D$69,$D$70,$D$71,$D$72,$D$73,$D$74,$D$75,$C$56,$C$57,$C$58,$C$59,$C$60),"")</f>
        <v>346148.29093667178</v>
      </c>
      <c r="U95" s="255">
        <f ca="1">IF(NOW(),_xll.mirSwapPV($C$51,$C$52,$C$54,$G70,$C$55,$I70,$C$64,$C$65,$C$66,$C$67,$C$68,$C$69,$C$70,$C$74,$C$75,$D$63+U$76,$D$64,$D$65,$D$66,$D$67,$D$68,$D$69,$D$70,$D$71,$D$72,$D$73,$D$74,$D$75,$C$56,$C$57,$C$58,$C$59,$C$60),"")</f>
        <v>692296.58187334356</v>
      </c>
      <c r="V95" s="255">
        <f ca="1">IF(NOW(),_xll.mirSwapPV($C$51,$C$52,$C$54,$G70,$C$55,$I70,$C$64,$C$65,$C$66,$C$67,$C$68,$C$69,$C$70,$C$74,$C$75,$D$63+V$76,$D$64,$D$65,$D$66,$D$67,$D$68,$D$69,$D$70,$D$71,$D$72,$D$73,$D$74,$D$75,$C$56,$C$57,$C$58,$C$59,$C$60),"")</f>
        <v>1038444.8728100153</v>
      </c>
      <c r="W95" s="255">
        <f ca="1">IF(NOW(),_xll.mirSwapPV($C$51,$C$52,$C$54,$G70,$C$55,$I70,$C$64,$C$65,$C$66,$C$67,$C$68,$C$69,$C$70,$C$74,$C$75,$D$63+W$76,$D$64,$D$65,$D$66,$D$67,$D$68,$D$69,$D$70,$D$71,$D$72,$D$73,$D$74,$D$75,$C$56,$C$57,$C$58,$C$59,$C$60),"")</f>
        <v>1384593.1637466867</v>
      </c>
      <c r="X95" s="255">
        <f ca="1">IF(NOW(),_xll.mirSwapPV($C$51,$C$52,$C$54,$G70,$C$55,$I70,$C$64,$C$65,$C$66,$C$67,$C$68,$C$69,$C$70,$C$74,$C$75,$D$63+X$76,$D$64,$D$65,$D$66,$D$67,$D$68,$D$69,$D$70,$D$71,$D$72,$D$73,$D$74,$D$75,$C$56,$C$57,$C$58,$C$59,$C$60),"")</f>
        <v>1730741.4546833585</v>
      </c>
      <c r="Y95" s="229"/>
      <c r="AG95" s="230" t="s">
        <v>14</v>
      </c>
      <c r="AH95" s="255">
        <f ca="1">IF(NOW(),_xll.mirSwapPV($C$51,$C$52,$C$54,$AA70,$C$55,$AC70,$C$64,$C$65,$C$66,$C$67,$C$68,$C$69,$C$70,$C$74,$C$75,$D$63+AH$76,$D$64,$D$65,$D$66,$D$67,$D$68,$D$69,$D$70,$D$71,$D$72,$D$73,$D$74,$D$75,$C$56,$C$57,$C$58,$D$59,$C$60),"")</f>
        <v>-1730741.4546833574</v>
      </c>
      <c r="AI95" s="255">
        <f ca="1">IF(NOW(),_xll.mirSwapPV($C$51,$C$52,$C$54,$AA70,$C$55,$AC70,$C$64,$C$65,$C$66,$C$67,$C$68,$C$69,$C$70,$C$74,$C$75,$D$63+AI$76,$D$64,$D$65,$D$66,$D$67,$D$68,$D$69,$D$70,$D$71,$D$72,$D$73,$D$74,$D$75,$C$56,$C$57,$C$58,$D$59,$C$60),"")</f>
        <v>-1384593.1637466867</v>
      </c>
      <c r="AJ95" s="255">
        <f ca="1">IF(NOW(),_xll.mirSwapPV($C$51,$C$52,$C$54,$AA70,$C$55,$AC70,$C$64,$C$65,$C$66,$C$67,$C$68,$C$69,$C$70,$C$74,$C$75,$D$63+AJ$76,$D$64,$D$65,$D$66,$D$67,$D$68,$D$69,$D$70,$D$71,$D$72,$D$73,$D$74,$D$75,$C$56,$C$57,$C$58,$D$59,$C$60),"")</f>
        <v>-1038444.8728100153</v>
      </c>
      <c r="AK95" s="255">
        <f ca="1">IF(NOW(),_xll.mirSwapPV($C$51,$C$52,$C$54,$AA70,$C$55,$AC70,$C$64,$C$65,$C$66,$C$67,$C$68,$C$69,$C$70,$C$74,$C$75,$D$63+AK$76,$D$64,$D$65,$D$66,$D$67,$D$68,$D$69,$D$70,$D$71,$D$72,$D$73,$D$74,$D$75,$C$56,$C$57,$C$58,$D$59,$C$60),"")</f>
        <v>-692296.58187334402</v>
      </c>
      <c r="AL95" s="255">
        <f ca="1">IF(NOW(),_xll.mirSwapPV($C$51,$C$52,$C$54,$AA70,$C$55,$AC70,$C$64,$C$65,$C$66,$C$67,$C$68,$C$69,$C$70,$C$74,$C$75,$D$63+AL$76,$D$64,$D$65,$D$66,$D$67,$D$68,$D$69,$D$70,$D$71,$D$72,$D$73,$D$74,$D$75,$C$56,$C$57,$C$58,$D$59,$C$60),"")</f>
        <v>-346148.29093667143</v>
      </c>
      <c r="AM95" s="255">
        <f ca="1">IF(NOW(),_xll.mirSwapPV($C$51,$C$52,$C$54,$AA70,$C$55,$AC70,$C$64,$C$65,$C$66,$C$67,$C$68,$C$69,$C$70,$C$74,$C$75,$D$63+AM$76,$D$64,$D$65,$D$66,$D$67,$D$68,$D$69,$D$70,$D$71,$D$72,$D$73,$D$74,$D$75,$C$56,$C$57,$C$58,$D$59,$C$60),"")</f>
        <v>0</v>
      </c>
      <c r="AN95" s="255">
        <f ca="1">IF(NOW(),_xll.mirSwapPV($C$51,$C$52,$C$54,$AA70,$C$55,$AC70,$C$64,$C$65,$C$66,$C$67,$C$68,$C$69,$C$70,$C$74,$C$75,$D$63+AN$76,$D$64,$D$65,$D$66,$D$67,$D$68,$D$69,$D$70,$D$71,$D$72,$D$73,$D$74,$D$75,$C$56,$C$57,$C$58,$D$59,$C$60),"")</f>
        <v>346148.29093667207</v>
      </c>
      <c r="AO95" s="255">
        <f ca="1">IF(NOW(),_xll.mirSwapPV($C$51,$C$52,$C$54,$AA70,$C$55,$AC70,$C$64,$C$65,$C$66,$C$67,$C$68,$C$69,$C$70,$C$74,$C$75,$D$63+AO$76,$D$64,$D$65,$D$66,$D$67,$D$68,$D$69,$D$70,$D$71,$D$72,$D$73,$D$74,$D$75,$C$56,$C$57,$C$58,$D$59,$C$60),"")</f>
        <v>692296.58187334391</v>
      </c>
      <c r="AP95" s="255">
        <f ca="1">IF(NOW(),_xll.mirSwapPV($C$51,$C$52,$C$54,$AA70,$C$55,$AC70,$C$64,$C$65,$C$66,$C$67,$C$68,$C$69,$C$70,$C$74,$C$75,$D$63+AP$76,$D$64,$D$65,$D$66,$D$67,$D$68,$D$69,$D$70,$D$71,$D$72,$D$73,$D$74,$D$75,$C$56,$C$57,$C$58,$D$59,$C$60),"")</f>
        <v>1038444.8728100156</v>
      </c>
      <c r="AQ95" s="255">
        <f ca="1">IF(NOW(),_xll.mirSwapPV($C$51,$C$52,$C$54,$AA70,$C$55,$AC70,$C$64,$C$65,$C$66,$C$67,$C$68,$C$69,$C$70,$C$74,$C$75,$D$63+AQ$76,$D$64,$D$65,$D$66,$D$67,$D$68,$D$69,$D$70,$D$71,$D$72,$D$73,$D$74,$D$75,$C$56,$C$57,$C$58,$D$59,$C$60),"")</f>
        <v>1384593.1637466871</v>
      </c>
      <c r="AR95" s="255">
        <f ca="1">IF(NOW(),_xll.mirSwapPV($C$51,$C$52,$C$54,$AA70,$C$55,$AC70,$C$64,$C$65,$C$66,$C$67,$C$68,$C$69,$C$70,$C$74,$C$75,$D$63+AR$76,$D$64,$D$65,$D$66,$D$67,$D$68,$D$69,$D$70,$D$71,$D$72,$D$73,$D$74,$D$75,$C$56,$C$57,$C$58,$D$59,$C$60),"")</f>
        <v>1730741.4546833595</v>
      </c>
    </row>
  </sheetData>
  <dataValidations count="3">
    <dataValidation type="list" allowBlank="1" showInputMessage="1" showErrorMessage="1" sqref="C4 C52">
      <formula1>"PAYER,RECEIVER"</formula1>
    </dataValidation>
    <dataValidation type="list" allowBlank="1" showInputMessage="1" showErrorMessage="1" sqref="C27:D27 C75:D75">
      <formula1>"None,ShortStart,ShortEnd,LongStart,LongEnd,SS,SE,LS,LE"</formula1>
    </dataValidation>
    <dataValidation type="list" allowBlank="1" showInputMessage="1" showErrorMessage="1" sqref="C18:D18 C66:D66">
      <formula1>"MOD_FOLLOWING,FOLLOWING,MOD_PRECEDING,PRECEDING,NO_CHANGE"</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339933"/>
  </sheetPr>
  <dimension ref="B1:AR95"/>
  <sheetViews>
    <sheetView showGridLines="0" zoomScaleNormal="100" workbookViewId="0"/>
  </sheetViews>
  <sheetFormatPr defaultRowHeight="15"/>
  <cols>
    <col min="2" max="2" width="15.7109375" customWidth="1"/>
    <col min="3" max="4" width="18.7109375" customWidth="1"/>
    <col min="5" max="5" width="15.28515625" customWidth="1"/>
    <col min="6" max="8" width="10.7109375" customWidth="1"/>
    <col min="9" max="9" width="10.140625" customWidth="1"/>
    <col min="10" max="10" width="10.85546875" customWidth="1"/>
    <col min="11" max="13" width="10.5703125" customWidth="1"/>
    <col min="14" max="14" width="14" customWidth="1"/>
    <col min="15" max="24" width="12.5703125" customWidth="1"/>
    <col min="25" max="25" width="9.85546875" customWidth="1"/>
    <col min="26" max="26" width="10.7109375" customWidth="1"/>
    <col min="27" max="27" width="13.42578125" customWidth="1"/>
    <col min="28" max="32" width="10.7109375" customWidth="1"/>
    <col min="33" max="42" width="9.7109375" customWidth="1"/>
    <col min="43" max="43" width="11.85546875" customWidth="1"/>
    <col min="44" max="44" width="9.7109375" customWidth="1"/>
  </cols>
  <sheetData>
    <row r="1" spans="2:44">
      <c r="F1" s="219"/>
      <c r="G1" s="217"/>
      <c r="H1" s="220"/>
      <c r="P1" s="257"/>
    </row>
    <row r="2" spans="2:44">
      <c r="B2" t="s">
        <v>464</v>
      </c>
      <c r="F2" t="s">
        <v>461</v>
      </c>
      <c r="G2" s="217"/>
      <c r="J2" t="s">
        <v>463</v>
      </c>
      <c r="K2" s="259" t="b">
        <f>$C$11</f>
        <v>1</v>
      </c>
      <c r="M2" s="219" t="s">
        <v>460</v>
      </c>
      <c r="N2" s="219"/>
      <c r="O2" s="229"/>
      <c r="P2" s="252"/>
      <c r="Q2" s="252"/>
      <c r="R2" s="229"/>
      <c r="S2" s="229" t="s">
        <v>459</v>
      </c>
      <c r="T2" s="229"/>
      <c r="U2" s="229"/>
      <c r="V2" s="229"/>
      <c r="W2" t="s">
        <v>463</v>
      </c>
      <c r="X2" s="259" t="b">
        <f>$C$11</f>
        <v>1</v>
      </c>
      <c r="Z2" t="s">
        <v>461</v>
      </c>
      <c r="AA2" s="217"/>
      <c r="AD2" t="s">
        <v>463</v>
      </c>
      <c r="AE2" s="259" t="b">
        <f>$D$11</f>
        <v>0</v>
      </c>
      <c r="AG2" s="219" t="s">
        <v>460</v>
      </c>
      <c r="AH2" s="219"/>
      <c r="AI2" s="229"/>
      <c r="AJ2" s="252"/>
      <c r="AK2" s="252"/>
      <c r="AL2" s="229"/>
      <c r="AM2" s="229" t="s">
        <v>459</v>
      </c>
      <c r="AN2" s="229"/>
      <c r="AO2" s="229"/>
      <c r="AP2" s="229"/>
      <c r="AQ2" t="s">
        <v>463</v>
      </c>
      <c r="AR2" s="259" t="b">
        <f>$D$11</f>
        <v>0</v>
      </c>
    </row>
    <row r="3" spans="2:44">
      <c r="B3" s="221" t="s">
        <v>424</v>
      </c>
      <c r="C3" s="222">
        <v>1000000</v>
      </c>
      <c r="D3" s="223"/>
      <c r="F3" s="224" t="s">
        <v>76</v>
      </c>
      <c r="G3" s="224" t="s">
        <v>425</v>
      </c>
      <c r="H3" s="224" t="s">
        <v>426</v>
      </c>
      <c r="I3" s="224" t="s">
        <v>428</v>
      </c>
      <c r="J3" s="224" t="s">
        <v>465</v>
      </c>
      <c r="K3" s="224" t="s">
        <v>427</v>
      </c>
      <c r="L3" s="224"/>
      <c r="M3" s="224" t="s">
        <v>76</v>
      </c>
      <c r="N3" s="256">
        <v>-0.05</v>
      </c>
      <c r="O3" s="256">
        <f>N3+1%</f>
        <v>-0.04</v>
      </c>
      <c r="P3" s="256">
        <f t="shared" ref="P3:X3" si="0">O3+1%</f>
        <v>-0.03</v>
      </c>
      <c r="Q3" s="256">
        <f t="shared" si="0"/>
        <v>-1.9999999999999997E-2</v>
      </c>
      <c r="R3" s="256">
        <f t="shared" si="0"/>
        <v>-9.9999999999999967E-3</v>
      </c>
      <c r="S3" s="256">
        <f t="shared" si="0"/>
        <v>0</v>
      </c>
      <c r="T3" s="256">
        <f t="shared" si="0"/>
        <v>0.01</v>
      </c>
      <c r="U3" s="256">
        <f t="shared" si="0"/>
        <v>0.02</v>
      </c>
      <c r="V3" s="256">
        <f t="shared" si="0"/>
        <v>0.03</v>
      </c>
      <c r="W3" s="256">
        <f t="shared" si="0"/>
        <v>0.04</v>
      </c>
      <c r="X3" s="256">
        <f t="shared" si="0"/>
        <v>0.05</v>
      </c>
      <c r="Z3" s="224" t="s">
        <v>76</v>
      </c>
      <c r="AA3" s="224" t="s">
        <v>425</v>
      </c>
      <c r="AB3" s="224" t="s">
        <v>426</v>
      </c>
      <c r="AC3" s="224" t="s">
        <v>428</v>
      </c>
      <c r="AD3" s="224" t="s">
        <v>465</v>
      </c>
      <c r="AE3" s="224" t="s">
        <v>427</v>
      </c>
      <c r="AG3" s="224" t="s">
        <v>76</v>
      </c>
      <c r="AH3" s="256">
        <v>-0.05</v>
      </c>
      <c r="AI3" s="256">
        <f>AH3+1%</f>
        <v>-0.04</v>
      </c>
      <c r="AJ3" s="256">
        <f t="shared" ref="AJ3:AR3" si="1">AI3+1%</f>
        <v>-0.03</v>
      </c>
      <c r="AK3" s="256">
        <f t="shared" si="1"/>
        <v>-1.9999999999999997E-2</v>
      </c>
      <c r="AL3" s="256">
        <f t="shared" si="1"/>
        <v>-9.9999999999999967E-3</v>
      </c>
      <c r="AM3" s="256">
        <f t="shared" si="1"/>
        <v>0</v>
      </c>
      <c r="AN3" s="256">
        <f t="shared" si="1"/>
        <v>0.01</v>
      </c>
      <c r="AO3" s="256">
        <f t="shared" si="1"/>
        <v>0.02</v>
      </c>
      <c r="AP3" s="256">
        <f t="shared" si="1"/>
        <v>0.03</v>
      </c>
      <c r="AQ3" s="256">
        <f t="shared" si="1"/>
        <v>0.04</v>
      </c>
      <c r="AR3" s="256">
        <f t="shared" si="1"/>
        <v>0.05</v>
      </c>
    </row>
    <row r="4" spans="2:44">
      <c r="B4" s="225" t="s">
        <v>429</v>
      </c>
      <c r="C4" s="226" t="s">
        <v>430</v>
      </c>
      <c r="D4" s="223"/>
      <c r="F4" s="227" t="s">
        <v>35</v>
      </c>
      <c r="G4" s="227">
        <f>_xll.mirGetDate($C$6,F4)</f>
        <v>43661</v>
      </c>
      <c r="H4" s="228">
        <f>'USD Curve Config'!$AO9</f>
        <v>1.5833E-2</v>
      </c>
      <c r="I4" s="229">
        <f ca="1">IF(NOW(),_xll.mirGetParRate4($C$6,F4,$C$7,$C$16,$C$17,$C$18,$C$19,$C$20,$C$21,$C$22,$C$26,$C$27,$D$16,$D$17,$D$18,$D$19,$D$20,$D$21,$D$22,$D$23,$D$24,$D$25,$D$26,$D$27,$C$8,$C$9,$C$10,$C$11,$C$12),"")</f>
        <v>1.5833000341494201E-2</v>
      </c>
      <c r="J4" s="229">
        <f t="shared" ref="J4:J22" ca="1" si="2">I4-H4</f>
        <v>3.4149420097273619E-10</v>
      </c>
      <c r="K4" s="230">
        <f t="shared" ref="K4:K22" ca="1" si="3">(I4-H4)*10000</f>
        <v>3.4149420097273619E-6</v>
      </c>
      <c r="L4" s="230" t="s">
        <v>12</v>
      </c>
      <c r="M4" s="227" t="s">
        <v>35</v>
      </c>
      <c r="N4" s="255">
        <f ca="1">IF(NOW(),_xll.mirSwapPV($C$3,$C$4,$C$6,$G4,$C$7,$I4+N$3,$C$16,$C$17,$C$18,$C$19,$C$20,$C$21,$C$22,$C$26,$C$27,$D$15,$D$16,$D$17,$D$18,$D$19,$D$20,$D$21,$D$22,$D$23,$D$24,$D$25,$D$26,$D$27,$C$8,$C$9,$C$10,$C$11,$C$12),"")</f>
        <v>195562.52171450306</v>
      </c>
      <c r="O4" s="255">
        <f ca="1">IF(NOW(),_xll.mirSwapPV($C$3,$C$4,$C$6,$G4,$C$7,$I4+O$3,$C$16,$C$17,$C$18,$C$19,$C$20,$C$21,$C$22,$C$26,$C$27,$D$15,$D$16,$D$17,$D$18,$D$19,$D$20,$D$21,$D$22,$D$23,$D$24,$D$25,$D$26,$D$27,$C$8,$C$9,$C$10,$C$11,$C$12),"")</f>
        <v>156450.01737160247</v>
      </c>
      <c r="P4" s="255">
        <f ca="1">IF(NOW(),_xll.mirSwapPV($C$3,$C$4,$C$6,$G4,$C$7,$I4+P$3,$C$16,$C$17,$C$18,$C$19,$C$20,$C$21,$C$22,$C$26,$C$27,$D$15,$D$16,$D$17,$D$18,$D$19,$D$20,$D$21,$D$22,$D$23,$D$24,$D$25,$D$26,$D$27,$C$8,$C$9,$C$10,$C$11,$C$12),"")</f>
        <v>117337.51302870184</v>
      </c>
      <c r="Q4" s="255">
        <f ca="1">IF(NOW(),_xll.mirSwapPV($C$3,$C$4,$C$6,$G4,$C$7,$I4+Q$3,$C$16,$C$17,$C$18,$C$19,$C$20,$C$21,$C$22,$C$26,$C$27,$D$15,$D$16,$D$17,$D$18,$D$19,$D$20,$D$21,$D$22,$D$23,$D$24,$D$25,$D$26,$D$27,$C$8,$C$9,$C$10,$C$11,$C$12),"")</f>
        <v>78225.008685801222</v>
      </c>
      <c r="R4" s="255">
        <f ca="1">IF(NOW(),_xll.mirSwapPV($C$3,$C$4,$C$6,$G4,$C$7,$I4+R$3,$C$16,$C$17,$C$18,$C$19,$C$20,$C$21,$C$22,$C$26,$C$27,$D$15,$D$16,$D$17,$D$18,$D$19,$D$20,$D$21,$D$22,$D$23,$D$24,$D$25,$D$26,$D$27,$C$8,$C$9,$C$10,$C$11,$C$12),"")</f>
        <v>39112.504342900604</v>
      </c>
      <c r="S4" s="255">
        <f ca="1">IF(NOW(),_xll.mirSwapPV($C$3,$C$4,$C$6,$G4,$C$7,$I4+S$3,$C$16,$C$17,$C$18,$C$19,$C$20,$C$21,$C$22,$C$26,$C$27,$D$15,$D$16,$D$17,$D$18,$D$19,$D$20,$D$21,$D$22,$D$23,$D$24,$D$25,$D$26,$D$27,$C$8,$C$9,$C$10,$C$11,$C$12),"")</f>
        <v>6.9388939039072284E-12</v>
      </c>
      <c r="T4" s="255">
        <f ca="1">IF(NOW(),_xll.mirSwapPV($C$3,$C$4,$C$6,$G4,$C$7,$I4+T$3,$C$16,$C$17,$C$18,$C$19,$C$20,$C$21,$C$22,$C$26,$C$27,$D$15,$D$16,$D$17,$D$18,$D$19,$D$20,$D$21,$D$22,$D$23,$D$24,$D$25,$D$26,$D$27,$C$8,$C$9,$C$10,$C$11,$C$12),"")</f>
        <v>-39112.504342900611</v>
      </c>
      <c r="U4" s="255">
        <f ca="1">IF(NOW(),_xll.mirSwapPV($C$3,$C$4,$C$6,$G4,$C$7,$I4+U$3,$C$16,$C$17,$C$18,$C$19,$C$20,$C$21,$C$22,$C$26,$C$27,$D$15,$D$16,$D$17,$D$18,$D$19,$D$20,$D$21,$D$22,$D$23,$D$24,$D$25,$D$26,$D$27,$C$8,$C$9,$C$10,$C$11,$C$12),"")</f>
        <v>-78225.008685801207</v>
      </c>
      <c r="V4" s="255">
        <f ca="1">IF(NOW(),_xll.mirSwapPV($C$3,$C$4,$C$6,$G4,$C$7,$I4+V$3,$C$16,$C$17,$C$18,$C$19,$C$20,$C$21,$C$22,$C$26,$C$27,$D$15,$D$16,$D$17,$D$18,$D$19,$D$20,$D$21,$D$22,$D$23,$D$24,$D$25,$D$26,$D$27,$C$8,$C$9,$C$10,$C$11,$C$12),"")</f>
        <v>-117337.51302870183</v>
      </c>
      <c r="W4" s="255">
        <f ca="1">IF(NOW(),_xll.mirSwapPV($C$3,$C$4,$C$6,$G4,$C$7,$I4+W$3,$C$16,$C$17,$C$18,$C$19,$C$20,$C$21,$C$22,$C$26,$C$27,$D$15,$D$16,$D$17,$D$18,$D$19,$D$20,$D$21,$D$22,$D$23,$D$24,$D$25,$D$26,$D$27,$C$8,$C$9,$C$10,$C$11,$C$12),"")</f>
        <v>-156450.01737160244</v>
      </c>
      <c r="X4" s="255">
        <f ca="1">IF(NOW(),_xll.mirSwapPV($C$3,$C$4,$C$6,$G4,$C$7,$I4+X$3,$C$16,$C$17,$C$18,$C$19,$C$20,$C$21,$C$22,$C$26,$C$27,$D$15,$D$16,$D$17,$D$18,$D$19,$D$20,$D$21,$D$22,$D$23,$D$24,$D$25,$D$26,$D$27,$C$8,$C$9,$C$10,$C$11,$C$12),"")</f>
        <v>-195562.52171450303</v>
      </c>
      <c r="Y4" s="230" t="s">
        <v>12</v>
      </c>
      <c r="Z4" s="227" t="s">
        <v>35</v>
      </c>
      <c r="AA4" s="227">
        <f>_xll.mirGetDate($C$6,Z4)</f>
        <v>43661</v>
      </c>
      <c r="AB4" s="228">
        <f>'USD Curve Config'!$AO9</f>
        <v>1.5833E-2</v>
      </c>
      <c r="AC4" s="229">
        <f ca="1">IF(NOW(),_xll.mirGetParRate4($C$6,Z4,$C$7,$C$16,$C$17,$C$18,$C$19,$C$20,$C$21,$C$22,$C$26,$C$27,$D$16,$D$17,$D$18,$D$19,$D$20,$D$21,$D$22,$D$23,$D$24,$D$25,$D$26,$D$27,$C$8,$C$9,$C$10,$D$11,$C$12),"")</f>
        <v>1.5833000341494211E-2</v>
      </c>
      <c r="AD4" s="229">
        <f t="shared" ref="AD4:AD22" ca="1" si="4">AC4-AB4</f>
        <v>3.4149421138107705E-10</v>
      </c>
      <c r="AE4" s="230">
        <f t="shared" ref="AE4:AE22" ca="1" si="5">(AC4-AB4)*10000</f>
        <v>3.4149421138107705E-6</v>
      </c>
      <c r="AG4" s="227" t="s">
        <v>35</v>
      </c>
      <c r="AH4" s="255">
        <f ca="1">IF(NOW(),_xll.mirSwapPV($C$3,$C$4,$C$6,$G4,$C$7,$I4+AH$3,$C$16,$C$17,$C$18,$C$19,$C$20,$C$21,$C$22,$C$26,$C$27,$D$15,$D$16,$D$17,$D$18,$D$19,$D$20,$D$21,$D$22,$D$23,$D$24,$D$25,$D$26,$D$27,$C$8,$C$9,$C$10,$D$11,$C$12),"")</f>
        <v>195562.52171450312</v>
      </c>
      <c r="AI4" s="255">
        <f ca="1">IF(NOW(),_xll.mirSwapPV($C$3,$C$4,$C$6,$G4,$C$7,$I4+AI$3,$C$16,$C$17,$C$18,$C$19,$C$20,$C$21,$C$22,$C$26,$C$27,$D$15,$D$16,$D$17,$D$18,$D$19,$D$20,$D$21,$D$22,$D$23,$D$24,$D$25,$D$26,$D$27,$C$8,$C$9,$C$10,$D$11,$C$12),"")</f>
        <v>156450.0173716025</v>
      </c>
      <c r="AJ4" s="255">
        <f ca="1">IF(NOW(),_xll.mirSwapPV($C$3,$C$4,$C$6,$G4,$C$7,$I4+AJ$3,$C$16,$C$17,$C$18,$C$19,$C$20,$C$21,$C$22,$C$26,$C$27,$D$15,$D$16,$D$17,$D$18,$D$19,$D$20,$D$21,$D$22,$D$23,$D$24,$D$25,$D$26,$D$27,$C$8,$C$9,$C$10,$D$11,$C$12),"")</f>
        <v>117337.51302870188</v>
      </c>
      <c r="AK4" s="255">
        <f ca="1">IF(NOW(),_xll.mirSwapPV($C$3,$C$4,$C$6,$G4,$C$7,$I4+AK$3,$C$16,$C$17,$C$18,$C$19,$C$20,$C$21,$C$22,$C$26,$C$27,$D$15,$D$16,$D$17,$D$18,$D$19,$D$20,$D$21,$D$22,$D$23,$D$24,$D$25,$D$26,$D$27,$C$8,$C$9,$C$10,$D$11,$C$12),"")</f>
        <v>78225.008685801251</v>
      </c>
      <c r="AL4" s="255">
        <f ca="1">IF(NOW(),_xll.mirSwapPV($C$3,$C$4,$C$6,$G4,$C$7,$I4+AL$3,$C$16,$C$17,$C$18,$C$19,$C$20,$C$21,$C$22,$C$26,$C$27,$D$15,$D$16,$D$17,$D$18,$D$19,$D$20,$D$21,$D$22,$D$23,$D$24,$D$25,$D$26,$D$27,$C$8,$C$9,$C$10,$D$11,$C$12),"")</f>
        <v>39112.50434290064</v>
      </c>
      <c r="AM4" s="255">
        <f ca="1">IF(NOW(),_xll.mirSwapPV($C$3,$C$4,$C$6,$G4,$C$7,$I4+AM$3,$C$16,$C$17,$C$18,$C$19,$C$20,$C$21,$C$22,$C$26,$C$27,$D$15,$D$16,$D$17,$D$18,$D$19,$D$20,$D$21,$D$22,$D$23,$D$24,$D$25,$D$26,$D$27,$C$8,$C$9,$C$10,$D$11,$C$12),"")</f>
        <v>4.163336342344337E-11</v>
      </c>
      <c r="AN4" s="255">
        <f ca="1">IF(NOW(),_xll.mirSwapPV($C$3,$C$4,$C$6,$G4,$C$7,$I4+AN$3,$C$16,$C$17,$C$18,$C$19,$C$20,$C$21,$C$22,$C$26,$C$27,$D$15,$D$16,$D$17,$D$18,$D$19,$D$20,$D$21,$D$22,$D$23,$D$24,$D$25,$D$26,$D$27,$C$8,$C$9,$C$10,$D$11,$C$12),"")</f>
        <v>-39112.504342900575</v>
      </c>
      <c r="AO4" s="255">
        <f ca="1">IF(NOW(),_xll.mirSwapPV($C$3,$C$4,$C$6,$G4,$C$7,$I4+AO$3,$C$16,$C$17,$C$18,$C$19,$C$20,$C$21,$C$22,$C$26,$C$27,$D$15,$D$16,$D$17,$D$18,$D$19,$D$20,$D$21,$D$22,$D$23,$D$24,$D$25,$D$26,$D$27,$C$8,$C$9,$C$10,$D$11,$C$12),"")</f>
        <v>-78225.008685801164</v>
      </c>
      <c r="AP4" s="255">
        <f ca="1">IF(NOW(),_xll.mirSwapPV($C$3,$C$4,$C$6,$G4,$C$7,$I4+AP$3,$C$16,$C$17,$C$18,$C$19,$C$20,$C$21,$C$22,$C$26,$C$27,$D$15,$D$16,$D$17,$D$18,$D$19,$D$20,$D$21,$D$22,$D$23,$D$24,$D$25,$D$26,$D$27,$C$8,$C$9,$C$10,$D$11,$C$12),"")</f>
        <v>-117337.51302870178</v>
      </c>
      <c r="AQ4" s="255">
        <f ca="1">IF(NOW(),_xll.mirSwapPV($C$3,$C$4,$C$6,$G4,$C$7,$I4+AQ$3,$C$16,$C$17,$C$18,$C$19,$C$20,$C$21,$C$22,$C$26,$C$27,$D$15,$D$16,$D$17,$D$18,$D$19,$D$20,$D$21,$D$22,$D$23,$D$24,$D$25,$D$26,$D$27,$C$8,$C$9,$C$10,$D$11,$C$12),"")</f>
        <v>-156450.01737160241</v>
      </c>
      <c r="AR4" s="255">
        <f ca="1">IF(NOW(),_xll.mirSwapPV($C$3,$C$4,$C$6,$G4,$C$7,$I4+AR$3,$C$16,$C$17,$C$18,$C$19,$C$20,$C$21,$C$22,$C$26,$C$27,$D$15,$D$16,$D$17,$D$18,$D$19,$D$20,$D$21,$D$22,$D$23,$D$24,$D$25,$D$26,$D$27,$C$8,$C$9,$C$10,$D$11,$C$12),"")</f>
        <v>-195562.521714503</v>
      </c>
    </row>
    <row r="5" spans="2:44">
      <c r="B5" s="231"/>
      <c r="C5" s="231"/>
      <c r="D5" s="232"/>
      <c r="F5" s="224" t="s">
        <v>33</v>
      </c>
      <c r="G5" s="227">
        <f>_xll.mirGetDate($C$6,F5)</f>
        <v>44027</v>
      </c>
      <c r="H5" s="228">
        <f>'USD Curve Config'!$AO10</f>
        <v>1.8329999999999999E-2</v>
      </c>
      <c r="I5" s="229">
        <f ca="1">IF(NOW(),_xll.mirGetParRate4($C$6,F5,$C$7,$C$16,$C$17,$C$18,$C$19,$C$20,$C$21,$C$22,$C$26,$C$27,$D$16,$D$17,$D$18,$D$19,$D$20,$D$21,$D$22,$D$23,$D$24,$D$25,$D$26,$D$27,$C$8,$C$9,$C$10,$C$11,$C$12),"")</f>
        <v>1.8329999933707691E-2</v>
      </c>
      <c r="J5" s="229">
        <f t="shared" ca="1" si="2"/>
        <v>-6.6292308448234749E-11</v>
      </c>
      <c r="K5" s="230">
        <f t="shared" ca="1" si="3"/>
        <v>-6.6292308448234749E-7</v>
      </c>
      <c r="L5" s="230" t="s">
        <v>12</v>
      </c>
      <c r="M5" s="224" t="s">
        <v>33</v>
      </c>
      <c r="N5" s="255">
        <f ca="1">IF(NOW(),_xll.mirSwapPV($C$3,$C$4,$C$6,$G5,$C$7,$I5+N$3,$C$16,$C$17,$C$18,$C$19,$C$20,$C$21,$C$22,$C$26,$C$27,$D$15,$D$16,$D$17,$D$18,$D$19,$D$20,$D$21,$D$22,$D$23,$D$24,$D$25,$D$26,$D$27,$C$8,$C$9,$C$10,$C$11,$C$12),"")</f>
        <v>241983.52432274871</v>
      </c>
      <c r="O5" s="255">
        <f ca="1">IF(NOW(),_xll.mirSwapPV($C$3,$C$4,$C$6,$G5,$C$7,$I5+O$3,$C$16,$C$17,$C$18,$C$19,$C$20,$C$21,$C$22,$C$26,$C$27,$D$15,$D$16,$D$17,$D$18,$D$19,$D$20,$D$21,$D$22,$D$23,$D$24,$D$25,$D$26,$D$27,$C$8,$C$9,$C$10,$C$11,$C$12),"")</f>
        <v>193586.819458199</v>
      </c>
      <c r="P5" s="255">
        <f ca="1">IF(NOW(),_xll.mirSwapPV($C$3,$C$4,$C$6,$G5,$C$7,$I5+P$3,$C$16,$C$17,$C$18,$C$19,$C$20,$C$21,$C$22,$C$26,$C$27,$D$15,$D$16,$D$17,$D$18,$D$19,$D$20,$D$21,$D$22,$D$23,$D$24,$D$25,$D$26,$D$27,$C$8,$C$9,$C$10,$C$11,$C$12),"")</f>
        <v>145190.11459364922</v>
      </c>
      <c r="Q5" s="255">
        <f ca="1">IF(NOW(),_xll.mirSwapPV($C$3,$C$4,$C$6,$G5,$C$7,$I5+Q$3,$C$16,$C$17,$C$18,$C$19,$C$20,$C$21,$C$22,$C$26,$C$27,$D$15,$D$16,$D$17,$D$18,$D$19,$D$20,$D$21,$D$22,$D$23,$D$24,$D$25,$D$26,$D$27,$C$8,$C$9,$C$10,$C$11,$C$12),"")</f>
        <v>96793.409729099469</v>
      </c>
      <c r="R5" s="255">
        <f ca="1">IF(NOW(),_xll.mirSwapPV($C$3,$C$4,$C$6,$G5,$C$7,$I5+R$3,$C$16,$C$17,$C$18,$C$19,$C$20,$C$21,$C$22,$C$26,$C$27,$D$15,$D$16,$D$17,$D$18,$D$19,$D$20,$D$21,$D$22,$D$23,$D$24,$D$25,$D$26,$D$27,$C$8,$C$9,$C$10,$C$11,$C$12),"")</f>
        <v>48396.70486454972</v>
      </c>
      <c r="S5" s="255">
        <f ca="1">IF(NOW(),_xll.mirSwapPV($C$3,$C$4,$C$6,$G5,$C$7,$I5+S$3,$C$16,$C$17,$C$18,$C$19,$C$20,$C$21,$C$22,$C$26,$C$27,$D$15,$D$16,$D$17,$D$18,$D$19,$D$20,$D$21,$D$22,$D$23,$D$24,$D$25,$D$26,$D$27,$C$8,$C$9,$C$10,$C$11,$C$12),"")</f>
        <v>-1.3877787807814457E-11</v>
      </c>
      <c r="T5" s="255">
        <f ca="1">IF(NOW(),_xll.mirSwapPV($C$3,$C$4,$C$6,$G5,$C$7,$I5+T$3,$C$16,$C$17,$C$18,$C$19,$C$20,$C$21,$C$22,$C$26,$C$27,$D$15,$D$16,$D$17,$D$18,$D$19,$D$20,$D$21,$D$22,$D$23,$D$24,$D$25,$D$26,$D$27,$C$8,$C$9,$C$10,$C$11,$C$12),"")</f>
        <v>-48396.704864549749</v>
      </c>
      <c r="U5" s="255">
        <f ca="1">IF(NOW(),_xll.mirSwapPV($C$3,$C$4,$C$6,$G5,$C$7,$I5+U$3,$C$16,$C$17,$C$18,$C$19,$C$20,$C$21,$C$22,$C$26,$C$27,$D$15,$D$16,$D$17,$D$18,$D$19,$D$20,$D$21,$D$22,$D$23,$D$24,$D$25,$D$26,$D$27,$C$8,$C$9,$C$10,$C$11,$C$12),"")</f>
        <v>-96793.409729099498</v>
      </c>
      <c r="V5" s="255">
        <f ca="1">IF(NOW(),_xll.mirSwapPV($C$3,$C$4,$C$6,$G5,$C$7,$I5+V$3,$C$16,$C$17,$C$18,$C$19,$C$20,$C$21,$C$22,$C$26,$C$27,$D$15,$D$16,$D$17,$D$18,$D$19,$D$20,$D$21,$D$22,$D$23,$D$24,$D$25,$D$26,$D$27,$C$8,$C$9,$C$10,$C$11,$C$12),"")</f>
        <v>-145190.11459364928</v>
      </c>
      <c r="W5" s="255">
        <f ca="1">IF(NOW(),_xll.mirSwapPV($C$3,$C$4,$C$6,$G5,$C$7,$I5+W$3,$C$16,$C$17,$C$18,$C$19,$C$20,$C$21,$C$22,$C$26,$C$27,$D$15,$D$16,$D$17,$D$18,$D$19,$D$20,$D$21,$D$22,$D$23,$D$24,$D$25,$D$26,$D$27,$C$8,$C$9,$C$10,$C$11,$C$12),"")</f>
        <v>-193586.81945819897</v>
      </c>
      <c r="X5" s="255">
        <f ca="1">IF(NOW(),_xll.mirSwapPV($C$3,$C$4,$C$6,$G5,$C$7,$I5+X$3,$C$16,$C$17,$C$18,$C$19,$C$20,$C$21,$C$22,$C$26,$C$27,$D$15,$D$16,$D$17,$D$18,$D$19,$D$20,$D$21,$D$22,$D$23,$D$24,$D$25,$D$26,$D$27,$C$8,$C$9,$C$10,$C$11,$C$12),"")</f>
        <v>-241983.5243227488</v>
      </c>
      <c r="Y5" s="230" t="s">
        <v>12</v>
      </c>
      <c r="Z5" s="224" t="s">
        <v>33</v>
      </c>
      <c r="AA5" s="227">
        <f>_xll.mirGetDate($C$6,Z5)</f>
        <v>44027</v>
      </c>
      <c r="AB5" s="228">
        <f>'USD Curve Config'!$AO10</f>
        <v>1.8329999999999999E-2</v>
      </c>
      <c r="AC5" s="229">
        <f ca="1">IF(NOW(),_xll.mirGetParRate4($C$6,Z5,$C$7,$C$16,$C$17,$C$18,$C$19,$C$20,$C$21,$C$22,$C$26,$C$27,$D$16,$D$17,$D$18,$D$19,$D$20,$D$21,$D$22,$D$23,$D$24,$D$25,$D$26,$D$27,$C$8,$C$9,$C$10,$D$11,$C$12),"")</f>
        <v>1.832999993370767E-2</v>
      </c>
      <c r="AD5" s="229">
        <f t="shared" ca="1" si="4"/>
        <v>-6.6292329264916461E-11</v>
      </c>
      <c r="AE5" s="230">
        <f t="shared" ca="1" si="5"/>
        <v>-6.6292329264916461E-7</v>
      </c>
      <c r="AG5" s="224" t="s">
        <v>33</v>
      </c>
      <c r="AH5" s="255">
        <f ca="1">IF(NOW(),_xll.mirSwapPV($C$3,$C$4,$C$6,$G5,$C$7,$I5+AH$3,$C$16,$C$17,$C$18,$C$19,$C$20,$C$21,$C$22,$C$26,$C$27,$D$15,$D$16,$D$17,$D$18,$D$19,$D$20,$D$21,$D$22,$D$23,$D$24,$D$25,$D$26,$D$27,$C$8,$C$9,$C$10,$D$11,$C$12),"")</f>
        <v>241983.52432274862</v>
      </c>
      <c r="AI5" s="255">
        <f ca="1">IF(NOW(),_xll.mirSwapPV($C$3,$C$4,$C$6,$G5,$C$7,$I5+AI$3,$C$16,$C$17,$C$18,$C$19,$C$20,$C$21,$C$22,$C$26,$C$27,$D$15,$D$16,$D$17,$D$18,$D$19,$D$20,$D$21,$D$22,$D$23,$D$24,$D$25,$D$26,$D$27,$C$8,$C$9,$C$10,$D$11,$C$12),"")</f>
        <v>193586.81945819888</v>
      </c>
      <c r="AJ5" s="255">
        <f ca="1">IF(NOW(),_xll.mirSwapPV($C$3,$C$4,$C$6,$G5,$C$7,$I5+AJ$3,$C$16,$C$17,$C$18,$C$19,$C$20,$C$21,$C$22,$C$26,$C$27,$D$15,$D$16,$D$17,$D$18,$D$19,$D$20,$D$21,$D$22,$D$23,$D$24,$D$25,$D$26,$D$27,$C$8,$C$9,$C$10,$D$11,$C$12),"")</f>
        <v>145190.11459364914</v>
      </c>
      <c r="AK5" s="255">
        <f ca="1">IF(NOW(),_xll.mirSwapPV($C$3,$C$4,$C$6,$G5,$C$7,$I5+AK$3,$C$16,$C$17,$C$18,$C$19,$C$20,$C$21,$C$22,$C$26,$C$27,$D$15,$D$16,$D$17,$D$18,$D$19,$D$20,$D$21,$D$22,$D$23,$D$24,$D$25,$D$26,$D$27,$C$8,$C$9,$C$10,$D$11,$C$12),"")</f>
        <v>96793.409729099381</v>
      </c>
      <c r="AL5" s="255">
        <f ca="1">IF(NOW(),_xll.mirSwapPV($C$3,$C$4,$C$6,$G5,$C$7,$I5+AL$3,$C$16,$C$17,$C$18,$C$19,$C$20,$C$21,$C$22,$C$26,$C$27,$D$15,$D$16,$D$17,$D$18,$D$19,$D$20,$D$21,$D$22,$D$23,$D$24,$D$25,$D$26,$D$27,$C$8,$C$9,$C$10,$D$11,$C$12),"")</f>
        <v>48396.704864549625</v>
      </c>
      <c r="AM5" s="255">
        <f ca="1">IF(NOW(),_xll.mirSwapPV($C$3,$C$4,$C$6,$G5,$C$7,$I5+AM$3,$C$16,$C$17,$C$18,$C$19,$C$20,$C$21,$C$22,$C$26,$C$27,$D$15,$D$16,$D$17,$D$18,$D$19,$D$20,$D$21,$D$22,$D$23,$D$24,$D$25,$D$26,$D$27,$C$8,$C$9,$C$10,$D$11,$C$12),"")</f>
        <v>-1.1102230246251565E-10</v>
      </c>
      <c r="AN5" s="255">
        <f ca="1">IF(NOW(),_xll.mirSwapPV($C$3,$C$4,$C$6,$G5,$C$7,$I5+AN$3,$C$16,$C$17,$C$18,$C$19,$C$20,$C$21,$C$22,$C$26,$C$27,$D$15,$D$16,$D$17,$D$18,$D$19,$D$20,$D$21,$D$22,$D$23,$D$24,$D$25,$D$26,$D$27,$C$8,$C$9,$C$10,$D$11,$C$12),"")</f>
        <v>-48396.704864549843</v>
      </c>
      <c r="AO5" s="255">
        <f ca="1">IF(NOW(),_xll.mirSwapPV($C$3,$C$4,$C$6,$G5,$C$7,$I5+AO$3,$C$16,$C$17,$C$18,$C$19,$C$20,$C$21,$C$22,$C$26,$C$27,$D$15,$D$16,$D$17,$D$18,$D$19,$D$20,$D$21,$D$22,$D$23,$D$24,$D$25,$D$26,$D$27,$C$8,$C$9,$C$10,$D$11,$C$12),"")</f>
        <v>-96793.4097290996</v>
      </c>
      <c r="AP5" s="255">
        <f ca="1">IF(NOW(),_xll.mirSwapPV($C$3,$C$4,$C$6,$G5,$C$7,$I5+AP$3,$C$16,$C$17,$C$18,$C$19,$C$20,$C$21,$C$22,$C$26,$C$27,$D$15,$D$16,$D$17,$D$18,$D$19,$D$20,$D$21,$D$22,$D$23,$D$24,$D$25,$D$26,$D$27,$C$8,$C$9,$C$10,$D$11,$C$12),"")</f>
        <v>-145190.1145936494</v>
      </c>
      <c r="AQ5" s="255">
        <f ca="1">IF(NOW(),_xll.mirSwapPV($C$3,$C$4,$C$6,$G5,$C$7,$I5+AQ$3,$C$16,$C$17,$C$18,$C$19,$C$20,$C$21,$C$22,$C$26,$C$27,$D$15,$D$16,$D$17,$D$18,$D$19,$D$20,$D$21,$D$22,$D$23,$D$24,$D$25,$D$26,$D$27,$C$8,$C$9,$C$10,$D$11,$C$12),"")</f>
        <v>-193586.81945819905</v>
      </c>
      <c r="AR5" s="255">
        <f ca="1">IF(NOW(),_xll.mirSwapPV($C$3,$C$4,$C$6,$G5,$C$7,$I5+AR$3,$C$16,$C$17,$C$18,$C$19,$C$20,$C$21,$C$22,$C$26,$C$27,$D$15,$D$16,$D$17,$D$18,$D$19,$D$20,$D$21,$D$22,$D$23,$D$24,$D$25,$D$26,$D$27,$C$8,$C$9,$C$10,$D$11,$C$12),"")</f>
        <v>-241983.52432274888</v>
      </c>
    </row>
    <row r="6" spans="2:44">
      <c r="B6" s="221" t="s">
        <v>431</v>
      </c>
      <c r="C6" s="233">
        <v>42200</v>
      </c>
      <c r="D6" s="233"/>
      <c r="F6" s="224" t="s">
        <v>131</v>
      </c>
      <c r="G6" s="227">
        <f>_xll.mirGetDate($C$6,F6)</f>
        <v>44392</v>
      </c>
      <c r="H6" s="228">
        <f>'USD Curve Config'!$AO11</f>
        <v>2.0375999999999998E-2</v>
      </c>
      <c r="I6" s="229">
        <f ca="1">IF(NOW(),_xll.mirGetParRate4($C$6,F6,$C$7,$C$16,$C$17,$C$18,$C$19,$C$20,$C$21,$C$22,$C$26,$C$27,$D$16,$D$17,$D$18,$D$19,$D$20,$D$21,$D$22,$D$23,$D$24,$D$25,$D$26,$D$27,$C$8,$C$9,$C$10,$C$11,$C$12),"")</f>
        <v>2.0375999992694349E-2</v>
      </c>
      <c r="J6" s="229">
        <f t="shared" ca="1" si="2"/>
        <v>-7.3056491411982449E-12</v>
      </c>
      <c r="K6" s="230">
        <f t="shared" ca="1" si="3"/>
        <v>-7.3056491411982449E-8</v>
      </c>
      <c r="L6" s="230" t="s">
        <v>12</v>
      </c>
      <c r="M6" s="224" t="s">
        <v>131</v>
      </c>
      <c r="N6" s="255">
        <f ca="1">IF(NOW(),_xll.mirSwapPV($C$3,$C$4,$C$6,$G6,$C$7,$I6+N$3,$C$16,$C$17,$C$18,$C$19,$C$20,$C$21,$C$22,$C$26,$C$27,$D$15,$D$16,$D$17,$D$18,$D$19,$D$20,$D$21,$D$22,$D$23,$D$24,$D$25,$D$26,$D$27,$C$8,$C$9,$C$10,$C$11,$C$12),"")</f>
        <v>287114.0853050882</v>
      </c>
      <c r="O6" s="255">
        <f ca="1">IF(NOW(),_xll.mirSwapPV($C$3,$C$4,$C$6,$G6,$C$7,$I6+O$3,$C$16,$C$17,$C$18,$C$19,$C$20,$C$21,$C$22,$C$26,$C$27,$D$15,$D$16,$D$17,$D$18,$D$19,$D$20,$D$21,$D$22,$D$23,$D$24,$D$25,$D$26,$D$27,$C$8,$C$9,$C$10,$C$11,$C$12),"")</f>
        <v>229691.26824407058</v>
      </c>
      <c r="P6" s="255">
        <f ca="1">IF(NOW(),_xll.mirSwapPV($C$3,$C$4,$C$6,$G6,$C$7,$I6+P$3,$C$16,$C$17,$C$18,$C$19,$C$20,$C$21,$C$22,$C$26,$C$27,$D$15,$D$16,$D$17,$D$18,$D$19,$D$20,$D$21,$D$22,$D$23,$D$24,$D$25,$D$26,$D$27,$C$8,$C$9,$C$10,$C$11,$C$12),"")</f>
        <v>172268.45118305294</v>
      </c>
      <c r="Q6" s="255">
        <f ca="1">IF(NOW(),_xll.mirSwapPV($C$3,$C$4,$C$6,$G6,$C$7,$I6+Q$3,$C$16,$C$17,$C$18,$C$19,$C$20,$C$21,$C$22,$C$26,$C$27,$D$15,$D$16,$D$17,$D$18,$D$19,$D$20,$D$21,$D$22,$D$23,$D$24,$D$25,$D$26,$D$27,$C$8,$C$9,$C$10,$C$11,$C$12),"")</f>
        <v>114845.63412203528</v>
      </c>
      <c r="R6" s="255">
        <f ca="1">IF(NOW(),_xll.mirSwapPV($C$3,$C$4,$C$6,$G6,$C$7,$I6+R$3,$C$16,$C$17,$C$18,$C$19,$C$20,$C$21,$C$22,$C$26,$C$27,$D$15,$D$16,$D$17,$D$18,$D$19,$D$20,$D$21,$D$22,$D$23,$D$24,$D$25,$D$26,$D$27,$C$8,$C$9,$C$10,$C$11,$C$12),"")</f>
        <v>57422.817061017631</v>
      </c>
      <c r="S6" s="255">
        <f ca="1">IF(NOW(),_xll.mirSwapPV($C$3,$C$4,$C$6,$G6,$C$7,$I6+S$3,$C$16,$C$17,$C$18,$C$19,$C$20,$C$21,$C$22,$C$26,$C$27,$D$15,$D$16,$D$17,$D$18,$D$19,$D$20,$D$21,$D$22,$D$23,$D$24,$D$25,$D$26,$D$27,$C$8,$C$9,$C$10,$C$11,$C$12),"")</f>
        <v>1.3877787807814457E-11</v>
      </c>
      <c r="T6" s="255">
        <f ca="1">IF(NOW(),_xll.mirSwapPV($C$3,$C$4,$C$6,$G6,$C$7,$I6+T$3,$C$16,$C$17,$C$18,$C$19,$C$20,$C$21,$C$22,$C$26,$C$27,$D$15,$D$16,$D$17,$D$18,$D$19,$D$20,$D$21,$D$22,$D$23,$D$24,$D$25,$D$26,$D$27,$C$8,$C$9,$C$10,$C$11,$C$12),"")</f>
        <v>-57422.817061017638</v>
      </c>
      <c r="U6" s="255">
        <f ca="1">IF(NOW(),_xll.mirSwapPV($C$3,$C$4,$C$6,$G6,$C$7,$I6+U$3,$C$16,$C$17,$C$18,$C$19,$C$20,$C$21,$C$22,$C$26,$C$27,$D$15,$D$16,$D$17,$D$18,$D$19,$D$20,$D$21,$D$22,$D$23,$D$24,$D$25,$D$26,$D$27,$C$8,$C$9,$C$10,$C$11,$C$12),"")</f>
        <v>-114845.63412203529</v>
      </c>
      <c r="V6" s="255">
        <f ca="1">IF(NOW(),_xll.mirSwapPV($C$3,$C$4,$C$6,$G6,$C$7,$I6+V$3,$C$16,$C$17,$C$18,$C$19,$C$20,$C$21,$C$22,$C$26,$C$27,$D$15,$D$16,$D$17,$D$18,$D$19,$D$20,$D$21,$D$22,$D$23,$D$24,$D$25,$D$26,$D$27,$C$8,$C$9,$C$10,$C$11,$C$12),"")</f>
        <v>-172268.45118305291</v>
      </c>
      <c r="W6" s="255">
        <f ca="1">IF(NOW(),_xll.mirSwapPV($C$3,$C$4,$C$6,$G6,$C$7,$I6+W$3,$C$16,$C$17,$C$18,$C$19,$C$20,$C$21,$C$22,$C$26,$C$27,$D$15,$D$16,$D$17,$D$18,$D$19,$D$20,$D$21,$D$22,$D$23,$D$24,$D$25,$D$26,$D$27,$C$8,$C$9,$C$10,$C$11,$C$12),"")</f>
        <v>-229691.26824407055</v>
      </c>
      <c r="X6" s="255">
        <f ca="1">IF(NOW(),_xll.mirSwapPV($C$3,$C$4,$C$6,$G6,$C$7,$I6+X$3,$C$16,$C$17,$C$18,$C$19,$C$20,$C$21,$C$22,$C$26,$C$27,$D$15,$D$16,$D$17,$D$18,$D$19,$D$20,$D$21,$D$22,$D$23,$D$24,$D$25,$D$26,$D$27,$C$8,$C$9,$C$10,$C$11,$C$12),"")</f>
        <v>-287114.0853050882</v>
      </c>
      <c r="Y6" s="230" t="s">
        <v>12</v>
      </c>
      <c r="Z6" s="224" t="s">
        <v>131</v>
      </c>
      <c r="AA6" s="227">
        <f>_xll.mirGetDate($C$6,Z6)</f>
        <v>44392</v>
      </c>
      <c r="AB6" s="228">
        <f>'USD Curve Config'!$AO11</f>
        <v>2.0375999999999998E-2</v>
      </c>
      <c r="AC6" s="229">
        <f ca="1">IF(NOW(),_xll.mirGetParRate4($C$6,Z6,$C$7,$C$16,$C$17,$C$18,$C$19,$C$20,$C$21,$C$22,$C$26,$C$27,$D$16,$D$17,$D$18,$D$19,$D$20,$D$21,$D$22,$D$23,$D$24,$D$25,$D$26,$D$27,$C$8,$C$9,$C$10,$D$11,$C$12),"")</f>
        <v>2.0375999992694321E-2</v>
      </c>
      <c r="AD6" s="229">
        <f t="shared" ca="1" si="4"/>
        <v>-7.3056768967738606E-12</v>
      </c>
      <c r="AE6" s="230">
        <f t="shared" ca="1" si="5"/>
        <v>-7.3056768967738606E-8</v>
      </c>
      <c r="AG6" s="224" t="s">
        <v>131</v>
      </c>
      <c r="AH6" s="255">
        <f ca="1">IF(NOW(),_xll.mirSwapPV($C$3,$C$4,$C$6,$G6,$C$7,$I6+AH$3,$C$16,$C$17,$C$18,$C$19,$C$20,$C$21,$C$22,$C$26,$C$27,$D$15,$D$16,$D$17,$D$18,$D$19,$D$20,$D$21,$D$22,$D$23,$D$24,$D$25,$D$26,$D$27,$C$8,$C$9,$C$10,$D$11,$C$12),"")</f>
        <v>287114.08530508803</v>
      </c>
      <c r="AI6" s="255">
        <f ca="1">IF(NOW(),_xll.mirSwapPV($C$3,$C$4,$C$6,$G6,$C$7,$I6+AI$3,$C$16,$C$17,$C$18,$C$19,$C$20,$C$21,$C$22,$C$26,$C$27,$D$15,$D$16,$D$17,$D$18,$D$19,$D$20,$D$21,$D$22,$D$23,$D$24,$D$25,$D$26,$D$27,$C$8,$C$9,$C$10,$D$11,$C$12),"")</f>
        <v>229691.26824407041</v>
      </c>
      <c r="AJ6" s="255">
        <f ca="1">IF(NOW(),_xll.mirSwapPV($C$3,$C$4,$C$6,$G6,$C$7,$I6+AJ$3,$C$16,$C$17,$C$18,$C$19,$C$20,$C$21,$C$22,$C$26,$C$27,$D$15,$D$16,$D$17,$D$18,$D$19,$D$20,$D$21,$D$22,$D$23,$D$24,$D$25,$D$26,$D$27,$C$8,$C$9,$C$10,$D$11,$C$12),"")</f>
        <v>172268.45118305276</v>
      </c>
      <c r="AK6" s="255">
        <f ca="1">IF(NOW(),_xll.mirSwapPV($C$3,$C$4,$C$6,$G6,$C$7,$I6+AK$3,$C$16,$C$17,$C$18,$C$19,$C$20,$C$21,$C$22,$C$26,$C$27,$D$15,$D$16,$D$17,$D$18,$D$19,$D$20,$D$21,$D$22,$D$23,$D$24,$D$25,$D$26,$D$27,$C$8,$C$9,$C$10,$D$11,$C$12),"")</f>
        <v>114845.6341220351</v>
      </c>
      <c r="AL6" s="255">
        <f ca="1">IF(NOW(),_xll.mirSwapPV($C$3,$C$4,$C$6,$G6,$C$7,$I6+AL$3,$C$16,$C$17,$C$18,$C$19,$C$20,$C$21,$C$22,$C$26,$C$27,$D$15,$D$16,$D$17,$D$18,$D$19,$D$20,$D$21,$D$22,$D$23,$D$24,$D$25,$D$26,$D$27,$C$8,$C$9,$C$10,$D$11,$C$12),"")</f>
        <v>57422.817061017464</v>
      </c>
      <c r="AM6" s="255">
        <f ca="1">IF(NOW(),_xll.mirSwapPV($C$3,$C$4,$C$6,$G6,$C$7,$I6+AM$3,$C$16,$C$17,$C$18,$C$19,$C$20,$C$21,$C$22,$C$26,$C$27,$D$15,$D$16,$D$17,$D$18,$D$19,$D$20,$D$21,$D$22,$D$23,$D$24,$D$25,$D$26,$D$27,$C$8,$C$9,$C$10,$D$11,$C$12),"")</f>
        <v>-1.5265566588595902E-10</v>
      </c>
      <c r="AN6" s="255">
        <f ca="1">IF(NOW(),_xll.mirSwapPV($C$3,$C$4,$C$6,$G6,$C$7,$I6+AN$3,$C$16,$C$17,$C$18,$C$19,$C$20,$C$21,$C$22,$C$26,$C$27,$D$15,$D$16,$D$17,$D$18,$D$19,$D$20,$D$21,$D$22,$D$23,$D$24,$D$25,$D$26,$D$27,$C$8,$C$9,$C$10,$D$11,$C$12),"")</f>
        <v>-57422.817061017806</v>
      </c>
      <c r="AO6" s="255">
        <f ca="1">IF(NOW(),_xll.mirSwapPV($C$3,$C$4,$C$6,$G6,$C$7,$I6+AO$3,$C$16,$C$17,$C$18,$C$19,$C$20,$C$21,$C$22,$C$26,$C$27,$D$15,$D$16,$D$17,$D$18,$D$19,$D$20,$D$21,$D$22,$D$23,$D$24,$D$25,$D$26,$D$27,$C$8,$C$9,$C$10,$D$11,$C$12),"")</f>
        <v>-114845.63412203545</v>
      </c>
      <c r="AP6" s="255">
        <f ca="1">IF(NOW(),_xll.mirSwapPV($C$3,$C$4,$C$6,$G6,$C$7,$I6+AP$3,$C$16,$C$17,$C$18,$C$19,$C$20,$C$21,$C$22,$C$26,$C$27,$D$15,$D$16,$D$17,$D$18,$D$19,$D$20,$D$21,$D$22,$D$23,$D$24,$D$25,$D$26,$D$27,$C$8,$C$9,$C$10,$D$11,$C$12),"")</f>
        <v>-172268.45118305305</v>
      </c>
      <c r="AQ6" s="255">
        <f ca="1">IF(NOW(),_xll.mirSwapPV($C$3,$C$4,$C$6,$G6,$C$7,$I6+AQ$3,$C$16,$C$17,$C$18,$C$19,$C$20,$C$21,$C$22,$C$26,$C$27,$D$15,$D$16,$D$17,$D$18,$D$19,$D$20,$D$21,$D$22,$D$23,$D$24,$D$25,$D$26,$D$27,$C$8,$C$9,$C$10,$D$11,$C$12),"")</f>
        <v>-229691.2682440707</v>
      </c>
      <c r="AR6" s="255">
        <f ca="1">IF(NOW(),_xll.mirSwapPV($C$3,$C$4,$C$6,$G6,$C$7,$I6+AR$3,$C$16,$C$17,$C$18,$C$19,$C$20,$C$21,$C$22,$C$26,$C$27,$D$15,$D$16,$D$17,$D$18,$D$19,$D$20,$D$21,$D$22,$D$23,$D$24,$D$25,$D$26,$D$27,$C$8,$C$9,$C$10,$D$11,$C$12),"")</f>
        <v>-287114.08530508837</v>
      </c>
    </row>
    <row r="7" spans="2:44">
      <c r="B7" s="234" t="s">
        <v>432</v>
      </c>
      <c r="C7" s="235" t="s">
        <v>302</v>
      </c>
      <c r="D7" s="235"/>
      <c r="F7" s="224" t="s">
        <v>31</v>
      </c>
      <c r="G7" s="227">
        <f>_xll.mirGetDate($C$6,F7)</f>
        <v>44757</v>
      </c>
      <c r="H7" s="228">
        <f>'USD Curve Config'!$AO12</f>
        <v>2.2040000000000001E-2</v>
      </c>
      <c r="I7" s="229">
        <f ca="1">IF(NOW(),_xll.mirGetParRate4($C$6,F7,$C$7,$C$16,$C$17,$C$18,$C$19,$C$20,$C$21,$C$22,$C$26,$C$27,$D$16,$D$17,$D$18,$D$19,$D$20,$D$21,$D$22,$D$23,$D$24,$D$25,$D$26,$D$27,$C$8,$C$9,$C$10,$C$11,$C$12),"")</f>
        <v>2.20399999190205E-2</v>
      </c>
      <c r="J7" s="229">
        <f t="shared" ca="1" si="2"/>
        <v>-8.0979500882705224E-11</v>
      </c>
      <c r="K7" s="230">
        <f t="shared" ca="1" si="3"/>
        <v>-8.0979500882705224E-7</v>
      </c>
      <c r="L7" s="230" t="s">
        <v>12</v>
      </c>
      <c r="M7" s="224" t="s">
        <v>31</v>
      </c>
      <c r="N7" s="255">
        <f ca="1">IF(NOW(),_xll.mirSwapPV($C$3,$C$4,$C$6,$G7,$C$7,$I7+N$3,$C$16,$C$17,$C$18,$C$19,$C$20,$C$21,$C$22,$C$26,$C$27,$D$15,$D$16,$D$17,$D$18,$D$19,$D$20,$D$21,$D$22,$D$23,$D$24,$D$25,$D$26,$D$27,$C$8,$C$9,$C$10,$C$11,$C$12),"")</f>
        <v>330911.35818384035</v>
      </c>
      <c r="O7" s="255">
        <f ca="1">IF(NOW(),_xll.mirSwapPV($C$3,$C$4,$C$6,$G7,$C$7,$I7+O$3,$C$16,$C$17,$C$18,$C$19,$C$20,$C$21,$C$22,$C$26,$C$27,$D$15,$D$16,$D$17,$D$18,$D$19,$D$20,$D$21,$D$22,$D$23,$D$24,$D$25,$D$26,$D$27,$C$8,$C$9,$C$10,$C$11,$C$12),"")</f>
        <v>264729.08654707228</v>
      </c>
      <c r="P7" s="255">
        <f ca="1">IF(NOW(),_xll.mirSwapPV($C$3,$C$4,$C$6,$G7,$C$7,$I7+P$3,$C$16,$C$17,$C$18,$C$19,$C$20,$C$21,$C$22,$C$26,$C$27,$D$15,$D$16,$D$17,$D$18,$D$19,$D$20,$D$21,$D$22,$D$23,$D$24,$D$25,$D$26,$D$27,$C$8,$C$9,$C$10,$C$11,$C$12),"")</f>
        <v>198546.81491030421</v>
      </c>
      <c r="Q7" s="255">
        <f ca="1">IF(NOW(),_xll.mirSwapPV($C$3,$C$4,$C$6,$G7,$C$7,$I7+Q$3,$C$16,$C$17,$C$18,$C$19,$C$20,$C$21,$C$22,$C$26,$C$27,$D$15,$D$16,$D$17,$D$18,$D$19,$D$20,$D$21,$D$22,$D$23,$D$24,$D$25,$D$26,$D$27,$C$8,$C$9,$C$10,$C$11,$C$12),"")</f>
        <v>132364.54327353611</v>
      </c>
      <c r="R7" s="255">
        <f ca="1">IF(NOW(),_xll.mirSwapPV($C$3,$C$4,$C$6,$G7,$C$7,$I7+R$3,$C$16,$C$17,$C$18,$C$19,$C$20,$C$21,$C$22,$C$26,$C$27,$D$15,$D$16,$D$17,$D$18,$D$19,$D$20,$D$21,$D$22,$D$23,$D$24,$D$25,$D$26,$D$27,$C$8,$C$9,$C$10,$C$11,$C$12),"")</f>
        <v>66182.27163676804</v>
      </c>
      <c r="S7" s="255">
        <f ca="1">IF(NOW(),_xll.mirSwapPV($C$3,$C$4,$C$6,$G7,$C$7,$I7+S$3,$C$16,$C$17,$C$18,$C$19,$C$20,$C$21,$C$22,$C$26,$C$27,$D$15,$D$16,$D$17,$D$18,$D$19,$D$20,$D$21,$D$22,$D$23,$D$24,$D$25,$D$26,$D$27,$C$8,$C$9,$C$10,$C$11,$C$12),"")</f>
        <v>0</v>
      </c>
      <c r="T7" s="255">
        <f ca="1">IF(NOW(),_xll.mirSwapPV($C$3,$C$4,$C$6,$G7,$C$7,$I7+T$3,$C$16,$C$17,$C$18,$C$19,$C$20,$C$21,$C$22,$C$26,$C$27,$D$15,$D$16,$D$17,$D$18,$D$19,$D$20,$D$21,$D$22,$D$23,$D$24,$D$25,$D$26,$D$27,$C$8,$C$9,$C$10,$C$11,$C$12),"")</f>
        <v>-66182.27163676807</v>
      </c>
      <c r="U7" s="255">
        <f ca="1">IF(NOW(),_xll.mirSwapPV($C$3,$C$4,$C$6,$G7,$C$7,$I7+U$3,$C$16,$C$17,$C$18,$C$19,$C$20,$C$21,$C$22,$C$26,$C$27,$D$15,$D$16,$D$17,$D$18,$D$19,$D$20,$D$21,$D$22,$D$23,$D$24,$D$25,$D$26,$D$27,$C$8,$C$9,$C$10,$C$11,$C$12),"")</f>
        <v>-132364.54327353617</v>
      </c>
      <c r="V7" s="255">
        <f ca="1">IF(NOW(),_xll.mirSwapPV($C$3,$C$4,$C$6,$G7,$C$7,$I7+V$3,$C$16,$C$17,$C$18,$C$19,$C$20,$C$21,$C$22,$C$26,$C$27,$D$15,$D$16,$D$17,$D$18,$D$19,$D$20,$D$21,$D$22,$D$23,$D$24,$D$25,$D$26,$D$27,$C$8,$C$9,$C$10,$C$11,$C$12),"")</f>
        <v>-198546.81491030427</v>
      </c>
      <c r="W7" s="255">
        <f ca="1">IF(NOW(),_xll.mirSwapPV($C$3,$C$4,$C$6,$G7,$C$7,$I7+W$3,$C$16,$C$17,$C$18,$C$19,$C$20,$C$21,$C$22,$C$26,$C$27,$D$15,$D$16,$D$17,$D$18,$D$19,$D$20,$D$21,$D$22,$D$23,$D$24,$D$25,$D$26,$D$27,$C$8,$C$9,$C$10,$C$11,$C$12),"")</f>
        <v>-264729.08654707228</v>
      </c>
      <c r="X7" s="255">
        <f ca="1">IF(NOW(),_xll.mirSwapPV($C$3,$C$4,$C$6,$G7,$C$7,$I7+X$3,$C$16,$C$17,$C$18,$C$19,$C$20,$C$21,$C$22,$C$26,$C$27,$D$15,$D$16,$D$17,$D$18,$D$19,$D$20,$D$21,$D$22,$D$23,$D$24,$D$25,$D$26,$D$27,$C$8,$C$9,$C$10,$C$11,$C$12),"")</f>
        <v>-330911.35818384041</v>
      </c>
      <c r="Y7" s="230" t="s">
        <v>12</v>
      </c>
      <c r="Z7" s="224" t="s">
        <v>31</v>
      </c>
      <c r="AA7" s="227">
        <f>_xll.mirGetDate($C$6,Z7)</f>
        <v>44757</v>
      </c>
      <c r="AB7" s="228">
        <f>'USD Curve Config'!$AO12</f>
        <v>2.2040000000000001E-2</v>
      </c>
      <c r="AC7" s="229">
        <f ca="1">IF(NOW(),_xll.mirGetParRate4($C$6,Z7,$C$7,$C$16,$C$17,$C$18,$C$19,$C$20,$C$21,$C$22,$C$26,$C$27,$D$16,$D$17,$D$18,$D$19,$D$20,$D$21,$D$22,$D$23,$D$24,$D$25,$D$26,$D$27,$C$8,$C$9,$C$10,$D$11,$C$12),"")</f>
        <v>2.2039999919020479E-2</v>
      </c>
      <c r="AD7" s="229">
        <f t="shared" ca="1" si="4"/>
        <v>-8.0979521699386936E-11</v>
      </c>
      <c r="AE7" s="230">
        <f t="shared" ca="1" si="5"/>
        <v>-8.0979521699386936E-7</v>
      </c>
      <c r="AG7" s="224" t="s">
        <v>31</v>
      </c>
      <c r="AH7" s="255">
        <f ca="1">IF(NOW(),_xll.mirSwapPV($C$3,$C$4,$C$6,$G7,$C$7,$I7+AH$3,$C$16,$C$17,$C$18,$C$19,$C$20,$C$21,$C$22,$C$26,$C$27,$D$15,$D$16,$D$17,$D$18,$D$19,$D$20,$D$21,$D$22,$D$23,$D$24,$D$25,$D$26,$D$27,$C$8,$C$9,$C$10,$D$11,$C$12),"")</f>
        <v>330911.35818384023</v>
      </c>
      <c r="AI7" s="255">
        <f ca="1">IF(NOW(),_xll.mirSwapPV($C$3,$C$4,$C$6,$G7,$C$7,$I7+AI$3,$C$16,$C$17,$C$18,$C$19,$C$20,$C$21,$C$22,$C$26,$C$27,$D$15,$D$16,$D$17,$D$18,$D$19,$D$20,$D$21,$D$22,$D$23,$D$24,$D$25,$D$26,$D$27,$C$8,$C$9,$C$10,$D$11,$C$12),"")</f>
        <v>264729.08654707216</v>
      </c>
      <c r="AJ7" s="255">
        <f ca="1">IF(NOW(),_xll.mirSwapPV($C$3,$C$4,$C$6,$G7,$C$7,$I7+AJ$3,$C$16,$C$17,$C$18,$C$19,$C$20,$C$21,$C$22,$C$26,$C$27,$D$15,$D$16,$D$17,$D$18,$D$19,$D$20,$D$21,$D$22,$D$23,$D$24,$D$25,$D$26,$D$27,$C$8,$C$9,$C$10,$D$11,$C$12),"")</f>
        <v>198546.81491030406</v>
      </c>
      <c r="AK7" s="255">
        <f ca="1">IF(NOW(),_xll.mirSwapPV($C$3,$C$4,$C$6,$G7,$C$7,$I7+AK$3,$C$16,$C$17,$C$18,$C$19,$C$20,$C$21,$C$22,$C$26,$C$27,$D$15,$D$16,$D$17,$D$18,$D$19,$D$20,$D$21,$D$22,$D$23,$D$24,$D$25,$D$26,$D$27,$C$8,$C$9,$C$10,$D$11,$C$12),"")</f>
        <v>132364.54327353596</v>
      </c>
      <c r="AL7" s="255">
        <f ca="1">IF(NOW(),_xll.mirSwapPV($C$3,$C$4,$C$6,$G7,$C$7,$I7+AL$3,$C$16,$C$17,$C$18,$C$19,$C$20,$C$21,$C$22,$C$26,$C$27,$D$15,$D$16,$D$17,$D$18,$D$19,$D$20,$D$21,$D$22,$D$23,$D$24,$D$25,$D$26,$D$27,$C$8,$C$9,$C$10,$D$11,$C$12),"")</f>
        <v>66182.27163676791</v>
      </c>
      <c r="AM7" s="255">
        <f ca="1">IF(NOW(),_xll.mirSwapPV($C$3,$C$4,$C$6,$G7,$C$7,$I7+AM$3,$C$16,$C$17,$C$18,$C$19,$C$20,$C$21,$C$22,$C$26,$C$27,$D$15,$D$16,$D$17,$D$18,$D$19,$D$20,$D$21,$D$22,$D$23,$D$24,$D$25,$D$26,$D$27,$C$8,$C$9,$C$10,$D$11,$C$12),"")</f>
        <v>-1.3877787807814457E-10</v>
      </c>
      <c r="AN7" s="255">
        <f ca="1">IF(NOW(),_xll.mirSwapPV($C$3,$C$4,$C$6,$G7,$C$7,$I7+AN$3,$C$16,$C$17,$C$18,$C$19,$C$20,$C$21,$C$22,$C$26,$C$27,$D$15,$D$16,$D$17,$D$18,$D$19,$D$20,$D$21,$D$22,$D$23,$D$24,$D$25,$D$26,$D$27,$C$8,$C$9,$C$10,$D$11,$C$12),"")</f>
        <v>-66182.271636768215</v>
      </c>
      <c r="AO7" s="255">
        <f ca="1">IF(NOW(),_xll.mirSwapPV($C$3,$C$4,$C$6,$G7,$C$7,$I7+AO$3,$C$16,$C$17,$C$18,$C$19,$C$20,$C$21,$C$22,$C$26,$C$27,$D$15,$D$16,$D$17,$D$18,$D$19,$D$20,$D$21,$D$22,$D$23,$D$24,$D$25,$D$26,$D$27,$C$8,$C$9,$C$10,$D$11,$C$12),"")</f>
        <v>-132364.54327353631</v>
      </c>
      <c r="AP7" s="255">
        <f ca="1">IF(NOW(),_xll.mirSwapPV($C$3,$C$4,$C$6,$G7,$C$7,$I7+AP$3,$C$16,$C$17,$C$18,$C$19,$C$20,$C$21,$C$22,$C$26,$C$27,$D$15,$D$16,$D$17,$D$18,$D$19,$D$20,$D$21,$D$22,$D$23,$D$24,$D$25,$D$26,$D$27,$C$8,$C$9,$C$10,$D$11,$C$12),"")</f>
        <v>-198546.81491030441</v>
      </c>
      <c r="AQ7" s="255">
        <f ca="1">IF(NOW(),_xll.mirSwapPV($C$3,$C$4,$C$6,$G7,$C$7,$I7+AQ$3,$C$16,$C$17,$C$18,$C$19,$C$20,$C$21,$C$22,$C$26,$C$27,$D$15,$D$16,$D$17,$D$18,$D$19,$D$20,$D$21,$D$22,$D$23,$D$24,$D$25,$D$26,$D$27,$C$8,$C$9,$C$10,$D$11,$C$12),"")</f>
        <v>-264729.08654707245</v>
      </c>
      <c r="AR7" s="255">
        <f ca="1">IF(NOW(),_xll.mirSwapPV($C$3,$C$4,$C$6,$G7,$C$7,$I7+AR$3,$C$16,$C$17,$C$18,$C$19,$C$20,$C$21,$C$22,$C$26,$C$27,$D$15,$D$16,$D$17,$D$18,$D$19,$D$20,$D$21,$D$22,$D$23,$D$24,$D$25,$D$26,$D$27,$C$8,$C$9,$C$10,$D$11,$C$12),"")</f>
        <v>-330911.35818384052</v>
      </c>
    </row>
    <row r="8" spans="2:44">
      <c r="B8" s="234" t="s">
        <v>4</v>
      </c>
      <c r="C8" s="235" t="s">
        <v>433</v>
      </c>
      <c r="D8" s="235"/>
      <c r="F8" s="224" t="s">
        <v>119</v>
      </c>
      <c r="G8" s="227">
        <f>_xll.mirGetDate($C$6,F8)</f>
        <v>45122</v>
      </c>
      <c r="H8" s="228">
        <f>'USD Curve Config'!$AO13</f>
        <v>2.3375E-2</v>
      </c>
      <c r="I8" s="229">
        <f ca="1">IF(NOW(),_xll.mirGetParRate4($C$6,F8,$C$7,$C$16,$C$17,$C$18,$C$19,$C$20,$C$21,$C$22,$C$26,$C$27,$D$16,$D$17,$D$18,$D$19,$D$20,$D$21,$D$22,$D$23,$D$24,$D$25,$D$26,$D$27,$C$8,$C$9,$C$10,$C$11,$C$12),"")</f>
        <v>2.3374999946743049E-2</v>
      </c>
      <c r="J8" s="229">
        <f t="shared" ca="1" si="2"/>
        <v>-5.3256950932611957E-11</v>
      </c>
      <c r="K8" s="230">
        <f t="shared" ca="1" si="3"/>
        <v>-5.3256950932611957E-7</v>
      </c>
      <c r="L8" s="230" t="s">
        <v>12</v>
      </c>
      <c r="M8" s="224" t="s">
        <v>119</v>
      </c>
      <c r="N8" s="255">
        <f ca="1">IF(NOW(),_xll.mirSwapPV($C$3,$C$4,$C$6,$G8,$C$7,$I8+N$3,$C$16,$C$17,$C$18,$C$19,$C$20,$C$21,$C$22,$C$26,$C$27,$D$15,$D$16,$D$17,$D$18,$D$19,$D$20,$D$21,$D$22,$D$23,$D$24,$D$25,$D$26,$D$27,$C$8,$C$9,$C$10,$C$11,$C$12),"")</f>
        <v>373597.61650791444</v>
      </c>
      <c r="O8" s="255">
        <f ca="1">IF(NOW(),_xll.mirSwapPV($C$3,$C$4,$C$6,$G8,$C$7,$I8+O$3,$C$16,$C$17,$C$18,$C$19,$C$20,$C$21,$C$22,$C$26,$C$27,$D$15,$D$16,$D$17,$D$18,$D$19,$D$20,$D$21,$D$22,$D$23,$D$24,$D$25,$D$26,$D$27,$C$8,$C$9,$C$10,$C$11,$C$12),"")</f>
        <v>298878.09320633154</v>
      </c>
      <c r="P8" s="255">
        <f ca="1">IF(NOW(),_xll.mirSwapPV($C$3,$C$4,$C$6,$G8,$C$7,$I8+P$3,$C$16,$C$17,$C$18,$C$19,$C$20,$C$21,$C$22,$C$26,$C$27,$D$15,$D$16,$D$17,$D$18,$D$19,$D$20,$D$21,$D$22,$D$23,$D$24,$D$25,$D$26,$D$27,$C$8,$C$9,$C$10,$C$11,$C$12),"")</f>
        <v>224158.56990474864</v>
      </c>
      <c r="Q8" s="255">
        <f ca="1">IF(NOW(),_xll.mirSwapPV($C$3,$C$4,$C$6,$G8,$C$7,$I8+Q$3,$C$16,$C$17,$C$18,$C$19,$C$20,$C$21,$C$22,$C$26,$C$27,$D$15,$D$16,$D$17,$D$18,$D$19,$D$20,$D$21,$D$22,$D$23,$D$24,$D$25,$D$26,$D$27,$C$8,$C$9,$C$10,$C$11,$C$12),"")</f>
        <v>149439.04660316577</v>
      </c>
      <c r="R8" s="255">
        <f ca="1">IF(NOW(),_xll.mirSwapPV($C$3,$C$4,$C$6,$G8,$C$7,$I8+R$3,$C$16,$C$17,$C$18,$C$19,$C$20,$C$21,$C$22,$C$26,$C$27,$D$15,$D$16,$D$17,$D$18,$D$19,$D$20,$D$21,$D$22,$D$23,$D$24,$D$25,$D$26,$D$27,$C$8,$C$9,$C$10,$C$11,$C$12),"")</f>
        <v>74719.523301582871</v>
      </c>
      <c r="S8" s="255">
        <f ca="1">IF(NOW(),_xll.mirSwapPV($C$3,$C$4,$C$6,$G8,$C$7,$I8+S$3,$C$16,$C$17,$C$18,$C$19,$C$20,$C$21,$C$22,$C$26,$C$27,$D$15,$D$16,$D$17,$D$18,$D$19,$D$20,$D$21,$D$22,$D$23,$D$24,$D$25,$D$26,$D$27,$C$8,$C$9,$C$10,$C$11,$C$12),"")</f>
        <v>0</v>
      </c>
      <c r="T8" s="255">
        <f ca="1">IF(NOW(),_xll.mirSwapPV($C$3,$C$4,$C$6,$G8,$C$7,$I8+T$3,$C$16,$C$17,$C$18,$C$19,$C$20,$C$21,$C$22,$C$26,$C$27,$D$15,$D$16,$D$17,$D$18,$D$19,$D$20,$D$21,$D$22,$D$23,$D$24,$D$25,$D$26,$D$27,$C$8,$C$9,$C$10,$C$11,$C$12),"")</f>
        <v>-74719.523301582885</v>
      </c>
      <c r="U8" s="255">
        <f ca="1">IF(NOW(),_xll.mirSwapPV($C$3,$C$4,$C$6,$G8,$C$7,$I8+U$3,$C$16,$C$17,$C$18,$C$19,$C$20,$C$21,$C$22,$C$26,$C$27,$D$15,$D$16,$D$17,$D$18,$D$19,$D$20,$D$21,$D$22,$D$23,$D$24,$D$25,$D$26,$D$27,$C$8,$C$9,$C$10,$C$11,$C$12),"")</f>
        <v>-149439.0466031658</v>
      </c>
      <c r="V8" s="255">
        <f ca="1">IF(NOW(),_xll.mirSwapPV($C$3,$C$4,$C$6,$G8,$C$7,$I8+V$3,$C$16,$C$17,$C$18,$C$19,$C$20,$C$21,$C$22,$C$26,$C$27,$D$15,$D$16,$D$17,$D$18,$D$19,$D$20,$D$21,$D$22,$D$23,$D$24,$D$25,$D$26,$D$27,$C$8,$C$9,$C$10,$C$11,$C$12),"")</f>
        <v>-224158.56990474867</v>
      </c>
      <c r="W8" s="255">
        <f ca="1">IF(NOW(),_xll.mirSwapPV($C$3,$C$4,$C$6,$G8,$C$7,$I8+W$3,$C$16,$C$17,$C$18,$C$19,$C$20,$C$21,$C$22,$C$26,$C$27,$D$15,$D$16,$D$17,$D$18,$D$19,$D$20,$D$21,$D$22,$D$23,$D$24,$D$25,$D$26,$D$27,$C$8,$C$9,$C$10,$C$11,$C$12),"")</f>
        <v>-298878.09320633154</v>
      </c>
      <c r="X8" s="255">
        <f ca="1">IF(NOW(),_xll.mirSwapPV($C$3,$C$4,$C$6,$G8,$C$7,$I8+X$3,$C$16,$C$17,$C$18,$C$19,$C$20,$C$21,$C$22,$C$26,$C$27,$D$15,$D$16,$D$17,$D$18,$D$19,$D$20,$D$21,$D$22,$D$23,$D$24,$D$25,$D$26,$D$27,$C$8,$C$9,$C$10,$C$11,$C$12),"")</f>
        <v>-373597.61650791444</v>
      </c>
      <c r="Y8" s="230" t="s">
        <v>12</v>
      </c>
      <c r="Z8" s="224" t="s">
        <v>119</v>
      </c>
      <c r="AA8" s="227">
        <f>_xll.mirGetDate($C$6,Z8)</f>
        <v>45122</v>
      </c>
      <c r="AB8" s="228">
        <f>'USD Curve Config'!$AO13</f>
        <v>2.3375E-2</v>
      </c>
      <c r="AC8" s="229">
        <f ca="1">IF(NOW(),_xll.mirGetParRate4($C$6,Z8,$C$7,$C$16,$C$17,$C$18,$C$19,$C$20,$C$21,$C$22,$C$26,$C$27,$D$16,$D$17,$D$18,$D$19,$D$20,$D$21,$D$22,$D$23,$D$24,$D$25,$D$26,$D$27,$C$8,$C$9,$C$10,$D$11,$C$12),"")</f>
        <v>2.3374999946743032E-2</v>
      </c>
      <c r="AD8" s="229">
        <f t="shared" ca="1" si="4"/>
        <v>-5.3256968279846717E-11</v>
      </c>
      <c r="AE8" s="230">
        <f t="shared" ca="1" si="5"/>
        <v>-5.3256968279846717E-7</v>
      </c>
      <c r="AG8" s="224" t="s">
        <v>119</v>
      </c>
      <c r="AH8" s="255">
        <f ca="1">IF(NOW(),_xll.mirSwapPV($C$3,$C$4,$C$6,$G8,$C$7,$I8+AH$3,$C$16,$C$17,$C$18,$C$19,$C$20,$C$21,$C$22,$C$26,$C$27,$D$15,$D$16,$D$17,$D$18,$D$19,$D$20,$D$21,$D$22,$D$23,$D$24,$D$25,$D$26,$D$27,$C$8,$C$9,$C$10,$D$11,$C$12),"")</f>
        <v>373597.61650791427</v>
      </c>
      <c r="AI8" s="255">
        <f ca="1">IF(NOW(),_xll.mirSwapPV($C$3,$C$4,$C$6,$G8,$C$7,$I8+AI$3,$C$16,$C$17,$C$18,$C$19,$C$20,$C$21,$C$22,$C$26,$C$27,$D$15,$D$16,$D$17,$D$18,$D$19,$D$20,$D$21,$D$22,$D$23,$D$24,$D$25,$D$26,$D$27,$C$8,$C$9,$C$10,$D$11,$C$12),"")</f>
        <v>298878.09320633142</v>
      </c>
      <c r="AJ8" s="255">
        <f ca="1">IF(NOW(),_xll.mirSwapPV($C$3,$C$4,$C$6,$G8,$C$7,$I8+AJ$3,$C$16,$C$17,$C$18,$C$19,$C$20,$C$21,$C$22,$C$26,$C$27,$D$15,$D$16,$D$17,$D$18,$D$19,$D$20,$D$21,$D$22,$D$23,$D$24,$D$25,$D$26,$D$27,$C$8,$C$9,$C$10,$D$11,$C$12),"")</f>
        <v>224158.5699047485</v>
      </c>
      <c r="AK8" s="255">
        <f ca="1">IF(NOW(),_xll.mirSwapPV($C$3,$C$4,$C$6,$G8,$C$7,$I8+AK$3,$C$16,$C$17,$C$18,$C$19,$C$20,$C$21,$C$22,$C$26,$C$27,$D$15,$D$16,$D$17,$D$18,$D$19,$D$20,$D$21,$D$22,$D$23,$D$24,$D$25,$D$26,$D$27,$C$8,$C$9,$C$10,$D$11,$C$12),"")</f>
        <v>149439.0466031656</v>
      </c>
      <c r="AL8" s="255">
        <f ca="1">IF(NOW(),_xll.mirSwapPV($C$3,$C$4,$C$6,$G8,$C$7,$I8+AL$3,$C$16,$C$17,$C$18,$C$19,$C$20,$C$21,$C$22,$C$26,$C$27,$D$15,$D$16,$D$17,$D$18,$D$19,$D$20,$D$21,$D$22,$D$23,$D$24,$D$25,$D$26,$D$27,$C$8,$C$9,$C$10,$D$11,$C$12),"")</f>
        <v>74719.523301582725</v>
      </c>
      <c r="AM8" s="255">
        <f ca="1">IF(NOW(),_xll.mirSwapPV($C$3,$C$4,$C$6,$G8,$C$7,$I8+AM$3,$C$16,$C$17,$C$18,$C$19,$C$20,$C$21,$C$22,$C$26,$C$27,$D$15,$D$16,$D$17,$D$18,$D$19,$D$20,$D$21,$D$22,$D$23,$D$24,$D$25,$D$26,$D$27,$C$8,$C$9,$C$10,$D$11,$C$12),"")</f>
        <v>-1.3877787807814457E-10</v>
      </c>
      <c r="AN8" s="255">
        <f ca="1">IF(NOW(),_xll.mirSwapPV($C$3,$C$4,$C$6,$G8,$C$7,$I8+AN$3,$C$16,$C$17,$C$18,$C$19,$C$20,$C$21,$C$22,$C$26,$C$27,$D$15,$D$16,$D$17,$D$18,$D$19,$D$20,$D$21,$D$22,$D$23,$D$24,$D$25,$D$26,$D$27,$C$8,$C$9,$C$10,$D$11,$C$12),"")</f>
        <v>-74719.523301583016</v>
      </c>
      <c r="AO8" s="255">
        <f ca="1">IF(NOW(),_xll.mirSwapPV($C$3,$C$4,$C$6,$G8,$C$7,$I8+AO$3,$C$16,$C$17,$C$18,$C$19,$C$20,$C$21,$C$22,$C$26,$C$27,$D$15,$D$16,$D$17,$D$18,$D$19,$D$20,$D$21,$D$22,$D$23,$D$24,$D$25,$D$26,$D$27,$C$8,$C$9,$C$10,$D$11,$C$12),"")</f>
        <v>-149439.04660316592</v>
      </c>
      <c r="AP8" s="255">
        <f ca="1">IF(NOW(),_xll.mirSwapPV($C$3,$C$4,$C$6,$G8,$C$7,$I8+AP$3,$C$16,$C$17,$C$18,$C$19,$C$20,$C$21,$C$22,$C$26,$C$27,$D$15,$D$16,$D$17,$D$18,$D$19,$D$20,$D$21,$D$22,$D$23,$D$24,$D$25,$D$26,$D$27,$C$8,$C$9,$C$10,$D$11,$C$12),"")</f>
        <v>-224158.56990474882</v>
      </c>
      <c r="AQ8" s="255">
        <f ca="1">IF(NOW(),_xll.mirSwapPV($C$3,$C$4,$C$6,$G8,$C$7,$I8+AQ$3,$C$16,$C$17,$C$18,$C$19,$C$20,$C$21,$C$22,$C$26,$C$27,$D$15,$D$16,$D$17,$D$18,$D$19,$D$20,$D$21,$D$22,$D$23,$D$24,$D$25,$D$26,$D$27,$C$8,$C$9,$C$10,$D$11,$C$12),"")</f>
        <v>-298878.09320633166</v>
      </c>
      <c r="AR8" s="255">
        <f ca="1">IF(NOW(),_xll.mirSwapPV($C$3,$C$4,$C$6,$G8,$C$7,$I8+AR$3,$C$16,$C$17,$C$18,$C$19,$C$20,$C$21,$C$22,$C$26,$C$27,$D$15,$D$16,$D$17,$D$18,$D$19,$D$20,$D$21,$D$22,$D$23,$D$24,$D$25,$D$26,$D$27,$C$8,$C$9,$C$10,$D$11,$C$12),"")</f>
        <v>-373597.61650791462</v>
      </c>
    </row>
    <row r="9" spans="2:44">
      <c r="B9" s="234" t="s">
        <v>434</v>
      </c>
      <c r="C9" s="235" t="s">
        <v>364</v>
      </c>
      <c r="D9" s="235"/>
      <c r="F9" s="224" t="s">
        <v>113</v>
      </c>
      <c r="G9" s="227">
        <f>_xll.mirGetDate($C$6,F9)</f>
        <v>45488</v>
      </c>
      <c r="H9" s="228">
        <f>'USD Curve Config'!$AO14</f>
        <v>2.4462999999999999E-2</v>
      </c>
      <c r="I9" s="229">
        <f ca="1">IF(NOW(),_xll.mirGetParRate4($C$6,F9,$C$7,$C$16,$C$17,$C$18,$C$19,$C$20,$C$21,$C$22,$C$26,$C$27,$D$16,$D$17,$D$18,$D$19,$D$20,$D$21,$D$22,$D$23,$D$24,$D$25,$D$26,$D$27,$C$8,$C$9,$C$10,$C$11,$C$12),"")</f>
        <v>2.4462999953827353E-2</v>
      </c>
      <c r="J9" s="229">
        <f t="shared" ca="1" si="2"/>
        <v>-4.6172645568054449E-11</v>
      </c>
      <c r="K9" s="230">
        <f t="shared" ca="1" si="3"/>
        <v>-4.6172645568054449E-7</v>
      </c>
      <c r="L9" s="230" t="s">
        <v>12</v>
      </c>
      <c r="M9" s="224" t="s">
        <v>113</v>
      </c>
      <c r="N9" s="255">
        <f ca="1">IF(NOW(),_xll.mirSwapPV($C$3,$C$4,$C$6,$G9,$C$7,$I9+N$3,$C$16,$C$17,$C$18,$C$19,$C$20,$C$21,$C$22,$C$26,$C$27,$D$15,$D$16,$D$17,$D$18,$D$19,$D$20,$D$21,$D$22,$D$23,$D$24,$D$25,$D$26,$D$27,$C$8,$C$9,$C$10,$C$11,$C$12),"")</f>
        <v>414495.955924846</v>
      </c>
      <c r="O9" s="255">
        <f ca="1">IF(NOW(),_xll.mirSwapPV($C$3,$C$4,$C$6,$G9,$C$7,$I9+O$3,$C$16,$C$17,$C$18,$C$19,$C$20,$C$21,$C$22,$C$26,$C$27,$D$15,$D$16,$D$17,$D$18,$D$19,$D$20,$D$21,$D$22,$D$23,$D$24,$D$25,$D$26,$D$27,$C$8,$C$9,$C$10,$C$11,$C$12),"")</f>
        <v>331596.76473987679</v>
      </c>
      <c r="P9" s="255">
        <f ca="1">IF(NOW(),_xll.mirSwapPV($C$3,$C$4,$C$6,$G9,$C$7,$I9+P$3,$C$16,$C$17,$C$18,$C$19,$C$20,$C$21,$C$22,$C$26,$C$27,$D$15,$D$16,$D$17,$D$18,$D$19,$D$20,$D$21,$D$22,$D$23,$D$24,$D$25,$D$26,$D$27,$C$8,$C$9,$C$10,$C$11,$C$12),"")</f>
        <v>248697.57355490761</v>
      </c>
      <c r="Q9" s="255">
        <f ca="1">IF(NOW(),_xll.mirSwapPV($C$3,$C$4,$C$6,$G9,$C$7,$I9+Q$3,$C$16,$C$17,$C$18,$C$19,$C$20,$C$21,$C$22,$C$26,$C$27,$D$15,$D$16,$D$17,$D$18,$D$19,$D$20,$D$21,$D$22,$D$23,$D$24,$D$25,$D$26,$D$27,$C$8,$C$9,$C$10,$C$11,$C$12),"")</f>
        <v>165798.38236993839</v>
      </c>
      <c r="R9" s="255">
        <f ca="1">IF(NOW(),_xll.mirSwapPV($C$3,$C$4,$C$6,$G9,$C$7,$I9+R$3,$C$16,$C$17,$C$18,$C$19,$C$20,$C$21,$C$22,$C$26,$C$27,$D$15,$D$16,$D$17,$D$18,$D$19,$D$20,$D$21,$D$22,$D$23,$D$24,$D$25,$D$26,$D$27,$C$8,$C$9,$C$10,$C$11,$C$12),"")</f>
        <v>82899.191184969182</v>
      </c>
      <c r="S9" s="255">
        <f ca="1">IF(NOW(),_xll.mirSwapPV($C$3,$C$4,$C$6,$G9,$C$7,$I9+S$3,$C$16,$C$17,$C$18,$C$19,$C$20,$C$21,$C$22,$C$26,$C$27,$D$15,$D$16,$D$17,$D$18,$D$19,$D$20,$D$21,$D$22,$D$23,$D$24,$D$25,$D$26,$D$27,$C$8,$C$9,$C$10,$C$11,$C$12),"")</f>
        <v>0</v>
      </c>
      <c r="T9" s="255">
        <f ca="1">IF(NOW(),_xll.mirSwapPV($C$3,$C$4,$C$6,$G9,$C$7,$I9+T$3,$C$16,$C$17,$C$18,$C$19,$C$20,$C$21,$C$22,$C$26,$C$27,$D$15,$D$16,$D$17,$D$18,$D$19,$D$20,$D$21,$D$22,$D$23,$D$24,$D$25,$D$26,$D$27,$C$8,$C$9,$C$10,$C$11,$C$12),"")</f>
        <v>-82899.191184969197</v>
      </c>
      <c r="U9" s="255">
        <f ca="1">IF(NOW(),_xll.mirSwapPV($C$3,$C$4,$C$6,$G9,$C$7,$I9+U$3,$C$16,$C$17,$C$18,$C$19,$C$20,$C$21,$C$22,$C$26,$C$27,$D$15,$D$16,$D$17,$D$18,$D$19,$D$20,$D$21,$D$22,$D$23,$D$24,$D$25,$D$26,$D$27,$C$8,$C$9,$C$10,$C$11,$C$12),"")</f>
        <v>-165798.38236993839</v>
      </c>
      <c r="V9" s="255">
        <f ca="1">IF(NOW(),_xll.mirSwapPV($C$3,$C$4,$C$6,$G9,$C$7,$I9+V$3,$C$16,$C$17,$C$18,$C$19,$C$20,$C$21,$C$22,$C$26,$C$27,$D$15,$D$16,$D$17,$D$18,$D$19,$D$20,$D$21,$D$22,$D$23,$D$24,$D$25,$D$26,$D$27,$C$8,$C$9,$C$10,$C$11,$C$12),"")</f>
        <v>-248697.57355490758</v>
      </c>
      <c r="W9" s="255">
        <f ca="1">IF(NOW(),_xll.mirSwapPV($C$3,$C$4,$C$6,$G9,$C$7,$I9+W$3,$C$16,$C$17,$C$18,$C$19,$C$20,$C$21,$C$22,$C$26,$C$27,$D$15,$D$16,$D$17,$D$18,$D$19,$D$20,$D$21,$D$22,$D$23,$D$24,$D$25,$D$26,$D$27,$C$8,$C$9,$C$10,$C$11,$C$12),"")</f>
        <v>-331596.76473987685</v>
      </c>
      <c r="X9" s="255">
        <f ca="1">IF(NOW(),_xll.mirSwapPV($C$3,$C$4,$C$6,$G9,$C$7,$I9+X$3,$C$16,$C$17,$C$18,$C$19,$C$20,$C$21,$C$22,$C$26,$C$27,$D$15,$D$16,$D$17,$D$18,$D$19,$D$20,$D$21,$D$22,$D$23,$D$24,$D$25,$D$26,$D$27,$C$8,$C$9,$C$10,$C$11,$C$12),"")</f>
        <v>-414495.955924846</v>
      </c>
      <c r="Y9" s="230" t="s">
        <v>12</v>
      </c>
      <c r="Z9" s="224" t="s">
        <v>113</v>
      </c>
      <c r="AA9" s="227">
        <f>_xll.mirGetDate($C$6,Z9)</f>
        <v>45488</v>
      </c>
      <c r="AB9" s="228">
        <f>'USD Curve Config'!$AO14</f>
        <v>2.4462999999999999E-2</v>
      </c>
      <c r="AC9" s="229">
        <f ca="1">IF(NOW(),_xll.mirGetParRate4($C$6,Z9,$C$7,$C$16,$C$17,$C$18,$C$19,$C$20,$C$21,$C$22,$C$26,$C$27,$D$16,$D$17,$D$18,$D$19,$D$20,$D$21,$D$22,$D$23,$D$24,$D$25,$D$26,$D$27,$C$8,$C$9,$C$10,$D$11,$C$12),"")</f>
        <v>2.446299995382735E-2</v>
      </c>
      <c r="AD9" s="229">
        <f t="shared" ca="1" si="4"/>
        <v>-4.6172649037501401E-11</v>
      </c>
      <c r="AE9" s="230">
        <f t="shared" ca="1" si="5"/>
        <v>-4.6172649037501401E-7</v>
      </c>
      <c r="AG9" s="224" t="s">
        <v>113</v>
      </c>
      <c r="AH9" s="255">
        <f ca="1">IF(NOW(),_xll.mirSwapPV($C$3,$C$4,$C$6,$G9,$C$7,$I9+AH$3,$C$16,$C$17,$C$18,$C$19,$C$20,$C$21,$C$22,$C$26,$C$27,$D$15,$D$16,$D$17,$D$18,$D$19,$D$20,$D$21,$D$22,$D$23,$D$24,$D$25,$D$26,$D$27,$C$8,$C$9,$C$10,$D$11,$C$12),"")</f>
        <v>414495.955924846</v>
      </c>
      <c r="AI9" s="255">
        <f ca="1">IF(NOW(),_xll.mirSwapPV($C$3,$C$4,$C$6,$G9,$C$7,$I9+AI$3,$C$16,$C$17,$C$18,$C$19,$C$20,$C$21,$C$22,$C$26,$C$27,$D$15,$D$16,$D$17,$D$18,$D$19,$D$20,$D$21,$D$22,$D$23,$D$24,$D$25,$D$26,$D$27,$C$8,$C$9,$C$10,$D$11,$C$12),"")</f>
        <v>331596.76473987679</v>
      </c>
      <c r="AJ9" s="255">
        <f ca="1">IF(NOW(),_xll.mirSwapPV($C$3,$C$4,$C$6,$G9,$C$7,$I9+AJ$3,$C$16,$C$17,$C$18,$C$19,$C$20,$C$21,$C$22,$C$26,$C$27,$D$15,$D$16,$D$17,$D$18,$D$19,$D$20,$D$21,$D$22,$D$23,$D$24,$D$25,$D$26,$D$27,$C$8,$C$9,$C$10,$D$11,$C$12),"")</f>
        <v>248697.57355490758</v>
      </c>
      <c r="AK9" s="255">
        <f ca="1">IF(NOW(),_xll.mirSwapPV($C$3,$C$4,$C$6,$G9,$C$7,$I9+AK$3,$C$16,$C$17,$C$18,$C$19,$C$20,$C$21,$C$22,$C$26,$C$27,$D$15,$D$16,$D$17,$D$18,$D$19,$D$20,$D$21,$D$22,$D$23,$D$24,$D$25,$D$26,$D$27,$C$8,$C$9,$C$10,$D$11,$C$12),"")</f>
        <v>165798.38236993836</v>
      </c>
      <c r="AL9" s="255">
        <f ca="1">IF(NOW(),_xll.mirSwapPV($C$3,$C$4,$C$6,$G9,$C$7,$I9+AL$3,$C$16,$C$17,$C$18,$C$19,$C$20,$C$21,$C$22,$C$26,$C$27,$D$15,$D$16,$D$17,$D$18,$D$19,$D$20,$D$21,$D$22,$D$23,$D$24,$D$25,$D$26,$D$27,$C$8,$C$9,$C$10,$D$11,$C$12),"")</f>
        <v>82899.191184969153</v>
      </c>
      <c r="AM9" s="255">
        <f ca="1">IF(NOW(),_xll.mirSwapPV($C$3,$C$4,$C$6,$G9,$C$7,$I9+AM$3,$C$16,$C$17,$C$18,$C$19,$C$20,$C$21,$C$22,$C$26,$C$27,$D$15,$D$16,$D$17,$D$18,$D$19,$D$20,$D$21,$D$22,$D$23,$D$24,$D$25,$D$26,$D$27,$C$8,$C$9,$C$10,$D$11,$C$12),"")</f>
        <v>-2.7755575615628914E-11</v>
      </c>
      <c r="AN9" s="255">
        <f ca="1">IF(NOW(),_xll.mirSwapPV($C$3,$C$4,$C$6,$G9,$C$7,$I9+AN$3,$C$16,$C$17,$C$18,$C$19,$C$20,$C$21,$C$22,$C$26,$C$27,$D$15,$D$16,$D$17,$D$18,$D$19,$D$20,$D$21,$D$22,$D$23,$D$24,$D$25,$D$26,$D$27,$C$8,$C$9,$C$10,$D$11,$C$12),"")</f>
        <v>-82899.191184969211</v>
      </c>
      <c r="AO9" s="255">
        <f ca="1">IF(NOW(),_xll.mirSwapPV($C$3,$C$4,$C$6,$G9,$C$7,$I9+AO$3,$C$16,$C$17,$C$18,$C$19,$C$20,$C$21,$C$22,$C$26,$C$27,$D$15,$D$16,$D$17,$D$18,$D$19,$D$20,$D$21,$D$22,$D$23,$D$24,$D$25,$D$26,$D$27,$C$8,$C$9,$C$10,$D$11,$C$12),"")</f>
        <v>-165798.38236993839</v>
      </c>
      <c r="AP9" s="255">
        <f ca="1">IF(NOW(),_xll.mirSwapPV($C$3,$C$4,$C$6,$G9,$C$7,$I9+AP$3,$C$16,$C$17,$C$18,$C$19,$C$20,$C$21,$C$22,$C$26,$C$27,$D$15,$D$16,$D$17,$D$18,$D$19,$D$20,$D$21,$D$22,$D$23,$D$24,$D$25,$D$26,$D$27,$C$8,$C$9,$C$10,$D$11,$C$12),"")</f>
        <v>-248697.57355490761</v>
      </c>
      <c r="AQ9" s="255">
        <f ca="1">IF(NOW(),_xll.mirSwapPV($C$3,$C$4,$C$6,$G9,$C$7,$I9+AQ$3,$C$16,$C$17,$C$18,$C$19,$C$20,$C$21,$C$22,$C$26,$C$27,$D$15,$D$16,$D$17,$D$18,$D$19,$D$20,$D$21,$D$22,$D$23,$D$24,$D$25,$D$26,$D$27,$C$8,$C$9,$C$10,$D$11,$C$12),"")</f>
        <v>-331596.76473987685</v>
      </c>
      <c r="AR9" s="255">
        <f ca="1">IF(NOW(),_xll.mirSwapPV($C$3,$C$4,$C$6,$G9,$C$7,$I9+AR$3,$C$16,$C$17,$C$18,$C$19,$C$20,$C$21,$C$22,$C$26,$C$27,$D$15,$D$16,$D$17,$D$18,$D$19,$D$20,$D$21,$D$22,$D$23,$D$24,$D$25,$D$26,$D$27,$C$8,$C$9,$C$10,$D$11,$C$12),"")</f>
        <v>-414495.955924846</v>
      </c>
    </row>
    <row r="10" spans="2:44">
      <c r="B10" s="234" t="s">
        <v>436</v>
      </c>
      <c r="C10" s="235" t="s">
        <v>201</v>
      </c>
      <c r="D10" s="235"/>
      <c r="F10" s="224" t="s">
        <v>28</v>
      </c>
      <c r="G10" s="227">
        <f>_xll.mirGetDate($C$6,F10)</f>
        <v>45853</v>
      </c>
      <c r="H10" s="228">
        <f>'USD Curve Config'!$AO15</f>
        <v>2.5365000000000002E-2</v>
      </c>
      <c r="I10" s="229">
        <f ca="1">IF(NOW(),_xll.mirGetParRate4($C$6,F10,$C$7,$C$16,$C$17,$C$18,$C$19,$C$20,$C$21,$C$22,$C$26,$C$27,$D$16,$D$17,$D$18,$D$19,$D$20,$D$21,$D$22,$D$23,$D$24,$D$25,$D$26,$D$27,$C$8,$C$9,$C$10,$C$11,$C$12),"")</f>
        <v>2.5364999910048966E-2</v>
      </c>
      <c r="J10" s="229">
        <f t="shared" ca="1" si="2"/>
        <v>-8.9951036202906565E-11</v>
      </c>
      <c r="K10" s="230">
        <f t="shared" ca="1" si="3"/>
        <v>-8.9951036202906565E-7</v>
      </c>
      <c r="L10" s="230" t="s">
        <v>12</v>
      </c>
      <c r="M10" s="224" t="s">
        <v>28</v>
      </c>
      <c r="N10" s="255">
        <f ca="1">IF(NOW(),_xll.mirSwapPV($C$3,$C$4,$C$6,$G10,$C$7,$I10+N$3,$C$16,$C$17,$C$18,$C$19,$C$20,$C$21,$C$22,$C$26,$C$27,$D$15,$D$16,$D$17,$D$18,$D$19,$D$20,$D$21,$D$22,$D$23,$D$24,$D$25,$D$26,$D$27,$C$8,$C$9,$C$10,$C$11,$C$12),"")</f>
        <v>454327.72847923241</v>
      </c>
      <c r="O10" s="255">
        <f ca="1">IF(NOW(),_xll.mirSwapPV($C$3,$C$4,$C$6,$G10,$C$7,$I10+O$3,$C$16,$C$17,$C$18,$C$19,$C$20,$C$21,$C$22,$C$26,$C$27,$D$15,$D$16,$D$17,$D$18,$D$19,$D$20,$D$21,$D$22,$D$23,$D$24,$D$25,$D$26,$D$27,$C$8,$C$9,$C$10,$C$11,$C$12),"")</f>
        <v>363462.18278338591</v>
      </c>
      <c r="P10" s="255">
        <f ca="1">IF(NOW(),_xll.mirSwapPV($C$3,$C$4,$C$6,$G10,$C$7,$I10+P$3,$C$16,$C$17,$C$18,$C$19,$C$20,$C$21,$C$22,$C$26,$C$27,$D$15,$D$16,$D$17,$D$18,$D$19,$D$20,$D$21,$D$22,$D$23,$D$24,$D$25,$D$26,$D$27,$C$8,$C$9,$C$10,$C$11,$C$12),"")</f>
        <v>272596.63708753942</v>
      </c>
      <c r="Q10" s="255">
        <f ca="1">IF(NOW(),_xll.mirSwapPV($C$3,$C$4,$C$6,$G10,$C$7,$I10+Q$3,$C$16,$C$17,$C$18,$C$19,$C$20,$C$21,$C$22,$C$26,$C$27,$D$15,$D$16,$D$17,$D$18,$D$19,$D$20,$D$21,$D$22,$D$23,$D$24,$D$25,$D$26,$D$27,$C$8,$C$9,$C$10,$C$11,$C$12),"")</f>
        <v>181731.0913916929</v>
      </c>
      <c r="R10" s="255">
        <f ca="1">IF(NOW(),_xll.mirSwapPV($C$3,$C$4,$C$6,$G10,$C$7,$I10+R$3,$C$16,$C$17,$C$18,$C$19,$C$20,$C$21,$C$22,$C$26,$C$27,$D$15,$D$16,$D$17,$D$18,$D$19,$D$20,$D$21,$D$22,$D$23,$D$24,$D$25,$D$26,$D$27,$C$8,$C$9,$C$10,$C$11,$C$12),"")</f>
        <v>90865.545695846449</v>
      </c>
      <c r="S10" s="255">
        <f ca="1">IF(NOW(),_xll.mirSwapPV($C$3,$C$4,$C$6,$G10,$C$7,$I10+S$3,$C$16,$C$17,$C$18,$C$19,$C$20,$C$21,$C$22,$C$26,$C$27,$D$15,$D$16,$D$17,$D$18,$D$19,$D$20,$D$21,$D$22,$D$23,$D$24,$D$25,$D$26,$D$27,$C$8,$C$9,$C$10,$C$11,$C$12),"")</f>
        <v>0</v>
      </c>
      <c r="T10" s="255">
        <f ca="1">IF(NOW(),_xll.mirSwapPV($C$3,$C$4,$C$6,$G10,$C$7,$I10+T$3,$C$16,$C$17,$C$18,$C$19,$C$20,$C$21,$C$22,$C$26,$C$27,$D$15,$D$16,$D$17,$D$18,$D$19,$D$20,$D$21,$D$22,$D$23,$D$24,$D$25,$D$26,$D$27,$C$8,$C$9,$C$10,$C$11,$C$12),"")</f>
        <v>-90865.545695846507</v>
      </c>
      <c r="U10" s="255">
        <f ca="1">IF(NOW(),_xll.mirSwapPV($C$3,$C$4,$C$6,$G10,$C$7,$I10+U$3,$C$16,$C$17,$C$18,$C$19,$C$20,$C$21,$C$22,$C$26,$C$27,$D$15,$D$16,$D$17,$D$18,$D$19,$D$20,$D$21,$D$22,$D$23,$D$24,$D$25,$D$26,$D$27,$C$8,$C$9,$C$10,$C$11,$C$12),"")</f>
        <v>-181731.09139169299</v>
      </c>
      <c r="V10" s="255">
        <f ca="1">IF(NOW(),_xll.mirSwapPV($C$3,$C$4,$C$6,$G10,$C$7,$I10+V$3,$C$16,$C$17,$C$18,$C$19,$C$20,$C$21,$C$22,$C$26,$C$27,$D$15,$D$16,$D$17,$D$18,$D$19,$D$20,$D$21,$D$22,$D$23,$D$24,$D$25,$D$26,$D$27,$C$8,$C$9,$C$10,$C$11,$C$12),"")</f>
        <v>-272596.63708753936</v>
      </c>
      <c r="W10" s="255">
        <f ca="1">IF(NOW(),_xll.mirSwapPV($C$3,$C$4,$C$6,$G10,$C$7,$I10+W$3,$C$16,$C$17,$C$18,$C$19,$C$20,$C$21,$C$22,$C$26,$C$27,$D$15,$D$16,$D$17,$D$18,$D$19,$D$20,$D$21,$D$22,$D$23,$D$24,$D$25,$D$26,$D$27,$C$8,$C$9,$C$10,$C$11,$C$12),"")</f>
        <v>-363462.1827833858</v>
      </c>
      <c r="X10" s="255">
        <f ca="1">IF(NOW(),_xll.mirSwapPV($C$3,$C$4,$C$6,$G10,$C$7,$I10+X$3,$C$16,$C$17,$C$18,$C$19,$C$20,$C$21,$C$22,$C$26,$C$27,$D$15,$D$16,$D$17,$D$18,$D$19,$D$20,$D$21,$D$22,$D$23,$D$24,$D$25,$D$26,$D$27,$C$8,$C$9,$C$10,$C$11,$C$12),"")</f>
        <v>-454327.72847923241</v>
      </c>
      <c r="Y10" s="230" t="s">
        <v>12</v>
      </c>
      <c r="Z10" s="224" t="s">
        <v>28</v>
      </c>
      <c r="AA10" s="227">
        <f>_xll.mirGetDate($C$6,Z10)</f>
        <v>45853</v>
      </c>
      <c r="AB10" s="228">
        <f>'USD Curve Config'!$AO15</f>
        <v>2.5365000000000002E-2</v>
      </c>
      <c r="AC10" s="229">
        <f ca="1">IF(NOW(),_xll.mirGetParRate4($C$6,Z10,$C$7,$C$16,$C$17,$C$18,$C$19,$C$20,$C$21,$C$22,$C$26,$C$27,$D$16,$D$17,$D$18,$D$19,$D$20,$D$21,$D$22,$D$23,$D$24,$D$25,$D$26,$D$27,$C$8,$C$9,$C$10,$D$11,$C$12),"")</f>
        <v>2.5364999910048952E-2</v>
      </c>
      <c r="AD10" s="229">
        <f t="shared" ca="1" si="4"/>
        <v>-8.9951050080694372E-11</v>
      </c>
      <c r="AE10" s="230">
        <f t="shared" ca="1" si="5"/>
        <v>-8.9951050080694372E-7</v>
      </c>
      <c r="AG10" s="224" t="s">
        <v>28</v>
      </c>
      <c r="AH10" s="255">
        <f ca="1">IF(NOW(),_xll.mirSwapPV($C$3,$C$4,$C$6,$G10,$C$7,$I10+AH$3,$C$16,$C$17,$C$18,$C$19,$C$20,$C$21,$C$22,$C$26,$C$27,$D$15,$D$16,$D$17,$D$18,$D$19,$D$20,$D$21,$D$22,$D$23,$D$24,$D$25,$D$26,$D$27,$C$8,$C$9,$C$10,$D$11,$C$12),"")</f>
        <v>454327.72847923223</v>
      </c>
      <c r="AI10" s="255">
        <f ca="1">IF(NOW(),_xll.mirSwapPV($C$3,$C$4,$C$6,$G10,$C$7,$I10+AI$3,$C$16,$C$17,$C$18,$C$19,$C$20,$C$21,$C$22,$C$26,$C$27,$D$15,$D$16,$D$17,$D$18,$D$19,$D$20,$D$21,$D$22,$D$23,$D$24,$D$25,$D$26,$D$27,$C$8,$C$9,$C$10,$D$11,$C$12),"")</f>
        <v>363462.18278338574</v>
      </c>
      <c r="AJ10" s="255">
        <f ca="1">IF(NOW(),_xll.mirSwapPV($C$3,$C$4,$C$6,$G10,$C$7,$I10+AJ$3,$C$16,$C$17,$C$18,$C$19,$C$20,$C$21,$C$22,$C$26,$C$27,$D$15,$D$16,$D$17,$D$18,$D$19,$D$20,$D$21,$D$22,$D$23,$D$24,$D$25,$D$26,$D$27,$C$8,$C$9,$C$10,$D$11,$C$12),"")</f>
        <v>272596.6370875393</v>
      </c>
      <c r="AK10" s="255">
        <f ca="1">IF(NOW(),_xll.mirSwapPV($C$3,$C$4,$C$6,$G10,$C$7,$I10+AK$3,$C$16,$C$17,$C$18,$C$19,$C$20,$C$21,$C$22,$C$26,$C$27,$D$15,$D$16,$D$17,$D$18,$D$19,$D$20,$D$21,$D$22,$D$23,$D$24,$D$25,$D$26,$D$27,$C$8,$C$9,$C$10,$D$11,$C$12),"")</f>
        <v>181731.09139169278</v>
      </c>
      <c r="AL10" s="255">
        <f ca="1">IF(NOW(),_xll.mirSwapPV($C$3,$C$4,$C$6,$G10,$C$7,$I10+AL$3,$C$16,$C$17,$C$18,$C$19,$C$20,$C$21,$C$22,$C$26,$C$27,$D$15,$D$16,$D$17,$D$18,$D$19,$D$20,$D$21,$D$22,$D$23,$D$24,$D$25,$D$26,$D$27,$C$8,$C$9,$C$10,$D$11,$C$12),"")</f>
        <v>90865.545695846318</v>
      </c>
      <c r="AM10" s="255">
        <f ca="1">IF(NOW(),_xll.mirSwapPV($C$3,$C$4,$C$6,$G10,$C$7,$I10+AM$3,$C$16,$C$17,$C$18,$C$19,$C$20,$C$21,$C$22,$C$26,$C$27,$D$15,$D$16,$D$17,$D$18,$D$19,$D$20,$D$21,$D$22,$D$23,$D$24,$D$25,$D$26,$D$27,$C$8,$C$9,$C$10,$D$11,$C$12),"")</f>
        <v>-1.3877787807814457E-10</v>
      </c>
      <c r="AN10" s="255">
        <f ca="1">IF(NOW(),_xll.mirSwapPV($C$3,$C$4,$C$6,$G10,$C$7,$I10+AN$3,$C$16,$C$17,$C$18,$C$19,$C$20,$C$21,$C$22,$C$26,$C$27,$D$15,$D$16,$D$17,$D$18,$D$19,$D$20,$D$21,$D$22,$D$23,$D$24,$D$25,$D$26,$D$27,$C$8,$C$9,$C$10,$D$11,$C$12),"")</f>
        <v>-90865.545695846653</v>
      </c>
      <c r="AO10" s="255">
        <f ca="1">IF(NOW(),_xll.mirSwapPV($C$3,$C$4,$C$6,$G10,$C$7,$I10+AO$3,$C$16,$C$17,$C$18,$C$19,$C$20,$C$21,$C$22,$C$26,$C$27,$D$15,$D$16,$D$17,$D$18,$D$19,$D$20,$D$21,$D$22,$D$23,$D$24,$D$25,$D$26,$D$27,$C$8,$C$9,$C$10,$D$11,$C$12),"")</f>
        <v>-181731.09139169313</v>
      </c>
      <c r="AP10" s="255">
        <f ca="1">IF(NOW(),_xll.mirSwapPV($C$3,$C$4,$C$6,$G10,$C$7,$I10+AP$3,$C$16,$C$17,$C$18,$C$19,$C$20,$C$21,$C$22,$C$26,$C$27,$D$15,$D$16,$D$17,$D$18,$D$19,$D$20,$D$21,$D$22,$D$23,$D$24,$D$25,$D$26,$D$27,$C$8,$C$9,$C$10,$D$11,$C$12),"")</f>
        <v>-272596.63708753948</v>
      </c>
      <c r="AQ10" s="255">
        <f ca="1">IF(NOW(),_xll.mirSwapPV($C$3,$C$4,$C$6,$G10,$C$7,$I10+AQ$3,$C$16,$C$17,$C$18,$C$19,$C$20,$C$21,$C$22,$C$26,$C$27,$D$15,$D$16,$D$17,$D$18,$D$19,$D$20,$D$21,$D$22,$D$23,$D$24,$D$25,$D$26,$D$27,$C$8,$C$9,$C$10,$D$11,$C$12),"")</f>
        <v>-363462.18278338597</v>
      </c>
      <c r="AR10" s="255">
        <f ca="1">IF(NOW(),_xll.mirSwapPV($C$3,$C$4,$C$6,$G10,$C$7,$I10+AR$3,$C$16,$C$17,$C$18,$C$19,$C$20,$C$21,$C$22,$C$26,$C$27,$D$15,$D$16,$D$17,$D$18,$D$19,$D$20,$D$21,$D$22,$D$23,$D$24,$D$25,$D$26,$D$27,$C$8,$C$9,$C$10,$D$11,$C$12),"")</f>
        <v>-454327.72847923258</v>
      </c>
    </row>
    <row r="11" spans="2:44">
      <c r="B11" s="234" t="s">
        <v>437</v>
      </c>
      <c r="C11" s="236" t="b">
        <v>1</v>
      </c>
      <c r="D11" s="236" t="b">
        <v>0</v>
      </c>
      <c r="F11" s="224" t="s">
        <v>366</v>
      </c>
      <c r="G11" s="227">
        <f>_xll.mirGetDate($C$6,F11)</f>
        <v>46218</v>
      </c>
      <c r="H11" s="228">
        <f>'USD Curve Config'!$AO16</f>
        <v>2.6099999999999998E-2</v>
      </c>
      <c r="I11" s="229">
        <f ca="1">IF(NOW(),_xll.mirGetParRate4($C$6,F11,$C$7,$C$16,$C$17,$C$18,$C$19,$C$20,$C$21,$C$22,$C$26,$C$27,$D$16,$D$17,$D$18,$D$19,$D$20,$D$21,$D$22,$D$23,$D$24,$D$25,$D$26,$D$27,$C$8,$C$9,$C$10,$C$11,$C$12),"")</f>
        <v>2.6099999963436895E-2</v>
      </c>
      <c r="J11" s="229">
        <f t="shared" ca="1" si="2"/>
        <v>-3.6563103239517503E-11</v>
      </c>
      <c r="K11" s="230">
        <f t="shared" ca="1" si="3"/>
        <v>-3.6563103239517503E-7</v>
      </c>
      <c r="L11" s="230" t="s">
        <v>12</v>
      </c>
      <c r="M11" s="224" t="s">
        <v>366</v>
      </c>
      <c r="N11" s="255">
        <f ca="1">IF(NOW(),_xll.mirSwapPV($C$3,$C$4,$C$6,$G11,$C$7,$I11+N$3,$C$16,$C$17,$C$18,$C$19,$C$20,$C$21,$C$22,$C$26,$C$27,$D$15,$D$16,$D$17,$D$18,$D$19,$D$20,$D$21,$D$22,$D$23,$D$24,$D$25,$D$26,$D$27,$C$8,$C$9,$C$10,$C$11,$C$12),"")</f>
        <v>492896.57612352073</v>
      </c>
      <c r="O11" s="255">
        <f ca="1">IF(NOW(),_xll.mirSwapPV($C$3,$C$4,$C$6,$G11,$C$7,$I11+O$3,$C$16,$C$17,$C$18,$C$19,$C$20,$C$21,$C$22,$C$26,$C$27,$D$15,$D$16,$D$17,$D$18,$D$19,$D$20,$D$21,$D$22,$D$23,$D$24,$D$25,$D$26,$D$27,$C$8,$C$9,$C$10,$C$11,$C$12),"")</f>
        <v>394317.26089881657</v>
      </c>
      <c r="P11" s="255">
        <f ca="1">IF(NOW(),_xll.mirSwapPV($C$3,$C$4,$C$6,$G11,$C$7,$I11+P$3,$C$16,$C$17,$C$18,$C$19,$C$20,$C$21,$C$22,$C$26,$C$27,$D$15,$D$16,$D$17,$D$18,$D$19,$D$20,$D$21,$D$22,$D$23,$D$24,$D$25,$D$26,$D$27,$C$8,$C$9,$C$10,$C$11,$C$12),"")</f>
        <v>295737.94567411236</v>
      </c>
      <c r="Q11" s="255">
        <f ca="1">IF(NOW(),_xll.mirSwapPV($C$3,$C$4,$C$6,$G11,$C$7,$I11+Q$3,$C$16,$C$17,$C$18,$C$19,$C$20,$C$21,$C$22,$C$26,$C$27,$D$15,$D$16,$D$17,$D$18,$D$19,$D$20,$D$21,$D$22,$D$23,$D$24,$D$25,$D$26,$D$27,$C$8,$C$9,$C$10,$C$11,$C$12),"")</f>
        <v>197158.63044940823</v>
      </c>
      <c r="R11" s="255">
        <f ca="1">IF(NOW(),_xll.mirSwapPV($C$3,$C$4,$C$6,$G11,$C$7,$I11+R$3,$C$16,$C$17,$C$18,$C$19,$C$20,$C$21,$C$22,$C$26,$C$27,$D$15,$D$16,$D$17,$D$18,$D$19,$D$20,$D$21,$D$22,$D$23,$D$24,$D$25,$D$26,$D$27,$C$8,$C$9,$C$10,$C$11,$C$12),"")</f>
        <v>98579.315224704114</v>
      </c>
      <c r="S11" s="255">
        <f ca="1">IF(NOW(),_xll.mirSwapPV($C$3,$C$4,$C$6,$G11,$C$7,$I11+S$3,$C$16,$C$17,$C$18,$C$19,$C$20,$C$21,$C$22,$C$26,$C$27,$D$15,$D$16,$D$17,$D$18,$D$19,$D$20,$D$21,$D$22,$D$23,$D$24,$D$25,$D$26,$D$27,$C$8,$C$9,$C$10,$C$11,$C$12),"")</f>
        <v>0</v>
      </c>
      <c r="T11" s="255">
        <f ca="1">IF(NOW(),_xll.mirSwapPV($C$3,$C$4,$C$6,$G11,$C$7,$I11+T$3,$C$16,$C$17,$C$18,$C$19,$C$20,$C$21,$C$22,$C$26,$C$27,$D$15,$D$16,$D$17,$D$18,$D$19,$D$20,$D$21,$D$22,$D$23,$D$24,$D$25,$D$26,$D$27,$C$8,$C$9,$C$10,$C$11,$C$12),"")</f>
        <v>-98579.315224704143</v>
      </c>
      <c r="U11" s="255">
        <f ca="1">IF(NOW(),_xll.mirSwapPV($C$3,$C$4,$C$6,$G11,$C$7,$I11+U$3,$C$16,$C$17,$C$18,$C$19,$C$20,$C$21,$C$22,$C$26,$C$27,$D$15,$D$16,$D$17,$D$18,$D$19,$D$20,$D$21,$D$22,$D$23,$D$24,$D$25,$D$26,$D$27,$C$8,$C$9,$C$10,$C$11,$C$12),"")</f>
        <v>-197158.63044940829</v>
      </c>
      <c r="V11" s="255">
        <f ca="1">IF(NOW(),_xll.mirSwapPV($C$3,$C$4,$C$6,$G11,$C$7,$I11+V$3,$C$16,$C$17,$C$18,$C$19,$C$20,$C$21,$C$22,$C$26,$C$27,$D$15,$D$16,$D$17,$D$18,$D$19,$D$20,$D$21,$D$22,$D$23,$D$24,$D$25,$D$26,$D$27,$C$8,$C$9,$C$10,$C$11,$C$12),"")</f>
        <v>-295737.94567411242</v>
      </c>
      <c r="W11" s="255">
        <f ca="1">IF(NOW(),_xll.mirSwapPV($C$3,$C$4,$C$6,$G11,$C$7,$I11+W$3,$C$16,$C$17,$C$18,$C$19,$C$20,$C$21,$C$22,$C$26,$C$27,$D$15,$D$16,$D$17,$D$18,$D$19,$D$20,$D$21,$D$22,$D$23,$D$24,$D$25,$D$26,$D$27,$C$8,$C$9,$C$10,$C$11,$C$12),"")</f>
        <v>-394317.26089881652</v>
      </c>
      <c r="X11" s="255">
        <f ca="1">IF(NOW(),_xll.mirSwapPV($C$3,$C$4,$C$6,$G11,$C$7,$I11+X$3,$C$16,$C$17,$C$18,$C$19,$C$20,$C$21,$C$22,$C$26,$C$27,$D$15,$D$16,$D$17,$D$18,$D$19,$D$20,$D$21,$D$22,$D$23,$D$24,$D$25,$D$26,$D$27,$C$8,$C$9,$C$10,$C$11,$C$12),"")</f>
        <v>-492896.57612352085</v>
      </c>
      <c r="Y11" s="230" t="s">
        <v>12</v>
      </c>
      <c r="Z11" s="224" t="s">
        <v>366</v>
      </c>
      <c r="AA11" s="227">
        <f>_xll.mirGetDate($C$6,Z11)</f>
        <v>46218</v>
      </c>
      <c r="AB11" s="228">
        <f>'USD Curve Config'!$AO16</f>
        <v>2.6099999999999998E-2</v>
      </c>
      <c r="AC11" s="229">
        <f ca="1">IF(NOW(),_xll.mirGetParRate4($C$6,Z11,$C$7,$C$16,$C$17,$C$18,$C$19,$C$20,$C$21,$C$22,$C$26,$C$27,$D$16,$D$17,$D$18,$D$19,$D$20,$D$21,$D$22,$D$23,$D$24,$D$25,$D$26,$D$27,$C$8,$C$9,$C$10,$D$11,$C$12),"")</f>
        <v>2.6099999963436888E-2</v>
      </c>
      <c r="AD11" s="229">
        <f t="shared" ca="1" si="4"/>
        <v>-3.6563110178411407E-11</v>
      </c>
      <c r="AE11" s="230">
        <f t="shared" ca="1" si="5"/>
        <v>-3.6563110178411407E-7</v>
      </c>
      <c r="AG11" s="224" t="s">
        <v>366</v>
      </c>
      <c r="AH11" s="255">
        <f ca="1">IF(NOW(),_xll.mirSwapPV($C$3,$C$4,$C$6,$G11,$C$7,$I11+AH$3,$C$16,$C$17,$C$18,$C$19,$C$20,$C$21,$C$22,$C$26,$C$27,$D$15,$D$16,$D$17,$D$18,$D$19,$D$20,$D$21,$D$22,$D$23,$D$24,$D$25,$D$26,$D$27,$C$8,$C$9,$C$10,$D$11,$C$12),"")</f>
        <v>492896.57612352067</v>
      </c>
      <c r="AI11" s="255">
        <f ca="1">IF(NOW(),_xll.mirSwapPV($C$3,$C$4,$C$6,$G11,$C$7,$I11+AI$3,$C$16,$C$17,$C$18,$C$19,$C$20,$C$21,$C$22,$C$26,$C$27,$D$15,$D$16,$D$17,$D$18,$D$19,$D$20,$D$21,$D$22,$D$23,$D$24,$D$25,$D$26,$D$27,$C$8,$C$9,$C$10,$D$11,$C$12),"")</f>
        <v>394317.26089881646</v>
      </c>
      <c r="AJ11" s="255">
        <f ca="1">IF(NOW(),_xll.mirSwapPV($C$3,$C$4,$C$6,$G11,$C$7,$I11+AJ$3,$C$16,$C$17,$C$18,$C$19,$C$20,$C$21,$C$22,$C$26,$C$27,$D$15,$D$16,$D$17,$D$18,$D$19,$D$20,$D$21,$D$22,$D$23,$D$24,$D$25,$D$26,$D$27,$C$8,$C$9,$C$10,$D$11,$C$12),"")</f>
        <v>295737.9456741123</v>
      </c>
      <c r="AK11" s="255">
        <f ca="1">IF(NOW(),_xll.mirSwapPV($C$3,$C$4,$C$6,$G11,$C$7,$I11+AK$3,$C$16,$C$17,$C$18,$C$19,$C$20,$C$21,$C$22,$C$26,$C$27,$D$15,$D$16,$D$17,$D$18,$D$19,$D$20,$D$21,$D$22,$D$23,$D$24,$D$25,$D$26,$D$27,$C$8,$C$9,$C$10,$D$11,$C$12),"")</f>
        <v>197158.63044940817</v>
      </c>
      <c r="AL11" s="255">
        <f ca="1">IF(NOW(),_xll.mirSwapPV($C$3,$C$4,$C$6,$G11,$C$7,$I11+AL$3,$C$16,$C$17,$C$18,$C$19,$C$20,$C$21,$C$22,$C$26,$C$27,$D$15,$D$16,$D$17,$D$18,$D$19,$D$20,$D$21,$D$22,$D$23,$D$24,$D$25,$D$26,$D$27,$C$8,$C$9,$C$10,$D$11,$C$12),"")</f>
        <v>98579.315224704056</v>
      </c>
      <c r="AM11" s="255">
        <f ca="1">IF(NOW(),_xll.mirSwapPV($C$3,$C$4,$C$6,$G11,$C$7,$I11+AM$3,$C$16,$C$17,$C$18,$C$19,$C$20,$C$21,$C$22,$C$26,$C$27,$D$15,$D$16,$D$17,$D$18,$D$19,$D$20,$D$21,$D$22,$D$23,$D$24,$D$25,$D$26,$D$27,$C$8,$C$9,$C$10,$D$11,$C$12),"")</f>
        <v>-5.5511151231257827E-11</v>
      </c>
      <c r="AN11" s="255">
        <f ca="1">IF(NOW(),_xll.mirSwapPV($C$3,$C$4,$C$6,$G11,$C$7,$I11+AN$3,$C$16,$C$17,$C$18,$C$19,$C$20,$C$21,$C$22,$C$26,$C$27,$D$15,$D$16,$D$17,$D$18,$D$19,$D$20,$D$21,$D$22,$D$23,$D$24,$D$25,$D$26,$D$27,$C$8,$C$9,$C$10,$D$11,$C$12),"")</f>
        <v>-98579.315224704202</v>
      </c>
      <c r="AO11" s="255">
        <f ca="1">IF(NOW(),_xll.mirSwapPV($C$3,$C$4,$C$6,$G11,$C$7,$I11+AO$3,$C$16,$C$17,$C$18,$C$19,$C$20,$C$21,$C$22,$C$26,$C$27,$D$15,$D$16,$D$17,$D$18,$D$19,$D$20,$D$21,$D$22,$D$23,$D$24,$D$25,$D$26,$D$27,$C$8,$C$9,$C$10,$D$11,$C$12),"")</f>
        <v>-197158.63044940835</v>
      </c>
      <c r="AP11" s="255">
        <f ca="1">IF(NOW(),_xll.mirSwapPV($C$3,$C$4,$C$6,$G11,$C$7,$I11+AP$3,$C$16,$C$17,$C$18,$C$19,$C$20,$C$21,$C$22,$C$26,$C$27,$D$15,$D$16,$D$17,$D$18,$D$19,$D$20,$D$21,$D$22,$D$23,$D$24,$D$25,$D$26,$D$27,$C$8,$C$9,$C$10,$D$11,$C$12),"")</f>
        <v>-295737.94567411247</v>
      </c>
      <c r="AQ11" s="255">
        <f ca="1">IF(NOW(),_xll.mirSwapPV($C$3,$C$4,$C$6,$G11,$C$7,$I11+AQ$3,$C$16,$C$17,$C$18,$C$19,$C$20,$C$21,$C$22,$C$26,$C$27,$D$15,$D$16,$D$17,$D$18,$D$19,$D$20,$D$21,$D$22,$D$23,$D$24,$D$25,$D$26,$D$27,$C$8,$C$9,$C$10,$D$11,$C$12),"")</f>
        <v>-394317.26089881657</v>
      </c>
      <c r="AR11" s="255">
        <f ca="1">IF(NOW(),_xll.mirSwapPV($C$3,$C$4,$C$6,$G11,$C$7,$I11+AR$3,$C$16,$C$17,$C$18,$C$19,$C$20,$C$21,$C$22,$C$26,$C$27,$D$15,$D$16,$D$17,$D$18,$D$19,$D$20,$D$21,$D$22,$D$23,$D$24,$D$25,$D$26,$D$27,$C$8,$C$9,$C$10,$D$11,$C$12),"")</f>
        <v>-492896.57612352091</v>
      </c>
    </row>
    <row r="12" spans="2:44">
      <c r="B12" s="225" t="s">
        <v>438</v>
      </c>
      <c r="C12" s="237" t="b">
        <v>1</v>
      </c>
      <c r="D12" s="237"/>
      <c r="F12" s="224" t="s">
        <v>26</v>
      </c>
      <c r="G12" s="227">
        <f>_xll.mirGetDate($C$6,F12)</f>
        <v>46583</v>
      </c>
      <c r="H12" s="228">
        <f>'USD Curve Config'!$AO17</f>
        <v>2.6724999999999999E-2</v>
      </c>
      <c r="I12" s="229">
        <f ca="1">IF(NOW(),_xll.mirGetParRate4($C$6,F12,$C$7,$C$16,$C$17,$C$18,$C$19,$C$20,$C$21,$C$22,$C$26,$C$27,$D$16,$D$17,$D$18,$D$19,$D$20,$D$21,$D$22,$D$23,$D$24,$D$25,$D$26,$D$27,$C$8,$C$9,$C$10,$C$11,$C$12),"")</f>
        <v>2.6724999931119615E-2</v>
      </c>
      <c r="J12" s="229">
        <f t="shared" ca="1" si="2"/>
        <v>-6.8880384035407971E-11</v>
      </c>
      <c r="K12" s="230">
        <f t="shared" ca="1" si="3"/>
        <v>-6.8880384035407971E-7</v>
      </c>
      <c r="L12" s="230" t="s">
        <v>12</v>
      </c>
      <c r="M12" s="224" t="s">
        <v>26</v>
      </c>
      <c r="N12" s="255">
        <f ca="1">IF(NOW(),_xll.mirSwapPV($C$3,$C$4,$C$6,$G12,$C$7,$I12+N$3,$C$16,$C$17,$C$18,$C$19,$C$20,$C$21,$C$22,$C$26,$C$27,$D$15,$D$16,$D$17,$D$18,$D$19,$D$20,$D$21,$D$22,$D$23,$D$24,$D$25,$D$26,$D$27,$C$8,$C$9,$C$10,$C$11,$C$12),"")</f>
        <v>530241.07095762773</v>
      </c>
      <c r="O12" s="255">
        <f ca="1">IF(NOW(),_xll.mirSwapPV($C$3,$C$4,$C$6,$G12,$C$7,$I12+O$3,$C$16,$C$17,$C$18,$C$19,$C$20,$C$21,$C$22,$C$26,$C$27,$D$15,$D$16,$D$17,$D$18,$D$19,$D$20,$D$21,$D$22,$D$23,$D$24,$D$25,$D$26,$D$27,$C$8,$C$9,$C$10,$C$11,$C$12),"")</f>
        <v>424192.8567661022</v>
      </c>
      <c r="P12" s="255">
        <f ca="1">IF(NOW(),_xll.mirSwapPV($C$3,$C$4,$C$6,$G12,$C$7,$I12+P$3,$C$16,$C$17,$C$18,$C$19,$C$20,$C$21,$C$22,$C$26,$C$27,$D$15,$D$16,$D$17,$D$18,$D$19,$D$20,$D$21,$D$22,$D$23,$D$24,$D$25,$D$26,$D$27,$C$8,$C$9,$C$10,$C$11,$C$12),"")</f>
        <v>318144.64257457666</v>
      </c>
      <c r="Q12" s="255">
        <f ca="1">IF(NOW(),_xll.mirSwapPV($C$3,$C$4,$C$6,$G12,$C$7,$I12+Q$3,$C$16,$C$17,$C$18,$C$19,$C$20,$C$21,$C$22,$C$26,$C$27,$D$15,$D$16,$D$17,$D$18,$D$19,$D$20,$D$21,$D$22,$D$23,$D$24,$D$25,$D$26,$D$27,$C$8,$C$9,$C$10,$C$11,$C$12),"")</f>
        <v>212096.42838305104</v>
      </c>
      <c r="R12" s="255">
        <f ca="1">IF(NOW(),_xll.mirSwapPV($C$3,$C$4,$C$6,$G12,$C$7,$I12+R$3,$C$16,$C$17,$C$18,$C$19,$C$20,$C$21,$C$22,$C$26,$C$27,$D$15,$D$16,$D$17,$D$18,$D$19,$D$20,$D$21,$D$22,$D$23,$D$24,$D$25,$D$26,$D$27,$C$8,$C$9,$C$10,$C$11,$C$12),"")</f>
        <v>106048.21419152555</v>
      </c>
      <c r="S12" s="255">
        <f ca="1">IF(NOW(),_xll.mirSwapPV($C$3,$C$4,$C$6,$G12,$C$7,$I12+S$3,$C$16,$C$17,$C$18,$C$19,$C$20,$C$21,$C$22,$C$26,$C$27,$D$15,$D$16,$D$17,$D$18,$D$19,$D$20,$D$21,$D$22,$D$23,$D$24,$D$25,$D$26,$D$27,$C$8,$C$9,$C$10,$C$11,$C$12),"")</f>
        <v>0</v>
      </c>
      <c r="T12" s="255">
        <f ca="1">IF(NOW(),_xll.mirSwapPV($C$3,$C$4,$C$6,$G12,$C$7,$I12+T$3,$C$16,$C$17,$C$18,$C$19,$C$20,$C$21,$C$22,$C$26,$C$27,$D$15,$D$16,$D$17,$D$18,$D$19,$D$20,$D$21,$D$22,$D$23,$D$24,$D$25,$D$26,$D$27,$C$8,$C$9,$C$10,$C$11,$C$12),"")</f>
        <v>-106048.21419152549</v>
      </c>
      <c r="U12" s="255">
        <f ca="1">IF(NOW(),_xll.mirSwapPV($C$3,$C$4,$C$6,$G12,$C$7,$I12+U$3,$C$16,$C$17,$C$18,$C$19,$C$20,$C$21,$C$22,$C$26,$C$27,$D$15,$D$16,$D$17,$D$18,$D$19,$D$20,$D$21,$D$22,$D$23,$D$24,$D$25,$D$26,$D$27,$C$8,$C$9,$C$10,$C$11,$C$12),"")</f>
        <v>-212096.42838305104</v>
      </c>
      <c r="V12" s="255">
        <f ca="1">IF(NOW(),_xll.mirSwapPV($C$3,$C$4,$C$6,$G12,$C$7,$I12+V$3,$C$16,$C$17,$C$18,$C$19,$C$20,$C$21,$C$22,$C$26,$C$27,$D$15,$D$16,$D$17,$D$18,$D$19,$D$20,$D$21,$D$22,$D$23,$D$24,$D$25,$D$26,$D$27,$C$8,$C$9,$C$10,$C$11,$C$12),"")</f>
        <v>-318144.6425745766</v>
      </c>
      <c r="W12" s="255">
        <f ca="1">IF(NOW(),_xll.mirSwapPV($C$3,$C$4,$C$6,$G12,$C$7,$I12+W$3,$C$16,$C$17,$C$18,$C$19,$C$20,$C$21,$C$22,$C$26,$C$27,$D$15,$D$16,$D$17,$D$18,$D$19,$D$20,$D$21,$D$22,$D$23,$D$24,$D$25,$D$26,$D$27,$C$8,$C$9,$C$10,$C$11,$C$12),"")</f>
        <v>-424192.85676610214</v>
      </c>
      <c r="X12" s="255">
        <f ca="1">IF(NOW(),_xll.mirSwapPV($C$3,$C$4,$C$6,$G12,$C$7,$I12+X$3,$C$16,$C$17,$C$18,$C$19,$C$20,$C$21,$C$22,$C$26,$C$27,$D$15,$D$16,$D$17,$D$18,$D$19,$D$20,$D$21,$D$22,$D$23,$D$24,$D$25,$D$26,$D$27,$C$8,$C$9,$C$10,$C$11,$C$12),"")</f>
        <v>-530241.07095762773</v>
      </c>
      <c r="Y12" s="230" t="s">
        <v>12</v>
      </c>
      <c r="Z12" s="224" t="s">
        <v>26</v>
      </c>
      <c r="AA12" s="227">
        <f>_xll.mirGetDate($C$6,Z12)</f>
        <v>46583</v>
      </c>
      <c r="AB12" s="228">
        <f>'USD Curve Config'!$AO17</f>
        <v>2.6724999999999999E-2</v>
      </c>
      <c r="AC12" s="229">
        <f ca="1">IF(NOW(),_xll.mirGetParRate4($C$6,Z12,$C$7,$C$16,$C$17,$C$18,$C$19,$C$20,$C$21,$C$22,$C$26,$C$27,$D$16,$D$17,$D$18,$D$19,$D$20,$D$21,$D$22,$D$23,$D$24,$D$25,$D$26,$D$27,$C$8,$C$9,$C$10,$D$11,$C$12),"")</f>
        <v>2.6724999931119604E-2</v>
      </c>
      <c r="AD12" s="229">
        <f t="shared" ca="1" si="4"/>
        <v>-6.8880394443748827E-11</v>
      </c>
      <c r="AE12" s="230">
        <f t="shared" ca="1" si="5"/>
        <v>-6.8880394443748827E-7</v>
      </c>
      <c r="AG12" s="224" t="s">
        <v>26</v>
      </c>
      <c r="AH12" s="255">
        <f ca="1">IF(NOW(),_xll.mirSwapPV($C$3,$C$4,$C$6,$G12,$C$7,$I12+AH$3,$C$16,$C$17,$C$18,$C$19,$C$20,$C$21,$C$22,$C$26,$C$27,$D$15,$D$16,$D$17,$D$18,$D$19,$D$20,$D$21,$D$22,$D$23,$D$24,$D$25,$D$26,$D$27,$C$8,$C$9,$C$10,$D$11,$C$12),"")</f>
        <v>530241.07095762761</v>
      </c>
      <c r="AI12" s="255">
        <f ca="1">IF(NOW(),_xll.mirSwapPV($C$3,$C$4,$C$6,$G12,$C$7,$I12+AI$3,$C$16,$C$17,$C$18,$C$19,$C$20,$C$21,$C$22,$C$26,$C$27,$D$15,$D$16,$D$17,$D$18,$D$19,$D$20,$D$21,$D$22,$D$23,$D$24,$D$25,$D$26,$D$27,$C$8,$C$9,$C$10,$D$11,$C$12),"")</f>
        <v>424192.85676610208</v>
      </c>
      <c r="AJ12" s="255">
        <f ca="1">IF(NOW(),_xll.mirSwapPV($C$3,$C$4,$C$6,$G12,$C$7,$I12+AJ$3,$C$16,$C$17,$C$18,$C$19,$C$20,$C$21,$C$22,$C$26,$C$27,$D$15,$D$16,$D$17,$D$18,$D$19,$D$20,$D$21,$D$22,$D$23,$D$24,$D$25,$D$26,$D$27,$C$8,$C$9,$C$10,$D$11,$C$12),"")</f>
        <v>318144.64257457654</v>
      </c>
      <c r="AK12" s="255">
        <f ca="1">IF(NOW(),_xll.mirSwapPV($C$3,$C$4,$C$6,$G12,$C$7,$I12+AK$3,$C$16,$C$17,$C$18,$C$19,$C$20,$C$21,$C$22,$C$26,$C$27,$D$15,$D$16,$D$17,$D$18,$D$19,$D$20,$D$21,$D$22,$D$23,$D$24,$D$25,$D$26,$D$27,$C$8,$C$9,$C$10,$D$11,$C$12),"")</f>
        <v>212096.42838305092</v>
      </c>
      <c r="AL12" s="255">
        <f ca="1">IF(NOW(),_xll.mirSwapPV($C$3,$C$4,$C$6,$G12,$C$7,$I12+AL$3,$C$16,$C$17,$C$18,$C$19,$C$20,$C$21,$C$22,$C$26,$C$27,$D$15,$D$16,$D$17,$D$18,$D$19,$D$20,$D$21,$D$22,$D$23,$D$24,$D$25,$D$26,$D$27,$C$8,$C$9,$C$10,$D$11,$C$12),"")</f>
        <v>106048.21419152543</v>
      </c>
      <c r="AM12" s="255">
        <f ca="1">IF(NOW(),_xll.mirSwapPV($C$3,$C$4,$C$6,$G12,$C$7,$I12+AM$3,$C$16,$C$17,$C$18,$C$19,$C$20,$C$21,$C$22,$C$26,$C$27,$D$15,$D$16,$D$17,$D$18,$D$19,$D$20,$D$21,$D$22,$D$23,$D$24,$D$25,$D$26,$D$27,$C$8,$C$9,$C$10,$D$11,$C$12),"")</f>
        <v>-1.1102230246251565E-10</v>
      </c>
      <c r="AN12" s="255">
        <f ca="1">IF(NOW(),_xll.mirSwapPV($C$3,$C$4,$C$6,$G12,$C$7,$I12+AN$3,$C$16,$C$17,$C$18,$C$19,$C$20,$C$21,$C$22,$C$26,$C$27,$D$15,$D$16,$D$17,$D$18,$D$19,$D$20,$D$21,$D$22,$D$23,$D$24,$D$25,$D$26,$D$27,$C$8,$C$9,$C$10,$D$11,$C$12),"")</f>
        <v>-106048.21419152561</v>
      </c>
      <c r="AO12" s="255">
        <f ca="1">IF(NOW(),_xll.mirSwapPV($C$3,$C$4,$C$6,$G12,$C$7,$I12+AO$3,$C$16,$C$17,$C$18,$C$19,$C$20,$C$21,$C$22,$C$26,$C$27,$D$15,$D$16,$D$17,$D$18,$D$19,$D$20,$D$21,$D$22,$D$23,$D$24,$D$25,$D$26,$D$27,$C$8,$C$9,$C$10,$D$11,$C$12),"")</f>
        <v>-212096.42838305116</v>
      </c>
      <c r="AP12" s="255">
        <f ca="1">IF(NOW(),_xll.mirSwapPV($C$3,$C$4,$C$6,$G12,$C$7,$I12+AP$3,$C$16,$C$17,$C$18,$C$19,$C$20,$C$21,$C$22,$C$26,$C$27,$D$15,$D$16,$D$17,$D$18,$D$19,$D$20,$D$21,$D$22,$D$23,$D$24,$D$25,$D$26,$D$27,$C$8,$C$9,$C$10,$D$11,$C$12),"")</f>
        <v>-318144.64257457672</v>
      </c>
      <c r="AQ12" s="255">
        <f ca="1">IF(NOW(),_xll.mirSwapPV($C$3,$C$4,$C$6,$G12,$C$7,$I12+AQ$3,$C$16,$C$17,$C$18,$C$19,$C$20,$C$21,$C$22,$C$26,$C$27,$D$15,$D$16,$D$17,$D$18,$D$19,$D$20,$D$21,$D$22,$D$23,$D$24,$D$25,$D$26,$D$27,$C$8,$C$9,$C$10,$D$11,$C$12),"")</f>
        <v>-424192.85676610225</v>
      </c>
      <c r="AR12" s="255">
        <f ca="1">IF(NOW(),_xll.mirSwapPV($C$3,$C$4,$C$6,$G12,$C$7,$I12+AR$3,$C$16,$C$17,$C$18,$C$19,$C$20,$C$21,$C$22,$C$26,$C$27,$D$15,$D$16,$D$17,$D$18,$D$19,$D$20,$D$21,$D$22,$D$23,$D$24,$D$25,$D$26,$D$27,$C$8,$C$9,$C$10,$D$11,$C$12),"")</f>
        <v>-530241.07095762773</v>
      </c>
    </row>
    <row r="13" spans="2:44">
      <c r="F13" s="224" t="s">
        <v>24</v>
      </c>
      <c r="G13" s="227">
        <f>_xll.mirGetDate($C$6,F13)</f>
        <v>47679</v>
      </c>
      <c r="H13" s="228">
        <f>'USD Curve Config'!$AO18</f>
        <v>2.8036999999999999E-2</v>
      </c>
      <c r="I13" s="229">
        <f ca="1">IF(NOW(),_xll.mirGetParRate4($C$6,F13,$C$7,$C$16,$C$17,$C$18,$C$19,$C$20,$C$21,$C$22,$C$26,$C$27,$D$16,$D$17,$D$18,$D$19,$D$20,$D$21,$D$22,$D$23,$D$24,$D$25,$D$26,$D$27,$C$8,$C$9,$C$10,$C$11,$C$12),"")</f>
        <v>2.8036999953834057E-2</v>
      </c>
      <c r="J13" s="229">
        <f t="shared" ca="1" si="2"/>
        <v>-4.6165942596543275E-11</v>
      </c>
      <c r="K13" s="230">
        <f t="shared" ca="1" si="3"/>
        <v>-4.6165942596543275E-7</v>
      </c>
      <c r="L13" s="230" t="s">
        <v>12</v>
      </c>
      <c r="M13" s="224" t="s">
        <v>24</v>
      </c>
      <c r="N13" s="255">
        <f ca="1">IF(NOW(),_xll.mirSwapPV($C$3,$C$4,$C$6,$G13,$C$7,$I13+N$3,$C$16,$C$17,$C$18,$C$19,$C$20,$C$21,$C$22,$C$26,$C$27,$D$15,$D$16,$D$17,$D$18,$D$19,$D$20,$D$21,$D$22,$D$23,$D$24,$D$25,$D$26,$D$27,$C$8,$C$9,$C$10,$C$11,$C$12),"")</f>
        <v>635336.21014256671</v>
      </c>
      <c r="O13" s="255">
        <f ca="1">IF(NOW(),_xll.mirSwapPV($C$3,$C$4,$C$6,$G13,$C$7,$I13+O$3,$C$16,$C$17,$C$18,$C$19,$C$20,$C$21,$C$22,$C$26,$C$27,$D$15,$D$16,$D$17,$D$18,$D$19,$D$20,$D$21,$D$22,$D$23,$D$24,$D$25,$D$26,$D$27,$C$8,$C$9,$C$10,$C$11,$C$12),"")</f>
        <v>508268.96811405331</v>
      </c>
      <c r="P13" s="255">
        <f ca="1">IF(NOW(),_xll.mirSwapPV($C$3,$C$4,$C$6,$G13,$C$7,$I13+P$3,$C$16,$C$17,$C$18,$C$19,$C$20,$C$21,$C$22,$C$26,$C$27,$D$15,$D$16,$D$17,$D$18,$D$19,$D$20,$D$21,$D$22,$D$23,$D$24,$D$25,$D$26,$D$27,$C$8,$C$9,$C$10,$C$11,$C$12),"")</f>
        <v>381201.72608553997</v>
      </c>
      <c r="Q13" s="255">
        <f ca="1">IF(NOW(),_xll.mirSwapPV($C$3,$C$4,$C$6,$G13,$C$7,$I13+Q$3,$C$16,$C$17,$C$18,$C$19,$C$20,$C$21,$C$22,$C$26,$C$27,$D$15,$D$16,$D$17,$D$18,$D$19,$D$20,$D$21,$D$22,$D$23,$D$24,$D$25,$D$26,$D$27,$C$8,$C$9,$C$10,$C$11,$C$12),"")</f>
        <v>254134.4840570266</v>
      </c>
      <c r="R13" s="255">
        <f ca="1">IF(NOW(),_xll.mirSwapPV($C$3,$C$4,$C$6,$G13,$C$7,$I13+R$3,$C$16,$C$17,$C$18,$C$19,$C$20,$C$21,$C$22,$C$26,$C$27,$D$15,$D$16,$D$17,$D$18,$D$19,$D$20,$D$21,$D$22,$D$23,$D$24,$D$25,$D$26,$D$27,$C$8,$C$9,$C$10,$C$11,$C$12),"")</f>
        <v>127067.2420285133</v>
      </c>
      <c r="S13" s="255">
        <f ca="1">IF(NOW(),_xll.mirSwapPV($C$3,$C$4,$C$6,$G13,$C$7,$I13+S$3,$C$16,$C$17,$C$18,$C$19,$C$20,$C$21,$C$22,$C$26,$C$27,$D$15,$D$16,$D$17,$D$18,$D$19,$D$20,$D$21,$D$22,$D$23,$D$24,$D$25,$D$26,$D$27,$C$8,$C$9,$C$10,$C$11,$C$12),"")</f>
        <v>0</v>
      </c>
      <c r="T13" s="255">
        <f ca="1">IF(NOW(),_xll.mirSwapPV($C$3,$C$4,$C$6,$G13,$C$7,$I13+T$3,$C$16,$C$17,$C$18,$C$19,$C$20,$C$21,$C$22,$C$26,$C$27,$D$15,$D$16,$D$17,$D$18,$D$19,$D$20,$D$21,$D$22,$D$23,$D$24,$D$25,$D$26,$D$27,$C$8,$C$9,$C$10,$C$11,$C$12),"")</f>
        <v>-127067.24202851333</v>
      </c>
      <c r="U13" s="255">
        <f ca="1">IF(NOW(),_xll.mirSwapPV($C$3,$C$4,$C$6,$G13,$C$7,$I13+U$3,$C$16,$C$17,$C$18,$C$19,$C$20,$C$21,$C$22,$C$26,$C$27,$D$15,$D$16,$D$17,$D$18,$D$19,$D$20,$D$21,$D$22,$D$23,$D$24,$D$25,$D$26,$D$27,$C$8,$C$9,$C$10,$C$11,$C$12),"")</f>
        <v>-254134.48405702665</v>
      </c>
      <c r="V13" s="255">
        <f ca="1">IF(NOW(),_xll.mirSwapPV($C$3,$C$4,$C$6,$G13,$C$7,$I13+V$3,$C$16,$C$17,$C$18,$C$19,$C$20,$C$21,$C$22,$C$26,$C$27,$D$15,$D$16,$D$17,$D$18,$D$19,$D$20,$D$21,$D$22,$D$23,$D$24,$D$25,$D$26,$D$27,$C$8,$C$9,$C$10,$C$11,$C$12),"")</f>
        <v>-381201.72608554002</v>
      </c>
      <c r="W13" s="255">
        <f ca="1">IF(NOW(),_xll.mirSwapPV($C$3,$C$4,$C$6,$G13,$C$7,$I13+W$3,$C$16,$C$17,$C$18,$C$19,$C$20,$C$21,$C$22,$C$26,$C$27,$D$15,$D$16,$D$17,$D$18,$D$19,$D$20,$D$21,$D$22,$D$23,$D$24,$D$25,$D$26,$D$27,$C$8,$C$9,$C$10,$C$11,$C$12),"")</f>
        <v>-508268.96811405331</v>
      </c>
      <c r="X13" s="255">
        <f ca="1">IF(NOW(),_xll.mirSwapPV($C$3,$C$4,$C$6,$G13,$C$7,$I13+X$3,$C$16,$C$17,$C$18,$C$19,$C$20,$C$21,$C$22,$C$26,$C$27,$D$15,$D$16,$D$17,$D$18,$D$19,$D$20,$D$21,$D$22,$D$23,$D$24,$D$25,$D$26,$D$27,$C$8,$C$9,$C$10,$C$11,$C$12),"")</f>
        <v>-635336.21014256682</v>
      </c>
      <c r="Y13" s="230" t="s">
        <v>12</v>
      </c>
      <c r="Z13" s="224" t="s">
        <v>24</v>
      </c>
      <c r="AA13" s="227">
        <f>_xll.mirGetDate($C$6,Z13)</f>
        <v>47679</v>
      </c>
      <c r="AB13" s="228">
        <f>'USD Curve Config'!$AO18</f>
        <v>2.8036999999999999E-2</v>
      </c>
      <c r="AC13" s="229">
        <f ca="1">IF(NOW(),_xll.mirGetParRate4($C$6,Z13,$C$7,$C$16,$C$17,$C$18,$C$19,$C$20,$C$21,$C$22,$C$26,$C$27,$D$16,$D$17,$D$18,$D$19,$D$20,$D$21,$D$22,$D$23,$D$24,$D$25,$D$26,$D$27,$C$8,$C$9,$C$10,$D$11,$C$12),"")</f>
        <v>2.803699995383405E-2</v>
      </c>
      <c r="AD13" s="229">
        <f t="shared" ca="1" si="4"/>
        <v>-4.6165949535437178E-11</v>
      </c>
      <c r="AE13" s="230">
        <f t="shared" ca="1" si="5"/>
        <v>-4.6165949535437178E-7</v>
      </c>
      <c r="AG13" s="224" t="s">
        <v>24</v>
      </c>
      <c r="AH13" s="255">
        <f ca="1">IF(NOW(),_xll.mirSwapPV($C$3,$C$4,$C$6,$G13,$C$7,$I13+AH$3,$C$16,$C$17,$C$18,$C$19,$C$20,$C$21,$C$22,$C$26,$C$27,$D$15,$D$16,$D$17,$D$18,$D$19,$D$20,$D$21,$D$22,$D$23,$D$24,$D$25,$D$26,$D$27,$C$8,$C$9,$C$10,$D$11,$C$12),"")</f>
        <v>635336.21014256659</v>
      </c>
      <c r="AI13" s="255">
        <f ca="1">IF(NOW(),_xll.mirSwapPV($C$3,$C$4,$C$6,$G13,$C$7,$I13+AI$3,$C$16,$C$17,$C$18,$C$19,$C$20,$C$21,$C$22,$C$26,$C$27,$D$15,$D$16,$D$17,$D$18,$D$19,$D$20,$D$21,$D$22,$D$23,$D$24,$D$25,$D$26,$D$27,$C$8,$C$9,$C$10,$D$11,$C$12),"")</f>
        <v>508268.96811405331</v>
      </c>
      <c r="AJ13" s="255">
        <f ca="1">IF(NOW(),_xll.mirSwapPV($C$3,$C$4,$C$6,$G13,$C$7,$I13+AJ$3,$C$16,$C$17,$C$18,$C$19,$C$20,$C$21,$C$22,$C$26,$C$27,$D$15,$D$16,$D$17,$D$18,$D$19,$D$20,$D$21,$D$22,$D$23,$D$24,$D$25,$D$26,$D$27,$C$8,$C$9,$C$10,$D$11,$C$12),"")</f>
        <v>381201.72608553991</v>
      </c>
      <c r="AK13" s="255">
        <f ca="1">IF(NOW(),_xll.mirSwapPV($C$3,$C$4,$C$6,$G13,$C$7,$I13+AK$3,$C$16,$C$17,$C$18,$C$19,$C$20,$C$21,$C$22,$C$26,$C$27,$D$15,$D$16,$D$17,$D$18,$D$19,$D$20,$D$21,$D$22,$D$23,$D$24,$D$25,$D$26,$D$27,$C$8,$C$9,$C$10,$D$11,$C$12),"")</f>
        <v>254134.48405702654</v>
      </c>
      <c r="AL13" s="255">
        <f ca="1">IF(NOW(),_xll.mirSwapPV($C$3,$C$4,$C$6,$G13,$C$7,$I13+AL$3,$C$16,$C$17,$C$18,$C$19,$C$20,$C$21,$C$22,$C$26,$C$27,$D$15,$D$16,$D$17,$D$18,$D$19,$D$20,$D$21,$D$22,$D$23,$D$24,$D$25,$D$26,$D$27,$C$8,$C$9,$C$10,$D$11,$C$12),"")</f>
        <v>127067.24202851324</v>
      </c>
      <c r="AM13" s="255">
        <f ca="1">IF(NOW(),_xll.mirSwapPV($C$3,$C$4,$C$6,$G13,$C$7,$I13+AM$3,$C$16,$C$17,$C$18,$C$19,$C$20,$C$21,$C$22,$C$26,$C$27,$D$15,$D$16,$D$17,$D$18,$D$19,$D$20,$D$21,$D$22,$D$23,$D$24,$D$25,$D$26,$D$27,$C$8,$C$9,$C$10,$D$11,$C$12),"")</f>
        <v>-5.5511151231257827E-11</v>
      </c>
      <c r="AN13" s="255">
        <f ca="1">IF(NOW(),_xll.mirSwapPV($C$3,$C$4,$C$6,$G13,$C$7,$I13+AN$3,$C$16,$C$17,$C$18,$C$19,$C$20,$C$21,$C$22,$C$26,$C$27,$D$15,$D$16,$D$17,$D$18,$D$19,$D$20,$D$21,$D$22,$D$23,$D$24,$D$25,$D$26,$D$27,$C$8,$C$9,$C$10,$D$11,$C$12),"")</f>
        <v>-127067.24202851338</v>
      </c>
      <c r="AO13" s="255">
        <f ca="1">IF(NOW(),_xll.mirSwapPV($C$3,$C$4,$C$6,$G13,$C$7,$I13+AO$3,$C$16,$C$17,$C$18,$C$19,$C$20,$C$21,$C$22,$C$26,$C$27,$D$15,$D$16,$D$17,$D$18,$D$19,$D$20,$D$21,$D$22,$D$23,$D$24,$D$25,$D$26,$D$27,$C$8,$C$9,$C$10,$D$11,$C$12),"")</f>
        <v>-254134.48405702671</v>
      </c>
      <c r="AP13" s="255">
        <f ca="1">IF(NOW(),_xll.mirSwapPV($C$3,$C$4,$C$6,$G13,$C$7,$I13+AP$3,$C$16,$C$17,$C$18,$C$19,$C$20,$C$21,$C$22,$C$26,$C$27,$D$15,$D$16,$D$17,$D$18,$D$19,$D$20,$D$21,$D$22,$D$23,$D$24,$D$25,$D$26,$D$27,$C$8,$C$9,$C$10,$D$11,$C$12),"")</f>
        <v>-381201.72608554008</v>
      </c>
      <c r="AQ13" s="255">
        <f ca="1">IF(NOW(),_xll.mirSwapPV($C$3,$C$4,$C$6,$G13,$C$7,$I13+AQ$3,$C$16,$C$17,$C$18,$C$19,$C$20,$C$21,$C$22,$C$26,$C$27,$D$15,$D$16,$D$17,$D$18,$D$19,$D$20,$D$21,$D$22,$D$23,$D$24,$D$25,$D$26,$D$27,$C$8,$C$9,$C$10,$D$11,$C$12),"")</f>
        <v>-508268.96811405331</v>
      </c>
      <c r="AR13" s="255">
        <f ca="1">IF(NOW(),_xll.mirSwapPV($C$3,$C$4,$C$6,$G13,$C$7,$I13+AR$3,$C$16,$C$17,$C$18,$C$19,$C$20,$C$21,$C$22,$C$26,$C$27,$D$15,$D$16,$D$17,$D$18,$D$19,$D$20,$D$21,$D$22,$D$23,$D$24,$D$25,$D$26,$D$27,$C$8,$C$9,$C$10,$D$11,$C$12),"")</f>
        <v>-635336.21014256682</v>
      </c>
    </row>
    <row r="14" spans="2:44">
      <c r="B14" t="s">
        <v>439</v>
      </c>
      <c r="C14" s="112" t="s">
        <v>440</v>
      </c>
      <c r="D14" s="112" t="s">
        <v>441</v>
      </c>
      <c r="F14" s="224" t="s">
        <v>20</v>
      </c>
      <c r="G14" s="227">
        <f>_xll.mirGetDate($C$6,F14)</f>
        <v>49505</v>
      </c>
      <c r="H14" s="228">
        <f>'USD Curve Config'!$AO19</f>
        <v>2.9229999999999999E-2</v>
      </c>
      <c r="I14" s="229">
        <f ca="1">IF(NOW(),_xll.mirGetParRate4($C$6,F14,$C$7,$C$16,$C$17,$C$18,$C$19,$C$20,$C$21,$C$22,$C$26,$C$27,$D$16,$D$17,$D$18,$D$19,$D$20,$D$21,$D$22,$D$23,$D$24,$D$25,$D$26,$D$27,$C$8,$C$9,$C$10,$C$11,$C$12),"")</f>
        <v>2.9229999959586202E-2</v>
      </c>
      <c r="J14" s="229">
        <f t="shared" ca="1" si="2"/>
        <v>-4.0413797308680444E-11</v>
      </c>
      <c r="K14" s="230">
        <f t="shared" ca="1" si="3"/>
        <v>-4.0413797308680444E-7</v>
      </c>
      <c r="L14" s="230" t="s">
        <v>12</v>
      </c>
      <c r="M14" s="224" t="s">
        <v>20</v>
      </c>
      <c r="N14" s="255">
        <f ca="1">IF(NOW(),_xll.mirSwapPV($C$3,$C$4,$C$6,$G14,$C$7,$I14+N$3,$C$16,$C$17,$C$18,$C$19,$C$20,$C$21,$C$22,$C$26,$C$27,$D$15,$D$16,$D$17,$D$18,$D$19,$D$20,$D$21,$D$22,$D$23,$D$24,$D$25,$D$26,$D$27,$C$8,$C$9,$C$10,$C$11,$C$12),"")</f>
        <v>789748.5521188787</v>
      </c>
      <c r="O14" s="255">
        <f ca="1">IF(NOW(),_xll.mirSwapPV($C$3,$C$4,$C$6,$G14,$C$7,$I14+O$3,$C$16,$C$17,$C$18,$C$19,$C$20,$C$21,$C$22,$C$26,$C$27,$D$15,$D$16,$D$17,$D$18,$D$19,$D$20,$D$21,$D$22,$D$23,$D$24,$D$25,$D$26,$D$27,$C$8,$C$9,$C$10,$C$11,$C$12),"")</f>
        <v>631798.84169510298</v>
      </c>
      <c r="P14" s="255">
        <f ca="1">IF(NOW(),_xll.mirSwapPV($C$3,$C$4,$C$6,$G14,$C$7,$I14+P$3,$C$16,$C$17,$C$18,$C$19,$C$20,$C$21,$C$22,$C$26,$C$27,$D$15,$D$16,$D$17,$D$18,$D$19,$D$20,$D$21,$D$22,$D$23,$D$24,$D$25,$D$26,$D$27,$C$8,$C$9,$C$10,$C$11,$C$12),"")</f>
        <v>473849.13127132721</v>
      </c>
      <c r="Q14" s="255">
        <f ca="1">IF(NOW(),_xll.mirSwapPV($C$3,$C$4,$C$6,$G14,$C$7,$I14+Q$3,$C$16,$C$17,$C$18,$C$19,$C$20,$C$21,$C$22,$C$26,$C$27,$D$15,$D$16,$D$17,$D$18,$D$19,$D$20,$D$21,$D$22,$D$23,$D$24,$D$25,$D$26,$D$27,$C$8,$C$9,$C$10,$C$11,$C$12),"")</f>
        <v>315899.42084755143</v>
      </c>
      <c r="R14" s="255">
        <f ca="1">IF(NOW(),_xll.mirSwapPV($C$3,$C$4,$C$6,$G14,$C$7,$I14+R$3,$C$16,$C$17,$C$18,$C$19,$C$20,$C$21,$C$22,$C$26,$C$27,$D$15,$D$16,$D$17,$D$18,$D$19,$D$20,$D$21,$D$22,$D$23,$D$24,$D$25,$D$26,$D$27,$C$8,$C$9,$C$10,$C$11,$C$12),"")</f>
        <v>157949.71042377566</v>
      </c>
      <c r="S14" s="255">
        <f ca="1">IF(NOW(),_xll.mirSwapPV($C$3,$C$4,$C$6,$G14,$C$7,$I14+S$3,$C$16,$C$17,$C$18,$C$19,$C$20,$C$21,$C$22,$C$26,$C$27,$D$15,$D$16,$D$17,$D$18,$D$19,$D$20,$D$21,$D$22,$D$23,$D$24,$D$25,$D$26,$D$27,$C$8,$C$9,$C$10,$C$11,$C$12),"")</f>
        <v>0</v>
      </c>
      <c r="T14" s="255">
        <f ca="1">IF(NOW(),_xll.mirSwapPV($C$3,$C$4,$C$6,$G14,$C$7,$I14+T$3,$C$16,$C$17,$C$18,$C$19,$C$20,$C$21,$C$22,$C$26,$C$27,$D$15,$D$16,$D$17,$D$18,$D$19,$D$20,$D$21,$D$22,$D$23,$D$24,$D$25,$D$26,$D$27,$C$8,$C$9,$C$10,$C$11,$C$12),"")</f>
        <v>-157949.71042377574</v>
      </c>
      <c r="U14" s="255">
        <f ca="1">IF(NOW(),_xll.mirSwapPV($C$3,$C$4,$C$6,$G14,$C$7,$I14+U$3,$C$16,$C$17,$C$18,$C$19,$C$20,$C$21,$C$22,$C$26,$C$27,$D$15,$D$16,$D$17,$D$18,$D$19,$D$20,$D$21,$D$22,$D$23,$D$24,$D$25,$D$26,$D$27,$C$8,$C$9,$C$10,$C$11,$C$12),"")</f>
        <v>-315899.42084755143</v>
      </c>
      <c r="V14" s="255">
        <f ca="1">IF(NOW(),_xll.mirSwapPV($C$3,$C$4,$C$6,$G14,$C$7,$I14+V$3,$C$16,$C$17,$C$18,$C$19,$C$20,$C$21,$C$22,$C$26,$C$27,$D$15,$D$16,$D$17,$D$18,$D$19,$D$20,$D$21,$D$22,$D$23,$D$24,$D$25,$D$26,$D$27,$C$8,$C$9,$C$10,$C$11,$C$12),"")</f>
        <v>-473849.13127132726</v>
      </c>
      <c r="W14" s="255">
        <f ca="1">IF(NOW(),_xll.mirSwapPV($C$3,$C$4,$C$6,$G14,$C$7,$I14+W$3,$C$16,$C$17,$C$18,$C$19,$C$20,$C$21,$C$22,$C$26,$C$27,$D$15,$D$16,$D$17,$D$18,$D$19,$D$20,$D$21,$D$22,$D$23,$D$24,$D$25,$D$26,$D$27,$C$8,$C$9,$C$10,$C$11,$C$12),"")</f>
        <v>-631798.84169510298</v>
      </c>
      <c r="X14" s="255">
        <f ca="1">IF(NOW(),_xll.mirSwapPV($C$3,$C$4,$C$6,$G14,$C$7,$I14+X$3,$C$16,$C$17,$C$18,$C$19,$C$20,$C$21,$C$22,$C$26,$C$27,$D$15,$D$16,$D$17,$D$18,$D$19,$D$20,$D$21,$D$22,$D$23,$D$24,$D$25,$D$26,$D$27,$C$8,$C$9,$C$10,$C$11,$C$12),"")</f>
        <v>-789748.55211887893</v>
      </c>
      <c r="Y14" s="230" t="s">
        <v>12</v>
      </c>
      <c r="Z14" s="224" t="s">
        <v>20</v>
      </c>
      <c r="AA14" s="227">
        <f>_xll.mirGetDate($C$6,Z14)</f>
        <v>49505</v>
      </c>
      <c r="AB14" s="228">
        <f>'USD Curve Config'!$AO19</f>
        <v>2.9229999999999999E-2</v>
      </c>
      <c r="AC14" s="229">
        <f ca="1">IF(NOW(),_xll.mirGetParRate4($C$6,Z14,$C$7,$C$16,$C$17,$C$18,$C$19,$C$20,$C$21,$C$22,$C$26,$C$27,$D$16,$D$17,$D$18,$D$19,$D$20,$D$21,$D$22,$D$23,$D$24,$D$25,$D$26,$D$27,$C$8,$C$9,$C$10,$D$11,$C$12),"")</f>
        <v>2.9229999959586202E-2</v>
      </c>
      <c r="AD14" s="229">
        <f t="shared" ca="1" si="4"/>
        <v>-4.0413797308680444E-11</v>
      </c>
      <c r="AE14" s="230">
        <f t="shared" ca="1" si="5"/>
        <v>-4.0413797308680444E-7</v>
      </c>
      <c r="AG14" s="224" t="s">
        <v>20</v>
      </c>
      <c r="AH14" s="255">
        <f ca="1">IF(NOW(),_xll.mirSwapPV($C$3,$C$4,$C$6,$G14,$C$7,$I14+AH$3,$C$16,$C$17,$C$18,$C$19,$C$20,$C$21,$C$22,$C$26,$C$27,$D$15,$D$16,$D$17,$D$18,$D$19,$D$20,$D$21,$D$22,$D$23,$D$24,$D$25,$D$26,$D$27,$C$8,$C$9,$C$10,$D$11,$C$12),"")</f>
        <v>789748.5521188787</v>
      </c>
      <c r="AI14" s="255">
        <f ca="1">IF(NOW(),_xll.mirSwapPV($C$3,$C$4,$C$6,$G14,$C$7,$I14+AI$3,$C$16,$C$17,$C$18,$C$19,$C$20,$C$21,$C$22,$C$26,$C$27,$D$15,$D$16,$D$17,$D$18,$D$19,$D$20,$D$21,$D$22,$D$23,$D$24,$D$25,$D$26,$D$27,$C$8,$C$9,$C$10,$D$11,$C$12),"")</f>
        <v>631798.84169510298</v>
      </c>
      <c r="AJ14" s="255">
        <f ca="1">IF(NOW(),_xll.mirSwapPV($C$3,$C$4,$C$6,$G14,$C$7,$I14+AJ$3,$C$16,$C$17,$C$18,$C$19,$C$20,$C$21,$C$22,$C$26,$C$27,$D$15,$D$16,$D$17,$D$18,$D$19,$D$20,$D$21,$D$22,$D$23,$D$24,$D$25,$D$26,$D$27,$C$8,$C$9,$C$10,$D$11,$C$12),"")</f>
        <v>473849.13127132721</v>
      </c>
      <c r="AK14" s="255">
        <f ca="1">IF(NOW(),_xll.mirSwapPV($C$3,$C$4,$C$6,$G14,$C$7,$I14+AK$3,$C$16,$C$17,$C$18,$C$19,$C$20,$C$21,$C$22,$C$26,$C$27,$D$15,$D$16,$D$17,$D$18,$D$19,$D$20,$D$21,$D$22,$D$23,$D$24,$D$25,$D$26,$D$27,$C$8,$C$9,$C$10,$D$11,$C$12),"")</f>
        <v>315899.42084755143</v>
      </c>
      <c r="AL14" s="255">
        <f ca="1">IF(NOW(),_xll.mirSwapPV($C$3,$C$4,$C$6,$G14,$C$7,$I14+AL$3,$C$16,$C$17,$C$18,$C$19,$C$20,$C$21,$C$22,$C$26,$C$27,$D$15,$D$16,$D$17,$D$18,$D$19,$D$20,$D$21,$D$22,$D$23,$D$24,$D$25,$D$26,$D$27,$C$8,$C$9,$C$10,$D$11,$C$12),"")</f>
        <v>157949.71042377566</v>
      </c>
      <c r="AM14" s="255">
        <f ca="1">IF(NOW(),_xll.mirSwapPV($C$3,$C$4,$C$6,$G14,$C$7,$I14+AM$3,$C$16,$C$17,$C$18,$C$19,$C$20,$C$21,$C$22,$C$26,$C$27,$D$15,$D$16,$D$17,$D$18,$D$19,$D$20,$D$21,$D$22,$D$23,$D$24,$D$25,$D$26,$D$27,$C$8,$C$9,$C$10,$D$11,$C$12),"")</f>
        <v>0</v>
      </c>
      <c r="AN14" s="255">
        <f ca="1">IF(NOW(),_xll.mirSwapPV($C$3,$C$4,$C$6,$G14,$C$7,$I14+AN$3,$C$16,$C$17,$C$18,$C$19,$C$20,$C$21,$C$22,$C$26,$C$27,$D$15,$D$16,$D$17,$D$18,$D$19,$D$20,$D$21,$D$22,$D$23,$D$24,$D$25,$D$26,$D$27,$C$8,$C$9,$C$10,$D$11,$C$12),"")</f>
        <v>-157949.71042377574</v>
      </c>
      <c r="AO14" s="255">
        <f ca="1">IF(NOW(),_xll.mirSwapPV($C$3,$C$4,$C$6,$G14,$C$7,$I14+AO$3,$C$16,$C$17,$C$18,$C$19,$C$20,$C$21,$C$22,$C$26,$C$27,$D$15,$D$16,$D$17,$D$18,$D$19,$D$20,$D$21,$D$22,$D$23,$D$24,$D$25,$D$26,$D$27,$C$8,$C$9,$C$10,$D$11,$C$12),"")</f>
        <v>-315899.42084755143</v>
      </c>
      <c r="AP14" s="255">
        <f ca="1">IF(NOW(),_xll.mirSwapPV($C$3,$C$4,$C$6,$G14,$C$7,$I14+AP$3,$C$16,$C$17,$C$18,$C$19,$C$20,$C$21,$C$22,$C$26,$C$27,$D$15,$D$16,$D$17,$D$18,$D$19,$D$20,$D$21,$D$22,$D$23,$D$24,$D$25,$D$26,$D$27,$C$8,$C$9,$C$10,$D$11,$C$12),"")</f>
        <v>-473849.13127132726</v>
      </c>
      <c r="AQ14" s="255">
        <f ca="1">IF(NOW(),_xll.mirSwapPV($C$3,$C$4,$C$6,$G14,$C$7,$I14+AQ$3,$C$16,$C$17,$C$18,$C$19,$C$20,$C$21,$C$22,$C$26,$C$27,$D$15,$D$16,$D$17,$D$18,$D$19,$D$20,$D$21,$D$22,$D$23,$D$24,$D$25,$D$26,$D$27,$C$8,$C$9,$C$10,$D$11,$C$12),"")</f>
        <v>-631798.84169510298</v>
      </c>
      <c r="AR14" s="255">
        <f ca="1">IF(NOW(),_xll.mirSwapPV($C$3,$C$4,$C$6,$G14,$C$7,$I14+AR$3,$C$16,$C$17,$C$18,$C$19,$C$20,$C$21,$C$22,$C$26,$C$27,$D$15,$D$16,$D$17,$D$18,$D$19,$D$20,$D$21,$D$22,$D$23,$D$24,$D$25,$D$26,$D$27,$C$8,$C$9,$C$10,$D$11,$C$12),"")</f>
        <v>-789748.55211887893</v>
      </c>
    </row>
    <row r="15" spans="2:44">
      <c r="B15" s="221" t="s">
        <v>442</v>
      </c>
      <c r="C15" s="238">
        <v>0</v>
      </c>
      <c r="D15" s="239">
        <v>0</v>
      </c>
      <c r="F15" s="224" t="s">
        <v>18</v>
      </c>
      <c r="G15" s="227">
        <f>_xll.mirGetDate($C$6,F15)</f>
        <v>51332</v>
      </c>
      <c r="H15" s="228">
        <f>'USD Curve Config'!$AO20</f>
        <v>2.9790000000000001E-2</v>
      </c>
      <c r="I15" s="229">
        <f ca="1">IF(NOW(),_xll.mirGetParRate4($C$6,F15,$C$7,$C$16,$C$17,$C$18,$C$19,$C$20,$C$21,$C$22,$C$26,$C$27,$D$16,$D$17,$D$18,$D$19,$D$20,$D$21,$D$22,$D$23,$D$24,$D$25,$D$26,$D$27,$C$8,$C$9,$C$10,$C$11,$C$12),"")</f>
        <v>2.9789999970467447E-2</v>
      </c>
      <c r="J15" s="229">
        <f t="shared" ca="1" si="2"/>
        <v>-2.9532553486033564E-11</v>
      </c>
      <c r="K15" s="230">
        <f t="shared" ca="1" si="3"/>
        <v>-2.9532553486033564E-7</v>
      </c>
      <c r="L15" s="230" t="s">
        <v>12</v>
      </c>
      <c r="M15" s="224" t="s">
        <v>18</v>
      </c>
      <c r="N15" s="255">
        <f ca="1">IF(NOW(),_xll.mirSwapPV($C$3,$C$4,$C$6,$G15,$C$7,$I15+N$3,$C$16,$C$17,$C$18,$C$19,$C$20,$C$21,$C$22,$C$26,$C$27,$D$15,$D$16,$D$17,$D$18,$D$19,$D$20,$D$21,$D$22,$D$23,$D$24,$D$25,$D$26,$D$27,$C$8,$C$9,$C$10,$C$11,$C$12),"")</f>
        <v>921873.98517284018</v>
      </c>
      <c r="O15" s="255">
        <f ca="1">IF(NOW(),_xll.mirSwapPV($C$3,$C$4,$C$6,$G15,$C$7,$I15+O$3,$C$16,$C$17,$C$18,$C$19,$C$20,$C$21,$C$22,$C$26,$C$27,$D$15,$D$16,$D$17,$D$18,$D$19,$D$20,$D$21,$D$22,$D$23,$D$24,$D$25,$D$26,$D$27,$C$8,$C$9,$C$10,$C$11,$C$12),"")</f>
        <v>737499.18813827203</v>
      </c>
      <c r="P15" s="255">
        <f ca="1">IF(NOW(),_xll.mirSwapPV($C$3,$C$4,$C$6,$G15,$C$7,$I15+P$3,$C$16,$C$17,$C$18,$C$19,$C$20,$C$21,$C$22,$C$26,$C$27,$D$15,$D$16,$D$17,$D$18,$D$19,$D$20,$D$21,$D$22,$D$23,$D$24,$D$25,$D$26,$D$27,$C$8,$C$9,$C$10,$C$11,$C$12),"")</f>
        <v>553124.39110370399</v>
      </c>
      <c r="Q15" s="255">
        <f ca="1">IF(NOW(),_xll.mirSwapPV($C$3,$C$4,$C$6,$G15,$C$7,$I15+Q$3,$C$16,$C$17,$C$18,$C$19,$C$20,$C$21,$C$22,$C$26,$C$27,$D$15,$D$16,$D$17,$D$18,$D$19,$D$20,$D$21,$D$22,$D$23,$D$24,$D$25,$D$26,$D$27,$C$8,$C$9,$C$10,$C$11,$C$12),"")</f>
        <v>368749.59406913602</v>
      </c>
      <c r="R15" s="255">
        <f ca="1">IF(NOW(),_xll.mirSwapPV($C$3,$C$4,$C$6,$G15,$C$7,$I15+R$3,$C$16,$C$17,$C$18,$C$19,$C$20,$C$21,$C$22,$C$26,$C$27,$D$15,$D$16,$D$17,$D$18,$D$19,$D$20,$D$21,$D$22,$D$23,$D$24,$D$25,$D$26,$D$27,$C$8,$C$9,$C$10,$C$11,$C$12),"")</f>
        <v>184374.79703456795</v>
      </c>
      <c r="S15" s="255">
        <f ca="1">IF(NOW(),_xll.mirSwapPV($C$3,$C$4,$C$6,$G15,$C$7,$I15+S$3,$C$16,$C$17,$C$18,$C$19,$C$20,$C$21,$C$22,$C$26,$C$27,$D$15,$D$16,$D$17,$D$18,$D$19,$D$20,$D$21,$D$22,$D$23,$D$24,$D$25,$D$26,$D$27,$C$8,$C$9,$C$10,$C$11,$C$12),"")</f>
        <v>0</v>
      </c>
      <c r="T15" s="255">
        <f ca="1">IF(NOW(),_xll.mirSwapPV($C$3,$C$4,$C$6,$G15,$C$7,$I15+T$3,$C$16,$C$17,$C$18,$C$19,$C$20,$C$21,$C$22,$C$26,$C$27,$D$15,$D$16,$D$17,$D$18,$D$19,$D$20,$D$21,$D$22,$D$23,$D$24,$D$25,$D$26,$D$27,$C$8,$C$9,$C$10,$C$11,$C$12),"")</f>
        <v>-184374.79703456804</v>
      </c>
      <c r="U15" s="255">
        <f ca="1">IF(NOW(),_xll.mirSwapPV($C$3,$C$4,$C$6,$G15,$C$7,$I15+U$3,$C$16,$C$17,$C$18,$C$19,$C$20,$C$21,$C$22,$C$26,$C$27,$D$15,$D$16,$D$17,$D$18,$D$19,$D$20,$D$21,$D$22,$D$23,$D$24,$D$25,$D$26,$D$27,$C$8,$C$9,$C$10,$C$11,$C$12),"")</f>
        <v>-368749.59406913602</v>
      </c>
      <c r="V15" s="255">
        <f ca="1">IF(NOW(),_xll.mirSwapPV($C$3,$C$4,$C$6,$G15,$C$7,$I15+V$3,$C$16,$C$17,$C$18,$C$19,$C$20,$C$21,$C$22,$C$26,$C$27,$D$15,$D$16,$D$17,$D$18,$D$19,$D$20,$D$21,$D$22,$D$23,$D$24,$D$25,$D$26,$D$27,$C$8,$C$9,$C$10,$C$11,$C$12),"")</f>
        <v>-553124.39110370411</v>
      </c>
      <c r="W15" s="255">
        <f ca="1">IF(NOW(),_xll.mirSwapPV($C$3,$C$4,$C$6,$G15,$C$7,$I15+W$3,$C$16,$C$17,$C$18,$C$19,$C$20,$C$21,$C$22,$C$26,$C$27,$D$15,$D$16,$D$17,$D$18,$D$19,$D$20,$D$21,$D$22,$D$23,$D$24,$D$25,$D$26,$D$27,$C$8,$C$9,$C$10,$C$11,$C$12),"")</f>
        <v>-737499.18813827203</v>
      </c>
      <c r="X15" s="255">
        <f ca="1">IF(NOW(),_xll.mirSwapPV($C$3,$C$4,$C$6,$G15,$C$7,$I15+X$3,$C$16,$C$17,$C$18,$C$19,$C$20,$C$21,$C$22,$C$26,$C$27,$D$15,$D$16,$D$17,$D$18,$D$19,$D$20,$D$21,$D$22,$D$23,$D$24,$D$25,$D$26,$D$27,$C$8,$C$9,$C$10,$C$11,$C$12),"")</f>
        <v>-921873.9851728403</v>
      </c>
      <c r="Y15" s="230" t="s">
        <v>12</v>
      </c>
      <c r="Z15" s="224" t="s">
        <v>18</v>
      </c>
      <c r="AA15" s="227">
        <f>_xll.mirGetDate($C$6,Z15)</f>
        <v>51332</v>
      </c>
      <c r="AB15" s="228">
        <f>'USD Curve Config'!$AO20</f>
        <v>2.9790000000000001E-2</v>
      </c>
      <c r="AC15" s="229">
        <f ca="1">IF(NOW(),_xll.mirGetParRate4($C$6,Z15,$C$7,$C$16,$C$17,$C$18,$C$19,$C$20,$C$21,$C$22,$C$26,$C$27,$D$16,$D$17,$D$18,$D$19,$D$20,$D$21,$D$22,$D$23,$D$24,$D$25,$D$26,$D$27,$C$8,$C$9,$C$10,$D$11,$C$12),"")</f>
        <v>2.9789999970467416E-2</v>
      </c>
      <c r="AD15" s="229">
        <f t="shared" ca="1" si="4"/>
        <v>-2.9532584711056131E-11</v>
      </c>
      <c r="AE15" s="230">
        <f t="shared" ca="1" si="5"/>
        <v>-2.9532584711056131E-7</v>
      </c>
      <c r="AG15" s="224" t="s">
        <v>18</v>
      </c>
      <c r="AH15" s="255">
        <f ca="1">IF(NOW(),_xll.mirSwapPV($C$3,$C$4,$C$6,$G15,$C$7,$I15+AH$3,$C$16,$C$17,$C$18,$C$19,$C$20,$C$21,$C$22,$C$26,$C$27,$D$15,$D$16,$D$17,$D$18,$D$19,$D$20,$D$21,$D$22,$D$23,$D$24,$D$25,$D$26,$D$27,$C$8,$C$9,$C$10,$D$11,$C$12),"")</f>
        <v>921873.9851728396</v>
      </c>
      <c r="AI15" s="255">
        <f ca="1">IF(NOW(),_xll.mirSwapPV($C$3,$C$4,$C$6,$G15,$C$7,$I15+AI$3,$C$16,$C$17,$C$18,$C$19,$C$20,$C$21,$C$22,$C$26,$C$27,$D$15,$D$16,$D$17,$D$18,$D$19,$D$20,$D$21,$D$22,$D$23,$D$24,$D$25,$D$26,$D$27,$C$8,$C$9,$C$10,$D$11,$C$12),"")</f>
        <v>737499.18813827157</v>
      </c>
      <c r="AJ15" s="255">
        <f ca="1">IF(NOW(),_xll.mirSwapPV($C$3,$C$4,$C$6,$G15,$C$7,$I15+AJ$3,$C$16,$C$17,$C$18,$C$19,$C$20,$C$21,$C$22,$C$26,$C$27,$D$15,$D$16,$D$17,$D$18,$D$19,$D$20,$D$21,$D$22,$D$23,$D$24,$D$25,$D$26,$D$27,$C$8,$C$9,$C$10,$D$11,$C$12),"")</f>
        <v>553124.39110370353</v>
      </c>
      <c r="AK15" s="255">
        <f ca="1">IF(NOW(),_xll.mirSwapPV($C$3,$C$4,$C$6,$G15,$C$7,$I15+AK$3,$C$16,$C$17,$C$18,$C$19,$C$20,$C$21,$C$22,$C$26,$C$27,$D$15,$D$16,$D$17,$D$18,$D$19,$D$20,$D$21,$D$22,$D$23,$D$24,$D$25,$D$26,$D$27,$C$8,$C$9,$C$10,$D$11,$C$12),"")</f>
        <v>368749.59406913543</v>
      </c>
      <c r="AL15" s="255">
        <f ca="1">IF(NOW(),_xll.mirSwapPV($C$3,$C$4,$C$6,$G15,$C$7,$I15+AL$3,$C$16,$C$17,$C$18,$C$19,$C$20,$C$21,$C$22,$C$26,$C$27,$D$15,$D$16,$D$17,$D$18,$D$19,$D$20,$D$21,$D$22,$D$23,$D$24,$D$25,$D$26,$D$27,$C$8,$C$9,$C$10,$D$11,$C$12),"")</f>
        <v>184374.7970345674</v>
      </c>
      <c r="AM15" s="255">
        <f ca="1">IF(NOW(),_xll.mirSwapPV($C$3,$C$4,$C$6,$G15,$C$7,$I15+AM$3,$C$16,$C$17,$C$18,$C$19,$C$20,$C$21,$C$22,$C$26,$C$27,$D$15,$D$16,$D$17,$D$18,$D$19,$D$20,$D$21,$D$22,$D$23,$D$24,$D$25,$D$26,$D$27,$C$8,$C$9,$C$10,$D$11,$C$12),"")</f>
        <v>-5.5511151231257827E-10</v>
      </c>
      <c r="AN15" s="255">
        <f ca="1">IF(NOW(),_xll.mirSwapPV($C$3,$C$4,$C$6,$G15,$C$7,$I15+AN$3,$C$16,$C$17,$C$18,$C$19,$C$20,$C$21,$C$22,$C$26,$C$27,$D$15,$D$16,$D$17,$D$18,$D$19,$D$20,$D$21,$D$22,$D$23,$D$24,$D$25,$D$26,$D$27,$C$8,$C$9,$C$10,$D$11,$C$12),"")</f>
        <v>-184374.79703456862</v>
      </c>
      <c r="AO15" s="255">
        <f ca="1">IF(NOW(),_xll.mirSwapPV($C$3,$C$4,$C$6,$G15,$C$7,$I15+AO$3,$C$16,$C$17,$C$18,$C$19,$C$20,$C$21,$C$22,$C$26,$C$27,$D$15,$D$16,$D$17,$D$18,$D$19,$D$20,$D$21,$D$22,$D$23,$D$24,$D$25,$D$26,$D$27,$C$8,$C$9,$C$10,$D$11,$C$12),"")</f>
        <v>-368749.59406913654</v>
      </c>
      <c r="AP15" s="255">
        <f ca="1">IF(NOW(),_xll.mirSwapPV($C$3,$C$4,$C$6,$G15,$C$7,$I15+AP$3,$C$16,$C$17,$C$18,$C$19,$C$20,$C$21,$C$22,$C$26,$C$27,$D$15,$D$16,$D$17,$D$18,$D$19,$D$20,$D$21,$D$22,$D$23,$D$24,$D$25,$D$26,$D$27,$C$8,$C$9,$C$10,$D$11,$C$12),"")</f>
        <v>-553124.39110370469</v>
      </c>
      <c r="AQ15" s="255">
        <f ca="1">IF(NOW(),_xll.mirSwapPV($C$3,$C$4,$C$6,$G15,$C$7,$I15+AQ$3,$C$16,$C$17,$C$18,$C$19,$C$20,$C$21,$C$22,$C$26,$C$27,$D$15,$D$16,$D$17,$D$18,$D$19,$D$20,$D$21,$D$22,$D$23,$D$24,$D$25,$D$26,$D$27,$C$8,$C$9,$C$10,$D$11,$C$12),"")</f>
        <v>-737499.18813827261</v>
      </c>
      <c r="AR15" s="255">
        <f ca="1">IF(NOW(),_xll.mirSwapPV($C$3,$C$4,$C$6,$G15,$C$7,$I15+AR$3,$C$16,$C$17,$C$18,$C$19,$C$20,$C$21,$C$22,$C$26,$C$27,$D$15,$D$16,$D$17,$D$18,$D$19,$D$20,$D$21,$D$22,$D$23,$D$24,$D$25,$D$26,$D$27,$C$8,$C$9,$C$10,$D$11,$C$12),"")</f>
        <v>-921873.98517284077</v>
      </c>
    </row>
    <row r="16" spans="2:44">
      <c r="B16" s="234" t="s">
        <v>122</v>
      </c>
      <c r="C16" s="240" t="s">
        <v>78</v>
      </c>
      <c r="D16" s="240" t="s">
        <v>77</v>
      </c>
      <c r="E16" s="227"/>
      <c r="F16" s="224" t="s">
        <v>17</v>
      </c>
      <c r="G16" s="227">
        <f>_xll.mirGetDate($C$6,F16)</f>
        <v>53158</v>
      </c>
      <c r="H16" s="228">
        <f>'USD Curve Config'!$AO21</f>
        <v>3.0135000000000002E-2</v>
      </c>
      <c r="I16" s="229">
        <f ca="1">IF(NOW(),_xll.mirGetParRate4($C$6,F16,$C$7,$C$16,$C$17,$C$18,$C$19,$C$20,$C$21,$C$22,$C$26,$C$27,$D$16,$D$17,$D$18,$D$19,$D$20,$D$21,$D$22,$D$23,$D$24,$D$25,$D$26,$D$27,$C$8,$C$9,$C$10,$C$11,$C$12),"")</f>
        <v>3.0134999971522823E-2</v>
      </c>
      <c r="J16" s="229">
        <f t="shared" ca="1" si="2"/>
        <v>-2.8477178948271842E-11</v>
      </c>
      <c r="K16" s="230">
        <f t="shared" ca="1" si="3"/>
        <v>-2.8477178948271842E-7</v>
      </c>
      <c r="L16" s="230" t="s">
        <v>12</v>
      </c>
      <c r="M16" s="224" t="s">
        <v>17</v>
      </c>
      <c r="N16" s="255">
        <f ca="1">IF(NOW(),_xll.mirSwapPV($C$3,$C$4,$C$6,$G16,$C$7,$I16+N$3,$C$16,$C$17,$C$18,$C$19,$C$20,$C$21,$C$22,$C$26,$C$27,$D$15,$D$16,$D$17,$D$18,$D$19,$D$20,$D$21,$D$22,$D$23,$D$24,$D$25,$D$26,$D$27,$C$8,$C$9,$C$10,$C$11,$C$12),"")</f>
        <v>1035401.1460912416</v>
      </c>
      <c r="O16" s="255">
        <f ca="1">IF(NOW(),_xll.mirSwapPV($C$3,$C$4,$C$6,$G16,$C$7,$I16+O$3,$C$16,$C$17,$C$18,$C$19,$C$20,$C$21,$C$22,$C$26,$C$27,$D$15,$D$16,$D$17,$D$18,$D$19,$D$20,$D$21,$D$22,$D$23,$D$24,$D$25,$D$26,$D$27,$C$8,$C$9,$C$10,$C$11,$C$12),"")</f>
        <v>828320.91687299323</v>
      </c>
      <c r="P16" s="255">
        <f ca="1">IF(NOW(),_xll.mirSwapPV($C$3,$C$4,$C$6,$G16,$C$7,$I16+P$3,$C$16,$C$17,$C$18,$C$19,$C$20,$C$21,$C$22,$C$26,$C$27,$D$15,$D$16,$D$17,$D$18,$D$19,$D$20,$D$21,$D$22,$D$23,$D$24,$D$25,$D$26,$D$27,$C$8,$C$9,$C$10,$C$11,$C$12),"")</f>
        <v>621240.68765474495</v>
      </c>
      <c r="Q16" s="255">
        <f ca="1">IF(NOW(),_xll.mirSwapPV($C$3,$C$4,$C$6,$G16,$C$7,$I16+Q$3,$C$16,$C$17,$C$18,$C$19,$C$20,$C$21,$C$22,$C$26,$C$27,$D$15,$D$16,$D$17,$D$18,$D$19,$D$20,$D$21,$D$22,$D$23,$D$24,$D$25,$D$26,$D$27,$C$8,$C$9,$C$10,$C$11,$C$12),"")</f>
        <v>414160.45843649656</v>
      </c>
      <c r="R16" s="255">
        <f ca="1">IF(NOW(),_xll.mirSwapPV($C$3,$C$4,$C$6,$G16,$C$7,$I16+R$3,$C$16,$C$17,$C$18,$C$19,$C$20,$C$21,$C$22,$C$26,$C$27,$D$15,$D$16,$D$17,$D$18,$D$19,$D$20,$D$21,$D$22,$D$23,$D$24,$D$25,$D$26,$D$27,$C$8,$C$9,$C$10,$C$11,$C$12),"")</f>
        <v>207080.22921824819</v>
      </c>
      <c r="S16" s="255">
        <f ca="1">IF(NOW(),_xll.mirSwapPV($C$3,$C$4,$C$6,$G16,$C$7,$I16+S$3,$C$16,$C$17,$C$18,$C$19,$C$20,$C$21,$C$22,$C$26,$C$27,$D$15,$D$16,$D$17,$D$18,$D$19,$D$20,$D$21,$D$22,$D$23,$D$24,$D$25,$D$26,$D$27,$C$8,$C$9,$C$10,$C$11,$C$12),"")</f>
        <v>0</v>
      </c>
      <c r="T16" s="255">
        <f ca="1">IF(NOW(),_xll.mirSwapPV($C$3,$C$4,$C$6,$G16,$C$7,$I16+T$3,$C$16,$C$17,$C$18,$C$19,$C$20,$C$21,$C$22,$C$26,$C$27,$D$15,$D$16,$D$17,$D$18,$D$19,$D$20,$D$21,$D$22,$D$23,$D$24,$D$25,$D$26,$D$27,$C$8,$C$9,$C$10,$C$11,$C$12),"")</f>
        <v>-207080.22921824831</v>
      </c>
      <c r="U16" s="255">
        <f ca="1">IF(NOW(),_xll.mirSwapPV($C$3,$C$4,$C$6,$G16,$C$7,$I16+U$3,$C$16,$C$17,$C$18,$C$19,$C$20,$C$21,$C$22,$C$26,$C$27,$D$15,$D$16,$D$17,$D$18,$D$19,$D$20,$D$21,$D$22,$D$23,$D$24,$D$25,$D$26,$D$27,$C$8,$C$9,$C$10,$C$11,$C$12),"")</f>
        <v>-414160.45843649661</v>
      </c>
      <c r="V16" s="255">
        <f ca="1">IF(NOW(),_xll.mirSwapPV($C$3,$C$4,$C$6,$G16,$C$7,$I16+V$3,$C$16,$C$17,$C$18,$C$19,$C$20,$C$21,$C$22,$C$26,$C$27,$D$15,$D$16,$D$17,$D$18,$D$19,$D$20,$D$21,$D$22,$D$23,$D$24,$D$25,$D$26,$D$27,$C$8,$C$9,$C$10,$C$11,$C$12),"")</f>
        <v>-621240.68765474495</v>
      </c>
      <c r="W16" s="255">
        <f ca="1">IF(NOW(),_xll.mirSwapPV($C$3,$C$4,$C$6,$G16,$C$7,$I16+W$3,$C$16,$C$17,$C$18,$C$19,$C$20,$C$21,$C$22,$C$26,$C$27,$D$15,$D$16,$D$17,$D$18,$D$19,$D$20,$D$21,$D$22,$D$23,$D$24,$D$25,$D$26,$D$27,$C$8,$C$9,$C$10,$C$11,$C$12),"")</f>
        <v>-828320.91687299323</v>
      </c>
      <c r="X16" s="255">
        <f ca="1">IF(NOW(),_xll.mirSwapPV($C$3,$C$4,$C$6,$G16,$C$7,$I16+X$3,$C$16,$C$17,$C$18,$C$19,$C$20,$C$21,$C$22,$C$26,$C$27,$D$15,$D$16,$D$17,$D$18,$D$19,$D$20,$D$21,$D$22,$D$23,$D$24,$D$25,$D$26,$D$27,$C$8,$C$9,$C$10,$C$11,$C$12),"")</f>
        <v>-1035401.1460912416</v>
      </c>
      <c r="Y16" s="230" t="s">
        <v>12</v>
      </c>
      <c r="Z16" s="224" t="s">
        <v>17</v>
      </c>
      <c r="AA16" s="227">
        <f>_xll.mirGetDate($C$6,Z16)</f>
        <v>53158</v>
      </c>
      <c r="AB16" s="228">
        <f>'USD Curve Config'!$AO21</f>
        <v>3.0135000000000002E-2</v>
      </c>
      <c r="AC16" s="229">
        <f ca="1">IF(NOW(),_xll.mirGetParRate4($C$6,Z16,$C$7,$C$16,$C$17,$C$18,$C$19,$C$20,$C$21,$C$22,$C$26,$C$27,$D$16,$D$17,$D$18,$D$19,$D$20,$D$21,$D$22,$D$23,$D$24,$D$25,$D$26,$D$27,$C$8,$C$9,$C$10,$D$11,$C$12),"")</f>
        <v>3.0134999971522781E-2</v>
      </c>
      <c r="AD16" s="229">
        <f t="shared" ca="1" si="4"/>
        <v>-2.8477220581635265E-11</v>
      </c>
      <c r="AE16" s="230">
        <f t="shared" ca="1" si="5"/>
        <v>-2.8477220581635265E-7</v>
      </c>
      <c r="AG16" s="224" t="s">
        <v>17</v>
      </c>
      <c r="AH16" s="255">
        <f ca="1">IF(NOW(),_xll.mirSwapPV($C$3,$C$4,$C$6,$G16,$C$7,$I16+AH$3,$C$16,$C$17,$C$18,$C$19,$C$20,$C$21,$C$22,$C$26,$C$27,$D$15,$D$16,$D$17,$D$18,$D$19,$D$20,$D$21,$D$22,$D$23,$D$24,$D$25,$D$26,$D$27,$C$8,$C$9,$C$10,$D$11,$C$12),"")</f>
        <v>1035401.1460912407</v>
      </c>
      <c r="AI16" s="255">
        <f ca="1">IF(NOW(),_xll.mirSwapPV($C$3,$C$4,$C$6,$G16,$C$7,$I16+AI$3,$C$16,$C$17,$C$18,$C$19,$C$20,$C$21,$C$22,$C$26,$C$27,$D$15,$D$16,$D$17,$D$18,$D$19,$D$20,$D$21,$D$22,$D$23,$D$24,$D$25,$D$26,$D$27,$C$8,$C$9,$C$10,$D$11,$C$12),"")</f>
        <v>828320.91687299241</v>
      </c>
      <c r="AJ16" s="255">
        <f ca="1">IF(NOW(),_xll.mirSwapPV($C$3,$C$4,$C$6,$G16,$C$7,$I16+AJ$3,$C$16,$C$17,$C$18,$C$19,$C$20,$C$21,$C$22,$C$26,$C$27,$D$15,$D$16,$D$17,$D$18,$D$19,$D$20,$D$21,$D$22,$D$23,$D$24,$D$25,$D$26,$D$27,$C$8,$C$9,$C$10,$D$11,$C$12),"")</f>
        <v>621240.68765474402</v>
      </c>
      <c r="AK16" s="255">
        <f ca="1">IF(NOW(),_xll.mirSwapPV($C$3,$C$4,$C$6,$G16,$C$7,$I16+AK$3,$C$16,$C$17,$C$18,$C$19,$C$20,$C$21,$C$22,$C$26,$C$27,$D$15,$D$16,$D$17,$D$18,$D$19,$D$20,$D$21,$D$22,$D$23,$D$24,$D$25,$D$26,$D$27,$C$8,$C$9,$C$10,$D$11,$C$12),"")</f>
        <v>414160.45843649568</v>
      </c>
      <c r="AL16" s="255">
        <f ca="1">IF(NOW(),_xll.mirSwapPV($C$3,$C$4,$C$6,$G16,$C$7,$I16+AL$3,$C$16,$C$17,$C$18,$C$19,$C$20,$C$21,$C$22,$C$26,$C$27,$D$15,$D$16,$D$17,$D$18,$D$19,$D$20,$D$21,$D$22,$D$23,$D$24,$D$25,$D$26,$D$27,$C$8,$C$9,$C$10,$D$11,$C$12),"")</f>
        <v>207080.22921824732</v>
      </c>
      <c r="AM16" s="255">
        <f ca="1">IF(NOW(),_xll.mirSwapPV($C$3,$C$4,$C$6,$G16,$C$7,$I16+AM$3,$C$16,$C$17,$C$18,$C$19,$C$20,$C$21,$C$22,$C$26,$C$27,$D$15,$D$16,$D$17,$D$18,$D$19,$D$20,$D$21,$D$22,$D$23,$D$24,$D$25,$D$26,$D$27,$C$8,$C$9,$C$10,$D$11,$C$12),"")</f>
        <v>-8.8817841970012523E-10</v>
      </c>
      <c r="AN16" s="255">
        <f ca="1">IF(NOW(),_xll.mirSwapPV($C$3,$C$4,$C$6,$G16,$C$7,$I16+AN$3,$C$16,$C$17,$C$18,$C$19,$C$20,$C$21,$C$22,$C$26,$C$27,$D$15,$D$16,$D$17,$D$18,$D$19,$D$20,$D$21,$D$22,$D$23,$D$24,$D$25,$D$26,$D$27,$C$8,$C$9,$C$10,$D$11,$C$12),"")</f>
        <v>-207080.22921824921</v>
      </c>
      <c r="AO16" s="255">
        <f ca="1">IF(NOW(),_xll.mirSwapPV($C$3,$C$4,$C$6,$G16,$C$7,$I16+AO$3,$C$16,$C$17,$C$18,$C$19,$C$20,$C$21,$C$22,$C$26,$C$27,$D$15,$D$16,$D$17,$D$18,$D$19,$D$20,$D$21,$D$22,$D$23,$D$24,$D$25,$D$26,$D$27,$C$8,$C$9,$C$10,$D$11,$C$12),"")</f>
        <v>-414160.45843649749</v>
      </c>
      <c r="AP16" s="255">
        <f ca="1">IF(NOW(),_xll.mirSwapPV($C$3,$C$4,$C$6,$G16,$C$7,$I16+AP$3,$C$16,$C$17,$C$18,$C$19,$C$20,$C$21,$C$22,$C$26,$C$27,$D$15,$D$16,$D$17,$D$18,$D$19,$D$20,$D$21,$D$22,$D$23,$D$24,$D$25,$D$26,$D$27,$C$8,$C$9,$C$10,$D$11,$C$12),"")</f>
        <v>-621240.68765474588</v>
      </c>
      <c r="AQ16" s="255">
        <f ca="1">IF(NOW(),_xll.mirSwapPV($C$3,$C$4,$C$6,$G16,$C$7,$I16+AQ$3,$C$16,$C$17,$C$18,$C$19,$C$20,$C$21,$C$22,$C$26,$C$27,$D$15,$D$16,$D$17,$D$18,$D$19,$D$20,$D$21,$D$22,$D$23,$D$24,$D$25,$D$26,$D$27,$C$8,$C$9,$C$10,$D$11,$C$12),"")</f>
        <v>-828320.91687299416</v>
      </c>
      <c r="AR16" s="255">
        <f ca="1">IF(NOW(),_xll.mirSwapPV($C$3,$C$4,$C$6,$G16,$C$7,$I16+AR$3,$C$16,$C$17,$C$18,$C$19,$C$20,$C$21,$C$22,$C$26,$C$27,$D$15,$D$16,$D$17,$D$18,$D$19,$D$20,$D$21,$D$22,$D$23,$D$24,$D$25,$D$26,$D$27,$C$8,$C$9,$C$10,$D$11,$C$12),"")</f>
        <v>-1035401.1460912424</v>
      </c>
    </row>
    <row r="17" spans="2:44">
      <c r="B17" s="234" t="s">
        <v>130</v>
      </c>
      <c r="C17" s="241" t="s">
        <v>163</v>
      </c>
      <c r="D17" s="240" t="s">
        <v>3</v>
      </c>
      <c r="E17" s="242"/>
      <c r="F17" s="224" t="s">
        <v>15</v>
      </c>
      <c r="G17" s="227">
        <f>_xll.mirGetDate($C$6,F17)</f>
        <v>56810</v>
      </c>
      <c r="H17" s="228">
        <f>'USD Curve Config'!$AO22</f>
        <v>3.0314999999999998E-2</v>
      </c>
      <c r="I17" s="229">
        <f ca="1">IF(NOW(),_xll.mirGetParRate4($C$6,F17,$C$7,$C$16,$C$17,$C$18,$C$19,$C$20,$C$21,$C$22,$C$26,$C$27,$D$16,$D$17,$D$18,$D$19,$D$20,$D$21,$D$22,$D$23,$D$24,$D$25,$D$26,$D$27,$C$8,$C$9,$C$10,$C$11,$C$12),"")</f>
        <v>3.0314999976270525E-2</v>
      </c>
      <c r="J17" s="229">
        <f t="shared" ca="1" si="2"/>
        <v>-2.3729473247469102E-11</v>
      </c>
      <c r="K17" s="230">
        <f t="shared" ca="1" si="3"/>
        <v>-2.3729473247469102E-7</v>
      </c>
      <c r="L17" s="230" t="s">
        <v>12</v>
      </c>
      <c r="M17" s="224" t="s">
        <v>15</v>
      </c>
      <c r="N17" s="255">
        <f ca="1">IF(NOW(),_xll.mirSwapPV($C$3,$C$4,$C$6,$G17,$C$7,$I17+N$3,$C$16,$C$17,$C$18,$C$19,$C$20,$C$21,$C$22,$C$26,$C$27,$D$15,$D$16,$D$17,$D$18,$D$19,$D$20,$D$21,$D$22,$D$23,$D$24,$D$25,$D$26,$D$27,$C$8,$C$9,$C$10,$C$11,$C$12),"")</f>
        <v>1217652.1488595277</v>
      </c>
      <c r="O17" s="255">
        <f ca="1">IF(NOW(),_xll.mirSwapPV($C$3,$C$4,$C$6,$G17,$C$7,$I17+O$3,$C$16,$C$17,$C$18,$C$19,$C$20,$C$21,$C$22,$C$26,$C$27,$D$15,$D$16,$D$17,$D$18,$D$19,$D$20,$D$21,$D$22,$D$23,$D$24,$D$25,$D$26,$D$27,$C$8,$C$9,$C$10,$C$11,$C$12),"")</f>
        <v>974121.71908762213</v>
      </c>
      <c r="P17" s="255">
        <f ca="1">IF(NOW(),_xll.mirSwapPV($C$3,$C$4,$C$6,$G17,$C$7,$I17+P$3,$C$16,$C$17,$C$18,$C$19,$C$20,$C$21,$C$22,$C$26,$C$27,$D$15,$D$16,$D$17,$D$18,$D$19,$D$20,$D$21,$D$22,$D$23,$D$24,$D$25,$D$26,$D$27,$C$8,$C$9,$C$10,$C$11,$C$12),"")</f>
        <v>730591.28931571648</v>
      </c>
      <c r="Q17" s="255">
        <f ca="1">IF(NOW(),_xll.mirSwapPV($C$3,$C$4,$C$6,$G17,$C$7,$I17+Q$3,$C$16,$C$17,$C$18,$C$19,$C$20,$C$21,$C$22,$C$26,$C$27,$D$15,$D$16,$D$17,$D$18,$D$19,$D$20,$D$21,$D$22,$D$23,$D$24,$D$25,$D$26,$D$27,$C$8,$C$9,$C$10,$C$11,$C$12),"")</f>
        <v>487060.85954381095</v>
      </c>
      <c r="R17" s="255">
        <f ca="1">IF(NOW(),_xll.mirSwapPV($C$3,$C$4,$C$6,$G17,$C$7,$I17+R$3,$C$16,$C$17,$C$18,$C$19,$C$20,$C$21,$C$22,$C$26,$C$27,$D$15,$D$16,$D$17,$D$18,$D$19,$D$20,$D$21,$D$22,$D$23,$D$24,$D$25,$D$26,$D$27,$C$8,$C$9,$C$10,$C$11,$C$12),"")</f>
        <v>243530.42977190542</v>
      </c>
      <c r="S17" s="255">
        <f ca="1">IF(NOW(),_xll.mirSwapPV($C$3,$C$4,$C$6,$G17,$C$7,$I17+S$3,$C$16,$C$17,$C$18,$C$19,$C$20,$C$21,$C$22,$C$26,$C$27,$D$15,$D$16,$D$17,$D$18,$D$19,$D$20,$D$21,$D$22,$D$23,$D$24,$D$25,$D$26,$D$27,$C$8,$C$9,$C$10,$C$11,$C$12),"")</f>
        <v>0</v>
      </c>
      <c r="T17" s="255">
        <f ca="1">IF(NOW(),_xll.mirSwapPV($C$3,$C$4,$C$6,$G17,$C$7,$I17+T$3,$C$16,$C$17,$C$18,$C$19,$C$20,$C$21,$C$22,$C$26,$C$27,$D$15,$D$16,$D$17,$D$18,$D$19,$D$20,$D$21,$D$22,$D$23,$D$24,$D$25,$D$26,$D$27,$C$8,$C$9,$C$10,$C$11,$C$12),"")</f>
        <v>-243530.42977190553</v>
      </c>
      <c r="U17" s="255">
        <f ca="1">IF(NOW(),_xll.mirSwapPV($C$3,$C$4,$C$6,$G17,$C$7,$I17+U$3,$C$16,$C$17,$C$18,$C$19,$C$20,$C$21,$C$22,$C$26,$C$27,$D$15,$D$16,$D$17,$D$18,$D$19,$D$20,$D$21,$D$22,$D$23,$D$24,$D$25,$D$26,$D$27,$C$8,$C$9,$C$10,$C$11,$C$12),"")</f>
        <v>-487060.85954381083</v>
      </c>
      <c r="V17" s="255">
        <f ca="1">IF(NOW(),_xll.mirSwapPV($C$3,$C$4,$C$6,$G17,$C$7,$I17+V$3,$C$16,$C$17,$C$18,$C$19,$C$20,$C$21,$C$22,$C$26,$C$27,$D$15,$D$16,$D$17,$D$18,$D$19,$D$20,$D$21,$D$22,$D$23,$D$24,$D$25,$D$26,$D$27,$C$8,$C$9,$C$10,$C$11,$C$12),"")</f>
        <v>-730591.28931571648</v>
      </c>
      <c r="W17" s="255">
        <f ca="1">IF(NOW(),_xll.mirSwapPV($C$3,$C$4,$C$6,$G17,$C$7,$I17+W$3,$C$16,$C$17,$C$18,$C$19,$C$20,$C$21,$C$22,$C$26,$C$27,$D$15,$D$16,$D$17,$D$18,$D$19,$D$20,$D$21,$D$22,$D$23,$D$24,$D$25,$D$26,$D$27,$C$8,$C$9,$C$10,$C$11,$C$12),"")</f>
        <v>-974121.71908762213</v>
      </c>
      <c r="X17" s="255">
        <f ca="1">IF(NOW(),_xll.mirSwapPV($C$3,$C$4,$C$6,$G17,$C$7,$I17+X$3,$C$16,$C$17,$C$18,$C$19,$C$20,$C$21,$C$22,$C$26,$C$27,$D$15,$D$16,$D$17,$D$18,$D$19,$D$20,$D$21,$D$22,$D$23,$D$24,$D$25,$D$26,$D$27,$C$8,$C$9,$C$10,$C$11,$C$12),"")</f>
        <v>-1217652.1488595277</v>
      </c>
      <c r="Y17" s="230" t="s">
        <v>12</v>
      </c>
      <c r="Z17" s="224" t="s">
        <v>15</v>
      </c>
      <c r="AA17" s="227">
        <f>_xll.mirGetDate($C$6,Z17)</f>
        <v>56810</v>
      </c>
      <c r="AB17" s="228">
        <f>'USD Curve Config'!$AO22</f>
        <v>3.0314999999999998E-2</v>
      </c>
      <c r="AC17" s="229">
        <f ca="1">IF(NOW(),_xll.mirGetParRate4($C$6,Z17,$C$7,$C$16,$C$17,$C$18,$C$19,$C$20,$C$21,$C$22,$C$26,$C$27,$D$16,$D$17,$D$18,$D$19,$D$20,$D$21,$D$22,$D$23,$D$24,$D$25,$D$26,$D$27,$C$8,$C$9,$C$10,$D$11,$C$12),"")</f>
        <v>3.031499997627048E-2</v>
      </c>
      <c r="AD17" s="229">
        <f t="shared" ca="1" si="4"/>
        <v>-2.3729518350279477E-11</v>
      </c>
      <c r="AE17" s="230">
        <f t="shared" ca="1" si="5"/>
        <v>-2.3729518350279477E-7</v>
      </c>
      <c r="AG17" s="224" t="s">
        <v>15</v>
      </c>
      <c r="AH17" s="255">
        <f ca="1">IF(NOW(),_xll.mirSwapPV($C$3,$C$4,$C$6,$G17,$C$7,$I17+AH$3,$C$16,$C$17,$C$18,$C$19,$C$20,$C$21,$C$22,$C$26,$C$27,$D$15,$D$16,$D$17,$D$18,$D$19,$D$20,$D$21,$D$22,$D$23,$D$24,$D$25,$D$26,$D$27,$C$8,$C$9,$C$10,$D$11,$C$12),"")</f>
        <v>1217652.1488595265</v>
      </c>
      <c r="AI17" s="255">
        <f ca="1">IF(NOW(),_xll.mirSwapPV($C$3,$C$4,$C$6,$G17,$C$7,$I17+AI$3,$C$16,$C$17,$C$18,$C$19,$C$20,$C$21,$C$22,$C$26,$C$27,$D$15,$D$16,$D$17,$D$18,$D$19,$D$20,$D$21,$D$22,$D$23,$D$24,$D$25,$D$26,$D$27,$C$8,$C$9,$C$10,$D$11,$C$12),"")</f>
        <v>974121.71908762096</v>
      </c>
      <c r="AJ17" s="255">
        <f ca="1">IF(NOW(),_xll.mirSwapPV($C$3,$C$4,$C$6,$G17,$C$7,$I17+AJ$3,$C$16,$C$17,$C$18,$C$19,$C$20,$C$21,$C$22,$C$26,$C$27,$D$15,$D$16,$D$17,$D$18,$D$19,$D$20,$D$21,$D$22,$D$23,$D$24,$D$25,$D$26,$D$27,$C$8,$C$9,$C$10,$D$11,$C$12),"")</f>
        <v>730591.28931571543</v>
      </c>
      <c r="AK17" s="255">
        <f ca="1">IF(NOW(),_xll.mirSwapPV($C$3,$C$4,$C$6,$G17,$C$7,$I17+AK$3,$C$16,$C$17,$C$18,$C$19,$C$20,$C$21,$C$22,$C$26,$C$27,$D$15,$D$16,$D$17,$D$18,$D$19,$D$20,$D$21,$D$22,$D$23,$D$24,$D$25,$D$26,$D$27,$C$8,$C$9,$C$10,$D$11,$C$12),"")</f>
        <v>487060.85954380984</v>
      </c>
      <c r="AL17" s="255">
        <f ca="1">IF(NOW(),_xll.mirSwapPV($C$3,$C$4,$C$6,$G17,$C$7,$I17+AL$3,$C$16,$C$17,$C$18,$C$19,$C$20,$C$21,$C$22,$C$26,$C$27,$D$15,$D$16,$D$17,$D$18,$D$19,$D$20,$D$21,$D$22,$D$23,$D$24,$D$25,$D$26,$D$27,$C$8,$C$9,$C$10,$D$11,$C$12),"")</f>
        <v>243530.42977190431</v>
      </c>
      <c r="AM17" s="255">
        <f ca="1">IF(NOW(),_xll.mirSwapPV($C$3,$C$4,$C$6,$G17,$C$7,$I17+AM$3,$C$16,$C$17,$C$18,$C$19,$C$20,$C$21,$C$22,$C$26,$C$27,$D$15,$D$16,$D$17,$D$18,$D$19,$D$20,$D$21,$D$22,$D$23,$D$24,$D$25,$D$26,$D$27,$C$8,$C$9,$C$10,$D$11,$C$12),"")</f>
        <v>-1.1102230246251565E-9</v>
      </c>
      <c r="AN17" s="255">
        <f ca="1">IF(NOW(),_xll.mirSwapPV($C$3,$C$4,$C$6,$G17,$C$7,$I17+AN$3,$C$16,$C$17,$C$18,$C$19,$C$20,$C$21,$C$22,$C$26,$C$27,$D$15,$D$16,$D$17,$D$18,$D$19,$D$20,$D$21,$D$22,$D$23,$D$24,$D$25,$D$26,$D$27,$C$8,$C$9,$C$10,$D$11,$C$12),"")</f>
        <v>-243530.42977190664</v>
      </c>
      <c r="AO17" s="255">
        <f ca="1">IF(NOW(),_xll.mirSwapPV($C$3,$C$4,$C$6,$G17,$C$7,$I17+AO$3,$C$16,$C$17,$C$18,$C$19,$C$20,$C$21,$C$22,$C$26,$C$27,$D$15,$D$16,$D$17,$D$18,$D$19,$D$20,$D$21,$D$22,$D$23,$D$24,$D$25,$D$26,$D$27,$C$8,$C$9,$C$10,$D$11,$C$12),"")</f>
        <v>-487060.85954381194</v>
      </c>
      <c r="AP17" s="255">
        <f ca="1">IF(NOW(),_xll.mirSwapPV($C$3,$C$4,$C$6,$G17,$C$7,$I17+AP$3,$C$16,$C$17,$C$18,$C$19,$C$20,$C$21,$C$22,$C$26,$C$27,$D$15,$D$16,$D$17,$D$18,$D$19,$D$20,$D$21,$D$22,$D$23,$D$24,$D$25,$D$26,$D$27,$C$8,$C$9,$C$10,$D$11,$C$12),"")</f>
        <v>-730591.28931571764</v>
      </c>
      <c r="AQ17" s="255">
        <f ca="1">IF(NOW(),_xll.mirSwapPV($C$3,$C$4,$C$6,$G17,$C$7,$I17+AQ$3,$C$16,$C$17,$C$18,$C$19,$C$20,$C$21,$C$22,$C$26,$C$27,$D$15,$D$16,$D$17,$D$18,$D$19,$D$20,$D$21,$D$22,$D$23,$D$24,$D$25,$D$26,$D$27,$C$8,$C$9,$C$10,$D$11,$C$12),"")</f>
        <v>-974121.71908762329</v>
      </c>
      <c r="AR17" s="255">
        <f ca="1">IF(NOW(),_xll.mirSwapPV($C$3,$C$4,$C$6,$G17,$C$7,$I17+AR$3,$C$16,$C$17,$C$18,$C$19,$C$20,$C$21,$C$22,$C$26,$C$27,$D$15,$D$16,$D$17,$D$18,$D$19,$D$20,$D$21,$D$22,$D$23,$D$24,$D$25,$D$26,$D$27,$C$8,$C$9,$C$10,$D$11,$C$12),"")</f>
        <v>-1217652.1488595288</v>
      </c>
    </row>
    <row r="18" spans="2:44">
      <c r="B18" s="234" t="s">
        <v>443</v>
      </c>
      <c r="C18" s="240" t="s">
        <v>40</v>
      </c>
      <c r="D18" s="240" t="s">
        <v>40</v>
      </c>
      <c r="E18" s="224"/>
      <c r="F18" s="224" t="s">
        <v>14</v>
      </c>
      <c r="G18" s="227">
        <f>_xll.mirGetDate($C$6,F18)</f>
        <v>60463</v>
      </c>
      <c r="H18" s="228">
        <f>'USD Curve Config'!$AO23</f>
        <v>3.0139999999999997E-2</v>
      </c>
      <c r="I18" s="229">
        <f ca="1">IF(NOW(),_xll.mirGetParRate4($C$6,F18,$C$7,$C$16,$C$17,$C$18,$C$19,$C$20,$C$21,$C$22,$C$26,$C$27,$D$16,$D$17,$D$18,$D$19,$D$20,$D$21,$D$22,$D$23,$D$24,$D$25,$D$26,$D$27,$C$8,$C$9,$C$10,$C$11,$C$12),"")</f>
        <v>3.0139999597463871E-2</v>
      </c>
      <c r="J18" s="229">
        <f t="shared" ca="1" si="2"/>
        <v>-4.025361259596405E-10</v>
      </c>
      <c r="K18" s="230">
        <f t="shared" ca="1" si="3"/>
        <v>-4.025361259596405E-6</v>
      </c>
      <c r="L18" s="230" t="s">
        <v>12</v>
      </c>
      <c r="M18" s="224" t="s">
        <v>14</v>
      </c>
      <c r="N18" s="255">
        <f ca="1">IF(NOW(),_xll.mirSwapPV($C$3,$C$4,$C$6,$G18,$C$7,$I18+N$3,$C$16,$C$17,$C$18,$C$19,$C$20,$C$21,$C$22,$C$26,$C$27,$D$15,$D$16,$D$17,$D$18,$D$19,$D$20,$D$21,$D$22,$D$23,$D$24,$D$25,$D$26,$D$27,$C$8,$C$9,$C$10,$C$11,$C$12),"")</f>
        <v>1356303.3835327972</v>
      </c>
      <c r="O18" s="255">
        <f ca="1">IF(NOW(),_xll.mirSwapPV($C$3,$C$4,$C$6,$G18,$C$7,$I18+O$3,$C$16,$C$17,$C$18,$C$19,$C$20,$C$21,$C$22,$C$26,$C$27,$D$15,$D$16,$D$17,$D$18,$D$19,$D$20,$D$21,$D$22,$D$23,$D$24,$D$25,$D$26,$D$27,$C$8,$C$9,$C$10,$C$11,$C$12),"")</f>
        <v>1085042.7068262377</v>
      </c>
      <c r="P18" s="255">
        <f ca="1">IF(NOW(),_xll.mirSwapPV($C$3,$C$4,$C$6,$G18,$C$7,$I18+P$3,$C$16,$C$17,$C$18,$C$19,$C$20,$C$21,$C$22,$C$26,$C$27,$D$15,$D$16,$D$17,$D$18,$D$19,$D$20,$D$21,$D$22,$D$23,$D$24,$D$25,$D$26,$D$27,$C$8,$C$9,$C$10,$C$11,$C$12),"")</f>
        <v>813782.03011967847</v>
      </c>
      <c r="Q18" s="255">
        <f ca="1">IF(NOW(),_xll.mirSwapPV($C$3,$C$4,$C$6,$G18,$C$7,$I18+Q$3,$C$16,$C$17,$C$18,$C$19,$C$20,$C$21,$C$22,$C$26,$C$27,$D$15,$D$16,$D$17,$D$18,$D$19,$D$20,$D$21,$D$22,$D$23,$D$24,$D$25,$D$26,$D$27,$C$8,$C$9,$C$10,$C$11,$C$12),"")</f>
        <v>542521.35341311875</v>
      </c>
      <c r="R18" s="255">
        <f ca="1">IF(NOW(),_xll.mirSwapPV($C$3,$C$4,$C$6,$G18,$C$7,$I18+R$3,$C$16,$C$17,$C$18,$C$19,$C$20,$C$21,$C$22,$C$26,$C$27,$D$15,$D$16,$D$17,$D$18,$D$19,$D$20,$D$21,$D$22,$D$23,$D$24,$D$25,$D$26,$D$27,$C$8,$C$9,$C$10,$C$11,$C$12),"")</f>
        <v>271260.67670655937</v>
      </c>
      <c r="S18" s="255">
        <f ca="1">IF(NOW(),_xll.mirSwapPV($C$3,$C$4,$C$6,$G18,$C$7,$I18+S$3,$C$16,$C$17,$C$18,$C$19,$C$20,$C$21,$C$22,$C$26,$C$27,$D$15,$D$16,$D$17,$D$18,$D$19,$D$20,$D$21,$D$22,$D$23,$D$24,$D$25,$D$26,$D$27,$C$8,$C$9,$C$10,$C$11,$C$12),"")</f>
        <v>0</v>
      </c>
      <c r="T18" s="255">
        <f ca="1">IF(NOW(),_xll.mirSwapPV($C$3,$C$4,$C$6,$G18,$C$7,$I18+T$3,$C$16,$C$17,$C$18,$C$19,$C$20,$C$21,$C$22,$C$26,$C$27,$D$15,$D$16,$D$17,$D$18,$D$19,$D$20,$D$21,$D$22,$D$23,$D$24,$D$25,$D$26,$D$27,$C$8,$C$9,$C$10,$C$11,$C$12),"")</f>
        <v>-271260.67670655949</v>
      </c>
      <c r="U18" s="255">
        <f ca="1">IF(NOW(),_xll.mirSwapPV($C$3,$C$4,$C$6,$G18,$C$7,$I18+U$3,$C$16,$C$17,$C$18,$C$19,$C$20,$C$21,$C$22,$C$26,$C$27,$D$15,$D$16,$D$17,$D$18,$D$19,$D$20,$D$21,$D$22,$D$23,$D$24,$D$25,$D$26,$D$27,$C$8,$C$9,$C$10,$C$11,$C$12),"")</f>
        <v>-542521.35341311898</v>
      </c>
      <c r="V18" s="255">
        <f ca="1">IF(NOW(),_xll.mirSwapPV($C$3,$C$4,$C$6,$G18,$C$7,$I18+V$3,$C$16,$C$17,$C$18,$C$19,$C$20,$C$21,$C$22,$C$26,$C$27,$D$15,$D$16,$D$17,$D$18,$D$19,$D$20,$D$21,$D$22,$D$23,$D$24,$D$25,$D$26,$D$27,$C$8,$C$9,$C$10,$C$11,$C$12),"")</f>
        <v>-813782.03011967835</v>
      </c>
      <c r="W18" s="255">
        <f ca="1">IF(NOW(),_xll.mirSwapPV($C$3,$C$4,$C$6,$G18,$C$7,$I18+W$3,$C$16,$C$17,$C$18,$C$19,$C$20,$C$21,$C$22,$C$26,$C$27,$D$15,$D$16,$D$17,$D$18,$D$19,$D$20,$D$21,$D$22,$D$23,$D$24,$D$25,$D$26,$D$27,$C$8,$C$9,$C$10,$C$11,$C$12),"")</f>
        <v>-1085042.7068262375</v>
      </c>
      <c r="X18" s="255">
        <f ca="1">IF(NOW(),_xll.mirSwapPV($C$3,$C$4,$C$6,$G18,$C$7,$I18+X$3,$C$16,$C$17,$C$18,$C$19,$C$20,$C$21,$C$22,$C$26,$C$27,$D$15,$D$16,$D$17,$D$18,$D$19,$D$20,$D$21,$D$22,$D$23,$D$24,$D$25,$D$26,$D$27,$C$8,$C$9,$C$10,$C$11,$C$12),"")</f>
        <v>-1356303.3835327972</v>
      </c>
      <c r="Y18" s="230" t="s">
        <v>12</v>
      </c>
      <c r="Z18" s="224" t="s">
        <v>14</v>
      </c>
      <c r="AA18" s="227">
        <f>_xll.mirGetDate($C$6,Z18)</f>
        <v>60463</v>
      </c>
      <c r="AB18" s="228">
        <f>'USD Curve Config'!$AO23</f>
        <v>3.0139999999999997E-2</v>
      </c>
      <c r="AC18" s="229">
        <f ca="1">IF(NOW(),_xll.mirGetParRate4($C$6,Z18,$C$7,$C$16,$C$17,$C$18,$C$19,$C$20,$C$21,$C$22,$C$26,$C$27,$D$16,$D$17,$D$18,$D$19,$D$20,$D$21,$D$22,$D$23,$D$24,$D$25,$D$26,$D$27,$C$8,$C$9,$C$10,$D$11,$C$12),"")</f>
        <v>3.0139999597463819E-2</v>
      </c>
      <c r="AD18" s="229">
        <f t="shared" ca="1" si="4"/>
        <v>-4.0253617800134478E-10</v>
      </c>
      <c r="AE18" s="230">
        <f t="shared" ca="1" si="5"/>
        <v>-4.0253617800134478E-6</v>
      </c>
      <c r="AG18" s="224" t="s">
        <v>14</v>
      </c>
      <c r="AH18" s="255">
        <f ca="1">IF(NOW(),_xll.mirSwapPV($C$3,$C$4,$C$6,$G18,$C$7,$I18+AH$3,$C$16,$C$17,$C$18,$C$19,$C$20,$C$21,$C$22,$C$26,$C$27,$D$15,$D$16,$D$17,$D$18,$D$19,$D$20,$D$21,$D$22,$D$23,$D$24,$D$25,$D$26,$D$27,$C$8,$C$9,$C$10,$D$11,$C$12),"")</f>
        <v>1356303.3835327958</v>
      </c>
      <c r="AI18" s="255">
        <f ca="1">IF(NOW(),_xll.mirSwapPV($C$3,$C$4,$C$6,$G18,$C$7,$I18+AI$3,$C$16,$C$17,$C$18,$C$19,$C$20,$C$21,$C$22,$C$26,$C$27,$D$15,$D$16,$D$17,$D$18,$D$19,$D$20,$D$21,$D$22,$D$23,$D$24,$D$25,$D$26,$D$27,$C$8,$C$9,$C$10,$D$11,$C$12),"")</f>
        <v>1085042.7068262366</v>
      </c>
      <c r="AJ18" s="255">
        <f ca="1">IF(NOW(),_xll.mirSwapPV($C$3,$C$4,$C$6,$G18,$C$7,$I18+AJ$3,$C$16,$C$17,$C$18,$C$19,$C$20,$C$21,$C$22,$C$26,$C$27,$D$15,$D$16,$D$17,$D$18,$D$19,$D$20,$D$21,$D$22,$D$23,$D$24,$D$25,$D$26,$D$27,$C$8,$C$9,$C$10,$D$11,$C$12),"")</f>
        <v>813782.03011967696</v>
      </c>
      <c r="AK18" s="255">
        <f ca="1">IF(NOW(),_xll.mirSwapPV($C$3,$C$4,$C$6,$G18,$C$7,$I18+AK$3,$C$16,$C$17,$C$18,$C$19,$C$20,$C$21,$C$22,$C$26,$C$27,$D$15,$D$16,$D$17,$D$18,$D$19,$D$20,$D$21,$D$22,$D$23,$D$24,$D$25,$D$26,$D$27,$C$8,$C$9,$C$10,$D$11,$C$12),"")</f>
        <v>542521.35341311747</v>
      </c>
      <c r="AL18" s="255">
        <f ca="1">IF(NOW(),_xll.mirSwapPV($C$3,$C$4,$C$6,$G18,$C$7,$I18+AL$3,$C$16,$C$17,$C$18,$C$19,$C$20,$C$21,$C$22,$C$26,$C$27,$D$15,$D$16,$D$17,$D$18,$D$19,$D$20,$D$21,$D$22,$D$23,$D$24,$D$25,$D$26,$D$27,$C$8,$C$9,$C$10,$D$11,$C$12),"")</f>
        <v>271260.67670655798</v>
      </c>
      <c r="AM18" s="255">
        <f ca="1">IF(NOW(),_xll.mirSwapPV($C$3,$C$4,$C$6,$G18,$C$7,$I18+AM$3,$C$16,$C$17,$C$18,$C$19,$C$20,$C$21,$C$22,$C$26,$C$27,$D$15,$D$16,$D$17,$D$18,$D$19,$D$20,$D$21,$D$22,$D$23,$D$24,$D$25,$D$26,$D$27,$C$8,$C$9,$C$10,$D$11,$C$12),"")</f>
        <v>-1.4432899320127035E-9</v>
      </c>
      <c r="AN18" s="255">
        <f ca="1">IF(NOW(),_xll.mirSwapPV($C$3,$C$4,$C$6,$G18,$C$7,$I18+AN$3,$C$16,$C$17,$C$18,$C$19,$C$20,$C$21,$C$22,$C$26,$C$27,$D$15,$D$16,$D$17,$D$18,$D$19,$D$20,$D$21,$D$22,$D$23,$D$24,$D$25,$D$26,$D$27,$C$8,$C$9,$C$10,$D$11,$C$12),"")</f>
        <v>-271260.67670656095</v>
      </c>
      <c r="AO18" s="255">
        <f ca="1">IF(NOW(),_xll.mirSwapPV($C$3,$C$4,$C$6,$G18,$C$7,$I18+AO$3,$C$16,$C$17,$C$18,$C$19,$C$20,$C$21,$C$22,$C$26,$C$27,$D$15,$D$16,$D$17,$D$18,$D$19,$D$20,$D$21,$D$22,$D$23,$D$24,$D$25,$D$26,$D$27,$C$8,$C$9,$C$10,$D$11,$C$12),"")</f>
        <v>-542521.35341312049</v>
      </c>
      <c r="AP18" s="255">
        <f ca="1">IF(NOW(),_xll.mirSwapPV($C$3,$C$4,$C$6,$G18,$C$7,$I18+AP$3,$C$16,$C$17,$C$18,$C$19,$C$20,$C$21,$C$22,$C$26,$C$27,$D$15,$D$16,$D$17,$D$18,$D$19,$D$20,$D$21,$D$22,$D$23,$D$24,$D$25,$D$26,$D$27,$C$8,$C$9,$C$10,$D$11,$C$12),"")</f>
        <v>-813782.03011967975</v>
      </c>
      <c r="AQ18" s="255">
        <f ca="1">IF(NOW(),_xll.mirSwapPV($C$3,$C$4,$C$6,$G18,$C$7,$I18+AQ$3,$C$16,$C$17,$C$18,$C$19,$C$20,$C$21,$C$22,$C$26,$C$27,$D$15,$D$16,$D$17,$D$18,$D$19,$D$20,$D$21,$D$22,$D$23,$D$24,$D$25,$D$26,$D$27,$C$8,$C$9,$C$10,$D$11,$C$12),"")</f>
        <v>-1085042.7068262389</v>
      </c>
      <c r="AR18" s="255">
        <f ca="1">IF(NOW(),_xll.mirSwapPV($C$3,$C$4,$C$6,$G18,$C$7,$I18+AR$3,$C$16,$C$17,$C$18,$C$19,$C$20,$C$21,$C$22,$C$26,$C$27,$D$15,$D$16,$D$17,$D$18,$D$19,$D$20,$D$21,$D$22,$D$23,$D$24,$D$25,$D$26,$D$27,$C$8,$C$9,$C$10,$D$11,$C$12),"")</f>
        <v>-1356303.3835327988</v>
      </c>
    </row>
    <row r="19" spans="2:44">
      <c r="B19" s="234" t="s">
        <v>174</v>
      </c>
      <c r="C19" s="240" t="s">
        <v>456</v>
      </c>
      <c r="D19" s="240" t="s">
        <v>456</v>
      </c>
      <c r="E19" s="224"/>
      <c r="F19" s="224"/>
      <c r="G19" s="227"/>
      <c r="H19" s="228"/>
      <c r="I19" s="229"/>
      <c r="J19" s="229"/>
      <c r="K19" s="230"/>
      <c r="L19" s="230"/>
      <c r="M19" s="230"/>
      <c r="N19" s="255"/>
      <c r="O19" s="255"/>
      <c r="P19" s="255"/>
      <c r="Q19" s="255"/>
      <c r="R19" s="255"/>
      <c r="S19" s="255"/>
      <c r="T19" s="255"/>
      <c r="U19" s="255"/>
      <c r="V19" s="255"/>
      <c r="W19" s="255"/>
      <c r="X19" s="255"/>
      <c r="Y19" s="230"/>
      <c r="Z19" s="224"/>
      <c r="AA19" s="227"/>
      <c r="AB19" s="228"/>
      <c r="AC19" s="229"/>
      <c r="AD19" s="229"/>
      <c r="AE19" s="230"/>
      <c r="AG19" s="230"/>
      <c r="AH19" s="255"/>
      <c r="AI19" s="255"/>
      <c r="AJ19" s="255"/>
      <c r="AK19" s="255"/>
      <c r="AL19" s="255"/>
      <c r="AM19" s="255"/>
      <c r="AN19" s="255"/>
      <c r="AO19" s="255"/>
      <c r="AP19" s="255"/>
      <c r="AQ19" s="255"/>
      <c r="AR19" s="255"/>
    </row>
    <row r="20" spans="2:44">
      <c r="B20" s="234" t="s">
        <v>444</v>
      </c>
      <c r="C20" s="243"/>
      <c r="D20" s="243"/>
      <c r="E20" s="244"/>
      <c r="F20" s="224"/>
      <c r="G20" s="227"/>
      <c r="H20" s="228"/>
      <c r="I20" s="229"/>
      <c r="J20" s="229"/>
      <c r="K20" s="230"/>
      <c r="L20" s="230"/>
      <c r="M20" s="230"/>
      <c r="N20" s="255"/>
      <c r="O20" s="255"/>
      <c r="P20" s="255"/>
      <c r="Q20" s="255"/>
      <c r="R20" s="255"/>
      <c r="S20" s="255"/>
      <c r="T20" s="255"/>
      <c r="U20" s="255"/>
      <c r="V20" s="255"/>
      <c r="W20" s="255"/>
      <c r="X20" s="255"/>
      <c r="Y20" s="230"/>
      <c r="Z20" s="224"/>
      <c r="AA20" s="227"/>
      <c r="AB20" s="228"/>
      <c r="AC20" s="229"/>
      <c r="AD20" s="229"/>
      <c r="AE20" s="230"/>
      <c r="AG20" s="230"/>
      <c r="AH20" s="255"/>
      <c r="AI20" s="255"/>
      <c r="AJ20" s="255"/>
      <c r="AK20" s="255"/>
      <c r="AL20" s="255"/>
      <c r="AM20" s="255"/>
      <c r="AN20" s="255"/>
      <c r="AO20" s="255"/>
      <c r="AP20" s="255"/>
      <c r="AQ20" s="255"/>
      <c r="AR20" s="255"/>
    </row>
    <row r="21" spans="2:44">
      <c r="B21" s="234" t="s">
        <v>445</v>
      </c>
      <c r="C21" s="243"/>
      <c r="D21" s="243"/>
      <c r="E21" s="245"/>
      <c r="F21" s="224"/>
      <c r="G21" s="227"/>
      <c r="H21" s="228"/>
      <c r="I21" s="229"/>
      <c r="J21" s="229"/>
      <c r="K21" s="230"/>
      <c r="L21" s="230"/>
      <c r="M21" s="230"/>
      <c r="N21" s="255"/>
      <c r="O21" s="255"/>
      <c r="P21" s="255"/>
      <c r="Q21" s="255"/>
      <c r="R21" s="255"/>
      <c r="S21" s="255"/>
      <c r="T21" s="255"/>
      <c r="U21" s="255"/>
      <c r="V21" s="255"/>
      <c r="W21" s="255"/>
      <c r="X21" s="255"/>
      <c r="Y21" s="230"/>
      <c r="Z21" s="224"/>
      <c r="AA21" s="227"/>
      <c r="AB21" s="228"/>
      <c r="AC21" s="229"/>
      <c r="AD21" s="229"/>
      <c r="AE21" s="230"/>
      <c r="AG21" s="230"/>
      <c r="AH21" s="255"/>
      <c r="AI21" s="255"/>
      <c r="AJ21" s="255"/>
      <c r="AK21" s="255"/>
      <c r="AL21" s="255"/>
      <c r="AM21" s="255"/>
      <c r="AN21" s="255"/>
      <c r="AO21" s="255"/>
      <c r="AP21" s="255"/>
      <c r="AQ21" s="255"/>
      <c r="AR21" s="255"/>
    </row>
    <row r="22" spans="2:44">
      <c r="B22" s="234" t="s">
        <v>446</v>
      </c>
      <c r="C22" s="240">
        <f>DAY(C6)</f>
        <v>15</v>
      </c>
      <c r="D22" s="240">
        <f>DAY(C6)</f>
        <v>15</v>
      </c>
      <c r="F22" s="224"/>
      <c r="G22" s="227"/>
      <c r="H22" s="228"/>
      <c r="I22" s="229"/>
      <c r="J22" s="229"/>
      <c r="K22" s="230"/>
      <c r="L22" s="230"/>
      <c r="M22" s="230"/>
      <c r="N22" s="255"/>
      <c r="O22" s="255"/>
      <c r="P22" s="255"/>
      <c r="Q22" s="255"/>
      <c r="R22" s="255"/>
      <c r="S22" s="255"/>
      <c r="T22" s="255"/>
      <c r="U22" s="255"/>
      <c r="V22" s="255"/>
      <c r="W22" s="255"/>
      <c r="X22" s="255"/>
      <c r="Y22" s="230"/>
      <c r="Z22" s="224"/>
      <c r="AA22" s="227"/>
      <c r="AB22" s="228"/>
      <c r="AC22" s="229"/>
      <c r="AD22" s="229"/>
      <c r="AE22" s="230"/>
      <c r="AG22" s="230"/>
      <c r="AH22" s="255"/>
      <c r="AI22" s="255"/>
      <c r="AJ22" s="255"/>
      <c r="AK22" s="255"/>
      <c r="AL22" s="255"/>
      <c r="AM22" s="255"/>
      <c r="AN22" s="255"/>
      <c r="AO22" s="255"/>
      <c r="AP22" s="255"/>
      <c r="AQ22" s="255"/>
      <c r="AR22" s="255"/>
    </row>
    <row r="23" spans="2:44">
      <c r="B23" s="234" t="s">
        <v>447</v>
      </c>
      <c r="C23" s="241" t="s">
        <v>6</v>
      </c>
      <c r="D23" s="246" t="s">
        <v>448</v>
      </c>
      <c r="F23" s="224"/>
      <c r="G23" s="224"/>
      <c r="H23" s="224"/>
      <c r="K23" s="10"/>
      <c r="L23" s="10"/>
      <c r="M23" s="10"/>
      <c r="P23" s="252"/>
      <c r="AG23" s="10"/>
      <c r="AJ23" s="252"/>
    </row>
    <row r="24" spans="2:44">
      <c r="B24" s="234" t="s">
        <v>449</v>
      </c>
      <c r="C24" s="241" t="s">
        <v>6</v>
      </c>
      <c r="D24" s="250">
        <f>'USD Curve Config'!$Z$29</f>
        <v>2.8579999999999999E-3</v>
      </c>
      <c r="F24" s="224"/>
      <c r="G24" s="224"/>
      <c r="H24" s="224"/>
      <c r="I24" s="11"/>
      <c r="J24" s="248"/>
      <c r="K24" s="249"/>
      <c r="L24" s="249"/>
      <c r="M24" s="249"/>
      <c r="AG24" s="249"/>
    </row>
    <row r="25" spans="2:44">
      <c r="B25" s="234" t="s">
        <v>450</v>
      </c>
      <c r="C25" s="241" t="s">
        <v>6</v>
      </c>
      <c r="D25" s="250"/>
      <c r="I25" s="224"/>
      <c r="J25" s="224"/>
      <c r="K25" s="230"/>
      <c r="L25" s="230"/>
      <c r="M25" s="230"/>
      <c r="AG25" s="230"/>
    </row>
    <row r="26" spans="2:44">
      <c r="B26" s="234" t="s">
        <v>452</v>
      </c>
      <c r="C26" s="246" t="s">
        <v>448</v>
      </c>
      <c r="D26" s="246" t="s">
        <v>448</v>
      </c>
      <c r="M26" s="259"/>
      <c r="AG26" s="259"/>
    </row>
    <row r="27" spans="2:44">
      <c r="B27" s="225" t="s">
        <v>453</v>
      </c>
      <c r="C27" s="251" t="s">
        <v>457</v>
      </c>
      <c r="D27" s="251" t="s">
        <v>457</v>
      </c>
      <c r="F27" s="224"/>
      <c r="G27" s="118"/>
      <c r="M27" s="219" t="s">
        <v>462</v>
      </c>
      <c r="N27" s="219"/>
      <c r="O27" s="229"/>
      <c r="P27" s="252"/>
      <c r="Q27" s="252"/>
      <c r="R27" s="229"/>
      <c r="S27" s="229" t="s">
        <v>459</v>
      </c>
      <c r="T27" s="229"/>
      <c r="U27" s="229"/>
      <c r="V27" s="229"/>
      <c r="W27" t="s">
        <v>463</v>
      </c>
      <c r="X27" s="259" t="b">
        <f>$C$11</f>
        <v>1</v>
      </c>
      <c r="AG27" s="219" t="s">
        <v>462</v>
      </c>
      <c r="AH27" s="219"/>
      <c r="AI27" s="229"/>
      <c r="AJ27" s="252"/>
      <c r="AK27" s="252"/>
      <c r="AL27" s="229"/>
      <c r="AM27" s="229" t="s">
        <v>459</v>
      </c>
      <c r="AN27" s="229"/>
      <c r="AO27" s="229"/>
      <c r="AP27" s="229"/>
      <c r="AQ27" t="s">
        <v>463</v>
      </c>
      <c r="AR27" s="259" t="b">
        <f>$D$11</f>
        <v>0</v>
      </c>
    </row>
    <row r="28" spans="2:44">
      <c r="F28" s="224"/>
      <c r="G28" s="224"/>
      <c r="H28" s="224"/>
      <c r="I28" s="224"/>
      <c r="J28" s="224"/>
      <c r="K28" s="224"/>
      <c r="L28" s="224"/>
      <c r="M28" s="224" t="s">
        <v>76</v>
      </c>
      <c r="N28" s="230">
        <v>500</v>
      </c>
      <c r="O28" s="230">
        <f>N28-100</f>
        <v>400</v>
      </c>
      <c r="P28" s="230">
        <f t="shared" ref="P28:X28" si="6">O28-100</f>
        <v>300</v>
      </c>
      <c r="Q28" s="230">
        <f t="shared" si="6"/>
        <v>200</v>
      </c>
      <c r="R28" s="230">
        <f t="shared" si="6"/>
        <v>100</v>
      </c>
      <c r="S28" s="230">
        <f t="shared" si="6"/>
        <v>0</v>
      </c>
      <c r="T28" s="230">
        <f t="shared" si="6"/>
        <v>-100</v>
      </c>
      <c r="U28" s="230">
        <f t="shared" si="6"/>
        <v>-200</v>
      </c>
      <c r="V28" s="230">
        <f t="shared" si="6"/>
        <v>-300</v>
      </c>
      <c r="W28" s="230">
        <f t="shared" si="6"/>
        <v>-400</v>
      </c>
      <c r="X28" s="230">
        <f t="shared" si="6"/>
        <v>-500</v>
      </c>
      <c r="Y28" s="224"/>
      <c r="AE28" s="11"/>
      <c r="AG28" s="224" t="s">
        <v>76</v>
      </c>
      <c r="AH28" s="230">
        <v>500</v>
      </c>
      <c r="AI28" s="230">
        <f>AH28-100</f>
        <v>400</v>
      </c>
      <c r="AJ28" s="230">
        <f t="shared" ref="AJ28:AR28" si="7">AI28-100</f>
        <v>300</v>
      </c>
      <c r="AK28" s="230">
        <f t="shared" si="7"/>
        <v>200</v>
      </c>
      <c r="AL28" s="230">
        <f t="shared" si="7"/>
        <v>100</v>
      </c>
      <c r="AM28" s="230">
        <f t="shared" si="7"/>
        <v>0</v>
      </c>
      <c r="AN28" s="230">
        <f t="shared" si="7"/>
        <v>-100</v>
      </c>
      <c r="AO28" s="230">
        <f t="shared" si="7"/>
        <v>-200</v>
      </c>
      <c r="AP28" s="230">
        <f t="shared" si="7"/>
        <v>-300</v>
      </c>
      <c r="AQ28" s="230">
        <f t="shared" si="7"/>
        <v>-400</v>
      </c>
      <c r="AR28" s="230">
        <f t="shared" si="7"/>
        <v>-500</v>
      </c>
    </row>
    <row r="29" spans="2:44">
      <c r="F29" s="230"/>
      <c r="G29" s="227"/>
      <c r="H29" s="229"/>
      <c r="I29" s="229"/>
      <c r="J29" s="229"/>
      <c r="K29" s="230"/>
      <c r="L29" s="230"/>
      <c r="M29" s="227" t="s">
        <v>35</v>
      </c>
      <c r="N29" s="255">
        <f ca="1">IF(NOW(),_xll.mirSwapPV($C$3,$C$4,$C$6,$G4,$C$7,$I4,$C$16,$C$17,$C$18,$C$19,$C$20,$C$21,$C$22,$C$26,$C$27,N$28,$D$16,$D$17,$D$18,$D$19,$D$20,$D$21,$D$22,$D$23,$D$24,$D$25,$D$26,$D$27,$C$8,$C$9,$C$10,$C$11,$C$12),"")</f>
        <v>198777.426464966</v>
      </c>
      <c r="O29" s="255">
        <f ca="1">IF(NOW(),_xll.mirSwapPV($C$3,$C$4,$C$6,$G4,$C$7,$I4,$C$16,$C$17,$C$18,$C$19,$C$20,$C$21,$C$22,$C$26,$C$27,O$28,$D$16,$D$17,$D$18,$D$19,$D$20,$D$21,$D$22,$D$23,$D$24,$D$25,$D$26,$D$27,$C$8,$C$9,$C$10,$C$11,$C$12),"")</f>
        <v>159021.94117197287</v>
      </c>
      <c r="P29" s="255">
        <f ca="1">IF(NOW(),_xll.mirSwapPV($C$3,$C$4,$C$6,$G4,$C$7,$I4,$C$16,$C$17,$C$18,$C$19,$C$20,$C$21,$C$22,$C$26,$C$27,P$28,$D$16,$D$17,$D$18,$D$19,$D$20,$D$21,$D$22,$D$23,$D$24,$D$25,$D$26,$D$27,$C$8,$C$9,$C$10,$C$11,$C$12),"")</f>
        <v>119266.45587897966</v>
      </c>
      <c r="Q29" s="255">
        <f ca="1">IF(NOW(),_xll.mirSwapPV($C$3,$C$4,$C$6,$G4,$C$7,$I4,$C$16,$C$17,$C$18,$C$19,$C$20,$C$21,$C$22,$C$26,$C$27,Q$28,$D$16,$D$17,$D$18,$D$19,$D$20,$D$21,$D$22,$D$23,$D$24,$D$25,$D$26,$D$27,$C$8,$C$9,$C$10,$C$11,$C$12),"")</f>
        <v>79510.970585986419</v>
      </c>
      <c r="R29" s="255">
        <f ca="1">IF(NOW(),_xll.mirSwapPV($C$3,$C$4,$C$6,$G4,$C$7,$I4,$C$16,$C$17,$C$18,$C$19,$C$20,$C$21,$C$22,$C$26,$C$27,R$28,$D$16,$D$17,$D$18,$D$19,$D$20,$D$21,$D$22,$D$23,$D$24,$D$25,$D$26,$D$27,$C$8,$C$9,$C$10,$C$11,$C$12),"")</f>
        <v>39755.485292993217</v>
      </c>
      <c r="S29" s="255">
        <f ca="1">IF(NOW(),_xll.mirSwapPV($C$3,$C$4,$C$6,$G4,$C$7,$I4,$C$16,$C$17,$C$18,$C$19,$C$20,$C$21,$C$22,$C$26,$C$27,S$28,$D$16,$D$17,$D$18,$D$19,$D$20,$D$21,$D$22,$D$23,$D$24,$D$25,$D$26,$D$27,$C$8,$C$9,$C$10,$C$11,$C$12),"")</f>
        <v>6.9388939039072284E-12</v>
      </c>
      <c r="T29" s="255">
        <f ca="1">IF(NOW(),_xll.mirSwapPV($C$3,$C$4,$C$6,$G4,$C$7,$I4,$C$16,$C$17,$C$18,$C$19,$C$20,$C$21,$C$22,$C$26,$C$27,T$28,$D$16,$D$17,$D$18,$D$19,$D$20,$D$21,$D$22,$D$23,$D$24,$D$25,$D$26,$D$27,$C$8,$C$9,$C$10,$C$11,$C$12),"")</f>
        <v>-39755.485292993202</v>
      </c>
      <c r="U29" s="255">
        <f ca="1">IF(NOW(),_xll.mirSwapPV($C$3,$C$4,$C$6,$G4,$C$7,$I4,$C$16,$C$17,$C$18,$C$19,$C$20,$C$21,$C$22,$C$26,$C$27,U$28,$D$16,$D$17,$D$18,$D$19,$D$20,$D$21,$D$22,$D$23,$D$24,$D$25,$D$26,$D$27,$C$8,$C$9,$C$10,$C$11,$C$12),"")</f>
        <v>-79510.970585986404</v>
      </c>
      <c r="V29" s="255">
        <f ca="1">IF(NOW(),_xll.mirSwapPV($C$3,$C$4,$C$6,$G4,$C$7,$I4,$C$16,$C$17,$C$18,$C$19,$C$20,$C$21,$C$22,$C$26,$C$27,V$28,$D$16,$D$17,$D$18,$D$19,$D$20,$D$21,$D$22,$D$23,$D$24,$D$25,$D$26,$D$27,$C$8,$C$9,$C$10,$C$11,$C$12),"")</f>
        <v>-119266.45587897963</v>
      </c>
      <c r="W29" s="255">
        <f ca="1">IF(NOW(),_xll.mirSwapPV($C$3,$C$4,$C$6,$G4,$C$7,$I4,$C$16,$C$17,$C$18,$C$19,$C$20,$C$21,$C$22,$C$26,$C$27,W$28,$D$16,$D$17,$D$18,$D$19,$D$20,$D$21,$D$22,$D$23,$D$24,$D$25,$D$26,$D$27,$C$8,$C$9,$C$10,$C$11,$C$12),"")</f>
        <v>-159021.94117197284</v>
      </c>
      <c r="X29" s="255">
        <f ca="1">IF(NOW(),_xll.mirSwapPV($C$3,$C$4,$C$6,$G4,$C$7,$I4,$C$16,$C$17,$C$18,$C$19,$C$20,$C$21,$C$22,$C$26,$C$27,X$28,$D$16,$D$17,$D$18,$D$19,$D$20,$D$21,$D$22,$D$23,$D$24,$D$25,$D$26,$D$27,$C$8,$C$9,$C$10,$C$11,$C$12),"")</f>
        <v>-198777.42646496603</v>
      </c>
      <c r="Y29" s="229"/>
      <c r="AE29" s="230"/>
      <c r="AG29" s="227" t="s">
        <v>35</v>
      </c>
      <c r="AH29" s="255">
        <f ca="1">IF(NOW(),_xll.mirSwapPV($C$3,$C$4,$C$6,$AA4,$C$7,$AC4,$C$16,$C$17,$C$18,$C$19,$C$20,$C$21,$C$22,$C$26,$C$27,AH$28,$D$16,$D$17,$D$18,$D$19,$D$20,$D$21,$D$22,$D$23,$D$24,$D$25,$D$26,$D$27,$C$8,$C$9,$C$10,$D$11,$C$12),"")</f>
        <v>198777.42646496603</v>
      </c>
      <c r="AI29" s="255">
        <f ca="1">IF(NOW(),_xll.mirSwapPV($C$3,$C$4,$C$6,$AA4,$C$7,$AC4,$C$16,$C$17,$C$18,$C$19,$C$20,$C$21,$C$22,$C$26,$C$27,AI$28,$D$16,$D$17,$D$18,$D$19,$D$20,$D$21,$D$22,$D$23,$D$24,$D$25,$D$26,$D$27,$C$8,$C$9,$C$10,$D$11,$C$12),"")</f>
        <v>159021.94117197284</v>
      </c>
      <c r="AJ29" s="255">
        <f ca="1">IF(NOW(),_xll.mirSwapPV($C$3,$C$4,$C$6,$AA4,$C$7,$AC4,$C$16,$C$17,$C$18,$C$19,$C$20,$C$21,$C$22,$C$26,$C$27,AJ$28,$D$16,$D$17,$D$18,$D$19,$D$20,$D$21,$D$22,$D$23,$D$24,$D$25,$D$26,$D$27,$C$8,$C$9,$C$10,$D$11,$C$12),"")</f>
        <v>119266.45587897961</v>
      </c>
      <c r="AK29" s="255">
        <f ca="1">IF(NOW(),_xll.mirSwapPV($C$3,$C$4,$C$6,$AA4,$C$7,$AC4,$C$16,$C$17,$C$18,$C$19,$C$20,$C$21,$C$22,$C$26,$C$27,AK$28,$D$16,$D$17,$D$18,$D$19,$D$20,$D$21,$D$22,$D$23,$D$24,$D$25,$D$26,$D$27,$C$8,$C$9,$C$10,$D$11,$C$12),"")</f>
        <v>79510.970585986433</v>
      </c>
      <c r="AL29" s="255">
        <f ca="1">IF(NOW(),_xll.mirSwapPV($C$3,$C$4,$C$6,$AA4,$C$7,$AC4,$C$16,$C$17,$C$18,$C$19,$C$20,$C$21,$C$22,$C$26,$C$27,AL$28,$D$16,$D$17,$D$18,$D$19,$D$20,$D$21,$D$22,$D$23,$D$24,$D$25,$D$26,$D$27,$C$8,$C$9,$C$10,$D$11,$C$12),"")</f>
        <v>39755.485292993209</v>
      </c>
      <c r="AM29" s="255">
        <f ca="1">IF(NOW(),_xll.mirSwapPV($C$3,$C$4,$C$6,$AA4,$C$7,$AC4,$C$16,$C$17,$C$18,$C$19,$C$20,$C$21,$C$22,$C$26,$C$27,AM$28,$D$16,$D$17,$D$18,$D$19,$D$20,$D$21,$D$22,$D$23,$D$24,$D$25,$D$26,$D$27,$C$8,$C$9,$C$10,$D$11,$C$12),"")</f>
        <v>0</v>
      </c>
      <c r="AN29" s="255">
        <f ca="1">IF(NOW(),_xll.mirSwapPV($C$3,$C$4,$C$6,$AA4,$C$7,$AC4,$C$16,$C$17,$C$18,$C$19,$C$20,$C$21,$C$22,$C$26,$C$27,AN$28,$D$16,$D$17,$D$18,$D$19,$D$20,$D$21,$D$22,$D$23,$D$24,$D$25,$D$26,$D$27,$C$8,$C$9,$C$10,$D$11,$C$12),"")</f>
        <v>-39755.485292993209</v>
      </c>
      <c r="AO29" s="255">
        <f ca="1">IF(NOW(),_xll.mirSwapPV($C$3,$C$4,$C$6,$AA4,$C$7,$AC4,$C$16,$C$17,$C$18,$C$19,$C$20,$C$21,$C$22,$C$26,$C$27,AO$28,$D$16,$D$17,$D$18,$D$19,$D$20,$D$21,$D$22,$D$23,$D$24,$D$25,$D$26,$D$27,$C$8,$C$9,$C$10,$D$11,$C$12),"")</f>
        <v>-79510.970585986433</v>
      </c>
      <c r="AP29" s="255">
        <f ca="1">IF(NOW(),_xll.mirSwapPV($C$3,$C$4,$C$6,$AA4,$C$7,$AC4,$C$16,$C$17,$C$18,$C$19,$C$20,$C$21,$C$22,$C$26,$C$27,AP$28,$D$16,$D$17,$D$18,$D$19,$D$20,$D$21,$D$22,$D$23,$D$24,$D$25,$D$26,$D$27,$C$8,$C$9,$C$10,$D$11,$C$12),"")</f>
        <v>-119266.45587897963</v>
      </c>
      <c r="AQ29" s="255">
        <f ca="1">IF(NOW(),_xll.mirSwapPV($C$3,$C$4,$C$6,$AA4,$C$7,$AC4,$C$16,$C$17,$C$18,$C$19,$C$20,$C$21,$C$22,$C$26,$C$27,AQ$28,$D$16,$D$17,$D$18,$D$19,$D$20,$D$21,$D$22,$D$23,$D$24,$D$25,$D$26,$D$27,$C$8,$C$9,$C$10,$D$11,$C$12),"")</f>
        <v>-159021.94117197284</v>
      </c>
      <c r="AR29" s="255">
        <f ca="1">IF(NOW(),_xll.mirSwapPV($C$3,$C$4,$C$6,$AA4,$C$7,$AC4,$C$16,$C$17,$C$18,$C$19,$C$20,$C$21,$C$22,$C$26,$C$27,AR$28,$D$16,$D$17,$D$18,$D$19,$D$20,$D$21,$D$22,$D$23,$D$24,$D$25,$D$26,$D$27,$C$8,$C$9,$C$10,$D$11,$C$12),"")</f>
        <v>-198777.42646496603</v>
      </c>
    </row>
    <row r="30" spans="2:44">
      <c r="F30" s="230"/>
      <c r="G30" s="227"/>
      <c r="H30" s="229"/>
      <c r="I30" s="229"/>
      <c r="J30" s="229"/>
      <c r="K30" s="230"/>
      <c r="L30" s="230"/>
      <c r="M30" s="224" t="s">
        <v>33</v>
      </c>
      <c r="N30" s="255">
        <f ca="1">IF(NOW(),_xll.mirSwapPV($C$3,$C$4,$C$6,$G5,$C$7,$I5,$C$16,$C$17,$C$18,$C$19,$C$20,$C$21,$C$22,$C$26,$C$27,N$28,$D$16,$D$17,$D$18,$D$19,$D$20,$D$21,$D$22,$D$23,$D$24,$D$25,$D$26,$D$27,$C$8,$C$9,$C$10,$C$11,$C$12),"")</f>
        <v>246131.73696146879</v>
      </c>
      <c r="O30" s="255">
        <f ca="1">IF(NOW(),_xll.mirSwapPV($C$3,$C$4,$C$6,$G5,$C$7,$I5,$C$16,$C$17,$C$18,$C$19,$C$20,$C$21,$C$22,$C$26,$C$27,O$28,$D$16,$D$17,$D$18,$D$19,$D$20,$D$21,$D$22,$D$23,$D$24,$D$25,$D$26,$D$27,$C$8,$C$9,$C$10,$C$11,$C$12),"")</f>
        <v>196905.38956917502</v>
      </c>
      <c r="P30" s="255">
        <f ca="1">IF(NOW(),_xll.mirSwapPV($C$3,$C$4,$C$6,$G5,$C$7,$I5,$C$16,$C$17,$C$18,$C$19,$C$20,$C$21,$C$22,$C$26,$C$27,P$28,$D$16,$D$17,$D$18,$D$19,$D$20,$D$21,$D$22,$D$23,$D$24,$D$25,$D$26,$D$27,$C$8,$C$9,$C$10,$C$11,$C$12),"")</f>
        <v>147679.04217688134</v>
      </c>
      <c r="Q30" s="255">
        <f ca="1">IF(NOW(),_xll.mirSwapPV($C$3,$C$4,$C$6,$G5,$C$7,$I5,$C$16,$C$17,$C$18,$C$19,$C$20,$C$21,$C$22,$C$26,$C$27,Q$28,$D$16,$D$17,$D$18,$D$19,$D$20,$D$21,$D$22,$D$23,$D$24,$D$25,$D$26,$D$27,$C$8,$C$9,$C$10,$C$11,$C$12),"")</f>
        <v>98452.694784587467</v>
      </c>
      <c r="R30" s="255">
        <f ca="1">IF(NOW(),_xll.mirSwapPV($C$3,$C$4,$C$6,$G5,$C$7,$I5,$C$16,$C$17,$C$18,$C$19,$C$20,$C$21,$C$22,$C$26,$C$27,R$28,$D$16,$D$17,$D$18,$D$19,$D$20,$D$21,$D$22,$D$23,$D$24,$D$25,$D$26,$D$27,$C$8,$C$9,$C$10,$C$11,$C$12),"")</f>
        <v>49226.347392293741</v>
      </c>
      <c r="S30" s="255">
        <f ca="1">IF(NOW(),_xll.mirSwapPV($C$3,$C$4,$C$6,$G5,$C$7,$I5,$C$16,$C$17,$C$18,$C$19,$C$20,$C$21,$C$22,$C$26,$C$27,S$28,$D$16,$D$17,$D$18,$D$19,$D$20,$D$21,$D$22,$D$23,$D$24,$D$25,$D$26,$D$27,$C$8,$C$9,$C$10,$C$11,$C$12),"")</f>
        <v>-1.3877787807814457E-11</v>
      </c>
      <c r="T30" s="255">
        <f ca="1">IF(NOW(),_xll.mirSwapPV($C$3,$C$4,$C$6,$G5,$C$7,$I5,$C$16,$C$17,$C$18,$C$19,$C$20,$C$21,$C$22,$C$26,$C$27,T$28,$D$16,$D$17,$D$18,$D$19,$D$20,$D$21,$D$22,$D$23,$D$24,$D$25,$D$26,$D$27,$C$8,$C$9,$C$10,$C$11,$C$12),"")</f>
        <v>-49226.347392293777</v>
      </c>
      <c r="U30" s="255">
        <f ca="1">IF(NOW(),_xll.mirSwapPV($C$3,$C$4,$C$6,$G5,$C$7,$I5,$C$16,$C$17,$C$18,$C$19,$C$20,$C$21,$C$22,$C$26,$C$27,U$28,$D$16,$D$17,$D$18,$D$19,$D$20,$D$21,$D$22,$D$23,$D$24,$D$25,$D$26,$D$27,$C$8,$C$9,$C$10,$C$11,$C$12),"")</f>
        <v>-98452.69478458754</v>
      </c>
      <c r="V30" s="255">
        <f ca="1">IF(NOW(),_xll.mirSwapPV($C$3,$C$4,$C$6,$G5,$C$7,$I5,$C$16,$C$17,$C$18,$C$19,$C$20,$C$21,$C$22,$C$26,$C$27,V$28,$D$16,$D$17,$D$18,$D$19,$D$20,$D$21,$D$22,$D$23,$D$24,$D$25,$D$26,$D$27,$C$8,$C$9,$C$10,$C$11,$C$12),"")</f>
        <v>-147679.04217688134</v>
      </c>
      <c r="W30" s="255">
        <f ca="1">IF(NOW(),_xll.mirSwapPV($C$3,$C$4,$C$6,$G5,$C$7,$I5,$C$16,$C$17,$C$18,$C$19,$C$20,$C$21,$C$22,$C$26,$C$27,W$28,$D$16,$D$17,$D$18,$D$19,$D$20,$D$21,$D$22,$D$23,$D$24,$D$25,$D$26,$D$27,$C$8,$C$9,$C$10,$C$11,$C$12),"")</f>
        <v>-196905.38956917508</v>
      </c>
      <c r="X30" s="255">
        <f ca="1">IF(NOW(),_xll.mirSwapPV($C$3,$C$4,$C$6,$G5,$C$7,$I5,$C$16,$C$17,$C$18,$C$19,$C$20,$C$21,$C$22,$C$26,$C$27,X$28,$D$16,$D$17,$D$18,$D$19,$D$20,$D$21,$D$22,$D$23,$D$24,$D$25,$D$26,$D$27,$C$8,$C$9,$C$10,$C$11,$C$12),"")</f>
        <v>-246131.73696146885</v>
      </c>
      <c r="Y30" s="229"/>
      <c r="AG30" s="224" t="s">
        <v>33</v>
      </c>
      <c r="AH30" s="255">
        <f ca="1">IF(NOW(),_xll.mirSwapPV($C$3,$C$4,$C$6,$AA5,$C$7,$AC5,$C$16,$C$17,$C$18,$C$19,$C$20,$C$21,$C$22,$C$26,$C$27,AH$28,$D$16,$D$17,$D$18,$D$19,$D$20,$D$21,$D$22,$D$23,$D$24,$D$25,$D$26,$D$27,$C$8,$C$9,$C$10,$D$11,$C$12),"")</f>
        <v>246131.73696146879</v>
      </c>
      <c r="AI30" s="255">
        <f ca="1">IF(NOW(),_xll.mirSwapPV($C$3,$C$4,$C$6,$AA5,$C$7,$AC5,$C$16,$C$17,$C$18,$C$19,$C$20,$C$21,$C$22,$C$26,$C$27,AI$28,$D$16,$D$17,$D$18,$D$19,$D$20,$D$21,$D$22,$D$23,$D$24,$D$25,$D$26,$D$27,$C$8,$C$9,$C$10,$D$11,$C$12),"")</f>
        <v>196905.38956917508</v>
      </c>
      <c r="AJ30" s="255">
        <f ca="1">IF(NOW(),_xll.mirSwapPV($C$3,$C$4,$C$6,$AA5,$C$7,$AC5,$C$16,$C$17,$C$18,$C$19,$C$20,$C$21,$C$22,$C$26,$C$27,AJ$28,$D$16,$D$17,$D$18,$D$19,$D$20,$D$21,$D$22,$D$23,$D$24,$D$25,$D$26,$D$27,$C$8,$C$9,$C$10,$D$11,$C$12),"")</f>
        <v>147679.04217688134</v>
      </c>
      <c r="AK30" s="255">
        <f ca="1">IF(NOW(),_xll.mirSwapPV($C$3,$C$4,$C$6,$AA5,$C$7,$AC5,$C$16,$C$17,$C$18,$C$19,$C$20,$C$21,$C$22,$C$26,$C$27,AK$28,$D$16,$D$17,$D$18,$D$19,$D$20,$D$21,$D$22,$D$23,$D$24,$D$25,$D$26,$D$27,$C$8,$C$9,$C$10,$D$11,$C$12),"")</f>
        <v>98452.694784587526</v>
      </c>
      <c r="AL30" s="255">
        <f ca="1">IF(NOW(),_xll.mirSwapPV($C$3,$C$4,$C$6,$AA5,$C$7,$AC5,$C$16,$C$17,$C$18,$C$19,$C$20,$C$21,$C$22,$C$26,$C$27,AL$28,$D$16,$D$17,$D$18,$D$19,$D$20,$D$21,$D$22,$D$23,$D$24,$D$25,$D$26,$D$27,$C$8,$C$9,$C$10,$D$11,$C$12),"")</f>
        <v>49226.34739229377</v>
      </c>
      <c r="AM30" s="255">
        <f ca="1">IF(NOW(),_xll.mirSwapPV($C$3,$C$4,$C$6,$AA5,$C$7,$AC5,$C$16,$C$17,$C$18,$C$19,$C$20,$C$21,$C$22,$C$26,$C$27,AM$28,$D$16,$D$17,$D$18,$D$19,$D$20,$D$21,$D$22,$D$23,$D$24,$D$25,$D$26,$D$27,$C$8,$C$9,$C$10,$D$11,$C$12),"")</f>
        <v>0</v>
      </c>
      <c r="AN30" s="255">
        <f ca="1">IF(NOW(),_xll.mirSwapPV($C$3,$C$4,$C$6,$AA5,$C$7,$AC5,$C$16,$C$17,$C$18,$C$19,$C$20,$C$21,$C$22,$C$26,$C$27,AN$28,$D$16,$D$17,$D$18,$D$19,$D$20,$D$21,$D$22,$D$23,$D$24,$D$25,$D$26,$D$27,$C$8,$C$9,$C$10,$D$11,$C$12),"")</f>
        <v>-49226.347392293763</v>
      </c>
      <c r="AO30" s="255">
        <f ca="1">IF(NOW(),_xll.mirSwapPV($C$3,$C$4,$C$6,$AA5,$C$7,$AC5,$C$16,$C$17,$C$18,$C$19,$C$20,$C$21,$C$22,$C$26,$C$27,AO$28,$D$16,$D$17,$D$18,$D$19,$D$20,$D$21,$D$22,$D$23,$D$24,$D$25,$D$26,$D$27,$C$8,$C$9,$C$10,$D$11,$C$12),"")</f>
        <v>-98452.694784587526</v>
      </c>
      <c r="AP30" s="255">
        <f ca="1">IF(NOW(),_xll.mirSwapPV($C$3,$C$4,$C$6,$AA5,$C$7,$AC5,$C$16,$C$17,$C$18,$C$19,$C$20,$C$21,$C$22,$C$26,$C$27,AP$28,$D$16,$D$17,$D$18,$D$19,$D$20,$D$21,$D$22,$D$23,$D$24,$D$25,$D$26,$D$27,$C$8,$C$9,$C$10,$D$11,$C$12),"")</f>
        <v>-147679.04217688128</v>
      </c>
      <c r="AQ30" s="255">
        <f ca="1">IF(NOW(),_xll.mirSwapPV($C$3,$C$4,$C$6,$AA5,$C$7,$AC5,$C$16,$C$17,$C$18,$C$19,$C$20,$C$21,$C$22,$C$26,$C$27,AQ$28,$D$16,$D$17,$D$18,$D$19,$D$20,$D$21,$D$22,$D$23,$D$24,$D$25,$D$26,$D$27,$C$8,$C$9,$C$10,$D$11,$C$12),"")</f>
        <v>-196905.38956917502</v>
      </c>
      <c r="AR30" s="255">
        <f ca="1">IF(NOW(),_xll.mirSwapPV($C$3,$C$4,$C$6,$AA5,$C$7,$AC5,$C$16,$C$17,$C$18,$C$19,$C$20,$C$21,$C$22,$C$26,$C$27,AR$28,$D$16,$D$17,$D$18,$D$19,$D$20,$D$21,$D$22,$D$23,$D$24,$D$25,$D$26,$D$27,$C$8,$C$9,$C$10,$D$11,$C$12),"")</f>
        <v>-246131.73696146885</v>
      </c>
    </row>
    <row r="31" spans="2:44">
      <c r="F31" s="230"/>
      <c r="G31" s="227"/>
      <c r="H31" s="229"/>
      <c r="I31" s="229"/>
      <c r="J31" s="229"/>
      <c r="K31" s="230"/>
      <c r="L31" s="230"/>
      <c r="M31" s="224" t="s">
        <v>131</v>
      </c>
      <c r="N31" s="255">
        <f ca="1">IF(NOW(),_xll.mirSwapPV($C$3,$C$4,$C$6,$G6,$C$7,$I6,$C$16,$C$17,$C$18,$C$19,$C$20,$C$21,$C$22,$C$26,$C$27,N$28,$D$16,$D$17,$D$18,$D$19,$D$20,$D$21,$D$22,$D$23,$D$24,$D$25,$D$26,$D$27,$C$8,$C$9,$C$10,$C$11,$C$12),"")</f>
        <v>292058.13024354144</v>
      </c>
      <c r="O31" s="255">
        <f ca="1">IF(NOW(),_xll.mirSwapPV($C$3,$C$4,$C$6,$G6,$C$7,$I6,$C$16,$C$17,$C$18,$C$19,$C$20,$C$21,$C$22,$C$26,$C$27,O$28,$D$16,$D$17,$D$18,$D$19,$D$20,$D$21,$D$22,$D$23,$D$24,$D$25,$D$26,$D$27,$C$8,$C$9,$C$10,$C$11,$C$12),"")</f>
        <v>233646.50419483325</v>
      </c>
      <c r="P31" s="255">
        <f ca="1">IF(NOW(),_xll.mirSwapPV($C$3,$C$4,$C$6,$G6,$C$7,$I6,$C$16,$C$17,$C$18,$C$19,$C$20,$C$21,$C$22,$C$26,$C$27,P$28,$D$16,$D$17,$D$18,$D$19,$D$20,$D$21,$D$22,$D$23,$D$24,$D$25,$D$26,$D$27,$C$8,$C$9,$C$10,$C$11,$C$12),"")</f>
        <v>175234.87814612495</v>
      </c>
      <c r="Q31" s="255">
        <f ca="1">IF(NOW(),_xll.mirSwapPV($C$3,$C$4,$C$6,$G6,$C$7,$I6,$C$16,$C$17,$C$18,$C$19,$C$20,$C$21,$C$22,$C$26,$C$27,Q$28,$D$16,$D$17,$D$18,$D$19,$D$20,$D$21,$D$22,$D$23,$D$24,$D$25,$D$26,$D$27,$C$8,$C$9,$C$10,$C$11,$C$12),"")</f>
        <v>116823.2520974166</v>
      </c>
      <c r="R31" s="255">
        <f ca="1">IF(NOW(),_xll.mirSwapPV($C$3,$C$4,$C$6,$G6,$C$7,$I6,$C$16,$C$17,$C$18,$C$19,$C$20,$C$21,$C$22,$C$26,$C$27,R$28,$D$16,$D$17,$D$18,$D$19,$D$20,$D$21,$D$22,$D$23,$D$24,$D$25,$D$26,$D$27,$C$8,$C$9,$C$10,$C$11,$C$12),"")</f>
        <v>58411.626048708313</v>
      </c>
      <c r="S31" s="255">
        <f ca="1">IF(NOW(),_xll.mirSwapPV($C$3,$C$4,$C$6,$G6,$C$7,$I6,$C$16,$C$17,$C$18,$C$19,$C$20,$C$21,$C$22,$C$26,$C$27,S$28,$D$16,$D$17,$D$18,$D$19,$D$20,$D$21,$D$22,$D$23,$D$24,$D$25,$D$26,$D$27,$C$8,$C$9,$C$10,$C$11,$C$12),"")</f>
        <v>1.3877787807814457E-11</v>
      </c>
      <c r="T31" s="255">
        <f ca="1">IF(NOW(),_xll.mirSwapPV($C$3,$C$4,$C$6,$G6,$C$7,$I6,$C$16,$C$17,$C$18,$C$19,$C$20,$C$21,$C$22,$C$26,$C$27,T$28,$D$16,$D$17,$D$18,$D$19,$D$20,$D$21,$D$22,$D$23,$D$24,$D$25,$D$26,$D$27,$C$8,$C$9,$C$10,$C$11,$C$12),"")</f>
        <v>-58411.626048708284</v>
      </c>
      <c r="U31" s="255">
        <f ca="1">IF(NOW(),_xll.mirSwapPV($C$3,$C$4,$C$6,$G6,$C$7,$I6,$C$16,$C$17,$C$18,$C$19,$C$20,$C$21,$C$22,$C$26,$C$27,U$28,$D$16,$D$17,$D$18,$D$19,$D$20,$D$21,$D$22,$D$23,$D$24,$D$25,$D$26,$D$27,$C$8,$C$9,$C$10,$C$11,$C$12),"")</f>
        <v>-116823.25209741658</v>
      </c>
      <c r="V31" s="255">
        <f ca="1">IF(NOW(),_xll.mirSwapPV($C$3,$C$4,$C$6,$G6,$C$7,$I6,$C$16,$C$17,$C$18,$C$19,$C$20,$C$21,$C$22,$C$26,$C$27,V$28,$D$16,$D$17,$D$18,$D$19,$D$20,$D$21,$D$22,$D$23,$D$24,$D$25,$D$26,$D$27,$C$8,$C$9,$C$10,$C$11,$C$12),"")</f>
        <v>-175234.87814612489</v>
      </c>
      <c r="W31" s="255">
        <f ca="1">IF(NOW(),_xll.mirSwapPV($C$3,$C$4,$C$6,$G6,$C$7,$I6,$C$16,$C$17,$C$18,$C$19,$C$20,$C$21,$C$22,$C$26,$C$27,W$28,$D$16,$D$17,$D$18,$D$19,$D$20,$D$21,$D$22,$D$23,$D$24,$D$25,$D$26,$D$27,$C$8,$C$9,$C$10,$C$11,$C$12),"")</f>
        <v>-233646.50419483319</v>
      </c>
      <c r="X31" s="255">
        <f ca="1">IF(NOW(),_xll.mirSwapPV($C$3,$C$4,$C$6,$G6,$C$7,$I6,$C$16,$C$17,$C$18,$C$19,$C$20,$C$21,$C$22,$C$26,$C$27,X$28,$D$16,$D$17,$D$18,$D$19,$D$20,$D$21,$D$22,$D$23,$D$24,$D$25,$D$26,$D$27,$C$8,$C$9,$C$10,$C$11,$C$12),"")</f>
        <v>-292058.13024354156</v>
      </c>
      <c r="Y31" s="229"/>
      <c r="AG31" s="224" t="s">
        <v>131</v>
      </c>
      <c r="AH31" s="255">
        <f ca="1">IF(NOW(),_xll.mirSwapPV($C$3,$C$4,$C$6,$AA6,$C$7,$AC6,$C$16,$C$17,$C$18,$C$19,$C$20,$C$21,$C$22,$C$26,$C$27,AH$28,$D$16,$D$17,$D$18,$D$19,$D$20,$D$21,$D$22,$D$23,$D$24,$D$25,$D$26,$D$27,$C$8,$C$9,$C$10,$D$11,$C$12),"")</f>
        <v>292058.13024354144</v>
      </c>
      <c r="AI31" s="255">
        <f ca="1">IF(NOW(),_xll.mirSwapPV($C$3,$C$4,$C$6,$AA6,$C$7,$AC6,$C$16,$C$17,$C$18,$C$19,$C$20,$C$21,$C$22,$C$26,$C$27,AI$28,$D$16,$D$17,$D$18,$D$19,$D$20,$D$21,$D$22,$D$23,$D$24,$D$25,$D$26,$D$27,$C$8,$C$9,$C$10,$D$11,$C$12),"")</f>
        <v>233646.50419483319</v>
      </c>
      <c r="AJ31" s="255">
        <f ca="1">IF(NOW(),_xll.mirSwapPV($C$3,$C$4,$C$6,$AA6,$C$7,$AC6,$C$16,$C$17,$C$18,$C$19,$C$20,$C$21,$C$22,$C$26,$C$27,AJ$28,$D$16,$D$17,$D$18,$D$19,$D$20,$D$21,$D$22,$D$23,$D$24,$D$25,$D$26,$D$27,$C$8,$C$9,$C$10,$D$11,$C$12),"")</f>
        <v>175234.87814612489</v>
      </c>
      <c r="AK31" s="255">
        <f ca="1">IF(NOW(),_xll.mirSwapPV($C$3,$C$4,$C$6,$AA6,$C$7,$AC6,$C$16,$C$17,$C$18,$C$19,$C$20,$C$21,$C$22,$C$26,$C$27,AK$28,$D$16,$D$17,$D$18,$D$19,$D$20,$D$21,$D$22,$D$23,$D$24,$D$25,$D$26,$D$27,$C$8,$C$9,$C$10,$D$11,$C$12),"")</f>
        <v>116823.25209741658</v>
      </c>
      <c r="AL31" s="255">
        <f ca="1">IF(NOW(),_xll.mirSwapPV($C$3,$C$4,$C$6,$AA6,$C$7,$AC6,$C$16,$C$17,$C$18,$C$19,$C$20,$C$21,$C$22,$C$26,$C$27,AL$28,$D$16,$D$17,$D$18,$D$19,$D$20,$D$21,$D$22,$D$23,$D$24,$D$25,$D$26,$D$27,$C$8,$C$9,$C$10,$D$11,$C$12),"")</f>
        <v>58411.626048708298</v>
      </c>
      <c r="AM31" s="255">
        <f ca="1">IF(NOW(),_xll.mirSwapPV($C$3,$C$4,$C$6,$AA6,$C$7,$AC6,$C$16,$C$17,$C$18,$C$19,$C$20,$C$21,$C$22,$C$26,$C$27,AM$28,$D$16,$D$17,$D$18,$D$19,$D$20,$D$21,$D$22,$D$23,$D$24,$D$25,$D$26,$D$27,$C$8,$C$9,$C$10,$D$11,$C$12),"")</f>
        <v>0</v>
      </c>
      <c r="AN31" s="255">
        <f ca="1">IF(NOW(),_xll.mirSwapPV($C$3,$C$4,$C$6,$AA6,$C$7,$AC6,$C$16,$C$17,$C$18,$C$19,$C$20,$C$21,$C$22,$C$26,$C$27,AN$28,$D$16,$D$17,$D$18,$D$19,$D$20,$D$21,$D$22,$D$23,$D$24,$D$25,$D$26,$D$27,$C$8,$C$9,$C$10,$D$11,$C$12),"")</f>
        <v>-58411.626048708298</v>
      </c>
      <c r="AO31" s="255">
        <f ca="1">IF(NOW(),_xll.mirSwapPV($C$3,$C$4,$C$6,$AA6,$C$7,$AC6,$C$16,$C$17,$C$18,$C$19,$C$20,$C$21,$C$22,$C$26,$C$27,AO$28,$D$16,$D$17,$D$18,$D$19,$D$20,$D$21,$D$22,$D$23,$D$24,$D$25,$D$26,$D$27,$C$8,$C$9,$C$10,$D$11,$C$12),"")</f>
        <v>-116823.2520974166</v>
      </c>
      <c r="AP31" s="255">
        <f ca="1">IF(NOW(),_xll.mirSwapPV($C$3,$C$4,$C$6,$AA6,$C$7,$AC6,$C$16,$C$17,$C$18,$C$19,$C$20,$C$21,$C$22,$C$26,$C$27,AP$28,$D$16,$D$17,$D$18,$D$19,$D$20,$D$21,$D$22,$D$23,$D$24,$D$25,$D$26,$D$27,$C$8,$C$9,$C$10,$D$11,$C$12),"")</f>
        <v>-175234.87814612489</v>
      </c>
      <c r="AQ31" s="255">
        <f ca="1">IF(NOW(),_xll.mirSwapPV($C$3,$C$4,$C$6,$AA6,$C$7,$AC6,$C$16,$C$17,$C$18,$C$19,$C$20,$C$21,$C$22,$C$26,$C$27,AQ$28,$D$16,$D$17,$D$18,$D$19,$D$20,$D$21,$D$22,$D$23,$D$24,$D$25,$D$26,$D$27,$C$8,$C$9,$C$10,$D$11,$C$12),"")</f>
        <v>-233646.50419483319</v>
      </c>
      <c r="AR31" s="255">
        <f ca="1">IF(NOW(),_xll.mirSwapPV($C$3,$C$4,$C$6,$AA6,$C$7,$AC6,$C$16,$C$17,$C$18,$C$19,$C$20,$C$21,$C$22,$C$26,$C$27,AR$28,$D$16,$D$17,$D$18,$D$19,$D$20,$D$21,$D$22,$D$23,$D$24,$D$25,$D$26,$D$27,$C$8,$C$9,$C$10,$D$11,$C$12),"")</f>
        <v>-292058.1302435415</v>
      </c>
    </row>
    <row r="32" spans="2:44">
      <c r="F32" s="230"/>
      <c r="G32" s="227"/>
      <c r="H32" s="229"/>
      <c r="I32" s="229"/>
      <c r="J32" s="229"/>
      <c r="K32" s="230"/>
      <c r="L32" s="230"/>
      <c r="M32" s="224" t="s">
        <v>31</v>
      </c>
      <c r="N32" s="255">
        <f ca="1">IF(NOW(),_xll.mirSwapPV($C$3,$C$4,$C$6,$G7,$C$7,$I7,$C$16,$C$17,$C$18,$C$19,$C$20,$C$21,$C$22,$C$26,$C$27,N$28,$D$16,$D$17,$D$18,$D$19,$D$20,$D$21,$D$22,$D$23,$D$24,$D$25,$D$26,$D$27,$C$8,$C$9,$C$10,$C$11,$C$12),"")</f>
        <v>336636.27902883606</v>
      </c>
      <c r="O32" s="255">
        <f ca="1">IF(NOW(),_xll.mirSwapPV($C$3,$C$4,$C$6,$G7,$C$7,$I7,$C$16,$C$17,$C$18,$C$19,$C$20,$C$21,$C$22,$C$26,$C$27,O$28,$D$16,$D$17,$D$18,$D$19,$D$20,$D$21,$D$22,$D$23,$D$24,$D$25,$D$26,$D$27,$C$8,$C$9,$C$10,$C$11,$C$12),"")</f>
        <v>269309.02322306891</v>
      </c>
      <c r="P32" s="255">
        <f ca="1">IF(NOW(),_xll.mirSwapPV($C$3,$C$4,$C$6,$G7,$C$7,$I7,$C$16,$C$17,$C$18,$C$19,$C$20,$C$21,$C$22,$C$26,$C$27,P$28,$D$16,$D$17,$D$18,$D$19,$D$20,$D$21,$D$22,$D$23,$D$24,$D$25,$D$26,$D$27,$C$8,$C$9,$C$10,$C$11,$C$12),"")</f>
        <v>201981.76741730174</v>
      </c>
      <c r="Q32" s="255">
        <f ca="1">IF(NOW(),_xll.mirSwapPV($C$3,$C$4,$C$6,$G7,$C$7,$I7,$C$16,$C$17,$C$18,$C$19,$C$20,$C$21,$C$22,$C$26,$C$27,Q$28,$D$16,$D$17,$D$18,$D$19,$D$20,$D$21,$D$22,$D$23,$D$24,$D$25,$D$26,$D$27,$C$8,$C$9,$C$10,$C$11,$C$12),"")</f>
        <v>134654.51161153449</v>
      </c>
      <c r="R32" s="255">
        <f ca="1">IF(NOW(),_xll.mirSwapPV($C$3,$C$4,$C$6,$G7,$C$7,$I7,$C$16,$C$17,$C$18,$C$19,$C$20,$C$21,$C$22,$C$26,$C$27,R$28,$D$16,$D$17,$D$18,$D$19,$D$20,$D$21,$D$22,$D$23,$D$24,$D$25,$D$26,$D$27,$C$8,$C$9,$C$10,$C$11,$C$12),"")</f>
        <v>67327.255805767229</v>
      </c>
      <c r="S32" s="255">
        <f ca="1">IF(NOW(),_xll.mirSwapPV($C$3,$C$4,$C$6,$G7,$C$7,$I7,$C$16,$C$17,$C$18,$C$19,$C$20,$C$21,$C$22,$C$26,$C$27,S$28,$D$16,$D$17,$D$18,$D$19,$D$20,$D$21,$D$22,$D$23,$D$24,$D$25,$D$26,$D$27,$C$8,$C$9,$C$10,$C$11,$C$12),"")</f>
        <v>0</v>
      </c>
      <c r="T32" s="255">
        <f ca="1">IF(NOW(),_xll.mirSwapPV($C$3,$C$4,$C$6,$G7,$C$7,$I7,$C$16,$C$17,$C$18,$C$19,$C$20,$C$21,$C$22,$C$26,$C$27,T$28,$D$16,$D$17,$D$18,$D$19,$D$20,$D$21,$D$22,$D$23,$D$24,$D$25,$D$26,$D$27,$C$8,$C$9,$C$10,$C$11,$C$12),"")</f>
        <v>-67327.255805767243</v>
      </c>
      <c r="U32" s="255">
        <f ca="1">IF(NOW(),_xll.mirSwapPV($C$3,$C$4,$C$6,$G7,$C$7,$I7,$C$16,$C$17,$C$18,$C$19,$C$20,$C$21,$C$22,$C$26,$C$27,U$28,$D$16,$D$17,$D$18,$D$19,$D$20,$D$21,$D$22,$D$23,$D$24,$D$25,$D$26,$D$27,$C$8,$C$9,$C$10,$C$11,$C$12),"")</f>
        <v>-134654.51161153449</v>
      </c>
      <c r="V32" s="255">
        <f ca="1">IF(NOW(),_xll.mirSwapPV($C$3,$C$4,$C$6,$G7,$C$7,$I7,$C$16,$C$17,$C$18,$C$19,$C$20,$C$21,$C$22,$C$26,$C$27,V$28,$D$16,$D$17,$D$18,$D$19,$D$20,$D$21,$D$22,$D$23,$D$24,$D$25,$D$26,$D$27,$C$8,$C$9,$C$10,$C$11,$C$12),"")</f>
        <v>-201981.76741730174</v>
      </c>
      <c r="W32" s="255">
        <f ca="1">IF(NOW(),_xll.mirSwapPV($C$3,$C$4,$C$6,$G7,$C$7,$I7,$C$16,$C$17,$C$18,$C$19,$C$20,$C$21,$C$22,$C$26,$C$27,W$28,$D$16,$D$17,$D$18,$D$19,$D$20,$D$21,$D$22,$D$23,$D$24,$D$25,$D$26,$D$27,$C$8,$C$9,$C$10,$C$11,$C$12),"")</f>
        <v>-269309.02322306897</v>
      </c>
      <c r="X32" s="255">
        <f ca="1">IF(NOW(),_xll.mirSwapPV($C$3,$C$4,$C$6,$G7,$C$7,$I7,$C$16,$C$17,$C$18,$C$19,$C$20,$C$21,$C$22,$C$26,$C$27,X$28,$D$16,$D$17,$D$18,$D$19,$D$20,$D$21,$D$22,$D$23,$D$24,$D$25,$D$26,$D$27,$C$8,$C$9,$C$10,$C$11,$C$12),"")</f>
        <v>-336636.27902883629</v>
      </c>
      <c r="Y32" s="229"/>
      <c r="AE32" s="252"/>
      <c r="AG32" s="224" t="s">
        <v>31</v>
      </c>
      <c r="AH32" s="255">
        <f ca="1">IF(NOW(),_xll.mirSwapPV($C$3,$C$4,$C$6,$AA7,$C$7,$AC7,$C$16,$C$17,$C$18,$C$19,$C$20,$C$21,$C$22,$C$26,$C$27,AH$28,$D$16,$D$17,$D$18,$D$19,$D$20,$D$21,$D$22,$D$23,$D$24,$D$25,$D$26,$D$27,$C$8,$C$9,$C$10,$D$11,$C$12),"")</f>
        <v>336636.27902883617</v>
      </c>
      <c r="AI32" s="255">
        <f ca="1">IF(NOW(),_xll.mirSwapPV($C$3,$C$4,$C$6,$AA7,$C$7,$AC7,$C$16,$C$17,$C$18,$C$19,$C$20,$C$21,$C$22,$C$26,$C$27,AI$28,$D$16,$D$17,$D$18,$D$19,$D$20,$D$21,$D$22,$D$23,$D$24,$D$25,$D$26,$D$27,$C$8,$C$9,$C$10,$D$11,$C$12),"")</f>
        <v>269309.02322306897</v>
      </c>
      <c r="AJ32" s="255">
        <f ca="1">IF(NOW(),_xll.mirSwapPV($C$3,$C$4,$C$6,$AA7,$C$7,$AC7,$C$16,$C$17,$C$18,$C$19,$C$20,$C$21,$C$22,$C$26,$C$27,AJ$28,$D$16,$D$17,$D$18,$D$19,$D$20,$D$21,$D$22,$D$23,$D$24,$D$25,$D$26,$D$27,$C$8,$C$9,$C$10,$D$11,$C$12),"")</f>
        <v>201981.76741730169</v>
      </c>
      <c r="AK32" s="255">
        <f ca="1">IF(NOW(),_xll.mirSwapPV($C$3,$C$4,$C$6,$AA7,$C$7,$AC7,$C$16,$C$17,$C$18,$C$19,$C$20,$C$21,$C$22,$C$26,$C$27,AK$28,$D$16,$D$17,$D$18,$D$19,$D$20,$D$21,$D$22,$D$23,$D$24,$D$25,$D$26,$D$27,$C$8,$C$9,$C$10,$D$11,$C$12),"")</f>
        <v>134654.5116115344</v>
      </c>
      <c r="AL32" s="255">
        <f ca="1">IF(NOW(),_xll.mirSwapPV($C$3,$C$4,$C$6,$AA7,$C$7,$AC7,$C$16,$C$17,$C$18,$C$19,$C$20,$C$21,$C$22,$C$26,$C$27,AL$28,$D$16,$D$17,$D$18,$D$19,$D$20,$D$21,$D$22,$D$23,$D$24,$D$25,$D$26,$D$27,$C$8,$C$9,$C$10,$D$11,$C$12),"")</f>
        <v>67327.255805767229</v>
      </c>
      <c r="AM32" s="255">
        <f ca="1">IF(NOW(),_xll.mirSwapPV($C$3,$C$4,$C$6,$AA7,$C$7,$AC7,$C$16,$C$17,$C$18,$C$19,$C$20,$C$21,$C$22,$C$26,$C$27,AM$28,$D$16,$D$17,$D$18,$D$19,$D$20,$D$21,$D$22,$D$23,$D$24,$D$25,$D$26,$D$27,$C$8,$C$9,$C$10,$D$11,$C$12),"")</f>
        <v>0</v>
      </c>
      <c r="AN32" s="255">
        <f ca="1">IF(NOW(),_xll.mirSwapPV($C$3,$C$4,$C$6,$AA7,$C$7,$AC7,$C$16,$C$17,$C$18,$C$19,$C$20,$C$21,$C$22,$C$26,$C$27,AN$28,$D$16,$D$17,$D$18,$D$19,$D$20,$D$21,$D$22,$D$23,$D$24,$D$25,$D$26,$D$27,$C$8,$C$9,$C$10,$D$11,$C$12),"")</f>
        <v>-67327.255805767258</v>
      </c>
      <c r="AO32" s="255">
        <f ca="1">IF(NOW(),_xll.mirSwapPV($C$3,$C$4,$C$6,$AA7,$C$7,$AC7,$C$16,$C$17,$C$18,$C$19,$C$20,$C$21,$C$22,$C$26,$C$27,AO$28,$D$16,$D$17,$D$18,$D$19,$D$20,$D$21,$D$22,$D$23,$D$24,$D$25,$D$26,$D$27,$C$8,$C$9,$C$10,$D$11,$C$12),"")</f>
        <v>-134654.51161153449</v>
      </c>
      <c r="AP32" s="255">
        <f ca="1">IF(NOW(),_xll.mirSwapPV($C$3,$C$4,$C$6,$AA7,$C$7,$AC7,$C$16,$C$17,$C$18,$C$19,$C$20,$C$21,$C$22,$C$26,$C$27,AP$28,$D$16,$D$17,$D$18,$D$19,$D$20,$D$21,$D$22,$D$23,$D$24,$D$25,$D$26,$D$27,$C$8,$C$9,$C$10,$D$11,$C$12),"")</f>
        <v>-201981.76741730171</v>
      </c>
      <c r="AQ32" s="255">
        <f ca="1">IF(NOW(),_xll.mirSwapPV($C$3,$C$4,$C$6,$AA7,$C$7,$AC7,$C$16,$C$17,$C$18,$C$19,$C$20,$C$21,$C$22,$C$26,$C$27,AQ$28,$D$16,$D$17,$D$18,$D$19,$D$20,$D$21,$D$22,$D$23,$D$24,$D$25,$D$26,$D$27,$C$8,$C$9,$C$10,$D$11,$C$12),"")</f>
        <v>-269309.02322306891</v>
      </c>
      <c r="AR32" s="255">
        <f ca="1">IF(NOW(),_xll.mirSwapPV($C$3,$C$4,$C$6,$AA7,$C$7,$AC7,$C$16,$C$17,$C$18,$C$19,$C$20,$C$21,$C$22,$C$26,$C$27,AR$28,$D$16,$D$17,$D$18,$D$19,$D$20,$D$21,$D$22,$D$23,$D$24,$D$25,$D$26,$D$27,$C$8,$C$9,$C$10,$D$11,$C$12),"")</f>
        <v>-336636.27902883617</v>
      </c>
    </row>
    <row r="33" spans="6:44">
      <c r="F33" s="230"/>
      <c r="G33" s="227"/>
      <c r="H33" s="229"/>
      <c r="I33" s="229"/>
      <c r="J33" s="229"/>
      <c r="K33" s="230"/>
      <c r="L33" s="230"/>
      <c r="M33" s="224" t="s">
        <v>119</v>
      </c>
      <c r="N33" s="255">
        <f ca="1">IF(NOW(),_xll.mirSwapPV($C$3,$C$4,$C$6,$G8,$C$7,$I8,$C$16,$C$17,$C$18,$C$19,$C$20,$C$21,$C$22,$C$26,$C$27,N$28,$D$16,$D$17,$D$18,$D$19,$D$20,$D$21,$D$22,$D$23,$D$24,$D$25,$D$26,$D$27,$C$8,$C$9,$C$10,$C$11,$C$12),"")</f>
        <v>380086.43747963931</v>
      </c>
      <c r="O33" s="255">
        <f ca="1">IF(NOW(),_xll.mirSwapPV($C$3,$C$4,$C$6,$G8,$C$7,$I8,$C$16,$C$17,$C$18,$C$19,$C$20,$C$21,$C$22,$C$26,$C$27,O$28,$D$16,$D$17,$D$18,$D$19,$D$20,$D$21,$D$22,$D$23,$D$24,$D$25,$D$26,$D$27,$C$8,$C$9,$C$10,$C$11,$C$12),"")</f>
        <v>304069.14998371148</v>
      </c>
      <c r="P33" s="255">
        <f ca="1">IF(NOW(),_xll.mirSwapPV($C$3,$C$4,$C$6,$G8,$C$7,$I8,$C$16,$C$17,$C$18,$C$19,$C$20,$C$21,$C$22,$C$26,$C$27,P$28,$D$16,$D$17,$D$18,$D$19,$D$20,$D$21,$D$22,$D$23,$D$24,$D$25,$D$26,$D$27,$C$8,$C$9,$C$10,$C$11,$C$12),"")</f>
        <v>228051.86248778363</v>
      </c>
      <c r="Q33" s="255">
        <f ca="1">IF(NOW(),_xll.mirSwapPV($C$3,$C$4,$C$6,$G8,$C$7,$I8,$C$16,$C$17,$C$18,$C$19,$C$20,$C$21,$C$22,$C$26,$C$27,Q$28,$D$16,$D$17,$D$18,$D$19,$D$20,$D$21,$D$22,$D$23,$D$24,$D$25,$D$26,$D$27,$C$8,$C$9,$C$10,$C$11,$C$12),"")</f>
        <v>152034.57499185577</v>
      </c>
      <c r="R33" s="255">
        <f ca="1">IF(NOW(),_xll.mirSwapPV($C$3,$C$4,$C$6,$G8,$C$7,$I8,$C$16,$C$17,$C$18,$C$19,$C$20,$C$21,$C$22,$C$26,$C$27,R$28,$D$16,$D$17,$D$18,$D$19,$D$20,$D$21,$D$22,$D$23,$D$24,$D$25,$D$26,$D$27,$C$8,$C$9,$C$10,$C$11,$C$12),"")</f>
        <v>76017.287495927871</v>
      </c>
      <c r="S33" s="255">
        <f ca="1">IF(NOW(),_xll.mirSwapPV($C$3,$C$4,$C$6,$G8,$C$7,$I8,$C$16,$C$17,$C$18,$C$19,$C$20,$C$21,$C$22,$C$26,$C$27,S$28,$D$16,$D$17,$D$18,$D$19,$D$20,$D$21,$D$22,$D$23,$D$24,$D$25,$D$26,$D$27,$C$8,$C$9,$C$10,$C$11,$C$12),"")</f>
        <v>0</v>
      </c>
      <c r="T33" s="255">
        <f ca="1">IF(NOW(),_xll.mirSwapPV($C$3,$C$4,$C$6,$G8,$C$7,$I8,$C$16,$C$17,$C$18,$C$19,$C$20,$C$21,$C$22,$C$26,$C$27,T$28,$D$16,$D$17,$D$18,$D$19,$D$20,$D$21,$D$22,$D$23,$D$24,$D$25,$D$26,$D$27,$C$8,$C$9,$C$10,$C$11,$C$12),"")</f>
        <v>-76017.287495927871</v>
      </c>
      <c r="U33" s="255">
        <f ca="1">IF(NOW(),_xll.mirSwapPV($C$3,$C$4,$C$6,$G8,$C$7,$I8,$C$16,$C$17,$C$18,$C$19,$C$20,$C$21,$C$22,$C$26,$C$27,U$28,$D$16,$D$17,$D$18,$D$19,$D$20,$D$21,$D$22,$D$23,$D$24,$D$25,$D$26,$D$27,$C$8,$C$9,$C$10,$C$11,$C$12),"")</f>
        <v>-152034.57499185571</v>
      </c>
      <c r="V33" s="255">
        <f ca="1">IF(NOW(),_xll.mirSwapPV($C$3,$C$4,$C$6,$G8,$C$7,$I8,$C$16,$C$17,$C$18,$C$19,$C$20,$C$21,$C$22,$C$26,$C$27,V$28,$D$16,$D$17,$D$18,$D$19,$D$20,$D$21,$D$22,$D$23,$D$24,$D$25,$D$26,$D$27,$C$8,$C$9,$C$10,$C$11,$C$12),"")</f>
        <v>-228051.86248778363</v>
      </c>
      <c r="W33" s="255">
        <f ca="1">IF(NOW(),_xll.mirSwapPV($C$3,$C$4,$C$6,$G8,$C$7,$I8,$C$16,$C$17,$C$18,$C$19,$C$20,$C$21,$C$22,$C$26,$C$27,W$28,$D$16,$D$17,$D$18,$D$19,$D$20,$D$21,$D$22,$D$23,$D$24,$D$25,$D$26,$D$27,$C$8,$C$9,$C$10,$C$11,$C$12),"")</f>
        <v>-304069.14998371148</v>
      </c>
      <c r="X33" s="255">
        <f ca="1">IF(NOW(),_xll.mirSwapPV($C$3,$C$4,$C$6,$G8,$C$7,$I8,$C$16,$C$17,$C$18,$C$19,$C$20,$C$21,$C$22,$C$26,$C$27,X$28,$D$16,$D$17,$D$18,$D$19,$D$20,$D$21,$D$22,$D$23,$D$24,$D$25,$D$26,$D$27,$C$8,$C$9,$C$10,$C$11,$C$12),"")</f>
        <v>-380086.43747963931</v>
      </c>
      <c r="Y33" s="229"/>
      <c r="AE33" s="10"/>
      <c r="AG33" s="224" t="s">
        <v>119</v>
      </c>
      <c r="AH33" s="255">
        <f ca="1">IF(NOW(),_xll.mirSwapPV($C$3,$C$4,$C$6,$AA8,$C$7,$AC8,$C$16,$C$17,$C$18,$C$19,$C$20,$C$21,$C$22,$C$26,$C$27,AH$28,$D$16,$D$17,$D$18,$D$19,$D$20,$D$21,$D$22,$D$23,$D$24,$D$25,$D$26,$D$27,$C$8,$C$9,$C$10,$D$11,$C$12),"")</f>
        <v>380086.43747963925</v>
      </c>
      <c r="AI33" s="255">
        <f ca="1">IF(NOW(),_xll.mirSwapPV($C$3,$C$4,$C$6,$AA8,$C$7,$AC8,$C$16,$C$17,$C$18,$C$19,$C$20,$C$21,$C$22,$C$26,$C$27,AI$28,$D$16,$D$17,$D$18,$D$19,$D$20,$D$21,$D$22,$D$23,$D$24,$D$25,$D$26,$D$27,$C$8,$C$9,$C$10,$D$11,$C$12),"")</f>
        <v>304069.14998371142</v>
      </c>
      <c r="AJ33" s="255">
        <f ca="1">IF(NOW(),_xll.mirSwapPV($C$3,$C$4,$C$6,$AA8,$C$7,$AC8,$C$16,$C$17,$C$18,$C$19,$C$20,$C$21,$C$22,$C$26,$C$27,AJ$28,$D$16,$D$17,$D$18,$D$19,$D$20,$D$21,$D$22,$D$23,$D$24,$D$25,$D$26,$D$27,$C$8,$C$9,$C$10,$D$11,$C$12),"")</f>
        <v>228051.86248778354</v>
      </c>
      <c r="AK33" s="255">
        <f ca="1">IF(NOW(),_xll.mirSwapPV($C$3,$C$4,$C$6,$AA8,$C$7,$AC8,$C$16,$C$17,$C$18,$C$19,$C$20,$C$21,$C$22,$C$26,$C$27,AK$28,$D$16,$D$17,$D$18,$D$19,$D$20,$D$21,$D$22,$D$23,$D$24,$D$25,$D$26,$D$27,$C$8,$C$9,$C$10,$D$11,$C$12),"")</f>
        <v>152034.57499185568</v>
      </c>
      <c r="AL33" s="255">
        <f ca="1">IF(NOW(),_xll.mirSwapPV($C$3,$C$4,$C$6,$AA8,$C$7,$AC8,$C$16,$C$17,$C$18,$C$19,$C$20,$C$21,$C$22,$C$26,$C$27,AL$28,$D$16,$D$17,$D$18,$D$19,$D$20,$D$21,$D$22,$D$23,$D$24,$D$25,$D$26,$D$27,$C$8,$C$9,$C$10,$D$11,$C$12),"")</f>
        <v>76017.287495927842</v>
      </c>
      <c r="AM33" s="255">
        <f ca="1">IF(NOW(),_xll.mirSwapPV($C$3,$C$4,$C$6,$AA8,$C$7,$AC8,$C$16,$C$17,$C$18,$C$19,$C$20,$C$21,$C$22,$C$26,$C$27,AM$28,$D$16,$D$17,$D$18,$D$19,$D$20,$D$21,$D$22,$D$23,$D$24,$D$25,$D$26,$D$27,$C$8,$C$9,$C$10,$D$11,$C$12),"")</f>
        <v>0</v>
      </c>
      <c r="AN33" s="255">
        <f ca="1">IF(NOW(),_xll.mirSwapPV($C$3,$C$4,$C$6,$AA8,$C$7,$AC8,$C$16,$C$17,$C$18,$C$19,$C$20,$C$21,$C$22,$C$26,$C$27,AN$28,$D$16,$D$17,$D$18,$D$19,$D$20,$D$21,$D$22,$D$23,$D$24,$D$25,$D$26,$D$27,$C$8,$C$9,$C$10,$D$11,$C$12),"")</f>
        <v>-76017.287495927885</v>
      </c>
      <c r="AO33" s="255">
        <f ca="1">IF(NOW(),_xll.mirSwapPV($C$3,$C$4,$C$6,$AA8,$C$7,$AC8,$C$16,$C$17,$C$18,$C$19,$C$20,$C$21,$C$22,$C$26,$C$27,AO$28,$D$16,$D$17,$D$18,$D$19,$D$20,$D$21,$D$22,$D$23,$D$24,$D$25,$D$26,$D$27,$C$8,$C$9,$C$10,$D$11,$C$12),"")</f>
        <v>-152034.57499185574</v>
      </c>
      <c r="AP33" s="255">
        <f ca="1">IF(NOW(),_xll.mirSwapPV($C$3,$C$4,$C$6,$AA8,$C$7,$AC8,$C$16,$C$17,$C$18,$C$19,$C$20,$C$21,$C$22,$C$26,$C$27,AP$28,$D$16,$D$17,$D$18,$D$19,$D$20,$D$21,$D$22,$D$23,$D$24,$D$25,$D$26,$D$27,$C$8,$C$9,$C$10,$D$11,$C$12),"")</f>
        <v>-228051.8624877836</v>
      </c>
      <c r="AQ33" s="255">
        <f ca="1">IF(NOW(),_xll.mirSwapPV($C$3,$C$4,$C$6,$AA8,$C$7,$AC8,$C$16,$C$17,$C$18,$C$19,$C$20,$C$21,$C$22,$C$26,$C$27,AQ$28,$D$16,$D$17,$D$18,$D$19,$D$20,$D$21,$D$22,$D$23,$D$24,$D$25,$D$26,$D$27,$C$8,$C$9,$C$10,$D$11,$C$12),"")</f>
        <v>-304069.14998371142</v>
      </c>
      <c r="AR33" s="255">
        <f ca="1">IF(NOW(),_xll.mirSwapPV($C$3,$C$4,$C$6,$AA8,$C$7,$AC8,$C$16,$C$17,$C$18,$C$19,$C$20,$C$21,$C$22,$C$26,$C$27,AR$28,$D$16,$D$17,$D$18,$D$19,$D$20,$D$21,$D$22,$D$23,$D$24,$D$25,$D$26,$D$27,$C$8,$C$9,$C$10,$D$11,$C$12),"")</f>
        <v>-380086.43747963931</v>
      </c>
    </row>
    <row r="34" spans="6:44">
      <c r="F34" s="230"/>
      <c r="G34" s="227"/>
      <c r="H34" s="229"/>
      <c r="I34" s="229"/>
      <c r="J34" s="229"/>
      <c r="K34" s="230"/>
      <c r="L34" s="230"/>
      <c r="M34" s="224" t="s">
        <v>113</v>
      </c>
      <c r="N34" s="255">
        <f ca="1">IF(NOW(),_xll.mirSwapPV($C$3,$C$4,$C$6,$G9,$C$7,$I9,$C$16,$C$17,$C$18,$C$19,$C$20,$C$21,$C$22,$C$26,$C$27,N$28,$D$16,$D$17,$D$18,$D$19,$D$20,$D$21,$D$22,$D$23,$D$24,$D$25,$D$26,$D$27,$C$8,$C$9,$C$10,$C$11,$C$12),"")</f>
        <v>421837.79507817933</v>
      </c>
      <c r="O34" s="255">
        <f ca="1">IF(NOW(),_xll.mirSwapPV($C$3,$C$4,$C$6,$G9,$C$7,$I9,$C$16,$C$17,$C$18,$C$19,$C$20,$C$21,$C$22,$C$26,$C$27,O$28,$D$16,$D$17,$D$18,$D$19,$D$20,$D$21,$D$22,$D$23,$D$24,$D$25,$D$26,$D$27,$C$8,$C$9,$C$10,$C$11,$C$12),"")</f>
        <v>337470.23606254335</v>
      </c>
      <c r="P34" s="255">
        <f ca="1">IF(NOW(),_xll.mirSwapPV($C$3,$C$4,$C$6,$G9,$C$7,$I9,$C$16,$C$17,$C$18,$C$19,$C$20,$C$21,$C$22,$C$26,$C$27,P$28,$D$16,$D$17,$D$18,$D$19,$D$20,$D$21,$D$22,$D$23,$D$24,$D$25,$D$26,$D$27,$C$8,$C$9,$C$10,$C$11,$C$12),"")</f>
        <v>253102.67704690754</v>
      </c>
      <c r="Q34" s="255">
        <f ca="1">IF(NOW(),_xll.mirSwapPV($C$3,$C$4,$C$6,$G9,$C$7,$I9,$C$16,$C$17,$C$18,$C$19,$C$20,$C$21,$C$22,$C$26,$C$27,Q$28,$D$16,$D$17,$D$18,$D$19,$D$20,$D$21,$D$22,$D$23,$D$24,$D$25,$D$26,$D$27,$C$8,$C$9,$C$10,$C$11,$C$12),"")</f>
        <v>168735.11803127173</v>
      </c>
      <c r="R34" s="255">
        <f ca="1">IF(NOW(),_xll.mirSwapPV($C$3,$C$4,$C$6,$G9,$C$7,$I9,$C$16,$C$17,$C$18,$C$19,$C$20,$C$21,$C$22,$C$26,$C$27,R$28,$D$16,$D$17,$D$18,$D$19,$D$20,$D$21,$D$22,$D$23,$D$24,$D$25,$D$26,$D$27,$C$8,$C$9,$C$10,$C$11,$C$12),"")</f>
        <v>84367.559015635808</v>
      </c>
      <c r="S34" s="255">
        <f ca="1">IF(NOW(),_xll.mirSwapPV($C$3,$C$4,$C$6,$G9,$C$7,$I9,$C$16,$C$17,$C$18,$C$19,$C$20,$C$21,$C$22,$C$26,$C$27,S$28,$D$16,$D$17,$D$18,$D$19,$D$20,$D$21,$D$22,$D$23,$D$24,$D$25,$D$26,$D$27,$C$8,$C$9,$C$10,$C$11,$C$12),"")</f>
        <v>0</v>
      </c>
      <c r="T34" s="255">
        <f ca="1">IF(NOW(),_xll.mirSwapPV($C$3,$C$4,$C$6,$G9,$C$7,$I9,$C$16,$C$17,$C$18,$C$19,$C$20,$C$21,$C$22,$C$26,$C$27,T$28,$D$16,$D$17,$D$18,$D$19,$D$20,$D$21,$D$22,$D$23,$D$24,$D$25,$D$26,$D$27,$C$8,$C$9,$C$10,$C$11,$C$12),"")</f>
        <v>-84367.55901563591</v>
      </c>
      <c r="U34" s="255">
        <f ca="1">IF(NOW(),_xll.mirSwapPV($C$3,$C$4,$C$6,$G9,$C$7,$I9,$C$16,$C$17,$C$18,$C$19,$C$20,$C$21,$C$22,$C$26,$C$27,U$28,$D$16,$D$17,$D$18,$D$19,$D$20,$D$21,$D$22,$D$23,$D$24,$D$25,$D$26,$D$27,$C$8,$C$9,$C$10,$C$11,$C$12),"")</f>
        <v>-168735.11803127173</v>
      </c>
      <c r="V34" s="255">
        <f ca="1">IF(NOW(),_xll.mirSwapPV($C$3,$C$4,$C$6,$G9,$C$7,$I9,$C$16,$C$17,$C$18,$C$19,$C$20,$C$21,$C$22,$C$26,$C$27,V$28,$D$16,$D$17,$D$18,$D$19,$D$20,$D$21,$D$22,$D$23,$D$24,$D$25,$D$26,$D$27,$C$8,$C$9,$C$10,$C$11,$C$12),"")</f>
        <v>-253102.6770469076</v>
      </c>
      <c r="W34" s="255">
        <f ca="1">IF(NOW(),_xll.mirSwapPV($C$3,$C$4,$C$6,$G9,$C$7,$I9,$C$16,$C$17,$C$18,$C$19,$C$20,$C$21,$C$22,$C$26,$C$27,W$28,$D$16,$D$17,$D$18,$D$19,$D$20,$D$21,$D$22,$D$23,$D$24,$D$25,$D$26,$D$27,$C$8,$C$9,$C$10,$C$11,$C$12),"")</f>
        <v>-337470.23606254347</v>
      </c>
      <c r="X34" s="255">
        <f ca="1">IF(NOW(),_xll.mirSwapPV($C$3,$C$4,$C$6,$G9,$C$7,$I9,$C$16,$C$17,$C$18,$C$19,$C$20,$C$21,$C$22,$C$26,$C$27,X$28,$D$16,$D$17,$D$18,$D$19,$D$20,$D$21,$D$22,$D$23,$D$24,$D$25,$D$26,$D$27,$C$8,$C$9,$C$10,$C$11,$C$12),"")</f>
        <v>-421837.79507817933</v>
      </c>
      <c r="Y34" s="229"/>
      <c r="AG34" s="224" t="s">
        <v>113</v>
      </c>
      <c r="AH34" s="255">
        <f ca="1">IF(NOW(),_xll.mirSwapPV($C$3,$C$4,$C$6,$AA9,$C$7,$AC9,$C$16,$C$17,$C$18,$C$19,$C$20,$C$21,$C$22,$C$26,$C$27,AH$28,$D$16,$D$17,$D$18,$D$19,$D$20,$D$21,$D$22,$D$23,$D$24,$D$25,$D$26,$D$27,$C$8,$C$9,$C$10,$D$11,$C$12),"")</f>
        <v>421837.7950781791</v>
      </c>
      <c r="AI34" s="255">
        <f ca="1">IF(NOW(),_xll.mirSwapPV($C$3,$C$4,$C$6,$AA9,$C$7,$AC9,$C$16,$C$17,$C$18,$C$19,$C$20,$C$21,$C$22,$C$26,$C$27,AI$28,$D$16,$D$17,$D$18,$D$19,$D$20,$D$21,$D$22,$D$23,$D$24,$D$25,$D$26,$D$27,$C$8,$C$9,$C$10,$D$11,$C$12),"")</f>
        <v>337470.23606254335</v>
      </c>
      <c r="AJ34" s="255">
        <f ca="1">IF(NOW(),_xll.mirSwapPV($C$3,$C$4,$C$6,$AA9,$C$7,$AC9,$C$16,$C$17,$C$18,$C$19,$C$20,$C$21,$C$22,$C$26,$C$27,AJ$28,$D$16,$D$17,$D$18,$D$19,$D$20,$D$21,$D$22,$D$23,$D$24,$D$25,$D$26,$D$27,$C$8,$C$9,$C$10,$D$11,$C$12),"")</f>
        <v>253102.67704690748</v>
      </c>
      <c r="AK34" s="255">
        <f ca="1">IF(NOW(),_xll.mirSwapPV($C$3,$C$4,$C$6,$AA9,$C$7,$AC9,$C$16,$C$17,$C$18,$C$19,$C$20,$C$21,$C$22,$C$26,$C$27,AK$28,$D$16,$D$17,$D$18,$D$19,$D$20,$D$21,$D$22,$D$23,$D$24,$D$25,$D$26,$D$27,$C$8,$C$9,$C$10,$D$11,$C$12),"")</f>
        <v>168735.11803127159</v>
      </c>
      <c r="AL34" s="255">
        <f ca="1">IF(NOW(),_xll.mirSwapPV($C$3,$C$4,$C$6,$AA9,$C$7,$AC9,$C$16,$C$17,$C$18,$C$19,$C$20,$C$21,$C$22,$C$26,$C$27,AL$28,$D$16,$D$17,$D$18,$D$19,$D$20,$D$21,$D$22,$D$23,$D$24,$D$25,$D$26,$D$27,$C$8,$C$9,$C$10,$D$11,$C$12),"")</f>
        <v>84367.559015635838</v>
      </c>
      <c r="AM34" s="255">
        <f ca="1">IF(NOW(),_xll.mirSwapPV($C$3,$C$4,$C$6,$AA9,$C$7,$AC9,$C$16,$C$17,$C$18,$C$19,$C$20,$C$21,$C$22,$C$26,$C$27,AM$28,$D$16,$D$17,$D$18,$D$19,$D$20,$D$21,$D$22,$D$23,$D$24,$D$25,$D$26,$D$27,$C$8,$C$9,$C$10,$D$11,$C$12),"")</f>
        <v>0</v>
      </c>
      <c r="AN34" s="255">
        <f ca="1">IF(NOW(),_xll.mirSwapPV($C$3,$C$4,$C$6,$AA9,$C$7,$AC9,$C$16,$C$17,$C$18,$C$19,$C$20,$C$21,$C$22,$C$26,$C$27,AN$28,$D$16,$D$17,$D$18,$D$19,$D$20,$D$21,$D$22,$D$23,$D$24,$D$25,$D$26,$D$27,$C$8,$C$9,$C$10,$D$11,$C$12),"")</f>
        <v>-84367.559015635896</v>
      </c>
      <c r="AO34" s="255">
        <f ca="1">IF(NOW(),_xll.mirSwapPV($C$3,$C$4,$C$6,$AA9,$C$7,$AC9,$C$16,$C$17,$C$18,$C$19,$C$20,$C$21,$C$22,$C$26,$C$27,AO$28,$D$16,$D$17,$D$18,$D$19,$D$20,$D$21,$D$22,$D$23,$D$24,$D$25,$D$26,$D$27,$C$8,$C$9,$C$10,$D$11,$C$12),"")</f>
        <v>-168735.11803127173</v>
      </c>
      <c r="AP34" s="255">
        <f ca="1">IF(NOW(),_xll.mirSwapPV($C$3,$C$4,$C$6,$AA9,$C$7,$AC9,$C$16,$C$17,$C$18,$C$19,$C$20,$C$21,$C$22,$C$26,$C$27,AP$28,$D$16,$D$17,$D$18,$D$19,$D$20,$D$21,$D$22,$D$23,$D$24,$D$25,$D$26,$D$27,$C$8,$C$9,$C$10,$D$11,$C$12),"")</f>
        <v>-253102.6770469076</v>
      </c>
      <c r="AQ34" s="255">
        <f ca="1">IF(NOW(),_xll.mirSwapPV($C$3,$C$4,$C$6,$AA9,$C$7,$AC9,$C$16,$C$17,$C$18,$C$19,$C$20,$C$21,$C$22,$C$26,$C$27,AQ$28,$D$16,$D$17,$D$18,$D$19,$D$20,$D$21,$D$22,$D$23,$D$24,$D$25,$D$26,$D$27,$C$8,$C$9,$C$10,$D$11,$C$12),"")</f>
        <v>-337470.23606254341</v>
      </c>
      <c r="AR34" s="255">
        <f ca="1">IF(NOW(),_xll.mirSwapPV($C$3,$C$4,$C$6,$AA9,$C$7,$AC9,$C$16,$C$17,$C$18,$C$19,$C$20,$C$21,$C$22,$C$26,$C$27,AR$28,$D$16,$D$17,$D$18,$D$19,$D$20,$D$21,$D$22,$D$23,$D$24,$D$25,$D$26,$D$27,$C$8,$C$9,$C$10,$D$11,$C$12),"")</f>
        <v>-421837.79507817933</v>
      </c>
    </row>
    <row r="35" spans="6:44">
      <c r="F35" s="230"/>
      <c r="G35" s="227"/>
      <c r="H35" s="229"/>
      <c r="I35" s="229"/>
      <c r="J35" s="229"/>
      <c r="K35" s="230"/>
      <c r="L35" s="230"/>
      <c r="M35" s="224" t="s">
        <v>28</v>
      </c>
      <c r="N35" s="255">
        <f ca="1">IF(NOW(),_xll.mirSwapPV($C$3,$C$4,$C$6,$G10,$C$7,$I10,$C$16,$C$17,$C$18,$C$19,$C$20,$C$21,$C$22,$C$26,$C$27,N$28,$D$16,$D$17,$D$18,$D$19,$D$20,$D$21,$D$22,$D$23,$D$24,$D$25,$D$26,$D$27,$C$8,$C$9,$C$10,$C$11,$C$12),"")</f>
        <v>462388.14162659738</v>
      </c>
      <c r="O35" s="255">
        <f ca="1">IF(NOW(),_xll.mirSwapPV($C$3,$C$4,$C$6,$G10,$C$7,$I10,$C$16,$C$17,$C$18,$C$19,$C$20,$C$21,$C$22,$C$26,$C$27,O$28,$D$16,$D$17,$D$18,$D$19,$D$20,$D$21,$D$22,$D$23,$D$24,$D$25,$D$26,$D$27,$C$8,$C$9,$C$10,$C$11,$C$12),"")</f>
        <v>369910.51330127788</v>
      </c>
      <c r="P35" s="255">
        <f ca="1">IF(NOW(),_xll.mirSwapPV($C$3,$C$4,$C$6,$G10,$C$7,$I10,$C$16,$C$17,$C$18,$C$19,$C$20,$C$21,$C$22,$C$26,$C$27,P$28,$D$16,$D$17,$D$18,$D$19,$D$20,$D$21,$D$22,$D$23,$D$24,$D$25,$D$26,$D$27,$C$8,$C$9,$C$10,$C$11,$C$12),"")</f>
        <v>277432.88497595844</v>
      </c>
      <c r="Q35" s="255">
        <f ca="1">IF(NOW(),_xll.mirSwapPV($C$3,$C$4,$C$6,$G10,$C$7,$I10,$C$16,$C$17,$C$18,$C$19,$C$20,$C$21,$C$22,$C$26,$C$27,Q$28,$D$16,$D$17,$D$18,$D$19,$D$20,$D$21,$D$22,$D$23,$D$24,$D$25,$D$26,$D$27,$C$8,$C$9,$C$10,$C$11,$C$12),"")</f>
        <v>184955.25665063897</v>
      </c>
      <c r="R35" s="255">
        <f ca="1">IF(NOW(),_xll.mirSwapPV($C$3,$C$4,$C$6,$G10,$C$7,$I10,$C$16,$C$17,$C$18,$C$19,$C$20,$C$21,$C$22,$C$26,$C$27,R$28,$D$16,$D$17,$D$18,$D$19,$D$20,$D$21,$D$22,$D$23,$D$24,$D$25,$D$26,$D$27,$C$8,$C$9,$C$10,$C$11,$C$12),"")</f>
        <v>92477.628325319442</v>
      </c>
      <c r="S35" s="255">
        <f ca="1">IF(NOW(),_xll.mirSwapPV($C$3,$C$4,$C$6,$G10,$C$7,$I10,$C$16,$C$17,$C$18,$C$19,$C$20,$C$21,$C$22,$C$26,$C$27,S$28,$D$16,$D$17,$D$18,$D$19,$D$20,$D$21,$D$22,$D$23,$D$24,$D$25,$D$26,$D$27,$C$8,$C$9,$C$10,$C$11,$C$12),"")</f>
        <v>0</v>
      </c>
      <c r="T35" s="255">
        <f ca="1">IF(NOW(),_xll.mirSwapPV($C$3,$C$4,$C$6,$G10,$C$7,$I10,$C$16,$C$17,$C$18,$C$19,$C$20,$C$21,$C$22,$C$26,$C$27,T$28,$D$16,$D$17,$D$18,$D$19,$D$20,$D$21,$D$22,$D$23,$D$24,$D$25,$D$26,$D$27,$C$8,$C$9,$C$10,$C$11,$C$12),"")</f>
        <v>-92477.628325319558</v>
      </c>
      <c r="U35" s="255">
        <f ca="1">IF(NOW(),_xll.mirSwapPV($C$3,$C$4,$C$6,$G10,$C$7,$I10,$C$16,$C$17,$C$18,$C$19,$C$20,$C$21,$C$22,$C$26,$C$27,U$28,$D$16,$D$17,$D$18,$D$19,$D$20,$D$21,$D$22,$D$23,$D$24,$D$25,$D$26,$D$27,$C$8,$C$9,$C$10,$C$11,$C$12),"")</f>
        <v>-184955.25665063897</v>
      </c>
      <c r="V35" s="255">
        <f ca="1">IF(NOW(),_xll.mirSwapPV($C$3,$C$4,$C$6,$G10,$C$7,$I10,$C$16,$C$17,$C$18,$C$19,$C$20,$C$21,$C$22,$C$26,$C$27,V$28,$D$16,$D$17,$D$18,$D$19,$D$20,$D$21,$D$22,$D$23,$D$24,$D$25,$D$26,$D$27,$C$8,$C$9,$C$10,$C$11,$C$12),"")</f>
        <v>-277432.8849759585</v>
      </c>
      <c r="W35" s="255">
        <f ca="1">IF(NOW(),_xll.mirSwapPV($C$3,$C$4,$C$6,$G10,$C$7,$I10,$C$16,$C$17,$C$18,$C$19,$C$20,$C$21,$C$22,$C$26,$C$27,W$28,$D$16,$D$17,$D$18,$D$19,$D$20,$D$21,$D$22,$D$23,$D$24,$D$25,$D$26,$D$27,$C$8,$C$9,$C$10,$C$11,$C$12),"")</f>
        <v>-369910.51330127788</v>
      </c>
      <c r="X35" s="255">
        <f ca="1">IF(NOW(),_xll.mirSwapPV($C$3,$C$4,$C$6,$G10,$C$7,$I10,$C$16,$C$17,$C$18,$C$19,$C$20,$C$21,$C$22,$C$26,$C$27,X$28,$D$16,$D$17,$D$18,$D$19,$D$20,$D$21,$D$22,$D$23,$D$24,$D$25,$D$26,$D$27,$C$8,$C$9,$C$10,$C$11,$C$12),"")</f>
        <v>-462388.1416265975</v>
      </c>
      <c r="Y35" s="229"/>
      <c r="AE35" s="10"/>
      <c r="AF35" s="253"/>
      <c r="AG35" s="224" t="s">
        <v>28</v>
      </c>
      <c r="AH35" s="255">
        <f ca="1">IF(NOW(),_xll.mirSwapPV($C$3,$C$4,$C$6,$AA10,$C$7,$AC10,$C$16,$C$17,$C$18,$C$19,$C$20,$C$21,$C$22,$C$26,$C$27,AH$28,$D$16,$D$17,$D$18,$D$19,$D$20,$D$21,$D$22,$D$23,$D$24,$D$25,$D$26,$D$27,$C$8,$C$9,$C$10,$D$11,$C$12),"")</f>
        <v>462388.14162659715</v>
      </c>
      <c r="AI35" s="255">
        <f ca="1">IF(NOW(),_xll.mirSwapPV($C$3,$C$4,$C$6,$AA10,$C$7,$AC10,$C$16,$C$17,$C$18,$C$19,$C$20,$C$21,$C$22,$C$26,$C$27,AI$28,$D$16,$D$17,$D$18,$D$19,$D$20,$D$21,$D$22,$D$23,$D$24,$D$25,$D$26,$D$27,$C$8,$C$9,$C$10,$D$11,$C$12),"")</f>
        <v>369910.51330127788</v>
      </c>
      <c r="AJ35" s="255">
        <f ca="1">IF(NOW(),_xll.mirSwapPV($C$3,$C$4,$C$6,$AA10,$C$7,$AC10,$C$16,$C$17,$C$18,$C$19,$C$20,$C$21,$C$22,$C$26,$C$27,AJ$28,$D$16,$D$17,$D$18,$D$19,$D$20,$D$21,$D$22,$D$23,$D$24,$D$25,$D$26,$D$27,$C$8,$C$9,$C$10,$D$11,$C$12),"")</f>
        <v>277432.88497595832</v>
      </c>
      <c r="AK35" s="255">
        <f ca="1">IF(NOW(),_xll.mirSwapPV($C$3,$C$4,$C$6,$AA10,$C$7,$AC10,$C$16,$C$17,$C$18,$C$19,$C$20,$C$21,$C$22,$C$26,$C$27,AK$28,$D$16,$D$17,$D$18,$D$19,$D$20,$D$21,$D$22,$D$23,$D$24,$D$25,$D$26,$D$27,$C$8,$C$9,$C$10,$D$11,$C$12),"")</f>
        <v>184955.25665063885</v>
      </c>
      <c r="AL35" s="255">
        <f ca="1">IF(NOW(),_xll.mirSwapPV($C$3,$C$4,$C$6,$AA10,$C$7,$AC10,$C$16,$C$17,$C$18,$C$19,$C$20,$C$21,$C$22,$C$26,$C$27,AL$28,$D$16,$D$17,$D$18,$D$19,$D$20,$D$21,$D$22,$D$23,$D$24,$D$25,$D$26,$D$27,$C$8,$C$9,$C$10,$D$11,$C$12),"")</f>
        <v>92477.628325319383</v>
      </c>
      <c r="AM35" s="255">
        <f ca="1">IF(NOW(),_xll.mirSwapPV($C$3,$C$4,$C$6,$AA10,$C$7,$AC10,$C$16,$C$17,$C$18,$C$19,$C$20,$C$21,$C$22,$C$26,$C$27,AM$28,$D$16,$D$17,$D$18,$D$19,$D$20,$D$21,$D$22,$D$23,$D$24,$D$25,$D$26,$D$27,$C$8,$C$9,$C$10,$D$11,$C$12),"")</f>
        <v>-2.7755575615628914E-11</v>
      </c>
      <c r="AN35" s="255">
        <f ca="1">IF(NOW(),_xll.mirSwapPV($C$3,$C$4,$C$6,$AA10,$C$7,$AC10,$C$16,$C$17,$C$18,$C$19,$C$20,$C$21,$C$22,$C$26,$C$27,AN$28,$D$16,$D$17,$D$18,$D$19,$D$20,$D$21,$D$22,$D$23,$D$24,$D$25,$D$26,$D$27,$C$8,$C$9,$C$10,$D$11,$C$12),"")</f>
        <v>-92477.628325319558</v>
      </c>
      <c r="AO35" s="255">
        <f ca="1">IF(NOW(),_xll.mirSwapPV($C$3,$C$4,$C$6,$AA10,$C$7,$AC10,$C$16,$C$17,$C$18,$C$19,$C$20,$C$21,$C$22,$C$26,$C$27,AO$28,$D$16,$D$17,$D$18,$D$19,$D$20,$D$21,$D$22,$D$23,$D$24,$D$25,$D$26,$D$27,$C$8,$C$9,$C$10,$D$11,$C$12),"")</f>
        <v>-184955.25665063903</v>
      </c>
      <c r="AP35" s="255">
        <f ca="1">IF(NOW(),_xll.mirSwapPV($C$3,$C$4,$C$6,$AA10,$C$7,$AC10,$C$16,$C$17,$C$18,$C$19,$C$20,$C$21,$C$22,$C$26,$C$27,AP$28,$D$16,$D$17,$D$18,$D$19,$D$20,$D$21,$D$22,$D$23,$D$24,$D$25,$D$26,$D$27,$C$8,$C$9,$C$10,$D$11,$C$12),"")</f>
        <v>-277432.8849759585</v>
      </c>
      <c r="AQ35" s="255">
        <f ca="1">IF(NOW(),_xll.mirSwapPV($C$3,$C$4,$C$6,$AA10,$C$7,$AC10,$C$16,$C$17,$C$18,$C$19,$C$20,$C$21,$C$22,$C$26,$C$27,AQ$28,$D$16,$D$17,$D$18,$D$19,$D$20,$D$21,$D$22,$D$23,$D$24,$D$25,$D$26,$D$27,$C$8,$C$9,$C$10,$D$11,$C$12),"")</f>
        <v>-369910.51330127788</v>
      </c>
      <c r="AR35" s="255">
        <f ca="1">IF(NOW(),_xll.mirSwapPV($C$3,$C$4,$C$6,$AA10,$C$7,$AC10,$C$16,$C$17,$C$18,$C$19,$C$20,$C$21,$C$22,$C$26,$C$27,AR$28,$D$16,$D$17,$D$18,$D$19,$D$20,$D$21,$D$22,$D$23,$D$24,$D$25,$D$26,$D$27,$C$8,$C$9,$C$10,$D$11,$C$12),"")</f>
        <v>-462388.1416265975</v>
      </c>
    </row>
    <row r="36" spans="6:44">
      <c r="F36" s="230"/>
      <c r="G36" s="227"/>
      <c r="H36" s="229"/>
      <c r="I36" s="229"/>
      <c r="J36" s="229"/>
      <c r="K36" s="230"/>
      <c r="L36" s="230"/>
      <c r="M36" s="224" t="s">
        <v>366</v>
      </c>
      <c r="N36" s="255">
        <f ca="1">IF(NOW(),_xll.mirSwapPV($C$3,$C$4,$C$6,$G11,$C$7,$I11,$C$16,$C$17,$C$18,$C$19,$C$20,$C$21,$C$22,$C$26,$C$27,N$28,$D$16,$D$17,$D$18,$D$19,$D$20,$D$21,$D$22,$D$23,$D$24,$D$25,$D$26,$D$27,$C$8,$C$9,$C$10,$C$11,$C$12),"")</f>
        <v>501653.57340943185</v>
      </c>
      <c r="O36" s="255">
        <f ca="1">IF(NOW(),_xll.mirSwapPV($C$3,$C$4,$C$6,$G11,$C$7,$I11,$C$16,$C$17,$C$18,$C$19,$C$20,$C$21,$C$22,$C$26,$C$27,O$28,$D$16,$D$17,$D$18,$D$19,$D$20,$D$21,$D$22,$D$23,$D$24,$D$25,$D$26,$D$27,$C$8,$C$9,$C$10,$C$11,$C$12),"")</f>
        <v>401322.85872754542</v>
      </c>
      <c r="P36" s="255">
        <f ca="1">IF(NOW(),_xll.mirSwapPV($C$3,$C$4,$C$6,$G11,$C$7,$I11,$C$16,$C$17,$C$18,$C$19,$C$20,$C$21,$C$22,$C$26,$C$27,P$28,$D$16,$D$17,$D$18,$D$19,$D$20,$D$21,$D$22,$D$23,$D$24,$D$25,$D$26,$D$27,$C$8,$C$9,$C$10,$C$11,$C$12),"")</f>
        <v>300992.14404565905</v>
      </c>
      <c r="Q36" s="255">
        <f ca="1">IF(NOW(),_xll.mirSwapPV($C$3,$C$4,$C$6,$G11,$C$7,$I11,$C$16,$C$17,$C$18,$C$19,$C$20,$C$21,$C$22,$C$26,$C$27,Q$28,$D$16,$D$17,$D$18,$D$19,$D$20,$D$21,$D$22,$D$23,$D$24,$D$25,$D$26,$D$27,$C$8,$C$9,$C$10,$C$11,$C$12),"")</f>
        <v>200661.42936377268</v>
      </c>
      <c r="R36" s="255">
        <f ca="1">IF(NOW(),_xll.mirSwapPV($C$3,$C$4,$C$6,$G11,$C$7,$I11,$C$16,$C$17,$C$18,$C$19,$C$20,$C$21,$C$22,$C$26,$C$27,R$28,$D$16,$D$17,$D$18,$D$19,$D$20,$D$21,$D$22,$D$23,$D$24,$D$25,$D$26,$D$27,$C$8,$C$9,$C$10,$C$11,$C$12),"")</f>
        <v>100330.71468188631</v>
      </c>
      <c r="S36" s="255">
        <f ca="1">IF(NOW(),_xll.mirSwapPV($C$3,$C$4,$C$6,$G11,$C$7,$I11,$C$16,$C$17,$C$18,$C$19,$C$20,$C$21,$C$22,$C$26,$C$27,S$28,$D$16,$D$17,$D$18,$D$19,$D$20,$D$21,$D$22,$D$23,$D$24,$D$25,$D$26,$D$27,$C$8,$C$9,$C$10,$C$11,$C$12),"")</f>
        <v>0</v>
      </c>
      <c r="T36" s="255">
        <f ca="1">IF(NOW(),_xll.mirSwapPV($C$3,$C$4,$C$6,$G11,$C$7,$I11,$C$16,$C$17,$C$18,$C$19,$C$20,$C$21,$C$22,$C$26,$C$27,T$28,$D$16,$D$17,$D$18,$D$19,$D$20,$D$21,$D$22,$D$23,$D$24,$D$25,$D$26,$D$27,$C$8,$C$9,$C$10,$C$11,$C$12),"")</f>
        <v>-100330.71468188649</v>
      </c>
      <c r="U36" s="255">
        <f ca="1">IF(NOW(),_xll.mirSwapPV($C$3,$C$4,$C$6,$G11,$C$7,$I11,$C$16,$C$17,$C$18,$C$19,$C$20,$C$21,$C$22,$C$26,$C$27,U$28,$D$16,$D$17,$D$18,$D$19,$D$20,$D$21,$D$22,$D$23,$D$24,$D$25,$D$26,$D$27,$C$8,$C$9,$C$10,$C$11,$C$12),"")</f>
        <v>-200661.42936377277</v>
      </c>
      <c r="V36" s="255">
        <f ca="1">IF(NOW(),_xll.mirSwapPV($C$3,$C$4,$C$6,$G11,$C$7,$I11,$C$16,$C$17,$C$18,$C$19,$C$20,$C$21,$C$22,$C$26,$C$27,V$28,$D$16,$D$17,$D$18,$D$19,$D$20,$D$21,$D$22,$D$23,$D$24,$D$25,$D$26,$D$27,$C$8,$C$9,$C$10,$C$11,$C$12),"")</f>
        <v>-300992.14404565917</v>
      </c>
      <c r="W36" s="255">
        <f ca="1">IF(NOW(),_xll.mirSwapPV($C$3,$C$4,$C$6,$G11,$C$7,$I11,$C$16,$C$17,$C$18,$C$19,$C$20,$C$21,$C$22,$C$26,$C$27,W$28,$D$16,$D$17,$D$18,$D$19,$D$20,$D$21,$D$22,$D$23,$D$24,$D$25,$D$26,$D$27,$C$8,$C$9,$C$10,$C$11,$C$12),"")</f>
        <v>-401322.85872754548</v>
      </c>
      <c r="X36" s="255">
        <f ca="1">IF(NOW(),_xll.mirSwapPV($C$3,$C$4,$C$6,$G11,$C$7,$I11,$C$16,$C$17,$C$18,$C$19,$C$20,$C$21,$C$22,$C$26,$C$27,X$28,$D$16,$D$17,$D$18,$D$19,$D$20,$D$21,$D$22,$D$23,$D$24,$D$25,$D$26,$D$27,$C$8,$C$9,$C$10,$C$11,$C$12),"")</f>
        <v>-501653.57340943196</v>
      </c>
      <c r="Y36" s="229"/>
      <c r="AG36" s="224" t="s">
        <v>366</v>
      </c>
      <c r="AH36" s="255">
        <f ca="1">IF(NOW(),_xll.mirSwapPV($C$3,$C$4,$C$6,$AA11,$C$7,$AC11,$C$16,$C$17,$C$18,$C$19,$C$20,$C$21,$C$22,$C$26,$C$27,AH$28,$D$16,$D$17,$D$18,$D$19,$D$20,$D$21,$D$22,$D$23,$D$24,$D$25,$D$26,$D$27,$C$8,$C$9,$C$10,$D$11,$C$12),"")</f>
        <v>501653.5734094315</v>
      </c>
      <c r="AI36" s="255">
        <f ca="1">IF(NOW(),_xll.mirSwapPV($C$3,$C$4,$C$6,$AA11,$C$7,$AC11,$C$16,$C$17,$C$18,$C$19,$C$20,$C$21,$C$22,$C$26,$C$27,AI$28,$D$16,$D$17,$D$18,$D$19,$D$20,$D$21,$D$22,$D$23,$D$24,$D$25,$D$26,$D$27,$C$8,$C$9,$C$10,$D$11,$C$12),"")</f>
        <v>401322.85872754548</v>
      </c>
      <c r="AJ36" s="255">
        <f ca="1">IF(NOW(),_xll.mirSwapPV($C$3,$C$4,$C$6,$AA11,$C$7,$AC11,$C$16,$C$17,$C$18,$C$19,$C$20,$C$21,$C$22,$C$26,$C$27,AJ$28,$D$16,$D$17,$D$18,$D$19,$D$20,$D$21,$D$22,$D$23,$D$24,$D$25,$D$26,$D$27,$C$8,$C$9,$C$10,$D$11,$C$12),"")</f>
        <v>300992.14404565899</v>
      </c>
      <c r="AK36" s="255">
        <f ca="1">IF(NOW(),_xll.mirSwapPV($C$3,$C$4,$C$6,$AA11,$C$7,$AC11,$C$16,$C$17,$C$18,$C$19,$C$20,$C$21,$C$22,$C$26,$C$27,AK$28,$D$16,$D$17,$D$18,$D$19,$D$20,$D$21,$D$22,$D$23,$D$24,$D$25,$D$26,$D$27,$C$8,$C$9,$C$10,$D$11,$C$12),"")</f>
        <v>200661.42936377268</v>
      </c>
      <c r="AL36" s="255">
        <f ca="1">IF(NOW(),_xll.mirSwapPV($C$3,$C$4,$C$6,$AA11,$C$7,$AC11,$C$16,$C$17,$C$18,$C$19,$C$20,$C$21,$C$22,$C$26,$C$27,AL$28,$D$16,$D$17,$D$18,$D$19,$D$20,$D$21,$D$22,$D$23,$D$24,$D$25,$D$26,$D$27,$C$8,$C$9,$C$10,$D$11,$C$12),"")</f>
        <v>100330.71468188631</v>
      </c>
      <c r="AM36" s="255">
        <f ca="1">IF(NOW(),_xll.mirSwapPV($C$3,$C$4,$C$6,$AA11,$C$7,$AC11,$C$16,$C$17,$C$18,$C$19,$C$20,$C$21,$C$22,$C$26,$C$27,AM$28,$D$16,$D$17,$D$18,$D$19,$D$20,$D$21,$D$22,$D$23,$D$24,$D$25,$D$26,$D$27,$C$8,$C$9,$C$10,$D$11,$C$12),"")</f>
        <v>0</v>
      </c>
      <c r="AN36" s="255">
        <f ca="1">IF(NOW(),_xll.mirSwapPV($C$3,$C$4,$C$6,$AA11,$C$7,$AC11,$C$16,$C$17,$C$18,$C$19,$C$20,$C$21,$C$22,$C$26,$C$27,AN$28,$D$16,$D$17,$D$18,$D$19,$D$20,$D$21,$D$22,$D$23,$D$24,$D$25,$D$26,$D$27,$C$8,$C$9,$C$10,$D$11,$C$12),"")</f>
        <v>-100330.71468188643</v>
      </c>
      <c r="AO36" s="255">
        <f ca="1">IF(NOW(),_xll.mirSwapPV($C$3,$C$4,$C$6,$AA11,$C$7,$AC11,$C$16,$C$17,$C$18,$C$19,$C$20,$C$21,$C$22,$C$26,$C$27,AO$28,$D$16,$D$17,$D$18,$D$19,$D$20,$D$21,$D$22,$D$23,$D$24,$D$25,$D$26,$D$27,$C$8,$C$9,$C$10,$D$11,$C$12),"")</f>
        <v>-200661.4293637728</v>
      </c>
      <c r="AP36" s="255">
        <f ca="1">IF(NOW(),_xll.mirSwapPV($C$3,$C$4,$C$6,$AA11,$C$7,$AC11,$C$16,$C$17,$C$18,$C$19,$C$20,$C$21,$C$22,$C$26,$C$27,AP$28,$D$16,$D$17,$D$18,$D$19,$D$20,$D$21,$D$22,$D$23,$D$24,$D$25,$D$26,$D$27,$C$8,$C$9,$C$10,$D$11,$C$12),"")</f>
        <v>-300992.14404565917</v>
      </c>
      <c r="AQ36" s="255">
        <f ca="1">IF(NOW(),_xll.mirSwapPV($C$3,$C$4,$C$6,$AA11,$C$7,$AC11,$C$16,$C$17,$C$18,$C$19,$C$20,$C$21,$C$22,$C$26,$C$27,AQ$28,$D$16,$D$17,$D$18,$D$19,$D$20,$D$21,$D$22,$D$23,$D$24,$D$25,$D$26,$D$27,$C$8,$C$9,$C$10,$D$11,$C$12),"")</f>
        <v>-401322.85872754548</v>
      </c>
      <c r="AR36" s="255">
        <f ca="1">IF(NOW(),_xll.mirSwapPV($C$3,$C$4,$C$6,$AA11,$C$7,$AC11,$C$16,$C$17,$C$18,$C$19,$C$20,$C$21,$C$22,$C$26,$C$27,AR$28,$D$16,$D$17,$D$18,$D$19,$D$20,$D$21,$D$22,$D$23,$D$24,$D$25,$D$26,$D$27,$C$8,$C$9,$C$10,$D$11,$C$12),"")</f>
        <v>-501653.57340943185</v>
      </c>
    </row>
    <row r="37" spans="6:44">
      <c r="F37" s="230"/>
      <c r="G37" s="227"/>
      <c r="H37" s="229"/>
      <c r="I37" s="229"/>
      <c r="J37" s="229"/>
      <c r="K37" s="230"/>
      <c r="L37" s="230"/>
      <c r="M37" s="224" t="s">
        <v>26</v>
      </c>
      <c r="N37" s="255">
        <f ca="1">IF(NOW(),_xll.mirSwapPV($C$3,$C$4,$C$6,$G12,$C$7,$I12,$C$16,$C$17,$C$18,$C$19,$C$20,$C$21,$C$22,$C$26,$C$27,N$28,$D$16,$D$17,$D$18,$D$19,$D$20,$D$21,$D$22,$D$23,$D$24,$D$25,$D$26,$D$27,$C$8,$C$9,$C$10,$C$11,$C$12),"")</f>
        <v>539672.51174194494</v>
      </c>
      <c r="O37" s="255">
        <f ca="1">IF(NOW(),_xll.mirSwapPV($C$3,$C$4,$C$6,$G12,$C$7,$I12,$C$16,$C$17,$C$18,$C$19,$C$20,$C$21,$C$22,$C$26,$C$27,O$28,$D$16,$D$17,$D$18,$D$19,$D$20,$D$21,$D$22,$D$23,$D$24,$D$25,$D$26,$D$27,$C$8,$C$9,$C$10,$C$11,$C$12),"")</f>
        <v>431738.00939355604</v>
      </c>
      <c r="P37" s="255">
        <f ca="1">IF(NOW(),_xll.mirSwapPV($C$3,$C$4,$C$6,$G12,$C$7,$I12,$C$16,$C$17,$C$18,$C$19,$C$20,$C$21,$C$22,$C$26,$C$27,P$28,$D$16,$D$17,$D$18,$D$19,$D$20,$D$21,$D$22,$D$23,$D$24,$D$25,$D$26,$D$27,$C$8,$C$9,$C$10,$C$11,$C$12),"")</f>
        <v>323803.50704516686</v>
      </c>
      <c r="Q37" s="255">
        <f ca="1">IF(NOW(),_xll.mirSwapPV($C$3,$C$4,$C$6,$G12,$C$7,$I12,$C$16,$C$17,$C$18,$C$19,$C$20,$C$21,$C$22,$C$26,$C$27,Q$28,$D$16,$D$17,$D$18,$D$19,$D$20,$D$21,$D$22,$D$23,$D$24,$D$25,$D$26,$D$27,$C$8,$C$9,$C$10,$C$11,$C$12),"")</f>
        <v>215869.00469677793</v>
      </c>
      <c r="R37" s="255">
        <f ca="1">IF(NOW(),_xll.mirSwapPV($C$3,$C$4,$C$6,$G12,$C$7,$I12,$C$16,$C$17,$C$18,$C$19,$C$20,$C$21,$C$22,$C$26,$C$27,R$28,$D$16,$D$17,$D$18,$D$19,$D$20,$D$21,$D$22,$D$23,$D$24,$D$25,$D$26,$D$27,$C$8,$C$9,$C$10,$C$11,$C$12),"")</f>
        <v>107934.50234838892</v>
      </c>
      <c r="S37" s="255">
        <f ca="1">IF(NOW(),_xll.mirSwapPV($C$3,$C$4,$C$6,$G12,$C$7,$I12,$C$16,$C$17,$C$18,$C$19,$C$20,$C$21,$C$22,$C$26,$C$27,S$28,$D$16,$D$17,$D$18,$D$19,$D$20,$D$21,$D$22,$D$23,$D$24,$D$25,$D$26,$D$27,$C$8,$C$9,$C$10,$C$11,$C$12),"")</f>
        <v>0</v>
      </c>
      <c r="T37" s="255">
        <f ca="1">IF(NOW(),_xll.mirSwapPV($C$3,$C$4,$C$6,$G12,$C$7,$I12,$C$16,$C$17,$C$18,$C$19,$C$20,$C$21,$C$22,$C$26,$C$27,T$28,$D$16,$D$17,$D$18,$D$19,$D$20,$D$21,$D$22,$D$23,$D$24,$D$25,$D$26,$D$27,$C$8,$C$9,$C$10,$C$11,$C$12),"")</f>
        <v>-107934.50234838908</v>
      </c>
      <c r="U37" s="255">
        <f ca="1">IF(NOW(),_xll.mirSwapPV($C$3,$C$4,$C$6,$G12,$C$7,$I12,$C$16,$C$17,$C$18,$C$19,$C$20,$C$21,$C$22,$C$26,$C$27,U$28,$D$16,$D$17,$D$18,$D$19,$D$20,$D$21,$D$22,$D$23,$D$24,$D$25,$D$26,$D$27,$C$8,$C$9,$C$10,$C$11,$C$12),"")</f>
        <v>-215869.00469677799</v>
      </c>
      <c r="V37" s="255">
        <f ca="1">IF(NOW(),_xll.mirSwapPV($C$3,$C$4,$C$6,$G12,$C$7,$I12,$C$16,$C$17,$C$18,$C$19,$C$20,$C$21,$C$22,$C$26,$C$27,V$28,$D$16,$D$17,$D$18,$D$19,$D$20,$D$21,$D$22,$D$23,$D$24,$D$25,$D$26,$D$27,$C$8,$C$9,$C$10,$C$11,$C$12),"")</f>
        <v>-323803.50704516703</v>
      </c>
      <c r="W37" s="255">
        <f ca="1">IF(NOW(),_xll.mirSwapPV($C$3,$C$4,$C$6,$G12,$C$7,$I12,$C$16,$C$17,$C$18,$C$19,$C$20,$C$21,$C$22,$C$26,$C$27,W$28,$D$16,$D$17,$D$18,$D$19,$D$20,$D$21,$D$22,$D$23,$D$24,$D$25,$D$26,$D$27,$C$8,$C$9,$C$10,$C$11,$C$12),"")</f>
        <v>-431738.00939355599</v>
      </c>
      <c r="X37" s="255">
        <f ca="1">IF(NOW(),_xll.mirSwapPV($C$3,$C$4,$C$6,$G12,$C$7,$I12,$C$16,$C$17,$C$18,$C$19,$C$20,$C$21,$C$22,$C$26,$C$27,X$28,$D$16,$D$17,$D$18,$D$19,$D$20,$D$21,$D$22,$D$23,$D$24,$D$25,$D$26,$D$27,$C$8,$C$9,$C$10,$C$11,$C$12),"")</f>
        <v>-539672.51174194494</v>
      </c>
      <c r="Y37" s="229"/>
      <c r="AG37" s="224" t="s">
        <v>26</v>
      </c>
      <c r="AH37" s="255">
        <f ca="1">IF(NOW(),_xll.mirSwapPV($C$3,$C$4,$C$6,$AA12,$C$7,$AC12,$C$16,$C$17,$C$18,$C$19,$C$20,$C$21,$C$22,$C$26,$C$27,AH$28,$D$16,$D$17,$D$18,$D$19,$D$20,$D$21,$D$22,$D$23,$D$24,$D$25,$D$26,$D$27,$C$8,$C$9,$C$10,$D$11,$C$12),"")</f>
        <v>539672.51174194447</v>
      </c>
      <c r="AI37" s="255">
        <f ca="1">IF(NOW(),_xll.mirSwapPV($C$3,$C$4,$C$6,$AA12,$C$7,$AC12,$C$16,$C$17,$C$18,$C$19,$C$20,$C$21,$C$22,$C$26,$C$27,AI$28,$D$16,$D$17,$D$18,$D$19,$D$20,$D$21,$D$22,$D$23,$D$24,$D$25,$D$26,$D$27,$C$8,$C$9,$C$10,$D$11,$C$12),"")</f>
        <v>431738.00939355581</v>
      </c>
      <c r="AJ37" s="255">
        <f ca="1">IF(NOW(),_xll.mirSwapPV($C$3,$C$4,$C$6,$AA12,$C$7,$AC12,$C$16,$C$17,$C$18,$C$19,$C$20,$C$21,$C$22,$C$26,$C$27,AJ$28,$D$16,$D$17,$D$18,$D$19,$D$20,$D$21,$D$22,$D$23,$D$24,$D$25,$D$26,$D$27,$C$8,$C$9,$C$10,$D$11,$C$12),"")</f>
        <v>323803.50704516686</v>
      </c>
      <c r="AK37" s="255">
        <f ca="1">IF(NOW(),_xll.mirSwapPV($C$3,$C$4,$C$6,$AA12,$C$7,$AC12,$C$16,$C$17,$C$18,$C$19,$C$20,$C$21,$C$22,$C$26,$C$27,AK$28,$D$16,$D$17,$D$18,$D$19,$D$20,$D$21,$D$22,$D$23,$D$24,$D$25,$D$26,$D$27,$C$8,$C$9,$C$10,$D$11,$C$12),"")</f>
        <v>215869.00469677785</v>
      </c>
      <c r="AL37" s="255">
        <f ca="1">IF(NOW(),_xll.mirSwapPV($C$3,$C$4,$C$6,$AA12,$C$7,$AC12,$C$16,$C$17,$C$18,$C$19,$C$20,$C$21,$C$22,$C$26,$C$27,AL$28,$D$16,$D$17,$D$18,$D$19,$D$20,$D$21,$D$22,$D$23,$D$24,$D$25,$D$26,$D$27,$C$8,$C$9,$C$10,$D$11,$C$12),"")</f>
        <v>107934.50234838887</v>
      </c>
      <c r="AM37" s="255">
        <f ca="1">IF(NOW(),_xll.mirSwapPV($C$3,$C$4,$C$6,$AA12,$C$7,$AC12,$C$16,$C$17,$C$18,$C$19,$C$20,$C$21,$C$22,$C$26,$C$27,AM$28,$D$16,$D$17,$D$18,$D$19,$D$20,$D$21,$D$22,$D$23,$D$24,$D$25,$D$26,$D$27,$C$8,$C$9,$C$10,$D$11,$C$12),"")</f>
        <v>0</v>
      </c>
      <c r="AN37" s="255">
        <f ca="1">IF(NOW(),_xll.mirSwapPV($C$3,$C$4,$C$6,$AA12,$C$7,$AC12,$C$16,$C$17,$C$18,$C$19,$C$20,$C$21,$C$22,$C$26,$C$27,AN$28,$D$16,$D$17,$D$18,$D$19,$D$20,$D$21,$D$22,$D$23,$D$24,$D$25,$D$26,$D$27,$C$8,$C$9,$C$10,$D$11,$C$12),"")</f>
        <v>-107934.50234838911</v>
      </c>
      <c r="AO37" s="255">
        <f ca="1">IF(NOW(),_xll.mirSwapPV($C$3,$C$4,$C$6,$AA12,$C$7,$AC12,$C$16,$C$17,$C$18,$C$19,$C$20,$C$21,$C$22,$C$26,$C$27,AO$28,$D$16,$D$17,$D$18,$D$19,$D$20,$D$21,$D$22,$D$23,$D$24,$D$25,$D$26,$D$27,$C$8,$C$9,$C$10,$D$11,$C$12),"")</f>
        <v>-215869.00469677811</v>
      </c>
      <c r="AP37" s="255">
        <f ca="1">IF(NOW(),_xll.mirSwapPV($C$3,$C$4,$C$6,$AA12,$C$7,$AC12,$C$16,$C$17,$C$18,$C$19,$C$20,$C$21,$C$22,$C$26,$C$27,AP$28,$D$16,$D$17,$D$18,$D$19,$D$20,$D$21,$D$22,$D$23,$D$24,$D$25,$D$26,$D$27,$C$8,$C$9,$C$10,$D$11,$C$12),"")</f>
        <v>-323803.50704516709</v>
      </c>
      <c r="AQ37" s="255">
        <f ca="1">IF(NOW(),_xll.mirSwapPV($C$3,$C$4,$C$6,$AA12,$C$7,$AC12,$C$16,$C$17,$C$18,$C$19,$C$20,$C$21,$C$22,$C$26,$C$27,AQ$28,$D$16,$D$17,$D$18,$D$19,$D$20,$D$21,$D$22,$D$23,$D$24,$D$25,$D$26,$D$27,$C$8,$C$9,$C$10,$D$11,$C$12),"")</f>
        <v>-431738.00939355599</v>
      </c>
      <c r="AR37" s="255">
        <f ca="1">IF(NOW(),_xll.mirSwapPV($C$3,$C$4,$C$6,$AA12,$C$7,$AC12,$C$16,$C$17,$C$18,$C$19,$C$20,$C$21,$C$22,$C$26,$C$27,AR$28,$D$16,$D$17,$D$18,$D$19,$D$20,$D$21,$D$22,$D$23,$D$24,$D$25,$D$26,$D$27,$C$8,$C$9,$C$10,$D$11,$C$12),"")</f>
        <v>-539672.51174194494</v>
      </c>
    </row>
    <row r="38" spans="6:44">
      <c r="F38" s="230"/>
      <c r="G38" s="227"/>
      <c r="H38" s="229"/>
      <c r="I38" s="229"/>
      <c r="J38" s="229"/>
      <c r="K38" s="230"/>
      <c r="L38" s="230"/>
      <c r="M38" s="224" t="s">
        <v>24</v>
      </c>
      <c r="N38" s="255">
        <f ca="1">IF(NOW(),_xll.mirSwapPV($C$3,$C$4,$C$6,$G13,$C$7,$I13,$C$16,$C$17,$C$18,$C$19,$C$20,$C$21,$C$22,$C$26,$C$27,N$28,$D$16,$D$17,$D$18,$D$19,$D$20,$D$21,$D$22,$D$23,$D$24,$D$25,$D$26,$D$27,$C$8,$C$9,$C$10,$C$11,$C$12),"")</f>
        <v>646763.03135862527</v>
      </c>
      <c r="O38" s="255">
        <f ca="1">IF(NOW(),_xll.mirSwapPV($C$3,$C$4,$C$6,$G13,$C$7,$I13,$C$16,$C$17,$C$18,$C$19,$C$20,$C$21,$C$22,$C$26,$C$27,O$28,$D$16,$D$17,$D$18,$D$19,$D$20,$D$21,$D$22,$D$23,$D$24,$D$25,$D$26,$D$27,$C$8,$C$9,$C$10,$C$11,$C$12),"")</f>
        <v>517410.42508689995</v>
      </c>
      <c r="P38" s="255">
        <f ca="1">IF(NOW(),_xll.mirSwapPV($C$3,$C$4,$C$6,$G13,$C$7,$I13,$C$16,$C$17,$C$18,$C$19,$C$20,$C$21,$C$22,$C$26,$C$27,P$28,$D$16,$D$17,$D$18,$D$19,$D$20,$D$21,$D$22,$D$23,$D$24,$D$25,$D$26,$D$27,$C$8,$C$9,$C$10,$C$11,$C$12),"")</f>
        <v>388057.81881517486</v>
      </c>
      <c r="Q38" s="255">
        <f ca="1">IF(NOW(),_xll.mirSwapPV($C$3,$C$4,$C$6,$G13,$C$7,$I13,$C$16,$C$17,$C$18,$C$19,$C$20,$C$21,$C$22,$C$26,$C$27,Q$28,$D$16,$D$17,$D$18,$D$19,$D$20,$D$21,$D$22,$D$23,$D$24,$D$25,$D$26,$D$27,$C$8,$C$9,$C$10,$C$11,$C$12),"")</f>
        <v>258705.2125434498</v>
      </c>
      <c r="R38" s="255">
        <f ca="1">IF(NOW(),_xll.mirSwapPV($C$3,$C$4,$C$6,$G13,$C$7,$I13,$C$16,$C$17,$C$18,$C$19,$C$20,$C$21,$C$22,$C$26,$C$27,R$28,$D$16,$D$17,$D$18,$D$19,$D$20,$D$21,$D$22,$D$23,$D$24,$D$25,$D$26,$D$27,$C$8,$C$9,$C$10,$C$11,$C$12),"")</f>
        <v>129352.60627172496</v>
      </c>
      <c r="S38" s="255">
        <f ca="1">IF(NOW(),_xll.mirSwapPV($C$3,$C$4,$C$6,$G13,$C$7,$I13,$C$16,$C$17,$C$18,$C$19,$C$20,$C$21,$C$22,$C$26,$C$27,S$28,$D$16,$D$17,$D$18,$D$19,$D$20,$D$21,$D$22,$D$23,$D$24,$D$25,$D$26,$D$27,$C$8,$C$9,$C$10,$C$11,$C$12),"")</f>
        <v>0</v>
      </c>
      <c r="T38" s="255">
        <f ca="1">IF(NOW(),_xll.mirSwapPV($C$3,$C$4,$C$6,$G13,$C$7,$I13,$C$16,$C$17,$C$18,$C$19,$C$20,$C$21,$C$22,$C$26,$C$27,T$28,$D$16,$D$17,$D$18,$D$19,$D$20,$D$21,$D$22,$D$23,$D$24,$D$25,$D$26,$D$27,$C$8,$C$9,$C$10,$C$11,$C$12),"")</f>
        <v>-129352.60627172512</v>
      </c>
      <c r="U38" s="255">
        <f ca="1">IF(NOW(),_xll.mirSwapPV($C$3,$C$4,$C$6,$G13,$C$7,$I13,$C$16,$C$17,$C$18,$C$19,$C$20,$C$21,$C$22,$C$26,$C$27,U$28,$D$16,$D$17,$D$18,$D$19,$D$20,$D$21,$D$22,$D$23,$D$24,$D$25,$D$26,$D$27,$C$8,$C$9,$C$10,$C$11,$C$12),"")</f>
        <v>-258705.21254345015</v>
      </c>
      <c r="V38" s="255">
        <f ca="1">IF(NOW(),_xll.mirSwapPV($C$3,$C$4,$C$6,$G13,$C$7,$I13,$C$16,$C$17,$C$18,$C$19,$C$20,$C$21,$C$22,$C$26,$C$27,V$28,$D$16,$D$17,$D$18,$D$19,$D$20,$D$21,$D$22,$D$23,$D$24,$D$25,$D$26,$D$27,$C$8,$C$9,$C$10,$C$11,$C$12),"")</f>
        <v>-388057.81881517515</v>
      </c>
      <c r="W38" s="255">
        <f ca="1">IF(NOW(),_xll.mirSwapPV($C$3,$C$4,$C$6,$G13,$C$7,$I13,$C$16,$C$17,$C$18,$C$19,$C$20,$C$21,$C$22,$C$26,$C$27,W$28,$D$16,$D$17,$D$18,$D$19,$D$20,$D$21,$D$22,$D$23,$D$24,$D$25,$D$26,$D$27,$C$8,$C$9,$C$10,$C$11,$C$12),"")</f>
        <v>-517410.42508690018</v>
      </c>
      <c r="X38" s="255">
        <f ca="1">IF(NOW(),_xll.mirSwapPV($C$3,$C$4,$C$6,$G13,$C$7,$I13,$C$16,$C$17,$C$18,$C$19,$C$20,$C$21,$C$22,$C$26,$C$27,X$28,$D$16,$D$17,$D$18,$D$19,$D$20,$D$21,$D$22,$D$23,$D$24,$D$25,$D$26,$D$27,$C$8,$C$9,$C$10,$C$11,$C$12),"")</f>
        <v>-646763.03135862527</v>
      </c>
      <c r="Y38" s="229"/>
      <c r="AG38" s="224" t="s">
        <v>24</v>
      </c>
      <c r="AH38" s="255">
        <f ca="1">IF(NOW(),_xll.mirSwapPV($C$3,$C$4,$C$6,$AA13,$C$7,$AC13,$C$16,$C$17,$C$18,$C$19,$C$20,$C$21,$C$22,$C$26,$C$27,AH$28,$D$16,$D$17,$D$18,$D$19,$D$20,$D$21,$D$22,$D$23,$D$24,$D$25,$D$26,$D$27,$C$8,$C$9,$C$10,$D$11,$C$12),"")</f>
        <v>646763.03135862458</v>
      </c>
      <c r="AI38" s="255">
        <f ca="1">IF(NOW(),_xll.mirSwapPV($C$3,$C$4,$C$6,$AA13,$C$7,$AC13,$C$16,$C$17,$C$18,$C$19,$C$20,$C$21,$C$22,$C$26,$C$27,AI$28,$D$16,$D$17,$D$18,$D$19,$D$20,$D$21,$D$22,$D$23,$D$24,$D$25,$D$26,$D$27,$C$8,$C$9,$C$10,$D$11,$C$12),"")</f>
        <v>517410.42508690007</v>
      </c>
      <c r="AJ38" s="255">
        <f ca="1">IF(NOW(),_xll.mirSwapPV($C$3,$C$4,$C$6,$AA13,$C$7,$AC13,$C$16,$C$17,$C$18,$C$19,$C$20,$C$21,$C$22,$C$26,$C$27,AJ$28,$D$16,$D$17,$D$18,$D$19,$D$20,$D$21,$D$22,$D$23,$D$24,$D$25,$D$26,$D$27,$C$8,$C$9,$C$10,$D$11,$C$12),"")</f>
        <v>388057.81881517492</v>
      </c>
      <c r="AK38" s="255">
        <f ca="1">IF(NOW(),_xll.mirSwapPV($C$3,$C$4,$C$6,$AA13,$C$7,$AC13,$C$16,$C$17,$C$18,$C$19,$C$20,$C$21,$C$22,$C$26,$C$27,AK$28,$D$16,$D$17,$D$18,$D$19,$D$20,$D$21,$D$22,$D$23,$D$24,$D$25,$D$26,$D$27,$C$8,$C$9,$C$10,$D$11,$C$12),"")</f>
        <v>258705.21254345009</v>
      </c>
      <c r="AL38" s="255">
        <f ca="1">IF(NOW(),_xll.mirSwapPV($C$3,$C$4,$C$6,$AA13,$C$7,$AC13,$C$16,$C$17,$C$18,$C$19,$C$20,$C$21,$C$22,$C$26,$C$27,AL$28,$D$16,$D$17,$D$18,$D$19,$D$20,$D$21,$D$22,$D$23,$D$24,$D$25,$D$26,$D$27,$C$8,$C$9,$C$10,$D$11,$C$12),"")</f>
        <v>129352.60627172496</v>
      </c>
      <c r="AM38" s="255">
        <f ca="1">IF(NOW(),_xll.mirSwapPV($C$3,$C$4,$C$6,$AA13,$C$7,$AC13,$C$16,$C$17,$C$18,$C$19,$C$20,$C$21,$C$22,$C$26,$C$27,AM$28,$D$16,$D$17,$D$18,$D$19,$D$20,$D$21,$D$22,$D$23,$D$24,$D$25,$D$26,$D$27,$C$8,$C$9,$C$10,$D$11,$C$12),"")</f>
        <v>0</v>
      </c>
      <c r="AN38" s="255">
        <f ca="1">IF(NOW(),_xll.mirSwapPV($C$3,$C$4,$C$6,$AA13,$C$7,$AC13,$C$16,$C$17,$C$18,$C$19,$C$20,$C$21,$C$22,$C$26,$C$27,AN$28,$D$16,$D$17,$D$18,$D$19,$D$20,$D$21,$D$22,$D$23,$D$24,$D$25,$D$26,$D$27,$C$8,$C$9,$C$10,$D$11,$C$12),"")</f>
        <v>-129352.60627172515</v>
      </c>
      <c r="AO38" s="255">
        <f ca="1">IF(NOW(),_xll.mirSwapPV($C$3,$C$4,$C$6,$AA13,$C$7,$AC13,$C$16,$C$17,$C$18,$C$19,$C$20,$C$21,$C$22,$C$26,$C$27,AO$28,$D$16,$D$17,$D$18,$D$19,$D$20,$D$21,$D$22,$D$23,$D$24,$D$25,$D$26,$D$27,$C$8,$C$9,$C$10,$D$11,$C$12),"")</f>
        <v>-258705.21254345018</v>
      </c>
      <c r="AP38" s="255">
        <f ca="1">IF(NOW(),_xll.mirSwapPV($C$3,$C$4,$C$6,$AA13,$C$7,$AC13,$C$16,$C$17,$C$18,$C$19,$C$20,$C$21,$C$22,$C$26,$C$27,AP$28,$D$16,$D$17,$D$18,$D$19,$D$20,$D$21,$D$22,$D$23,$D$24,$D$25,$D$26,$D$27,$C$8,$C$9,$C$10,$D$11,$C$12),"")</f>
        <v>-388057.81881517521</v>
      </c>
      <c r="AQ38" s="255">
        <f ca="1">IF(NOW(),_xll.mirSwapPV($C$3,$C$4,$C$6,$AA13,$C$7,$AC13,$C$16,$C$17,$C$18,$C$19,$C$20,$C$21,$C$22,$C$26,$C$27,AQ$28,$D$16,$D$17,$D$18,$D$19,$D$20,$D$21,$D$22,$D$23,$D$24,$D$25,$D$26,$D$27,$C$8,$C$9,$C$10,$D$11,$C$12),"")</f>
        <v>-517410.42508690018</v>
      </c>
      <c r="AR38" s="255">
        <f ca="1">IF(NOW(),_xll.mirSwapPV($C$3,$C$4,$C$6,$AA13,$C$7,$AC13,$C$16,$C$17,$C$18,$C$19,$C$20,$C$21,$C$22,$C$26,$C$27,AR$28,$D$16,$D$17,$D$18,$D$19,$D$20,$D$21,$D$22,$D$23,$D$24,$D$25,$D$26,$D$27,$C$8,$C$9,$C$10,$D$11,$C$12),"")</f>
        <v>-646763.03135862527</v>
      </c>
    </row>
    <row r="39" spans="6:44">
      <c r="F39" s="230"/>
      <c r="G39" s="227"/>
      <c r="H39" s="229"/>
      <c r="I39" s="229"/>
      <c r="J39" s="229"/>
      <c r="K39" s="230"/>
      <c r="L39" s="230"/>
      <c r="M39" s="224" t="s">
        <v>20</v>
      </c>
      <c r="N39" s="255">
        <f ca="1">IF(NOW(),_xll.mirSwapPV($C$3,$C$4,$C$6,$G14,$C$7,$I14,$C$16,$C$17,$C$18,$C$19,$C$20,$C$21,$C$22,$C$26,$C$27,N$28,$D$16,$D$17,$D$18,$D$19,$D$20,$D$21,$D$22,$D$23,$D$24,$D$25,$D$26,$D$27,$C$8,$C$9,$C$10,$C$11,$C$12),"")</f>
        <v>804037.65725514793</v>
      </c>
      <c r="O39" s="255">
        <f ca="1">IF(NOW(),_xll.mirSwapPV($C$3,$C$4,$C$6,$G14,$C$7,$I14,$C$16,$C$17,$C$18,$C$19,$C$20,$C$21,$C$22,$C$26,$C$27,O$28,$D$16,$D$17,$D$18,$D$19,$D$20,$D$21,$D$22,$D$23,$D$24,$D$25,$D$26,$D$27,$C$8,$C$9,$C$10,$C$11,$C$12),"")</f>
        <v>643230.12580411846</v>
      </c>
      <c r="P39" s="255">
        <f ca="1">IF(NOW(),_xll.mirSwapPV($C$3,$C$4,$C$6,$G14,$C$7,$I14,$C$16,$C$17,$C$18,$C$19,$C$20,$C$21,$C$22,$C$26,$C$27,P$28,$D$16,$D$17,$D$18,$D$19,$D$20,$D$21,$D$22,$D$23,$D$24,$D$25,$D$26,$D$27,$C$8,$C$9,$C$10,$C$11,$C$12),"")</f>
        <v>482422.59435308882</v>
      </c>
      <c r="Q39" s="255">
        <f ca="1">IF(NOW(),_xll.mirSwapPV($C$3,$C$4,$C$6,$G14,$C$7,$I14,$C$16,$C$17,$C$18,$C$19,$C$20,$C$21,$C$22,$C$26,$C$27,Q$28,$D$16,$D$17,$D$18,$D$19,$D$20,$D$21,$D$22,$D$23,$D$24,$D$25,$D$26,$D$27,$C$8,$C$9,$C$10,$C$11,$C$12),"")</f>
        <v>321615.06290205906</v>
      </c>
      <c r="R39" s="255">
        <f ca="1">IF(NOW(),_xll.mirSwapPV($C$3,$C$4,$C$6,$G14,$C$7,$I14,$C$16,$C$17,$C$18,$C$19,$C$20,$C$21,$C$22,$C$26,$C$27,R$28,$D$16,$D$17,$D$18,$D$19,$D$20,$D$21,$D$22,$D$23,$D$24,$D$25,$D$26,$D$27,$C$8,$C$9,$C$10,$C$11,$C$12),"")</f>
        <v>160807.5314510297</v>
      </c>
      <c r="S39" s="255">
        <f ca="1">IF(NOW(),_xll.mirSwapPV($C$3,$C$4,$C$6,$G14,$C$7,$I14,$C$16,$C$17,$C$18,$C$19,$C$20,$C$21,$C$22,$C$26,$C$27,S$28,$D$16,$D$17,$D$18,$D$19,$D$20,$D$21,$D$22,$D$23,$D$24,$D$25,$D$26,$D$27,$C$8,$C$9,$C$10,$C$11,$C$12),"")</f>
        <v>0</v>
      </c>
      <c r="T39" s="255">
        <f ca="1">IF(NOW(),_xll.mirSwapPV($C$3,$C$4,$C$6,$G14,$C$7,$I14,$C$16,$C$17,$C$18,$C$19,$C$20,$C$21,$C$22,$C$26,$C$27,T$28,$D$16,$D$17,$D$18,$D$19,$D$20,$D$21,$D$22,$D$23,$D$24,$D$25,$D$26,$D$27,$C$8,$C$9,$C$10,$C$11,$C$12),"")</f>
        <v>-160807.53145102976</v>
      </c>
      <c r="U39" s="255">
        <f ca="1">IF(NOW(),_xll.mirSwapPV($C$3,$C$4,$C$6,$G14,$C$7,$I14,$C$16,$C$17,$C$18,$C$19,$C$20,$C$21,$C$22,$C$26,$C$27,U$28,$D$16,$D$17,$D$18,$D$19,$D$20,$D$21,$D$22,$D$23,$D$24,$D$25,$D$26,$D$27,$C$8,$C$9,$C$10,$C$11,$C$12),"")</f>
        <v>-321615.06290205941</v>
      </c>
      <c r="V39" s="255">
        <f ca="1">IF(NOW(),_xll.mirSwapPV($C$3,$C$4,$C$6,$G14,$C$7,$I14,$C$16,$C$17,$C$18,$C$19,$C$20,$C$21,$C$22,$C$26,$C$27,V$28,$D$16,$D$17,$D$18,$D$19,$D$20,$D$21,$D$22,$D$23,$D$24,$D$25,$D$26,$D$27,$C$8,$C$9,$C$10,$C$11,$C$12),"")</f>
        <v>-482422.59435308911</v>
      </c>
      <c r="W39" s="255">
        <f ca="1">IF(NOW(),_xll.mirSwapPV($C$3,$C$4,$C$6,$G14,$C$7,$I14,$C$16,$C$17,$C$18,$C$19,$C$20,$C$21,$C$22,$C$26,$C$27,W$28,$D$16,$D$17,$D$18,$D$19,$D$20,$D$21,$D$22,$D$23,$D$24,$D$25,$D$26,$D$27,$C$8,$C$9,$C$10,$C$11,$C$12),"")</f>
        <v>-643230.12580411881</v>
      </c>
      <c r="X39" s="255">
        <f ca="1">IF(NOW(),_xll.mirSwapPV($C$3,$C$4,$C$6,$G14,$C$7,$I14,$C$16,$C$17,$C$18,$C$19,$C$20,$C$21,$C$22,$C$26,$C$27,X$28,$D$16,$D$17,$D$18,$D$19,$D$20,$D$21,$D$22,$D$23,$D$24,$D$25,$D$26,$D$27,$C$8,$C$9,$C$10,$C$11,$C$12),"")</f>
        <v>-804037.6572551484</v>
      </c>
      <c r="Y39" s="229"/>
      <c r="AG39" s="224" t="s">
        <v>20</v>
      </c>
      <c r="AH39" s="255">
        <f ca="1">IF(NOW(),_xll.mirSwapPV($C$3,$C$4,$C$6,$AA14,$C$7,$AC14,$C$16,$C$17,$C$18,$C$19,$C$20,$C$21,$C$22,$C$26,$C$27,AH$28,$D$16,$D$17,$D$18,$D$19,$D$20,$D$21,$D$22,$D$23,$D$24,$D$25,$D$26,$D$27,$C$8,$C$9,$C$10,$D$11,$C$12),"")</f>
        <v>804037.6572551477</v>
      </c>
      <c r="AI39" s="255">
        <f ca="1">IF(NOW(),_xll.mirSwapPV($C$3,$C$4,$C$6,$AA14,$C$7,$AC14,$C$16,$C$17,$C$18,$C$19,$C$20,$C$21,$C$22,$C$26,$C$27,AI$28,$D$16,$D$17,$D$18,$D$19,$D$20,$D$21,$D$22,$D$23,$D$24,$D$25,$D$26,$D$27,$C$8,$C$9,$C$10,$D$11,$C$12),"")</f>
        <v>643230.1258041187</v>
      </c>
      <c r="AJ39" s="255">
        <f ca="1">IF(NOW(),_xll.mirSwapPV($C$3,$C$4,$C$6,$AA14,$C$7,$AC14,$C$16,$C$17,$C$18,$C$19,$C$20,$C$21,$C$22,$C$26,$C$27,AJ$28,$D$16,$D$17,$D$18,$D$19,$D$20,$D$21,$D$22,$D$23,$D$24,$D$25,$D$26,$D$27,$C$8,$C$9,$C$10,$D$11,$C$12),"")</f>
        <v>482422.59435308882</v>
      </c>
      <c r="AK39" s="255">
        <f ca="1">IF(NOW(),_xll.mirSwapPV($C$3,$C$4,$C$6,$AA14,$C$7,$AC14,$C$16,$C$17,$C$18,$C$19,$C$20,$C$21,$C$22,$C$26,$C$27,AK$28,$D$16,$D$17,$D$18,$D$19,$D$20,$D$21,$D$22,$D$23,$D$24,$D$25,$D$26,$D$27,$C$8,$C$9,$C$10,$D$11,$C$12),"")</f>
        <v>321615.06290205917</v>
      </c>
      <c r="AL39" s="255">
        <f ca="1">IF(NOW(),_xll.mirSwapPV($C$3,$C$4,$C$6,$AA14,$C$7,$AC14,$C$16,$C$17,$C$18,$C$19,$C$20,$C$21,$C$22,$C$26,$C$27,AL$28,$D$16,$D$17,$D$18,$D$19,$D$20,$D$21,$D$22,$D$23,$D$24,$D$25,$D$26,$D$27,$C$8,$C$9,$C$10,$D$11,$C$12),"")</f>
        <v>160807.53145102982</v>
      </c>
      <c r="AM39" s="255">
        <f ca="1">IF(NOW(),_xll.mirSwapPV($C$3,$C$4,$C$6,$AA14,$C$7,$AC14,$C$16,$C$17,$C$18,$C$19,$C$20,$C$21,$C$22,$C$26,$C$27,AM$28,$D$16,$D$17,$D$18,$D$19,$D$20,$D$21,$D$22,$D$23,$D$24,$D$25,$D$26,$D$27,$C$8,$C$9,$C$10,$D$11,$C$12),"")</f>
        <v>0</v>
      </c>
      <c r="AN39" s="255">
        <f ca="1">IF(NOW(),_xll.mirSwapPV($C$3,$C$4,$C$6,$AA14,$C$7,$AC14,$C$16,$C$17,$C$18,$C$19,$C$20,$C$21,$C$22,$C$26,$C$27,AN$28,$D$16,$D$17,$D$18,$D$19,$D$20,$D$21,$D$22,$D$23,$D$24,$D$25,$D$26,$D$27,$C$8,$C$9,$C$10,$D$11,$C$12),"")</f>
        <v>-160807.53145102988</v>
      </c>
      <c r="AO39" s="255">
        <f ca="1">IF(NOW(),_xll.mirSwapPV($C$3,$C$4,$C$6,$AA14,$C$7,$AC14,$C$16,$C$17,$C$18,$C$19,$C$20,$C$21,$C$22,$C$26,$C$27,AO$28,$D$16,$D$17,$D$18,$D$19,$D$20,$D$21,$D$22,$D$23,$D$24,$D$25,$D$26,$D$27,$C$8,$C$9,$C$10,$D$11,$C$12),"")</f>
        <v>-321615.06290205941</v>
      </c>
      <c r="AP39" s="255">
        <f ca="1">IF(NOW(),_xll.mirSwapPV($C$3,$C$4,$C$6,$AA14,$C$7,$AC14,$C$16,$C$17,$C$18,$C$19,$C$20,$C$21,$C$22,$C$26,$C$27,AP$28,$D$16,$D$17,$D$18,$D$19,$D$20,$D$21,$D$22,$D$23,$D$24,$D$25,$D$26,$D$27,$C$8,$C$9,$C$10,$D$11,$C$12),"")</f>
        <v>-482422.59435308917</v>
      </c>
      <c r="AQ39" s="255">
        <f ca="1">IF(NOW(),_xll.mirSwapPV($C$3,$C$4,$C$6,$AA14,$C$7,$AC14,$C$16,$C$17,$C$18,$C$19,$C$20,$C$21,$C$22,$C$26,$C$27,AQ$28,$D$16,$D$17,$D$18,$D$19,$D$20,$D$21,$D$22,$D$23,$D$24,$D$25,$D$26,$D$27,$C$8,$C$9,$C$10,$D$11,$C$12),"")</f>
        <v>-643230.1258041187</v>
      </c>
      <c r="AR39" s="255">
        <f ca="1">IF(NOW(),_xll.mirSwapPV($C$3,$C$4,$C$6,$AA14,$C$7,$AC14,$C$16,$C$17,$C$18,$C$19,$C$20,$C$21,$C$22,$C$26,$C$27,AR$28,$D$16,$D$17,$D$18,$D$19,$D$20,$D$21,$D$22,$D$23,$D$24,$D$25,$D$26,$D$27,$C$8,$C$9,$C$10,$D$11,$C$12),"")</f>
        <v>-804037.6572551484</v>
      </c>
    </row>
    <row r="40" spans="6:44">
      <c r="F40" s="230"/>
      <c r="G40" s="227"/>
      <c r="H40" s="229"/>
      <c r="I40" s="229"/>
      <c r="J40" s="229"/>
      <c r="K40" s="230"/>
      <c r="L40" s="230"/>
      <c r="M40" s="224" t="s">
        <v>18</v>
      </c>
      <c r="N40" s="255">
        <f ca="1">IF(NOW(),_xll.mirSwapPV($C$3,$C$4,$C$6,$G15,$C$7,$I15,$C$16,$C$17,$C$18,$C$19,$C$20,$C$21,$C$22,$C$26,$C$27,N$28,$D$16,$D$17,$D$18,$D$19,$D$20,$D$21,$D$22,$D$23,$D$24,$D$25,$D$26,$D$27,$C$8,$C$9,$C$10,$C$11,$C$12),"")</f>
        <v>938667.92003639555</v>
      </c>
      <c r="O40" s="255">
        <f ca="1">IF(NOW(),_xll.mirSwapPV($C$3,$C$4,$C$6,$G15,$C$7,$I15,$C$16,$C$17,$C$18,$C$19,$C$20,$C$21,$C$22,$C$26,$C$27,O$28,$D$16,$D$17,$D$18,$D$19,$D$20,$D$21,$D$22,$D$23,$D$24,$D$25,$D$26,$D$27,$C$8,$C$9,$C$10,$C$11,$C$12),"")</f>
        <v>750934.33602911618</v>
      </c>
      <c r="P40" s="255">
        <f ca="1">IF(NOW(),_xll.mirSwapPV($C$3,$C$4,$C$6,$G15,$C$7,$I15,$C$16,$C$17,$C$18,$C$19,$C$20,$C$21,$C$22,$C$26,$C$27,P$28,$D$16,$D$17,$D$18,$D$19,$D$20,$D$21,$D$22,$D$23,$D$24,$D$25,$D$26,$D$27,$C$8,$C$9,$C$10,$C$11,$C$12),"")</f>
        <v>563200.75202183705</v>
      </c>
      <c r="Q40" s="255">
        <f ca="1">IF(NOW(),_xll.mirSwapPV($C$3,$C$4,$C$6,$G15,$C$7,$I15,$C$16,$C$17,$C$18,$C$19,$C$20,$C$21,$C$22,$C$26,$C$27,Q$28,$D$16,$D$17,$D$18,$D$19,$D$20,$D$21,$D$22,$D$23,$D$24,$D$25,$D$26,$D$27,$C$8,$C$9,$C$10,$C$11,$C$12),"")</f>
        <v>375467.16801455768</v>
      </c>
      <c r="R40" s="255">
        <f ca="1">IF(NOW(),_xll.mirSwapPV($C$3,$C$4,$C$6,$G15,$C$7,$I15,$C$16,$C$17,$C$18,$C$19,$C$20,$C$21,$C$22,$C$26,$C$27,R$28,$D$16,$D$17,$D$18,$D$19,$D$20,$D$21,$D$22,$D$23,$D$24,$D$25,$D$26,$D$27,$C$8,$C$9,$C$10,$C$11,$C$12),"")</f>
        <v>187733.58400727945</v>
      </c>
      <c r="S40" s="255">
        <f ca="1">IF(NOW(),_xll.mirSwapPV($C$3,$C$4,$C$6,$G15,$C$7,$I15,$C$16,$C$17,$C$18,$C$19,$C$20,$C$21,$C$22,$C$26,$C$27,S$28,$D$16,$D$17,$D$18,$D$19,$D$20,$D$21,$D$22,$D$23,$D$24,$D$25,$D$26,$D$27,$C$8,$C$9,$C$10,$C$11,$C$12),"")</f>
        <v>0</v>
      </c>
      <c r="T40" s="255">
        <f ca="1">IF(NOW(),_xll.mirSwapPV($C$3,$C$4,$C$6,$G15,$C$7,$I15,$C$16,$C$17,$C$18,$C$19,$C$20,$C$21,$C$22,$C$26,$C$27,T$28,$D$16,$D$17,$D$18,$D$19,$D$20,$D$21,$D$22,$D$23,$D$24,$D$25,$D$26,$D$27,$C$8,$C$9,$C$10,$C$11,$C$12),"")</f>
        <v>-187733.58400727937</v>
      </c>
      <c r="U40" s="255">
        <f ca="1">IF(NOW(),_xll.mirSwapPV($C$3,$C$4,$C$6,$G15,$C$7,$I15,$C$16,$C$17,$C$18,$C$19,$C$20,$C$21,$C$22,$C$26,$C$27,U$28,$D$16,$D$17,$D$18,$D$19,$D$20,$D$21,$D$22,$D$23,$D$24,$D$25,$D$26,$D$27,$C$8,$C$9,$C$10,$C$11,$C$12),"")</f>
        <v>-375467.16801455838</v>
      </c>
      <c r="V40" s="255">
        <f ca="1">IF(NOW(),_xll.mirSwapPV($C$3,$C$4,$C$6,$G15,$C$7,$I15,$C$16,$C$17,$C$18,$C$19,$C$20,$C$21,$C$22,$C$26,$C$27,V$28,$D$16,$D$17,$D$18,$D$19,$D$20,$D$21,$D$22,$D$23,$D$24,$D$25,$D$26,$D$27,$C$8,$C$9,$C$10,$C$11,$C$12),"")</f>
        <v>-563200.75202183763</v>
      </c>
      <c r="W40" s="255">
        <f ca="1">IF(NOW(),_xll.mirSwapPV($C$3,$C$4,$C$6,$G15,$C$7,$I15,$C$16,$C$17,$C$18,$C$19,$C$20,$C$21,$C$22,$C$26,$C$27,W$28,$D$16,$D$17,$D$18,$D$19,$D$20,$D$21,$D$22,$D$23,$D$24,$D$25,$D$26,$D$27,$C$8,$C$9,$C$10,$C$11,$C$12),"")</f>
        <v>-750934.33602911676</v>
      </c>
      <c r="X40" s="255">
        <f ca="1">IF(NOW(),_xll.mirSwapPV($C$3,$C$4,$C$6,$G15,$C$7,$I15,$C$16,$C$17,$C$18,$C$19,$C$20,$C$21,$C$22,$C$26,$C$27,X$28,$D$16,$D$17,$D$18,$D$19,$D$20,$D$21,$D$22,$D$23,$D$24,$D$25,$D$26,$D$27,$C$8,$C$9,$C$10,$C$11,$C$12),"")</f>
        <v>-938667.9200363959</v>
      </c>
      <c r="Y40" s="229"/>
      <c r="AG40" s="224" t="s">
        <v>18</v>
      </c>
      <c r="AH40" s="255">
        <f ca="1">IF(NOW(),_xll.mirSwapPV($C$3,$C$4,$C$6,$AA15,$C$7,$AC15,$C$16,$C$17,$C$18,$C$19,$C$20,$C$21,$C$22,$C$26,$C$27,AH$28,$D$16,$D$17,$D$18,$D$19,$D$20,$D$21,$D$22,$D$23,$D$24,$D$25,$D$26,$D$27,$C$8,$C$9,$C$10,$D$11,$C$12),"")</f>
        <v>938667.9200363959</v>
      </c>
      <c r="AI40" s="255">
        <f ca="1">IF(NOW(),_xll.mirSwapPV($C$3,$C$4,$C$6,$AA15,$C$7,$AC15,$C$16,$C$17,$C$18,$C$19,$C$20,$C$21,$C$22,$C$26,$C$27,AI$28,$D$16,$D$17,$D$18,$D$19,$D$20,$D$21,$D$22,$D$23,$D$24,$D$25,$D$26,$D$27,$C$8,$C$9,$C$10,$D$11,$C$12),"")</f>
        <v>750934.3360291163</v>
      </c>
      <c r="AJ40" s="255">
        <f ca="1">IF(NOW(),_xll.mirSwapPV($C$3,$C$4,$C$6,$AA15,$C$7,$AC15,$C$16,$C$17,$C$18,$C$19,$C$20,$C$21,$C$22,$C$26,$C$27,AJ$28,$D$16,$D$17,$D$18,$D$19,$D$20,$D$21,$D$22,$D$23,$D$24,$D$25,$D$26,$D$27,$C$8,$C$9,$C$10,$D$11,$C$12),"")</f>
        <v>563200.75202183786</v>
      </c>
      <c r="AK40" s="255">
        <f ca="1">IF(NOW(),_xll.mirSwapPV($C$3,$C$4,$C$6,$AA15,$C$7,$AC15,$C$16,$C$17,$C$18,$C$19,$C$20,$C$21,$C$22,$C$26,$C$27,AK$28,$D$16,$D$17,$D$18,$D$19,$D$20,$D$21,$D$22,$D$23,$D$24,$D$25,$D$26,$D$27,$C$8,$C$9,$C$10,$D$11,$C$12),"")</f>
        <v>375467.1680145585</v>
      </c>
      <c r="AL40" s="255">
        <f ca="1">IF(NOW(),_xll.mirSwapPV($C$3,$C$4,$C$6,$AA15,$C$7,$AC15,$C$16,$C$17,$C$18,$C$19,$C$20,$C$21,$C$22,$C$26,$C$27,AL$28,$D$16,$D$17,$D$18,$D$19,$D$20,$D$21,$D$22,$D$23,$D$24,$D$25,$D$26,$D$27,$C$8,$C$9,$C$10,$D$11,$C$12),"")</f>
        <v>187733.5840072798</v>
      </c>
      <c r="AM40" s="255">
        <f ca="1">IF(NOW(),_xll.mirSwapPV($C$3,$C$4,$C$6,$AA15,$C$7,$AC15,$C$16,$C$17,$C$18,$C$19,$C$20,$C$21,$C$22,$C$26,$C$27,AM$28,$D$16,$D$17,$D$18,$D$19,$D$20,$D$21,$D$22,$D$23,$D$24,$D$25,$D$26,$D$27,$C$8,$C$9,$C$10,$D$11,$C$12),"")</f>
        <v>0</v>
      </c>
      <c r="AN40" s="255">
        <f ca="1">IF(NOW(),_xll.mirSwapPV($C$3,$C$4,$C$6,$AA15,$C$7,$AC15,$C$16,$C$17,$C$18,$C$19,$C$20,$C$21,$C$22,$C$26,$C$27,AN$28,$D$16,$D$17,$D$18,$D$19,$D$20,$D$21,$D$22,$D$23,$D$24,$D$25,$D$26,$D$27,$C$8,$C$9,$C$10,$D$11,$C$12),"")</f>
        <v>-187733.58400727931</v>
      </c>
      <c r="AO40" s="255">
        <f ca="1">IF(NOW(),_xll.mirSwapPV($C$3,$C$4,$C$6,$AA15,$C$7,$AC15,$C$16,$C$17,$C$18,$C$19,$C$20,$C$21,$C$22,$C$26,$C$27,AO$28,$D$16,$D$17,$D$18,$D$19,$D$20,$D$21,$D$22,$D$23,$D$24,$D$25,$D$26,$D$27,$C$8,$C$9,$C$10,$D$11,$C$12),"")</f>
        <v>-375467.16801455821</v>
      </c>
      <c r="AP40" s="255">
        <f ca="1">IF(NOW(),_xll.mirSwapPV($C$3,$C$4,$C$6,$AA15,$C$7,$AC15,$C$16,$C$17,$C$18,$C$19,$C$20,$C$21,$C$22,$C$26,$C$27,AP$28,$D$16,$D$17,$D$18,$D$19,$D$20,$D$21,$D$22,$D$23,$D$24,$D$25,$D$26,$D$27,$C$8,$C$9,$C$10,$D$11,$C$12),"")</f>
        <v>-563200.7520218374</v>
      </c>
      <c r="AQ40" s="255">
        <f ca="1">IF(NOW(),_xll.mirSwapPV($C$3,$C$4,$C$6,$AA15,$C$7,$AC15,$C$16,$C$17,$C$18,$C$19,$C$20,$C$21,$C$22,$C$26,$C$27,AQ$28,$D$16,$D$17,$D$18,$D$19,$D$20,$D$21,$D$22,$D$23,$D$24,$D$25,$D$26,$D$27,$C$8,$C$9,$C$10,$D$11,$C$12),"")</f>
        <v>-750934.33602911641</v>
      </c>
      <c r="AR40" s="255">
        <f ca="1">IF(NOW(),_xll.mirSwapPV($C$3,$C$4,$C$6,$AA15,$C$7,$AC15,$C$16,$C$17,$C$18,$C$19,$C$20,$C$21,$C$22,$C$26,$C$27,AR$28,$D$16,$D$17,$D$18,$D$19,$D$20,$D$21,$D$22,$D$23,$D$24,$D$25,$D$26,$D$27,$C$8,$C$9,$C$10,$D$11,$C$12),"")</f>
        <v>-938667.92003639566</v>
      </c>
    </row>
    <row r="41" spans="6:44">
      <c r="F41" s="230"/>
      <c r="G41" s="227"/>
      <c r="H41" s="229"/>
      <c r="I41" s="229"/>
      <c r="J41" s="229"/>
      <c r="K41" s="230"/>
      <c r="L41" s="230"/>
      <c r="M41" s="224" t="s">
        <v>17</v>
      </c>
      <c r="N41" s="255">
        <f ca="1">IF(NOW(),_xll.mirSwapPV($C$3,$C$4,$C$6,$G16,$C$7,$I16,$C$16,$C$17,$C$18,$C$19,$C$20,$C$21,$C$22,$C$26,$C$27,N$28,$D$16,$D$17,$D$18,$D$19,$D$20,$D$21,$D$22,$D$23,$D$24,$D$25,$D$26,$D$27,$C$8,$C$9,$C$10,$C$11,$C$12),"")</f>
        <v>1054277.2388134073</v>
      </c>
      <c r="O41" s="255">
        <f ca="1">IF(NOW(),_xll.mirSwapPV($C$3,$C$4,$C$6,$G16,$C$7,$I16,$C$16,$C$17,$C$18,$C$19,$C$20,$C$21,$C$22,$C$26,$C$27,O$28,$D$16,$D$17,$D$18,$D$19,$D$20,$D$21,$D$22,$D$23,$D$24,$D$25,$D$26,$D$27,$C$8,$C$9,$C$10,$C$11,$C$12),"")</f>
        <v>843421.79105072538</v>
      </c>
      <c r="P41" s="255">
        <f ca="1">IF(NOW(),_xll.mirSwapPV($C$3,$C$4,$C$6,$G16,$C$7,$I16,$C$16,$C$17,$C$18,$C$19,$C$20,$C$21,$C$22,$C$26,$C$27,P$28,$D$16,$D$17,$D$18,$D$19,$D$20,$D$21,$D$22,$D$23,$D$24,$D$25,$D$26,$D$27,$C$8,$C$9,$C$10,$C$11,$C$12),"")</f>
        <v>632566.34328804398</v>
      </c>
      <c r="Q41" s="255">
        <f ca="1">IF(NOW(),_xll.mirSwapPV($C$3,$C$4,$C$6,$G16,$C$7,$I16,$C$16,$C$17,$C$18,$C$19,$C$20,$C$21,$C$22,$C$26,$C$27,Q$28,$D$16,$D$17,$D$18,$D$19,$D$20,$D$21,$D$22,$D$23,$D$24,$D$25,$D$26,$D$27,$C$8,$C$9,$C$10,$C$11,$C$12),"")</f>
        <v>421710.89552536234</v>
      </c>
      <c r="R41" s="255">
        <f ca="1">IF(NOW(),_xll.mirSwapPV($C$3,$C$4,$C$6,$G16,$C$7,$I16,$C$16,$C$17,$C$18,$C$19,$C$20,$C$21,$C$22,$C$26,$C$27,R$28,$D$16,$D$17,$D$18,$D$19,$D$20,$D$21,$D$22,$D$23,$D$24,$D$25,$D$26,$D$27,$C$8,$C$9,$C$10,$C$11,$C$12),"")</f>
        <v>210855.44776268172</v>
      </c>
      <c r="S41" s="255">
        <f ca="1">IF(NOW(),_xll.mirSwapPV($C$3,$C$4,$C$6,$G16,$C$7,$I16,$C$16,$C$17,$C$18,$C$19,$C$20,$C$21,$C$22,$C$26,$C$27,S$28,$D$16,$D$17,$D$18,$D$19,$D$20,$D$21,$D$22,$D$23,$D$24,$D$25,$D$26,$D$27,$C$8,$C$9,$C$10,$C$11,$C$12),"")</f>
        <v>0</v>
      </c>
      <c r="T41" s="255">
        <f ca="1">IF(NOW(),_xll.mirSwapPV($C$3,$C$4,$C$6,$G16,$C$7,$I16,$C$16,$C$17,$C$18,$C$19,$C$20,$C$21,$C$22,$C$26,$C$27,T$28,$D$16,$D$17,$D$18,$D$19,$D$20,$D$21,$D$22,$D$23,$D$24,$D$25,$D$26,$D$27,$C$8,$C$9,$C$10,$C$11,$C$12),"")</f>
        <v>-210855.44776268172</v>
      </c>
      <c r="U41" s="255">
        <f ca="1">IF(NOW(),_xll.mirSwapPV($C$3,$C$4,$C$6,$G16,$C$7,$I16,$C$16,$C$17,$C$18,$C$19,$C$20,$C$21,$C$22,$C$26,$C$27,U$28,$D$16,$D$17,$D$18,$D$19,$D$20,$D$21,$D$22,$D$23,$D$24,$D$25,$D$26,$D$27,$C$8,$C$9,$C$10,$C$11,$C$12),"")</f>
        <v>-421710.8955253631</v>
      </c>
      <c r="V41" s="255">
        <f ca="1">IF(NOW(),_xll.mirSwapPV($C$3,$C$4,$C$6,$G16,$C$7,$I16,$C$16,$C$17,$C$18,$C$19,$C$20,$C$21,$C$22,$C$26,$C$27,V$28,$D$16,$D$17,$D$18,$D$19,$D$20,$D$21,$D$22,$D$23,$D$24,$D$25,$D$26,$D$27,$C$8,$C$9,$C$10,$C$11,$C$12),"")</f>
        <v>-632566.34328804479</v>
      </c>
      <c r="W41" s="255">
        <f ca="1">IF(NOW(),_xll.mirSwapPV($C$3,$C$4,$C$6,$G16,$C$7,$I16,$C$16,$C$17,$C$18,$C$19,$C$20,$C$21,$C$22,$C$26,$C$27,W$28,$D$16,$D$17,$D$18,$D$19,$D$20,$D$21,$D$22,$D$23,$D$24,$D$25,$D$26,$D$27,$C$8,$C$9,$C$10,$C$11,$C$12),"")</f>
        <v>-843421.7910507262</v>
      </c>
      <c r="X41" s="255">
        <f ca="1">IF(NOW(),_xll.mirSwapPV($C$3,$C$4,$C$6,$G16,$C$7,$I16,$C$16,$C$17,$C$18,$C$19,$C$20,$C$21,$C$22,$C$26,$C$27,X$28,$D$16,$D$17,$D$18,$D$19,$D$20,$D$21,$D$22,$D$23,$D$24,$D$25,$D$26,$D$27,$C$8,$C$9,$C$10,$C$11,$C$12),"")</f>
        <v>-1054277.2388134082</v>
      </c>
      <c r="Y41" s="229"/>
      <c r="AG41" s="224" t="s">
        <v>17</v>
      </c>
      <c r="AH41" s="255">
        <f ca="1">IF(NOW(),_xll.mirSwapPV($C$3,$C$4,$C$6,$AA16,$C$7,$AC16,$C$16,$C$17,$C$18,$C$19,$C$20,$C$21,$C$22,$C$26,$C$27,AH$28,$D$16,$D$17,$D$18,$D$19,$D$20,$D$21,$D$22,$D$23,$D$24,$D$25,$D$26,$D$27,$C$8,$C$9,$C$10,$D$11,$C$12),"")</f>
        <v>1054277.238813408</v>
      </c>
      <c r="AI41" s="255">
        <f ca="1">IF(NOW(),_xll.mirSwapPV($C$3,$C$4,$C$6,$AA16,$C$7,$AC16,$C$16,$C$17,$C$18,$C$19,$C$20,$C$21,$C$22,$C$26,$C$27,AI$28,$D$16,$D$17,$D$18,$D$19,$D$20,$D$21,$D$22,$D$23,$D$24,$D$25,$D$26,$D$27,$C$8,$C$9,$C$10,$D$11,$C$12),"")</f>
        <v>843421.79105072562</v>
      </c>
      <c r="AJ41" s="255">
        <f ca="1">IF(NOW(),_xll.mirSwapPV($C$3,$C$4,$C$6,$AA16,$C$7,$AC16,$C$16,$C$17,$C$18,$C$19,$C$20,$C$21,$C$22,$C$26,$C$27,AJ$28,$D$16,$D$17,$D$18,$D$19,$D$20,$D$21,$D$22,$D$23,$D$24,$D$25,$D$26,$D$27,$C$8,$C$9,$C$10,$D$11,$C$12),"")</f>
        <v>632566.34328804526</v>
      </c>
      <c r="AK41" s="255">
        <f ca="1">IF(NOW(),_xll.mirSwapPV($C$3,$C$4,$C$6,$AA16,$C$7,$AC16,$C$16,$C$17,$C$18,$C$19,$C$20,$C$21,$C$22,$C$26,$C$27,AK$28,$D$16,$D$17,$D$18,$D$19,$D$20,$D$21,$D$22,$D$23,$D$24,$D$25,$D$26,$D$27,$C$8,$C$9,$C$10,$D$11,$C$12),"")</f>
        <v>421710.89552536298</v>
      </c>
      <c r="AL41" s="255">
        <f ca="1">IF(NOW(),_xll.mirSwapPV($C$3,$C$4,$C$6,$AA16,$C$7,$AC16,$C$16,$C$17,$C$18,$C$19,$C$20,$C$21,$C$22,$C$26,$C$27,AL$28,$D$16,$D$17,$D$18,$D$19,$D$20,$D$21,$D$22,$D$23,$D$24,$D$25,$D$26,$D$27,$C$8,$C$9,$C$10,$D$11,$C$12),"")</f>
        <v>210855.44776268251</v>
      </c>
      <c r="AM41" s="255">
        <f ca="1">IF(NOW(),_xll.mirSwapPV($C$3,$C$4,$C$6,$AA16,$C$7,$AC16,$C$16,$C$17,$C$18,$C$19,$C$20,$C$21,$C$22,$C$26,$C$27,AM$28,$D$16,$D$17,$D$18,$D$19,$D$20,$D$21,$D$22,$D$23,$D$24,$D$25,$D$26,$D$27,$C$8,$C$9,$C$10,$D$11,$C$12),"")</f>
        <v>0</v>
      </c>
      <c r="AN41" s="255">
        <f ca="1">IF(NOW(),_xll.mirSwapPV($C$3,$C$4,$C$6,$AA16,$C$7,$AC16,$C$16,$C$17,$C$18,$C$19,$C$20,$C$21,$C$22,$C$26,$C$27,AN$28,$D$16,$D$17,$D$18,$D$19,$D$20,$D$21,$D$22,$D$23,$D$24,$D$25,$D$26,$D$27,$C$8,$C$9,$C$10,$D$11,$C$12),"")</f>
        <v>-210855.44776268149</v>
      </c>
      <c r="AO41" s="255">
        <f ca="1">IF(NOW(),_xll.mirSwapPV($C$3,$C$4,$C$6,$AA16,$C$7,$AC16,$C$16,$C$17,$C$18,$C$19,$C$20,$C$21,$C$22,$C$26,$C$27,AO$28,$D$16,$D$17,$D$18,$D$19,$D$20,$D$21,$D$22,$D$23,$D$24,$D$25,$D$26,$D$27,$C$8,$C$9,$C$10,$D$11,$C$12),"")</f>
        <v>-421710.89552536281</v>
      </c>
      <c r="AP41" s="255">
        <f ca="1">IF(NOW(),_xll.mirSwapPV($C$3,$C$4,$C$6,$AA16,$C$7,$AC16,$C$16,$C$17,$C$18,$C$19,$C$20,$C$21,$C$22,$C$26,$C$27,AP$28,$D$16,$D$17,$D$18,$D$19,$D$20,$D$21,$D$22,$D$23,$D$24,$D$25,$D$26,$D$27,$C$8,$C$9,$C$10,$D$11,$C$12),"")</f>
        <v>-632566.34328804445</v>
      </c>
      <c r="AQ41" s="255">
        <f ca="1">IF(NOW(),_xll.mirSwapPV($C$3,$C$4,$C$6,$AA16,$C$7,$AC16,$C$16,$C$17,$C$18,$C$19,$C$20,$C$21,$C$22,$C$26,$C$27,AQ$28,$D$16,$D$17,$D$18,$D$19,$D$20,$D$21,$D$22,$D$23,$D$24,$D$25,$D$26,$D$27,$C$8,$C$9,$C$10,$D$11,$C$12),"")</f>
        <v>-843421.79105072573</v>
      </c>
      <c r="AR41" s="255">
        <f ca="1">IF(NOW(),_xll.mirSwapPV($C$3,$C$4,$C$6,$AA16,$C$7,$AC16,$C$16,$C$17,$C$18,$C$19,$C$20,$C$21,$C$22,$C$26,$C$27,AR$28,$D$16,$D$17,$D$18,$D$19,$D$20,$D$21,$D$22,$D$23,$D$24,$D$25,$D$26,$D$27,$C$8,$C$9,$C$10,$D$11,$C$12),"")</f>
        <v>-1054277.2388134075</v>
      </c>
    </row>
    <row r="42" spans="6:44">
      <c r="F42" s="230"/>
      <c r="G42" s="227"/>
      <c r="H42" s="229"/>
      <c r="I42" s="229"/>
      <c r="J42" s="229"/>
      <c r="K42" s="230"/>
      <c r="L42" s="230"/>
      <c r="M42" s="224" t="s">
        <v>15</v>
      </c>
      <c r="N42" s="255">
        <f ca="1">IF(NOW(),_xll.mirSwapPV($C$3,$C$4,$C$6,$G17,$C$7,$I17,$C$16,$C$17,$C$18,$C$19,$C$20,$C$21,$C$22,$C$26,$C$27,N$28,$D$16,$D$17,$D$18,$D$19,$D$20,$D$21,$D$22,$D$23,$D$24,$D$25,$D$26,$D$27,$C$8,$C$9,$C$10,$C$11,$C$12),"")</f>
        <v>1239840.6415149069</v>
      </c>
      <c r="O42" s="255">
        <f ca="1">IF(NOW(),_xll.mirSwapPV($C$3,$C$4,$C$6,$G17,$C$7,$I17,$C$16,$C$17,$C$18,$C$19,$C$20,$C$21,$C$22,$C$26,$C$27,O$28,$D$16,$D$17,$D$18,$D$19,$D$20,$D$21,$D$22,$D$23,$D$24,$D$25,$D$26,$D$27,$C$8,$C$9,$C$10,$C$11,$C$12),"")</f>
        <v>991872.51321192528</v>
      </c>
      <c r="P42" s="255">
        <f ca="1">IF(NOW(),_xll.mirSwapPV($C$3,$C$4,$C$6,$G17,$C$7,$I17,$C$16,$C$17,$C$18,$C$19,$C$20,$C$21,$C$22,$C$26,$C$27,P$28,$D$16,$D$17,$D$18,$D$19,$D$20,$D$21,$D$22,$D$23,$D$24,$D$25,$D$26,$D$27,$C$8,$C$9,$C$10,$C$11,$C$12),"")</f>
        <v>743904.38490894309</v>
      </c>
      <c r="Q42" s="255">
        <f ca="1">IF(NOW(),_xll.mirSwapPV($C$3,$C$4,$C$6,$G17,$C$7,$I17,$C$16,$C$17,$C$18,$C$19,$C$20,$C$21,$C$22,$C$26,$C$27,Q$28,$D$16,$D$17,$D$18,$D$19,$D$20,$D$21,$D$22,$D$23,$D$24,$D$25,$D$26,$D$27,$C$8,$C$9,$C$10,$C$11,$C$12),"")</f>
        <v>495936.25660596177</v>
      </c>
      <c r="R42" s="255">
        <f ca="1">IF(NOW(),_xll.mirSwapPV($C$3,$C$4,$C$6,$G17,$C$7,$I17,$C$16,$C$17,$C$18,$C$19,$C$20,$C$21,$C$22,$C$26,$C$27,R$28,$D$16,$D$17,$D$18,$D$19,$D$20,$D$21,$D$22,$D$23,$D$24,$D$25,$D$26,$D$27,$C$8,$C$9,$C$10,$C$11,$C$12),"")</f>
        <v>247968.12830298155</v>
      </c>
      <c r="S42" s="255">
        <f ca="1">IF(NOW(),_xll.mirSwapPV($C$3,$C$4,$C$6,$G17,$C$7,$I17,$C$16,$C$17,$C$18,$C$19,$C$20,$C$21,$C$22,$C$26,$C$27,S$28,$D$16,$D$17,$D$18,$D$19,$D$20,$D$21,$D$22,$D$23,$D$24,$D$25,$D$26,$D$27,$C$8,$C$9,$C$10,$C$11,$C$12),"")</f>
        <v>0</v>
      </c>
      <c r="T42" s="255">
        <f ca="1">IF(NOW(),_xll.mirSwapPV($C$3,$C$4,$C$6,$G17,$C$7,$I17,$C$16,$C$17,$C$18,$C$19,$C$20,$C$21,$C$22,$C$26,$C$27,T$28,$D$16,$D$17,$D$18,$D$19,$D$20,$D$21,$D$22,$D$23,$D$24,$D$25,$D$26,$D$27,$C$8,$C$9,$C$10,$C$11,$C$12),"")</f>
        <v>-247968.12830298214</v>
      </c>
      <c r="U42" s="255">
        <f ca="1">IF(NOW(),_xll.mirSwapPV($C$3,$C$4,$C$6,$G17,$C$7,$I17,$C$16,$C$17,$C$18,$C$19,$C$20,$C$21,$C$22,$C$26,$C$27,U$28,$D$16,$D$17,$D$18,$D$19,$D$20,$D$21,$D$22,$D$23,$D$24,$D$25,$D$26,$D$27,$C$8,$C$9,$C$10,$C$11,$C$12),"")</f>
        <v>-495936.2566059634</v>
      </c>
      <c r="V42" s="255">
        <f ca="1">IF(NOW(),_xll.mirSwapPV($C$3,$C$4,$C$6,$G17,$C$7,$I17,$C$16,$C$17,$C$18,$C$19,$C$20,$C$21,$C$22,$C$26,$C$27,V$28,$D$16,$D$17,$D$18,$D$19,$D$20,$D$21,$D$22,$D$23,$D$24,$D$25,$D$26,$D$27,$C$8,$C$9,$C$10,$C$11,$C$12),"")</f>
        <v>-743904.38490894507</v>
      </c>
      <c r="W42" s="255">
        <f ca="1">IF(NOW(),_xll.mirSwapPV($C$3,$C$4,$C$6,$G17,$C$7,$I17,$C$16,$C$17,$C$18,$C$19,$C$20,$C$21,$C$22,$C$26,$C$27,W$28,$D$16,$D$17,$D$18,$D$19,$D$20,$D$21,$D$22,$D$23,$D$24,$D$25,$D$26,$D$27,$C$8,$C$9,$C$10,$C$11,$C$12),"")</f>
        <v>-991872.51321192645</v>
      </c>
      <c r="X42" s="255">
        <f ca="1">IF(NOW(),_xll.mirSwapPV($C$3,$C$4,$C$6,$G17,$C$7,$I17,$C$16,$C$17,$C$18,$C$19,$C$20,$C$21,$C$22,$C$26,$C$27,X$28,$D$16,$D$17,$D$18,$D$19,$D$20,$D$21,$D$22,$D$23,$D$24,$D$25,$D$26,$D$27,$C$8,$C$9,$C$10,$C$11,$C$12),"")</f>
        <v>-1239840.6415149078</v>
      </c>
      <c r="Y42" s="229"/>
      <c r="AG42" s="224" t="s">
        <v>15</v>
      </c>
      <c r="AH42" s="255">
        <f ca="1">IF(NOW(),_xll.mirSwapPV($C$3,$C$4,$C$6,$AA17,$C$7,$AC17,$C$16,$C$17,$C$18,$C$19,$C$20,$C$21,$C$22,$C$26,$C$27,AH$28,$D$16,$D$17,$D$18,$D$19,$D$20,$D$21,$D$22,$D$23,$D$24,$D$25,$D$26,$D$27,$C$8,$C$9,$C$10,$D$11,$C$12),"")</f>
        <v>1239840.6415149074</v>
      </c>
      <c r="AI42" s="255">
        <f ca="1">IF(NOW(),_xll.mirSwapPV($C$3,$C$4,$C$6,$AA17,$C$7,$AC17,$C$16,$C$17,$C$18,$C$19,$C$20,$C$21,$C$22,$C$26,$C$27,AI$28,$D$16,$D$17,$D$18,$D$19,$D$20,$D$21,$D$22,$D$23,$D$24,$D$25,$D$26,$D$27,$C$8,$C$9,$C$10,$D$11,$C$12),"")</f>
        <v>991872.51321192575</v>
      </c>
      <c r="AJ42" s="255">
        <f ca="1">IF(NOW(),_xll.mirSwapPV($C$3,$C$4,$C$6,$AA17,$C$7,$AC17,$C$16,$C$17,$C$18,$C$19,$C$20,$C$21,$C$22,$C$26,$C$27,AJ$28,$D$16,$D$17,$D$18,$D$19,$D$20,$D$21,$D$22,$D$23,$D$24,$D$25,$D$26,$D$27,$C$8,$C$9,$C$10,$D$11,$C$12),"")</f>
        <v>743904.38490894553</v>
      </c>
      <c r="AK42" s="255">
        <f ca="1">IF(NOW(),_xll.mirSwapPV($C$3,$C$4,$C$6,$AA17,$C$7,$AC17,$C$16,$C$17,$C$18,$C$19,$C$20,$C$21,$C$22,$C$26,$C$27,AK$28,$D$16,$D$17,$D$18,$D$19,$D$20,$D$21,$D$22,$D$23,$D$24,$D$25,$D$26,$D$27,$C$8,$C$9,$C$10,$D$11,$C$12),"")</f>
        <v>495936.25660596328</v>
      </c>
      <c r="AL42" s="255">
        <f ca="1">IF(NOW(),_xll.mirSwapPV($C$3,$C$4,$C$6,$AA17,$C$7,$AC17,$C$16,$C$17,$C$18,$C$19,$C$20,$C$21,$C$22,$C$26,$C$27,AL$28,$D$16,$D$17,$D$18,$D$19,$D$20,$D$21,$D$22,$D$23,$D$24,$D$25,$D$26,$D$27,$C$8,$C$9,$C$10,$D$11,$C$12),"")</f>
        <v>247968.12830298286</v>
      </c>
      <c r="AM42" s="255">
        <f ca="1">IF(NOW(),_xll.mirSwapPV($C$3,$C$4,$C$6,$AA17,$C$7,$AC17,$C$16,$C$17,$C$18,$C$19,$C$20,$C$21,$C$22,$C$26,$C$27,AM$28,$D$16,$D$17,$D$18,$D$19,$D$20,$D$21,$D$22,$D$23,$D$24,$D$25,$D$26,$D$27,$C$8,$C$9,$C$10,$D$11,$C$12),"")</f>
        <v>0</v>
      </c>
      <c r="AN42" s="255">
        <f ca="1">IF(NOW(),_xll.mirSwapPV($C$3,$C$4,$C$6,$AA17,$C$7,$AC17,$C$16,$C$17,$C$18,$C$19,$C$20,$C$21,$C$22,$C$26,$C$27,AN$28,$D$16,$D$17,$D$18,$D$19,$D$20,$D$21,$D$22,$D$23,$D$24,$D$25,$D$26,$D$27,$C$8,$C$9,$C$10,$D$11,$C$12),"")</f>
        <v>-247968.12830298138</v>
      </c>
      <c r="AO42" s="255">
        <f ca="1">IF(NOW(),_xll.mirSwapPV($C$3,$C$4,$C$6,$AA17,$C$7,$AC17,$C$16,$C$17,$C$18,$C$19,$C$20,$C$21,$C$22,$C$26,$C$27,AO$28,$D$16,$D$17,$D$18,$D$19,$D$20,$D$21,$D$22,$D$23,$D$24,$D$25,$D$26,$D$27,$C$8,$C$9,$C$10,$D$11,$C$12),"")</f>
        <v>-495936.25660596264</v>
      </c>
      <c r="AP42" s="255">
        <f ca="1">IF(NOW(),_xll.mirSwapPV($C$3,$C$4,$C$6,$AA17,$C$7,$AC17,$C$16,$C$17,$C$18,$C$19,$C$20,$C$21,$C$22,$C$26,$C$27,AP$28,$D$16,$D$17,$D$18,$D$19,$D$20,$D$21,$D$22,$D$23,$D$24,$D$25,$D$26,$D$27,$C$8,$C$9,$C$10,$D$11,$C$12),"")</f>
        <v>-743904.38490894414</v>
      </c>
      <c r="AQ42" s="255">
        <f ca="1">IF(NOW(),_xll.mirSwapPV($C$3,$C$4,$C$6,$AA17,$C$7,$AC17,$C$16,$C$17,$C$18,$C$19,$C$20,$C$21,$C$22,$C$26,$C$27,AQ$28,$D$16,$D$17,$D$18,$D$19,$D$20,$D$21,$D$22,$D$23,$D$24,$D$25,$D$26,$D$27,$C$8,$C$9,$C$10,$D$11,$C$12),"")</f>
        <v>-991872.51321192551</v>
      </c>
      <c r="AR42" s="255">
        <f ca="1">IF(NOW(),_xll.mirSwapPV($C$3,$C$4,$C$6,$AA17,$C$7,$AC17,$C$16,$C$17,$C$18,$C$19,$C$20,$C$21,$C$22,$C$26,$C$27,AR$28,$D$16,$D$17,$D$18,$D$19,$D$20,$D$21,$D$22,$D$23,$D$24,$D$25,$D$26,$D$27,$C$8,$C$9,$C$10,$D$11,$C$12),"")</f>
        <v>-1239840.6415149071</v>
      </c>
    </row>
    <row r="43" spans="6:44">
      <c r="F43" s="230"/>
      <c r="G43" s="227"/>
      <c r="H43" s="229"/>
      <c r="I43" s="229"/>
      <c r="J43" s="229"/>
      <c r="K43" s="230"/>
      <c r="L43" s="230"/>
      <c r="M43" s="224" t="s">
        <v>14</v>
      </c>
      <c r="N43" s="255">
        <f ca="1">IF(NOW(),_xll.mirSwapPV($C$3,$C$4,$C$6,$G18,$C$7,$I18,$C$16,$C$17,$C$18,$C$19,$C$20,$C$21,$C$22,$C$26,$C$27,N$28,$D$16,$D$17,$D$18,$D$19,$D$20,$D$21,$D$22,$D$23,$D$24,$D$25,$D$26,$D$27,$C$8,$C$9,$C$10,$C$11,$C$12),"")</f>
        <v>1381003.7389991134</v>
      </c>
      <c r="O43" s="255">
        <f ca="1">IF(NOW(),_xll.mirSwapPV($C$3,$C$4,$C$6,$G18,$C$7,$I18,$C$16,$C$17,$C$18,$C$19,$C$20,$C$21,$C$22,$C$26,$C$27,O$28,$D$16,$D$17,$D$18,$D$19,$D$20,$D$21,$D$22,$D$23,$D$24,$D$25,$D$26,$D$27,$C$8,$C$9,$C$10,$C$11,$C$12),"")</f>
        <v>1104802.9911992906</v>
      </c>
      <c r="P43" s="255">
        <f ca="1">IF(NOW(),_xll.mirSwapPV($C$3,$C$4,$C$6,$G18,$C$7,$I18,$C$16,$C$17,$C$18,$C$19,$C$20,$C$21,$C$22,$C$26,$C$27,P$28,$D$16,$D$17,$D$18,$D$19,$D$20,$D$21,$D$22,$D$23,$D$24,$D$25,$D$26,$D$27,$C$8,$C$9,$C$10,$C$11,$C$12),"")</f>
        <v>828602.24339946732</v>
      </c>
      <c r="Q43" s="255">
        <f ca="1">IF(NOW(),_xll.mirSwapPV($C$3,$C$4,$C$6,$G18,$C$7,$I18,$C$16,$C$17,$C$18,$C$19,$C$20,$C$21,$C$22,$C$26,$C$27,Q$28,$D$16,$D$17,$D$18,$D$19,$D$20,$D$21,$D$22,$D$23,$D$24,$D$25,$D$26,$D$27,$C$8,$C$9,$C$10,$C$11,$C$12),"")</f>
        <v>552401.49559964368</v>
      </c>
      <c r="R43" s="255">
        <f ca="1">IF(NOW(),_xll.mirSwapPV($C$3,$C$4,$C$6,$G18,$C$7,$I18,$C$16,$C$17,$C$18,$C$19,$C$20,$C$21,$C$22,$C$26,$C$27,R$28,$D$16,$D$17,$D$18,$D$19,$D$20,$D$21,$D$22,$D$23,$D$24,$D$25,$D$26,$D$27,$C$8,$C$9,$C$10,$C$11,$C$12),"")</f>
        <v>276200.7477998223</v>
      </c>
      <c r="S43" s="255">
        <f ca="1">IF(NOW(),_xll.mirSwapPV($C$3,$C$4,$C$6,$G18,$C$7,$I18,$C$16,$C$17,$C$18,$C$19,$C$20,$C$21,$C$22,$C$26,$C$27,S$28,$D$16,$D$17,$D$18,$D$19,$D$20,$D$21,$D$22,$D$23,$D$24,$D$25,$D$26,$D$27,$C$8,$C$9,$C$10,$C$11,$C$12),"")</f>
        <v>0</v>
      </c>
      <c r="T43" s="255">
        <f ca="1">IF(NOW(),_xll.mirSwapPV($C$3,$C$4,$C$6,$G18,$C$7,$I18,$C$16,$C$17,$C$18,$C$19,$C$20,$C$21,$C$22,$C$26,$C$27,T$28,$D$16,$D$17,$D$18,$D$19,$D$20,$D$21,$D$22,$D$23,$D$24,$D$25,$D$26,$D$27,$C$8,$C$9,$C$10,$C$11,$C$12),"")</f>
        <v>-276200.74779982376</v>
      </c>
      <c r="U43" s="255">
        <f ca="1">IF(NOW(),_xll.mirSwapPV($C$3,$C$4,$C$6,$G18,$C$7,$I18,$C$16,$C$17,$C$18,$C$19,$C$20,$C$21,$C$22,$C$26,$C$27,U$28,$D$16,$D$17,$D$18,$D$19,$D$20,$D$21,$D$22,$D$23,$D$24,$D$25,$D$26,$D$27,$C$8,$C$9,$C$10,$C$11,$C$12),"")</f>
        <v>-552401.49559964647</v>
      </c>
      <c r="V43" s="255">
        <f ca="1">IF(NOW(),_xll.mirSwapPV($C$3,$C$4,$C$6,$G18,$C$7,$I18,$C$16,$C$17,$C$18,$C$19,$C$20,$C$21,$C$22,$C$26,$C$27,V$28,$D$16,$D$17,$D$18,$D$19,$D$20,$D$21,$D$22,$D$23,$D$24,$D$25,$D$26,$D$27,$C$8,$C$9,$C$10,$C$11,$C$12),"")</f>
        <v>-828602.24339946965</v>
      </c>
      <c r="W43" s="255">
        <f ca="1">IF(NOW(),_xll.mirSwapPV($C$3,$C$4,$C$6,$G18,$C$7,$I18,$C$16,$C$17,$C$18,$C$19,$C$20,$C$21,$C$22,$C$26,$C$27,W$28,$D$16,$D$17,$D$18,$D$19,$D$20,$D$21,$D$22,$D$23,$D$24,$D$25,$D$26,$D$27,$C$8,$C$9,$C$10,$C$11,$C$12),"")</f>
        <v>-1104802.9911992927</v>
      </c>
      <c r="X43" s="255">
        <f ca="1">IF(NOW(),_xll.mirSwapPV($C$3,$C$4,$C$6,$G18,$C$7,$I18,$C$16,$C$17,$C$18,$C$19,$C$20,$C$21,$C$22,$C$26,$C$27,X$28,$D$16,$D$17,$D$18,$D$19,$D$20,$D$21,$D$22,$D$23,$D$24,$D$25,$D$26,$D$27,$C$8,$C$9,$C$10,$C$11,$C$12),"")</f>
        <v>-1381003.7389991158</v>
      </c>
      <c r="Y43" s="229"/>
      <c r="AG43" s="224" t="s">
        <v>14</v>
      </c>
      <c r="AH43" s="255">
        <f ca="1">IF(NOW(),_xll.mirSwapPV($C$3,$C$4,$C$6,$AA18,$C$7,$AC18,$C$16,$C$17,$C$18,$C$19,$C$20,$C$21,$C$22,$C$26,$C$27,AH$28,$D$16,$D$17,$D$18,$D$19,$D$20,$D$21,$D$22,$D$23,$D$24,$D$25,$D$26,$D$27,$C$8,$C$9,$C$10,$D$11,$C$12),"")</f>
        <v>1381003.7389991141</v>
      </c>
      <c r="AI43" s="255">
        <f ca="1">IF(NOW(),_xll.mirSwapPV($C$3,$C$4,$C$6,$AA18,$C$7,$AC18,$C$16,$C$17,$C$18,$C$19,$C$20,$C$21,$C$22,$C$26,$C$27,AI$28,$D$16,$D$17,$D$18,$D$19,$D$20,$D$21,$D$22,$D$23,$D$24,$D$25,$D$26,$D$27,$C$8,$C$9,$C$10,$D$11,$C$12),"")</f>
        <v>1104802.9911992913</v>
      </c>
      <c r="AJ43" s="255">
        <f ca="1">IF(NOW(),_xll.mirSwapPV($C$3,$C$4,$C$6,$AA18,$C$7,$AC18,$C$16,$C$17,$C$18,$C$19,$C$20,$C$21,$C$22,$C$26,$C$27,AJ$28,$D$16,$D$17,$D$18,$D$19,$D$20,$D$21,$D$22,$D$23,$D$24,$D$25,$D$26,$D$27,$C$8,$C$9,$C$10,$D$11,$C$12),"")</f>
        <v>828602.24339946965</v>
      </c>
      <c r="AK43" s="255">
        <f ca="1">IF(NOW(),_xll.mirSwapPV($C$3,$C$4,$C$6,$AA18,$C$7,$AC18,$C$16,$C$17,$C$18,$C$19,$C$20,$C$21,$C$22,$C$26,$C$27,AK$28,$D$16,$D$17,$D$18,$D$19,$D$20,$D$21,$D$22,$D$23,$D$24,$D$25,$D$26,$D$27,$C$8,$C$9,$C$10,$D$11,$C$12),"")</f>
        <v>552401.49559964647</v>
      </c>
      <c r="AL43" s="255">
        <f ca="1">IF(NOW(),_xll.mirSwapPV($C$3,$C$4,$C$6,$AA18,$C$7,$AC18,$C$16,$C$17,$C$18,$C$19,$C$20,$C$21,$C$22,$C$26,$C$27,AL$28,$D$16,$D$17,$D$18,$D$19,$D$20,$D$21,$D$22,$D$23,$D$24,$D$25,$D$26,$D$27,$C$8,$C$9,$C$10,$D$11,$C$12),"")</f>
        <v>276200.74779982487</v>
      </c>
      <c r="AM43" s="255">
        <f ca="1">IF(NOW(),_xll.mirSwapPV($C$3,$C$4,$C$6,$AA18,$C$7,$AC18,$C$16,$C$17,$C$18,$C$19,$C$20,$C$21,$C$22,$C$26,$C$27,AM$28,$D$16,$D$17,$D$18,$D$19,$D$20,$D$21,$D$22,$D$23,$D$24,$D$25,$D$26,$D$27,$C$8,$C$9,$C$10,$D$11,$C$12),"")</f>
        <v>0</v>
      </c>
      <c r="AN43" s="255">
        <f ca="1">IF(NOW(),_xll.mirSwapPV($C$3,$C$4,$C$6,$AA18,$C$7,$AC18,$C$16,$C$17,$C$18,$C$19,$C$20,$C$21,$C$22,$C$26,$C$27,AN$28,$D$16,$D$17,$D$18,$D$19,$D$20,$D$21,$D$22,$D$23,$D$24,$D$25,$D$26,$D$27,$C$8,$C$9,$C$10,$D$11,$C$12),"")</f>
        <v>-276200.74779982283</v>
      </c>
      <c r="AO43" s="255">
        <f ca="1">IF(NOW(),_xll.mirSwapPV($C$3,$C$4,$C$6,$AA18,$C$7,$AC18,$C$16,$C$17,$C$18,$C$19,$C$20,$C$21,$C$22,$C$26,$C$27,AO$28,$D$16,$D$17,$D$18,$D$19,$D$20,$D$21,$D$22,$D$23,$D$24,$D$25,$D$26,$D$27,$C$8,$C$9,$C$10,$D$11,$C$12),"")</f>
        <v>-552401.49559964542</v>
      </c>
      <c r="AP43" s="255">
        <f ca="1">IF(NOW(),_xll.mirSwapPV($C$3,$C$4,$C$6,$AA18,$C$7,$AC18,$C$16,$C$17,$C$18,$C$19,$C$20,$C$21,$C$22,$C$26,$C$27,AP$28,$D$16,$D$17,$D$18,$D$19,$D$20,$D$21,$D$22,$D$23,$D$24,$D$25,$D$26,$D$27,$C$8,$C$9,$C$10,$D$11,$C$12),"")</f>
        <v>-828602.24339946848</v>
      </c>
      <c r="AQ43" s="255">
        <f ca="1">IF(NOW(),_xll.mirSwapPV($C$3,$C$4,$C$6,$AA18,$C$7,$AC18,$C$16,$C$17,$C$18,$C$19,$C$20,$C$21,$C$22,$C$26,$C$27,AQ$28,$D$16,$D$17,$D$18,$D$19,$D$20,$D$21,$D$22,$D$23,$D$24,$D$25,$D$26,$D$27,$C$8,$C$9,$C$10,$D$11,$C$12),"")</f>
        <v>-1104802.9911992911</v>
      </c>
      <c r="AR43" s="255">
        <f ca="1">IF(NOW(),_xll.mirSwapPV($C$3,$C$4,$C$6,$AA18,$C$7,$AC18,$C$16,$C$17,$C$18,$C$19,$C$20,$C$21,$C$22,$C$26,$C$27,AR$28,$D$16,$D$17,$D$18,$D$19,$D$20,$D$21,$D$22,$D$23,$D$24,$D$25,$D$26,$D$27,$C$8,$C$9,$C$10,$D$11,$C$12),"")</f>
        <v>-1381003.7389991141</v>
      </c>
    </row>
    <row r="44" spans="6:44">
      <c r="F44" s="230"/>
      <c r="G44" s="227"/>
      <c r="H44" s="229"/>
      <c r="I44" s="229"/>
      <c r="J44" s="229"/>
      <c r="K44" s="230"/>
      <c r="L44" s="230"/>
      <c r="M44" s="230"/>
      <c r="N44" s="255"/>
      <c r="O44" s="255"/>
      <c r="P44" s="255"/>
      <c r="Q44" s="255"/>
      <c r="R44" s="255"/>
      <c r="S44" s="255"/>
      <c r="T44" s="255"/>
      <c r="U44" s="255"/>
      <c r="V44" s="255"/>
      <c r="W44" s="255"/>
      <c r="X44" s="255"/>
      <c r="Y44" s="229"/>
      <c r="AG44" s="230"/>
      <c r="AH44" s="255"/>
      <c r="AI44" s="255"/>
      <c r="AJ44" s="255"/>
      <c r="AK44" s="255"/>
      <c r="AL44" s="255"/>
      <c r="AM44" s="255"/>
      <c r="AN44" s="255"/>
      <c r="AO44" s="255"/>
      <c r="AP44" s="255"/>
      <c r="AQ44" s="255"/>
      <c r="AR44" s="255"/>
    </row>
    <row r="45" spans="6:44">
      <c r="F45" s="230"/>
      <c r="G45" s="227"/>
      <c r="H45" s="229"/>
      <c r="I45" s="229"/>
      <c r="J45" s="229"/>
      <c r="K45" s="230"/>
      <c r="L45" s="230"/>
      <c r="M45" s="230"/>
      <c r="N45" s="255"/>
      <c r="O45" s="255"/>
      <c r="P45" s="255"/>
      <c r="Q45" s="255"/>
      <c r="R45" s="255"/>
      <c r="S45" s="255"/>
      <c r="T45" s="255"/>
      <c r="U45" s="255"/>
      <c r="V45" s="255"/>
      <c r="W45" s="255"/>
      <c r="X45" s="255"/>
      <c r="Y45" s="229"/>
      <c r="AG45" s="230"/>
      <c r="AH45" s="255"/>
      <c r="AI45" s="255"/>
      <c r="AJ45" s="255"/>
      <c r="AK45" s="255"/>
      <c r="AL45" s="255"/>
      <c r="AM45" s="255"/>
      <c r="AN45" s="255"/>
      <c r="AO45" s="255"/>
      <c r="AP45" s="255"/>
      <c r="AQ45" s="255"/>
      <c r="AR45" s="255"/>
    </row>
    <row r="46" spans="6:44">
      <c r="F46" s="230"/>
      <c r="G46" s="227"/>
      <c r="H46" s="229"/>
      <c r="I46" s="229"/>
      <c r="J46" s="229"/>
      <c r="K46" s="230"/>
      <c r="L46" s="230"/>
      <c r="M46" s="230"/>
      <c r="N46" s="255"/>
      <c r="O46" s="255"/>
      <c r="P46" s="255"/>
      <c r="Q46" s="255"/>
      <c r="R46" s="255"/>
      <c r="S46" s="255"/>
      <c r="T46" s="255"/>
      <c r="U46" s="255"/>
      <c r="V46" s="255"/>
      <c r="W46" s="255"/>
      <c r="X46" s="255"/>
      <c r="Y46" s="229"/>
      <c r="AG46" s="230"/>
      <c r="AH46" s="255"/>
      <c r="AI46" s="255"/>
      <c r="AJ46" s="255"/>
      <c r="AK46" s="255"/>
      <c r="AL46" s="255"/>
      <c r="AM46" s="255"/>
      <c r="AN46" s="255"/>
      <c r="AO46" s="255"/>
      <c r="AP46" s="255"/>
      <c r="AQ46" s="255"/>
      <c r="AR46" s="255"/>
    </row>
    <row r="47" spans="6:44">
      <c r="F47" s="230"/>
      <c r="G47" s="227"/>
      <c r="H47" s="229"/>
      <c r="I47" s="229"/>
      <c r="J47" s="229"/>
      <c r="K47" s="230"/>
      <c r="L47" s="230"/>
      <c r="M47" s="230"/>
      <c r="N47" s="255"/>
      <c r="O47" s="255"/>
      <c r="P47" s="255"/>
      <c r="Q47" s="255"/>
      <c r="R47" s="255"/>
      <c r="S47" s="255"/>
      <c r="T47" s="255"/>
      <c r="U47" s="255"/>
      <c r="V47" s="255"/>
      <c r="W47" s="255"/>
      <c r="X47" s="255"/>
      <c r="Y47" s="229"/>
      <c r="AG47" s="230"/>
      <c r="AH47" s="255"/>
      <c r="AI47" s="255"/>
      <c r="AJ47" s="255"/>
      <c r="AK47" s="255"/>
      <c r="AL47" s="255"/>
      <c r="AM47" s="255"/>
      <c r="AN47" s="255"/>
      <c r="AO47" s="255"/>
      <c r="AP47" s="255"/>
      <c r="AQ47" s="255"/>
      <c r="AR47" s="255"/>
    </row>
    <row r="48" spans="6:44">
      <c r="F48" s="230"/>
      <c r="G48" s="227"/>
      <c r="H48" s="229"/>
      <c r="I48" s="229"/>
      <c r="J48" s="224"/>
      <c r="K48" s="224"/>
      <c r="L48" s="224"/>
      <c r="M48" s="224"/>
      <c r="Y48" s="224"/>
    </row>
    <row r="49" spans="2:44">
      <c r="F49" s="224"/>
      <c r="G49" s="224"/>
      <c r="H49" s="224"/>
      <c r="I49" s="224"/>
      <c r="J49" s="224"/>
      <c r="K49" s="230"/>
      <c r="L49" s="230"/>
      <c r="M49" s="230"/>
      <c r="N49" s="224"/>
      <c r="O49" s="224"/>
      <c r="P49" s="224"/>
      <c r="Q49" s="224"/>
      <c r="R49" s="224"/>
      <c r="S49" s="224"/>
      <c r="T49" s="224"/>
      <c r="U49" s="224"/>
      <c r="V49" s="224"/>
      <c r="W49" s="224"/>
      <c r="X49" s="224"/>
      <c r="Y49" s="224"/>
      <c r="AD49" s="10"/>
    </row>
    <row r="50" spans="2:44">
      <c r="B50" t="s">
        <v>2</v>
      </c>
      <c r="F50" t="s">
        <v>461</v>
      </c>
      <c r="G50" s="217"/>
      <c r="J50" t="s">
        <v>463</v>
      </c>
      <c r="K50" s="259" t="b">
        <f>$C$11</f>
        <v>1</v>
      </c>
      <c r="M50" s="219" t="s">
        <v>460</v>
      </c>
      <c r="N50" s="219"/>
      <c r="O50" s="229"/>
      <c r="P50" s="252"/>
      <c r="Q50" s="252"/>
      <c r="R50" s="229"/>
      <c r="S50" s="229" t="s">
        <v>459</v>
      </c>
      <c r="T50" s="229"/>
      <c r="U50" s="229"/>
      <c r="V50" s="229"/>
      <c r="W50" t="s">
        <v>463</v>
      </c>
      <c r="X50" s="259" t="b">
        <f>$C$11</f>
        <v>1</v>
      </c>
      <c r="Z50" t="s">
        <v>461</v>
      </c>
      <c r="AA50" s="217"/>
      <c r="AD50" t="s">
        <v>463</v>
      </c>
      <c r="AE50" s="259" t="b">
        <f>$D$11</f>
        <v>0</v>
      </c>
      <c r="AG50" s="219" t="s">
        <v>460</v>
      </c>
      <c r="AH50" s="219"/>
      <c r="AI50" s="229"/>
      <c r="AJ50" s="252"/>
      <c r="AK50" s="252"/>
      <c r="AL50" s="229"/>
      <c r="AM50" s="229" t="s">
        <v>459</v>
      </c>
      <c r="AN50" s="229"/>
      <c r="AO50" s="229"/>
      <c r="AP50" s="229"/>
      <c r="AQ50" t="s">
        <v>463</v>
      </c>
      <c r="AR50" s="259" t="b">
        <f>$D$11</f>
        <v>0</v>
      </c>
    </row>
    <row r="51" spans="2:44">
      <c r="B51" s="221" t="s">
        <v>424</v>
      </c>
      <c r="C51" s="222">
        <v>1000000</v>
      </c>
      <c r="D51" s="223"/>
      <c r="F51" s="224" t="s">
        <v>76</v>
      </c>
      <c r="G51" s="224" t="s">
        <v>425</v>
      </c>
      <c r="H51" s="224" t="s">
        <v>426</v>
      </c>
      <c r="I51" s="224" t="s">
        <v>428</v>
      </c>
      <c r="J51" s="224" t="s">
        <v>465</v>
      </c>
      <c r="K51" s="224" t="s">
        <v>427</v>
      </c>
      <c r="L51" s="224"/>
      <c r="M51" s="224" t="s">
        <v>76</v>
      </c>
      <c r="N51" s="256">
        <v>-0.05</v>
      </c>
      <c r="O51" s="256">
        <f>N51+1%</f>
        <v>-0.04</v>
      </c>
      <c r="P51" s="256">
        <f t="shared" ref="P51:X51" si="8">O51+1%</f>
        <v>-0.03</v>
      </c>
      <c r="Q51" s="256">
        <f t="shared" si="8"/>
        <v>-1.9999999999999997E-2</v>
      </c>
      <c r="R51" s="256">
        <f t="shared" si="8"/>
        <v>-9.9999999999999967E-3</v>
      </c>
      <c r="S51" s="256">
        <f t="shared" si="8"/>
        <v>0</v>
      </c>
      <c r="T51" s="256">
        <f t="shared" si="8"/>
        <v>0.01</v>
      </c>
      <c r="U51" s="256">
        <f t="shared" si="8"/>
        <v>0.02</v>
      </c>
      <c r="V51" s="256">
        <f t="shared" si="8"/>
        <v>0.03</v>
      </c>
      <c r="W51" s="256">
        <f t="shared" si="8"/>
        <v>0.04</v>
      </c>
      <c r="X51" s="256">
        <f t="shared" si="8"/>
        <v>0.05</v>
      </c>
      <c r="Z51" s="224" t="s">
        <v>76</v>
      </c>
      <c r="AA51" s="224" t="s">
        <v>425</v>
      </c>
      <c r="AB51" s="224" t="s">
        <v>426</v>
      </c>
      <c r="AC51" s="224" t="s">
        <v>428</v>
      </c>
      <c r="AD51" s="224" t="s">
        <v>465</v>
      </c>
      <c r="AE51" s="224" t="s">
        <v>427</v>
      </c>
      <c r="AG51" s="224" t="s">
        <v>76</v>
      </c>
      <c r="AH51" s="256">
        <v>-0.05</v>
      </c>
      <c r="AI51" s="256">
        <f>AH51+1%</f>
        <v>-0.04</v>
      </c>
      <c r="AJ51" s="256">
        <f t="shared" ref="AJ51:AR51" si="9">AI51+1%</f>
        <v>-0.03</v>
      </c>
      <c r="AK51" s="256">
        <f t="shared" si="9"/>
        <v>-1.9999999999999997E-2</v>
      </c>
      <c r="AL51" s="256">
        <f t="shared" si="9"/>
        <v>-9.9999999999999967E-3</v>
      </c>
      <c r="AM51" s="256">
        <f t="shared" si="9"/>
        <v>0</v>
      </c>
      <c r="AN51" s="256">
        <f t="shared" si="9"/>
        <v>0.01</v>
      </c>
      <c r="AO51" s="256">
        <f t="shared" si="9"/>
        <v>0.02</v>
      </c>
      <c r="AP51" s="256">
        <f t="shared" si="9"/>
        <v>0.03</v>
      </c>
      <c r="AQ51" s="256">
        <f t="shared" si="9"/>
        <v>0.04</v>
      </c>
      <c r="AR51" s="256">
        <f t="shared" si="9"/>
        <v>0.05</v>
      </c>
    </row>
    <row r="52" spans="2:44">
      <c r="B52" s="225" t="s">
        <v>429</v>
      </c>
      <c r="C52" s="226" t="s">
        <v>473</v>
      </c>
      <c r="D52" s="223"/>
      <c r="F52" s="227" t="s">
        <v>35</v>
      </c>
      <c r="G52" s="227">
        <f>_xll.mirGetDate($C$6,F52)</f>
        <v>43661</v>
      </c>
      <c r="H52" s="260">
        <f>H4</f>
        <v>1.5833E-2</v>
      </c>
      <c r="I52" s="229">
        <f ca="1">IF(NOW(),_xll.mirGetParRate4($C$54,$G52,$C$55,$C$64,$C$65,$C$66,$C$67,$C$68,$C$69,$C$70,$C$74,$C$75,$D$64,$D$65,$D$66,$D$67,$D$68,$D$69,$D$70,$D$71,$D$72,$D$73,$D$74,$D$75,$C$56,$C$57,$C$58,$C$59,$C$60),"")</f>
        <v>1.5833000341494201E-2</v>
      </c>
      <c r="J52" s="229">
        <f t="shared" ref="J52:J70" ca="1" si="10">I52-H52</f>
        <v>3.4149420097273619E-10</v>
      </c>
      <c r="K52" s="230">
        <f t="shared" ref="K52:K70" ca="1" si="11">(I52-H52)*10000</f>
        <v>3.4149420097273619E-6</v>
      </c>
      <c r="L52" s="230" t="s">
        <v>12</v>
      </c>
      <c r="M52" s="227" t="s">
        <v>35</v>
      </c>
      <c r="N52" s="255">
        <f ca="1">IF(NOW(),_xll.mirSwapPV($C$51,$C$52,$C$54,$G52,$C$55,$I52+N$51,$C$64,$C$65,$C$66,$C$67,$C$68,$C$69,$C$70,$C$74,$C$75,$D$63,$D$64,$D$65,$D$66,$D$67,$D$68,$D$69,$D$70,$D$71,$D$72,$D$73,$D$74,$D$75,$C$56,$C$57,$C$58,$C$59,$C$60),"")</f>
        <v>-195562.52171450306</v>
      </c>
      <c r="O52" s="255">
        <f ca="1">IF(NOW(),_xll.mirSwapPV($C$51,$C$52,$C$54,$G52,$C$55,$I52+O$51,$C$64,$C$65,$C$66,$C$67,$C$68,$C$69,$C$70,$C$74,$C$75,$D$63,$D$64,$D$65,$D$66,$D$67,$D$68,$D$69,$D$70,$D$71,$D$72,$D$73,$D$74,$D$75,$C$56,$C$57,$C$58,$C$59,$C$60),"")</f>
        <v>-156450.01737160247</v>
      </c>
      <c r="P52" s="255">
        <f ca="1">IF(NOW(),_xll.mirSwapPV($C$51,$C$52,$C$54,$G52,$C$55,$I52+P$51,$C$64,$C$65,$C$66,$C$67,$C$68,$C$69,$C$70,$C$74,$C$75,$D$63,$D$64,$D$65,$D$66,$D$67,$D$68,$D$69,$D$70,$D$71,$D$72,$D$73,$D$74,$D$75,$C$56,$C$57,$C$58,$C$59,$C$60),"")</f>
        <v>-117337.51302870184</v>
      </c>
      <c r="Q52" s="255">
        <f ca="1">IF(NOW(),_xll.mirSwapPV($C$51,$C$52,$C$54,$G52,$C$55,$I52+Q$51,$C$64,$C$65,$C$66,$C$67,$C$68,$C$69,$C$70,$C$74,$C$75,$D$63,$D$64,$D$65,$D$66,$D$67,$D$68,$D$69,$D$70,$D$71,$D$72,$D$73,$D$74,$D$75,$C$56,$C$57,$C$58,$C$59,$C$60),"")</f>
        <v>-78225.008685801222</v>
      </c>
      <c r="R52" s="255">
        <f ca="1">IF(NOW(),_xll.mirSwapPV($C$51,$C$52,$C$54,$G52,$C$55,$I52+R$51,$C$64,$C$65,$C$66,$C$67,$C$68,$C$69,$C$70,$C$74,$C$75,$D$63,$D$64,$D$65,$D$66,$D$67,$D$68,$D$69,$D$70,$D$71,$D$72,$D$73,$D$74,$D$75,$C$56,$C$57,$C$58,$C$59,$C$60),"")</f>
        <v>-39112.504342900604</v>
      </c>
      <c r="S52" s="255">
        <f ca="1">IF(NOW(),_xll.mirSwapPV($C$51,$C$52,$C$54,$G52,$C$55,$I52+S$51,$C$64,$C$65,$C$66,$C$67,$C$68,$C$69,$C$70,$C$74,$C$75,$D$63,$D$64,$D$65,$D$66,$D$67,$D$68,$D$69,$D$70,$D$71,$D$72,$D$73,$D$74,$D$75,$C$56,$C$57,$C$58,$C$59,$C$60),"")</f>
        <v>-6.9388939039072284E-12</v>
      </c>
      <c r="T52" s="255">
        <f ca="1">IF(NOW(),_xll.mirSwapPV($C$51,$C$52,$C$54,$G52,$C$55,$I52+T$51,$C$64,$C$65,$C$66,$C$67,$C$68,$C$69,$C$70,$C$74,$C$75,$D$63,$D$64,$D$65,$D$66,$D$67,$D$68,$D$69,$D$70,$D$71,$D$72,$D$73,$D$74,$D$75,$C$56,$C$57,$C$58,$C$59,$C$60),"")</f>
        <v>39112.504342900611</v>
      </c>
      <c r="U52" s="255">
        <f ca="1">IF(NOW(),_xll.mirSwapPV($C$51,$C$52,$C$54,$G52,$C$55,$I52+U$51,$C$64,$C$65,$C$66,$C$67,$C$68,$C$69,$C$70,$C$74,$C$75,$D$63,$D$64,$D$65,$D$66,$D$67,$D$68,$D$69,$D$70,$D$71,$D$72,$D$73,$D$74,$D$75,$C$56,$C$57,$C$58,$C$59,$C$60),"")</f>
        <v>78225.008685801207</v>
      </c>
      <c r="V52" s="255">
        <f ca="1">IF(NOW(),_xll.mirSwapPV($C$51,$C$52,$C$54,$G52,$C$55,$I52+V$51,$C$64,$C$65,$C$66,$C$67,$C$68,$C$69,$C$70,$C$74,$C$75,$D$63,$D$64,$D$65,$D$66,$D$67,$D$68,$D$69,$D$70,$D$71,$D$72,$D$73,$D$74,$D$75,$C$56,$C$57,$C$58,$C$59,$C$60),"")</f>
        <v>117337.51302870183</v>
      </c>
      <c r="W52" s="255">
        <f ca="1">IF(NOW(),_xll.mirSwapPV($C$51,$C$52,$C$54,$G52,$C$55,$I52+W$51,$C$64,$C$65,$C$66,$C$67,$C$68,$C$69,$C$70,$C$74,$C$75,$D$63,$D$64,$D$65,$D$66,$D$67,$D$68,$D$69,$D$70,$D$71,$D$72,$D$73,$D$74,$D$75,$C$56,$C$57,$C$58,$C$59,$C$60),"")</f>
        <v>156450.01737160244</v>
      </c>
      <c r="X52" s="255">
        <f ca="1">IF(NOW(),_xll.mirSwapPV($C$51,$C$52,$C$54,$G52,$C$55,$I52+X$51,$C$64,$C$65,$C$66,$C$67,$C$68,$C$69,$C$70,$C$74,$C$75,$D$63,$D$64,$D$65,$D$66,$D$67,$D$68,$D$69,$D$70,$D$71,$D$72,$D$73,$D$74,$D$75,$C$56,$C$57,$C$58,$C$59,$C$60),"")</f>
        <v>195562.52171450303</v>
      </c>
      <c r="Y52" s="230" t="s">
        <v>12</v>
      </c>
      <c r="Z52" s="227" t="s">
        <v>35</v>
      </c>
      <c r="AA52" s="227">
        <f>_xll.mirGetDate($C$6,Z52)</f>
        <v>43661</v>
      </c>
      <c r="AB52" s="260">
        <f>H52</f>
        <v>1.5833E-2</v>
      </c>
      <c r="AC52" s="229">
        <f ca="1">IF(NOW(),_xll.mirGetParRate4($C$54,$AA52,$C$55,$C$64,$C$65,$C$66,$C$67,$C$68,$C$69,$C$70,$C$74,$C$75,$D$64,$D$65,$D$66,$D$67,$D$68,$D$69,$D$70,$D$71,$D$72,$D$73,$D$74,$D$75,$C$56,$C$57,$C$58,$D$59,$C$60),"")</f>
        <v>1.5833000341494211E-2</v>
      </c>
      <c r="AD52" s="229">
        <f t="shared" ref="AD52:AD70" ca="1" si="12">AC52-AB52</f>
        <v>3.4149421138107705E-10</v>
      </c>
      <c r="AE52" s="230">
        <f t="shared" ref="AE52:AE70" ca="1" si="13">(AC52-AB52)*10000</f>
        <v>3.4149421138107705E-6</v>
      </c>
      <c r="AG52" s="227" t="s">
        <v>35</v>
      </c>
      <c r="AH52" s="255">
        <f ca="1">IF(NOW(),_xll.mirSwapPV($C$51,$C$52,$C$54,$AA52,$C$55,$AC52+AH$51,$C$64,$C$65,$C$66,$C$67,$C$68,$C$69,$C$70,$C$74,$C$75,$D$63,$D$64,$D$65,$D$66,$D$67,$D$68,$D$69,$D$70,$D$71,$D$72,$D$73,$D$74,$D$75,$C$56,$C$57,$C$58,$D$59,$C$60),"")</f>
        <v>-195562.52171450306</v>
      </c>
      <c r="AI52" s="255">
        <f ca="1">IF(NOW(),_xll.mirSwapPV($C$51,$C$52,$C$54,$AA52,$C$55,$AC52+AI$51,$C$64,$C$65,$C$66,$C$67,$C$68,$C$69,$C$70,$C$74,$C$75,$D$63,$D$64,$D$65,$D$66,$D$67,$D$68,$D$69,$D$70,$D$71,$D$72,$D$73,$D$74,$D$75,$C$56,$C$57,$C$58,$D$59,$C$60),"")</f>
        <v>-156450.01737160247</v>
      </c>
      <c r="AJ52" s="255">
        <f ca="1">IF(NOW(),_xll.mirSwapPV($C$51,$C$52,$C$54,$AA52,$C$55,$AC52+AJ$51,$C$64,$C$65,$C$66,$C$67,$C$68,$C$69,$C$70,$C$74,$C$75,$D$63,$D$64,$D$65,$D$66,$D$67,$D$68,$D$69,$D$70,$D$71,$D$72,$D$73,$D$74,$D$75,$C$56,$C$57,$C$58,$D$59,$C$60),"")</f>
        <v>-117337.51302870183</v>
      </c>
      <c r="AK52" s="255">
        <f ca="1">IF(NOW(),_xll.mirSwapPV($C$51,$C$52,$C$54,$AA52,$C$55,$AC52+AK$51,$C$64,$C$65,$C$66,$C$67,$C$68,$C$69,$C$70,$C$74,$C$75,$D$63,$D$64,$D$65,$D$66,$D$67,$D$68,$D$69,$D$70,$D$71,$D$72,$D$73,$D$74,$D$75,$C$56,$C$57,$C$58,$D$59,$C$60),"")</f>
        <v>-78225.008685801207</v>
      </c>
      <c r="AL52" s="255">
        <f ca="1">IF(NOW(),_xll.mirSwapPV($C$51,$C$52,$C$54,$AA52,$C$55,$AC52+AL$51,$C$64,$C$65,$C$66,$C$67,$C$68,$C$69,$C$70,$C$74,$C$75,$D$63,$D$64,$D$65,$D$66,$D$67,$D$68,$D$69,$D$70,$D$71,$D$72,$D$73,$D$74,$D$75,$C$56,$C$57,$C$58,$D$59,$C$60),"")</f>
        <v>-39112.504342900604</v>
      </c>
      <c r="AM52" s="255">
        <f ca="1">IF(NOW(),_xll.mirSwapPV($C$51,$C$52,$C$54,$AA52,$C$55,$AC52+AM$51,$C$64,$C$65,$C$66,$C$67,$C$68,$C$69,$C$70,$C$74,$C$75,$D$63,$D$64,$D$65,$D$66,$D$67,$D$68,$D$69,$D$70,$D$71,$D$72,$D$73,$D$74,$D$75,$C$56,$C$57,$C$58,$D$59,$C$60),"")</f>
        <v>0</v>
      </c>
      <c r="AN52" s="255">
        <f ca="1">IF(NOW(),_xll.mirSwapPV($C$51,$C$52,$C$54,$AA52,$C$55,$AC52+AN$51,$C$64,$C$65,$C$66,$C$67,$C$68,$C$69,$C$70,$C$74,$C$75,$D$63,$D$64,$D$65,$D$66,$D$67,$D$68,$D$69,$D$70,$D$71,$D$72,$D$73,$D$74,$D$75,$C$56,$C$57,$C$58,$D$59,$C$60),"")</f>
        <v>39112.504342900604</v>
      </c>
      <c r="AO52" s="255">
        <f ca="1">IF(NOW(),_xll.mirSwapPV($C$51,$C$52,$C$54,$AA52,$C$55,$AC52+AO$51,$C$64,$C$65,$C$66,$C$67,$C$68,$C$69,$C$70,$C$74,$C$75,$D$63,$D$64,$D$65,$D$66,$D$67,$D$68,$D$69,$D$70,$D$71,$D$72,$D$73,$D$74,$D$75,$C$56,$C$57,$C$58,$D$59,$C$60),"")</f>
        <v>78225.008685801222</v>
      </c>
      <c r="AP52" s="255">
        <f ca="1">IF(NOW(),_xll.mirSwapPV($C$51,$C$52,$C$54,$AA52,$C$55,$AC52+AP$51,$C$64,$C$65,$C$66,$C$67,$C$68,$C$69,$C$70,$C$74,$C$75,$D$63,$D$64,$D$65,$D$66,$D$67,$D$68,$D$69,$D$70,$D$71,$D$72,$D$73,$D$74,$D$75,$C$56,$C$57,$C$58,$D$59,$C$60),"")</f>
        <v>117337.51302870181</v>
      </c>
      <c r="AQ52" s="255">
        <f ca="1">IF(NOW(),_xll.mirSwapPV($C$51,$C$52,$C$54,$AA52,$C$55,$AC52+AQ$51,$C$64,$C$65,$C$66,$C$67,$C$68,$C$69,$C$70,$C$74,$C$75,$D$63,$D$64,$D$65,$D$66,$D$67,$D$68,$D$69,$D$70,$D$71,$D$72,$D$73,$D$74,$D$75,$C$56,$C$57,$C$58,$D$59,$C$60),"")</f>
        <v>156450.01737160247</v>
      </c>
      <c r="AR52" s="255">
        <f ca="1">IF(NOW(),_xll.mirSwapPV($C$51,$C$52,$C$54,$AA52,$C$55,$AC52+AR$51,$C$64,$C$65,$C$66,$C$67,$C$68,$C$69,$C$70,$C$74,$C$75,$D$63,$D$64,$D$65,$D$66,$D$67,$D$68,$D$69,$D$70,$D$71,$D$72,$D$73,$D$74,$D$75,$C$56,$C$57,$C$58,$D$59,$C$60),"")</f>
        <v>195562.52171450306</v>
      </c>
    </row>
    <row r="53" spans="2:44">
      <c r="B53" s="231"/>
      <c r="C53" s="231"/>
      <c r="D53" s="232"/>
      <c r="F53" s="224" t="s">
        <v>33</v>
      </c>
      <c r="G53" s="227">
        <f>_xll.mirGetDate($C$6,F53)</f>
        <v>44027</v>
      </c>
      <c r="H53" s="260">
        <f t="shared" ref="H53:H70" si="14">H5</f>
        <v>1.8329999999999999E-2</v>
      </c>
      <c r="I53" s="229">
        <f ca="1">IF(NOW(),_xll.mirGetParRate4($C$54,$G53,$C$55,$C$64,$C$65,$C$66,$C$67,$C$68,$C$69,$C$70,$C$74,$C$75,$D$64,$D$65,$D$66,$D$67,$D$68,$D$69,$D$70,$D$71,$D$72,$D$73,$D$74,$D$75,$C$56,$C$57,$C$58,$C$59,$C$60),"")</f>
        <v>1.8329999933707691E-2</v>
      </c>
      <c r="J53" s="229">
        <f t="shared" ca="1" si="10"/>
        <v>-6.6292308448234749E-11</v>
      </c>
      <c r="K53" s="230">
        <f t="shared" ca="1" si="11"/>
        <v>-6.6292308448234749E-7</v>
      </c>
      <c r="L53" s="230" t="s">
        <v>12</v>
      </c>
      <c r="M53" s="224" t="s">
        <v>33</v>
      </c>
      <c r="N53" s="255">
        <f ca="1">IF(NOW(),_xll.mirSwapPV($C$51,$C$52,$C$54,$G53,$C$55,$I53+N$51,$C$64,$C$65,$C$66,$C$67,$C$68,$C$69,$C$70,$C$74,$C$75,$D$63,$D$64,$D$65,$D$66,$D$67,$D$68,$D$69,$D$70,$D$71,$D$72,$D$73,$D$74,$D$75,$C$56,$C$57,$C$58,$C$59,$C$60),"")</f>
        <v>-241983.52432274871</v>
      </c>
      <c r="O53" s="255">
        <f ca="1">IF(NOW(),_xll.mirSwapPV($C$51,$C$52,$C$54,$G53,$C$55,$I53+O$51,$C$64,$C$65,$C$66,$C$67,$C$68,$C$69,$C$70,$C$74,$C$75,$D$63,$D$64,$D$65,$D$66,$D$67,$D$68,$D$69,$D$70,$D$71,$D$72,$D$73,$D$74,$D$75,$C$56,$C$57,$C$58,$C$59,$C$60),"")</f>
        <v>-193586.819458199</v>
      </c>
      <c r="P53" s="255">
        <f ca="1">IF(NOW(),_xll.mirSwapPV($C$51,$C$52,$C$54,$G53,$C$55,$I53+P$51,$C$64,$C$65,$C$66,$C$67,$C$68,$C$69,$C$70,$C$74,$C$75,$D$63,$D$64,$D$65,$D$66,$D$67,$D$68,$D$69,$D$70,$D$71,$D$72,$D$73,$D$74,$D$75,$C$56,$C$57,$C$58,$C$59,$C$60),"")</f>
        <v>-145190.11459364922</v>
      </c>
      <c r="Q53" s="255">
        <f ca="1">IF(NOW(),_xll.mirSwapPV($C$51,$C$52,$C$54,$G53,$C$55,$I53+Q$51,$C$64,$C$65,$C$66,$C$67,$C$68,$C$69,$C$70,$C$74,$C$75,$D$63,$D$64,$D$65,$D$66,$D$67,$D$68,$D$69,$D$70,$D$71,$D$72,$D$73,$D$74,$D$75,$C$56,$C$57,$C$58,$C$59,$C$60),"")</f>
        <v>-96793.409729099469</v>
      </c>
      <c r="R53" s="255">
        <f ca="1">IF(NOW(),_xll.mirSwapPV($C$51,$C$52,$C$54,$G53,$C$55,$I53+R$51,$C$64,$C$65,$C$66,$C$67,$C$68,$C$69,$C$70,$C$74,$C$75,$D$63,$D$64,$D$65,$D$66,$D$67,$D$68,$D$69,$D$70,$D$71,$D$72,$D$73,$D$74,$D$75,$C$56,$C$57,$C$58,$C$59,$C$60),"")</f>
        <v>-48396.70486454972</v>
      </c>
      <c r="S53" s="255">
        <f ca="1">IF(NOW(),_xll.mirSwapPV($C$51,$C$52,$C$54,$G53,$C$55,$I53+S$51,$C$64,$C$65,$C$66,$C$67,$C$68,$C$69,$C$70,$C$74,$C$75,$D$63,$D$64,$D$65,$D$66,$D$67,$D$68,$D$69,$D$70,$D$71,$D$72,$D$73,$D$74,$D$75,$C$56,$C$57,$C$58,$C$59,$C$60),"")</f>
        <v>1.3877787807814457E-11</v>
      </c>
      <c r="T53" s="255">
        <f ca="1">IF(NOW(),_xll.mirSwapPV($C$51,$C$52,$C$54,$G53,$C$55,$I53+T$51,$C$64,$C$65,$C$66,$C$67,$C$68,$C$69,$C$70,$C$74,$C$75,$D$63,$D$64,$D$65,$D$66,$D$67,$D$68,$D$69,$D$70,$D$71,$D$72,$D$73,$D$74,$D$75,$C$56,$C$57,$C$58,$C$59,$C$60),"")</f>
        <v>48396.704864549749</v>
      </c>
      <c r="U53" s="255">
        <f ca="1">IF(NOW(),_xll.mirSwapPV($C$51,$C$52,$C$54,$G53,$C$55,$I53+U$51,$C$64,$C$65,$C$66,$C$67,$C$68,$C$69,$C$70,$C$74,$C$75,$D$63,$D$64,$D$65,$D$66,$D$67,$D$68,$D$69,$D$70,$D$71,$D$72,$D$73,$D$74,$D$75,$C$56,$C$57,$C$58,$C$59,$C$60),"")</f>
        <v>96793.409729099498</v>
      </c>
      <c r="V53" s="255">
        <f ca="1">IF(NOW(),_xll.mirSwapPV($C$51,$C$52,$C$54,$G53,$C$55,$I53+V$51,$C$64,$C$65,$C$66,$C$67,$C$68,$C$69,$C$70,$C$74,$C$75,$D$63,$D$64,$D$65,$D$66,$D$67,$D$68,$D$69,$D$70,$D$71,$D$72,$D$73,$D$74,$D$75,$C$56,$C$57,$C$58,$C$59,$C$60),"")</f>
        <v>145190.11459364928</v>
      </c>
      <c r="W53" s="255">
        <f ca="1">IF(NOW(),_xll.mirSwapPV($C$51,$C$52,$C$54,$G53,$C$55,$I53+W$51,$C$64,$C$65,$C$66,$C$67,$C$68,$C$69,$C$70,$C$74,$C$75,$D$63,$D$64,$D$65,$D$66,$D$67,$D$68,$D$69,$D$70,$D$71,$D$72,$D$73,$D$74,$D$75,$C$56,$C$57,$C$58,$C$59,$C$60),"")</f>
        <v>193586.81945819897</v>
      </c>
      <c r="X53" s="255">
        <f ca="1">IF(NOW(),_xll.mirSwapPV($C$51,$C$52,$C$54,$G53,$C$55,$I53+X$51,$C$64,$C$65,$C$66,$C$67,$C$68,$C$69,$C$70,$C$74,$C$75,$D$63,$D$64,$D$65,$D$66,$D$67,$D$68,$D$69,$D$70,$D$71,$D$72,$D$73,$D$74,$D$75,$C$56,$C$57,$C$58,$C$59,$C$60),"")</f>
        <v>241983.5243227488</v>
      </c>
      <c r="Y53" s="230" t="s">
        <v>12</v>
      </c>
      <c r="Z53" s="224" t="s">
        <v>33</v>
      </c>
      <c r="AA53" s="227">
        <f>_xll.mirGetDate($C$6,Z53)</f>
        <v>44027</v>
      </c>
      <c r="AB53" s="260">
        <f t="shared" ref="AB53:AB70" si="15">H53</f>
        <v>1.8329999999999999E-2</v>
      </c>
      <c r="AC53" s="229">
        <f ca="1">IF(NOW(),_xll.mirGetParRate4($C$54,$AA53,$C$55,$C$64,$C$65,$C$66,$C$67,$C$68,$C$69,$C$70,$C$74,$C$75,$D$64,$D$65,$D$66,$D$67,$D$68,$D$69,$D$70,$D$71,$D$72,$D$73,$D$74,$D$75,$C$56,$C$57,$C$58,$D$59,$C$60),"")</f>
        <v>1.832999993370767E-2</v>
      </c>
      <c r="AD53" s="229">
        <f t="shared" ca="1" si="12"/>
        <v>-6.6292329264916461E-11</v>
      </c>
      <c r="AE53" s="230">
        <f t="shared" ca="1" si="13"/>
        <v>-6.6292329264916461E-7</v>
      </c>
      <c r="AG53" s="224" t="s">
        <v>33</v>
      </c>
      <c r="AH53" s="255">
        <f ca="1">IF(NOW(),_xll.mirSwapPV($C$51,$C$52,$C$54,$AA53,$C$55,$AC53+AH$51,$C$64,$C$65,$C$66,$C$67,$C$68,$C$69,$C$70,$C$74,$C$75,$D$63,$D$64,$D$65,$D$66,$D$67,$D$68,$D$69,$D$70,$D$71,$D$72,$D$73,$D$74,$D$75,$C$56,$C$57,$C$58,$D$59,$C$60),"")</f>
        <v>-241983.52432274877</v>
      </c>
      <c r="AI53" s="255">
        <f ca="1">IF(NOW(),_xll.mirSwapPV($C$51,$C$52,$C$54,$AA53,$C$55,$AC53+AI$51,$C$64,$C$65,$C$66,$C$67,$C$68,$C$69,$C$70,$C$74,$C$75,$D$63,$D$64,$D$65,$D$66,$D$67,$D$68,$D$69,$D$70,$D$71,$D$72,$D$73,$D$74,$D$75,$C$56,$C$57,$C$58,$D$59,$C$60),"")</f>
        <v>-193586.819458199</v>
      </c>
      <c r="AJ53" s="255">
        <f ca="1">IF(NOW(),_xll.mirSwapPV($C$51,$C$52,$C$54,$AA53,$C$55,$AC53+AJ$51,$C$64,$C$65,$C$66,$C$67,$C$68,$C$69,$C$70,$C$74,$C$75,$D$63,$D$64,$D$65,$D$66,$D$67,$D$68,$D$69,$D$70,$D$71,$D$72,$D$73,$D$74,$D$75,$C$56,$C$57,$C$58,$D$59,$C$60),"")</f>
        <v>-145190.11459364922</v>
      </c>
      <c r="AK53" s="255">
        <f ca="1">IF(NOW(),_xll.mirSwapPV($C$51,$C$52,$C$54,$AA53,$C$55,$AC53+AK$51,$C$64,$C$65,$C$66,$C$67,$C$68,$C$69,$C$70,$C$74,$C$75,$D$63,$D$64,$D$65,$D$66,$D$67,$D$68,$D$69,$D$70,$D$71,$D$72,$D$73,$D$74,$D$75,$C$56,$C$57,$C$58,$D$59,$C$60),"")</f>
        <v>-96793.409729099469</v>
      </c>
      <c r="AL53" s="255">
        <f ca="1">IF(NOW(),_xll.mirSwapPV($C$51,$C$52,$C$54,$AA53,$C$55,$AC53+AL$51,$C$64,$C$65,$C$66,$C$67,$C$68,$C$69,$C$70,$C$74,$C$75,$D$63,$D$64,$D$65,$D$66,$D$67,$D$68,$D$69,$D$70,$D$71,$D$72,$D$73,$D$74,$D$75,$C$56,$C$57,$C$58,$D$59,$C$60),"")</f>
        <v>-48396.704864549727</v>
      </c>
      <c r="AM53" s="255">
        <f ca="1">IF(NOW(),_xll.mirSwapPV($C$51,$C$52,$C$54,$AA53,$C$55,$AC53+AM$51,$C$64,$C$65,$C$66,$C$67,$C$68,$C$69,$C$70,$C$74,$C$75,$D$63,$D$64,$D$65,$D$66,$D$67,$D$68,$D$69,$D$70,$D$71,$D$72,$D$73,$D$74,$D$75,$C$56,$C$57,$C$58,$D$59,$C$60),"")</f>
        <v>0</v>
      </c>
      <c r="AN53" s="255">
        <f ca="1">IF(NOW(),_xll.mirSwapPV($C$51,$C$52,$C$54,$AA53,$C$55,$AC53+AN$51,$C$64,$C$65,$C$66,$C$67,$C$68,$C$69,$C$70,$C$74,$C$75,$D$63,$D$64,$D$65,$D$66,$D$67,$D$68,$D$69,$D$70,$D$71,$D$72,$D$73,$D$74,$D$75,$C$56,$C$57,$C$58,$D$59,$C$60),"")</f>
        <v>48396.704864549734</v>
      </c>
      <c r="AO53" s="255">
        <f ca="1">IF(NOW(),_xll.mirSwapPV($C$51,$C$52,$C$54,$AA53,$C$55,$AC53+AO$51,$C$64,$C$65,$C$66,$C$67,$C$68,$C$69,$C$70,$C$74,$C$75,$D$63,$D$64,$D$65,$D$66,$D$67,$D$68,$D$69,$D$70,$D$71,$D$72,$D$73,$D$74,$D$75,$C$56,$C$57,$C$58,$D$59,$C$60),"")</f>
        <v>96793.409729099512</v>
      </c>
      <c r="AP53" s="255">
        <f ca="1">IF(NOW(),_xll.mirSwapPV($C$51,$C$52,$C$54,$AA53,$C$55,$AC53+AP$51,$C$64,$C$65,$C$66,$C$67,$C$68,$C$69,$C$70,$C$74,$C$75,$D$63,$D$64,$D$65,$D$66,$D$67,$D$68,$D$69,$D$70,$D$71,$D$72,$D$73,$D$74,$D$75,$C$56,$C$57,$C$58,$D$59,$C$60),"")</f>
        <v>145190.11459364922</v>
      </c>
      <c r="AQ53" s="255">
        <f ca="1">IF(NOW(),_xll.mirSwapPV($C$51,$C$52,$C$54,$AA53,$C$55,$AC53+AQ$51,$C$64,$C$65,$C$66,$C$67,$C$68,$C$69,$C$70,$C$74,$C$75,$D$63,$D$64,$D$65,$D$66,$D$67,$D$68,$D$69,$D$70,$D$71,$D$72,$D$73,$D$74,$D$75,$C$56,$C$57,$C$58,$D$59,$C$60),"")</f>
        <v>193586.819458199</v>
      </c>
      <c r="AR53" s="255">
        <f ca="1">IF(NOW(),_xll.mirSwapPV($C$51,$C$52,$C$54,$AA53,$C$55,$AC53+AR$51,$C$64,$C$65,$C$66,$C$67,$C$68,$C$69,$C$70,$C$74,$C$75,$D$63,$D$64,$D$65,$D$66,$D$67,$D$68,$D$69,$D$70,$D$71,$D$72,$D$73,$D$74,$D$75,$C$56,$C$57,$C$58,$D$59,$C$60),"")</f>
        <v>241983.52432274871</v>
      </c>
    </row>
    <row r="54" spans="2:44">
      <c r="B54" s="221" t="s">
        <v>431</v>
      </c>
      <c r="C54" s="233">
        <v>42200</v>
      </c>
      <c r="D54" s="233"/>
      <c r="F54" s="224" t="s">
        <v>131</v>
      </c>
      <c r="G54" s="227">
        <f>_xll.mirGetDate($C$6,F54)</f>
        <v>44392</v>
      </c>
      <c r="H54" s="260">
        <f t="shared" si="14"/>
        <v>2.0375999999999998E-2</v>
      </c>
      <c r="I54" s="229">
        <f ca="1">IF(NOW(),_xll.mirGetParRate4($C$54,$G54,$C$55,$C$64,$C$65,$C$66,$C$67,$C$68,$C$69,$C$70,$C$74,$C$75,$D$64,$D$65,$D$66,$D$67,$D$68,$D$69,$D$70,$D$71,$D$72,$D$73,$D$74,$D$75,$C$56,$C$57,$C$58,$C$59,$C$60),"")</f>
        <v>2.0375999992694349E-2</v>
      </c>
      <c r="J54" s="229">
        <f t="shared" ca="1" si="10"/>
        <v>-7.3056491411982449E-12</v>
      </c>
      <c r="K54" s="230">
        <f t="shared" ca="1" si="11"/>
        <v>-7.3056491411982449E-8</v>
      </c>
      <c r="L54" s="230" t="s">
        <v>12</v>
      </c>
      <c r="M54" s="224" t="s">
        <v>131</v>
      </c>
      <c r="N54" s="255">
        <f ca="1">IF(NOW(),_xll.mirSwapPV($C$51,$C$52,$C$54,$G54,$C$55,$I54+N$51,$C$64,$C$65,$C$66,$C$67,$C$68,$C$69,$C$70,$C$74,$C$75,$D$63,$D$64,$D$65,$D$66,$D$67,$D$68,$D$69,$D$70,$D$71,$D$72,$D$73,$D$74,$D$75,$C$56,$C$57,$C$58,$C$59,$C$60),"")</f>
        <v>-287114.0853050882</v>
      </c>
      <c r="O54" s="255">
        <f ca="1">IF(NOW(),_xll.mirSwapPV($C$51,$C$52,$C$54,$G54,$C$55,$I54+O$51,$C$64,$C$65,$C$66,$C$67,$C$68,$C$69,$C$70,$C$74,$C$75,$D$63,$D$64,$D$65,$D$66,$D$67,$D$68,$D$69,$D$70,$D$71,$D$72,$D$73,$D$74,$D$75,$C$56,$C$57,$C$58,$C$59,$C$60),"")</f>
        <v>-229691.26824407058</v>
      </c>
      <c r="P54" s="255">
        <f ca="1">IF(NOW(),_xll.mirSwapPV($C$51,$C$52,$C$54,$G54,$C$55,$I54+P$51,$C$64,$C$65,$C$66,$C$67,$C$68,$C$69,$C$70,$C$74,$C$75,$D$63,$D$64,$D$65,$D$66,$D$67,$D$68,$D$69,$D$70,$D$71,$D$72,$D$73,$D$74,$D$75,$C$56,$C$57,$C$58,$C$59,$C$60),"")</f>
        <v>-172268.45118305294</v>
      </c>
      <c r="Q54" s="255">
        <f ca="1">IF(NOW(),_xll.mirSwapPV($C$51,$C$52,$C$54,$G54,$C$55,$I54+Q$51,$C$64,$C$65,$C$66,$C$67,$C$68,$C$69,$C$70,$C$74,$C$75,$D$63,$D$64,$D$65,$D$66,$D$67,$D$68,$D$69,$D$70,$D$71,$D$72,$D$73,$D$74,$D$75,$C$56,$C$57,$C$58,$C$59,$C$60),"")</f>
        <v>-114845.63412203528</v>
      </c>
      <c r="R54" s="255">
        <f ca="1">IF(NOW(),_xll.mirSwapPV($C$51,$C$52,$C$54,$G54,$C$55,$I54+R$51,$C$64,$C$65,$C$66,$C$67,$C$68,$C$69,$C$70,$C$74,$C$75,$D$63,$D$64,$D$65,$D$66,$D$67,$D$68,$D$69,$D$70,$D$71,$D$72,$D$73,$D$74,$D$75,$C$56,$C$57,$C$58,$C$59,$C$60),"")</f>
        <v>-57422.817061017631</v>
      </c>
      <c r="S54" s="255">
        <f ca="1">IF(NOW(),_xll.mirSwapPV($C$51,$C$52,$C$54,$G54,$C$55,$I54+S$51,$C$64,$C$65,$C$66,$C$67,$C$68,$C$69,$C$70,$C$74,$C$75,$D$63,$D$64,$D$65,$D$66,$D$67,$D$68,$D$69,$D$70,$D$71,$D$72,$D$73,$D$74,$D$75,$C$56,$C$57,$C$58,$C$59,$C$60),"")</f>
        <v>-1.3877787807814457E-11</v>
      </c>
      <c r="T54" s="255">
        <f ca="1">IF(NOW(),_xll.mirSwapPV($C$51,$C$52,$C$54,$G54,$C$55,$I54+T$51,$C$64,$C$65,$C$66,$C$67,$C$68,$C$69,$C$70,$C$74,$C$75,$D$63,$D$64,$D$65,$D$66,$D$67,$D$68,$D$69,$D$70,$D$71,$D$72,$D$73,$D$74,$D$75,$C$56,$C$57,$C$58,$C$59,$C$60),"")</f>
        <v>57422.817061017638</v>
      </c>
      <c r="U54" s="255">
        <f ca="1">IF(NOW(),_xll.mirSwapPV($C$51,$C$52,$C$54,$G54,$C$55,$I54+U$51,$C$64,$C$65,$C$66,$C$67,$C$68,$C$69,$C$70,$C$74,$C$75,$D$63,$D$64,$D$65,$D$66,$D$67,$D$68,$D$69,$D$70,$D$71,$D$72,$D$73,$D$74,$D$75,$C$56,$C$57,$C$58,$C$59,$C$60),"")</f>
        <v>114845.63412203529</v>
      </c>
      <c r="V54" s="255">
        <f ca="1">IF(NOW(),_xll.mirSwapPV($C$51,$C$52,$C$54,$G54,$C$55,$I54+V$51,$C$64,$C$65,$C$66,$C$67,$C$68,$C$69,$C$70,$C$74,$C$75,$D$63,$D$64,$D$65,$D$66,$D$67,$D$68,$D$69,$D$70,$D$71,$D$72,$D$73,$D$74,$D$75,$C$56,$C$57,$C$58,$C$59,$C$60),"")</f>
        <v>172268.45118305291</v>
      </c>
      <c r="W54" s="255">
        <f ca="1">IF(NOW(),_xll.mirSwapPV($C$51,$C$52,$C$54,$G54,$C$55,$I54+W$51,$C$64,$C$65,$C$66,$C$67,$C$68,$C$69,$C$70,$C$74,$C$75,$D$63,$D$64,$D$65,$D$66,$D$67,$D$68,$D$69,$D$70,$D$71,$D$72,$D$73,$D$74,$D$75,$C$56,$C$57,$C$58,$C$59,$C$60),"")</f>
        <v>229691.26824407055</v>
      </c>
      <c r="X54" s="255">
        <f ca="1">IF(NOW(),_xll.mirSwapPV($C$51,$C$52,$C$54,$G54,$C$55,$I54+X$51,$C$64,$C$65,$C$66,$C$67,$C$68,$C$69,$C$70,$C$74,$C$75,$D$63,$D$64,$D$65,$D$66,$D$67,$D$68,$D$69,$D$70,$D$71,$D$72,$D$73,$D$74,$D$75,$C$56,$C$57,$C$58,$C$59,$C$60),"")</f>
        <v>287114.0853050882</v>
      </c>
      <c r="Y54" s="230" t="s">
        <v>12</v>
      </c>
      <c r="Z54" s="224" t="s">
        <v>131</v>
      </c>
      <c r="AA54" s="227">
        <f>_xll.mirGetDate($C$6,Z54)</f>
        <v>44392</v>
      </c>
      <c r="AB54" s="260">
        <f t="shared" si="15"/>
        <v>2.0375999999999998E-2</v>
      </c>
      <c r="AC54" s="229">
        <f ca="1">IF(NOW(),_xll.mirGetParRate4($C$54,$AA54,$C$55,$C$64,$C$65,$C$66,$C$67,$C$68,$C$69,$C$70,$C$74,$C$75,$D$64,$D$65,$D$66,$D$67,$D$68,$D$69,$D$70,$D$71,$D$72,$D$73,$D$74,$D$75,$C$56,$C$57,$C$58,$D$59,$C$60),"")</f>
        <v>2.0375999992694321E-2</v>
      </c>
      <c r="AD54" s="229">
        <f t="shared" ca="1" si="12"/>
        <v>-7.3056768967738606E-12</v>
      </c>
      <c r="AE54" s="230">
        <f t="shared" ca="1" si="13"/>
        <v>-7.3056768967738606E-8</v>
      </c>
      <c r="AG54" s="224" t="s">
        <v>131</v>
      </c>
      <c r="AH54" s="255">
        <f ca="1">IF(NOW(),_xll.mirSwapPV($C$51,$C$52,$C$54,$AA54,$C$55,$AC54+AH$51,$C$64,$C$65,$C$66,$C$67,$C$68,$C$69,$C$70,$C$74,$C$75,$D$63,$D$64,$D$65,$D$66,$D$67,$D$68,$D$69,$D$70,$D$71,$D$72,$D$73,$D$74,$D$75,$C$56,$C$57,$C$58,$D$59,$C$60),"")</f>
        <v>-287114.0853050882</v>
      </c>
      <c r="AI54" s="255">
        <f ca="1">IF(NOW(),_xll.mirSwapPV($C$51,$C$52,$C$54,$AA54,$C$55,$AC54+AI$51,$C$64,$C$65,$C$66,$C$67,$C$68,$C$69,$C$70,$C$74,$C$75,$D$63,$D$64,$D$65,$D$66,$D$67,$D$68,$D$69,$D$70,$D$71,$D$72,$D$73,$D$74,$D$75,$C$56,$C$57,$C$58,$D$59,$C$60),"")</f>
        <v>-229691.26824407055</v>
      </c>
      <c r="AJ54" s="255">
        <f ca="1">IF(NOW(),_xll.mirSwapPV($C$51,$C$52,$C$54,$AA54,$C$55,$AC54+AJ$51,$C$64,$C$65,$C$66,$C$67,$C$68,$C$69,$C$70,$C$74,$C$75,$D$63,$D$64,$D$65,$D$66,$D$67,$D$68,$D$69,$D$70,$D$71,$D$72,$D$73,$D$74,$D$75,$C$56,$C$57,$C$58,$D$59,$C$60),"")</f>
        <v>-172268.45118305294</v>
      </c>
      <c r="AK54" s="255">
        <f ca="1">IF(NOW(),_xll.mirSwapPV($C$51,$C$52,$C$54,$AA54,$C$55,$AC54+AK$51,$C$64,$C$65,$C$66,$C$67,$C$68,$C$69,$C$70,$C$74,$C$75,$D$63,$D$64,$D$65,$D$66,$D$67,$D$68,$D$69,$D$70,$D$71,$D$72,$D$73,$D$74,$D$75,$C$56,$C$57,$C$58,$D$59,$C$60),"")</f>
        <v>-114845.63412203526</v>
      </c>
      <c r="AL54" s="255">
        <f ca="1">IF(NOW(),_xll.mirSwapPV($C$51,$C$52,$C$54,$AA54,$C$55,$AC54+AL$51,$C$64,$C$65,$C$66,$C$67,$C$68,$C$69,$C$70,$C$74,$C$75,$D$63,$D$64,$D$65,$D$66,$D$67,$D$68,$D$69,$D$70,$D$71,$D$72,$D$73,$D$74,$D$75,$C$56,$C$57,$C$58,$D$59,$C$60),"")</f>
        <v>-57422.817061017624</v>
      </c>
      <c r="AM54" s="255">
        <f ca="1">IF(NOW(),_xll.mirSwapPV($C$51,$C$52,$C$54,$AA54,$C$55,$AC54+AM$51,$C$64,$C$65,$C$66,$C$67,$C$68,$C$69,$C$70,$C$74,$C$75,$D$63,$D$64,$D$65,$D$66,$D$67,$D$68,$D$69,$D$70,$D$71,$D$72,$D$73,$D$74,$D$75,$C$56,$C$57,$C$58,$D$59,$C$60),"")</f>
        <v>0</v>
      </c>
      <c r="AN54" s="255">
        <f ca="1">IF(NOW(),_xll.mirSwapPV($C$51,$C$52,$C$54,$AA54,$C$55,$AC54+AN$51,$C$64,$C$65,$C$66,$C$67,$C$68,$C$69,$C$70,$C$74,$C$75,$D$63,$D$64,$D$65,$D$66,$D$67,$D$68,$D$69,$D$70,$D$71,$D$72,$D$73,$D$74,$D$75,$C$56,$C$57,$C$58,$D$59,$C$60),"")</f>
        <v>57422.817061017638</v>
      </c>
      <c r="AO54" s="255">
        <f ca="1">IF(NOW(),_xll.mirSwapPV($C$51,$C$52,$C$54,$AA54,$C$55,$AC54+AO$51,$C$64,$C$65,$C$66,$C$67,$C$68,$C$69,$C$70,$C$74,$C$75,$D$63,$D$64,$D$65,$D$66,$D$67,$D$68,$D$69,$D$70,$D$71,$D$72,$D$73,$D$74,$D$75,$C$56,$C$57,$C$58,$D$59,$C$60),"")</f>
        <v>114845.63412203529</v>
      </c>
      <c r="AP54" s="255">
        <f ca="1">IF(NOW(),_xll.mirSwapPV($C$51,$C$52,$C$54,$AA54,$C$55,$AC54+AP$51,$C$64,$C$65,$C$66,$C$67,$C$68,$C$69,$C$70,$C$74,$C$75,$D$63,$D$64,$D$65,$D$66,$D$67,$D$68,$D$69,$D$70,$D$71,$D$72,$D$73,$D$74,$D$75,$C$56,$C$57,$C$58,$D$59,$C$60),"")</f>
        <v>172268.45118305291</v>
      </c>
      <c r="AQ54" s="255">
        <f ca="1">IF(NOW(),_xll.mirSwapPV($C$51,$C$52,$C$54,$AA54,$C$55,$AC54+AQ$51,$C$64,$C$65,$C$66,$C$67,$C$68,$C$69,$C$70,$C$74,$C$75,$D$63,$D$64,$D$65,$D$66,$D$67,$D$68,$D$69,$D$70,$D$71,$D$72,$D$73,$D$74,$D$75,$C$56,$C$57,$C$58,$D$59,$C$60),"")</f>
        <v>229691.26824407055</v>
      </c>
      <c r="AR54" s="255">
        <f ca="1">IF(NOW(),_xll.mirSwapPV($C$51,$C$52,$C$54,$AA54,$C$55,$AC54+AR$51,$C$64,$C$65,$C$66,$C$67,$C$68,$C$69,$C$70,$C$74,$C$75,$D$63,$D$64,$D$65,$D$66,$D$67,$D$68,$D$69,$D$70,$D$71,$D$72,$D$73,$D$74,$D$75,$C$56,$C$57,$C$58,$D$59,$C$60),"")</f>
        <v>287114.0853050882</v>
      </c>
    </row>
    <row r="55" spans="2:44">
      <c r="B55" s="234" t="s">
        <v>432</v>
      </c>
      <c r="C55" s="235" t="s">
        <v>302</v>
      </c>
      <c r="D55" s="235"/>
      <c r="F55" s="224" t="s">
        <v>31</v>
      </c>
      <c r="G55" s="227">
        <f>_xll.mirGetDate($C$6,F55)</f>
        <v>44757</v>
      </c>
      <c r="H55" s="260">
        <f t="shared" si="14"/>
        <v>2.2040000000000001E-2</v>
      </c>
      <c r="I55" s="229">
        <f ca="1">IF(NOW(),_xll.mirGetParRate4($C$54,$G55,$C$55,$C$64,$C$65,$C$66,$C$67,$C$68,$C$69,$C$70,$C$74,$C$75,$D$64,$D$65,$D$66,$D$67,$D$68,$D$69,$D$70,$D$71,$D$72,$D$73,$D$74,$D$75,$C$56,$C$57,$C$58,$C$59,$C$60),"")</f>
        <v>2.20399999190205E-2</v>
      </c>
      <c r="J55" s="229">
        <f t="shared" ca="1" si="10"/>
        <v>-8.0979500882705224E-11</v>
      </c>
      <c r="K55" s="230">
        <f t="shared" ca="1" si="11"/>
        <v>-8.0979500882705224E-7</v>
      </c>
      <c r="L55" s="230" t="s">
        <v>12</v>
      </c>
      <c r="M55" s="224" t="s">
        <v>31</v>
      </c>
      <c r="N55" s="255">
        <f ca="1">IF(NOW(),_xll.mirSwapPV($C$51,$C$52,$C$54,$G55,$C$55,$I55+N$51,$C$64,$C$65,$C$66,$C$67,$C$68,$C$69,$C$70,$C$74,$C$75,$D$63,$D$64,$D$65,$D$66,$D$67,$D$68,$D$69,$D$70,$D$71,$D$72,$D$73,$D$74,$D$75,$C$56,$C$57,$C$58,$C$59,$C$60),"")</f>
        <v>-330911.35818384035</v>
      </c>
      <c r="O55" s="255">
        <f ca="1">IF(NOW(),_xll.mirSwapPV($C$51,$C$52,$C$54,$G55,$C$55,$I55+O$51,$C$64,$C$65,$C$66,$C$67,$C$68,$C$69,$C$70,$C$74,$C$75,$D$63,$D$64,$D$65,$D$66,$D$67,$D$68,$D$69,$D$70,$D$71,$D$72,$D$73,$D$74,$D$75,$C$56,$C$57,$C$58,$C$59,$C$60),"")</f>
        <v>-264729.08654707228</v>
      </c>
      <c r="P55" s="255">
        <f ca="1">IF(NOW(),_xll.mirSwapPV($C$51,$C$52,$C$54,$G55,$C$55,$I55+P$51,$C$64,$C$65,$C$66,$C$67,$C$68,$C$69,$C$70,$C$74,$C$75,$D$63,$D$64,$D$65,$D$66,$D$67,$D$68,$D$69,$D$70,$D$71,$D$72,$D$73,$D$74,$D$75,$C$56,$C$57,$C$58,$C$59,$C$60),"")</f>
        <v>-198546.81491030421</v>
      </c>
      <c r="Q55" s="255">
        <f ca="1">IF(NOW(),_xll.mirSwapPV($C$51,$C$52,$C$54,$G55,$C$55,$I55+Q$51,$C$64,$C$65,$C$66,$C$67,$C$68,$C$69,$C$70,$C$74,$C$75,$D$63,$D$64,$D$65,$D$66,$D$67,$D$68,$D$69,$D$70,$D$71,$D$72,$D$73,$D$74,$D$75,$C$56,$C$57,$C$58,$C$59,$C$60),"")</f>
        <v>-132364.54327353611</v>
      </c>
      <c r="R55" s="255">
        <f ca="1">IF(NOW(),_xll.mirSwapPV($C$51,$C$52,$C$54,$G55,$C$55,$I55+R$51,$C$64,$C$65,$C$66,$C$67,$C$68,$C$69,$C$70,$C$74,$C$75,$D$63,$D$64,$D$65,$D$66,$D$67,$D$68,$D$69,$D$70,$D$71,$D$72,$D$73,$D$74,$D$75,$C$56,$C$57,$C$58,$C$59,$C$60),"")</f>
        <v>-66182.27163676804</v>
      </c>
      <c r="S55" s="255">
        <f ca="1">IF(NOW(),_xll.mirSwapPV($C$51,$C$52,$C$54,$G55,$C$55,$I55+S$51,$C$64,$C$65,$C$66,$C$67,$C$68,$C$69,$C$70,$C$74,$C$75,$D$63,$D$64,$D$65,$D$66,$D$67,$D$68,$D$69,$D$70,$D$71,$D$72,$D$73,$D$74,$D$75,$C$56,$C$57,$C$58,$C$59,$C$60),"")</f>
        <v>0</v>
      </c>
      <c r="T55" s="255">
        <f ca="1">IF(NOW(),_xll.mirSwapPV($C$51,$C$52,$C$54,$G55,$C$55,$I55+T$51,$C$64,$C$65,$C$66,$C$67,$C$68,$C$69,$C$70,$C$74,$C$75,$D$63,$D$64,$D$65,$D$66,$D$67,$D$68,$D$69,$D$70,$D$71,$D$72,$D$73,$D$74,$D$75,$C$56,$C$57,$C$58,$C$59,$C$60),"")</f>
        <v>66182.27163676807</v>
      </c>
      <c r="U55" s="255">
        <f ca="1">IF(NOW(),_xll.mirSwapPV($C$51,$C$52,$C$54,$G55,$C$55,$I55+U$51,$C$64,$C$65,$C$66,$C$67,$C$68,$C$69,$C$70,$C$74,$C$75,$D$63,$D$64,$D$65,$D$66,$D$67,$D$68,$D$69,$D$70,$D$71,$D$72,$D$73,$D$74,$D$75,$C$56,$C$57,$C$58,$C$59,$C$60),"")</f>
        <v>132364.54327353617</v>
      </c>
      <c r="V55" s="255">
        <f ca="1">IF(NOW(),_xll.mirSwapPV($C$51,$C$52,$C$54,$G55,$C$55,$I55+V$51,$C$64,$C$65,$C$66,$C$67,$C$68,$C$69,$C$70,$C$74,$C$75,$D$63,$D$64,$D$65,$D$66,$D$67,$D$68,$D$69,$D$70,$D$71,$D$72,$D$73,$D$74,$D$75,$C$56,$C$57,$C$58,$C$59,$C$60),"")</f>
        <v>198546.81491030427</v>
      </c>
      <c r="W55" s="255">
        <f ca="1">IF(NOW(),_xll.mirSwapPV($C$51,$C$52,$C$54,$G55,$C$55,$I55+W$51,$C$64,$C$65,$C$66,$C$67,$C$68,$C$69,$C$70,$C$74,$C$75,$D$63,$D$64,$D$65,$D$66,$D$67,$D$68,$D$69,$D$70,$D$71,$D$72,$D$73,$D$74,$D$75,$C$56,$C$57,$C$58,$C$59,$C$60),"")</f>
        <v>264729.08654707228</v>
      </c>
      <c r="X55" s="255">
        <f ca="1">IF(NOW(),_xll.mirSwapPV($C$51,$C$52,$C$54,$G55,$C$55,$I55+X$51,$C$64,$C$65,$C$66,$C$67,$C$68,$C$69,$C$70,$C$74,$C$75,$D$63,$D$64,$D$65,$D$66,$D$67,$D$68,$D$69,$D$70,$D$71,$D$72,$D$73,$D$74,$D$75,$C$56,$C$57,$C$58,$C$59,$C$60),"")</f>
        <v>330911.35818384041</v>
      </c>
      <c r="Y55" s="230" t="s">
        <v>12</v>
      </c>
      <c r="Z55" s="224" t="s">
        <v>31</v>
      </c>
      <c r="AA55" s="227">
        <f>_xll.mirGetDate($C$6,Z55)</f>
        <v>44757</v>
      </c>
      <c r="AB55" s="260">
        <f t="shared" si="15"/>
        <v>2.2040000000000001E-2</v>
      </c>
      <c r="AC55" s="229">
        <f ca="1">IF(NOW(),_xll.mirGetParRate4($C$54,$AA55,$C$55,$C$64,$C$65,$C$66,$C$67,$C$68,$C$69,$C$70,$C$74,$C$75,$D$64,$D$65,$D$66,$D$67,$D$68,$D$69,$D$70,$D$71,$D$72,$D$73,$D$74,$D$75,$C$56,$C$57,$C$58,$D$59,$C$60),"")</f>
        <v>2.2039999919020479E-2</v>
      </c>
      <c r="AD55" s="229">
        <f t="shared" ca="1" si="12"/>
        <v>-8.0979521699386936E-11</v>
      </c>
      <c r="AE55" s="230">
        <f t="shared" ca="1" si="13"/>
        <v>-8.0979521699386936E-7</v>
      </c>
      <c r="AG55" s="224" t="s">
        <v>31</v>
      </c>
      <c r="AH55" s="255">
        <f ca="1">IF(NOW(),_xll.mirSwapPV($C$51,$C$52,$C$54,$AA55,$C$55,$AC55+AH$51,$C$64,$C$65,$C$66,$C$67,$C$68,$C$69,$C$70,$C$74,$C$75,$D$63,$D$64,$D$65,$D$66,$D$67,$D$68,$D$69,$D$70,$D$71,$D$72,$D$73,$D$74,$D$75,$C$56,$C$57,$C$58,$D$59,$C$60),"")</f>
        <v>-330911.35818384035</v>
      </c>
      <c r="AI55" s="255">
        <f ca="1">IF(NOW(),_xll.mirSwapPV($C$51,$C$52,$C$54,$AA55,$C$55,$AC55+AI$51,$C$64,$C$65,$C$66,$C$67,$C$68,$C$69,$C$70,$C$74,$C$75,$D$63,$D$64,$D$65,$D$66,$D$67,$D$68,$D$69,$D$70,$D$71,$D$72,$D$73,$D$74,$D$75,$C$56,$C$57,$C$58,$D$59,$C$60),"")</f>
        <v>-264729.08654707228</v>
      </c>
      <c r="AJ55" s="255">
        <f ca="1">IF(NOW(),_xll.mirSwapPV($C$51,$C$52,$C$54,$AA55,$C$55,$AC55+AJ$51,$C$64,$C$65,$C$66,$C$67,$C$68,$C$69,$C$70,$C$74,$C$75,$D$63,$D$64,$D$65,$D$66,$D$67,$D$68,$D$69,$D$70,$D$71,$D$72,$D$73,$D$74,$D$75,$C$56,$C$57,$C$58,$D$59,$C$60),"")</f>
        <v>-198546.81491030421</v>
      </c>
      <c r="AK55" s="255">
        <f ca="1">IF(NOW(),_xll.mirSwapPV($C$51,$C$52,$C$54,$AA55,$C$55,$AC55+AK$51,$C$64,$C$65,$C$66,$C$67,$C$68,$C$69,$C$70,$C$74,$C$75,$D$63,$D$64,$D$65,$D$66,$D$67,$D$68,$D$69,$D$70,$D$71,$D$72,$D$73,$D$74,$D$75,$C$56,$C$57,$C$58,$D$59,$C$60),"")</f>
        <v>-132364.54327353611</v>
      </c>
      <c r="AL55" s="255">
        <f ca="1">IF(NOW(),_xll.mirSwapPV($C$51,$C$52,$C$54,$AA55,$C$55,$AC55+AL$51,$C$64,$C$65,$C$66,$C$67,$C$68,$C$69,$C$70,$C$74,$C$75,$D$63,$D$64,$D$65,$D$66,$D$67,$D$68,$D$69,$D$70,$D$71,$D$72,$D$73,$D$74,$D$75,$C$56,$C$57,$C$58,$D$59,$C$60),"")</f>
        <v>-66182.27163676804</v>
      </c>
      <c r="AM55" s="255">
        <f ca="1">IF(NOW(),_xll.mirSwapPV($C$51,$C$52,$C$54,$AA55,$C$55,$AC55+AM$51,$C$64,$C$65,$C$66,$C$67,$C$68,$C$69,$C$70,$C$74,$C$75,$D$63,$D$64,$D$65,$D$66,$D$67,$D$68,$D$69,$D$70,$D$71,$D$72,$D$73,$D$74,$D$75,$C$56,$C$57,$C$58,$D$59,$C$60),"")</f>
        <v>0</v>
      </c>
      <c r="AN55" s="255">
        <f ca="1">IF(NOW(),_xll.mirSwapPV($C$51,$C$52,$C$54,$AA55,$C$55,$AC55+AN$51,$C$64,$C$65,$C$66,$C$67,$C$68,$C$69,$C$70,$C$74,$C$75,$D$63,$D$64,$D$65,$D$66,$D$67,$D$68,$D$69,$D$70,$D$71,$D$72,$D$73,$D$74,$D$75,$C$56,$C$57,$C$58,$D$59,$C$60),"")</f>
        <v>66182.27163676807</v>
      </c>
      <c r="AO55" s="255">
        <f ca="1">IF(NOW(),_xll.mirSwapPV($C$51,$C$52,$C$54,$AA55,$C$55,$AC55+AO$51,$C$64,$C$65,$C$66,$C$67,$C$68,$C$69,$C$70,$C$74,$C$75,$D$63,$D$64,$D$65,$D$66,$D$67,$D$68,$D$69,$D$70,$D$71,$D$72,$D$73,$D$74,$D$75,$C$56,$C$57,$C$58,$D$59,$C$60),"")</f>
        <v>132364.54327353614</v>
      </c>
      <c r="AP55" s="255">
        <f ca="1">IF(NOW(),_xll.mirSwapPV($C$51,$C$52,$C$54,$AA55,$C$55,$AC55+AP$51,$C$64,$C$65,$C$66,$C$67,$C$68,$C$69,$C$70,$C$74,$C$75,$D$63,$D$64,$D$65,$D$66,$D$67,$D$68,$D$69,$D$70,$D$71,$D$72,$D$73,$D$74,$D$75,$C$56,$C$57,$C$58,$D$59,$C$60),"")</f>
        <v>198546.81491030418</v>
      </c>
      <c r="AQ55" s="255">
        <f ca="1">IF(NOW(),_xll.mirSwapPV($C$51,$C$52,$C$54,$AA55,$C$55,$AC55+AQ$51,$C$64,$C$65,$C$66,$C$67,$C$68,$C$69,$C$70,$C$74,$C$75,$D$63,$D$64,$D$65,$D$66,$D$67,$D$68,$D$69,$D$70,$D$71,$D$72,$D$73,$D$74,$D$75,$C$56,$C$57,$C$58,$D$59,$C$60),"")</f>
        <v>264729.08654707234</v>
      </c>
      <c r="AR55" s="255">
        <f ca="1">IF(NOW(),_xll.mirSwapPV($C$51,$C$52,$C$54,$AA55,$C$55,$AC55+AR$51,$C$64,$C$65,$C$66,$C$67,$C$68,$C$69,$C$70,$C$74,$C$75,$D$63,$D$64,$D$65,$D$66,$D$67,$D$68,$D$69,$D$70,$D$71,$D$72,$D$73,$D$74,$D$75,$C$56,$C$57,$C$58,$D$59,$C$60),"")</f>
        <v>330911.35818384035</v>
      </c>
    </row>
    <row r="56" spans="2:44">
      <c r="B56" s="234" t="s">
        <v>4</v>
      </c>
      <c r="C56" s="235" t="s">
        <v>433</v>
      </c>
      <c r="D56" s="235"/>
      <c r="F56" s="224" t="s">
        <v>119</v>
      </c>
      <c r="G56" s="227">
        <f>_xll.mirGetDate($C$6,F56)</f>
        <v>45122</v>
      </c>
      <c r="H56" s="260">
        <f t="shared" si="14"/>
        <v>2.3375E-2</v>
      </c>
      <c r="I56" s="229">
        <f ca="1">IF(NOW(),_xll.mirGetParRate4($C$54,$G56,$C$55,$C$64,$C$65,$C$66,$C$67,$C$68,$C$69,$C$70,$C$74,$C$75,$D$64,$D$65,$D$66,$D$67,$D$68,$D$69,$D$70,$D$71,$D$72,$D$73,$D$74,$D$75,$C$56,$C$57,$C$58,$C$59,$C$60),"")</f>
        <v>2.3374999946743049E-2</v>
      </c>
      <c r="J56" s="229">
        <f t="shared" ca="1" si="10"/>
        <v>-5.3256950932611957E-11</v>
      </c>
      <c r="K56" s="230">
        <f t="shared" ca="1" si="11"/>
        <v>-5.3256950932611957E-7</v>
      </c>
      <c r="L56" s="230" t="s">
        <v>12</v>
      </c>
      <c r="M56" s="224" t="s">
        <v>119</v>
      </c>
      <c r="N56" s="255">
        <f ca="1">IF(NOW(),_xll.mirSwapPV($C$51,$C$52,$C$54,$G56,$C$55,$I56+N$51,$C$64,$C$65,$C$66,$C$67,$C$68,$C$69,$C$70,$C$74,$C$75,$D$63,$D$64,$D$65,$D$66,$D$67,$D$68,$D$69,$D$70,$D$71,$D$72,$D$73,$D$74,$D$75,$C$56,$C$57,$C$58,$C$59,$C$60),"")</f>
        <v>-373597.61650791444</v>
      </c>
      <c r="O56" s="255">
        <f ca="1">IF(NOW(),_xll.mirSwapPV($C$51,$C$52,$C$54,$G56,$C$55,$I56+O$51,$C$64,$C$65,$C$66,$C$67,$C$68,$C$69,$C$70,$C$74,$C$75,$D$63,$D$64,$D$65,$D$66,$D$67,$D$68,$D$69,$D$70,$D$71,$D$72,$D$73,$D$74,$D$75,$C$56,$C$57,$C$58,$C$59,$C$60),"")</f>
        <v>-298878.09320633154</v>
      </c>
      <c r="P56" s="255">
        <f ca="1">IF(NOW(),_xll.mirSwapPV($C$51,$C$52,$C$54,$G56,$C$55,$I56+P$51,$C$64,$C$65,$C$66,$C$67,$C$68,$C$69,$C$70,$C$74,$C$75,$D$63,$D$64,$D$65,$D$66,$D$67,$D$68,$D$69,$D$70,$D$71,$D$72,$D$73,$D$74,$D$75,$C$56,$C$57,$C$58,$C$59,$C$60),"")</f>
        <v>-224158.56990474864</v>
      </c>
      <c r="Q56" s="255">
        <f ca="1">IF(NOW(),_xll.mirSwapPV($C$51,$C$52,$C$54,$G56,$C$55,$I56+Q$51,$C$64,$C$65,$C$66,$C$67,$C$68,$C$69,$C$70,$C$74,$C$75,$D$63,$D$64,$D$65,$D$66,$D$67,$D$68,$D$69,$D$70,$D$71,$D$72,$D$73,$D$74,$D$75,$C$56,$C$57,$C$58,$C$59,$C$60),"")</f>
        <v>-149439.04660316577</v>
      </c>
      <c r="R56" s="255">
        <f ca="1">IF(NOW(),_xll.mirSwapPV($C$51,$C$52,$C$54,$G56,$C$55,$I56+R$51,$C$64,$C$65,$C$66,$C$67,$C$68,$C$69,$C$70,$C$74,$C$75,$D$63,$D$64,$D$65,$D$66,$D$67,$D$68,$D$69,$D$70,$D$71,$D$72,$D$73,$D$74,$D$75,$C$56,$C$57,$C$58,$C$59,$C$60),"")</f>
        <v>-74719.523301582871</v>
      </c>
      <c r="S56" s="255">
        <f ca="1">IF(NOW(),_xll.mirSwapPV($C$51,$C$52,$C$54,$G56,$C$55,$I56+S$51,$C$64,$C$65,$C$66,$C$67,$C$68,$C$69,$C$70,$C$74,$C$75,$D$63,$D$64,$D$65,$D$66,$D$67,$D$68,$D$69,$D$70,$D$71,$D$72,$D$73,$D$74,$D$75,$C$56,$C$57,$C$58,$C$59,$C$60),"")</f>
        <v>0</v>
      </c>
      <c r="T56" s="255">
        <f ca="1">IF(NOW(),_xll.mirSwapPV($C$51,$C$52,$C$54,$G56,$C$55,$I56+T$51,$C$64,$C$65,$C$66,$C$67,$C$68,$C$69,$C$70,$C$74,$C$75,$D$63,$D$64,$D$65,$D$66,$D$67,$D$68,$D$69,$D$70,$D$71,$D$72,$D$73,$D$74,$D$75,$C$56,$C$57,$C$58,$C$59,$C$60),"")</f>
        <v>74719.523301582885</v>
      </c>
      <c r="U56" s="255">
        <f ca="1">IF(NOW(),_xll.mirSwapPV($C$51,$C$52,$C$54,$G56,$C$55,$I56+U$51,$C$64,$C$65,$C$66,$C$67,$C$68,$C$69,$C$70,$C$74,$C$75,$D$63,$D$64,$D$65,$D$66,$D$67,$D$68,$D$69,$D$70,$D$71,$D$72,$D$73,$D$74,$D$75,$C$56,$C$57,$C$58,$C$59,$C$60),"")</f>
        <v>149439.0466031658</v>
      </c>
      <c r="V56" s="255">
        <f ca="1">IF(NOW(),_xll.mirSwapPV($C$51,$C$52,$C$54,$G56,$C$55,$I56+V$51,$C$64,$C$65,$C$66,$C$67,$C$68,$C$69,$C$70,$C$74,$C$75,$D$63,$D$64,$D$65,$D$66,$D$67,$D$68,$D$69,$D$70,$D$71,$D$72,$D$73,$D$74,$D$75,$C$56,$C$57,$C$58,$C$59,$C$60),"")</f>
        <v>224158.56990474867</v>
      </c>
      <c r="W56" s="255">
        <f ca="1">IF(NOW(),_xll.mirSwapPV($C$51,$C$52,$C$54,$G56,$C$55,$I56+W$51,$C$64,$C$65,$C$66,$C$67,$C$68,$C$69,$C$70,$C$74,$C$75,$D$63,$D$64,$D$65,$D$66,$D$67,$D$68,$D$69,$D$70,$D$71,$D$72,$D$73,$D$74,$D$75,$C$56,$C$57,$C$58,$C$59,$C$60),"")</f>
        <v>298878.09320633154</v>
      </c>
      <c r="X56" s="255">
        <f ca="1">IF(NOW(),_xll.mirSwapPV($C$51,$C$52,$C$54,$G56,$C$55,$I56+X$51,$C$64,$C$65,$C$66,$C$67,$C$68,$C$69,$C$70,$C$74,$C$75,$D$63,$D$64,$D$65,$D$66,$D$67,$D$68,$D$69,$D$70,$D$71,$D$72,$D$73,$D$74,$D$75,$C$56,$C$57,$C$58,$C$59,$C$60),"")</f>
        <v>373597.61650791444</v>
      </c>
      <c r="Y56" s="230" t="s">
        <v>12</v>
      </c>
      <c r="Z56" s="224" t="s">
        <v>119</v>
      </c>
      <c r="AA56" s="227">
        <f>_xll.mirGetDate($C$6,Z56)</f>
        <v>45122</v>
      </c>
      <c r="AB56" s="260">
        <f t="shared" si="15"/>
        <v>2.3375E-2</v>
      </c>
      <c r="AC56" s="229">
        <f ca="1">IF(NOW(),_xll.mirGetParRate4($C$54,$AA56,$C$55,$C$64,$C$65,$C$66,$C$67,$C$68,$C$69,$C$70,$C$74,$C$75,$D$64,$D$65,$D$66,$D$67,$D$68,$D$69,$D$70,$D$71,$D$72,$D$73,$D$74,$D$75,$C$56,$C$57,$C$58,$D$59,$C$60),"")</f>
        <v>2.3374999946743032E-2</v>
      </c>
      <c r="AD56" s="229">
        <f t="shared" ca="1" si="12"/>
        <v>-5.3256968279846717E-11</v>
      </c>
      <c r="AE56" s="230">
        <f t="shared" ca="1" si="13"/>
        <v>-5.3256968279846717E-7</v>
      </c>
      <c r="AG56" s="224" t="s">
        <v>119</v>
      </c>
      <c r="AH56" s="255">
        <f ca="1">IF(NOW(),_xll.mirSwapPV($C$51,$C$52,$C$54,$AA56,$C$55,$AC56+AH$51,$C$64,$C$65,$C$66,$C$67,$C$68,$C$69,$C$70,$C$74,$C$75,$D$63,$D$64,$D$65,$D$66,$D$67,$D$68,$D$69,$D$70,$D$71,$D$72,$D$73,$D$74,$D$75,$C$56,$C$57,$C$58,$D$59,$C$60),"")</f>
        <v>-373597.61650791444</v>
      </c>
      <c r="AI56" s="255">
        <f ca="1">IF(NOW(),_xll.mirSwapPV($C$51,$C$52,$C$54,$AA56,$C$55,$AC56+AI$51,$C$64,$C$65,$C$66,$C$67,$C$68,$C$69,$C$70,$C$74,$C$75,$D$63,$D$64,$D$65,$D$66,$D$67,$D$68,$D$69,$D$70,$D$71,$D$72,$D$73,$D$74,$D$75,$C$56,$C$57,$C$58,$D$59,$C$60),"")</f>
        <v>-298878.09320633154</v>
      </c>
      <c r="AJ56" s="255">
        <f ca="1">IF(NOW(),_xll.mirSwapPV($C$51,$C$52,$C$54,$AA56,$C$55,$AC56+AJ$51,$C$64,$C$65,$C$66,$C$67,$C$68,$C$69,$C$70,$C$74,$C$75,$D$63,$D$64,$D$65,$D$66,$D$67,$D$68,$D$69,$D$70,$D$71,$D$72,$D$73,$D$74,$D$75,$C$56,$C$57,$C$58,$D$59,$C$60),"")</f>
        <v>-224158.56990474864</v>
      </c>
      <c r="AK56" s="255">
        <f ca="1">IF(NOW(),_xll.mirSwapPV($C$51,$C$52,$C$54,$AA56,$C$55,$AC56+AK$51,$C$64,$C$65,$C$66,$C$67,$C$68,$C$69,$C$70,$C$74,$C$75,$D$63,$D$64,$D$65,$D$66,$D$67,$D$68,$D$69,$D$70,$D$71,$D$72,$D$73,$D$74,$D$75,$C$56,$C$57,$C$58,$D$59,$C$60),"")</f>
        <v>-149439.04660316574</v>
      </c>
      <c r="AL56" s="255">
        <f ca="1">IF(NOW(),_xll.mirSwapPV($C$51,$C$52,$C$54,$AA56,$C$55,$AC56+AL$51,$C$64,$C$65,$C$66,$C$67,$C$68,$C$69,$C$70,$C$74,$C$75,$D$63,$D$64,$D$65,$D$66,$D$67,$D$68,$D$69,$D$70,$D$71,$D$72,$D$73,$D$74,$D$75,$C$56,$C$57,$C$58,$D$59,$C$60),"")</f>
        <v>-74719.523301582856</v>
      </c>
      <c r="AM56" s="255">
        <f ca="1">IF(NOW(),_xll.mirSwapPV($C$51,$C$52,$C$54,$AA56,$C$55,$AC56+AM$51,$C$64,$C$65,$C$66,$C$67,$C$68,$C$69,$C$70,$C$74,$C$75,$D$63,$D$64,$D$65,$D$66,$D$67,$D$68,$D$69,$D$70,$D$71,$D$72,$D$73,$D$74,$D$75,$C$56,$C$57,$C$58,$D$59,$C$60),"")</f>
        <v>0</v>
      </c>
      <c r="AN56" s="255">
        <f ca="1">IF(NOW(),_xll.mirSwapPV($C$51,$C$52,$C$54,$AA56,$C$55,$AC56+AN$51,$C$64,$C$65,$C$66,$C$67,$C$68,$C$69,$C$70,$C$74,$C$75,$D$63,$D$64,$D$65,$D$66,$D$67,$D$68,$D$69,$D$70,$D$71,$D$72,$D$73,$D$74,$D$75,$C$56,$C$57,$C$58,$D$59,$C$60),"")</f>
        <v>74719.523301582914</v>
      </c>
      <c r="AO56" s="255">
        <f ca="1">IF(NOW(),_xll.mirSwapPV($C$51,$C$52,$C$54,$AA56,$C$55,$AC56+AO$51,$C$64,$C$65,$C$66,$C$67,$C$68,$C$69,$C$70,$C$74,$C$75,$D$63,$D$64,$D$65,$D$66,$D$67,$D$68,$D$69,$D$70,$D$71,$D$72,$D$73,$D$74,$D$75,$C$56,$C$57,$C$58,$D$59,$C$60),"")</f>
        <v>149439.04660316577</v>
      </c>
      <c r="AP56" s="255">
        <f ca="1">IF(NOW(),_xll.mirSwapPV($C$51,$C$52,$C$54,$AA56,$C$55,$AC56+AP$51,$C$64,$C$65,$C$66,$C$67,$C$68,$C$69,$C$70,$C$74,$C$75,$D$63,$D$64,$D$65,$D$66,$D$67,$D$68,$D$69,$D$70,$D$71,$D$72,$D$73,$D$74,$D$75,$C$56,$C$57,$C$58,$D$59,$C$60),"")</f>
        <v>224158.56990474864</v>
      </c>
      <c r="AQ56" s="255">
        <f ca="1">IF(NOW(),_xll.mirSwapPV($C$51,$C$52,$C$54,$AA56,$C$55,$AC56+AQ$51,$C$64,$C$65,$C$66,$C$67,$C$68,$C$69,$C$70,$C$74,$C$75,$D$63,$D$64,$D$65,$D$66,$D$67,$D$68,$D$69,$D$70,$D$71,$D$72,$D$73,$D$74,$D$75,$C$56,$C$57,$C$58,$D$59,$C$60),"")</f>
        <v>298878.09320633154</v>
      </c>
      <c r="AR56" s="255">
        <f ca="1">IF(NOW(),_xll.mirSwapPV($C$51,$C$52,$C$54,$AA56,$C$55,$AC56+AR$51,$C$64,$C$65,$C$66,$C$67,$C$68,$C$69,$C$70,$C$74,$C$75,$D$63,$D$64,$D$65,$D$66,$D$67,$D$68,$D$69,$D$70,$D$71,$D$72,$D$73,$D$74,$D$75,$C$56,$C$57,$C$58,$D$59,$C$60),"")</f>
        <v>373597.6165079145</v>
      </c>
    </row>
    <row r="57" spans="2:44">
      <c r="B57" s="234" t="s">
        <v>434</v>
      </c>
      <c r="C57" s="235" t="s">
        <v>364</v>
      </c>
      <c r="D57" s="235"/>
      <c r="F57" s="224" t="s">
        <v>113</v>
      </c>
      <c r="G57" s="227">
        <f>_xll.mirGetDate($C$6,F57)</f>
        <v>45488</v>
      </c>
      <c r="H57" s="260">
        <f t="shared" si="14"/>
        <v>2.4462999999999999E-2</v>
      </c>
      <c r="I57" s="229">
        <f ca="1">IF(NOW(),_xll.mirGetParRate4($C$54,$G57,$C$55,$C$64,$C$65,$C$66,$C$67,$C$68,$C$69,$C$70,$C$74,$C$75,$D$64,$D$65,$D$66,$D$67,$D$68,$D$69,$D$70,$D$71,$D$72,$D$73,$D$74,$D$75,$C$56,$C$57,$C$58,$C$59,$C$60),"")</f>
        <v>2.4462999953827353E-2</v>
      </c>
      <c r="J57" s="229">
        <f t="shared" ca="1" si="10"/>
        <v>-4.6172645568054449E-11</v>
      </c>
      <c r="K57" s="230">
        <f t="shared" ca="1" si="11"/>
        <v>-4.6172645568054449E-7</v>
      </c>
      <c r="L57" s="230" t="s">
        <v>12</v>
      </c>
      <c r="M57" s="224" t="s">
        <v>113</v>
      </c>
      <c r="N57" s="255">
        <f ca="1">IF(NOW(),_xll.mirSwapPV($C$51,$C$52,$C$54,$G57,$C$55,$I57+N$51,$C$64,$C$65,$C$66,$C$67,$C$68,$C$69,$C$70,$C$74,$C$75,$D$63,$D$64,$D$65,$D$66,$D$67,$D$68,$D$69,$D$70,$D$71,$D$72,$D$73,$D$74,$D$75,$C$56,$C$57,$C$58,$C$59,$C$60),"")</f>
        <v>-414495.955924846</v>
      </c>
      <c r="O57" s="255">
        <f ca="1">IF(NOW(),_xll.mirSwapPV($C$51,$C$52,$C$54,$G57,$C$55,$I57+O$51,$C$64,$C$65,$C$66,$C$67,$C$68,$C$69,$C$70,$C$74,$C$75,$D$63,$D$64,$D$65,$D$66,$D$67,$D$68,$D$69,$D$70,$D$71,$D$72,$D$73,$D$74,$D$75,$C$56,$C$57,$C$58,$C$59,$C$60),"")</f>
        <v>-331596.76473987679</v>
      </c>
      <c r="P57" s="255">
        <f ca="1">IF(NOW(),_xll.mirSwapPV($C$51,$C$52,$C$54,$G57,$C$55,$I57+P$51,$C$64,$C$65,$C$66,$C$67,$C$68,$C$69,$C$70,$C$74,$C$75,$D$63,$D$64,$D$65,$D$66,$D$67,$D$68,$D$69,$D$70,$D$71,$D$72,$D$73,$D$74,$D$75,$C$56,$C$57,$C$58,$C$59,$C$60),"")</f>
        <v>-248697.57355490761</v>
      </c>
      <c r="Q57" s="255">
        <f ca="1">IF(NOW(),_xll.mirSwapPV($C$51,$C$52,$C$54,$G57,$C$55,$I57+Q$51,$C$64,$C$65,$C$66,$C$67,$C$68,$C$69,$C$70,$C$74,$C$75,$D$63,$D$64,$D$65,$D$66,$D$67,$D$68,$D$69,$D$70,$D$71,$D$72,$D$73,$D$74,$D$75,$C$56,$C$57,$C$58,$C$59,$C$60),"")</f>
        <v>-165798.38236993839</v>
      </c>
      <c r="R57" s="255">
        <f ca="1">IF(NOW(),_xll.mirSwapPV($C$51,$C$52,$C$54,$G57,$C$55,$I57+R$51,$C$64,$C$65,$C$66,$C$67,$C$68,$C$69,$C$70,$C$74,$C$75,$D$63,$D$64,$D$65,$D$66,$D$67,$D$68,$D$69,$D$70,$D$71,$D$72,$D$73,$D$74,$D$75,$C$56,$C$57,$C$58,$C$59,$C$60),"")</f>
        <v>-82899.191184969182</v>
      </c>
      <c r="S57" s="255">
        <f ca="1">IF(NOW(),_xll.mirSwapPV($C$51,$C$52,$C$54,$G57,$C$55,$I57+S$51,$C$64,$C$65,$C$66,$C$67,$C$68,$C$69,$C$70,$C$74,$C$75,$D$63,$D$64,$D$65,$D$66,$D$67,$D$68,$D$69,$D$70,$D$71,$D$72,$D$73,$D$74,$D$75,$C$56,$C$57,$C$58,$C$59,$C$60),"")</f>
        <v>0</v>
      </c>
      <c r="T57" s="255">
        <f ca="1">IF(NOW(),_xll.mirSwapPV($C$51,$C$52,$C$54,$G57,$C$55,$I57+T$51,$C$64,$C$65,$C$66,$C$67,$C$68,$C$69,$C$70,$C$74,$C$75,$D$63,$D$64,$D$65,$D$66,$D$67,$D$68,$D$69,$D$70,$D$71,$D$72,$D$73,$D$74,$D$75,$C$56,$C$57,$C$58,$C$59,$C$60),"")</f>
        <v>82899.191184969197</v>
      </c>
      <c r="U57" s="255">
        <f ca="1">IF(NOW(),_xll.mirSwapPV($C$51,$C$52,$C$54,$G57,$C$55,$I57+U$51,$C$64,$C$65,$C$66,$C$67,$C$68,$C$69,$C$70,$C$74,$C$75,$D$63,$D$64,$D$65,$D$66,$D$67,$D$68,$D$69,$D$70,$D$71,$D$72,$D$73,$D$74,$D$75,$C$56,$C$57,$C$58,$C$59,$C$60),"")</f>
        <v>165798.38236993839</v>
      </c>
      <c r="V57" s="255">
        <f ca="1">IF(NOW(),_xll.mirSwapPV($C$51,$C$52,$C$54,$G57,$C$55,$I57+V$51,$C$64,$C$65,$C$66,$C$67,$C$68,$C$69,$C$70,$C$74,$C$75,$D$63,$D$64,$D$65,$D$66,$D$67,$D$68,$D$69,$D$70,$D$71,$D$72,$D$73,$D$74,$D$75,$C$56,$C$57,$C$58,$C$59,$C$60),"")</f>
        <v>248697.57355490758</v>
      </c>
      <c r="W57" s="255">
        <f ca="1">IF(NOW(),_xll.mirSwapPV($C$51,$C$52,$C$54,$G57,$C$55,$I57+W$51,$C$64,$C$65,$C$66,$C$67,$C$68,$C$69,$C$70,$C$74,$C$75,$D$63,$D$64,$D$65,$D$66,$D$67,$D$68,$D$69,$D$70,$D$71,$D$72,$D$73,$D$74,$D$75,$C$56,$C$57,$C$58,$C$59,$C$60),"")</f>
        <v>331596.76473987685</v>
      </c>
      <c r="X57" s="255">
        <f ca="1">IF(NOW(),_xll.mirSwapPV($C$51,$C$52,$C$54,$G57,$C$55,$I57+X$51,$C$64,$C$65,$C$66,$C$67,$C$68,$C$69,$C$70,$C$74,$C$75,$D$63,$D$64,$D$65,$D$66,$D$67,$D$68,$D$69,$D$70,$D$71,$D$72,$D$73,$D$74,$D$75,$C$56,$C$57,$C$58,$C$59,$C$60),"")</f>
        <v>414495.955924846</v>
      </c>
      <c r="Y57" s="230" t="s">
        <v>12</v>
      </c>
      <c r="Z57" s="224" t="s">
        <v>113</v>
      </c>
      <c r="AA57" s="227">
        <f>_xll.mirGetDate($C$6,Z57)</f>
        <v>45488</v>
      </c>
      <c r="AB57" s="260">
        <f t="shared" si="15"/>
        <v>2.4462999999999999E-2</v>
      </c>
      <c r="AC57" s="229">
        <f ca="1">IF(NOW(),_xll.mirGetParRate4($C$54,$AA57,$C$55,$C$64,$C$65,$C$66,$C$67,$C$68,$C$69,$C$70,$C$74,$C$75,$D$64,$D$65,$D$66,$D$67,$D$68,$D$69,$D$70,$D$71,$D$72,$D$73,$D$74,$D$75,$C$56,$C$57,$C$58,$D$59,$C$60),"")</f>
        <v>2.446299995382735E-2</v>
      </c>
      <c r="AD57" s="229">
        <f t="shared" ca="1" si="12"/>
        <v>-4.6172649037501401E-11</v>
      </c>
      <c r="AE57" s="230">
        <f t="shared" ca="1" si="13"/>
        <v>-4.6172649037501401E-7</v>
      </c>
      <c r="AG57" s="224" t="s">
        <v>113</v>
      </c>
      <c r="AH57" s="255">
        <f ca="1">IF(NOW(),_xll.mirSwapPV($C$51,$C$52,$C$54,$AA57,$C$55,$AC57+AH$51,$C$64,$C$65,$C$66,$C$67,$C$68,$C$69,$C$70,$C$74,$C$75,$D$63,$D$64,$D$65,$D$66,$D$67,$D$68,$D$69,$D$70,$D$71,$D$72,$D$73,$D$74,$D$75,$C$56,$C$57,$C$58,$D$59,$C$60),"")</f>
        <v>-414495.955924846</v>
      </c>
      <c r="AI57" s="255">
        <f ca="1">IF(NOW(),_xll.mirSwapPV($C$51,$C$52,$C$54,$AA57,$C$55,$AC57+AI$51,$C$64,$C$65,$C$66,$C$67,$C$68,$C$69,$C$70,$C$74,$C$75,$D$63,$D$64,$D$65,$D$66,$D$67,$D$68,$D$69,$D$70,$D$71,$D$72,$D$73,$D$74,$D$75,$C$56,$C$57,$C$58,$D$59,$C$60),"")</f>
        <v>-331596.76473987679</v>
      </c>
      <c r="AJ57" s="255">
        <f ca="1">IF(NOW(),_xll.mirSwapPV($C$51,$C$52,$C$54,$AA57,$C$55,$AC57+AJ$51,$C$64,$C$65,$C$66,$C$67,$C$68,$C$69,$C$70,$C$74,$C$75,$D$63,$D$64,$D$65,$D$66,$D$67,$D$68,$D$69,$D$70,$D$71,$D$72,$D$73,$D$74,$D$75,$C$56,$C$57,$C$58,$D$59,$C$60),"")</f>
        <v>-248697.57355490761</v>
      </c>
      <c r="AK57" s="255">
        <f ca="1">IF(NOW(),_xll.mirSwapPV($C$51,$C$52,$C$54,$AA57,$C$55,$AC57+AK$51,$C$64,$C$65,$C$66,$C$67,$C$68,$C$69,$C$70,$C$74,$C$75,$D$63,$D$64,$D$65,$D$66,$D$67,$D$68,$D$69,$D$70,$D$71,$D$72,$D$73,$D$74,$D$75,$C$56,$C$57,$C$58,$D$59,$C$60),"")</f>
        <v>-165798.38236993839</v>
      </c>
      <c r="AL57" s="255">
        <f ca="1">IF(NOW(),_xll.mirSwapPV($C$51,$C$52,$C$54,$AA57,$C$55,$AC57+AL$51,$C$64,$C$65,$C$66,$C$67,$C$68,$C$69,$C$70,$C$74,$C$75,$D$63,$D$64,$D$65,$D$66,$D$67,$D$68,$D$69,$D$70,$D$71,$D$72,$D$73,$D$74,$D$75,$C$56,$C$57,$C$58,$D$59,$C$60),"")</f>
        <v>-82899.191184969197</v>
      </c>
      <c r="AM57" s="255">
        <f ca="1">IF(NOW(),_xll.mirSwapPV($C$51,$C$52,$C$54,$AA57,$C$55,$AC57+AM$51,$C$64,$C$65,$C$66,$C$67,$C$68,$C$69,$C$70,$C$74,$C$75,$D$63,$D$64,$D$65,$D$66,$D$67,$D$68,$D$69,$D$70,$D$71,$D$72,$D$73,$D$74,$D$75,$C$56,$C$57,$C$58,$D$59,$C$60),"")</f>
        <v>0</v>
      </c>
      <c r="AN57" s="255">
        <f ca="1">IF(NOW(),_xll.mirSwapPV($C$51,$C$52,$C$54,$AA57,$C$55,$AC57+AN$51,$C$64,$C$65,$C$66,$C$67,$C$68,$C$69,$C$70,$C$74,$C$75,$D$63,$D$64,$D$65,$D$66,$D$67,$D$68,$D$69,$D$70,$D$71,$D$72,$D$73,$D$74,$D$75,$C$56,$C$57,$C$58,$D$59,$C$60),"")</f>
        <v>82899.191184969211</v>
      </c>
      <c r="AO57" s="255">
        <f ca="1">IF(NOW(),_xll.mirSwapPV($C$51,$C$52,$C$54,$AA57,$C$55,$AC57+AO$51,$C$64,$C$65,$C$66,$C$67,$C$68,$C$69,$C$70,$C$74,$C$75,$D$63,$D$64,$D$65,$D$66,$D$67,$D$68,$D$69,$D$70,$D$71,$D$72,$D$73,$D$74,$D$75,$C$56,$C$57,$C$58,$D$59,$C$60),"")</f>
        <v>165798.38236993839</v>
      </c>
      <c r="AP57" s="255">
        <f ca="1">IF(NOW(),_xll.mirSwapPV($C$51,$C$52,$C$54,$AA57,$C$55,$AC57+AP$51,$C$64,$C$65,$C$66,$C$67,$C$68,$C$69,$C$70,$C$74,$C$75,$D$63,$D$64,$D$65,$D$66,$D$67,$D$68,$D$69,$D$70,$D$71,$D$72,$D$73,$D$74,$D$75,$C$56,$C$57,$C$58,$D$59,$C$60),"")</f>
        <v>248697.57355490761</v>
      </c>
      <c r="AQ57" s="255">
        <f ca="1">IF(NOW(),_xll.mirSwapPV($C$51,$C$52,$C$54,$AA57,$C$55,$AC57+AQ$51,$C$64,$C$65,$C$66,$C$67,$C$68,$C$69,$C$70,$C$74,$C$75,$D$63,$D$64,$D$65,$D$66,$D$67,$D$68,$D$69,$D$70,$D$71,$D$72,$D$73,$D$74,$D$75,$C$56,$C$57,$C$58,$D$59,$C$60),"")</f>
        <v>331596.76473987679</v>
      </c>
      <c r="AR57" s="255">
        <f ca="1">IF(NOW(),_xll.mirSwapPV($C$51,$C$52,$C$54,$AA57,$C$55,$AC57+AR$51,$C$64,$C$65,$C$66,$C$67,$C$68,$C$69,$C$70,$C$74,$C$75,$D$63,$D$64,$D$65,$D$66,$D$67,$D$68,$D$69,$D$70,$D$71,$D$72,$D$73,$D$74,$D$75,$C$56,$C$57,$C$58,$D$59,$C$60),"")</f>
        <v>414495.955924846</v>
      </c>
    </row>
    <row r="58" spans="2:44">
      <c r="B58" s="234" t="s">
        <v>436</v>
      </c>
      <c r="C58" s="235" t="s">
        <v>201</v>
      </c>
      <c r="D58" s="235"/>
      <c r="F58" s="224" t="s">
        <v>28</v>
      </c>
      <c r="G58" s="227">
        <f>_xll.mirGetDate($C$6,F58)</f>
        <v>45853</v>
      </c>
      <c r="H58" s="260">
        <f t="shared" si="14"/>
        <v>2.5365000000000002E-2</v>
      </c>
      <c r="I58" s="229">
        <f ca="1">IF(NOW(),_xll.mirGetParRate4($C$54,$G58,$C$55,$C$64,$C$65,$C$66,$C$67,$C$68,$C$69,$C$70,$C$74,$C$75,$D$64,$D$65,$D$66,$D$67,$D$68,$D$69,$D$70,$D$71,$D$72,$D$73,$D$74,$D$75,$C$56,$C$57,$C$58,$C$59,$C$60),"")</f>
        <v>2.5364999910048966E-2</v>
      </c>
      <c r="J58" s="229">
        <f t="shared" ca="1" si="10"/>
        <v>-8.9951036202906565E-11</v>
      </c>
      <c r="K58" s="230">
        <f t="shared" ca="1" si="11"/>
        <v>-8.9951036202906565E-7</v>
      </c>
      <c r="L58" s="230" t="s">
        <v>12</v>
      </c>
      <c r="M58" s="224" t="s">
        <v>28</v>
      </c>
      <c r="N58" s="255">
        <f ca="1">IF(NOW(),_xll.mirSwapPV($C$51,$C$52,$C$54,$G58,$C$55,$I58+N$51,$C$64,$C$65,$C$66,$C$67,$C$68,$C$69,$C$70,$C$74,$C$75,$D$63,$D$64,$D$65,$D$66,$D$67,$D$68,$D$69,$D$70,$D$71,$D$72,$D$73,$D$74,$D$75,$C$56,$C$57,$C$58,$C$59,$C$60),"")</f>
        <v>-454327.72847923241</v>
      </c>
      <c r="O58" s="255">
        <f ca="1">IF(NOW(),_xll.mirSwapPV($C$51,$C$52,$C$54,$G58,$C$55,$I58+O$51,$C$64,$C$65,$C$66,$C$67,$C$68,$C$69,$C$70,$C$74,$C$75,$D$63,$D$64,$D$65,$D$66,$D$67,$D$68,$D$69,$D$70,$D$71,$D$72,$D$73,$D$74,$D$75,$C$56,$C$57,$C$58,$C$59,$C$60),"")</f>
        <v>-363462.18278338591</v>
      </c>
      <c r="P58" s="255">
        <f ca="1">IF(NOW(),_xll.mirSwapPV($C$51,$C$52,$C$54,$G58,$C$55,$I58+P$51,$C$64,$C$65,$C$66,$C$67,$C$68,$C$69,$C$70,$C$74,$C$75,$D$63,$D$64,$D$65,$D$66,$D$67,$D$68,$D$69,$D$70,$D$71,$D$72,$D$73,$D$74,$D$75,$C$56,$C$57,$C$58,$C$59,$C$60),"")</f>
        <v>-272596.63708753942</v>
      </c>
      <c r="Q58" s="255">
        <f ca="1">IF(NOW(),_xll.mirSwapPV($C$51,$C$52,$C$54,$G58,$C$55,$I58+Q$51,$C$64,$C$65,$C$66,$C$67,$C$68,$C$69,$C$70,$C$74,$C$75,$D$63,$D$64,$D$65,$D$66,$D$67,$D$68,$D$69,$D$70,$D$71,$D$72,$D$73,$D$74,$D$75,$C$56,$C$57,$C$58,$C$59,$C$60),"")</f>
        <v>-181731.0913916929</v>
      </c>
      <c r="R58" s="255">
        <f ca="1">IF(NOW(),_xll.mirSwapPV($C$51,$C$52,$C$54,$G58,$C$55,$I58+R$51,$C$64,$C$65,$C$66,$C$67,$C$68,$C$69,$C$70,$C$74,$C$75,$D$63,$D$64,$D$65,$D$66,$D$67,$D$68,$D$69,$D$70,$D$71,$D$72,$D$73,$D$74,$D$75,$C$56,$C$57,$C$58,$C$59,$C$60),"")</f>
        <v>-90865.545695846449</v>
      </c>
      <c r="S58" s="255">
        <f ca="1">IF(NOW(),_xll.mirSwapPV($C$51,$C$52,$C$54,$G58,$C$55,$I58+S$51,$C$64,$C$65,$C$66,$C$67,$C$68,$C$69,$C$70,$C$74,$C$75,$D$63,$D$64,$D$65,$D$66,$D$67,$D$68,$D$69,$D$70,$D$71,$D$72,$D$73,$D$74,$D$75,$C$56,$C$57,$C$58,$C$59,$C$60),"")</f>
        <v>0</v>
      </c>
      <c r="T58" s="255">
        <f ca="1">IF(NOW(),_xll.mirSwapPV($C$51,$C$52,$C$54,$G58,$C$55,$I58+T$51,$C$64,$C$65,$C$66,$C$67,$C$68,$C$69,$C$70,$C$74,$C$75,$D$63,$D$64,$D$65,$D$66,$D$67,$D$68,$D$69,$D$70,$D$71,$D$72,$D$73,$D$74,$D$75,$C$56,$C$57,$C$58,$C$59,$C$60),"")</f>
        <v>90865.545695846507</v>
      </c>
      <c r="U58" s="255">
        <f ca="1">IF(NOW(),_xll.mirSwapPV($C$51,$C$52,$C$54,$G58,$C$55,$I58+U$51,$C$64,$C$65,$C$66,$C$67,$C$68,$C$69,$C$70,$C$74,$C$75,$D$63,$D$64,$D$65,$D$66,$D$67,$D$68,$D$69,$D$70,$D$71,$D$72,$D$73,$D$74,$D$75,$C$56,$C$57,$C$58,$C$59,$C$60),"")</f>
        <v>181731.09139169299</v>
      </c>
      <c r="V58" s="255">
        <f ca="1">IF(NOW(),_xll.mirSwapPV($C$51,$C$52,$C$54,$G58,$C$55,$I58+V$51,$C$64,$C$65,$C$66,$C$67,$C$68,$C$69,$C$70,$C$74,$C$75,$D$63,$D$64,$D$65,$D$66,$D$67,$D$68,$D$69,$D$70,$D$71,$D$72,$D$73,$D$74,$D$75,$C$56,$C$57,$C$58,$C$59,$C$60),"")</f>
        <v>272596.63708753936</v>
      </c>
      <c r="W58" s="255">
        <f ca="1">IF(NOW(),_xll.mirSwapPV($C$51,$C$52,$C$54,$G58,$C$55,$I58+W$51,$C$64,$C$65,$C$66,$C$67,$C$68,$C$69,$C$70,$C$74,$C$75,$D$63,$D$64,$D$65,$D$66,$D$67,$D$68,$D$69,$D$70,$D$71,$D$72,$D$73,$D$74,$D$75,$C$56,$C$57,$C$58,$C$59,$C$60),"")</f>
        <v>363462.1827833858</v>
      </c>
      <c r="X58" s="255">
        <f ca="1">IF(NOW(),_xll.mirSwapPV($C$51,$C$52,$C$54,$G58,$C$55,$I58+X$51,$C$64,$C$65,$C$66,$C$67,$C$68,$C$69,$C$70,$C$74,$C$75,$D$63,$D$64,$D$65,$D$66,$D$67,$D$68,$D$69,$D$70,$D$71,$D$72,$D$73,$D$74,$D$75,$C$56,$C$57,$C$58,$C$59,$C$60),"")</f>
        <v>454327.72847923241</v>
      </c>
      <c r="Y58" s="230" t="s">
        <v>12</v>
      </c>
      <c r="Z58" s="224" t="s">
        <v>28</v>
      </c>
      <c r="AA58" s="227">
        <f>_xll.mirGetDate($C$6,Z58)</f>
        <v>45853</v>
      </c>
      <c r="AB58" s="260">
        <f t="shared" si="15"/>
        <v>2.5365000000000002E-2</v>
      </c>
      <c r="AC58" s="229">
        <f ca="1">IF(NOW(),_xll.mirGetParRate4($C$54,$AA58,$C$55,$C$64,$C$65,$C$66,$C$67,$C$68,$C$69,$C$70,$C$74,$C$75,$D$64,$D$65,$D$66,$D$67,$D$68,$D$69,$D$70,$D$71,$D$72,$D$73,$D$74,$D$75,$C$56,$C$57,$C$58,$D$59,$C$60),"")</f>
        <v>2.5364999910048952E-2</v>
      </c>
      <c r="AD58" s="229">
        <f t="shared" ca="1" si="12"/>
        <v>-8.9951050080694372E-11</v>
      </c>
      <c r="AE58" s="230">
        <f t="shared" ca="1" si="13"/>
        <v>-8.9951050080694372E-7</v>
      </c>
      <c r="AG58" s="224" t="s">
        <v>28</v>
      </c>
      <c r="AH58" s="255">
        <f ca="1">IF(NOW(),_xll.mirSwapPV($C$51,$C$52,$C$54,$AA58,$C$55,$AC58+AH$51,$C$64,$C$65,$C$66,$C$67,$C$68,$C$69,$C$70,$C$74,$C$75,$D$63,$D$64,$D$65,$D$66,$D$67,$D$68,$D$69,$D$70,$D$71,$D$72,$D$73,$D$74,$D$75,$C$56,$C$57,$C$58,$D$59,$C$60),"")</f>
        <v>-454327.72847923241</v>
      </c>
      <c r="AI58" s="255">
        <f ca="1">IF(NOW(),_xll.mirSwapPV($C$51,$C$52,$C$54,$AA58,$C$55,$AC58+AI$51,$C$64,$C$65,$C$66,$C$67,$C$68,$C$69,$C$70,$C$74,$C$75,$D$63,$D$64,$D$65,$D$66,$D$67,$D$68,$D$69,$D$70,$D$71,$D$72,$D$73,$D$74,$D$75,$C$56,$C$57,$C$58,$D$59,$C$60),"")</f>
        <v>-363462.18278338586</v>
      </c>
      <c r="AJ58" s="255">
        <f ca="1">IF(NOW(),_xll.mirSwapPV($C$51,$C$52,$C$54,$AA58,$C$55,$AC58+AJ$51,$C$64,$C$65,$C$66,$C$67,$C$68,$C$69,$C$70,$C$74,$C$75,$D$63,$D$64,$D$65,$D$66,$D$67,$D$68,$D$69,$D$70,$D$71,$D$72,$D$73,$D$74,$D$75,$C$56,$C$57,$C$58,$D$59,$C$60),"")</f>
        <v>-272596.63708753942</v>
      </c>
      <c r="AK58" s="255">
        <f ca="1">IF(NOW(),_xll.mirSwapPV($C$51,$C$52,$C$54,$AA58,$C$55,$AC58+AK$51,$C$64,$C$65,$C$66,$C$67,$C$68,$C$69,$C$70,$C$74,$C$75,$D$63,$D$64,$D$65,$D$66,$D$67,$D$68,$D$69,$D$70,$D$71,$D$72,$D$73,$D$74,$D$75,$C$56,$C$57,$C$58,$D$59,$C$60),"")</f>
        <v>-181731.0913916929</v>
      </c>
      <c r="AL58" s="255">
        <f ca="1">IF(NOW(),_xll.mirSwapPV($C$51,$C$52,$C$54,$AA58,$C$55,$AC58+AL$51,$C$64,$C$65,$C$66,$C$67,$C$68,$C$69,$C$70,$C$74,$C$75,$D$63,$D$64,$D$65,$D$66,$D$67,$D$68,$D$69,$D$70,$D$71,$D$72,$D$73,$D$74,$D$75,$C$56,$C$57,$C$58,$D$59,$C$60),"")</f>
        <v>-90865.545695846435</v>
      </c>
      <c r="AM58" s="255">
        <f ca="1">IF(NOW(),_xll.mirSwapPV($C$51,$C$52,$C$54,$AA58,$C$55,$AC58+AM$51,$C$64,$C$65,$C$66,$C$67,$C$68,$C$69,$C$70,$C$74,$C$75,$D$63,$D$64,$D$65,$D$66,$D$67,$D$68,$D$69,$D$70,$D$71,$D$72,$D$73,$D$74,$D$75,$C$56,$C$57,$C$58,$D$59,$C$60),"")</f>
        <v>2.7755575615628914E-11</v>
      </c>
      <c r="AN58" s="255">
        <f ca="1">IF(NOW(),_xll.mirSwapPV($C$51,$C$52,$C$54,$AA58,$C$55,$AC58+AN$51,$C$64,$C$65,$C$66,$C$67,$C$68,$C$69,$C$70,$C$74,$C$75,$D$63,$D$64,$D$65,$D$66,$D$67,$D$68,$D$69,$D$70,$D$71,$D$72,$D$73,$D$74,$D$75,$C$56,$C$57,$C$58,$D$59,$C$60),"")</f>
        <v>90865.545695846478</v>
      </c>
      <c r="AO58" s="255">
        <f ca="1">IF(NOW(),_xll.mirSwapPV($C$51,$C$52,$C$54,$AA58,$C$55,$AC58+AO$51,$C$64,$C$65,$C$66,$C$67,$C$68,$C$69,$C$70,$C$74,$C$75,$D$63,$D$64,$D$65,$D$66,$D$67,$D$68,$D$69,$D$70,$D$71,$D$72,$D$73,$D$74,$D$75,$C$56,$C$57,$C$58,$D$59,$C$60),"")</f>
        <v>181731.09139169301</v>
      </c>
      <c r="AP58" s="255">
        <f ca="1">IF(NOW(),_xll.mirSwapPV($C$51,$C$52,$C$54,$AA58,$C$55,$AC58+AP$51,$C$64,$C$65,$C$66,$C$67,$C$68,$C$69,$C$70,$C$74,$C$75,$D$63,$D$64,$D$65,$D$66,$D$67,$D$68,$D$69,$D$70,$D$71,$D$72,$D$73,$D$74,$D$75,$C$56,$C$57,$C$58,$D$59,$C$60),"")</f>
        <v>272596.63708753942</v>
      </c>
      <c r="AQ58" s="255">
        <f ca="1">IF(NOW(),_xll.mirSwapPV($C$51,$C$52,$C$54,$AA58,$C$55,$AC58+AQ$51,$C$64,$C$65,$C$66,$C$67,$C$68,$C$69,$C$70,$C$74,$C$75,$D$63,$D$64,$D$65,$D$66,$D$67,$D$68,$D$69,$D$70,$D$71,$D$72,$D$73,$D$74,$D$75,$C$56,$C$57,$C$58,$D$59,$C$60),"")</f>
        <v>363462.18278338597</v>
      </c>
      <c r="AR58" s="255">
        <f ca="1">IF(NOW(),_xll.mirSwapPV($C$51,$C$52,$C$54,$AA58,$C$55,$AC58+AR$51,$C$64,$C$65,$C$66,$C$67,$C$68,$C$69,$C$70,$C$74,$C$75,$D$63,$D$64,$D$65,$D$66,$D$67,$D$68,$D$69,$D$70,$D$71,$D$72,$D$73,$D$74,$D$75,$C$56,$C$57,$C$58,$D$59,$C$60),"")</f>
        <v>454327.72847923235</v>
      </c>
    </row>
    <row r="59" spans="2:44">
      <c r="B59" s="234" t="s">
        <v>437</v>
      </c>
      <c r="C59" s="236" t="b">
        <v>1</v>
      </c>
      <c r="D59" s="236" t="b">
        <v>0</v>
      </c>
      <c r="F59" s="224" t="s">
        <v>366</v>
      </c>
      <c r="G59" s="227">
        <f>_xll.mirGetDate($C$6,F59)</f>
        <v>46218</v>
      </c>
      <c r="H59" s="260">
        <f t="shared" si="14"/>
        <v>2.6099999999999998E-2</v>
      </c>
      <c r="I59" s="229">
        <f ca="1">IF(NOW(),_xll.mirGetParRate4($C$54,$G59,$C$55,$C$64,$C$65,$C$66,$C$67,$C$68,$C$69,$C$70,$C$74,$C$75,$D$64,$D$65,$D$66,$D$67,$D$68,$D$69,$D$70,$D$71,$D$72,$D$73,$D$74,$D$75,$C$56,$C$57,$C$58,$C$59,$C$60),"")</f>
        <v>2.6099999963436895E-2</v>
      </c>
      <c r="J59" s="229">
        <f t="shared" ca="1" si="10"/>
        <v>-3.6563103239517503E-11</v>
      </c>
      <c r="K59" s="230">
        <f t="shared" ca="1" si="11"/>
        <v>-3.6563103239517503E-7</v>
      </c>
      <c r="L59" s="230" t="s">
        <v>12</v>
      </c>
      <c r="M59" s="224" t="s">
        <v>366</v>
      </c>
      <c r="N59" s="255">
        <f ca="1">IF(NOW(),_xll.mirSwapPV($C$51,$C$52,$C$54,$G59,$C$55,$I59+N$51,$C$64,$C$65,$C$66,$C$67,$C$68,$C$69,$C$70,$C$74,$C$75,$D$63,$D$64,$D$65,$D$66,$D$67,$D$68,$D$69,$D$70,$D$71,$D$72,$D$73,$D$74,$D$75,$C$56,$C$57,$C$58,$C$59,$C$60),"")</f>
        <v>-492896.57612352073</v>
      </c>
      <c r="O59" s="255">
        <f ca="1">IF(NOW(),_xll.mirSwapPV($C$51,$C$52,$C$54,$G59,$C$55,$I59+O$51,$C$64,$C$65,$C$66,$C$67,$C$68,$C$69,$C$70,$C$74,$C$75,$D$63,$D$64,$D$65,$D$66,$D$67,$D$68,$D$69,$D$70,$D$71,$D$72,$D$73,$D$74,$D$75,$C$56,$C$57,$C$58,$C$59,$C$60),"")</f>
        <v>-394317.26089881657</v>
      </c>
      <c r="P59" s="255">
        <f ca="1">IF(NOW(),_xll.mirSwapPV($C$51,$C$52,$C$54,$G59,$C$55,$I59+P$51,$C$64,$C$65,$C$66,$C$67,$C$68,$C$69,$C$70,$C$74,$C$75,$D$63,$D$64,$D$65,$D$66,$D$67,$D$68,$D$69,$D$70,$D$71,$D$72,$D$73,$D$74,$D$75,$C$56,$C$57,$C$58,$C$59,$C$60),"")</f>
        <v>-295737.94567411236</v>
      </c>
      <c r="Q59" s="255">
        <f ca="1">IF(NOW(),_xll.mirSwapPV($C$51,$C$52,$C$54,$G59,$C$55,$I59+Q$51,$C$64,$C$65,$C$66,$C$67,$C$68,$C$69,$C$70,$C$74,$C$75,$D$63,$D$64,$D$65,$D$66,$D$67,$D$68,$D$69,$D$70,$D$71,$D$72,$D$73,$D$74,$D$75,$C$56,$C$57,$C$58,$C$59,$C$60),"")</f>
        <v>-197158.63044940823</v>
      </c>
      <c r="R59" s="255">
        <f ca="1">IF(NOW(),_xll.mirSwapPV($C$51,$C$52,$C$54,$G59,$C$55,$I59+R$51,$C$64,$C$65,$C$66,$C$67,$C$68,$C$69,$C$70,$C$74,$C$75,$D$63,$D$64,$D$65,$D$66,$D$67,$D$68,$D$69,$D$70,$D$71,$D$72,$D$73,$D$74,$D$75,$C$56,$C$57,$C$58,$C$59,$C$60),"")</f>
        <v>-98579.315224704114</v>
      </c>
      <c r="S59" s="255">
        <f ca="1">IF(NOW(),_xll.mirSwapPV($C$51,$C$52,$C$54,$G59,$C$55,$I59+S$51,$C$64,$C$65,$C$66,$C$67,$C$68,$C$69,$C$70,$C$74,$C$75,$D$63,$D$64,$D$65,$D$66,$D$67,$D$68,$D$69,$D$70,$D$71,$D$72,$D$73,$D$74,$D$75,$C$56,$C$57,$C$58,$C$59,$C$60),"")</f>
        <v>0</v>
      </c>
      <c r="T59" s="255">
        <f ca="1">IF(NOW(),_xll.mirSwapPV($C$51,$C$52,$C$54,$G59,$C$55,$I59+T$51,$C$64,$C$65,$C$66,$C$67,$C$68,$C$69,$C$70,$C$74,$C$75,$D$63,$D$64,$D$65,$D$66,$D$67,$D$68,$D$69,$D$70,$D$71,$D$72,$D$73,$D$74,$D$75,$C$56,$C$57,$C$58,$C$59,$C$60),"")</f>
        <v>98579.315224704143</v>
      </c>
      <c r="U59" s="255">
        <f ca="1">IF(NOW(),_xll.mirSwapPV($C$51,$C$52,$C$54,$G59,$C$55,$I59+U$51,$C$64,$C$65,$C$66,$C$67,$C$68,$C$69,$C$70,$C$74,$C$75,$D$63,$D$64,$D$65,$D$66,$D$67,$D$68,$D$69,$D$70,$D$71,$D$72,$D$73,$D$74,$D$75,$C$56,$C$57,$C$58,$C$59,$C$60),"")</f>
        <v>197158.63044940829</v>
      </c>
      <c r="V59" s="255">
        <f ca="1">IF(NOW(),_xll.mirSwapPV($C$51,$C$52,$C$54,$G59,$C$55,$I59+V$51,$C$64,$C$65,$C$66,$C$67,$C$68,$C$69,$C$70,$C$74,$C$75,$D$63,$D$64,$D$65,$D$66,$D$67,$D$68,$D$69,$D$70,$D$71,$D$72,$D$73,$D$74,$D$75,$C$56,$C$57,$C$58,$C$59,$C$60),"")</f>
        <v>295737.94567411242</v>
      </c>
      <c r="W59" s="255">
        <f ca="1">IF(NOW(),_xll.mirSwapPV($C$51,$C$52,$C$54,$G59,$C$55,$I59+W$51,$C$64,$C$65,$C$66,$C$67,$C$68,$C$69,$C$70,$C$74,$C$75,$D$63,$D$64,$D$65,$D$66,$D$67,$D$68,$D$69,$D$70,$D$71,$D$72,$D$73,$D$74,$D$75,$C$56,$C$57,$C$58,$C$59,$C$60),"")</f>
        <v>394317.26089881652</v>
      </c>
      <c r="X59" s="255">
        <f ca="1">IF(NOW(),_xll.mirSwapPV($C$51,$C$52,$C$54,$G59,$C$55,$I59+X$51,$C$64,$C$65,$C$66,$C$67,$C$68,$C$69,$C$70,$C$74,$C$75,$D$63,$D$64,$D$65,$D$66,$D$67,$D$68,$D$69,$D$70,$D$71,$D$72,$D$73,$D$74,$D$75,$C$56,$C$57,$C$58,$C$59,$C$60),"")</f>
        <v>492896.57612352085</v>
      </c>
      <c r="Y59" s="230" t="s">
        <v>12</v>
      </c>
      <c r="Z59" s="224" t="s">
        <v>366</v>
      </c>
      <c r="AA59" s="227">
        <f>_xll.mirGetDate($C$6,Z59)</f>
        <v>46218</v>
      </c>
      <c r="AB59" s="260">
        <f t="shared" si="15"/>
        <v>2.6099999999999998E-2</v>
      </c>
      <c r="AC59" s="229">
        <f ca="1">IF(NOW(),_xll.mirGetParRate4($C$54,$AA59,$C$55,$C$64,$C$65,$C$66,$C$67,$C$68,$C$69,$C$70,$C$74,$C$75,$D$64,$D$65,$D$66,$D$67,$D$68,$D$69,$D$70,$D$71,$D$72,$D$73,$D$74,$D$75,$C$56,$C$57,$C$58,$D$59,$C$60),"")</f>
        <v>2.6099999963436888E-2</v>
      </c>
      <c r="AD59" s="229">
        <f t="shared" ca="1" si="12"/>
        <v>-3.6563110178411407E-11</v>
      </c>
      <c r="AE59" s="230">
        <f t="shared" ca="1" si="13"/>
        <v>-3.6563110178411407E-7</v>
      </c>
      <c r="AG59" s="224" t="s">
        <v>366</v>
      </c>
      <c r="AH59" s="255">
        <f ca="1">IF(NOW(),_xll.mirSwapPV($C$51,$C$52,$C$54,$AA59,$C$55,$AC59+AH$51,$C$64,$C$65,$C$66,$C$67,$C$68,$C$69,$C$70,$C$74,$C$75,$D$63,$D$64,$D$65,$D$66,$D$67,$D$68,$D$69,$D$70,$D$71,$D$72,$D$73,$D$74,$D$75,$C$56,$C$57,$C$58,$D$59,$C$60),"")</f>
        <v>-492896.57612352079</v>
      </c>
      <c r="AI59" s="255">
        <f ca="1">IF(NOW(),_xll.mirSwapPV($C$51,$C$52,$C$54,$AA59,$C$55,$AC59+AI$51,$C$64,$C$65,$C$66,$C$67,$C$68,$C$69,$C$70,$C$74,$C$75,$D$63,$D$64,$D$65,$D$66,$D$67,$D$68,$D$69,$D$70,$D$71,$D$72,$D$73,$D$74,$D$75,$C$56,$C$57,$C$58,$D$59,$C$60),"")</f>
        <v>-394317.26089881657</v>
      </c>
      <c r="AJ59" s="255">
        <f ca="1">IF(NOW(),_xll.mirSwapPV($C$51,$C$52,$C$54,$AA59,$C$55,$AC59+AJ$51,$C$64,$C$65,$C$66,$C$67,$C$68,$C$69,$C$70,$C$74,$C$75,$D$63,$D$64,$D$65,$D$66,$D$67,$D$68,$D$69,$D$70,$D$71,$D$72,$D$73,$D$74,$D$75,$C$56,$C$57,$C$58,$D$59,$C$60),"")</f>
        <v>-295737.94567411242</v>
      </c>
      <c r="AK59" s="255">
        <f ca="1">IF(NOW(),_xll.mirSwapPV($C$51,$C$52,$C$54,$AA59,$C$55,$AC59+AK$51,$C$64,$C$65,$C$66,$C$67,$C$68,$C$69,$C$70,$C$74,$C$75,$D$63,$D$64,$D$65,$D$66,$D$67,$D$68,$D$69,$D$70,$D$71,$D$72,$D$73,$D$74,$D$75,$C$56,$C$57,$C$58,$D$59,$C$60),"")</f>
        <v>-197158.63044940826</v>
      </c>
      <c r="AL59" s="255">
        <f ca="1">IF(NOW(),_xll.mirSwapPV($C$51,$C$52,$C$54,$AA59,$C$55,$AC59+AL$51,$C$64,$C$65,$C$66,$C$67,$C$68,$C$69,$C$70,$C$74,$C$75,$D$63,$D$64,$D$65,$D$66,$D$67,$D$68,$D$69,$D$70,$D$71,$D$72,$D$73,$D$74,$D$75,$C$56,$C$57,$C$58,$D$59,$C$60),"")</f>
        <v>-98579.315224704114</v>
      </c>
      <c r="AM59" s="255">
        <f ca="1">IF(NOW(),_xll.mirSwapPV($C$51,$C$52,$C$54,$AA59,$C$55,$AC59+AM$51,$C$64,$C$65,$C$66,$C$67,$C$68,$C$69,$C$70,$C$74,$C$75,$D$63,$D$64,$D$65,$D$66,$D$67,$D$68,$D$69,$D$70,$D$71,$D$72,$D$73,$D$74,$D$75,$C$56,$C$57,$C$58,$D$59,$C$60),"")</f>
        <v>0</v>
      </c>
      <c r="AN59" s="255">
        <f ca="1">IF(NOW(),_xll.mirSwapPV($C$51,$C$52,$C$54,$AA59,$C$55,$AC59+AN$51,$C$64,$C$65,$C$66,$C$67,$C$68,$C$69,$C$70,$C$74,$C$75,$D$63,$D$64,$D$65,$D$66,$D$67,$D$68,$D$69,$D$70,$D$71,$D$72,$D$73,$D$74,$D$75,$C$56,$C$57,$C$58,$D$59,$C$60),"")</f>
        <v>98579.315224704143</v>
      </c>
      <c r="AO59" s="255">
        <f ca="1">IF(NOW(),_xll.mirSwapPV($C$51,$C$52,$C$54,$AA59,$C$55,$AC59+AO$51,$C$64,$C$65,$C$66,$C$67,$C$68,$C$69,$C$70,$C$74,$C$75,$D$63,$D$64,$D$65,$D$66,$D$67,$D$68,$D$69,$D$70,$D$71,$D$72,$D$73,$D$74,$D$75,$C$56,$C$57,$C$58,$D$59,$C$60),"")</f>
        <v>197158.63044940829</v>
      </c>
      <c r="AP59" s="255">
        <f ca="1">IF(NOW(),_xll.mirSwapPV($C$51,$C$52,$C$54,$AA59,$C$55,$AC59+AP$51,$C$64,$C$65,$C$66,$C$67,$C$68,$C$69,$C$70,$C$74,$C$75,$D$63,$D$64,$D$65,$D$66,$D$67,$D$68,$D$69,$D$70,$D$71,$D$72,$D$73,$D$74,$D$75,$C$56,$C$57,$C$58,$D$59,$C$60),"")</f>
        <v>295737.94567411236</v>
      </c>
      <c r="AQ59" s="255">
        <f ca="1">IF(NOW(),_xll.mirSwapPV($C$51,$C$52,$C$54,$AA59,$C$55,$AC59+AQ$51,$C$64,$C$65,$C$66,$C$67,$C$68,$C$69,$C$70,$C$74,$C$75,$D$63,$D$64,$D$65,$D$66,$D$67,$D$68,$D$69,$D$70,$D$71,$D$72,$D$73,$D$74,$D$75,$C$56,$C$57,$C$58,$D$59,$C$60),"")</f>
        <v>394317.26089881657</v>
      </c>
      <c r="AR59" s="255">
        <f ca="1">IF(NOW(),_xll.mirSwapPV($C$51,$C$52,$C$54,$AA59,$C$55,$AC59+AR$51,$C$64,$C$65,$C$66,$C$67,$C$68,$C$69,$C$70,$C$74,$C$75,$D$63,$D$64,$D$65,$D$66,$D$67,$D$68,$D$69,$D$70,$D$71,$D$72,$D$73,$D$74,$D$75,$C$56,$C$57,$C$58,$D$59,$C$60),"")</f>
        <v>492896.57612352067</v>
      </c>
    </row>
    <row r="60" spans="2:44">
      <c r="B60" s="225" t="s">
        <v>438</v>
      </c>
      <c r="C60" s="237" t="b">
        <v>1</v>
      </c>
      <c r="D60" s="237"/>
      <c r="F60" s="224" t="s">
        <v>26</v>
      </c>
      <c r="G60" s="227">
        <f>_xll.mirGetDate($C$6,F60)</f>
        <v>46583</v>
      </c>
      <c r="H60" s="260">
        <f t="shared" si="14"/>
        <v>2.6724999999999999E-2</v>
      </c>
      <c r="I60" s="229">
        <f ca="1">IF(NOW(),_xll.mirGetParRate4($C$54,$G60,$C$55,$C$64,$C$65,$C$66,$C$67,$C$68,$C$69,$C$70,$C$74,$C$75,$D$64,$D$65,$D$66,$D$67,$D$68,$D$69,$D$70,$D$71,$D$72,$D$73,$D$74,$D$75,$C$56,$C$57,$C$58,$C$59,$C$60),"")</f>
        <v>2.6724999931119615E-2</v>
      </c>
      <c r="J60" s="229">
        <f t="shared" ca="1" si="10"/>
        <v>-6.8880384035407971E-11</v>
      </c>
      <c r="K60" s="230">
        <f t="shared" ca="1" si="11"/>
        <v>-6.8880384035407971E-7</v>
      </c>
      <c r="L60" s="230" t="s">
        <v>12</v>
      </c>
      <c r="M60" s="224" t="s">
        <v>26</v>
      </c>
      <c r="N60" s="255">
        <f ca="1">IF(NOW(),_xll.mirSwapPV($C$51,$C$52,$C$54,$G60,$C$55,$I60+N$51,$C$64,$C$65,$C$66,$C$67,$C$68,$C$69,$C$70,$C$74,$C$75,$D$63,$D$64,$D$65,$D$66,$D$67,$D$68,$D$69,$D$70,$D$71,$D$72,$D$73,$D$74,$D$75,$C$56,$C$57,$C$58,$C$59,$C$60),"")</f>
        <v>-530241.07095762773</v>
      </c>
      <c r="O60" s="255">
        <f ca="1">IF(NOW(),_xll.mirSwapPV($C$51,$C$52,$C$54,$G60,$C$55,$I60+O$51,$C$64,$C$65,$C$66,$C$67,$C$68,$C$69,$C$70,$C$74,$C$75,$D$63,$D$64,$D$65,$D$66,$D$67,$D$68,$D$69,$D$70,$D$71,$D$72,$D$73,$D$74,$D$75,$C$56,$C$57,$C$58,$C$59,$C$60),"")</f>
        <v>-424192.8567661022</v>
      </c>
      <c r="P60" s="255">
        <f ca="1">IF(NOW(),_xll.mirSwapPV($C$51,$C$52,$C$54,$G60,$C$55,$I60+P$51,$C$64,$C$65,$C$66,$C$67,$C$68,$C$69,$C$70,$C$74,$C$75,$D$63,$D$64,$D$65,$D$66,$D$67,$D$68,$D$69,$D$70,$D$71,$D$72,$D$73,$D$74,$D$75,$C$56,$C$57,$C$58,$C$59,$C$60),"")</f>
        <v>-318144.64257457666</v>
      </c>
      <c r="Q60" s="255">
        <f ca="1">IF(NOW(),_xll.mirSwapPV($C$51,$C$52,$C$54,$G60,$C$55,$I60+Q$51,$C$64,$C$65,$C$66,$C$67,$C$68,$C$69,$C$70,$C$74,$C$75,$D$63,$D$64,$D$65,$D$66,$D$67,$D$68,$D$69,$D$70,$D$71,$D$72,$D$73,$D$74,$D$75,$C$56,$C$57,$C$58,$C$59,$C$60),"")</f>
        <v>-212096.42838305104</v>
      </c>
      <c r="R60" s="255">
        <f ca="1">IF(NOW(),_xll.mirSwapPV($C$51,$C$52,$C$54,$G60,$C$55,$I60+R$51,$C$64,$C$65,$C$66,$C$67,$C$68,$C$69,$C$70,$C$74,$C$75,$D$63,$D$64,$D$65,$D$66,$D$67,$D$68,$D$69,$D$70,$D$71,$D$72,$D$73,$D$74,$D$75,$C$56,$C$57,$C$58,$C$59,$C$60),"")</f>
        <v>-106048.21419152555</v>
      </c>
      <c r="S60" s="255">
        <f ca="1">IF(NOW(),_xll.mirSwapPV($C$51,$C$52,$C$54,$G60,$C$55,$I60+S$51,$C$64,$C$65,$C$66,$C$67,$C$68,$C$69,$C$70,$C$74,$C$75,$D$63,$D$64,$D$65,$D$66,$D$67,$D$68,$D$69,$D$70,$D$71,$D$72,$D$73,$D$74,$D$75,$C$56,$C$57,$C$58,$C$59,$C$60),"")</f>
        <v>0</v>
      </c>
      <c r="T60" s="255">
        <f ca="1">IF(NOW(),_xll.mirSwapPV($C$51,$C$52,$C$54,$G60,$C$55,$I60+T$51,$C$64,$C$65,$C$66,$C$67,$C$68,$C$69,$C$70,$C$74,$C$75,$D$63,$D$64,$D$65,$D$66,$D$67,$D$68,$D$69,$D$70,$D$71,$D$72,$D$73,$D$74,$D$75,$C$56,$C$57,$C$58,$C$59,$C$60),"")</f>
        <v>106048.21419152549</v>
      </c>
      <c r="U60" s="255">
        <f ca="1">IF(NOW(),_xll.mirSwapPV($C$51,$C$52,$C$54,$G60,$C$55,$I60+U$51,$C$64,$C$65,$C$66,$C$67,$C$68,$C$69,$C$70,$C$74,$C$75,$D$63,$D$64,$D$65,$D$66,$D$67,$D$68,$D$69,$D$70,$D$71,$D$72,$D$73,$D$74,$D$75,$C$56,$C$57,$C$58,$C$59,$C$60),"")</f>
        <v>212096.42838305104</v>
      </c>
      <c r="V60" s="255">
        <f ca="1">IF(NOW(),_xll.mirSwapPV($C$51,$C$52,$C$54,$G60,$C$55,$I60+V$51,$C$64,$C$65,$C$66,$C$67,$C$68,$C$69,$C$70,$C$74,$C$75,$D$63,$D$64,$D$65,$D$66,$D$67,$D$68,$D$69,$D$70,$D$71,$D$72,$D$73,$D$74,$D$75,$C$56,$C$57,$C$58,$C$59,$C$60),"")</f>
        <v>318144.6425745766</v>
      </c>
      <c r="W60" s="255">
        <f ca="1">IF(NOW(),_xll.mirSwapPV($C$51,$C$52,$C$54,$G60,$C$55,$I60+W$51,$C$64,$C$65,$C$66,$C$67,$C$68,$C$69,$C$70,$C$74,$C$75,$D$63,$D$64,$D$65,$D$66,$D$67,$D$68,$D$69,$D$70,$D$71,$D$72,$D$73,$D$74,$D$75,$C$56,$C$57,$C$58,$C$59,$C$60),"")</f>
        <v>424192.85676610214</v>
      </c>
      <c r="X60" s="255">
        <f ca="1">IF(NOW(),_xll.mirSwapPV($C$51,$C$52,$C$54,$G60,$C$55,$I60+X$51,$C$64,$C$65,$C$66,$C$67,$C$68,$C$69,$C$70,$C$74,$C$75,$D$63,$D$64,$D$65,$D$66,$D$67,$D$68,$D$69,$D$70,$D$71,$D$72,$D$73,$D$74,$D$75,$C$56,$C$57,$C$58,$C$59,$C$60),"")</f>
        <v>530241.07095762773</v>
      </c>
      <c r="Y60" s="230" t="s">
        <v>12</v>
      </c>
      <c r="Z60" s="224" t="s">
        <v>26</v>
      </c>
      <c r="AA60" s="227">
        <f>_xll.mirGetDate($C$6,Z60)</f>
        <v>46583</v>
      </c>
      <c r="AB60" s="260">
        <f t="shared" si="15"/>
        <v>2.6724999999999999E-2</v>
      </c>
      <c r="AC60" s="229">
        <f ca="1">IF(NOW(),_xll.mirGetParRate4($C$54,$AA60,$C$55,$C$64,$C$65,$C$66,$C$67,$C$68,$C$69,$C$70,$C$74,$C$75,$D$64,$D$65,$D$66,$D$67,$D$68,$D$69,$D$70,$D$71,$D$72,$D$73,$D$74,$D$75,$C$56,$C$57,$C$58,$D$59,$C$60),"")</f>
        <v>2.6724999931119604E-2</v>
      </c>
      <c r="AD60" s="229">
        <f t="shared" ca="1" si="12"/>
        <v>-6.8880394443748827E-11</v>
      </c>
      <c r="AE60" s="230">
        <f t="shared" ca="1" si="13"/>
        <v>-6.8880394443748827E-7</v>
      </c>
      <c r="AG60" s="224" t="s">
        <v>26</v>
      </c>
      <c r="AH60" s="255">
        <f ca="1">IF(NOW(),_xll.mirSwapPV($C$51,$C$52,$C$54,$AA60,$C$55,$AC60+AH$51,$C$64,$C$65,$C$66,$C$67,$C$68,$C$69,$C$70,$C$74,$C$75,$D$63,$D$64,$D$65,$D$66,$D$67,$D$68,$D$69,$D$70,$D$71,$D$72,$D$73,$D$74,$D$75,$C$56,$C$57,$C$58,$D$59,$C$60),"")</f>
        <v>-530241.07095762773</v>
      </c>
      <c r="AI60" s="255">
        <f ca="1">IF(NOW(),_xll.mirSwapPV($C$51,$C$52,$C$54,$AA60,$C$55,$AC60+AI$51,$C$64,$C$65,$C$66,$C$67,$C$68,$C$69,$C$70,$C$74,$C$75,$D$63,$D$64,$D$65,$D$66,$D$67,$D$68,$D$69,$D$70,$D$71,$D$72,$D$73,$D$74,$D$75,$C$56,$C$57,$C$58,$D$59,$C$60),"")</f>
        <v>-424192.8567661022</v>
      </c>
      <c r="AJ60" s="255">
        <f ca="1">IF(NOW(),_xll.mirSwapPV($C$51,$C$52,$C$54,$AA60,$C$55,$AC60+AJ$51,$C$64,$C$65,$C$66,$C$67,$C$68,$C$69,$C$70,$C$74,$C$75,$D$63,$D$64,$D$65,$D$66,$D$67,$D$68,$D$69,$D$70,$D$71,$D$72,$D$73,$D$74,$D$75,$C$56,$C$57,$C$58,$D$59,$C$60),"")</f>
        <v>-318144.64257457666</v>
      </c>
      <c r="AK60" s="255">
        <f ca="1">IF(NOW(),_xll.mirSwapPV($C$51,$C$52,$C$54,$AA60,$C$55,$AC60+AK$51,$C$64,$C$65,$C$66,$C$67,$C$68,$C$69,$C$70,$C$74,$C$75,$D$63,$D$64,$D$65,$D$66,$D$67,$D$68,$D$69,$D$70,$D$71,$D$72,$D$73,$D$74,$D$75,$C$56,$C$57,$C$58,$D$59,$C$60),"")</f>
        <v>-212096.42838305104</v>
      </c>
      <c r="AL60" s="255">
        <f ca="1">IF(NOW(),_xll.mirSwapPV($C$51,$C$52,$C$54,$AA60,$C$55,$AC60+AL$51,$C$64,$C$65,$C$66,$C$67,$C$68,$C$69,$C$70,$C$74,$C$75,$D$63,$D$64,$D$65,$D$66,$D$67,$D$68,$D$69,$D$70,$D$71,$D$72,$D$73,$D$74,$D$75,$C$56,$C$57,$C$58,$D$59,$C$60),"")</f>
        <v>-106048.21419152549</v>
      </c>
      <c r="AM60" s="255">
        <f ca="1">IF(NOW(),_xll.mirSwapPV($C$51,$C$52,$C$54,$AA60,$C$55,$AC60+AM$51,$C$64,$C$65,$C$66,$C$67,$C$68,$C$69,$C$70,$C$74,$C$75,$D$63,$D$64,$D$65,$D$66,$D$67,$D$68,$D$69,$D$70,$D$71,$D$72,$D$73,$D$74,$D$75,$C$56,$C$57,$C$58,$D$59,$C$60),"")</f>
        <v>0</v>
      </c>
      <c r="AN60" s="255">
        <f ca="1">IF(NOW(),_xll.mirSwapPV($C$51,$C$52,$C$54,$AA60,$C$55,$AC60+AN$51,$C$64,$C$65,$C$66,$C$67,$C$68,$C$69,$C$70,$C$74,$C$75,$D$63,$D$64,$D$65,$D$66,$D$67,$D$68,$D$69,$D$70,$D$71,$D$72,$D$73,$D$74,$D$75,$C$56,$C$57,$C$58,$D$59,$C$60),"")</f>
        <v>106048.21419152555</v>
      </c>
      <c r="AO60" s="255">
        <f ca="1">IF(NOW(),_xll.mirSwapPV($C$51,$C$52,$C$54,$AA60,$C$55,$AC60+AO$51,$C$64,$C$65,$C$66,$C$67,$C$68,$C$69,$C$70,$C$74,$C$75,$D$63,$D$64,$D$65,$D$66,$D$67,$D$68,$D$69,$D$70,$D$71,$D$72,$D$73,$D$74,$D$75,$C$56,$C$57,$C$58,$D$59,$C$60),"")</f>
        <v>212096.42838305104</v>
      </c>
      <c r="AP60" s="255">
        <f ca="1">IF(NOW(),_xll.mirSwapPV($C$51,$C$52,$C$54,$AA60,$C$55,$AC60+AP$51,$C$64,$C$65,$C$66,$C$67,$C$68,$C$69,$C$70,$C$74,$C$75,$D$63,$D$64,$D$65,$D$66,$D$67,$D$68,$D$69,$D$70,$D$71,$D$72,$D$73,$D$74,$D$75,$C$56,$C$57,$C$58,$D$59,$C$60),"")</f>
        <v>318144.6425745766</v>
      </c>
      <c r="AQ60" s="255">
        <f ca="1">IF(NOW(),_xll.mirSwapPV($C$51,$C$52,$C$54,$AA60,$C$55,$AC60+AQ$51,$C$64,$C$65,$C$66,$C$67,$C$68,$C$69,$C$70,$C$74,$C$75,$D$63,$D$64,$D$65,$D$66,$D$67,$D$68,$D$69,$D$70,$D$71,$D$72,$D$73,$D$74,$D$75,$C$56,$C$57,$C$58,$D$59,$C$60),"")</f>
        <v>424192.85676610214</v>
      </c>
      <c r="AR60" s="255">
        <f ca="1">IF(NOW(),_xll.mirSwapPV($C$51,$C$52,$C$54,$AA60,$C$55,$AC60+AR$51,$C$64,$C$65,$C$66,$C$67,$C$68,$C$69,$C$70,$C$74,$C$75,$D$63,$D$64,$D$65,$D$66,$D$67,$D$68,$D$69,$D$70,$D$71,$D$72,$D$73,$D$74,$D$75,$C$56,$C$57,$C$58,$D$59,$C$60),"")</f>
        <v>530241.07095762773</v>
      </c>
    </row>
    <row r="61" spans="2:44">
      <c r="F61" s="224" t="s">
        <v>24</v>
      </c>
      <c r="G61" s="227">
        <f>_xll.mirGetDate($C$6,F61)</f>
        <v>47679</v>
      </c>
      <c r="H61" s="260">
        <f t="shared" si="14"/>
        <v>2.8036999999999999E-2</v>
      </c>
      <c r="I61" s="229">
        <f ca="1">IF(NOW(),_xll.mirGetParRate4($C$54,$G61,$C$55,$C$64,$C$65,$C$66,$C$67,$C$68,$C$69,$C$70,$C$74,$C$75,$D$64,$D$65,$D$66,$D$67,$D$68,$D$69,$D$70,$D$71,$D$72,$D$73,$D$74,$D$75,$C$56,$C$57,$C$58,$C$59,$C$60),"")</f>
        <v>2.8036999953834057E-2</v>
      </c>
      <c r="J61" s="229">
        <f t="shared" ca="1" si="10"/>
        <v>-4.6165942596543275E-11</v>
      </c>
      <c r="K61" s="230">
        <f t="shared" ca="1" si="11"/>
        <v>-4.6165942596543275E-7</v>
      </c>
      <c r="L61" s="230" t="s">
        <v>12</v>
      </c>
      <c r="M61" s="224" t="s">
        <v>24</v>
      </c>
      <c r="N61" s="255">
        <f ca="1">IF(NOW(),_xll.mirSwapPV($C$51,$C$52,$C$54,$G61,$C$55,$I61+N$51,$C$64,$C$65,$C$66,$C$67,$C$68,$C$69,$C$70,$C$74,$C$75,$D$63,$D$64,$D$65,$D$66,$D$67,$D$68,$D$69,$D$70,$D$71,$D$72,$D$73,$D$74,$D$75,$C$56,$C$57,$C$58,$C$59,$C$60),"")</f>
        <v>-635336.21014256671</v>
      </c>
      <c r="O61" s="255">
        <f ca="1">IF(NOW(),_xll.mirSwapPV($C$51,$C$52,$C$54,$G61,$C$55,$I61+O$51,$C$64,$C$65,$C$66,$C$67,$C$68,$C$69,$C$70,$C$74,$C$75,$D$63,$D$64,$D$65,$D$66,$D$67,$D$68,$D$69,$D$70,$D$71,$D$72,$D$73,$D$74,$D$75,$C$56,$C$57,$C$58,$C$59,$C$60),"")</f>
        <v>-508268.96811405331</v>
      </c>
      <c r="P61" s="255">
        <f ca="1">IF(NOW(),_xll.mirSwapPV($C$51,$C$52,$C$54,$G61,$C$55,$I61+P$51,$C$64,$C$65,$C$66,$C$67,$C$68,$C$69,$C$70,$C$74,$C$75,$D$63,$D$64,$D$65,$D$66,$D$67,$D$68,$D$69,$D$70,$D$71,$D$72,$D$73,$D$74,$D$75,$C$56,$C$57,$C$58,$C$59,$C$60),"")</f>
        <v>-381201.72608553997</v>
      </c>
      <c r="Q61" s="255">
        <f ca="1">IF(NOW(),_xll.mirSwapPV($C$51,$C$52,$C$54,$G61,$C$55,$I61+Q$51,$C$64,$C$65,$C$66,$C$67,$C$68,$C$69,$C$70,$C$74,$C$75,$D$63,$D$64,$D$65,$D$66,$D$67,$D$68,$D$69,$D$70,$D$71,$D$72,$D$73,$D$74,$D$75,$C$56,$C$57,$C$58,$C$59,$C$60),"")</f>
        <v>-254134.4840570266</v>
      </c>
      <c r="R61" s="255">
        <f ca="1">IF(NOW(),_xll.mirSwapPV($C$51,$C$52,$C$54,$G61,$C$55,$I61+R$51,$C$64,$C$65,$C$66,$C$67,$C$68,$C$69,$C$70,$C$74,$C$75,$D$63,$D$64,$D$65,$D$66,$D$67,$D$68,$D$69,$D$70,$D$71,$D$72,$D$73,$D$74,$D$75,$C$56,$C$57,$C$58,$C$59,$C$60),"")</f>
        <v>-127067.2420285133</v>
      </c>
      <c r="S61" s="255">
        <f ca="1">IF(NOW(),_xll.mirSwapPV($C$51,$C$52,$C$54,$G61,$C$55,$I61+S$51,$C$64,$C$65,$C$66,$C$67,$C$68,$C$69,$C$70,$C$74,$C$75,$D$63,$D$64,$D$65,$D$66,$D$67,$D$68,$D$69,$D$70,$D$71,$D$72,$D$73,$D$74,$D$75,$C$56,$C$57,$C$58,$C$59,$C$60),"")</f>
        <v>0</v>
      </c>
      <c r="T61" s="255">
        <f ca="1">IF(NOW(),_xll.mirSwapPV($C$51,$C$52,$C$54,$G61,$C$55,$I61+T$51,$C$64,$C$65,$C$66,$C$67,$C$68,$C$69,$C$70,$C$74,$C$75,$D$63,$D$64,$D$65,$D$66,$D$67,$D$68,$D$69,$D$70,$D$71,$D$72,$D$73,$D$74,$D$75,$C$56,$C$57,$C$58,$C$59,$C$60),"")</f>
        <v>127067.24202851333</v>
      </c>
      <c r="U61" s="255">
        <f ca="1">IF(NOW(),_xll.mirSwapPV($C$51,$C$52,$C$54,$G61,$C$55,$I61+U$51,$C$64,$C$65,$C$66,$C$67,$C$68,$C$69,$C$70,$C$74,$C$75,$D$63,$D$64,$D$65,$D$66,$D$67,$D$68,$D$69,$D$70,$D$71,$D$72,$D$73,$D$74,$D$75,$C$56,$C$57,$C$58,$C$59,$C$60),"")</f>
        <v>254134.48405702665</v>
      </c>
      <c r="V61" s="255">
        <f ca="1">IF(NOW(),_xll.mirSwapPV($C$51,$C$52,$C$54,$G61,$C$55,$I61+V$51,$C$64,$C$65,$C$66,$C$67,$C$68,$C$69,$C$70,$C$74,$C$75,$D$63,$D$64,$D$65,$D$66,$D$67,$D$68,$D$69,$D$70,$D$71,$D$72,$D$73,$D$74,$D$75,$C$56,$C$57,$C$58,$C$59,$C$60),"")</f>
        <v>381201.72608554002</v>
      </c>
      <c r="W61" s="255">
        <f ca="1">IF(NOW(),_xll.mirSwapPV($C$51,$C$52,$C$54,$G61,$C$55,$I61+W$51,$C$64,$C$65,$C$66,$C$67,$C$68,$C$69,$C$70,$C$74,$C$75,$D$63,$D$64,$D$65,$D$66,$D$67,$D$68,$D$69,$D$70,$D$71,$D$72,$D$73,$D$74,$D$75,$C$56,$C$57,$C$58,$C$59,$C$60),"")</f>
        <v>508268.96811405331</v>
      </c>
      <c r="X61" s="255">
        <f ca="1">IF(NOW(),_xll.mirSwapPV($C$51,$C$52,$C$54,$G61,$C$55,$I61+X$51,$C$64,$C$65,$C$66,$C$67,$C$68,$C$69,$C$70,$C$74,$C$75,$D$63,$D$64,$D$65,$D$66,$D$67,$D$68,$D$69,$D$70,$D$71,$D$72,$D$73,$D$74,$D$75,$C$56,$C$57,$C$58,$C$59,$C$60),"")</f>
        <v>635336.21014256682</v>
      </c>
      <c r="Y61" s="230" t="s">
        <v>12</v>
      </c>
      <c r="Z61" s="224" t="s">
        <v>24</v>
      </c>
      <c r="AA61" s="227">
        <f>_xll.mirGetDate($C$6,Z61)</f>
        <v>47679</v>
      </c>
      <c r="AB61" s="260">
        <f t="shared" si="15"/>
        <v>2.8036999999999999E-2</v>
      </c>
      <c r="AC61" s="229">
        <f ca="1">IF(NOW(),_xll.mirGetParRate4($C$54,$AA61,$C$55,$C$64,$C$65,$C$66,$C$67,$C$68,$C$69,$C$70,$C$74,$C$75,$D$64,$D$65,$D$66,$D$67,$D$68,$D$69,$D$70,$D$71,$D$72,$D$73,$D$74,$D$75,$C$56,$C$57,$C$58,$D$59,$C$60),"")</f>
        <v>2.803699995383405E-2</v>
      </c>
      <c r="AD61" s="229">
        <f t="shared" ca="1" si="12"/>
        <v>-4.6165949535437178E-11</v>
      </c>
      <c r="AE61" s="230">
        <f t="shared" ca="1" si="13"/>
        <v>-4.6165949535437178E-7</v>
      </c>
      <c r="AG61" s="224" t="s">
        <v>24</v>
      </c>
      <c r="AH61" s="255">
        <f ca="1">IF(NOW(),_xll.mirSwapPV($C$51,$C$52,$C$54,$AA61,$C$55,$AC61+AH$51,$C$64,$C$65,$C$66,$C$67,$C$68,$C$69,$C$70,$C$74,$C$75,$D$63,$D$64,$D$65,$D$66,$D$67,$D$68,$D$69,$D$70,$D$71,$D$72,$D$73,$D$74,$D$75,$C$56,$C$57,$C$58,$D$59,$C$60),"")</f>
        <v>-635336.21014256682</v>
      </c>
      <c r="AI61" s="255">
        <f ca="1">IF(NOW(),_xll.mirSwapPV($C$51,$C$52,$C$54,$AA61,$C$55,$AC61+AI$51,$C$64,$C$65,$C$66,$C$67,$C$68,$C$69,$C$70,$C$74,$C$75,$D$63,$D$64,$D$65,$D$66,$D$67,$D$68,$D$69,$D$70,$D$71,$D$72,$D$73,$D$74,$D$75,$C$56,$C$57,$C$58,$D$59,$C$60),"")</f>
        <v>-508268.96811405331</v>
      </c>
      <c r="AJ61" s="255">
        <f ca="1">IF(NOW(),_xll.mirSwapPV($C$51,$C$52,$C$54,$AA61,$C$55,$AC61+AJ$51,$C$64,$C$65,$C$66,$C$67,$C$68,$C$69,$C$70,$C$74,$C$75,$D$63,$D$64,$D$65,$D$66,$D$67,$D$68,$D$69,$D$70,$D$71,$D$72,$D$73,$D$74,$D$75,$C$56,$C$57,$C$58,$D$59,$C$60),"")</f>
        <v>-381201.72608554002</v>
      </c>
      <c r="AK61" s="255">
        <f ca="1">IF(NOW(),_xll.mirSwapPV($C$51,$C$52,$C$54,$AA61,$C$55,$AC61+AK$51,$C$64,$C$65,$C$66,$C$67,$C$68,$C$69,$C$70,$C$74,$C$75,$D$63,$D$64,$D$65,$D$66,$D$67,$D$68,$D$69,$D$70,$D$71,$D$72,$D$73,$D$74,$D$75,$C$56,$C$57,$C$58,$D$59,$C$60),"")</f>
        <v>-254134.48405702665</v>
      </c>
      <c r="AL61" s="255">
        <f ca="1">IF(NOW(),_xll.mirSwapPV($C$51,$C$52,$C$54,$AA61,$C$55,$AC61+AL$51,$C$64,$C$65,$C$66,$C$67,$C$68,$C$69,$C$70,$C$74,$C$75,$D$63,$D$64,$D$65,$D$66,$D$67,$D$68,$D$69,$D$70,$D$71,$D$72,$D$73,$D$74,$D$75,$C$56,$C$57,$C$58,$D$59,$C$60),"")</f>
        <v>-127067.24202851333</v>
      </c>
      <c r="AM61" s="255">
        <f ca="1">IF(NOW(),_xll.mirSwapPV($C$51,$C$52,$C$54,$AA61,$C$55,$AC61+AM$51,$C$64,$C$65,$C$66,$C$67,$C$68,$C$69,$C$70,$C$74,$C$75,$D$63,$D$64,$D$65,$D$66,$D$67,$D$68,$D$69,$D$70,$D$71,$D$72,$D$73,$D$74,$D$75,$C$56,$C$57,$C$58,$D$59,$C$60),"")</f>
        <v>0</v>
      </c>
      <c r="AN61" s="255">
        <f ca="1">IF(NOW(),_xll.mirSwapPV($C$51,$C$52,$C$54,$AA61,$C$55,$AC61+AN$51,$C$64,$C$65,$C$66,$C$67,$C$68,$C$69,$C$70,$C$74,$C$75,$D$63,$D$64,$D$65,$D$66,$D$67,$D$68,$D$69,$D$70,$D$71,$D$72,$D$73,$D$74,$D$75,$C$56,$C$57,$C$58,$D$59,$C$60),"")</f>
        <v>127067.24202851327</v>
      </c>
      <c r="AO61" s="255">
        <f ca="1">IF(NOW(),_xll.mirSwapPV($C$51,$C$52,$C$54,$AA61,$C$55,$AC61+AO$51,$C$64,$C$65,$C$66,$C$67,$C$68,$C$69,$C$70,$C$74,$C$75,$D$63,$D$64,$D$65,$D$66,$D$67,$D$68,$D$69,$D$70,$D$71,$D$72,$D$73,$D$74,$D$75,$C$56,$C$57,$C$58,$D$59,$C$60),"")</f>
        <v>254134.4840570266</v>
      </c>
      <c r="AP61" s="255">
        <f ca="1">IF(NOW(),_xll.mirSwapPV($C$51,$C$52,$C$54,$AA61,$C$55,$AC61+AP$51,$C$64,$C$65,$C$66,$C$67,$C$68,$C$69,$C$70,$C$74,$C$75,$D$63,$D$64,$D$65,$D$66,$D$67,$D$68,$D$69,$D$70,$D$71,$D$72,$D$73,$D$74,$D$75,$C$56,$C$57,$C$58,$D$59,$C$60),"")</f>
        <v>381201.72608553985</v>
      </c>
      <c r="AQ61" s="255">
        <f ca="1">IF(NOW(),_xll.mirSwapPV($C$51,$C$52,$C$54,$AA61,$C$55,$AC61+AQ$51,$C$64,$C$65,$C$66,$C$67,$C$68,$C$69,$C$70,$C$74,$C$75,$D$63,$D$64,$D$65,$D$66,$D$67,$D$68,$D$69,$D$70,$D$71,$D$72,$D$73,$D$74,$D$75,$C$56,$C$57,$C$58,$D$59,$C$60),"")</f>
        <v>508268.96811405331</v>
      </c>
      <c r="AR61" s="255">
        <f ca="1">IF(NOW(),_xll.mirSwapPV($C$51,$C$52,$C$54,$AA61,$C$55,$AC61+AR$51,$C$64,$C$65,$C$66,$C$67,$C$68,$C$69,$C$70,$C$74,$C$75,$D$63,$D$64,$D$65,$D$66,$D$67,$D$68,$D$69,$D$70,$D$71,$D$72,$D$73,$D$74,$D$75,$C$56,$C$57,$C$58,$D$59,$C$60),"")</f>
        <v>635336.21014256659</v>
      </c>
    </row>
    <row r="62" spans="2:44">
      <c r="B62" t="s">
        <v>439</v>
      </c>
      <c r="C62" s="112" t="s">
        <v>440</v>
      </c>
      <c r="D62" s="112" t="s">
        <v>441</v>
      </c>
      <c r="F62" s="224" t="s">
        <v>20</v>
      </c>
      <c r="G62" s="227">
        <f>_xll.mirGetDate($C$6,F62)</f>
        <v>49505</v>
      </c>
      <c r="H62" s="260">
        <f t="shared" si="14"/>
        <v>2.9229999999999999E-2</v>
      </c>
      <c r="I62" s="229">
        <f ca="1">IF(NOW(),_xll.mirGetParRate4($C$54,$G62,$C$55,$C$64,$C$65,$C$66,$C$67,$C$68,$C$69,$C$70,$C$74,$C$75,$D$64,$D$65,$D$66,$D$67,$D$68,$D$69,$D$70,$D$71,$D$72,$D$73,$D$74,$D$75,$C$56,$C$57,$C$58,$C$59,$C$60),"")</f>
        <v>2.9229999959586202E-2</v>
      </c>
      <c r="J62" s="229">
        <f t="shared" ca="1" si="10"/>
        <v>-4.0413797308680444E-11</v>
      </c>
      <c r="K62" s="230">
        <f t="shared" ca="1" si="11"/>
        <v>-4.0413797308680444E-7</v>
      </c>
      <c r="L62" s="230" t="s">
        <v>12</v>
      </c>
      <c r="M62" s="224" t="s">
        <v>20</v>
      </c>
      <c r="N62" s="255">
        <f ca="1">IF(NOW(),_xll.mirSwapPV($C$51,$C$52,$C$54,$G62,$C$55,$I62+N$51,$C$64,$C$65,$C$66,$C$67,$C$68,$C$69,$C$70,$C$74,$C$75,$D$63,$D$64,$D$65,$D$66,$D$67,$D$68,$D$69,$D$70,$D$71,$D$72,$D$73,$D$74,$D$75,$C$56,$C$57,$C$58,$C$59,$C$60),"")</f>
        <v>-789748.5521188787</v>
      </c>
      <c r="O62" s="255">
        <f ca="1">IF(NOW(),_xll.mirSwapPV($C$51,$C$52,$C$54,$G62,$C$55,$I62+O$51,$C$64,$C$65,$C$66,$C$67,$C$68,$C$69,$C$70,$C$74,$C$75,$D$63,$D$64,$D$65,$D$66,$D$67,$D$68,$D$69,$D$70,$D$71,$D$72,$D$73,$D$74,$D$75,$C$56,$C$57,$C$58,$C$59,$C$60),"")</f>
        <v>-631798.84169510298</v>
      </c>
      <c r="P62" s="255">
        <f ca="1">IF(NOW(),_xll.mirSwapPV($C$51,$C$52,$C$54,$G62,$C$55,$I62+P$51,$C$64,$C$65,$C$66,$C$67,$C$68,$C$69,$C$70,$C$74,$C$75,$D$63,$D$64,$D$65,$D$66,$D$67,$D$68,$D$69,$D$70,$D$71,$D$72,$D$73,$D$74,$D$75,$C$56,$C$57,$C$58,$C$59,$C$60),"")</f>
        <v>-473849.13127132721</v>
      </c>
      <c r="Q62" s="255">
        <f ca="1">IF(NOW(),_xll.mirSwapPV($C$51,$C$52,$C$54,$G62,$C$55,$I62+Q$51,$C$64,$C$65,$C$66,$C$67,$C$68,$C$69,$C$70,$C$74,$C$75,$D$63,$D$64,$D$65,$D$66,$D$67,$D$68,$D$69,$D$70,$D$71,$D$72,$D$73,$D$74,$D$75,$C$56,$C$57,$C$58,$C$59,$C$60),"")</f>
        <v>-315899.42084755143</v>
      </c>
      <c r="R62" s="255">
        <f ca="1">IF(NOW(),_xll.mirSwapPV($C$51,$C$52,$C$54,$G62,$C$55,$I62+R$51,$C$64,$C$65,$C$66,$C$67,$C$68,$C$69,$C$70,$C$74,$C$75,$D$63,$D$64,$D$65,$D$66,$D$67,$D$68,$D$69,$D$70,$D$71,$D$72,$D$73,$D$74,$D$75,$C$56,$C$57,$C$58,$C$59,$C$60),"")</f>
        <v>-157949.71042377566</v>
      </c>
      <c r="S62" s="255">
        <f ca="1">IF(NOW(),_xll.mirSwapPV($C$51,$C$52,$C$54,$G62,$C$55,$I62+S$51,$C$64,$C$65,$C$66,$C$67,$C$68,$C$69,$C$70,$C$74,$C$75,$D$63,$D$64,$D$65,$D$66,$D$67,$D$68,$D$69,$D$70,$D$71,$D$72,$D$73,$D$74,$D$75,$C$56,$C$57,$C$58,$C$59,$C$60),"")</f>
        <v>0</v>
      </c>
      <c r="T62" s="255">
        <f ca="1">IF(NOW(),_xll.mirSwapPV($C$51,$C$52,$C$54,$G62,$C$55,$I62+T$51,$C$64,$C$65,$C$66,$C$67,$C$68,$C$69,$C$70,$C$74,$C$75,$D$63,$D$64,$D$65,$D$66,$D$67,$D$68,$D$69,$D$70,$D$71,$D$72,$D$73,$D$74,$D$75,$C$56,$C$57,$C$58,$C$59,$C$60),"")</f>
        <v>157949.71042377574</v>
      </c>
      <c r="U62" s="255">
        <f ca="1">IF(NOW(),_xll.mirSwapPV($C$51,$C$52,$C$54,$G62,$C$55,$I62+U$51,$C$64,$C$65,$C$66,$C$67,$C$68,$C$69,$C$70,$C$74,$C$75,$D$63,$D$64,$D$65,$D$66,$D$67,$D$68,$D$69,$D$70,$D$71,$D$72,$D$73,$D$74,$D$75,$C$56,$C$57,$C$58,$C$59,$C$60),"")</f>
        <v>315899.42084755143</v>
      </c>
      <c r="V62" s="255">
        <f ca="1">IF(NOW(),_xll.mirSwapPV($C$51,$C$52,$C$54,$G62,$C$55,$I62+V$51,$C$64,$C$65,$C$66,$C$67,$C$68,$C$69,$C$70,$C$74,$C$75,$D$63,$D$64,$D$65,$D$66,$D$67,$D$68,$D$69,$D$70,$D$71,$D$72,$D$73,$D$74,$D$75,$C$56,$C$57,$C$58,$C$59,$C$60),"")</f>
        <v>473849.13127132726</v>
      </c>
      <c r="W62" s="255">
        <f ca="1">IF(NOW(),_xll.mirSwapPV($C$51,$C$52,$C$54,$G62,$C$55,$I62+W$51,$C$64,$C$65,$C$66,$C$67,$C$68,$C$69,$C$70,$C$74,$C$75,$D$63,$D$64,$D$65,$D$66,$D$67,$D$68,$D$69,$D$70,$D$71,$D$72,$D$73,$D$74,$D$75,$C$56,$C$57,$C$58,$C$59,$C$60),"")</f>
        <v>631798.84169510298</v>
      </c>
      <c r="X62" s="255">
        <f ca="1">IF(NOW(),_xll.mirSwapPV($C$51,$C$52,$C$54,$G62,$C$55,$I62+X$51,$C$64,$C$65,$C$66,$C$67,$C$68,$C$69,$C$70,$C$74,$C$75,$D$63,$D$64,$D$65,$D$66,$D$67,$D$68,$D$69,$D$70,$D$71,$D$72,$D$73,$D$74,$D$75,$C$56,$C$57,$C$58,$C$59,$C$60),"")</f>
        <v>789748.55211887893</v>
      </c>
      <c r="Y62" s="230" t="s">
        <v>12</v>
      </c>
      <c r="Z62" s="224" t="s">
        <v>20</v>
      </c>
      <c r="AA62" s="227">
        <f>_xll.mirGetDate($C$6,Z62)</f>
        <v>49505</v>
      </c>
      <c r="AB62" s="260">
        <f t="shared" si="15"/>
        <v>2.9229999999999999E-2</v>
      </c>
      <c r="AC62" s="229">
        <f ca="1">IF(NOW(),_xll.mirGetParRate4($C$54,$AA62,$C$55,$C$64,$C$65,$C$66,$C$67,$C$68,$C$69,$C$70,$C$74,$C$75,$D$64,$D$65,$D$66,$D$67,$D$68,$D$69,$D$70,$D$71,$D$72,$D$73,$D$74,$D$75,$C$56,$C$57,$C$58,$D$59,$C$60),"")</f>
        <v>2.9229999959586202E-2</v>
      </c>
      <c r="AD62" s="229">
        <f t="shared" ca="1" si="12"/>
        <v>-4.0413797308680444E-11</v>
      </c>
      <c r="AE62" s="230">
        <f t="shared" ca="1" si="13"/>
        <v>-4.0413797308680444E-7</v>
      </c>
      <c r="AG62" s="224" t="s">
        <v>20</v>
      </c>
      <c r="AH62" s="255">
        <f ca="1">IF(NOW(),_xll.mirSwapPV($C$51,$C$52,$C$54,$AA62,$C$55,$AC62+AH$51,$C$64,$C$65,$C$66,$C$67,$C$68,$C$69,$C$70,$C$74,$C$75,$D$63,$D$64,$D$65,$D$66,$D$67,$D$68,$D$69,$D$70,$D$71,$D$72,$D$73,$D$74,$D$75,$C$56,$C$57,$C$58,$D$59,$C$60),"")</f>
        <v>-789748.5521188787</v>
      </c>
      <c r="AI62" s="255">
        <f ca="1">IF(NOW(),_xll.mirSwapPV($C$51,$C$52,$C$54,$AA62,$C$55,$AC62+AI$51,$C$64,$C$65,$C$66,$C$67,$C$68,$C$69,$C$70,$C$74,$C$75,$D$63,$D$64,$D$65,$D$66,$D$67,$D$68,$D$69,$D$70,$D$71,$D$72,$D$73,$D$74,$D$75,$C$56,$C$57,$C$58,$D$59,$C$60),"")</f>
        <v>-631798.84169510298</v>
      </c>
      <c r="AJ62" s="255">
        <f ca="1">IF(NOW(),_xll.mirSwapPV($C$51,$C$52,$C$54,$AA62,$C$55,$AC62+AJ$51,$C$64,$C$65,$C$66,$C$67,$C$68,$C$69,$C$70,$C$74,$C$75,$D$63,$D$64,$D$65,$D$66,$D$67,$D$68,$D$69,$D$70,$D$71,$D$72,$D$73,$D$74,$D$75,$C$56,$C$57,$C$58,$D$59,$C$60),"")</f>
        <v>-473849.13127132721</v>
      </c>
      <c r="AK62" s="255">
        <f ca="1">IF(NOW(),_xll.mirSwapPV($C$51,$C$52,$C$54,$AA62,$C$55,$AC62+AK$51,$C$64,$C$65,$C$66,$C$67,$C$68,$C$69,$C$70,$C$74,$C$75,$D$63,$D$64,$D$65,$D$66,$D$67,$D$68,$D$69,$D$70,$D$71,$D$72,$D$73,$D$74,$D$75,$C$56,$C$57,$C$58,$D$59,$C$60),"")</f>
        <v>-315899.42084755143</v>
      </c>
      <c r="AL62" s="255">
        <f ca="1">IF(NOW(),_xll.mirSwapPV($C$51,$C$52,$C$54,$AA62,$C$55,$AC62+AL$51,$C$64,$C$65,$C$66,$C$67,$C$68,$C$69,$C$70,$C$74,$C$75,$D$63,$D$64,$D$65,$D$66,$D$67,$D$68,$D$69,$D$70,$D$71,$D$72,$D$73,$D$74,$D$75,$C$56,$C$57,$C$58,$D$59,$C$60),"")</f>
        <v>-157949.71042377566</v>
      </c>
      <c r="AM62" s="255">
        <f ca="1">IF(NOW(),_xll.mirSwapPV($C$51,$C$52,$C$54,$AA62,$C$55,$AC62+AM$51,$C$64,$C$65,$C$66,$C$67,$C$68,$C$69,$C$70,$C$74,$C$75,$D$63,$D$64,$D$65,$D$66,$D$67,$D$68,$D$69,$D$70,$D$71,$D$72,$D$73,$D$74,$D$75,$C$56,$C$57,$C$58,$D$59,$C$60),"")</f>
        <v>0</v>
      </c>
      <c r="AN62" s="255">
        <f ca="1">IF(NOW(),_xll.mirSwapPV($C$51,$C$52,$C$54,$AA62,$C$55,$AC62+AN$51,$C$64,$C$65,$C$66,$C$67,$C$68,$C$69,$C$70,$C$74,$C$75,$D$63,$D$64,$D$65,$D$66,$D$67,$D$68,$D$69,$D$70,$D$71,$D$72,$D$73,$D$74,$D$75,$C$56,$C$57,$C$58,$D$59,$C$60),"")</f>
        <v>157949.71042377574</v>
      </c>
      <c r="AO62" s="255">
        <f ca="1">IF(NOW(),_xll.mirSwapPV($C$51,$C$52,$C$54,$AA62,$C$55,$AC62+AO$51,$C$64,$C$65,$C$66,$C$67,$C$68,$C$69,$C$70,$C$74,$C$75,$D$63,$D$64,$D$65,$D$66,$D$67,$D$68,$D$69,$D$70,$D$71,$D$72,$D$73,$D$74,$D$75,$C$56,$C$57,$C$58,$D$59,$C$60),"")</f>
        <v>315899.42084755143</v>
      </c>
      <c r="AP62" s="255">
        <f ca="1">IF(NOW(),_xll.mirSwapPV($C$51,$C$52,$C$54,$AA62,$C$55,$AC62+AP$51,$C$64,$C$65,$C$66,$C$67,$C$68,$C$69,$C$70,$C$74,$C$75,$D$63,$D$64,$D$65,$D$66,$D$67,$D$68,$D$69,$D$70,$D$71,$D$72,$D$73,$D$74,$D$75,$C$56,$C$57,$C$58,$D$59,$C$60),"")</f>
        <v>473849.13127132726</v>
      </c>
      <c r="AQ62" s="255">
        <f ca="1">IF(NOW(),_xll.mirSwapPV($C$51,$C$52,$C$54,$AA62,$C$55,$AC62+AQ$51,$C$64,$C$65,$C$66,$C$67,$C$68,$C$69,$C$70,$C$74,$C$75,$D$63,$D$64,$D$65,$D$66,$D$67,$D$68,$D$69,$D$70,$D$71,$D$72,$D$73,$D$74,$D$75,$C$56,$C$57,$C$58,$D$59,$C$60),"")</f>
        <v>631798.84169510298</v>
      </c>
      <c r="AR62" s="255">
        <f ca="1">IF(NOW(),_xll.mirSwapPV($C$51,$C$52,$C$54,$AA62,$C$55,$AC62+AR$51,$C$64,$C$65,$C$66,$C$67,$C$68,$C$69,$C$70,$C$74,$C$75,$D$63,$D$64,$D$65,$D$66,$D$67,$D$68,$D$69,$D$70,$D$71,$D$72,$D$73,$D$74,$D$75,$C$56,$C$57,$C$58,$D$59,$C$60),"")</f>
        <v>789748.55211887893</v>
      </c>
    </row>
    <row r="63" spans="2:44">
      <c r="B63" s="221" t="s">
        <v>442</v>
      </c>
      <c r="C63" s="238">
        <v>0</v>
      </c>
      <c r="D63" s="239">
        <v>0</v>
      </c>
      <c r="F63" s="224" t="s">
        <v>18</v>
      </c>
      <c r="G63" s="227">
        <f>_xll.mirGetDate($C$6,F63)</f>
        <v>51332</v>
      </c>
      <c r="H63" s="260">
        <f t="shared" si="14"/>
        <v>2.9790000000000001E-2</v>
      </c>
      <c r="I63" s="229">
        <f ca="1">IF(NOW(),_xll.mirGetParRate4($C$54,$G63,$C$55,$C$64,$C$65,$C$66,$C$67,$C$68,$C$69,$C$70,$C$74,$C$75,$D$64,$D$65,$D$66,$D$67,$D$68,$D$69,$D$70,$D$71,$D$72,$D$73,$D$74,$D$75,$C$56,$C$57,$C$58,$C$59,$C$60),"")</f>
        <v>2.9789999970467447E-2</v>
      </c>
      <c r="J63" s="229">
        <f t="shared" ca="1" si="10"/>
        <v>-2.9532553486033564E-11</v>
      </c>
      <c r="K63" s="230">
        <f t="shared" ca="1" si="11"/>
        <v>-2.9532553486033564E-7</v>
      </c>
      <c r="L63" s="230" t="s">
        <v>12</v>
      </c>
      <c r="M63" s="224" t="s">
        <v>18</v>
      </c>
      <c r="N63" s="255">
        <f ca="1">IF(NOW(),_xll.mirSwapPV($C$51,$C$52,$C$54,$G63,$C$55,$I63+N$51,$C$64,$C$65,$C$66,$C$67,$C$68,$C$69,$C$70,$C$74,$C$75,$D$63,$D$64,$D$65,$D$66,$D$67,$D$68,$D$69,$D$70,$D$71,$D$72,$D$73,$D$74,$D$75,$C$56,$C$57,$C$58,$C$59,$C$60),"")</f>
        <v>-921873.98517284018</v>
      </c>
      <c r="O63" s="255">
        <f ca="1">IF(NOW(),_xll.mirSwapPV($C$51,$C$52,$C$54,$G63,$C$55,$I63+O$51,$C$64,$C$65,$C$66,$C$67,$C$68,$C$69,$C$70,$C$74,$C$75,$D$63,$D$64,$D$65,$D$66,$D$67,$D$68,$D$69,$D$70,$D$71,$D$72,$D$73,$D$74,$D$75,$C$56,$C$57,$C$58,$C$59,$C$60),"")</f>
        <v>-737499.18813827203</v>
      </c>
      <c r="P63" s="255">
        <f ca="1">IF(NOW(),_xll.mirSwapPV($C$51,$C$52,$C$54,$G63,$C$55,$I63+P$51,$C$64,$C$65,$C$66,$C$67,$C$68,$C$69,$C$70,$C$74,$C$75,$D$63,$D$64,$D$65,$D$66,$D$67,$D$68,$D$69,$D$70,$D$71,$D$72,$D$73,$D$74,$D$75,$C$56,$C$57,$C$58,$C$59,$C$60),"")</f>
        <v>-553124.39110370399</v>
      </c>
      <c r="Q63" s="255">
        <f ca="1">IF(NOW(),_xll.mirSwapPV($C$51,$C$52,$C$54,$G63,$C$55,$I63+Q$51,$C$64,$C$65,$C$66,$C$67,$C$68,$C$69,$C$70,$C$74,$C$75,$D$63,$D$64,$D$65,$D$66,$D$67,$D$68,$D$69,$D$70,$D$71,$D$72,$D$73,$D$74,$D$75,$C$56,$C$57,$C$58,$C$59,$C$60),"")</f>
        <v>-368749.59406913602</v>
      </c>
      <c r="R63" s="255">
        <f ca="1">IF(NOW(),_xll.mirSwapPV($C$51,$C$52,$C$54,$G63,$C$55,$I63+R$51,$C$64,$C$65,$C$66,$C$67,$C$68,$C$69,$C$70,$C$74,$C$75,$D$63,$D$64,$D$65,$D$66,$D$67,$D$68,$D$69,$D$70,$D$71,$D$72,$D$73,$D$74,$D$75,$C$56,$C$57,$C$58,$C$59,$C$60),"")</f>
        <v>-184374.79703456795</v>
      </c>
      <c r="S63" s="255">
        <f ca="1">IF(NOW(),_xll.mirSwapPV($C$51,$C$52,$C$54,$G63,$C$55,$I63+S$51,$C$64,$C$65,$C$66,$C$67,$C$68,$C$69,$C$70,$C$74,$C$75,$D$63,$D$64,$D$65,$D$66,$D$67,$D$68,$D$69,$D$70,$D$71,$D$72,$D$73,$D$74,$D$75,$C$56,$C$57,$C$58,$C$59,$C$60),"")</f>
        <v>0</v>
      </c>
      <c r="T63" s="255">
        <f ca="1">IF(NOW(),_xll.mirSwapPV($C$51,$C$52,$C$54,$G63,$C$55,$I63+T$51,$C$64,$C$65,$C$66,$C$67,$C$68,$C$69,$C$70,$C$74,$C$75,$D$63,$D$64,$D$65,$D$66,$D$67,$D$68,$D$69,$D$70,$D$71,$D$72,$D$73,$D$74,$D$75,$C$56,$C$57,$C$58,$C$59,$C$60),"")</f>
        <v>184374.79703456804</v>
      </c>
      <c r="U63" s="255">
        <f ca="1">IF(NOW(),_xll.mirSwapPV($C$51,$C$52,$C$54,$G63,$C$55,$I63+U$51,$C$64,$C$65,$C$66,$C$67,$C$68,$C$69,$C$70,$C$74,$C$75,$D$63,$D$64,$D$65,$D$66,$D$67,$D$68,$D$69,$D$70,$D$71,$D$72,$D$73,$D$74,$D$75,$C$56,$C$57,$C$58,$C$59,$C$60),"")</f>
        <v>368749.59406913602</v>
      </c>
      <c r="V63" s="255">
        <f ca="1">IF(NOW(),_xll.mirSwapPV($C$51,$C$52,$C$54,$G63,$C$55,$I63+V$51,$C$64,$C$65,$C$66,$C$67,$C$68,$C$69,$C$70,$C$74,$C$75,$D$63,$D$64,$D$65,$D$66,$D$67,$D$68,$D$69,$D$70,$D$71,$D$72,$D$73,$D$74,$D$75,$C$56,$C$57,$C$58,$C$59,$C$60),"")</f>
        <v>553124.39110370411</v>
      </c>
      <c r="W63" s="255">
        <f ca="1">IF(NOW(),_xll.mirSwapPV($C$51,$C$52,$C$54,$G63,$C$55,$I63+W$51,$C$64,$C$65,$C$66,$C$67,$C$68,$C$69,$C$70,$C$74,$C$75,$D$63,$D$64,$D$65,$D$66,$D$67,$D$68,$D$69,$D$70,$D$71,$D$72,$D$73,$D$74,$D$75,$C$56,$C$57,$C$58,$C$59,$C$60),"")</f>
        <v>737499.18813827203</v>
      </c>
      <c r="X63" s="255">
        <f ca="1">IF(NOW(),_xll.mirSwapPV($C$51,$C$52,$C$54,$G63,$C$55,$I63+X$51,$C$64,$C$65,$C$66,$C$67,$C$68,$C$69,$C$70,$C$74,$C$75,$D$63,$D$64,$D$65,$D$66,$D$67,$D$68,$D$69,$D$70,$D$71,$D$72,$D$73,$D$74,$D$75,$C$56,$C$57,$C$58,$C$59,$C$60),"")</f>
        <v>921873.9851728403</v>
      </c>
      <c r="Y63" s="230" t="s">
        <v>12</v>
      </c>
      <c r="Z63" s="224" t="s">
        <v>18</v>
      </c>
      <c r="AA63" s="227">
        <f>_xll.mirGetDate($C$6,Z63)</f>
        <v>51332</v>
      </c>
      <c r="AB63" s="260">
        <f t="shared" si="15"/>
        <v>2.9790000000000001E-2</v>
      </c>
      <c r="AC63" s="229">
        <f ca="1">IF(NOW(),_xll.mirGetParRate4($C$54,$AA63,$C$55,$C$64,$C$65,$C$66,$C$67,$C$68,$C$69,$C$70,$C$74,$C$75,$D$64,$D$65,$D$66,$D$67,$D$68,$D$69,$D$70,$D$71,$D$72,$D$73,$D$74,$D$75,$C$56,$C$57,$C$58,$D$59,$C$60),"")</f>
        <v>2.9789999970467416E-2</v>
      </c>
      <c r="AD63" s="229">
        <f t="shared" ca="1" si="12"/>
        <v>-2.9532584711056131E-11</v>
      </c>
      <c r="AE63" s="230">
        <f t="shared" ca="1" si="13"/>
        <v>-2.9532584711056131E-7</v>
      </c>
      <c r="AG63" s="224" t="s">
        <v>18</v>
      </c>
      <c r="AH63" s="255">
        <f ca="1">IF(NOW(),_xll.mirSwapPV($C$51,$C$52,$C$54,$AA63,$C$55,$AC63+AH$51,$C$64,$C$65,$C$66,$C$67,$C$68,$C$69,$C$70,$C$74,$C$75,$D$63,$D$64,$D$65,$D$66,$D$67,$D$68,$D$69,$D$70,$D$71,$D$72,$D$73,$D$74,$D$75,$C$56,$C$57,$C$58,$D$59,$C$60),"")</f>
        <v>-921873.98517284018</v>
      </c>
      <c r="AI63" s="255">
        <f ca="1">IF(NOW(),_xll.mirSwapPV($C$51,$C$52,$C$54,$AA63,$C$55,$AC63+AI$51,$C$64,$C$65,$C$66,$C$67,$C$68,$C$69,$C$70,$C$74,$C$75,$D$63,$D$64,$D$65,$D$66,$D$67,$D$68,$D$69,$D$70,$D$71,$D$72,$D$73,$D$74,$D$75,$C$56,$C$57,$C$58,$D$59,$C$60),"")</f>
        <v>-737499.18813827203</v>
      </c>
      <c r="AJ63" s="255">
        <f ca="1">IF(NOW(),_xll.mirSwapPV($C$51,$C$52,$C$54,$AA63,$C$55,$AC63+AJ$51,$C$64,$C$65,$C$66,$C$67,$C$68,$C$69,$C$70,$C$74,$C$75,$D$63,$D$64,$D$65,$D$66,$D$67,$D$68,$D$69,$D$70,$D$71,$D$72,$D$73,$D$74,$D$75,$C$56,$C$57,$C$58,$D$59,$C$60),"")</f>
        <v>-553124.39110370399</v>
      </c>
      <c r="AK63" s="255">
        <f ca="1">IF(NOW(),_xll.mirSwapPV($C$51,$C$52,$C$54,$AA63,$C$55,$AC63+AK$51,$C$64,$C$65,$C$66,$C$67,$C$68,$C$69,$C$70,$C$74,$C$75,$D$63,$D$64,$D$65,$D$66,$D$67,$D$68,$D$69,$D$70,$D$71,$D$72,$D$73,$D$74,$D$75,$C$56,$C$57,$C$58,$D$59,$C$60),"")</f>
        <v>-368749.59406913602</v>
      </c>
      <c r="AL63" s="255">
        <f ca="1">IF(NOW(),_xll.mirSwapPV($C$51,$C$52,$C$54,$AA63,$C$55,$AC63+AL$51,$C$64,$C$65,$C$66,$C$67,$C$68,$C$69,$C$70,$C$74,$C$75,$D$63,$D$64,$D$65,$D$66,$D$67,$D$68,$D$69,$D$70,$D$71,$D$72,$D$73,$D$74,$D$75,$C$56,$C$57,$C$58,$D$59,$C$60),"")</f>
        <v>-184374.79703456801</v>
      </c>
      <c r="AM63" s="255">
        <f ca="1">IF(NOW(),_xll.mirSwapPV($C$51,$C$52,$C$54,$AA63,$C$55,$AC63+AM$51,$C$64,$C$65,$C$66,$C$67,$C$68,$C$69,$C$70,$C$74,$C$75,$D$63,$D$64,$D$65,$D$66,$D$67,$D$68,$D$69,$D$70,$D$71,$D$72,$D$73,$D$74,$D$75,$C$56,$C$57,$C$58,$D$59,$C$60),"")</f>
        <v>0</v>
      </c>
      <c r="AN63" s="255">
        <f ca="1">IF(NOW(),_xll.mirSwapPV($C$51,$C$52,$C$54,$AA63,$C$55,$AC63+AN$51,$C$64,$C$65,$C$66,$C$67,$C$68,$C$69,$C$70,$C$74,$C$75,$D$63,$D$64,$D$65,$D$66,$D$67,$D$68,$D$69,$D$70,$D$71,$D$72,$D$73,$D$74,$D$75,$C$56,$C$57,$C$58,$D$59,$C$60),"")</f>
        <v>184374.79703456795</v>
      </c>
      <c r="AO63" s="255">
        <f ca="1">IF(NOW(),_xll.mirSwapPV($C$51,$C$52,$C$54,$AA63,$C$55,$AC63+AO$51,$C$64,$C$65,$C$66,$C$67,$C$68,$C$69,$C$70,$C$74,$C$75,$D$63,$D$64,$D$65,$D$66,$D$67,$D$68,$D$69,$D$70,$D$71,$D$72,$D$73,$D$74,$D$75,$C$56,$C$57,$C$58,$D$59,$C$60),"")</f>
        <v>368749.59406913602</v>
      </c>
      <c r="AP63" s="255">
        <f ca="1">IF(NOW(),_xll.mirSwapPV($C$51,$C$52,$C$54,$AA63,$C$55,$AC63+AP$51,$C$64,$C$65,$C$66,$C$67,$C$68,$C$69,$C$70,$C$74,$C$75,$D$63,$D$64,$D$65,$D$66,$D$67,$D$68,$D$69,$D$70,$D$71,$D$72,$D$73,$D$74,$D$75,$C$56,$C$57,$C$58,$D$59,$C$60),"")</f>
        <v>553124.39110370399</v>
      </c>
      <c r="AQ63" s="255">
        <f ca="1">IF(NOW(),_xll.mirSwapPV($C$51,$C$52,$C$54,$AA63,$C$55,$AC63+AQ$51,$C$64,$C$65,$C$66,$C$67,$C$68,$C$69,$C$70,$C$74,$C$75,$D$63,$D$64,$D$65,$D$66,$D$67,$D$68,$D$69,$D$70,$D$71,$D$72,$D$73,$D$74,$D$75,$C$56,$C$57,$C$58,$D$59,$C$60),"")</f>
        <v>737499.18813827215</v>
      </c>
      <c r="AR63" s="255">
        <f ca="1">IF(NOW(),_xll.mirSwapPV($C$51,$C$52,$C$54,$AA63,$C$55,$AC63+AR$51,$C$64,$C$65,$C$66,$C$67,$C$68,$C$69,$C$70,$C$74,$C$75,$D$63,$D$64,$D$65,$D$66,$D$67,$D$68,$D$69,$D$70,$D$71,$D$72,$D$73,$D$74,$D$75,$C$56,$C$57,$C$58,$D$59,$C$60),"")</f>
        <v>921873.98517284018</v>
      </c>
    </row>
    <row r="64" spans="2:44">
      <c r="B64" s="234" t="s">
        <v>122</v>
      </c>
      <c r="C64" s="240" t="s">
        <v>78</v>
      </c>
      <c r="D64" s="240" t="s">
        <v>77</v>
      </c>
      <c r="E64" s="227"/>
      <c r="F64" s="224" t="s">
        <v>17</v>
      </c>
      <c r="G64" s="227">
        <f>_xll.mirGetDate($C$6,F64)</f>
        <v>53158</v>
      </c>
      <c r="H64" s="260">
        <f t="shared" si="14"/>
        <v>3.0135000000000002E-2</v>
      </c>
      <c r="I64" s="229">
        <f ca="1">IF(NOW(),_xll.mirGetParRate4($C$54,$G64,$C$55,$C$64,$C$65,$C$66,$C$67,$C$68,$C$69,$C$70,$C$74,$C$75,$D$64,$D$65,$D$66,$D$67,$D$68,$D$69,$D$70,$D$71,$D$72,$D$73,$D$74,$D$75,$C$56,$C$57,$C$58,$C$59,$C$60),"")</f>
        <v>3.0134999971522823E-2</v>
      </c>
      <c r="J64" s="229">
        <f t="shared" ca="1" si="10"/>
        <v>-2.8477178948271842E-11</v>
      </c>
      <c r="K64" s="230">
        <f t="shared" ca="1" si="11"/>
        <v>-2.8477178948271842E-7</v>
      </c>
      <c r="L64" s="230" t="s">
        <v>12</v>
      </c>
      <c r="M64" s="224" t="s">
        <v>17</v>
      </c>
      <c r="N64" s="255">
        <f ca="1">IF(NOW(),_xll.mirSwapPV($C$51,$C$52,$C$54,$G64,$C$55,$I64+N$51,$C$64,$C$65,$C$66,$C$67,$C$68,$C$69,$C$70,$C$74,$C$75,$D$63,$D$64,$D$65,$D$66,$D$67,$D$68,$D$69,$D$70,$D$71,$D$72,$D$73,$D$74,$D$75,$C$56,$C$57,$C$58,$C$59,$C$60),"")</f>
        <v>-1035401.1460912416</v>
      </c>
      <c r="O64" s="255">
        <f ca="1">IF(NOW(),_xll.mirSwapPV($C$51,$C$52,$C$54,$G64,$C$55,$I64+O$51,$C$64,$C$65,$C$66,$C$67,$C$68,$C$69,$C$70,$C$74,$C$75,$D$63,$D$64,$D$65,$D$66,$D$67,$D$68,$D$69,$D$70,$D$71,$D$72,$D$73,$D$74,$D$75,$C$56,$C$57,$C$58,$C$59,$C$60),"")</f>
        <v>-828320.91687299323</v>
      </c>
      <c r="P64" s="255">
        <f ca="1">IF(NOW(),_xll.mirSwapPV($C$51,$C$52,$C$54,$G64,$C$55,$I64+P$51,$C$64,$C$65,$C$66,$C$67,$C$68,$C$69,$C$70,$C$74,$C$75,$D$63,$D$64,$D$65,$D$66,$D$67,$D$68,$D$69,$D$70,$D$71,$D$72,$D$73,$D$74,$D$75,$C$56,$C$57,$C$58,$C$59,$C$60),"")</f>
        <v>-621240.68765474495</v>
      </c>
      <c r="Q64" s="255">
        <f ca="1">IF(NOW(),_xll.mirSwapPV($C$51,$C$52,$C$54,$G64,$C$55,$I64+Q$51,$C$64,$C$65,$C$66,$C$67,$C$68,$C$69,$C$70,$C$74,$C$75,$D$63,$D$64,$D$65,$D$66,$D$67,$D$68,$D$69,$D$70,$D$71,$D$72,$D$73,$D$74,$D$75,$C$56,$C$57,$C$58,$C$59,$C$60),"")</f>
        <v>-414160.45843649656</v>
      </c>
      <c r="R64" s="255">
        <f ca="1">IF(NOW(),_xll.mirSwapPV($C$51,$C$52,$C$54,$G64,$C$55,$I64+R$51,$C$64,$C$65,$C$66,$C$67,$C$68,$C$69,$C$70,$C$74,$C$75,$D$63,$D$64,$D$65,$D$66,$D$67,$D$68,$D$69,$D$70,$D$71,$D$72,$D$73,$D$74,$D$75,$C$56,$C$57,$C$58,$C$59,$C$60),"")</f>
        <v>-207080.22921824819</v>
      </c>
      <c r="S64" s="255">
        <f ca="1">IF(NOW(),_xll.mirSwapPV($C$51,$C$52,$C$54,$G64,$C$55,$I64+S$51,$C$64,$C$65,$C$66,$C$67,$C$68,$C$69,$C$70,$C$74,$C$75,$D$63,$D$64,$D$65,$D$66,$D$67,$D$68,$D$69,$D$70,$D$71,$D$72,$D$73,$D$74,$D$75,$C$56,$C$57,$C$58,$C$59,$C$60),"")</f>
        <v>0</v>
      </c>
      <c r="T64" s="255">
        <f ca="1">IF(NOW(),_xll.mirSwapPV($C$51,$C$52,$C$54,$G64,$C$55,$I64+T$51,$C$64,$C$65,$C$66,$C$67,$C$68,$C$69,$C$70,$C$74,$C$75,$D$63,$D$64,$D$65,$D$66,$D$67,$D$68,$D$69,$D$70,$D$71,$D$72,$D$73,$D$74,$D$75,$C$56,$C$57,$C$58,$C$59,$C$60),"")</f>
        <v>207080.22921824831</v>
      </c>
      <c r="U64" s="255">
        <f ca="1">IF(NOW(),_xll.mirSwapPV($C$51,$C$52,$C$54,$G64,$C$55,$I64+U$51,$C$64,$C$65,$C$66,$C$67,$C$68,$C$69,$C$70,$C$74,$C$75,$D$63,$D$64,$D$65,$D$66,$D$67,$D$68,$D$69,$D$70,$D$71,$D$72,$D$73,$D$74,$D$75,$C$56,$C$57,$C$58,$C$59,$C$60),"")</f>
        <v>414160.45843649661</v>
      </c>
      <c r="V64" s="255">
        <f ca="1">IF(NOW(),_xll.mirSwapPV($C$51,$C$52,$C$54,$G64,$C$55,$I64+V$51,$C$64,$C$65,$C$66,$C$67,$C$68,$C$69,$C$70,$C$74,$C$75,$D$63,$D$64,$D$65,$D$66,$D$67,$D$68,$D$69,$D$70,$D$71,$D$72,$D$73,$D$74,$D$75,$C$56,$C$57,$C$58,$C$59,$C$60),"")</f>
        <v>621240.68765474495</v>
      </c>
      <c r="W64" s="255">
        <f ca="1">IF(NOW(),_xll.mirSwapPV($C$51,$C$52,$C$54,$G64,$C$55,$I64+W$51,$C$64,$C$65,$C$66,$C$67,$C$68,$C$69,$C$70,$C$74,$C$75,$D$63,$D$64,$D$65,$D$66,$D$67,$D$68,$D$69,$D$70,$D$71,$D$72,$D$73,$D$74,$D$75,$C$56,$C$57,$C$58,$C$59,$C$60),"")</f>
        <v>828320.91687299323</v>
      </c>
      <c r="X64" s="255">
        <f ca="1">IF(NOW(),_xll.mirSwapPV($C$51,$C$52,$C$54,$G64,$C$55,$I64+X$51,$C$64,$C$65,$C$66,$C$67,$C$68,$C$69,$C$70,$C$74,$C$75,$D$63,$D$64,$D$65,$D$66,$D$67,$D$68,$D$69,$D$70,$D$71,$D$72,$D$73,$D$74,$D$75,$C$56,$C$57,$C$58,$C$59,$C$60),"")</f>
        <v>1035401.1460912416</v>
      </c>
      <c r="Y64" s="230" t="s">
        <v>12</v>
      </c>
      <c r="Z64" s="224" t="s">
        <v>17</v>
      </c>
      <c r="AA64" s="227">
        <f>_xll.mirGetDate($C$6,Z64)</f>
        <v>53158</v>
      </c>
      <c r="AB64" s="260">
        <f t="shared" si="15"/>
        <v>3.0135000000000002E-2</v>
      </c>
      <c r="AC64" s="229">
        <f ca="1">IF(NOW(),_xll.mirGetParRate4($C$54,$AA64,$C$55,$C$64,$C$65,$C$66,$C$67,$C$68,$C$69,$C$70,$C$74,$C$75,$D$64,$D$65,$D$66,$D$67,$D$68,$D$69,$D$70,$D$71,$D$72,$D$73,$D$74,$D$75,$C$56,$C$57,$C$58,$D$59,$C$60),"")</f>
        <v>3.0134999971522781E-2</v>
      </c>
      <c r="AD64" s="229">
        <f t="shared" ca="1" si="12"/>
        <v>-2.8477220581635265E-11</v>
      </c>
      <c r="AE64" s="230">
        <f t="shared" ca="1" si="13"/>
        <v>-2.8477220581635265E-7</v>
      </c>
      <c r="AG64" s="224" t="s">
        <v>17</v>
      </c>
      <c r="AH64" s="255">
        <f ca="1">IF(NOW(),_xll.mirSwapPV($C$51,$C$52,$C$54,$AA64,$C$55,$AC64+AH$51,$C$64,$C$65,$C$66,$C$67,$C$68,$C$69,$C$70,$C$74,$C$75,$D$63,$D$64,$D$65,$D$66,$D$67,$D$68,$D$69,$D$70,$D$71,$D$72,$D$73,$D$74,$D$75,$C$56,$C$57,$C$58,$D$59,$C$60),"")</f>
        <v>-1035401.1460912416</v>
      </c>
      <c r="AI64" s="255">
        <f ca="1">IF(NOW(),_xll.mirSwapPV($C$51,$C$52,$C$54,$AA64,$C$55,$AC64+AI$51,$C$64,$C$65,$C$66,$C$67,$C$68,$C$69,$C$70,$C$74,$C$75,$D$63,$D$64,$D$65,$D$66,$D$67,$D$68,$D$69,$D$70,$D$71,$D$72,$D$73,$D$74,$D$75,$C$56,$C$57,$C$58,$D$59,$C$60),"")</f>
        <v>-828320.91687299323</v>
      </c>
      <c r="AJ64" s="255">
        <f ca="1">IF(NOW(),_xll.mirSwapPV($C$51,$C$52,$C$54,$AA64,$C$55,$AC64+AJ$51,$C$64,$C$65,$C$66,$C$67,$C$68,$C$69,$C$70,$C$74,$C$75,$D$63,$D$64,$D$65,$D$66,$D$67,$D$68,$D$69,$D$70,$D$71,$D$72,$D$73,$D$74,$D$75,$C$56,$C$57,$C$58,$D$59,$C$60),"")</f>
        <v>-621240.68765474495</v>
      </c>
      <c r="AK64" s="255">
        <f ca="1">IF(NOW(),_xll.mirSwapPV($C$51,$C$52,$C$54,$AA64,$C$55,$AC64+AK$51,$C$64,$C$65,$C$66,$C$67,$C$68,$C$69,$C$70,$C$74,$C$75,$D$63,$D$64,$D$65,$D$66,$D$67,$D$68,$D$69,$D$70,$D$71,$D$72,$D$73,$D$74,$D$75,$C$56,$C$57,$C$58,$D$59,$C$60),"")</f>
        <v>-414160.4584364965</v>
      </c>
      <c r="AL64" s="255">
        <f ca="1">IF(NOW(),_xll.mirSwapPV($C$51,$C$52,$C$54,$AA64,$C$55,$AC64+AL$51,$C$64,$C$65,$C$66,$C$67,$C$68,$C$69,$C$70,$C$74,$C$75,$D$63,$D$64,$D$65,$D$66,$D$67,$D$68,$D$69,$D$70,$D$71,$D$72,$D$73,$D$74,$D$75,$C$56,$C$57,$C$58,$D$59,$C$60),"")</f>
        <v>-207080.22921824819</v>
      </c>
      <c r="AM64" s="255">
        <f ca="1">IF(NOW(),_xll.mirSwapPV($C$51,$C$52,$C$54,$AA64,$C$55,$AC64+AM$51,$C$64,$C$65,$C$66,$C$67,$C$68,$C$69,$C$70,$C$74,$C$75,$D$63,$D$64,$D$65,$D$66,$D$67,$D$68,$D$69,$D$70,$D$71,$D$72,$D$73,$D$74,$D$75,$C$56,$C$57,$C$58,$D$59,$C$60),"")</f>
        <v>0</v>
      </c>
      <c r="AN64" s="255">
        <f ca="1">IF(NOW(),_xll.mirSwapPV($C$51,$C$52,$C$54,$AA64,$C$55,$AC64+AN$51,$C$64,$C$65,$C$66,$C$67,$C$68,$C$69,$C$70,$C$74,$C$75,$D$63,$D$64,$D$65,$D$66,$D$67,$D$68,$D$69,$D$70,$D$71,$D$72,$D$73,$D$74,$D$75,$C$56,$C$57,$C$58,$D$59,$C$60),"")</f>
        <v>207080.22921824842</v>
      </c>
      <c r="AO64" s="255">
        <f ca="1">IF(NOW(),_xll.mirSwapPV($C$51,$C$52,$C$54,$AA64,$C$55,$AC64+AO$51,$C$64,$C$65,$C$66,$C$67,$C$68,$C$69,$C$70,$C$74,$C$75,$D$63,$D$64,$D$65,$D$66,$D$67,$D$68,$D$69,$D$70,$D$71,$D$72,$D$73,$D$74,$D$75,$C$56,$C$57,$C$58,$D$59,$C$60),"")</f>
        <v>414160.45843649661</v>
      </c>
      <c r="AP64" s="255">
        <f ca="1">IF(NOW(),_xll.mirSwapPV($C$51,$C$52,$C$54,$AA64,$C$55,$AC64+AP$51,$C$64,$C$65,$C$66,$C$67,$C$68,$C$69,$C$70,$C$74,$C$75,$D$63,$D$64,$D$65,$D$66,$D$67,$D$68,$D$69,$D$70,$D$71,$D$72,$D$73,$D$74,$D$75,$C$56,$C$57,$C$58,$D$59,$C$60),"")</f>
        <v>621240.68765474495</v>
      </c>
      <c r="AQ64" s="255">
        <f ca="1">IF(NOW(),_xll.mirSwapPV($C$51,$C$52,$C$54,$AA64,$C$55,$AC64+AQ$51,$C$64,$C$65,$C$66,$C$67,$C$68,$C$69,$C$70,$C$74,$C$75,$D$63,$D$64,$D$65,$D$66,$D$67,$D$68,$D$69,$D$70,$D$71,$D$72,$D$73,$D$74,$D$75,$C$56,$C$57,$C$58,$D$59,$C$60),"")</f>
        <v>828320.91687299323</v>
      </c>
      <c r="AR64" s="255">
        <f ca="1">IF(NOW(),_xll.mirSwapPV($C$51,$C$52,$C$54,$AA64,$C$55,$AC64+AR$51,$C$64,$C$65,$C$66,$C$67,$C$68,$C$69,$C$70,$C$74,$C$75,$D$63,$D$64,$D$65,$D$66,$D$67,$D$68,$D$69,$D$70,$D$71,$D$72,$D$73,$D$74,$D$75,$C$56,$C$57,$C$58,$D$59,$C$60),"")</f>
        <v>1035401.1460912417</v>
      </c>
    </row>
    <row r="65" spans="2:44">
      <c r="B65" s="234" t="s">
        <v>130</v>
      </c>
      <c r="C65" s="241" t="s">
        <v>163</v>
      </c>
      <c r="D65" s="240" t="s">
        <v>3</v>
      </c>
      <c r="E65" s="242"/>
      <c r="F65" s="224" t="s">
        <v>15</v>
      </c>
      <c r="G65" s="227">
        <f>_xll.mirGetDate($C$6,F65)</f>
        <v>56810</v>
      </c>
      <c r="H65" s="260">
        <f t="shared" si="14"/>
        <v>3.0314999999999998E-2</v>
      </c>
      <c r="I65" s="229">
        <f ca="1">IF(NOW(),_xll.mirGetParRate4($C$54,$G65,$C$55,$C$64,$C$65,$C$66,$C$67,$C$68,$C$69,$C$70,$C$74,$C$75,$D$64,$D$65,$D$66,$D$67,$D$68,$D$69,$D$70,$D$71,$D$72,$D$73,$D$74,$D$75,$C$56,$C$57,$C$58,$C$59,$C$60),"")</f>
        <v>3.0314999976270525E-2</v>
      </c>
      <c r="J65" s="229">
        <f t="shared" ca="1" si="10"/>
        <v>-2.3729473247469102E-11</v>
      </c>
      <c r="K65" s="230">
        <f t="shared" ca="1" si="11"/>
        <v>-2.3729473247469102E-7</v>
      </c>
      <c r="L65" s="230" t="s">
        <v>12</v>
      </c>
      <c r="M65" s="224" t="s">
        <v>15</v>
      </c>
      <c r="N65" s="255">
        <f ca="1">IF(NOW(),_xll.mirSwapPV($C$51,$C$52,$C$54,$G65,$C$55,$I65+N$51,$C$64,$C$65,$C$66,$C$67,$C$68,$C$69,$C$70,$C$74,$C$75,$D$63,$D$64,$D$65,$D$66,$D$67,$D$68,$D$69,$D$70,$D$71,$D$72,$D$73,$D$74,$D$75,$C$56,$C$57,$C$58,$C$59,$C$60),"")</f>
        <v>-1217652.1488595277</v>
      </c>
      <c r="O65" s="255">
        <f ca="1">IF(NOW(),_xll.mirSwapPV($C$51,$C$52,$C$54,$G65,$C$55,$I65+O$51,$C$64,$C$65,$C$66,$C$67,$C$68,$C$69,$C$70,$C$74,$C$75,$D$63,$D$64,$D$65,$D$66,$D$67,$D$68,$D$69,$D$70,$D$71,$D$72,$D$73,$D$74,$D$75,$C$56,$C$57,$C$58,$C$59,$C$60),"")</f>
        <v>-974121.71908762213</v>
      </c>
      <c r="P65" s="255">
        <f ca="1">IF(NOW(),_xll.mirSwapPV($C$51,$C$52,$C$54,$G65,$C$55,$I65+P$51,$C$64,$C$65,$C$66,$C$67,$C$68,$C$69,$C$70,$C$74,$C$75,$D$63,$D$64,$D$65,$D$66,$D$67,$D$68,$D$69,$D$70,$D$71,$D$72,$D$73,$D$74,$D$75,$C$56,$C$57,$C$58,$C$59,$C$60),"")</f>
        <v>-730591.28931571648</v>
      </c>
      <c r="Q65" s="255">
        <f ca="1">IF(NOW(),_xll.mirSwapPV($C$51,$C$52,$C$54,$G65,$C$55,$I65+Q$51,$C$64,$C$65,$C$66,$C$67,$C$68,$C$69,$C$70,$C$74,$C$75,$D$63,$D$64,$D$65,$D$66,$D$67,$D$68,$D$69,$D$70,$D$71,$D$72,$D$73,$D$74,$D$75,$C$56,$C$57,$C$58,$C$59,$C$60),"")</f>
        <v>-487060.85954381095</v>
      </c>
      <c r="R65" s="255">
        <f ca="1">IF(NOW(),_xll.mirSwapPV($C$51,$C$52,$C$54,$G65,$C$55,$I65+R$51,$C$64,$C$65,$C$66,$C$67,$C$68,$C$69,$C$70,$C$74,$C$75,$D$63,$D$64,$D$65,$D$66,$D$67,$D$68,$D$69,$D$70,$D$71,$D$72,$D$73,$D$74,$D$75,$C$56,$C$57,$C$58,$C$59,$C$60),"")</f>
        <v>-243530.42977190542</v>
      </c>
      <c r="S65" s="255">
        <f ca="1">IF(NOW(),_xll.mirSwapPV($C$51,$C$52,$C$54,$G65,$C$55,$I65+S$51,$C$64,$C$65,$C$66,$C$67,$C$68,$C$69,$C$70,$C$74,$C$75,$D$63,$D$64,$D$65,$D$66,$D$67,$D$68,$D$69,$D$70,$D$71,$D$72,$D$73,$D$74,$D$75,$C$56,$C$57,$C$58,$C$59,$C$60),"")</f>
        <v>0</v>
      </c>
      <c r="T65" s="255">
        <f ca="1">IF(NOW(),_xll.mirSwapPV($C$51,$C$52,$C$54,$G65,$C$55,$I65+T$51,$C$64,$C$65,$C$66,$C$67,$C$68,$C$69,$C$70,$C$74,$C$75,$D$63,$D$64,$D$65,$D$66,$D$67,$D$68,$D$69,$D$70,$D$71,$D$72,$D$73,$D$74,$D$75,$C$56,$C$57,$C$58,$C$59,$C$60),"")</f>
        <v>243530.42977190553</v>
      </c>
      <c r="U65" s="255">
        <f ca="1">IF(NOW(),_xll.mirSwapPV($C$51,$C$52,$C$54,$G65,$C$55,$I65+U$51,$C$64,$C$65,$C$66,$C$67,$C$68,$C$69,$C$70,$C$74,$C$75,$D$63,$D$64,$D$65,$D$66,$D$67,$D$68,$D$69,$D$70,$D$71,$D$72,$D$73,$D$74,$D$75,$C$56,$C$57,$C$58,$C$59,$C$60),"")</f>
        <v>487060.85954381083</v>
      </c>
      <c r="V65" s="255">
        <f ca="1">IF(NOW(),_xll.mirSwapPV($C$51,$C$52,$C$54,$G65,$C$55,$I65+V$51,$C$64,$C$65,$C$66,$C$67,$C$68,$C$69,$C$70,$C$74,$C$75,$D$63,$D$64,$D$65,$D$66,$D$67,$D$68,$D$69,$D$70,$D$71,$D$72,$D$73,$D$74,$D$75,$C$56,$C$57,$C$58,$C$59,$C$60),"")</f>
        <v>730591.28931571648</v>
      </c>
      <c r="W65" s="255">
        <f ca="1">IF(NOW(),_xll.mirSwapPV($C$51,$C$52,$C$54,$G65,$C$55,$I65+W$51,$C$64,$C$65,$C$66,$C$67,$C$68,$C$69,$C$70,$C$74,$C$75,$D$63,$D$64,$D$65,$D$66,$D$67,$D$68,$D$69,$D$70,$D$71,$D$72,$D$73,$D$74,$D$75,$C$56,$C$57,$C$58,$C$59,$C$60),"")</f>
        <v>974121.71908762213</v>
      </c>
      <c r="X65" s="255">
        <f ca="1">IF(NOW(),_xll.mirSwapPV($C$51,$C$52,$C$54,$G65,$C$55,$I65+X$51,$C$64,$C$65,$C$66,$C$67,$C$68,$C$69,$C$70,$C$74,$C$75,$D$63,$D$64,$D$65,$D$66,$D$67,$D$68,$D$69,$D$70,$D$71,$D$72,$D$73,$D$74,$D$75,$C$56,$C$57,$C$58,$C$59,$C$60),"")</f>
        <v>1217652.1488595277</v>
      </c>
      <c r="Y65" s="230" t="s">
        <v>12</v>
      </c>
      <c r="Z65" s="224" t="s">
        <v>15</v>
      </c>
      <c r="AA65" s="227">
        <f>_xll.mirGetDate($C$6,Z65)</f>
        <v>56810</v>
      </c>
      <c r="AB65" s="260">
        <f t="shared" si="15"/>
        <v>3.0314999999999998E-2</v>
      </c>
      <c r="AC65" s="229">
        <f ca="1">IF(NOW(),_xll.mirGetParRate4($C$54,$AA65,$C$55,$C$64,$C$65,$C$66,$C$67,$C$68,$C$69,$C$70,$C$74,$C$75,$D$64,$D$65,$D$66,$D$67,$D$68,$D$69,$D$70,$D$71,$D$72,$D$73,$D$74,$D$75,$C$56,$C$57,$C$58,$D$59,$C$60),"")</f>
        <v>3.031499997627048E-2</v>
      </c>
      <c r="AD65" s="229">
        <f t="shared" ca="1" si="12"/>
        <v>-2.3729518350279477E-11</v>
      </c>
      <c r="AE65" s="230">
        <f t="shared" ca="1" si="13"/>
        <v>-2.3729518350279477E-7</v>
      </c>
      <c r="AG65" s="224" t="s">
        <v>15</v>
      </c>
      <c r="AH65" s="255">
        <f ca="1">IF(NOW(),_xll.mirSwapPV($C$51,$C$52,$C$54,$AA65,$C$55,$AC65+AH$51,$C$64,$C$65,$C$66,$C$67,$C$68,$C$69,$C$70,$C$74,$C$75,$D$63,$D$64,$D$65,$D$66,$D$67,$D$68,$D$69,$D$70,$D$71,$D$72,$D$73,$D$74,$D$75,$C$56,$C$57,$C$58,$D$59,$C$60),"")</f>
        <v>-1217652.1488595277</v>
      </c>
      <c r="AI65" s="255">
        <f ca="1">IF(NOW(),_xll.mirSwapPV($C$51,$C$52,$C$54,$AA65,$C$55,$AC65+AI$51,$C$64,$C$65,$C$66,$C$67,$C$68,$C$69,$C$70,$C$74,$C$75,$D$63,$D$64,$D$65,$D$66,$D$67,$D$68,$D$69,$D$70,$D$71,$D$72,$D$73,$D$74,$D$75,$C$56,$C$57,$C$58,$D$59,$C$60),"")</f>
        <v>-974121.71908762201</v>
      </c>
      <c r="AJ65" s="255">
        <f ca="1">IF(NOW(),_xll.mirSwapPV($C$51,$C$52,$C$54,$AA65,$C$55,$AC65+AJ$51,$C$64,$C$65,$C$66,$C$67,$C$68,$C$69,$C$70,$C$74,$C$75,$D$63,$D$64,$D$65,$D$66,$D$67,$D$68,$D$69,$D$70,$D$71,$D$72,$D$73,$D$74,$D$75,$C$56,$C$57,$C$58,$D$59,$C$60),"")</f>
        <v>-730591.28931571648</v>
      </c>
      <c r="AK65" s="255">
        <f ca="1">IF(NOW(),_xll.mirSwapPV($C$51,$C$52,$C$54,$AA65,$C$55,$AC65+AK$51,$C$64,$C$65,$C$66,$C$67,$C$68,$C$69,$C$70,$C$74,$C$75,$D$63,$D$64,$D$65,$D$66,$D$67,$D$68,$D$69,$D$70,$D$71,$D$72,$D$73,$D$74,$D$75,$C$56,$C$57,$C$58,$D$59,$C$60),"")</f>
        <v>-487060.85954381095</v>
      </c>
      <c r="AL65" s="255">
        <f ca="1">IF(NOW(),_xll.mirSwapPV($C$51,$C$52,$C$54,$AA65,$C$55,$AC65+AL$51,$C$64,$C$65,$C$66,$C$67,$C$68,$C$69,$C$70,$C$74,$C$75,$D$63,$D$64,$D$65,$D$66,$D$67,$D$68,$D$69,$D$70,$D$71,$D$72,$D$73,$D$74,$D$75,$C$56,$C$57,$C$58,$D$59,$C$60),"")</f>
        <v>-243530.42977190547</v>
      </c>
      <c r="AM65" s="255">
        <f ca="1">IF(NOW(),_xll.mirSwapPV($C$51,$C$52,$C$54,$AA65,$C$55,$AC65+AM$51,$C$64,$C$65,$C$66,$C$67,$C$68,$C$69,$C$70,$C$74,$C$75,$D$63,$D$64,$D$65,$D$66,$D$67,$D$68,$D$69,$D$70,$D$71,$D$72,$D$73,$D$74,$D$75,$C$56,$C$57,$C$58,$D$59,$C$60),"")</f>
        <v>0</v>
      </c>
      <c r="AN65" s="255">
        <f ca="1">IF(NOW(),_xll.mirSwapPV($C$51,$C$52,$C$54,$AA65,$C$55,$AC65+AN$51,$C$64,$C$65,$C$66,$C$67,$C$68,$C$69,$C$70,$C$74,$C$75,$D$63,$D$64,$D$65,$D$66,$D$67,$D$68,$D$69,$D$70,$D$71,$D$72,$D$73,$D$74,$D$75,$C$56,$C$57,$C$58,$D$59,$C$60),"")</f>
        <v>243530.42977190553</v>
      </c>
      <c r="AO65" s="255">
        <f ca="1">IF(NOW(),_xll.mirSwapPV($C$51,$C$52,$C$54,$AA65,$C$55,$AC65+AO$51,$C$64,$C$65,$C$66,$C$67,$C$68,$C$69,$C$70,$C$74,$C$75,$D$63,$D$64,$D$65,$D$66,$D$67,$D$68,$D$69,$D$70,$D$71,$D$72,$D$73,$D$74,$D$75,$C$56,$C$57,$C$58,$D$59,$C$60),"")</f>
        <v>487060.85954381106</v>
      </c>
      <c r="AP65" s="255">
        <f ca="1">IF(NOW(),_xll.mirSwapPV($C$51,$C$52,$C$54,$AA65,$C$55,$AC65+AP$51,$C$64,$C$65,$C$66,$C$67,$C$68,$C$69,$C$70,$C$74,$C$75,$D$63,$D$64,$D$65,$D$66,$D$67,$D$68,$D$69,$D$70,$D$71,$D$72,$D$73,$D$74,$D$75,$C$56,$C$57,$C$58,$D$59,$C$60),"")</f>
        <v>730591.28931571648</v>
      </c>
      <c r="AQ65" s="255">
        <f ca="1">IF(NOW(),_xll.mirSwapPV($C$51,$C$52,$C$54,$AA65,$C$55,$AC65+AQ$51,$C$64,$C$65,$C$66,$C$67,$C$68,$C$69,$C$70,$C$74,$C$75,$D$63,$D$64,$D$65,$D$66,$D$67,$D$68,$D$69,$D$70,$D$71,$D$72,$D$73,$D$74,$D$75,$C$56,$C$57,$C$58,$D$59,$C$60),"")</f>
        <v>974121.71908762213</v>
      </c>
      <c r="AR65" s="255">
        <f ca="1">IF(NOW(),_xll.mirSwapPV($C$51,$C$52,$C$54,$AA65,$C$55,$AC65+AR$51,$C$64,$C$65,$C$66,$C$67,$C$68,$C$69,$C$70,$C$74,$C$75,$D$63,$D$64,$D$65,$D$66,$D$67,$D$68,$D$69,$D$70,$D$71,$D$72,$D$73,$D$74,$D$75,$C$56,$C$57,$C$58,$D$59,$C$60),"")</f>
        <v>1217652.1488595277</v>
      </c>
    </row>
    <row r="66" spans="2:44">
      <c r="B66" s="234" t="s">
        <v>443</v>
      </c>
      <c r="C66" s="240" t="s">
        <v>40</v>
      </c>
      <c r="D66" s="240" t="s">
        <v>40</v>
      </c>
      <c r="E66" s="224"/>
      <c r="F66" s="224" t="s">
        <v>14</v>
      </c>
      <c r="G66" s="227">
        <f>_xll.mirGetDate($C$6,F66)</f>
        <v>60463</v>
      </c>
      <c r="H66" s="260">
        <f t="shared" si="14"/>
        <v>3.0139999999999997E-2</v>
      </c>
      <c r="I66" s="229">
        <f ca="1">IF(NOW(),_xll.mirGetParRate4($C$54,$G66,$C$55,$C$64,$C$65,$C$66,$C$67,$C$68,$C$69,$C$70,$C$74,$C$75,$D$64,$D$65,$D$66,$D$67,$D$68,$D$69,$D$70,$D$71,$D$72,$D$73,$D$74,$D$75,$C$56,$C$57,$C$58,$C$59,$C$60),"")</f>
        <v>3.0139999597463871E-2</v>
      </c>
      <c r="J66" s="229">
        <f t="shared" ca="1" si="10"/>
        <v>-4.025361259596405E-10</v>
      </c>
      <c r="K66" s="230">
        <f t="shared" ca="1" si="11"/>
        <v>-4.025361259596405E-6</v>
      </c>
      <c r="L66" s="230" t="s">
        <v>12</v>
      </c>
      <c r="M66" s="224" t="s">
        <v>14</v>
      </c>
      <c r="N66" s="255">
        <f ca="1">IF(NOW(),_xll.mirSwapPV($C$51,$C$52,$C$54,$G66,$C$55,$I66+N$51,$C$64,$C$65,$C$66,$C$67,$C$68,$C$69,$C$70,$C$74,$C$75,$D$63,$D$64,$D$65,$D$66,$D$67,$D$68,$D$69,$D$70,$D$71,$D$72,$D$73,$D$74,$D$75,$C$56,$C$57,$C$58,$C$59,$C$60),"")</f>
        <v>-1356303.3835327972</v>
      </c>
      <c r="O66" s="255">
        <f ca="1">IF(NOW(),_xll.mirSwapPV($C$51,$C$52,$C$54,$G66,$C$55,$I66+O$51,$C$64,$C$65,$C$66,$C$67,$C$68,$C$69,$C$70,$C$74,$C$75,$D$63,$D$64,$D$65,$D$66,$D$67,$D$68,$D$69,$D$70,$D$71,$D$72,$D$73,$D$74,$D$75,$C$56,$C$57,$C$58,$C$59,$C$60),"")</f>
        <v>-1085042.7068262377</v>
      </c>
      <c r="P66" s="255">
        <f ca="1">IF(NOW(),_xll.mirSwapPV($C$51,$C$52,$C$54,$G66,$C$55,$I66+P$51,$C$64,$C$65,$C$66,$C$67,$C$68,$C$69,$C$70,$C$74,$C$75,$D$63,$D$64,$D$65,$D$66,$D$67,$D$68,$D$69,$D$70,$D$71,$D$72,$D$73,$D$74,$D$75,$C$56,$C$57,$C$58,$C$59,$C$60),"")</f>
        <v>-813782.03011967847</v>
      </c>
      <c r="Q66" s="255">
        <f ca="1">IF(NOW(),_xll.mirSwapPV($C$51,$C$52,$C$54,$G66,$C$55,$I66+Q$51,$C$64,$C$65,$C$66,$C$67,$C$68,$C$69,$C$70,$C$74,$C$75,$D$63,$D$64,$D$65,$D$66,$D$67,$D$68,$D$69,$D$70,$D$71,$D$72,$D$73,$D$74,$D$75,$C$56,$C$57,$C$58,$C$59,$C$60),"")</f>
        <v>-542521.35341311875</v>
      </c>
      <c r="R66" s="255">
        <f ca="1">IF(NOW(),_xll.mirSwapPV($C$51,$C$52,$C$54,$G66,$C$55,$I66+R$51,$C$64,$C$65,$C$66,$C$67,$C$68,$C$69,$C$70,$C$74,$C$75,$D$63,$D$64,$D$65,$D$66,$D$67,$D$68,$D$69,$D$70,$D$71,$D$72,$D$73,$D$74,$D$75,$C$56,$C$57,$C$58,$C$59,$C$60),"")</f>
        <v>-271260.67670655937</v>
      </c>
      <c r="S66" s="255">
        <f ca="1">IF(NOW(),_xll.mirSwapPV($C$51,$C$52,$C$54,$G66,$C$55,$I66+S$51,$C$64,$C$65,$C$66,$C$67,$C$68,$C$69,$C$70,$C$74,$C$75,$D$63,$D$64,$D$65,$D$66,$D$67,$D$68,$D$69,$D$70,$D$71,$D$72,$D$73,$D$74,$D$75,$C$56,$C$57,$C$58,$C$59,$C$60),"")</f>
        <v>0</v>
      </c>
      <c r="T66" s="255">
        <f ca="1">IF(NOW(),_xll.mirSwapPV($C$51,$C$52,$C$54,$G66,$C$55,$I66+T$51,$C$64,$C$65,$C$66,$C$67,$C$68,$C$69,$C$70,$C$74,$C$75,$D$63,$D$64,$D$65,$D$66,$D$67,$D$68,$D$69,$D$70,$D$71,$D$72,$D$73,$D$74,$D$75,$C$56,$C$57,$C$58,$C$59,$C$60),"")</f>
        <v>271260.67670655949</v>
      </c>
      <c r="U66" s="255">
        <f ca="1">IF(NOW(),_xll.mirSwapPV($C$51,$C$52,$C$54,$G66,$C$55,$I66+U$51,$C$64,$C$65,$C$66,$C$67,$C$68,$C$69,$C$70,$C$74,$C$75,$D$63,$D$64,$D$65,$D$66,$D$67,$D$68,$D$69,$D$70,$D$71,$D$72,$D$73,$D$74,$D$75,$C$56,$C$57,$C$58,$C$59,$C$60),"")</f>
        <v>542521.35341311898</v>
      </c>
      <c r="V66" s="255">
        <f ca="1">IF(NOW(),_xll.mirSwapPV($C$51,$C$52,$C$54,$G66,$C$55,$I66+V$51,$C$64,$C$65,$C$66,$C$67,$C$68,$C$69,$C$70,$C$74,$C$75,$D$63,$D$64,$D$65,$D$66,$D$67,$D$68,$D$69,$D$70,$D$71,$D$72,$D$73,$D$74,$D$75,$C$56,$C$57,$C$58,$C$59,$C$60),"")</f>
        <v>813782.03011967835</v>
      </c>
      <c r="W66" s="255">
        <f ca="1">IF(NOW(),_xll.mirSwapPV($C$51,$C$52,$C$54,$G66,$C$55,$I66+W$51,$C$64,$C$65,$C$66,$C$67,$C$68,$C$69,$C$70,$C$74,$C$75,$D$63,$D$64,$D$65,$D$66,$D$67,$D$68,$D$69,$D$70,$D$71,$D$72,$D$73,$D$74,$D$75,$C$56,$C$57,$C$58,$C$59,$C$60),"")</f>
        <v>1085042.7068262375</v>
      </c>
      <c r="X66" s="255">
        <f ca="1">IF(NOW(),_xll.mirSwapPV($C$51,$C$52,$C$54,$G66,$C$55,$I66+X$51,$C$64,$C$65,$C$66,$C$67,$C$68,$C$69,$C$70,$C$74,$C$75,$D$63,$D$64,$D$65,$D$66,$D$67,$D$68,$D$69,$D$70,$D$71,$D$72,$D$73,$D$74,$D$75,$C$56,$C$57,$C$58,$C$59,$C$60),"")</f>
        <v>1356303.3835327972</v>
      </c>
      <c r="Y66" s="230" t="s">
        <v>12</v>
      </c>
      <c r="Z66" s="224" t="s">
        <v>14</v>
      </c>
      <c r="AA66" s="227">
        <f>_xll.mirGetDate($C$6,Z66)</f>
        <v>60463</v>
      </c>
      <c r="AB66" s="260">
        <f t="shared" si="15"/>
        <v>3.0139999999999997E-2</v>
      </c>
      <c r="AC66" s="229">
        <f ca="1">IF(NOW(),_xll.mirGetParRate4($C$54,$AA66,$C$55,$C$64,$C$65,$C$66,$C$67,$C$68,$C$69,$C$70,$C$74,$C$75,$D$64,$D$65,$D$66,$D$67,$D$68,$D$69,$D$70,$D$71,$D$72,$D$73,$D$74,$D$75,$C$56,$C$57,$C$58,$D$59,$C$60),"")</f>
        <v>3.0139999597463819E-2</v>
      </c>
      <c r="AD66" s="229">
        <f t="shared" ca="1" si="12"/>
        <v>-4.0253617800134478E-10</v>
      </c>
      <c r="AE66" s="230">
        <f t="shared" ca="1" si="13"/>
        <v>-4.0253617800134478E-6</v>
      </c>
      <c r="AG66" s="224" t="s">
        <v>14</v>
      </c>
      <c r="AH66" s="255">
        <f ca="1">IF(NOW(),_xll.mirSwapPV($C$51,$C$52,$C$54,$AA66,$C$55,$AC66+AH$51,$C$64,$C$65,$C$66,$C$67,$C$68,$C$69,$C$70,$C$74,$C$75,$D$63,$D$64,$D$65,$D$66,$D$67,$D$68,$D$69,$D$70,$D$71,$D$72,$D$73,$D$74,$D$75,$C$56,$C$57,$C$58,$D$59,$C$60),"")</f>
        <v>-1356303.3835327972</v>
      </c>
      <c r="AI66" s="255">
        <f ca="1">IF(NOW(),_xll.mirSwapPV($C$51,$C$52,$C$54,$AA66,$C$55,$AC66+AI$51,$C$64,$C$65,$C$66,$C$67,$C$68,$C$69,$C$70,$C$74,$C$75,$D$63,$D$64,$D$65,$D$66,$D$67,$D$68,$D$69,$D$70,$D$71,$D$72,$D$73,$D$74,$D$75,$C$56,$C$57,$C$58,$D$59,$C$60),"")</f>
        <v>-1085042.7068262377</v>
      </c>
      <c r="AJ66" s="255">
        <f ca="1">IF(NOW(),_xll.mirSwapPV($C$51,$C$52,$C$54,$AA66,$C$55,$AC66+AJ$51,$C$64,$C$65,$C$66,$C$67,$C$68,$C$69,$C$70,$C$74,$C$75,$D$63,$D$64,$D$65,$D$66,$D$67,$D$68,$D$69,$D$70,$D$71,$D$72,$D$73,$D$74,$D$75,$C$56,$C$57,$C$58,$D$59,$C$60),"")</f>
        <v>-813782.03011967835</v>
      </c>
      <c r="AK66" s="255">
        <f ca="1">IF(NOW(),_xll.mirSwapPV($C$51,$C$52,$C$54,$AA66,$C$55,$AC66+AK$51,$C$64,$C$65,$C$66,$C$67,$C$68,$C$69,$C$70,$C$74,$C$75,$D$63,$D$64,$D$65,$D$66,$D$67,$D$68,$D$69,$D$70,$D$71,$D$72,$D$73,$D$74,$D$75,$C$56,$C$57,$C$58,$D$59,$C$60),"")</f>
        <v>-542521.35341311875</v>
      </c>
      <c r="AL66" s="255">
        <f ca="1">IF(NOW(),_xll.mirSwapPV($C$51,$C$52,$C$54,$AA66,$C$55,$AC66+AL$51,$C$64,$C$65,$C$66,$C$67,$C$68,$C$69,$C$70,$C$74,$C$75,$D$63,$D$64,$D$65,$D$66,$D$67,$D$68,$D$69,$D$70,$D$71,$D$72,$D$73,$D$74,$D$75,$C$56,$C$57,$C$58,$D$59,$C$60),"")</f>
        <v>-271260.67670655937</v>
      </c>
      <c r="AM66" s="255">
        <f ca="1">IF(NOW(),_xll.mirSwapPV($C$51,$C$52,$C$54,$AA66,$C$55,$AC66+AM$51,$C$64,$C$65,$C$66,$C$67,$C$68,$C$69,$C$70,$C$74,$C$75,$D$63,$D$64,$D$65,$D$66,$D$67,$D$68,$D$69,$D$70,$D$71,$D$72,$D$73,$D$74,$D$75,$C$56,$C$57,$C$58,$D$59,$C$60),"")</f>
        <v>0</v>
      </c>
      <c r="AN66" s="255">
        <f ca="1">IF(NOW(),_xll.mirSwapPV($C$51,$C$52,$C$54,$AA66,$C$55,$AC66+AN$51,$C$64,$C$65,$C$66,$C$67,$C$68,$C$69,$C$70,$C$74,$C$75,$D$63,$D$64,$D$65,$D$66,$D$67,$D$68,$D$69,$D$70,$D$71,$D$72,$D$73,$D$74,$D$75,$C$56,$C$57,$C$58,$D$59,$C$60),"")</f>
        <v>271260.67670655937</v>
      </c>
      <c r="AO66" s="255">
        <f ca="1">IF(NOW(),_xll.mirSwapPV($C$51,$C$52,$C$54,$AA66,$C$55,$AC66+AO$51,$C$64,$C$65,$C$66,$C$67,$C$68,$C$69,$C$70,$C$74,$C$75,$D$63,$D$64,$D$65,$D$66,$D$67,$D$68,$D$69,$D$70,$D$71,$D$72,$D$73,$D$74,$D$75,$C$56,$C$57,$C$58,$D$59,$C$60),"")</f>
        <v>542521.35341311886</v>
      </c>
      <c r="AP66" s="255">
        <f ca="1">IF(NOW(),_xll.mirSwapPV($C$51,$C$52,$C$54,$AA66,$C$55,$AC66+AP$51,$C$64,$C$65,$C$66,$C$67,$C$68,$C$69,$C$70,$C$74,$C$75,$D$63,$D$64,$D$65,$D$66,$D$67,$D$68,$D$69,$D$70,$D$71,$D$72,$D$73,$D$74,$D$75,$C$56,$C$57,$C$58,$D$59,$C$60),"")</f>
        <v>813782.03011967824</v>
      </c>
      <c r="AQ66" s="255">
        <f ca="1">IF(NOW(),_xll.mirSwapPV($C$51,$C$52,$C$54,$AA66,$C$55,$AC66+AQ$51,$C$64,$C$65,$C$66,$C$67,$C$68,$C$69,$C$70,$C$74,$C$75,$D$63,$D$64,$D$65,$D$66,$D$67,$D$68,$D$69,$D$70,$D$71,$D$72,$D$73,$D$74,$D$75,$C$56,$C$57,$C$58,$D$59,$C$60),"")</f>
        <v>1085042.706826238</v>
      </c>
      <c r="AR66" s="255">
        <f ca="1">IF(NOW(),_xll.mirSwapPV($C$51,$C$52,$C$54,$AA66,$C$55,$AC66+AR$51,$C$64,$C$65,$C$66,$C$67,$C$68,$C$69,$C$70,$C$74,$C$75,$D$63,$D$64,$D$65,$D$66,$D$67,$D$68,$D$69,$D$70,$D$71,$D$72,$D$73,$D$74,$D$75,$C$56,$C$57,$C$58,$D$59,$C$60),"")</f>
        <v>1356303.3835327975</v>
      </c>
    </row>
    <row r="67" spans="2:44">
      <c r="B67" s="234" t="s">
        <v>174</v>
      </c>
      <c r="C67" s="240" t="s">
        <v>456</v>
      </c>
      <c r="D67" s="240" t="s">
        <v>456</v>
      </c>
      <c r="E67" s="224"/>
      <c r="F67" s="224"/>
      <c r="G67" s="227"/>
      <c r="H67" s="260"/>
      <c r="I67" s="229"/>
      <c r="J67" s="229"/>
      <c r="K67" s="230"/>
      <c r="L67" s="230"/>
      <c r="M67" s="230"/>
      <c r="N67" s="255"/>
      <c r="O67" s="255"/>
      <c r="P67" s="255"/>
      <c r="Q67" s="255"/>
      <c r="R67" s="255"/>
      <c r="S67" s="255"/>
      <c r="T67" s="255"/>
      <c r="U67" s="255"/>
      <c r="V67" s="255"/>
      <c r="W67" s="255"/>
      <c r="X67" s="255"/>
      <c r="Y67" s="230"/>
      <c r="Z67" s="224"/>
      <c r="AA67" s="227"/>
      <c r="AB67" s="260"/>
      <c r="AC67" s="229"/>
      <c r="AD67" s="229"/>
      <c r="AE67" s="230"/>
      <c r="AG67" s="230"/>
      <c r="AH67" s="255"/>
      <c r="AI67" s="255"/>
      <c r="AJ67" s="255"/>
      <c r="AK67" s="255"/>
      <c r="AL67" s="255"/>
      <c r="AM67" s="255"/>
      <c r="AN67" s="255"/>
      <c r="AO67" s="255"/>
      <c r="AP67" s="255"/>
      <c r="AQ67" s="255"/>
      <c r="AR67" s="255"/>
    </row>
    <row r="68" spans="2:44">
      <c r="B68" s="234" t="s">
        <v>444</v>
      </c>
      <c r="C68" s="243"/>
      <c r="D68" s="243"/>
      <c r="E68" s="244"/>
      <c r="F68" s="224"/>
      <c r="G68" s="227"/>
      <c r="H68" s="260"/>
      <c r="I68" s="229"/>
      <c r="J68" s="229"/>
      <c r="K68" s="230"/>
      <c r="L68" s="230"/>
      <c r="M68" s="230"/>
      <c r="N68" s="255"/>
      <c r="O68" s="255"/>
      <c r="P68" s="255"/>
      <c r="Q68" s="255"/>
      <c r="R68" s="255"/>
      <c r="S68" s="255"/>
      <c r="T68" s="255"/>
      <c r="U68" s="255"/>
      <c r="V68" s="255"/>
      <c r="W68" s="255"/>
      <c r="X68" s="255"/>
      <c r="Y68" s="230"/>
      <c r="Z68" s="224"/>
      <c r="AA68" s="227"/>
      <c r="AB68" s="260"/>
      <c r="AC68" s="229"/>
      <c r="AD68" s="229"/>
      <c r="AE68" s="230"/>
      <c r="AG68" s="230"/>
      <c r="AH68" s="255"/>
      <c r="AI68" s="255"/>
      <c r="AJ68" s="255"/>
      <c r="AK68" s="255"/>
      <c r="AL68" s="255"/>
      <c r="AM68" s="255"/>
      <c r="AN68" s="255"/>
      <c r="AO68" s="255"/>
      <c r="AP68" s="255"/>
      <c r="AQ68" s="255"/>
      <c r="AR68" s="255"/>
    </row>
    <row r="69" spans="2:44">
      <c r="B69" s="234" t="s">
        <v>445</v>
      </c>
      <c r="C69" s="243"/>
      <c r="D69" s="243"/>
      <c r="E69" s="245"/>
      <c r="F69" s="224"/>
      <c r="G69" s="227"/>
      <c r="H69" s="260"/>
      <c r="I69" s="229"/>
      <c r="J69" s="229"/>
      <c r="K69" s="230"/>
      <c r="L69" s="230"/>
      <c r="M69" s="230"/>
      <c r="N69" s="255"/>
      <c r="O69" s="255"/>
      <c r="P69" s="255"/>
      <c r="Q69" s="255"/>
      <c r="R69" s="255"/>
      <c r="S69" s="255"/>
      <c r="T69" s="255"/>
      <c r="U69" s="255"/>
      <c r="V69" s="255"/>
      <c r="W69" s="255"/>
      <c r="X69" s="255"/>
      <c r="Y69" s="230"/>
      <c r="Z69" s="224"/>
      <c r="AA69" s="227"/>
      <c r="AB69" s="260"/>
      <c r="AC69" s="229"/>
      <c r="AD69" s="229"/>
      <c r="AE69" s="230"/>
      <c r="AG69" s="230"/>
      <c r="AH69" s="255"/>
      <c r="AI69" s="255"/>
      <c r="AJ69" s="255"/>
      <c r="AK69" s="255"/>
      <c r="AL69" s="255"/>
      <c r="AM69" s="255"/>
      <c r="AN69" s="255"/>
      <c r="AO69" s="255"/>
      <c r="AP69" s="255"/>
      <c r="AQ69" s="255"/>
      <c r="AR69" s="255"/>
    </row>
    <row r="70" spans="2:44">
      <c r="B70" s="234" t="s">
        <v>446</v>
      </c>
      <c r="C70" s="240">
        <f>DAY(C54)</f>
        <v>15</v>
      </c>
      <c r="D70" s="240">
        <f>DAY(C54)</f>
        <v>15</v>
      </c>
      <c r="F70" s="224"/>
      <c r="G70" s="227"/>
      <c r="H70" s="260"/>
      <c r="I70" s="229"/>
      <c r="J70" s="229"/>
      <c r="K70" s="230"/>
      <c r="L70" s="230"/>
      <c r="M70" s="230"/>
      <c r="N70" s="255"/>
      <c r="O70" s="255"/>
      <c r="P70" s="255"/>
      <c r="Q70" s="255"/>
      <c r="R70" s="255"/>
      <c r="S70" s="255"/>
      <c r="T70" s="255"/>
      <c r="U70" s="255"/>
      <c r="V70" s="255"/>
      <c r="W70" s="255"/>
      <c r="X70" s="255"/>
      <c r="Y70" s="230"/>
      <c r="Z70" s="224"/>
      <c r="AA70" s="227"/>
      <c r="AB70" s="260"/>
      <c r="AC70" s="229"/>
      <c r="AD70" s="229"/>
      <c r="AE70" s="230"/>
      <c r="AG70" s="230"/>
      <c r="AH70" s="255"/>
      <c r="AI70" s="255"/>
      <c r="AJ70" s="255"/>
      <c r="AK70" s="255"/>
      <c r="AL70" s="255"/>
      <c r="AM70" s="255"/>
      <c r="AN70" s="255"/>
      <c r="AO70" s="255"/>
      <c r="AP70" s="255"/>
      <c r="AQ70" s="255"/>
      <c r="AR70" s="255"/>
    </row>
    <row r="71" spans="2:44">
      <c r="B71" s="234" t="s">
        <v>447</v>
      </c>
      <c r="C71" s="241" t="s">
        <v>6</v>
      </c>
      <c r="D71" s="246" t="s">
        <v>448</v>
      </c>
      <c r="F71" s="224"/>
      <c r="G71" s="224"/>
      <c r="H71" s="224"/>
      <c r="K71" s="10"/>
      <c r="L71" s="10"/>
      <c r="M71" s="10"/>
      <c r="P71" s="252"/>
      <c r="AG71" s="10"/>
      <c r="AJ71" s="252"/>
    </row>
    <row r="72" spans="2:44">
      <c r="B72" s="234" t="s">
        <v>449</v>
      </c>
      <c r="C72" s="241" t="s">
        <v>6</v>
      </c>
      <c r="D72" s="250">
        <f>'USD Curve Config'!$Z$29</f>
        <v>2.8579999999999999E-3</v>
      </c>
      <c r="F72" s="224"/>
      <c r="G72" s="224"/>
      <c r="H72" s="224"/>
      <c r="I72" s="11"/>
      <c r="J72" s="248"/>
      <c r="K72" s="249"/>
      <c r="L72" s="249"/>
      <c r="M72" s="249"/>
      <c r="AG72" s="249"/>
    </row>
    <row r="73" spans="2:44">
      <c r="B73" s="234" t="s">
        <v>450</v>
      </c>
      <c r="C73" s="241" t="s">
        <v>6</v>
      </c>
      <c r="D73" s="250"/>
      <c r="I73" s="224"/>
      <c r="J73" s="224"/>
      <c r="K73" s="230"/>
      <c r="L73" s="230"/>
      <c r="M73" s="230"/>
      <c r="AG73" s="230"/>
    </row>
    <row r="74" spans="2:44">
      <c r="B74" s="234" t="s">
        <v>452</v>
      </c>
      <c r="C74" s="246" t="s">
        <v>448</v>
      </c>
      <c r="D74" s="246" t="s">
        <v>448</v>
      </c>
      <c r="M74" s="259"/>
      <c r="AG74" s="259"/>
    </row>
    <row r="75" spans="2:44">
      <c r="B75" s="225" t="s">
        <v>453</v>
      </c>
      <c r="C75" s="251" t="s">
        <v>457</v>
      </c>
      <c r="D75" s="251" t="s">
        <v>457</v>
      </c>
      <c r="F75" s="224"/>
      <c r="G75" s="118"/>
      <c r="M75" s="219" t="s">
        <v>462</v>
      </c>
      <c r="N75" s="219"/>
      <c r="O75" s="229"/>
      <c r="P75" s="252"/>
      <c r="Q75" s="252"/>
      <c r="R75" s="229"/>
      <c r="S75" s="229" t="s">
        <v>459</v>
      </c>
      <c r="T75" s="229"/>
      <c r="U75" s="229"/>
      <c r="V75" s="229"/>
      <c r="W75" t="s">
        <v>463</v>
      </c>
      <c r="X75" s="259" t="b">
        <f>$C$11</f>
        <v>1</v>
      </c>
      <c r="AG75" s="219" t="s">
        <v>462</v>
      </c>
      <c r="AH75" s="219"/>
      <c r="AI75" s="229"/>
      <c r="AJ75" s="252"/>
      <c r="AK75" s="252"/>
      <c r="AL75" s="229"/>
      <c r="AM75" s="229" t="s">
        <v>459</v>
      </c>
      <c r="AN75" s="229"/>
      <c r="AO75" s="229"/>
      <c r="AP75" s="229"/>
      <c r="AQ75" t="s">
        <v>463</v>
      </c>
      <c r="AR75" s="259" t="b">
        <f>$D$11</f>
        <v>0</v>
      </c>
    </row>
    <row r="76" spans="2:44">
      <c r="F76" s="224"/>
      <c r="G76" s="224"/>
      <c r="H76" s="224"/>
      <c r="I76" s="224"/>
      <c r="J76" s="224"/>
      <c r="K76" s="224"/>
      <c r="L76" s="224"/>
      <c r="M76" s="224" t="s">
        <v>76</v>
      </c>
      <c r="N76" s="230">
        <v>500</v>
      </c>
      <c r="O76" s="230">
        <f>N76-100</f>
        <v>400</v>
      </c>
      <c r="P76" s="230">
        <f t="shared" ref="P76:X76" si="16">O76-100</f>
        <v>300</v>
      </c>
      <c r="Q76" s="230">
        <f t="shared" si="16"/>
        <v>200</v>
      </c>
      <c r="R76" s="230">
        <f t="shared" si="16"/>
        <v>100</v>
      </c>
      <c r="S76" s="230">
        <f t="shared" si="16"/>
        <v>0</v>
      </c>
      <c r="T76" s="230">
        <f t="shared" si="16"/>
        <v>-100</v>
      </c>
      <c r="U76" s="230">
        <f t="shared" si="16"/>
        <v>-200</v>
      </c>
      <c r="V76" s="230">
        <f t="shared" si="16"/>
        <v>-300</v>
      </c>
      <c r="W76" s="230">
        <f t="shared" si="16"/>
        <v>-400</v>
      </c>
      <c r="X76" s="230">
        <f t="shared" si="16"/>
        <v>-500</v>
      </c>
      <c r="Y76" s="224"/>
      <c r="AE76" s="11"/>
      <c r="AG76" s="224" t="s">
        <v>76</v>
      </c>
      <c r="AH76" s="230">
        <v>500</v>
      </c>
      <c r="AI76" s="230">
        <f>AH76-100</f>
        <v>400</v>
      </c>
      <c r="AJ76" s="230">
        <f t="shared" ref="AJ76:AR76" si="17">AI76-100</f>
        <v>300</v>
      </c>
      <c r="AK76" s="230">
        <f t="shared" si="17"/>
        <v>200</v>
      </c>
      <c r="AL76" s="230">
        <f t="shared" si="17"/>
        <v>100</v>
      </c>
      <c r="AM76" s="230">
        <f t="shared" si="17"/>
        <v>0</v>
      </c>
      <c r="AN76" s="230">
        <f t="shared" si="17"/>
        <v>-100</v>
      </c>
      <c r="AO76" s="230">
        <f t="shared" si="17"/>
        <v>-200</v>
      </c>
      <c r="AP76" s="230">
        <f t="shared" si="17"/>
        <v>-300</v>
      </c>
      <c r="AQ76" s="230">
        <f t="shared" si="17"/>
        <v>-400</v>
      </c>
      <c r="AR76" s="230">
        <f t="shared" si="17"/>
        <v>-500</v>
      </c>
    </row>
    <row r="77" spans="2:44">
      <c r="F77" s="230"/>
      <c r="G77" s="227"/>
      <c r="H77" s="229"/>
      <c r="I77" s="229"/>
      <c r="J77" s="229"/>
      <c r="K77" s="230"/>
      <c r="L77" s="230"/>
      <c r="M77" s="227" t="s">
        <v>35</v>
      </c>
      <c r="N77" s="255">
        <f ca="1">IF(NOW(),_xll.mirSwapPV($C$51,$C$52,$C$54,$G52,$C$55,$I52,$C$64,$C$65,$C$66,$C$67,$C$68,$C$69,$C$70,$C$74,$C$75,$D$63+N$76,$D$64,$D$65,$D$66,$D$67,$D$68,$D$69,$D$70,$D$71,$D$72,$D$73,$D$74,$D$75,$C$56,$C$57,$C$58,$C$59,$C$60),"")</f>
        <v>-198777.426464966</v>
      </c>
      <c r="O77" s="255">
        <f ca="1">IF(NOW(),_xll.mirSwapPV($C$51,$C$52,$C$54,$G52,$C$55,$I52,$C$64,$C$65,$C$66,$C$67,$C$68,$C$69,$C$70,$C$74,$C$75,$D$63+O$76,$D$64,$D$65,$D$66,$D$67,$D$68,$D$69,$D$70,$D$71,$D$72,$D$73,$D$74,$D$75,$C$56,$C$57,$C$58,$C$59,$C$60),"")</f>
        <v>-159021.94117197287</v>
      </c>
      <c r="P77" s="255">
        <f ca="1">IF(NOW(),_xll.mirSwapPV($C$51,$C$52,$C$54,$G52,$C$55,$I52,$C$64,$C$65,$C$66,$C$67,$C$68,$C$69,$C$70,$C$74,$C$75,$D$63+P$76,$D$64,$D$65,$D$66,$D$67,$D$68,$D$69,$D$70,$D$71,$D$72,$D$73,$D$74,$D$75,$C$56,$C$57,$C$58,$C$59,$C$60),"")</f>
        <v>-119266.45587897966</v>
      </c>
      <c r="Q77" s="255">
        <f ca="1">IF(NOW(),_xll.mirSwapPV($C$51,$C$52,$C$54,$G52,$C$55,$I52,$C$64,$C$65,$C$66,$C$67,$C$68,$C$69,$C$70,$C$74,$C$75,$D$63+Q$76,$D$64,$D$65,$D$66,$D$67,$D$68,$D$69,$D$70,$D$71,$D$72,$D$73,$D$74,$D$75,$C$56,$C$57,$C$58,$C$59,$C$60),"")</f>
        <v>-79510.970585986419</v>
      </c>
      <c r="R77" s="255">
        <f ca="1">IF(NOW(),_xll.mirSwapPV($C$51,$C$52,$C$54,$G52,$C$55,$I52,$C$64,$C$65,$C$66,$C$67,$C$68,$C$69,$C$70,$C$74,$C$75,$D$63+R$76,$D$64,$D$65,$D$66,$D$67,$D$68,$D$69,$D$70,$D$71,$D$72,$D$73,$D$74,$D$75,$C$56,$C$57,$C$58,$C$59,$C$60),"")</f>
        <v>-39755.485292993217</v>
      </c>
      <c r="S77" s="255">
        <f ca="1">IF(NOW(),_xll.mirSwapPV($C$51,$C$52,$C$54,$G52,$C$55,$I52,$C$64,$C$65,$C$66,$C$67,$C$68,$C$69,$C$70,$C$74,$C$75,$D$63+S$76,$D$64,$D$65,$D$66,$D$67,$D$68,$D$69,$D$70,$D$71,$D$72,$D$73,$D$74,$D$75,$C$56,$C$57,$C$58,$C$59,$C$60),"")</f>
        <v>-6.9388939039072284E-12</v>
      </c>
      <c r="T77" s="255">
        <f ca="1">IF(NOW(),_xll.mirSwapPV($C$51,$C$52,$C$54,$G52,$C$55,$I52,$C$64,$C$65,$C$66,$C$67,$C$68,$C$69,$C$70,$C$74,$C$75,$D$63+T$76,$D$64,$D$65,$D$66,$D$67,$D$68,$D$69,$D$70,$D$71,$D$72,$D$73,$D$74,$D$75,$C$56,$C$57,$C$58,$C$59,$C$60),"")</f>
        <v>39755.485292993202</v>
      </c>
      <c r="U77" s="255">
        <f ca="1">IF(NOW(),_xll.mirSwapPV($C$51,$C$52,$C$54,$G52,$C$55,$I52,$C$64,$C$65,$C$66,$C$67,$C$68,$C$69,$C$70,$C$74,$C$75,$D$63+U$76,$D$64,$D$65,$D$66,$D$67,$D$68,$D$69,$D$70,$D$71,$D$72,$D$73,$D$74,$D$75,$C$56,$C$57,$C$58,$C$59,$C$60),"")</f>
        <v>79510.970585986404</v>
      </c>
      <c r="V77" s="255">
        <f ca="1">IF(NOW(),_xll.mirSwapPV($C$51,$C$52,$C$54,$G52,$C$55,$I52,$C$64,$C$65,$C$66,$C$67,$C$68,$C$69,$C$70,$C$74,$C$75,$D$63+V$76,$D$64,$D$65,$D$66,$D$67,$D$68,$D$69,$D$70,$D$71,$D$72,$D$73,$D$74,$D$75,$C$56,$C$57,$C$58,$C$59,$C$60),"")</f>
        <v>119266.45587897963</v>
      </c>
      <c r="W77" s="255">
        <f ca="1">IF(NOW(),_xll.mirSwapPV($C$51,$C$52,$C$54,$G52,$C$55,$I52,$C$64,$C$65,$C$66,$C$67,$C$68,$C$69,$C$70,$C$74,$C$75,$D$63+W$76,$D$64,$D$65,$D$66,$D$67,$D$68,$D$69,$D$70,$D$71,$D$72,$D$73,$D$74,$D$75,$C$56,$C$57,$C$58,$C$59,$C$60),"")</f>
        <v>159021.94117197284</v>
      </c>
      <c r="X77" s="255">
        <f ca="1">IF(NOW(),_xll.mirSwapPV($C$51,$C$52,$C$54,$G52,$C$55,$I52,$C$64,$C$65,$C$66,$C$67,$C$68,$C$69,$C$70,$C$74,$C$75,$D$63+X$76,$D$64,$D$65,$D$66,$D$67,$D$68,$D$69,$D$70,$D$71,$D$72,$D$73,$D$74,$D$75,$C$56,$C$57,$C$58,$C$59,$C$60),"")</f>
        <v>198777.42646496603</v>
      </c>
      <c r="Y77" s="229"/>
      <c r="AE77" s="230"/>
      <c r="AG77" s="227" t="s">
        <v>35</v>
      </c>
      <c r="AH77" s="255">
        <f ca="1">IF(NOW(),_xll.mirSwapPV($C$51,$C$52,$C$54,$AA52,$C$55,$AC52,$C$64,$C$65,$C$66,$C$67,$C$68,$C$69,$C$70,$C$74,$C$75,$D$63+AH$76,$D$64,$D$65,$D$66,$D$67,$D$68,$D$69,$D$70,$D$71,$D$72,$D$73,$D$74,$D$75,$C$56,$C$57,$C$58,$D$59,$C$60),"")</f>
        <v>-198777.42646496603</v>
      </c>
      <c r="AI77" s="255">
        <f ca="1">IF(NOW(),_xll.mirSwapPV($C$51,$C$52,$C$54,$AA52,$C$55,$AC52,$C$64,$C$65,$C$66,$C$67,$C$68,$C$69,$C$70,$C$74,$C$75,$D$63+AI$76,$D$64,$D$65,$D$66,$D$67,$D$68,$D$69,$D$70,$D$71,$D$72,$D$73,$D$74,$D$75,$C$56,$C$57,$C$58,$D$59,$C$60),"")</f>
        <v>-159021.94117197284</v>
      </c>
      <c r="AJ77" s="255">
        <f ca="1">IF(NOW(),_xll.mirSwapPV($C$51,$C$52,$C$54,$AA52,$C$55,$AC52,$C$64,$C$65,$C$66,$C$67,$C$68,$C$69,$C$70,$C$74,$C$75,$D$63+AJ$76,$D$64,$D$65,$D$66,$D$67,$D$68,$D$69,$D$70,$D$71,$D$72,$D$73,$D$74,$D$75,$C$56,$C$57,$C$58,$D$59,$C$60),"")</f>
        <v>-119266.45587897961</v>
      </c>
      <c r="AK77" s="255">
        <f ca="1">IF(NOW(),_xll.mirSwapPV($C$51,$C$52,$C$54,$AA52,$C$55,$AC52,$C$64,$C$65,$C$66,$C$67,$C$68,$C$69,$C$70,$C$74,$C$75,$D$63+AK$76,$D$64,$D$65,$D$66,$D$67,$D$68,$D$69,$D$70,$D$71,$D$72,$D$73,$D$74,$D$75,$C$56,$C$57,$C$58,$D$59,$C$60),"")</f>
        <v>-79510.970585986433</v>
      </c>
      <c r="AL77" s="255">
        <f ca="1">IF(NOW(),_xll.mirSwapPV($C$51,$C$52,$C$54,$AA52,$C$55,$AC52,$C$64,$C$65,$C$66,$C$67,$C$68,$C$69,$C$70,$C$74,$C$75,$D$63+AL$76,$D$64,$D$65,$D$66,$D$67,$D$68,$D$69,$D$70,$D$71,$D$72,$D$73,$D$74,$D$75,$C$56,$C$57,$C$58,$D$59,$C$60),"")</f>
        <v>-39755.485292993209</v>
      </c>
      <c r="AM77" s="255">
        <f ca="1">IF(NOW(),_xll.mirSwapPV($C$51,$C$52,$C$54,$AA52,$C$55,$AC52,$C$64,$C$65,$C$66,$C$67,$C$68,$C$69,$C$70,$C$74,$C$75,$D$63+AM$76,$D$64,$D$65,$D$66,$D$67,$D$68,$D$69,$D$70,$D$71,$D$72,$D$73,$D$74,$D$75,$C$56,$C$57,$C$58,$D$59,$C$60),"")</f>
        <v>0</v>
      </c>
      <c r="AN77" s="255">
        <f ca="1">IF(NOW(),_xll.mirSwapPV($C$51,$C$52,$C$54,$AA52,$C$55,$AC52,$C$64,$C$65,$C$66,$C$67,$C$68,$C$69,$C$70,$C$74,$C$75,$D$63+AN$76,$D$64,$D$65,$D$66,$D$67,$D$68,$D$69,$D$70,$D$71,$D$72,$D$73,$D$74,$D$75,$C$56,$C$57,$C$58,$D$59,$C$60),"")</f>
        <v>39755.485292993209</v>
      </c>
      <c r="AO77" s="255">
        <f ca="1">IF(NOW(),_xll.mirSwapPV($C$51,$C$52,$C$54,$AA52,$C$55,$AC52,$C$64,$C$65,$C$66,$C$67,$C$68,$C$69,$C$70,$C$74,$C$75,$D$63+AO$76,$D$64,$D$65,$D$66,$D$67,$D$68,$D$69,$D$70,$D$71,$D$72,$D$73,$D$74,$D$75,$C$56,$C$57,$C$58,$D$59,$C$60),"")</f>
        <v>79510.970585986433</v>
      </c>
      <c r="AP77" s="255">
        <f ca="1">IF(NOW(),_xll.mirSwapPV($C$51,$C$52,$C$54,$AA52,$C$55,$AC52,$C$64,$C$65,$C$66,$C$67,$C$68,$C$69,$C$70,$C$74,$C$75,$D$63+AP$76,$D$64,$D$65,$D$66,$D$67,$D$68,$D$69,$D$70,$D$71,$D$72,$D$73,$D$74,$D$75,$C$56,$C$57,$C$58,$D$59,$C$60),"")</f>
        <v>119266.45587897963</v>
      </c>
      <c r="AQ77" s="255">
        <f ca="1">IF(NOW(),_xll.mirSwapPV($C$51,$C$52,$C$54,$AA52,$C$55,$AC52,$C$64,$C$65,$C$66,$C$67,$C$68,$C$69,$C$70,$C$74,$C$75,$D$63+AQ$76,$D$64,$D$65,$D$66,$D$67,$D$68,$D$69,$D$70,$D$71,$D$72,$D$73,$D$74,$D$75,$C$56,$C$57,$C$58,$D$59,$C$60),"")</f>
        <v>159021.94117197284</v>
      </c>
      <c r="AR77" s="255">
        <f ca="1">IF(NOW(),_xll.mirSwapPV($C$51,$C$52,$C$54,$AA52,$C$55,$AC52,$C$64,$C$65,$C$66,$C$67,$C$68,$C$69,$C$70,$C$74,$C$75,$D$63+AR$76,$D$64,$D$65,$D$66,$D$67,$D$68,$D$69,$D$70,$D$71,$D$72,$D$73,$D$74,$D$75,$C$56,$C$57,$C$58,$D$59,$C$60),"")</f>
        <v>198777.42646496603</v>
      </c>
    </row>
    <row r="78" spans="2:44">
      <c r="F78" s="230"/>
      <c r="G78" s="227"/>
      <c r="H78" s="229"/>
      <c r="I78" s="229"/>
      <c r="J78" s="229"/>
      <c r="K78" s="230"/>
      <c r="L78" s="230"/>
      <c r="M78" s="224" t="s">
        <v>33</v>
      </c>
      <c r="N78" s="255">
        <f ca="1">IF(NOW(),_xll.mirSwapPV($C$51,$C$52,$C$54,$G53,$C$55,$I53,$C$64,$C$65,$C$66,$C$67,$C$68,$C$69,$C$70,$C$74,$C$75,$D$63+N$76,$D$64,$D$65,$D$66,$D$67,$D$68,$D$69,$D$70,$D$71,$D$72,$D$73,$D$74,$D$75,$C$56,$C$57,$C$58,$C$59,$C$60),"")</f>
        <v>-246131.73696146879</v>
      </c>
      <c r="O78" s="255">
        <f ca="1">IF(NOW(),_xll.mirSwapPV($C$51,$C$52,$C$54,$G53,$C$55,$I53,$C$64,$C$65,$C$66,$C$67,$C$68,$C$69,$C$70,$C$74,$C$75,$D$63+O$76,$D$64,$D$65,$D$66,$D$67,$D$68,$D$69,$D$70,$D$71,$D$72,$D$73,$D$74,$D$75,$C$56,$C$57,$C$58,$C$59,$C$60),"")</f>
        <v>-196905.38956917502</v>
      </c>
      <c r="P78" s="255">
        <f ca="1">IF(NOW(),_xll.mirSwapPV($C$51,$C$52,$C$54,$G53,$C$55,$I53,$C$64,$C$65,$C$66,$C$67,$C$68,$C$69,$C$70,$C$74,$C$75,$D$63+P$76,$D$64,$D$65,$D$66,$D$67,$D$68,$D$69,$D$70,$D$71,$D$72,$D$73,$D$74,$D$75,$C$56,$C$57,$C$58,$C$59,$C$60),"")</f>
        <v>-147679.04217688134</v>
      </c>
      <c r="Q78" s="255">
        <f ca="1">IF(NOW(),_xll.mirSwapPV($C$51,$C$52,$C$54,$G53,$C$55,$I53,$C$64,$C$65,$C$66,$C$67,$C$68,$C$69,$C$70,$C$74,$C$75,$D$63+Q$76,$D$64,$D$65,$D$66,$D$67,$D$68,$D$69,$D$70,$D$71,$D$72,$D$73,$D$74,$D$75,$C$56,$C$57,$C$58,$C$59,$C$60),"")</f>
        <v>-98452.694784587467</v>
      </c>
      <c r="R78" s="255">
        <f ca="1">IF(NOW(),_xll.mirSwapPV($C$51,$C$52,$C$54,$G53,$C$55,$I53,$C$64,$C$65,$C$66,$C$67,$C$68,$C$69,$C$70,$C$74,$C$75,$D$63+R$76,$D$64,$D$65,$D$66,$D$67,$D$68,$D$69,$D$70,$D$71,$D$72,$D$73,$D$74,$D$75,$C$56,$C$57,$C$58,$C$59,$C$60),"")</f>
        <v>-49226.347392293741</v>
      </c>
      <c r="S78" s="255">
        <f ca="1">IF(NOW(),_xll.mirSwapPV($C$51,$C$52,$C$54,$G53,$C$55,$I53,$C$64,$C$65,$C$66,$C$67,$C$68,$C$69,$C$70,$C$74,$C$75,$D$63+S$76,$D$64,$D$65,$D$66,$D$67,$D$68,$D$69,$D$70,$D$71,$D$72,$D$73,$D$74,$D$75,$C$56,$C$57,$C$58,$C$59,$C$60),"")</f>
        <v>1.3877787807814457E-11</v>
      </c>
      <c r="T78" s="255">
        <f ca="1">IF(NOW(),_xll.mirSwapPV($C$51,$C$52,$C$54,$G53,$C$55,$I53,$C$64,$C$65,$C$66,$C$67,$C$68,$C$69,$C$70,$C$74,$C$75,$D$63+T$76,$D$64,$D$65,$D$66,$D$67,$D$68,$D$69,$D$70,$D$71,$D$72,$D$73,$D$74,$D$75,$C$56,$C$57,$C$58,$C$59,$C$60),"")</f>
        <v>49226.347392293777</v>
      </c>
      <c r="U78" s="255">
        <f ca="1">IF(NOW(),_xll.mirSwapPV($C$51,$C$52,$C$54,$G53,$C$55,$I53,$C$64,$C$65,$C$66,$C$67,$C$68,$C$69,$C$70,$C$74,$C$75,$D$63+U$76,$D$64,$D$65,$D$66,$D$67,$D$68,$D$69,$D$70,$D$71,$D$72,$D$73,$D$74,$D$75,$C$56,$C$57,$C$58,$C$59,$C$60),"")</f>
        <v>98452.69478458754</v>
      </c>
      <c r="V78" s="255">
        <f ca="1">IF(NOW(),_xll.mirSwapPV($C$51,$C$52,$C$54,$G53,$C$55,$I53,$C$64,$C$65,$C$66,$C$67,$C$68,$C$69,$C$70,$C$74,$C$75,$D$63+V$76,$D$64,$D$65,$D$66,$D$67,$D$68,$D$69,$D$70,$D$71,$D$72,$D$73,$D$74,$D$75,$C$56,$C$57,$C$58,$C$59,$C$60),"")</f>
        <v>147679.04217688134</v>
      </c>
      <c r="W78" s="255">
        <f ca="1">IF(NOW(),_xll.mirSwapPV($C$51,$C$52,$C$54,$G53,$C$55,$I53,$C$64,$C$65,$C$66,$C$67,$C$68,$C$69,$C$70,$C$74,$C$75,$D$63+W$76,$D$64,$D$65,$D$66,$D$67,$D$68,$D$69,$D$70,$D$71,$D$72,$D$73,$D$74,$D$75,$C$56,$C$57,$C$58,$C$59,$C$60),"")</f>
        <v>196905.38956917508</v>
      </c>
      <c r="X78" s="255">
        <f ca="1">IF(NOW(),_xll.mirSwapPV($C$51,$C$52,$C$54,$G53,$C$55,$I53,$C$64,$C$65,$C$66,$C$67,$C$68,$C$69,$C$70,$C$74,$C$75,$D$63+X$76,$D$64,$D$65,$D$66,$D$67,$D$68,$D$69,$D$70,$D$71,$D$72,$D$73,$D$74,$D$75,$C$56,$C$57,$C$58,$C$59,$C$60),"")</f>
        <v>246131.73696146885</v>
      </c>
      <c r="Y78" s="229"/>
      <c r="AG78" s="224" t="s">
        <v>33</v>
      </c>
      <c r="AH78" s="255">
        <f ca="1">IF(NOW(),_xll.mirSwapPV($C$51,$C$52,$C$54,$AA53,$C$55,$AC53,$C$64,$C$65,$C$66,$C$67,$C$68,$C$69,$C$70,$C$74,$C$75,$D$63+AH$76,$D$64,$D$65,$D$66,$D$67,$D$68,$D$69,$D$70,$D$71,$D$72,$D$73,$D$74,$D$75,$C$56,$C$57,$C$58,$D$59,$C$60),"")</f>
        <v>-246131.73696146879</v>
      </c>
      <c r="AI78" s="255">
        <f ca="1">IF(NOW(),_xll.mirSwapPV($C$51,$C$52,$C$54,$AA53,$C$55,$AC53,$C$64,$C$65,$C$66,$C$67,$C$68,$C$69,$C$70,$C$74,$C$75,$D$63+AI$76,$D$64,$D$65,$D$66,$D$67,$D$68,$D$69,$D$70,$D$71,$D$72,$D$73,$D$74,$D$75,$C$56,$C$57,$C$58,$D$59,$C$60),"")</f>
        <v>-196905.38956917508</v>
      </c>
      <c r="AJ78" s="255">
        <f ca="1">IF(NOW(),_xll.mirSwapPV($C$51,$C$52,$C$54,$AA53,$C$55,$AC53,$C$64,$C$65,$C$66,$C$67,$C$68,$C$69,$C$70,$C$74,$C$75,$D$63+AJ$76,$D$64,$D$65,$D$66,$D$67,$D$68,$D$69,$D$70,$D$71,$D$72,$D$73,$D$74,$D$75,$C$56,$C$57,$C$58,$D$59,$C$60),"")</f>
        <v>-147679.04217688134</v>
      </c>
      <c r="AK78" s="255">
        <f ca="1">IF(NOW(),_xll.mirSwapPV($C$51,$C$52,$C$54,$AA53,$C$55,$AC53,$C$64,$C$65,$C$66,$C$67,$C$68,$C$69,$C$70,$C$74,$C$75,$D$63+AK$76,$D$64,$D$65,$D$66,$D$67,$D$68,$D$69,$D$70,$D$71,$D$72,$D$73,$D$74,$D$75,$C$56,$C$57,$C$58,$D$59,$C$60),"")</f>
        <v>-98452.694784587526</v>
      </c>
      <c r="AL78" s="255">
        <f ca="1">IF(NOW(),_xll.mirSwapPV($C$51,$C$52,$C$54,$AA53,$C$55,$AC53,$C$64,$C$65,$C$66,$C$67,$C$68,$C$69,$C$70,$C$74,$C$75,$D$63+AL$76,$D$64,$D$65,$D$66,$D$67,$D$68,$D$69,$D$70,$D$71,$D$72,$D$73,$D$74,$D$75,$C$56,$C$57,$C$58,$D$59,$C$60),"")</f>
        <v>-49226.34739229377</v>
      </c>
      <c r="AM78" s="255">
        <f ca="1">IF(NOW(),_xll.mirSwapPV($C$51,$C$52,$C$54,$AA53,$C$55,$AC53,$C$64,$C$65,$C$66,$C$67,$C$68,$C$69,$C$70,$C$74,$C$75,$D$63+AM$76,$D$64,$D$65,$D$66,$D$67,$D$68,$D$69,$D$70,$D$71,$D$72,$D$73,$D$74,$D$75,$C$56,$C$57,$C$58,$D$59,$C$60),"")</f>
        <v>0</v>
      </c>
      <c r="AN78" s="255">
        <f ca="1">IF(NOW(),_xll.mirSwapPV($C$51,$C$52,$C$54,$AA53,$C$55,$AC53,$C$64,$C$65,$C$66,$C$67,$C$68,$C$69,$C$70,$C$74,$C$75,$D$63+AN$76,$D$64,$D$65,$D$66,$D$67,$D$68,$D$69,$D$70,$D$71,$D$72,$D$73,$D$74,$D$75,$C$56,$C$57,$C$58,$D$59,$C$60),"")</f>
        <v>49226.347392293763</v>
      </c>
      <c r="AO78" s="255">
        <f ca="1">IF(NOW(),_xll.mirSwapPV($C$51,$C$52,$C$54,$AA53,$C$55,$AC53,$C$64,$C$65,$C$66,$C$67,$C$68,$C$69,$C$70,$C$74,$C$75,$D$63+AO$76,$D$64,$D$65,$D$66,$D$67,$D$68,$D$69,$D$70,$D$71,$D$72,$D$73,$D$74,$D$75,$C$56,$C$57,$C$58,$D$59,$C$60),"")</f>
        <v>98452.694784587526</v>
      </c>
      <c r="AP78" s="255">
        <f ca="1">IF(NOW(),_xll.mirSwapPV($C$51,$C$52,$C$54,$AA53,$C$55,$AC53,$C$64,$C$65,$C$66,$C$67,$C$68,$C$69,$C$70,$C$74,$C$75,$D$63+AP$76,$D$64,$D$65,$D$66,$D$67,$D$68,$D$69,$D$70,$D$71,$D$72,$D$73,$D$74,$D$75,$C$56,$C$57,$C$58,$D$59,$C$60),"")</f>
        <v>147679.04217688128</v>
      </c>
      <c r="AQ78" s="255">
        <f ca="1">IF(NOW(),_xll.mirSwapPV($C$51,$C$52,$C$54,$AA53,$C$55,$AC53,$C$64,$C$65,$C$66,$C$67,$C$68,$C$69,$C$70,$C$74,$C$75,$D$63+AQ$76,$D$64,$D$65,$D$66,$D$67,$D$68,$D$69,$D$70,$D$71,$D$72,$D$73,$D$74,$D$75,$C$56,$C$57,$C$58,$D$59,$C$60),"")</f>
        <v>196905.38956917502</v>
      </c>
      <c r="AR78" s="255">
        <f ca="1">IF(NOW(),_xll.mirSwapPV($C$51,$C$52,$C$54,$AA53,$C$55,$AC53,$C$64,$C$65,$C$66,$C$67,$C$68,$C$69,$C$70,$C$74,$C$75,$D$63+AR$76,$D$64,$D$65,$D$66,$D$67,$D$68,$D$69,$D$70,$D$71,$D$72,$D$73,$D$74,$D$75,$C$56,$C$57,$C$58,$D$59,$C$60),"")</f>
        <v>246131.73696146885</v>
      </c>
    </row>
    <row r="79" spans="2:44">
      <c r="F79" s="230"/>
      <c r="G79" s="227"/>
      <c r="H79" s="229"/>
      <c r="I79" s="229"/>
      <c r="J79" s="229"/>
      <c r="K79" s="230"/>
      <c r="L79" s="230"/>
      <c r="M79" s="224" t="s">
        <v>131</v>
      </c>
      <c r="N79" s="255">
        <f ca="1">IF(NOW(),_xll.mirSwapPV($C$51,$C$52,$C$54,$G54,$C$55,$I54,$C$64,$C$65,$C$66,$C$67,$C$68,$C$69,$C$70,$C$74,$C$75,$D$63+N$76,$D$64,$D$65,$D$66,$D$67,$D$68,$D$69,$D$70,$D$71,$D$72,$D$73,$D$74,$D$75,$C$56,$C$57,$C$58,$C$59,$C$60),"")</f>
        <v>-292058.13024354144</v>
      </c>
      <c r="O79" s="255">
        <f ca="1">IF(NOW(),_xll.mirSwapPV($C$51,$C$52,$C$54,$G54,$C$55,$I54,$C$64,$C$65,$C$66,$C$67,$C$68,$C$69,$C$70,$C$74,$C$75,$D$63+O$76,$D$64,$D$65,$D$66,$D$67,$D$68,$D$69,$D$70,$D$71,$D$72,$D$73,$D$74,$D$75,$C$56,$C$57,$C$58,$C$59,$C$60),"")</f>
        <v>-233646.50419483325</v>
      </c>
      <c r="P79" s="255">
        <f ca="1">IF(NOW(),_xll.mirSwapPV($C$51,$C$52,$C$54,$G54,$C$55,$I54,$C$64,$C$65,$C$66,$C$67,$C$68,$C$69,$C$70,$C$74,$C$75,$D$63+P$76,$D$64,$D$65,$D$66,$D$67,$D$68,$D$69,$D$70,$D$71,$D$72,$D$73,$D$74,$D$75,$C$56,$C$57,$C$58,$C$59,$C$60),"")</f>
        <v>-175234.87814612495</v>
      </c>
      <c r="Q79" s="255">
        <f ca="1">IF(NOW(),_xll.mirSwapPV($C$51,$C$52,$C$54,$G54,$C$55,$I54,$C$64,$C$65,$C$66,$C$67,$C$68,$C$69,$C$70,$C$74,$C$75,$D$63+Q$76,$D$64,$D$65,$D$66,$D$67,$D$68,$D$69,$D$70,$D$71,$D$72,$D$73,$D$74,$D$75,$C$56,$C$57,$C$58,$C$59,$C$60),"")</f>
        <v>-116823.2520974166</v>
      </c>
      <c r="R79" s="255">
        <f ca="1">IF(NOW(),_xll.mirSwapPV($C$51,$C$52,$C$54,$G54,$C$55,$I54,$C$64,$C$65,$C$66,$C$67,$C$68,$C$69,$C$70,$C$74,$C$75,$D$63+R$76,$D$64,$D$65,$D$66,$D$67,$D$68,$D$69,$D$70,$D$71,$D$72,$D$73,$D$74,$D$75,$C$56,$C$57,$C$58,$C$59,$C$60),"")</f>
        <v>-58411.626048708313</v>
      </c>
      <c r="S79" s="255">
        <f ca="1">IF(NOW(),_xll.mirSwapPV($C$51,$C$52,$C$54,$G54,$C$55,$I54,$C$64,$C$65,$C$66,$C$67,$C$68,$C$69,$C$70,$C$74,$C$75,$D$63+S$76,$D$64,$D$65,$D$66,$D$67,$D$68,$D$69,$D$70,$D$71,$D$72,$D$73,$D$74,$D$75,$C$56,$C$57,$C$58,$C$59,$C$60),"")</f>
        <v>-1.3877787807814457E-11</v>
      </c>
      <c r="T79" s="255">
        <f ca="1">IF(NOW(),_xll.mirSwapPV($C$51,$C$52,$C$54,$G54,$C$55,$I54,$C$64,$C$65,$C$66,$C$67,$C$68,$C$69,$C$70,$C$74,$C$75,$D$63+T$76,$D$64,$D$65,$D$66,$D$67,$D$68,$D$69,$D$70,$D$71,$D$72,$D$73,$D$74,$D$75,$C$56,$C$57,$C$58,$C$59,$C$60),"")</f>
        <v>58411.626048708284</v>
      </c>
      <c r="U79" s="255">
        <f ca="1">IF(NOW(),_xll.mirSwapPV($C$51,$C$52,$C$54,$G54,$C$55,$I54,$C$64,$C$65,$C$66,$C$67,$C$68,$C$69,$C$70,$C$74,$C$75,$D$63+U$76,$D$64,$D$65,$D$66,$D$67,$D$68,$D$69,$D$70,$D$71,$D$72,$D$73,$D$74,$D$75,$C$56,$C$57,$C$58,$C$59,$C$60),"")</f>
        <v>116823.25209741658</v>
      </c>
      <c r="V79" s="255">
        <f ca="1">IF(NOW(),_xll.mirSwapPV($C$51,$C$52,$C$54,$G54,$C$55,$I54,$C$64,$C$65,$C$66,$C$67,$C$68,$C$69,$C$70,$C$74,$C$75,$D$63+V$76,$D$64,$D$65,$D$66,$D$67,$D$68,$D$69,$D$70,$D$71,$D$72,$D$73,$D$74,$D$75,$C$56,$C$57,$C$58,$C$59,$C$60),"")</f>
        <v>175234.87814612489</v>
      </c>
      <c r="W79" s="255">
        <f ca="1">IF(NOW(),_xll.mirSwapPV($C$51,$C$52,$C$54,$G54,$C$55,$I54,$C$64,$C$65,$C$66,$C$67,$C$68,$C$69,$C$70,$C$74,$C$75,$D$63+W$76,$D$64,$D$65,$D$66,$D$67,$D$68,$D$69,$D$70,$D$71,$D$72,$D$73,$D$74,$D$75,$C$56,$C$57,$C$58,$C$59,$C$60),"")</f>
        <v>233646.50419483319</v>
      </c>
      <c r="X79" s="255">
        <f ca="1">IF(NOW(),_xll.mirSwapPV($C$51,$C$52,$C$54,$G54,$C$55,$I54,$C$64,$C$65,$C$66,$C$67,$C$68,$C$69,$C$70,$C$74,$C$75,$D$63+X$76,$D$64,$D$65,$D$66,$D$67,$D$68,$D$69,$D$70,$D$71,$D$72,$D$73,$D$74,$D$75,$C$56,$C$57,$C$58,$C$59,$C$60),"")</f>
        <v>292058.13024354156</v>
      </c>
      <c r="Y79" s="229"/>
      <c r="AG79" s="224" t="s">
        <v>131</v>
      </c>
      <c r="AH79" s="255">
        <f ca="1">IF(NOW(),_xll.mirSwapPV($C$51,$C$52,$C$54,$AA54,$C$55,$AC54,$C$64,$C$65,$C$66,$C$67,$C$68,$C$69,$C$70,$C$74,$C$75,$D$63+AH$76,$D$64,$D$65,$D$66,$D$67,$D$68,$D$69,$D$70,$D$71,$D$72,$D$73,$D$74,$D$75,$C$56,$C$57,$C$58,$D$59,$C$60),"")</f>
        <v>-292058.13024354144</v>
      </c>
      <c r="AI79" s="255">
        <f ca="1">IF(NOW(),_xll.mirSwapPV($C$51,$C$52,$C$54,$AA54,$C$55,$AC54,$C$64,$C$65,$C$66,$C$67,$C$68,$C$69,$C$70,$C$74,$C$75,$D$63+AI$76,$D$64,$D$65,$D$66,$D$67,$D$68,$D$69,$D$70,$D$71,$D$72,$D$73,$D$74,$D$75,$C$56,$C$57,$C$58,$D$59,$C$60),"")</f>
        <v>-233646.50419483319</v>
      </c>
      <c r="AJ79" s="255">
        <f ca="1">IF(NOW(),_xll.mirSwapPV($C$51,$C$52,$C$54,$AA54,$C$55,$AC54,$C$64,$C$65,$C$66,$C$67,$C$68,$C$69,$C$70,$C$74,$C$75,$D$63+AJ$76,$D$64,$D$65,$D$66,$D$67,$D$68,$D$69,$D$70,$D$71,$D$72,$D$73,$D$74,$D$75,$C$56,$C$57,$C$58,$D$59,$C$60),"")</f>
        <v>-175234.87814612489</v>
      </c>
      <c r="AK79" s="255">
        <f ca="1">IF(NOW(),_xll.mirSwapPV($C$51,$C$52,$C$54,$AA54,$C$55,$AC54,$C$64,$C$65,$C$66,$C$67,$C$68,$C$69,$C$70,$C$74,$C$75,$D$63+AK$76,$D$64,$D$65,$D$66,$D$67,$D$68,$D$69,$D$70,$D$71,$D$72,$D$73,$D$74,$D$75,$C$56,$C$57,$C$58,$D$59,$C$60),"")</f>
        <v>-116823.25209741658</v>
      </c>
      <c r="AL79" s="255">
        <f ca="1">IF(NOW(),_xll.mirSwapPV($C$51,$C$52,$C$54,$AA54,$C$55,$AC54,$C$64,$C$65,$C$66,$C$67,$C$68,$C$69,$C$70,$C$74,$C$75,$D$63+AL$76,$D$64,$D$65,$D$66,$D$67,$D$68,$D$69,$D$70,$D$71,$D$72,$D$73,$D$74,$D$75,$C$56,$C$57,$C$58,$D$59,$C$60),"")</f>
        <v>-58411.626048708298</v>
      </c>
      <c r="AM79" s="255">
        <f ca="1">IF(NOW(),_xll.mirSwapPV($C$51,$C$52,$C$54,$AA54,$C$55,$AC54,$C$64,$C$65,$C$66,$C$67,$C$68,$C$69,$C$70,$C$74,$C$75,$D$63+AM$76,$D$64,$D$65,$D$66,$D$67,$D$68,$D$69,$D$70,$D$71,$D$72,$D$73,$D$74,$D$75,$C$56,$C$57,$C$58,$D$59,$C$60),"")</f>
        <v>0</v>
      </c>
      <c r="AN79" s="255">
        <f ca="1">IF(NOW(),_xll.mirSwapPV($C$51,$C$52,$C$54,$AA54,$C$55,$AC54,$C$64,$C$65,$C$66,$C$67,$C$68,$C$69,$C$70,$C$74,$C$75,$D$63+AN$76,$D$64,$D$65,$D$66,$D$67,$D$68,$D$69,$D$70,$D$71,$D$72,$D$73,$D$74,$D$75,$C$56,$C$57,$C$58,$D$59,$C$60),"")</f>
        <v>58411.626048708298</v>
      </c>
      <c r="AO79" s="255">
        <f ca="1">IF(NOW(),_xll.mirSwapPV($C$51,$C$52,$C$54,$AA54,$C$55,$AC54,$C$64,$C$65,$C$66,$C$67,$C$68,$C$69,$C$70,$C$74,$C$75,$D$63+AO$76,$D$64,$D$65,$D$66,$D$67,$D$68,$D$69,$D$70,$D$71,$D$72,$D$73,$D$74,$D$75,$C$56,$C$57,$C$58,$D$59,$C$60),"")</f>
        <v>116823.2520974166</v>
      </c>
      <c r="AP79" s="255">
        <f ca="1">IF(NOW(),_xll.mirSwapPV($C$51,$C$52,$C$54,$AA54,$C$55,$AC54,$C$64,$C$65,$C$66,$C$67,$C$68,$C$69,$C$70,$C$74,$C$75,$D$63+AP$76,$D$64,$D$65,$D$66,$D$67,$D$68,$D$69,$D$70,$D$71,$D$72,$D$73,$D$74,$D$75,$C$56,$C$57,$C$58,$D$59,$C$60),"")</f>
        <v>175234.87814612489</v>
      </c>
      <c r="AQ79" s="255">
        <f ca="1">IF(NOW(),_xll.mirSwapPV($C$51,$C$52,$C$54,$AA54,$C$55,$AC54,$C$64,$C$65,$C$66,$C$67,$C$68,$C$69,$C$70,$C$74,$C$75,$D$63+AQ$76,$D$64,$D$65,$D$66,$D$67,$D$68,$D$69,$D$70,$D$71,$D$72,$D$73,$D$74,$D$75,$C$56,$C$57,$C$58,$D$59,$C$60),"")</f>
        <v>233646.50419483319</v>
      </c>
      <c r="AR79" s="255">
        <f ca="1">IF(NOW(),_xll.mirSwapPV($C$51,$C$52,$C$54,$AA54,$C$55,$AC54,$C$64,$C$65,$C$66,$C$67,$C$68,$C$69,$C$70,$C$74,$C$75,$D$63+AR$76,$D$64,$D$65,$D$66,$D$67,$D$68,$D$69,$D$70,$D$71,$D$72,$D$73,$D$74,$D$75,$C$56,$C$57,$C$58,$D$59,$C$60),"")</f>
        <v>292058.1302435415</v>
      </c>
    </row>
    <row r="80" spans="2:44">
      <c r="F80" s="230"/>
      <c r="G80" s="227"/>
      <c r="H80" s="229"/>
      <c r="I80" s="229"/>
      <c r="J80" s="229"/>
      <c r="K80" s="230"/>
      <c r="L80" s="230"/>
      <c r="M80" s="224" t="s">
        <v>31</v>
      </c>
      <c r="N80" s="255">
        <f ca="1">IF(NOW(),_xll.mirSwapPV($C$51,$C$52,$C$54,$G55,$C$55,$I55,$C$64,$C$65,$C$66,$C$67,$C$68,$C$69,$C$70,$C$74,$C$75,$D$63+N$76,$D$64,$D$65,$D$66,$D$67,$D$68,$D$69,$D$70,$D$71,$D$72,$D$73,$D$74,$D$75,$C$56,$C$57,$C$58,$C$59,$C$60),"")</f>
        <v>-336636.27902883606</v>
      </c>
      <c r="O80" s="255">
        <f ca="1">IF(NOW(),_xll.mirSwapPV($C$51,$C$52,$C$54,$G55,$C$55,$I55,$C$64,$C$65,$C$66,$C$67,$C$68,$C$69,$C$70,$C$74,$C$75,$D$63+O$76,$D$64,$D$65,$D$66,$D$67,$D$68,$D$69,$D$70,$D$71,$D$72,$D$73,$D$74,$D$75,$C$56,$C$57,$C$58,$C$59,$C$60),"")</f>
        <v>-269309.02322306891</v>
      </c>
      <c r="P80" s="255">
        <f ca="1">IF(NOW(),_xll.mirSwapPV($C$51,$C$52,$C$54,$G55,$C$55,$I55,$C$64,$C$65,$C$66,$C$67,$C$68,$C$69,$C$70,$C$74,$C$75,$D$63+P$76,$D$64,$D$65,$D$66,$D$67,$D$68,$D$69,$D$70,$D$71,$D$72,$D$73,$D$74,$D$75,$C$56,$C$57,$C$58,$C$59,$C$60),"")</f>
        <v>-201981.76741730174</v>
      </c>
      <c r="Q80" s="255">
        <f ca="1">IF(NOW(),_xll.mirSwapPV($C$51,$C$52,$C$54,$G55,$C$55,$I55,$C$64,$C$65,$C$66,$C$67,$C$68,$C$69,$C$70,$C$74,$C$75,$D$63+Q$76,$D$64,$D$65,$D$66,$D$67,$D$68,$D$69,$D$70,$D$71,$D$72,$D$73,$D$74,$D$75,$C$56,$C$57,$C$58,$C$59,$C$60),"")</f>
        <v>-134654.51161153449</v>
      </c>
      <c r="R80" s="255">
        <f ca="1">IF(NOW(),_xll.mirSwapPV($C$51,$C$52,$C$54,$G55,$C$55,$I55,$C$64,$C$65,$C$66,$C$67,$C$68,$C$69,$C$70,$C$74,$C$75,$D$63+R$76,$D$64,$D$65,$D$66,$D$67,$D$68,$D$69,$D$70,$D$71,$D$72,$D$73,$D$74,$D$75,$C$56,$C$57,$C$58,$C$59,$C$60),"")</f>
        <v>-67327.255805767229</v>
      </c>
      <c r="S80" s="255">
        <f ca="1">IF(NOW(),_xll.mirSwapPV($C$51,$C$52,$C$54,$G55,$C$55,$I55,$C$64,$C$65,$C$66,$C$67,$C$68,$C$69,$C$70,$C$74,$C$75,$D$63+S$76,$D$64,$D$65,$D$66,$D$67,$D$68,$D$69,$D$70,$D$71,$D$72,$D$73,$D$74,$D$75,$C$56,$C$57,$C$58,$C$59,$C$60),"")</f>
        <v>0</v>
      </c>
      <c r="T80" s="255">
        <f ca="1">IF(NOW(),_xll.mirSwapPV($C$51,$C$52,$C$54,$G55,$C$55,$I55,$C$64,$C$65,$C$66,$C$67,$C$68,$C$69,$C$70,$C$74,$C$75,$D$63+T$76,$D$64,$D$65,$D$66,$D$67,$D$68,$D$69,$D$70,$D$71,$D$72,$D$73,$D$74,$D$75,$C$56,$C$57,$C$58,$C$59,$C$60),"")</f>
        <v>67327.255805767243</v>
      </c>
      <c r="U80" s="255">
        <f ca="1">IF(NOW(),_xll.mirSwapPV($C$51,$C$52,$C$54,$G55,$C$55,$I55,$C$64,$C$65,$C$66,$C$67,$C$68,$C$69,$C$70,$C$74,$C$75,$D$63+U$76,$D$64,$D$65,$D$66,$D$67,$D$68,$D$69,$D$70,$D$71,$D$72,$D$73,$D$74,$D$75,$C$56,$C$57,$C$58,$C$59,$C$60),"")</f>
        <v>134654.51161153449</v>
      </c>
      <c r="V80" s="255">
        <f ca="1">IF(NOW(),_xll.mirSwapPV($C$51,$C$52,$C$54,$G55,$C$55,$I55,$C$64,$C$65,$C$66,$C$67,$C$68,$C$69,$C$70,$C$74,$C$75,$D$63+V$76,$D$64,$D$65,$D$66,$D$67,$D$68,$D$69,$D$70,$D$71,$D$72,$D$73,$D$74,$D$75,$C$56,$C$57,$C$58,$C$59,$C$60),"")</f>
        <v>201981.76741730174</v>
      </c>
      <c r="W80" s="255">
        <f ca="1">IF(NOW(),_xll.mirSwapPV($C$51,$C$52,$C$54,$G55,$C$55,$I55,$C$64,$C$65,$C$66,$C$67,$C$68,$C$69,$C$70,$C$74,$C$75,$D$63+W$76,$D$64,$D$65,$D$66,$D$67,$D$68,$D$69,$D$70,$D$71,$D$72,$D$73,$D$74,$D$75,$C$56,$C$57,$C$58,$C$59,$C$60),"")</f>
        <v>269309.02322306897</v>
      </c>
      <c r="X80" s="255">
        <f ca="1">IF(NOW(),_xll.mirSwapPV($C$51,$C$52,$C$54,$G55,$C$55,$I55,$C$64,$C$65,$C$66,$C$67,$C$68,$C$69,$C$70,$C$74,$C$75,$D$63+X$76,$D$64,$D$65,$D$66,$D$67,$D$68,$D$69,$D$70,$D$71,$D$72,$D$73,$D$74,$D$75,$C$56,$C$57,$C$58,$C$59,$C$60),"")</f>
        <v>336636.27902883629</v>
      </c>
      <c r="Y80" s="229"/>
      <c r="AE80" s="252"/>
      <c r="AG80" s="224" t="s">
        <v>31</v>
      </c>
      <c r="AH80" s="255">
        <f ca="1">IF(NOW(),_xll.mirSwapPV($C$51,$C$52,$C$54,$AA55,$C$55,$AC55,$C$64,$C$65,$C$66,$C$67,$C$68,$C$69,$C$70,$C$74,$C$75,$D$63+AH$76,$D$64,$D$65,$D$66,$D$67,$D$68,$D$69,$D$70,$D$71,$D$72,$D$73,$D$74,$D$75,$C$56,$C$57,$C$58,$D$59,$C$60),"")</f>
        <v>-336636.27902883617</v>
      </c>
      <c r="AI80" s="255">
        <f ca="1">IF(NOW(),_xll.mirSwapPV($C$51,$C$52,$C$54,$AA55,$C$55,$AC55,$C$64,$C$65,$C$66,$C$67,$C$68,$C$69,$C$70,$C$74,$C$75,$D$63+AI$76,$D$64,$D$65,$D$66,$D$67,$D$68,$D$69,$D$70,$D$71,$D$72,$D$73,$D$74,$D$75,$C$56,$C$57,$C$58,$D$59,$C$60),"")</f>
        <v>-269309.02322306897</v>
      </c>
      <c r="AJ80" s="255">
        <f ca="1">IF(NOW(),_xll.mirSwapPV($C$51,$C$52,$C$54,$AA55,$C$55,$AC55,$C$64,$C$65,$C$66,$C$67,$C$68,$C$69,$C$70,$C$74,$C$75,$D$63+AJ$76,$D$64,$D$65,$D$66,$D$67,$D$68,$D$69,$D$70,$D$71,$D$72,$D$73,$D$74,$D$75,$C$56,$C$57,$C$58,$D$59,$C$60),"")</f>
        <v>-201981.76741730169</v>
      </c>
      <c r="AK80" s="255">
        <f ca="1">IF(NOW(),_xll.mirSwapPV($C$51,$C$52,$C$54,$AA55,$C$55,$AC55,$C$64,$C$65,$C$66,$C$67,$C$68,$C$69,$C$70,$C$74,$C$75,$D$63+AK$76,$D$64,$D$65,$D$66,$D$67,$D$68,$D$69,$D$70,$D$71,$D$72,$D$73,$D$74,$D$75,$C$56,$C$57,$C$58,$D$59,$C$60),"")</f>
        <v>-134654.5116115344</v>
      </c>
      <c r="AL80" s="255">
        <f ca="1">IF(NOW(),_xll.mirSwapPV($C$51,$C$52,$C$54,$AA55,$C$55,$AC55,$C$64,$C$65,$C$66,$C$67,$C$68,$C$69,$C$70,$C$74,$C$75,$D$63+AL$76,$D$64,$D$65,$D$66,$D$67,$D$68,$D$69,$D$70,$D$71,$D$72,$D$73,$D$74,$D$75,$C$56,$C$57,$C$58,$D$59,$C$60),"")</f>
        <v>-67327.255805767229</v>
      </c>
      <c r="AM80" s="255">
        <f ca="1">IF(NOW(),_xll.mirSwapPV($C$51,$C$52,$C$54,$AA55,$C$55,$AC55,$C$64,$C$65,$C$66,$C$67,$C$68,$C$69,$C$70,$C$74,$C$75,$D$63+AM$76,$D$64,$D$65,$D$66,$D$67,$D$68,$D$69,$D$70,$D$71,$D$72,$D$73,$D$74,$D$75,$C$56,$C$57,$C$58,$D$59,$C$60),"")</f>
        <v>0</v>
      </c>
      <c r="AN80" s="255">
        <f ca="1">IF(NOW(),_xll.mirSwapPV($C$51,$C$52,$C$54,$AA55,$C$55,$AC55,$C$64,$C$65,$C$66,$C$67,$C$68,$C$69,$C$70,$C$74,$C$75,$D$63+AN$76,$D$64,$D$65,$D$66,$D$67,$D$68,$D$69,$D$70,$D$71,$D$72,$D$73,$D$74,$D$75,$C$56,$C$57,$C$58,$D$59,$C$60),"")</f>
        <v>67327.255805767258</v>
      </c>
      <c r="AO80" s="255">
        <f ca="1">IF(NOW(),_xll.mirSwapPV($C$51,$C$52,$C$54,$AA55,$C$55,$AC55,$C$64,$C$65,$C$66,$C$67,$C$68,$C$69,$C$70,$C$74,$C$75,$D$63+AO$76,$D$64,$D$65,$D$66,$D$67,$D$68,$D$69,$D$70,$D$71,$D$72,$D$73,$D$74,$D$75,$C$56,$C$57,$C$58,$D$59,$C$60),"")</f>
        <v>134654.51161153449</v>
      </c>
      <c r="AP80" s="255">
        <f ca="1">IF(NOW(),_xll.mirSwapPV($C$51,$C$52,$C$54,$AA55,$C$55,$AC55,$C$64,$C$65,$C$66,$C$67,$C$68,$C$69,$C$70,$C$74,$C$75,$D$63+AP$76,$D$64,$D$65,$D$66,$D$67,$D$68,$D$69,$D$70,$D$71,$D$72,$D$73,$D$74,$D$75,$C$56,$C$57,$C$58,$D$59,$C$60),"")</f>
        <v>201981.76741730171</v>
      </c>
      <c r="AQ80" s="255">
        <f ca="1">IF(NOW(),_xll.mirSwapPV($C$51,$C$52,$C$54,$AA55,$C$55,$AC55,$C$64,$C$65,$C$66,$C$67,$C$68,$C$69,$C$70,$C$74,$C$75,$D$63+AQ$76,$D$64,$D$65,$D$66,$D$67,$D$68,$D$69,$D$70,$D$71,$D$72,$D$73,$D$74,$D$75,$C$56,$C$57,$C$58,$D$59,$C$60),"")</f>
        <v>269309.02322306891</v>
      </c>
      <c r="AR80" s="255">
        <f ca="1">IF(NOW(),_xll.mirSwapPV($C$51,$C$52,$C$54,$AA55,$C$55,$AC55,$C$64,$C$65,$C$66,$C$67,$C$68,$C$69,$C$70,$C$74,$C$75,$D$63+AR$76,$D$64,$D$65,$D$66,$D$67,$D$68,$D$69,$D$70,$D$71,$D$72,$D$73,$D$74,$D$75,$C$56,$C$57,$C$58,$D$59,$C$60),"")</f>
        <v>336636.27902883617</v>
      </c>
    </row>
    <row r="81" spans="6:44">
      <c r="F81" s="230"/>
      <c r="G81" s="227"/>
      <c r="H81" s="229"/>
      <c r="I81" s="229"/>
      <c r="J81" s="229"/>
      <c r="K81" s="230"/>
      <c r="L81" s="230"/>
      <c r="M81" s="224" t="s">
        <v>119</v>
      </c>
      <c r="N81" s="255">
        <f ca="1">IF(NOW(),_xll.mirSwapPV($C$51,$C$52,$C$54,$G56,$C$55,$I56,$C$64,$C$65,$C$66,$C$67,$C$68,$C$69,$C$70,$C$74,$C$75,$D$63+N$76,$D$64,$D$65,$D$66,$D$67,$D$68,$D$69,$D$70,$D$71,$D$72,$D$73,$D$74,$D$75,$C$56,$C$57,$C$58,$C$59,$C$60),"")</f>
        <v>-380086.43747963931</v>
      </c>
      <c r="O81" s="255">
        <f ca="1">IF(NOW(),_xll.mirSwapPV($C$51,$C$52,$C$54,$G56,$C$55,$I56,$C$64,$C$65,$C$66,$C$67,$C$68,$C$69,$C$70,$C$74,$C$75,$D$63+O$76,$D$64,$D$65,$D$66,$D$67,$D$68,$D$69,$D$70,$D$71,$D$72,$D$73,$D$74,$D$75,$C$56,$C$57,$C$58,$C$59,$C$60),"")</f>
        <v>-304069.14998371148</v>
      </c>
      <c r="P81" s="255">
        <f ca="1">IF(NOW(),_xll.mirSwapPV($C$51,$C$52,$C$54,$G56,$C$55,$I56,$C$64,$C$65,$C$66,$C$67,$C$68,$C$69,$C$70,$C$74,$C$75,$D$63+P$76,$D$64,$D$65,$D$66,$D$67,$D$68,$D$69,$D$70,$D$71,$D$72,$D$73,$D$74,$D$75,$C$56,$C$57,$C$58,$C$59,$C$60),"")</f>
        <v>-228051.86248778363</v>
      </c>
      <c r="Q81" s="255">
        <f ca="1">IF(NOW(),_xll.mirSwapPV($C$51,$C$52,$C$54,$G56,$C$55,$I56,$C$64,$C$65,$C$66,$C$67,$C$68,$C$69,$C$70,$C$74,$C$75,$D$63+Q$76,$D$64,$D$65,$D$66,$D$67,$D$68,$D$69,$D$70,$D$71,$D$72,$D$73,$D$74,$D$75,$C$56,$C$57,$C$58,$C$59,$C$60),"")</f>
        <v>-152034.57499185577</v>
      </c>
      <c r="R81" s="255">
        <f ca="1">IF(NOW(),_xll.mirSwapPV($C$51,$C$52,$C$54,$G56,$C$55,$I56,$C$64,$C$65,$C$66,$C$67,$C$68,$C$69,$C$70,$C$74,$C$75,$D$63+R$76,$D$64,$D$65,$D$66,$D$67,$D$68,$D$69,$D$70,$D$71,$D$72,$D$73,$D$74,$D$75,$C$56,$C$57,$C$58,$C$59,$C$60),"")</f>
        <v>-76017.287495927871</v>
      </c>
      <c r="S81" s="255">
        <f ca="1">IF(NOW(),_xll.mirSwapPV($C$51,$C$52,$C$54,$G56,$C$55,$I56,$C$64,$C$65,$C$66,$C$67,$C$68,$C$69,$C$70,$C$74,$C$75,$D$63+S$76,$D$64,$D$65,$D$66,$D$67,$D$68,$D$69,$D$70,$D$71,$D$72,$D$73,$D$74,$D$75,$C$56,$C$57,$C$58,$C$59,$C$60),"")</f>
        <v>0</v>
      </c>
      <c r="T81" s="255">
        <f ca="1">IF(NOW(),_xll.mirSwapPV($C$51,$C$52,$C$54,$G56,$C$55,$I56,$C$64,$C$65,$C$66,$C$67,$C$68,$C$69,$C$70,$C$74,$C$75,$D$63+T$76,$D$64,$D$65,$D$66,$D$67,$D$68,$D$69,$D$70,$D$71,$D$72,$D$73,$D$74,$D$75,$C$56,$C$57,$C$58,$C$59,$C$60),"")</f>
        <v>76017.287495927871</v>
      </c>
      <c r="U81" s="255">
        <f ca="1">IF(NOW(),_xll.mirSwapPV($C$51,$C$52,$C$54,$G56,$C$55,$I56,$C$64,$C$65,$C$66,$C$67,$C$68,$C$69,$C$70,$C$74,$C$75,$D$63+U$76,$D$64,$D$65,$D$66,$D$67,$D$68,$D$69,$D$70,$D$71,$D$72,$D$73,$D$74,$D$75,$C$56,$C$57,$C$58,$C$59,$C$60),"")</f>
        <v>152034.57499185571</v>
      </c>
      <c r="V81" s="255">
        <f ca="1">IF(NOW(),_xll.mirSwapPV($C$51,$C$52,$C$54,$G56,$C$55,$I56,$C$64,$C$65,$C$66,$C$67,$C$68,$C$69,$C$70,$C$74,$C$75,$D$63+V$76,$D$64,$D$65,$D$66,$D$67,$D$68,$D$69,$D$70,$D$71,$D$72,$D$73,$D$74,$D$75,$C$56,$C$57,$C$58,$C$59,$C$60),"")</f>
        <v>228051.86248778363</v>
      </c>
      <c r="W81" s="255">
        <f ca="1">IF(NOW(),_xll.mirSwapPV($C$51,$C$52,$C$54,$G56,$C$55,$I56,$C$64,$C$65,$C$66,$C$67,$C$68,$C$69,$C$70,$C$74,$C$75,$D$63+W$76,$D$64,$D$65,$D$66,$D$67,$D$68,$D$69,$D$70,$D$71,$D$72,$D$73,$D$74,$D$75,$C$56,$C$57,$C$58,$C$59,$C$60),"")</f>
        <v>304069.14998371148</v>
      </c>
      <c r="X81" s="255">
        <f ca="1">IF(NOW(),_xll.mirSwapPV($C$51,$C$52,$C$54,$G56,$C$55,$I56,$C$64,$C$65,$C$66,$C$67,$C$68,$C$69,$C$70,$C$74,$C$75,$D$63+X$76,$D$64,$D$65,$D$66,$D$67,$D$68,$D$69,$D$70,$D$71,$D$72,$D$73,$D$74,$D$75,$C$56,$C$57,$C$58,$C$59,$C$60),"")</f>
        <v>380086.43747963931</v>
      </c>
      <c r="Y81" s="229"/>
      <c r="AE81" s="10"/>
      <c r="AG81" s="224" t="s">
        <v>119</v>
      </c>
      <c r="AH81" s="255">
        <f ca="1">IF(NOW(),_xll.mirSwapPV($C$51,$C$52,$C$54,$AA56,$C$55,$AC56,$C$64,$C$65,$C$66,$C$67,$C$68,$C$69,$C$70,$C$74,$C$75,$D$63+AH$76,$D$64,$D$65,$D$66,$D$67,$D$68,$D$69,$D$70,$D$71,$D$72,$D$73,$D$74,$D$75,$C$56,$C$57,$C$58,$D$59,$C$60),"")</f>
        <v>-380086.43747963925</v>
      </c>
      <c r="AI81" s="255">
        <f ca="1">IF(NOW(),_xll.mirSwapPV($C$51,$C$52,$C$54,$AA56,$C$55,$AC56,$C$64,$C$65,$C$66,$C$67,$C$68,$C$69,$C$70,$C$74,$C$75,$D$63+AI$76,$D$64,$D$65,$D$66,$D$67,$D$68,$D$69,$D$70,$D$71,$D$72,$D$73,$D$74,$D$75,$C$56,$C$57,$C$58,$D$59,$C$60),"")</f>
        <v>-304069.14998371142</v>
      </c>
      <c r="AJ81" s="255">
        <f ca="1">IF(NOW(),_xll.mirSwapPV($C$51,$C$52,$C$54,$AA56,$C$55,$AC56,$C$64,$C$65,$C$66,$C$67,$C$68,$C$69,$C$70,$C$74,$C$75,$D$63+AJ$76,$D$64,$D$65,$D$66,$D$67,$D$68,$D$69,$D$70,$D$71,$D$72,$D$73,$D$74,$D$75,$C$56,$C$57,$C$58,$D$59,$C$60),"")</f>
        <v>-228051.86248778354</v>
      </c>
      <c r="AK81" s="255">
        <f ca="1">IF(NOW(),_xll.mirSwapPV($C$51,$C$52,$C$54,$AA56,$C$55,$AC56,$C$64,$C$65,$C$66,$C$67,$C$68,$C$69,$C$70,$C$74,$C$75,$D$63+AK$76,$D$64,$D$65,$D$66,$D$67,$D$68,$D$69,$D$70,$D$71,$D$72,$D$73,$D$74,$D$75,$C$56,$C$57,$C$58,$D$59,$C$60),"")</f>
        <v>-152034.57499185568</v>
      </c>
      <c r="AL81" s="255">
        <f ca="1">IF(NOW(),_xll.mirSwapPV($C$51,$C$52,$C$54,$AA56,$C$55,$AC56,$C$64,$C$65,$C$66,$C$67,$C$68,$C$69,$C$70,$C$74,$C$75,$D$63+AL$76,$D$64,$D$65,$D$66,$D$67,$D$68,$D$69,$D$70,$D$71,$D$72,$D$73,$D$74,$D$75,$C$56,$C$57,$C$58,$D$59,$C$60),"")</f>
        <v>-76017.287495927842</v>
      </c>
      <c r="AM81" s="255">
        <f ca="1">IF(NOW(),_xll.mirSwapPV($C$51,$C$52,$C$54,$AA56,$C$55,$AC56,$C$64,$C$65,$C$66,$C$67,$C$68,$C$69,$C$70,$C$74,$C$75,$D$63+AM$76,$D$64,$D$65,$D$66,$D$67,$D$68,$D$69,$D$70,$D$71,$D$72,$D$73,$D$74,$D$75,$C$56,$C$57,$C$58,$D$59,$C$60),"")</f>
        <v>0</v>
      </c>
      <c r="AN81" s="255">
        <f ca="1">IF(NOW(),_xll.mirSwapPV($C$51,$C$52,$C$54,$AA56,$C$55,$AC56,$C$64,$C$65,$C$66,$C$67,$C$68,$C$69,$C$70,$C$74,$C$75,$D$63+AN$76,$D$64,$D$65,$D$66,$D$67,$D$68,$D$69,$D$70,$D$71,$D$72,$D$73,$D$74,$D$75,$C$56,$C$57,$C$58,$D$59,$C$60),"")</f>
        <v>76017.287495927885</v>
      </c>
      <c r="AO81" s="255">
        <f ca="1">IF(NOW(),_xll.mirSwapPV($C$51,$C$52,$C$54,$AA56,$C$55,$AC56,$C$64,$C$65,$C$66,$C$67,$C$68,$C$69,$C$70,$C$74,$C$75,$D$63+AO$76,$D$64,$D$65,$D$66,$D$67,$D$68,$D$69,$D$70,$D$71,$D$72,$D$73,$D$74,$D$75,$C$56,$C$57,$C$58,$D$59,$C$60),"")</f>
        <v>152034.57499185574</v>
      </c>
      <c r="AP81" s="255">
        <f ca="1">IF(NOW(),_xll.mirSwapPV($C$51,$C$52,$C$54,$AA56,$C$55,$AC56,$C$64,$C$65,$C$66,$C$67,$C$68,$C$69,$C$70,$C$74,$C$75,$D$63+AP$76,$D$64,$D$65,$D$66,$D$67,$D$68,$D$69,$D$70,$D$71,$D$72,$D$73,$D$74,$D$75,$C$56,$C$57,$C$58,$D$59,$C$60),"")</f>
        <v>228051.8624877836</v>
      </c>
      <c r="AQ81" s="255">
        <f ca="1">IF(NOW(),_xll.mirSwapPV($C$51,$C$52,$C$54,$AA56,$C$55,$AC56,$C$64,$C$65,$C$66,$C$67,$C$68,$C$69,$C$70,$C$74,$C$75,$D$63+AQ$76,$D$64,$D$65,$D$66,$D$67,$D$68,$D$69,$D$70,$D$71,$D$72,$D$73,$D$74,$D$75,$C$56,$C$57,$C$58,$D$59,$C$60),"")</f>
        <v>304069.14998371142</v>
      </c>
      <c r="AR81" s="255">
        <f ca="1">IF(NOW(),_xll.mirSwapPV($C$51,$C$52,$C$54,$AA56,$C$55,$AC56,$C$64,$C$65,$C$66,$C$67,$C$68,$C$69,$C$70,$C$74,$C$75,$D$63+AR$76,$D$64,$D$65,$D$66,$D$67,$D$68,$D$69,$D$70,$D$71,$D$72,$D$73,$D$74,$D$75,$C$56,$C$57,$C$58,$D$59,$C$60),"")</f>
        <v>380086.43747963931</v>
      </c>
    </row>
    <row r="82" spans="6:44">
      <c r="F82" s="230"/>
      <c r="G82" s="227"/>
      <c r="H82" s="229"/>
      <c r="I82" s="229"/>
      <c r="J82" s="229"/>
      <c r="K82" s="230"/>
      <c r="L82" s="230"/>
      <c r="M82" s="224" t="s">
        <v>113</v>
      </c>
      <c r="N82" s="255">
        <f ca="1">IF(NOW(),_xll.mirSwapPV($C$51,$C$52,$C$54,$G57,$C$55,$I57,$C$64,$C$65,$C$66,$C$67,$C$68,$C$69,$C$70,$C$74,$C$75,$D$63+N$76,$D$64,$D$65,$D$66,$D$67,$D$68,$D$69,$D$70,$D$71,$D$72,$D$73,$D$74,$D$75,$C$56,$C$57,$C$58,$C$59,$C$60),"")</f>
        <v>-421837.79507817933</v>
      </c>
      <c r="O82" s="255">
        <f ca="1">IF(NOW(),_xll.mirSwapPV($C$51,$C$52,$C$54,$G57,$C$55,$I57,$C$64,$C$65,$C$66,$C$67,$C$68,$C$69,$C$70,$C$74,$C$75,$D$63+O$76,$D$64,$D$65,$D$66,$D$67,$D$68,$D$69,$D$70,$D$71,$D$72,$D$73,$D$74,$D$75,$C$56,$C$57,$C$58,$C$59,$C$60),"")</f>
        <v>-337470.23606254335</v>
      </c>
      <c r="P82" s="255">
        <f ca="1">IF(NOW(),_xll.mirSwapPV($C$51,$C$52,$C$54,$G57,$C$55,$I57,$C$64,$C$65,$C$66,$C$67,$C$68,$C$69,$C$70,$C$74,$C$75,$D$63+P$76,$D$64,$D$65,$D$66,$D$67,$D$68,$D$69,$D$70,$D$71,$D$72,$D$73,$D$74,$D$75,$C$56,$C$57,$C$58,$C$59,$C$60),"")</f>
        <v>-253102.67704690754</v>
      </c>
      <c r="Q82" s="255">
        <f ca="1">IF(NOW(),_xll.mirSwapPV($C$51,$C$52,$C$54,$G57,$C$55,$I57,$C$64,$C$65,$C$66,$C$67,$C$68,$C$69,$C$70,$C$74,$C$75,$D$63+Q$76,$D$64,$D$65,$D$66,$D$67,$D$68,$D$69,$D$70,$D$71,$D$72,$D$73,$D$74,$D$75,$C$56,$C$57,$C$58,$C$59,$C$60),"")</f>
        <v>-168735.11803127173</v>
      </c>
      <c r="R82" s="255">
        <f ca="1">IF(NOW(),_xll.mirSwapPV($C$51,$C$52,$C$54,$G57,$C$55,$I57,$C$64,$C$65,$C$66,$C$67,$C$68,$C$69,$C$70,$C$74,$C$75,$D$63+R$76,$D$64,$D$65,$D$66,$D$67,$D$68,$D$69,$D$70,$D$71,$D$72,$D$73,$D$74,$D$75,$C$56,$C$57,$C$58,$C$59,$C$60),"")</f>
        <v>-84367.559015635808</v>
      </c>
      <c r="S82" s="255">
        <f ca="1">IF(NOW(),_xll.mirSwapPV($C$51,$C$52,$C$54,$G57,$C$55,$I57,$C$64,$C$65,$C$66,$C$67,$C$68,$C$69,$C$70,$C$74,$C$75,$D$63+S$76,$D$64,$D$65,$D$66,$D$67,$D$68,$D$69,$D$70,$D$71,$D$72,$D$73,$D$74,$D$75,$C$56,$C$57,$C$58,$C$59,$C$60),"")</f>
        <v>0</v>
      </c>
      <c r="T82" s="255">
        <f ca="1">IF(NOW(),_xll.mirSwapPV($C$51,$C$52,$C$54,$G57,$C$55,$I57,$C$64,$C$65,$C$66,$C$67,$C$68,$C$69,$C$70,$C$74,$C$75,$D$63+T$76,$D$64,$D$65,$D$66,$D$67,$D$68,$D$69,$D$70,$D$71,$D$72,$D$73,$D$74,$D$75,$C$56,$C$57,$C$58,$C$59,$C$60),"")</f>
        <v>84367.55901563591</v>
      </c>
      <c r="U82" s="255">
        <f ca="1">IF(NOW(),_xll.mirSwapPV($C$51,$C$52,$C$54,$G57,$C$55,$I57,$C$64,$C$65,$C$66,$C$67,$C$68,$C$69,$C$70,$C$74,$C$75,$D$63+U$76,$D$64,$D$65,$D$66,$D$67,$D$68,$D$69,$D$70,$D$71,$D$72,$D$73,$D$74,$D$75,$C$56,$C$57,$C$58,$C$59,$C$60),"")</f>
        <v>168735.11803127173</v>
      </c>
      <c r="V82" s="255">
        <f ca="1">IF(NOW(),_xll.mirSwapPV($C$51,$C$52,$C$54,$G57,$C$55,$I57,$C$64,$C$65,$C$66,$C$67,$C$68,$C$69,$C$70,$C$74,$C$75,$D$63+V$76,$D$64,$D$65,$D$66,$D$67,$D$68,$D$69,$D$70,$D$71,$D$72,$D$73,$D$74,$D$75,$C$56,$C$57,$C$58,$C$59,$C$60),"")</f>
        <v>253102.6770469076</v>
      </c>
      <c r="W82" s="255">
        <f ca="1">IF(NOW(),_xll.mirSwapPV($C$51,$C$52,$C$54,$G57,$C$55,$I57,$C$64,$C$65,$C$66,$C$67,$C$68,$C$69,$C$70,$C$74,$C$75,$D$63+W$76,$D$64,$D$65,$D$66,$D$67,$D$68,$D$69,$D$70,$D$71,$D$72,$D$73,$D$74,$D$75,$C$56,$C$57,$C$58,$C$59,$C$60),"")</f>
        <v>337470.23606254347</v>
      </c>
      <c r="X82" s="255">
        <f ca="1">IF(NOW(),_xll.mirSwapPV($C$51,$C$52,$C$54,$G57,$C$55,$I57,$C$64,$C$65,$C$66,$C$67,$C$68,$C$69,$C$70,$C$74,$C$75,$D$63+X$76,$D$64,$D$65,$D$66,$D$67,$D$68,$D$69,$D$70,$D$71,$D$72,$D$73,$D$74,$D$75,$C$56,$C$57,$C$58,$C$59,$C$60),"")</f>
        <v>421837.79507817933</v>
      </c>
      <c r="Y82" s="229"/>
      <c r="AG82" s="224" t="s">
        <v>113</v>
      </c>
      <c r="AH82" s="255">
        <f ca="1">IF(NOW(),_xll.mirSwapPV($C$51,$C$52,$C$54,$AA57,$C$55,$AC57,$C$64,$C$65,$C$66,$C$67,$C$68,$C$69,$C$70,$C$74,$C$75,$D$63+AH$76,$D$64,$D$65,$D$66,$D$67,$D$68,$D$69,$D$70,$D$71,$D$72,$D$73,$D$74,$D$75,$C$56,$C$57,$C$58,$D$59,$C$60),"")</f>
        <v>-421837.7950781791</v>
      </c>
      <c r="AI82" s="255">
        <f ca="1">IF(NOW(),_xll.mirSwapPV($C$51,$C$52,$C$54,$AA57,$C$55,$AC57,$C$64,$C$65,$C$66,$C$67,$C$68,$C$69,$C$70,$C$74,$C$75,$D$63+AI$76,$D$64,$D$65,$D$66,$D$67,$D$68,$D$69,$D$70,$D$71,$D$72,$D$73,$D$74,$D$75,$C$56,$C$57,$C$58,$D$59,$C$60),"")</f>
        <v>-337470.23606254335</v>
      </c>
      <c r="AJ82" s="255">
        <f ca="1">IF(NOW(),_xll.mirSwapPV($C$51,$C$52,$C$54,$AA57,$C$55,$AC57,$C$64,$C$65,$C$66,$C$67,$C$68,$C$69,$C$70,$C$74,$C$75,$D$63+AJ$76,$D$64,$D$65,$D$66,$D$67,$D$68,$D$69,$D$70,$D$71,$D$72,$D$73,$D$74,$D$75,$C$56,$C$57,$C$58,$D$59,$C$60),"")</f>
        <v>-253102.67704690748</v>
      </c>
      <c r="AK82" s="255">
        <f ca="1">IF(NOW(),_xll.mirSwapPV($C$51,$C$52,$C$54,$AA57,$C$55,$AC57,$C$64,$C$65,$C$66,$C$67,$C$68,$C$69,$C$70,$C$74,$C$75,$D$63+AK$76,$D$64,$D$65,$D$66,$D$67,$D$68,$D$69,$D$70,$D$71,$D$72,$D$73,$D$74,$D$75,$C$56,$C$57,$C$58,$D$59,$C$60),"")</f>
        <v>-168735.11803127159</v>
      </c>
      <c r="AL82" s="255">
        <f ca="1">IF(NOW(),_xll.mirSwapPV($C$51,$C$52,$C$54,$AA57,$C$55,$AC57,$C$64,$C$65,$C$66,$C$67,$C$68,$C$69,$C$70,$C$74,$C$75,$D$63+AL$76,$D$64,$D$65,$D$66,$D$67,$D$68,$D$69,$D$70,$D$71,$D$72,$D$73,$D$74,$D$75,$C$56,$C$57,$C$58,$D$59,$C$60),"")</f>
        <v>-84367.559015635838</v>
      </c>
      <c r="AM82" s="255">
        <f ca="1">IF(NOW(),_xll.mirSwapPV($C$51,$C$52,$C$54,$AA57,$C$55,$AC57,$C$64,$C$65,$C$66,$C$67,$C$68,$C$69,$C$70,$C$74,$C$75,$D$63+AM$76,$D$64,$D$65,$D$66,$D$67,$D$68,$D$69,$D$70,$D$71,$D$72,$D$73,$D$74,$D$75,$C$56,$C$57,$C$58,$D$59,$C$60),"")</f>
        <v>0</v>
      </c>
      <c r="AN82" s="255">
        <f ca="1">IF(NOW(),_xll.mirSwapPV($C$51,$C$52,$C$54,$AA57,$C$55,$AC57,$C$64,$C$65,$C$66,$C$67,$C$68,$C$69,$C$70,$C$74,$C$75,$D$63+AN$76,$D$64,$D$65,$D$66,$D$67,$D$68,$D$69,$D$70,$D$71,$D$72,$D$73,$D$74,$D$75,$C$56,$C$57,$C$58,$D$59,$C$60),"")</f>
        <v>84367.559015635896</v>
      </c>
      <c r="AO82" s="255">
        <f ca="1">IF(NOW(),_xll.mirSwapPV($C$51,$C$52,$C$54,$AA57,$C$55,$AC57,$C$64,$C$65,$C$66,$C$67,$C$68,$C$69,$C$70,$C$74,$C$75,$D$63+AO$76,$D$64,$D$65,$D$66,$D$67,$D$68,$D$69,$D$70,$D$71,$D$72,$D$73,$D$74,$D$75,$C$56,$C$57,$C$58,$D$59,$C$60),"")</f>
        <v>168735.11803127173</v>
      </c>
      <c r="AP82" s="255">
        <f ca="1">IF(NOW(),_xll.mirSwapPV($C$51,$C$52,$C$54,$AA57,$C$55,$AC57,$C$64,$C$65,$C$66,$C$67,$C$68,$C$69,$C$70,$C$74,$C$75,$D$63+AP$76,$D$64,$D$65,$D$66,$D$67,$D$68,$D$69,$D$70,$D$71,$D$72,$D$73,$D$74,$D$75,$C$56,$C$57,$C$58,$D$59,$C$60),"")</f>
        <v>253102.6770469076</v>
      </c>
      <c r="AQ82" s="255">
        <f ca="1">IF(NOW(),_xll.mirSwapPV($C$51,$C$52,$C$54,$AA57,$C$55,$AC57,$C$64,$C$65,$C$66,$C$67,$C$68,$C$69,$C$70,$C$74,$C$75,$D$63+AQ$76,$D$64,$D$65,$D$66,$D$67,$D$68,$D$69,$D$70,$D$71,$D$72,$D$73,$D$74,$D$75,$C$56,$C$57,$C$58,$D$59,$C$60),"")</f>
        <v>337470.23606254341</v>
      </c>
      <c r="AR82" s="255">
        <f ca="1">IF(NOW(),_xll.mirSwapPV($C$51,$C$52,$C$54,$AA57,$C$55,$AC57,$C$64,$C$65,$C$66,$C$67,$C$68,$C$69,$C$70,$C$74,$C$75,$D$63+AR$76,$D$64,$D$65,$D$66,$D$67,$D$68,$D$69,$D$70,$D$71,$D$72,$D$73,$D$74,$D$75,$C$56,$C$57,$C$58,$D$59,$C$60),"")</f>
        <v>421837.79507817933</v>
      </c>
    </row>
    <row r="83" spans="6:44">
      <c r="F83" s="230"/>
      <c r="G83" s="227"/>
      <c r="H83" s="229"/>
      <c r="I83" s="229"/>
      <c r="J83" s="229"/>
      <c r="K83" s="230"/>
      <c r="L83" s="230"/>
      <c r="M83" s="224" t="s">
        <v>28</v>
      </c>
      <c r="N83" s="255">
        <f ca="1">IF(NOW(),_xll.mirSwapPV($C$51,$C$52,$C$54,$G58,$C$55,$I58,$C$64,$C$65,$C$66,$C$67,$C$68,$C$69,$C$70,$C$74,$C$75,$D$63+N$76,$D$64,$D$65,$D$66,$D$67,$D$68,$D$69,$D$70,$D$71,$D$72,$D$73,$D$74,$D$75,$C$56,$C$57,$C$58,$C$59,$C$60),"")</f>
        <v>-462388.14162659738</v>
      </c>
      <c r="O83" s="255">
        <f ca="1">IF(NOW(),_xll.mirSwapPV($C$51,$C$52,$C$54,$G58,$C$55,$I58,$C$64,$C$65,$C$66,$C$67,$C$68,$C$69,$C$70,$C$74,$C$75,$D$63+O$76,$D$64,$D$65,$D$66,$D$67,$D$68,$D$69,$D$70,$D$71,$D$72,$D$73,$D$74,$D$75,$C$56,$C$57,$C$58,$C$59,$C$60),"")</f>
        <v>-369910.51330127788</v>
      </c>
      <c r="P83" s="255">
        <f ca="1">IF(NOW(),_xll.mirSwapPV($C$51,$C$52,$C$54,$G58,$C$55,$I58,$C$64,$C$65,$C$66,$C$67,$C$68,$C$69,$C$70,$C$74,$C$75,$D$63+P$76,$D$64,$D$65,$D$66,$D$67,$D$68,$D$69,$D$70,$D$71,$D$72,$D$73,$D$74,$D$75,$C$56,$C$57,$C$58,$C$59,$C$60),"")</f>
        <v>-277432.88497595844</v>
      </c>
      <c r="Q83" s="255">
        <f ca="1">IF(NOW(),_xll.mirSwapPV($C$51,$C$52,$C$54,$G58,$C$55,$I58,$C$64,$C$65,$C$66,$C$67,$C$68,$C$69,$C$70,$C$74,$C$75,$D$63+Q$76,$D$64,$D$65,$D$66,$D$67,$D$68,$D$69,$D$70,$D$71,$D$72,$D$73,$D$74,$D$75,$C$56,$C$57,$C$58,$C$59,$C$60),"")</f>
        <v>-184955.25665063897</v>
      </c>
      <c r="R83" s="255">
        <f ca="1">IF(NOW(),_xll.mirSwapPV($C$51,$C$52,$C$54,$G58,$C$55,$I58,$C$64,$C$65,$C$66,$C$67,$C$68,$C$69,$C$70,$C$74,$C$75,$D$63+R$76,$D$64,$D$65,$D$66,$D$67,$D$68,$D$69,$D$70,$D$71,$D$72,$D$73,$D$74,$D$75,$C$56,$C$57,$C$58,$C$59,$C$60),"")</f>
        <v>-92477.628325319442</v>
      </c>
      <c r="S83" s="255">
        <f ca="1">IF(NOW(),_xll.mirSwapPV($C$51,$C$52,$C$54,$G58,$C$55,$I58,$C$64,$C$65,$C$66,$C$67,$C$68,$C$69,$C$70,$C$74,$C$75,$D$63+S$76,$D$64,$D$65,$D$66,$D$67,$D$68,$D$69,$D$70,$D$71,$D$72,$D$73,$D$74,$D$75,$C$56,$C$57,$C$58,$C$59,$C$60),"")</f>
        <v>0</v>
      </c>
      <c r="T83" s="255">
        <f ca="1">IF(NOW(),_xll.mirSwapPV($C$51,$C$52,$C$54,$G58,$C$55,$I58,$C$64,$C$65,$C$66,$C$67,$C$68,$C$69,$C$70,$C$74,$C$75,$D$63+T$76,$D$64,$D$65,$D$66,$D$67,$D$68,$D$69,$D$70,$D$71,$D$72,$D$73,$D$74,$D$75,$C$56,$C$57,$C$58,$C$59,$C$60),"")</f>
        <v>92477.628325319558</v>
      </c>
      <c r="U83" s="255">
        <f ca="1">IF(NOW(),_xll.mirSwapPV($C$51,$C$52,$C$54,$G58,$C$55,$I58,$C$64,$C$65,$C$66,$C$67,$C$68,$C$69,$C$70,$C$74,$C$75,$D$63+U$76,$D$64,$D$65,$D$66,$D$67,$D$68,$D$69,$D$70,$D$71,$D$72,$D$73,$D$74,$D$75,$C$56,$C$57,$C$58,$C$59,$C$60),"")</f>
        <v>184955.25665063897</v>
      </c>
      <c r="V83" s="255">
        <f ca="1">IF(NOW(),_xll.mirSwapPV($C$51,$C$52,$C$54,$G58,$C$55,$I58,$C$64,$C$65,$C$66,$C$67,$C$68,$C$69,$C$70,$C$74,$C$75,$D$63+V$76,$D$64,$D$65,$D$66,$D$67,$D$68,$D$69,$D$70,$D$71,$D$72,$D$73,$D$74,$D$75,$C$56,$C$57,$C$58,$C$59,$C$60),"")</f>
        <v>277432.8849759585</v>
      </c>
      <c r="W83" s="255">
        <f ca="1">IF(NOW(),_xll.mirSwapPV($C$51,$C$52,$C$54,$G58,$C$55,$I58,$C$64,$C$65,$C$66,$C$67,$C$68,$C$69,$C$70,$C$74,$C$75,$D$63+W$76,$D$64,$D$65,$D$66,$D$67,$D$68,$D$69,$D$70,$D$71,$D$72,$D$73,$D$74,$D$75,$C$56,$C$57,$C$58,$C$59,$C$60),"")</f>
        <v>369910.51330127788</v>
      </c>
      <c r="X83" s="255">
        <f ca="1">IF(NOW(),_xll.mirSwapPV($C$51,$C$52,$C$54,$G58,$C$55,$I58,$C$64,$C$65,$C$66,$C$67,$C$68,$C$69,$C$70,$C$74,$C$75,$D$63+X$76,$D$64,$D$65,$D$66,$D$67,$D$68,$D$69,$D$70,$D$71,$D$72,$D$73,$D$74,$D$75,$C$56,$C$57,$C$58,$C$59,$C$60),"")</f>
        <v>462388.1416265975</v>
      </c>
      <c r="Y83" s="229"/>
      <c r="AE83" s="10"/>
      <c r="AF83" s="253"/>
      <c r="AG83" s="224" t="s">
        <v>28</v>
      </c>
      <c r="AH83" s="255">
        <f ca="1">IF(NOW(),_xll.mirSwapPV($C$51,$C$52,$C$54,$AA58,$C$55,$AC58,$C$64,$C$65,$C$66,$C$67,$C$68,$C$69,$C$70,$C$74,$C$75,$D$63+AH$76,$D$64,$D$65,$D$66,$D$67,$D$68,$D$69,$D$70,$D$71,$D$72,$D$73,$D$74,$D$75,$C$56,$C$57,$C$58,$D$59,$C$60),"")</f>
        <v>-462388.14162659715</v>
      </c>
      <c r="AI83" s="255">
        <f ca="1">IF(NOW(),_xll.mirSwapPV($C$51,$C$52,$C$54,$AA58,$C$55,$AC58,$C$64,$C$65,$C$66,$C$67,$C$68,$C$69,$C$70,$C$74,$C$75,$D$63+AI$76,$D$64,$D$65,$D$66,$D$67,$D$68,$D$69,$D$70,$D$71,$D$72,$D$73,$D$74,$D$75,$C$56,$C$57,$C$58,$D$59,$C$60),"")</f>
        <v>-369910.51330127788</v>
      </c>
      <c r="AJ83" s="255">
        <f ca="1">IF(NOW(),_xll.mirSwapPV($C$51,$C$52,$C$54,$AA58,$C$55,$AC58,$C$64,$C$65,$C$66,$C$67,$C$68,$C$69,$C$70,$C$74,$C$75,$D$63+AJ$76,$D$64,$D$65,$D$66,$D$67,$D$68,$D$69,$D$70,$D$71,$D$72,$D$73,$D$74,$D$75,$C$56,$C$57,$C$58,$D$59,$C$60),"")</f>
        <v>-277432.88497595832</v>
      </c>
      <c r="AK83" s="255">
        <f ca="1">IF(NOW(),_xll.mirSwapPV($C$51,$C$52,$C$54,$AA58,$C$55,$AC58,$C$64,$C$65,$C$66,$C$67,$C$68,$C$69,$C$70,$C$74,$C$75,$D$63+AK$76,$D$64,$D$65,$D$66,$D$67,$D$68,$D$69,$D$70,$D$71,$D$72,$D$73,$D$74,$D$75,$C$56,$C$57,$C$58,$D$59,$C$60),"")</f>
        <v>-184955.25665063885</v>
      </c>
      <c r="AL83" s="255">
        <f ca="1">IF(NOW(),_xll.mirSwapPV($C$51,$C$52,$C$54,$AA58,$C$55,$AC58,$C$64,$C$65,$C$66,$C$67,$C$68,$C$69,$C$70,$C$74,$C$75,$D$63+AL$76,$D$64,$D$65,$D$66,$D$67,$D$68,$D$69,$D$70,$D$71,$D$72,$D$73,$D$74,$D$75,$C$56,$C$57,$C$58,$D$59,$C$60),"")</f>
        <v>-92477.628325319383</v>
      </c>
      <c r="AM83" s="255">
        <f ca="1">IF(NOW(),_xll.mirSwapPV($C$51,$C$52,$C$54,$AA58,$C$55,$AC58,$C$64,$C$65,$C$66,$C$67,$C$68,$C$69,$C$70,$C$74,$C$75,$D$63+AM$76,$D$64,$D$65,$D$66,$D$67,$D$68,$D$69,$D$70,$D$71,$D$72,$D$73,$D$74,$D$75,$C$56,$C$57,$C$58,$D$59,$C$60),"")</f>
        <v>2.7755575615628914E-11</v>
      </c>
      <c r="AN83" s="255">
        <f ca="1">IF(NOW(),_xll.mirSwapPV($C$51,$C$52,$C$54,$AA58,$C$55,$AC58,$C$64,$C$65,$C$66,$C$67,$C$68,$C$69,$C$70,$C$74,$C$75,$D$63+AN$76,$D$64,$D$65,$D$66,$D$67,$D$68,$D$69,$D$70,$D$71,$D$72,$D$73,$D$74,$D$75,$C$56,$C$57,$C$58,$D$59,$C$60),"")</f>
        <v>92477.628325319558</v>
      </c>
      <c r="AO83" s="255">
        <f ca="1">IF(NOW(),_xll.mirSwapPV($C$51,$C$52,$C$54,$AA58,$C$55,$AC58,$C$64,$C$65,$C$66,$C$67,$C$68,$C$69,$C$70,$C$74,$C$75,$D$63+AO$76,$D$64,$D$65,$D$66,$D$67,$D$68,$D$69,$D$70,$D$71,$D$72,$D$73,$D$74,$D$75,$C$56,$C$57,$C$58,$D$59,$C$60),"")</f>
        <v>184955.25665063903</v>
      </c>
      <c r="AP83" s="255">
        <f ca="1">IF(NOW(),_xll.mirSwapPV($C$51,$C$52,$C$54,$AA58,$C$55,$AC58,$C$64,$C$65,$C$66,$C$67,$C$68,$C$69,$C$70,$C$74,$C$75,$D$63+AP$76,$D$64,$D$65,$D$66,$D$67,$D$68,$D$69,$D$70,$D$71,$D$72,$D$73,$D$74,$D$75,$C$56,$C$57,$C$58,$D$59,$C$60),"")</f>
        <v>277432.8849759585</v>
      </c>
      <c r="AQ83" s="255">
        <f ca="1">IF(NOW(),_xll.mirSwapPV($C$51,$C$52,$C$54,$AA58,$C$55,$AC58,$C$64,$C$65,$C$66,$C$67,$C$68,$C$69,$C$70,$C$74,$C$75,$D$63+AQ$76,$D$64,$D$65,$D$66,$D$67,$D$68,$D$69,$D$70,$D$71,$D$72,$D$73,$D$74,$D$75,$C$56,$C$57,$C$58,$D$59,$C$60),"")</f>
        <v>369910.51330127788</v>
      </c>
      <c r="AR83" s="255">
        <f ca="1">IF(NOW(),_xll.mirSwapPV($C$51,$C$52,$C$54,$AA58,$C$55,$AC58,$C$64,$C$65,$C$66,$C$67,$C$68,$C$69,$C$70,$C$74,$C$75,$D$63+AR$76,$D$64,$D$65,$D$66,$D$67,$D$68,$D$69,$D$70,$D$71,$D$72,$D$73,$D$74,$D$75,$C$56,$C$57,$C$58,$D$59,$C$60),"")</f>
        <v>462388.1416265975</v>
      </c>
    </row>
    <row r="84" spans="6:44">
      <c r="F84" s="230"/>
      <c r="G84" s="227"/>
      <c r="H84" s="229"/>
      <c r="I84" s="229"/>
      <c r="J84" s="229"/>
      <c r="K84" s="230"/>
      <c r="L84" s="230"/>
      <c r="M84" s="224" t="s">
        <v>366</v>
      </c>
      <c r="N84" s="255">
        <f ca="1">IF(NOW(),_xll.mirSwapPV($C$51,$C$52,$C$54,$G59,$C$55,$I59,$C$64,$C$65,$C$66,$C$67,$C$68,$C$69,$C$70,$C$74,$C$75,$D$63+N$76,$D$64,$D$65,$D$66,$D$67,$D$68,$D$69,$D$70,$D$71,$D$72,$D$73,$D$74,$D$75,$C$56,$C$57,$C$58,$C$59,$C$60),"")</f>
        <v>-501653.57340943185</v>
      </c>
      <c r="O84" s="255">
        <f ca="1">IF(NOW(),_xll.mirSwapPV($C$51,$C$52,$C$54,$G59,$C$55,$I59,$C$64,$C$65,$C$66,$C$67,$C$68,$C$69,$C$70,$C$74,$C$75,$D$63+O$76,$D$64,$D$65,$D$66,$D$67,$D$68,$D$69,$D$70,$D$71,$D$72,$D$73,$D$74,$D$75,$C$56,$C$57,$C$58,$C$59,$C$60),"")</f>
        <v>-401322.85872754542</v>
      </c>
      <c r="P84" s="255">
        <f ca="1">IF(NOW(),_xll.mirSwapPV($C$51,$C$52,$C$54,$G59,$C$55,$I59,$C$64,$C$65,$C$66,$C$67,$C$68,$C$69,$C$70,$C$74,$C$75,$D$63+P$76,$D$64,$D$65,$D$66,$D$67,$D$68,$D$69,$D$70,$D$71,$D$72,$D$73,$D$74,$D$75,$C$56,$C$57,$C$58,$C$59,$C$60),"")</f>
        <v>-300992.14404565905</v>
      </c>
      <c r="Q84" s="255">
        <f ca="1">IF(NOW(),_xll.mirSwapPV($C$51,$C$52,$C$54,$G59,$C$55,$I59,$C$64,$C$65,$C$66,$C$67,$C$68,$C$69,$C$70,$C$74,$C$75,$D$63+Q$76,$D$64,$D$65,$D$66,$D$67,$D$68,$D$69,$D$70,$D$71,$D$72,$D$73,$D$74,$D$75,$C$56,$C$57,$C$58,$C$59,$C$60),"")</f>
        <v>-200661.42936377268</v>
      </c>
      <c r="R84" s="255">
        <f ca="1">IF(NOW(),_xll.mirSwapPV($C$51,$C$52,$C$54,$G59,$C$55,$I59,$C$64,$C$65,$C$66,$C$67,$C$68,$C$69,$C$70,$C$74,$C$75,$D$63+R$76,$D$64,$D$65,$D$66,$D$67,$D$68,$D$69,$D$70,$D$71,$D$72,$D$73,$D$74,$D$75,$C$56,$C$57,$C$58,$C$59,$C$60),"")</f>
        <v>-100330.71468188631</v>
      </c>
      <c r="S84" s="255">
        <f ca="1">IF(NOW(),_xll.mirSwapPV($C$51,$C$52,$C$54,$G59,$C$55,$I59,$C$64,$C$65,$C$66,$C$67,$C$68,$C$69,$C$70,$C$74,$C$75,$D$63+S$76,$D$64,$D$65,$D$66,$D$67,$D$68,$D$69,$D$70,$D$71,$D$72,$D$73,$D$74,$D$75,$C$56,$C$57,$C$58,$C$59,$C$60),"")</f>
        <v>0</v>
      </c>
      <c r="T84" s="255">
        <f ca="1">IF(NOW(),_xll.mirSwapPV($C$51,$C$52,$C$54,$G59,$C$55,$I59,$C$64,$C$65,$C$66,$C$67,$C$68,$C$69,$C$70,$C$74,$C$75,$D$63+T$76,$D$64,$D$65,$D$66,$D$67,$D$68,$D$69,$D$70,$D$71,$D$72,$D$73,$D$74,$D$75,$C$56,$C$57,$C$58,$C$59,$C$60),"")</f>
        <v>100330.71468188649</v>
      </c>
      <c r="U84" s="255">
        <f ca="1">IF(NOW(),_xll.mirSwapPV($C$51,$C$52,$C$54,$G59,$C$55,$I59,$C$64,$C$65,$C$66,$C$67,$C$68,$C$69,$C$70,$C$74,$C$75,$D$63+U$76,$D$64,$D$65,$D$66,$D$67,$D$68,$D$69,$D$70,$D$71,$D$72,$D$73,$D$74,$D$75,$C$56,$C$57,$C$58,$C$59,$C$60),"")</f>
        <v>200661.42936377277</v>
      </c>
      <c r="V84" s="255">
        <f ca="1">IF(NOW(),_xll.mirSwapPV($C$51,$C$52,$C$54,$G59,$C$55,$I59,$C$64,$C$65,$C$66,$C$67,$C$68,$C$69,$C$70,$C$74,$C$75,$D$63+V$76,$D$64,$D$65,$D$66,$D$67,$D$68,$D$69,$D$70,$D$71,$D$72,$D$73,$D$74,$D$75,$C$56,$C$57,$C$58,$C$59,$C$60),"")</f>
        <v>300992.14404565917</v>
      </c>
      <c r="W84" s="255">
        <f ca="1">IF(NOW(),_xll.mirSwapPV($C$51,$C$52,$C$54,$G59,$C$55,$I59,$C$64,$C$65,$C$66,$C$67,$C$68,$C$69,$C$70,$C$74,$C$75,$D$63+W$76,$D$64,$D$65,$D$66,$D$67,$D$68,$D$69,$D$70,$D$71,$D$72,$D$73,$D$74,$D$75,$C$56,$C$57,$C$58,$C$59,$C$60),"")</f>
        <v>401322.85872754548</v>
      </c>
      <c r="X84" s="255">
        <f ca="1">IF(NOW(),_xll.mirSwapPV($C$51,$C$52,$C$54,$G59,$C$55,$I59,$C$64,$C$65,$C$66,$C$67,$C$68,$C$69,$C$70,$C$74,$C$75,$D$63+X$76,$D$64,$D$65,$D$66,$D$67,$D$68,$D$69,$D$70,$D$71,$D$72,$D$73,$D$74,$D$75,$C$56,$C$57,$C$58,$C$59,$C$60),"")</f>
        <v>501653.57340943196</v>
      </c>
      <c r="Y84" s="229"/>
      <c r="AG84" s="224" t="s">
        <v>366</v>
      </c>
      <c r="AH84" s="255">
        <f ca="1">IF(NOW(),_xll.mirSwapPV($C$51,$C$52,$C$54,$AA59,$C$55,$AC59,$C$64,$C$65,$C$66,$C$67,$C$68,$C$69,$C$70,$C$74,$C$75,$D$63+AH$76,$D$64,$D$65,$D$66,$D$67,$D$68,$D$69,$D$70,$D$71,$D$72,$D$73,$D$74,$D$75,$C$56,$C$57,$C$58,$D$59,$C$60),"")</f>
        <v>-501653.5734094315</v>
      </c>
      <c r="AI84" s="255">
        <f ca="1">IF(NOW(),_xll.mirSwapPV($C$51,$C$52,$C$54,$AA59,$C$55,$AC59,$C$64,$C$65,$C$66,$C$67,$C$68,$C$69,$C$70,$C$74,$C$75,$D$63+AI$76,$D$64,$D$65,$D$66,$D$67,$D$68,$D$69,$D$70,$D$71,$D$72,$D$73,$D$74,$D$75,$C$56,$C$57,$C$58,$D$59,$C$60),"")</f>
        <v>-401322.85872754548</v>
      </c>
      <c r="AJ84" s="255">
        <f ca="1">IF(NOW(),_xll.mirSwapPV($C$51,$C$52,$C$54,$AA59,$C$55,$AC59,$C$64,$C$65,$C$66,$C$67,$C$68,$C$69,$C$70,$C$74,$C$75,$D$63+AJ$76,$D$64,$D$65,$D$66,$D$67,$D$68,$D$69,$D$70,$D$71,$D$72,$D$73,$D$74,$D$75,$C$56,$C$57,$C$58,$D$59,$C$60),"")</f>
        <v>-300992.14404565899</v>
      </c>
      <c r="AK84" s="255">
        <f ca="1">IF(NOW(),_xll.mirSwapPV($C$51,$C$52,$C$54,$AA59,$C$55,$AC59,$C$64,$C$65,$C$66,$C$67,$C$68,$C$69,$C$70,$C$74,$C$75,$D$63+AK$76,$D$64,$D$65,$D$66,$D$67,$D$68,$D$69,$D$70,$D$71,$D$72,$D$73,$D$74,$D$75,$C$56,$C$57,$C$58,$D$59,$C$60),"")</f>
        <v>-200661.42936377268</v>
      </c>
      <c r="AL84" s="255">
        <f ca="1">IF(NOW(),_xll.mirSwapPV($C$51,$C$52,$C$54,$AA59,$C$55,$AC59,$C$64,$C$65,$C$66,$C$67,$C$68,$C$69,$C$70,$C$74,$C$75,$D$63+AL$76,$D$64,$D$65,$D$66,$D$67,$D$68,$D$69,$D$70,$D$71,$D$72,$D$73,$D$74,$D$75,$C$56,$C$57,$C$58,$D$59,$C$60),"")</f>
        <v>-100330.71468188631</v>
      </c>
      <c r="AM84" s="255">
        <f ca="1">IF(NOW(),_xll.mirSwapPV($C$51,$C$52,$C$54,$AA59,$C$55,$AC59,$C$64,$C$65,$C$66,$C$67,$C$68,$C$69,$C$70,$C$74,$C$75,$D$63+AM$76,$D$64,$D$65,$D$66,$D$67,$D$68,$D$69,$D$70,$D$71,$D$72,$D$73,$D$74,$D$75,$C$56,$C$57,$C$58,$D$59,$C$60),"")</f>
        <v>0</v>
      </c>
      <c r="AN84" s="255">
        <f ca="1">IF(NOW(),_xll.mirSwapPV($C$51,$C$52,$C$54,$AA59,$C$55,$AC59,$C$64,$C$65,$C$66,$C$67,$C$68,$C$69,$C$70,$C$74,$C$75,$D$63+AN$76,$D$64,$D$65,$D$66,$D$67,$D$68,$D$69,$D$70,$D$71,$D$72,$D$73,$D$74,$D$75,$C$56,$C$57,$C$58,$D$59,$C$60),"")</f>
        <v>100330.71468188643</v>
      </c>
      <c r="AO84" s="255">
        <f ca="1">IF(NOW(),_xll.mirSwapPV($C$51,$C$52,$C$54,$AA59,$C$55,$AC59,$C$64,$C$65,$C$66,$C$67,$C$68,$C$69,$C$70,$C$74,$C$75,$D$63+AO$76,$D$64,$D$65,$D$66,$D$67,$D$68,$D$69,$D$70,$D$71,$D$72,$D$73,$D$74,$D$75,$C$56,$C$57,$C$58,$D$59,$C$60),"")</f>
        <v>200661.4293637728</v>
      </c>
      <c r="AP84" s="255">
        <f ca="1">IF(NOW(),_xll.mirSwapPV($C$51,$C$52,$C$54,$AA59,$C$55,$AC59,$C$64,$C$65,$C$66,$C$67,$C$68,$C$69,$C$70,$C$74,$C$75,$D$63+AP$76,$D$64,$D$65,$D$66,$D$67,$D$68,$D$69,$D$70,$D$71,$D$72,$D$73,$D$74,$D$75,$C$56,$C$57,$C$58,$D$59,$C$60),"")</f>
        <v>300992.14404565917</v>
      </c>
      <c r="AQ84" s="255">
        <f ca="1">IF(NOW(),_xll.mirSwapPV($C$51,$C$52,$C$54,$AA59,$C$55,$AC59,$C$64,$C$65,$C$66,$C$67,$C$68,$C$69,$C$70,$C$74,$C$75,$D$63+AQ$76,$D$64,$D$65,$D$66,$D$67,$D$68,$D$69,$D$70,$D$71,$D$72,$D$73,$D$74,$D$75,$C$56,$C$57,$C$58,$D$59,$C$60),"")</f>
        <v>401322.85872754548</v>
      </c>
      <c r="AR84" s="255">
        <f ca="1">IF(NOW(),_xll.mirSwapPV($C$51,$C$52,$C$54,$AA59,$C$55,$AC59,$C$64,$C$65,$C$66,$C$67,$C$68,$C$69,$C$70,$C$74,$C$75,$D$63+AR$76,$D$64,$D$65,$D$66,$D$67,$D$68,$D$69,$D$70,$D$71,$D$72,$D$73,$D$74,$D$75,$C$56,$C$57,$C$58,$D$59,$C$60),"")</f>
        <v>501653.57340943185</v>
      </c>
    </row>
    <row r="85" spans="6:44">
      <c r="F85" s="230"/>
      <c r="G85" s="227"/>
      <c r="H85" s="229"/>
      <c r="I85" s="229"/>
      <c r="J85" s="229"/>
      <c r="K85" s="230"/>
      <c r="L85" s="230"/>
      <c r="M85" s="224" t="s">
        <v>26</v>
      </c>
      <c r="N85" s="255">
        <f ca="1">IF(NOW(),_xll.mirSwapPV($C$51,$C$52,$C$54,$G60,$C$55,$I60,$C$64,$C$65,$C$66,$C$67,$C$68,$C$69,$C$70,$C$74,$C$75,$D$63+N$76,$D$64,$D$65,$D$66,$D$67,$D$68,$D$69,$D$70,$D$71,$D$72,$D$73,$D$74,$D$75,$C$56,$C$57,$C$58,$C$59,$C$60),"")</f>
        <v>-539672.51174194494</v>
      </c>
      <c r="O85" s="255">
        <f ca="1">IF(NOW(),_xll.mirSwapPV($C$51,$C$52,$C$54,$G60,$C$55,$I60,$C$64,$C$65,$C$66,$C$67,$C$68,$C$69,$C$70,$C$74,$C$75,$D$63+O$76,$D$64,$D$65,$D$66,$D$67,$D$68,$D$69,$D$70,$D$71,$D$72,$D$73,$D$74,$D$75,$C$56,$C$57,$C$58,$C$59,$C$60),"")</f>
        <v>-431738.00939355604</v>
      </c>
      <c r="P85" s="255">
        <f ca="1">IF(NOW(),_xll.mirSwapPV($C$51,$C$52,$C$54,$G60,$C$55,$I60,$C$64,$C$65,$C$66,$C$67,$C$68,$C$69,$C$70,$C$74,$C$75,$D$63+P$76,$D$64,$D$65,$D$66,$D$67,$D$68,$D$69,$D$70,$D$71,$D$72,$D$73,$D$74,$D$75,$C$56,$C$57,$C$58,$C$59,$C$60),"")</f>
        <v>-323803.50704516686</v>
      </c>
      <c r="Q85" s="255">
        <f ca="1">IF(NOW(),_xll.mirSwapPV($C$51,$C$52,$C$54,$G60,$C$55,$I60,$C$64,$C$65,$C$66,$C$67,$C$68,$C$69,$C$70,$C$74,$C$75,$D$63+Q$76,$D$64,$D$65,$D$66,$D$67,$D$68,$D$69,$D$70,$D$71,$D$72,$D$73,$D$74,$D$75,$C$56,$C$57,$C$58,$C$59,$C$60),"")</f>
        <v>-215869.00469677793</v>
      </c>
      <c r="R85" s="255">
        <f ca="1">IF(NOW(),_xll.mirSwapPV($C$51,$C$52,$C$54,$G60,$C$55,$I60,$C$64,$C$65,$C$66,$C$67,$C$68,$C$69,$C$70,$C$74,$C$75,$D$63+R$76,$D$64,$D$65,$D$66,$D$67,$D$68,$D$69,$D$70,$D$71,$D$72,$D$73,$D$74,$D$75,$C$56,$C$57,$C$58,$C$59,$C$60),"")</f>
        <v>-107934.50234838892</v>
      </c>
      <c r="S85" s="255">
        <f ca="1">IF(NOW(),_xll.mirSwapPV($C$51,$C$52,$C$54,$G60,$C$55,$I60,$C$64,$C$65,$C$66,$C$67,$C$68,$C$69,$C$70,$C$74,$C$75,$D$63+S$76,$D$64,$D$65,$D$66,$D$67,$D$68,$D$69,$D$70,$D$71,$D$72,$D$73,$D$74,$D$75,$C$56,$C$57,$C$58,$C$59,$C$60),"")</f>
        <v>0</v>
      </c>
      <c r="T85" s="255">
        <f ca="1">IF(NOW(),_xll.mirSwapPV($C$51,$C$52,$C$54,$G60,$C$55,$I60,$C$64,$C$65,$C$66,$C$67,$C$68,$C$69,$C$70,$C$74,$C$75,$D$63+T$76,$D$64,$D$65,$D$66,$D$67,$D$68,$D$69,$D$70,$D$71,$D$72,$D$73,$D$74,$D$75,$C$56,$C$57,$C$58,$C$59,$C$60),"")</f>
        <v>107934.50234838908</v>
      </c>
      <c r="U85" s="255">
        <f ca="1">IF(NOW(),_xll.mirSwapPV($C$51,$C$52,$C$54,$G60,$C$55,$I60,$C$64,$C$65,$C$66,$C$67,$C$68,$C$69,$C$70,$C$74,$C$75,$D$63+U$76,$D$64,$D$65,$D$66,$D$67,$D$68,$D$69,$D$70,$D$71,$D$72,$D$73,$D$74,$D$75,$C$56,$C$57,$C$58,$C$59,$C$60),"")</f>
        <v>215869.00469677799</v>
      </c>
      <c r="V85" s="255">
        <f ca="1">IF(NOW(),_xll.mirSwapPV($C$51,$C$52,$C$54,$G60,$C$55,$I60,$C$64,$C$65,$C$66,$C$67,$C$68,$C$69,$C$70,$C$74,$C$75,$D$63+V$76,$D$64,$D$65,$D$66,$D$67,$D$68,$D$69,$D$70,$D$71,$D$72,$D$73,$D$74,$D$75,$C$56,$C$57,$C$58,$C$59,$C$60),"")</f>
        <v>323803.50704516703</v>
      </c>
      <c r="W85" s="255">
        <f ca="1">IF(NOW(),_xll.mirSwapPV($C$51,$C$52,$C$54,$G60,$C$55,$I60,$C$64,$C$65,$C$66,$C$67,$C$68,$C$69,$C$70,$C$74,$C$75,$D$63+W$76,$D$64,$D$65,$D$66,$D$67,$D$68,$D$69,$D$70,$D$71,$D$72,$D$73,$D$74,$D$75,$C$56,$C$57,$C$58,$C$59,$C$60),"")</f>
        <v>431738.00939355599</v>
      </c>
      <c r="X85" s="255">
        <f ca="1">IF(NOW(),_xll.mirSwapPV($C$51,$C$52,$C$54,$G60,$C$55,$I60,$C$64,$C$65,$C$66,$C$67,$C$68,$C$69,$C$70,$C$74,$C$75,$D$63+X$76,$D$64,$D$65,$D$66,$D$67,$D$68,$D$69,$D$70,$D$71,$D$72,$D$73,$D$74,$D$75,$C$56,$C$57,$C$58,$C$59,$C$60),"")</f>
        <v>539672.51174194494</v>
      </c>
      <c r="Y85" s="229"/>
      <c r="AG85" s="224" t="s">
        <v>26</v>
      </c>
      <c r="AH85" s="255">
        <f ca="1">IF(NOW(),_xll.mirSwapPV($C$51,$C$52,$C$54,$AA60,$C$55,$AC60,$C$64,$C$65,$C$66,$C$67,$C$68,$C$69,$C$70,$C$74,$C$75,$D$63+AH$76,$D$64,$D$65,$D$66,$D$67,$D$68,$D$69,$D$70,$D$71,$D$72,$D$73,$D$74,$D$75,$C$56,$C$57,$C$58,$D$59,$C$60),"")</f>
        <v>-539672.51174194447</v>
      </c>
      <c r="AI85" s="255">
        <f ca="1">IF(NOW(),_xll.mirSwapPV($C$51,$C$52,$C$54,$AA60,$C$55,$AC60,$C$64,$C$65,$C$66,$C$67,$C$68,$C$69,$C$70,$C$74,$C$75,$D$63+AI$76,$D$64,$D$65,$D$66,$D$67,$D$68,$D$69,$D$70,$D$71,$D$72,$D$73,$D$74,$D$75,$C$56,$C$57,$C$58,$D$59,$C$60),"")</f>
        <v>-431738.00939355581</v>
      </c>
      <c r="AJ85" s="255">
        <f ca="1">IF(NOW(),_xll.mirSwapPV($C$51,$C$52,$C$54,$AA60,$C$55,$AC60,$C$64,$C$65,$C$66,$C$67,$C$68,$C$69,$C$70,$C$74,$C$75,$D$63+AJ$76,$D$64,$D$65,$D$66,$D$67,$D$68,$D$69,$D$70,$D$71,$D$72,$D$73,$D$74,$D$75,$C$56,$C$57,$C$58,$D$59,$C$60),"")</f>
        <v>-323803.50704516686</v>
      </c>
      <c r="AK85" s="255">
        <f ca="1">IF(NOW(),_xll.mirSwapPV($C$51,$C$52,$C$54,$AA60,$C$55,$AC60,$C$64,$C$65,$C$66,$C$67,$C$68,$C$69,$C$70,$C$74,$C$75,$D$63+AK$76,$D$64,$D$65,$D$66,$D$67,$D$68,$D$69,$D$70,$D$71,$D$72,$D$73,$D$74,$D$75,$C$56,$C$57,$C$58,$D$59,$C$60),"")</f>
        <v>-215869.00469677785</v>
      </c>
      <c r="AL85" s="255">
        <f ca="1">IF(NOW(),_xll.mirSwapPV($C$51,$C$52,$C$54,$AA60,$C$55,$AC60,$C$64,$C$65,$C$66,$C$67,$C$68,$C$69,$C$70,$C$74,$C$75,$D$63+AL$76,$D$64,$D$65,$D$66,$D$67,$D$68,$D$69,$D$70,$D$71,$D$72,$D$73,$D$74,$D$75,$C$56,$C$57,$C$58,$D$59,$C$60),"")</f>
        <v>-107934.50234838887</v>
      </c>
      <c r="AM85" s="255">
        <f ca="1">IF(NOW(),_xll.mirSwapPV($C$51,$C$52,$C$54,$AA60,$C$55,$AC60,$C$64,$C$65,$C$66,$C$67,$C$68,$C$69,$C$70,$C$74,$C$75,$D$63+AM$76,$D$64,$D$65,$D$66,$D$67,$D$68,$D$69,$D$70,$D$71,$D$72,$D$73,$D$74,$D$75,$C$56,$C$57,$C$58,$D$59,$C$60),"")</f>
        <v>0</v>
      </c>
      <c r="AN85" s="255">
        <f ca="1">IF(NOW(),_xll.mirSwapPV($C$51,$C$52,$C$54,$AA60,$C$55,$AC60,$C$64,$C$65,$C$66,$C$67,$C$68,$C$69,$C$70,$C$74,$C$75,$D$63+AN$76,$D$64,$D$65,$D$66,$D$67,$D$68,$D$69,$D$70,$D$71,$D$72,$D$73,$D$74,$D$75,$C$56,$C$57,$C$58,$D$59,$C$60),"")</f>
        <v>107934.50234838911</v>
      </c>
      <c r="AO85" s="255">
        <f ca="1">IF(NOW(),_xll.mirSwapPV($C$51,$C$52,$C$54,$AA60,$C$55,$AC60,$C$64,$C$65,$C$66,$C$67,$C$68,$C$69,$C$70,$C$74,$C$75,$D$63+AO$76,$D$64,$D$65,$D$66,$D$67,$D$68,$D$69,$D$70,$D$71,$D$72,$D$73,$D$74,$D$75,$C$56,$C$57,$C$58,$D$59,$C$60),"")</f>
        <v>215869.00469677811</v>
      </c>
      <c r="AP85" s="255">
        <f ca="1">IF(NOW(),_xll.mirSwapPV($C$51,$C$52,$C$54,$AA60,$C$55,$AC60,$C$64,$C$65,$C$66,$C$67,$C$68,$C$69,$C$70,$C$74,$C$75,$D$63+AP$76,$D$64,$D$65,$D$66,$D$67,$D$68,$D$69,$D$70,$D$71,$D$72,$D$73,$D$74,$D$75,$C$56,$C$57,$C$58,$D$59,$C$60),"")</f>
        <v>323803.50704516709</v>
      </c>
      <c r="AQ85" s="255">
        <f ca="1">IF(NOW(),_xll.mirSwapPV($C$51,$C$52,$C$54,$AA60,$C$55,$AC60,$C$64,$C$65,$C$66,$C$67,$C$68,$C$69,$C$70,$C$74,$C$75,$D$63+AQ$76,$D$64,$D$65,$D$66,$D$67,$D$68,$D$69,$D$70,$D$71,$D$72,$D$73,$D$74,$D$75,$C$56,$C$57,$C$58,$D$59,$C$60),"")</f>
        <v>431738.00939355599</v>
      </c>
      <c r="AR85" s="255">
        <f ca="1">IF(NOW(),_xll.mirSwapPV($C$51,$C$52,$C$54,$AA60,$C$55,$AC60,$C$64,$C$65,$C$66,$C$67,$C$68,$C$69,$C$70,$C$74,$C$75,$D$63+AR$76,$D$64,$D$65,$D$66,$D$67,$D$68,$D$69,$D$70,$D$71,$D$72,$D$73,$D$74,$D$75,$C$56,$C$57,$C$58,$D$59,$C$60),"")</f>
        <v>539672.51174194494</v>
      </c>
    </row>
    <row r="86" spans="6:44">
      <c r="F86" s="230"/>
      <c r="G86" s="227"/>
      <c r="H86" s="229"/>
      <c r="I86" s="229"/>
      <c r="J86" s="229"/>
      <c r="K86" s="230"/>
      <c r="L86" s="230"/>
      <c r="M86" s="224" t="s">
        <v>24</v>
      </c>
      <c r="N86" s="255">
        <f ca="1">IF(NOW(),_xll.mirSwapPV($C$51,$C$52,$C$54,$G61,$C$55,$I61,$C$64,$C$65,$C$66,$C$67,$C$68,$C$69,$C$70,$C$74,$C$75,$D$63+N$76,$D$64,$D$65,$D$66,$D$67,$D$68,$D$69,$D$70,$D$71,$D$72,$D$73,$D$74,$D$75,$C$56,$C$57,$C$58,$C$59,$C$60),"")</f>
        <v>-646763.03135862527</v>
      </c>
      <c r="O86" s="255">
        <f ca="1">IF(NOW(),_xll.mirSwapPV($C$51,$C$52,$C$54,$G61,$C$55,$I61,$C$64,$C$65,$C$66,$C$67,$C$68,$C$69,$C$70,$C$74,$C$75,$D$63+O$76,$D$64,$D$65,$D$66,$D$67,$D$68,$D$69,$D$70,$D$71,$D$72,$D$73,$D$74,$D$75,$C$56,$C$57,$C$58,$C$59,$C$60),"")</f>
        <v>-517410.42508689995</v>
      </c>
      <c r="P86" s="255">
        <f ca="1">IF(NOW(),_xll.mirSwapPV($C$51,$C$52,$C$54,$G61,$C$55,$I61,$C$64,$C$65,$C$66,$C$67,$C$68,$C$69,$C$70,$C$74,$C$75,$D$63+P$76,$D$64,$D$65,$D$66,$D$67,$D$68,$D$69,$D$70,$D$71,$D$72,$D$73,$D$74,$D$75,$C$56,$C$57,$C$58,$C$59,$C$60),"")</f>
        <v>-388057.81881517486</v>
      </c>
      <c r="Q86" s="255">
        <f ca="1">IF(NOW(),_xll.mirSwapPV($C$51,$C$52,$C$54,$G61,$C$55,$I61,$C$64,$C$65,$C$66,$C$67,$C$68,$C$69,$C$70,$C$74,$C$75,$D$63+Q$76,$D$64,$D$65,$D$66,$D$67,$D$68,$D$69,$D$70,$D$71,$D$72,$D$73,$D$74,$D$75,$C$56,$C$57,$C$58,$C$59,$C$60),"")</f>
        <v>-258705.2125434498</v>
      </c>
      <c r="R86" s="255">
        <f ca="1">IF(NOW(),_xll.mirSwapPV($C$51,$C$52,$C$54,$G61,$C$55,$I61,$C$64,$C$65,$C$66,$C$67,$C$68,$C$69,$C$70,$C$74,$C$75,$D$63+R$76,$D$64,$D$65,$D$66,$D$67,$D$68,$D$69,$D$70,$D$71,$D$72,$D$73,$D$74,$D$75,$C$56,$C$57,$C$58,$C$59,$C$60),"")</f>
        <v>-129352.60627172496</v>
      </c>
      <c r="S86" s="255">
        <f ca="1">IF(NOW(),_xll.mirSwapPV($C$51,$C$52,$C$54,$G61,$C$55,$I61,$C$64,$C$65,$C$66,$C$67,$C$68,$C$69,$C$70,$C$74,$C$75,$D$63+S$76,$D$64,$D$65,$D$66,$D$67,$D$68,$D$69,$D$70,$D$71,$D$72,$D$73,$D$74,$D$75,$C$56,$C$57,$C$58,$C$59,$C$60),"")</f>
        <v>0</v>
      </c>
      <c r="T86" s="255">
        <f ca="1">IF(NOW(),_xll.mirSwapPV($C$51,$C$52,$C$54,$G61,$C$55,$I61,$C$64,$C$65,$C$66,$C$67,$C$68,$C$69,$C$70,$C$74,$C$75,$D$63+T$76,$D$64,$D$65,$D$66,$D$67,$D$68,$D$69,$D$70,$D$71,$D$72,$D$73,$D$74,$D$75,$C$56,$C$57,$C$58,$C$59,$C$60),"")</f>
        <v>129352.60627172512</v>
      </c>
      <c r="U86" s="255">
        <f ca="1">IF(NOW(),_xll.mirSwapPV($C$51,$C$52,$C$54,$G61,$C$55,$I61,$C$64,$C$65,$C$66,$C$67,$C$68,$C$69,$C$70,$C$74,$C$75,$D$63+U$76,$D$64,$D$65,$D$66,$D$67,$D$68,$D$69,$D$70,$D$71,$D$72,$D$73,$D$74,$D$75,$C$56,$C$57,$C$58,$C$59,$C$60),"")</f>
        <v>258705.21254345015</v>
      </c>
      <c r="V86" s="255">
        <f ca="1">IF(NOW(),_xll.mirSwapPV($C$51,$C$52,$C$54,$G61,$C$55,$I61,$C$64,$C$65,$C$66,$C$67,$C$68,$C$69,$C$70,$C$74,$C$75,$D$63+V$76,$D$64,$D$65,$D$66,$D$67,$D$68,$D$69,$D$70,$D$71,$D$72,$D$73,$D$74,$D$75,$C$56,$C$57,$C$58,$C$59,$C$60),"")</f>
        <v>388057.81881517515</v>
      </c>
      <c r="W86" s="255">
        <f ca="1">IF(NOW(),_xll.mirSwapPV($C$51,$C$52,$C$54,$G61,$C$55,$I61,$C$64,$C$65,$C$66,$C$67,$C$68,$C$69,$C$70,$C$74,$C$75,$D$63+W$76,$D$64,$D$65,$D$66,$D$67,$D$68,$D$69,$D$70,$D$71,$D$72,$D$73,$D$74,$D$75,$C$56,$C$57,$C$58,$C$59,$C$60),"")</f>
        <v>517410.42508690018</v>
      </c>
      <c r="X86" s="255">
        <f ca="1">IF(NOW(),_xll.mirSwapPV($C$51,$C$52,$C$54,$G61,$C$55,$I61,$C$64,$C$65,$C$66,$C$67,$C$68,$C$69,$C$70,$C$74,$C$75,$D$63+X$76,$D$64,$D$65,$D$66,$D$67,$D$68,$D$69,$D$70,$D$71,$D$72,$D$73,$D$74,$D$75,$C$56,$C$57,$C$58,$C$59,$C$60),"")</f>
        <v>646763.03135862527</v>
      </c>
      <c r="Y86" s="229"/>
      <c r="AG86" s="224" t="s">
        <v>24</v>
      </c>
      <c r="AH86" s="255">
        <f ca="1">IF(NOW(),_xll.mirSwapPV($C$51,$C$52,$C$54,$AA61,$C$55,$AC61,$C$64,$C$65,$C$66,$C$67,$C$68,$C$69,$C$70,$C$74,$C$75,$D$63+AH$76,$D$64,$D$65,$D$66,$D$67,$D$68,$D$69,$D$70,$D$71,$D$72,$D$73,$D$74,$D$75,$C$56,$C$57,$C$58,$D$59,$C$60),"")</f>
        <v>-646763.03135862458</v>
      </c>
      <c r="AI86" s="255">
        <f ca="1">IF(NOW(),_xll.mirSwapPV($C$51,$C$52,$C$54,$AA61,$C$55,$AC61,$C$64,$C$65,$C$66,$C$67,$C$68,$C$69,$C$70,$C$74,$C$75,$D$63+AI$76,$D$64,$D$65,$D$66,$D$67,$D$68,$D$69,$D$70,$D$71,$D$72,$D$73,$D$74,$D$75,$C$56,$C$57,$C$58,$D$59,$C$60),"")</f>
        <v>-517410.42508690007</v>
      </c>
      <c r="AJ86" s="255">
        <f ca="1">IF(NOW(),_xll.mirSwapPV($C$51,$C$52,$C$54,$AA61,$C$55,$AC61,$C$64,$C$65,$C$66,$C$67,$C$68,$C$69,$C$70,$C$74,$C$75,$D$63+AJ$76,$D$64,$D$65,$D$66,$D$67,$D$68,$D$69,$D$70,$D$71,$D$72,$D$73,$D$74,$D$75,$C$56,$C$57,$C$58,$D$59,$C$60),"")</f>
        <v>-388057.81881517492</v>
      </c>
      <c r="AK86" s="255">
        <f ca="1">IF(NOW(),_xll.mirSwapPV($C$51,$C$52,$C$54,$AA61,$C$55,$AC61,$C$64,$C$65,$C$66,$C$67,$C$68,$C$69,$C$70,$C$74,$C$75,$D$63+AK$76,$D$64,$D$65,$D$66,$D$67,$D$68,$D$69,$D$70,$D$71,$D$72,$D$73,$D$74,$D$75,$C$56,$C$57,$C$58,$D$59,$C$60),"")</f>
        <v>-258705.21254345009</v>
      </c>
      <c r="AL86" s="255">
        <f ca="1">IF(NOW(),_xll.mirSwapPV($C$51,$C$52,$C$54,$AA61,$C$55,$AC61,$C$64,$C$65,$C$66,$C$67,$C$68,$C$69,$C$70,$C$74,$C$75,$D$63+AL$76,$D$64,$D$65,$D$66,$D$67,$D$68,$D$69,$D$70,$D$71,$D$72,$D$73,$D$74,$D$75,$C$56,$C$57,$C$58,$D$59,$C$60),"")</f>
        <v>-129352.60627172496</v>
      </c>
      <c r="AM86" s="255">
        <f ca="1">IF(NOW(),_xll.mirSwapPV($C$51,$C$52,$C$54,$AA61,$C$55,$AC61,$C$64,$C$65,$C$66,$C$67,$C$68,$C$69,$C$70,$C$74,$C$75,$D$63+AM$76,$D$64,$D$65,$D$66,$D$67,$D$68,$D$69,$D$70,$D$71,$D$72,$D$73,$D$74,$D$75,$C$56,$C$57,$C$58,$D$59,$C$60),"")</f>
        <v>0</v>
      </c>
      <c r="AN86" s="255">
        <f ca="1">IF(NOW(),_xll.mirSwapPV($C$51,$C$52,$C$54,$AA61,$C$55,$AC61,$C$64,$C$65,$C$66,$C$67,$C$68,$C$69,$C$70,$C$74,$C$75,$D$63+AN$76,$D$64,$D$65,$D$66,$D$67,$D$68,$D$69,$D$70,$D$71,$D$72,$D$73,$D$74,$D$75,$C$56,$C$57,$C$58,$D$59,$C$60),"")</f>
        <v>129352.60627172515</v>
      </c>
      <c r="AO86" s="255">
        <f ca="1">IF(NOW(),_xll.mirSwapPV($C$51,$C$52,$C$54,$AA61,$C$55,$AC61,$C$64,$C$65,$C$66,$C$67,$C$68,$C$69,$C$70,$C$74,$C$75,$D$63+AO$76,$D$64,$D$65,$D$66,$D$67,$D$68,$D$69,$D$70,$D$71,$D$72,$D$73,$D$74,$D$75,$C$56,$C$57,$C$58,$D$59,$C$60),"")</f>
        <v>258705.21254345018</v>
      </c>
      <c r="AP86" s="255">
        <f ca="1">IF(NOW(),_xll.mirSwapPV($C$51,$C$52,$C$54,$AA61,$C$55,$AC61,$C$64,$C$65,$C$66,$C$67,$C$68,$C$69,$C$70,$C$74,$C$75,$D$63+AP$76,$D$64,$D$65,$D$66,$D$67,$D$68,$D$69,$D$70,$D$71,$D$72,$D$73,$D$74,$D$75,$C$56,$C$57,$C$58,$D$59,$C$60),"")</f>
        <v>388057.81881517521</v>
      </c>
      <c r="AQ86" s="255">
        <f ca="1">IF(NOW(),_xll.mirSwapPV($C$51,$C$52,$C$54,$AA61,$C$55,$AC61,$C$64,$C$65,$C$66,$C$67,$C$68,$C$69,$C$70,$C$74,$C$75,$D$63+AQ$76,$D$64,$D$65,$D$66,$D$67,$D$68,$D$69,$D$70,$D$71,$D$72,$D$73,$D$74,$D$75,$C$56,$C$57,$C$58,$D$59,$C$60),"")</f>
        <v>517410.42508690018</v>
      </c>
      <c r="AR86" s="255">
        <f ca="1">IF(NOW(),_xll.mirSwapPV($C$51,$C$52,$C$54,$AA61,$C$55,$AC61,$C$64,$C$65,$C$66,$C$67,$C$68,$C$69,$C$70,$C$74,$C$75,$D$63+AR$76,$D$64,$D$65,$D$66,$D$67,$D$68,$D$69,$D$70,$D$71,$D$72,$D$73,$D$74,$D$75,$C$56,$C$57,$C$58,$D$59,$C$60),"")</f>
        <v>646763.03135862527</v>
      </c>
    </row>
    <row r="87" spans="6:44">
      <c r="F87" s="230"/>
      <c r="G87" s="227"/>
      <c r="H87" s="229"/>
      <c r="I87" s="229"/>
      <c r="J87" s="229"/>
      <c r="K87" s="230"/>
      <c r="L87" s="230"/>
      <c r="M87" s="224" t="s">
        <v>20</v>
      </c>
      <c r="N87" s="255">
        <f ca="1">IF(NOW(),_xll.mirSwapPV($C$51,$C$52,$C$54,$G62,$C$55,$I62,$C$64,$C$65,$C$66,$C$67,$C$68,$C$69,$C$70,$C$74,$C$75,$D$63+N$76,$D$64,$D$65,$D$66,$D$67,$D$68,$D$69,$D$70,$D$71,$D$72,$D$73,$D$74,$D$75,$C$56,$C$57,$C$58,$C$59,$C$60),"")</f>
        <v>-804037.65725514793</v>
      </c>
      <c r="O87" s="255">
        <f ca="1">IF(NOW(),_xll.mirSwapPV($C$51,$C$52,$C$54,$G62,$C$55,$I62,$C$64,$C$65,$C$66,$C$67,$C$68,$C$69,$C$70,$C$74,$C$75,$D$63+O$76,$D$64,$D$65,$D$66,$D$67,$D$68,$D$69,$D$70,$D$71,$D$72,$D$73,$D$74,$D$75,$C$56,$C$57,$C$58,$C$59,$C$60),"")</f>
        <v>-643230.12580411846</v>
      </c>
      <c r="P87" s="255">
        <f ca="1">IF(NOW(),_xll.mirSwapPV($C$51,$C$52,$C$54,$G62,$C$55,$I62,$C$64,$C$65,$C$66,$C$67,$C$68,$C$69,$C$70,$C$74,$C$75,$D$63+P$76,$D$64,$D$65,$D$66,$D$67,$D$68,$D$69,$D$70,$D$71,$D$72,$D$73,$D$74,$D$75,$C$56,$C$57,$C$58,$C$59,$C$60),"")</f>
        <v>-482422.59435308882</v>
      </c>
      <c r="Q87" s="255">
        <f ca="1">IF(NOW(),_xll.mirSwapPV($C$51,$C$52,$C$54,$G62,$C$55,$I62,$C$64,$C$65,$C$66,$C$67,$C$68,$C$69,$C$70,$C$74,$C$75,$D$63+Q$76,$D$64,$D$65,$D$66,$D$67,$D$68,$D$69,$D$70,$D$71,$D$72,$D$73,$D$74,$D$75,$C$56,$C$57,$C$58,$C$59,$C$60),"")</f>
        <v>-321615.06290205906</v>
      </c>
      <c r="R87" s="255">
        <f ca="1">IF(NOW(),_xll.mirSwapPV($C$51,$C$52,$C$54,$G62,$C$55,$I62,$C$64,$C$65,$C$66,$C$67,$C$68,$C$69,$C$70,$C$74,$C$75,$D$63+R$76,$D$64,$D$65,$D$66,$D$67,$D$68,$D$69,$D$70,$D$71,$D$72,$D$73,$D$74,$D$75,$C$56,$C$57,$C$58,$C$59,$C$60),"")</f>
        <v>-160807.5314510297</v>
      </c>
      <c r="S87" s="255">
        <f ca="1">IF(NOW(),_xll.mirSwapPV($C$51,$C$52,$C$54,$G62,$C$55,$I62,$C$64,$C$65,$C$66,$C$67,$C$68,$C$69,$C$70,$C$74,$C$75,$D$63+S$76,$D$64,$D$65,$D$66,$D$67,$D$68,$D$69,$D$70,$D$71,$D$72,$D$73,$D$74,$D$75,$C$56,$C$57,$C$58,$C$59,$C$60),"")</f>
        <v>0</v>
      </c>
      <c r="T87" s="255">
        <f ca="1">IF(NOW(),_xll.mirSwapPV($C$51,$C$52,$C$54,$G62,$C$55,$I62,$C$64,$C$65,$C$66,$C$67,$C$68,$C$69,$C$70,$C$74,$C$75,$D$63+T$76,$D$64,$D$65,$D$66,$D$67,$D$68,$D$69,$D$70,$D$71,$D$72,$D$73,$D$74,$D$75,$C$56,$C$57,$C$58,$C$59,$C$60),"")</f>
        <v>160807.53145102976</v>
      </c>
      <c r="U87" s="255">
        <f ca="1">IF(NOW(),_xll.mirSwapPV($C$51,$C$52,$C$54,$G62,$C$55,$I62,$C$64,$C$65,$C$66,$C$67,$C$68,$C$69,$C$70,$C$74,$C$75,$D$63+U$76,$D$64,$D$65,$D$66,$D$67,$D$68,$D$69,$D$70,$D$71,$D$72,$D$73,$D$74,$D$75,$C$56,$C$57,$C$58,$C$59,$C$60),"")</f>
        <v>321615.06290205941</v>
      </c>
      <c r="V87" s="255">
        <f ca="1">IF(NOW(),_xll.mirSwapPV($C$51,$C$52,$C$54,$G62,$C$55,$I62,$C$64,$C$65,$C$66,$C$67,$C$68,$C$69,$C$70,$C$74,$C$75,$D$63+V$76,$D$64,$D$65,$D$66,$D$67,$D$68,$D$69,$D$70,$D$71,$D$72,$D$73,$D$74,$D$75,$C$56,$C$57,$C$58,$C$59,$C$60),"")</f>
        <v>482422.59435308911</v>
      </c>
      <c r="W87" s="255">
        <f ca="1">IF(NOW(),_xll.mirSwapPV($C$51,$C$52,$C$54,$G62,$C$55,$I62,$C$64,$C$65,$C$66,$C$67,$C$68,$C$69,$C$70,$C$74,$C$75,$D$63+W$76,$D$64,$D$65,$D$66,$D$67,$D$68,$D$69,$D$70,$D$71,$D$72,$D$73,$D$74,$D$75,$C$56,$C$57,$C$58,$C$59,$C$60),"")</f>
        <v>643230.12580411881</v>
      </c>
      <c r="X87" s="255">
        <f ca="1">IF(NOW(),_xll.mirSwapPV($C$51,$C$52,$C$54,$G62,$C$55,$I62,$C$64,$C$65,$C$66,$C$67,$C$68,$C$69,$C$70,$C$74,$C$75,$D$63+X$76,$D$64,$D$65,$D$66,$D$67,$D$68,$D$69,$D$70,$D$71,$D$72,$D$73,$D$74,$D$75,$C$56,$C$57,$C$58,$C$59,$C$60),"")</f>
        <v>804037.6572551484</v>
      </c>
      <c r="Y87" s="229"/>
      <c r="AG87" s="224" t="s">
        <v>20</v>
      </c>
      <c r="AH87" s="255">
        <f ca="1">IF(NOW(),_xll.mirSwapPV($C$51,$C$52,$C$54,$AA62,$C$55,$AC62,$C$64,$C$65,$C$66,$C$67,$C$68,$C$69,$C$70,$C$74,$C$75,$D$63+AH$76,$D$64,$D$65,$D$66,$D$67,$D$68,$D$69,$D$70,$D$71,$D$72,$D$73,$D$74,$D$75,$C$56,$C$57,$C$58,$D$59,$C$60),"")</f>
        <v>-804037.6572551477</v>
      </c>
      <c r="AI87" s="255">
        <f ca="1">IF(NOW(),_xll.mirSwapPV($C$51,$C$52,$C$54,$AA62,$C$55,$AC62,$C$64,$C$65,$C$66,$C$67,$C$68,$C$69,$C$70,$C$74,$C$75,$D$63+AI$76,$D$64,$D$65,$D$66,$D$67,$D$68,$D$69,$D$70,$D$71,$D$72,$D$73,$D$74,$D$75,$C$56,$C$57,$C$58,$D$59,$C$60),"")</f>
        <v>-643230.1258041187</v>
      </c>
      <c r="AJ87" s="255">
        <f ca="1">IF(NOW(),_xll.mirSwapPV($C$51,$C$52,$C$54,$AA62,$C$55,$AC62,$C$64,$C$65,$C$66,$C$67,$C$68,$C$69,$C$70,$C$74,$C$75,$D$63+AJ$76,$D$64,$D$65,$D$66,$D$67,$D$68,$D$69,$D$70,$D$71,$D$72,$D$73,$D$74,$D$75,$C$56,$C$57,$C$58,$D$59,$C$60),"")</f>
        <v>-482422.59435308882</v>
      </c>
      <c r="AK87" s="255">
        <f ca="1">IF(NOW(),_xll.mirSwapPV($C$51,$C$52,$C$54,$AA62,$C$55,$AC62,$C$64,$C$65,$C$66,$C$67,$C$68,$C$69,$C$70,$C$74,$C$75,$D$63+AK$76,$D$64,$D$65,$D$66,$D$67,$D$68,$D$69,$D$70,$D$71,$D$72,$D$73,$D$74,$D$75,$C$56,$C$57,$C$58,$D$59,$C$60),"")</f>
        <v>-321615.06290205917</v>
      </c>
      <c r="AL87" s="255">
        <f ca="1">IF(NOW(),_xll.mirSwapPV($C$51,$C$52,$C$54,$AA62,$C$55,$AC62,$C$64,$C$65,$C$66,$C$67,$C$68,$C$69,$C$70,$C$74,$C$75,$D$63+AL$76,$D$64,$D$65,$D$66,$D$67,$D$68,$D$69,$D$70,$D$71,$D$72,$D$73,$D$74,$D$75,$C$56,$C$57,$C$58,$D$59,$C$60),"")</f>
        <v>-160807.53145102982</v>
      </c>
      <c r="AM87" s="255">
        <f ca="1">IF(NOW(),_xll.mirSwapPV($C$51,$C$52,$C$54,$AA62,$C$55,$AC62,$C$64,$C$65,$C$66,$C$67,$C$68,$C$69,$C$70,$C$74,$C$75,$D$63+AM$76,$D$64,$D$65,$D$66,$D$67,$D$68,$D$69,$D$70,$D$71,$D$72,$D$73,$D$74,$D$75,$C$56,$C$57,$C$58,$D$59,$C$60),"")</f>
        <v>0</v>
      </c>
      <c r="AN87" s="255">
        <f ca="1">IF(NOW(),_xll.mirSwapPV($C$51,$C$52,$C$54,$AA62,$C$55,$AC62,$C$64,$C$65,$C$66,$C$67,$C$68,$C$69,$C$70,$C$74,$C$75,$D$63+AN$76,$D$64,$D$65,$D$66,$D$67,$D$68,$D$69,$D$70,$D$71,$D$72,$D$73,$D$74,$D$75,$C$56,$C$57,$C$58,$D$59,$C$60),"")</f>
        <v>160807.53145102988</v>
      </c>
      <c r="AO87" s="255">
        <f ca="1">IF(NOW(),_xll.mirSwapPV($C$51,$C$52,$C$54,$AA62,$C$55,$AC62,$C$64,$C$65,$C$66,$C$67,$C$68,$C$69,$C$70,$C$74,$C$75,$D$63+AO$76,$D$64,$D$65,$D$66,$D$67,$D$68,$D$69,$D$70,$D$71,$D$72,$D$73,$D$74,$D$75,$C$56,$C$57,$C$58,$D$59,$C$60),"")</f>
        <v>321615.06290205941</v>
      </c>
      <c r="AP87" s="255">
        <f ca="1">IF(NOW(),_xll.mirSwapPV($C$51,$C$52,$C$54,$AA62,$C$55,$AC62,$C$64,$C$65,$C$66,$C$67,$C$68,$C$69,$C$70,$C$74,$C$75,$D$63+AP$76,$D$64,$D$65,$D$66,$D$67,$D$68,$D$69,$D$70,$D$71,$D$72,$D$73,$D$74,$D$75,$C$56,$C$57,$C$58,$D$59,$C$60),"")</f>
        <v>482422.59435308917</v>
      </c>
      <c r="AQ87" s="255">
        <f ca="1">IF(NOW(),_xll.mirSwapPV($C$51,$C$52,$C$54,$AA62,$C$55,$AC62,$C$64,$C$65,$C$66,$C$67,$C$68,$C$69,$C$70,$C$74,$C$75,$D$63+AQ$76,$D$64,$D$65,$D$66,$D$67,$D$68,$D$69,$D$70,$D$71,$D$72,$D$73,$D$74,$D$75,$C$56,$C$57,$C$58,$D$59,$C$60),"")</f>
        <v>643230.1258041187</v>
      </c>
      <c r="AR87" s="255">
        <f ca="1">IF(NOW(),_xll.mirSwapPV($C$51,$C$52,$C$54,$AA62,$C$55,$AC62,$C$64,$C$65,$C$66,$C$67,$C$68,$C$69,$C$70,$C$74,$C$75,$D$63+AR$76,$D$64,$D$65,$D$66,$D$67,$D$68,$D$69,$D$70,$D$71,$D$72,$D$73,$D$74,$D$75,$C$56,$C$57,$C$58,$D$59,$C$60),"")</f>
        <v>804037.6572551484</v>
      </c>
    </row>
    <row r="88" spans="6:44">
      <c r="F88" s="230"/>
      <c r="G88" s="227"/>
      <c r="H88" s="229"/>
      <c r="I88" s="229"/>
      <c r="J88" s="229"/>
      <c r="K88" s="230"/>
      <c r="L88" s="230"/>
      <c r="M88" s="224" t="s">
        <v>18</v>
      </c>
      <c r="N88" s="255">
        <f ca="1">IF(NOW(),_xll.mirSwapPV($C$51,$C$52,$C$54,$G63,$C$55,$I63,$C$64,$C$65,$C$66,$C$67,$C$68,$C$69,$C$70,$C$74,$C$75,$D$63+N$76,$D$64,$D$65,$D$66,$D$67,$D$68,$D$69,$D$70,$D$71,$D$72,$D$73,$D$74,$D$75,$C$56,$C$57,$C$58,$C$59,$C$60),"")</f>
        <v>-938667.92003639555</v>
      </c>
      <c r="O88" s="255">
        <f ca="1">IF(NOW(),_xll.mirSwapPV($C$51,$C$52,$C$54,$G63,$C$55,$I63,$C$64,$C$65,$C$66,$C$67,$C$68,$C$69,$C$70,$C$74,$C$75,$D$63+O$76,$D$64,$D$65,$D$66,$D$67,$D$68,$D$69,$D$70,$D$71,$D$72,$D$73,$D$74,$D$75,$C$56,$C$57,$C$58,$C$59,$C$60),"")</f>
        <v>-750934.33602911618</v>
      </c>
      <c r="P88" s="255">
        <f ca="1">IF(NOW(),_xll.mirSwapPV($C$51,$C$52,$C$54,$G63,$C$55,$I63,$C$64,$C$65,$C$66,$C$67,$C$68,$C$69,$C$70,$C$74,$C$75,$D$63+P$76,$D$64,$D$65,$D$66,$D$67,$D$68,$D$69,$D$70,$D$71,$D$72,$D$73,$D$74,$D$75,$C$56,$C$57,$C$58,$C$59,$C$60),"")</f>
        <v>-563200.75202183705</v>
      </c>
      <c r="Q88" s="255">
        <f ca="1">IF(NOW(),_xll.mirSwapPV($C$51,$C$52,$C$54,$G63,$C$55,$I63,$C$64,$C$65,$C$66,$C$67,$C$68,$C$69,$C$70,$C$74,$C$75,$D$63+Q$76,$D$64,$D$65,$D$66,$D$67,$D$68,$D$69,$D$70,$D$71,$D$72,$D$73,$D$74,$D$75,$C$56,$C$57,$C$58,$C$59,$C$60),"")</f>
        <v>-375467.16801455768</v>
      </c>
      <c r="R88" s="255">
        <f ca="1">IF(NOW(),_xll.mirSwapPV($C$51,$C$52,$C$54,$G63,$C$55,$I63,$C$64,$C$65,$C$66,$C$67,$C$68,$C$69,$C$70,$C$74,$C$75,$D$63+R$76,$D$64,$D$65,$D$66,$D$67,$D$68,$D$69,$D$70,$D$71,$D$72,$D$73,$D$74,$D$75,$C$56,$C$57,$C$58,$C$59,$C$60),"")</f>
        <v>-187733.58400727945</v>
      </c>
      <c r="S88" s="255">
        <f ca="1">IF(NOW(),_xll.mirSwapPV($C$51,$C$52,$C$54,$G63,$C$55,$I63,$C$64,$C$65,$C$66,$C$67,$C$68,$C$69,$C$70,$C$74,$C$75,$D$63+S$76,$D$64,$D$65,$D$66,$D$67,$D$68,$D$69,$D$70,$D$71,$D$72,$D$73,$D$74,$D$75,$C$56,$C$57,$C$58,$C$59,$C$60),"")</f>
        <v>0</v>
      </c>
      <c r="T88" s="255">
        <f ca="1">IF(NOW(),_xll.mirSwapPV($C$51,$C$52,$C$54,$G63,$C$55,$I63,$C$64,$C$65,$C$66,$C$67,$C$68,$C$69,$C$70,$C$74,$C$75,$D$63+T$76,$D$64,$D$65,$D$66,$D$67,$D$68,$D$69,$D$70,$D$71,$D$72,$D$73,$D$74,$D$75,$C$56,$C$57,$C$58,$C$59,$C$60),"")</f>
        <v>187733.58400727937</v>
      </c>
      <c r="U88" s="255">
        <f ca="1">IF(NOW(),_xll.mirSwapPV($C$51,$C$52,$C$54,$G63,$C$55,$I63,$C$64,$C$65,$C$66,$C$67,$C$68,$C$69,$C$70,$C$74,$C$75,$D$63+U$76,$D$64,$D$65,$D$66,$D$67,$D$68,$D$69,$D$70,$D$71,$D$72,$D$73,$D$74,$D$75,$C$56,$C$57,$C$58,$C$59,$C$60),"")</f>
        <v>375467.16801455838</v>
      </c>
      <c r="V88" s="255">
        <f ca="1">IF(NOW(),_xll.mirSwapPV($C$51,$C$52,$C$54,$G63,$C$55,$I63,$C$64,$C$65,$C$66,$C$67,$C$68,$C$69,$C$70,$C$74,$C$75,$D$63+V$76,$D$64,$D$65,$D$66,$D$67,$D$68,$D$69,$D$70,$D$71,$D$72,$D$73,$D$74,$D$75,$C$56,$C$57,$C$58,$C$59,$C$60),"")</f>
        <v>563200.75202183763</v>
      </c>
      <c r="W88" s="255">
        <f ca="1">IF(NOW(),_xll.mirSwapPV($C$51,$C$52,$C$54,$G63,$C$55,$I63,$C$64,$C$65,$C$66,$C$67,$C$68,$C$69,$C$70,$C$74,$C$75,$D$63+W$76,$D$64,$D$65,$D$66,$D$67,$D$68,$D$69,$D$70,$D$71,$D$72,$D$73,$D$74,$D$75,$C$56,$C$57,$C$58,$C$59,$C$60),"")</f>
        <v>750934.33602911676</v>
      </c>
      <c r="X88" s="255">
        <f ca="1">IF(NOW(),_xll.mirSwapPV($C$51,$C$52,$C$54,$G63,$C$55,$I63,$C$64,$C$65,$C$66,$C$67,$C$68,$C$69,$C$70,$C$74,$C$75,$D$63+X$76,$D$64,$D$65,$D$66,$D$67,$D$68,$D$69,$D$70,$D$71,$D$72,$D$73,$D$74,$D$75,$C$56,$C$57,$C$58,$C$59,$C$60),"")</f>
        <v>938667.9200363959</v>
      </c>
      <c r="Y88" s="229"/>
      <c r="AG88" s="224" t="s">
        <v>18</v>
      </c>
      <c r="AH88" s="255">
        <f ca="1">IF(NOW(),_xll.mirSwapPV($C$51,$C$52,$C$54,$AA63,$C$55,$AC63,$C$64,$C$65,$C$66,$C$67,$C$68,$C$69,$C$70,$C$74,$C$75,$D$63+AH$76,$D$64,$D$65,$D$66,$D$67,$D$68,$D$69,$D$70,$D$71,$D$72,$D$73,$D$74,$D$75,$C$56,$C$57,$C$58,$D$59,$C$60),"")</f>
        <v>-938667.9200363959</v>
      </c>
      <c r="AI88" s="255">
        <f ca="1">IF(NOW(),_xll.mirSwapPV($C$51,$C$52,$C$54,$AA63,$C$55,$AC63,$C$64,$C$65,$C$66,$C$67,$C$68,$C$69,$C$70,$C$74,$C$75,$D$63+AI$76,$D$64,$D$65,$D$66,$D$67,$D$68,$D$69,$D$70,$D$71,$D$72,$D$73,$D$74,$D$75,$C$56,$C$57,$C$58,$D$59,$C$60),"")</f>
        <v>-750934.3360291163</v>
      </c>
      <c r="AJ88" s="255">
        <f ca="1">IF(NOW(),_xll.mirSwapPV($C$51,$C$52,$C$54,$AA63,$C$55,$AC63,$C$64,$C$65,$C$66,$C$67,$C$68,$C$69,$C$70,$C$74,$C$75,$D$63+AJ$76,$D$64,$D$65,$D$66,$D$67,$D$68,$D$69,$D$70,$D$71,$D$72,$D$73,$D$74,$D$75,$C$56,$C$57,$C$58,$D$59,$C$60),"")</f>
        <v>-563200.75202183786</v>
      </c>
      <c r="AK88" s="255">
        <f ca="1">IF(NOW(),_xll.mirSwapPV($C$51,$C$52,$C$54,$AA63,$C$55,$AC63,$C$64,$C$65,$C$66,$C$67,$C$68,$C$69,$C$70,$C$74,$C$75,$D$63+AK$76,$D$64,$D$65,$D$66,$D$67,$D$68,$D$69,$D$70,$D$71,$D$72,$D$73,$D$74,$D$75,$C$56,$C$57,$C$58,$D$59,$C$60),"")</f>
        <v>-375467.1680145585</v>
      </c>
      <c r="AL88" s="255">
        <f ca="1">IF(NOW(),_xll.mirSwapPV($C$51,$C$52,$C$54,$AA63,$C$55,$AC63,$C$64,$C$65,$C$66,$C$67,$C$68,$C$69,$C$70,$C$74,$C$75,$D$63+AL$76,$D$64,$D$65,$D$66,$D$67,$D$68,$D$69,$D$70,$D$71,$D$72,$D$73,$D$74,$D$75,$C$56,$C$57,$C$58,$D$59,$C$60),"")</f>
        <v>-187733.5840072798</v>
      </c>
      <c r="AM88" s="255">
        <f ca="1">IF(NOW(),_xll.mirSwapPV($C$51,$C$52,$C$54,$AA63,$C$55,$AC63,$C$64,$C$65,$C$66,$C$67,$C$68,$C$69,$C$70,$C$74,$C$75,$D$63+AM$76,$D$64,$D$65,$D$66,$D$67,$D$68,$D$69,$D$70,$D$71,$D$72,$D$73,$D$74,$D$75,$C$56,$C$57,$C$58,$D$59,$C$60),"")</f>
        <v>0</v>
      </c>
      <c r="AN88" s="255">
        <f ca="1">IF(NOW(),_xll.mirSwapPV($C$51,$C$52,$C$54,$AA63,$C$55,$AC63,$C$64,$C$65,$C$66,$C$67,$C$68,$C$69,$C$70,$C$74,$C$75,$D$63+AN$76,$D$64,$D$65,$D$66,$D$67,$D$68,$D$69,$D$70,$D$71,$D$72,$D$73,$D$74,$D$75,$C$56,$C$57,$C$58,$D$59,$C$60),"")</f>
        <v>187733.58400727931</v>
      </c>
      <c r="AO88" s="255">
        <f ca="1">IF(NOW(),_xll.mirSwapPV($C$51,$C$52,$C$54,$AA63,$C$55,$AC63,$C$64,$C$65,$C$66,$C$67,$C$68,$C$69,$C$70,$C$74,$C$75,$D$63+AO$76,$D$64,$D$65,$D$66,$D$67,$D$68,$D$69,$D$70,$D$71,$D$72,$D$73,$D$74,$D$75,$C$56,$C$57,$C$58,$D$59,$C$60),"")</f>
        <v>375467.16801455821</v>
      </c>
      <c r="AP88" s="255">
        <f ca="1">IF(NOW(),_xll.mirSwapPV($C$51,$C$52,$C$54,$AA63,$C$55,$AC63,$C$64,$C$65,$C$66,$C$67,$C$68,$C$69,$C$70,$C$74,$C$75,$D$63+AP$76,$D$64,$D$65,$D$66,$D$67,$D$68,$D$69,$D$70,$D$71,$D$72,$D$73,$D$74,$D$75,$C$56,$C$57,$C$58,$D$59,$C$60),"")</f>
        <v>563200.7520218374</v>
      </c>
      <c r="AQ88" s="255">
        <f ca="1">IF(NOW(),_xll.mirSwapPV($C$51,$C$52,$C$54,$AA63,$C$55,$AC63,$C$64,$C$65,$C$66,$C$67,$C$68,$C$69,$C$70,$C$74,$C$75,$D$63+AQ$76,$D$64,$D$65,$D$66,$D$67,$D$68,$D$69,$D$70,$D$71,$D$72,$D$73,$D$74,$D$75,$C$56,$C$57,$C$58,$D$59,$C$60),"")</f>
        <v>750934.33602911641</v>
      </c>
      <c r="AR88" s="255">
        <f ca="1">IF(NOW(),_xll.mirSwapPV($C$51,$C$52,$C$54,$AA63,$C$55,$AC63,$C$64,$C$65,$C$66,$C$67,$C$68,$C$69,$C$70,$C$74,$C$75,$D$63+AR$76,$D$64,$D$65,$D$66,$D$67,$D$68,$D$69,$D$70,$D$71,$D$72,$D$73,$D$74,$D$75,$C$56,$C$57,$C$58,$D$59,$C$60),"")</f>
        <v>938667.92003639566</v>
      </c>
    </row>
    <row r="89" spans="6:44">
      <c r="F89" s="230"/>
      <c r="G89" s="227"/>
      <c r="H89" s="229"/>
      <c r="I89" s="229"/>
      <c r="J89" s="229"/>
      <c r="K89" s="230"/>
      <c r="L89" s="230"/>
      <c r="M89" s="224" t="s">
        <v>17</v>
      </c>
      <c r="N89" s="255">
        <f ca="1">IF(NOW(),_xll.mirSwapPV($C$51,$C$52,$C$54,$G64,$C$55,$I64,$C$64,$C$65,$C$66,$C$67,$C$68,$C$69,$C$70,$C$74,$C$75,$D$63+N$76,$D$64,$D$65,$D$66,$D$67,$D$68,$D$69,$D$70,$D$71,$D$72,$D$73,$D$74,$D$75,$C$56,$C$57,$C$58,$C$59,$C$60),"")</f>
        <v>-1054277.2388134073</v>
      </c>
      <c r="O89" s="255">
        <f ca="1">IF(NOW(),_xll.mirSwapPV($C$51,$C$52,$C$54,$G64,$C$55,$I64,$C$64,$C$65,$C$66,$C$67,$C$68,$C$69,$C$70,$C$74,$C$75,$D$63+O$76,$D$64,$D$65,$D$66,$D$67,$D$68,$D$69,$D$70,$D$71,$D$72,$D$73,$D$74,$D$75,$C$56,$C$57,$C$58,$C$59,$C$60),"")</f>
        <v>-843421.79105072538</v>
      </c>
      <c r="P89" s="255">
        <f ca="1">IF(NOW(),_xll.mirSwapPV($C$51,$C$52,$C$54,$G64,$C$55,$I64,$C$64,$C$65,$C$66,$C$67,$C$68,$C$69,$C$70,$C$74,$C$75,$D$63+P$76,$D$64,$D$65,$D$66,$D$67,$D$68,$D$69,$D$70,$D$71,$D$72,$D$73,$D$74,$D$75,$C$56,$C$57,$C$58,$C$59,$C$60),"")</f>
        <v>-632566.34328804398</v>
      </c>
      <c r="Q89" s="255">
        <f ca="1">IF(NOW(),_xll.mirSwapPV($C$51,$C$52,$C$54,$G64,$C$55,$I64,$C$64,$C$65,$C$66,$C$67,$C$68,$C$69,$C$70,$C$74,$C$75,$D$63+Q$76,$D$64,$D$65,$D$66,$D$67,$D$68,$D$69,$D$70,$D$71,$D$72,$D$73,$D$74,$D$75,$C$56,$C$57,$C$58,$C$59,$C$60),"")</f>
        <v>-421710.89552536234</v>
      </c>
      <c r="R89" s="255">
        <f ca="1">IF(NOW(),_xll.mirSwapPV($C$51,$C$52,$C$54,$G64,$C$55,$I64,$C$64,$C$65,$C$66,$C$67,$C$68,$C$69,$C$70,$C$74,$C$75,$D$63+R$76,$D$64,$D$65,$D$66,$D$67,$D$68,$D$69,$D$70,$D$71,$D$72,$D$73,$D$74,$D$75,$C$56,$C$57,$C$58,$C$59,$C$60),"")</f>
        <v>-210855.44776268172</v>
      </c>
      <c r="S89" s="255">
        <f ca="1">IF(NOW(),_xll.mirSwapPV($C$51,$C$52,$C$54,$G64,$C$55,$I64,$C$64,$C$65,$C$66,$C$67,$C$68,$C$69,$C$70,$C$74,$C$75,$D$63+S$76,$D$64,$D$65,$D$66,$D$67,$D$68,$D$69,$D$70,$D$71,$D$72,$D$73,$D$74,$D$75,$C$56,$C$57,$C$58,$C$59,$C$60),"")</f>
        <v>0</v>
      </c>
      <c r="T89" s="255">
        <f ca="1">IF(NOW(),_xll.mirSwapPV($C$51,$C$52,$C$54,$G64,$C$55,$I64,$C$64,$C$65,$C$66,$C$67,$C$68,$C$69,$C$70,$C$74,$C$75,$D$63+T$76,$D$64,$D$65,$D$66,$D$67,$D$68,$D$69,$D$70,$D$71,$D$72,$D$73,$D$74,$D$75,$C$56,$C$57,$C$58,$C$59,$C$60),"")</f>
        <v>210855.44776268172</v>
      </c>
      <c r="U89" s="255">
        <f ca="1">IF(NOW(),_xll.mirSwapPV($C$51,$C$52,$C$54,$G64,$C$55,$I64,$C$64,$C$65,$C$66,$C$67,$C$68,$C$69,$C$70,$C$74,$C$75,$D$63+U$76,$D$64,$D$65,$D$66,$D$67,$D$68,$D$69,$D$70,$D$71,$D$72,$D$73,$D$74,$D$75,$C$56,$C$57,$C$58,$C$59,$C$60),"")</f>
        <v>421710.8955253631</v>
      </c>
      <c r="V89" s="255">
        <f ca="1">IF(NOW(),_xll.mirSwapPV($C$51,$C$52,$C$54,$G64,$C$55,$I64,$C$64,$C$65,$C$66,$C$67,$C$68,$C$69,$C$70,$C$74,$C$75,$D$63+V$76,$D$64,$D$65,$D$66,$D$67,$D$68,$D$69,$D$70,$D$71,$D$72,$D$73,$D$74,$D$75,$C$56,$C$57,$C$58,$C$59,$C$60),"")</f>
        <v>632566.34328804479</v>
      </c>
      <c r="W89" s="255">
        <f ca="1">IF(NOW(),_xll.mirSwapPV($C$51,$C$52,$C$54,$G64,$C$55,$I64,$C$64,$C$65,$C$66,$C$67,$C$68,$C$69,$C$70,$C$74,$C$75,$D$63+W$76,$D$64,$D$65,$D$66,$D$67,$D$68,$D$69,$D$70,$D$71,$D$72,$D$73,$D$74,$D$75,$C$56,$C$57,$C$58,$C$59,$C$60),"")</f>
        <v>843421.7910507262</v>
      </c>
      <c r="X89" s="255">
        <f ca="1">IF(NOW(),_xll.mirSwapPV($C$51,$C$52,$C$54,$G64,$C$55,$I64,$C$64,$C$65,$C$66,$C$67,$C$68,$C$69,$C$70,$C$74,$C$75,$D$63+X$76,$D$64,$D$65,$D$66,$D$67,$D$68,$D$69,$D$70,$D$71,$D$72,$D$73,$D$74,$D$75,$C$56,$C$57,$C$58,$C$59,$C$60),"")</f>
        <v>1054277.2388134082</v>
      </c>
      <c r="Y89" s="229"/>
      <c r="AG89" s="224" t="s">
        <v>17</v>
      </c>
      <c r="AH89" s="255">
        <f ca="1">IF(NOW(),_xll.mirSwapPV($C$51,$C$52,$C$54,$AA64,$C$55,$AC64,$C$64,$C$65,$C$66,$C$67,$C$68,$C$69,$C$70,$C$74,$C$75,$D$63+AH$76,$D$64,$D$65,$D$66,$D$67,$D$68,$D$69,$D$70,$D$71,$D$72,$D$73,$D$74,$D$75,$C$56,$C$57,$C$58,$D$59,$C$60),"")</f>
        <v>-1054277.238813408</v>
      </c>
      <c r="AI89" s="255">
        <f ca="1">IF(NOW(),_xll.mirSwapPV($C$51,$C$52,$C$54,$AA64,$C$55,$AC64,$C$64,$C$65,$C$66,$C$67,$C$68,$C$69,$C$70,$C$74,$C$75,$D$63+AI$76,$D$64,$D$65,$D$66,$D$67,$D$68,$D$69,$D$70,$D$71,$D$72,$D$73,$D$74,$D$75,$C$56,$C$57,$C$58,$D$59,$C$60),"")</f>
        <v>-843421.79105072562</v>
      </c>
      <c r="AJ89" s="255">
        <f ca="1">IF(NOW(),_xll.mirSwapPV($C$51,$C$52,$C$54,$AA64,$C$55,$AC64,$C$64,$C$65,$C$66,$C$67,$C$68,$C$69,$C$70,$C$74,$C$75,$D$63+AJ$76,$D$64,$D$65,$D$66,$D$67,$D$68,$D$69,$D$70,$D$71,$D$72,$D$73,$D$74,$D$75,$C$56,$C$57,$C$58,$D$59,$C$60),"")</f>
        <v>-632566.34328804526</v>
      </c>
      <c r="AK89" s="255">
        <f ca="1">IF(NOW(),_xll.mirSwapPV($C$51,$C$52,$C$54,$AA64,$C$55,$AC64,$C$64,$C$65,$C$66,$C$67,$C$68,$C$69,$C$70,$C$74,$C$75,$D$63+AK$76,$D$64,$D$65,$D$66,$D$67,$D$68,$D$69,$D$70,$D$71,$D$72,$D$73,$D$74,$D$75,$C$56,$C$57,$C$58,$D$59,$C$60),"")</f>
        <v>-421710.89552536298</v>
      </c>
      <c r="AL89" s="255">
        <f ca="1">IF(NOW(),_xll.mirSwapPV($C$51,$C$52,$C$54,$AA64,$C$55,$AC64,$C$64,$C$65,$C$66,$C$67,$C$68,$C$69,$C$70,$C$74,$C$75,$D$63+AL$76,$D$64,$D$65,$D$66,$D$67,$D$68,$D$69,$D$70,$D$71,$D$72,$D$73,$D$74,$D$75,$C$56,$C$57,$C$58,$D$59,$C$60),"")</f>
        <v>-210855.44776268251</v>
      </c>
      <c r="AM89" s="255">
        <f ca="1">IF(NOW(),_xll.mirSwapPV($C$51,$C$52,$C$54,$AA64,$C$55,$AC64,$C$64,$C$65,$C$66,$C$67,$C$68,$C$69,$C$70,$C$74,$C$75,$D$63+AM$76,$D$64,$D$65,$D$66,$D$67,$D$68,$D$69,$D$70,$D$71,$D$72,$D$73,$D$74,$D$75,$C$56,$C$57,$C$58,$D$59,$C$60),"")</f>
        <v>0</v>
      </c>
      <c r="AN89" s="255">
        <f ca="1">IF(NOW(),_xll.mirSwapPV($C$51,$C$52,$C$54,$AA64,$C$55,$AC64,$C$64,$C$65,$C$66,$C$67,$C$68,$C$69,$C$70,$C$74,$C$75,$D$63+AN$76,$D$64,$D$65,$D$66,$D$67,$D$68,$D$69,$D$70,$D$71,$D$72,$D$73,$D$74,$D$75,$C$56,$C$57,$C$58,$D$59,$C$60),"")</f>
        <v>210855.44776268149</v>
      </c>
      <c r="AO89" s="255">
        <f ca="1">IF(NOW(),_xll.mirSwapPV($C$51,$C$52,$C$54,$AA64,$C$55,$AC64,$C$64,$C$65,$C$66,$C$67,$C$68,$C$69,$C$70,$C$74,$C$75,$D$63+AO$76,$D$64,$D$65,$D$66,$D$67,$D$68,$D$69,$D$70,$D$71,$D$72,$D$73,$D$74,$D$75,$C$56,$C$57,$C$58,$D$59,$C$60),"")</f>
        <v>421710.89552536281</v>
      </c>
      <c r="AP89" s="255">
        <f ca="1">IF(NOW(),_xll.mirSwapPV($C$51,$C$52,$C$54,$AA64,$C$55,$AC64,$C$64,$C$65,$C$66,$C$67,$C$68,$C$69,$C$70,$C$74,$C$75,$D$63+AP$76,$D$64,$D$65,$D$66,$D$67,$D$68,$D$69,$D$70,$D$71,$D$72,$D$73,$D$74,$D$75,$C$56,$C$57,$C$58,$D$59,$C$60),"")</f>
        <v>632566.34328804445</v>
      </c>
      <c r="AQ89" s="255">
        <f ca="1">IF(NOW(),_xll.mirSwapPV($C$51,$C$52,$C$54,$AA64,$C$55,$AC64,$C$64,$C$65,$C$66,$C$67,$C$68,$C$69,$C$70,$C$74,$C$75,$D$63+AQ$76,$D$64,$D$65,$D$66,$D$67,$D$68,$D$69,$D$70,$D$71,$D$72,$D$73,$D$74,$D$75,$C$56,$C$57,$C$58,$D$59,$C$60),"")</f>
        <v>843421.79105072573</v>
      </c>
      <c r="AR89" s="255">
        <f ca="1">IF(NOW(),_xll.mirSwapPV($C$51,$C$52,$C$54,$AA64,$C$55,$AC64,$C$64,$C$65,$C$66,$C$67,$C$68,$C$69,$C$70,$C$74,$C$75,$D$63+AR$76,$D$64,$D$65,$D$66,$D$67,$D$68,$D$69,$D$70,$D$71,$D$72,$D$73,$D$74,$D$75,$C$56,$C$57,$C$58,$D$59,$C$60),"")</f>
        <v>1054277.2388134075</v>
      </c>
    </row>
    <row r="90" spans="6:44">
      <c r="F90" s="230"/>
      <c r="G90" s="227"/>
      <c r="H90" s="229"/>
      <c r="I90" s="229"/>
      <c r="J90" s="229"/>
      <c r="K90" s="230"/>
      <c r="L90" s="230"/>
      <c r="M90" s="224" t="s">
        <v>15</v>
      </c>
      <c r="N90" s="255">
        <f ca="1">IF(NOW(),_xll.mirSwapPV($C$51,$C$52,$C$54,$G65,$C$55,$I65,$C$64,$C$65,$C$66,$C$67,$C$68,$C$69,$C$70,$C$74,$C$75,$D$63+N$76,$D$64,$D$65,$D$66,$D$67,$D$68,$D$69,$D$70,$D$71,$D$72,$D$73,$D$74,$D$75,$C$56,$C$57,$C$58,$C$59,$C$60),"")</f>
        <v>-1239840.6415149069</v>
      </c>
      <c r="O90" s="255">
        <f ca="1">IF(NOW(),_xll.mirSwapPV($C$51,$C$52,$C$54,$G65,$C$55,$I65,$C$64,$C$65,$C$66,$C$67,$C$68,$C$69,$C$70,$C$74,$C$75,$D$63+O$76,$D$64,$D$65,$D$66,$D$67,$D$68,$D$69,$D$70,$D$71,$D$72,$D$73,$D$74,$D$75,$C$56,$C$57,$C$58,$C$59,$C$60),"")</f>
        <v>-991872.51321192528</v>
      </c>
      <c r="P90" s="255">
        <f ca="1">IF(NOW(),_xll.mirSwapPV($C$51,$C$52,$C$54,$G65,$C$55,$I65,$C$64,$C$65,$C$66,$C$67,$C$68,$C$69,$C$70,$C$74,$C$75,$D$63+P$76,$D$64,$D$65,$D$66,$D$67,$D$68,$D$69,$D$70,$D$71,$D$72,$D$73,$D$74,$D$75,$C$56,$C$57,$C$58,$C$59,$C$60),"")</f>
        <v>-743904.38490894309</v>
      </c>
      <c r="Q90" s="255">
        <f ca="1">IF(NOW(),_xll.mirSwapPV($C$51,$C$52,$C$54,$G65,$C$55,$I65,$C$64,$C$65,$C$66,$C$67,$C$68,$C$69,$C$70,$C$74,$C$75,$D$63+Q$76,$D$64,$D$65,$D$66,$D$67,$D$68,$D$69,$D$70,$D$71,$D$72,$D$73,$D$74,$D$75,$C$56,$C$57,$C$58,$C$59,$C$60),"")</f>
        <v>-495936.25660596177</v>
      </c>
      <c r="R90" s="255">
        <f ca="1">IF(NOW(),_xll.mirSwapPV($C$51,$C$52,$C$54,$G65,$C$55,$I65,$C$64,$C$65,$C$66,$C$67,$C$68,$C$69,$C$70,$C$74,$C$75,$D$63+R$76,$D$64,$D$65,$D$66,$D$67,$D$68,$D$69,$D$70,$D$71,$D$72,$D$73,$D$74,$D$75,$C$56,$C$57,$C$58,$C$59,$C$60),"")</f>
        <v>-247968.12830298155</v>
      </c>
      <c r="S90" s="255">
        <f ca="1">IF(NOW(),_xll.mirSwapPV($C$51,$C$52,$C$54,$G65,$C$55,$I65,$C$64,$C$65,$C$66,$C$67,$C$68,$C$69,$C$70,$C$74,$C$75,$D$63+S$76,$D$64,$D$65,$D$66,$D$67,$D$68,$D$69,$D$70,$D$71,$D$72,$D$73,$D$74,$D$75,$C$56,$C$57,$C$58,$C$59,$C$60),"")</f>
        <v>0</v>
      </c>
      <c r="T90" s="255">
        <f ca="1">IF(NOW(),_xll.mirSwapPV($C$51,$C$52,$C$54,$G65,$C$55,$I65,$C$64,$C$65,$C$66,$C$67,$C$68,$C$69,$C$70,$C$74,$C$75,$D$63+T$76,$D$64,$D$65,$D$66,$D$67,$D$68,$D$69,$D$70,$D$71,$D$72,$D$73,$D$74,$D$75,$C$56,$C$57,$C$58,$C$59,$C$60),"")</f>
        <v>247968.12830298214</v>
      </c>
      <c r="U90" s="255">
        <f ca="1">IF(NOW(),_xll.mirSwapPV($C$51,$C$52,$C$54,$G65,$C$55,$I65,$C$64,$C$65,$C$66,$C$67,$C$68,$C$69,$C$70,$C$74,$C$75,$D$63+U$76,$D$64,$D$65,$D$66,$D$67,$D$68,$D$69,$D$70,$D$71,$D$72,$D$73,$D$74,$D$75,$C$56,$C$57,$C$58,$C$59,$C$60),"")</f>
        <v>495936.2566059634</v>
      </c>
      <c r="V90" s="255">
        <f ca="1">IF(NOW(),_xll.mirSwapPV($C$51,$C$52,$C$54,$G65,$C$55,$I65,$C$64,$C$65,$C$66,$C$67,$C$68,$C$69,$C$70,$C$74,$C$75,$D$63+V$76,$D$64,$D$65,$D$66,$D$67,$D$68,$D$69,$D$70,$D$71,$D$72,$D$73,$D$74,$D$75,$C$56,$C$57,$C$58,$C$59,$C$60),"")</f>
        <v>743904.38490894507</v>
      </c>
      <c r="W90" s="255">
        <f ca="1">IF(NOW(),_xll.mirSwapPV($C$51,$C$52,$C$54,$G65,$C$55,$I65,$C$64,$C$65,$C$66,$C$67,$C$68,$C$69,$C$70,$C$74,$C$75,$D$63+W$76,$D$64,$D$65,$D$66,$D$67,$D$68,$D$69,$D$70,$D$71,$D$72,$D$73,$D$74,$D$75,$C$56,$C$57,$C$58,$C$59,$C$60),"")</f>
        <v>991872.51321192645</v>
      </c>
      <c r="X90" s="255">
        <f ca="1">IF(NOW(),_xll.mirSwapPV($C$51,$C$52,$C$54,$G65,$C$55,$I65,$C$64,$C$65,$C$66,$C$67,$C$68,$C$69,$C$70,$C$74,$C$75,$D$63+X$76,$D$64,$D$65,$D$66,$D$67,$D$68,$D$69,$D$70,$D$71,$D$72,$D$73,$D$74,$D$75,$C$56,$C$57,$C$58,$C$59,$C$60),"")</f>
        <v>1239840.6415149078</v>
      </c>
      <c r="Y90" s="229"/>
      <c r="AG90" s="224" t="s">
        <v>15</v>
      </c>
      <c r="AH90" s="255">
        <f ca="1">IF(NOW(),_xll.mirSwapPV($C$51,$C$52,$C$54,$AA65,$C$55,$AC65,$C$64,$C$65,$C$66,$C$67,$C$68,$C$69,$C$70,$C$74,$C$75,$D$63+AH$76,$D$64,$D$65,$D$66,$D$67,$D$68,$D$69,$D$70,$D$71,$D$72,$D$73,$D$74,$D$75,$C$56,$C$57,$C$58,$D$59,$C$60),"")</f>
        <v>-1239840.6415149074</v>
      </c>
      <c r="AI90" s="255">
        <f ca="1">IF(NOW(),_xll.mirSwapPV($C$51,$C$52,$C$54,$AA65,$C$55,$AC65,$C$64,$C$65,$C$66,$C$67,$C$68,$C$69,$C$70,$C$74,$C$75,$D$63+AI$76,$D$64,$D$65,$D$66,$D$67,$D$68,$D$69,$D$70,$D$71,$D$72,$D$73,$D$74,$D$75,$C$56,$C$57,$C$58,$D$59,$C$60),"")</f>
        <v>-991872.51321192575</v>
      </c>
      <c r="AJ90" s="255">
        <f ca="1">IF(NOW(),_xll.mirSwapPV($C$51,$C$52,$C$54,$AA65,$C$55,$AC65,$C$64,$C$65,$C$66,$C$67,$C$68,$C$69,$C$70,$C$74,$C$75,$D$63+AJ$76,$D$64,$D$65,$D$66,$D$67,$D$68,$D$69,$D$70,$D$71,$D$72,$D$73,$D$74,$D$75,$C$56,$C$57,$C$58,$D$59,$C$60),"")</f>
        <v>-743904.38490894553</v>
      </c>
      <c r="AK90" s="255">
        <f ca="1">IF(NOW(),_xll.mirSwapPV($C$51,$C$52,$C$54,$AA65,$C$55,$AC65,$C$64,$C$65,$C$66,$C$67,$C$68,$C$69,$C$70,$C$74,$C$75,$D$63+AK$76,$D$64,$D$65,$D$66,$D$67,$D$68,$D$69,$D$70,$D$71,$D$72,$D$73,$D$74,$D$75,$C$56,$C$57,$C$58,$D$59,$C$60),"")</f>
        <v>-495936.25660596328</v>
      </c>
      <c r="AL90" s="255">
        <f ca="1">IF(NOW(),_xll.mirSwapPV($C$51,$C$52,$C$54,$AA65,$C$55,$AC65,$C$64,$C$65,$C$66,$C$67,$C$68,$C$69,$C$70,$C$74,$C$75,$D$63+AL$76,$D$64,$D$65,$D$66,$D$67,$D$68,$D$69,$D$70,$D$71,$D$72,$D$73,$D$74,$D$75,$C$56,$C$57,$C$58,$D$59,$C$60),"")</f>
        <v>-247968.12830298286</v>
      </c>
      <c r="AM90" s="255">
        <f ca="1">IF(NOW(),_xll.mirSwapPV($C$51,$C$52,$C$54,$AA65,$C$55,$AC65,$C$64,$C$65,$C$66,$C$67,$C$68,$C$69,$C$70,$C$74,$C$75,$D$63+AM$76,$D$64,$D$65,$D$66,$D$67,$D$68,$D$69,$D$70,$D$71,$D$72,$D$73,$D$74,$D$75,$C$56,$C$57,$C$58,$D$59,$C$60),"")</f>
        <v>0</v>
      </c>
      <c r="AN90" s="255">
        <f ca="1">IF(NOW(),_xll.mirSwapPV($C$51,$C$52,$C$54,$AA65,$C$55,$AC65,$C$64,$C$65,$C$66,$C$67,$C$68,$C$69,$C$70,$C$74,$C$75,$D$63+AN$76,$D$64,$D$65,$D$66,$D$67,$D$68,$D$69,$D$70,$D$71,$D$72,$D$73,$D$74,$D$75,$C$56,$C$57,$C$58,$D$59,$C$60),"")</f>
        <v>247968.12830298138</v>
      </c>
      <c r="AO90" s="255">
        <f ca="1">IF(NOW(),_xll.mirSwapPV($C$51,$C$52,$C$54,$AA65,$C$55,$AC65,$C$64,$C$65,$C$66,$C$67,$C$68,$C$69,$C$70,$C$74,$C$75,$D$63+AO$76,$D$64,$D$65,$D$66,$D$67,$D$68,$D$69,$D$70,$D$71,$D$72,$D$73,$D$74,$D$75,$C$56,$C$57,$C$58,$D$59,$C$60),"")</f>
        <v>495936.25660596264</v>
      </c>
      <c r="AP90" s="255">
        <f ca="1">IF(NOW(),_xll.mirSwapPV($C$51,$C$52,$C$54,$AA65,$C$55,$AC65,$C$64,$C$65,$C$66,$C$67,$C$68,$C$69,$C$70,$C$74,$C$75,$D$63+AP$76,$D$64,$D$65,$D$66,$D$67,$D$68,$D$69,$D$70,$D$71,$D$72,$D$73,$D$74,$D$75,$C$56,$C$57,$C$58,$D$59,$C$60),"")</f>
        <v>743904.38490894414</v>
      </c>
      <c r="AQ90" s="255">
        <f ca="1">IF(NOW(),_xll.mirSwapPV($C$51,$C$52,$C$54,$AA65,$C$55,$AC65,$C$64,$C$65,$C$66,$C$67,$C$68,$C$69,$C$70,$C$74,$C$75,$D$63+AQ$76,$D$64,$D$65,$D$66,$D$67,$D$68,$D$69,$D$70,$D$71,$D$72,$D$73,$D$74,$D$75,$C$56,$C$57,$C$58,$D$59,$C$60),"")</f>
        <v>991872.51321192551</v>
      </c>
      <c r="AR90" s="255">
        <f ca="1">IF(NOW(),_xll.mirSwapPV($C$51,$C$52,$C$54,$AA65,$C$55,$AC65,$C$64,$C$65,$C$66,$C$67,$C$68,$C$69,$C$70,$C$74,$C$75,$D$63+AR$76,$D$64,$D$65,$D$66,$D$67,$D$68,$D$69,$D$70,$D$71,$D$72,$D$73,$D$74,$D$75,$C$56,$C$57,$C$58,$D$59,$C$60),"")</f>
        <v>1239840.6415149071</v>
      </c>
    </row>
    <row r="91" spans="6:44">
      <c r="F91" s="230"/>
      <c r="G91" s="227"/>
      <c r="H91" s="229"/>
      <c r="I91" s="229"/>
      <c r="J91" s="229"/>
      <c r="K91" s="230"/>
      <c r="L91" s="230"/>
      <c r="M91" s="224" t="s">
        <v>14</v>
      </c>
      <c r="N91" s="255">
        <f ca="1">IF(NOW(),_xll.mirSwapPV($C$51,$C$52,$C$54,$G66,$C$55,$I66,$C$64,$C$65,$C$66,$C$67,$C$68,$C$69,$C$70,$C$74,$C$75,$D$63+N$76,$D$64,$D$65,$D$66,$D$67,$D$68,$D$69,$D$70,$D$71,$D$72,$D$73,$D$74,$D$75,$C$56,$C$57,$C$58,$C$59,$C$60),"")</f>
        <v>-1381003.7389991134</v>
      </c>
      <c r="O91" s="255">
        <f ca="1">IF(NOW(),_xll.mirSwapPV($C$51,$C$52,$C$54,$G66,$C$55,$I66,$C$64,$C$65,$C$66,$C$67,$C$68,$C$69,$C$70,$C$74,$C$75,$D$63+O$76,$D$64,$D$65,$D$66,$D$67,$D$68,$D$69,$D$70,$D$71,$D$72,$D$73,$D$74,$D$75,$C$56,$C$57,$C$58,$C$59,$C$60),"")</f>
        <v>-1104802.9911992906</v>
      </c>
      <c r="P91" s="255">
        <f ca="1">IF(NOW(),_xll.mirSwapPV($C$51,$C$52,$C$54,$G66,$C$55,$I66,$C$64,$C$65,$C$66,$C$67,$C$68,$C$69,$C$70,$C$74,$C$75,$D$63+P$76,$D$64,$D$65,$D$66,$D$67,$D$68,$D$69,$D$70,$D$71,$D$72,$D$73,$D$74,$D$75,$C$56,$C$57,$C$58,$C$59,$C$60),"")</f>
        <v>-828602.24339946732</v>
      </c>
      <c r="Q91" s="255">
        <f ca="1">IF(NOW(),_xll.mirSwapPV($C$51,$C$52,$C$54,$G66,$C$55,$I66,$C$64,$C$65,$C$66,$C$67,$C$68,$C$69,$C$70,$C$74,$C$75,$D$63+Q$76,$D$64,$D$65,$D$66,$D$67,$D$68,$D$69,$D$70,$D$71,$D$72,$D$73,$D$74,$D$75,$C$56,$C$57,$C$58,$C$59,$C$60),"")</f>
        <v>-552401.49559964368</v>
      </c>
      <c r="R91" s="255">
        <f ca="1">IF(NOW(),_xll.mirSwapPV($C$51,$C$52,$C$54,$G66,$C$55,$I66,$C$64,$C$65,$C$66,$C$67,$C$68,$C$69,$C$70,$C$74,$C$75,$D$63+R$76,$D$64,$D$65,$D$66,$D$67,$D$68,$D$69,$D$70,$D$71,$D$72,$D$73,$D$74,$D$75,$C$56,$C$57,$C$58,$C$59,$C$60),"")</f>
        <v>-276200.7477998223</v>
      </c>
      <c r="S91" s="255">
        <f ca="1">IF(NOW(),_xll.mirSwapPV($C$51,$C$52,$C$54,$G66,$C$55,$I66,$C$64,$C$65,$C$66,$C$67,$C$68,$C$69,$C$70,$C$74,$C$75,$D$63+S$76,$D$64,$D$65,$D$66,$D$67,$D$68,$D$69,$D$70,$D$71,$D$72,$D$73,$D$74,$D$75,$C$56,$C$57,$C$58,$C$59,$C$60),"")</f>
        <v>0</v>
      </c>
      <c r="T91" s="255">
        <f ca="1">IF(NOW(),_xll.mirSwapPV($C$51,$C$52,$C$54,$G66,$C$55,$I66,$C$64,$C$65,$C$66,$C$67,$C$68,$C$69,$C$70,$C$74,$C$75,$D$63+T$76,$D$64,$D$65,$D$66,$D$67,$D$68,$D$69,$D$70,$D$71,$D$72,$D$73,$D$74,$D$75,$C$56,$C$57,$C$58,$C$59,$C$60),"")</f>
        <v>276200.74779982376</v>
      </c>
      <c r="U91" s="255">
        <f ca="1">IF(NOW(),_xll.mirSwapPV($C$51,$C$52,$C$54,$G66,$C$55,$I66,$C$64,$C$65,$C$66,$C$67,$C$68,$C$69,$C$70,$C$74,$C$75,$D$63+U$76,$D$64,$D$65,$D$66,$D$67,$D$68,$D$69,$D$70,$D$71,$D$72,$D$73,$D$74,$D$75,$C$56,$C$57,$C$58,$C$59,$C$60),"")</f>
        <v>552401.49559964647</v>
      </c>
      <c r="V91" s="255">
        <f ca="1">IF(NOW(),_xll.mirSwapPV($C$51,$C$52,$C$54,$G66,$C$55,$I66,$C$64,$C$65,$C$66,$C$67,$C$68,$C$69,$C$70,$C$74,$C$75,$D$63+V$76,$D$64,$D$65,$D$66,$D$67,$D$68,$D$69,$D$70,$D$71,$D$72,$D$73,$D$74,$D$75,$C$56,$C$57,$C$58,$C$59,$C$60),"")</f>
        <v>828602.24339946965</v>
      </c>
      <c r="W91" s="255">
        <f ca="1">IF(NOW(),_xll.mirSwapPV($C$51,$C$52,$C$54,$G66,$C$55,$I66,$C$64,$C$65,$C$66,$C$67,$C$68,$C$69,$C$70,$C$74,$C$75,$D$63+W$76,$D$64,$D$65,$D$66,$D$67,$D$68,$D$69,$D$70,$D$71,$D$72,$D$73,$D$74,$D$75,$C$56,$C$57,$C$58,$C$59,$C$60),"")</f>
        <v>1104802.9911992927</v>
      </c>
      <c r="X91" s="255">
        <f ca="1">IF(NOW(),_xll.mirSwapPV($C$51,$C$52,$C$54,$G66,$C$55,$I66,$C$64,$C$65,$C$66,$C$67,$C$68,$C$69,$C$70,$C$74,$C$75,$D$63+X$76,$D$64,$D$65,$D$66,$D$67,$D$68,$D$69,$D$70,$D$71,$D$72,$D$73,$D$74,$D$75,$C$56,$C$57,$C$58,$C$59,$C$60),"")</f>
        <v>1381003.7389991158</v>
      </c>
      <c r="Y91" s="229"/>
      <c r="AG91" s="224" t="s">
        <v>14</v>
      </c>
      <c r="AH91" s="255">
        <f ca="1">IF(NOW(),_xll.mirSwapPV($C$51,$C$52,$C$54,$AA66,$C$55,$AC66,$C$64,$C$65,$C$66,$C$67,$C$68,$C$69,$C$70,$C$74,$C$75,$D$63+AH$76,$D$64,$D$65,$D$66,$D$67,$D$68,$D$69,$D$70,$D$71,$D$72,$D$73,$D$74,$D$75,$C$56,$C$57,$C$58,$D$59,$C$60),"")</f>
        <v>-1381003.7389991141</v>
      </c>
      <c r="AI91" s="255">
        <f ca="1">IF(NOW(),_xll.mirSwapPV($C$51,$C$52,$C$54,$AA66,$C$55,$AC66,$C$64,$C$65,$C$66,$C$67,$C$68,$C$69,$C$70,$C$74,$C$75,$D$63+AI$76,$D$64,$D$65,$D$66,$D$67,$D$68,$D$69,$D$70,$D$71,$D$72,$D$73,$D$74,$D$75,$C$56,$C$57,$C$58,$D$59,$C$60),"")</f>
        <v>-1104802.9911992913</v>
      </c>
      <c r="AJ91" s="255">
        <f ca="1">IF(NOW(),_xll.mirSwapPV($C$51,$C$52,$C$54,$AA66,$C$55,$AC66,$C$64,$C$65,$C$66,$C$67,$C$68,$C$69,$C$70,$C$74,$C$75,$D$63+AJ$76,$D$64,$D$65,$D$66,$D$67,$D$68,$D$69,$D$70,$D$71,$D$72,$D$73,$D$74,$D$75,$C$56,$C$57,$C$58,$D$59,$C$60),"")</f>
        <v>-828602.24339946965</v>
      </c>
      <c r="AK91" s="255">
        <f ca="1">IF(NOW(),_xll.mirSwapPV($C$51,$C$52,$C$54,$AA66,$C$55,$AC66,$C$64,$C$65,$C$66,$C$67,$C$68,$C$69,$C$70,$C$74,$C$75,$D$63+AK$76,$D$64,$D$65,$D$66,$D$67,$D$68,$D$69,$D$70,$D$71,$D$72,$D$73,$D$74,$D$75,$C$56,$C$57,$C$58,$D$59,$C$60),"")</f>
        <v>-552401.49559964647</v>
      </c>
      <c r="AL91" s="255">
        <f ca="1">IF(NOW(),_xll.mirSwapPV($C$51,$C$52,$C$54,$AA66,$C$55,$AC66,$C$64,$C$65,$C$66,$C$67,$C$68,$C$69,$C$70,$C$74,$C$75,$D$63+AL$76,$D$64,$D$65,$D$66,$D$67,$D$68,$D$69,$D$70,$D$71,$D$72,$D$73,$D$74,$D$75,$C$56,$C$57,$C$58,$D$59,$C$60),"")</f>
        <v>-276200.74779982487</v>
      </c>
      <c r="AM91" s="255">
        <f ca="1">IF(NOW(),_xll.mirSwapPV($C$51,$C$52,$C$54,$AA66,$C$55,$AC66,$C$64,$C$65,$C$66,$C$67,$C$68,$C$69,$C$70,$C$74,$C$75,$D$63+AM$76,$D$64,$D$65,$D$66,$D$67,$D$68,$D$69,$D$70,$D$71,$D$72,$D$73,$D$74,$D$75,$C$56,$C$57,$C$58,$D$59,$C$60),"")</f>
        <v>0</v>
      </c>
      <c r="AN91" s="255">
        <f ca="1">IF(NOW(),_xll.mirSwapPV($C$51,$C$52,$C$54,$AA66,$C$55,$AC66,$C$64,$C$65,$C$66,$C$67,$C$68,$C$69,$C$70,$C$74,$C$75,$D$63+AN$76,$D$64,$D$65,$D$66,$D$67,$D$68,$D$69,$D$70,$D$71,$D$72,$D$73,$D$74,$D$75,$C$56,$C$57,$C$58,$D$59,$C$60),"")</f>
        <v>276200.74779982283</v>
      </c>
      <c r="AO91" s="255">
        <f ca="1">IF(NOW(),_xll.mirSwapPV($C$51,$C$52,$C$54,$AA66,$C$55,$AC66,$C$64,$C$65,$C$66,$C$67,$C$68,$C$69,$C$70,$C$74,$C$75,$D$63+AO$76,$D$64,$D$65,$D$66,$D$67,$D$68,$D$69,$D$70,$D$71,$D$72,$D$73,$D$74,$D$75,$C$56,$C$57,$C$58,$D$59,$C$60),"")</f>
        <v>552401.49559964542</v>
      </c>
      <c r="AP91" s="255">
        <f ca="1">IF(NOW(),_xll.mirSwapPV($C$51,$C$52,$C$54,$AA66,$C$55,$AC66,$C$64,$C$65,$C$66,$C$67,$C$68,$C$69,$C$70,$C$74,$C$75,$D$63+AP$76,$D$64,$D$65,$D$66,$D$67,$D$68,$D$69,$D$70,$D$71,$D$72,$D$73,$D$74,$D$75,$C$56,$C$57,$C$58,$D$59,$C$60),"")</f>
        <v>828602.24339946848</v>
      </c>
      <c r="AQ91" s="255">
        <f ca="1">IF(NOW(),_xll.mirSwapPV($C$51,$C$52,$C$54,$AA66,$C$55,$AC66,$C$64,$C$65,$C$66,$C$67,$C$68,$C$69,$C$70,$C$74,$C$75,$D$63+AQ$76,$D$64,$D$65,$D$66,$D$67,$D$68,$D$69,$D$70,$D$71,$D$72,$D$73,$D$74,$D$75,$C$56,$C$57,$C$58,$D$59,$C$60),"")</f>
        <v>1104802.9911992911</v>
      </c>
      <c r="AR91" s="255">
        <f ca="1">IF(NOW(),_xll.mirSwapPV($C$51,$C$52,$C$54,$AA66,$C$55,$AC66,$C$64,$C$65,$C$66,$C$67,$C$68,$C$69,$C$70,$C$74,$C$75,$D$63+AR$76,$D$64,$D$65,$D$66,$D$67,$D$68,$D$69,$D$70,$D$71,$D$72,$D$73,$D$74,$D$75,$C$56,$C$57,$C$58,$D$59,$C$60),"")</f>
        <v>1381003.7389991141</v>
      </c>
    </row>
    <row r="92" spans="6:44">
      <c r="F92" s="230"/>
      <c r="G92" s="227"/>
      <c r="H92" s="229"/>
      <c r="I92" s="229"/>
      <c r="J92" s="229"/>
      <c r="K92" s="230"/>
      <c r="L92" s="230"/>
      <c r="M92" s="230"/>
      <c r="N92" s="255"/>
      <c r="O92" s="255"/>
      <c r="P92" s="255"/>
      <c r="Q92" s="255"/>
      <c r="R92" s="255"/>
      <c r="S92" s="255"/>
      <c r="T92" s="255"/>
      <c r="U92" s="255"/>
      <c r="V92" s="255"/>
      <c r="W92" s="255"/>
      <c r="X92" s="255"/>
      <c r="Y92" s="229"/>
      <c r="AG92" s="230"/>
      <c r="AH92" s="255"/>
      <c r="AI92" s="255"/>
      <c r="AJ92" s="255"/>
      <c r="AK92" s="255"/>
      <c r="AL92" s="255"/>
      <c r="AM92" s="255"/>
      <c r="AN92" s="255"/>
      <c r="AO92" s="255"/>
      <c r="AP92" s="255"/>
      <c r="AQ92" s="255"/>
      <c r="AR92" s="255"/>
    </row>
    <row r="93" spans="6:44">
      <c r="F93" s="230"/>
      <c r="G93" s="227"/>
      <c r="H93" s="229"/>
      <c r="I93" s="229"/>
      <c r="J93" s="229"/>
      <c r="K93" s="230"/>
      <c r="L93" s="230"/>
      <c r="M93" s="230"/>
      <c r="N93" s="255"/>
      <c r="O93" s="255"/>
      <c r="P93" s="255"/>
      <c r="Q93" s="255"/>
      <c r="R93" s="255"/>
      <c r="S93" s="255"/>
      <c r="T93" s="255"/>
      <c r="U93" s="255"/>
      <c r="V93" s="255"/>
      <c r="W93" s="255"/>
      <c r="X93" s="255"/>
      <c r="Y93" s="229"/>
      <c r="AG93" s="230"/>
      <c r="AH93" s="255"/>
      <c r="AI93" s="255"/>
      <c r="AJ93" s="255"/>
      <c r="AK93" s="255"/>
      <c r="AL93" s="255"/>
      <c r="AM93" s="255"/>
      <c r="AN93" s="255"/>
      <c r="AO93" s="255"/>
      <c r="AP93" s="255"/>
      <c r="AQ93" s="255"/>
      <c r="AR93" s="255"/>
    </row>
    <row r="94" spans="6:44">
      <c r="F94" s="230"/>
      <c r="G94" s="227"/>
      <c r="H94" s="229"/>
      <c r="I94" s="229"/>
      <c r="J94" s="229"/>
      <c r="K94" s="230"/>
      <c r="L94" s="230"/>
      <c r="M94" s="230"/>
      <c r="N94" s="255"/>
      <c r="O94" s="255"/>
      <c r="P94" s="255"/>
      <c r="Q94" s="255"/>
      <c r="R94" s="255"/>
      <c r="S94" s="255"/>
      <c r="T94" s="255"/>
      <c r="U94" s="255"/>
      <c r="V94" s="255"/>
      <c r="W94" s="255"/>
      <c r="X94" s="255"/>
      <c r="Y94" s="229"/>
      <c r="AG94" s="230"/>
      <c r="AH94" s="255"/>
      <c r="AI94" s="255"/>
      <c r="AJ94" s="255"/>
      <c r="AK94" s="255"/>
      <c r="AL94" s="255"/>
      <c r="AM94" s="255"/>
      <c r="AN94" s="255"/>
      <c r="AO94" s="255"/>
      <c r="AP94" s="255"/>
      <c r="AQ94" s="255"/>
      <c r="AR94" s="255"/>
    </row>
    <row r="95" spans="6:44">
      <c r="F95" s="230"/>
      <c r="G95" s="227"/>
      <c r="H95" s="229"/>
      <c r="I95" s="229"/>
      <c r="J95" s="229"/>
      <c r="K95" s="230"/>
      <c r="L95" s="230"/>
      <c r="M95" s="230"/>
      <c r="N95" s="255"/>
      <c r="O95" s="255"/>
      <c r="P95" s="255"/>
      <c r="Q95" s="255"/>
      <c r="R95" s="255"/>
      <c r="S95" s="255"/>
      <c r="T95" s="255"/>
      <c r="U95" s="255"/>
      <c r="V95" s="255"/>
      <c r="W95" s="255"/>
      <c r="X95" s="255"/>
      <c r="Y95" s="229"/>
      <c r="AG95" s="230"/>
      <c r="AH95" s="255"/>
      <c r="AI95" s="255"/>
      <c r="AJ95" s="255"/>
      <c r="AK95" s="255"/>
      <c r="AL95" s="255"/>
      <c r="AM95" s="255"/>
      <c r="AN95" s="255"/>
      <c r="AO95" s="255"/>
      <c r="AP95" s="255"/>
      <c r="AQ95" s="255"/>
      <c r="AR95" s="255"/>
    </row>
  </sheetData>
  <dataValidations count="3">
    <dataValidation type="list" allowBlank="1" showInputMessage="1" showErrorMessage="1" sqref="C18:D18 C66:D66">
      <formula1>"MOD_FOLLOWING,FOLLOWING,MOD_PRECEDING,PRECEDING,NO_CHANGE"</formula1>
    </dataValidation>
    <dataValidation type="list" allowBlank="1" showInputMessage="1" showErrorMessage="1" sqref="C4 C52">
      <formula1>"PAYER,RECEIVER"</formula1>
    </dataValidation>
    <dataValidation type="list" allowBlank="1" showInputMessage="1" showErrorMessage="1" sqref="C27:D27 C75:D75">
      <formula1>"None,ShortStart,ShortEnd,LongStart,LongEnd"</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339933"/>
  </sheetPr>
  <dimension ref="B1:AR95"/>
  <sheetViews>
    <sheetView showGridLines="0" zoomScaleNormal="100" workbookViewId="0"/>
  </sheetViews>
  <sheetFormatPr defaultRowHeight="15"/>
  <cols>
    <col min="2" max="2" width="15.7109375" customWidth="1"/>
    <col min="3" max="4" width="18.7109375" customWidth="1"/>
    <col min="5" max="5" width="15.28515625" customWidth="1"/>
    <col min="6" max="8" width="10.7109375" customWidth="1"/>
    <col min="9" max="9" width="10.140625" customWidth="1"/>
    <col min="10" max="10" width="10.85546875" customWidth="1"/>
    <col min="11" max="13" width="10.5703125" customWidth="1"/>
    <col min="14" max="14" width="14" customWidth="1"/>
    <col min="15" max="24" width="12.5703125" customWidth="1"/>
    <col min="25" max="25" width="9.85546875" customWidth="1"/>
    <col min="26" max="26" width="10.7109375" customWidth="1"/>
    <col min="27" max="27" width="13.42578125" customWidth="1"/>
    <col min="28" max="32" width="10.7109375" customWidth="1"/>
    <col min="33" max="42" width="9.7109375" customWidth="1"/>
    <col min="43" max="43" width="11.85546875" customWidth="1"/>
    <col min="44" max="44" width="9.7109375" customWidth="1"/>
  </cols>
  <sheetData>
    <row r="1" spans="2:44">
      <c r="F1" s="219"/>
      <c r="G1" s="217"/>
      <c r="H1" s="220"/>
      <c r="P1" s="257"/>
    </row>
    <row r="2" spans="2:44">
      <c r="B2" t="s">
        <v>464</v>
      </c>
      <c r="F2" t="s">
        <v>461</v>
      </c>
      <c r="G2" s="217"/>
      <c r="J2" t="s">
        <v>463</v>
      </c>
      <c r="K2" s="259" t="b">
        <f>$C$11</f>
        <v>1</v>
      </c>
      <c r="M2" s="219" t="s">
        <v>460</v>
      </c>
      <c r="N2" s="219"/>
      <c r="O2" s="229"/>
      <c r="P2" s="252"/>
      <c r="Q2" s="252"/>
      <c r="R2" s="229"/>
      <c r="S2" s="229" t="s">
        <v>459</v>
      </c>
      <c r="T2" s="229"/>
      <c r="U2" s="229"/>
      <c r="V2" s="229"/>
      <c r="W2" t="s">
        <v>463</v>
      </c>
      <c r="X2" s="259" t="b">
        <f>$C$11</f>
        <v>1</v>
      </c>
      <c r="Z2" t="s">
        <v>461</v>
      </c>
      <c r="AA2" s="217"/>
      <c r="AD2" t="s">
        <v>463</v>
      </c>
      <c r="AE2" s="259" t="b">
        <f>$D$11</f>
        <v>0</v>
      </c>
      <c r="AG2" s="219" t="s">
        <v>460</v>
      </c>
      <c r="AH2" s="219"/>
      <c r="AI2" s="229"/>
      <c r="AJ2" s="252"/>
      <c r="AK2" s="252"/>
      <c r="AL2" s="229"/>
      <c r="AM2" s="229" t="s">
        <v>459</v>
      </c>
      <c r="AN2" s="229"/>
      <c r="AO2" s="229"/>
      <c r="AP2" s="229"/>
      <c r="AQ2" t="s">
        <v>463</v>
      </c>
      <c r="AR2" s="259" t="b">
        <f>$D$11</f>
        <v>0</v>
      </c>
    </row>
    <row r="3" spans="2:44">
      <c r="B3" s="221" t="s">
        <v>424</v>
      </c>
      <c r="C3" s="222">
        <v>1000000</v>
      </c>
      <c r="D3" s="223"/>
      <c r="F3" s="224" t="s">
        <v>76</v>
      </c>
      <c r="G3" s="224" t="s">
        <v>425</v>
      </c>
      <c r="H3" s="224" t="s">
        <v>426</v>
      </c>
      <c r="I3" s="224" t="s">
        <v>428</v>
      </c>
      <c r="J3" s="224" t="s">
        <v>465</v>
      </c>
      <c r="K3" s="224" t="s">
        <v>427</v>
      </c>
      <c r="L3" s="224"/>
      <c r="M3" s="224" t="s">
        <v>76</v>
      </c>
      <c r="N3" s="256">
        <v>-0.05</v>
      </c>
      <c r="O3" s="256">
        <f>N3+1%</f>
        <v>-0.04</v>
      </c>
      <c r="P3" s="256">
        <f t="shared" ref="P3:X3" si="0">O3+1%</f>
        <v>-0.03</v>
      </c>
      <c r="Q3" s="256">
        <f t="shared" si="0"/>
        <v>-1.9999999999999997E-2</v>
      </c>
      <c r="R3" s="256">
        <f t="shared" si="0"/>
        <v>-9.9999999999999967E-3</v>
      </c>
      <c r="S3" s="256">
        <f t="shared" si="0"/>
        <v>0</v>
      </c>
      <c r="T3" s="256">
        <f t="shared" si="0"/>
        <v>0.01</v>
      </c>
      <c r="U3" s="256">
        <f t="shared" si="0"/>
        <v>0.02</v>
      </c>
      <c r="V3" s="256">
        <f t="shared" si="0"/>
        <v>0.03</v>
      </c>
      <c r="W3" s="256">
        <f t="shared" si="0"/>
        <v>0.04</v>
      </c>
      <c r="X3" s="256">
        <f t="shared" si="0"/>
        <v>0.05</v>
      </c>
      <c r="Z3" s="224" t="s">
        <v>76</v>
      </c>
      <c r="AA3" s="224" t="s">
        <v>425</v>
      </c>
      <c r="AB3" s="224" t="s">
        <v>426</v>
      </c>
      <c r="AC3" s="224" t="s">
        <v>428</v>
      </c>
      <c r="AD3" s="224" t="s">
        <v>465</v>
      </c>
      <c r="AE3" s="224" t="s">
        <v>427</v>
      </c>
      <c r="AG3" s="224" t="s">
        <v>76</v>
      </c>
      <c r="AH3" s="256">
        <v>-0.05</v>
      </c>
      <c r="AI3" s="256">
        <f>AH3+1%</f>
        <v>-0.04</v>
      </c>
      <c r="AJ3" s="256">
        <f t="shared" ref="AJ3:AR3" si="1">AI3+1%</f>
        <v>-0.03</v>
      </c>
      <c r="AK3" s="256">
        <f t="shared" si="1"/>
        <v>-1.9999999999999997E-2</v>
      </c>
      <c r="AL3" s="256">
        <f t="shared" si="1"/>
        <v>-9.9999999999999967E-3</v>
      </c>
      <c r="AM3" s="256">
        <f t="shared" si="1"/>
        <v>0</v>
      </c>
      <c r="AN3" s="256">
        <f t="shared" si="1"/>
        <v>0.01</v>
      </c>
      <c r="AO3" s="256">
        <f t="shared" si="1"/>
        <v>0.02</v>
      </c>
      <c r="AP3" s="256">
        <f t="shared" si="1"/>
        <v>0.03</v>
      </c>
      <c r="AQ3" s="256">
        <f t="shared" si="1"/>
        <v>0.04</v>
      </c>
      <c r="AR3" s="256">
        <f t="shared" si="1"/>
        <v>0.05</v>
      </c>
    </row>
    <row r="4" spans="2:44">
      <c r="B4" s="225" t="s">
        <v>429</v>
      </c>
      <c r="C4" s="226" t="s">
        <v>430</v>
      </c>
      <c r="D4" s="223"/>
      <c r="F4" s="227" t="s">
        <v>42</v>
      </c>
      <c r="G4" s="227">
        <f>_xll.mirGetDate($C$6,F4)</f>
        <v>42929</v>
      </c>
      <c r="H4" s="228">
        <f>'GBP Curve Config'!AO9</f>
        <v>1.1200000000000002E-2</v>
      </c>
      <c r="I4" s="229">
        <f ca="1">IF(NOW(),_xll.mirGetParRate4($C$6,F4,$C$7,$C$16,$C$17,$C$18,$C$19,$C$20,$C$21,$C$22,$C$26,$C$27,$D$16,$D$17,$D$18,$D$19,$D$20,$D$21,$D$22,$D$23,$D$24,$D$25,$D$26,$D$27,$C$8,$C$9,$C$10,$C$11,$C$12),"")</f>
        <v>1.1200000000008507E-2</v>
      </c>
      <c r="J4" s="229">
        <f ca="1">I4-H4</f>
        <v>8.5053492027142852E-15</v>
      </c>
      <c r="K4" s="230">
        <f ca="1">(I4-H4)*10000</f>
        <v>8.5053492027142852E-11</v>
      </c>
      <c r="L4" s="230" t="s">
        <v>12</v>
      </c>
      <c r="M4" s="227" t="s">
        <v>42</v>
      </c>
      <c r="N4" s="255">
        <f ca="1">IF(NOW(),_xll.mirSwapPV($C$3,$C$4,$C$6,$G4,$C$7,$I4+N$3,$C$16,$C$17,$C$18,$C$19,$C$20,$C$21,$C$22,$C$26,$C$27,$D$15,$D$16,$D$17,$D$18,$D$19,$D$20,$D$21,$D$22,$D$23,$D$24,$D$25,$D$26,$D$27,$C$8,$C$9,$C$10,$C$11,$C$12),"")</f>
        <v>99258.437527978211</v>
      </c>
      <c r="O4" s="255">
        <f ca="1">IF(NOW(),_xll.mirSwapPV($C$3,$C$4,$C$6,$G4,$C$7,$I4+O$3,$C$16,$C$17,$C$18,$C$19,$C$20,$C$21,$C$22,$C$26,$C$27,$D$15,$D$16,$D$17,$D$18,$D$19,$D$20,$D$21,$D$22,$D$23,$D$24,$D$25,$D$26,$D$27,$C$8,$C$9,$C$10,$C$11,$C$12),"")</f>
        <v>79406.750022382563</v>
      </c>
      <c r="P4" s="255">
        <f ca="1">IF(NOW(),_xll.mirSwapPV($C$3,$C$4,$C$6,$G4,$C$7,$I4+P$3,$C$16,$C$17,$C$18,$C$19,$C$20,$C$21,$C$22,$C$26,$C$27,$D$15,$D$16,$D$17,$D$18,$D$19,$D$20,$D$21,$D$22,$D$23,$D$24,$D$25,$D$26,$D$27,$C$8,$C$9,$C$10,$C$11,$C$12),"")</f>
        <v>59555.062516786915</v>
      </c>
      <c r="Q4" s="255">
        <f ca="1">IF(NOW(),_xll.mirSwapPV($C$3,$C$4,$C$6,$G4,$C$7,$I4+Q$3,$C$16,$C$17,$C$18,$C$19,$C$20,$C$21,$C$22,$C$26,$C$27,$D$15,$D$16,$D$17,$D$18,$D$19,$D$20,$D$21,$D$22,$D$23,$D$24,$D$25,$D$26,$D$27,$C$8,$C$9,$C$10,$C$11,$C$12),"")</f>
        <v>39703.375011191274</v>
      </c>
      <c r="R4" s="255">
        <f ca="1">IF(NOW(),_xll.mirSwapPV($C$3,$C$4,$C$6,$G4,$C$7,$I4+R$3,$C$16,$C$17,$C$18,$C$19,$C$20,$C$21,$C$22,$C$26,$C$27,$D$15,$D$16,$D$17,$D$18,$D$19,$D$20,$D$21,$D$22,$D$23,$D$24,$D$25,$D$26,$D$27,$C$8,$C$9,$C$10,$C$11,$C$12),"")</f>
        <v>19851.687505595633</v>
      </c>
      <c r="S4" s="255">
        <f ca="1">IF(NOW(),_xll.mirSwapPV($C$3,$C$4,$C$6,$G4,$C$7,$I4+S$3,$C$16,$C$17,$C$18,$C$19,$C$20,$C$21,$C$22,$C$26,$C$27,$D$15,$D$16,$D$17,$D$18,$D$19,$D$20,$D$21,$D$22,$D$23,$D$24,$D$25,$D$26,$D$27,$C$8,$C$9,$C$10,$C$11,$C$12),"")</f>
        <v>0</v>
      </c>
      <c r="T4" s="255">
        <f ca="1">IF(NOW(),_xll.mirSwapPV($C$3,$C$4,$C$6,$G4,$C$7,$I4+T$3,$C$16,$C$17,$C$18,$C$19,$C$20,$C$21,$C$22,$C$26,$C$27,$D$15,$D$16,$D$17,$D$18,$D$19,$D$20,$D$21,$D$22,$D$23,$D$24,$D$25,$D$26,$D$27,$C$8,$C$9,$C$10,$C$11,$C$12),"")</f>
        <v>-19851.687505595641</v>
      </c>
      <c r="U4" s="255">
        <f ca="1">IF(NOW(),_xll.mirSwapPV($C$3,$C$4,$C$6,$G4,$C$7,$I4+U$3,$C$16,$C$17,$C$18,$C$19,$C$20,$C$21,$C$22,$C$26,$C$27,$D$15,$D$16,$D$17,$D$18,$D$19,$D$20,$D$21,$D$22,$D$23,$D$24,$D$25,$D$26,$D$27,$C$8,$C$9,$C$10,$C$11,$C$12),"")</f>
        <v>-39703.375011191274</v>
      </c>
      <c r="V4" s="255">
        <f ca="1">IF(NOW(),_xll.mirSwapPV($C$3,$C$4,$C$6,$G4,$C$7,$I4+V$3,$C$16,$C$17,$C$18,$C$19,$C$20,$C$21,$C$22,$C$26,$C$27,$D$15,$D$16,$D$17,$D$18,$D$19,$D$20,$D$21,$D$22,$D$23,$D$24,$D$25,$D$26,$D$27,$C$8,$C$9,$C$10,$C$11,$C$12),"")</f>
        <v>-59555.062516786922</v>
      </c>
      <c r="W4" s="255">
        <f ca="1">IF(NOW(),_xll.mirSwapPV($C$3,$C$4,$C$6,$G4,$C$7,$I4+W$3,$C$16,$C$17,$C$18,$C$19,$C$20,$C$21,$C$22,$C$26,$C$27,$D$15,$D$16,$D$17,$D$18,$D$19,$D$20,$D$21,$D$22,$D$23,$D$24,$D$25,$D$26,$D$27,$C$8,$C$9,$C$10,$C$11,$C$12),"")</f>
        <v>-79406.750022382563</v>
      </c>
      <c r="X4" s="255">
        <f ca="1">IF(NOW(),_xll.mirSwapPV($C$3,$C$4,$C$6,$G4,$C$7,$I4+X$3,$C$16,$C$17,$C$18,$C$19,$C$20,$C$21,$C$22,$C$26,$C$27,$D$15,$D$16,$D$17,$D$18,$D$19,$D$20,$D$21,$D$22,$D$23,$D$24,$D$25,$D$26,$D$27,$C$8,$C$9,$C$10,$C$11,$C$12),"")</f>
        <v>-99258.437527978211</v>
      </c>
      <c r="Y4" s="230" t="s">
        <v>12</v>
      </c>
      <c r="Z4" s="227" t="s">
        <v>42</v>
      </c>
      <c r="AA4" s="227">
        <f>_xll.mirGetDate($C$6,Z4)</f>
        <v>42929</v>
      </c>
      <c r="AB4" s="228">
        <f>'GBP Curve Config'!$AO9</f>
        <v>1.1200000000000002E-2</v>
      </c>
      <c r="AC4" s="229">
        <f ca="1">IF(NOW(),_xll.mirGetParRate4($C$6,Z4,$C$7,$C$16,$C$17,$C$18,$C$19,$C$20,$C$21,$C$22,$C$26,$C$27,$D$16,$D$17,$D$18,$D$19,$D$20,$D$21,$D$22,$D$23,$D$24,$D$25,$D$26,$D$27,$C$8,$C$9,$C$10,$D$11,$C$12),"")</f>
        <v>1.1200000000008505E-2</v>
      </c>
      <c r="AD4" s="229">
        <f t="shared" ref="AD4:AD22" ca="1" si="2">AC4-AB4</f>
        <v>8.5036144792383084E-15</v>
      </c>
      <c r="AE4" s="230">
        <f t="shared" ref="AE4:AE22" ca="1" si="3">(AC4-AB4)*10000</f>
        <v>8.5036144792383084E-11</v>
      </c>
      <c r="AG4" s="227" t="s">
        <v>42</v>
      </c>
      <c r="AH4" s="255">
        <f ca="1">IF(NOW(),_xll.mirSwapPV($C$3,$C$4,$C$6,$G4,$C$7,$I4+AH$3,$C$16,$C$17,$C$18,$C$19,$C$20,$C$21,$C$22,$C$26,$C$27,$D$15,$D$16,$D$17,$D$18,$D$19,$D$20,$D$21,$D$22,$D$23,$D$24,$D$25,$D$26,$D$27,$C$8,$C$9,$C$10,$D$11,$C$12),"")</f>
        <v>99258.437527978211</v>
      </c>
      <c r="AI4" s="255">
        <f ca="1">IF(NOW(),_xll.mirSwapPV($C$3,$C$4,$C$6,$G4,$C$7,$I4+AI$3,$C$16,$C$17,$C$18,$C$19,$C$20,$C$21,$C$22,$C$26,$C$27,$D$15,$D$16,$D$17,$D$18,$D$19,$D$20,$D$21,$D$22,$D$23,$D$24,$D$25,$D$26,$D$27,$C$8,$C$9,$C$10,$D$11,$C$12),"")</f>
        <v>79406.750022382563</v>
      </c>
      <c r="AJ4" s="255">
        <f ca="1">IF(NOW(),_xll.mirSwapPV($C$3,$C$4,$C$6,$G4,$C$7,$I4+AJ$3,$C$16,$C$17,$C$18,$C$19,$C$20,$C$21,$C$22,$C$26,$C$27,$D$15,$D$16,$D$17,$D$18,$D$19,$D$20,$D$21,$D$22,$D$23,$D$24,$D$25,$D$26,$D$27,$C$8,$C$9,$C$10,$D$11,$C$12),"")</f>
        <v>59555.062516786908</v>
      </c>
      <c r="AK4" s="255">
        <f ca="1">IF(NOW(),_xll.mirSwapPV($C$3,$C$4,$C$6,$G4,$C$7,$I4+AK$3,$C$16,$C$17,$C$18,$C$19,$C$20,$C$21,$C$22,$C$26,$C$27,$D$15,$D$16,$D$17,$D$18,$D$19,$D$20,$D$21,$D$22,$D$23,$D$24,$D$25,$D$26,$D$27,$C$8,$C$9,$C$10,$D$11,$C$12),"")</f>
        <v>39703.375011191267</v>
      </c>
      <c r="AL4" s="255">
        <f ca="1">IF(NOW(),_xll.mirSwapPV($C$3,$C$4,$C$6,$G4,$C$7,$I4+AL$3,$C$16,$C$17,$C$18,$C$19,$C$20,$C$21,$C$22,$C$26,$C$27,$D$15,$D$16,$D$17,$D$18,$D$19,$D$20,$D$21,$D$22,$D$23,$D$24,$D$25,$D$26,$D$27,$C$8,$C$9,$C$10,$D$11,$C$12),"")</f>
        <v>19851.68750559563</v>
      </c>
      <c r="AM4" s="255">
        <f ca="1">IF(NOW(),_xll.mirSwapPV($C$3,$C$4,$C$6,$G4,$C$7,$I4+AM$3,$C$16,$C$17,$C$18,$C$19,$C$20,$C$21,$C$22,$C$26,$C$27,$D$15,$D$16,$D$17,$D$18,$D$19,$D$20,$D$21,$D$22,$D$23,$D$24,$D$25,$D$26,$D$27,$C$8,$C$9,$C$10,$D$11,$C$12),"")</f>
        <v>-3.4694469519536142E-12</v>
      </c>
      <c r="AN4" s="255">
        <f ca="1">IF(NOW(),_xll.mirSwapPV($C$3,$C$4,$C$6,$G4,$C$7,$I4+AN$3,$C$16,$C$17,$C$18,$C$19,$C$20,$C$21,$C$22,$C$26,$C$27,$D$15,$D$16,$D$17,$D$18,$D$19,$D$20,$D$21,$D$22,$D$23,$D$24,$D$25,$D$26,$D$27,$C$8,$C$9,$C$10,$D$11,$C$12),"")</f>
        <v>-19851.687505595644</v>
      </c>
      <c r="AO4" s="255">
        <f ca="1">IF(NOW(),_xll.mirSwapPV($C$3,$C$4,$C$6,$G4,$C$7,$I4+AO$3,$C$16,$C$17,$C$18,$C$19,$C$20,$C$21,$C$22,$C$26,$C$27,$D$15,$D$16,$D$17,$D$18,$D$19,$D$20,$D$21,$D$22,$D$23,$D$24,$D$25,$D$26,$D$27,$C$8,$C$9,$C$10,$D$11,$C$12),"")</f>
        <v>-39703.375011191281</v>
      </c>
      <c r="AP4" s="255">
        <f ca="1">IF(NOW(),_xll.mirSwapPV($C$3,$C$4,$C$6,$G4,$C$7,$I4+AP$3,$C$16,$C$17,$C$18,$C$19,$C$20,$C$21,$C$22,$C$26,$C$27,$D$15,$D$16,$D$17,$D$18,$D$19,$D$20,$D$21,$D$22,$D$23,$D$24,$D$25,$D$26,$D$27,$C$8,$C$9,$C$10,$D$11,$C$12),"")</f>
        <v>-59555.062516786922</v>
      </c>
      <c r="AQ4" s="255">
        <f ca="1">IF(NOW(),_xll.mirSwapPV($C$3,$C$4,$C$6,$G4,$C$7,$I4+AQ$3,$C$16,$C$17,$C$18,$C$19,$C$20,$C$21,$C$22,$C$26,$C$27,$D$15,$D$16,$D$17,$D$18,$D$19,$D$20,$D$21,$D$22,$D$23,$D$24,$D$25,$D$26,$D$27,$C$8,$C$9,$C$10,$D$11,$C$12),"")</f>
        <v>-79406.750022382563</v>
      </c>
      <c r="AR4" s="255">
        <f ca="1">IF(NOW(),_xll.mirSwapPV($C$3,$C$4,$C$6,$G4,$C$7,$I4+AR$3,$C$16,$C$17,$C$18,$C$19,$C$20,$C$21,$C$22,$C$26,$C$27,$D$15,$D$16,$D$17,$D$18,$D$19,$D$20,$D$21,$D$22,$D$23,$D$24,$D$25,$D$26,$D$27,$C$8,$C$9,$C$10,$D$11,$C$12),"")</f>
        <v>-99258.437527978211</v>
      </c>
    </row>
    <row r="5" spans="2:44">
      <c r="B5" s="231"/>
      <c r="C5" s="231"/>
      <c r="D5" s="232"/>
      <c r="F5" s="224" t="s">
        <v>39</v>
      </c>
      <c r="G5" s="227">
        <f>_xll.mirGetDate($C$6,F5)</f>
        <v>43294</v>
      </c>
      <c r="H5" s="228">
        <f>'GBP Curve Config'!AO10</f>
        <v>1.3849999999999999E-2</v>
      </c>
      <c r="I5" s="229">
        <f ca="1">IF(NOW(),_xll.mirGetParRate4($C$6,F5,$C$7,$C$16,$C$17,$C$18,$C$19,$C$20,$C$21,$C$22,$C$26,$C$27,$D$16,$D$17,$D$18,$D$19,$D$20,$D$21,$D$22,$D$23,$D$24,$D$25,$D$26,$D$27,$C$8,$C$9,$C$10,$C$11,$C$12),"")</f>
        <v>1.3850000000123383E-2</v>
      </c>
      <c r="J5" s="229">
        <f t="shared" ref="J4:J22" ca="1" si="4">I5-H5</f>
        <v>1.2338394195232638E-13</v>
      </c>
      <c r="K5" s="230">
        <f t="shared" ref="K4:K22" ca="1" si="5">(I5-H5)*10000</f>
        <v>1.2338394195232638E-9</v>
      </c>
      <c r="L5" s="230" t="s">
        <v>12</v>
      </c>
      <c r="M5" s="224" t="s">
        <v>39</v>
      </c>
      <c r="N5" s="255">
        <f ca="1">IF(NOW(),_xll.mirSwapPV($C$3,$C$4,$C$6,$G5,$C$7,$I5+N$3,$C$16,$C$17,$C$18,$C$19,$C$20,$C$21,$C$22,$C$26,$C$27,$D$15,$D$16,$D$17,$D$18,$D$19,$D$20,$D$21,$D$22,$D$23,$D$24,$D$25,$D$26,$D$27,$C$8,$C$9,$C$10,$C$11,$C$12),"")</f>
        <v>147865.36992561395</v>
      </c>
      <c r="O5" s="255">
        <f ca="1">IF(NOW(),_xll.mirSwapPV($C$3,$C$4,$C$6,$G5,$C$7,$I5+O$3,$C$16,$C$17,$C$18,$C$19,$C$20,$C$21,$C$22,$C$26,$C$27,$D$15,$D$16,$D$17,$D$18,$D$19,$D$20,$D$21,$D$22,$D$23,$D$24,$D$25,$D$26,$D$27,$C$8,$C$9,$C$10,$C$11,$C$12),"")</f>
        <v>118292.29594049114</v>
      </c>
      <c r="P5" s="255">
        <f ca="1">IF(NOW(),_xll.mirSwapPV($C$3,$C$4,$C$6,$G5,$C$7,$I5+P$3,$C$16,$C$17,$C$18,$C$19,$C$20,$C$21,$C$22,$C$26,$C$27,$D$15,$D$16,$D$17,$D$18,$D$19,$D$20,$D$21,$D$22,$D$23,$D$24,$D$25,$D$26,$D$27,$C$8,$C$9,$C$10,$C$11,$C$12),"")</f>
        <v>88719.221955368354</v>
      </c>
      <c r="Q5" s="255">
        <f ca="1">IF(NOW(),_xll.mirSwapPV($C$3,$C$4,$C$6,$G5,$C$7,$I5+Q$3,$C$16,$C$17,$C$18,$C$19,$C$20,$C$21,$C$22,$C$26,$C$27,$D$15,$D$16,$D$17,$D$18,$D$19,$D$20,$D$21,$D$22,$D$23,$D$24,$D$25,$D$26,$D$27,$C$8,$C$9,$C$10,$C$11,$C$12),"")</f>
        <v>59146.147970245562</v>
      </c>
      <c r="R5" s="255">
        <f ca="1">IF(NOW(),_xll.mirSwapPV($C$3,$C$4,$C$6,$G5,$C$7,$I5+R$3,$C$16,$C$17,$C$18,$C$19,$C$20,$C$21,$C$22,$C$26,$C$27,$D$15,$D$16,$D$17,$D$18,$D$19,$D$20,$D$21,$D$22,$D$23,$D$24,$D$25,$D$26,$D$27,$C$8,$C$9,$C$10,$C$11,$C$12),"")</f>
        <v>29573.073985122774</v>
      </c>
      <c r="S5" s="255">
        <f ca="1">IF(NOW(),_xll.mirSwapPV($C$3,$C$4,$C$6,$G5,$C$7,$I5+S$3,$C$16,$C$17,$C$18,$C$19,$C$20,$C$21,$C$22,$C$26,$C$27,$D$15,$D$16,$D$17,$D$18,$D$19,$D$20,$D$21,$D$22,$D$23,$D$24,$D$25,$D$26,$D$27,$C$8,$C$9,$C$10,$C$11,$C$12),"")</f>
        <v>0</v>
      </c>
      <c r="T5" s="255">
        <f ca="1">IF(NOW(),_xll.mirSwapPV($C$3,$C$4,$C$6,$G5,$C$7,$I5+T$3,$C$16,$C$17,$C$18,$C$19,$C$20,$C$21,$C$22,$C$26,$C$27,$D$15,$D$16,$D$17,$D$18,$D$19,$D$20,$D$21,$D$22,$D$23,$D$24,$D$25,$D$26,$D$27,$C$8,$C$9,$C$10,$C$11,$C$12),"")</f>
        <v>-29573.073985122795</v>
      </c>
      <c r="U5" s="255">
        <f ca="1">IF(NOW(),_xll.mirSwapPV($C$3,$C$4,$C$6,$G5,$C$7,$I5+U$3,$C$16,$C$17,$C$18,$C$19,$C$20,$C$21,$C$22,$C$26,$C$27,$D$15,$D$16,$D$17,$D$18,$D$19,$D$20,$D$21,$D$22,$D$23,$D$24,$D$25,$D$26,$D$27,$C$8,$C$9,$C$10,$C$11,$C$12),"")</f>
        <v>-59146.147970245576</v>
      </c>
      <c r="V5" s="255">
        <f ca="1">IF(NOW(),_xll.mirSwapPV($C$3,$C$4,$C$6,$G5,$C$7,$I5+V$3,$C$16,$C$17,$C$18,$C$19,$C$20,$C$21,$C$22,$C$26,$C$27,$D$15,$D$16,$D$17,$D$18,$D$19,$D$20,$D$21,$D$22,$D$23,$D$24,$D$25,$D$26,$D$27,$C$8,$C$9,$C$10,$C$11,$C$12),"")</f>
        <v>-88719.221955368354</v>
      </c>
      <c r="W5" s="255">
        <f ca="1">IF(NOW(),_xll.mirSwapPV($C$3,$C$4,$C$6,$G5,$C$7,$I5+W$3,$C$16,$C$17,$C$18,$C$19,$C$20,$C$21,$C$22,$C$26,$C$27,$D$15,$D$16,$D$17,$D$18,$D$19,$D$20,$D$21,$D$22,$D$23,$D$24,$D$25,$D$26,$D$27,$C$8,$C$9,$C$10,$C$11,$C$12),"")</f>
        <v>-118292.29594049115</v>
      </c>
      <c r="X5" s="255">
        <f ca="1">IF(NOW(),_xll.mirSwapPV($C$3,$C$4,$C$6,$G5,$C$7,$I5+X$3,$C$16,$C$17,$C$18,$C$19,$C$20,$C$21,$C$22,$C$26,$C$27,$D$15,$D$16,$D$17,$D$18,$D$19,$D$20,$D$21,$D$22,$D$23,$D$24,$D$25,$D$26,$D$27,$C$8,$C$9,$C$10,$C$11,$C$12),"")</f>
        <v>-147865.36992561395</v>
      </c>
      <c r="Y5" s="230" t="s">
        <v>12</v>
      </c>
      <c r="Z5" s="224" t="s">
        <v>39</v>
      </c>
      <c r="AA5" s="227">
        <f>_xll.mirGetDate($C$6,Z5)</f>
        <v>43294</v>
      </c>
      <c r="AB5" s="228">
        <f>'GBP Curve Config'!$AO10</f>
        <v>1.3849999999999999E-2</v>
      </c>
      <c r="AC5" s="229">
        <f ca="1">IF(NOW(),_xll.mirGetParRate4($C$6,Z5,$C$7,$C$16,$C$17,$C$18,$C$19,$C$20,$C$21,$C$22,$C$26,$C$27,$D$16,$D$17,$D$18,$D$19,$D$20,$D$21,$D$22,$D$23,$D$24,$D$25,$D$26,$D$27,$C$8,$C$9,$C$10,$D$11,$C$12),"")</f>
        <v>1.3850000000123397E-2</v>
      </c>
      <c r="AD5" s="229">
        <f t="shared" ca="1" si="2"/>
        <v>1.233978197401342E-13</v>
      </c>
      <c r="AE5" s="230">
        <f t="shared" ca="1" si="3"/>
        <v>1.233978197401342E-9</v>
      </c>
      <c r="AG5" s="224" t="s">
        <v>39</v>
      </c>
      <c r="AH5" s="255">
        <f ca="1">IF(NOW(),_xll.mirSwapPV($C$3,$C$4,$C$6,$G5,$C$7,$I5+AH$3,$C$16,$C$17,$C$18,$C$19,$C$20,$C$21,$C$22,$C$26,$C$27,$D$15,$D$16,$D$17,$D$18,$D$19,$D$20,$D$21,$D$22,$D$23,$D$24,$D$25,$D$26,$D$27,$C$8,$C$9,$C$10,$D$11,$C$12),"")</f>
        <v>147865.36992561398</v>
      </c>
      <c r="AI5" s="255">
        <f ca="1">IF(NOW(),_xll.mirSwapPV($C$3,$C$4,$C$6,$G5,$C$7,$I5+AI$3,$C$16,$C$17,$C$18,$C$19,$C$20,$C$21,$C$22,$C$26,$C$27,$D$15,$D$16,$D$17,$D$18,$D$19,$D$20,$D$21,$D$22,$D$23,$D$24,$D$25,$D$26,$D$27,$C$8,$C$9,$C$10,$D$11,$C$12),"")</f>
        <v>118292.29594049118</v>
      </c>
      <c r="AJ5" s="255">
        <f ca="1">IF(NOW(),_xll.mirSwapPV($C$3,$C$4,$C$6,$G5,$C$7,$I5+AJ$3,$C$16,$C$17,$C$18,$C$19,$C$20,$C$21,$C$22,$C$26,$C$27,$D$15,$D$16,$D$17,$D$18,$D$19,$D$20,$D$21,$D$22,$D$23,$D$24,$D$25,$D$26,$D$27,$C$8,$C$9,$C$10,$D$11,$C$12),"")</f>
        <v>88719.221955368397</v>
      </c>
      <c r="AK5" s="255">
        <f ca="1">IF(NOW(),_xll.mirSwapPV($C$3,$C$4,$C$6,$G5,$C$7,$I5+AK$3,$C$16,$C$17,$C$18,$C$19,$C$20,$C$21,$C$22,$C$26,$C$27,$D$15,$D$16,$D$17,$D$18,$D$19,$D$20,$D$21,$D$22,$D$23,$D$24,$D$25,$D$26,$D$27,$C$8,$C$9,$C$10,$D$11,$C$12),"")</f>
        <v>59146.147970245605</v>
      </c>
      <c r="AL5" s="255">
        <f ca="1">IF(NOW(),_xll.mirSwapPV($C$3,$C$4,$C$6,$G5,$C$7,$I5+AL$3,$C$16,$C$17,$C$18,$C$19,$C$20,$C$21,$C$22,$C$26,$C$27,$D$15,$D$16,$D$17,$D$18,$D$19,$D$20,$D$21,$D$22,$D$23,$D$24,$D$25,$D$26,$D$27,$C$8,$C$9,$C$10,$D$11,$C$12),"")</f>
        <v>29573.073985122814</v>
      </c>
      <c r="AM5" s="255">
        <f ca="1">IF(NOW(),_xll.mirSwapPV($C$3,$C$4,$C$6,$G5,$C$7,$I5+AM$3,$C$16,$C$17,$C$18,$C$19,$C$20,$C$21,$C$22,$C$26,$C$27,$D$15,$D$16,$D$17,$D$18,$D$19,$D$20,$D$21,$D$22,$D$23,$D$24,$D$25,$D$26,$D$27,$C$8,$C$9,$C$10,$D$11,$C$12),"")</f>
        <v>4.163336342344337E-11</v>
      </c>
      <c r="AN5" s="255">
        <f ca="1">IF(NOW(),_xll.mirSwapPV($C$3,$C$4,$C$6,$G5,$C$7,$I5+AN$3,$C$16,$C$17,$C$18,$C$19,$C$20,$C$21,$C$22,$C$26,$C$27,$D$15,$D$16,$D$17,$D$18,$D$19,$D$20,$D$21,$D$22,$D$23,$D$24,$D$25,$D$26,$D$27,$C$8,$C$9,$C$10,$D$11,$C$12),"")</f>
        <v>-29573.073985122752</v>
      </c>
      <c r="AO5" s="255">
        <f ca="1">IF(NOW(),_xll.mirSwapPV($C$3,$C$4,$C$6,$G5,$C$7,$I5+AO$3,$C$16,$C$17,$C$18,$C$19,$C$20,$C$21,$C$22,$C$26,$C$27,$D$15,$D$16,$D$17,$D$18,$D$19,$D$20,$D$21,$D$22,$D$23,$D$24,$D$25,$D$26,$D$27,$C$8,$C$9,$C$10,$D$11,$C$12),"")</f>
        <v>-59146.147970245533</v>
      </c>
      <c r="AP5" s="255">
        <f ca="1">IF(NOW(),_xll.mirSwapPV($C$3,$C$4,$C$6,$G5,$C$7,$I5+AP$3,$C$16,$C$17,$C$18,$C$19,$C$20,$C$21,$C$22,$C$26,$C$27,$D$15,$D$16,$D$17,$D$18,$D$19,$D$20,$D$21,$D$22,$D$23,$D$24,$D$25,$D$26,$D$27,$C$8,$C$9,$C$10,$D$11,$C$12),"")</f>
        <v>-88719.22195536831</v>
      </c>
      <c r="AQ5" s="255">
        <f ca="1">IF(NOW(),_xll.mirSwapPV($C$3,$C$4,$C$6,$G5,$C$7,$I5+AQ$3,$C$16,$C$17,$C$18,$C$19,$C$20,$C$21,$C$22,$C$26,$C$27,$D$15,$D$16,$D$17,$D$18,$D$19,$D$20,$D$21,$D$22,$D$23,$D$24,$D$25,$D$26,$D$27,$C$8,$C$9,$C$10,$D$11,$C$12),"")</f>
        <v>-118292.29594049111</v>
      </c>
      <c r="AR5" s="255">
        <f ca="1">IF(NOW(),_xll.mirSwapPV($C$3,$C$4,$C$6,$G5,$C$7,$I5+AR$3,$C$16,$C$17,$C$18,$C$19,$C$20,$C$21,$C$22,$C$26,$C$27,$D$15,$D$16,$D$17,$D$18,$D$19,$D$20,$D$21,$D$22,$D$23,$D$24,$D$25,$D$26,$D$27,$C$8,$C$9,$C$10,$D$11,$C$12),"")</f>
        <v>-147865.36992561389</v>
      </c>
    </row>
    <row r="6" spans="2:44">
      <c r="B6" s="221" t="s">
        <v>431</v>
      </c>
      <c r="C6" s="233">
        <v>42198</v>
      </c>
      <c r="D6" s="233"/>
      <c r="F6" s="224" t="s">
        <v>35</v>
      </c>
      <c r="G6" s="227">
        <f>_xll.mirGetDate($C$6,F6)</f>
        <v>43659</v>
      </c>
      <c r="H6" s="228">
        <f>'GBP Curve Config'!AO11</f>
        <v>1.6001000000000001E-2</v>
      </c>
      <c r="I6" s="229">
        <f ca="1">IF(NOW(),_xll.mirGetParRate4($C$6,F6,$C$7,$C$16,$C$17,$C$18,$C$19,$C$20,$C$21,$C$22,$C$26,$C$27,$D$16,$D$17,$D$18,$D$19,$D$20,$D$21,$D$22,$D$23,$D$24,$D$25,$D$26,$D$27,$C$8,$C$9,$C$10,$C$11,$C$12),"")</f>
        <v>1.6001000000049639E-2</v>
      </c>
      <c r="J6" s="229">
        <f t="shared" ca="1" si="4"/>
        <v>4.9637377541600358E-14</v>
      </c>
      <c r="K6" s="230">
        <f t="shared" ca="1" si="5"/>
        <v>4.9637377541600358E-10</v>
      </c>
      <c r="L6" s="230" t="s">
        <v>12</v>
      </c>
      <c r="M6" s="224" t="s">
        <v>35</v>
      </c>
      <c r="N6" s="255">
        <f ca="1">IF(NOW(),_xll.mirSwapPV($C$3,$C$4,$C$6,$G6,$C$7,$I6+N$3,$C$16,$C$17,$C$18,$C$19,$C$20,$C$21,$C$22,$C$26,$C$27,$D$15,$D$16,$D$17,$D$18,$D$19,$D$20,$D$21,$D$22,$D$23,$D$24,$D$25,$D$26,$D$27,$C$8,$C$9,$C$10,$C$11,$C$12),"")</f>
        <v>195848.7564848233</v>
      </c>
      <c r="O6" s="255">
        <f ca="1">IF(NOW(),_xll.mirSwapPV($C$3,$C$4,$C$6,$G6,$C$7,$I6+O$3,$C$16,$C$17,$C$18,$C$19,$C$20,$C$21,$C$22,$C$26,$C$27,$D$15,$D$16,$D$17,$D$18,$D$19,$D$20,$D$21,$D$22,$D$23,$D$24,$D$25,$D$26,$D$27,$C$8,$C$9,$C$10,$C$11,$C$12),"")</f>
        <v>156679.00518785865</v>
      </c>
      <c r="P6" s="255">
        <f ca="1">IF(NOW(),_xll.mirSwapPV($C$3,$C$4,$C$6,$G6,$C$7,$I6+P$3,$C$16,$C$17,$C$18,$C$19,$C$20,$C$21,$C$22,$C$26,$C$27,$D$15,$D$16,$D$17,$D$18,$D$19,$D$20,$D$21,$D$22,$D$23,$D$24,$D$25,$D$26,$D$27,$C$8,$C$9,$C$10,$C$11,$C$12),"")</f>
        <v>117509.25389089398</v>
      </c>
      <c r="Q6" s="255">
        <f ca="1">IF(NOW(),_xll.mirSwapPV($C$3,$C$4,$C$6,$G6,$C$7,$I6+Q$3,$C$16,$C$17,$C$18,$C$19,$C$20,$C$21,$C$22,$C$26,$C$27,$D$15,$D$16,$D$17,$D$18,$D$19,$D$20,$D$21,$D$22,$D$23,$D$24,$D$25,$D$26,$D$27,$C$8,$C$9,$C$10,$C$11,$C$12),"")</f>
        <v>78339.502593929312</v>
      </c>
      <c r="R6" s="255">
        <f ca="1">IF(NOW(),_xll.mirSwapPV($C$3,$C$4,$C$6,$G6,$C$7,$I6+R$3,$C$16,$C$17,$C$18,$C$19,$C$20,$C$21,$C$22,$C$26,$C$27,$D$15,$D$16,$D$17,$D$18,$D$19,$D$20,$D$21,$D$22,$D$23,$D$24,$D$25,$D$26,$D$27,$C$8,$C$9,$C$10,$C$11,$C$12),"")</f>
        <v>39169.751296964649</v>
      </c>
      <c r="S6" s="255">
        <f ca="1">IF(NOW(),_xll.mirSwapPV($C$3,$C$4,$C$6,$G6,$C$7,$I6+S$3,$C$16,$C$17,$C$18,$C$19,$C$20,$C$21,$C$22,$C$26,$C$27,$D$15,$D$16,$D$17,$D$18,$D$19,$D$20,$D$21,$D$22,$D$23,$D$24,$D$25,$D$26,$D$27,$C$8,$C$9,$C$10,$C$11,$C$12),"")</f>
        <v>0</v>
      </c>
      <c r="T6" s="255">
        <f ca="1">IF(NOW(),_xll.mirSwapPV($C$3,$C$4,$C$6,$G6,$C$7,$I6+T$3,$C$16,$C$17,$C$18,$C$19,$C$20,$C$21,$C$22,$C$26,$C$27,$D$15,$D$16,$D$17,$D$18,$D$19,$D$20,$D$21,$D$22,$D$23,$D$24,$D$25,$D$26,$D$27,$C$8,$C$9,$C$10,$C$11,$C$12),"")</f>
        <v>-39169.751296964649</v>
      </c>
      <c r="U6" s="255">
        <f ca="1">IF(NOW(),_xll.mirSwapPV($C$3,$C$4,$C$6,$G6,$C$7,$I6+U$3,$C$16,$C$17,$C$18,$C$19,$C$20,$C$21,$C$22,$C$26,$C$27,$D$15,$D$16,$D$17,$D$18,$D$19,$D$20,$D$21,$D$22,$D$23,$D$24,$D$25,$D$26,$D$27,$C$8,$C$9,$C$10,$C$11,$C$12),"")</f>
        <v>-78339.502593929326</v>
      </c>
      <c r="V6" s="255">
        <f ca="1">IF(NOW(),_xll.mirSwapPV($C$3,$C$4,$C$6,$G6,$C$7,$I6+V$3,$C$16,$C$17,$C$18,$C$19,$C$20,$C$21,$C$22,$C$26,$C$27,$D$15,$D$16,$D$17,$D$18,$D$19,$D$20,$D$21,$D$22,$D$23,$D$24,$D$25,$D$26,$D$27,$C$8,$C$9,$C$10,$C$11,$C$12),"")</f>
        <v>-117509.25389089398</v>
      </c>
      <c r="W6" s="255">
        <f ca="1">IF(NOW(),_xll.mirSwapPV($C$3,$C$4,$C$6,$G6,$C$7,$I6+W$3,$C$16,$C$17,$C$18,$C$19,$C$20,$C$21,$C$22,$C$26,$C$27,$D$15,$D$16,$D$17,$D$18,$D$19,$D$20,$D$21,$D$22,$D$23,$D$24,$D$25,$D$26,$D$27,$C$8,$C$9,$C$10,$C$11,$C$12),"")</f>
        <v>-156679.00518785862</v>
      </c>
      <c r="X6" s="255">
        <f ca="1">IF(NOW(),_xll.mirSwapPV($C$3,$C$4,$C$6,$G6,$C$7,$I6+X$3,$C$16,$C$17,$C$18,$C$19,$C$20,$C$21,$C$22,$C$26,$C$27,$D$15,$D$16,$D$17,$D$18,$D$19,$D$20,$D$21,$D$22,$D$23,$D$24,$D$25,$D$26,$D$27,$C$8,$C$9,$C$10,$C$11,$C$12),"")</f>
        <v>-195848.7564848233</v>
      </c>
      <c r="Y6" s="230" t="s">
        <v>12</v>
      </c>
      <c r="Z6" s="224" t="s">
        <v>35</v>
      </c>
      <c r="AA6" s="227">
        <f>_xll.mirGetDate($C$6,Z6)</f>
        <v>43659</v>
      </c>
      <c r="AB6" s="228">
        <f>'GBP Curve Config'!$AO11</f>
        <v>1.6001000000000001E-2</v>
      </c>
      <c r="AC6" s="229">
        <f ca="1">IF(NOW(),_xll.mirGetParRate4($C$6,Z6,$C$7,$C$16,$C$17,$C$18,$C$19,$C$20,$C$21,$C$22,$C$26,$C$27,$D$16,$D$17,$D$18,$D$19,$D$20,$D$21,$D$22,$D$23,$D$24,$D$25,$D$26,$D$27,$C$8,$C$9,$C$10,$D$11,$C$12),"")</f>
        <v>1.6001000000049639E-2</v>
      </c>
      <c r="AD6" s="229">
        <f t="shared" ca="1" si="2"/>
        <v>4.9637377541600358E-14</v>
      </c>
      <c r="AE6" s="230">
        <f t="shared" ca="1" si="3"/>
        <v>4.9637377541600358E-10</v>
      </c>
      <c r="AG6" s="224" t="s">
        <v>35</v>
      </c>
      <c r="AH6" s="255">
        <f ca="1">IF(NOW(),_xll.mirSwapPV($C$3,$C$4,$C$6,$G6,$C$7,$I6+AH$3,$C$16,$C$17,$C$18,$C$19,$C$20,$C$21,$C$22,$C$26,$C$27,$D$15,$D$16,$D$17,$D$18,$D$19,$D$20,$D$21,$D$22,$D$23,$D$24,$D$25,$D$26,$D$27,$C$8,$C$9,$C$10,$D$11,$C$12),"")</f>
        <v>195848.7564848233</v>
      </c>
      <c r="AI6" s="255">
        <f ca="1">IF(NOW(),_xll.mirSwapPV($C$3,$C$4,$C$6,$G6,$C$7,$I6+AI$3,$C$16,$C$17,$C$18,$C$19,$C$20,$C$21,$C$22,$C$26,$C$27,$D$15,$D$16,$D$17,$D$18,$D$19,$D$20,$D$21,$D$22,$D$23,$D$24,$D$25,$D$26,$D$27,$C$8,$C$9,$C$10,$D$11,$C$12),"")</f>
        <v>156679.00518785865</v>
      </c>
      <c r="AJ6" s="255">
        <f ca="1">IF(NOW(),_xll.mirSwapPV($C$3,$C$4,$C$6,$G6,$C$7,$I6+AJ$3,$C$16,$C$17,$C$18,$C$19,$C$20,$C$21,$C$22,$C$26,$C$27,$D$15,$D$16,$D$17,$D$18,$D$19,$D$20,$D$21,$D$22,$D$23,$D$24,$D$25,$D$26,$D$27,$C$8,$C$9,$C$10,$D$11,$C$12),"")</f>
        <v>117509.25389089398</v>
      </c>
      <c r="AK6" s="255">
        <f ca="1">IF(NOW(),_xll.mirSwapPV($C$3,$C$4,$C$6,$G6,$C$7,$I6+AK$3,$C$16,$C$17,$C$18,$C$19,$C$20,$C$21,$C$22,$C$26,$C$27,$D$15,$D$16,$D$17,$D$18,$D$19,$D$20,$D$21,$D$22,$D$23,$D$24,$D$25,$D$26,$D$27,$C$8,$C$9,$C$10,$D$11,$C$12),"")</f>
        <v>78339.502593929312</v>
      </c>
      <c r="AL6" s="255">
        <f ca="1">IF(NOW(),_xll.mirSwapPV($C$3,$C$4,$C$6,$G6,$C$7,$I6+AL$3,$C$16,$C$17,$C$18,$C$19,$C$20,$C$21,$C$22,$C$26,$C$27,$D$15,$D$16,$D$17,$D$18,$D$19,$D$20,$D$21,$D$22,$D$23,$D$24,$D$25,$D$26,$D$27,$C$8,$C$9,$C$10,$D$11,$C$12),"")</f>
        <v>39169.751296964649</v>
      </c>
      <c r="AM6" s="255">
        <f ca="1">IF(NOW(),_xll.mirSwapPV($C$3,$C$4,$C$6,$G6,$C$7,$I6+AM$3,$C$16,$C$17,$C$18,$C$19,$C$20,$C$21,$C$22,$C$26,$C$27,$D$15,$D$16,$D$17,$D$18,$D$19,$D$20,$D$21,$D$22,$D$23,$D$24,$D$25,$D$26,$D$27,$C$8,$C$9,$C$10,$D$11,$C$12),"")</f>
        <v>0</v>
      </c>
      <c r="AN6" s="255">
        <f ca="1">IF(NOW(),_xll.mirSwapPV($C$3,$C$4,$C$6,$G6,$C$7,$I6+AN$3,$C$16,$C$17,$C$18,$C$19,$C$20,$C$21,$C$22,$C$26,$C$27,$D$15,$D$16,$D$17,$D$18,$D$19,$D$20,$D$21,$D$22,$D$23,$D$24,$D$25,$D$26,$D$27,$C$8,$C$9,$C$10,$D$11,$C$12),"")</f>
        <v>-39169.751296964649</v>
      </c>
      <c r="AO6" s="255">
        <f ca="1">IF(NOW(),_xll.mirSwapPV($C$3,$C$4,$C$6,$G6,$C$7,$I6+AO$3,$C$16,$C$17,$C$18,$C$19,$C$20,$C$21,$C$22,$C$26,$C$27,$D$15,$D$16,$D$17,$D$18,$D$19,$D$20,$D$21,$D$22,$D$23,$D$24,$D$25,$D$26,$D$27,$C$8,$C$9,$C$10,$D$11,$C$12),"")</f>
        <v>-78339.502593929326</v>
      </c>
      <c r="AP6" s="255">
        <f ca="1">IF(NOW(),_xll.mirSwapPV($C$3,$C$4,$C$6,$G6,$C$7,$I6+AP$3,$C$16,$C$17,$C$18,$C$19,$C$20,$C$21,$C$22,$C$26,$C$27,$D$15,$D$16,$D$17,$D$18,$D$19,$D$20,$D$21,$D$22,$D$23,$D$24,$D$25,$D$26,$D$27,$C$8,$C$9,$C$10,$D$11,$C$12),"")</f>
        <v>-117509.25389089398</v>
      </c>
      <c r="AQ6" s="255">
        <f ca="1">IF(NOW(),_xll.mirSwapPV($C$3,$C$4,$C$6,$G6,$C$7,$I6+AQ$3,$C$16,$C$17,$C$18,$C$19,$C$20,$C$21,$C$22,$C$26,$C$27,$D$15,$D$16,$D$17,$D$18,$D$19,$D$20,$D$21,$D$22,$D$23,$D$24,$D$25,$D$26,$D$27,$C$8,$C$9,$C$10,$D$11,$C$12),"")</f>
        <v>-156679.00518785862</v>
      </c>
      <c r="AR6" s="255">
        <f ca="1">IF(NOW(),_xll.mirSwapPV($C$3,$C$4,$C$6,$G6,$C$7,$I6+AR$3,$C$16,$C$17,$C$18,$C$19,$C$20,$C$21,$C$22,$C$26,$C$27,$D$15,$D$16,$D$17,$D$18,$D$19,$D$20,$D$21,$D$22,$D$23,$D$24,$D$25,$D$26,$D$27,$C$8,$C$9,$C$10,$D$11,$C$12),"")</f>
        <v>-195848.7564848233</v>
      </c>
    </row>
    <row r="7" spans="2:44">
      <c r="B7" s="234" t="s">
        <v>432</v>
      </c>
      <c r="C7" s="235" t="s">
        <v>455</v>
      </c>
      <c r="D7" s="235"/>
      <c r="F7" s="224" t="s">
        <v>33</v>
      </c>
      <c r="G7" s="227">
        <f>_xll.mirGetDate($C$6,F7)</f>
        <v>44025</v>
      </c>
      <c r="H7" s="228">
        <f>'GBP Curve Config'!AO12</f>
        <v>1.7749999999999998E-2</v>
      </c>
      <c r="I7" s="229">
        <f ca="1">IF(NOW(),_xll.mirGetParRate4($C$6,F7,$C$7,$C$16,$C$17,$C$18,$C$19,$C$20,$C$21,$C$22,$C$26,$C$27,$D$16,$D$17,$D$18,$D$19,$D$20,$D$21,$D$22,$D$23,$D$24,$D$25,$D$26,$D$27,$C$8,$C$9,$C$10,$C$11,$C$12),"")</f>
        <v>1.7750000000296997E-2</v>
      </c>
      <c r="J7" s="229">
        <f t="shared" ca="1" si="4"/>
        <v>2.9699853687503719E-13</v>
      </c>
      <c r="K7" s="230">
        <f t="shared" ca="1" si="5"/>
        <v>2.9699853687503719E-9</v>
      </c>
      <c r="L7" s="230" t="s">
        <v>12</v>
      </c>
      <c r="M7" s="224" t="s">
        <v>33</v>
      </c>
      <c r="N7" s="255">
        <f ca="1">IF(NOW(),_xll.mirSwapPV($C$3,$C$4,$C$6,$G7,$C$7,$I7+N$3,$C$16,$C$17,$C$18,$C$19,$C$20,$C$21,$C$22,$C$26,$C$27,$D$15,$D$16,$D$17,$D$18,$D$19,$D$20,$D$21,$D$22,$D$23,$D$24,$D$25,$D$26,$D$27,$C$8,$C$9,$C$10,$C$11,$C$12),"")</f>
        <v>242457.13075464792</v>
      </c>
      <c r="O7" s="255">
        <f ca="1">IF(NOW(),_xll.mirSwapPV($C$3,$C$4,$C$6,$G7,$C$7,$I7+O$3,$C$16,$C$17,$C$18,$C$19,$C$20,$C$21,$C$22,$C$26,$C$27,$D$15,$D$16,$D$17,$D$18,$D$19,$D$20,$D$21,$D$22,$D$23,$D$24,$D$25,$D$26,$D$27,$C$8,$C$9,$C$10,$C$11,$C$12),"")</f>
        <v>193965.70460371833</v>
      </c>
      <c r="P7" s="255">
        <f ca="1">IF(NOW(),_xll.mirSwapPV($C$3,$C$4,$C$6,$G7,$C$7,$I7+P$3,$C$16,$C$17,$C$18,$C$19,$C$20,$C$21,$C$22,$C$26,$C$27,$D$15,$D$16,$D$17,$D$18,$D$19,$D$20,$D$21,$D$22,$D$23,$D$24,$D$25,$D$26,$D$27,$C$8,$C$9,$C$10,$C$11,$C$12),"")</f>
        <v>145474.27845278874</v>
      </c>
      <c r="Q7" s="255">
        <f ca="1">IF(NOW(),_xll.mirSwapPV($C$3,$C$4,$C$6,$G7,$C$7,$I7+Q$3,$C$16,$C$17,$C$18,$C$19,$C$20,$C$21,$C$22,$C$26,$C$27,$D$15,$D$16,$D$17,$D$18,$D$19,$D$20,$D$21,$D$22,$D$23,$D$24,$D$25,$D$26,$D$27,$C$8,$C$9,$C$10,$C$11,$C$12),"")</f>
        <v>96982.852301859137</v>
      </c>
      <c r="R7" s="255">
        <f ca="1">IF(NOW(),_xll.mirSwapPV($C$3,$C$4,$C$6,$G7,$C$7,$I7+R$3,$C$16,$C$17,$C$18,$C$19,$C$20,$C$21,$C$22,$C$26,$C$27,$D$15,$D$16,$D$17,$D$18,$D$19,$D$20,$D$21,$D$22,$D$23,$D$24,$D$25,$D$26,$D$27,$C$8,$C$9,$C$10,$C$11,$C$12),"")</f>
        <v>48491.426150929561</v>
      </c>
      <c r="S7" s="255">
        <f ca="1">IF(NOW(),_xll.mirSwapPV($C$3,$C$4,$C$6,$G7,$C$7,$I7+S$3,$C$16,$C$17,$C$18,$C$19,$C$20,$C$21,$C$22,$C$26,$C$27,$D$15,$D$16,$D$17,$D$18,$D$19,$D$20,$D$21,$D$22,$D$23,$D$24,$D$25,$D$26,$D$27,$C$8,$C$9,$C$10,$C$11,$C$12),"")</f>
        <v>0</v>
      </c>
      <c r="T7" s="255">
        <f ca="1">IF(NOW(),_xll.mirSwapPV($C$3,$C$4,$C$6,$G7,$C$7,$I7+T$3,$C$16,$C$17,$C$18,$C$19,$C$20,$C$21,$C$22,$C$26,$C$27,$D$15,$D$16,$D$17,$D$18,$D$19,$D$20,$D$21,$D$22,$D$23,$D$24,$D$25,$D$26,$D$27,$C$8,$C$9,$C$10,$C$11,$C$12),"")</f>
        <v>-48491.42615092959</v>
      </c>
      <c r="U7" s="255">
        <f ca="1">IF(NOW(),_xll.mirSwapPV($C$3,$C$4,$C$6,$G7,$C$7,$I7+U$3,$C$16,$C$17,$C$18,$C$19,$C$20,$C$21,$C$22,$C$26,$C$27,$D$15,$D$16,$D$17,$D$18,$D$19,$D$20,$D$21,$D$22,$D$23,$D$24,$D$25,$D$26,$D$27,$C$8,$C$9,$C$10,$C$11,$C$12),"")</f>
        <v>-96982.852301859166</v>
      </c>
      <c r="V7" s="255">
        <f ca="1">IF(NOW(),_xll.mirSwapPV($C$3,$C$4,$C$6,$G7,$C$7,$I7+V$3,$C$16,$C$17,$C$18,$C$19,$C$20,$C$21,$C$22,$C$26,$C$27,$D$15,$D$16,$D$17,$D$18,$D$19,$D$20,$D$21,$D$22,$D$23,$D$24,$D$25,$D$26,$D$27,$C$8,$C$9,$C$10,$C$11,$C$12),"")</f>
        <v>-145474.27845278877</v>
      </c>
      <c r="W7" s="255">
        <f ca="1">IF(NOW(),_xll.mirSwapPV($C$3,$C$4,$C$6,$G7,$C$7,$I7+W$3,$C$16,$C$17,$C$18,$C$19,$C$20,$C$21,$C$22,$C$26,$C$27,$D$15,$D$16,$D$17,$D$18,$D$19,$D$20,$D$21,$D$22,$D$23,$D$24,$D$25,$D$26,$D$27,$C$8,$C$9,$C$10,$C$11,$C$12),"")</f>
        <v>-193965.7046037183</v>
      </c>
      <c r="X7" s="255">
        <f ca="1">IF(NOW(),_xll.mirSwapPV($C$3,$C$4,$C$6,$G7,$C$7,$I7+X$3,$C$16,$C$17,$C$18,$C$19,$C$20,$C$21,$C$22,$C$26,$C$27,$D$15,$D$16,$D$17,$D$18,$D$19,$D$20,$D$21,$D$22,$D$23,$D$24,$D$25,$D$26,$D$27,$C$8,$C$9,$C$10,$C$11,$C$12),"")</f>
        <v>-242457.13075464792</v>
      </c>
      <c r="Y7" s="230" t="s">
        <v>12</v>
      </c>
      <c r="Z7" s="224" t="s">
        <v>33</v>
      </c>
      <c r="AA7" s="227">
        <f>_xll.mirGetDate($C$6,Z7)</f>
        <v>44025</v>
      </c>
      <c r="AB7" s="228">
        <f>'GBP Curve Config'!$AO12</f>
        <v>1.7749999999999998E-2</v>
      </c>
      <c r="AC7" s="229">
        <f ca="1">IF(NOW(),_xll.mirGetParRate4($C$6,Z7,$C$7,$C$16,$C$17,$C$18,$C$19,$C$20,$C$21,$C$22,$C$26,$C$27,$D$16,$D$17,$D$18,$D$19,$D$20,$D$21,$D$22,$D$23,$D$24,$D$25,$D$26,$D$27,$C$8,$C$9,$C$10,$D$11,$C$12),"")</f>
        <v>1.7750000000297018E-2</v>
      </c>
      <c r="AD7" s="229">
        <f t="shared" ca="1" si="2"/>
        <v>2.9701935355674891E-13</v>
      </c>
      <c r="AE7" s="230">
        <f t="shared" ca="1" si="3"/>
        <v>2.9701935355674891E-9</v>
      </c>
      <c r="AG7" s="224" t="s">
        <v>33</v>
      </c>
      <c r="AH7" s="255">
        <f ca="1">IF(NOW(),_xll.mirSwapPV($C$3,$C$4,$C$6,$G7,$C$7,$I7+AH$3,$C$16,$C$17,$C$18,$C$19,$C$20,$C$21,$C$22,$C$26,$C$27,$D$15,$D$16,$D$17,$D$18,$D$19,$D$20,$D$21,$D$22,$D$23,$D$24,$D$25,$D$26,$D$27,$C$8,$C$9,$C$10,$D$11,$C$12),"")</f>
        <v>242457.13075464804</v>
      </c>
      <c r="AI7" s="255">
        <f ca="1">IF(NOW(),_xll.mirSwapPV($C$3,$C$4,$C$6,$G7,$C$7,$I7+AI$3,$C$16,$C$17,$C$18,$C$19,$C$20,$C$21,$C$22,$C$26,$C$27,$D$15,$D$16,$D$17,$D$18,$D$19,$D$20,$D$21,$D$22,$D$23,$D$24,$D$25,$D$26,$D$27,$C$8,$C$9,$C$10,$D$11,$C$12),"")</f>
        <v>193965.70460371845</v>
      </c>
      <c r="AJ7" s="255">
        <f ca="1">IF(NOW(),_xll.mirSwapPV($C$3,$C$4,$C$6,$G7,$C$7,$I7+AJ$3,$C$16,$C$17,$C$18,$C$19,$C$20,$C$21,$C$22,$C$26,$C$27,$D$15,$D$16,$D$17,$D$18,$D$19,$D$20,$D$21,$D$22,$D$23,$D$24,$D$25,$D$26,$D$27,$C$8,$C$9,$C$10,$D$11,$C$12),"")</f>
        <v>145474.27845278886</v>
      </c>
      <c r="AK7" s="255">
        <f ca="1">IF(NOW(),_xll.mirSwapPV($C$3,$C$4,$C$6,$G7,$C$7,$I7+AK$3,$C$16,$C$17,$C$18,$C$19,$C$20,$C$21,$C$22,$C$26,$C$27,$D$15,$D$16,$D$17,$D$18,$D$19,$D$20,$D$21,$D$22,$D$23,$D$24,$D$25,$D$26,$D$27,$C$8,$C$9,$C$10,$D$11,$C$12),"")</f>
        <v>96982.852301859253</v>
      </c>
      <c r="AL7" s="255">
        <f ca="1">IF(NOW(),_xll.mirSwapPV($C$3,$C$4,$C$6,$G7,$C$7,$I7+AL$3,$C$16,$C$17,$C$18,$C$19,$C$20,$C$21,$C$22,$C$26,$C$27,$D$15,$D$16,$D$17,$D$18,$D$19,$D$20,$D$21,$D$22,$D$23,$D$24,$D$25,$D$26,$D$27,$C$8,$C$9,$C$10,$D$11,$C$12),"")</f>
        <v>48491.426150929678</v>
      </c>
      <c r="AM7" s="255">
        <f ca="1">IF(NOW(),_xll.mirSwapPV($C$3,$C$4,$C$6,$G7,$C$7,$I7+AM$3,$C$16,$C$17,$C$18,$C$19,$C$20,$C$21,$C$22,$C$26,$C$27,$D$15,$D$16,$D$17,$D$18,$D$19,$D$20,$D$21,$D$22,$D$23,$D$24,$D$25,$D$26,$D$27,$C$8,$C$9,$C$10,$D$11,$C$12),"")</f>
        <v>1.1102230246251565E-10</v>
      </c>
      <c r="AN7" s="255">
        <f ca="1">IF(NOW(),_xll.mirSwapPV($C$3,$C$4,$C$6,$G7,$C$7,$I7+AN$3,$C$16,$C$17,$C$18,$C$19,$C$20,$C$21,$C$22,$C$26,$C$27,$D$15,$D$16,$D$17,$D$18,$D$19,$D$20,$D$21,$D$22,$D$23,$D$24,$D$25,$D$26,$D$27,$C$8,$C$9,$C$10,$D$11,$C$12),"")</f>
        <v>-48491.426150929481</v>
      </c>
      <c r="AO7" s="255">
        <f ca="1">IF(NOW(),_xll.mirSwapPV($C$3,$C$4,$C$6,$G7,$C$7,$I7+AO$3,$C$16,$C$17,$C$18,$C$19,$C$20,$C$21,$C$22,$C$26,$C$27,$D$15,$D$16,$D$17,$D$18,$D$19,$D$20,$D$21,$D$22,$D$23,$D$24,$D$25,$D$26,$D$27,$C$8,$C$9,$C$10,$D$11,$C$12),"")</f>
        <v>-96982.852301859064</v>
      </c>
      <c r="AP7" s="255">
        <f ca="1">IF(NOW(),_xll.mirSwapPV($C$3,$C$4,$C$6,$G7,$C$7,$I7+AP$3,$C$16,$C$17,$C$18,$C$19,$C$20,$C$21,$C$22,$C$26,$C$27,$D$15,$D$16,$D$17,$D$18,$D$19,$D$20,$D$21,$D$22,$D$23,$D$24,$D$25,$D$26,$D$27,$C$8,$C$9,$C$10,$D$11,$C$12),"")</f>
        <v>-145474.27845278865</v>
      </c>
      <c r="AQ7" s="255">
        <f ca="1">IF(NOW(),_xll.mirSwapPV($C$3,$C$4,$C$6,$G7,$C$7,$I7+AQ$3,$C$16,$C$17,$C$18,$C$19,$C$20,$C$21,$C$22,$C$26,$C$27,$D$15,$D$16,$D$17,$D$18,$D$19,$D$20,$D$21,$D$22,$D$23,$D$24,$D$25,$D$26,$D$27,$C$8,$C$9,$C$10,$D$11,$C$12),"")</f>
        <v>-193965.70460371822</v>
      </c>
      <c r="AR7" s="255">
        <f ca="1">IF(NOW(),_xll.mirSwapPV($C$3,$C$4,$C$6,$G7,$C$7,$I7+AR$3,$C$16,$C$17,$C$18,$C$19,$C$20,$C$21,$C$22,$C$26,$C$27,$D$15,$D$16,$D$17,$D$18,$D$19,$D$20,$D$21,$D$22,$D$23,$D$24,$D$25,$D$26,$D$27,$C$8,$C$9,$C$10,$D$11,$C$12),"")</f>
        <v>-242457.13075464781</v>
      </c>
    </row>
    <row r="8" spans="2:44">
      <c r="B8" s="234" t="s">
        <v>4</v>
      </c>
      <c r="C8" s="235" t="s">
        <v>433</v>
      </c>
      <c r="D8" s="235"/>
      <c r="F8" s="224" t="s">
        <v>131</v>
      </c>
      <c r="G8" s="227">
        <f>_xll.mirGetDate($C$6,F8)</f>
        <v>44390</v>
      </c>
      <c r="H8" s="228">
        <f>'GBP Curve Config'!AO13</f>
        <v>1.9130000000000001E-2</v>
      </c>
      <c r="I8" s="229">
        <f ca="1">IF(NOW(),_xll.mirGetParRate4($C$6,F8,$C$7,$C$16,$C$17,$C$18,$C$19,$C$20,$C$21,$C$22,$C$26,$C$27,$D$16,$D$17,$D$18,$D$19,$D$20,$D$21,$D$22,$D$23,$D$24,$D$25,$D$26,$D$27,$C$8,$C$9,$C$10,$C$11,$C$12),"")</f>
        <v>1.9130000000141076E-2</v>
      </c>
      <c r="J8" s="229">
        <f t="shared" ca="1" si="4"/>
        <v>1.4107465196033786E-13</v>
      </c>
      <c r="K8" s="230">
        <f t="shared" ca="1" si="5"/>
        <v>1.4107465196033786E-9</v>
      </c>
      <c r="L8" s="230" t="s">
        <v>12</v>
      </c>
      <c r="M8" s="224" t="s">
        <v>131</v>
      </c>
      <c r="N8" s="255">
        <f ca="1">IF(NOW(),_xll.mirSwapPV($C$3,$C$4,$C$6,$G8,$C$7,$I8+N$3,$C$16,$C$17,$C$18,$C$19,$C$20,$C$21,$C$22,$C$26,$C$27,$D$15,$D$16,$D$17,$D$18,$D$19,$D$20,$D$21,$D$22,$D$23,$D$24,$D$25,$D$26,$D$27,$C$8,$C$9,$C$10,$C$11,$C$12),"")</f>
        <v>288154.79235869751</v>
      </c>
      <c r="O8" s="255">
        <f ca="1">IF(NOW(),_xll.mirSwapPV($C$3,$C$4,$C$6,$G8,$C$7,$I8+O$3,$C$16,$C$17,$C$18,$C$19,$C$20,$C$21,$C$22,$C$26,$C$27,$D$15,$D$16,$D$17,$D$18,$D$19,$D$20,$D$21,$D$22,$D$23,$D$24,$D$25,$D$26,$D$27,$C$8,$C$9,$C$10,$C$11,$C$12),"")</f>
        <v>230523.83388695802</v>
      </c>
      <c r="P8" s="255">
        <f ca="1">IF(NOW(),_xll.mirSwapPV($C$3,$C$4,$C$6,$G8,$C$7,$I8+P$3,$C$16,$C$17,$C$18,$C$19,$C$20,$C$21,$C$22,$C$26,$C$27,$D$15,$D$16,$D$17,$D$18,$D$19,$D$20,$D$21,$D$22,$D$23,$D$24,$D$25,$D$26,$D$27,$C$8,$C$9,$C$10,$C$11,$C$12),"")</f>
        <v>172892.8754152185</v>
      </c>
      <c r="Q8" s="255">
        <f ca="1">IF(NOW(),_xll.mirSwapPV($C$3,$C$4,$C$6,$G8,$C$7,$I8+Q$3,$C$16,$C$17,$C$18,$C$19,$C$20,$C$21,$C$22,$C$26,$C$27,$D$15,$D$16,$D$17,$D$18,$D$19,$D$20,$D$21,$D$22,$D$23,$D$24,$D$25,$D$26,$D$27,$C$8,$C$9,$C$10,$C$11,$C$12),"")</f>
        <v>115261.91694347899</v>
      </c>
      <c r="R8" s="255">
        <f ca="1">IF(NOW(),_xll.mirSwapPV($C$3,$C$4,$C$6,$G8,$C$7,$I8+R$3,$C$16,$C$17,$C$18,$C$19,$C$20,$C$21,$C$22,$C$26,$C$27,$D$15,$D$16,$D$17,$D$18,$D$19,$D$20,$D$21,$D$22,$D$23,$D$24,$D$25,$D$26,$D$27,$C$8,$C$9,$C$10,$C$11,$C$12),"")</f>
        <v>57630.958471739483</v>
      </c>
      <c r="S8" s="255">
        <f ca="1">IF(NOW(),_xll.mirSwapPV($C$3,$C$4,$C$6,$G8,$C$7,$I8+S$3,$C$16,$C$17,$C$18,$C$19,$C$20,$C$21,$C$22,$C$26,$C$27,$D$15,$D$16,$D$17,$D$18,$D$19,$D$20,$D$21,$D$22,$D$23,$D$24,$D$25,$D$26,$D$27,$C$8,$C$9,$C$10,$C$11,$C$12),"")</f>
        <v>0</v>
      </c>
      <c r="T8" s="255">
        <f ca="1">IF(NOW(),_xll.mirSwapPV($C$3,$C$4,$C$6,$G8,$C$7,$I8+T$3,$C$16,$C$17,$C$18,$C$19,$C$20,$C$21,$C$22,$C$26,$C$27,$D$15,$D$16,$D$17,$D$18,$D$19,$D$20,$D$21,$D$22,$D$23,$D$24,$D$25,$D$26,$D$27,$C$8,$C$9,$C$10,$C$11,$C$12),"")</f>
        <v>-57630.958471739505</v>
      </c>
      <c r="U8" s="255">
        <f ca="1">IF(NOW(),_xll.mirSwapPV($C$3,$C$4,$C$6,$G8,$C$7,$I8+U$3,$C$16,$C$17,$C$18,$C$19,$C$20,$C$21,$C$22,$C$26,$C$27,$D$15,$D$16,$D$17,$D$18,$D$19,$D$20,$D$21,$D$22,$D$23,$D$24,$D$25,$D$26,$D$27,$C$8,$C$9,$C$10,$C$11,$C$12),"")</f>
        <v>-115261.91694347902</v>
      </c>
      <c r="V8" s="255">
        <f ca="1">IF(NOW(),_xll.mirSwapPV($C$3,$C$4,$C$6,$G8,$C$7,$I8+V$3,$C$16,$C$17,$C$18,$C$19,$C$20,$C$21,$C$22,$C$26,$C$27,$D$15,$D$16,$D$17,$D$18,$D$19,$D$20,$D$21,$D$22,$D$23,$D$24,$D$25,$D$26,$D$27,$C$8,$C$9,$C$10,$C$11,$C$12),"")</f>
        <v>-172892.87541521847</v>
      </c>
      <c r="W8" s="255">
        <f ca="1">IF(NOW(),_xll.mirSwapPV($C$3,$C$4,$C$6,$G8,$C$7,$I8+W$3,$C$16,$C$17,$C$18,$C$19,$C$20,$C$21,$C$22,$C$26,$C$27,$D$15,$D$16,$D$17,$D$18,$D$19,$D$20,$D$21,$D$22,$D$23,$D$24,$D$25,$D$26,$D$27,$C$8,$C$9,$C$10,$C$11,$C$12),"")</f>
        <v>-230523.83388695802</v>
      </c>
      <c r="X8" s="255">
        <f ca="1">IF(NOW(),_xll.mirSwapPV($C$3,$C$4,$C$6,$G8,$C$7,$I8+X$3,$C$16,$C$17,$C$18,$C$19,$C$20,$C$21,$C$22,$C$26,$C$27,$D$15,$D$16,$D$17,$D$18,$D$19,$D$20,$D$21,$D$22,$D$23,$D$24,$D$25,$D$26,$D$27,$C$8,$C$9,$C$10,$C$11,$C$12),"")</f>
        <v>-288154.79235869751</v>
      </c>
      <c r="Y8" s="230" t="s">
        <v>12</v>
      </c>
      <c r="Z8" s="224" t="s">
        <v>131</v>
      </c>
      <c r="AA8" s="227">
        <f>_xll.mirGetDate($C$6,Z8)</f>
        <v>44390</v>
      </c>
      <c r="AB8" s="228">
        <f>'GBP Curve Config'!$AO13</f>
        <v>1.9130000000000001E-2</v>
      </c>
      <c r="AC8" s="229">
        <f ca="1">IF(NOW(),_xll.mirGetParRate4($C$6,Z8,$C$7,$C$16,$C$17,$C$18,$C$19,$C$20,$C$21,$C$22,$C$26,$C$27,$D$16,$D$17,$D$18,$D$19,$D$20,$D$21,$D$22,$D$23,$D$24,$D$25,$D$26,$D$27,$C$8,$C$9,$C$10,$D$11,$C$12),"")</f>
        <v>1.9130000000141086E-2</v>
      </c>
      <c r="AD8" s="229">
        <f t="shared" ca="1" si="2"/>
        <v>1.4108506030119372E-13</v>
      </c>
      <c r="AE8" s="230">
        <f t="shared" ca="1" si="3"/>
        <v>1.4108506030119372E-9</v>
      </c>
      <c r="AG8" s="224" t="s">
        <v>131</v>
      </c>
      <c r="AH8" s="255">
        <f ca="1">IF(NOW(),_xll.mirSwapPV($C$3,$C$4,$C$6,$G8,$C$7,$I8+AH$3,$C$16,$C$17,$C$18,$C$19,$C$20,$C$21,$C$22,$C$26,$C$27,$D$15,$D$16,$D$17,$D$18,$D$19,$D$20,$D$21,$D$22,$D$23,$D$24,$D$25,$D$26,$D$27,$C$8,$C$9,$C$10,$D$11,$C$12),"")</f>
        <v>288154.79235869757</v>
      </c>
      <c r="AI8" s="255">
        <f ca="1">IF(NOW(),_xll.mirSwapPV($C$3,$C$4,$C$6,$G8,$C$7,$I8+AI$3,$C$16,$C$17,$C$18,$C$19,$C$20,$C$21,$C$22,$C$26,$C$27,$D$15,$D$16,$D$17,$D$18,$D$19,$D$20,$D$21,$D$22,$D$23,$D$24,$D$25,$D$26,$D$27,$C$8,$C$9,$C$10,$D$11,$C$12),"")</f>
        <v>230523.83388695808</v>
      </c>
      <c r="AJ8" s="255">
        <f ca="1">IF(NOW(),_xll.mirSwapPV($C$3,$C$4,$C$6,$G8,$C$7,$I8+AJ$3,$C$16,$C$17,$C$18,$C$19,$C$20,$C$21,$C$22,$C$26,$C$27,$D$15,$D$16,$D$17,$D$18,$D$19,$D$20,$D$21,$D$22,$D$23,$D$24,$D$25,$D$26,$D$27,$C$8,$C$9,$C$10,$D$11,$C$12),"")</f>
        <v>172892.87541521856</v>
      </c>
      <c r="AK8" s="255">
        <f ca="1">IF(NOW(),_xll.mirSwapPV($C$3,$C$4,$C$6,$G8,$C$7,$I8+AK$3,$C$16,$C$17,$C$18,$C$19,$C$20,$C$21,$C$22,$C$26,$C$27,$D$15,$D$16,$D$17,$D$18,$D$19,$D$20,$D$21,$D$22,$D$23,$D$24,$D$25,$D$26,$D$27,$C$8,$C$9,$C$10,$D$11,$C$12),"")</f>
        <v>115261.91694347905</v>
      </c>
      <c r="AL8" s="255">
        <f ca="1">IF(NOW(),_xll.mirSwapPV($C$3,$C$4,$C$6,$G8,$C$7,$I8+AL$3,$C$16,$C$17,$C$18,$C$19,$C$20,$C$21,$C$22,$C$26,$C$27,$D$15,$D$16,$D$17,$D$18,$D$19,$D$20,$D$21,$D$22,$D$23,$D$24,$D$25,$D$26,$D$27,$C$8,$C$9,$C$10,$D$11,$C$12),"")</f>
        <v>57630.958471739541</v>
      </c>
      <c r="AM8" s="255">
        <f ca="1">IF(NOW(),_xll.mirSwapPV($C$3,$C$4,$C$6,$G8,$C$7,$I8+AM$3,$C$16,$C$17,$C$18,$C$19,$C$20,$C$21,$C$22,$C$26,$C$27,$D$15,$D$16,$D$17,$D$18,$D$19,$D$20,$D$21,$D$22,$D$23,$D$24,$D$25,$D$26,$D$27,$C$8,$C$9,$C$10,$D$11,$C$12),"")</f>
        <v>5.5511151231257827E-11</v>
      </c>
      <c r="AN8" s="255">
        <f ca="1">IF(NOW(),_xll.mirSwapPV($C$3,$C$4,$C$6,$G8,$C$7,$I8+AN$3,$C$16,$C$17,$C$18,$C$19,$C$20,$C$21,$C$22,$C$26,$C$27,$D$15,$D$16,$D$17,$D$18,$D$19,$D$20,$D$21,$D$22,$D$23,$D$24,$D$25,$D$26,$D$27,$C$8,$C$9,$C$10,$D$11,$C$12),"")</f>
        <v>-57630.958471739446</v>
      </c>
      <c r="AO8" s="255">
        <f ca="1">IF(NOW(),_xll.mirSwapPV($C$3,$C$4,$C$6,$G8,$C$7,$I8+AO$3,$C$16,$C$17,$C$18,$C$19,$C$20,$C$21,$C$22,$C$26,$C$27,$D$15,$D$16,$D$17,$D$18,$D$19,$D$20,$D$21,$D$22,$D$23,$D$24,$D$25,$D$26,$D$27,$C$8,$C$9,$C$10,$D$11,$C$12),"")</f>
        <v>-115261.91694347897</v>
      </c>
      <c r="AP8" s="255">
        <f ca="1">IF(NOW(),_xll.mirSwapPV($C$3,$C$4,$C$6,$G8,$C$7,$I8+AP$3,$C$16,$C$17,$C$18,$C$19,$C$20,$C$21,$C$22,$C$26,$C$27,$D$15,$D$16,$D$17,$D$18,$D$19,$D$20,$D$21,$D$22,$D$23,$D$24,$D$25,$D$26,$D$27,$C$8,$C$9,$C$10,$D$11,$C$12),"")</f>
        <v>-172892.87541521841</v>
      </c>
      <c r="AQ8" s="255">
        <f ca="1">IF(NOW(),_xll.mirSwapPV($C$3,$C$4,$C$6,$G8,$C$7,$I8+AQ$3,$C$16,$C$17,$C$18,$C$19,$C$20,$C$21,$C$22,$C$26,$C$27,$D$15,$D$16,$D$17,$D$18,$D$19,$D$20,$D$21,$D$22,$D$23,$D$24,$D$25,$D$26,$D$27,$C$8,$C$9,$C$10,$D$11,$C$12),"")</f>
        <v>-230523.83388695796</v>
      </c>
      <c r="AR8" s="255">
        <f ca="1">IF(NOW(),_xll.mirSwapPV($C$3,$C$4,$C$6,$G8,$C$7,$I8+AR$3,$C$16,$C$17,$C$18,$C$19,$C$20,$C$21,$C$22,$C$26,$C$27,$D$15,$D$16,$D$17,$D$18,$D$19,$D$20,$D$21,$D$22,$D$23,$D$24,$D$25,$D$26,$D$27,$C$8,$C$9,$C$10,$D$11,$C$12),"")</f>
        <v>-288154.79235869745</v>
      </c>
    </row>
    <row r="9" spans="2:44">
      <c r="B9" s="234" t="s">
        <v>434</v>
      </c>
      <c r="C9" s="235" t="s">
        <v>435</v>
      </c>
      <c r="D9" s="235"/>
      <c r="F9" s="224" t="s">
        <v>31</v>
      </c>
      <c r="G9" s="227">
        <f>_xll.mirGetDate($C$6,F9)</f>
        <v>44755</v>
      </c>
      <c r="H9" s="228">
        <f>'GBP Curve Config'!AO14</f>
        <v>2.0259999999999997E-2</v>
      </c>
      <c r="I9" s="229">
        <f ca="1">IF(NOW(),_xll.mirGetParRate4($C$6,F9,$C$7,$C$16,$C$17,$C$18,$C$19,$C$20,$C$21,$C$22,$C$26,$C$27,$D$16,$D$17,$D$18,$D$19,$D$20,$D$21,$D$22,$D$23,$D$24,$D$25,$D$26,$D$27,$C$8,$C$9,$C$10,$C$11,$C$12),"")</f>
        <v>2.0259999999956434E-2</v>
      </c>
      <c r="J9" s="229">
        <f t="shared" ca="1" si="4"/>
        <v>-4.356237592872958E-14</v>
      </c>
      <c r="K9" s="230">
        <f t="shared" ca="1" si="5"/>
        <v>-4.356237592872958E-10</v>
      </c>
      <c r="L9" s="230" t="s">
        <v>12</v>
      </c>
      <c r="M9" s="224" t="s">
        <v>31</v>
      </c>
      <c r="N9" s="255">
        <f ca="1">IF(NOW(),_xll.mirSwapPV($C$3,$C$4,$C$6,$G9,$C$7,$I9+N$3,$C$16,$C$17,$C$18,$C$19,$C$20,$C$21,$C$22,$C$26,$C$27,$D$15,$D$16,$D$17,$D$18,$D$19,$D$20,$D$21,$D$22,$D$23,$D$24,$D$25,$D$26,$D$27,$C$8,$C$9,$C$10,$C$11,$C$12),"")</f>
        <v>332777.29112241004</v>
      </c>
      <c r="O9" s="255">
        <f ca="1">IF(NOW(),_xll.mirSwapPV($C$3,$C$4,$C$6,$G9,$C$7,$I9+O$3,$C$16,$C$17,$C$18,$C$19,$C$20,$C$21,$C$22,$C$26,$C$27,$D$15,$D$16,$D$17,$D$18,$D$19,$D$20,$D$21,$D$22,$D$23,$D$24,$D$25,$D$26,$D$27,$C$8,$C$9,$C$10,$C$11,$C$12),"")</f>
        <v>266221.83289792808</v>
      </c>
      <c r="P9" s="255">
        <f ca="1">IF(NOW(),_xll.mirSwapPV($C$3,$C$4,$C$6,$G9,$C$7,$I9+P$3,$C$16,$C$17,$C$18,$C$19,$C$20,$C$21,$C$22,$C$26,$C$27,$D$15,$D$16,$D$17,$D$18,$D$19,$D$20,$D$21,$D$22,$D$23,$D$24,$D$25,$D$26,$D$27,$C$8,$C$9,$C$10,$C$11,$C$12),"")</f>
        <v>199666.37467344603</v>
      </c>
      <c r="Q9" s="255">
        <f ca="1">IF(NOW(),_xll.mirSwapPV($C$3,$C$4,$C$6,$G9,$C$7,$I9+Q$3,$C$16,$C$17,$C$18,$C$19,$C$20,$C$21,$C$22,$C$26,$C$27,$D$15,$D$16,$D$17,$D$18,$D$19,$D$20,$D$21,$D$22,$D$23,$D$24,$D$25,$D$26,$D$27,$C$8,$C$9,$C$10,$C$11,$C$12),"")</f>
        <v>133110.91644896401</v>
      </c>
      <c r="R9" s="255">
        <f ca="1">IF(NOW(),_xll.mirSwapPV($C$3,$C$4,$C$6,$G9,$C$7,$I9+R$3,$C$16,$C$17,$C$18,$C$19,$C$20,$C$21,$C$22,$C$26,$C$27,$D$15,$D$16,$D$17,$D$18,$D$19,$D$20,$D$21,$D$22,$D$23,$D$24,$D$25,$D$26,$D$27,$C$8,$C$9,$C$10,$C$11,$C$12),"")</f>
        <v>66555.45822448199</v>
      </c>
      <c r="S9" s="255">
        <f ca="1">IF(NOW(),_xll.mirSwapPV($C$3,$C$4,$C$6,$G9,$C$7,$I9+S$3,$C$16,$C$17,$C$18,$C$19,$C$20,$C$21,$C$22,$C$26,$C$27,$D$15,$D$16,$D$17,$D$18,$D$19,$D$20,$D$21,$D$22,$D$23,$D$24,$D$25,$D$26,$D$27,$C$8,$C$9,$C$10,$C$11,$C$12),"")</f>
        <v>0</v>
      </c>
      <c r="T9" s="255">
        <f ca="1">IF(NOW(),_xll.mirSwapPV($C$3,$C$4,$C$6,$G9,$C$7,$I9+T$3,$C$16,$C$17,$C$18,$C$19,$C$20,$C$21,$C$22,$C$26,$C$27,$D$15,$D$16,$D$17,$D$18,$D$19,$D$20,$D$21,$D$22,$D$23,$D$24,$D$25,$D$26,$D$27,$C$8,$C$9,$C$10,$C$11,$C$12),"")</f>
        <v>-66555.458224482005</v>
      </c>
      <c r="U9" s="255">
        <f ca="1">IF(NOW(),_xll.mirSwapPV($C$3,$C$4,$C$6,$G9,$C$7,$I9+U$3,$C$16,$C$17,$C$18,$C$19,$C$20,$C$21,$C$22,$C$26,$C$27,$D$15,$D$16,$D$17,$D$18,$D$19,$D$20,$D$21,$D$22,$D$23,$D$24,$D$25,$D$26,$D$27,$C$8,$C$9,$C$10,$C$11,$C$12),"")</f>
        <v>-133110.91644896407</v>
      </c>
      <c r="V9" s="255">
        <f ca="1">IF(NOW(),_xll.mirSwapPV($C$3,$C$4,$C$6,$G9,$C$7,$I9+V$3,$C$16,$C$17,$C$18,$C$19,$C$20,$C$21,$C$22,$C$26,$C$27,$D$15,$D$16,$D$17,$D$18,$D$19,$D$20,$D$21,$D$22,$D$23,$D$24,$D$25,$D$26,$D$27,$C$8,$C$9,$C$10,$C$11,$C$12),"")</f>
        <v>-199666.37467344606</v>
      </c>
      <c r="W9" s="255">
        <f ca="1">IF(NOW(),_xll.mirSwapPV($C$3,$C$4,$C$6,$G9,$C$7,$I9+W$3,$C$16,$C$17,$C$18,$C$19,$C$20,$C$21,$C$22,$C$26,$C$27,$D$15,$D$16,$D$17,$D$18,$D$19,$D$20,$D$21,$D$22,$D$23,$D$24,$D$25,$D$26,$D$27,$C$8,$C$9,$C$10,$C$11,$C$12),"")</f>
        <v>-266221.83289792808</v>
      </c>
      <c r="X9" s="255">
        <f ca="1">IF(NOW(),_xll.mirSwapPV($C$3,$C$4,$C$6,$G9,$C$7,$I9+X$3,$C$16,$C$17,$C$18,$C$19,$C$20,$C$21,$C$22,$C$26,$C$27,$D$15,$D$16,$D$17,$D$18,$D$19,$D$20,$D$21,$D$22,$D$23,$D$24,$D$25,$D$26,$D$27,$C$8,$C$9,$C$10,$C$11,$C$12),"")</f>
        <v>-332777.2911224101</v>
      </c>
      <c r="Y9" s="230" t="s">
        <v>12</v>
      </c>
      <c r="Z9" s="224" t="s">
        <v>31</v>
      </c>
      <c r="AA9" s="227">
        <f>_xll.mirGetDate($C$6,Z9)</f>
        <v>44755</v>
      </c>
      <c r="AB9" s="228">
        <f>'GBP Curve Config'!$AO14</f>
        <v>2.0259999999999997E-2</v>
      </c>
      <c r="AC9" s="229">
        <f ca="1">IF(NOW(),_xll.mirGetParRate4($C$6,Z9,$C$7,$C$16,$C$17,$C$18,$C$19,$C$20,$C$21,$C$22,$C$26,$C$27,$D$16,$D$17,$D$18,$D$19,$D$20,$D$21,$D$22,$D$23,$D$24,$D$25,$D$26,$D$27,$C$8,$C$9,$C$10,$D$11,$C$12),"")</f>
        <v>2.0259999999956452E-2</v>
      </c>
      <c r="AD9" s="229">
        <f t="shared" ca="1" si="2"/>
        <v>-4.3545028693969812E-14</v>
      </c>
      <c r="AE9" s="230">
        <f t="shared" ca="1" si="3"/>
        <v>-4.3545028693969812E-10</v>
      </c>
      <c r="AG9" s="224" t="s">
        <v>31</v>
      </c>
      <c r="AH9" s="255">
        <f ca="1">IF(NOW(),_xll.mirSwapPV($C$3,$C$4,$C$6,$G9,$C$7,$I9+AH$3,$C$16,$C$17,$C$18,$C$19,$C$20,$C$21,$C$22,$C$26,$C$27,$D$15,$D$16,$D$17,$D$18,$D$19,$D$20,$D$21,$D$22,$D$23,$D$24,$D$25,$D$26,$D$27,$C$8,$C$9,$C$10,$D$11,$C$12),"")</f>
        <v>332777.29112241016</v>
      </c>
      <c r="AI9" s="255">
        <f ca="1">IF(NOW(),_xll.mirSwapPV($C$3,$C$4,$C$6,$G9,$C$7,$I9+AI$3,$C$16,$C$17,$C$18,$C$19,$C$20,$C$21,$C$22,$C$26,$C$27,$D$15,$D$16,$D$17,$D$18,$D$19,$D$20,$D$21,$D$22,$D$23,$D$24,$D$25,$D$26,$D$27,$C$8,$C$9,$C$10,$D$11,$C$12),"")</f>
        <v>266221.83289792819</v>
      </c>
      <c r="AJ9" s="255">
        <f ca="1">IF(NOW(),_xll.mirSwapPV($C$3,$C$4,$C$6,$G9,$C$7,$I9+AJ$3,$C$16,$C$17,$C$18,$C$19,$C$20,$C$21,$C$22,$C$26,$C$27,$D$15,$D$16,$D$17,$D$18,$D$19,$D$20,$D$21,$D$22,$D$23,$D$24,$D$25,$D$26,$D$27,$C$8,$C$9,$C$10,$D$11,$C$12),"")</f>
        <v>199666.37467344615</v>
      </c>
      <c r="AK9" s="255">
        <f ca="1">IF(NOW(),_xll.mirSwapPV($C$3,$C$4,$C$6,$G9,$C$7,$I9+AK$3,$C$16,$C$17,$C$18,$C$19,$C$20,$C$21,$C$22,$C$26,$C$27,$D$15,$D$16,$D$17,$D$18,$D$19,$D$20,$D$21,$D$22,$D$23,$D$24,$D$25,$D$26,$D$27,$C$8,$C$9,$C$10,$D$11,$C$12),"")</f>
        <v>133110.91644896413</v>
      </c>
      <c r="AL9" s="255">
        <f ca="1">IF(NOW(),_xll.mirSwapPV($C$3,$C$4,$C$6,$G9,$C$7,$I9+AL$3,$C$16,$C$17,$C$18,$C$19,$C$20,$C$21,$C$22,$C$26,$C$27,$D$15,$D$16,$D$17,$D$18,$D$19,$D$20,$D$21,$D$22,$D$23,$D$24,$D$25,$D$26,$D$27,$C$8,$C$9,$C$10,$D$11,$C$12),"")</f>
        <v>66555.458224482092</v>
      </c>
      <c r="AM9" s="255">
        <f ca="1">IF(NOW(),_xll.mirSwapPV($C$3,$C$4,$C$6,$G9,$C$7,$I9+AM$3,$C$16,$C$17,$C$18,$C$19,$C$20,$C$21,$C$22,$C$26,$C$27,$D$15,$D$16,$D$17,$D$18,$D$19,$D$20,$D$21,$D$22,$D$23,$D$24,$D$25,$D$26,$D$27,$C$8,$C$9,$C$10,$D$11,$C$12),"")</f>
        <v>1.1102230246251565E-10</v>
      </c>
      <c r="AN9" s="255">
        <f ca="1">IF(NOW(),_xll.mirSwapPV($C$3,$C$4,$C$6,$G9,$C$7,$I9+AN$3,$C$16,$C$17,$C$18,$C$19,$C$20,$C$21,$C$22,$C$26,$C$27,$D$15,$D$16,$D$17,$D$18,$D$19,$D$20,$D$21,$D$22,$D$23,$D$24,$D$25,$D$26,$D$27,$C$8,$C$9,$C$10,$D$11,$C$12),"")</f>
        <v>-66555.458224481888</v>
      </c>
      <c r="AO9" s="255">
        <f ca="1">IF(NOW(),_xll.mirSwapPV($C$3,$C$4,$C$6,$G9,$C$7,$I9+AO$3,$C$16,$C$17,$C$18,$C$19,$C$20,$C$21,$C$22,$C$26,$C$27,$D$15,$D$16,$D$17,$D$18,$D$19,$D$20,$D$21,$D$22,$D$23,$D$24,$D$25,$D$26,$D$27,$C$8,$C$9,$C$10,$D$11,$C$12),"")</f>
        <v>-133110.91644896395</v>
      </c>
      <c r="AP9" s="255">
        <f ca="1">IF(NOW(),_xll.mirSwapPV($C$3,$C$4,$C$6,$G9,$C$7,$I9+AP$3,$C$16,$C$17,$C$18,$C$19,$C$20,$C$21,$C$22,$C$26,$C$27,$D$15,$D$16,$D$17,$D$18,$D$19,$D$20,$D$21,$D$22,$D$23,$D$24,$D$25,$D$26,$D$27,$C$8,$C$9,$C$10,$D$11,$C$12),"")</f>
        <v>-199666.37467344594</v>
      </c>
      <c r="AQ9" s="255">
        <f ca="1">IF(NOW(),_xll.mirSwapPV($C$3,$C$4,$C$6,$G9,$C$7,$I9+AQ$3,$C$16,$C$17,$C$18,$C$19,$C$20,$C$21,$C$22,$C$26,$C$27,$D$15,$D$16,$D$17,$D$18,$D$19,$D$20,$D$21,$D$22,$D$23,$D$24,$D$25,$D$26,$D$27,$C$8,$C$9,$C$10,$D$11,$C$12),"")</f>
        <v>-266221.83289792796</v>
      </c>
      <c r="AR9" s="255">
        <f ca="1">IF(NOW(),_xll.mirSwapPV($C$3,$C$4,$C$6,$G9,$C$7,$I9+AR$3,$C$16,$C$17,$C$18,$C$19,$C$20,$C$21,$C$22,$C$26,$C$27,$D$15,$D$16,$D$17,$D$18,$D$19,$D$20,$D$21,$D$22,$D$23,$D$24,$D$25,$D$26,$D$27,$C$8,$C$9,$C$10,$D$11,$C$12),"")</f>
        <v>-332777.29112240998</v>
      </c>
    </row>
    <row r="10" spans="2:44">
      <c r="B10" s="234" t="s">
        <v>436</v>
      </c>
      <c r="C10" s="235" t="s">
        <v>201</v>
      </c>
      <c r="D10" s="235"/>
      <c r="F10" s="224" t="s">
        <v>119</v>
      </c>
      <c r="G10" s="227">
        <f>_xll.mirGetDate($C$6,F10)</f>
        <v>45120</v>
      </c>
      <c r="H10" s="228">
        <f>'GBP Curve Config'!AO15</f>
        <v>2.1190000000000001E-2</v>
      </c>
      <c r="I10" s="229">
        <f ca="1">IF(NOW(),_xll.mirGetParRate4($C$6,F10,$C$7,$C$16,$C$17,$C$18,$C$19,$C$20,$C$21,$C$22,$C$26,$C$27,$D$16,$D$17,$D$18,$D$19,$D$20,$D$21,$D$22,$D$23,$D$24,$D$25,$D$26,$D$27,$C$8,$C$9,$C$10,$C$11,$C$12),"")</f>
        <v>2.1189999999845419E-2</v>
      </c>
      <c r="J10" s="229">
        <f t="shared" ca="1" si="4"/>
        <v>-1.5458120894429328E-13</v>
      </c>
      <c r="K10" s="230">
        <f t="shared" ca="1" si="5"/>
        <v>-1.5458120894429328E-9</v>
      </c>
      <c r="L10" s="230" t="s">
        <v>12</v>
      </c>
      <c r="M10" s="224" t="s">
        <v>119</v>
      </c>
      <c r="N10" s="255">
        <f ca="1">IF(NOW(),_xll.mirSwapPV($C$3,$C$4,$C$6,$G10,$C$7,$I10+N$3,$C$16,$C$17,$C$18,$C$19,$C$20,$C$21,$C$22,$C$26,$C$27,$D$15,$D$16,$D$17,$D$18,$D$19,$D$20,$D$21,$D$22,$D$23,$D$24,$D$25,$D$26,$D$27,$C$8,$C$9,$C$10,$C$11,$C$12),"")</f>
        <v>376308.72409313201</v>
      </c>
      <c r="O10" s="255">
        <f ca="1">IF(NOW(),_xll.mirSwapPV($C$3,$C$4,$C$6,$G10,$C$7,$I10+O$3,$C$16,$C$17,$C$18,$C$19,$C$20,$C$21,$C$22,$C$26,$C$27,$D$15,$D$16,$D$17,$D$18,$D$19,$D$20,$D$21,$D$22,$D$23,$D$24,$D$25,$D$26,$D$27,$C$8,$C$9,$C$10,$C$11,$C$12),"")</f>
        <v>301046.97927450557</v>
      </c>
      <c r="P10" s="255">
        <f ca="1">IF(NOW(),_xll.mirSwapPV($C$3,$C$4,$C$6,$G10,$C$7,$I10+P$3,$C$16,$C$17,$C$18,$C$19,$C$20,$C$21,$C$22,$C$26,$C$27,$D$15,$D$16,$D$17,$D$18,$D$19,$D$20,$D$21,$D$22,$D$23,$D$24,$D$25,$D$26,$D$27,$C$8,$C$9,$C$10,$C$11,$C$12),"")</f>
        <v>225785.23445587917</v>
      </c>
      <c r="Q10" s="255">
        <f ca="1">IF(NOW(),_xll.mirSwapPV($C$3,$C$4,$C$6,$G10,$C$7,$I10+Q$3,$C$16,$C$17,$C$18,$C$19,$C$20,$C$21,$C$22,$C$26,$C$27,$D$15,$D$16,$D$17,$D$18,$D$19,$D$20,$D$21,$D$22,$D$23,$D$24,$D$25,$D$26,$D$27,$C$8,$C$9,$C$10,$C$11,$C$12),"")</f>
        <v>150523.48963725276</v>
      </c>
      <c r="R10" s="255">
        <f ca="1">IF(NOW(),_xll.mirSwapPV($C$3,$C$4,$C$6,$G10,$C$7,$I10+R$3,$C$16,$C$17,$C$18,$C$19,$C$20,$C$21,$C$22,$C$26,$C$27,$D$15,$D$16,$D$17,$D$18,$D$19,$D$20,$D$21,$D$22,$D$23,$D$24,$D$25,$D$26,$D$27,$C$8,$C$9,$C$10,$C$11,$C$12),"")</f>
        <v>75261.744818626365</v>
      </c>
      <c r="S10" s="255">
        <f ca="1">IF(NOW(),_xll.mirSwapPV($C$3,$C$4,$C$6,$G10,$C$7,$I10+S$3,$C$16,$C$17,$C$18,$C$19,$C$20,$C$21,$C$22,$C$26,$C$27,$D$15,$D$16,$D$17,$D$18,$D$19,$D$20,$D$21,$D$22,$D$23,$D$24,$D$25,$D$26,$D$27,$C$8,$C$9,$C$10,$C$11,$C$12),"")</f>
        <v>0</v>
      </c>
      <c r="T10" s="255">
        <f ca="1">IF(NOW(),_xll.mirSwapPV($C$3,$C$4,$C$6,$G10,$C$7,$I10+T$3,$C$16,$C$17,$C$18,$C$19,$C$20,$C$21,$C$22,$C$26,$C$27,$D$15,$D$16,$D$17,$D$18,$D$19,$D$20,$D$21,$D$22,$D$23,$D$24,$D$25,$D$26,$D$27,$C$8,$C$9,$C$10,$C$11,$C$12),"")</f>
        <v>-75261.744818626408</v>
      </c>
      <c r="U10" s="255">
        <f ca="1">IF(NOW(),_xll.mirSwapPV($C$3,$C$4,$C$6,$G10,$C$7,$I10+U$3,$C$16,$C$17,$C$18,$C$19,$C$20,$C$21,$C$22,$C$26,$C$27,$D$15,$D$16,$D$17,$D$18,$D$19,$D$20,$D$21,$D$22,$D$23,$D$24,$D$25,$D$26,$D$27,$C$8,$C$9,$C$10,$C$11,$C$12),"")</f>
        <v>-150523.48963725282</v>
      </c>
      <c r="V10" s="255">
        <f ca="1">IF(NOW(),_xll.mirSwapPV($C$3,$C$4,$C$6,$G10,$C$7,$I10+V$3,$C$16,$C$17,$C$18,$C$19,$C$20,$C$21,$C$22,$C$26,$C$27,$D$15,$D$16,$D$17,$D$18,$D$19,$D$20,$D$21,$D$22,$D$23,$D$24,$D$25,$D$26,$D$27,$C$8,$C$9,$C$10,$C$11,$C$12),"")</f>
        <v>-225785.23445587917</v>
      </c>
      <c r="W10" s="255">
        <f ca="1">IF(NOW(),_xll.mirSwapPV($C$3,$C$4,$C$6,$G10,$C$7,$I10+W$3,$C$16,$C$17,$C$18,$C$19,$C$20,$C$21,$C$22,$C$26,$C$27,$D$15,$D$16,$D$17,$D$18,$D$19,$D$20,$D$21,$D$22,$D$23,$D$24,$D$25,$D$26,$D$27,$C$8,$C$9,$C$10,$C$11,$C$12),"")</f>
        <v>-301046.97927450563</v>
      </c>
      <c r="X10" s="255">
        <f ca="1">IF(NOW(),_xll.mirSwapPV($C$3,$C$4,$C$6,$G10,$C$7,$I10+X$3,$C$16,$C$17,$C$18,$C$19,$C$20,$C$21,$C$22,$C$26,$C$27,$D$15,$D$16,$D$17,$D$18,$D$19,$D$20,$D$21,$D$22,$D$23,$D$24,$D$25,$D$26,$D$27,$C$8,$C$9,$C$10,$C$11,$C$12),"")</f>
        <v>-376308.72409313201</v>
      </c>
      <c r="Y10" s="230" t="s">
        <v>12</v>
      </c>
      <c r="Z10" s="224" t="s">
        <v>119</v>
      </c>
      <c r="AA10" s="227">
        <f>_xll.mirGetDate($C$6,Z10)</f>
        <v>45120</v>
      </c>
      <c r="AB10" s="228">
        <f>'GBP Curve Config'!$AO15</f>
        <v>2.1190000000000001E-2</v>
      </c>
      <c r="AC10" s="229">
        <f ca="1">IF(NOW(),_xll.mirGetParRate4($C$6,Z10,$C$7,$C$16,$C$17,$C$18,$C$19,$C$20,$C$21,$C$22,$C$26,$C$27,$D$16,$D$17,$D$18,$D$19,$D$20,$D$21,$D$22,$D$23,$D$24,$D$25,$D$26,$D$27,$C$8,$C$9,$C$10,$D$11,$C$12),"")</f>
        <v>2.1189999999845444E-2</v>
      </c>
      <c r="AD10" s="229">
        <f t="shared" ca="1" si="2"/>
        <v>-1.545569228156296E-13</v>
      </c>
      <c r="AE10" s="230">
        <f t="shared" ca="1" si="3"/>
        <v>-1.545569228156296E-9</v>
      </c>
      <c r="AG10" s="224" t="s">
        <v>119</v>
      </c>
      <c r="AH10" s="255">
        <f ca="1">IF(NOW(),_xll.mirSwapPV($C$3,$C$4,$C$6,$G10,$C$7,$I10+AH$3,$C$16,$C$17,$C$18,$C$19,$C$20,$C$21,$C$22,$C$26,$C$27,$D$15,$D$16,$D$17,$D$18,$D$19,$D$20,$D$21,$D$22,$D$23,$D$24,$D$25,$D$26,$D$27,$C$8,$C$9,$C$10,$D$11,$C$12),"")</f>
        <v>376308.72409313219</v>
      </c>
      <c r="AI10" s="255">
        <f ca="1">IF(NOW(),_xll.mirSwapPV($C$3,$C$4,$C$6,$G10,$C$7,$I10+AI$3,$C$16,$C$17,$C$18,$C$19,$C$20,$C$21,$C$22,$C$26,$C$27,$D$15,$D$16,$D$17,$D$18,$D$19,$D$20,$D$21,$D$22,$D$23,$D$24,$D$25,$D$26,$D$27,$C$8,$C$9,$C$10,$D$11,$C$12),"")</f>
        <v>301046.97927450575</v>
      </c>
      <c r="AJ10" s="255">
        <f ca="1">IF(NOW(),_xll.mirSwapPV($C$3,$C$4,$C$6,$G10,$C$7,$I10+AJ$3,$C$16,$C$17,$C$18,$C$19,$C$20,$C$21,$C$22,$C$26,$C$27,$D$15,$D$16,$D$17,$D$18,$D$19,$D$20,$D$21,$D$22,$D$23,$D$24,$D$25,$D$26,$D$27,$C$8,$C$9,$C$10,$D$11,$C$12),"")</f>
        <v>225785.23445587937</v>
      </c>
      <c r="AK10" s="255">
        <f ca="1">IF(NOW(),_xll.mirSwapPV($C$3,$C$4,$C$6,$G10,$C$7,$I10+AK$3,$C$16,$C$17,$C$18,$C$19,$C$20,$C$21,$C$22,$C$26,$C$27,$D$15,$D$16,$D$17,$D$18,$D$19,$D$20,$D$21,$D$22,$D$23,$D$24,$D$25,$D$26,$D$27,$C$8,$C$9,$C$10,$D$11,$C$12),"")</f>
        <v>150523.48963725296</v>
      </c>
      <c r="AL10" s="255">
        <f ca="1">IF(NOW(),_xll.mirSwapPV($C$3,$C$4,$C$6,$G10,$C$7,$I10+AL$3,$C$16,$C$17,$C$18,$C$19,$C$20,$C$21,$C$22,$C$26,$C$27,$D$15,$D$16,$D$17,$D$18,$D$19,$D$20,$D$21,$D$22,$D$23,$D$24,$D$25,$D$26,$D$27,$C$8,$C$9,$C$10,$D$11,$C$12),"")</f>
        <v>75261.744818626554</v>
      </c>
      <c r="AM10" s="255">
        <f ca="1">IF(NOW(),_xll.mirSwapPV($C$3,$C$4,$C$6,$G10,$C$7,$I10+AM$3,$C$16,$C$17,$C$18,$C$19,$C$20,$C$21,$C$22,$C$26,$C$27,$D$15,$D$16,$D$17,$D$18,$D$19,$D$20,$D$21,$D$22,$D$23,$D$24,$D$25,$D$26,$D$27,$C$8,$C$9,$C$10,$D$11,$C$12),"")</f>
        <v>1.9428902930940239E-10</v>
      </c>
      <c r="AN10" s="255">
        <f ca="1">IF(NOW(),_xll.mirSwapPV($C$3,$C$4,$C$6,$G10,$C$7,$I10+AN$3,$C$16,$C$17,$C$18,$C$19,$C$20,$C$21,$C$22,$C$26,$C$27,$D$15,$D$16,$D$17,$D$18,$D$19,$D$20,$D$21,$D$22,$D$23,$D$24,$D$25,$D$26,$D$27,$C$8,$C$9,$C$10,$D$11,$C$12),"")</f>
        <v>-75261.744818626219</v>
      </c>
      <c r="AO10" s="255">
        <f ca="1">IF(NOW(),_xll.mirSwapPV($C$3,$C$4,$C$6,$G10,$C$7,$I10+AO$3,$C$16,$C$17,$C$18,$C$19,$C$20,$C$21,$C$22,$C$26,$C$27,$D$15,$D$16,$D$17,$D$18,$D$19,$D$20,$D$21,$D$22,$D$23,$D$24,$D$25,$D$26,$D$27,$C$8,$C$9,$C$10,$D$11,$C$12),"")</f>
        <v>-150523.48963725261</v>
      </c>
      <c r="AP10" s="255">
        <f ca="1">IF(NOW(),_xll.mirSwapPV($C$3,$C$4,$C$6,$G10,$C$7,$I10+AP$3,$C$16,$C$17,$C$18,$C$19,$C$20,$C$21,$C$22,$C$26,$C$27,$D$15,$D$16,$D$17,$D$18,$D$19,$D$20,$D$21,$D$22,$D$23,$D$24,$D$25,$D$26,$D$27,$C$8,$C$9,$C$10,$D$11,$C$12),"")</f>
        <v>-225785.23445587896</v>
      </c>
      <c r="AQ10" s="255">
        <f ca="1">IF(NOW(),_xll.mirSwapPV($C$3,$C$4,$C$6,$G10,$C$7,$I10+AQ$3,$C$16,$C$17,$C$18,$C$19,$C$20,$C$21,$C$22,$C$26,$C$27,$D$15,$D$16,$D$17,$D$18,$D$19,$D$20,$D$21,$D$22,$D$23,$D$24,$D$25,$D$26,$D$27,$C$8,$C$9,$C$10,$D$11,$C$12),"")</f>
        <v>-301046.9792745054</v>
      </c>
      <c r="AR10" s="255">
        <f ca="1">IF(NOW(),_xll.mirSwapPV($C$3,$C$4,$C$6,$G10,$C$7,$I10+AR$3,$C$16,$C$17,$C$18,$C$19,$C$20,$C$21,$C$22,$C$26,$C$27,$D$15,$D$16,$D$17,$D$18,$D$19,$D$20,$D$21,$D$22,$D$23,$D$24,$D$25,$D$26,$D$27,$C$8,$C$9,$C$10,$D$11,$C$12),"")</f>
        <v>-376308.7240931319</v>
      </c>
    </row>
    <row r="11" spans="2:44">
      <c r="B11" s="234" t="s">
        <v>437</v>
      </c>
      <c r="C11" s="236" t="b">
        <v>1</v>
      </c>
      <c r="D11" s="236" t="b">
        <v>0</v>
      </c>
      <c r="F11" s="224" t="s">
        <v>113</v>
      </c>
      <c r="G11" s="227">
        <f>_xll.mirGetDate($C$6,F11)</f>
        <v>45486</v>
      </c>
      <c r="H11" s="228">
        <f>'GBP Curve Config'!AO16</f>
        <v>2.197E-2</v>
      </c>
      <c r="I11" s="229">
        <f ca="1">IF(NOW(),_xll.mirGetParRate4($C$6,F11,$C$7,$C$16,$C$17,$C$18,$C$19,$C$20,$C$21,$C$22,$C$26,$C$27,$D$16,$D$17,$D$18,$D$19,$D$20,$D$21,$D$22,$D$23,$D$24,$D$25,$D$26,$D$27,$C$8,$C$9,$C$10,$C$11,$C$12),"")</f>
        <v>2.19700000001023E-2</v>
      </c>
      <c r="J11" s="229">
        <f t="shared" ca="1" si="4"/>
        <v>1.0230011282530427E-13</v>
      </c>
      <c r="K11" s="230">
        <f t="shared" ca="1" si="5"/>
        <v>1.0230011282530427E-9</v>
      </c>
      <c r="L11" s="230" t="s">
        <v>12</v>
      </c>
      <c r="M11" s="224" t="s">
        <v>113</v>
      </c>
      <c r="N11" s="255">
        <f ca="1">IF(NOW(),_xll.mirSwapPV($C$3,$C$4,$C$6,$G11,$C$7,$I11+N$3,$C$16,$C$17,$C$18,$C$19,$C$20,$C$21,$C$22,$C$26,$C$27,$D$15,$D$16,$D$17,$D$18,$D$19,$D$20,$D$21,$D$22,$D$23,$D$24,$D$25,$D$26,$D$27,$C$8,$C$9,$C$10,$C$11,$C$12),"")</f>
        <v>419096.32897531765</v>
      </c>
      <c r="O11" s="255">
        <f ca="1">IF(NOW(),_xll.mirSwapPV($C$3,$C$4,$C$6,$G11,$C$7,$I11+O$3,$C$16,$C$17,$C$18,$C$19,$C$20,$C$21,$C$22,$C$26,$C$27,$D$15,$D$16,$D$17,$D$18,$D$19,$D$20,$D$21,$D$22,$D$23,$D$24,$D$25,$D$26,$D$27,$C$8,$C$9,$C$10,$C$11,$C$12),"")</f>
        <v>335277.06318025407</v>
      </c>
      <c r="P11" s="255">
        <f ca="1">IF(NOW(),_xll.mirSwapPV($C$3,$C$4,$C$6,$G11,$C$7,$I11+P$3,$C$16,$C$17,$C$18,$C$19,$C$20,$C$21,$C$22,$C$26,$C$27,$D$15,$D$16,$D$17,$D$18,$D$19,$D$20,$D$21,$D$22,$D$23,$D$24,$D$25,$D$26,$D$27,$C$8,$C$9,$C$10,$C$11,$C$12),"")</f>
        <v>251457.79738519058</v>
      </c>
      <c r="Q11" s="255">
        <f ca="1">IF(NOW(),_xll.mirSwapPV($C$3,$C$4,$C$6,$G11,$C$7,$I11+Q$3,$C$16,$C$17,$C$18,$C$19,$C$20,$C$21,$C$22,$C$26,$C$27,$D$15,$D$16,$D$17,$D$18,$D$19,$D$20,$D$21,$D$22,$D$23,$D$24,$D$25,$D$26,$D$27,$C$8,$C$9,$C$10,$C$11,$C$12),"")</f>
        <v>167638.53159012704</v>
      </c>
      <c r="R11" s="255">
        <f ca="1">IF(NOW(),_xll.mirSwapPV($C$3,$C$4,$C$6,$G11,$C$7,$I11+R$3,$C$16,$C$17,$C$18,$C$19,$C$20,$C$21,$C$22,$C$26,$C$27,$D$15,$D$16,$D$17,$D$18,$D$19,$D$20,$D$21,$D$22,$D$23,$D$24,$D$25,$D$26,$D$27,$C$8,$C$9,$C$10,$C$11,$C$12),"")</f>
        <v>83819.265795063504</v>
      </c>
      <c r="S11" s="255">
        <f ca="1">IF(NOW(),_xll.mirSwapPV($C$3,$C$4,$C$6,$G11,$C$7,$I11+S$3,$C$16,$C$17,$C$18,$C$19,$C$20,$C$21,$C$22,$C$26,$C$27,$D$15,$D$16,$D$17,$D$18,$D$19,$D$20,$D$21,$D$22,$D$23,$D$24,$D$25,$D$26,$D$27,$C$8,$C$9,$C$10,$C$11,$C$12),"")</f>
        <v>0</v>
      </c>
      <c r="T11" s="255">
        <f ca="1">IF(NOW(),_xll.mirSwapPV($C$3,$C$4,$C$6,$G11,$C$7,$I11+T$3,$C$16,$C$17,$C$18,$C$19,$C$20,$C$21,$C$22,$C$26,$C$27,$D$15,$D$16,$D$17,$D$18,$D$19,$D$20,$D$21,$D$22,$D$23,$D$24,$D$25,$D$26,$D$27,$C$8,$C$9,$C$10,$C$11,$C$12),"")</f>
        <v>-83819.265795063489</v>
      </c>
      <c r="U11" s="255">
        <f ca="1">IF(NOW(),_xll.mirSwapPV($C$3,$C$4,$C$6,$G11,$C$7,$I11+U$3,$C$16,$C$17,$C$18,$C$19,$C$20,$C$21,$C$22,$C$26,$C$27,$D$15,$D$16,$D$17,$D$18,$D$19,$D$20,$D$21,$D$22,$D$23,$D$24,$D$25,$D$26,$D$27,$C$8,$C$9,$C$10,$C$11,$C$12),"")</f>
        <v>-167638.53159012704</v>
      </c>
      <c r="V11" s="255">
        <f ca="1">IF(NOW(),_xll.mirSwapPV($C$3,$C$4,$C$6,$G11,$C$7,$I11+V$3,$C$16,$C$17,$C$18,$C$19,$C$20,$C$21,$C$22,$C$26,$C$27,$D$15,$D$16,$D$17,$D$18,$D$19,$D$20,$D$21,$D$22,$D$23,$D$24,$D$25,$D$26,$D$27,$C$8,$C$9,$C$10,$C$11,$C$12),"")</f>
        <v>-251457.79738519053</v>
      </c>
      <c r="W11" s="255">
        <f ca="1">IF(NOW(),_xll.mirSwapPV($C$3,$C$4,$C$6,$G11,$C$7,$I11+W$3,$C$16,$C$17,$C$18,$C$19,$C$20,$C$21,$C$22,$C$26,$C$27,$D$15,$D$16,$D$17,$D$18,$D$19,$D$20,$D$21,$D$22,$D$23,$D$24,$D$25,$D$26,$D$27,$C$8,$C$9,$C$10,$C$11,$C$12),"")</f>
        <v>-335277.06318025407</v>
      </c>
      <c r="X11" s="255">
        <f ca="1">IF(NOW(),_xll.mirSwapPV($C$3,$C$4,$C$6,$G11,$C$7,$I11+X$3,$C$16,$C$17,$C$18,$C$19,$C$20,$C$21,$C$22,$C$26,$C$27,$D$15,$D$16,$D$17,$D$18,$D$19,$D$20,$D$21,$D$22,$D$23,$D$24,$D$25,$D$26,$D$27,$C$8,$C$9,$C$10,$C$11,$C$12),"")</f>
        <v>-419096.32897531759</v>
      </c>
      <c r="Y11" s="230" t="s">
        <v>12</v>
      </c>
      <c r="Z11" s="224" t="s">
        <v>113</v>
      </c>
      <c r="AA11" s="227">
        <f>_xll.mirGetDate($C$6,Z11)</f>
        <v>45486</v>
      </c>
      <c r="AB11" s="228">
        <f>'GBP Curve Config'!$AO16</f>
        <v>2.197E-2</v>
      </c>
      <c r="AC11" s="229">
        <f ca="1">IF(NOW(),_xll.mirGetParRate4($C$6,Z11,$C$7,$C$16,$C$17,$C$18,$C$19,$C$20,$C$21,$C$22,$C$26,$C$27,$D$16,$D$17,$D$18,$D$19,$D$20,$D$21,$D$22,$D$23,$D$24,$D$25,$D$26,$D$27,$C$8,$C$9,$C$10,$D$11,$C$12),"")</f>
        <v>2.1970000000102324E-2</v>
      </c>
      <c r="AD11" s="229">
        <f t="shared" ca="1" si="2"/>
        <v>1.0232439895396794E-13</v>
      </c>
      <c r="AE11" s="230">
        <f t="shared" ca="1" si="3"/>
        <v>1.0232439895396794E-9</v>
      </c>
      <c r="AG11" s="224" t="s">
        <v>113</v>
      </c>
      <c r="AH11" s="255">
        <f ca="1">IF(NOW(),_xll.mirSwapPV($C$3,$C$4,$C$6,$G11,$C$7,$I11+AH$3,$C$16,$C$17,$C$18,$C$19,$C$20,$C$21,$C$22,$C$26,$C$27,$D$15,$D$16,$D$17,$D$18,$D$19,$D$20,$D$21,$D$22,$D$23,$D$24,$D$25,$D$26,$D$27,$C$8,$C$9,$C$10,$D$11,$C$12),"")</f>
        <v>419096.32897531783</v>
      </c>
      <c r="AI11" s="255">
        <f ca="1">IF(NOW(),_xll.mirSwapPV($C$3,$C$4,$C$6,$G11,$C$7,$I11+AI$3,$C$16,$C$17,$C$18,$C$19,$C$20,$C$21,$C$22,$C$26,$C$27,$D$15,$D$16,$D$17,$D$18,$D$19,$D$20,$D$21,$D$22,$D$23,$D$24,$D$25,$D$26,$D$27,$C$8,$C$9,$C$10,$D$11,$C$12),"")</f>
        <v>335277.06318025431</v>
      </c>
      <c r="AJ11" s="255">
        <f ca="1">IF(NOW(),_xll.mirSwapPV($C$3,$C$4,$C$6,$G11,$C$7,$I11+AJ$3,$C$16,$C$17,$C$18,$C$19,$C$20,$C$21,$C$22,$C$26,$C$27,$D$15,$D$16,$D$17,$D$18,$D$19,$D$20,$D$21,$D$22,$D$23,$D$24,$D$25,$D$26,$D$27,$C$8,$C$9,$C$10,$D$11,$C$12),"")</f>
        <v>251457.79738519076</v>
      </c>
      <c r="AK11" s="255">
        <f ca="1">IF(NOW(),_xll.mirSwapPV($C$3,$C$4,$C$6,$G11,$C$7,$I11+AK$3,$C$16,$C$17,$C$18,$C$19,$C$20,$C$21,$C$22,$C$26,$C$27,$D$15,$D$16,$D$17,$D$18,$D$19,$D$20,$D$21,$D$22,$D$23,$D$24,$D$25,$D$26,$D$27,$C$8,$C$9,$C$10,$D$11,$C$12),"")</f>
        <v>167638.53159012724</v>
      </c>
      <c r="AL11" s="255">
        <f ca="1">IF(NOW(),_xll.mirSwapPV($C$3,$C$4,$C$6,$G11,$C$7,$I11+AL$3,$C$16,$C$17,$C$18,$C$19,$C$20,$C$21,$C$22,$C$26,$C$27,$D$15,$D$16,$D$17,$D$18,$D$19,$D$20,$D$21,$D$22,$D$23,$D$24,$D$25,$D$26,$D$27,$C$8,$C$9,$C$10,$D$11,$C$12),"")</f>
        <v>83819.265795063693</v>
      </c>
      <c r="AM11" s="255">
        <f ca="1">IF(NOW(),_xll.mirSwapPV($C$3,$C$4,$C$6,$G11,$C$7,$I11+AM$3,$C$16,$C$17,$C$18,$C$19,$C$20,$C$21,$C$22,$C$26,$C$27,$D$15,$D$16,$D$17,$D$18,$D$19,$D$20,$D$21,$D$22,$D$23,$D$24,$D$25,$D$26,$D$27,$C$8,$C$9,$C$10,$D$11,$C$12),"")</f>
        <v>1.9428902930940239E-10</v>
      </c>
      <c r="AN11" s="255">
        <f ca="1">IF(NOW(),_xll.mirSwapPV($C$3,$C$4,$C$6,$G11,$C$7,$I11+AN$3,$C$16,$C$17,$C$18,$C$19,$C$20,$C$21,$C$22,$C$26,$C$27,$D$15,$D$16,$D$17,$D$18,$D$19,$D$20,$D$21,$D$22,$D$23,$D$24,$D$25,$D$26,$D$27,$C$8,$C$9,$C$10,$D$11,$C$12),"")</f>
        <v>-83819.2657950633</v>
      </c>
      <c r="AO11" s="255">
        <f ca="1">IF(NOW(),_xll.mirSwapPV($C$3,$C$4,$C$6,$G11,$C$7,$I11+AO$3,$C$16,$C$17,$C$18,$C$19,$C$20,$C$21,$C$22,$C$26,$C$27,$D$15,$D$16,$D$17,$D$18,$D$19,$D$20,$D$21,$D$22,$D$23,$D$24,$D$25,$D$26,$D$27,$C$8,$C$9,$C$10,$D$11,$C$12),"")</f>
        <v>-167638.53159012683</v>
      </c>
      <c r="AP11" s="255">
        <f ca="1">IF(NOW(),_xll.mirSwapPV($C$3,$C$4,$C$6,$G11,$C$7,$I11+AP$3,$C$16,$C$17,$C$18,$C$19,$C$20,$C$21,$C$22,$C$26,$C$27,$D$15,$D$16,$D$17,$D$18,$D$19,$D$20,$D$21,$D$22,$D$23,$D$24,$D$25,$D$26,$D$27,$C$8,$C$9,$C$10,$D$11,$C$12),"")</f>
        <v>-251457.79738519035</v>
      </c>
      <c r="AQ11" s="255">
        <f ca="1">IF(NOW(),_xll.mirSwapPV($C$3,$C$4,$C$6,$G11,$C$7,$I11+AQ$3,$C$16,$C$17,$C$18,$C$19,$C$20,$C$21,$C$22,$C$26,$C$27,$D$15,$D$16,$D$17,$D$18,$D$19,$D$20,$D$21,$D$22,$D$23,$D$24,$D$25,$D$26,$D$27,$C$8,$C$9,$C$10,$D$11,$C$12),"")</f>
        <v>-335277.06318025384</v>
      </c>
      <c r="AR11" s="255">
        <f ca="1">IF(NOW(),_xll.mirSwapPV($C$3,$C$4,$C$6,$G11,$C$7,$I11+AR$3,$C$16,$C$17,$C$18,$C$19,$C$20,$C$21,$C$22,$C$26,$C$27,$D$15,$D$16,$D$17,$D$18,$D$19,$D$20,$D$21,$D$22,$D$23,$D$24,$D$25,$D$26,$D$27,$C$8,$C$9,$C$10,$D$11,$C$12),"")</f>
        <v>-419096.32897531736</v>
      </c>
    </row>
    <row r="12" spans="2:44">
      <c r="B12" s="225" t="s">
        <v>438</v>
      </c>
      <c r="C12" s="237" t="b">
        <v>1</v>
      </c>
      <c r="D12" s="237"/>
      <c r="F12" s="224" t="s">
        <v>28</v>
      </c>
      <c r="G12" s="227">
        <f>_xll.mirGetDate($C$6,F12)</f>
        <v>45851</v>
      </c>
      <c r="H12" s="228">
        <f>'GBP Curve Config'!AO17</f>
        <v>2.2620000000000001E-2</v>
      </c>
      <c r="I12" s="229">
        <f ca="1">IF(NOW(),_xll.mirGetParRate4($C$6,F12,$C$7,$C$16,$C$17,$C$18,$C$19,$C$20,$C$21,$C$22,$C$26,$C$27,$D$16,$D$17,$D$18,$D$19,$D$20,$D$21,$D$22,$D$23,$D$24,$D$25,$D$26,$D$27,$C$8,$C$9,$C$10,$C$11,$C$12),"")</f>
        <v>2.262000000031112E-2</v>
      </c>
      <c r="J12" s="229">
        <f t="shared" ca="1" si="4"/>
        <v>3.111191859694884E-13</v>
      </c>
      <c r="K12" s="230">
        <f t="shared" ca="1" si="5"/>
        <v>3.111191859694884E-9</v>
      </c>
      <c r="L12" s="230" t="s">
        <v>12</v>
      </c>
      <c r="M12" s="224" t="s">
        <v>28</v>
      </c>
      <c r="N12" s="255">
        <f ca="1">IF(NOW(),_xll.mirSwapPV($C$3,$C$4,$C$6,$G12,$C$7,$I12+N$3,$C$16,$C$17,$C$18,$C$19,$C$20,$C$21,$C$22,$C$26,$C$27,$D$15,$D$16,$D$17,$D$18,$D$19,$D$20,$D$21,$D$22,$D$23,$D$24,$D$25,$D$26,$D$27,$C$8,$C$9,$C$10,$C$11,$C$12),"")</f>
        <v>460336.45975731342</v>
      </c>
      <c r="O12" s="255">
        <f ca="1">IF(NOW(),_xll.mirSwapPV($C$3,$C$4,$C$6,$G12,$C$7,$I12+O$3,$C$16,$C$17,$C$18,$C$19,$C$20,$C$21,$C$22,$C$26,$C$27,$D$15,$D$16,$D$17,$D$18,$D$19,$D$20,$D$21,$D$22,$D$23,$D$24,$D$25,$D$26,$D$27,$C$8,$C$9,$C$10,$C$11,$C$12),"")</f>
        <v>368269.16780585074</v>
      </c>
      <c r="P12" s="255">
        <f ca="1">IF(NOW(),_xll.mirSwapPV($C$3,$C$4,$C$6,$G12,$C$7,$I12+P$3,$C$16,$C$17,$C$18,$C$19,$C$20,$C$21,$C$22,$C$26,$C$27,$D$15,$D$16,$D$17,$D$18,$D$19,$D$20,$D$21,$D$22,$D$23,$D$24,$D$25,$D$26,$D$27,$C$8,$C$9,$C$10,$C$11,$C$12),"")</f>
        <v>276201.87585438805</v>
      </c>
      <c r="Q12" s="255">
        <f ca="1">IF(NOW(),_xll.mirSwapPV($C$3,$C$4,$C$6,$G12,$C$7,$I12+Q$3,$C$16,$C$17,$C$18,$C$19,$C$20,$C$21,$C$22,$C$26,$C$27,$D$15,$D$16,$D$17,$D$18,$D$19,$D$20,$D$21,$D$22,$D$23,$D$24,$D$25,$D$26,$D$27,$C$8,$C$9,$C$10,$C$11,$C$12),"")</f>
        <v>184134.58390292534</v>
      </c>
      <c r="R12" s="255">
        <f ca="1">IF(NOW(),_xll.mirSwapPV($C$3,$C$4,$C$6,$G12,$C$7,$I12+R$3,$C$16,$C$17,$C$18,$C$19,$C$20,$C$21,$C$22,$C$26,$C$27,$D$15,$D$16,$D$17,$D$18,$D$19,$D$20,$D$21,$D$22,$D$23,$D$24,$D$25,$D$26,$D$27,$C$8,$C$9,$C$10,$C$11,$C$12),"")</f>
        <v>92067.291951462641</v>
      </c>
      <c r="S12" s="255">
        <f ca="1">IF(NOW(),_xll.mirSwapPV($C$3,$C$4,$C$6,$G12,$C$7,$I12+S$3,$C$16,$C$17,$C$18,$C$19,$C$20,$C$21,$C$22,$C$26,$C$27,$D$15,$D$16,$D$17,$D$18,$D$19,$D$20,$D$21,$D$22,$D$23,$D$24,$D$25,$D$26,$D$27,$C$8,$C$9,$C$10,$C$11,$C$12),"")</f>
        <v>0</v>
      </c>
      <c r="T12" s="255">
        <f ca="1">IF(NOW(),_xll.mirSwapPV($C$3,$C$4,$C$6,$G12,$C$7,$I12+T$3,$C$16,$C$17,$C$18,$C$19,$C$20,$C$21,$C$22,$C$26,$C$27,$D$15,$D$16,$D$17,$D$18,$D$19,$D$20,$D$21,$D$22,$D$23,$D$24,$D$25,$D$26,$D$27,$C$8,$C$9,$C$10,$C$11,$C$12),"")</f>
        <v>-92067.291951462685</v>
      </c>
      <c r="U12" s="255">
        <f ca="1">IF(NOW(),_xll.mirSwapPV($C$3,$C$4,$C$6,$G12,$C$7,$I12+U$3,$C$16,$C$17,$C$18,$C$19,$C$20,$C$21,$C$22,$C$26,$C$27,$D$15,$D$16,$D$17,$D$18,$D$19,$D$20,$D$21,$D$22,$D$23,$D$24,$D$25,$D$26,$D$27,$C$8,$C$9,$C$10,$C$11,$C$12),"")</f>
        <v>-184134.58390292537</v>
      </c>
      <c r="V12" s="255">
        <f ca="1">IF(NOW(),_xll.mirSwapPV($C$3,$C$4,$C$6,$G12,$C$7,$I12+V$3,$C$16,$C$17,$C$18,$C$19,$C$20,$C$21,$C$22,$C$26,$C$27,$D$15,$D$16,$D$17,$D$18,$D$19,$D$20,$D$21,$D$22,$D$23,$D$24,$D$25,$D$26,$D$27,$C$8,$C$9,$C$10,$C$11,$C$12),"")</f>
        <v>-276201.87585438805</v>
      </c>
      <c r="W12" s="255">
        <f ca="1">IF(NOW(),_xll.mirSwapPV($C$3,$C$4,$C$6,$G12,$C$7,$I12+W$3,$C$16,$C$17,$C$18,$C$19,$C$20,$C$21,$C$22,$C$26,$C$27,$D$15,$D$16,$D$17,$D$18,$D$19,$D$20,$D$21,$D$22,$D$23,$D$24,$D$25,$D$26,$D$27,$C$8,$C$9,$C$10,$C$11,$C$12),"")</f>
        <v>-368269.16780585074</v>
      </c>
      <c r="X12" s="255">
        <f ca="1">IF(NOW(),_xll.mirSwapPV($C$3,$C$4,$C$6,$G12,$C$7,$I12+X$3,$C$16,$C$17,$C$18,$C$19,$C$20,$C$21,$C$22,$C$26,$C$27,$D$15,$D$16,$D$17,$D$18,$D$19,$D$20,$D$21,$D$22,$D$23,$D$24,$D$25,$D$26,$D$27,$C$8,$C$9,$C$10,$C$11,$C$12),"")</f>
        <v>-460336.45975731354</v>
      </c>
      <c r="Y12" s="230" t="s">
        <v>12</v>
      </c>
      <c r="Z12" s="224" t="s">
        <v>28</v>
      </c>
      <c r="AA12" s="227">
        <f>_xll.mirGetDate($C$6,Z12)</f>
        <v>45851</v>
      </c>
      <c r="AB12" s="228">
        <f>'GBP Curve Config'!$AO17</f>
        <v>2.2620000000000001E-2</v>
      </c>
      <c r="AC12" s="229">
        <f ca="1">IF(NOW(),_xll.mirGetParRate4($C$6,Z12,$C$7,$C$16,$C$17,$C$18,$C$19,$C$20,$C$21,$C$22,$C$26,$C$27,$D$16,$D$17,$D$18,$D$19,$D$20,$D$21,$D$22,$D$23,$D$24,$D$25,$D$26,$D$27,$C$8,$C$9,$C$10,$D$11,$C$12),"")</f>
        <v>2.2620000000311127E-2</v>
      </c>
      <c r="AD12" s="229">
        <f t="shared" ca="1" si="2"/>
        <v>3.1112612486339231E-13</v>
      </c>
      <c r="AE12" s="230">
        <f t="shared" ca="1" si="3"/>
        <v>3.1112612486339231E-9</v>
      </c>
      <c r="AG12" s="224" t="s">
        <v>28</v>
      </c>
      <c r="AH12" s="255">
        <f ca="1">IF(NOW(),_xll.mirSwapPV($C$3,$C$4,$C$6,$G12,$C$7,$I12+AH$3,$C$16,$C$17,$C$18,$C$19,$C$20,$C$21,$C$22,$C$26,$C$27,$D$15,$D$16,$D$17,$D$18,$D$19,$D$20,$D$21,$D$22,$D$23,$D$24,$D$25,$D$26,$D$27,$C$8,$C$9,$C$10,$D$11,$C$12),"")</f>
        <v>460336.45975731348</v>
      </c>
      <c r="AI12" s="255">
        <f ca="1">IF(NOW(),_xll.mirSwapPV($C$3,$C$4,$C$6,$G12,$C$7,$I12+AI$3,$C$16,$C$17,$C$18,$C$19,$C$20,$C$21,$C$22,$C$26,$C$27,$D$15,$D$16,$D$17,$D$18,$D$19,$D$20,$D$21,$D$22,$D$23,$D$24,$D$25,$D$26,$D$27,$C$8,$C$9,$C$10,$D$11,$C$12),"")</f>
        <v>368269.1678058508</v>
      </c>
      <c r="AJ12" s="255">
        <f ca="1">IF(NOW(),_xll.mirSwapPV($C$3,$C$4,$C$6,$G12,$C$7,$I12+AJ$3,$C$16,$C$17,$C$18,$C$19,$C$20,$C$21,$C$22,$C$26,$C$27,$D$15,$D$16,$D$17,$D$18,$D$19,$D$20,$D$21,$D$22,$D$23,$D$24,$D$25,$D$26,$D$27,$C$8,$C$9,$C$10,$D$11,$C$12),"")</f>
        <v>276201.87585438811</v>
      </c>
      <c r="AK12" s="255">
        <f ca="1">IF(NOW(),_xll.mirSwapPV($C$3,$C$4,$C$6,$G12,$C$7,$I12+AK$3,$C$16,$C$17,$C$18,$C$19,$C$20,$C$21,$C$22,$C$26,$C$27,$D$15,$D$16,$D$17,$D$18,$D$19,$D$20,$D$21,$D$22,$D$23,$D$24,$D$25,$D$26,$D$27,$C$8,$C$9,$C$10,$D$11,$C$12),"")</f>
        <v>184134.5839029254</v>
      </c>
      <c r="AL12" s="255">
        <f ca="1">IF(NOW(),_xll.mirSwapPV($C$3,$C$4,$C$6,$G12,$C$7,$I12+AL$3,$C$16,$C$17,$C$18,$C$19,$C$20,$C$21,$C$22,$C$26,$C$27,$D$15,$D$16,$D$17,$D$18,$D$19,$D$20,$D$21,$D$22,$D$23,$D$24,$D$25,$D$26,$D$27,$C$8,$C$9,$C$10,$D$11,$C$12),"")</f>
        <v>92067.291951462699</v>
      </c>
      <c r="AM12" s="255">
        <f ca="1">IF(NOW(),_xll.mirSwapPV($C$3,$C$4,$C$6,$G12,$C$7,$I12+AM$3,$C$16,$C$17,$C$18,$C$19,$C$20,$C$21,$C$22,$C$26,$C$27,$D$15,$D$16,$D$17,$D$18,$D$19,$D$20,$D$21,$D$22,$D$23,$D$24,$D$25,$D$26,$D$27,$C$8,$C$9,$C$10,$D$11,$C$12),"")</f>
        <v>5.5511151231257827E-11</v>
      </c>
      <c r="AN12" s="255">
        <f ca="1">IF(NOW(),_xll.mirSwapPV($C$3,$C$4,$C$6,$G12,$C$7,$I12+AN$3,$C$16,$C$17,$C$18,$C$19,$C$20,$C$21,$C$22,$C$26,$C$27,$D$15,$D$16,$D$17,$D$18,$D$19,$D$20,$D$21,$D$22,$D$23,$D$24,$D$25,$D$26,$D$27,$C$8,$C$9,$C$10,$D$11,$C$12),"")</f>
        <v>-92067.291951462626</v>
      </c>
      <c r="AO12" s="255">
        <f ca="1">IF(NOW(),_xll.mirSwapPV($C$3,$C$4,$C$6,$G12,$C$7,$I12+AO$3,$C$16,$C$17,$C$18,$C$19,$C$20,$C$21,$C$22,$C$26,$C$27,$D$15,$D$16,$D$17,$D$18,$D$19,$D$20,$D$21,$D$22,$D$23,$D$24,$D$25,$D$26,$D$27,$C$8,$C$9,$C$10,$D$11,$C$12),"")</f>
        <v>-184134.58390292531</v>
      </c>
      <c r="AP12" s="255">
        <f ca="1">IF(NOW(),_xll.mirSwapPV($C$3,$C$4,$C$6,$G12,$C$7,$I12+AP$3,$C$16,$C$17,$C$18,$C$19,$C$20,$C$21,$C$22,$C$26,$C$27,$D$15,$D$16,$D$17,$D$18,$D$19,$D$20,$D$21,$D$22,$D$23,$D$24,$D$25,$D$26,$D$27,$C$8,$C$9,$C$10,$D$11,$C$12),"")</f>
        <v>-276201.875854388</v>
      </c>
      <c r="AQ12" s="255">
        <f ca="1">IF(NOW(),_xll.mirSwapPV($C$3,$C$4,$C$6,$G12,$C$7,$I12+AQ$3,$C$16,$C$17,$C$18,$C$19,$C$20,$C$21,$C$22,$C$26,$C$27,$D$15,$D$16,$D$17,$D$18,$D$19,$D$20,$D$21,$D$22,$D$23,$D$24,$D$25,$D$26,$D$27,$C$8,$C$9,$C$10,$D$11,$C$12),"")</f>
        <v>-368269.16780585068</v>
      </c>
      <c r="AR12" s="255">
        <f ca="1">IF(NOW(),_xll.mirSwapPV($C$3,$C$4,$C$6,$G12,$C$7,$I12+AR$3,$C$16,$C$17,$C$18,$C$19,$C$20,$C$21,$C$22,$C$26,$C$27,$D$15,$D$16,$D$17,$D$18,$D$19,$D$20,$D$21,$D$22,$D$23,$D$24,$D$25,$D$26,$D$27,$C$8,$C$9,$C$10,$D$11,$C$12),"")</f>
        <v>-460336.45975731348</v>
      </c>
    </row>
    <row r="13" spans="2:44">
      <c r="F13" s="224" t="s">
        <v>26</v>
      </c>
      <c r="G13" s="227">
        <f>_xll.mirGetDate($C$6,F13)</f>
        <v>46581</v>
      </c>
      <c r="H13" s="228">
        <f>'GBP Curve Config'!AO18</f>
        <v>2.3620000000000002E-2</v>
      </c>
      <c r="I13" s="229">
        <f ca="1">IF(NOW(),_xll.mirGetParRate4($C$6,F13,$C$7,$C$16,$C$17,$C$18,$C$19,$C$20,$C$21,$C$22,$C$26,$C$27,$D$16,$D$17,$D$18,$D$19,$D$20,$D$21,$D$22,$D$23,$D$24,$D$25,$D$26,$D$27,$C$8,$C$9,$C$10,$C$11,$C$12),"")</f>
        <v>2.3620000000407003E-2</v>
      </c>
      <c r="J13" s="229">
        <f t="shared" ca="1" si="4"/>
        <v>4.0700082193367848E-13</v>
      </c>
      <c r="K13" s="230">
        <f t="shared" ca="1" si="5"/>
        <v>4.0700082193367848E-9</v>
      </c>
      <c r="L13" s="230" t="s">
        <v>12</v>
      </c>
      <c r="M13" s="224" t="s">
        <v>26</v>
      </c>
      <c r="N13" s="255">
        <f ca="1">IF(NOW(),_xll.mirSwapPV($C$3,$C$4,$C$6,$G13,$C$7,$I13+N$3,$C$16,$C$17,$C$18,$C$19,$C$20,$C$21,$C$22,$C$26,$C$27,$D$15,$D$16,$D$17,$D$18,$D$19,$D$20,$D$21,$D$22,$D$23,$D$24,$D$25,$D$26,$D$27,$C$8,$C$9,$C$10,$C$11,$C$12),"")</f>
        <v>539672.60962191247</v>
      </c>
      <c r="O13" s="255">
        <f ca="1">IF(NOW(),_xll.mirSwapPV($C$3,$C$4,$C$6,$G13,$C$7,$I13+O$3,$C$16,$C$17,$C$18,$C$19,$C$20,$C$21,$C$22,$C$26,$C$27,$D$15,$D$16,$D$17,$D$18,$D$19,$D$20,$D$21,$D$22,$D$23,$D$24,$D$25,$D$26,$D$27,$C$8,$C$9,$C$10,$C$11,$C$12),"")</f>
        <v>431738.08769752987</v>
      </c>
      <c r="P13" s="255">
        <f ca="1">IF(NOW(),_xll.mirSwapPV($C$3,$C$4,$C$6,$G13,$C$7,$I13+P$3,$C$16,$C$17,$C$18,$C$19,$C$20,$C$21,$C$22,$C$26,$C$27,$D$15,$D$16,$D$17,$D$18,$D$19,$D$20,$D$21,$D$22,$D$23,$D$24,$D$25,$D$26,$D$27,$C$8,$C$9,$C$10,$C$11,$C$12),"")</f>
        <v>323803.56577314739</v>
      </c>
      <c r="Q13" s="255">
        <f ca="1">IF(NOW(),_xll.mirSwapPV($C$3,$C$4,$C$6,$G13,$C$7,$I13+Q$3,$C$16,$C$17,$C$18,$C$19,$C$20,$C$21,$C$22,$C$26,$C$27,$D$15,$D$16,$D$17,$D$18,$D$19,$D$20,$D$21,$D$22,$D$23,$D$24,$D$25,$D$26,$D$27,$C$8,$C$9,$C$10,$C$11,$C$12),"")</f>
        <v>215869.04384876491</v>
      </c>
      <c r="R13" s="255">
        <f ca="1">IF(NOW(),_xll.mirSwapPV($C$3,$C$4,$C$6,$G13,$C$7,$I13+R$3,$C$16,$C$17,$C$18,$C$19,$C$20,$C$21,$C$22,$C$26,$C$27,$D$15,$D$16,$D$17,$D$18,$D$19,$D$20,$D$21,$D$22,$D$23,$D$24,$D$25,$D$26,$D$27,$C$8,$C$9,$C$10,$C$11,$C$12),"")</f>
        <v>107934.52192438244</v>
      </c>
      <c r="S13" s="255">
        <f ca="1">IF(NOW(),_xll.mirSwapPV($C$3,$C$4,$C$6,$G13,$C$7,$I13+S$3,$C$16,$C$17,$C$18,$C$19,$C$20,$C$21,$C$22,$C$26,$C$27,$D$15,$D$16,$D$17,$D$18,$D$19,$D$20,$D$21,$D$22,$D$23,$D$24,$D$25,$D$26,$D$27,$C$8,$C$9,$C$10,$C$11,$C$12),"")</f>
        <v>0</v>
      </c>
      <c r="T13" s="255">
        <f ca="1">IF(NOW(),_xll.mirSwapPV($C$3,$C$4,$C$6,$G13,$C$7,$I13+T$3,$C$16,$C$17,$C$18,$C$19,$C$20,$C$21,$C$22,$C$26,$C$27,$D$15,$D$16,$D$17,$D$18,$D$19,$D$20,$D$21,$D$22,$D$23,$D$24,$D$25,$D$26,$D$27,$C$8,$C$9,$C$10,$C$11,$C$12),"")</f>
        <v>-107934.52192438247</v>
      </c>
      <c r="U13" s="255">
        <f ca="1">IF(NOW(),_xll.mirSwapPV($C$3,$C$4,$C$6,$G13,$C$7,$I13+U$3,$C$16,$C$17,$C$18,$C$19,$C$20,$C$21,$C$22,$C$26,$C$27,$D$15,$D$16,$D$17,$D$18,$D$19,$D$20,$D$21,$D$22,$D$23,$D$24,$D$25,$D$26,$D$27,$C$8,$C$9,$C$10,$C$11,$C$12),"")</f>
        <v>-215869.04384876488</v>
      </c>
      <c r="V13" s="255">
        <f ca="1">IF(NOW(),_xll.mirSwapPV($C$3,$C$4,$C$6,$G13,$C$7,$I13+V$3,$C$16,$C$17,$C$18,$C$19,$C$20,$C$21,$C$22,$C$26,$C$27,$D$15,$D$16,$D$17,$D$18,$D$19,$D$20,$D$21,$D$22,$D$23,$D$24,$D$25,$D$26,$D$27,$C$8,$C$9,$C$10,$C$11,$C$12),"")</f>
        <v>-323803.56577314739</v>
      </c>
      <c r="W13" s="255">
        <f ca="1">IF(NOW(),_xll.mirSwapPV($C$3,$C$4,$C$6,$G13,$C$7,$I13+W$3,$C$16,$C$17,$C$18,$C$19,$C$20,$C$21,$C$22,$C$26,$C$27,$D$15,$D$16,$D$17,$D$18,$D$19,$D$20,$D$21,$D$22,$D$23,$D$24,$D$25,$D$26,$D$27,$C$8,$C$9,$C$10,$C$11,$C$12),"")</f>
        <v>-431738.08769752987</v>
      </c>
      <c r="X13" s="255">
        <f ca="1">IF(NOW(),_xll.mirSwapPV($C$3,$C$4,$C$6,$G13,$C$7,$I13+X$3,$C$16,$C$17,$C$18,$C$19,$C$20,$C$21,$C$22,$C$26,$C$27,$D$15,$D$16,$D$17,$D$18,$D$19,$D$20,$D$21,$D$22,$D$23,$D$24,$D$25,$D$26,$D$27,$C$8,$C$9,$C$10,$C$11,$C$12),"")</f>
        <v>-539672.60962191236</v>
      </c>
      <c r="Y13" s="230" t="s">
        <v>12</v>
      </c>
      <c r="Z13" s="224" t="s">
        <v>26</v>
      </c>
      <c r="AA13" s="227">
        <f>_xll.mirGetDate($C$6,Z13)</f>
        <v>46581</v>
      </c>
      <c r="AB13" s="228">
        <f>'GBP Curve Config'!$AO18</f>
        <v>2.3620000000000002E-2</v>
      </c>
      <c r="AC13" s="229">
        <f ca="1">IF(NOW(),_xll.mirGetParRate4($C$6,Z13,$C$7,$C$16,$C$17,$C$18,$C$19,$C$20,$C$21,$C$22,$C$26,$C$27,$D$16,$D$17,$D$18,$D$19,$D$20,$D$21,$D$22,$D$23,$D$24,$D$25,$D$26,$D$27,$C$8,$C$9,$C$10,$D$11,$C$12),"")</f>
        <v>2.362000000040701E-2</v>
      </c>
      <c r="AD13" s="229">
        <f t="shared" ca="1" si="2"/>
        <v>4.0700776082758239E-13</v>
      </c>
      <c r="AE13" s="230">
        <f t="shared" ca="1" si="3"/>
        <v>4.0700776082758239E-9</v>
      </c>
      <c r="AG13" s="224" t="s">
        <v>26</v>
      </c>
      <c r="AH13" s="255">
        <f ca="1">IF(NOW(),_xll.mirSwapPV($C$3,$C$4,$C$6,$G13,$C$7,$I13+AH$3,$C$16,$C$17,$C$18,$C$19,$C$20,$C$21,$C$22,$C$26,$C$27,$D$15,$D$16,$D$17,$D$18,$D$19,$D$20,$D$21,$D$22,$D$23,$D$24,$D$25,$D$26,$D$27,$C$8,$C$9,$C$10,$D$11,$C$12),"")</f>
        <v>539672.60962191247</v>
      </c>
      <c r="AI13" s="255">
        <f ca="1">IF(NOW(),_xll.mirSwapPV($C$3,$C$4,$C$6,$G13,$C$7,$I13+AI$3,$C$16,$C$17,$C$18,$C$19,$C$20,$C$21,$C$22,$C$26,$C$27,$D$15,$D$16,$D$17,$D$18,$D$19,$D$20,$D$21,$D$22,$D$23,$D$24,$D$25,$D$26,$D$27,$C$8,$C$9,$C$10,$D$11,$C$12),"")</f>
        <v>431738.08769752999</v>
      </c>
      <c r="AJ13" s="255">
        <f ca="1">IF(NOW(),_xll.mirSwapPV($C$3,$C$4,$C$6,$G13,$C$7,$I13+AJ$3,$C$16,$C$17,$C$18,$C$19,$C$20,$C$21,$C$22,$C$26,$C$27,$D$15,$D$16,$D$17,$D$18,$D$19,$D$20,$D$21,$D$22,$D$23,$D$24,$D$25,$D$26,$D$27,$C$8,$C$9,$C$10,$D$11,$C$12),"")</f>
        <v>323803.56577314745</v>
      </c>
      <c r="AK13" s="255">
        <f ca="1">IF(NOW(),_xll.mirSwapPV($C$3,$C$4,$C$6,$G13,$C$7,$I13+AK$3,$C$16,$C$17,$C$18,$C$19,$C$20,$C$21,$C$22,$C$26,$C$27,$D$15,$D$16,$D$17,$D$18,$D$19,$D$20,$D$21,$D$22,$D$23,$D$24,$D$25,$D$26,$D$27,$C$8,$C$9,$C$10,$D$11,$C$12),"")</f>
        <v>215869.04384876497</v>
      </c>
      <c r="AL13" s="255">
        <f ca="1">IF(NOW(),_xll.mirSwapPV($C$3,$C$4,$C$6,$G13,$C$7,$I13+AL$3,$C$16,$C$17,$C$18,$C$19,$C$20,$C$21,$C$22,$C$26,$C$27,$D$15,$D$16,$D$17,$D$18,$D$19,$D$20,$D$21,$D$22,$D$23,$D$24,$D$25,$D$26,$D$27,$C$8,$C$9,$C$10,$D$11,$C$12),"")</f>
        <v>107934.5219243825</v>
      </c>
      <c r="AM13" s="255">
        <f ca="1">IF(NOW(),_xll.mirSwapPV($C$3,$C$4,$C$6,$G13,$C$7,$I13+AM$3,$C$16,$C$17,$C$18,$C$19,$C$20,$C$21,$C$22,$C$26,$C$27,$D$15,$D$16,$D$17,$D$18,$D$19,$D$20,$D$21,$D$22,$D$23,$D$24,$D$25,$D$26,$D$27,$C$8,$C$9,$C$10,$D$11,$C$12),"")</f>
        <v>5.5511151231257827E-11</v>
      </c>
      <c r="AN13" s="255">
        <f ca="1">IF(NOW(),_xll.mirSwapPV($C$3,$C$4,$C$6,$G13,$C$7,$I13+AN$3,$C$16,$C$17,$C$18,$C$19,$C$20,$C$21,$C$22,$C$26,$C$27,$D$15,$D$16,$D$17,$D$18,$D$19,$D$20,$D$21,$D$22,$D$23,$D$24,$D$25,$D$26,$D$27,$C$8,$C$9,$C$10,$D$11,$C$12),"")</f>
        <v>-107934.52192438241</v>
      </c>
      <c r="AO13" s="255">
        <f ca="1">IF(NOW(),_xll.mirSwapPV($C$3,$C$4,$C$6,$G13,$C$7,$I13+AO$3,$C$16,$C$17,$C$18,$C$19,$C$20,$C$21,$C$22,$C$26,$C$27,$D$15,$D$16,$D$17,$D$18,$D$19,$D$20,$D$21,$D$22,$D$23,$D$24,$D$25,$D$26,$D$27,$C$8,$C$9,$C$10,$D$11,$C$12),"")</f>
        <v>-215869.04384876482</v>
      </c>
      <c r="AP13" s="255">
        <f ca="1">IF(NOW(),_xll.mirSwapPV($C$3,$C$4,$C$6,$G13,$C$7,$I13+AP$3,$C$16,$C$17,$C$18,$C$19,$C$20,$C$21,$C$22,$C$26,$C$27,$D$15,$D$16,$D$17,$D$18,$D$19,$D$20,$D$21,$D$22,$D$23,$D$24,$D$25,$D$26,$D$27,$C$8,$C$9,$C$10,$D$11,$C$12),"")</f>
        <v>-323803.56577314733</v>
      </c>
      <c r="AQ13" s="255">
        <f ca="1">IF(NOW(),_xll.mirSwapPV($C$3,$C$4,$C$6,$G13,$C$7,$I13+AQ$3,$C$16,$C$17,$C$18,$C$19,$C$20,$C$21,$C$22,$C$26,$C$27,$D$15,$D$16,$D$17,$D$18,$D$19,$D$20,$D$21,$D$22,$D$23,$D$24,$D$25,$D$26,$D$27,$C$8,$C$9,$C$10,$D$11,$C$12),"")</f>
        <v>-431738.08769752982</v>
      </c>
      <c r="AR13" s="255">
        <f ca="1">IF(NOW(),_xll.mirSwapPV($C$3,$C$4,$C$6,$G13,$C$7,$I13+AR$3,$C$16,$C$17,$C$18,$C$19,$C$20,$C$21,$C$22,$C$26,$C$27,$D$15,$D$16,$D$17,$D$18,$D$19,$D$20,$D$21,$D$22,$D$23,$D$24,$D$25,$D$26,$D$27,$C$8,$C$9,$C$10,$D$11,$C$12),"")</f>
        <v>-539672.60962191224</v>
      </c>
    </row>
    <row r="14" spans="2:44">
      <c r="B14" t="s">
        <v>439</v>
      </c>
      <c r="C14" s="112" t="s">
        <v>440</v>
      </c>
      <c r="D14" s="112" t="s">
        <v>441</v>
      </c>
      <c r="F14" s="224" t="s">
        <v>24</v>
      </c>
      <c r="G14" s="227">
        <f>_xll.mirGetDate($C$6,F14)</f>
        <v>47677</v>
      </c>
      <c r="H14" s="228">
        <f>'GBP Curve Config'!AO19</f>
        <v>2.4550000000000002E-2</v>
      </c>
      <c r="I14" s="229">
        <f ca="1">IF(NOW(),_xll.mirGetParRate4($C$6,F14,$C$7,$C$16,$C$17,$C$18,$C$19,$C$20,$C$21,$C$22,$C$26,$C$27,$D$16,$D$17,$D$18,$D$19,$D$20,$D$21,$D$22,$D$23,$D$24,$D$25,$D$26,$D$27,$C$8,$C$9,$C$10,$C$11,$C$12),"")</f>
        <v>2.4550000000759006E-2</v>
      </c>
      <c r="J14" s="229">
        <f t="shared" ca="1" si="4"/>
        <v>7.5900397078498827E-13</v>
      </c>
      <c r="K14" s="230">
        <f t="shared" ca="1" si="5"/>
        <v>7.5900397078498827E-9</v>
      </c>
      <c r="L14" s="230" t="s">
        <v>12</v>
      </c>
      <c r="M14" s="224" t="s">
        <v>24</v>
      </c>
      <c r="N14" s="255">
        <f ca="1">IF(NOW(),_xll.mirSwapPV($C$3,$C$4,$C$6,$G14,$C$7,$I14+N$3,$C$16,$C$17,$C$18,$C$19,$C$20,$C$21,$C$22,$C$26,$C$27,$D$15,$D$16,$D$17,$D$18,$D$19,$D$20,$D$21,$D$22,$D$23,$D$24,$D$25,$D$26,$D$27,$C$8,$C$9,$C$10,$C$11,$C$12),"")</f>
        <v>651221.71456541598</v>
      </c>
      <c r="O14" s="255">
        <f ca="1">IF(NOW(),_xll.mirSwapPV($C$3,$C$4,$C$6,$G14,$C$7,$I14+O$3,$C$16,$C$17,$C$18,$C$19,$C$20,$C$21,$C$22,$C$26,$C$27,$D$15,$D$16,$D$17,$D$18,$D$19,$D$20,$D$21,$D$22,$D$23,$D$24,$D$25,$D$26,$D$27,$C$8,$C$9,$C$10,$C$11,$C$12),"")</f>
        <v>520977.37165233272</v>
      </c>
      <c r="P14" s="255">
        <f ca="1">IF(NOW(),_xll.mirSwapPV($C$3,$C$4,$C$6,$G14,$C$7,$I14+P$3,$C$16,$C$17,$C$18,$C$19,$C$20,$C$21,$C$22,$C$26,$C$27,$D$15,$D$16,$D$17,$D$18,$D$19,$D$20,$D$21,$D$22,$D$23,$D$24,$D$25,$D$26,$D$27,$C$8,$C$9,$C$10,$C$11,$C$12),"")</f>
        <v>390733.02873924951</v>
      </c>
      <c r="Q14" s="255">
        <f ca="1">IF(NOW(),_xll.mirSwapPV($C$3,$C$4,$C$6,$G14,$C$7,$I14+Q$3,$C$16,$C$17,$C$18,$C$19,$C$20,$C$21,$C$22,$C$26,$C$27,$D$15,$D$16,$D$17,$D$18,$D$19,$D$20,$D$21,$D$22,$D$23,$D$24,$D$25,$D$26,$D$27,$C$8,$C$9,$C$10,$C$11,$C$12),"")</f>
        <v>260488.68582616636</v>
      </c>
      <c r="R14" s="255">
        <f ca="1">IF(NOW(),_xll.mirSwapPV($C$3,$C$4,$C$6,$G14,$C$7,$I14+R$3,$C$16,$C$17,$C$18,$C$19,$C$20,$C$21,$C$22,$C$26,$C$27,$D$15,$D$16,$D$17,$D$18,$D$19,$D$20,$D$21,$D$22,$D$23,$D$24,$D$25,$D$26,$D$27,$C$8,$C$9,$C$10,$C$11,$C$12),"")</f>
        <v>130244.34291308315</v>
      </c>
      <c r="S14" s="255">
        <f ca="1">IF(NOW(),_xll.mirSwapPV($C$3,$C$4,$C$6,$G14,$C$7,$I14+S$3,$C$16,$C$17,$C$18,$C$19,$C$20,$C$21,$C$22,$C$26,$C$27,$D$15,$D$16,$D$17,$D$18,$D$19,$D$20,$D$21,$D$22,$D$23,$D$24,$D$25,$D$26,$D$27,$C$8,$C$9,$C$10,$C$11,$C$12),"")</f>
        <v>0</v>
      </c>
      <c r="T14" s="255">
        <f ca="1">IF(NOW(),_xll.mirSwapPV($C$3,$C$4,$C$6,$G14,$C$7,$I14+T$3,$C$16,$C$17,$C$18,$C$19,$C$20,$C$21,$C$22,$C$26,$C$27,$D$15,$D$16,$D$17,$D$18,$D$19,$D$20,$D$21,$D$22,$D$23,$D$24,$D$25,$D$26,$D$27,$C$8,$C$9,$C$10,$C$11,$C$12),"")</f>
        <v>-130244.34291308318</v>
      </c>
      <c r="U14" s="255">
        <f ca="1">IF(NOW(),_xll.mirSwapPV($C$3,$C$4,$C$6,$G14,$C$7,$I14+U$3,$C$16,$C$17,$C$18,$C$19,$C$20,$C$21,$C$22,$C$26,$C$27,$D$15,$D$16,$D$17,$D$18,$D$19,$D$20,$D$21,$D$22,$D$23,$D$24,$D$25,$D$26,$D$27,$C$8,$C$9,$C$10,$C$11,$C$12),"")</f>
        <v>-260488.68582616642</v>
      </c>
      <c r="V14" s="255">
        <f ca="1">IF(NOW(),_xll.mirSwapPV($C$3,$C$4,$C$6,$G14,$C$7,$I14+V$3,$C$16,$C$17,$C$18,$C$19,$C$20,$C$21,$C$22,$C$26,$C$27,$D$15,$D$16,$D$17,$D$18,$D$19,$D$20,$D$21,$D$22,$D$23,$D$24,$D$25,$D$26,$D$27,$C$8,$C$9,$C$10,$C$11,$C$12),"")</f>
        <v>-390733.02873924945</v>
      </c>
      <c r="W14" s="255">
        <f ca="1">IF(NOW(),_xll.mirSwapPV($C$3,$C$4,$C$6,$G14,$C$7,$I14+W$3,$C$16,$C$17,$C$18,$C$19,$C$20,$C$21,$C$22,$C$26,$C$27,$D$15,$D$16,$D$17,$D$18,$D$19,$D$20,$D$21,$D$22,$D$23,$D$24,$D$25,$D$26,$D$27,$C$8,$C$9,$C$10,$C$11,$C$12),"")</f>
        <v>-520977.37165233248</v>
      </c>
      <c r="X14" s="255">
        <f ca="1">IF(NOW(),_xll.mirSwapPV($C$3,$C$4,$C$6,$G14,$C$7,$I14+X$3,$C$16,$C$17,$C$18,$C$19,$C$20,$C$21,$C$22,$C$26,$C$27,$D$15,$D$16,$D$17,$D$18,$D$19,$D$20,$D$21,$D$22,$D$23,$D$24,$D$25,$D$26,$D$27,$C$8,$C$9,$C$10,$C$11,$C$12),"")</f>
        <v>-651221.71456541575</v>
      </c>
      <c r="Y14" s="230" t="s">
        <v>12</v>
      </c>
      <c r="Z14" s="224" t="s">
        <v>24</v>
      </c>
      <c r="AA14" s="227">
        <f>_xll.mirGetDate($C$6,Z14)</f>
        <v>47677</v>
      </c>
      <c r="AB14" s="228">
        <f>'GBP Curve Config'!$AO19</f>
        <v>2.4550000000000002E-2</v>
      </c>
      <c r="AC14" s="229">
        <f ca="1">IF(NOW(),_xll.mirGetParRate4($C$6,Z14,$C$7,$C$16,$C$17,$C$18,$C$19,$C$20,$C$21,$C$22,$C$26,$C$27,$D$16,$D$17,$D$18,$D$19,$D$20,$D$21,$D$22,$D$23,$D$24,$D$25,$D$26,$D$27,$C$8,$C$9,$C$10,$D$11,$C$12),"")</f>
        <v>2.4550000000759003E-2</v>
      </c>
      <c r="AD14" s="229">
        <f t="shared" ca="1" si="2"/>
        <v>7.5900050133803632E-13</v>
      </c>
      <c r="AE14" s="230">
        <f t="shared" ca="1" si="3"/>
        <v>7.5900050133803632E-9</v>
      </c>
      <c r="AG14" s="224" t="s">
        <v>24</v>
      </c>
      <c r="AH14" s="255">
        <f ca="1">IF(NOW(),_xll.mirSwapPV($C$3,$C$4,$C$6,$G14,$C$7,$I14+AH$3,$C$16,$C$17,$C$18,$C$19,$C$20,$C$21,$C$22,$C$26,$C$27,$D$15,$D$16,$D$17,$D$18,$D$19,$D$20,$D$21,$D$22,$D$23,$D$24,$D$25,$D$26,$D$27,$C$8,$C$9,$C$10,$D$11,$C$12),"")</f>
        <v>651221.71456541587</v>
      </c>
      <c r="AI14" s="255">
        <f ca="1">IF(NOW(),_xll.mirSwapPV($C$3,$C$4,$C$6,$G14,$C$7,$I14+AI$3,$C$16,$C$17,$C$18,$C$19,$C$20,$C$21,$C$22,$C$26,$C$27,$D$15,$D$16,$D$17,$D$18,$D$19,$D$20,$D$21,$D$22,$D$23,$D$24,$D$25,$D$26,$D$27,$C$8,$C$9,$C$10,$D$11,$C$12),"")</f>
        <v>520977.37165233272</v>
      </c>
      <c r="AJ14" s="255">
        <f ca="1">IF(NOW(),_xll.mirSwapPV($C$3,$C$4,$C$6,$G14,$C$7,$I14+AJ$3,$C$16,$C$17,$C$18,$C$19,$C$20,$C$21,$C$22,$C$26,$C$27,$D$15,$D$16,$D$17,$D$18,$D$19,$D$20,$D$21,$D$22,$D$23,$D$24,$D$25,$D$26,$D$27,$C$8,$C$9,$C$10,$D$11,$C$12),"")</f>
        <v>390733.02873924945</v>
      </c>
      <c r="AK14" s="255">
        <f ca="1">IF(NOW(),_xll.mirSwapPV($C$3,$C$4,$C$6,$G14,$C$7,$I14+AK$3,$C$16,$C$17,$C$18,$C$19,$C$20,$C$21,$C$22,$C$26,$C$27,$D$15,$D$16,$D$17,$D$18,$D$19,$D$20,$D$21,$D$22,$D$23,$D$24,$D$25,$D$26,$D$27,$C$8,$C$9,$C$10,$D$11,$C$12),"")</f>
        <v>260488.68582616624</v>
      </c>
      <c r="AL14" s="255">
        <f ca="1">IF(NOW(),_xll.mirSwapPV($C$3,$C$4,$C$6,$G14,$C$7,$I14+AL$3,$C$16,$C$17,$C$18,$C$19,$C$20,$C$21,$C$22,$C$26,$C$27,$D$15,$D$16,$D$17,$D$18,$D$19,$D$20,$D$21,$D$22,$D$23,$D$24,$D$25,$D$26,$D$27,$C$8,$C$9,$C$10,$D$11,$C$12),"")</f>
        <v>130244.34291308309</v>
      </c>
      <c r="AM14" s="255">
        <f ca="1">IF(NOW(),_xll.mirSwapPV($C$3,$C$4,$C$6,$G14,$C$7,$I14+AM$3,$C$16,$C$17,$C$18,$C$19,$C$20,$C$21,$C$22,$C$26,$C$27,$D$15,$D$16,$D$17,$D$18,$D$19,$D$20,$D$21,$D$22,$D$23,$D$24,$D$25,$D$26,$D$27,$C$8,$C$9,$C$10,$D$11,$C$12),"")</f>
        <v>-5.5511151231257827E-11</v>
      </c>
      <c r="AN14" s="255">
        <f ca="1">IF(NOW(),_xll.mirSwapPV($C$3,$C$4,$C$6,$G14,$C$7,$I14+AN$3,$C$16,$C$17,$C$18,$C$19,$C$20,$C$21,$C$22,$C$26,$C$27,$D$15,$D$16,$D$17,$D$18,$D$19,$D$20,$D$21,$D$22,$D$23,$D$24,$D$25,$D$26,$D$27,$C$8,$C$9,$C$10,$D$11,$C$12),"")</f>
        <v>-130244.34291308324</v>
      </c>
      <c r="AO14" s="255">
        <f ca="1">IF(NOW(),_xll.mirSwapPV($C$3,$C$4,$C$6,$G14,$C$7,$I14+AO$3,$C$16,$C$17,$C$18,$C$19,$C$20,$C$21,$C$22,$C$26,$C$27,$D$15,$D$16,$D$17,$D$18,$D$19,$D$20,$D$21,$D$22,$D$23,$D$24,$D$25,$D$26,$D$27,$C$8,$C$9,$C$10,$D$11,$C$12),"")</f>
        <v>-260488.68582616647</v>
      </c>
      <c r="AP14" s="255">
        <f ca="1">IF(NOW(),_xll.mirSwapPV($C$3,$C$4,$C$6,$G14,$C$7,$I14+AP$3,$C$16,$C$17,$C$18,$C$19,$C$20,$C$21,$C$22,$C$26,$C$27,$D$15,$D$16,$D$17,$D$18,$D$19,$D$20,$D$21,$D$22,$D$23,$D$24,$D$25,$D$26,$D$27,$C$8,$C$9,$C$10,$D$11,$C$12),"")</f>
        <v>-390733.02873924951</v>
      </c>
      <c r="AQ14" s="255">
        <f ca="1">IF(NOW(),_xll.mirSwapPV($C$3,$C$4,$C$6,$G14,$C$7,$I14+AQ$3,$C$16,$C$17,$C$18,$C$19,$C$20,$C$21,$C$22,$C$26,$C$27,$D$15,$D$16,$D$17,$D$18,$D$19,$D$20,$D$21,$D$22,$D$23,$D$24,$D$25,$D$26,$D$27,$C$8,$C$9,$C$10,$D$11,$C$12),"")</f>
        <v>-520977.3716523326</v>
      </c>
      <c r="AR14" s="255">
        <f ca="1">IF(NOW(),_xll.mirSwapPV($C$3,$C$4,$C$6,$G14,$C$7,$I14+AR$3,$C$16,$C$17,$C$18,$C$19,$C$20,$C$21,$C$22,$C$26,$C$27,$D$15,$D$16,$D$17,$D$18,$D$19,$D$20,$D$21,$D$22,$D$23,$D$24,$D$25,$D$26,$D$27,$C$8,$C$9,$C$10,$D$11,$C$12),"")</f>
        <v>-651221.71456541587</v>
      </c>
    </row>
    <row r="15" spans="2:44">
      <c r="B15" s="221" t="s">
        <v>442</v>
      </c>
      <c r="C15" s="238">
        <v>0</v>
      </c>
      <c r="D15" s="239">
        <v>0</v>
      </c>
      <c r="F15" s="224" t="s">
        <v>20</v>
      </c>
      <c r="G15" s="227">
        <f>_xll.mirGetDate($C$6,F15)</f>
        <v>49503</v>
      </c>
      <c r="H15" s="228">
        <f>'GBP Curve Config'!AO20</f>
        <v>2.5075E-2</v>
      </c>
      <c r="I15" s="229">
        <f ca="1">IF(NOW(),_xll.mirGetParRate4($C$6,F15,$C$7,$C$16,$C$17,$C$18,$C$19,$C$20,$C$21,$C$22,$C$26,$C$27,$D$16,$D$17,$D$18,$D$19,$D$20,$D$21,$D$22,$D$23,$D$24,$D$25,$D$26,$D$27,$C$8,$C$9,$C$10,$C$11,$C$12),"")</f>
        <v>2.5075000000688252E-2</v>
      </c>
      <c r="J15" s="229">
        <f t="shared" ca="1" si="4"/>
        <v>6.8825153909379821E-13</v>
      </c>
      <c r="K15" s="230">
        <f t="shared" ca="1" si="5"/>
        <v>6.8825153909379821E-9</v>
      </c>
      <c r="L15" s="230" t="s">
        <v>12</v>
      </c>
      <c r="M15" s="224" t="s">
        <v>20</v>
      </c>
      <c r="N15" s="255">
        <f ca="1">IF(NOW(),_xll.mirSwapPV($C$3,$C$4,$C$6,$G15,$C$7,$I15+N$3,$C$16,$C$17,$C$18,$C$19,$C$20,$C$21,$C$22,$C$26,$C$27,$D$15,$D$16,$D$17,$D$18,$D$19,$D$20,$D$21,$D$22,$D$23,$D$24,$D$25,$D$26,$D$27,$C$8,$C$9,$C$10,$C$11,$C$12),"")</f>
        <v>817694.6631231932</v>
      </c>
      <c r="O15" s="255">
        <f ca="1">IF(NOW(),_xll.mirSwapPV($C$3,$C$4,$C$6,$G15,$C$7,$I15+O$3,$C$16,$C$17,$C$18,$C$19,$C$20,$C$21,$C$22,$C$26,$C$27,$D$15,$D$16,$D$17,$D$18,$D$19,$D$20,$D$21,$D$22,$D$23,$D$24,$D$25,$D$26,$D$27,$C$8,$C$9,$C$10,$C$11,$C$12),"")</f>
        <v>654155.73049855453</v>
      </c>
      <c r="P15" s="255">
        <f ca="1">IF(NOW(),_xll.mirSwapPV($C$3,$C$4,$C$6,$G15,$C$7,$I15+P$3,$C$16,$C$17,$C$18,$C$19,$C$20,$C$21,$C$22,$C$26,$C$27,$D$15,$D$16,$D$17,$D$18,$D$19,$D$20,$D$21,$D$22,$D$23,$D$24,$D$25,$D$26,$D$27,$C$8,$C$9,$C$10,$C$11,$C$12),"")</f>
        <v>490616.79787391587</v>
      </c>
      <c r="Q15" s="255">
        <f ca="1">IF(NOW(),_xll.mirSwapPV($C$3,$C$4,$C$6,$G15,$C$7,$I15+Q$3,$C$16,$C$17,$C$18,$C$19,$C$20,$C$21,$C$22,$C$26,$C$27,$D$15,$D$16,$D$17,$D$18,$D$19,$D$20,$D$21,$D$22,$D$23,$D$24,$D$25,$D$26,$D$27,$C$8,$C$9,$C$10,$C$11,$C$12),"")</f>
        <v>327077.86524927715</v>
      </c>
      <c r="R15" s="255">
        <f ca="1">IF(NOW(),_xll.mirSwapPV($C$3,$C$4,$C$6,$G15,$C$7,$I15+R$3,$C$16,$C$17,$C$18,$C$19,$C$20,$C$21,$C$22,$C$26,$C$27,$D$15,$D$16,$D$17,$D$18,$D$19,$D$20,$D$21,$D$22,$D$23,$D$24,$D$25,$D$26,$D$27,$C$8,$C$9,$C$10,$C$11,$C$12),"")</f>
        <v>163538.93262463858</v>
      </c>
      <c r="S15" s="255">
        <f ca="1">IF(NOW(),_xll.mirSwapPV($C$3,$C$4,$C$6,$G15,$C$7,$I15+S$3,$C$16,$C$17,$C$18,$C$19,$C$20,$C$21,$C$22,$C$26,$C$27,$D$15,$D$16,$D$17,$D$18,$D$19,$D$20,$D$21,$D$22,$D$23,$D$24,$D$25,$D$26,$D$27,$C$8,$C$9,$C$10,$C$11,$C$12),"")</f>
        <v>0</v>
      </c>
      <c r="T15" s="255">
        <f ca="1">IF(NOW(),_xll.mirSwapPV($C$3,$C$4,$C$6,$G15,$C$7,$I15+T$3,$C$16,$C$17,$C$18,$C$19,$C$20,$C$21,$C$22,$C$26,$C$27,$D$15,$D$16,$D$17,$D$18,$D$19,$D$20,$D$21,$D$22,$D$23,$D$24,$D$25,$D$26,$D$27,$C$8,$C$9,$C$10,$C$11,$C$12),"")</f>
        <v>-163538.93262463863</v>
      </c>
      <c r="U15" s="255">
        <f ca="1">IF(NOW(),_xll.mirSwapPV($C$3,$C$4,$C$6,$G15,$C$7,$I15+U$3,$C$16,$C$17,$C$18,$C$19,$C$20,$C$21,$C$22,$C$26,$C$27,$D$15,$D$16,$D$17,$D$18,$D$19,$D$20,$D$21,$D$22,$D$23,$D$24,$D$25,$D$26,$D$27,$C$8,$C$9,$C$10,$C$11,$C$12),"")</f>
        <v>-327077.86524927733</v>
      </c>
      <c r="V15" s="255">
        <f ca="1">IF(NOW(),_xll.mirSwapPV($C$3,$C$4,$C$6,$G15,$C$7,$I15+V$3,$C$16,$C$17,$C$18,$C$19,$C$20,$C$21,$C$22,$C$26,$C$27,$D$15,$D$16,$D$17,$D$18,$D$19,$D$20,$D$21,$D$22,$D$23,$D$24,$D$25,$D$26,$D$27,$C$8,$C$9,$C$10,$C$11,$C$12),"")</f>
        <v>-490616.79787391593</v>
      </c>
      <c r="W15" s="255">
        <f ca="1">IF(NOW(),_xll.mirSwapPV($C$3,$C$4,$C$6,$G15,$C$7,$I15+W$3,$C$16,$C$17,$C$18,$C$19,$C$20,$C$21,$C$22,$C$26,$C$27,$D$15,$D$16,$D$17,$D$18,$D$19,$D$20,$D$21,$D$22,$D$23,$D$24,$D$25,$D$26,$D$27,$C$8,$C$9,$C$10,$C$11,$C$12),"")</f>
        <v>-654155.73049855453</v>
      </c>
      <c r="X15" s="255">
        <f ca="1">IF(NOW(),_xll.mirSwapPV($C$3,$C$4,$C$6,$G15,$C$7,$I15+X$3,$C$16,$C$17,$C$18,$C$19,$C$20,$C$21,$C$22,$C$26,$C$27,$D$15,$D$16,$D$17,$D$18,$D$19,$D$20,$D$21,$D$22,$D$23,$D$24,$D$25,$D$26,$D$27,$C$8,$C$9,$C$10,$C$11,$C$12),"")</f>
        <v>-817694.66312319343</v>
      </c>
      <c r="Y15" s="230" t="s">
        <v>12</v>
      </c>
      <c r="Z15" s="224" t="s">
        <v>20</v>
      </c>
      <c r="AA15" s="227">
        <f>_xll.mirGetDate($C$6,Z15)</f>
        <v>49503</v>
      </c>
      <c r="AB15" s="228">
        <f>'GBP Curve Config'!$AO20</f>
        <v>2.5075E-2</v>
      </c>
      <c r="AC15" s="229">
        <f ca="1">IF(NOW(),_xll.mirGetParRate4($C$6,Z15,$C$7,$C$16,$C$17,$C$18,$C$19,$C$20,$C$21,$C$22,$C$26,$C$27,$D$16,$D$17,$D$18,$D$19,$D$20,$D$21,$D$22,$D$23,$D$24,$D$25,$D$26,$D$27,$C$8,$C$9,$C$10,$D$11,$C$12),"")</f>
        <v>2.5075000000688245E-2</v>
      </c>
      <c r="AD15" s="229">
        <f t="shared" ca="1" si="2"/>
        <v>6.8824460019989431E-13</v>
      </c>
      <c r="AE15" s="230">
        <f t="shared" ca="1" si="3"/>
        <v>6.8824460019989431E-9</v>
      </c>
      <c r="AG15" s="224" t="s">
        <v>20</v>
      </c>
      <c r="AH15" s="255">
        <f ca="1">IF(NOW(),_xll.mirSwapPV($C$3,$C$4,$C$6,$G15,$C$7,$I15+AH$3,$C$16,$C$17,$C$18,$C$19,$C$20,$C$21,$C$22,$C$26,$C$27,$D$15,$D$16,$D$17,$D$18,$D$19,$D$20,$D$21,$D$22,$D$23,$D$24,$D$25,$D$26,$D$27,$C$8,$C$9,$C$10,$D$11,$C$12),"")</f>
        <v>817694.66312319308</v>
      </c>
      <c r="AI15" s="255">
        <f ca="1">IF(NOW(),_xll.mirSwapPV($C$3,$C$4,$C$6,$G15,$C$7,$I15+AI$3,$C$16,$C$17,$C$18,$C$19,$C$20,$C$21,$C$22,$C$26,$C$27,$D$15,$D$16,$D$17,$D$18,$D$19,$D$20,$D$21,$D$22,$D$23,$D$24,$D$25,$D$26,$D$27,$C$8,$C$9,$C$10,$D$11,$C$12),"")</f>
        <v>654155.7304985543</v>
      </c>
      <c r="AJ15" s="255">
        <f ca="1">IF(NOW(),_xll.mirSwapPV($C$3,$C$4,$C$6,$G15,$C$7,$I15+AJ$3,$C$16,$C$17,$C$18,$C$19,$C$20,$C$21,$C$22,$C$26,$C$27,$D$15,$D$16,$D$17,$D$18,$D$19,$D$20,$D$21,$D$22,$D$23,$D$24,$D$25,$D$26,$D$27,$C$8,$C$9,$C$10,$D$11,$C$12),"")</f>
        <v>490616.79787391576</v>
      </c>
      <c r="AK15" s="255">
        <f ca="1">IF(NOW(),_xll.mirSwapPV($C$3,$C$4,$C$6,$G15,$C$7,$I15+AK$3,$C$16,$C$17,$C$18,$C$19,$C$20,$C$21,$C$22,$C$26,$C$27,$D$15,$D$16,$D$17,$D$18,$D$19,$D$20,$D$21,$D$22,$D$23,$D$24,$D$25,$D$26,$D$27,$C$8,$C$9,$C$10,$D$11,$C$12),"")</f>
        <v>327077.86524927709</v>
      </c>
      <c r="AL15" s="255">
        <f ca="1">IF(NOW(),_xll.mirSwapPV($C$3,$C$4,$C$6,$G15,$C$7,$I15+AL$3,$C$16,$C$17,$C$18,$C$19,$C$20,$C$21,$C$22,$C$26,$C$27,$D$15,$D$16,$D$17,$D$18,$D$19,$D$20,$D$21,$D$22,$D$23,$D$24,$D$25,$D$26,$D$27,$C$8,$C$9,$C$10,$D$11,$C$12),"")</f>
        <v>163538.93262463846</v>
      </c>
      <c r="AM15" s="255">
        <f ca="1">IF(NOW(),_xll.mirSwapPV($C$3,$C$4,$C$6,$G15,$C$7,$I15+AM$3,$C$16,$C$17,$C$18,$C$19,$C$20,$C$21,$C$22,$C$26,$C$27,$D$15,$D$16,$D$17,$D$18,$D$19,$D$20,$D$21,$D$22,$D$23,$D$24,$D$25,$D$26,$D$27,$C$8,$C$9,$C$10,$D$11,$C$12),"")</f>
        <v>-1.1102230246251565E-10</v>
      </c>
      <c r="AN15" s="255">
        <f ca="1">IF(NOW(),_xll.mirSwapPV($C$3,$C$4,$C$6,$G15,$C$7,$I15+AN$3,$C$16,$C$17,$C$18,$C$19,$C$20,$C$21,$C$22,$C$26,$C$27,$D$15,$D$16,$D$17,$D$18,$D$19,$D$20,$D$21,$D$22,$D$23,$D$24,$D$25,$D$26,$D$27,$C$8,$C$9,$C$10,$D$11,$C$12),"")</f>
        <v>-163538.93262463875</v>
      </c>
      <c r="AO15" s="255">
        <f ca="1">IF(NOW(),_xll.mirSwapPV($C$3,$C$4,$C$6,$G15,$C$7,$I15+AO$3,$C$16,$C$17,$C$18,$C$19,$C$20,$C$21,$C$22,$C$26,$C$27,$D$15,$D$16,$D$17,$D$18,$D$19,$D$20,$D$21,$D$22,$D$23,$D$24,$D$25,$D$26,$D$27,$C$8,$C$9,$C$10,$D$11,$C$12),"")</f>
        <v>-327077.86524927744</v>
      </c>
      <c r="AP15" s="255">
        <f ca="1">IF(NOW(),_xll.mirSwapPV($C$3,$C$4,$C$6,$G15,$C$7,$I15+AP$3,$C$16,$C$17,$C$18,$C$19,$C$20,$C$21,$C$22,$C$26,$C$27,$D$15,$D$16,$D$17,$D$18,$D$19,$D$20,$D$21,$D$22,$D$23,$D$24,$D$25,$D$26,$D$27,$C$8,$C$9,$C$10,$D$11,$C$12),"")</f>
        <v>-490616.79787391605</v>
      </c>
      <c r="AQ15" s="255">
        <f ca="1">IF(NOW(),_xll.mirSwapPV($C$3,$C$4,$C$6,$G15,$C$7,$I15+AQ$3,$C$16,$C$17,$C$18,$C$19,$C$20,$C$21,$C$22,$C$26,$C$27,$D$15,$D$16,$D$17,$D$18,$D$19,$D$20,$D$21,$D$22,$D$23,$D$24,$D$25,$D$26,$D$27,$C$8,$C$9,$C$10,$D$11,$C$12),"")</f>
        <v>-654155.73049855453</v>
      </c>
      <c r="AR15" s="255">
        <f ca="1">IF(NOW(),_xll.mirSwapPV($C$3,$C$4,$C$6,$G15,$C$7,$I15+AR$3,$C$16,$C$17,$C$18,$C$19,$C$20,$C$21,$C$22,$C$26,$C$27,$D$15,$D$16,$D$17,$D$18,$D$19,$D$20,$D$21,$D$22,$D$23,$D$24,$D$25,$D$26,$D$27,$C$8,$C$9,$C$10,$D$11,$C$12),"")</f>
        <v>-817694.66312319343</v>
      </c>
    </row>
    <row r="16" spans="2:44">
      <c r="B16" s="234" t="s">
        <v>122</v>
      </c>
      <c r="C16" s="240" t="s">
        <v>78</v>
      </c>
      <c r="D16" s="240" t="s">
        <v>78</v>
      </c>
      <c r="E16" s="227"/>
      <c r="F16" s="224" t="s">
        <v>18</v>
      </c>
      <c r="G16" s="227">
        <f>_xll.mirGetDate($C$6,F16)</f>
        <v>51330</v>
      </c>
      <c r="H16" s="228">
        <f>'GBP Curve Config'!AO21</f>
        <v>2.5049999999999999E-2</v>
      </c>
      <c r="I16" s="229">
        <f ca="1">IF(NOW(),_xll.mirGetParRate4($C$6,F16,$C$7,$C$16,$C$17,$C$18,$C$19,$C$20,$C$21,$C$22,$C$26,$C$27,$D$16,$D$17,$D$18,$D$19,$D$20,$D$21,$D$22,$D$23,$D$24,$D$25,$D$26,$D$27,$C$8,$C$9,$C$10,$C$11,$C$12),"")</f>
        <v>2.5050000000764999E-2</v>
      </c>
      <c r="J16" s="229">
        <f t="shared" ca="1" si="4"/>
        <v>7.6499917511796411E-13</v>
      </c>
      <c r="K16" s="230">
        <f t="shared" ca="1" si="5"/>
        <v>7.6499917511796411E-9</v>
      </c>
      <c r="L16" s="230" t="s">
        <v>12</v>
      </c>
      <c r="M16" s="224" t="s">
        <v>18</v>
      </c>
      <c r="N16" s="255">
        <f ca="1">IF(NOW(),_xll.mirSwapPV($C$3,$C$4,$C$6,$G16,$C$7,$I16+N$3,$C$16,$C$17,$C$18,$C$19,$C$20,$C$21,$C$22,$C$26,$C$27,$D$15,$D$16,$D$17,$D$18,$D$19,$D$20,$D$21,$D$22,$D$23,$D$24,$D$25,$D$26,$D$27,$C$8,$C$9,$C$10,$C$11,$C$12),"")</f>
        <v>964946.47158325405</v>
      </c>
      <c r="O16" s="255">
        <f ca="1">IF(NOW(),_xll.mirSwapPV($C$3,$C$4,$C$6,$G16,$C$7,$I16+O$3,$C$16,$C$17,$C$18,$C$19,$C$20,$C$21,$C$22,$C$26,$C$27,$D$15,$D$16,$D$17,$D$18,$D$19,$D$20,$D$21,$D$22,$D$23,$D$24,$D$25,$D$26,$D$27,$C$8,$C$9,$C$10,$C$11,$C$12),"")</f>
        <v>771957.17726660322</v>
      </c>
      <c r="P16" s="255">
        <f ca="1">IF(NOW(),_xll.mirSwapPV($C$3,$C$4,$C$6,$G16,$C$7,$I16+P$3,$C$16,$C$17,$C$18,$C$19,$C$20,$C$21,$C$22,$C$26,$C$27,$D$15,$D$16,$D$17,$D$18,$D$19,$D$20,$D$21,$D$22,$D$23,$D$24,$D$25,$D$26,$D$27,$C$8,$C$9,$C$10,$C$11,$C$12),"")</f>
        <v>578967.88294995239</v>
      </c>
      <c r="Q16" s="255">
        <f ca="1">IF(NOW(),_xll.mirSwapPV($C$3,$C$4,$C$6,$G16,$C$7,$I16+Q$3,$C$16,$C$17,$C$18,$C$19,$C$20,$C$21,$C$22,$C$26,$C$27,$D$15,$D$16,$D$17,$D$18,$D$19,$D$20,$D$21,$D$22,$D$23,$D$24,$D$25,$D$26,$D$27,$C$8,$C$9,$C$10,$C$11,$C$12),"")</f>
        <v>385978.58863330155</v>
      </c>
      <c r="R16" s="255">
        <f ca="1">IF(NOW(),_xll.mirSwapPV($C$3,$C$4,$C$6,$G16,$C$7,$I16+R$3,$C$16,$C$17,$C$18,$C$19,$C$20,$C$21,$C$22,$C$26,$C$27,$D$15,$D$16,$D$17,$D$18,$D$19,$D$20,$D$21,$D$22,$D$23,$D$24,$D$25,$D$26,$D$27,$C$8,$C$9,$C$10,$C$11,$C$12),"")</f>
        <v>192989.29431665075</v>
      </c>
      <c r="S16" s="255">
        <f ca="1">IF(NOW(),_xll.mirSwapPV($C$3,$C$4,$C$6,$G16,$C$7,$I16+S$3,$C$16,$C$17,$C$18,$C$19,$C$20,$C$21,$C$22,$C$26,$C$27,$D$15,$D$16,$D$17,$D$18,$D$19,$D$20,$D$21,$D$22,$D$23,$D$24,$D$25,$D$26,$D$27,$C$8,$C$9,$C$10,$C$11,$C$12),"")</f>
        <v>0</v>
      </c>
      <c r="T16" s="255">
        <f ca="1">IF(NOW(),_xll.mirSwapPV($C$3,$C$4,$C$6,$G16,$C$7,$I16+T$3,$C$16,$C$17,$C$18,$C$19,$C$20,$C$21,$C$22,$C$26,$C$27,$D$15,$D$16,$D$17,$D$18,$D$19,$D$20,$D$21,$D$22,$D$23,$D$24,$D$25,$D$26,$D$27,$C$8,$C$9,$C$10,$C$11,$C$12),"")</f>
        <v>-192989.29431665075</v>
      </c>
      <c r="U16" s="255">
        <f ca="1">IF(NOW(),_xll.mirSwapPV($C$3,$C$4,$C$6,$G16,$C$7,$I16+U$3,$C$16,$C$17,$C$18,$C$19,$C$20,$C$21,$C$22,$C$26,$C$27,$D$15,$D$16,$D$17,$D$18,$D$19,$D$20,$D$21,$D$22,$D$23,$D$24,$D$25,$D$26,$D$27,$C$8,$C$9,$C$10,$C$11,$C$12),"")</f>
        <v>-385978.58863330167</v>
      </c>
      <c r="V16" s="255">
        <f ca="1">IF(NOW(),_xll.mirSwapPV($C$3,$C$4,$C$6,$G16,$C$7,$I16+V$3,$C$16,$C$17,$C$18,$C$19,$C$20,$C$21,$C$22,$C$26,$C$27,$D$15,$D$16,$D$17,$D$18,$D$19,$D$20,$D$21,$D$22,$D$23,$D$24,$D$25,$D$26,$D$27,$C$8,$C$9,$C$10,$C$11,$C$12),"")</f>
        <v>-578967.8829499525</v>
      </c>
      <c r="W16" s="255">
        <f ca="1">IF(NOW(),_xll.mirSwapPV($C$3,$C$4,$C$6,$G16,$C$7,$I16+W$3,$C$16,$C$17,$C$18,$C$19,$C$20,$C$21,$C$22,$C$26,$C$27,$D$15,$D$16,$D$17,$D$18,$D$19,$D$20,$D$21,$D$22,$D$23,$D$24,$D$25,$D$26,$D$27,$C$8,$C$9,$C$10,$C$11,$C$12),"")</f>
        <v>-771957.17726660322</v>
      </c>
      <c r="X16" s="255">
        <f ca="1">IF(NOW(),_xll.mirSwapPV($C$3,$C$4,$C$6,$G16,$C$7,$I16+X$3,$C$16,$C$17,$C$18,$C$19,$C$20,$C$21,$C$22,$C$26,$C$27,$D$15,$D$16,$D$17,$D$18,$D$19,$D$20,$D$21,$D$22,$D$23,$D$24,$D$25,$D$26,$D$27,$C$8,$C$9,$C$10,$C$11,$C$12),"")</f>
        <v>-964946.47158325405</v>
      </c>
      <c r="Y16" s="230" t="s">
        <v>12</v>
      </c>
      <c r="Z16" s="224" t="s">
        <v>18</v>
      </c>
      <c r="AA16" s="227">
        <f>_xll.mirGetDate($C$6,Z16)</f>
        <v>51330</v>
      </c>
      <c r="AB16" s="228">
        <f>'GBP Curve Config'!$AO21</f>
        <v>2.5049999999999999E-2</v>
      </c>
      <c r="AC16" s="229">
        <f ca="1">IF(NOW(),_xll.mirGetParRate4($C$6,Z16,$C$7,$C$16,$C$17,$C$18,$C$19,$C$20,$C$21,$C$22,$C$26,$C$27,$D$16,$D$17,$D$18,$D$19,$D$20,$D$21,$D$22,$D$23,$D$24,$D$25,$D$26,$D$27,$C$8,$C$9,$C$10,$D$11,$C$12),"")</f>
        <v>2.5050000000764995E-2</v>
      </c>
      <c r="AD16" s="229">
        <f t="shared" ca="1" si="2"/>
        <v>7.6499570567101216E-13</v>
      </c>
      <c r="AE16" s="230">
        <f t="shared" ca="1" si="3"/>
        <v>7.6499570567101216E-9</v>
      </c>
      <c r="AG16" s="224" t="s">
        <v>18</v>
      </c>
      <c r="AH16" s="255">
        <f ca="1">IF(NOW(),_xll.mirSwapPV($C$3,$C$4,$C$6,$G16,$C$7,$I16+AH$3,$C$16,$C$17,$C$18,$C$19,$C$20,$C$21,$C$22,$C$26,$C$27,$D$15,$D$16,$D$17,$D$18,$D$19,$D$20,$D$21,$D$22,$D$23,$D$24,$D$25,$D$26,$D$27,$C$8,$C$9,$C$10,$D$11,$C$12),"")</f>
        <v>964946.47158325394</v>
      </c>
      <c r="AI16" s="255">
        <f ca="1">IF(NOW(),_xll.mirSwapPV($C$3,$C$4,$C$6,$G16,$C$7,$I16+AI$3,$C$16,$C$17,$C$18,$C$19,$C$20,$C$21,$C$22,$C$26,$C$27,$D$15,$D$16,$D$17,$D$18,$D$19,$D$20,$D$21,$D$22,$D$23,$D$24,$D$25,$D$26,$D$27,$C$8,$C$9,$C$10,$D$11,$C$12),"")</f>
        <v>771957.17726660322</v>
      </c>
      <c r="AJ16" s="255">
        <f ca="1">IF(NOW(),_xll.mirSwapPV($C$3,$C$4,$C$6,$G16,$C$7,$I16+AJ$3,$C$16,$C$17,$C$18,$C$19,$C$20,$C$21,$C$22,$C$26,$C$27,$D$15,$D$16,$D$17,$D$18,$D$19,$D$20,$D$21,$D$22,$D$23,$D$24,$D$25,$D$26,$D$27,$C$8,$C$9,$C$10,$D$11,$C$12),"")</f>
        <v>578967.88294995227</v>
      </c>
      <c r="AK16" s="255">
        <f ca="1">IF(NOW(),_xll.mirSwapPV($C$3,$C$4,$C$6,$G16,$C$7,$I16+AK$3,$C$16,$C$17,$C$18,$C$19,$C$20,$C$21,$C$22,$C$26,$C$27,$D$15,$D$16,$D$17,$D$18,$D$19,$D$20,$D$21,$D$22,$D$23,$D$24,$D$25,$D$26,$D$27,$C$8,$C$9,$C$10,$D$11,$C$12),"")</f>
        <v>385978.58863330144</v>
      </c>
      <c r="AL16" s="255">
        <f ca="1">IF(NOW(),_xll.mirSwapPV($C$3,$C$4,$C$6,$G16,$C$7,$I16+AL$3,$C$16,$C$17,$C$18,$C$19,$C$20,$C$21,$C$22,$C$26,$C$27,$D$15,$D$16,$D$17,$D$18,$D$19,$D$20,$D$21,$D$22,$D$23,$D$24,$D$25,$D$26,$D$27,$C$8,$C$9,$C$10,$D$11,$C$12),"")</f>
        <v>192989.29431665063</v>
      </c>
      <c r="AM16" s="255">
        <f ca="1">IF(NOW(),_xll.mirSwapPV($C$3,$C$4,$C$6,$G16,$C$7,$I16+AM$3,$C$16,$C$17,$C$18,$C$19,$C$20,$C$21,$C$22,$C$26,$C$27,$D$15,$D$16,$D$17,$D$18,$D$19,$D$20,$D$21,$D$22,$D$23,$D$24,$D$25,$D$26,$D$27,$C$8,$C$9,$C$10,$D$11,$C$12),"")</f>
        <v>-1.1102230246251565E-10</v>
      </c>
      <c r="AN16" s="255">
        <f ca="1">IF(NOW(),_xll.mirSwapPV($C$3,$C$4,$C$6,$G16,$C$7,$I16+AN$3,$C$16,$C$17,$C$18,$C$19,$C$20,$C$21,$C$22,$C$26,$C$27,$D$15,$D$16,$D$17,$D$18,$D$19,$D$20,$D$21,$D$22,$D$23,$D$24,$D$25,$D$26,$D$27,$C$8,$C$9,$C$10,$D$11,$C$12),"")</f>
        <v>-192989.29431665086</v>
      </c>
      <c r="AO16" s="255">
        <f ca="1">IF(NOW(),_xll.mirSwapPV($C$3,$C$4,$C$6,$G16,$C$7,$I16+AO$3,$C$16,$C$17,$C$18,$C$19,$C$20,$C$21,$C$22,$C$26,$C$27,$D$15,$D$16,$D$17,$D$18,$D$19,$D$20,$D$21,$D$22,$D$23,$D$24,$D$25,$D$26,$D$27,$C$8,$C$9,$C$10,$D$11,$C$12),"")</f>
        <v>-385978.58863330178</v>
      </c>
      <c r="AP16" s="255">
        <f ca="1">IF(NOW(),_xll.mirSwapPV($C$3,$C$4,$C$6,$G16,$C$7,$I16+AP$3,$C$16,$C$17,$C$18,$C$19,$C$20,$C$21,$C$22,$C$26,$C$27,$D$15,$D$16,$D$17,$D$18,$D$19,$D$20,$D$21,$D$22,$D$23,$D$24,$D$25,$D$26,$D$27,$C$8,$C$9,$C$10,$D$11,$C$12),"")</f>
        <v>-578967.8829499525</v>
      </c>
      <c r="AQ16" s="255">
        <f ca="1">IF(NOW(),_xll.mirSwapPV($C$3,$C$4,$C$6,$G16,$C$7,$I16+AQ$3,$C$16,$C$17,$C$18,$C$19,$C$20,$C$21,$C$22,$C$26,$C$27,$D$15,$D$16,$D$17,$D$18,$D$19,$D$20,$D$21,$D$22,$D$23,$D$24,$D$25,$D$26,$D$27,$C$8,$C$9,$C$10,$D$11,$C$12),"")</f>
        <v>-771957.17726660322</v>
      </c>
      <c r="AR16" s="255">
        <f ca="1">IF(NOW(),_xll.mirSwapPV($C$3,$C$4,$C$6,$G16,$C$7,$I16+AR$3,$C$16,$C$17,$C$18,$C$19,$C$20,$C$21,$C$22,$C$26,$C$27,$D$15,$D$16,$D$17,$D$18,$D$19,$D$20,$D$21,$D$22,$D$23,$D$24,$D$25,$D$26,$D$27,$C$8,$C$9,$C$10,$D$11,$C$12),"")</f>
        <v>-964946.47158325405</v>
      </c>
    </row>
    <row r="17" spans="2:44">
      <c r="B17" s="234" t="s">
        <v>130</v>
      </c>
      <c r="C17" s="241" t="s">
        <v>198</v>
      </c>
      <c r="D17" s="241" t="s">
        <v>198</v>
      </c>
      <c r="E17" s="242"/>
      <c r="F17" s="224" t="s">
        <v>17</v>
      </c>
      <c r="G17" s="227">
        <f>_xll.mirGetDate($C$6,F17)</f>
        <v>53156</v>
      </c>
      <c r="H17" s="228">
        <f>'GBP Curve Config'!AO22</f>
        <v>2.4900000000000002E-2</v>
      </c>
      <c r="I17" s="229">
        <f ca="1">IF(NOW(),_xll.mirGetParRate4($C$6,F17,$C$7,$C$16,$C$17,$C$18,$C$19,$C$20,$C$21,$C$22,$C$26,$C$27,$D$16,$D$17,$D$18,$D$19,$D$20,$D$21,$D$22,$D$23,$D$24,$D$25,$D$26,$D$27,$C$8,$C$9,$C$10,$C$11,$C$12),"")</f>
        <v>2.490000000045468E-2</v>
      </c>
      <c r="J17" s="229">
        <f t="shared" ca="1" si="4"/>
        <v>4.5467796194742505E-13</v>
      </c>
      <c r="K17" s="230">
        <f t="shared" ca="1" si="5"/>
        <v>4.5467796194742505E-9</v>
      </c>
      <c r="L17" s="230" t="s">
        <v>12</v>
      </c>
      <c r="M17" s="224" t="s">
        <v>17</v>
      </c>
      <c r="N17" s="255">
        <f ca="1">IF(NOW(),_xll.mirSwapPV($C$3,$C$4,$C$6,$G17,$C$7,$I17+N$3,$C$16,$C$17,$C$18,$C$19,$C$20,$C$21,$C$22,$C$26,$C$27,$D$15,$D$16,$D$17,$D$18,$D$19,$D$20,$D$21,$D$22,$D$23,$D$24,$D$25,$D$26,$D$27,$C$8,$C$9,$C$10,$C$11,$C$12),"")</f>
        <v>1095875.5704726891</v>
      </c>
      <c r="O17" s="255">
        <f ca="1">IF(NOW(),_xll.mirSwapPV($C$3,$C$4,$C$6,$G17,$C$7,$I17+O$3,$C$16,$C$17,$C$18,$C$19,$C$20,$C$21,$C$22,$C$26,$C$27,$D$15,$D$16,$D$17,$D$18,$D$19,$D$20,$D$21,$D$22,$D$23,$D$24,$D$25,$D$26,$D$27,$C$8,$C$9,$C$10,$C$11,$C$12),"")</f>
        <v>876700.45637815108</v>
      </c>
      <c r="P17" s="255">
        <f ca="1">IF(NOW(),_xll.mirSwapPV($C$3,$C$4,$C$6,$G17,$C$7,$I17+P$3,$C$16,$C$17,$C$18,$C$19,$C$20,$C$21,$C$22,$C$26,$C$27,$D$15,$D$16,$D$17,$D$18,$D$19,$D$20,$D$21,$D$22,$D$23,$D$24,$D$25,$D$26,$D$27,$C$8,$C$9,$C$10,$C$11,$C$12),"")</f>
        <v>657525.34228361328</v>
      </c>
      <c r="Q17" s="255">
        <f ca="1">IF(NOW(),_xll.mirSwapPV($C$3,$C$4,$C$6,$G17,$C$7,$I17+Q$3,$C$16,$C$17,$C$18,$C$19,$C$20,$C$21,$C$22,$C$26,$C$27,$D$15,$D$16,$D$17,$D$18,$D$19,$D$20,$D$21,$D$22,$D$23,$D$24,$D$25,$D$26,$D$27,$C$8,$C$9,$C$10,$C$11,$C$12),"")</f>
        <v>438350.22818907542</v>
      </c>
      <c r="R17" s="255">
        <f ca="1">IF(NOW(),_xll.mirSwapPV($C$3,$C$4,$C$6,$G17,$C$7,$I17+R$3,$C$16,$C$17,$C$18,$C$19,$C$20,$C$21,$C$22,$C$26,$C$27,$D$15,$D$16,$D$17,$D$18,$D$19,$D$20,$D$21,$D$22,$D$23,$D$24,$D$25,$D$26,$D$27,$C$8,$C$9,$C$10,$C$11,$C$12),"")</f>
        <v>219175.11409453765</v>
      </c>
      <c r="S17" s="255">
        <f ca="1">IF(NOW(),_xll.mirSwapPV($C$3,$C$4,$C$6,$G17,$C$7,$I17+S$3,$C$16,$C$17,$C$18,$C$19,$C$20,$C$21,$C$22,$C$26,$C$27,$D$15,$D$16,$D$17,$D$18,$D$19,$D$20,$D$21,$D$22,$D$23,$D$24,$D$25,$D$26,$D$27,$C$8,$C$9,$C$10,$C$11,$C$12),"")</f>
        <v>0</v>
      </c>
      <c r="T17" s="255">
        <f ca="1">IF(NOW(),_xll.mirSwapPV($C$3,$C$4,$C$6,$G17,$C$7,$I17+T$3,$C$16,$C$17,$C$18,$C$19,$C$20,$C$21,$C$22,$C$26,$C$27,$D$15,$D$16,$D$17,$D$18,$D$19,$D$20,$D$21,$D$22,$D$23,$D$24,$D$25,$D$26,$D$27,$C$8,$C$9,$C$10,$C$11,$C$12),"")</f>
        <v>-219175.11409453771</v>
      </c>
      <c r="U17" s="255">
        <f ca="1">IF(NOW(),_xll.mirSwapPV($C$3,$C$4,$C$6,$G17,$C$7,$I17+U$3,$C$16,$C$17,$C$18,$C$19,$C$20,$C$21,$C$22,$C$26,$C$27,$D$15,$D$16,$D$17,$D$18,$D$19,$D$20,$D$21,$D$22,$D$23,$D$24,$D$25,$D$26,$D$27,$C$8,$C$9,$C$10,$C$11,$C$12),"")</f>
        <v>-438350.22818907554</v>
      </c>
      <c r="V17" s="255">
        <f ca="1">IF(NOW(),_xll.mirSwapPV($C$3,$C$4,$C$6,$G17,$C$7,$I17+V$3,$C$16,$C$17,$C$18,$C$19,$C$20,$C$21,$C$22,$C$26,$C$27,$D$15,$D$16,$D$17,$D$18,$D$19,$D$20,$D$21,$D$22,$D$23,$D$24,$D$25,$D$26,$D$27,$C$8,$C$9,$C$10,$C$11,$C$12),"")</f>
        <v>-657525.34228361351</v>
      </c>
      <c r="W17" s="255">
        <f ca="1">IF(NOW(),_xll.mirSwapPV($C$3,$C$4,$C$6,$G17,$C$7,$I17+W$3,$C$16,$C$17,$C$18,$C$19,$C$20,$C$21,$C$22,$C$26,$C$27,$D$15,$D$16,$D$17,$D$18,$D$19,$D$20,$D$21,$D$22,$D$23,$D$24,$D$25,$D$26,$D$27,$C$8,$C$9,$C$10,$C$11,$C$12),"")</f>
        <v>-876700.45637815096</v>
      </c>
      <c r="X17" s="255">
        <f ca="1">IF(NOW(),_xll.mirSwapPV($C$3,$C$4,$C$6,$G17,$C$7,$I17+X$3,$C$16,$C$17,$C$18,$C$19,$C$20,$C$21,$C$22,$C$26,$C$27,$D$15,$D$16,$D$17,$D$18,$D$19,$D$20,$D$21,$D$22,$D$23,$D$24,$D$25,$D$26,$D$27,$C$8,$C$9,$C$10,$C$11,$C$12),"")</f>
        <v>-1095875.5704726891</v>
      </c>
      <c r="Y17" s="230" t="s">
        <v>12</v>
      </c>
      <c r="Z17" s="224" t="s">
        <v>17</v>
      </c>
      <c r="AA17" s="227">
        <f>_xll.mirGetDate($C$6,Z17)</f>
        <v>53156</v>
      </c>
      <c r="AB17" s="228">
        <f>'GBP Curve Config'!$AO22</f>
        <v>2.4900000000000002E-2</v>
      </c>
      <c r="AC17" s="229">
        <f ca="1">IF(NOW(),_xll.mirGetParRate4($C$6,Z17,$C$7,$C$16,$C$17,$C$18,$C$19,$C$20,$C$21,$C$22,$C$26,$C$27,$D$16,$D$17,$D$18,$D$19,$D$20,$D$21,$D$22,$D$23,$D$24,$D$25,$D$26,$D$27,$C$8,$C$9,$C$10,$D$11,$C$12),"")</f>
        <v>2.4900000000454673E-2</v>
      </c>
      <c r="AD17" s="229">
        <f t="shared" ca="1" si="2"/>
        <v>4.5467102305352114E-13</v>
      </c>
      <c r="AE17" s="230">
        <f t="shared" ca="1" si="3"/>
        <v>4.5467102305352114E-9</v>
      </c>
      <c r="AG17" s="224" t="s">
        <v>17</v>
      </c>
      <c r="AH17" s="255">
        <f ca="1">IF(NOW(),_xll.mirSwapPV($C$3,$C$4,$C$6,$G17,$C$7,$I17+AH$3,$C$16,$C$17,$C$18,$C$19,$C$20,$C$21,$C$22,$C$26,$C$27,$D$15,$D$16,$D$17,$D$18,$D$19,$D$20,$D$21,$D$22,$D$23,$D$24,$D$25,$D$26,$D$27,$C$8,$C$9,$C$10,$D$11,$C$12),"")</f>
        <v>1095875.5704726889</v>
      </c>
      <c r="AI17" s="255">
        <f ca="1">IF(NOW(),_xll.mirSwapPV($C$3,$C$4,$C$6,$G17,$C$7,$I17+AI$3,$C$16,$C$17,$C$18,$C$19,$C$20,$C$21,$C$22,$C$26,$C$27,$D$15,$D$16,$D$17,$D$18,$D$19,$D$20,$D$21,$D$22,$D$23,$D$24,$D$25,$D$26,$D$27,$C$8,$C$9,$C$10,$D$11,$C$12),"")</f>
        <v>876700.45637815096</v>
      </c>
      <c r="AJ17" s="255">
        <f ca="1">IF(NOW(),_xll.mirSwapPV($C$3,$C$4,$C$6,$G17,$C$7,$I17+AJ$3,$C$16,$C$17,$C$18,$C$19,$C$20,$C$21,$C$22,$C$26,$C$27,$D$15,$D$16,$D$17,$D$18,$D$19,$D$20,$D$21,$D$22,$D$23,$D$24,$D$25,$D$26,$D$27,$C$8,$C$9,$C$10,$D$11,$C$12),"")</f>
        <v>657525.34228361316</v>
      </c>
      <c r="AK17" s="255">
        <f ca="1">IF(NOW(),_xll.mirSwapPV($C$3,$C$4,$C$6,$G17,$C$7,$I17+AK$3,$C$16,$C$17,$C$18,$C$19,$C$20,$C$21,$C$22,$C$26,$C$27,$D$15,$D$16,$D$17,$D$18,$D$19,$D$20,$D$21,$D$22,$D$23,$D$24,$D$25,$D$26,$D$27,$C$8,$C$9,$C$10,$D$11,$C$12),"")</f>
        <v>438350.22818907531</v>
      </c>
      <c r="AL17" s="255">
        <f ca="1">IF(NOW(),_xll.mirSwapPV($C$3,$C$4,$C$6,$G17,$C$7,$I17+AL$3,$C$16,$C$17,$C$18,$C$19,$C$20,$C$21,$C$22,$C$26,$C$27,$D$15,$D$16,$D$17,$D$18,$D$19,$D$20,$D$21,$D$22,$D$23,$D$24,$D$25,$D$26,$D$27,$C$8,$C$9,$C$10,$D$11,$C$12),"")</f>
        <v>219175.11409453754</v>
      </c>
      <c r="AM17" s="255">
        <f ca="1">IF(NOW(),_xll.mirSwapPV($C$3,$C$4,$C$6,$G17,$C$7,$I17+AM$3,$C$16,$C$17,$C$18,$C$19,$C$20,$C$21,$C$22,$C$26,$C$27,$D$15,$D$16,$D$17,$D$18,$D$19,$D$20,$D$21,$D$22,$D$23,$D$24,$D$25,$D$26,$D$27,$C$8,$C$9,$C$10,$D$11,$C$12),"")</f>
        <v>-1.1102230246251565E-10</v>
      </c>
      <c r="AN17" s="255">
        <f ca="1">IF(NOW(),_xll.mirSwapPV($C$3,$C$4,$C$6,$G17,$C$7,$I17+AN$3,$C$16,$C$17,$C$18,$C$19,$C$20,$C$21,$C$22,$C$26,$C$27,$D$15,$D$16,$D$17,$D$18,$D$19,$D$20,$D$21,$D$22,$D$23,$D$24,$D$25,$D$26,$D$27,$C$8,$C$9,$C$10,$D$11,$C$12),"")</f>
        <v>-219175.11409453783</v>
      </c>
      <c r="AO17" s="255">
        <f ca="1">IF(NOW(),_xll.mirSwapPV($C$3,$C$4,$C$6,$G17,$C$7,$I17+AO$3,$C$16,$C$17,$C$18,$C$19,$C$20,$C$21,$C$22,$C$26,$C$27,$D$15,$D$16,$D$17,$D$18,$D$19,$D$20,$D$21,$D$22,$D$23,$D$24,$D$25,$D$26,$D$27,$C$8,$C$9,$C$10,$D$11,$C$12),"")</f>
        <v>-438350.22818907566</v>
      </c>
      <c r="AP17" s="255">
        <f ca="1">IF(NOW(),_xll.mirSwapPV($C$3,$C$4,$C$6,$G17,$C$7,$I17+AP$3,$C$16,$C$17,$C$18,$C$19,$C$20,$C$21,$C$22,$C$26,$C$27,$D$15,$D$16,$D$17,$D$18,$D$19,$D$20,$D$21,$D$22,$D$23,$D$24,$D$25,$D$26,$D$27,$C$8,$C$9,$C$10,$D$11,$C$12),"")</f>
        <v>-657525.34228361363</v>
      </c>
      <c r="AQ17" s="255">
        <f ca="1">IF(NOW(),_xll.mirSwapPV($C$3,$C$4,$C$6,$G17,$C$7,$I17+AQ$3,$C$16,$C$17,$C$18,$C$19,$C$20,$C$21,$C$22,$C$26,$C$27,$D$15,$D$16,$D$17,$D$18,$D$19,$D$20,$D$21,$D$22,$D$23,$D$24,$D$25,$D$26,$D$27,$C$8,$C$9,$C$10,$D$11,$C$12),"")</f>
        <v>-876700.45637815108</v>
      </c>
      <c r="AR17" s="255">
        <f ca="1">IF(NOW(),_xll.mirSwapPV($C$3,$C$4,$C$6,$G17,$C$7,$I17+AR$3,$C$16,$C$17,$C$18,$C$19,$C$20,$C$21,$C$22,$C$26,$C$27,$D$15,$D$16,$D$17,$D$18,$D$19,$D$20,$D$21,$D$22,$D$23,$D$24,$D$25,$D$26,$D$27,$C$8,$C$9,$C$10,$D$11,$C$12),"")</f>
        <v>-1095875.5704726891</v>
      </c>
    </row>
    <row r="18" spans="2:44">
      <c r="B18" s="234" t="s">
        <v>443</v>
      </c>
      <c r="C18" s="240" t="s">
        <v>40</v>
      </c>
      <c r="D18" s="240" t="s">
        <v>40</v>
      </c>
      <c r="E18" s="224"/>
      <c r="F18" s="224" t="s">
        <v>15</v>
      </c>
      <c r="G18" s="227">
        <f>_xll.mirGetDate($C$6,F18)</f>
        <v>56808</v>
      </c>
      <c r="H18" s="228">
        <f>'GBP Curve Config'!AO23</f>
        <v>2.4399999999999998E-2</v>
      </c>
      <c r="I18" s="229">
        <f ca="1">IF(NOW(),_xll.mirGetParRate4($C$6,F18,$C$7,$C$16,$C$17,$C$18,$C$19,$C$20,$C$21,$C$22,$C$26,$C$27,$D$16,$D$17,$D$18,$D$19,$D$20,$D$21,$D$22,$D$23,$D$24,$D$25,$D$26,$D$27,$C$8,$C$9,$C$10,$C$11,$C$12),"")</f>
        <v>2.4400000000735559E-2</v>
      </c>
      <c r="J18" s="229">
        <f t="shared" ca="1" si="4"/>
        <v>7.355609177306377E-13</v>
      </c>
      <c r="K18" s="230">
        <f t="shared" ca="1" si="5"/>
        <v>7.355609177306377E-9</v>
      </c>
      <c r="L18" s="230" t="s">
        <v>12</v>
      </c>
      <c r="M18" s="224" t="s">
        <v>15</v>
      </c>
      <c r="N18" s="255">
        <f ca="1">IF(NOW(),_xll.mirSwapPV($C$3,$C$4,$C$6,$G18,$C$7,$I18+N$3,$C$16,$C$17,$C$18,$C$19,$C$20,$C$21,$C$22,$C$26,$C$27,$D$15,$D$16,$D$17,$D$18,$D$19,$D$20,$D$21,$D$22,$D$23,$D$24,$D$25,$D$26,$D$27,$C$8,$C$9,$C$10,$C$11,$C$12),"")</f>
        <v>1318174.9079456276</v>
      </c>
      <c r="O18" s="255">
        <f ca="1">IF(NOW(),_xll.mirSwapPV($C$3,$C$4,$C$6,$G18,$C$7,$I18+O$3,$C$16,$C$17,$C$18,$C$19,$C$20,$C$21,$C$22,$C$26,$C$27,$D$15,$D$16,$D$17,$D$18,$D$19,$D$20,$D$21,$D$22,$D$23,$D$24,$D$25,$D$26,$D$27,$C$8,$C$9,$C$10,$C$11,$C$12),"")</f>
        <v>1054539.9263565021</v>
      </c>
      <c r="P18" s="255">
        <f ca="1">IF(NOW(),_xll.mirSwapPV($C$3,$C$4,$C$6,$G18,$C$7,$I18+P$3,$C$16,$C$17,$C$18,$C$19,$C$20,$C$21,$C$22,$C$26,$C$27,$D$15,$D$16,$D$17,$D$18,$D$19,$D$20,$D$21,$D$22,$D$23,$D$24,$D$25,$D$26,$D$27,$C$8,$C$9,$C$10,$C$11,$C$12),"")</f>
        <v>790904.94476737652</v>
      </c>
      <c r="Q18" s="255">
        <f ca="1">IF(NOW(),_xll.mirSwapPV($C$3,$C$4,$C$6,$G18,$C$7,$I18+Q$3,$C$16,$C$17,$C$18,$C$19,$C$20,$C$21,$C$22,$C$26,$C$27,$D$15,$D$16,$D$17,$D$18,$D$19,$D$20,$D$21,$D$22,$D$23,$D$24,$D$25,$D$26,$D$27,$C$8,$C$9,$C$10,$C$11,$C$12),"")</f>
        <v>527269.96317825094</v>
      </c>
      <c r="R18" s="255">
        <f ca="1">IF(NOW(),_xll.mirSwapPV($C$3,$C$4,$C$6,$G18,$C$7,$I18+R$3,$C$16,$C$17,$C$18,$C$19,$C$20,$C$21,$C$22,$C$26,$C$27,$D$15,$D$16,$D$17,$D$18,$D$19,$D$20,$D$21,$D$22,$D$23,$D$24,$D$25,$D$26,$D$27,$C$8,$C$9,$C$10,$C$11,$C$12),"")</f>
        <v>263634.98158912541</v>
      </c>
      <c r="S18" s="255">
        <f ca="1">IF(NOW(),_xll.mirSwapPV($C$3,$C$4,$C$6,$G18,$C$7,$I18+S$3,$C$16,$C$17,$C$18,$C$19,$C$20,$C$21,$C$22,$C$26,$C$27,$D$15,$D$16,$D$17,$D$18,$D$19,$D$20,$D$21,$D$22,$D$23,$D$24,$D$25,$D$26,$D$27,$C$8,$C$9,$C$10,$C$11,$C$12),"")</f>
        <v>0</v>
      </c>
      <c r="T18" s="255">
        <f ca="1">IF(NOW(),_xll.mirSwapPV($C$3,$C$4,$C$6,$G18,$C$7,$I18+T$3,$C$16,$C$17,$C$18,$C$19,$C$20,$C$21,$C$22,$C$26,$C$27,$D$15,$D$16,$D$17,$D$18,$D$19,$D$20,$D$21,$D$22,$D$23,$D$24,$D$25,$D$26,$D$27,$C$8,$C$9,$C$10,$C$11,$C$12),"")</f>
        <v>-263634.98158912547</v>
      </c>
      <c r="U18" s="255">
        <f ca="1">IF(NOW(),_xll.mirSwapPV($C$3,$C$4,$C$6,$G18,$C$7,$I18+U$3,$C$16,$C$17,$C$18,$C$19,$C$20,$C$21,$C$22,$C$26,$C$27,$D$15,$D$16,$D$17,$D$18,$D$19,$D$20,$D$21,$D$22,$D$23,$D$24,$D$25,$D$26,$D$27,$C$8,$C$9,$C$10,$C$11,$C$12),"")</f>
        <v>-527269.96317825106</v>
      </c>
      <c r="V18" s="255">
        <f ca="1">IF(NOW(),_xll.mirSwapPV($C$3,$C$4,$C$6,$G18,$C$7,$I18+V$3,$C$16,$C$17,$C$18,$C$19,$C$20,$C$21,$C$22,$C$26,$C$27,$D$15,$D$16,$D$17,$D$18,$D$19,$D$20,$D$21,$D$22,$D$23,$D$24,$D$25,$D$26,$D$27,$C$8,$C$9,$C$10,$C$11,$C$12),"")</f>
        <v>-790904.94476737629</v>
      </c>
      <c r="W18" s="255">
        <f ca="1">IF(NOW(),_xll.mirSwapPV($C$3,$C$4,$C$6,$G18,$C$7,$I18+W$3,$C$16,$C$17,$C$18,$C$19,$C$20,$C$21,$C$22,$C$26,$C$27,$D$15,$D$16,$D$17,$D$18,$D$19,$D$20,$D$21,$D$22,$D$23,$D$24,$D$25,$D$26,$D$27,$C$8,$C$9,$C$10,$C$11,$C$12),"")</f>
        <v>-1054539.9263565019</v>
      </c>
      <c r="X18" s="255">
        <f ca="1">IF(NOW(),_xll.mirSwapPV($C$3,$C$4,$C$6,$G18,$C$7,$I18+X$3,$C$16,$C$17,$C$18,$C$19,$C$20,$C$21,$C$22,$C$26,$C$27,$D$15,$D$16,$D$17,$D$18,$D$19,$D$20,$D$21,$D$22,$D$23,$D$24,$D$25,$D$26,$D$27,$C$8,$C$9,$C$10,$C$11,$C$12),"")</f>
        <v>-1318174.9079456276</v>
      </c>
      <c r="Y18" s="230" t="s">
        <v>12</v>
      </c>
      <c r="Z18" s="224" t="s">
        <v>15</v>
      </c>
      <c r="AA18" s="227">
        <f>_xll.mirGetDate($C$6,Z18)</f>
        <v>56808</v>
      </c>
      <c r="AB18" s="228">
        <f>'GBP Curve Config'!$AO23</f>
        <v>2.4399999999999998E-2</v>
      </c>
      <c r="AC18" s="229">
        <f ca="1">IF(NOW(),_xll.mirGetParRate4($C$6,Z18,$C$7,$C$16,$C$17,$C$18,$C$19,$C$20,$C$21,$C$22,$C$26,$C$27,$D$16,$D$17,$D$18,$D$19,$D$20,$D$21,$D$22,$D$23,$D$24,$D$25,$D$26,$D$27,$C$8,$C$9,$C$10,$D$11,$C$12),"")</f>
        <v>2.4400000000735562E-2</v>
      </c>
      <c r="AD18" s="229">
        <f t="shared" ca="1" si="2"/>
        <v>7.3556438717758965E-13</v>
      </c>
      <c r="AE18" s="230">
        <f t="shared" ca="1" si="3"/>
        <v>7.3556438717758965E-9</v>
      </c>
      <c r="AG18" s="224" t="s">
        <v>15</v>
      </c>
      <c r="AH18" s="255">
        <f ca="1">IF(NOW(),_xll.mirSwapPV($C$3,$C$4,$C$6,$G18,$C$7,$I18+AH$3,$C$16,$C$17,$C$18,$C$19,$C$20,$C$21,$C$22,$C$26,$C$27,$D$15,$D$16,$D$17,$D$18,$D$19,$D$20,$D$21,$D$22,$D$23,$D$24,$D$25,$D$26,$D$27,$C$8,$C$9,$C$10,$D$11,$C$12),"")</f>
        <v>1318174.9079456276</v>
      </c>
      <c r="AI18" s="255">
        <f ca="1">IF(NOW(),_xll.mirSwapPV($C$3,$C$4,$C$6,$G18,$C$7,$I18+AI$3,$C$16,$C$17,$C$18,$C$19,$C$20,$C$21,$C$22,$C$26,$C$27,$D$15,$D$16,$D$17,$D$18,$D$19,$D$20,$D$21,$D$22,$D$23,$D$24,$D$25,$D$26,$D$27,$C$8,$C$9,$C$10,$D$11,$C$12),"")</f>
        <v>1054539.9263565021</v>
      </c>
      <c r="AJ18" s="255">
        <f ca="1">IF(NOW(),_xll.mirSwapPV($C$3,$C$4,$C$6,$G18,$C$7,$I18+AJ$3,$C$16,$C$17,$C$18,$C$19,$C$20,$C$21,$C$22,$C$26,$C$27,$D$15,$D$16,$D$17,$D$18,$D$19,$D$20,$D$21,$D$22,$D$23,$D$24,$D$25,$D$26,$D$27,$C$8,$C$9,$C$10,$D$11,$C$12),"")</f>
        <v>790904.94476737664</v>
      </c>
      <c r="AK18" s="255">
        <f ca="1">IF(NOW(),_xll.mirSwapPV($C$3,$C$4,$C$6,$G18,$C$7,$I18+AK$3,$C$16,$C$17,$C$18,$C$19,$C$20,$C$21,$C$22,$C$26,$C$27,$D$15,$D$16,$D$17,$D$18,$D$19,$D$20,$D$21,$D$22,$D$23,$D$24,$D$25,$D$26,$D$27,$C$8,$C$9,$C$10,$D$11,$C$12),"")</f>
        <v>527269.96317825106</v>
      </c>
      <c r="AL18" s="255">
        <f ca="1">IF(NOW(),_xll.mirSwapPV($C$3,$C$4,$C$6,$G18,$C$7,$I18+AL$3,$C$16,$C$17,$C$18,$C$19,$C$20,$C$21,$C$22,$C$26,$C$27,$D$15,$D$16,$D$17,$D$18,$D$19,$D$20,$D$21,$D$22,$D$23,$D$24,$D$25,$D$26,$D$27,$C$8,$C$9,$C$10,$D$11,$C$12),"")</f>
        <v>263634.98158912553</v>
      </c>
      <c r="AM18" s="255">
        <f ca="1">IF(NOW(),_xll.mirSwapPV($C$3,$C$4,$C$6,$G18,$C$7,$I18+AM$3,$C$16,$C$17,$C$18,$C$19,$C$20,$C$21,$C$22,$C$26,$C$27,$D$15,$D$16,$D$17,$D$18,$D$19,$D$20,$D$21,$D$22,$D$23,$D$24,$D$25,$D$26,$D$27,$C$8,$C$9,$C$10,$D$11,$C$12),"")</f>
        <v>1.1102230246251565E-10</v>
      </c>
      <c r="AN18" s="255">
        <f ca="1">IF(NOW(),_xll.mirSwapPV($C$3,$C$4,$C$6,$G18,$C$7,$I18+AN$3,$C$16,$C$17,$C$18,$C$19,$C$20,$C$21,$C$22,$C$26,$C$27,$D$15,$D$16,$D$17,$D$18,$D$19,$D$20,$D$21,$D$22,$D$23,$D$24,$D$25,$D$26,$D$27,$C$8,$C$9,$C$10,$D$11,$C$12),"")</f>
        <v>-263634.98158912535</v>
      </c>
      <c r="AO18" s="255">
        <f ca="1">IF(NOW(),_xll.mirSwapPV($C$3,$C$4,$C$6,$G18,$C$7,$I18+AO$3,$C$16,$C$17,$C$18,$C$19,$C$20,$C$21,$C$22,$C$26,$C$27,$D$15,$D$16,$D$17,$D$18,$D$19,$D$20,$D$21,$D$22,$D$23,$D$24,$D$25,$D$26,$D$27,$C$8,$C$9,$C$10,$D$11,$C$12),"")</f>
        <v>-527269.96317825094</v>
      </c>
      <c r="AP18" s="255">
        <f ca="1">IF(NOW(),_xll.mirSwapPV($C$3,$C$4,$C$6,$G18,$C$7,$I18+AP$3,$C$16,$C$17,$C$18,$C$19,$C$20,$C$21,$C$22,$C$26,$C$27,$D$15,$D$16,$D$17,$D$18,$D$19,$D$20,$D$21,$D$22,$D$23,$D$24,$D$25,$D$26,$D$27,$C$8,$C$9,$C$10,$D$11,$C$12),"")</f>
        <v>-790904.94476737618</v>
      </c>
      <c r="AQ18" s="255">
        <f ca="1">IF(NOW(),_xll.mirSwapPV($C$3,$C$4,$C$6,$G18,$C$7,$I18+AQ$3,$C$16,$C$17,$C$18,$C$19,$C$20,$C$21,$C$22,$C$26,$C$27,$D$15,$D$16,$D$17,$D$18,$D$19,$D$20,$D$21,$D$22,$D$23,$D$24,$D$25,$D$26,$D$27,$C$8,$C$9,$C$10,$D$11,$C$12),"")</f>
        <v>-1054539.9263565019</v>
      </c>
      <c r="AR18" s="255">
        <f ca="1">IF(NOW(),_xll.mirSwapPV($C$3,$C$4,$C$6,$G18,$C$7,$I18+AR$3,$C$16,$C$17,$C$18,$C$19,$C$20,$C$21,$C$22,$C$26,$C$27,$D$15,$D$16,$D$17,$D$18,$D$19,$D$20,$D$21,$D$22,$D$23,$D$24,$D$25,$D$26,$D$27,$C$8,$C$9,$C$10,$D$11,$C$12),"")</f>
        <v>-1318174.9079456273</v>
      </c>
    </row>
    <row r="19" spans="2:44">
      <c r="B19" s="234" t="s">
        <v>174</v>
      </c>
      <c r="C19" s="240" t="s">
        <v>197</v>
      </c>
      <c r="D19" s="240" t="s">
        <v>197</v>
      </c>
      <c r="E19" s="224"/>
      <c r="F19" s="224" t="s">
        <v>14</v>
      </c>
      <c r="G19" s="227">
        <f>_xll.mirGetDate($C$6,F19)</f>
        <v>60461</v>
      </c>
      <c r="H19" s="228">
        <f>'GBP Curve Config'!AO24</f>
        <v>2.4055E-2</v>
      </c>
      <c r="I19" s="229">
        <f ca="1">IF(NOW(),_xll.mirGetParRate4($C$6,F19,$C$7,$C$16,$C$17,$C$18,$C$19,$C$20,$C$21,$C$22,$C$26,$C$27,$D$16,$D$17,$D$18,$D$19,$D$20,$D$21,$D$22,$D$23,$D$24,$D$25,$D$26,$D$27,$C$8,$C$9,$C$10,$C$11,$C$12),"")</f>
        <v>2.405500000054522E-2</v>
      </c>
      <c r="J19" s="229">
        <f t="shared" ca="1" si="4"/>
        <v>5.4522011905255852E-13</v>
      </c>
      <c r="K19" s="230">
        <f t="shared" ca="1" si="5"/>
        <v>5.4522011905255852E-9</v>
      </c>
      <c r="L19" s="230" t="s">
        <v>12</v>
      </c>
      <c r="M19" s="224" t="s">
        <v>14</v>
      </c>
      <c r="N19" s="255">
        <f ca="1">IF(NOW(),_xll.mirSwapPV($C$3,$C$4,$C$6,$G19,$C$7,$I19+N$3,$C$16,$C$17,$C$18,$C$19,$C$20,$C$21,$C$22,$C$26,$C$27,$D$15,$D$16,$D$17,$D$18,$D$19,$D$20,$D$21,$D$22,$D$23,$D$24,$D$25,$D$26,$D$27,$C$8,$C$9,$C$10,$C$11,$C$12),"")</f>
        <v>1498623.2347463313</v>
      </c>
      <c r="O19" s="255">
        <f ca="1">IF(NOW(),_xll.mirSwapPV($C$3,$C$4,$C$6,$G19,$C$7,$I19+O$3,$C$16,$C$17,$C$18,$C$19,$C$20,$C$21,$C$22,$C$26,$C$27,$D$15,$D$16,$D$17,$D$18,$D$19,$D$20,$D$21,$D$22,$D$23,$D$24,$D$25,$D$26,$D$27,$C$8,$C$9,$C$10,$C$11,$C$12),"")</f>
        <v>1198898.587797065</v>
      </c>
      <c r="P19" s="255">
        <f ca="1">IF(NOW(),_xll.mirSwapPV($C$3,$C$4,$C$6,$G19,$C$7,$I19+P$3,$C$16,$C$17,$C$18,$C$19,$C$20,$C$21,$C$22,$C$26,$C$27,$D$15,$D$16,$D$17,$D$18,$D$19,$D$20,$D$21,$D$22,$D$23,$D$24,$D$25,$D$26,$D$27,$C$8,$C$9,$C$10,$C$11,$C$12),"")</f>
        <v>899173.94084779872</v>
      </c>
      <c r="Q19" s="255">
        <f ca="1">IF(NOW(),_xll.mirSwapPV($C$3,$C$4,$C$6,$G19,$C$7,$I19+Q$3,$C$16,$C$17,$C$18,$C$19,$C$20,$C$21,$C$22,$C$26,$C$27,$D$15,$D$16,$D$17,$D$18,$D$19,$D$20,$D$21,$D$22,$D$23,$D$24,$D$25,$D$26,$D$27,$C$8,$C$9,$C$10,$C$11,$C$12),"")</f>
        <v>599449.2938985324</v>
      </c>
      <c r="R19" s="255">
        <f ca="1">IF(NOW(),_xll.mirSwapPV($C$3,$C$4,$C$6,$G19,$C$7,$I19+R$3,$C$16,$C$17,$C$18,$C$19,$C$20,$C$21,$C$22,$C$26,$C$27,$D$15,$D$16,$D$17,$D$18,$D$19,$D$20,$D$21,$D$22,$D$23,$D$24,$D$25,$D$26,$D$27,$C$8,$C$9,$C$10,$C$11,$C$12),"")</f>
        <v>299724.64694926614</v>
      </c>
      <c r="S19" s="255">
        <f ca="1">IF(NOW(),_xll.mirSwapPV($C$3,$C$4,$C$6,$G19,$C$7,$I19+S$3,$C$16,$C$17,$C$18,$C$19,$C$20,$C$21,$C$22,$C$26,$C$27,$D$15,$D$16,$D$17,$D$18,$D$19,$D$20,$D$21,$D$22,$D$23,$D$24,$D$25,$D$26,$D$27,$C$8,$C$9,$C$10,$C$11,$C$12),"")</f>
        <v>0</v>
      </c>
      <c r="T19" s="255">
        <f ca="1">IF(NOW(),_xll.mirSwapPV($C$3,$C$4,$C$6,$G19,$C$7,$I19+T$3,$C$16,$C$17,$C$18,$C$19,$C$20,$C$21,$C$22,$C$26,$C$27,$D$15,$D$16,$D$17,$D$18,$D$19,$D$20,$D$21,$D$22,$D$23,$D$24,$D$25,$D$26,$D$27,$C$8,$C$9,$C$10,$C$11,$C$12),"")</f>
        <v>-299724.64694926626</v>
      </c>
      <c r="U19" s="255">
        <f ca="1">IF(NOW(),_xll.mirSwapPV($C$3,$C$4,$C$6,$G19,$C$7,$I19+U$3,$C$16,$C$17,$C$18,$C$19,$C$20,$C$21,$C$22,$C$26,$C$27,$D$15,$D$16,$D$17,$D$18,$D$19,$D$20,$D$21,$D$22,$D$23,$D$24,$D$25,$D$26,$D$27,$C$8,$C$9,$C$10,$C$11,$C$12),"")</f>
        <v>-599449.29389853252</v>
      </c>
      <c r="V19" s="255">
        <f ca="1">IF(NOW(),_xll.mirSwapPV($C$3,$C$4,$C$6,$G19,$C$7,$I19+V$3,$C$16,$C$17,$C$18,$C$19,$C$20,$C$21,$C$22,$C$26,$C$27,$D$15,$D$16,$D$17,$D$18,$D$19,$D$20,$D$21,$D$22,$D$23,$D$24,$D$25,$D$26,$D$27,$C$8,$C$9,$C$10,$C$11,$C$12),"")</f>
        <v>-899173.94084779883</v>
      </c>
      <c r="W19" s="255">
        <f ca="1">IF(NOW(),_xll.mirSwapPV($C$3,$C$4,$C$6,$G19,$C$7,$I19+W$3,$C$16,$C$17,$C$18,$C$19,$C$20,$C$21,$C$22,$C$26,$C$27,$D$15,$D$16,$D$17,$D$18,$D$19,$D$20,$D$21,$D$22,$D$23,$D$24,$D$25,$D$26,$D$27,$C$8,$C$9,$C$10,$C$11,$C$12),"")</f>
        <v>-1198898.587797065</v>
      </c>
      <c r="X19" s="255">
        <f ca="1">IF(NOW(),_xll.mirSwapPV($C$3,$C$4,$C$6,$G19,$C$7,$I19+X$3,$C$16,$C$17,$C$18,$C$19,$C$20,$C$21,$C$22,$C$26,$C$27,$D$15,$D$16,$D$17,$D$18,$D$19,$D$20,$D$21,$D$22,$D$23,$D$24,$D$25,$D$26,$D$27,$C$8,$C$9,$C$10,$C$11,$C$12),"")</f>
        <v>-1498623.2347463313</v>
      </c>
      <c r="Y19" s="230" t="s">
        <v>12</v>
      </c>
      <c r="Z19" s="224" t="s">
        <v>14</v>
      </c>
      <c r="AA19" s="227">
        <f>_xll.mirGetDate($C$6,Z19)</f>
        <v>60461</v>
      </c>
      <c r="AB19" s="228">
        <f>'GBP Curve Config'!$AO24</f>
        <v>2.4055E-2</v>
      </c>
      <c r="AC19" s="229">
        <f ca="1">IF(NOW(),_xll.mirGetParRate4($C$6,Z19,$C$7,$C$16,$C$17,$C$18,$C$19,$C$20,$C$21,$C$22,$C$26,$C$27,$D$16,$D$17,$D$18,$D$19,$D$20,$D$21,$D$22,$D$23,$D$24,$D$25,$D$26,$D$27,$C$8,$C$9,$C$10,$D$11,$C$12),"")</f>
        <v>2.4055000000545217E-2</v>
      </c>
      <c r="AD19" s="229">
        <f t="shared" ca="1" si="2"/>
        <v>5.4521664960560656E-13</v>
      </c>
      <c r="AE19" s="230">
        <f t="shared" ca="1" si="3"/>
        <v>5.4521664960560656E-9</v>
      </c>
      <c r="AG19" s="224" t="s">
        <v>14</v>
      </c>
      <c r="AH19" s="255">
        <f ca="1">IF(NOW(),_xll.mirSwapPV($C$3,$C$4,$C$6,$G19,$C$7,$I19+AH$3,$C$16,$C$17,$C$18,$C$19,$C$20,$C$21,$C$22,$C$26,$C$27,$D$15,$D$16,$D$17,$D$18,$D$19,$D$20,$D$21,$D$22,$D$23,$D$24,$D$25,$D$26,$D$27,$C$8,$C$9,$C$10,$D$11,$C$12),"")</f>
        <v>1498623.2347463311</v>
      </c>
      <c r="AI19" s="255">
        <f ca="1">IF(NOW(),_xll.mirSwapPV($C$3,$C$4,$C$6,$G19,$C$7,$I19+AI$3,$C$16,$C$17,$C$18,$C$19,$C$20,$C$21,$C$22,$C$26,$C$27,$D$15,$D$16,$D$17,$D$18,$D$19,$D$20,$D$21,$D$22,$D$23,$D$24,$D$25,$D$26,$D$27,$C$8,$C$9,$C$10,$D$11,$C$12),"")</f>
        <v>1198898.587797065</v>
      </c>
      <c r="AJ19" s="255">
        <f ca="1">IF(NOW(),_xll.mirSwapPV($C$3,$C$4,$C$6,$G19,$C$7,$I19+AJ$3,$C$16,$C$17,$C$18,$C$19,$C$20,$C$21,$C$22,$C$26,$C$27,$D$15,$D$16,$D$17,$D$18,$D$19,$D$20,$D$21,$D$22,$D$23,$D$24,$D$25,$D$26,$D$27,$C$8,$C$9,$C$10,$D$11,$C$12),"")</f>
        <v>899173.9408477986</v>
      </c>
      <c r="AK19" s="255">
        <f ca="1">IF(NOW(),_xll.mirSwapPV($C$3,$C$4,$C$6,$G19,$C$7,$I19+AK$3,$C$16,$C$17,$C$18,$C$19,$C$20,$C$21,$C$22,$C$26,$C$27,$D$15,$D$16,$D$17,$D$18,$D$19,$D$20,$D$21,$D$22,$D$23,$D$24,$D$25,$D$26,$D$27,$C$8,$C$9,$C$10,$D$11,$C$12),"")</f>
        <v>599449.29389853228</v>
      </c>
      <c r="AL19" s="255">
        <f ca="1">IF(NOW(),_xll.mirSwapPV($C$3,$C$4,$C$6,$G19,$C$7,$I19+AL$3,$C$16,$C$17,$C$18,$C$19,$C$20,$C$21,$C$22,$C$26,$C$27,$D$15,$D$16,$D$17,$D$18,$D$19,$D$20,$D$21,$D$22,$D$23,$D$24,$D$25,$D$26,$D$27,$C$8,$C$9,$C$10,$D$11,$C$12),"")</f>
        <v>299724.64694926603</v>
      </c>
      <c r="AM19" s="255">
        <f ca="1">IF(NOW(),_xll.mirSwapPV($C$3,$C$4,$C$6,$G19,$C$7,$I19+AM$3,$C$16,$C$17,$C$18,$C$19,$C$20,$C$21,$C$22,$C$26,$C$27,$D$15,$D$16,$D$17,$D$18,$D$19,$D$20,$D$21,$D$22,$D$23,$D$24,$D$25,$D$26,$D$27,$C$8,$C$9,$C$10,$D$11,$C$12),"")</f>
        <v>-1.1102230246251565E-10</v>
      </c>
      <c r="AN19" s="255">
        <f ca="1">IF(NOW(),_xll.mirSwapPV($C$3,$C$4,$C$6,$G19,$C$7,$I19+AN$3,$C$16,$C$17,$C$18,$C$19,$C$20,$C$21,$C$22,$C$26,$C$27,$D$15,$D$16,$D$17,$D$18,$D$19,$D$20,$D$21,$D$22,$D$23,$D$24,$D$25,$D$26,$D$27,$C$8,$C$9,$C$10,$D$11,$C$12),"")</f>
        <v>-299724.64694926637</v>
      </c>
      <c r="AO19" s="255">
        <f ca="1">IF(NOW(),_xll.mirSwapPV($C$3,$C$4,$C$6,$G19,$C$7,$I19+AO$3,$C$16,$C$17,$C$18,$C$19,$C$20,$C$21,$C$22,$C$26,$C$27,$D$15,$D$16,$D$17,$D$18,$D$19,$D$20,$D$21,$D$22,$D$23,$D$24,$D$25,$D$26,$D$27,$C$8,$C$9,$C$10,$D$11,$C$12),"")</f>
        <v>-599449.29389853263</v>
      </c>
      <c r="AP19" s="255">
        <f ca="1">IF(NOW(),_xll.mirSwapPV($C$3,$C$4,$C$6,$G19,$C$7,$I19+AP$3,$C$16,$C$17,$C$18,$C$19,$C$20,$C$21,$C$22,$C$26,$C$27,$D$15,$D$16,$D$17,$D$18,$D$19,$D$20,$D$21,$D$22,$D$23,$D$24,$D$25,$D$26,$D$27,$C$8,$C$9,$C$10,$D$11,$C$12),"")</f>
        <v>-899173.94084779895</v>
      </c>
      <c r="AQ19" s="255">
        <f ca="1">IF(NOW(),_xll.mirSwapPV($C$3,$C$4,$C$6,$G19,$C$7,$I19+AQ$3,$C$16,$C$17,$C$18,$C$19,$C$20,$C$21,$C$22,$C$26,$C$27,$D$15,$D$16,$D$17,$D$18,$D$19,$D$20,$D$21,$D$22,$D$23,$D$24,$D$25,$D$26,$D$27,$C$8,$C$9,$C$10,$D$11,$C$12),"")</f>
        <v>-1198898.587797065</v>
      </c>
      <c r="AR19" s="255">
        <f ca="1">IF(NOW(),_xll.mirSwapPV($C$3,$C$4,$C$6,$G19,$C$7,$I19+AR$3,$C$16,$C$17,$C$18,$C$19,$C$20,$C$21,$C$22,$C$26,$C$27,$D$15,$D$16,$D$17,$D$18,$D$19,$D$20,$D$21,$D$22,$D$23,$D$24,$D$25,$D$26,$D$27,$C$8,$C$9,$C$10,$D$11,$C$12),"")</f>
        <v>-1498623.2347463316</v>
      </c>
    </row>
    <row r="20" spans="2:44">
      <c r="B20" s="234" t="s">
        <v>444</v>
      </c>
      <c r="C20" s="243"/>
      <c r="D20" s="243"/>
      <c r="E20" s="244"/>
      <c r="F20" s="224"/>
      <c r="G20" s="227"/>
      <c r="H20" s="228"/>
      <c r="I20" s="229"/>
      <c r="J20" s="229"/>
      <c r="K20" s="230"/>
      <c r="L20" s="230"/>
      <c r="M20" s="224"/>
      <c r="N20" s="255"/>
      <c r="O20" s="255"/>
      <c r="P20" s="255"/>
      <c r="Q20" s="255"/>
      <c r="R20" s="255"/>
      <c r="S20" s="255"/>
      <c r="T20" s="255"/>
      <c r="U20" s="255"/>
      <c r="V20" s="255"/>
      <c r="W20" s="255"/>
      <c r="X20" s="255"/>
      <c r="Y20" s="230"/>
      <c r="Z20" s="224"/>
      <c r="AA20" s="227"/>
      <c r="AB20" s="228"/>
      <c r="AC20" s="229"/>
      <c r="AD20" s="229"/>
      <c r="AE20" s="230"/>
      <c r="AG20" s="224"/>
      <c r="AH20" s="255"/>
      <c r="AI20" s="255"/>
      <c r="AJ20" s="255"/>
      <c r="AK20" s="255"/>
      <c r="AL20" s="255"/>
      <c r="AM20" s="255"/>
      <c r="AN20" s="255"/>
      <c r="AO20" s="255"/>
      <c r="AP20" s="255"/>
      <c r="AQ20" s="255"/>
      <c r="AR20" s="255"/>
    </row>
    <row r="21" spans="2:44">
      <c r="B21" s="234" t="s">
        <v>445</v>
      </c>
      <c r="C21" s="243"/>
      <c r="D21" s="243"/>
      <c r="E21" s="245"/>
      <c r="F21" s="224"/>
      <c r="G21" s="227"/>
      <c r="H21" s="228"/>
      <c r="I21" s="229"/>
      <c r="J21" s="229"/>
      <c r="K21" s="230"/>
      <c r="L21" s="230"/>
      <c r="M21" s="224"/>
      <c r="N21" s="255"/>
      <c r="O21" s="255"/>
      <c r="P21" s="255"/>
      <c r="Q21" s="255"/>
      <c r="R21" s="255"/>
      <c r="S21" s="255"/>
      <c r="T21" s="255"/>
      <c r="U21" s="255"/>
      <c r="V21" s="255"/>
      <c r="W21" s="255"/>
      <c r="X21" s="255"/>
      <c r="Y21" s="230"/>
      <c r="Z21" s="224"/>
      <c r="AA21" s="227"/>
      <c r="AB21" s="228"/>
      <c r="AC21" s="229"/>
      <c r="AD21" s="229"/>
      <c r="AE21" s="230"/>
      <c r="AG21" s="224"/>
      <c r="AH21" s="255"/>
      <c r="AI21" s="255"/>
      <c r="AJ21" s="255"/>
      <c r="AK21" s="255"/>
      <c r="AL21" s="255"/>
      <c r="AM21" s="255"/>
      <c r="AN21" s="255"/>
      <c r="AO21" s="255"/>
      <c r="AP21" s="255"/>
      <c r="AQ21" s="255"/>
      <c r="AR21" s="255"/>
    </row>
    <row r="22" spans="2:44">
      <c r="B22" s="234" t="s">
        <v>446</v>
      </c>
      <c r="C22" s="240">
        <v>13</v>
      </c>
      <c r="D22" s="240">
        <v>13</v>
      </c>
      <c r="F22" s="224"/>
      <c r="G22" s="227"/>
      <c r="H22" s="228"/>
      <c r="I22" s="229"/>
      <c r="J22" s="229"/>
      <c r="K22" s="230"/>
      <c r="L22" s="230"/>
      <c r="M22" s="224"/>
      <c r="N22" s="255"/>
      <c r="O22" s="255"/>
      <c r="P22" s="255"/>
      <c r="Q22" s="255"/>
      <c r="R22" s="255"/>
      <c r="S22" s="255"/>
      <c r="T22" s="255"/>
      <c r="U22" s="255"/>
      <c r="V22" s="255"/>
      <c r="W22" s="255"/>
      <c r="X22" s="255"/>
      <c r="Y22" s="230"/>
      <c r="Z22" s="224"/>
      <c r="AA22" s="227"/>
      <c r="AB22" s="228"/>
      <c r="AC22" s="229"/>
      <c r="AD22" s="229"/>
      <c r="AE22" s="230"/>
      <c r="AG22" s="224"/>
      <c r="AH22" s="255"/>
      <c r="AI22" s="255"/>
      <c r="AJ22" s="255"/>
      <c r="AK22" s="255"/>
      <c r="AL22" s="255"/>
      <c r="AM22" s="255"/>
      <c r="AN22" s="255"/>
      <c r="AO22" s="255"/>
      <c r="AP22" s="255"/>
      <c r="AQ22" s="255"/>
      <c r="AR22" s="255"/>
    </row>
    <row r="23" spans="2:44">
      <c r="B23" s="234" t="s">
        <v>447</v>
      </c>
      <c r="C23" s="241" t="s">
        <v>6</v>
      </c>
      <c r="D23" s="246" t="s">
        <v>448</v>
      </c>
      <c r="F23" s="224"/>
      <c r="G23" s="224"/>
      <c r="H23" s="224"/>
      <c r="K23" s="10"/>
      <c r="L23" s="10"/>
      <c r="M23" s="10"/>
      <c r="P23" s="252"/>
      <c r="AG23" s="10"/>
      <c r="AJ23" s="252"/>
    </row>
    <row r="24" spans="2:44">
      <c r="B24" s="234" t="s">
        <v>449</v>
      </c>
      <c r="C24" s="241" t="s">
        <v>6</v>
      </c>
      <c r="D24" s="247">
        <v>7.3312999999999998E-3</v>
      </c>
      <c r="F24" s="224"/>
      <c r="G24" s="224"/>
      <c r="H24" s="224"/>
      <c r="I24" s="11"/>
      <c r="J24" s="248"/>
      <c r="K24" s="249"/>
      <c r="L24" s="249"/>
      <c r="M24" s="249"/>
      <c r="AG24" s="249"/>
    </row>
    <row r="25" spans="2:44">
      <c r="B25" s="234" t="s">
        <v>450</v>
      </c>
      <c r="C25" s="241" t="s">
        <v>6</v>
      </c>
      <c r="D25" s="250"/>
      <c r="I25" s="224"/>
      <c r="J25" s="224"/>
      <c r="K25" s="230"/>
      <c r="L25" s="230"/>
      <c r="M25" s="230"/>
      <c r="AG25" s="230"/>
    </row>
    <row r="26" spans="2:44">
      <c r="B26" s="234" t="s">
        <v>452</v>
      </c>
      <c r="C26" s="246" t="s">
        <v>448</v>
      </c>
      <c r="D26" s="246" t="s">
        <v>448</v>
      </c>
      <c r="M26" s="259"/>
      <c r="AG26" s="259"/>
    </row>
    <row r="27" spans="2:44">
      <c r="B27" s="225" t="s">
        <v>453</v>
      </c>
      <c r="C27" s="251" t="s">
        <v>457</v>
      </c>
      <c r="D27" s="251" t="s">
        <v>457</v>
      </c>
      <c r="F27" s="224"/>
      <c r="G27" s="118"/>
      <c r="M27" s="219" t="s">
        <v>462</v>
      </c>
      <c r="N27" s="219"/>
      <c r="O27" s="229"/>
      <c r="P27" s="252"/>
      <c r="Q27" s="252"/>
      <c r="R27" s="229"/>
      <c r="S27" s="229" t="s">
        <v>459</v>
      </c>
      <c r="T27" s="229"/>
      <c r="U27" s="229"/>
      <c r="V27" s="229"/>
      <c r="W27" t="s">
        <v>463</v>
      </c>
      <c r="X27" s="259" t="b">
        <f>$C$11</f>
        <v>1</v>
      </c>
      <c r="AG27" s="219" t="s">
        <v>462</v>
      </c>
      <c r="AH27" s="219"/>
      <c r="AI27" s="229"/>
      <c r="AJ27" s="252"/>
      <c r="AK27" s="252"/>
      <c r="AL27" s="229"/>
      <c r="AM27" s="229" t="s">
        <v>459</v>
      </c>
      <c r="AN27" s="229"/>
      <c r="AO27" s="229"/>
      <c r="AP27" s="229"/>
      <c r="AQ27" t="s">
        <v>463</v>
      </c>
      <c r="AR27" s="259" t="b">
        <f>$D$11</f>
        <v>0</v>
      </c>
    </row>
    <row r="28" spans="2:44">
      <c r="F28" s="224"/>
      <c r="G28" s="224"/>
      <c r="H28" s="224"/>
      <c r="I28" s="224"/>
      <c r="J28" s="224"/>
      <c r="K28" s="224"/>
      <c r="L28" s="224"/>
      <c r="M28" s="224" t="s">
        <v>76</v>
      </c>
      <c r="N28" s="230">
        <v>500</v>
      </c>
      <c r="O28" s="230">
        <f>N28-100</f>
        <v>400</v>
      </c>
      <c r="P28" s="230">
        <f t="shared" ref="P28:X28" si="6">O28-100</f>
        <v>300</v>
      </c>
      <c r="Q28" s="230">
        <f t="shared" si="6"/>
        <v>200</v>
      </c>
      <c r="R28" s="230">
        <f t="shared" si="6"/>
        <v>100</v>
      </c>
      <c r="S28" s="230">
        <f t="shared" si="6"/>
        <v>0</v>
      </c>
      <c r="T28" s="230">
        <f t="shared" si="6"/>
        <v>-100</v>
      </c>
      <c r="U28" s="230">
        <f t="shared" si="6"/>
        <v>-200</v>
      </c>
      <c r="V28" s="230">
        <f t="shared" si="6"/>
        <v>-300</v>
      </c>
      <c r="W28" s="230">
        <f t="shared" si="6"/>
        <v>-400</v>
      </c>
      <c r="X28" s="230">
        <f t="shared" si="6"/>
        <v>-500</v>
      </c>
      <c r="Y28" s="224"/>
      <c r="AE28" s="11"/>
      <c r="AG28" s="224" t="s">
        <v>76</v>
      </c>
      <c r="AH28" s="230">
        <v>500</v>
      </c>
      <c r="AI28" s="230">
        <f>AH28-100</f>
        <v>400</v>
      </c>
      <c r="AJ28" s="230">
        <f t="shared" ref="AJ28:AR28" si="7">AI28-100</f>
        <v>300</v>
      </c>
      <c r="AK28" s="230">
        <f t="shared" si="7"/>
        <v>200</v>
      </c>
      <c r="AL28" s="230">
        <f t="shared" si="7"/>
        <v>100</v>
      </c>
      <c r="AM28" s="230">
        <f t="shared" si="7"/>
        <v>0</v>
      </c>
      <c r="AN28" s="230">
        <f t="shared" si="7"/>
        <v>-100</v>
      </c>
      <c r="AO28" s="230">
        <f t="shared" si="7"/>
        <v>-200</v>
      </c>
      <c r="AP28" s="230">
        <f t="shared" si="7"/>
        <v>-300</v>
      </c>
      <c r="AQ28" s="230">
        <f t="shared" si="7"/>
        <v>-400</v>
      </c>
      <c r="AR28" s="230">
        <f t="shared" si="7"/>
        <v>-500</v>
      </c>
    </row>
    <row r="29" spans="2:44">
      <c r="F29" s="230"/>
      <c r="G29" s="227"/>
      <c r="H29" s="229"/>
      <c r="I29" s="229"/>
      <c r="J29" s="229"/>
      <c r="K29" s="230"/>
      <c r="L29" s="230"/>
      <c r="M29" s="227" t="s">
        <v>42</v>
      </c>
      <c r="N29" s="255">
        <f ca="1">IF(NOW(),_xll.mirSwapPV($C$3,$C$4,$C$6,$G4,$C$7,$I4,$C$16,$C$17,$C$18,$C$19,$C$20,$C$21,$C$22,$C$26,$C$27,N$28,$D$16,$D$17,$D$18,$D$19,$D$20,$D$21,$D$22,$D$23,$D$24,$D$25,$D$26,$D$27,$C$8,$C$9,$C$10,$C$11,$C$12),"")</f>
        <v>99258.437527978225</v>
      </c>
      <c r="O29" s="255">
        <f ca="1">IF(NOW(),_xll.mirSwapPV($C$3,$C$4,$C$6,$G4,$C$7,$I4,$C$16,$C$17,$C$18,$C$19,$C$20,$C$21,$C$22,$C$26,$C$27,O$28,$D$16,$D$17,$D$18,$D$19,$D$20,$D$21,$D$22,$D$23,$D$24,$D$25,$D$26,$D$27,$C$8,$C$9,$C$10,$C$11,$C$12),"")</f>
        <v>79406.750022382563</v>
      </c>
      <c r="P29" s="255">
        <f ca="1">IF(NOW(),_xll.mirSwapPV($C$3,$C$4,$C$6,$G4,$C$7,$I4,$C$16,$C$17,$C$18,$C$19,$C$20,$C$21,$C$22,$C$26,$C$27,P$28,$D$16,$D$17,$D$18,$D$19,$D$20,$D$21,$D$22,$D$23,$D$24,$D$25,$D$26,$D$27,$C$8,$C$9,$C$10,$C$11,$C$12),"")</f>
        <v>59555.062516786937</v>
      </c>
      <c r="Q29" s="255">
        <f ca="1">IF(NOW(),_xll.mirSwapPV($C$3,$C$4,$C$6,$G4,$C$7,$I4,$C$16,$C$17,$C$18,$C$19,$C$20,$C$21,$C$22,$C$26,$C$27,Q$28,$D$16,$D$17,$D$18,$D$19,$D$20,$D$21,$D$22,$D$23,$D$24,$D$25,$D$26,$D$27,$C$8,$C$9,$C$10,$C$11,$C$12),"")</f>
        <v>39703.375011191281</v>
      </c>
      <c r="R29" s="255">
        <f ca="1">IF(NOW(),_xll.mirSwapPV($C$3,$C$4,$C$6,$G4,$C$7,$I4,$C$16,$C$17,$C$18,$C$19,$C$20,$C$21,$C$22,$C$26,$C$27,R$28,$D$16,$D$17,$D$18,$D$19,$D$20,$D$21,$D$22,$D$23,$D$24,$D$25,$D$26,$D$27,$C$8,$C$9,$C$10,$C$11,$C$12),"")</f>
        <v>19851.687505595641</v>
      </c>
      <c r="S29" s="255">
        <f ca="1">IF(NOW(),_xll.mirSwapPV($C$3,$C$4,$C$6,$G4,$C$7,$I4,$C$16,$C$17,$C$18,$C$19,$C$20,$C$21,$C$22,$C$26,$C$27,S$28,$D$16,$D$17,$D$18,$D$19,$D$20,$D$21,$D$22,$D$23,$D$24,$D$25,$D$26,$D$27,$C$8,$C$9,$C$10,$C$11,$C$12),"")</f>
        <v>0</v>
      </c>
      <c r="T29" s="255">
        <f ca="1">IF(NOW(),_xll.mirSwapPV($C$3,$C$4,$C$6,$G4,$C$7,$I4,$C$16,$C$17,$C$18,$C$19,$C$20,$C$21,$C$22,$C$26,$C$27,T$28,$D$16,$D$17,$D$18,$D$19,$D$20,$D$21,$D$22,$D$23,$D$24,$D$25,$D$26,$D$27,$C$8,$C$9,$C$10,$C$11,$C$12),"")</f>
        <v>-19851.687505595641</v>
      </c>
      <c r="U29" s="255">
        <f ca="1">IF(NOW(),_xll.mirSwapPV($C$3,$C$4,$C$6,$G4,$C$7,$I4,$C$16,$C$17,$C$18,$C$19,$C$20,$C$21,$C$22,$C$26,$C$27,U$28,$D$16,$D$17,$D$18,$D$19,$D$20,$D$21,$D$22,$D$23,$D$24,$D$25,$D$26,$D$27,$C$8,$C$9,$C$10,$C$11,$C$12),"")</f>
        <v>-39703.375011191281</v>
      </c>
      <c r="V29" s="255">
        <f ca="1">IF(NOW(),_xll.mirSwapPV($C$3,$C$4,$C$6,$G4,$C$7,$I4,$C$16,$C$17,$C$18,$C$19,$C$20,$C$21,$C$22,$C$26,$C$27,V$28,$D$16,$D$17,$D$18,$D$19,$D$20,$D$21,$D$22,$D$23,$D$24,$D$25,$D$26,$D$27,$C$8,$C$9,$C$10,$C$11,$C$12),"")</f>
        <v>-59555.062516786929</v>
      </c>
      <c r="W29" s="255">
        <f ca="1">IF(NOW(),_xll.mirSwapPV($C$3,$C$4,$C$6,$G4,$C$7,$I4,$C$16,$C$17,$C$18,$C$19,$C$20,$C$21,$C$22,$C$26,$C$27,W$28,$D$16,$D$17,$D$18,$D$19,$D$20,$D$21,$D$22,$D$23,$D$24,$D$25,$D$26,$D$27,$C$8,$C$9,$C$10,$C$11,$C$12),"")</f>
        <v>-79406.750022382563</v>
      </c>
      <c r="X29" s="255">
        <f ca="1">IF(NOW(),_xll.mirSwapPV($C$3,$C$4,$C$6,$G4,$C$7,$I4,$C$16,$C$17,$C$18,$C$19,$C$20,$C$21,$C$22,$C$26,$C$27,X$28,$D$16,$D$17,$D$18,$D$19,$D$20,$D$21,$D$22,$D$23,$D$24,$D$25,$D$26,$D$27,$C$8,$C$9,$C$10,$C$11,$C$12),"")</f>
        <v>-99258.437527978225</v>
      </c>
      <c r="Y29" s="229"/>
      <c r="AE29" s="230"/>
      <c r="AG29" s="227" t="s">
        <v>42</v>
      </c>
      <c r="AH29" s="255">
        <f ca="1">IF(NOW(),_xll.mirSwapPV($C$3,$C$4,$C$6,$AA4,$C$7,$AC4,$C$16,$C$17,$C$18,$C$19,$C$20,$C$21,$C$22,$C$26,$C$27,AH$28,$D$16,$D$17,$D$18,$D$19,$D$20,$D$21,$D$22,$D$23,$D$24,$D$25,$D$26,$D$27,$C$8,$C$9,$C$10,$D$11,$C$12),"")</f>
        <v>99258.437527978211</v>
      </c>
      <c r="AI29" s="255">
        <f ca="1">IF(NOW(),_xll.mirSwapPV($C$3,$C$4,$C$6,$AA4,$C$7,$AC4,$C$16,$C$17,$C$18,$C$19,$C$20,$C$21,$C$22,$C$26,$C$27,AI$28,$D$16,$D$17,$D$18,$D$19,$D$20,$D$21,$D$22,$D$23,$D$24,$D$25,$D$26,$D$27,$C$8,$C$9,$C$10,$D$11,$C$12),"")</f>
        <v>79406.750022382577</v>
      </c>
      <c r="AJ29" s="255">
        <f ca="1">IF(NOW(),_xll.mirSwapPV($C$3,$C$4,$C$6,$AA4,$C$7,$AC4,$C$16,$C$17,$C$18,$C$19,$C$20,$C$21,$C$22,$C$26,$C$27,AJ$28,$D$16,$D$17,$D$18,$D$19,$D$20,$D$21,$D$22,$D$23,$D$24,$D$25,$D$26,$D$27,$C$8,$C$9,$C$10,$D$11,$C$12),"")</f>
        <v>59555.062516786922</v>
      </c>
      <c r="AK29" s="255">
        <f ca="1">IF(NOW(),_xll.mirSwapPV($C$3,$C$4,$C$6,$AA4,$C$7,$AC4,$C$16,$C$17,$C$18,$C$19,$C$20,$C$21,$C$22,$C$26,$C$27,AK$28,$D$16,$D$17,$D$18,$D$19,$D$20,$D$21,$D$22,$D$23,$D$24,$D$25,$D$26,$D$27,$C$8,$C$9,$C$10,$D$11,$C$12),"")</f>
        <v>39703.375011191281</v>
      </c>
      <c r="AL29" s="255">
        <f ca="1">IF(NOW(),_xll.mirSwapPV($C$3,$C$4,$C$6,$AA4,$C$7,$AC4,$C$16,$C$17,$C$18,$C$19,$C$20,$C$21,$C$22,$C$26,$C$27,AL$28,$D$16,$D$17,$D$18,$D$19,$D$20,$D$21,$D$22,$D$23,$D$24,$D$25,$D$26,$D$27,$C$8,$C$9,$C$10,$D$11,$C$12),"")</f>
        <v>19851.687505595637</v>
      </c>
      <c r="AM29" s="255">
        <f ca="1">IF(NOW(),_xll.mirSwapPV($C$3,$C$4,$C$6,$AA4,$C$7,$AC4,$C$16,$C$17,$C$18,$C$19,$C$20,$C$21,$C$22,$C$26,$C$27,AM$28,$D$16,$D$17,$D$18,$D$19,$D$20,$D$21,$D$22,$D$23,$D$24,$D$25,$D$26,$D$27,$C$8,$C$9,$C$10,$D$11,$C$12),"")</f>
        <v>0</v>
      </c>
      <c r="AN29" s="255">
        <f ca="1">IF(NOW(),_xll.mirSwapPV($C$3,$C$4,$C$6,$AA4,$C$7,$AC4,$C$16,$C$17,$C$18,$C$19,$C$20,$C$21,$C$22,$C$26,$C$27,AN$28,$D$16,$D$17,$D$18,$D$19,$D$20,$D$21,$D$22,$D$23,$D$24,$D$25,$D$26,$D$27,$C$8,$C$9,$C$10,$D$11,$C$12),"")</f>
        <v>-19851.687505595641</v>
      </c>
      <c r="AO29" s="255">
        <f ca="1">IF(NOW(),_xll.mirSwapPV($C$3,$C$4,$C$6,$AA4,$C$7,$AC4,$C$16,$C$17,$C$18,$C$19,$C$20,$C$21,$C$22,$C$26,$C$27,AO$28,$D$16,$D$17,$D$18,$D$19,$D$20,$D$21,$D$22,$D$23,$D$24,$D$25,$D$26,$D$27,$C$8,$C$9,$C$10,$D$11,$C$12),"")</f>
        <v>-39703.375011191281</v>
      </c>
      <c r="AP29" s="255">
        <f ca="1">IF(NOW(),_xll.mirSwapPV($C$3,$C$4,$C$6,$AA4,$C$7,$AC4,$C$16,$C$17,$C$18,$C$19,$C$20,$C$21,$C$22,$C$26,$C$27,AP$28,$D$16,$D$17,$D$18,$D$19,$D$20,$D$21,$D$22,$D$23,$D$24,$D$25,$D$26,$D$27,$C$8,$C$9,$C$10,$D$11,$C$12),"")</f>
        <v>-59555.062516786922</v>
      </c>
      <c r="AQ29" s="255">
        <f ca="1">IF(NOW(),_xll.mirSwapPV($C$3,$C$4,$C$6,$AA4,$C$7,$AC4,$C$16,$C$17,$C$18,$C$19,$C$20,$C$21,$C$22,$C$26,$C$27,AQ$28,$D$16,$D$17,$D$18,$D$19,$D$20,$D$21,$D$22,$D$23,$D$24,$D$25,$D$26,$D$27,$C$8,$C$9,$C$10,$D$11,$C$12),"")</f>
        <v>-79406.750022382563</v>
      </c>
      <c r="AR29" s="255">
        <f ca="1">IF(NOW(),_xll.mirSwapPV($C$3,$C$4,$C$6,$AA4,$C$7,$AC4,$C$16,$C$17,$C$18,$C$19,$C$20,$C$21,$C$22,$C$26,$C$27,AR$28,$D$16,$D$17,$D$18,$D$19,$D$20,$D$21,$D$22,$D$23,$D$24,$D$25,$D$26,$D$27,$C$8,$C$9,$C$10,$D$11,$C$12),"")</f>
        <v>-99258.437527978225</v>
      </c>
    </row>
    <row r="30" spans="2:44">
      <c r="F30" s="230"/>
      <c r="G30" s="227"/>
      <c r="H30" s="229"/>
      <c r="I30" s="229"/>
      <c r="J30" s="229"/>
      <c r="K30" s="230"/>
      <c r="L30" s="230"/>
      <c r="M30" s="224" t="s">
        <v>39</v>
      </c>
      <c r="N30" s="255">
        <f ca="1">IF(NOW(),_xll.mirSwapPV($C$3,$C$4,$C$6,$G5,$C$7,$I5,$C$16,$C$17,$C$18,$C$19,$C$20,$C$21,$C$22,$C$26,$C$27,N$28,$D$16,$D$17,$D$18,$D$19,$D$20,$D$21,$D$22,$D$23,$D$24,$D$25,$D$26,$D$27,$C$8,$C$9,$C$10,$C$11,$C$12),"")</f>
        <v>147865.36992561392</v>
      </c>
      <c r="O30" s="255">
        <f ca="1">IF(NOW(),_xll.mirSwapPV($C$3,$C$4,$C$6,$G5,$C$7,$I5,$C$16,$C$17,$C$18,$C$19,$C$20,$C$21,$C$22,$C$26,$C$27,O$28,$D$16,$D$17,$D$18,$D$19,$D$20,$D$21,$D$22,$D$23,$D$24,$D$25,$D$26,$D$27,$C$8,$C$9,$C$10,$C$11,$C$12),"")</f>
        <v>118292.29594049112</v>
      </c>
      <c r="P30" s="255">
        <f ca="1">IF(NOW(),_xll.mirSwapPV($C$3,$C$4,$C$6,$G5,$C$7,$I5,$C$16,$C$17,$C$18,$C$19,$C$20,$C$21,$C$22,$C$26,$C$27,P$28,$D$16,$D$17,$D$18,$D$19,$D$20,$D$21,$D$22,$D$23,$D$24,$D$25,$D$26,$D$27,$C$8,$C$9,$C$10,$C$11,$C$12),"")</f>
        <v>88719.221955368354</v>
      </c>
      <c r="Q30" s="255">
        <f ca="1">IF(NOW(),_xll.mirSwapPV($C$3,$C$4,$C$6,$G5,$C$7,$I5,$C$16,$C$17,$C$18,$C$19,$C$20,$C$21,$C$22,$C$26,$C$27,Q$28,$D$16,$D$17,$D$18,$D$19,$D$20,$D$21,$D$22,$D$23,$D$24,$D$25,$D$26,$D$27,$C$8,$C$9,$C$10,$C$11,$C$12),"")</f>
        <v>59146.147970245562</v>
      </c>
      <c r="R30" s="255">
        <f ca="1">IF(NOW(),_xll.mirSwapPV($C$3,$C$4,$C$6,$G5,$C$7,$I5,$C$16,$C$17,$C$18,$C$19,$C$20,$C$21,$C$22,$C$26,$C$27,R$28,$D$16,$D$17,$D$18,$D$19,$D$20,$D$21,$D$22,$D$23,$D$24,$D$25,$D$26,$D$27,$C$8,$C$9,$C$10,$C$11,$C$12),"")</f>
        <v>29573.073985122781</v>
      </c>
      <c r="S30" s="255">
        <f ca="1">IF(NOW(),_xll.mirSwapPV($C$3,$C$4,$C$6,$G5,$C$7,$I5,$C$16,$C$17,$C$18,$C$19,$C$20,$C$21,$C$22,$C$26,$C$27,S$28,$D$16,$D$17,$D$18,$D$19,$D$20,$D$21,$D$22,$D$23,$D$24,$D$25,$D$26,$D$27,$C$8,$C$9,$C$10,$C$11,$C$12),"")</f>
        <v>0</v>
      </c>
      <c r="T30" s="255">
        <f ca="1">IF(NOW(),_xll.mirSwapPV($C$3,$C$4,$C$6,$G5,$C$7,$I5,$C$16,$C$17,$C$18,$C$19,$C$20,$C$21,$C$22,$C$26,$C$27,T$28,$D$16,$D$17,$D$18,$D$19,$D$20,$D$21,$D$22,$D$23,$D$24,$D$25,$D$26,$D$27,$C$8,$C$9,$C$10,$C$11,$C$12),"")</f>
        <v>-29573.073985122788</v>
      </c>
      <c r="U30" s="255">
        <f ca="1">IF(NOW(),_xll.mirSwapPV($C$3,$C$4,$C$6,$G5,$C$7,$I5,$C$16,$C$17,$C$18,$C$19,$C$20,$C$21,$C$22,$C$26,$C$27,U$28,$D$16,$D$17,$D$18,$D$19,$D$20,$D$21,$D$22,$D$23,$D$24,$D$25,$D$26,$D$27,$C$8,$C$9,$C$10,$C$11,$C$12),"")</f>
        <v>-59146.147970245576</v>
      </c>
      <c r="V30" s="255">
        <f ca="1">IF(NOW(),_xll.mirSwapPV($C$3,$C$4,$C$6,$G5,$C$7,$I5,$C$16,$C$17,$C$18,$C$19,$C$20,$C$21,$C$22,$C$26,$C$27,V$28,$D$16,$D$17,$D$18,$D$19,$D$20,$D$21,$D$22,$D$23,$D$24,$D$25,$D$26,$D$27,$C$8,$C$9,$C$10,$C$11,$C$12),"")</f>
        <v>-88719.221955368354</v>
      </c>
      <c r="W30" s="255">
        <f ca="1">IF(NOW(),_xll.mirSwapPV($C$3,$C$4,$C$6,$G5,$C$7,$I5,$C$16,$C$17,$C$18,$C$19,$C$20,$C$21,$C$22,$C$26,$C$27,W$28,$D$16,$D$17,$D$18,$D$19,$D$20,$D$21,$D$22,$D$23,$D$24,$D$25,$D$26,$D$27,$C$8,$C$9,$C$10,$C$11,$C$12),"")</f>
        <v>-118292.29594049114</v>
      </c>
      <c r="X30" s="255">
        <f ca="1">IF(NOW(),_xll.mirSwapPV($C$3,$C$4,$C$6,$G5,$C$7,$I5,$C$16,$C$17,$C$18,$C$19,$C$20,$C$21,$C$22,$C$26,$C$27,X$28,$D$16,$D$17,$D$18,$D$19,$D$20,$D$21,$D$22,$D$23,$D$24,$D$25,$D$26,$D$27,$C$8,$C$9,$C$10,$C$11,$C$12),"")</f>
        <v>-147865.36992561395</v>
      </c>
      <c r="Y30" s="229"/>
      <c r="AG30" s="224" t="s">
        <v>39</v>
      </c>
      <c r="AH30" s="255">
        <f ca="1">IF(NOW(),_xll.mirSwapPV($C$3,$C$4,$C$6,$AA5,$C$7,$AC5,$C$16,$C$17,$C$18,$C$19,$C$20,$C$21,$C$22,$C$26,$C$27,AH$28,$D$16,$D$17,$D$18,$D$19,$D$20,$D$21,$D$22,$D$23,$D$24,$D$25,$D$26,$D$27,$C$8,$C$9,$C$10,$D$11,$C$12),"")</f>
        <v>147865.36992561389</v>
      </c>
      <c r="AI30" s="255">
        <f ca="1">IF(NOW(),_xll.mirSwapPV($C$3,$C$4,$C$6,$AA5,$C$7,$AC5,$C$16,$C$17,$C$18,$C$19,$C$20,$C$21,$C$22,$C$26,$C$27,AI$28,$D$16,$D$17,$D$18,$D$19,$D$20,$D$21,$D$22,$D$23,$D$24,$D$25,$D$26,$D$27,$C$8,$C$9,$C$10,$D$11,$C$12),"")</f>
        <v>118292.29594049114</v>
      </c>
      <c r="AJ30" s="255">
        <f ca="1">IF(NOW(),_xll.mirSwapPV($C$3,$C$4,$C$6,$AA5,$C$7,$AC5,$C$16,$C$17,$C$18,$C$19,$C$20,$C$21,$C$22,$C$26,$C$27,AJ$28,$D$16,$D$17,$D$18,$D$19,$D$20,$D$21,$D$22,$D$23,$D$24,$D$25,$D$26,$D$27,$C$8,$C$9,$C$10,$D$11,$C$12),"")</f>
        <v>88719.221955368339</v>
      </c>
      <c r="AK30" s="255">
        <f ca="1">IF(NOW(),_xll.mirSwapPV($C$3,$C$4,$C$6,$AA5,$C$7,$AC5,$C$16,$C$17,$C$18,$C$19,$C$20,$C$21,$C$22,$C$26,$C$27,AK$28,$D$16,$D$17,$D$18,$D$19,$D$20,$D$21,$D$22,$D$23,$D$24,$D$25,$D$26,$D$27,$C$8,$C$9,$C$10,$D$11,$C$12),"")</f>
        <v>59146.147970245576</v>
      </c>
      <c r="AL30" s="255">
        <f ca="1">IF(NOW(),_xll.mirSwapPV($C$3,$C$4,$C$6,$AA5,$C$7,$AC5,$C$16,$C$17,$C$18,$C$19,$C$20,$C$21,$C$22,$C$26,$C$27,AL$28,$D$16,$D$17,$D$18,$D$19,$D$20,$D$21,$D$22,$D$23,$D$24,$D$25,$D$26,$D$27,$C$8,$C$9,$C$10,$D$11,$C$12),"")</f>
        <v>29573.073985122781</v>
      </c>
      <c r="AM30" s="255">
        <f ca="1">IF(NOW(),_xll.mirSwapPV($C$3,$C$4,$C$6,$AA5,$C$7,$AC5,$C$16,$C$17,$C$18,$C$19,$C$20,$C$21,$C$22,$C$26,$C$27,AM$28,$D$16,$D$17,$D$18,$D$19,$D$20,$D$21,$D$22,$D$23,$D$24,$D$25,$D$26,$D$27,$C$8,$C$9,$C$10,$D$11,$C$12),"")</f>
        <v>0</v>
      </c>
      <c r="AN30" s="255">
        <f ca="1">IF(NOW(),_xll.mirSwapPV($C$3,$C$4,$C$6,$AA5,$C$7,$AC5,$C$16,$C$17,$C$18,$C$19,$C$20,$C$21,$C$22,$C$26,$C$27,AN$28,$D$16,$D$17,$D$18,$D$19,$D$20,$D$21,$D$22,$D$23,$D$24,$D$25,$D$26,$D$27,$C$8,$C$9,$C$10,$D$11,$C$12),"")</f>
        <v>-29573.073985122785</v>
      </c>
      <c r="AO30" s="255">
        <f ca="1">IF(NOW(),_xll.mirSwapPV($C$3,$C$4,$C$6,$AA5,$C$7,$AC5,$C$16,$C$17,$C$18,$C$19,$C$20,$C$21,$C$22,$C$26,$C$27,AO$28,$D$16,$D$17,$D$18,$D$19,$D$20,$D$21,$D$22,$D$23,$D$24,$D$25,$D$26,$D$27,$C$8,$C$9,$C$10,$D$11,$C$12),"")</f>
        <v>-59146.147970245562</v>
      </c>
      <c r="AP30" s="255">
        <f ca="1">IF(NOW(),_xll.mirSwapPV($C$3,$C$4,$C$6,$AA5,$C$7,$AC5,$C$16,$C$17,$C$18,$C$19,$C$20,$C$21,$C$22,$C$26,$C$27,AP$28,$D$16,$D$17,$D$18,$D$19,$D$20,$D$21,$D$22,$D$23,$D$24,$D$25,$D$26,$D$27,$C$8,$C$9,$C$10,$D$11,$C$12),"")</f>
        <v>-88719.221955368354</v>
      </c>
      <c r="AQ30" s="255">
        <f ca="1">IF(NOW(),_xll.mirSwapPV($C$3,$C$4,$C$6,$AA5,$C$7,$AC5,$C$16,$C$17,$C$18,$C$19,$C$20,$C$21,$C$22,$C$26,$C$27,AQ$28,$D$16,$D$17,$D$18,$D$19,$D$20,$D$21,$D$22,$D$23,$D$24,$D$25,$D$26,$D$27,$C$8,$C$9,$C$10,$D$11,$C$12),"")</f>
        <v>-118292.29594049114</v>
      </c>
      <c r="AR30" s="255">
        <f ca="1">IF(NOW(),_xll.mirSwapPV($C$3,$C$4,$C$6,$AA5,$C$7,$AC5,$C$16,$C$17,$C$18,$C$19,$C$20,$C$21,$C$22,$C$26,$C$27,AR$28,$D$16,$D$17,$D$18,$D$19,$D$20,$D$21,$D$22,$D$23,$D$24,$D$25,$D$26,$D$27,$C$8,$C$9,$C$10,$D$11,$C$12),"")</f>
        <v>-147865.36992561395</v>
      </c>
    </row>
    <row r="31" spans="2:44">
      <c r="F31" s="230"/>
      <c r="G31" s="227"/>
      <c r="H31" s="229"/>
      <c r="I31" s="229"/>
      <c r="J31" s="229"/>
      <c r="K31" s="230"/>
      <c r="L31" s="230"/>
      <c r="M31" s="224" t="s">
        <v>35</v>
      </c>
      <c r="N31" s="255">
        <f ca="1">IF(NOW(),_xll.mirSwapPV($C$3,$C$4,$C$6,$G6,$C$7,$I6,$C$16,$C$17,$C$18,$C$19,$C$20,$C$21,$C$22,$C$26,$C$27,N$28,$D$16,$D$17,$D$18,$D$19,$D$20,$D$21,$D$22,$D$23,$D$24,$D$25,$D$26,$D$27,$C$8,$C$9,$C$10,$C$11,$C$12),"")</f>
        <v>195848.7564848233</v>
      </c>
      <c r="O31" s="255">
        <f ca="1">IF(NOW(),_xll.mirSwapPV($C$3,$C$4,$C$6,$G6,$C$7,$I6,$C$16,$C$17,$C$18,$C$19,$C$20,$C$21,$C$22,$C$26,$C$27,O$28,$D$16,$D$17,$D$18,$D$19,$D$20,$D$21,$D$22,$D$23,$D$24,$D$25,$D$26,$D$27,$C$8,$C$9,$C$10,$C$11,$C$12),"")</f>
        <v>156679.00518785859</v>
      </c>
      <c r="P31" s="255">
        <f ca="1">IF(NOW(),_xll.mirSwapPV($C$3,$C$4,$C$6,$G6,$C$7,$I6,$C$16,$C$17,$C$18,$C$19,$C$20,$C$21,$C$22,$C$26,$C$27,P$28,$D$16,$D$17,$D$18,$D$19,$D$20,$D$21,$D$22,$D$23,$D$24,$D$25,$D$26,$D$27,$C$8,$C$9,$C$10,$C$11,$C$12),"")</f>
        <v>117509.253890894</v>
      </c>
      <c r="Q31" s="255">
        <f ca="1">IF(NOW(),_xll.mirSwapPV($C$3,$C$4,$C$6,$G6,$C$7,$I6,$C$16,$C$17,$C$18,$C$19,$C$20,$C$21,$C$22,$C$26,$C$27,Q$28,$D$16,$D$17,$D$18,$D$19,$D$20,$D$21,$D$22,$D$23,$D$24,$D$25,$D$26,$D$27,$C$8,$C$9,$C$10,$C$11,$C$12),"")</f>
        <v>78339.502593929326</v>
      </c>
      <c r="R31" s="255">
        <f ca="1">IF(NOW(),_xll.mirSwapPV($C$3,$C$4,$C$6,$G6,$C$7,$I6,$C$16,$C$17,$C$18,$C$19,$C$20,$C$21,$C$22,$C$26,$C$27,R$28,$D$16,$D$17,$D$18,$D$19,$D$20,$D$21,$D$22,$D$23,$D$24,$D$25,$D$26,$D$27,$C$8,$C$9,$C$10,$C$11,$C$12),"")</f>
        <v>39169.751296964649</v>
      </c>
      <c r="S31" s="255">
        <f ca="1">IF(NOW(),_xll.mirSwapPV($C$3,$C$4,$C$6,$G6,$C$7,$I6,$C$16,$C$17,$C$18,$C$19,$C$20,$C$21,$C$22,$C$26,$C$27,S$28,$D$16,$D$17,$D$18,$D$19,$D$20,$D$21,$D$22,$D$23,$D$24,$D$25,$D$26,$D$27,$C$8,$C$9,$C$10,$C$11,$C$12),"")</f>
        <v>0</v>
      </c>
      <c r="T31" s="255">
        <f ca="1">IF(NOW(),_xll.mirSwapPV($C$3,$C$4,$C$6,$G6,$C$7,$I6,$C$16,$C$17,$C$18,$C$19,$C$20,$C$21,$C$22,$C$26,$C$27,T$28,$D$16,$D$17,$D$18,$D$19,$D$20,$D$21,$D$22,$D$23,$D$24,$D$25,$D$26,$D$27,$C$8,$C$9,$C$10,$C$11,$C$12),"")</f>
        <v>-39169.751296964656</v>
      </c>
      <c r="U31" s="255">
        <f ca="1">IF(NOW(),_xll.mirSwapPV($C$3,$C$4,$C$6,$G6,$C$7,$I6,$C$16,$C$17,$C$18,$C$19,$C$20,$C$21,$C$22,$C$26,$C$27,U$28,$D$16,$D$17,$D$18,$D$19,$D$20,$D$21,$D$22,$D$23,$D$24,$D$25,$D$26,$D$27,$C$8,$C$9,$C$10,$C$11,$C$12),"")</f>
        <v>-78339.502593929312</v>
      </c>
      <c r="V31" s="255">
        <f ca="1">IF(NOW(),_xll.mirSwapPV($C$3,$C$4,$C$6,$G6,$C$7,$I6,$C$16,$C$17,$C$18,$C$19,$C$20,$C$21,$C$22,$C$26,$C$27,V$28,$D$16,$D$17,$D$18,$D$19,$D$20,$D$21,$D$22,$D$23,$D$24,$D$25,$D$26,$D$27,$C$8,$C$9,$C$10,$C$11,$C$12),"")</f>
        <v>-117509.25389089398</v>
      </c>
      <c r="W31" s="255">
        <f ca="1">IF(NOW(),_xll.mirSwapPV($C$3,$C$4,$C$6,$G6,$C$7,$I6,$C$16,$C$17,$C$18,$C$19,$C$20,$C$21,$C$22,$C$26,$C$27,W$28,$D$16,$D$17,$D$18,$D$19,$D$20,$D$21,$D$22,$D$23,$D$24,$D$25,$D$26,$D$27,$C$8,$C$9,$C$10,$C$11,$C$12),"")</f>
        <v>-156679.00518785859</v>
      </c>
      <c r="X31" s="255">
        <f ca="1">IF(NOW(),_xll.mirSwapPV($C$3,$C$4,$C$6,$G6,$C$7,$I6,$C$16,$C$17,$C$18,$C$19,$C$20,$C$21,$C$22,$C$26,$C$27,X$28,$D$16,$D$17,$D$18,$D$19,$D$20,$D$21,$D$22,$D$23,$D$24,$D$25,$D$26,$D$27,$C$8,$C$9,$C$10,$C$11,$C$12),"")</f>
        <v>-195848.7564848233</v>
      </c>
      <c r="Y31" s="229"/>
      <c r="AG31" s="224" t="s">
        <v>35</v>
      </c>
      <c r="AH31" s="255">
        <f ca="1">IF(NOW(),_xll.mirSwapPV($C$3,$C$4,$C$6,$AA6,$C$7,$AC6,$C$16,$C$17,$C$18,$C$19,$C$20,$C$21,$C$22,$C$26,$C$27,AH$28,$D$16,$D$17,$D$18,$D$19,$D$20,$D$21,$D$22,$D$23,$D$24,$D$25,$D$26,$D$27,$C$8,$C$9,$C$10,$D$11,$C$12),"")</f>
        <v>195848.75648482324</v>
      </c>
      <c r="AI31" s="255">
        <f ca="1">IF(NOW(),_xll.mirSwapPV($C$3,$C$4,$C$6,$AA6,$C$7,$AC6,$C$16,$C$17,$C$18,$C$19,$C$20,$C$21,$C$22,$C$26,$C$27,AI$28,$D$16,$D$17,$D$18,$D$19,$D$20,$D$21,$D$22,$D$23,$D$24,$D$25,$D$26,$D$27,$C$8,$C$9,$C$10,$D$11,$C$12),"")</f>
        <v>156679.00518785862</v>
      </c>
      <c r="AJ31" s="255">
        <f ca="1">IF(NOW(),_xll.mirSwapPV($C$3,$C$4,$C$6,$AA6,$C$7,$AC6,$C$16,$C$17,$C$18,$C$19,$C$20,$C$21,$C$22,$C$26,$C$27,AJ$28,$D$16,$D$17,$D$18,$D$19,$D$20,$D$21,$D$22,$D$23,$D$24,$D$25,$D$26,$D$27,$C$8,$C$9,$C$10,$D$11,$C$12),"")</f>
        <v>117509.25389089395</v>
      </c>
      <c r="AK31" s="255">
        <f ca="1">IF(NOW(),_xll.mirSwapPV($C$3,$C$4,$C$6,$AA6,$C$7,$AC6,$C$16,$C$17,$C$18,$C$19,$C$20,$C$21,$C$22,$C$26,$C$27,AK$28,$D$16,$D$17,$D$18,$D$19,$D$20,$D$21,$D$22,$D$23,$D$24,$D$25,$D$26,$D$27,$C$8,$C$9,$C$10,$D$11,$C$12),"")</f>
        <v>78339.502593929297</v>
      </c>
      <c r="AL31" s="255">
        <f ca="1">IF(NOW(),_xll.mirSwapPV($C$3,$C$4,$C$6,$AA6,$C$7,$AC6,$C$16,$C$17,$C$18,$C$19,$C$20,$C$21,$C$22,$C$26,$C$27,AL$28,$D$16,$D$17,$D$18,$D$19,$D$20,$D$21,$D$22,$D$23,$D$24,$D$25,$D$26,$D$27,$C$8,$C$9,$C$10,$D$11,$C$12),"")</f>
        <v>39169.751296964649</v>
      </c>
      <c r="AM31" s="255">
        <f ca="1">IF(NOW(),_xll.mirSwapPV($C$3,$C$4,$C$6,$AA6,$C$7,$AC6,$C$16,$C$17,$C$18,$C$19,$C$20,$C$21,$C$22,$C$26,$C$27,AM$28,$D$16,$D$17,$D$18,$D$19,$D$20,$D$21,$D$22,$D$23,$D$24,$D$25,$D$26,$D$27,$C$8,$C$9,$C$10,$D$11,$C$12),"")</f>
        <v>0</v>
      </c>
      <c r="AN31" s="255">
        <f ca="1">IF(NOW(),_xll.mirSwapPV($C$3,$C$4,$C$6,$AA6,$C$7,$AC6,$C$16,$C$17,$C$18,$C$19,$C$20,$C$21,$C$22,$C$26,$C$27,AN$28,$D$16,$D$17,$D$18,$D$19,$D$20,$D$21,$D$22,$D$23,$D$24,$D$25,$D$26,$D$27,$C$8,$C$9,$C$10,$D$11,$C$12),"")</f>
        <v>-39169.751296964656</v>
      </c>
      <c r="AO31" s="255">
        <f ca="1">IF(NOW(),_xll.mirSwapPV($C$3,$C$4,$C$6,$AA6,$C$7,$AC6,$C$16,$C$17,$C$18,$C$19,$C$20,$C$21,$C$22,$C$26,$C$27,AO$28,$D$16,$D$17,$D$18,$D$19,$D$20,$D$21,$D$22,$D$23,$D$24,$D$25,$D$26,$D$27,$C$8,$C$9,$C$10,$D$11,$C$12),"")</f>
        <v>-78339.502593929312</v>
      </c>
      <c r="AP31" s="255">
        <f ca="1">IF(NOW(),_xll.mirSwapPV($C$3,$C$4,$C$6,$AA6,$C$7,$AC6,$C$16,$C$17,$C$18,$C$19,$C$20,$C$21,$C$22,$C$26,$C$27,AP$28,$D$16,$D$17,$D$18,$D$19,$D$20,$D$21,$D$22,$D$23,$D$24,$D$25,$D$26,$D$27,$C$8,$C$9,$C$10,$D$11,$C$12),"")</f>
        <v>-117509.25389089398</v>
      </c>
      <c r="AQ31" s="255">
        <f ca="1">IF(NOW(),_xll.mirSwapPV($C$3,$C$4,$C$6,$AA6,$C$7,$AC6,$C$16,$C$17,$C$18,$C$19,$C$20,$C$21,$C$22,$C$26,$C$27,AQ$28,$D$16,$D$17,$D$18,$D$19,$D$20,$D$21,$D$22,$D$23,$D$24,$D$25,$D$26,$D$27,$C$8,$C$9,$C$10,$D$11,$C$12),"")</f>
        <v>-156679.00518785862</v>
      </c>
      <c r="AR31" s="255">
        <f ca="1">IF(NOW(),_xll.mirSwapPV($C$3,$C$4,$C$6,$AA6,$C$7,$AC6,$C$16,$C$17,$C$18,$C$19,$C$20,$C$21,$C$22,$C$26,$C$27,AR$28,$D$16,$D$17,$D$18,$D$19,$D$20,$D$21,$D$22,$D$23,$D$24,$D$25,$D$26,$D$27,$C$8,$C$9,$C$10,$D$11,$C$12),"")</f>
        <v>-195848.7564848233</v>
      </c>
    </row>
    <row r="32" spans="2:44">
      <c r="F32" s="230"/>
      <c r="G32" s="227"/>
      <c r="H32" s="229"/>
      <c r="I32" s="229"/>
      <c r="J32" s="229"/>
      <c r="K32" s="230"/>
      <c r="L32" s="230"/>
      <c r="M32" s="224" t="s">
        <v>33</v>
      </c>
      <c r="N32" s="255">
        <f ca="1">IF(NOW(),_xll.mirSwapPV($C$3,$C$4,$C$6,$G7,$C$7,$I7,$C$16,$C$17,$C$18,$C$19,$C$20,$C$21,$C$22,$C$26,$C$27,N$28,$D$16,$D$17,$D$18,$D$19,$D$20,$D$21,$D$22,$D$23,$D$24,$D$25,$D$26,$D$27,$C$8,$C$9,$C$10,$C$11,$C$12),"")</f>
        <v>242457.13075464786</v>
      </c>
      <c r="O32" s="255">
        <f ca="1">IF(NOW(),_xll.mirSwapPV($C$3,$C$4,$C$6,$G7,$C$7,$I7,$C$16,$C$17,$C$18,$C$19,$C$20,$C$21,$C$22,$C$26,$C$27,O$28,$D$16,$D$17,$D$18,$D$19,$D$20,$D$21,$D$22,$D$23,$D$24,$D$25,$D$26,$D$27,$C$8,$C$9,$C$10,$C$11,$C$12),"")</f>
        <v>193965.70460371824</v>
      </c>
      <c r="P32" s="255">
        <f ca="1">IF(NOW(),_xll.mirSwapPV($C$3,$C$4,$C$6,$G7,$C$7,$I7,$C$16,$C$17,$C$18,$C$19,$C$20,$C$21,$C$22,$C$26,$C$27,P$28,$D$16,$D$17,$D$18,$D$19,$D$20,$D$21,$D$22,$D$23,$D$24,$D$25,$D$26,$D$27,$C$8,$C$9,$C$10,$C$11,$C$12),"")</f>
        <v>145474.27845278877</v>
      </c>
      <c r="Q32" s="255">
        <f ca="1">IF(NOW(),_xll.mirSwapPV($C$3,$C$4,$C$6,$G7,$C$7,$I7,$C$16,$C$17,$C$18,$C$19,$C$20,$C$21,$C$22,$C$26,$C$27,Q$28,$D$16,$D$17,$D$18,$D$19,$D$20,$D$21,$D$22,$D$23,$D$24,$D$25,$D$26,$D$27,$C$8,$C$9,$C$10,$C$11,$C$12),"")</f>
        <v>96982.852301859166</v>
      </c>
      <c r="R32" s="255">
        <f ca="1">IF(NOW(),_xll.mirSwapPV($C$3,$C$4,$C$6,$G7,$C$7,$I7,$C$16,$C$17,$C$18,$C$19,$C$20,$C$21,$C$22,$C$26,$C$27,R$28,$D$16,$D$17,$D$18,$D$19,$D$20,$D$21,$D$22,$D$23,$D$24,$D$25,$D$26,$D$27,$C$8,$C$9,$C$10,$C$11,$C$12),"")</f>
        <v>48491.426150929561</v>
      </c>
      <c r="S32" s="255">
        <f ca="1">IF(NOW(),_xll.mirSwapPV($C$3,$C$4,$C$6,$G7,$C$7,$I7,$C$16,$C$17,$C$18,$C$19,$C$20,$C$21,$C$22,$C$26,$C$27,S$28,$D$16,$D$17,$D$18,$D$19,$D$20,$D$21,$D$22,$D$23,$D$24,$D$25,$D$26,$D$27,$C$8,$C$9,$C$10,$C$11,$C$12),"")</f>
        <v>0</v>
      </c>
      <c r="T32" s="255">
        <f ca="1">IF(NOW(),_xll.mirSwapPV($C$3,$C$4,$C$6,$G7,$C$7,$I7,$C$16,$C$17,$C$18,$C$19,$C$20,$C$21,$C$22,$C$26,$C$27,T$28,$D$16,$D$17,$D$18,$D$19,$D$20,$D$21,$D$22,$D$23,$D$24,$D$25,$D$26,$D$27,$C$8,$C$9,$C$10,$C$11,$C$12),"")</f>
        <v>-48491.426150929576</v>
      </c>
      <c r="U32" s="255">
        <f ca="1">IF(NOW(),_xll.mirSwapPV($C$3,$C$4,$C$6,$G7,$C$7,$I7,$C$16,$C$17,$C$18,$C$19,$C$20,$C$21,$C$22,$C$26,$C$27,U$28,$D$16,$D$17,$D$18,$D$19,$D$20,$D$21,$D$22,$D$23,$D$24,$D$25,$D$26,$D$27,$C$8,$C$9,$C$10,$C$11,$C$12),"")</f>
        <v>-96982.852301859151</v>
      </c>
      <c r="V32" s="255">
        <f ca="1">IF(NOW(),_xll.mirSwapPV($C$3,$C$4,$C$6,$G7,$C$7,$I7,$C$16,$C$17,$C$18,$C$19,$C$20,$C$21,$C$22,$C$26,$C$27,V$28,$D$16,$D$17,$D$18,$D$19,$D$20,$D$21,$D$22,$D$23,$D$24,$D$25,$D$26,$D$27,$C$8,$C$9,$C$10,$C$11,$C$12),"")</f>
        <v>-145474.27845278874</v>
      </c>
      <c r="W32" s="255">
        <f ca="1">IF(NOW(),_xll.mirSwapPV($C$3,$C$4,$C$6,$G7,$C$7,$I7,$C$16,$C$17,$C$18,$C$19,$C$20,$C$21,$C$22,$C$26,$C$27,W$28,$D$16,$D$17,$D$18,$D$19,$D$20,$D$21,$D$22,$D$23,$D$24,$D$25,$D$26,$D$27,$C$8,$C$9,$C$10,$C$11,$C$12),"")</f>
        <v>-193965.70460371827</v>
      </c>
      <c r="X32" s="255">
        <f ca="1">IF(NOW(),_xll.mirSwapPV($C$3,$C$4,$C$6,$G7,$C$7,$I7,$C$16,$C$17,$C$18,$C$19,$C$20,$C$21,$C$22,$C$26,$C$27,X$28,$D$16,$D$17,$D$18,$D$19,$D$20,$D$21,$D$22,$D$23,$D$24,$D$25,$D$26,$D$27,$C$8,$C$9,$C$10,$C$11,$C$12),"")</f>
        <v>-242457.13075464792</v>
      </c>
      <c r="Y32" s="229"/>
      <c r="AE32" s="252"/>
      <c r="AG32" s="224" t="s">
        <v>33</v>
      </c>
      <c r="AH32" s="255">
        <f ca="1">IF(NOW(),_xll.mirSwapPV($C$3,$C$4,$C$6,$AA7,$C$7,$AC7,$C$16,$C$17,$C$18,$C$19,$C$20,$C$21,$C$22,$C$26,$C$27,AH$28,$D$16,$D$17,$D$18,$D$19,$D$20,$D$21,$D$22,$D$23,$D$24,$D$25,$D$26,$D$27,$C$8,$C$9,$C$10,$D$11,$C$12),"")</f>
        <v>242457.13075464786</v>
      </c>
      <c r="AI32" s="255">
        <f ca="1">IF(NOW(),_xll.mirSwapPV($C$3,$C$4,$C$6,$AA7,$C$7,$AC7,$C$16,$C$17,$C$18,$C$19,$C$20,$C$21,$C$22,$C$26,$C$27,AI$28,$D$16,$D$17,$D$18,$D$19,$D$20,$D$21,$D$22,$D$23,$D$24,$D$25,$D$26,$D$27,$C$8,$C$9,$C$10,$D$11,$C$12),"")</f>
        <v>193965.7046037183</v>
      </c>
      <c r="AJ32" s="255">
        <f ca="1">IF(NOW(),_xll.mirSwapPV($C$3,$C$4,$C$6,$AA7,$C$7,$AC7,$C$16,$C$17,$C$18,$C$19,$C$20,$C$21,$C$22,$C$26,$C$27,AJ$28,$D$16,$D$17,$D$18,$D$19,$D$20,$D$21,$D$22,$D$23,$D$24,$D$25,$D$26,$D$27,$C$8,$C$9,$C$10,$D$11,$C$12),"")</f>
        <v>145474.27845278871</v>
      </c>
      <c r="AK32" s="255">
        <f ca="1">IF(NOW(),_xll.mirSwapPV($C$3,$C$4,$C$6,$AA7,$C$7,$AC7,$C$16,$C$17,$C$18,$C$19,$C$20,$C$21,$C$22,$C$26,$C$27,AK$28,$D$16,$D$17,$D$18,$D$19,$D$20,$D$21,$D$22,$D$23,$D$24,$D$25,$D$26,$D$27,$C$8,$C$9,$C$10,$D$11,$C$12),"")</f>
        <v>96982.852301859137</v>
      </c>
      <c r="AL32" s="255">
        <f ca="1">IF(NOW(),_xll.mirSwapPV($C$3,$C$4,$C$6,$AA7,$C$7,$AC7,$C$16,$C$17,$C$18,$C$19,$C$20,$C$21,$C$22,$C$26,$C$27,AL$28,$D$16,$D$17,$D$18,$D$19,$D$20,$D$21,$D$22,$D$23,$D$24,$D$25,$D$26,$D$27,$C$8,$C$9,$C$10,$D$11,$C$12),"")</f>
        <v>48491.426150929561</v>
      </c>
      <c r="AM32" s="255">
        <f ca="1">IF(NOW(),_xll.mirSwapPV($C$3,$C$4,$C$6,$AA7,$C$7,$AC7,$C$16,$C$17,$C$18,$C$19,$C$20,$C$21,$C$22,$C$26,$C$27,AM$28,$D$16,$D$17,$D$18,$D$19,$D$20,$D$21,$D$22,$D$23,$D$24,$D$25,$D$26,$D$27,$C$8,$C$9,$C$10,$D$11,$C$12),"")</f>
        <v>0</v>
      </c>
      <c r="AN32" s="255">
        <f ca="1">IF(NOW(),_xll.mirSwapPV($C$3,$C$4,$C$6,$AA7,$C$7,$AC7,$C$16,$C$17,$C$18,$C$19,$C$20,$C$21,$C$22,$C$26,$C$27,AN$28,$D$16,$D$17,$D$18,$D$19,$D$20,$D$21,$D$22,$D$23,$D$24,$D$25,$D$26,$D$27,$C$8,$C$9,$C$10,$D$11,$C$12),"")</f>
        <v>-48491.426150929568</v>
      </c>
      <c r="AO32" s="255">
        <f ca="1">IF(NOW(),_xll.mirSwapPV($C$3,$C$4,$C$6,$AA7,$C$7,$AC7,$C$16,$C$17,$C$18,$C$19,$C$20,$C$21,$C$22,$C$26,$C$27,AO$28,$D$16,$D$17,$D$18,$D$19,$D$20,$D$21,$D$22,$D$23,$D$24,$D$25,$D$26,$D$27,$C$8,$C$9,$C$10,$D$11,$C$12),"")</f>
        <v>-96982.852301859137</v>
      </c>
      <c r="AP32" s="255">
        <f ca="1">IF(NOW(),_xll.mirSwapPV($C$3,$C$4,$C$6,$AA7,$C$7,$AC7,$C$16,$C$17,$C$18,$C$19,$C$20,$C$21,$C$22,$C$26,$C$27,AP$28,$D$16,$D$17,$D$18,$D$19,$D$20,$D$21,$D$22,$D$23,$D$24,$D$25,$D$26,$D$27,$C$8,$C$9,$C$10,$D$11,$C$12),"")</f>
        <v>-145474.27845278874</v>
      </c>
      <c r="AQ32" s="255">
        <f ca="1">IF(NOW(),_xll.mirSwapPV($C$3,$C$4,$C$6,$AA7,$C$7,$AC7,$C$16,$C$17,$C$18,$C$19,$C$20,$C$21,$C$22,$C$26,$C$27,AQ$28,$D$16,$D$17,$D$18,$D$19,$D$20,$D$21,$D$22,$D$23,$D$24,$D$25,$D$26,$D$27,$C$8,$C$9,$C$10,$D$11,$C$12),"")</f>
        <v>-193965.7046037183</v>
      </c>
      <c r="AR32" s="255">
        <f ca="1">IF(NOW(),_xll.mirSwapPV($C$3,$C$4,$C$6,$AA7,$C$7,$AC7,$C$16,$C$17,$C$18,$C$19,$C$20,$C$21,$C$22,$C$26,$C$27,AR$28,$D$16,$D$17,$D$18,$D$19,$D$20,$D$21,$D$22,$D$23,$D$24,$D$25,$D$26,$D$27,$C$8,$C$9,$C$10,$D$11,$C$12),"")</f>
        <v>-242457.13075464786</v>
      </c>
    </row>
    <row r="33" spans="6:44">
      <c r="F33" s="230"/>
      <c r="G33" s="227"/>
      <c r="H33" s="229"/>
      <c r="I33" s="229"/>
      <c r="J33" s="229"/>
      <c r="K33" s="230"/>
      <c r="L33" s="230"/>
      <c r="M33" s="224" t="s">
        <v>131</v>
      </c>
      <c r="N33" s="255">
        <f ca="1">IF(NOW(),_xll.mirSwapPV($C$3,$C$4,$C$6,$G8,$C$7,$I8,$C$16,$C$17,$C$18,$C$19,$C$20,$C$21,$C$22,$C$26,$C$27,N$28,$D$16,$D$17,$D$18,$D$19,$D$20,$D$21,$D$22,$D$23,$D$24,$D$25,$D$26,$D$27,$C$8,$C$9,$C$10,$C$11,$C$12),"")</f>
        <v>288154.79235869745</v>
      </c>
      <c r="O33" s="255">
        <f ca="1">IF(NOW(),_xll.mirSwapPV($C$3,$C$4,$C$6,$G8,$C$7,$I8,$C$16,$C$17,$C$18,$C$19,$C$20,$C$21,$C$22,$C$26,$C$27,O$28,$D$16,$D$17,$D$18,$D$19,$D$20,$D$21,$D$22,$D$23,$D$24,$D$25,$D$26,$D$27,$C$8,$C$9,$C$10,$C$11,$C$12),"")</f>
        <v>230523.8338869579</v>
      </c>
      <c r="P33" s="255">
        <f ca="1">IF(NOW(),_xll.mirSwapPV($C$3,$C$4,$C$6,$G8,$C$7,$I8,$C$16,$C$17,$C$18,$C$19,$C$20,$C$21,$C$22,$C$26,$C$27,P$28,$D$16,$D$17,$D$18,$D$19,$D$20,$D$21,$D$22,$D$23,$D$24,$D$25,$D$26,$D$27,$C$8,$C$9,$C$10,$C$11,$C$12),"")</f>
        <v>172892.87541521853</v>
      </c>
      <c r="Q33" s="255">
        <f ca="1">IF(NOW(),_xll.mirSwapPV($C$3,$C$4,$C$6,$G8,$C$7,$I8,$C$16,$C$17,$C$18,$C$19,$C$20,$C$21,$C$22,$C$26,$C$27,Q$28,$D$16,$D$17,$D$18,$D$19,$D$20,$D$21,$D$22,$D$23,$D$24,$D$25,$D$26,$D$27,$C$8,$C$9,$C$10,$C$11,$C$12),"")</f>
        <v>115261.91694347902</v>
      </c>
      <c r="R33" s="255">
        <f ca="1">IF(NOW(),_xll.mirSwapPV($C$3,$C$4,$C$6,$G8,$C$7,$I8,$C$16,$C$17,$C$18,$C$19,$C$20,$C$21,$C$22,$C$26,$C$27,R$28,$D$16,$D$17,$D$18,$D$19,$D$20,$D$21,$D$22,$D$23,$D$24,$D$25,$D$26,$D$27,$C$8,$C$9,$C$10,$C$11,$C$12),"")</f>
        <v>57630.958471739475</v>
      </c>
      <c r="S33" s="255">
        <f ca="1">IF(NOW(),_xll.mirSwapPV($C$3,$C$4,$C$6,$G8,$C$7,$I8,$C$16,$C$17,$C$18,$C$19,$C$20,$C$21,$C$22,$C$26,$C$27,S$28,$D$16,$D$17,$D$18,$D$19,$D$20,$D$21,$D$22,$D$23,$D$24,$D$25,$D$26,$D$27,$C$8,$C$9,$C$10,$C$11,$C$12),"")</f>
        <v>0</v>
      </c>
      <c r="T33" s="255">
        <f ca="1">IF(NOW(),_xll.mirSwapPV($C$3,$C$4,$C$6,$G8,$C$7,$I8,$C$16,$C$17,$C$18,$C$19,$C$20,$C$21,$C$22,$C$26,$C$27,T$28,$D$16,$D$17,$D$18,$D$19,$D$20,$D$21,$D$22,$D$23,$D$24,$D$25,$D$26,$D$27,$C$8,$C$9,$C$10,$C$11,$C$12),"")</f>
        <v>-57630.958471739483</v>
      </c>
      <c r="U33" s="255">
        <f ca="1">IF(NOW(),_xll.mirSwapPV($C$3,$C$4,$C$6,$G8,$C$7,$I8,$C$16,$C$17,$C$18,$C$19,$C$20,$C$21,$C$22,$C$26,$C$27,U$28,$D$16,$D$17,$D$18,$D$19,$D$20,$D$21,$D$22,$D$23,$D$24,$D$25,$D$26,$D$27,$C$8,$C$9,$C$10,$C$11,$C$12),"")</f>
        <v>-115261.91694347898</v>
      </c>
      <c r="V33" s="255">
        <f ca="1">IF(NOW(),_xll.mirSwapPV($C$3,$C$4,$C$6,$G8,$C$7,$I8,$C$16,$C$17,$C$18,$C$19,$C$20,$C$21,$C$22,$C$26,$C$27,V$28,$D$16,$D$17,$D$18,$D$19,$D$20,$D$21,$D$22,$D$23,$D$24,$D$25,$D$26,$D$27,$C$8,$C$9,$C$10,$C$11,$C$12),"")</f>
        <v>-172892.87541521847</v>
      </c>
      <c r="W33" s="255">
        <f ca="1">IF(NOW(),_xll.mirSwapPV($C$3,$C$4,$C$6,$G8,$C$7,$I8,$C$16,$C$17,$C$18,$C$19,$C$20,$C$21,$C$22,$C$26,$C$27,W$28,$D$16,$D$17,$D$18,$D$19,$D$20,$D$21,$D$22,$D$23,$D$24,$D$25,$D$26,$D$27,$C$8,$C$9,$C$10,$C$11,$C$12),"")</f>
        <v>-230523.83388695796</v>
      </c>
      <c r="X33" s="255">
        <f ca="1">IF(NOW(),_xll.mirSwapPV($C$3,$C$4,$C$6,$G8,$C$7,$I8,$C$16,$C$17,$C$18,$C$19,$C$20,$C$21,$C$22,$C$26,$C$27,X$28,$D$16,$D$17,$D$18,$D$19,$D$20,$D$21,$D$22,$D$23,$D$24,$D$25,$D$26,$D$27,$C$8,$C$9,$C$10,$C$11,$C$12),"")</f>
        <v>-288154.79235869751</v>
      </c>
      <c r="Y33" s="229"/>
      <c r="AE33" s="10"/>
      <c r="AG33" s="224" t="s">
        <v>131</v>
      </c>
      <c r="AH33" s="255">
        <f ca="1">IF(NOW(),_xll.mirSwapPV($C$3,$C$4,$C$6,$AA8,$C$7,$AC8,$C$16,$C$17,$C$18,$C$19,$C$20,$C$21,$C$22,$C$26,$C$27,AH$28,$D$16,$D$17,$D$18,$D$19,$D$20,$D$21,$D$22,$D$23,$D$24,$D$25,$D$26,$D$27,$C$8,$C$9,$C$10,$D$11,$C$12),"")</f>
        <v>288154.79235869745</v>
      </c>
      <c r="AI33" s="255">
        <f ca="1">IF(NOW(),_xll.mirSwapPV($C$3,$C$4,$C$6,$AA8,$C$7,$AC8,$C$16,$C$17,$C$18,$C$19,$C$20,$C$21,$C$22,$C$26,$C$27,AI$28,$D$16,$D$17,$D$18,$D$19,$D$20,$D$21,$D$22,$D$23,$D$24,$D$25,$D$26,$D$27,$C$8,$C$9,$C$10,$D$11,$C$12),"")</f>
        <v>230523.83388695796</v>
      </c>
      <c r="AJ33" s="255">
        <f ca="1">IF(NOW(),_xll.mirSwapPV($C$3,$C$4,$C$6,$AA8,$C$7,$AC8,$C$16,$C$17,$C$18,$C$19,$C$20,$C$21,$C$22,$C$26,$C$27,AJ$28,$D$16,$D$17,$D$18,$D$19,$D$20,$D$21,$D$22,$D$23,$D$24,$D$25,$D$26,$D$27,$C$8,$C$9,$C$10,$D$11,$C$12),"")</f>
        <v>172892.87541521847</v>
      </c>
      <c r="AK33" s="255">
        <f ca="1">IF(NOW(),_xll.mirSwapPV($C$3,$C$4,$C$6,$AA8,$C$7,$AC8,$C$16,$C$17,$C$18,$C$19,$C$20,$C$21,$C$22,$C$26,$C$27,AK$28,$D$16,$D$17,$D$18,$D$19,$D$20,$D$21,$D$22,$D$23,$D$24,$D$25,$D$26,$D$27,$C$8,$C$9,$C$10,$D$11,$C$12),"")</f>
        <v>115261.91694347897</v>
      </c>
      <c r="AL33" s="255">
        <f ca="1">IF(NOW(),_xll.mirSwapPV($C$3,$C$4,$C$6,$AA8,$C$7,$AC8,$C$16,$C$17,$C$18,$C$19,$C$20,$C$21,$C$22,$C$26,$C$27,AL$28,$D$16,$D$17,$D$18,$D$19,$D$20,$D$21,$D$22,$D$23,$D$24,$D$25,$D$26,$D$27,$C$8,$C$9,$C$10,$D$11,$C$12),"")</f>
        <v>57630.958471739505</v>
      </c>
      <c r="AM33" s="255">
        <f ca="1">IF(NOW(),_xll.mirSwapPV($C$3,$C$4,$C$6,$AA8,$C$7,$AC8,$C$16,$C$17,$C$18,$C$19,$C$20,$C$21,$C$22,$C$26,$C$27,AM$28,$D$16,$D$17,$D$18,$D$19,$D$20,$D$21,$D$22,$D$23,$D$24,$D$25,$D$26,$D$27,$C$8,$C$9,$C$10,$D$11,$C$12),"")</f>
        <v>0</v>
      </c>
      <c r="AN33" s="255">
        <f ca="1">IF(NOW(),_xll.mirSwapPV($C$3,$C$4,$C$6,$AA8,$C$7,$AC8,$C$16,$C$17,$C$18,$C$19,$C$20,$C$21,$C$22,$C$26,$C$27,AN$28,$D$16,$D$17,$D$18,$D$19,$D$20,$D$21,$D$22,$D$23,$D$24,$D$25,$D$26,$D$27,$C$8,$C$9,$C$10,$D$11,$C$12),"")</f>
        <v>-57630.958471739483</v>
      </c>
      <c r="AO33" s="255">
        <f ca="1">IF(NOW(),_xll.mirSwapPV($C$3,$C$4,$C$6,$AA8,$C$7,$AC8,$C$16,$C$17,$C$18,$C$19,$C$20,$C$21,$C$22,$C$26,$C$27,AO$28,$D$16,$D$17,$D$18,$D$19,$D$20,$D$21,$D$22,$D$23,$D$24,$D$25,$D$26,$D$27,$C$8,$C$9,$C$10,$D$11,$C$12),"")</f>
        <v>-115261.91694347898</v>
      </c>
      <c r="AP33" s="255">
        <f ca="1">IF(NOW(),_xll.mirSwapPV($C$3,$C$4,$C$6,$AA8,$C$7,$AC8,$C$16,$C$17,$C$18,$C$19,$C$20,$C$21,$C$22,$C$26,$C$27,AP$28,$D$16,$D$17,$D$18,$D$19,$D$20,$D$21,$D$22,$D$23,$D$24,$D$25,$D$26,$D$27,$C$8,$C$9,$C$10,$D$11,$C$12),"")</f>
        <v>-172892.87541521847</v>
      </c>
      <c r="AQ33" s="255">
        <f ca="1">IF(NOW(),_xll.mirSwapPV($C$3,$C$4,$C$6,$AA8,$C$7,$AC8,$C$16,$C$17,$C$18,$C$19,$C$20,$C$21,$C$22,$C$26,$C$27,AQ$28,$D$16,$D$17,$D$18,$D$19,$D$20,$D$21,$D$22,$D$23,$D$24,$D$25,$D$26,$D$27,$C$8,$C$9,$C$10,$D$11,$C$12),"")</f>
        <v>-230523.83388695796</v>
      </c>
      <c r="AR33" s="255">
        <f ca="1">IF(NOW(),_xll.mirSwapPV($C$3,$C$4,$C$6,$AA8,$C$7,$AC8,$C$16,$C$17,$C$18,$C$19,$C$20,$C$21,$C$22,$C$26,$C$27,AR$28,$D$16,$D$17,$D$18,$D$19,$D$20,$D$21,$D$22,$D$23,$D$24,$D$25,$D$26,$D$27,$C$8,$C$9,$C$10,$D$11,$C$12),"")</f>
        <v>-288154.79235869745</v>
      </c>
    </row>
    <row r="34" spans="6:44">
      <c r="F34" s="230"/>
      <c r="G34" s="227"/>
      <c r="H34" s="229"/>
      <c r="I34" s="229"/>
      <c r="J34" s="229"/>
      <c r="K34" s="230"/>
      <c r="L34" s="230"/>
      <c r="M34" s="224" t="s">
        <v>31</v>
      </c>
      <c r="N34" s="255">
        <f ca="1">IF(NOW(),_xll.mirSwapPV($C$3,$C$4,$C$6,$G9,$C$7,$I9,$C$16,$C$17,$C$18,$C$19,$C$20,$C$21,$C$22,$C$26,$C$27,N$28,$D$16,$D$17,$D$18,$D$19,$D$20,$D$21,$D$22,$D$23,$D$24,$D$25,$D$26,$D$27,$C$8,$C$9,$C$10,$C$11,$C$12),"")</f>
        <v>332777.29112241004</v>
      </c>
      <c r="O34" s="255">
        <f ca="1">IF(NOW(),_xll.mirSwapPV($C$3,$C$4,$C$6,$G9,$C$7,$I9,$C$16,$C$17,$C$18,$C$19,$C$20,$C$21,$C$22,$C$26,$C$27,O$28,$D$16,$D$17,$D$18,$D$19,$D$20,$D$21,$D$22,$D$23,$D$24,$D$25,$D$26,$D$27,$C$8,$C$9,$C$10,$C$11,$C$12),"")</f>
        <v>266221.83289792796</v>
      </c>
      <c r="P34" s="255">
        <f ca="1">IF(NOW(),_xll.mirSwapPV($C$3,$C$4,$C$6,$G9,$C$7,$I9,$C$16,$C$17,$C$18,$C$19,$C$20,$C$21,$C$22,$C$26,$C$27,P$28,$D$16,$D$17,$D$18,$D$19,$D$20,$D$21,$D$22,$D$23,$D$24,$D$25,$D$26,$D$27,$C$8,$C$9,$C$10,$C$11,$C$12),"")</f>
        <v>199666.37467344612</v>
      </c>
      <c r="Q34" s="255">
        <f ca="1">IF(NOW(),_xll.mirSwapPV($C$3,$C$4,$C$6,$G9,$C$7,$I9,$C$16,$C$17,$C$18,$C$19,$C$20,$C$21,$C$22,$C$26,$C$27,Q$28,$D$16,$D$17,$D$18,$D$19,$D$20,$D$21,$D$22,$D$23,$D$24,$D$25,$D$26,$D$27,$C$8,$C$9,$C$10,$C$11,$C$12),"")</f>
        <v>133110.91644896407</v>
      </c>
      <c r="R34" s="255">
        <f ca="1">IF(NOW(),_xll.mirSwapPV($C$3,$C$4,$C$6,$G9,$C$7,$I9,$C$16,$C$17,$C$18,$C$19,$C$20,$C$21,$C$22,$C$26,$C$27,R$28,$D$16,$D$17,$D$18,$D$19,$D$20,$D$21,$D$22,$D$23,$D$24,$D$25,$D$26,$D$27,$C$8,$C$9,$C$10,$C$11,$C$12),"")</f>
        <v>66555.458224482005</v>
      </c>
      <c r="S34" s="255">
        <f ca="1">IF(NOW(),_xll.mirSwapPV($C$3,$C$4,$C$6,$G9,$C$7,$I9,$C$16,$C$17,$C$18,$C$19,$C$20,$C$21,$C$22,$C$26,$C$27,S$28,$D$16,$D$17,$D$18,$D$19,$D$20,$D$21,$D$22,$D$23,$D$24,$D$25,$D$26,$D$27,$C$8,$C$9,$C$10,$C$11,$C$12),"")</f>
        <v>0</v>
      </c>
      <c r="T34" s="255">
        <f ca="1">IF(NOW(),_xll.mirSwapPV($C$3,$C$4,$C$6,$G9,$C$7,$I9,$C$16,$C$17,$C$18,$C$19,$C$20,$C$21,$C$22,$C$26,$C$27,T$28,$D$16,$D$17,$D$18,$D$19,$D$20,$D$21,$D$22,$D$23,$D$24,$D$25,$D$26,$D$27,$C$8,$C$9,$C$10,$C$11,$C$12),"")</f>
        <v>-66555.45822448199</v>
      </c>
      <c r="U34" s="255">
        <f ca="1">IF(NOW(),_xll.mirSwapPV($C$3,$C$4,$C$6,$G9,$C$7,$I9,$C$16,$C$17,$C$18,$C$19,$C$20,$C$21,$C$22,$C$26,$C$27,U$28,$D$16,$D$17,$D$18,$D$19,$D$20,$D$21,$D$22,$D$23,$D$24,$D$25,$D$26,$D$27,$C$8,$C$9,$C$10,$C$11,$C$12),"")</f>
        <v>-133110.91644896401</v>
      </c>
      <c r="V34" s="255">
        <f ca="1">IF(NOW(),_xll.mirSwapPV($C$3,$C$4,$C$6,$G9,$C$7,$I9,$C$16,$C$17,$C$18,$C$19,$C$20,$C$21,$C$22,$C$26,$C$27,V$28,$D$16,$D$17,$D$18,$D$19,$D$20,$D$21,$D$22,$D$23,$D$24,$D$25,$D$26,$D$27,$C$8,$C$9,$C$10,$C$11,$C$12),"")</f>
        <v>-199666.374673446</v>
      </c>
      <c r="W34" s="255">
        <f ca="1">IF(NOW(),_xll.mirSwapPV($C$3,$C$4,$C$6,$G9,$C$7,$I9,$C$16,$C$17,$C$18,$C$19,$C$20,$C$21,$C$22,$C$26,$C$27,W$28,$D$16,$D$17,$D$18,$D$19,$D$20,$D$21,$D$22,$D$23,$D$24,$D$25,$D$26,$D$27,$C$8,$C$9,$C$10,$C$11,$C$12),"")</f>
        <v>-266221.83289792802</v>
      </c>
      <c r="X34" s="255">
        <f ca="1">IF(NOW(),_xll.mirSwapPV($C$3,$C$4,$C$6,$G9,$C$7,$I9,$C$16,$C$17,$C$18,$C$19,$C$20,$C$21,$C$22,$C$26,$C$27,X$28,$D$16,$D$17,$D$18,$D$19,$D$20,$D$21,$D$22,$D$23,$D$24,$D$25,$D$26,$D$27,$C$8,$C$9,$C$10,$C$11,$C$12),"")</f>
        <v>-332777.29112241004</v>
      </c>
      <c r="Y34" s="229"/>
      <c r="AG34" s="224" t="s">
        <v>31</v>
      </c>
      <c r="AH34" s="255">
        <f ca="1">IF(NOW(),_xll.mirSwapPV($C$3,$C$4,$C$6,$AA9,$C$7,$AC9,$C$16,$C$17,$C$18,$C$19,$C$20,$C$21,$C$22,$C$26,$C$27,AH$28,$D$16,$D$17,$D$18,$D$19,$D$20,$D$21,$D$22,$D$23,$D$24,$D$25,$D$26,$D$27,$C$8,$C$9,$C$10,$D$11,$C$12),"")</f>
        <v>332777.29112241004</v>
      </c>
      <c r="AI34" s="255">
        <f ca="1">IF(NOW(),_xll.mirSwapPV($C$3,$C$4,$C$6,$AA9,$C$7,$AC9,$C$16,$C$17,$C$18,$C$19,$C$20,$C$21,$C$22,$C$26,$C$27,AI$28,$D$16,$D$17,$D$18,$D$19,$D$20,$D$21,$D$22,$D$23,$D$24,$D$25,$D$26,$D$27,$C$8,$C$9,$C$10,$D$11,$C$12),"")</f>
        <v>266221.83289792808</v>
      </c>
      <c r="AJ34" s="255">
        <f ca="1">IF(NOW(),_xll.mirSwapPV($C$3,$C$4,$C$6,$AA9,$C$7,$AC9,$C$16,$C$17,$C$18,$C$19,$C$20,$C$21,$C$22,$C$26,$C$27,AJ$28,$D$16,$D$17,$D$18,$D$19,$D$20,$D$21,$D$22,$D$23,$D$24,$D$25,$D$26,$D$27,$C$8,$C$9,$C$10,$D$11,$C$12),"")</f>
        <v>199666.374673446</v>
      </c>
      <c r="AK34" s="255">
        <f ca="1">IF(NOW(),_xll.mirSwapPV($C$3,$C$4,$C$6,$AA9,$C$7,$AC9,$C$16,$C$17,$C$18,$C$19,$C$20,$C$21,$C$22,$C$26,$C$27,AK$28,$D$16,$D$17,$D$18,$D$19,$D$20,$D$21,$D$22,$D$23,$D$24,$D$25,$D$26,$D$27,$C$8,$C$9,$C$10,$D$11,$C$12),"")</f>
        <v>133110.91644896401</v>
      </c>
      <c r="AL34" s="255">
        <f ca="1">IF(NOW(),_xll.mirSwapPV($C$3,$C$4,$C$6,$AA9,$C$7,$AC9,$C$16,$C$17,$C$18,$C$19,$C$20,$C$21,$C$22,$C$26,$C$27,AL$28,$D$16,$D$17,$D$18,$D$19,$D$20,$D$21,$D$22,$D$23,$D$24,$D$25,$D$26,$D$27,$C$8,$C$9,$C$10,$D$11,$C$12),"")</f>
        <v>66555.458224482034</v>
      </c>
      <c r="AM34" s="255">
        <f ca="1">IF(NOW(),_xll.mirSwapPV($C$3,$C$4,$C$6,$AA9,$C$7,$AC9,$C$16,$C$17,$C$18,$C$19,$C$20,$C$21,$C$22,$C$26,$C$27,AM$28,$D$16,$D$17,$D$18,$D$19,$D$20,$D$21,$D$22,$D$23,$D$24,$D$25,$D$26,$D$27,$C$8,$C$9,$C$10,$D$11,$C$12),"")</f>
        <v>0</v>
      </c>
      <c r="AN34" s="255">
        <f ca="1">IF(NOW(),_xll.mirSwapPV($C$3,$C$4,$C$6,$AA9,$C$7,$AC9,$C$16,$C$17,$C$18,$C$19,$C$20,$C$21,$C$22,$C$26,$C$27,AN$28,$D$16,$D$17,$D$18,$D$19,$D$20,$D$21,$D$22,$D$23,$D$24,$D$25,$D$26,$D$27,$C$8,$C$9,$C$10,$D$11,$C$12),"")</f>
        <v>-66555.45822448199</v>
      </c>
      <c r="AO34" s="255">
        <f ca="1">IF(NOW(),_xll.mirSwapPV($C$3,$C$4,$C$6,$AA9,$C$7,$AC9,$C$16,$C$17,$C$18,$C$19,$C$20,$C$21,$C$22,$C$26,$C$27,AO$28,$D$16,$D$17,$D$18,$D$19,$D$20,$D$21,$D$22,$D$23,$D$24,$D$25,$D$26,$D$27,$C$8,$C$9,$C$10,$D$11,$C$12),"")</f>
        <v>-133110.91644896401</v>
      </c>
      <c r="AP34" s="255">
        <f ca="1">IF(NOW(),_xll.mirSwapPV($C$3,$C$4,$C$6,$AA9,$C$7,$AC9,$C$16,$C$17,$C$18,$C$19,$C$20,$C$21,$C$22,$C$26,$C$27,AP$28,$D$16,$D$17,$D$18,$D$19,$D$20,$D$21,$D$22,$D$23,$D$24,$D$25,$D$26,$D$27,$C$8,$C$9,$C$10,$D$11,$C$12),"")</f>
        <v>-199666.374673446</v>
      </c>
      <c r="AQ34" s="255">
        <f ca="1">IF(NOW(),_xll.mirSwapPV($C$3,$C$4,$C$6,$AA9,$C$7,$AC9,$C$16,$C$17,$C$18,$C$19,$C$20,$C$21,$C$22,$C$26,$C$27,AQ$28,$D$16,$D$17,$D$18,$D$19,$D$20,$D$21,$D$22,$D$23,$D$24,$D$25,$D$26,$D$27,$C$8,$C$9,$C$10,$D$11,$C$12),"")</f>
        <v>-266221.83289792802</v>
      </c>
      <c r="AR34" s="255">
        <f ca="1">IF(NOW(),_xll.mirSwapPV($C$3,$C$4,$C$6,$AA9,$C$7,$AC9,$C$16,$C$17,$C$18,$C$19,$C$20,$C$21,$C$22,$C$26,$C$27,AR$28,$D$16,$D$17,$D$18,$D$19,$D$20,$D$21,$D$22,$D$23,$D$24,$D$25,$D$26,$D$27,$C$8,$C$9,$C$10,$D$11,$C$12),"")</f>
        <v>-332777.29112240998</v>
      </c>
    </row>
    <row r="35" spans="6:44">
      <c r="F35" s="230"/>
      <c r="G35" s="227"/>
      <c r="H35" s="229"/>
      <c r="I35" s="229"/>
      <c r="J35" s="229"/>
      <c r="K35" s="230"/>
      <c r="L35" s="230"/>
      <c r="M35" s="224" t="s">
        <v>119</v>
      </c>
      <c r="N35" s="255">
        <f ca="1">IF(NOW(),_xll.mirSwapPV($C$3,$C$4,$C$6,$G10,$C$7,$I10,$C$16,$C$17,$C$18,$C$19,$C$20,$C$21,$C$22,$C$26,$C$27,N$28,$D$16,$D$17,$D$18,$D$19,$D$20,$D$21,$D$22,$D$23,$D$24,$D$25,$D$26,$D$27,$C$8,$C$9,$C$10,$C$11,$C$12),"")</f>
        <v>376308.72409313201</v>
      </c>
      <c r="O35" s="255">
        <f ca="1">IF(NOW(),_xll.mirSwapPV($C$3,$C$4,$C$6,$G10,$C$7,$I10,$C$16,$C$17,$C$18,$C$19,$C$20,$C$21,$C$22,$C$26,$C$27,O$28,$D$16,$D$17,$D$18,$D$19,$D$20,$D$21,$D$22,$D$23,$D$24,$D$25,$D$26,$D$27,$C$8,$C$9,$C$10,$C$11,$C$12),"")</f>
        <v>301046.97927450552</v>
      </c>
      <c r="P35" s="255">
        <f ca="1">IF(NOW(),_xll.mirSwapPV($C$3,$C$4,$C$6,$G10,$C$7,$I10,$C$16,$C$17,$C$18,$C$19,$C$20,$C$21,$C$22,$C$26,$C$27,P$28,$D$16,$D$17,$D$18,$D$19,$D$20,$D$21,$D$22,$D$23,$D$24,$D$25,$D$26,$D$27,$C$8,$C$9,$C$10,$C$11,$C$12),"")</f>
        <v>225785.23445587928</v>
      </c>
      <c r="Q35" s="255">
        <f ca="1">IF(NOW(),_xll.mirSwapPV($C$3,$C$4,$C$6,$G10,$C$7,$I10,$C$16,$C$17,$C$18,$C$19,$C$20,$C$21,$C$22,$C$26,$C$27,Q$28,$D$16,$D$17,$D$18,$D$19,$D$20,$D$21,$D$22,$D$23,$D$24,$D$25,$D$26,$D$27,$C$8,$C$9,$C$10,$C$11,$C$12),"")</f>
        <v>150523.48963725287</v>
      </c>
      <c r="R35" s="255">
        <f ca="1">IF(NOW(),_xll.mirSwapPV($C$3,$C$4,$C$6,$G10,$C$7,$I10,$C$16,$C$17,$C$18,$C$19,$C$20,$C$21,$C$22,$C$26,$C$27,R$28,$D$16,$D$17,$D$18,$D$19,$D$20,$D$21,$D$22,$D$23,$D$24,$D$25,$D$26,$D$27,$C$8,$C$9,$C$10,$C$11,$C$12),"")</f>
        <v>75261.744818626408</v>
      </c>
      <c r="S35" s="255">
        <f ca="1">IF(NOW(),_xll.mirSwapPV($C$3,$C$4,$C$6,$G10,$C$7,$I10,$C$16,$C$17,$C$18,$C$19,$C$20,$C$21,$C$22,$C$26,$C$27,S$28,$D$16,$D$17,$D$18,$D$19,$D$20,$D$21,$D$22,$D$23,$D$24,$D$25,$D$26,$D$27,$C$8,$C$9,$C$10,$C$11,$C$12),"")</f>
        <v>0</v>
      </c>
      <c r="T35" s="255">
        <f ca="1">IF(NOW(),_xll.mirSwapPV($C$3,$C$4,$C$6,$G10,$C$7,$I10,$C$16,$C$17,$C$18,$C$19,$C$20,$C$21,$C$22,$C$26,$C$27,T$28,$D$16,$D$17,$D$18,$D$19,$D$20,$D$21,$D$22,$D$23,$D$24,$D$25,$D$26,$D$27,$C$8,$C$9,$C$10,$C$11,$C$12),"")</f>
        <v>-75261.744818626365</v>
      </c>
      <c r="U35" s="255">
        <f ca="1">IF(NOW(),_xll.mirSwapPV($C$3,$C$4,$C$6,$G10,$C$7,$I10,$C$16,$C$17,$C$18,$C$19,$C$20,$C$21,$C$22,$C$26,$C$27,U$28,$D$16,$D$17,$D$18,$D$19,$D$20,$D$21,$D$22,$D$23,$D$24,$D$25,$D$26,$D$27,$C$8,$C$9,$C$10,$C$11,$C$12),"")</f>
        <v>-150523.48963725276</v>
      </c>
      <c r="V35" s="255">
        <f ca="1">IF(NOW(),_xll.mirSwapPV($C$3,$C$4,$C$6,$G10,$C$7,$I10,$C$16,$C$17,$C$18,$C$19,$C$20,$C$21,$C$22,$C$26,$C$27,V$28,$D$16,$D$17,$D$18,$D$19,$D$20,$D$21,$D$22,$D$23,$D$24,$D$25,$D$26,$D$27,$C$8,$C$9,$C$10,$C$11,$C$12),"")</f>
        <v>-225785.23445587917</v>
      </c>
      <c r="W35" s="255">
        <f ca="1">IF(NOW(),_xll.mirSwapPV($C$3,$C$4,$C$6,$G10,$C$7,$I10,$C$16,$C$17,$C$18,$C$19,$C$20,$C$21,$C$22,$C$26,$C$27,W$28,$D$16,$D$17,$D$18,$D$19,$D$20,$D$21,$D$22,$D$23,$D$24,$D$25,$D$26,$D$27,$C$8,$C$9,$C$10,$C$11,$C$12),"")</f>
        <v>-301046.97927450552</v>
      </c>
      <c r="X35" s="255">
        <f ca="1">IF(NOW(),_xll.mirSwapPV($C$3,$C$4,$C$6,$G10,$C$7,$I10,$C$16,$C$17,$C$18,$C$19,$C$20,$C$21,$C$22,$C$26,$C$27,X$28,$D$16,$D$17,$D$18,$D$19,$D$20,$D$21,$D$22,$D$23,$D$24,$D$25,$D$26,$D$27,$C$8,$C$9,$C$10,$C$11,$C$12),"")</f>
        <v>-376308.72409313201</v>
      </c>
      <c r="Y35" s="229"/>
      <c r="AE35" s="10"/>
      <c r="AF35" s="253"/>
      <c r="AG35" s="224" t="s">
        <v>119</v>
      </c>
      <c r="AH35" s="255">
        <f ca="1">IF(NOW(),_xll.mirSwapPV($C$3,$C$4,$C$6,$AA10,$C$7,$AC10,$C$16,$C$17,$C$18,$C$19,$C$20,$C$21,$C$22,$C$26,$C$27,AH$28,$D$16,$D$17,$D$18,$D$19,$D$20,$D$21,$D$22,$D$23,$D$24,$D$25,$D$26,$D$27,$C$8,$C$9,$C$10,$D$11,$C$12),"")</f>
        <v>376308.72409313201</v>
      </c>
      <c r="AI35" s="255">
        <f ca="1">IF(NOW(),_xll.mirSwapPV($C$3,$C$4,$C$6,$AA10,$C$7,$AC10,$C$16,$C$17,$C$18,$C$19,$C$20,$C$21,$C$22,$C$26,$C$27,AI$28,$D$16,$D$17,$D$18,$D$19,$D$20,$D$21,$D$22,$D$23,$D$24,$D$25,$D$26,$D$27,$C$8,$C$9,$C$10,$D$11,$C$12),"")</f>
        <v>301046.97927450552</v>
      </c>
      <c r="AJ35" s="255">
        <f ca="1">IF(NOW(),_xll.mirSwapPV($C$3,$C$4,$C$6,$AA10,$C$7,$AC10,$C$16,$C$17,$C$18,$C$19,$C$20,$C$21,$C$22,$C$26,$C$27,AJ$28,$D$16,$D$17,$D$18,$D$19,$D$20,$D$21,$D$22,$D$23,$D$24,$D$25,$D$26,$D$27,$C$8,$C$9,$C$10,$D$11,$C$12),"")</f>
        <v>225785.23445587914</v>
      </c>
      <c r="AK35" s="255">
        <f ca="1">IF(NOW(),_xll.mirSwapPV($C$3,$C$4,$C$6,$AA10,$C$7,$AC10,$C$16,$C$17,$C$18,$C$19,$C$20,$C$21,$C$22,$C$26,$C$27,AK$28,$D$16,$D$17,$D$18,$D$19,$D$20,$D$21,$D$22,$D$23,$D$24,$D$25,$D$26,$D$27,$C$8,$C$9,$C$10,$D$11,$C$12),"")</f>
        <v>150523.48963725279</v>
      </c>
      <c r="AL35" s="255">
        <f ca="1">IF(NOW(),_xll.mirSwapPV($C$3,$C$4,$C$6,$AA10,$C$7,$AC10,$C$16,$C$17,$C$18,$C$19,$C$20,$C$21,$C$22,$C$26,$C$27,AL$28,$D$16,$D$17,$D$18,$D$19,$D$20,$D$21,$D$22,$D$23,$D$24,$D$25,$D$26,$D$27,$C$8,$C$9,$C$10,$D$11,$C$12),"")</f>
        <v>75261.744818626437</v>
      </c>
      <c r="AM35" s="255">
        <f ca="1">IF(NOW(),_xll.mirSwapPV($C$3,$C$4,$C$6,$AA10,$C$7,$AC10,$C$16,$C$17,$C$18,$C$19,$C$20,$C$21,$C$22,$C$26,$C$27,AM$28,$D$16,$D$17,$D$18,$D$19,$D$20,$D$21,$D$22,$D$23,$D$24,$D$25,$D$26,$D$27,$C$8,$C$9,$C$10,$D$11,$C$12),"")</f>
        <v>0</v>
      </c>
      <c r="AN35" s="255">
        <f ca="1">IF(NOW(),_xll.mirSwapPV($C$3,$C$4,$C$6,$AA10,$C$7,$AC10,$C$16,$C$17,$C$18,$C$19,$C$20,$C$21,$C$22,$C$26,$C$27,AN$28,$D$16,$D$17,$D$18,$D$19,$D$20,$D$21,$D$22,$D$23,$D$24,$D$25,$D$26,$D$27,$C$8,$C$9,$C$10,$D$11,$C$12),"")</f>
        <v>-75261.744818626379</v>
      </c>
      <c r="AO35" s="255">
        <f ca="1">IF(NOW(),_xll.mirSwapPV($C$3,$C$4,$C$6,$AA10,$C$7,$AC10,$C$16,$C$17,$C$18,$C$19,$C$20,$C$21,$C$22,$C$26,$C$27,AO$28,$D$16,$D$17,$D$18,$D$19,$D$20,$D$21,$D$22,$D$23,$D$24,$D$25,$D$26,$D$27,$C$8,$C$9,$C$10,$D$11,$C$12),"")</f>
        <v>-150523.48963725276</v>
      </c>
      <c r="AP35" s="255">
        <f ca="1">IF(NOW(),_xll.mirSwapPV($C$3,$C$4,$C$6,$AA10,$C$7,$AC10,$C$16,$C$17,$C$18,$C$19,$C$20,$C$21,$C$22,$C$26,$C$27,AP$28,$D$16,$D$17,$D$18,$D$19,$D$20,$D$21,$D$22,$D$23,$D$24,$D$25,$D$26,$D$27,$C$8,$C$9,$C$10,$D$11,$C$12),"")</f>
        <v>-225785.23445587917</v>
      </c>
      <c r="AQ35" s="255">
        <f ca="1">IF(NOW(),_xll.mirSwapPV($C$3,$C$4,$C$6,$AA10,$C$7,$AC10,$C$16,$C$17,$C$18,$C$19,$C$20,$C$21,$C$22,$C$26,$C$27,AQ$28,$D$16,$D$17,$D$18,$D$19,$D$20,$D$21,$D$22,$D$23,$D$24,$D$25,$D$26,$D$27,$C$8,$C$9,$C$10,$D$11,$C$12),"")</f>
        <v>-301046.97927450552</v>
      </c>
      <c r="AR35" s="255">
        <f ca="1">IF(NOW(),_xll.mirSwapPV($C$3,$C$4,$C$6,$AA10,$C$7,$AC10,$C$16,$C$17,$C$18,$C$19,$C$20,$C$21,$C$22,$C$26,$C$27,AR$28,$D$16,$D$17,$D$18,$D$19,$D$20,$D$21,$D$22,$D$23,$D$24,$D$25,$D$26,$D$27,$C$8,$C$9,$C$10,$D$11,$C$12),"")</f>
        <v>-376308.72409313201</v>
      </c>
    </row>
    <row r="36" spans="6:44">
      <c r="F36" s="230"/>
      <c r="G36" s="227"/>
      <c r="H36" s="229"/>
      <c r="I36" s="229"/>
      <c r="J36" s="229"/>
      <c r="K36" s="230"/>
      <c r="L36" s="230"/>
      <c r="M36" s="224" t="s">
        <v>113</v>
      </c>
      <c r="N36" s="255">
        <f ca="1">IF(NOW(),_xll.mirSwapPV($C$3,$C$4,$C$6,$G11,$C$7,$I11,$C$16,$C$17,$C$18,$C$19,$C$20,$C$21,$C$22,$C$26,$C$27,N$28,$D$16,$D$17,$D$18,$D$19,$D$20,$D$21,$D$22,$D$23,$D$24,$D$25,$D$26,$D$27,$C$8,$C$9,$C$10,$C$11,$C$12),"")</f>
        <v>419096.32897531765</v>
      </c>
      <c r="O36" s="255">
        <f ca="1">IF(NOW(),_xll.mirSwapPV($C$3,$C$4,$C$6,$G11,$C$7,$I11,$C$16,$C$17,$C$18,$C$19,$C$20,$C$21,$C$22,$C$26,$C$27,O$28,$D$16,$D$17,$D$18,$D$19,$D$20,$D$21,$D$22,$D$23,$D$24,$D$25,$D$26,$D$27,$C$8,$C$9,$C$10,$C$11,$C$12),"")</f>
        <v>335277.06318025396</v>
      </c>
      <c r="P36" s="255">
        <f ca="1">IF(NOW(),_xll.mirSwapPV($C$3,$C$4,$C$6,$G11,$C$7,$I11,$C$16,$C$17,$C$18,$C$19,$C$20,$C$21,$C$22,$C$26,$C$27,P$28,$D$16,$D$17,$D$18,$D$19,$D$20,$D$21,$D$22,$D$23,$D$24,$D$25,$D$26,$D$27,$C$8,$C$9,$C$10,$C$11,$C$12),"")</f>
        <v>251457.79738519064</v>
      </c>
      <c r="Q36" s="255">
        <f ca="1">IF(NOW(),_xll.mirSwapPV($C$3,$C$4,$C$6,$G11,$C$7,$I11,$C$16,$C$17,$C$18,$C$19,$C$20,$C$21,$C$22,$C$26,$C$27,Q$28,$D$16,$D$17,$D$18,$D$19,$D$20,$D$21,$D$22,$D$23,$D$24,$D$25,$D$26,$D$27,$C$8,$C$9,$C$10,$C$11,$C$12),"")</f>
        <v>167638.53159012715</v>
      </c>
      <c r="R36" s="255">
        <f ca="1">IF(NOW(),_xll.mirSwapPV($C$3,$C$4,$C$6,$G11,$C$7,$I11,$C$16,$C$17,$C$18,$C$19,$C$20,$C$21,$C$22,$C$26,$C$27,R$28,$D$16,$D$17,$D$18,$D$19,$D$20,$D$21,$D$22,$D$23,$D$24,$D$25,$D$26,$D$27,$C$8,$C$9,$C$10,$C$11,$C$12),"")</f>
        <v>83819.265795063548</v>
      </c>
      <c r="S36" s="255">
        <f ca="1">IF(NOW(),_xll.mirSwapPV($C$3,$C$4,$C$6,$G11,$C$7,$I11,$C$16,$C$17,$C$18,$C$19,$C$20,$C$21,$C$22,$C$26,$C$27,S$28,$D$16,$D$17,$D$18,$D$19,$D$20,$D$21,$D$22,$D$23,$D$24,$D$25,$D$26,$D$27,$C$8,$C$9,$C$10,$C$11,$C$12),"")</f>
        <v>0</v>
      </c>
      <c r="T36" s="255">
        <f ca="1">IF(NOW(),_xll.mirSwapPV($C$3,$C$4,$C$6,$G11,$C$7,$I11,$C$16,$C$17,$C$18,$C$19,$C$20,$C$21,$C$22,$C$26,$C$27,T$28,$D$16,$D$17,$D$18,$D$19,$D$20,$D$21,$D$22,$D$23,$D$24,$D$25,$D$26,$D$27,$C$8,$C$9,$C$10,$C$11,$C$12),"")</f>
        <v>-83819.265795063475</v>
      </c>
      <c r="U36" s="255">
        <f ca="1">IF(NOW(),_xll.mirSwapPV($C$3,$C$4,$C$6,$G11,$C$7,$I11,$C$16,$C$17,$C$18,$C$19,$C$20,$C$21,$C$22,$C$26,$C$27,U$28,$D$16,$D$17,$D$18,$D$19,$D$20,$D$21,$D$22,$D$23,$D$24,$D$25,$D$26,$D$27,$C$8,$C$9,$C$10,$C$11,$C$12),"")</f>
        <v>-167638.53159012698</v>
      </c>
      <c r="V36" s="255">
        <f ca="1">IF(NOW(),_xll.mirSwapPV($C$3,$C$4,$C$6,$G11,$C$7,$I11,$C$16,$C$17,$C$18,$C$19,$C$20,$C$21,$C$22,$C$26,$C$27,V$28,$D$16,$D$17,$D$18,$D$19,$D$20,$D$21,$D$22,$D$23,$D$24,$D$25,$D$26,$D$27,$C$8,$C$9,$C$10,$C$11,$C$12),"")</f>
        <v>-251457.79738519053</v>
      </c>
      <c r="W36" s="255">
        <f ca="1">IF(NOW(),_xll.mirSwapPV($C$3,$C$4,$C$6,$G11,$C$7,$I11,$C$16,$C$17,$C$18,$C$19,$C$20,$C$21,$C$22,$C$26,$C$27,W$28,$D$16,$D$17,$D$18,$D$19,$D$20,$D$21,$D$22,$D$23,$D$24,$D$25,$D$26,$D$27,$C$8,$C$9,$C$10,$C$11,$C$12),"")</f>
        <v>-335277.06318025402</v>
      </c>
      <c r="X36" s="255">
        <f ca="1">IF(NOW(),_xll.mirSwapPV($C$3,$C$4,$C$6,$G11,$C$7,$I11,$C$16,$C$17,$C$18,$C$19,$C$20,$C$21,$C$22,$C$26,$C$27,X$28,$D$16,$D$17,$D$18,$D$19,$D$20,$D$21,$D$22,$D$23,$D$24,$D$25,$D$26,$D$27,$C$8,$C$9,$C$10,$C$11,$C$12),"")</f>
        <v>-419096.32897531759</v>
      </c>
      <c r="Y36" s="229"/>
      <c r="AG36" s="224" t="s">
        <v>113</v>
      </c>
      <c r="AH36" s="255">
        <f ca="1">IF(NOW(),_xll.mirSwapPV($C$3,$C$4,$C$6,$AA11,$C$7,$AC11,$C$16,$C$17,$C$18,$C$19,$C$20,$C$21,$C$22,$C$26,$C$27,AH$28,$D$16,$D$17,$D$18,$D$19,$D$20,$D$21,$D$22,$D$23,$D$24,$D$25,$D$26,$D$27,$C$8,$C$9,$C$10,$D$11,$C$12),"")</f>
        <v>419096.32897531759</v>
      </c>
      <c r="AI36" s="255">
        <f ca="1">IF(NOW(),_xll.mirSwapPV($C$3,$C$4,$C$6,$AA11,$C$7,$AC11,$C$16,$C$17,$C$18,$C$19,$C$20,$C$21,$C$22,$C$26,$C$27,AI$28,$D$16,$D$17,$D$18,$D$19,$D$20,$D$21,$D$22,$D$23,$D$24,$D$25,$D$26,$D$27,$C$8,$C$9,$C$10,$D$11,$C$12),"")</f>
        <v>335277.06318025407</v>
      </c>
      <c r="AJ36" s="255">
        <f ca="1">IF(NOW(),_xll.mirSwapPV($C$3,$C$4,$C$6,$AA11,$C$7,$AC11,$C$16,$C$17,$C$18,$C$19,$C$20,$C$21,$C$22,$C$26,$C$27,AJ$28,$D$16,$D$17,$D$18,$D$19,$D$20,$D$21,$D$22,$D$23,$D$24,$D$25,$D$26,$D$27,$C$8,$C$9,$C$10,$D$11,$C$12),"")</f>
        <v>251457.79738519047</v>
      </c>
      <c r="AK36" s="255">
        <f ca="1">IF(NOW(),_xll.mirSwapPV($C$3,$C$4,$C$6,$AA11,$C$7,$AC11,$C$16,$C$17,$C$18,$C$19,$C$20,$C$21,$C$22,$C$26,$C$27,AK$28,$D$16,$D$17,$D$18,$D$19,$D$20,$D$21,$D$22,$D$23,$D$24,$D$25,$D$26,$D$27,$C$8,$C$9,$C$10,$D$11,$C$12),"")</f>
        <v>167638.53159012707</v>
      </c>
      <c r="AL36" s="255">
        <f ca="1">IF(NOW(),_xll.mirSwapPV($C$3,$C$4,$C$6,$AA11,$C$7,$AC11,$C$16,$C$17,$C$18,$C$19,$C$20,$C$21,$C$22,$C$26,$C$27,AL$28,$D$16,$D$17,$D$18,$D$19,$D$20,$D$21,$D$22,$D$23,$D$24,$D$25,$D$26,$D$27,$C$8,$C$9,$C$10,$D$11,$C$12),"")</f>
        <v>83819.265795063577</v>
      </c>
      <c r="AM36" s="255">
        <f ca="1">IF(NOW(),_xll.mirSwapPV($C$3,$C$4,$C$6,$AA11,$C$7,$AC11,$C$16,$C$17,$C$18,$C$19,$C$20,$C$21,$C$22,$C$26,$C$27,AM$28,$D$16,$D$17,$D$18,$D$19,$D$20,$D$21,$D$22,$D$23,$D$24,$D$25,$D$26,$D$27,$C$8,$C$9,$C$10,$D$11,$C$12),"")</f>
        <v>0</v>
      </c>
      <c r="AN36" s="255">
        <f ca="1">IF(NOW(),_xll.mirSwapPV($C$3,$C$4,$C$6,$AA11,$C$7,$AC11,$C$16,$C$17,$C$18,$C$19,$C$20,$C$21,$C$22,$C$26,$C$27,AN$28,$D$16,$D$17,$D$18,$D$19,$D$20,$D$21,$D$22,$D$23,$D$24,$D$25,$D$26,$D$27,$C$8,$C$9,$C$10,$D$11,$C$12),"")</f>
        <v>-83819.265795063489</v>
      </c>
      <c r="AO36" s="255">
        <f ca="1">IF(NOW(),_xll.mirSwapPV($C$3,$C$4,$C$6,$AA11,$C$7,$AC11,$C$16,$C$17,$C$18,$C$19,$C$20,$C$21,$C$22,$C$26,$C$27,AO$28,$D$16,$D$17,$D$18,$D$19,$D$20,$D$21,$D$22,$D$23,$D$24,$D$25,$D$26,$D$27,$C$8,$C$9,$C$10,$D$11,$C$12),"")</f>
        <v>-167638.53159012701</v>
      </c>
      <c r="AP36" s="255">
        <f ca="1">IF(NOW(),_xll.mirSwapPV($C$3,$C$4,$C$6,$AA11,$C$7,$AC11,$C$16,$C$17,$C$18,$C$19,$C$20,$C$21,$C$22,$C$26,$C$27,AP$28,$D$16,$D$17,$D$18,$D$19,$D$20,$D$21,$D$22,$D$23,$D$24,$D$25,$D$26,$D$27,$C$8,$C$9,$C$10,$D$11,$C$12),"")</f>
        <v>-251457.79738519053</v>
      </c>
      <c r="AQ36" s="255">
        <f ca="1">IF(NOW(),_xll.mirSwapPV($C$3,$C$4,$C$6,$AA11,$C$7,$AC11,$C$16,$C$17,$C$18,$C$19,$C$20,$C$21,$C$22,$C$26,$C$27,AQ$28,$D$16,$D$17,$D$18,$D$19,$D$20,$D$21,$D$22,$D$23,$D$24,$D$25,$D$26,$D$27,$C$8,$C$9,$C$10,$D$11,$C$12),"")</f>
        <v>-335277.06318025402</v>
      </c>
      <c r="AR36" s="255">
        <f ca="1">IF(NOW(),_xll.mirSwapPV($C$3,$C$4,$C$6,$AA11,$C$7,$AC11,$C$16,$C$17,$C$18,$C$19,$C$20,$C$21,$C$22,$C$26,$C$27,AR$28,$D$16,$D$17,$D$18,$D$19,$D$20,$D$21,$D$22,$D$23,$D$24,$D$25,$D$26,$D$27,$C$8,$C$9,$C$10,$D$11,$C$12),"")</f>
        <v>-419096.32897531759</v>
      </c>
    </row>
    <row r="37" spans="6:44">
      <c r="F37" s="230"/>
      <c r="G37" s="227"/>
      <c r="H37" s="229"/>
      <c r="I37" s="229"/>
      <c r="J37" s="229"/>
      <c r="K37" s="230"/>
      <c r="L37" s="230"/>
      <c r="M37" s="224" t="s">
        <v>28</v>
      </c>
      <c r="N37" s="255">
        <f ca="1">IF(NOW(),_xll.mirSwapPV($C$3,$C$4,$C$6,$G12,$C$7,$I12,$C$16,$C$17,$C$18,$C$19,$C$20,$C$21,$C$22,$C$26,$C$27,N$28,$D$16,$D$17,$D$18,$D$19,$D$20,$D$21,$D$22,$D$23,$D$24,$D$25,$D$26,$D$27,$C$8,$C$9,$C$10,$C$11,$C$12),"")</f>
        <v>460336.45975731354</v>
      </c>
      <c r="O37" s="255">
        <f ca="1">IF(NOW(),_xll.mirSwapPV($C$3,$C$4,$C$6,$G12,$C$7,$I12,$C$16,$C$17,$C$18,$C$19,$C$20,$C$21,$C$22,$C$26,$C$27,O$28,$D$16,$D$17,$D$18,$D$19,$D$20,$D$21,$D$22,$D$23,$D$24,$D$25,$D$26,$D$27,$C$8,$C$9,$C$10,$C$11,$C$12),"")</f>
        <v>368269.16780585062</v>
      </c>
      <c r="P37" s="255">
        <f ca="1">IF(NOW(),_xll.mirSwapPV($C$3,$C$4,$C$6,$G12,$C$7,$I12,$C$16,$C$17,$C$18,$C$19,$C$20,$C$21,$C$22,$C$26,$C$27,P$28,$D$16,$D$17,$D$18,$D$19,$D$20,$D$21,$D$22,$D$23,$D$24,$D$25,$D$26,$D$27,$C$8,$C$9,$C$10,$C$11,$C$12),"")</f>
        <v>276201.87585438817</v>
      </c>
      <c r="Q37" s="255">
        <f ca="1">IF(NOW(),_xll.mirSwapPV($C$3,$C$4,$C$6,$G12,$C$7,$I12,$C$16,$C$17,$C$18,$C$19,$C$20,$C$21,$C$22,$C$26,$C$27,Q$28,$D$16,$D$17,$D$18,$D$19,$D$20,$D$21,$D$22,$D$23,$D$24,$D$25,$D$26,$D$27,$C$8,$C$9,$C$10,$C$11,$C$12),"")</f>
        <v>184134.58390292549</v>
      </c>
      <c r="R37" s="255">
        <f ca="1">IF(NOW(),_xll.mirSwapPV($C$3,$C$4,$C$6,$G12,$C$7,$I12,$C$16,$C$17,$C$18,$C$19,$C$20,$C$21,$C$22,$C$26,$C$27,R$28,$D$16,$D$17,$D$18,$D$19,$D$20,$D$21,$D$22,$D$23,$D$24,$D$25,$D$26,$D$27,$C$8,$C$9,$C$10,$C$11,$C$12),"")</f>
        <v>92067.291951462685</v>
      </c>
      <c r="S37" s="255">
        <f ca="1">IF(NOW(),_xll.mirSwapPV($C$3,$C$4,$C$6,$G12,$C$7,$I12,$C$16,$C$17,$C$18,$C$19,$C$20,$C$21,$C$22,$C$26,$C$27,S$28,$D$16,$D$17,$D$18,$D$19,$D$20,$D$21,$D$22,$D$23,$D$24,$D$25,$D$26,$D$27,$C$8,$C$9,$C$10,$C$11,$C$12),"")</f>
        <v>0</v>
      </c>
      <c r="T37" s="255">
        <f ca="1">IF(NOW(),_xll.mirSwapPV($C$3,$C$4,$C$6,$G12,$C$7,$I12,$C$16,$C$17,$C$18,$C$19,$C$20,$C$21,$C$22,$C$26,$C$27,T$28,$D$16,$D$17,$D$18,$D$19,$D$20,$D$21,$D$22,$D$23,$D$24,$D$25,$D$26,$D$27,$C$8,$C$9,$C$10,$C$11,$C$12),"")</f>
        <v>-92067.29195146267</v>
      </c>
      <c r="U37" s="255">
        <f ca="1">IF(NOW(),_xll.mirSwapPV($C$3,$C$4,$C$6,$G12,$C$7,$I12,$C$16,$C$17,$C$18,$C$19,$C$20,$C$21,$C$22,$C$26,$C$27,U$28,$D$16,$D$17,$D$18,$D$19,$D$20,$D$21,$D$22,$D$23,$D$24,$D$25,$D$26,$D$27,$C$8,$C$9,$C$10,$C$11,$C$12),"")</f>
        <v>-184134.58390292537</v>
      </c>
      <c r="V37" s="255">
        <f ca="1">IF(NOW(),_xll.mirSwapPV($C$3,$C$4,$C$6,$G12,$C$7,$I12,$C$16,$C$17,$C$18,$C$19,$C$20,$C$21,$C$22,$C$26,$C$27,V$28,$D$16,$D$17,$D$18,$D$19,$D$20,$D$21,$D$22,$D$23,$D$24,$D$25,$D$26,$D$27,$C$8,$C$9,$C$10,$C$11,$C$12),"")</f>
        <v>-276201.87585438805</v>
      </c>
      <c r="W37" s="255">
        <f ca="1">IF(NOW(),_xll.mirSwapPV($C$3,$C$4,$C$6,$G12,$C$7,$I12,$C$16,$C$17,$C$18,$C$19,$C$20,$C$21,$C$22,$C$26,$C$27,W$28,$D$16,$D$17,$D$18,$D$19,$D$20,$D$21,$D$22,$D$23,$D$24,$D$25,$D$26,$D$27,$C$8,$C$9,$C$10,$C$11,$C$12),"")</f>
        <v>-368269.16780585074</v>
      </c>
      <c r="X37" s="255">
        <f ca="1">IF(NOW(),_xll.mirSwapPV($C$3,$C$4,$C$6,$G12,$C$7,$I12,$C$16,$C$17,$C$18,$C$19,$C$20,$C$21,$C$22,$C$26,$C$27,X$28,$D$16,$D$17,$D$18,$D$19,$D$20,$D$21,$D$22,$D$23,$D$24,$D$25,$D$26,$D$27,$C$8,$C$9,$C$10,$C$11,$C$12),"")</f>
        <v>-460336.45975731348</v>
      </c>
      <c r="Y37" s="229"/>
      <c r="AG37" s="224" t="s">
        <v>28</v>
      </c>
      <c r="AH37" s="255">
        <f ca="1">IF(NOW(),_xll.mirSwapPV($C$3,$C$4,$C$6,$AA12,$C$7,$AC12,$C$16,$C$17,$C$18,$C$19,$C$20,$C$21,$C$22,$C$26,$C$27,AH$28,$D$16,$D$17,$D$18,$D$19,$D$20,$D$21,$D$22,$D$23,$D$24,$D$25,$D$26,$D$27,$C$8,$C$9,$C$10,$D$11,$C$12),"")</f>
        <v>460336.45975731342</v>
      </c>
      <c r="AI37" s="255">
        <f ca="1">IF(NOW(),_xll.mirSwapPV($C$3,$C$4,$C$6,$AA12,$C$7,$AC12,$C$16,$C$17,$C$18,$C$19,$C$20,$C$21,$C$22,$C$26,$C$27,AI$28,$D$16,$D$17,$D$18,$D$19,$D$20,$D$21,$D$22,$D$23,$D$24,$D$25,$D$26,$D$27,$C$8,$C$9,$C$10,$D$11,$C$12),"")</f>
        <v>368269.16780585086</v>
      </c>
      <c r="AJ37" s="255">
        <f ca="1">IF(NOW(),_xll.mirSwapPV($C$3,$C$4,$C$6,$AA12,$C$7,$AC12,$C$16,$C$17,$C$18,$C$19,$C$20,$C$21,$C$22,$C$26,$C$27,AJ$28,$D$16,$D$17,$D$18,$D$19,$D$20,$D$21,$D$22,$D$23,$D$24,$D$25,$D$26,$D$27,$C$8,$C$9,$C$10,$D$11,$C$12),"")</f>
        <v>276201.87585438794</v>
      </c>
      <c r="AK37" s="255">
        <f ca="1">IF(NOW(),_xll.mirSwapPV($C$3,$C$4,$C$6,$AA12,$C$7,$AC12,$C$16,$C$17,$C$18,$C$19,$C$20,$C$21,$C$22,$C$26,$C$27,AK$28,$D$16,$D$17,$D$18,$D$19,$D$20,$D$21,$D$22,$D$23,$D$24,$D$25,$D$26,$D$27,$C$8,$C$9,$C$10,$D$11,$C$12),"")</f>
        <v>184134.5839029254</v>
      </c>
      <c r="AL37" s="255">
        <f ca="1">IF(NOW(),_xll.mirSwapPV($C$3,$C$4,$C$6,$AA12,$C$7,$AC12,$C$16,$C$17,$C$18,$C$19,$C$20,$C$21,$C$22,$C$26,$C$27,AL$28,$D$16,$D$17,$D$18,$D$19,$D$20,$D$21,$D$22,$D$23,$D$24,$D$25,$D$26,$D$27,$C$8,$C$9,$C$10,$D$11,$C$12),"")</f>
        <v>92067.291951462714</v>
      </c>
      <c r="AM37" s="255">
        <f ca="1">IF(NOW(),_xll.mirSwapPV($C$3,$C$4,$C$6,$AA12,$C$7,$AC12,$C$16,$C$17,$C$18,$C$19,$C$20,$C$21,$C$22,$C$26,$C$27,AM$28,$D$16,$D$17,$D$18,$D$19,$D$20,$D$21,$D$22,$D$23,$D$24,$D$25,$D$26,$D$27,$C$8,$C$9,$C$10,$D$11,$C$12),"")</f>
        <v>-2.7755575615628914E-11</v>
      </c>
      <c r="AN37" s="255">
        <f ca="1">IF(NOW(),_xll.mirSwapPV($C$3,$C$4,$C$6,$AA12,$C$7,$AC12,$C$16,$C$17,$C$18,$C$19,$C$20,$C$21,$C$22,$C$26,$C$27,AN$28,$D$16,$D$17,$D$18,$D$19,$D$20,$D$21,$D$22,$D$23,$D$24,$D$25,$D$26,$D$27,$C$8,$C$9,$C$10,$D$11,$C$12),"")</f>
        <v>-92067.291951462685</v>
      </c>
      <c r="AO37" s="255">
        <f ca="1">IF(NOW(),_xll.mirSwapPV($C$3,$C$4,$C$6,$AA12,$C$7,$AC12,$C$16,$C$17,$C$18,$C$19,$C$20,$C$21,$C$22,$C$26,$C$27,AO$28,$D$16,$D$17,$D$18,$D$19,$D$20,$D$21,$D$22,$D$23,$D$24,$D$25,$D$26,$D$27,$C$8,$C$9,$C$10,$D$11,$C$12),"")</f>
        <v>-184134.58390292537</v>
      </c>
      <c r="AP37" s="255">
        <f ca="1">IF(NOW(),_xll.mirSwapPV($C$3,$C$4,$C$6,$AA12,$C$7,$AC12,$C$16,$C$17,$C$18,$C$19,$C$20,$C$21,$C$22,$C$26,$C$27,AP$28,$D$16,$D$17,$D$18,$D$19,$D$20,$D$21,$D$22,$D$23,$D$24,$D$25,$D$26,$D$27,$C$8,$C$9,$C$10,$D$11,$C$12),"")</f>
        <v>-276201.87585438805</v>
      </c>
      <c r="AQ37" s="255">
        <f ca="1">IF(NOW(),_xll.mirSwapPV($C$3,$C$4,$C$6,$AA12,$C$7,$AC12,$C$16,$C$17,$C$18,$C$19,$C$20,$C$21,$C$22,$C$26,$C$27,AQ$28,$D$16,$D$17,$D$18,$D$19,$D$20,$D$21,$D$22,$D$23,$D$24,$D$25,$D$26,$D$27,$C$8,$C$9,$C$10,$D$11,$C$12),"")</f>
        <v>-368269.16780585074</v>
      </c>
      <c r="AR37" s="255">
        <f ca="1">IF(NOW(),_xll.mirSwapPV($C$3,$C$4,$C$6,$AA12,$C$7,$AC12,$C$16,$C$17,$C$18,$C$19,$C$20,$C$21,$C$22,$C$26,$C$27,AR$28,$D$16,$D$17,$D$18,$D$19,$D$20,$D$21,$D$22,$D$23,$D$24,$D$25,$D$26,$D$27,$C$8,$C$9,$C$10,$D$11,$C$12),"")</f>
        <v>-460336.45975731342</v>
      </c>
    </row>
    <row r="38" spans="6:44">
      <c r="F38" s="230"/>
      <c r="G38" s="227"/>
      <c r="H38" s="229"/>
      <c r="I38" s="229"/>
      <c r="J38" s="229"/>
      <c r="K38" s="230"/>
      <c r="L38" s="230"/>
      <c r="M38" s="224" t="s">
        <v>26</v>
      </c>
      <c r="N38" s="255">
        <f ca="1">IF(NOW(),_xll.mirSwapPV($C$3,$C$4,$C$6,$G13,$C$7,$I13,$C$16,$C$17,$C$18,$C$19,$C$20,$C$21,$C$22,$C$26,$C$27,N$28,$D$16,$D$17,$D$18,$D$19,$D$20,$D$21,$D$22,$D$23,$D$24,$D$25,$D$26,$D$27,$C$8,$C$9,$C$10,$C$11,$C$12),"")</f>
        <v>539672.60962191247</v>
      </c>
      <c r="O38" s="255">
        <f ca="1">IF(NOW(),_xll.mirSwapPV($C$3,$C$4,$C$6,$G13,$C$7,$I13,$C$16,$C$17,$C$18,$C$19,$C$20,$C$21,$C$22,$C$26,$C$27,O$28,$D$16,$D$17,$D$18,$D$19,$D$20,$D$21,$D$22,$D$23,$D$24,$D$25,$D$26,$D$27,$C$8,$C$9,$C$10,$C$11,$C$12),"")</f>
        <v>431738.08769752976</v>
      </c>
      <c r="P38" s="255">
        <f ca="1">IF(NOW(),_xll.mirSwapPV($C$3,$C$4,$C$6,$G13,$C$7,$I13,$C$16,$C$17,$C$18,$C$19,$C$20,$C$21,$C$22,$C$26,$C$27,P$28,$D$16,$D$17,$D$18,$D$19,$D$20,$D$21,$D$22,$D$23,$D$24,$D$25,$D$26,$D$27,$C$8,$C$9,$C$10,$C$11,$C$12),"")</f>
        <v>323803.56577314751</v>
      </c>
      <c r="Q38" s="255">
        <f ca="1">IF(NOW(),_xll.mirSwapPV($C$3,$C$4,$C$6,$G13,$C$7,$I13,$C$16,$C$17,$C$18,$C$19,$C$20,$C$21,$C$22,$C$26,$C$27,Q$28,$D$16,$D$17,$D$18,$D$19,$D$20,$D$21,$D$22,$D$23,$D$24,$D$25,$D$26,$D$27,$C$8,$C$9,$C$10,$C$11,$C$12),"")</f>
        <v>215869.04384876505</v>
      </c>
      <c r="R38" s="255">
        <f ca="1">IF(NOW(),_xll.mirSwapPV($C$3,$C$4,$C$6,$G13,$C$7,$I13,$C$16,$C$17,$C$18,$C$19,$C$20,$C$21,$C$22,$C$26,$C$27,R$28,$D$16,$D$17,$D$18,$D$19,$D$20,$D$21,$D$22,$D$23,$D$24,$D$25,$D$26,$D$27,$C$8,$C$9,$C$10,$C$11,$C$12),"")</f>
        <v>107934.52192438247</v>
      </c>
      <c r="S38" s="255">
        <f ca="1">IF(NOW(),_xll.mirSwapPV($C$3,$C$4,$C$6,$G13,$C$7,$I13,$C$16,$C$17,$C$18,$C$19,$C$20,$C$21,$C$22,$C$26,$C$27,S$28,$D$16,$D$17,$D$18,$D$19,$D$20,$D$21,$D$22,$D$23,$D$24,$D$25,$D$26,$D$27,$C$8,$C$9,$C$10,$C$11,$C$12),"")</f>
        <v>0</v>
      </c>
      <c r="T38" s="255">
        <f ca="1">IF(NOW(),_xll.mirSwapPV($C$3,$C$4,$C$6,$G13,$C$7,$I13,$C$16,$C$17,$C$18,$C$19,$C$20,$C$21,$C$22,$C$26,$C$27,T$28,$D$16,$D$17,$D$18,$D$19,$D$20,$D$21,$D$22,$D$23,$D$24,$D$25,$D$26,$D$27,$C$8,$C$9,$C$10,$C$11,$C$12),"")</f>
        <v>-107934.5219243825</v>
      </c>
      <c r="U38" s="255">
        <f ca="1">IF(NOW(),_xll.mirSwapPV($C$3,$C$4,$C$6,$G13,$C$7,$I13,$C$16,$C$17,$C$18,$C$19,$C$20,$C$21,$C$22,$C$26,$C$27,U$28,$D$16,$D$17,$D$18,$D$19,$D$20,$D$21,$D$22,$D$23,$D$24,$D$25,$D$26,$D$27,$C$8,$C$9,$C$10,$C$11,$C$12),"")</f>
        <v>-215869.04384876497</v>
      </c>
      <c r="V38" s="255">
        <f ca="1">IF(NOW(),_xll.mirSwapPV($C$3,$C$4,$C$6,$G13,$C$7,$I13,$C$16,$C$17,$C$18,$C$19,$C$20,$C$21,$C$22,$C$26,$C$27,V$28,$D$16,$D$17,$D$18,$D$19,$D$20,$D$21,$D$22,$D$23,$D$24,$D$25,$D$26,$D$27,$C$8,$C$9,$C$10,$C$11,$C$12),"")</f>
        <v>-323803.56577314751</v>
      </c>
      <c r="W38" s="255">
        <f ca="1">IF(NOW(),_xll.mirSwapPV($C$3,$C$4,$C$6,$G13,$C$7,$I13,$C$16,$C$17,$C$18,$C$19,$C$20,$C$21,$C$22,$C$26,$C$27,W$28,$D$16,$D$17,$D$18,$D$19,$D$20,$D$21,$D$22,$D$23,$D$24,$D$25,$D$26,$D$27,$C$8,$C$9,$C$10,$C$11,$C$12),"")</f>
        <v>-431738.08769752993</v>
      </c>
      <c r="X38" s="255">
        <f ca="1">IF(NOW(),_xll.mirSwapPV($C$3,$C$4,$C$6,$G13,$C$7,$I13,$C$16,$C$17,$C$18,$C$19,$C$20,$C$21,$C$22,$C$26,$C$27,X$28,$D$16,$D$17,$D$18,$D$19,$D$20,$D$21,$D$22,$D$23,$D$24,$D$25,$D$26,$D$27,$C$8,$C$9,$C$10,$C$11,$C$12),"")</f>
        <v>-539672.60962191247</v>
      </c>
      <c r="Y38" s="229"/>
      <c r="AG38" s="224" t="s">
        <v>26</v>
      </c>
      <c r="AH38" s="255">
        <f ca="1">IF(NOW(),_xll.mirSwapPV($C$3,$C$4,$C$6,$AA13,$C$7,$AC13,$C$16,$C$17,$C$18,$C$19,$C$20,$C$21,$C$22,$C$26,$C$27,AH$28,$D$16,$D$17,$D$18,$D$19,$D$20,$D$21,$D$22,$D$23,$D$24,$D$25,$D$26,$D$27,$C$8,$C$9,$C$10,$D$11,$C$12),"")</f>
        <v>539672.60962191247</v>
      </c>
      <c r="AI38" s="255">
        <f ca="1">IF(NOW(),_xll.mirSwapPV($C$3,$C$4,$C$6,$AA13,$C$7,$AC13,$C$16,$C$17,$C$18,$C$19,$C$20,$C$21,$C$22,$C$26,$C$27,AI$28,$D$16,$D$17,$D$18,$D$19,$D$20,$D$21,$D$22,$D$23,$D$24,$D$25,$D$26,$D$27,$C$8,$C$9,$C$10,$D$11,$C$12),"")</f>
        <v>431738.08769753017</v>
      </c>
      <c r="AJ38" s="255">
        <f ca="1">IF(NOW(),_xll.mirSwapPV($C$3,$C$4,$C$6,$AA13,$C$7,$AC13,$C$16,$C$17,$C$18,$C$19,$C$20,$C$21,$C$22,$C$26,$C$27,AJ$28,$D$16,$D$17,$D$18,$D$19,$D$20,$D$21,$D$22,$D$23,$D$24,$D$25,$D$26,$D$27,$C$8,$C$9,$C$10,$D$11,$C$12),"")</f>
        <v>323803.56577314722</v>
      </c>
      <c r="AK38" s="255">
        <f ca="1">IF(NOW(),_xll.mirSwapPV($C$3,$C$4,$C$6,$AA13,$C$7,$AC13,$C$16,$C$17,$C$18,$C$19,$C$20,$C$21,$C$22,$C$26,$C$27,AK$28,$D$16,$D$17,$D$18,$D$19,$D$20,$D$21,$D$22,$D$23,$D$24,$D$25,$D$26,$D$27,$C$8,$C$9,$C$10,$D$11,$C$12),"")</f>
        <v>215869.04384876505</v>
      </c>
      <c r="AL38" s="255">
        <f ca="1">IF(NOW(),_xll.mirSwapPV($C$3,$C$4,$C$6,$AA13,$C$7,$AC13,$C$16,$C$17,$C$18,$C$19,$C$20,$C$21,$C$22,$C$26,$C$27,AL$28,$D$16,$D$17,$D$18,$D$19,$D$20,$D$21,$D$22,$D$23,$D$24,$D$25,$D$26,$D$27,$C$8,$C$9,$C$10,$D$11,$C$12),"")</f>
        <v>107934.52192438257</v>
      </c>
      <c r="AM38" s="255">
        <f ca="1">IF(NOW(),_xll.mirSwapPV($C$3,$C$4,$C$6,$AA13,$C$7,$AC13,$C$16,$C$17,$C$18,$C$19,$C$20,$C$21,$C$22,$C$26,$C$27,AM$28,$D$16,$D$17,$D$18,$D$19,$D$20,$D$21,$D$22,$D$23,$D$24,$D$25,$D$26,$D$27,$C$8,$C$9,$C$10,$D$11,$C$12),"")</f>
        <v>0</v>
      </c>
      <c r="AN38" s="255">
        <f ca="1">IF(NOW(),_xll.mirSwapPV($C$3,$C$4,$C$6,$AA13,$C$7,$AC13,$C$16,$C$17,$C$18,$C$19,$C$20,$C$21,$C$22,$C$26,$C$27,AN$28,$D$16,$D$17,$D$18,$D$19,$D$20,$D$21,$D$22,$D$23,$D$24,$D$25,$D$26,$D$27,$C$8,$C$9,$C$10,$D$11,$C$12),"")</f>
        <v>-107934.52192438247</v>
      </c>
      <c r="AO38" s="255">
        <f ca="1">IF(NOW(),_xll.mirSwapPV($C$3,$C$4,$C$6,$AA13,$C$7,$AC13,$C$16,$C$17,$C$18,$C$19,$C$20,$C$21,$C$22,$C$26,$C$27,AO$28,$D$16,$D$17,$D$18,$D$19,$D$20,$D$21,$D$22,$D$23,$D$24,$D$25,$D$26,$D$27,$C$8,$C$9,$C$10,$D$11,$C$12),"")</f>
        <v>-215869.04384876494</v>
      </c>
      <c r="AP38" s="255">
        <f ca="1">IF(NOW(),_xll.mirSwapPV($C$3,$C$4,$C$6,$AA13,$C$7,$AC13,$C$16,$C$17,$C$18,$C$19,$C$20,$C$21,$C$22,$C$26,$C$27,AP$28,$D$16,$D$17,$D$18,$D$19,$D$20,$D$21,$D$22,$D$23,$D$24,$D$25,$D$26,$D$27,$C$8,$C$9,$C$10,$D$11,$C$12),"")</f>
        <v>-323803.56577314739</v>
      </c>
      <c r="AQ38" s="255">
        <f ca="1">IF(NOW(),_xll.mirSwapPV($C$3,$C$4,$C$6,$AA13,$C$7,$AC13,$C$16,$C$17,$C$18,$C$19,$C$20,$C$21,$C$22,$C$26,$C$27,AQ$28,$D$16,$D$17,$D$18,$D$19,$D$20,$D$21,$D$22,$D$23,$D$24,$D$25,$D$26,$D$27,$C$8,$C$9,$C$10,$D$11,$C$12),"")</f>
        <v>-431738.08769752987</v>
      </c>
      <c r="AR38" s="255">
        <f ca="1">IF(NOW(),_xll.mirSwapPV($C$3,$C$4,$C$6,$AA13,$C$7,$AC13,$C$16,$C$17,$C$18,$C$19,$C$20,$C$21,$C$22,$C$26,$C$27,AR$28,$D$16,$D$17,$D$18,$D$19,$D$20,$D$21,$D$22,$D$23,$D$24,$D$25,$D$26,$D$27,$C$8,$C$9,$C$10,$D$11,$C$12),"")</f>
        <v>-539672.60962191247</v>
      </c>
    </row>
    <row r="39" spans="6:44">
      <c r="F39" s="230"/>
      <c r="G39" s="227"/>
      <c r="H39" s="229"/>
      <c r="I39" s="229"/>
      <c r="J39" s="229"/>
      <c r="K39" s="230"/>
      <c r="L39" s="230"/>
      <c r="M39" s="224" t="s">
        <v>24</v>
      </c>
      <c r="N39" s="255">
        <f ca="1">IF(NOW(),_xll.mirSwapPV($C$3,$C$4,$C$6,$G14,$C$7,$I14,$C$16,$C$17,$C$18,$C$19,$C$20,$C$21,$C$22,$C$26,$C$27,N$28,$D$16,$D$17,$D$18,$D$19,$D$20,$D$21,$D$22,$D$23,$D$24,$D$25,$D$26,$D$27,$C$8,$C$9,$C$10,$C$11,$C$12),"")</f>
        <v>651221.71456541598</v>
      </c>
      <c r="O39" s="255">
        <f ca="1">IF(NOW(),_xll.mirSwapPV($C$3,$C$4,$C$6,$G14,$C$7,$I14,$C$16,$C$17,$C$18,$C$19,$C$20,$C$21,$C$22,$C$26,$C$27,O$28,$D$16,$D$17,$D$18,$D$19,$D$20,$D$21,$D$22,$D$23,$D$24,$D$25,$D$26,$D$27,$C$8,$C$9,$C$10,$C$11,$C$12),"")</f>
        <v>520977.37165233248</v>
      </c>
      <c r="P39" s="255">
        <f ca="1">IF(NOW(),_xll.mirSwapPV($C$3,$C$4,$C$6,$G14,$C$7,$I14,$C$16,$C$17,$C$18,$C$19,$C$20,$C$21,$C$22,$C$26,$C$27,P$28,$D$16,$D$17,$D$18,$D$19,$D$20,$D$21,$D$22,$D$23,$D$24,$D$25,$D$26,$D$27,$C$8,$C$9,$C$10,$C$11,$C$12),"")</f>
        <v>390733.02873924957</v>
      </c>
      <c r="Q39" s="255">
        <f ca="1">IF(NOW(),_xll.mirSwapPV($C$3,$C$4,$C$6,$G14,$C$7,$I14,$C$16,$C$17,$C$18,$C$19,$C$20,$C$21,$C$22,$C$26,$C$27,Q$28,$D$16,$D$17,$D$18,$D$19,$D$20,$D$21,$D$22,$D$23,$D$24,$D$25,$D$26,$D$27,$C$8,$C$9,$C$10,$C$11,$C$12),"")</f>
        <v>260488.68582616653</v>
      </c>
      <c r="R39" s="255">
        <f ca="1">IF(NOW(),_xll.mirSwapPV($C$3,$C$4,$C$6,$G14,$C$7,$I14,$C$16,$C$17,$C$18,$C$19,$C$20,$C$21,$C$22,$C$26,$C$27,R$28,$D$16,$D$17,$D$18,$D$19,$D$20,$D$21,$D$22,$D$23,$D$24,$D$25,$D$26,$D$27,$C$8,$C$9,$C$10,$C$11,$C$12),"")</f>
        <v>130244.34291308312</v>
      </c>
      <c r="S39" s="255">
        <f ca="1">IF(NOW(),_xll.mirSwapPV($C$3,$C$4,$C$6,$G14,$C$7,$I14,$C$16,$C$17,$C$18,$C$19,$C$20,$C$21,$C$22,$C$26,$C$27,S$28,$D$16,$D$17,$D$18,$D$19,$D$20,$D$21,$D$22,$D$23,$D$24,$D$25,$D$26,$D$27,$C$8,$C$9,$C$10,$C$11,$C$12),"")</f>
        <v>0</v>
      </c>
      <c r="T39" s="255">
        <f ca="1">IF(NOW(),_xll.mirSwapPV($C$3,$C$4,$C$6,$G14,$C$7,$I14,$C$16,$C$17,$C$18,$C$19,$C$20,$C$21,$C$22,$C$26,$C$27,T$28,$D$16,$D$17,$D$18,$D$19,$D$20,$D$21,$D$22,$D$23,$D$24,$D$25,$D$26,$D$27,$C$8,$C$9,$C$10,$C$11,$C$12),"")</f>
        <v>-130244.34291308318</v>
      </c>
      <c r="U39" s="255">
        <f ca="1">IF(NOW(),_xll.mirSwapPV($C$3,$C$4,$C$6,$G14,$C$7,$I14,$C$16,$C$17,$C$18,$C$19,$C$20,$C$21,$C$22,$C$26,$C$27,U$28,$D$16,$D$17,$D$18,$D$19,$D$20,$D$21,$D$22,$D$23,$D$24,$D$25,$D$26,$D$27,$C$8,$C$9,$C$10,$C$11,$C$12),"")</f>
        <v>-260488.68582616636</v>
      </c>
      <c r="V39" s="255">
        <f ca="1">IF(NOW(),_xll.mirSwapPV($C$3,$C$4,$C$6,$G14,$C$7,$I14,$C$16,$C$17,$C$18,$C$19,$C$20,$C$21,$C$22,$C$26,$C$27,V$28,$D$16,$D$17,$D$18,$D$19,$D$20,$D$21,$D$22,$D$23,$D$24,$D$25,$D$26,$D$27,$C$8,$C$9,$C$10,$C$11,$C$12),"")</f>
        <v>-390733.02873924951</v>
      </c>
      <c r="W39" s="255">
        <f ca="1">IF(NOW(),_xll.mirSwapPV($C$3,$C$4,$C$6,$G14,$C$7,$I14,$C$16,$C$17,$C$18,$C$19,$C$20,$C$21,$C$22,$C$26,$C$27,W$28,$D$16,$D$17,$D$18,$D$19,$D$20,$D$21,$D$22,$D$23,$D$24,$D$25,$D$26,$D$27,$C$8,$C$9,$C$10,$C$11,$C$12),"")</f>
        <v>-520977.37165233272</v>
      </c>
      <c r="X39" s="255">
        <f ca="1">IF(NOW(),_xll.mirSwapPV($C$3,$C$4,$C$6,$G14,$C$7,$I14,$C$16,$C$17,$C$18,$C$19,$C$20,$C$21,$C$22,$C$26,$C$27,X$28,$D$16,$D$17,$D$18,$D$19,$D$20,$D$21,$D$22,$D$23,$D$24,$D$25,$D$26,$D$27,$C$8,$C$9,$C$10,$C$11,$C$12),"")</f>
        <v>-651221.71456541587</v>
      </c>
      <c r="Y39" s="229"/>
      <c r="AG39" s="224" t="s">
        <v>24</v>
      </c>
      <c r="AH39" s="255">
        <f ca="1">IF(NOW(),_xll.mirSwapPV($C$3,$C$4,$C$6,$AA14,$C$7,$AC14,$C$16,$C$17,$C$18,$C$19,$C$20,$C$21,$C$22,$C$26,$C$27,AH$28,$D$16,$D$17,$D$18,$D$19,$D$20,$D$21,$D$22,$D$23,$D$24,$D$25,$D$26,$D$27,$C$8,$C$9,$C$10,$D$11,$C$12),"")</f>
        <v>651221.71456541598</v>
      </c>
      <c r="AI39" s="255">
        <f ca="1">IF(NOW(),_xll.mirSwapPV($C$3,$C$4,$C$6,$AA14,$C$7,$AC14,$C$16,$C$17,$C$18,$C$19,$C$20,$C$21,$C$22,$C$26,$C$27,AI$28,$D$16,$D$17,$D$18,$D$19,$D$20,$D$21,$D$22,$D$23,$D$24,$D$25,$D$26,$D$27,$C$8,$C$9,$C$10,$D$11,$C$12),"")</f>
        <v>520977.37165233283</v>
      </c>
      <c r="AJ39" s="255">
        <f ca="1">IF(NOW(),_xll.mirSwapPV($C$3,$C$4,$C$6,$AA14,$C$7,$AC14,$C$16,$C$17,$C$18,$C$19,$C$20,$C$21,$C$22,$C$26,$C$27,AJ$28,$D$16,$D$17,$D$18,$D$19,$D$20,$D$21,$D$22,$D$23,$D$24,$D$25,$D$26,$D$27,$C$8,$C$9,$C$10,$D$11,$C$12),"")</f>
        <v>390733.02873924933</v>
      </c>
      <c r="AK39" s="255">
        <f ca="1">IF(NOW(),_xll.mirSwapPV($C$3,$C$4,$C$6,$AA14,$C$7,$AC14,$C$16,$C$17,$C$18,$C$19,$C$20,$C$21,$C$22,$C$26,$C$27,AK$28,$D$16,$D$17,$D$18,$D$19,$D$20,$D$21,$D$22,$D$23,$D$24,$D$25,$D$26,$D$27,$C$8,$C$9,$C$10,$D$11,$C$12),"")</f>
        <v>260488.68582616636</v>
      </c>
      <c r="AL39" s="255">
        <f ca="1">IF(NOW(),_xll.mirSwapPV($C$3,$C$4,$C$6,$AA14,$C$7,$AC14,$C$16,$C$17,$C$18,$C$19,$C$20,$C$21,$C$22,$C$26,$C$27,AL$28,$D$16,$D$17,$D$18,$D$19,$D$20,$D$21,$D$22,$D$23,$D$24,$D$25,$D$26,$D$27,$C$8,$C$9,$C$10,$D$11,$C$12),"")</f>
        <v>130244.3429130833</v>
      </c>
      <c r="AM39" s="255">
        <f ca="1">IF(NOW(),_xll.mirSwapPV($C$3,$C$4,$C$6,$AA14,$C$7,$AC14,$C$16,$C$17,$C$18,$C$19,$C$20,$C$21,$C$22,$C$26,$C$27,AM$28,$D$16,$D$17,$D$18,$D$19,$D$20,$D$21,$D$22,$D$23,$D$24,$D$25,$D$26,$D$27,$C$8,$C$9,$C$10,$D$11,$C$12),"")</f>
        <v>0</v>
      </c>
      <c r="AN39" s="255">
        <f ca="1">IF(NOW(),_xll.mirSwapPV($C$3,$C$4,$C$6,$AA14,$C$7,$AC14,$C$16,$C$17,$C$18,$C$19,$C$20,$C$21,$C$22,$C$26,$C$27,AN$28,$D$16,$D$17,$D$18,$D$19,$D$20,$D$21,$D$22,$D$23,$D$24,$D$25,$D$26,$D$27,$C$8,$C$9,$C$10,$D$11,$C$12),"")</f>
        <v>-130244.34291308318</v>
      </c>
      <c r="AO39" s="255">
        <f ca="1">IF(NOW(),_xll.mirSwapPV($C$3,$C$4,$C$6,$AA14,$C$7,$AC14,$C$16,$C$17,$C$18,$C$19,$C$20,$C$21,$C$22,$C$26,$C$27,AO$28,$D$16,$D$17,$D$18,$D$19,$D$20,$D$21,$D$22,$D$23,$D$24,$D$25,$D$26,$D$27,$C$8,$C$9,$C$10,$D$11,$C$12),"")</f>
        <v>-260488.6858261663</v>
      </c>
      <c r="AP39" s="255">
        <f ca="1">IF(NOW(),_xll.mirSwapPV($C$3,$C$4,$C$6,$AA14,$C$7,$AC14,$C$16,$C$17,$C$18,$C$19,$C$20,$C$21,$C$22,$C$26,$C$27,AP$28,$D$16,$D$17,$D$18,$D$19,$D$20,$D$21,$D$22,$D$23,$D$24,$D$25,$D$26,$D$27,$C$8,$C$9,$C$10,$D$11,$C$12),"")</f>
        <v>-390733.02873924951</v>
      </c>
      <c r="AQ39" s="255">
        <f ca="1">IF(NOW(),_xll.mirSwapPV($C$3,$C$4,$C$6,$AA14,$C$7,$AC14,$C$16,$C$17,$C$18,$C$19,$C$20,$C$21,$C$22,$C$26,$C$27,AQ$28,$D$16,$D$17,$D$18,$D$19,$D$20,$D$21,$D$22,$D$23,$D$24,$D$25,$D$26,$D$27,$C$8,$C$9,$C$10,$D$11,$C$12),"")</f>
        <v>-520977.3716523326</v>
      </c>
      <c r="AR39" s="255">
        <f ca="1">IF(NOW(),_xll.mirSwapPV($C$3,$C$4,$C$6,$AA14,$C$7,$AC14,$C$16,$C$17,$C$18,$C$19,$C$20,$C$21,$C$22,$C$26,$C$27,AR$28,$D$16,$D$17,$D$18,$D$19,$D$20,$D$21,$D$22,$D$23,$D$24,$D$25,$D$26,$D$27,$C$8,$C$9,$C$10,$D$11,$C$12),"")</f>
        <v>-651221.71456541587</v>
      </c>
    </row>
    <row r="40" spans="6:44">
      <c r="F40" s="230"/>
      <c r="G40" s="227"/>
      <c r="H40" s="229"/>
      <c r="I40" s="229"/>
      <c r="J40" s="229"/>
      <c r="K40" s="230"/>
      <c r="L40" s="230"/>
      <c r="M40" s="224" t="s">
        <v>20</v>
      </c>
      <c r="N40" s="255">
        <f ca="1">IF(NOW(),_xll.mirSwapPV($C$3,$C$4,$C$6,$G15,$C$7,$I15,$C$16,$C$17,$C$18,$C$19,$C$20,$C$21,$C$22,$C$26,$C$27,N$28,$D$16,$D$17,$D$18,$D$19,$D$20,$D$21,$D$22,$D$23,$D$24,$D$25,$D$26,$D$27,$C$8,$C$9,$C$10,$C$11,$C$12),"")</f>
        <v>817694.66312319343</v>
      </c>
      <c r="O40" s="255">
        <f ca="1">IF(NOW(),_xll.mirSwapPV($C$3,$C$4,$C$6,$G15,$C$7,$I15,$C$16,$C$17,$C$18,$C$19,$C$20,$C$21,$C$22,$C$26,$C$27,O$28,$D$16,$D$17,$D$18,$D$19,$D$20,$D$21,$D$22,$D$23,$D$24,$D$25,$D$26,$D$27,$C$8,$C$9,$C$10,$C$11,$C$12),"")</f>
        <v>654155.73049855419</v>
      </c>
      <c r="P40" s="255">
        <f ca="1">IF(NOW(),_xll.mirSwapPV($C$3,$C$4,$C$6,$G15,$C$7,$I15,$C$16,$C$17,$C$18,$C$19,$C$20,$C$21,$C$22,$C$26,$C$27,P$28,$D$16,$D$17,$D$18,$D$19,$D$20,$D$21,$D$22,$D$23,$D$24,$D$25,$D$26,$D$27,$C$8,$C$9,$C$10,$C$11,$C$12),"")</f>
        <v>490616.79787391581</v>
      </c>
      <c r="Q40" s="255">
        <f ca="1">IF(NOW(),_xll.mirSwapPV($C$3,$C$4,$C$6,$G15,$C$7,$I15,$C$16,$C$17,$C$18,$C$19,$C$20,$C$21,$C$22,$C$26,$C$27,Q$28,$D$16,$D$17,$D$18,$D$19,$D$20,$D$21,$D$22,$D$23,$D$24,$D$25,$D$26,$D$27,$C$8,$C$9,$C$10,$C$11,$C$12),"")</f>
        <v>327077.86524927733</v>
      </c>
      <c r="R40" s="255">
        <f ca="1">IF(NOW(),_xll.mirSwapPV($C$3,$C$4,$C$6,$G15,$C$7,$I15,$C$16,$C$17,$C$18,$C$19,$C$20,$C$21,$C$22,$C$26,$C$27,R$28,$D$16,$D$17,$D$18,$D$19,$D$20,$D$21,$D$22,$D$23,$D$24,$D$25,$D$26,$D$27,$C$8,$C$9,$C$10,$C$11,$C$12),"")</f>
        <v>163538.93262463843</v>
      </c>
      <c r="S40" s="255">
        <f ca="1">IF(NOW(),_xll.mirSwapPV($C$3,$C$4,$C$6,$G15,$C$7,$I15,$C$16,$C$17,$C$18,$C$19,$C$20,$C$21,$C$22,$C$26,$C$27,S$28,$D$16,$D$17,$D$18,$D$19,$D$20,$D$21,$D$22,$D$23,$D$24,$D$25,$D$26,$D$27,$C$8,$C$9,$C$10,$C$11,$C$12),"")</f>
        <v>0</v>
      </c>
      <c r="T40" s="255">
        <f ca="1">IF(NOW(),_xll.mirSwapPV($C$3,$C$4,$C$6,$G15,$C$7,$I15,$C$16,$C$17,$C$18,$C$19,$C$20,$C$21,$C$22,$C$26,$C$27,T$28,$D$16,$D$17,$D$18,$D$19,$D$20,$D$21,$D$22,$D$23,$D$24,$D$25,$D$26,$D$27,$C$8,$C$9,$C$10,$C$11,$C$12),"")</f>
        <v>-163538.9326246386</v>
      </c>
      <c r="U40" s="255">
        <f ca="1">IF(NOW(),_xll.mirSwapPV($C$3,$C$4,$C$6,$G15,$C$7,$I15,$C$16,$C$17,$C$18,$C$19,$C$20,$C$21,$C$22,$C$26,$C$27,U$28,$D$16,$D$17,$D$18,$D$19,$D$20,$D$21,$D$22,$D$23,$D$24,$D$25,$D$26,$D$27,$C$8,$C$9,$C$10,$C$11,$C$12),"")</f>
        <v>-327077.86524927715</v>
      </c>
      <c r="V40" s="255">
        <f ca="1">IF(NOW(),_xll.mirSwapPV($C$3,$C$4,$C$6,$G15,$C$7,$I15,$C$16,$C$17,$C$18,$C$19,$C$20,$C$21,$C$22,$C$26,$C$27,V$28,$D$16,$D$17,$D$18,$D$19,$D$20,$D$21,$D$22,$D$23,$D$24,$D$25,$D$26,$D$27,$C$8,$C$9,$C$10,$C$11,$C$12),"")</f>
        <v>-490616.79787391587</v>
      </c>
      <c r="W40" s="255">
        <f ca="1">IF(NOW(),_xll.mirSwapPV($C$3,$C$4,$C$6,$G15,$C$7,$I15,$C$16,$C$17,$C$18,$C$19,$C$20,$C$21,$C$22,$C$26,$C$27,W$28,$D$16,$D$17,$D$18,$D$19,$D$20,$D$21,$D$22,$D$23,$D$24,$D$25,$D$26,$D$27,$C$8,$C$9,$C$10,$C$11,$C$12),"")</f>
        <v>-654155.73049855442</v>
      </c>
      <c r="X40" s="255">
        <f ca="1">IF(NOW(),_xll.mirSwapPV($C$3,$C$4,$C$6,$G15,$C$7,$I15,$C$16,$C$17,$C$18,$C$19,$C$20,$C$21,$C$22,$C$26,$C$27,X$28,$D$16,$D$17,$D$18,$D$19,$D$20,$D$21,$D$22,$D$23,$D$24,$D$25,$D$26,$D$27,$C$8,$C$9,$C$10,$C$11,$C$12),"")</f>
        <v>-817694.66312319308</v>
      </c>
      <c r="Y40" s="229"/>
      <c r="AG40" s="224" t="s">
        <v>20</v>
      </c>
      <c r="AH40" s="255">
        <f ca="1">IF(NOW(),_xll.mirSwapPV($C$3,$C$4,$C$6,$AA15,$C$7,$AC15,$C$16,$C$17,$C$18,$C$19,$C$20,$C$21,$C$22,$C$26,$C$27,AH$28,$D$16,$D$17,$D$18,$D$19,$D$20,$D$21,$D$22,$D$23,$D$24,$D$25,$D$26,$D$27,$C$8,$C$9,$C$10,$D$11,$C$12),"")</f>
        <v>817694.6631231932</v>
      </c>
      <c r="AI40" s="255">
        <f ca="1">IF(NOW(),_xll.mirSwapPV($C$3,$C$4,$C$6,$AA15,$C$7,$AC15,$C$16,$C$17,$C$18,$C$19,$C$20,$C$21,$C$22,$C$26,$C$27,AI$28,$D$16,$D$17,$D$18,$D$19,$D$20,$D$21,$D$22,$D$23,$D$24,$D$25,$D$26,$D$27,$C$8,$C$9,$C$10,$D$11,$C$12),"")</f>
        <v>654155.73049855453</v>
      </c>
      <c r="AJ40" s="255">
        <f ca="1">IF(NOW(),_xll.mirSwapPV($C$3,$C$4,$C$6,$AA15,$C$7,$AC15,$C$16,$C$17,$C$18,$C$19,$C$20,$C$21,$C$22,$C$26,$C$27,AJ$28,$D$16,$D$17,$D$18,$D$19,$D$20,$D$21,$D$22,$D$23,$D$24,$D$25,$D$26,$D$27,$C$8,$C$9,$C$10,$D$11,$C$12),"")</f>
        <v>490616.79787391546</v>
      </c>
      <c r="AK40" s="255">
        <f ca="1">IF(NOW(),_xll.mirSwapPV($C$3,$C$4,$C$6,$AA15,$C$7,$AC15,$C$16,$C$17,$C$18,$C$19,$C$20,$C$21,$C$22,$C$26,$C$27,AK$28,$D$16,$D$17,$D$18,$D$19,$D$20,$D$21,$D$22,$D$23,$D$24,$D$25,$D$26,$D$27,$C$8,$C$9,$C$10,$D$11,$C$12),"")</f>
        <v>327077.86524927721</v>
      </c>
      <c r="AL40" s="255">
        <f ca="1">IF(NOW(),_xll.mirSwapPV($C$3,$C$4,$C$6,$AA15,$C$7,$AC15,$C$16,$C$17,$C$18,$C$19,$C$20,$C$21,$C$22,$C$26,$C$27,AL$28,$D$16,$D$17,$D$18,$D$19,$D$20,$D$21,$D$22,$D$23,$D$24,$D$25,$D$26,$D$27,$C$8,$C$9,$C$10,$D$11,$C$12),"")</f>
        <v>163538.93262463863</v>
      </c>
      <c r="AM40" s="255">
        <f ca="1">IF(NOW(),_xll.mirSwapPV($C$3,$C$4,$C$6,$AA15,$C$7,$AC15,$C$16,$C$17,$C$18,$C$19,$C$20,$C$21,$C$22,$C$26,$C$27,AM$28,$D$16,$D$17,$D$18,$D$19,$D$20,$D$21,$D$22,$D$23,$D$24,$D$25,$D$26,$D$27,$C$8,$C$9,$C$10,$D$11,$C$12),"")</f>
        <v>0</v>
      </c>
      <c r="AN40" s="255">
        <f ca="1">IF(NOW(),_xll.mirSwapPV($C$3,$C$4,$C$6,$AA15,$C$7,$AC15,$C$16,$C$17,$C$18,$C$19,$C$20,$C$21,$C$22,$C$26,$C$27,AN$28,$D$16,$D$17,$D$18,$D$19,$D$20,$D$21,$D$22,$D$23,$D$24,$D$25,$D$26,$D$27,$C$8,$C$9,$C$10,$D$11,$C$12),"")</f>
        <v>-163538.93262463858</v>
      </c>
      <c r="AO40" s="255">
        <f ca="1">IF(NOW(),_xll.mirSwapPV($C$3,$C$4,$C$6,$AA15,$C$7,$AC15,$C$16,$C$17,$C$18,$C$19,$C$20,$C$21,$C$22,$C$26,$C$27,AO$28,$D$16,$D$17,$D$18,$D$19,$D$20,$D$21,$D$22,$D$23,$D$24,$D$25,$D$26,$D$27,$C$8,$C$9,$C$10,$D$11,$C$12),"")</f>
        <v>-327077.86524927715</v>
      </c>
      <c r="AP40" s="255">
        <f ca="1">IF(NOW(),_xll.mirSwapPV($C$3,$C$4,$C$6,$AA15,$C$7,$AC15,$C$16,$C$17,$C$18,$C$19,$C$20,$C$21,$C$22,$C$26,$C$27,AP$28,$D$16,$D$17,$D$18,$D$19,$D$20,$D$21,$D$22,$D$23,$D$24,$D$25,$D$26,$D$27,$C$8,$C$9,$C$10,$D$11,$C$12),"")</f>
        <v>-490616.79787391576</v>
      </c>
      <c r="AQ40" s="255">
        <f ca="1">IF(NOW(),_xll.mirSwapPV($C$3,$C$4,$C$6,$AA15,$C$7,$AC15,$C$16,$C$17,$C$18,$C$19,$C$20,$C$21,$C$22,$C$26,$C$27,AQ$28,$D$16,$D$17,$D$18,$D$19,$D$20,$D$21,$D$22,$D$23,$D$24,$D$25,$D$26,$D$27,$C$8,$C$9,$C$10,$D$11,$C$12),"")</f>
        <v>-654155.7304985543</v>
      </c>
      <c r="AR40" s="255">
        <f ca="1">IF(NOW(),_xll.mirSwapPV($C$3,$C$4,$C$6,$AA15,$C$7,$AC15,$C$16,$C$17,$C$18,$C$19,$C$20,$C$21,$C$22,$C$26,$C$27,AR$28,$D$16,$D$17,$D$18,$D$19,$D$20,$D$21,$D$22,$D$23,$D$24,$D$25,$D$26,$D$27,$C$8,$C$9,$C$10,$D$11,$C$12),"")</f>
        <v>-817694.66312319296</v>
      </c>
    </row>
    <row r="41" spans="6:44">
      <c r="F41" s="230"/>
      <c r="G41" s="227"/>
      <c r="H41" s="229"/>
      <c r="I41" s="229"/>
      <c r="J41" s="229"/>
      <c r="K41" s="230"/>
      <c r="L41" s="230"/>
      <c r="M41" s="224" t="s">
        <v>18</v>
      </c>
      <c r="N41" s="255">
        <f ca="1">IF(NOW(),_xll.mirSwapPV($C$3,$C$4,$C$6,$G16,$C$7,$I16,$C$16,$C$17,$C$18,$C$19,$C$20,$C$21,$C$22,$C$26,$C$27,N$28,$D$16,$D$17,$D$18,$D$19,$D$20,$D$21,$D$22,$D$23,$D$24,$D$25,$D$26,$D$27,$C$8,$C$9,$C$10,$C$11,$C$12),"")</f>
        <v>964946.47158325405</v>
      </c>
      <c r="O41" s="255">
        <f ca="1">IF(NOW(),_xll.mirSwapPV($C$3,$C$4,$C$6,$G16,$C$7,$I16,$C$16,$C$17,$C$18,$C$19,$C$20,$C$21,$C$22,$C$26,$C$27,O$28,$D$16,$D$17,$D$18,$D$19,$D$20,$D$21,$D$22,$D$23,$D$24,$D$25,$D$26,$D$27,$C$8,$C$9,$C$10,$C$11,$C$12),"")</f>
        <v>771957.17726660275</v>
      </c>
      <c r="P41" s="255">
        <f ca="1">IF(NOW(),_xll.mirSwapPV($C$3,$C$4,$C$6,$G16,$C$7,$I16,$C$16,$C$17,$C$18,$C$19,$C$20,$C$21,$C$22,$C$26,$C$27,P$28,$D$16,$D$17,$D$18,$D$19,$D$20,$D$21,$D$22,$D$23,$D$24,$D$25,$D$26,$D$27,$C$8,$C$9,$C$10,$C$11,$C$12),"")</f>
        <v>578967.88294995227</v>
      </c>
      <c r="Q41" s="255">
        <f ca="1">IF(NOW(),_xll.mirSwapPV($C$3,$C$4,$C$6,$G16,$C$7,$I16,$C$16,$C$17,$C$18,$C$19,$C$20,$C$21,$C$22,$C$26,$C$27,Q$28,$D$16,$D$17,$D$18,$D$19,$D$20,$D$21,$D$22,$D$23,$D$24,$D$25,$D$26,$D$27,$C$8,$C$9,$C$10,$C$11,$C$12),"")</f>
        <v>385978.58863330167</v>
      </c>
      <c r="R41" s="255">
        <f ca="1">IF(NOW(),_xll.mirSwapPV($C$3,$C$4,$C$6,$G16,$C$7,$I16,$C$16,$C$17,$C$18,$C$19,$C$20,$C$21,$C$22,$C$26,$C$27,R$28,$D$16,$D$17,$D$18,$D$19,$D$20,$D$21,$D$22,$D$23,$D$24,$D$25,$D$26,$D$27,$C$8,$C$9,$C$10,$C$11,$C$12),"")</f>
        <v>192989.29431665063</v>
      </c>
      <c r="S41" s="255">
        <f ca="1">IF(NOW(),_xll.mirSwapPV($C$3,$C$4,$C$6,$G16,$C$7,$I16,$C$16,$C$17,$C$18,$C$19,$C$20,$C$21,$C$22,$C$26,$C$27,S$28,$D$16,$D$17,$D$18,$D$19,$D$20,$D$21,$D$22,$D$23,$D$24,$D$25,$D$26,$D$27,$C$8,$C$9,$C$10,$C$11,$C$12),"")</f>
        <v>0</v>
      </c>
      <c r="T41" s="255">
        <f ca="1">IF(NOW(),_xll.mirSwapPV($C$3,$C$4,$C$6,$G16,$C$7,$I16,$C$16,$C$17,$C$18,$C$19,$C$20,$C$21,$C$22,$C$26,$C$27,T$28,$D$16,$D$17,$D$18,$D$19,$D$20,$D$21,$D$22,$D$23,$D$24,$D$25,$D$26,$D$27,$C$8,$C$9,$C$10,$C$11,$C$12),"")</f>
        <v>-192989.29431665089</v>
      </c>
      <c r="U41" s="255">
        <f ca="1">IF(NOW(),_xll.mirSwapPV($C$3,$C$4,$C$6,$G16,$C$7,$I16,$C$16,$C$17,$C$18,$C$19,$C$20,$C$21,$C$22,$C$26,$C$27,U$28,$D$16,$D$17,$D$18,$D$19,$D$20,$D$21,$D$22,$D$23,$D$24,$D$25,$D$26,$D$27,$C$8,$C$9,$C$10,$C$11,$C$12),"")</f>
        <v>-385978.58863330167</v>
      </c>
      <c r="V41" s="255">
        <f ca="1">IF(NOW(),_xll.mirSwapPV($C$3,$C$4,$C$6,$G16,$C$7,$I16,$C$16,$C$17,$C$18,$C$19,$C$20,$C$21,$C$22,$C$26,$C$27,V$28,$D$16,$D$17,$D$18,$D$19,$D$20,$D$21,$D$22,$D$23,$D$24,$D$25,$D$26,$D$27,$C$8,$C$9,$C$10,$C$11,$C$12),"")</f>
        <v>-578967.8829499525</v>
      </c>
      <c r="W41" s="255">
        <f ca="1">IF(NOW(),_xll.mirSwapPV($C$3,$C$4,$C$6,$G16,$C$7,$I16,$C$16,$C$17,$C$18,$C$19,$C$20,$C$21,$C$22,$C$26,$C$27,W$28,$D$16,$D$17,$D$18,$D$19,$D$20,$D$21,$D$22,$D$23,$D$24,$D$25,$D$26,$D$27,$C$8,$C$9,$C$10,$C$11,$C$12),"")</f>
        <v>-771957.17726660334</v>
      </c>
      <c r="X41" s="255">
        <f ca="1">IF(NOW(),_xll.mirSwapPV($C$3,$C$4,$C$6,$G16,$C$7,$I16,$C$16,$C$17,$C$18,$C$19,$C$20,$C$21,$C$22,$C$26,$C$27,X$28,$D$16,$D$17,$D$18,$D$19,$D$20,$D$21,$D$22,$D$23,$D$24,$D$25,$D$26,$D$27,$C$8,$C$9,$C$10,$C$11,$C$12),"")</f>
        <v>-964946.47158325405</v>
      </c>
      <c r="Y41" s="229"/>
      <c r="AG41" s="224" t="s">
        <v>18</v>
      </c>
      <c r="AH41" s="255">
        <f ca="1">IF(NOW(),_xll.mirSwapPV($C$3,$C$4,$C$6,$AA16,$C$7,$AC16,$C$16,$C$17,$C$18,$C$19,$C$20,$C$21,$C$22,$C$26,$C$27,AH$28,$D$16,$D$17,$D$18,$D$19,$D$20,$D$21,$D$22,$D$23,$D$24,$D$25,$D$26,$D$27,$C$8,$C$9,$C$10,$D$11,$C$12),"")</f>
        <v>964946.47158325429</v>
      </c>
      <c r="AI41" s="255">
        <f ca="1">IF(NOW(),_xll.mirSwapPV($C$3,$C$4,$C$6,$AA16,$C$7,$AC16,$C$16,$C$17,$C$18,$C$19,$C$20,$C$21,$C$22,$C$26,$C$27,AI$28,$D$16,$D$17,$D$18,$D$19,$D$20,$D$21,$D$22,$D$23,$D$24,$D$25,$D$26,$D$27,$C$8,$C$9,$C$10,$D$11,$C$12),"")</f>
        <v>771957.17726660299</v>
      </c>
      <c r="AJ41" s="255">
        <f ca="1">IF(NOW(),_xll.mirSwapPV($C$3,$C$4,$C$6,$AA16,$C$7,$AC16,$C$16,$C$17,$C$18,$C$19,$C$20,$C$21,$C$22,$C$26,$C$27,AJ$28,$D$16,$D$17,$D$18,$D$19,$D$20,$D$21,$D$22,$D$23,$D$24,$D$25,$D$26,$D$27,$C$8,$C$9,$C$10,$D$11,$C$12),"")</f>
        <v>578967.8829499518</v>
      </c>
      <c r="AK41" s="255">
        <f ca="1">IF(NOW(),_xll.mirSwapPV($C$3,$C$4,$C$6,$AA16,$C$7,$AC16,$C$16,$C$17,$C$18,$C$19,$C$20,$C$21,$C$22,$C$26,$C$27,AK$28,$D$16,$D$17,$D$18,$D$19,$D$20,$D$21,$D$22,$D$23,$D$24,$D$25,$D$26,$D$27,$C$8,$C$9,$C$10,$D$11,$C$12),"")</f>
        <v>385978.58863330149</v>
      </c>
      <c r="AL41" s="255">
        <f ca="1">IF(NOW(),_xll.mirSwapPV($C$3,$C$4,$C$6,$AA16,$C$7,$AC16,$C$16,$C$17,$C$18,$C$19,$C$20,$C$21,$C$22,$C$26,$C$27,AL$28,$D$16,$D$17,$D$18,$D$19,$D$20,$D$21,$D$22,$D$23,$D$24,$D$25,$D$26,$D$27,$C$8,$C$9,$C$10,$D$11,$C$12),"")</f>
        <v>192989.2943166508</v>
      </c>
      <c r="AM41" s="255">
        <f ca="1">IF(NOW(),_xll.mirSwapPV($C$3,$C$4,$C$6,$AA16,$C$7,$AC16,$C$16,$C$17,$C$18,$C$19,$C$20,$C$21,$C$22,$C$26,$C$27,AM$28,$D$16,$D$17,$D$18,$D$19,$D$20,$D$21,$D$22,$D$23,$D$24,$D$25,$D$26,$D$27,$C$8,$C$9,$C$10,$D$11,$C$12),"")</f>
        <v>-5.5511151231257827E-11</v>
      </c>
      <c r="AN41" s="255">
        <f ca="1">IF(NOW(),_xll.mirSwapPV($C$3,$C$4,$C$6,$AA16,$C$7,$AC16,$C$16,$C$17,$C$18,$C$19,$C$20,$C$21,$C$22,$C$26,$C$27,AN$28,$D$16,$D$17,$D$18,$D$19,$D$20,$D$21,$D$22,$D$23,$D$24,$D$25,$D$26,$D$27,$C$8,$C$9,$C$10,$D$11,$C$12),"")</f>
        <v>-192989.29431665089</v>
      </c>
      <c r="AO41" s="255">
        <f ca="1">IF(NOW(),_xll.mirSwapPV($C$3,$C$4,$C$6,$AA16,$C$7,$AC16,$C$16,$C$17,$C$18,$C$19,$C$20,$C$21,$C$22,$C$26,$C$27,AO$28,$D$16,$D$17,$D$18,$D$19,$D$20,$D$21,$D$22,$D$23,$D$24,$D$25,$D$26,$D$27,$C$8,$C$9,$C$10,$D$11,$C$12),"")</f>
        <v>-385978.58863330167</v>
      </c>
      <c r="AP41" s="255">
        <f ca="1">IF(NOW(),_xll.mirSwapPV($C$3,$C$4,$C$6,$AA16,$C$7,$AC16,$C$16,$C$17,$C$18,$C$19,$C$20,$C$21,$C$22,$C$26,$C$27,AP$28,$D$16,$D$17,$D$18,$D$19,$D$20,$D$21,$D$22,$D$23,$D$24,$D$25,$D$26,$D$27,$C$8,$C$9,$C$10,$D$11,$C$12),"")</f>
        <v>-578967.8829499525</v>
      </c>
      <c r="AQ41" s="255">
        <f ca="1">IF(NOW(),_xll.mirSwapPV($C$3,$C$4,$C$6,$AA16,$C$7,$AC16,$C$16,$C$17,$C$18,$C$19,$C$20,$C$21,$C$22,$C$26,$C$27,AQ$28,$D$16,$D$17,$D$18,$D$19,$D$20,$D$21,$D$22,$D$23,$D$24,$D$25,$D$26,$D$27,$C$8,$C$9,$C$10,$D$11,$C$12),"")</f>
        <v>-771957.17726660322</v>
      </c>
      <c r="AR41" s="255">
        <f ca="1">IF(NOW(),_xll.mirSwapPV($C$3,$C$4,$C$6,$AA16,$C$7,$AC16,$C$16,$C$17,$C$18,$C$19,$C$20,$C$21,$C$22,$C$26,$C$27,AR$28,$D$16,$D$17,$D$18,$D$19,$D$20,$D$21,$D$22,$D$23,$D$24,$D$25,$D$26,$D$27,$C$8,$C$9,$C$10,$D$11,$C$12),"")</f>
        <v>-964946.47158325405</v>
      </c>
    </row>
    <row r="42" spans="6:44">
      <c r="F42" s="230"/>
      <c r="G42" s="227"/>
      <c r="H42" s="229"/>
      <c r="I42" s="229"/>
      <c r="J42" s="229"/>
      <c r="K42" s="230"/>
      <c r="L42" s="230"/>
      <c r="M42" s="224" t="s">
        <v>17</v>
      </c>
      <c r="N42" s="255">
        <f ca="1">IF(NOW(),_xll.mirSwapPV($C$3,$C$4,$C$6,$G17,$C$7,$I17,$C$16,$C$17,$C$18,$C$19,$C$20,$C$21,$C$22,$C$26,$C$27,N$28,$D$16,$D$17,$D$18,$D$19,$D$20,$D$21,$D$22,$D$23,$D$24,$D$25,$D$26,$D$27,$C$8,$C$9,$C$10,$C$11,$C$12),"")</f>
        <v>1095875.5704726886</v>
      </c>
      <c r="O42" s="255">
        <f ca="1">IF(NOW(),_xll.mirSwapPV($C$3,$C$4,$C$6,$G17,$C$7,$I17,$C$16,$C$17,$C$18,$C$19,$C$20,$C$21,$C$22,$C$26,$C$27,O$28,$D$16,$D$17,$D$18,$D$19,$D$20,$D$21,$D$22,$D$23,$D$24,$D$25,$D$26,$D$27,$C$8,$C$9,$C$10,$C$11,$C$12),"")</f>
        <v>876700.4563781505</v>
      </c>
      <c r="P42" s="255">
        <f ca="1">IF(NOW(),_xll.mirSwapPV($C$3,$C$4,$C$6,$G17,$C$7,$I17,$C$16,$C$17,$C$18,$C$19,$C$20,$C$21,$C$22,$C$26,$C$27,P$28,$D$16,$D$17,$D$18,$D$19,$D$20,$D$21,$D$22,$D$23,$D$24,$D$25,$D$26,$D$27,$C$8,$C$9,$C$10,$C$11,$C$12),"")</f>
        <v>657525.34228361258</v>
      </c>
      <c r="Q42" s="255">
        <f ca="1">IF(NOW(),_xll.mirSwapPV($C$3,$C$4,$C$6,$G17,$C$7,$I17,$C$16,$C$17,$C$18,$C$19,$C$20,$C$21,$C$22,$C$26,$C$27,Q$28,$D$16,$D$17,$D$18,$D$19,$D$20,$D$21,$D$22,$D$23,$D$24,$D$25,$D$26,$D$27,$C$8,$C$9,$C$10,$C$11,$C$12),"")</f>
        <v>438350.22818907542</v>
      </c>
      <c r="R42" s="255">
        <f ca="1">IF(NOW(),_xll.mirSwapPV($C$3,$C$4,$C$6,$G17,$C$7,$I17,$C$16,$C$17,$C$18,$C$19,$C$20,$C$21,$C$22,$C$26,$C$27,R$28,$D$16,$D$17,$D$18,$D$19,$D$20,$D$21,$D$22,$D$23,$D$24,$D$25,$D$26,$D$27,$C$8,$C$9,$C$10,$C$11,$C$12),"")</f>
        <v>219175.11409453748</v>
      </c>
      <c r="S42" s="255">
        <f ca="1">IF(NOW(),_xll.mirSwapPV($C$3,$C$4,$C$6,$G17,$C$7,$I17,$C$16,$C$17,$C$18,$C$19,$C$20,$C$21,$C$22,$C$26,$C$27,S$28,$D$16,$D$17,$D$18,$D$19,$D$20,$D$21,$D$22,$D$23,$D$24,$D$25,$D$26,$D$27,$C$8,$C$9,$C$10,$C$11,$C$12),"")</f>
        <v>0</v>
      </c>
      <c r="T42" s="255">
        <f ca="1">IF(NOW(),_xll.mirSwapPV($C$3,$C$4,$C$6,$G17,$C$7,$I17,$C$16,$C$17,$C$18,$C$19,$C$20,$C$21,$C$22,$C$26,$C$27,T$28,$D$16,$D$17,$D$18,$D$19,$D$20,$D$21,$D$22,$D$23,$D$24,$D$25,$D$26,$D$27,$C$8,$C$9,$C$10,$C$11,$C$12),"")</f>
        <v>-219175.11409453789</v>
      </c>
      <c r="U42" s="255">
        <f ca="1">IF(NOW(),_xll.mirSwapPV($C$3,$C$4,$C$6,$G17,$C$7,$I17,$C$16,$C$17,$C$18,$C$19,$C$20,$C$21,$C$22,$C$26,$C$27,U$28,$D$16,$D$17,$D$18,$D$19,$D$20,$D$21,$D$22,$D$23,$D$24,$D$25,$D$26,$D$27,$C$8,$C$9,$C$10,$C$11,$C$12),"")</f>
        <v>-438350.22818907554</v>
      </c>
      <c r="V42" s="255">
        <f ca="1">IF(NOW(),_xll.mirSwapPV($C$3,$C$4,$C$6,$G17,$C$7,$I17,$C$16,$C$17,$C$18,$C$19,$C$20,$C$21,$C$22,$C$26,$C$27,V$28,$D$16,$D$17,$D$18,$D$19,$D$20,$D$21,$D$22,$D$23,$D$24,$D$25,$D$26,$D$27,$C$8,$C$9,$C$10,$C$11,$C$12),"")</f>
        <v>-657525.3422836134</v>
      </c>
      <c r="W42" s="255">
        <f ca="1">IF(NOW(),_xll.mirSwapPV($C$3,$C$4,$C$6,$G17,$C$7,$I17,$C$16,$C$17,$C$18,$C$19,$C$20,$C$21,$C$22,$C$26,$C$27,W$28,$D$16,$D$17,$D$18,$D$19,$D$20,$D$21,$D$22,$D$23,$D$24,$D$25,$D$26,$D$27,$C$8,$C$9,$C$10,$C$11,$C$12),"")</f>
        <v>-876700.4563781512</v>
      </c>
      <c r="X42" s="255">
        <f ca="1">IF(NOW(),_xll.mirSwapPV($C$3,$C$4,$C$6,$G17,$C$7,$I17,$C$16,$C$17,$C$18,$C$19,$C$20,$C$21,$C$22,$C$26,$C$27,X$28,$D$16,$D$17,$D$18,$D$19,$D$20,$D$21,$D$22,$D$23,$D$24,$D$25,$D$26,$D$27,$C$8,$C$9,$C$10,$C$11,$C$12),"")</f>
        <v>-1095875.5704726889</v>
      </c>
      <c r="Y42" s="229"/>
      <c r="AG42" s="224" t="s">
        <v>17</v>
      </c>
      <c r="AH42" s="255">
        <f ca="1">IF(NOW(),_xll.mirSwapPV($C$3,$C$4,$C$6,$AA17,$C$7,$AC17,$C$16,$C$17,$C$18,$C$19,$C$20,$C$21,$C$22,$C$26,$C$27,AH$28,$D$16,$D$17,$D$18,$D$19,$D$20,$D$21,$D$22,$D$23,$D$24,$D$25,$D$26,$D$27,$C$8,$C$9,$C$10,$D$11,$C$12),"")</f>
        <v>1095875.5704726891</v>
      </c>
      <c r="AI42" s="255">
        <f ca="1">IF(NOW(),_xll.mirSwapPV($C$3,$C$4,$C$6,$AA17,$C$7,$AC17,$C$16,$C$17,$C$18,$C$19,$C$20,$C$21,$C$22,$C$26,$C$27,AI$28,$D$16,$D$17,$D$18,$D$19,$D$20,$D$21,$D$22,$D$23,$D$24,$D$25,$D$26,$D$27,$C$8,$C$9,$C$10,$D$11,$C$12),"")</f>
        <v>876700.45637815085</v>
      </c>
      <c r="AJ42" s="255">
        <f ca="1">IF(NOW(),_xll.mirSwapPV($C$3,$C$4,$C$6,$AA17,$C$7,$AC17,$C$16,$C$17,$C$18,$C$19,$C$20,$C$21,$C$22,$C$26,$C$27,AJ$28,$D$16,$D$17,$D$18,$D$19,$D$20,$D$21,$D$22,$D$23,$D$24,$D$25,$D$26,$D$27,$C$8,$C$9,$C$10,$D$11,$C$12),"")</f>
        <v>657525.34228361223</v>
      </c>
      <c r="AK42" s="255">
        <f ca="1">IF(NOW(),_xll.mirSwapPV($C$3,$C$4,$C$6,$AA17,$C$7,$AC17,$C$16,$C$17,$C$18,$C$19,$C$20,$C$21,$C$22,$C$26,$C$27,AK$28,$D$16,$D$17,$D$18,$D$19,$D$20,$D$21,$D$22,$D$23,$D$24,$D$25,$D$26,$D$27,$C$8,$C$9,$C$10,$D$11,$C$12),"")</f>
        <v>438350.22818907531</v>
      </c>
      <c r="AL42" s="255">
        <f ca="1">IF(NOW(),_xll.mirSwapPV($C$3,$C$4,$C$6,$AA17,$C$7,$AC17,$C$16,$C$17,$C$18,$C$19,$C$20,$C$21,$C$22,$C$26,$C$27,AL$28,$D$16,$D$17,$D$18,$D$19,$D$20,$D$21,$D$22,$D$23,$D$24,$D$25,$D$26,$D$27,$C$8,$C$9,$C$10,$D$11,$C$12),"")</f>
        <v>219175.1140945376</v>
      </c>
      <c r="AM42" s="255">
        <f ca="1">IF(NOW(),_xll.mirSwapPV($C$3,$C$4,$C$6,$AA17,$C$7,$AC17,$C$16,$C$17,$C$18,$C$19,$C$20,$C$21,$C$22,$C$26,$C$27,AM$28,$D$16,$D$17,$D$18,$D$19,$D$20,$D$21,$D$22,$D$23,$D$24,$D$25,$D$26,$D$27,$C$8,$C$9,$C$10,$D$11,$C$12),"")</f>
        <v>0</v>
      </c>
      <c r="AN42" s="255">
        <f ca="1">IF(NOW(),_xll.mirSwapPV($C$3,$C$4,$C$6,$AA17,$C$7,$AC17,$C$16,$C$17,$C$18,$C$19,$C$20,$C$21,$C$22,$C$26,$C$27,AN$28,$D$16,$D$17,$D$18,$D$19,$D$20,$D$21,$D$22,$D$23,$D$24,$D$25,$D$26,$D$27,$C$8,$C$9,$C$10,$D$11,$C$12),"")</f>
        <v>-219175.11409453783</v>
      </c>
      <c r="AO42" s="255">
        <f ca="1">IF(NOW(),_xll.mirSwapPV($C$3,$C$4,$C$6,$AA17,$C$7,$AC17,$C$16,$C$17,$C$18,$C$19,$C$20,$C$21,$C$22,$C$26,$C$27,AO$28,$D$16,$D$17,$D$18,$D$19,$D$20,$D$21,$D$22,$D$23,$D$24,$D$25,$D$26,$D$27,$C$8,$C$9,$C$10,$D$11,$C$12),"")</f>
        <v>-438350.22818907548</v>
      </c>
      <c r="AP42" s="255">
        <f ca="1">IF(NOW(),_xll.mirSwapPV($C$3,$C$4,$C$6,$AA17,$C$7,$AC17,$C$16,$C$17,$C$18,$C$19,$C$20,$C$21,$C$22,$C$26,$C$27,AP$28,$D$16,$D$17,$D$18,$D$19,$D$20,$D$21,$D$22,$D$23,$D$24,$D$25,$D$26,$D$27,$C$8,$C$9,$C$10,$D$11,$C$12),"")</f>
        <v>-657525.34228361328</v>
      </c>
      <c r="AQ42" s="255">
        <f ca="1">IF(NOW(),_xll.mirSwapPV($C$3,$C$4,$C$6,$AA17,$C$7,$AC17,$C$16,$C$17,$C$18,$C$19,$C$20,$C$21,$C$22,$C$26,$C$27,AQ$28,$D$16,$D$17,$D$18,$D$19,$D$20,$D$21,$D$22,$D$23,$D$24,$D$25,$D$26,$D$27,$C$8,$C$9,$C$10,$D$11,$C$12),"")</f>
        <v>-876700.45637815096</v>
      </c>
      <c r="AR42" s="255">
        <f ca="1">IF(NOW(),_xll.mirSwapPV($C$3,$C$4,$C$6,$AA17,$C$7,$AC17,$C$16,$C$17,$C$18,$C$19,$C$20,$C$21,$C$22,$C$26,$C$27,AR$28,$D$16,$D$17,$D$18,$D$19,$D$20,$D$21,$D$22,$D$23,$D$24,$D$25,$D$26,$D$27,$C$8,$C$9,$C$10,$D$11,$C$12),"")</f>
        <v>-1095875.5704726886</v>
      </c>
    </row>
    <row r="43" spans="6:44">
      <c r="F43" s="230"/>
      <c r="G43" s="227"/>
      <c r="H43" s="229"/>
      <c r="I43" s="229"/>
      <c r="J43" s="229"/>
      <c r="K43" s="230"/>
      <c r="L43" s="230"/>
      <c r="M43" s="224" t="s">
        <v>15</v>
      </c>
      <c r="N43" s="255">
        <f ca="1">IF(NOW(),_xll.mirSwapPV($C$3,$C$4,$C$6,$G18,$C$7,$I18,$C$16,$C$17,$C$18,$C$19,$C$20,$C$21,$C$22,$C$26,$C$27,N$28,$D$16,$D$17,$D$18,$D$19,$D$20,$D$21,$D$22,$D$23,$D$24,$D$25,$D$26,$D$27,$C$8,$C$9,$C$10,$C$11,$C$12),"")</f>
        <v>1318174.9079456266</v>
      </c>
      <c r="O43" s="255">
        <f ca="1">IF(NOW(),_xll.mirSwapPV($C$3,$C$4,$C$6,$G18,$C$7,$I18,$C$16,$C$17,$C$18,$C$19,$C$20,$C$21,$C$22,$C$26,$C$27,O$28,$D$16,$D$17,$D$18,$D$19,$D$20,$D$21,$D$22,$D$23,$D$24,$D$25,$D$26,$D$27,$C$8,$C$9,$C$10,$C$11,$C$12),"")</f>
        <v>1054539.9263565014</v>
      </c>
      <c r="P43" s="255">
        <f ca="1">IF(NOW(),_xll.mirSwapPV($C$3,$C$4,$C$6,$G18,$C$7,$I18,$C$16,$C$17,$C$18,$C$19,$C$20,$C$21,$C$22,$C$26,$C$27,P$28,$D$16,$D$17,$D$18,$D$19,$D$20,$D$21,$D$22,$D$23,$D$24,$D$25,$D$26,$D$27,$C$8,$C$9,$C$10,$C$11,$C$12),"")</f>
        <v>790904.94476737559</v>
      </c>
      <c r="Q43" s="255">
        <f ca="1">IF(NOW(),_xll.mirSwapPV($C$3,$C$4,$C$6,$G18,$C$7,$I18,$C$16,$C$17,$C$18,$C$19,$C$20,$C$21,$C$22,$C$26,$C$27,Q$28,$D$16,$D$17,$D$18,$D$19,$D$20,$D$21,$D$22,$D$23,$D$24,$D$25,$D$26,$D$27,$C$8,$C$9,$C$10,$C$11,$C$12),"")</f>
        <v>527269.96317825082</v>
      </c>
      <c r="R43" s="255">
        <f ca="1">IF(NOW(),_xll.mirSwapPV($C$3,$C$4,$C$6,$G18,$C$7,$I18,$C$16,$C$17,$C$18,$C$19,$C$20,$C$21,$C$22,$C$26,$C$27,R$28,$D$16,$D$17,$D$18,$D$19,$D$20,$D$21,$D$22,$D$23,$D$24,$D$25,$D$26,$D$27,$C$8,$C$9,$C$10,$C$11,$C$12),"")</f>
        <v>263634.98158912512</v>
      </c>
      <c r="S43" s="255">
        <f ca="1">IF(NOW(),_xll.mirSwapPV($C$3,$C$4,$C$6,$G18,$C$7,$I18,$C$16,$C$17,$C$18,$C$19,$C$20,$C$21,$C$22,$C$26,$C$27,S$28,$D$16,$D$17,$D$18,$D$19,$D$20,$D$21,$D$22,$D$23,$D$24,$D$25,$D$26,$D$27,$C$8,$C$9,$C$10,$C$11,$C$12),"")</f>
        <v>0</v>
      </c>
      <c r="T43" s="255">
        <f ca="1">IF(NOW(),_xll.mirSwapPV($C$3,$C$4,$C$6,$G18,$C$7,$I18,$C$16,$C$17,$C$18,$C$19,$C$20,$C$21,$C$22,$C$26,$C$27,T$28,$D$16,$D$17,$D$18,$D$19,$D$20,$D$21,$D$22,$D$23,$D$24,$D$25,$D$26,$D$27,$C$8,$C$9,$C$10,$C$11,$C$12),"")</f>
        <v>-263634.98158912576</v>
      </c>
      <c r="U43" s="255">
        <f ca="1">IF(NOW(),_xll.mirSwapPV($C$3,$C$4,$C$6,$G18,$C$7,$I18,$C$16,$C$17,$C$18,$C$19,$C$20,$C$21,$C$22,$C$26,$C$27,U$28,$D$16,$D$17,$D$18,$D$19,$D$20,$D$21,$D$22,$D$23,$D$24,$D$25,$D$26,$D$27,$C$8,$C$9,$C$10,$C$11,$C$12),"")</f>
        <v>-527269.96317825106</v>
      </c>
      <c r="V43" s="255">
        <f ca="1">IF(NOW(),_xll.mirSwapPV($C$3,$C$4,$C$6,$G18,$C$7,$I18,$C$16,$C$17,$C$18,$C$19,$C$20,$C$21,$C$22,$C$26,$C$27,V$28,$D$16,$D$17,$D$18,$D$19,$D$20,$D$21,$D$22,$D$23,$D$24,$D$25,$D$26,$D$27,$C$8,$C$9,$C$10,$C$11,$C$12),"")</f>
        <v>-790904.94476737664</v>
      </c>
      <c r="W43" s="255">
        <f ca="1">IF(NOW(),_xll.mirSwapPV($C$3,$C$4,$C$6,$G18,$C$7,$I18,$C$16,$C$17,$C$18,$C$19,$C$20,$C$21,$C$22,$C$26,$C$27,W$28,$D$16,$D$17,$D$18,$D$19,$D$20,$D$21,$D$22,$D$23,$D$24,$D$25,$D$26,$D$27,$C$8,$C$9,$C$10,$C$11,$C$12),"")</f>
        <v>-1054539.9263565021</v>
      </c>
      <c r="X43" s="255">
        <f ca="1">IF(NOW(),_xll.mirSwapPV($C$3,$C$4,$C$6,$G18,$C$7,$I18,$C$16,$C$17,$C$18,$C$19,$C$20,$C$21,$C$22,$C$26,$C$27,X$28,$D$16,$D$17,$D$18,$D$19,$D$20,$D$21,$D$22,$D$23,$D$24,$D$25,$D$26,$D$27,$C$8,$C$9,$C$10,$C$11,$C$12),"")</f>
        <v>-1318174.9079456276</v>
      </c>
      <c r="Y43" s="229"/>
      <c r="AG43" s="224" t="s">
        <v>15</v>
      </c>
      <c r="AH43" s="255">
        <f ca="1">IF(NOW(),_xll.mirSwapPV($C$3,$C$4,$C$6,$AA18,$C$7,$AC18,$C$16,$C$17,$C$18,$C$19,$C$20,$C$21,$C$22,$C$26,$C$27,AH$28,$D$16,$D$17,$D$18,$D$19,$D$20,$D$21,$D$22,$D$23,$D$24,$D$25,$D$26,$D$27,$C$8,$C$9,$C$10,$D$11,$C$12),"")</f>
        <v>1318174.9079456271</v>
      </c>
      <c r="AI43" s="255">
        <f ca="1">IF(NOW(),_xll.mirSwapPV($C$3,$C$4,$C$6,$AA18,$C$7,$AC18,$C$16,$C$17,$C$18,$C$19,$C$20,$C$21,$C$22,$C$26,$C$27,AI$28,$D$16,$D$17,$D$18,$D$19,$D$20,$D$21,$D$22,$D$23,$D$24,$D$25,$D$26,$D$27,$C$8,$C$9,$C$10,$D$11,$C$12),"")</f>
        <v>1054539.9263565014</v>
      </c>
      <c r="AJ43" s="255">
        <f ca="1">IF(NOW(),_xll.mirSwapPV($C$3,$C$4,$C$6,$AA18,$C$7,$AC18,$C$16,$C$17,$C$18,$C$19,$C$20,$C$21,$C$22,$C$26,$C$27,AJ$28,$D$16,$D$17,$D$18,$D$19,$D$20,$D$21,$D$22,$D$23,$D$24,$D$25,$D$26,$D$27,$C$8,$C$9,$C$10,$D$11,$C$12),"")</f>
        <v>790904.94476737524</v>
      </c>
      <c r="AK43" s="255">
        <f ca="1">IF(NOW(),_xll.mirSwapPV($C$3,$C$4,$C$6,$AA18,$C$7,$AC18,$C$16,$C$17,$C$18,$C$19,$C$20,$C$21,$C$22,$C$26,$C$27,AK$28,$D$16,$D$17,$D$18,$D$19,$D$20,$D$21,$D$22,$D$23,$D$24,$D$25,$D$26,$D$27,$C$8,$C$9,$C$10,$D$11,$C$12),"")</f>
        <v>527269.96317825071</v>
      </c>
      <c r="AL43" s="255">
        <f ca="1">IF(NOW(),_xll.mirSwapPV($C$3,$C$4,$C$6,$AA18,$C$7,$AC18,$C$16,$C$17,$C$18,$C$19,$C$20,$C$21,$C$22,$C$26,$C$27,AL$28,$D$16,$D$17,$D$18,$D$19,$D$20,$D$21,$D$22,$D$23,$D$24,$D$25,$D$26,$D$27,$C$8,$C$9,$C$10,$D$11,$C$12),"")</f>
        <v>263634.98158912512</v>
      </c>
      <c r="AM43" s="255">
        <f ca="1">IF(NOW(),_xll.mirSwapPV($C$3,$C$4,$C$6,$AA18,$C$7,$AC18,$C$16,$C$17,$C$18,$C$19,$C$20,$C$21,$C$22,$C$26,$C$27,AM$28,$D$16,$D$17,$D$18,$D$19,$D$20,$D$21,$D$22,$D$23,$D$24,$D$25,$D$26,$D$27,$C$8,$C$9,$C$10,$D$11,$C$12),"")</f>
        <v>0</v>
      </c>
      <c r="AN43" s="255">
        <f ca="1">IF(NOW(),_xll.mirSwapPV($C$3,$C$4,$C$6,$AA18,$C$7,$AC18,$C$16,$C$17,$C$18,$C$19,$C$20,$C$21,$C$22,$C$26,$C$27,AN$28,$D$16,$D$17,$D$18,$D$19,$D$20,$D$21,$D$22,$D$23,$D$24,$D$25,$D$26,$D$27,$C$8,$C$9,$C$10,$D$11,$C$12),"")</f>
        <v>-263634.98158912588</v>
      </c>
      <c r="AO43" s="255">
        <f ca="1">IF(NOW(),_xll.mirSwapPV($C$3,$C$4,$C$6,$AA18,$C$7,$AC18,$C$16,$C$17,$C$18,$C$19,$C$20,$C$21,$C$22,$C$26,$C$27,AO$28,$D$16,$D$17,$D$18,$D$19,$D$20,$D$21,$D$22,$D$23,$D$24,$D$25,$D$26,$D$27,$C$8,$C$9,$C$10,$D$11,$C$12),"")</f>
        <v>-527269.96317825117</v>
      </c>
      <c r="AP43" s="255">
        <f ca="1">IF(NOW(),_xll.mirSwapPV($C$3,$C$4,$C$6,$AA18,$C$7,$AC18,$C$16,$C$17,$C$18,$C$19,$C$20,$C$21,$C$22,$C$26,$C$27,AP$28,$D$16,$D$17,$D$18,$D$19,$D$20,$D$21,$D$22,$D$23,$D$24,$D$25,$D$26,$D$27,$C$8,$C$9,$C$10,$D$11,$C$12),"")</f>
        <v>-790904.94476737664</v>
      </c>
      <c r="AQ43" s="255">
        <f ca="1">IF(NOW(),_xll.mirSwapPV($C$3,$C$4,$C$6,$AA18,$C$7,$AC18,$C$16,$C$17,$C$18,$C$19,$C$20,$C$21,$C$22,$C$26,$C$27,AQ$28,$D$16,$D$17,$D$18,$D$19,$D$20,$D$21,$D$22,$D$23,$D$24,$D$25,$D$26,$D$27,$C$8,$C$9,$C$10,$D$11,$C$12),"")</f>
        <v>-1054539.9263565021</v>
      </c>
      <c r="AR43" s="255">
        <f ca="1">IF(NOW(),_xll.mirSwapPV($C$3,$C$4,$C$6,$AA18,$C$7,$AC18,$C$16,$C$17,$C$18,$C$19,$C$20,$C$21,$C$22,$C$26,$C$27,AR$28,$D$16,$D$17,$D$18,$D$19,$D$20,$D$21,$D$22,$D$23,$D$24,$D$25,$D$26,$D$27,$C$8,$C$9,$C$10,$D$11,$C$12),"")</f>
        <v>-1318174.9079456273</v>
      </c>
    </row>
    <row r="44" spans="6:44">
      <c r="F44" s="230"/>
      <c r="G44" s="227"/>
      <c r="H44" s="229"/>
      <c r="I44" s="229"/>
      <c r="J44" s="229"/>
      <c r="K44" s="230"/>
      <c r="L44" s="230"/>
      <c r="M44" s="224" t="s">
        <v>14</v>
      </c>
      <c r="N44" s="255">
        <f ca="1">IF(NOW(),_xll.mirSwapPV($C$3,$C$4,$C$6,$G19,$C$7,$I19,$C$16,$C$17,$C$18,$C$19,$C$20,$C$21,$C$22,$C$26,$C$27,N$28,$D$16,$D$17,$D$18,$D$19,$D$20,$D$21,$D$22,$D$23,$D$24,$D$25,$D$26,$D$27,$C$8,$C$9,$C$10,$C$11,$C$12),"")</f>
        <v>1498623.2347463313</v>
      </c>
      <c r="O44" s="255">
        <f ca="1">IF(NOW(),_xll.mirSwapPV($C$3,$C$4,$C$6,$G19,$C$7,$I19,$C$16,$C$17,$C$18,$C$19,$C$20,$C$21,$C$22,$C$26,$C$27,O$28,$D$16,$D$17,$D$18,$D$19,$D$20,$D$21,$D$22,$D$23,$D$24,$D$25,$D$26,$D$27,$C$8,$C$9,$C$10,$C$11,$C$12),"")</f>
        <v>1198898.5877970648</v>
      </c>
      <c r="P44" s="255">
        <f ca="1">IF(NOW(),_xll.mirSwapPV($C$3,$C$4,$C$6,$G19,$C$7,$I19,$C$16,$C$17,$C$18,$C$19,$C$20,$C$21,$C$22,$C$26,$C$27,P$28,$D$16,$D$17,$D$18,$D$19,$D$20,$D$21,$D$22,$D$23,$D$24,$D$25,$D$26,$D$27,$C$8,$C$9,$C$10,$C$11,$C$12),"")</f>
        <v>899173.9408477979</v>
      </c>
      <c r="Q44" s="255">
        <f ca="1">IF(NOW(),_xll.mirSwapPV($C$3,$C$4,$C$6,$G19,$C$7,$I19,$C$16,$C$17,$C$18,$C$19,$C$20,$C$21,$C$22,$C$26,$C$27,Q$28,$D$16,$D$17,$D$18,$D$19,$D$20,$D$21,$D$22,$D$23,$D$24,$D$25,$D$26,$D$27,$C$8,$C$9,$C$10,$C$11,$C$12),"")</f>
        <v>599449.29389853252</v>
      </c>
      <c r="R44" s="255">
        <f ca="1">IF(NOW(),_xll.mirSwapPV($C$3,$C$4,$C$6,$G19,$C$7,$I19,$C$16,$C$17,$C$18,$C$19,$C$20,$C$21,$C$22,$C$26,$C$27,R$28,$D$16,$D$17,$D$18,$D$19,$D$20,$D$21,$D$22,$D$23,$D$24,$D$25,$D$26,$D$27,$C$8,$C$9,$C$10,$C$11,$C$12),"")</f>
        <v>299724.64694926603</v>
      </c>
      <c r="S44" s="255">
        <f ca="1">IF(NOW(),_xll.mirSwapPV($C$3,$C$4,$C$6,$G19,$C$7,$I19,$C$16,$C$17,$C$18,$C$19,$C$20,$C$21,$C$22,$C$26,$C$27,S$28,$D$16,$D$17,$D$18,$D$19,$D$20,$D$21,$D$22,$D$23,$D$24,$D$25,$D$26,$D$27,$C$8,$C$9,$C$10,$C$11,$C$12),"")</f>
        <v>0</v>
      </c>
      <c r="T44" s="255">
        <f ca="1">IF(NOW(),_xll.mirSwapPV($C$3,$C$4,$C$6,$G19,$C$7,$I19,$C$16,$C$17,$C$18,$C$19,$C$20,$C$21,$C$22,$C$26,$C$27,T$28,$D$16,$D$17,$D$18,$D$19,$D$20,$D$21,$D$22,$D$23,$D$24,$D$25,$D$26,$D$27,$C$8,$C$9,$C$10,$C$11,$C$12),"")</f>
        <v>-299724.64694926655</v>
      </c>
      <c r="U44" s="255">
        <f ca="1">IF(NOW(),_xll.mirSwapPV($C$3,$C$4,$C$6,$G19,$C$7,$I19,$C$16,$C$17,$C$18,$C$19,$C$20,$C$21,$C$22,$C$26,$C$27,U$28,$D$16,$D$17,$D$18,$D$19,$D$20,$D$21,$D$22,$D$23,$D$24,$D$25,$D$26,$D$27,$C$8,$C$9,$C$10,$C$11,$C$12),"")</f>
        <v>-599449.29389853263</v>
      </c>
      <c r="V44" s="255">
        <f ca="1">IF(NOW(),_xll.mirSwapPV($C$3,$C$4,$C$6,$G19,$C$7,$I19,$C$16,$C$17,$C$18,$C$19,$C$20,$C$21,$C$22,$C$26,$C$27,V$28,$D$16,$D$17,$D$18,$D$19,$D$20,$D$21,$D$22,$D$23,$D$24,$D$25,$D$26,$D$27,$C$8,$C$9,$C$10,$C$11,$C$12),"")</f>
        <v>-899173.94084779895</v>
      </c>
      <c r="W44" s="255">
        <f ca="1">IF(NOW(),_xll.mirSwapPV($C$3,$C$4,$C$6,$G19,$C$7,$I19,$C$16,$C$17,$C$18,$C$19,$C$20,$C$21,$C$22,$C$26,$C$27,W$28,$D$16,$D$17,$D$18,$D$19,$D$20,$D$21,$D$22,$D$23,$D$24,$D$25,$D$26,$D$27,$C$8,$C$9,$C$10,$C$11,$C$12),"")</f>
        <v>-1198898.5877970655</v>
      </c>
      <c r="X44" s="255">
        <f ca="1">IF(NOW(),_xll.mirSwapPV($C$3,$C$4,$C$6,$G19,$C$7,$I19,$C$16,$C$17,$C$18,$C$19,$C$20,$C$21,$C$22,$C$26,$C$27,X$28,$D$16,$D$17,$D$18,$D$19,$D$20,$D$21,$D$22,$D$23,$D$24,$D$25,$D$26,$D$27,$C$8,$C$9,$C$10,$C$11,$C$12),"")</f>
        <v>-1498623.2347463316</v>
      </c>
      <c r="Y44" s="229"/>
      <c r="AG44" s="224" t="s">
        <v>14</v>
      </c>
      <c r="AH44" s="255">
        <f ca="1">IF(NOW(),_xll.mirSwapPV($C$3,$C$4,$C$6,$AA19,$C$7,$AC19,$C$16,$C$17,$C$18,$C$19,$C$20,$C$21,$C$22,$C$26,$C$27,AH$28,$D$16,$D$17,$D$18,$D$19,$D$20,$D$21,$D$22,$D$23,$D$24,$D$25,$D$26,$D$27,$C$8,$C$9,$C$10,$D$11,$C$12),"")</f>
        <v>1498623.2347463325</v>
      </c>
      <c r="AI44" s="255">
        <f ca="1">IF(NOW(),_xll.mirSwapPV($C$3,$C$4,$C$6,$AA19,$C$7,$AC19,$C$16,$C$17,$C$18,$C$19,$C$20,$C$21,$C$22,$C$26,$C$27,AI$28,$D$16,$D$17,$D$18,$D$19,$D$20,$D$21,$D$22,$D$23,$D$24,$D$25,$D$26,$D$27,$C$8,$C$9,$C$10,$D$11,$C$12),"")</f>
        <v>1198898.5877970646</v>
      </c>
      <c r="AJ44" s="255">
        <f ca="1">IF(NOW(),_xll.mirSwapPV($C$3,$C$4,$C$6,$AA19,$C$7,$AC19,$C$16,$C$17,$C$18,$C$19,$C$20,$C$21,$C$22,$C$26,$C$27,AJ$28,$D$16,$D$17,$D$18,$D$19,$D$20,$D$21,$D$22,$D$23,$D$24,$D$25,$D$26,$D$27,$C$8,$C$9,$C$10,$D$11,$C$12),"")</f>
        <v>899173.94084779778</v>
      </c>
      <c r="AK44" s="255">
        <f ca="1">IF(NOW(),_xll.mirSwapPV($C$3,$C$4,$C$6,$AA19,$C$7,$AC19,$C$16,$C$17,$C$18,$C$19,$C$20,$C$21,$C$22,$C$26,$C$27,AK$28,$D$16,$D$17,$D$18,$D$19,$D$20,$D$21,$D$22,$D$23,$D$24,$D$25,$D$26,$D$27,$C$8,$C$9,$C$10,$D$11,$C$12),"")</f>
        <v>599449.29389853217</v>
      </c>
      <c r="AL44" s="255">
        <f ca="1">IF(NOW(),_xll.mirSwapPV($C$3,$C$4,$C$6,$AA19,$C$7,$AC19,$C$16,$C$17,$C$18,$C$19,$C$20,$C$21,$C$22,$C$26,$C$27,AL$28,$D$16,$D$17,$D$18,$D$19,$D$20,$D$21,$D$22,$D$23,$D$24,$D$25,$D$26,$D$27,$C$8,$C$9,$C$10,$D$11,$C$12),"")</f>
        <v>299724.64694926614</v>
      </c>
      <c r="AM44" s="255">
        <f ca="1">IF(NOW(),_xll.mirSwapPV($C$3,$C$4,$C$6,$AA19,$C$7,$AC19,$C$16,$C$17,$C$18,$C$19,$C$20,$C$21,$C$22,$C$26,$C$27,AM$28,$D$16,$D$17,$D$18,$D$19,$D$20,$D$21,$D$22,$D$23,$D$24,$D$25,$D$26,$D$27,$C$8,$C$9,$C$10,$D$11,$C$12),"")</f>
        <v>0</v>
      </c>
      <c r="AN44" s="255">
        <f ca="1">IF(NOW(),_xll.mirSwapPV($C$3,$C$4,$C$6,$AA19,$C$7,$AC19,$C$16,$C$17,$C$18,$C$19,$C$20,$C$21,$C$22,$C$26,$C$27,AN$28,$D$16,$D$17,$D$18,$D$19,$D$20,$D$21,$D$22,$D$23,$D$24,$D$25,$D$26,$D$27,$C$8,$C$9,$C$10,$D$11,$C$12),"")</f>
        <v>-299724.64694926643</v>
      </c>
      <c r="AO44" s="255">
        <f ca="1">IF(NOW(),_xll.mirSwapPV($C$3,$C$4,$C$6,$AA19,$C$7,$AC19,$C$16,$C$17,$C$18,$C$19,$C$20,$C$21,$C$22,$C$26,$C$27,AO$28,$D$16,$D$17,$D$18,$D$19,$D$20,$D$21,$D$22,$D$23,$D$24,$D$25,$D$26,$D$27,$C$8,$C$9,$C$10,$D$11,$C$12),"")</f>
        <v>-599449.29389853252</v>
      </c>
      <c r="AP44" s="255">
        <f ca="1">IF(NOW(),_xll.mirSwapPV($C$3,$C$4,$C$6,$AA19,$C$7,$AC19,$C$16,$C$17,$C$18,$C$19,$C$20,$C$21,$C$22,$C$26,$C$27,AP$28,$D$16,$D$17,$D$18,$D$19,$D$20,$D$21,$D$22,$D$23,$D$24,$D$25,$D$26,$D$27,$C$8,$C$9,$C$10,$D$11,$C$12),"")</f>
        <v>-899173.94084779872</v>
      </c>
      <c r="AQ44" s="255">
        <f ca="1">IF(NOW(),_xll.mirSwapPV($C$3,$C$4,$C$6,$AA19,$C$7,$AC19,$C$16,$C$17,$C$18,$C$19,$C$20,$C$21,$C$22,$C$26,$C$27,AQ$28,$D$16,$D$17,$D$18,$D$19,$D$20,$D$21,$D$22,$D$23,$D$24,$D$25,$D$26,$D$27,$C$8,$C$9,$C$10,$D$11,$C$12),"")</f>
        <v>-1198898.5877970648</v>
      </c>
      <c r="AR44" s="255">
        <f ca="1">IF(NOW(),_xll.mirSwapPV($C$3,$C$4,$C$6,$AA19,$C$7,$AC19,$C$16,$C$17,$C$18,$C$19,$C$20,$C$21,$C$22,$C$26,$C$27,AR$28,$D$16,$D$17,$D$18,$D$19,$D$20,$D$21,$D$22,$D$23,$D$24,$D$25,$D$26,$D$27,$C$8,$C$9,$C$10,$D$11,$C$12),"")</f>
        <v>-1498623.2347463311</v>
      </c>
    </row>
    <row r="45" spans="6:44">
      <c r="F45" s="230"/>
      <c r="G45" s="227"/>
      <c r="H45" s="229"/>
      <c r="I45" s="229"/>
      <c r="J45" s="229"/>
      <c r="K45" s="230"/>
      <c r="L45" s="230"/>
      <c r="M45" s="224"/>
      <c r="N45" s="255"/>
      <c r="O45" s="255"/>
      <c r="P45" s="255"/>
      <c r="Q45" s="255"/>
      <c r="R45" s="255"/>
      <c r="S45" s="255"/>
      <c r="T45" s="255"/>
      <c r="U45" s="255"/>
      <c r="V45" s="255"/>
      <c r="W45" s="255"/>
      <c r="X45" s="255"/>
      <c r="Y45" s="229"/>
      <c r="AG45" s="224"/>
      <c r="AH45" s="255"/>
      <c r="AI45" s="255"/>
      <c r="AJ45" s="255"/>
      <c r="AK45" s="255"/>
      <c r="AL45" s="255"/>
      <c r="AM45" s="255"/>
      <c r="AN45" s="255"/>
      <c r="AO45" s="255"/>
      <c r="AP45" s="255"/>
      <c r="AQ45" s="255"/>
      <c r="AR45" s="255"/>
    </row>
    <row r="46" spans="6:44">
      <c r="F46" s="230"/>
      <c r="G46" s="227"/>
      <c r="H46" s="229"/>
      <c r="I46" s="229"/>
      <c r="J46" s="229"/>
      <c r="K46" s="230"/>
      <c r="L46" s="230"/>
      <c r="M46" s="224"/>
      <c r="N46" s="255"/>
      <c r="O46" s="255"/>
      <c r="P46" s="255"/>
      <c r="Q46" s="255"/>
      <c r="R46" s="255"/>
      <c r="S46" s="255"/>
      <c r="T46" s="255"/>
      <c r="U46" s="255"/>
      <c r="V46" s="255"/>
      <c r="W46" s="255"/>
      <c r="X46" s="255"/>
      <c r="Y46" s="229"/>
      <c r="AG46" s="224"/>
      <c r="AH46" s="255"/>
      <c r="AI46" s="255"/>
      <c r="AJ46" s="255"/>
      <c r="AK46" s="255"/>
      <c r="AL46" s="255"/>
      <c r="AM46" s="255"/>
      <c r="AN46" s="255"/>
      <c r="AO46" s="255"/>
      <c r="AP46" s="255"/>
      <c r="AQ46" s="255"/>
      <c r="AR46" s="255"/>
    </row>
    <row r="47" spans="6:44">
      <c r="F47" s="230"/>
      <c r="G47" s="227"/>
      <c r="H47" s="229"/>
      <c r="I47" s="229"/>
      <c r="J47" s="229"/>
      <c r="K47" s="230"/>
      <c r="L47" s="230"/>
      <c r="M47" s="224"/>
      <c r="N47" s="255"/>
      <c r="O47" s="255"/>
      <c r="P47" s="255"/>
      <c r="Q47" s="255"/>
      <c r="R47" s="255"/>
      <c r="S47" s="255"/>
      <c r="T47" s="255"/>
      <c r="U47" s="255"/>
      <c r="V47" s="255"/>
      <c r="W47" s="255"/>
      <c r="X47" s="255"/>
      <c r="Y47" s="229"/>
      <c r="AG47" s="224"/>
      <c r="AH47" s="255"/>
      <c r="AI47" s="255"/>
      <c r="AJ47" s="255"/>
      <c r="AK47" s="255"/>
      <c r="AL47" s="255"/>
      <c r="AM47" s="255"/>
      <c r="AN47" s="255"/>
      <c r="AO47" s="255"/>
      <c r="AP47" s="255"/>
      <c r="AQ47" s="255"/>
      <c r="AR47" s="255"/>
    </row>
    <row r="48" spans="6:44">
      <c r="F48" s="230"/>
      <c r="G48" s="227"/>
      <c r="H48" s="229"/>
      <c r="I48" s="229"/>
      <c r="J48" s="224"/>
      <c r="K48" s="224"/>
      <c r="L48" s="224"/>
      <c r="M48" s="224"/>
      <c r="Y48" s="224"/>
    </row>
    <row r="49" spans="2:44">
      <c r="F49" s="224"/>
      <c r="G49" s="224"/>
      <c r="H49" s="224"/>
      <c r="I49" s="224"/>
      <c r="J49" s="224"/>
      <c r="K49" s="230"/>
      <c r="L49" s="230"/>
      <c r="M49" s="230"/>
      <c r="N49" s="224"/>
      <c r="O49" s="224"/>
      <c r="P49" s="224"/>
      <c r="Q49" s="224"/>
      <c r="R49" s="224"/>
      <c r="S49" s="224"/>
      <c r="T49" s="224"/>
      <c r="U49" s="224"/>
      <c r="V49" s="224"/>
      <c r="W49" s="224"/>
      <c r="X49" s="224"/>
      <c r="Y49" s="224"/>
      <c r="AD49" s="10"/>
    </row>
    <row r="50" spans="2:44">
      <c r="B50" t="s">
        <v>2</v>
      </c>
      <c r="F50" t="s">
        <v>461</v>
      </c>
      <c r="G50" s="217"/>
      <c r="J50" t="s">
        <v>463</v>
      </c>
      <c r="K50" s="259" t="b">
        <f>$C$11</f>
        <v>1</v>
      </c>
      <c r="M50" s="219" t="s">
        <v>460</v>
      </c>
      <c r="N50" s="219"/>
      <c r="O50" s="229"/>
      <c r="P50" s="252"/>
      <c r="Q50" s="252"/>
      <c r="R50" s="229"/>
      <c r="S50" s="229" t="s">
        <v>459</v>
      </c>
      <c r="T50" s="229"/>
      <c r="U50" s="229"/>
      <c r="V50" s="229"/>
      <c r="W50" t="s">
        <v>463</v>
      </c>
      <c r="X50" s="259" t="b">
        <f>$C$11</f>
        <v>1</v>
      </c>
      <c r="Z50" t="s">
        <v>461</v>
      </c>
      <c r="AA50" s="217"/>
      <c r="AD50" t="s">
        <v>463</v>
      </c>
      <c r="AE50" s="259" t="b">
        <f>$D$11</f>
        <v>0</v>
      </c>
      <c r="AG50" s="219" t="s">
        <v>460</v>
      </c>
      <c r="AH50" s="219"/>
      <c r="AI50" s="229"/>
      <c r="AJ50" s="252"/>
      <c r="AK50" s="252"/>
      <c r="AL50" s="229"/>
      <c r="AM50" s="229" t="s">
        <v>459</v>
      </c>
      <c r="AN50" s="229"/>
      <c r="AO50" s="229"/>
      <c r="AP50" s="229"/>
      <c r="AQ50" t="s">
        <v>463</v>
      </c>
      <c r="AR50" s="259" t="b">
        <f>$D$11</f>
        <v>0</v>
      </c>
    </row>
    <row r="51" spans="2:44">
      <c r="B51" s="221" t="s">
        <v>424</v>
      </c>
      <c r="C51" s="222">
        <v>1000000</v>
      </c>
      <c r="D51" s="223"/>
      <c r="F51" s="224" t="s">
        <v>76</v>
      </c>
      <c r="G51" s="224" t="s">
        <v>425</v>
      </c>
      <c r="H51" s="224" t="s">
        <v>426</v>
      </c>
      <c r="I51" s="224" t="s">
        <v>428</v>
      </c>
      <c r="J51" s="224" t="s">
        <v>465</v>
      </c>
      <c r="K51" s="224" t="s">
        <v>427</v>
      </c>
      <c r="L51" s="224"/>
      <c r="M51" s="224" t="s">
        <v>76</v>
      </c>
      <c r="N51" s="256">
        <v>-0.05</v>
      </c>
      <c r="O51" s="256">
        <f>N51+1%</f>
        <v>-0.04</v>
      </c>
      <c r="P51" s="256">
        <f t="shared" ref="P51:X51" si="8">O51+1%</f>
        <v>-0.03</v>
      </c>
      <c r="Q51" s="256">
        <f t="shared" si="8"/>
        <v>-1.9999999999999997E-2</v>
      </c>
      <c r="R51" s="256">
        <f t="shared" si="8"/>
        <v>-9.9999999999999967E-3</v>
      </c>
      <c r="S51" s="256">
        <f t="shared" si="8"/>
        <v>0</v>
      </c>
      <c r="T51" s="256">
        <f t="shared" si="8"/>
        <v>0.01</v>
      </c>
      <c r="U51" s="256">
        <f t="shared" si="8"/>
        <v>0.02</v>
      </c>
      <c r="V51" s="256">
        <f t="shared" si="8"/>
        <v>0.03</v>
      </c>
      <c r="W51" s="256">
        <f t="shared" si="8"/>
        <v>0.04</v>
      </c>
      <c r="X51" s="256">
        <f t="shared" si="8"/>
        <v>0.05</v>
      </c>
      <c r="Z51" s="224" t="s">
        <v>76</v>
      </c>
      <c r="AA51" s="224" t="s">
        <v>425</v>
      </c>
      <c r="AB51" s="224" t="s">
        <v>426</v>
      </c>
      <c r="AC51" s="224" t="s">
        <v>428</v>
      </c>
      <c r="AD51" s="224" t="s">
        <v>465</v>
      </c>
      <c r="AE51" s="224" t="s">
        <v>427</v>
      </c>
      <c r="AG51" s="224" t="s">
        <v>76</v>
      </c>
      <c r="AH51" s="256">
        <v>-0.05</v>
      </c>
      <c r="AI51" s="256">
        <f>AH51+1%</f>
        <v>-0.04</v>
      </c>
      <c r="AJ51" s="256">
        <f t="shared" ref="AJ51:AR51" si="9">AI51+1%</f>
        <v>-0.03</v>
      </c>
      <c r="AK51" s="256">
        <f t="shared" si="9"/>
        <v>-1.9999999999999997E-2</v>
      </c>
      <c r="AL51" s="256">
        <f t="shared" si="9"/>
        <v>-9.9999999999999967E-3</v>
      </c>
      <c r="AM51" s="256">
        <f t="shared" si="9"/>
        <v>0</v>
      </c>
      <c r="AN51" s="256">
        <f t="shared" si="9"/>
        <v>0.01</v>
      </c>
      <c r="AO51" s="256">
        <f t="shared" si="9"/>
        <v>0.02</v>
      </c>
      <c r="AP51" s="256">
        <f t="shared" si="9"/>
        <v>0.03</v>
      </c>
      <c r="AQ51" s="256">
        <f t="shared" si="9"/>
        <v>0.04</v>
      </c>
      <c r="AR51" s="256">
        <f t="shared" si="9"/>
        <v>0.05</v>
      </c>
    </row>
    <row r="52" spans="2:44">
      <c r="B52" s="225" t="s">
        <v>429</v>
      </c>
      <c r="C52" s="226" t="s">
        <v>473</v>
      </c>
      <c r="D52" s="223"/>
      <c r="F52" s="227" t="s">
        <v>42</v>
      </c>
      <c r="G52" s="227">
        <f>_xll.mirGetDate($C$6,F52)</f>
        <v>42929</v>
      </c>
      <c r="H52" s="260">
        <f>H4</f>
        <v>1.1200000000000002E-2</v>
      </c>
      <c r="I52" s="229">
        <f ca="1">IF(NOW(),_xll.mirGetParRate4($C$54,$G52,$C$55,$C$64,$C$65,$C$66,$C$67,$C$68,$C$69,$C$70,$C$74,$C$75,$D$64,$D$65,$D$66,$D$67,$D$68,$D$69,$D$70,$D$71,$D$72,$D$73,$D$74,$D$75,$C$56,$C$57,$C$58,$C$59,$C$60),"")</f>
        <v>1.1210681958271327E-2</v>
      </c>
      <c r="J52" s="229">
        <f t="shared" ref="J52:J70" ca="1" si="10">I52-H52</f>
        <v>1.068195827132537E-5</v>
      </c>
      <c r="K52" s="230">
        <f t="shared" ref="K52:K70" ca="1" si="11">(I52-H52)*10000</f>
        <v>0.1068195827132537</v>
      </c>
      <c r="L52" s="230" t="s">
        <v>12</v>
      </c>
      <c r="M52" s="227" t="s">
        <v>42</v>
      </c>
      <c r="N52" s="255">
        <f ca="1">IF(NOW(),_xll.mirSwapPV($C$51,$C$52,$C$54,$G52,$C$55,$I52+N$51,$C$64,$C$65,$C$66,$C$67,$C$68,$C$69,$C$70,$C$74,$C$75,$D$63,$D$64,$D$65,$D$66,$D$67,$D$68,$D$69,$D$70,$D$71,$D$72,$D$73,$D$74,$D$75,$C$56,$C$57,$C$58,$C$59,$C$60),"")</f>
        <v>-98985.127372311268</v>
      </c>
      <c r="O52" s="255">
        <f ca="1">IF(NOW(),_xll.mirSwapPV($C$51,$C$52,$C$54,$G52,$C$55,$I52+O$51,$C$64,$C$65,$C$66,$C$67,$C$68,$C$69,$C$70,$C$74,$C$75,$D$63,$D$64,$D$65,$D$66,$D$67,$D$68,$D$69,$D$70,$D$71,$D$72,$D$73,$D$74,$D$75,$C$56,$C$57,$C$58,$C$59,$C$60),"")</f>
        <v>-79188.101897849003</v>
      </c>
      <c r="P52" s="255">
        <f ca="1">IF(NOW(),_xll.mirSwapPV($C$51,$C$52,$C$54,$G52,$C$55,$I52+P$51,$C$64,$C$65,$C$66,$C$67,$C$68,$C$69,$C$70,$C$74,$C$75,$D$63,$D$64,$D$65,$D$66,$D$67,$D$68,$D$69,$D$70,$D$71,$D$72,$D$73,$D$74,$D$75,$C$56,$C$57,$C$58,$C$59,$C$60),"")</f>
        <v>-59391.076423386752</v>
      </c>
      <c r="Q52" s="255">
        <f ca="1">IF(NOW(),_xll.mirSwapPV($C$51,$C$52,$C$54,$G52,$C$55,$I52+Q$51,$C$64,$C$65,$C$66,$C$67,$C$68,$C$69,$C$70,$C$74,$C$75,$D$63,$D$64,$D$65,$D$66,$D$67,$D$68,$D$69,$D$70,$D$71,$D$72,$D$73,$D$74,$D$75,$C$56,$C$57,$C$58,$C$59,$C$60),"")</f>
        <v>-39594.050948924501</v>
      </c>
      <c r="R52" s="255">
        <f ca="1">IF(NOW(),_xll.mirSwapPV($C$51,$C$52,$C$54,$G52,$C$55,$I52+R$51,$C$64,$C$65,$C$66,$C$67,$C$68,$C$69,$C$70,$C$74,$C$75,$D$63,$D$64,$D$65,$D$66,$D$67,$D$68,$D$69,$D$70,$D$71,$D$72,$D$73,$D$74,$D$75,$C$56,$C$57,$C$58,$C$59,$C$60),"")</f>
        <v>-19797.025474462243</v>
      </c>
      <c r="S52" s="255">
        <f ca="1">IF(NOW(),_xll.mirSwapPV($C$51,$C$52,$C$54,$G52,$C$55,$I52+S$51,$C$64,$C$65,$C$66,$C$67,$C$68,$C$69,$C$70,$C$74,$C$75,$D$63,$D$64,$D$65,$D$66,$D$67,$D$68,$D$69,$D$70,$D$71,$D$72,$D$73,$D$74,$D$75,$C$56,$C$57,$C$58,$C$59,$C$60),"")</f>
        <v>0</v>
      </c>
      <c r="T52" s="255">
        <f ca="1">IF(NOW(),_xll.mirSwapPV($C$51,$C$52,$C$54,$G52,$C$55,$I52+T$51,$C$64,$C$65,$C$66,$C$67,$C$68,$C$69,$C$70,$C$74,$C$75,$D$63,$D$64,$D$65,$D$66,$D$67,$D$68,$D$69,$D$70,$D$71,$D$72,$D$73,$D$74,$D$75,$C$56,$C$57,$C$58,$C$59,$C$60),"")</f>
        <v>19797.025474462251</v>
      </c>
      <c r="U52" s="255">
        <f ca="1">IF(NOW(),_xll.mirSwapPV($C$51,$C$52,$C$54,$G52,$C$55,$I52+U$51,$C$64,$C$65,$C$66,$C$67,$C$68,$C$69,$C$70,$C$74,$C$75,$D$63,$D$64,$D$65,$D$66,$D$67,$D$68,$D$69,$D$70,$D$71,$D$72,$D$73,$D$74,$D$75,$C$56,$C$57,$C$58,$C$59,$C$60),"")</f>
        <v>39594.050948924501</v>
      </c>
      <c r="V52" s="255">
        <f ca="1">IF(NOW(),_xll.mirSwapPV($C$51,$C$52,$C$54,$G52,$C$55,$I52+V$51,$C$64,$C$65,$C$66,$C$67,$C$68,$C$69,$C$70,$C$74,$C$75,$D$63,$D$64,$D$65,$D$66,$D$67,$D$68,$D$69,$D$70,$D$71,$D$72,$D$73,$D$74,$D$75,$C$56,$C$57,$C$58,$C$59,$C$60),"")</f>
        <v>59391.076423386752</v>
      </c>
      <c r="W52" s="255">
        <f ca="1">IF(NOW(),_xll.mirSwapPV($C$51,$C$52,$C$54,$G52,$C$55,$I52+W$51,$C$64,$C$65,$C$66,$C$67,$C$68,$C$69,$C$70,$C$74,$C$75,$D$63,$D$64,$D$65,$D$66,$D$67,$D$68,$D$69,$D$70,$D$71,$D$72,$D$73,$D$74,$D$75,$C$56,$C$57,$C$58,$C$59,$C$60),"")</f>
        <v>79188.101897849003</v>
      </c>
      <c r="X52" s="255">
        <f ca="1">IF(NOW(),_xll.mirSwapPV($C$51,$C$52,$C$54,$G52,$C$55,$I52+X$51,$C$64,$C$65,$C$66,$C$67,$C$68,$C$69,$C$70,$C$74,$C$75,$D$63,$D$64,$D$65,$D$66,$D$67,$D$68,$D$69,$D$70,$D$71,$D$72,$D$73,$D$74,$D$75,$C$56,$C$57,$C$58,$C$59,$C$60),"")</f>
        <v>98985.127372311239</v>
      </c>
      <c r="Y52" s="230" t="s">
        <v>12</v>
      </c>
      <c r="Z52" s="227" t="s">
        <v>42</v>
      </c>
      <c r="AA52" s="227">
        <f>_xll.mirGetDate($C$6,Z52)</f>
        <v>42929</v>
      </c>
      <c r="AB52" s="260">
        <f>H52</f>
        <v>1.1200000000000002E-2</v>
      </c>
      <c r="AC52" s="229">
        <f ca="1">IF(NOW(),_xll.mirGetParRate4($C$54,$AA52,$C$55,$C$64,$C$65,$C$66,$C$67,$C$68,$C$69,$C$70,$C$74,$C$75,$D$64,$D$65,$D$66,$D$67,$D$68,$D$69,$D$70,$D$71,$D$72,$D$73,$D$74,$D$75,$C$56,$C$57,$C$58,$D$59,$C$60),"")</f>
        <v>1.1210681958271327E-2</v>
      </c>
      <c r="AD52" s="229">
        <f t="shared" ref="AD52:AD70" ca="1" si="12">AC52-AB52</f>
        <v>1.068195827132537E-5</v>
      </c>
      <c r="AE52" s="230">
        <f t="shared" ref="AE52:AE70" ca="1" si="13">(AC52-AB52)*10000</f>
        <v>0.1068195827132537</v>
      </c>
      <c r="AG52" s="227" t="s">
        <v>42</v>
      </c>
      <c r="AH52" s="255">
        <f ca="1">IF(NOW(),_xll.mirSwapPV($C$51,$C$52,$C$54,$AA52,$C$55,$AC52+AH$51,$C$64,$C$65,$C$66,$C$67,$C$68,$C$69,$C$70,$C$74,$C$75,$D$63,$D$64,$D$65,$D$66,$D$67,$D$68,$D$69,$D$70,$D$71,$D$72,$D$73,$D$74,$D$75,$C$56,$C$57,$C$58,$D$59,$C$60),"")</f>
        <v>-98985.127372311268</v>
      </c>
      <c r="AI52" s="255">
        <f ca="1">IF(NOW(),_xll.mirSwapPV($C$51,$C$52,$C$54,$AA52,$C$55,$AC52+AI$51,$C$64,$C$65,$C$66,$C$67,$C$68,$C$69,$C$70,$C$74,$C$75,$D$63,$D$64,$D$65,$D$66,$D$67,$D$68,$D$69,$D$70,$D$71,$D$72,$D$73,$D$74,$D$75,$C$56,$C$57,$C$58,$D$59,$C$60),"")</f>
        <v>-79188.101897849003</v>
      </c>
      <c r="AJ52" s="255">
        <f ca="1">IF(NOW(),_xll.mirSwapPV($C$51,$C$52,$C$54,$AA52,$C$55,$AC52+AJ$51,$C$64,$C$65,$C$66,$C$67,$C$68,$C$69,$C$70,$C$74,$C$75,$D$63,$D$64,$D$65,$D$66,$D$67,$D$68,$D$69,$D$70,$D$71,$D$72,$D$73,$D$74,$D$75,$C$56,$C$57,$C$58,$D$59,$C$60),"")</f>
        <v>-59391.076423386752</v>
      </c>
      <c r="AK52" s="255">
        <f ca="1">IF(NOW(),_xll.mirSwapPV($C$51,$C$52,$C$54,$AA52,$C$55,$AC52+AK$51,$C$64,$C$65,$C$66,$C$67,$C$68,$C$69,$C$70,$C$74,$C$75,$D$63,$D$64,$D$65,$D$66,$D$67,$D$68,$D$69,$D$70,$D$71,$D$72,$D$73,$D$74,$D$75,$C$56,$C$57,$C$58,$D$59,$C$60),"")</f>
        <v>-39594.050948924501</v>
      </c>
      <c r="AL52" s="255">
        <f ca="1">IF(NOW(),_xll.mirSwapPV($C$51,$C$52,$C$54,$AA52,$C$55,$AC52+AL$51,$C$64,$C$65,$C$66,$C$67,$C$68,$C$69,$C$70,$C$74,$C$75,$D$63,$D$64,$D$65,$D$66,$D$67,$D$68,$D$69,$D$70,$D$71,$D$72,$D$73,$D$74,$D$75,$C$56,$C$57,$C$58,$D$59,$C$60),"")</f>
        <v>-19797.025474462243</v>
      </c>
      <c r="AM52" s="255">
        <f ca="1">IF(NOW(),_xll.mirSwapPV($C$51,$C$52,$C$54,$AA52,$C$55,$AC52+AM$51,$C$64,$C$65,$C$66,$C$67,$C$68,$C$69,$C$70,$C$74,$C$75,$D$63,$D$64,$D$65,$D$66,$D$67,$D$68,$D$69,$D$70,$D$71,$D$72,$D$73,$D$74,$D$75,$C$56,$C$57,$C$58,$D$59,$C$60),"")</f>
        <v>0</v>
      </c>
      <c r="AN52" s="255">
        <f ca="1">IF(NOW(),_xll.mirSwapPV($C$51,$C$52,$C$54,$AA52,$C$55,$AC52+AN$51,$C$64,$C$65,$C$66,$C$67,$C$68,$C$69,$C$70,$C$74,$C$75,$D$63,$D$64,$D$65,$D$66,$D$67,$D$68,$D$69,$D$70,$D$71,$D$72,$D$73,$D$74,$D$75,$C$56,$C$57,$C$58,$D$59,$C$60),"")</f>
        <v>19797.025474462251</v>
      </c>
      <c r="AO52" s="255">
        <f ca="1">IF(NOW(),_xll.mirSwapPV($C$51,$C$52,$C$54,$AA52,$C$55,$AC52+AO$51,$C$64,$C$65,$C$66,$C$67,$C$68,$C$69,$C$70,$C$74,$C$75,$D$63,$D$64,$D$65,$D$66,$D$67,$D$68,$D$69,$D$70,$D$71,$D$72,$D$73,$D$74,$D$75,$C$56,$C$57,$C$58,$D$59,$C$60),"")</f>
        <v>39594.050948924501</v>
      </c>
      <c r="AP52" s="255">
        <f ca="1">IF(NOW(),_xll.mirSwapPV($C$51,$C$52,$C$54,$AA52,$C$55,$AC52+AP$51,$C$64,$C$65,$C$66,$C$67,$C$68,$C$69,$C$70,$C$74,$C$75,$D$63,$D$64,$D$65,$D$66,$D$67,$D$68,$D$69,$D$70,$D$71,$D$72,$D$73,$D$74,$D$75,$C$56,$C$57,$C$58,$D$59,$C$60),"")</f>
        <v>59391.076423386752</v>
      </c>
      <c r="AQ52" s="255">
        <f ca="1">IF(NOW(),_xll.mirSwapPV($C$51,$C$52,$C$54,$AA52,$C$55,$AC52+AQ$51,$C$64,$C$65,$C$66,$C$67,$C$68,$C$69,$C$70,$C$74,$C$75,$D$63,$D$64,$D$65,$D$66,$D$67,$D$68,$D$69,$D$70,$D$71,$D$72,$D$73,$D$74,$D$75,$C$56,$C$57,$C$58,$D$59,$C$60),"")</f>
        <v>79188.101897849003</v>
      </c>
      <c r="AR52" s="255">
        <f ca="1">IF(NOW(),_xll.mirSwapPV($C$51,$C$52,$C$54,$AA52,$C$55,$AC52+AR$51,$C$64,$C$65,$C$66,$C$67,$C$68,$C$69,$C$70,$C$74,$C$75,$D$63,$D$64,$D$65,$D$66,$D$67,$D$68,$D$69,$D$70,$D$71,$D$72,$D$73,$D$74,$D$75,$C$56,$C$57,$C$58,$D$59,$C$60),"")</f>
        <v>98985.127372311239</v>
      </c>
    </row>
    <row r="53" spans="2:44">
      <c r="B53" s="231"/>
      <c r="C53" s="231"/>
      <c r="D53" s="232"/>
      <c r="F53" s="224" t="s">
        <v>39</v>
      </c>
      <c r="G53" s="227">
        <f>_xll.mirGetDate($C$6,F53)</f>
        <v>43294</v>
      </c>
      <c r="H53" s="260">
        <f t="shared" ref="H53:H70" si="14">H5</f>
        <v>1.3849999999999999E-2</v>
      </c>
      <c r="I53" s="229">
        <f ca="1">IF(NOW(),_xll.mirGetParRate4($C$54,$G53,$C$55,$C$64,$C$65,$C$66,$C$67,$C$68,$C$69,$C$70,$C$74,$C$75,$D$64,$D$65,$D$66,$D$67,$D$68,$D$69,$D$70,$D$71,$D$72,$D$73,$D$74,$D$75,$C$56,$C$57,$C$58,$C$59,$C$60),"")</f>
        <v>1.3862071292539496E-2</v>
      </c>
      <c r="J53" s="229">
        <f t="shared" ca="1" si="10"/>
        <v>1.207129253949675E-5</v>
      </c>
      <c r="K53" s="230">
        <f t="shared" ca="1" si="11"/>
        <v>0.1207129253949675</v>
      </c>
      <c r="L53" s="230" t="s">
        <v>12</v>
      </c>
      <c r="M53" s="224" t="s">
        <v>39</v>
      </c>
      <c r="N53" s="255">
        <f ca="1">IF(NOW(),_xll.mirSwapPV($C$51,$C$52,$C$54,$G53,$C$55,$I53+N$51,$C$64,$C$65,$C$66,$C$67,$C$68,$C$69,$C$70,$C$74,$C$75,$D$63,$D$64,$D$65,$D$66,$D$67,$D$68,$D$69,$D$70,$D$71,$D$72,$D$73,$D$74,$D$75,$C$56,$C$57,$C$58,$C$59,$C$60),"")</f>
        <v>-147592.05976994697</v>
      </c>
      <c r="O53" s="255">
        <f ca="1">IF(NOW(),_xll.mirSwapPV($C$51,$C$52,$C$54,$G53,$C$55,$I53+O$51,$C$64,$C$65,$C$66,$C$67,$C$68,$C$69,$C$70,$C$74,$C$75,$D$63,$D$64,$D$65,$D$66,$D$67,$D$68,$D$69,$D$70,$D$71,$D$72,$D$73,$D$74,$D$75,$C$56,$C$57,$C$58,$C$59,$C$60),"")</f>
        <v>-118073.64781595756</v>
      </c>
      <c r="P53" s="255">
        <f ca="1">IF(NOW(),_xll.mirSwapPV($C$51,$C$52,$C$54,$G53,$C$55,$I53+P$51,$C$64,$C$65,$C$66,$C$67,$C$68,$C$69,$C$70,$C$74,$C$75,$D$63,$D$64,$D$65,$D$66,$D$67,$D$68,$D$69,$D$70,$D$71,$D$72,$D$73,$D$74,$D$75,$C$56,$C$57,$C$58,$C$59,$C$60),"")</f>
        <v>-88555.235861968176</v>
      </c>
      <c r="Q53" s="255">
        <f ca="1">IF(NOW(),_xll.mirSwapPV($C$51,$C$52,$C$54,$G53,$C$55,$I53+Q$51,$C$64,$C$65,$C$66,$C$67,$C$68,$C$69,$C$70,$C$74,$C$75,$D$63,$D$64,$D$65,$D$66,$D$67,$D$68,$D$69,$D$70,$D$71,$D$72,$D$73,$D$74,$D$75,$C$56,$C$57,$C$58,$C$59,$C$60),"")</f>
        <v>-59036.823907978775</v>
      </c>
      <c r="R53" s="255">
        <f ca="1">IF(NOW(),_xll.mirSwapPV($C$51,$C$52,$C$54,$G53,$C$55,$I53+R$51,$C$64,$C$65,$C$66,$C$67,$C$68,$C$69,$C$70,$C$74,$C$75,$D$63,$D$64,$D$65,$D$66,$D$67,$D$68,$D$69,$D$70,$D$71,$D$72,$D$73,$D$74,$D$75,$C$56,$C$57,$C$58,$C$59,$C$60),"")</f>
        <v>-29518.411953989384</v>
      </c>
      <c r="S53" s="255">
        <f ca="1">IF(NOW(),_xll.mirSwapPV($C$51,$C$52,$C$54,$G53,$C$55,$I53+S$51,$C$64,$C$65,$C$66,$C$67,$C$68,$C$69,$C$70,$C$74,$C$75,$D$63,$D$64,$D$65,$D$66,$D$67,$D$68,$D$69,$D$70,$D$71,$D$72,$D$73,$D$74,$D$75,$C$56,$C$57,$C$58,$C$59,$C$60),"")</f>
        <v>0</v>
      </c>
      <c r="T53" s="255">
        <f ca="1">IF(NOW(),_xll.mirSwapPV($C$51,$C$52,$C$54,$G53,$C$55,$I53+T$51,$C$64,$C$65,$C$66,$C$67,$C$68,$C$69,$C$70,$C$74,$C$75,$D$63,$D$64,$D$65,$D$66,$D$67,$D$68,$D$69,$D$70,$D$71,$D$72,$D$73,$D$74,$D$75,$C$56,$C$57,$C$58,$C$59,$C$60),"")</f>
        <v>29518.411953989395</v>
      </c>
      <c r="U53" s="255">
        <f ca="1">IF(NOW(),_xll.mirSwapPV($C$51,$C$52,$C$54,$G53,$C$55,$I53+U$51,$C$64,$C$65,$C$66,$C$67,$C$68,$C$69,$C$70,$C$74,$C$75,$D$63,$D$64,$D$65,$D$66,$D$67,$D$68,$D$69,$D$70,$D$71,$D$72,$D$73,$D$74,$D$75,$C$56,$C$57,$C$58,$C$59,$C$60),"")</f>
        <v>59036.823907978789</v>
      </c>
      <c r="V53" s="255">
        <f ca="1">IF(NOW(),_xll.mirSwapPV($C$51,$C$52,$C$54,$G53,$C$55,$I53+V$51,$C$64,$C$65,$C$66,$C$67,$C$68,$C$69,$C$70,$C$74,$C$75,$D$63,$D$64,$D$65,$D$66,$D$67,$D$68,$D$69,$D$70,$D$71,$D$72,$D$73,$D$74,$D$75,$C$56,$C$57,$C$58,$C$59,$C$60),"")</f>
        <v>88555.235861968162</v>
      </c>
      <c r="W53" s="255">
        <f ca="1">IF(NOW(),_xll.mirSwapPV($C$51,$C$52,$C$54,$G53,$C$55,$I53+W$51,$C$64,$C$65,$C$66,$C$67,$C$68,$C$69,$C$70,$C$74,$C$75,$D$63,$D$64,$D$65,$D$66,$D$67,$D$68,$D$69,$D$70,$D$71,$D$72,$D$73,$D$74,$D$75,$C$56,$C$57,$C$58,$C$59,$C$60),"")</f>
        <v>118073.64781595756</v>
      </c>
      <c r="X53" s="255">
        <f ca="1">IF(NOW(),_xll.mirSwapPV($C$51,$C$52,$C$54,$G53,$C$55,$I53+X$51,$C$64,$C$65,$C$66,$C$67,$C$68,$C$69,$C$70,$C$74,$C$75,$D$63,$D$64,$D$65,$D$66,$D$67,$D$68,$D$69,$D$70,$D$71,$D$72,$D$73,$D$74,$D$75,$C$56,$C$57,$C$58,$C$59,$C$60),"")</f>
        <v>147592.05976994699</v>
      </c>
      <c r="Y53" s="230" t="s">
        <v>12</v>
      </c>
      <c r="Z53" s="224" t="s">
        <v>39</v>
      </c>
      <c r="AA53" s="227">
        <f>_xll.mirGetDate($C$6,Z53)</f>
        <v>43294</v>
      </c>
      <c r="AB53" s="260">
        <f t="shared" ref="AB53:AB70" si="15">H53</f>
        <v>1.3849999999999999E-2</v>
      </c>
      <c r="AC53" s="229">
        <f ca="1">IF(NOW(),_xll.mirGetParRate4($C$54,$AA53,$C$55,$C$64,$C$65,$C$66,$C$67,$C$68,$C$69,$C$70,$C$74,$C$75,$D$64,$D$65,$D$66,$D$67,$D$68,$D$69,$D$70,$D$71,$D$72,$D$73,$D$74,$D$75,$C$56,$C$57,$C$58,$D$59,$C$60),"")</f>
        <v>1.3862071292539515E-2</v>
      </c>
      <c r="AD53" s="229">
        <f t="shared" ca="1" si="12"/>
        <v>1.2071292539515832E-5</v>
      </c>
      <c r="AE53" s="230">
        <f t="shared" ca="1" si="13"/>
        <v>0.12071292539515832</v>
      </c>
      <c r="AG53" s="224" t="s">
        <v>39</v>
      </c>
      <c r="AH53" s="255">
        <f ca="1">IF(NOW(),_xll.mirSwapPV($C$51,$C$52,$C$54,$AA53,$C$55,$AC53+AH$51,$C$64,$C$65,$C$66,$C$67,$C$68,$C$69,$C$70,$C$74,$C$75,$D$63,$D$64,$D$65,$D$66,$D$67,$D$68,$D$69,$D$70,$D$71,$D$72,$D$73,$D$74,$D$75,$C$56,$C$57,$C$58,$D$59,$C$60),"")</f>
        <v>-147592.05976994697</v>
      </c>
      <c r="AI53" s="255">
        <f ca="1">IF(NOW(),_xll.mirSwapPV($C$51,$C$52,$C$54,$AA53,$C$55,$AC53+AI$51,$C$64,$C$65,$C$66,$C$67,$C$68,$C$69,$C$70,$C$74,$C$75,$D$63,$D$64,$D$65,$D$66,$D$67,$D$68,$D$69,$D$70,$D$71,$D$72,$D$73,$D$74,$D$75,$C$56,$C$57,$C$58,$D$59,$C$60),"")</f>
        <v>-118073.64781595756</v>
      </c>
      <c r="AJ53" s="255">
        <f ca="1">IF(NOW(),_xll.mirSwapPV($C$51,$C$52,$C$54,$AA53,$C$55,$AC53+AJ$51,$C$64,$C$65,$C$66,$C$67,$C$68,$C$69,$C$70,$C$74,$C$75,$D$63,$D$64,$D$65,$D$66,$D$67,$D$68,$D$69,$D$70,$D$71,$D$72,$D$73,$D$74,$D$75,$C$56,$C$57,$C$58,$D$59,$C$60),"")</f>
        <v>-88555.235861968176</v>
      </c>
      <c r="AK53" s="255">
        <f ca="1">IF(NOW(),_xll.mirSwapPV($C$51,$C$52,$C$54,$AA53,$C$55,$AC53+AK$51,$C$64,$C$65,$C$66,$C$67,$C$68,$C$69,$C$70,$C$74,$C$75,$D$63,$D$64,$D$65,$D$66,$D$67,$D$68,$D$69,$D$70,$D$71,$D$72,$D$73,$D$74,$D$75,$C$56,$C$57,$C$58,$D$59,$C$60),"")</f>
        <v>-59036.823907978775</v>
      </c>
      <c r="AL53" s="255">
        <f ca="1">IF(NOW(),_xll.mirSwapPV($C$51,$C$52,$C$54,$AA53,$C$55,$AC53+AL$51,$C$64,$C$65,$C$66,$C$67,$C$68,$C$69,$C$70,$C$74,$C$75,$D$63,$D$64,$D$65,$D$66,$D$67,$D$68,$D$69,$D$70,$D$71,$D$72,$D$73,$D$74,$D$75,$C$56,$C$57,$C$58,$D$59,$C$60),"")</f>
        <v>-29518.411953989384</v>
      </c>
      <c r="AM53" s="255">
        <f ca="1">IF(NOW(),_xll.mirSwapPV($C$51,$C$52,$C$54,$AA53,$C$55,$AC53+AM$51,$C$64,$C$65,$C$66,$C$67,$C$68,$C$69,$C$70,$C$74,$C$75,$D$63,$D$64,$D$65,$D$66,$D$67,$D$68,$D$69,$D$70,$D$71,$D$72,$D$73,$D$74,$D$75,$C$56,$C$57,$C$58,$D$59,$C$60),"")</f>
        <v>0</v>
      </c>
      <c r="AN53" s="255">
        <f ca="1">IF(NOW(),_xll.mirSwapPV($C$51,$C$52,$C$54,$AA53,$C$55,$AC53+AN$51,$C$64,$C$65,$C$66,$C$67,$C$68,$C$69,$C$70,$C$74,$C$75,$D$63,$D$64,$D$65,$D$66,$D$67,$D$68,$D$69,$D$70,$D$71,$D$72,$D$73,$D$74,$D$75,$C$56,$C$57,$C$58,$D$59,$C$60),"")</f>
        <v>29518.411953989395</v>
      </c>
      <c r="AO53" s="255">
        <f ca="1">IF(NOW(),_xll.mirSwapPV($C$51,$C$52,$C$54,$AA53,$C$55,$AC53+AO$51,$C$64,$C$65,$C$66,$C$67,$C$68,$C$69,$C$70,$C$74,$C$75,$D$63,$D$64,$D$65,$D$66,$D$67,$D$68,$D$69,$D$70,$D$71,$D$72,$D$73,$D$74,$D$75,$C$56,$C$57,$C$58,$D$59,$C$60),"")</f>
        <v>59036.823907978775</v>
      </c>
      <c r="AP53" s="255">
        <f ca="1">IF(NOW(),_xll.mirSwapPV($C$51,$C$52,$C$54,$AA53,$C$55,$AC53+AP$51,$C$64,$C$65,$C$66,$C$67,$C$68,$C$69,$C$70,$C$74,$C$75,$D$63,$D$64,$D$65,$D$66,$D$67,$D$68,$D$69,$D$70,$D$71,$D$72,$D$73,$D$74,$D$75,$C$56,$C$57,$C$58,$D$59,$C$60),"")</f>
        <v>88555.235861968191</v>
      </c>
      <c r="AQ53" s="255">
        <f ca="1">IF(NOW(),_xll.mirSwapPV($C$51,$C$52,$C$54,$AA53,$C$55,$AC53+AQ$51,$C$64,$C$65,$C$66,$C$67,$C$68,$C$69,$C$70,$C$74,$C$75,$D$63,$D$64,$D$65,$D$66,$D$67,$D$68,$D$69,$D$70,$D$71,$D$72,$D$73,$D$74,$D$75,$C$56,$C$57,$C$58,$D$59,$C$60),"")</f>
        <v>118073.64781595756</v>
      </c>
      <c r="AR53" s="255">
        <f ca="1">IF(NOW(),_xll.mirSwapPV($C$51,$C$52,$C$54,$AA53,$C$55,$AC53+AR$51,$C$64,$C$65,$C$66,$C$67,$C$68,$C$69,$C$70,$C$74,$C$75,$D$63,$D$64,$D$65,$D$66,$D$67,$D$68,$D$69,$D$70,$D$71,$D$72,$D$73,$D$74,$D$75,$C$56,$C$57,$C$58,$D$59,$C$60),"")</f>
        <v>147592.05976994694</v>
      </c>
    </row>
    <row r="54" spans="2:44">
      <c r="B54" s="221" t="s">
        <v>431</v>
      </c>
      <c r="C54" s="233">
        <v>42200</v>
      </c>
      <c r="D54" s="233"/>
      <c r="F54" s="224" t="s">
        <v>35</v>
      </c>
      <c r="G54" s="227">
        <f>_xll.mirGetDate($C$6,F54)</f>
        <v>43659</v>
      </c>
      <c r="H54" s="260">
        <f t="shared" si="14"/>
        <v>1.6001000000000001E-2</v>
      </c>
      <c r="I54" s="229">
        <f ca="1">IF(NOW(),_xll.mirGetParRate4($C$54,$G54,$C$55,$C$64,$C$65,$C$66,$C$67,$C$68,$C$69,$C$70,$C$74,$C$75,$D$64,$D$65,$D$66,$D$67,$D$68,$D$69,$D$70,$D$71,$D$72,$D$73,$D$74,$D$75,$C$56,$C$57,$C$58,$C$59,$C$60),"")</f>
        <v>1.6013115616304509E-2</v>
      </c>
      <c r="J54" s="229">
        <f t="shared" ca="1" si="10"/>
        <v>1.2115616304507471E-5</v>
      </c>
      <c r="K54" s="230">
        <f t="shared" ca="1" si="11"/>
        <v>0.12115616304507471</v>
      </c>
      <c r="L54" s="230" t="s">
        <v>12</v>
      </c>
      <c r="M54" s="224" t="s">
        <v>35</v>
      </c>
      <c r="N54" s="255">
        <f ca="1">IF(NOW(),_xll.mirSwapPV($C$51,$C$52,$C$54,$G54,$C$55,$I54+N$51,$C$64,$C$65,$C$66,$C$67,$C$68,$C$69,$C$70,$C$74,$C$75,$D$63,$D$64,$D$65,$D$66,$D$67,$D$68,$D$69,$D$70,$D$71,$D$72,$D$73,$D$74,$D$75,$C$56,$C$57,$C$58,$C$59,$C$60),"")</f>
        <v>-195575.44632915634</v>
      </c>
      <c r="O54" s="255">
        <f ca="1">IF(NOW(),_xll.mirSwapPV($C$51,$C$52,$C$54,$G54,$C$55,$I54+O$51,$C$64,$C$65,$C$66,$C$67,$C$68,$C$69,$C$70,$C$74,$C$75,$D$63,$D$64,$D$65,$D$66,$D$67,$D$68,$D$69,$D$70,$D$71,$D$72,$D$73,$D$74,$D$75,$C$56,$C$57,$C$58,$C$59,$C$60),"")</f>
        <v>-156460.35706332506</v>
      </c>
      <c r="P54" s="255">
        <f ca="1">IF(NOW(),_xll.mirSwapPV($C$51,$C$52,$C$54,$G54,$C$55,$I54+P$51,$C$64,$C$65,$C$66,$C$67,$C$68,$C$69,$C$70,$C$74,$C$75,$D$63,$D$64,$D$65,$D$66,$D$67,$D$68,$D$69,$D$70,$D$71,$D$72,$D$73,$D$74,$D$75,$C$56,$C$57,$C$58,$C$59,$C$60),"")</f>
        <v>-117345.2677974938</v>
      </c>
      <c r="Q54" s="255">
        <f ca="1">IF(NOW(),_xll.mirSwapPV($C$51,$C$52,$C$54,$G54,$C$55,$I54+Q$51,$C$64,$C$65,$C$66,$C$67,$C$68,$C$69,$C$70,$C$74,$C$75,$D$63,$D$64,$D$65,$D$66,$D$67,$D$68,$D$69,$D$70,$D$71,$D$72,$D$73,$D$74,$D$75,$C$56,$C$57,$C$58,$C$59,$C$60),"")</f>
        <v>-78230.178531662532</v>
      </c>
      <c r="R54" s="255">
        <f ca="1">IF(NOW(),_xll.mirSwapPV($C$51,$C$52,$C$54,$G54,$C$55,$I54+R$51,$C$64,$C$65,$C$66,$C$67,$C$68,$C$69,$C$70,$C$74,$C$75,$D$63,$D$64,$D$65,$D$66,$D$67,$D$68,$D$69,$D$70,$D$71,$D$72,$D$73,$D$74,$D$75,$C$56,$C$57,$C$58,$C$59,$C$60),"")</f>
        <v>-39115.089265831259</v>
      </c>
      <c r="S54" s="255">
        <f ca="1">IF(NOW(),_xll.mirSwapPV($C$51,$C$52,$C$54,$G54,$C$55,$I54+S$51,$C$64,$C$65,$C$66,$C$67,$C$68,$C$69,$C$70,$C$74,$C$75,$D$63,$D$64,$D$65,$D$66,$D$67,$D$68,$D$69,$D$70,$D$71,$D$72,$D$73,$D$74,$D$75,$C$56,$C$57,$C$58,$C$59,$C$60),"")</f>
        <v>0</v>
      </c>
      <c r="T54" s="255">
        <f ca="1">IF(NOW(),_xll.mirSwapPV($C$51,$C$52,$C$54,$G54,$C$55,$I54+T$51,$C$64,$C$65,$C$66,$C$67,$C$68,$C$69,$C$70,$C$74,$C$75,$D$63,$D$64,$D$65,$D$66,$D$67,$D$68,$D$69,$D$70,$D$71,$D$72,$D$73,$D$74,$D$75,$C$56,$C$57,$C$58,$C$59,$C$60),"")</f>
        <v>39115.089265831266</v>
      </c>
      <c r="U54" s="255">
        <f ca="1">IF(NOW(),_xll.mirSwapPV($C$51,$C$52,$C$54,$G54,$C$55,$I54+U$51,$C$64,$C$65,$C$66,$C$67,$C$68,$C$69,$C$70,$C$74,$C$75,$D$63,$D$64,$D$65,$D$66,$D$67,$D$68,$D$69,$D$70,$D$71,$D$72,$D$73,$D$74,$D$75,$C$56,$C$57,$C$58,$C$59,$C$60),"")</f>
        <v>78230.178531662517</v>
      </c>
      <c r="V54" s="255">
        <f ca="1">IF(NOW(),_xll.mirSwapPV($C$51,$C$52,$C$54,$G54,$C$55,$I54+V$51,$C$64,$C$65,$C$66,$C$67,$C$68,$C$69,$C$70,$C$74,$C$75,$D$63,$D$64,$D$65,$D$66,$D$67,$D$68,$D$69,$D$70,$D$71,$D$72,$D$73,$D$74,$D$75,$C$56,$C$57,$C$58,$C$59,$C$60),"")</f>
        <v>117345.26779749378</v>
      </c>
      <c r="W54" s="255">
        <f ca="1">IF(NOW(),_xll.mirSwapPV($C$51,$C$52,$C$54,$G54,$C$55,$I54+W$51,$C$64,$C$65,$C$66,$C$67,$C$68,$C$69,$C$70,$C$74,$C$75,$D$63,$D$64,$D$65,$D$66,$D$67,$D$68,$D$69,$D$70,$D$71,$D$72,$D$73,$D$74,$D$75,$C$56,$C$57,$C$58,$C$59,$C$60),"")</f>
        <v>156460.35706332506</v>
      </c>
      <c r="X54" s="255">
        <f ca="1">IF(NOW(),_xll.mirSwapPV($C$51,$C$52,$C$54,$G54,$C$55,$I54+X$51,$C$64,$C$65,$C$66,$C$67,$C$68,$C$69,$C$70,$C$74,$C$75,$D$63,$D$64,$D$65,$D$66,$D$67,$D$68,$D$69,$D$70,$D$71,$D$72,$D$73,$D$74,$D$75,$C$56,$C$57,$C$58,$C$59,$C$60),"")</f>
        <v>195575.44632915634</v>
      </c>
      <c r="Y54" s="230" t="s">
        <v>12</v>
      </c>
      <c r="Z54" s="224" t="s">
        <v>35</v>
      </c>
      <c r="AA54" s="227">
        <f>_xll.mirGetDate($C$6,Z54)</f>
        <v>43659</v>
      </c>
      <c r="AB54" s="260">
        <f t="shared" si="15"/>
        <v>1.6001000000000001E-2</v>
      </c>
      <c r="AC54" s="229">
        <f ca="1">IF(NOW(),_xll.mirGetParRate4($C$54,$AA54,$C$55,$C$64,$C$65,$C$66,$C$67,$C$68,$C$69,$C$70,$C$74,$C$75,$D$64,$D$65,$D$66,$D$67,$D$68,$D$69,$D$70,$D$71,$D$72,$D$73,$D$74,$D$75,$C$56,$C$57,$C$58,$D$59,$C$60),"")</f>
        <v>1.6013115616304512E-2</v>
      </c>
      <c r="AD54" s="229">
        <f t="shared" ca="1" si="12"/>
        <v>1.211561630451094E-5</v>
      </c>
      <c r="AE54" s="230">
        <f t="shared" ca="1" si="13"/>
        <v>0.1211561630451094</v>
      </c>
      <c r="AG54" s="224" t="s">
        <v>35</v>
      </c>
      <c r="AH54" s="255">
        <f ca="1">IF(NOW(),_xll.mirSwapPV($C$51,$C$52,$C$54,$AA54,$C$55,$AC54+AH$51,$C$64,$C$65,$C$66,$C$67,$C$68,$C$69,$C$70,$C$74,$C$75,$D$63,$D$64,$D$65,$D$66,$D$67,$D$68,$D$69,$D$70,$D$71,$D$72,$D$73,$D$74,$D$75,$C$56,$C$57,$C$58,$D$59,$C$60),"")</f>
        <v>-195575.44632915632</v>
      </c>
      <c r="AI54" s="255">
        <f ca="1">IF(NOW(),_xll.mirSwapPV($C$51,$C$52,$C$54,$AA54,$C$55,$AC54+AI$51,$C$64,$C$65,$C$66,$C$67,$C$68,$C$69,$C$70,$C$74,$C$75,$D$63,$D$64,$D$65,$D$66,$D$67,$D$68,$D$69,$D$70,$D$71,$D$72,$D$73,$D$74,$D$75,$C$56,$C$57,$C$58,$D$59,$C$60),"")</f>
        <v>-156460.35706332506</v>
      </c>
      <c r="AJ54" s="255">
        <f ca="1">IF(NOW(),_xll.mirSwapPV($C$51,$C$52,$C$54,$AA54,$C$55,$AC54+AJ$51,$C$64,$C$65,$C$66,$C$67,$C$68,$C$69,$C$70,$C$74,$C$75,$D$63,$D$64,$D$65,$D$66,$D$67,$D$68,$D$69,$D$70,$D$71,$D$72,$D$73,$D$74,$D$75,$C$56,$C$57,$C$58,$D$59,$C$60),"")</f>
        <v>-117345.2677974938</v>
      </c>
      <c r="AK54" s="255">
        <f ca="1">IF(NOW(),_xll.mirSwapPV($C$51,$C$52,$C$54,$AA54,$C$55,$AC54+AK$51,$C$64,$C$65,$C$66,$C$67,$C$68,$C$69,$C$70,$C$74,$C$75,$D$63,$D$64,$D$65,$D$66,$D$67,$D$68,$D$69,$D$70,$D$71,$D$72,$D$73,$D$74,$D$75,$C$56,$C$57,$C$58,$D$59,$C$60),"")</f>
        <v>-78230.178531662532</v>
      </c>
      <c r="AL54" s="255">
        <f ca="1">IF(NOW(),_xll.mirSwapPV($C$51,$C$52,$C$54,$AA54,$C$55,$AC54+AL$51,$C$64,$C$65,$C$66,$C$67,$C$68,$C$69,$C$70,$C$74,$C$75,$D$63,$D$64,$D$65,$D$66,$D$67,$D$68,$D$69,$D$70,$D$71,$D$72,$D$73,$D$74,$D$75,$C$56,$C$57,$C$58,$D$59,$C$60),"")</f>
        <v>-39115.089265831259</v>
      </c>
      <c r="AM54" s="255">
        <f ca="1">IF(NOW(),_xll.mirSwapPV($C$51,$C$52,$C$54,$AA54,$C$55,$AC54+AM$51,$C$64,$C$65,$C$66,$C$67,$C$68,$C$69,$C$70,$C$74,$C$75,$D$63,$D$64,$D$65,$D$66,$D$67,$D$68,$D$69,$D$70,$D$71,$D$72,$D$73,$D$74,$D$75,$C$56,$C$57,$C$58,$D$59,$C$60),"")</f>
        <v>0</v>
      </c>
      <c r="AN54" s="255">
        <f ca="1">IF(NOW(),_xll.mirSwapPV($C$51,$C$52,$C$54,$AA54,$C$55,$AC54+AN$51,$C$64,$C$65,$C$66,$C$67,$C$68,$C$69,$C$70,$C$74,$C$75,$D$63,$D$64,$D$65,$D$66,$D$67,$D$68,$D$69,$D$70,$D$71,$D$72,$D$73,$D$74,$D$75,$C$56,$C$57,$C$58,$D$59,$C$60),"")</f>
        <v>39115.089265831251</v>
      </c>
      <c r="AO54" s="255">
        <f ca="1">IF(NOW(),_xll.mirSwapPV($C$51,$C$52,$C$54,$AA54,$C$55,$AC54+AO$51,$C$64,$C$65,$C$66,$C$67,$C$68,$C$69,$C$70,$C$74,$C$75,$D$63,$D$64,$D$65,$D$66,$D$67,$D$68,$D$69,$D$70,$D$71,$D$72,$D$73,$D$74,$D$75,$C$56,$C$57,$C$58,$D$59,$C$60),"")</f>
        <v>78230.178531662532</v>
      </c>
      <c r="AP54" s="255">
        <f ca="1">IF(NOW(),_xll.mirSwapPV($C$51,$C$52,$C$54,$AA54,$C$55,$AC54+AP$51,$C$64,$C$65,$C$66,$C$67,$C$68,$C$69,$C$70,$C$74,$C$75,$D$63,$D$64,$D$65,$D$66,$D$67,$D$68,$D$69,$D$70,$D$71,$D$72,$D$73,$D$74,$D$75,$C$56,$C$57,$C$58,$D$59,$C$60),"")</f>
        <v>117345.2677974938</v>
      </c>
      <c r="AQ54" s="255">
        <f ca="1">IF(NOW(),_xll.mirSwapPV($C$51,$C$52,$C$54,$AA54,$C$55,$AC54+AQ$51,$C$64,$C$65,$C$66,$C$67,$C$68,$C$69,$C$70,$C$74,$C$75,$D$63,$D$64,$D$65,$D$66,$D$67,$D$68,$D$69,$D$70,$D$71,$D$72,$D$73,$D$74,$D$75,$C$56,$C$57,$C$58,$D$59,$C$60),"")</f>
        <v>156460.35706332506</v>
      </c>
      <c r="AR54" s="255">
        <f ca="1">IF(NOW(),_xll.mirSwapPV($C$51,$C$52,$C$54,$AA54,$C$55,$AC54+AR$51,$C$64,$C$65,$C$66,$C$67,$C$68,$C$69,$C$70,$C$74,$C$75,$D$63,$D$64,$D$65,$D$66,$D$67,$D$68,$D$69,$D$70,$D$71,$D$72,$D$73,$D$74,$D$75,$C$56,$C$57,$C$58,$D$59,$C$60),"")</f>
        <v>195575.44632915632</v>
      </c>
    </row>
    <row r="55" spans="2:44">
      <c r="B55" s="234" t="s">
        <v>432</v>
      </c>
      <c r="C55" s="235" t="s">
        <v>455</v>
      </c>
      <c r="D55" s="235"/>
      <c r="F55" s="224" t="s">
        <v>33</v>
      </c>
      <c r="G55" s="227">
        <f>_xll.mirGetDate($C$6,F55)</f>
        <v>44025</v>
      </c>
      <c r="H55" s="260">
        <f t="shared" si="14"/>
        <v>1.7749999999999998E-2</v>
      </c>
      <c r="I55" s="229">
        <f ca="1">IF(NOW(),_xll.mirGetParRate4($C$54,$G55,$C$55,$C$64,$C$65,$C$66,$C$67,$C$68,$C$69,$C$70,$C$74,$C$75,$D$64,$D$65,$D$66,$D$67,$D$68,$D$69,$D$70,$D$71,$D$72,$D$73,$D$74,$D$75,$C$56,$C$57,$C$58,$C$59,$C$60),"")</f>
        <v>1.7761757749067686E-2</v>
      </c>
      <c r="J55" s="229">
        <f t="shared" ca="1" si="10"/>
        <v>1.1757749067687479E-5</v>
      </c>
      <c r="K55" s="230">
        <f t="shared" ca="1" si="11"/>
        <v>0.11757749067687479</v>
      </c>
      <c r="L55" s="230" t="s">
        <v>12</v>
      </c>
      <c r="M55" s="224" t="s">
        <v>33</v>
      </c>
      <c r="N55" s="255">
        <f ca="1">IF(NOW(),_xll.mirSwapPV($C$51,$C$52,$C$54,$G55,$C$55,$I55+N$51,$C$64,$C$65,$C$66,$C$67,$C$68,$C$69,$C$70,$C$74,$C$75,$D$63,$D$64,$D$65,$D$66,$D$67,$D$68,$D$69,$D$70,$D$71,$D$72,$D$73,$D$74,$D$75,$C$56,$C$57,$C$58,$C$59,$C$60),"")</f>
        <v>-242183.82059898094</v>
      </c>
      <c r="O55" s="255">
        <f ca="1">IF(NOW(),_xll.mirSwapPV($C$51,$C$52,$C$54,$G55,$C$55,$I55+O$51,$C$64,$C$65,$C$66,$C$67,$C$68,$C$69,$C$70,$C$74,$C$75,$D$63,$D$64,$D$65,$D$66,$D$67,$D$68,$D$69,$D$70,$D$71,$D$72,$D$73,$D$74,$D$75,$C$56,$C$57,$C$58,$C$59,$C$60),"")</f>
        <v>-193747.05647918474</v>
      </c>
      <c r="P55" s="255">
        <f ca="1">IF(NOW(),_xll.mirSwapPV($C$51,$C$52,$C$54,$G55,$C$55,$I55+P$51,$C$64,$C$65,$C$66,$C$67,$C$68,$C$69,$C$70,$C$74,$C$75,$D$63,$D$64,$D$65,$D$66,$D$67,$D$68,$D$69,$D$70,$D$71,$D$72,$D$73,$D$74,$D$75,$C$56,$C$57,$C$58,$C$59,$C$60),"")</f>
        <v>-145310.29235938855</v>
      </c>
      <c r="Q55" s="255">
        <f ca="1">IF(NOW(),_xll.mirSwapPV($C$51,$C$52,$C$54,$G55,$C$55,$I55+Q$51,$C$64,$C$65,$C$66,$C$67,$C$68,$C$69,$C$70,$C$74,$C$75,$D$63,$D$64,$D$65,$D$66,$D$67,$D$68,$D$69,$D$70,$D$71,$D$72,$D$73,$D$74,$D$75,$C$56,$C$57,$C$58,$C$59,$C$60),"")</f>
        <v>-96873.528239592357</v>
      </c>
      <c r="R55" s="255">
        <f ca="1">IF(NOW(),_xll.mirSwapPV($C$51,$C$52,$C$54,$G55,$C$55,$I55+R$51,$C$64,$C$65,$C$66,$C$67,$C$68,$C$69,$C$70,$C$74,$C$75,$D$63,$D$64,$D$65,$D$66,$D$67,$D$68,$D$69,$D$70,$D$71,$D$72,$D$73,$D$74,$D$75,$C$56,$C$57,$C$58,$C$59,$C$60),"")</f>
        <v>-48436.764119796164</v>
      </c>
      <c r="S55" s="255">
        <f ca="1">IF(NOW(),_xll.mirSwapPV($C$51,$C$52,$C$54,$G55,$C$55,$I55+S$51,$C$64,$C$65,$C$66,$C$67,$C$68,$C$69,$C$70,$C$74,$C$75,$D$63,$D$64,$D$65,$D$66,$D$67,$D$68,$D$69,$D$70,$D$71,$D$72,$D$73,$D$74,$D$75,$C$56,$C$57,$C$58,$C$59,$C$60),"")</f>
        <v>0</v>
      </c>
      <c r="T55" s="255">
        <f ca="1">IF(NOW(),_xll.mirSwapPV($C$51,$C$52,$C$54,$G55,$C$55,$I55+T$51,$C$64,$C$65,$C$66,$C$67,$C$68,$C$69,$C$70,$C$74,$C$75,$D$63,$D$64,$D$65,$D$66,$D$67,$D$68,$D$69,$D$70,$D$71,$D$72,$D$73,$D$74,$D$75,$C$56,$C$57,$C$58,$C$59,$C$60),"")</f>
        <v>48436.764119796193</v>
      </c>
      <c r="U55" s="255">
        <f ca="1">IF(NOW(),_xll.mirSwapPV($C$51,$C$52,$C$54,$G55,$C$55,$I55+U$51,$C$64,$C$65,$C$66,$C$67,$C$68,$C$69,$C$70,$C$74,$C$75,$D$63,$D$64,$D$65,$D$66,$D$67,$D$68,$D$69,$D$70,$D$71,$D$72,$D$73,$D$74,$D$75,$C$56,$C$57,$C$58,$C$59,$C$60),"")</f>
        <v>96873.528239592386</v>
      </c>
      <c r="V55" s="255">
        <f ca="1">IF(NOW(),_xll.mirSwapPV($C$51,$C$52,$C$54,$G55,$C$55,$I55+V$51,$C$64,$C$65,$C$66,$C$67,$C$68,$C$69,$C$70,$C$74,$C$75,$D$63,$D$64,$D$65,$D$66,$D$67,$D$68,$D$69,$D$70,$D$71,$D$72,$D$73,$D$74,$D$75,$C$56,$C$57,$C$58,$C$59,$C$60),"")</f>
        <v>145310.29235938855</v>
      </c>
      <c r="W55" s="255">
        <f ca="1">IF(NOW(),_xll.mirSwapPV($C$51,$C$52,$C$54,$G55,$C$55,$I55+W$51,$C$64,$C$65,$C$66,$C$67,$C$68,$C$69,$C$70,$C$74,$C$75,$D$63,$D$64,$D$65,$D$66,$D$67,$D$68,$D$69,$D$70,$D$71,$D$72,$D$73,$D$74,$D$75,$C$56,$C$57,$C$58,$C$59,$C$60),"")</f>
        <v>193747.05647918477</v>
      </c>
      <c r="X55" s="255">
        <f ca="1">IF(NOW(),_xll.mirSwapPV($C$51,$C$52,$C$54,$G55,$C$55,$I55+X$51,$C$64,$C$65,$C$66,$C$67,$C$68,$C$69,$C$70,$C$74,$C$75,$D$63,$D$64,$D$65,$D$66,$D$67,$D$68,$D$69,$D$70,$D$71,$D$72,$D$73,$D$74,$D$75,$C$56,$C$57,$C$58,$C$59,$C$60),"")</f>
        <v>242183.82059898096</v>
      </c>
      <c r="Y55" s="230" t="s">
        <v>12</v>
      </c>
      <c r="Z55" s="224" t="s">
        <v>33</v>
      </c>
      <c r="AA55" s="227">
        <f>_xll.mirGetDate($C$6,Z55)</f>
        <v>44025</v>
      </c>
      <c r="AB55" s="260">
        <f t="shared" si="15"/>
        <v>1.7749999999999998E-2</v>
      </c>
      <c r="AC55" s="229">
        <f ca="1">IF(NOW(),_xll.mirGetParRate4($C$54,$AA55,$C$55,$C$64,$C$65,$C$66,$C$67,$C$68,$C$69,$C$70,$C$74,$C$75,$D$64,$D$65,$D$66,$D$67,$D$68,$D$69,$D$70,$D$71,$D$72,$D$73,$D$74,$D$75,$C$56,$C$57,$C$58,$D$59,$C$60),"")</f>
        <v>1.776175774906771E-2</v>
      </c>
      <c r="AD55" s="229">
        <f t="shared" ca="1" si="12"/>
        <v>1.1757749067711765E-5</v>
      </c>
      <c r="AE55" s="230">
        <f t="shared" ca="1" si="13"/>
        <v>0.11757749067711765</v>
      </c>
      <c r="AG55" s="224" t="s">
        <v>33</v>
      </c>
      <c r="AH55" s="255">
        <f ca="1">IF(NOW(),_xll.mirSwapPV($C$51,$C$52,$C$54,$AA55,$C$55,$AC55+AH$51,$C$64,$C$65,$C$66,$C$67,$C$68,$C$69,$C$70,$C$74,$C$75,$D$63,$D$64,$D$65,$D$66,$D$67,$D$68,$D$69,$D$70,$D$71,$D$72,$D$73,$D$74,$D$75,$C$56,$C$57,$C$58,$D$59,$C$60),"")</f>
        <v>-242183.82059898091</v>
      </c>
      <c r="AI55" s="255">
        <f ca="1">IF(NOW(),_xll.mirSwapPV($C$51,$C$52,$C$54,$AA55,$C$55,$AC55+AI$51,$C$64,$C$65,$C$66,$C$67,$C$68,$C$69,$C$70,$C$74,$C$75,$D$63,$D$64,$D$65,$D$66,$D$67,$D$68,$D$69,$D$70,$D$71,$D$72,$D$73,$D$74,$D$75,$C$56,$C$57,$C$58,$D$59,$C$60),"")</f>
        <v>-193747.05647918477</v>
      </c>
      <c r="AJ55" s="255">
        <f ca="1">IF(NOW(),_xll.mirSwapPV($C$51,$C$52,$C$54,$AA55,$C$55,$AC55+AJ$51,$C$64,$C$65,$C$66,$C$67,$C$68,$C$69,$C$70,$C$74,$C$75,$D$63,$D$64,$D$65,$D$66,$D$67,$D$68,$D$69,$D$70,$D$71,$D$72,$D$73,$D$74,$D$75,$C$56,$C$57,$C$58,$D$59,$C$60),"")</f>
        <v>-145310.29235938855</v>
      </c>
      <c r="AK55" s="255">
        <f ca="1">IF(NOW(),_xll.mirSwapPV($C$51,$C$52,$C$54,$AA55,$C$55,$AC55+AK$51,$C$64,$C$65,$C$66,$C$67,$C$68,$C$69,$C$70,$C$74,$C$75,$D$63,$D$64,$D$65,$D$66,$D$67,$D$68,$D$69,$D$70,$D$71,$D$72,$D$73,$D$74,$D$75,$C$56,$C$57,$C$58,$D$59,$C$60),"")</f>
        <v>-96873.528239592357</v>
      </c>
      <c r="AL55" s="255">
        <f ca="1">IF(NOW(),_xll.mirSwapPV($C$51,$C$52,$C$54,$AA55,$C$55,$AC55+AL$51,$C$64,$C$65,$C$66,$C$67,$C$68,$C$69,$C$70,$C$74,$C$75,$D$63,$D$64,$D$65,$D$66,$D$67,$D$68,$D$69,$D$70,$D$71,$D$72,$D$73,$D$74,$D$75,$C$56,$C$57,$C$58,$D$59,$C$60),"")</f>
        <v>-48436.764119796171</v>
      </c>
      <c r="AM55" s="255">
        <f ca="1">IF(NOW(),_xll.mirSwapPV($C$51,$C$52,$C$54,$AA55,$C$55,$AC55+AM$51,$C$64,$C$65,$C$66,$C$67,$C$68,$C$69,$C$70,$C$74,$C$75,$D$63,$D$64,$D$65,$D$66,$D$67,$D$68,$D$69,$D$70,$D$71,$D$72,$D$73,$D$74,$D$75,$C$56,$C$57,$C$58,$D$59,$C$60),"")</f>
        <v>0</v>
      </c>
      <c r="AN55" s="255">
        <f ca="1">IF(NOW(),_xll.mirSwapPV($C$51,$C$52,$C$54,$AA55,$C$55,$AC55+AN$51,$C$64,$C$65,$C$66,$C$67,$C$68,$C$69,$C$70,$C$74,$C$75,$D$63,$D$64,$D$65,$D$66,$D$67,$D$68,$D$69,$D$70,$D$71,$D$72,$D$73,$D$74,$D$75,$C$56,$C$57,$C$58,$D$59,$C$60),"")</f>
        <v>48436.764119796178</v>
      </c>
      <c r="AO55" s="255">
        <f ca="1">IF(NOW(),_xll.mirSwapPV($C$51,$C$52,$C$54,$AA55,$C$55,$AC55+AO$51,$C$64,$C$65,$C$66,$C$67,$C$68,$C$69,$C$70,$C$74,$C$75,$D$63,$D$64,$D$65,$D$66,$D$67,$D$68,$D$69,$D$70,$D$71,$D$72,$D$73,$D$74,$D$75,$C$56,$C$57,$C$58,$D$59,$C$60),"")</f>
        <v>96873.528239592371</v>
      </c>
      <c r="AP55" s="255">
        <f ca="1">IF(NOW(),_xll.mirSwapPV($C$51,$C$52,$C$54,$AA55,$C$55,$AC55+AP$51,$C$64,$C$65,$C$66,$C$67,$C$68,$C$69,$C$70,$C$74,$C$75,$D$63,$D$64,$D$65,$D$66,$D$67,$D$68,$D$69,$D$70,$D$71,$D$72,$D$73,$D$74,$D$75,$C$56,$C$57,$C$58,$D$59,$C$60),"")</f>
        <v>145310.29235938858</v>
      </c>
      <c r="AQ55" s="255">
        <f ca="1">IF(NOW(),_xll.mirSwapPV($C$51,$C$52,$C$54,$AA55,$C$55,$AC55+AQ$51,$C$64,$C$65,$C$66,$C$67,$C$68,$C$69,$C$70,$C$74,$C$75,$D$63,$D$64,$D$65,$D$66,$D$67,$D$68,$D$69,$D$70,$D$71,$D$72,$D$73,$D$74,$D$75,$C$56,$C$57,$C$58,$D$59,$C$60),"")</f>
        <v>193747.05647918471</v>
      </c>
      <c r="AR55" s="255">
        <f ca="1">IF(NOW(),_xll.mirSwapPV($C$51,$C$52,$C$54,$AA55,$C$55,$AC55+AR$51,$C$64,$C$65,$C$66,$C$67,$C$68,$C$69,$C$70,$C$74,$C$75,$D$63,$D$64,$D$65,$D$66,$D$67,$D$68,$D$69,$D$70,$D$71,$D$72,$D$73,$D$74,$D$75,$C$56,$C$57,$C$58,$D$59,$C$60),"")</f>
        <v>242183.82059898096</v>
      </c>
    </row>
    <row r="56" spans="2:44">
      <c r="B56" s="234" t="s">
        <v>4</v>
      </c>
      <c r="C56" s="235" t="s">
        <v>433</v>
      </c>
      <c r="D56" s="235"/>
      <c r="F56" s="224" t="s">
        <v>131</v>
      </c>
      <c r="G56" s="227">
        <f>_xll.mirGetDate($C$6,F56)</f>
        <v>44390</v>
      </c>
      <c r="H56" s="260">
        <f t="shared" si="14"/>
        <v>1.9130000000000001E-2</v>
      </c>
      <c r="I56" s="229">
        <f ca="1">IF(NOW(),_xll.mirGetParRate4($C$54,$G56,$C$55,$C$64,$C$65,$C$66,$C$67,$C$68,$C$69,$C$70,$C$74,$C$75,$D$64,$D$65,$D$66,$D$67,$D$68,$D$69,$D$70,$D$71,$D$72,$D$73,$D$74,$D$75,$C$56,$C$57,$C$58,$C$59,$C$60),"")</f>
        <v>1.9141201500525989E-2</v>
      </c>
      <c r="J56" s="229">
        <f t="shared" ca="1" si="10"/>
        <v>1.120150052598759E-5</v>
      </c>
      <c r="K56" s="230">
        <f t="shared" ca="1" si="11"/>
        <v>0.1120150052598759</v>
      </c>
      <c r="L56" s="230" t="s">
        <v>12</v>
      </c>
      <c r="M56" s="224" t="s">
        <v>131</v>
      </c>
      <c r="N56" s="255">
        <f ca="1">IF(NOW(),_xll.mirSwapPV($C$51,$C$52,$C$54,$G56,$C$55,$I56+N$51,$C$64,$C$65,$C$66,$C$67,$C$68,$C$69,$C$70,$C$74,$C$75,$D$63,$D$64,$D$65,$D$66,$D$67,$D$68,$D$69,$D$70,$D$71,$D$72,$D$73,$D$74,$D$75,$C$56,$C$57,$C$58,$C$59,$C$60),"")</f>
        <v>-287881.48220303055</v>
      </c>
      <c r="O56" s="255">
        <f ca="1">IF(NOW(),_xll.mirSwapPV($C$51,$C$52,$C$54,$G56,$C$55,$I56+O$51,$C$64,$C$65,$C$66,$C$67,$C$68,$C$69,$C$70,$C$74,$C$75,$D$63,$D$64,$D$65,$D$66,$D$67,$D$68,$D$69,$D$70,$D$71,$D$72,$D$73,$D$74,$D$75,$C$56,$C$57,$C$58,$C$59,$C$60),"")</f>
        <v>-230305.18576242443</v>
      </c>
      <c r="P56" s="255">
        <f ca="1">IF(NOW(),_xll.mirSwapPV($C$51,$C$52,$C$54,$G56,$C$55,$I56+P$51,$C$64,$C$65,$C$66,$C$67,$C$68,$C$69,$C$70,$C$74,$C$75,$D$63,$D$64,$D$65,$D$66,$D$67,$D$68,$D$69,$D$70,$D$71,$D$72,$D$73,$D$74,$D$75,$C$56,$C$57,$C$58,$C$59,$C$60),"")</f>
        <v>-172728.88932181828</v>
      </c>
      <c r="Q56" s="255">
        <f ca="1">IF(NOW(),_xll.mirSwapPV($C$51,$C$52,$C$54,$G56,$C$55,$I56+Q$51,$C$64,$C$65,$C$66,$C$67,$C$68,$C$69,$C$70,$C$74,$C$75,$D$63,$D$64,$D$65,$D$66,$D$67,$D$68,$D$69,$D$70,$D$71,$D$72,$D$73,$D$74,$D$75,$C$56,$C$57,$C$58,$C$59,$C$60),"")</f>
        <v>-115152.5928812122</v>
      </c>
      <c r="R56" s="255">
        <f ca="1">IF(NOW(),_xll.mirSwapPV($C$51,$C$52,$C$54,$G56,$C$55,$I56+R$51,$C$64,$C$65,$C$66,$C$67,$C$68,$C$69,$C$70,$C$74,$C$75,$D$63,$D$64,$D$65,$D$66,$D$67,$D$68,$D$69,$D$70,$D$71,$D$72,$D$73,$D$74,$D$75,$C$56,$C$57,$C$58,$C$59,$C$60),"")</f>
        <v>-57576.296440606086</v>
      </c>
      <c r="S56" s="255">
        <f ca="1">IF(NOW(),_xll.mirSwapPV($C$51,$C$52,$C$54,$G56,$C$55,$I56+S$51,$C$64,$C$65,$C$66,$C$67,$C$68,$C$69,$C$70,$C$74,$C$75,$D$63,$D$64,$D$65,$D$66,$D$67,$D$68,$D$69,$D$70,$D$71,$D$72,$D$73,$D$74,$D$75,$C$56,$C$57,$C$58,$C$59,$C$60),"")</f>
        <v>0</v>
      </c>
      <c r="T56" s="255">
        <f ca="1">IF(NOW(),_xll.mirSwapPV($C$51,$C$52,$C$54,$G56,$C$55,$I56+T$51,$C$64,$C$65,$C$66,$C$67,$C$68,$C$69,$C$70,$C$74,$C$75,$D$63,$D$64,$D$65,$D$66,$D$67,$D$68,$D$69,$D$70,$D$71,$D$72,$D$73,$D$74,$D$75,$C$56,$C$57,$C$58,$C$59,$C$60),"")</f>
        <v>57576.296440606107</v>
      </c>
      <c r="U56" s="255">
        <f ca="1">IF(NOW(),_xll.mirSwapPV($C$51,$C$52,$C$54,$G56,$C$55,$I56+U$51,$C$64,$C$65,$C$66,$C$67,$C$68,$C$69,$C$70,$C$74,$C$75,$D$63,$D$64,$D$65,$D$66,$D$67,$D$68,$D$69,$D$70,$D$71,$D$72,$D$73,$D$74,$D$75,$C$56,$C$57,$C$58,$C$59,$C$60),"")</f>
        <v>115152.59288121221</v>
      </c>
      <c r="V56" s="255">
        <f ca="1">IF(NOW(),_xll.mirSwapPV($C$51,$C$52,$C$54,$G56,$C$55,$I56+V$51,$C$64,$C$65,$C$66,$C$67,$C$68,$C$69,$C$70,$C$74,$C$75,$D$63,$D$64,$D$65,$D$66,$D$67,$D$68,$D$69,$D$70,$D$71,$D$72,$D$73,$D$74,$D$75,$C$56,$C$57,$C$58,$C$59,$C$60),"")</f>
        <v>172728.88932181834</v>
      </c>
      <c r="W56" s="255">
        <f ca="1">IF(NOW(),_xll.mirSwapPV($C$51,$C$52,$C$54,$G56,$C$55,$I56+W$51,$C$64,$C$65,$C$66,$C$67,$C$68,$C$69,$C$70,$C$74,$C$75,$D$63,$D$64,$D$65,$D$66,$D$67,$D$68,$D$69,$D$70,$D$71,$D$72,$D$73,$D$74,$D$75,$C$56,$C$57,$C$58,$C$59,$C$60),"")</f>
        <v>230305.18576242443</v>
      </c>
      <c r="X56" s="255">
        <f ca="1">IF(NOW(),_xll.mirSwapPV($C$51,$C$52,$C$54,$G56,$C$55,$I56+X$51,$C$64,$C$65,$C$66,$C$67,$C$68,$C$69,$C$70,$C$74,$C$75,$D$63,$D$64,$D$65,$D$66,$D$67,$D$68,$D$69,$D$70,$D$71,$D$72,$D$73,$D$74,$D$75,$C$56,$C$57,$C$58,$C$59,$C$60),"")</f>
        <v>287881.48220303055</v>
      </c>
      <c r="Y56" s="230" t="s">
        <v>12</v>
      </c>
      <c r="Z56" s="224" t="s">
        <v>131</v>
      </c>
      <c r="AA56" s="227">
        <f>_xll.mirGetDate($C$6,Z56)</f>
        <v>44390</v>
      </c>
      <c r="AB56" s="260">
        <f t="shared" si="15"/>
        <v>1.9130000000000001E-2</v>
      </c>
      <c r="AC56" s="229">
        <f ca="1">IF(NOW(),_xll.mirGetParRate4($C$54,$AA56,$C$55,$C$64,$C$65,$C$66,$C$67,$C$68,$C$69,$C$70,$C$74,$C$75,$D$64,$D$65,$D$66,$D$67,$D$68,$D$69,$D$70,$D$71,$D$72,$D$73,$D$74,$D$75,$C$56,$C$57,$C$58,$D$59,$C$60),"")</f>
        <v>1.9141201500525999E-2</v>
      </c>
      <c r="AD56" s="229">
        <f t="shared" ca="1" si="12"/>
        <v>1.1201500525997998E-5</v>
      </c>
      <c r="AE56" s="230">
        <f t="shared" ca="1" si="13"/>
        <v>0.11201500525997998</v>
      </c>
      <c r="AG56" s="224" t="s">
        <v>131</v>
      </c>
      <c r="AH56" s="255">
        <f ca="1">IF(NOW(),_xll.mirSwapPV($C$51,$C$52,$C$54,$AA56,$C$55,$AC56+AH$51,$C$64,$C$65,$C$66,$C$67,$C$68,$C$69,$C$70,$C$74,$C$75,$D$63,$D$64,$D$65,$D$66,$D$67,$D$68,$D$69,$D$70,$D$71,$D$72,$D$73,$D$74,$D$75,$C$56,$C$57,$C$58,$D$59,$C$60),"")</f>
        <v>-287881.48220303055</v>
      </c>
      <c r="AI56" s="255">
        <f ca="1">IF(NOW(),_xll.mirSwapPV($C$51,$C$52,$C$54,$AA56,$C$55,$AC56+AI$51,$C$64,$C$65,$C$66,$C$67,$C$68,$C$69,$C$70,$C$74,$C$75,$D$63,$D$64,$D$65,$D$66,$D$67,$D$68,$D$69,$D$70,$D$71,$D$72,$D$73,$D$74,$D$75,$C$56,$C$57,$C$58,$D$59,$C$60),"")</f>
        <v>-230305.18576242443</v>
      </c>
      <c r="AJ56" s="255">
        <f ca="1">IF(NOW(),_xll.mirSwapPV($C$51,$C$52,$C$54,$AA56,$C$55,$AC56+AJ$51,$C$64,$C$65,$C$66,$C$67,$C$68,$C$69,$C$70,$C$74,$C$75,$D$63,$D$64,$D$65,$D$66,$D$67,$D$68,$D$69,$D$70,$D$71,$D$72,$D$73,$D$74,$D$75,$C$56,$C$57,$C$58,$D$59,$C$60),"")</f>
        <v>-172728.88932181831</v>
      </c>
      <c r="AK56" s="255">
        <f ca="1">IF(NOW(),_xll.mirSwapPV($C$51,$C$52,$C$54,$AA56,$C$55,$AC56+AK$51,$C$64,$C$65,$C$66,$C$67,$C$68,$C$69,$C$70,$C$74,$C$75,$D$63,$D$64,$D$65,$D$66,$D$67,$D$68,$D$69,$D$70,$D$71,$D$72,$D$73,$D$74,$D$75,$C$56,$C$57,$C$58,$D$59,$C$60),"")</f>
        <v>-115152.5928812122</v>
      </c>
      <c r="AL56" s="255">
        <f ca="1">IF(NOW(),_xll.mirSwapPV($C$51,$C$52,$C$54,$AA56,$C$55,$AC56+AL$51,$C$64,$C$65,$C$66,$C$67,$C$68,$C$69,$C$70,$C$74,$C$75,$D$63,$D$64,$D$65,$D$66,$D$67,$D$68,$D$69,$D$70,$D$71,$D$72,$D$73,$D$74,$D$75,$C$56,$C$57,$C$58,$D$59,$C$60),"")</f>
        <v>-57576.296440606093</v>
      </c>
      <c r="AM56" s="255">
        <f ca="1">IF(NOW(),_xll.mirSwapPV($C$51,$C$52,$C$54,$AA56,$C$55,$AC56+AM$51,$C$64,$C$65,$C$66,$C$67,$C$68,$C$69,$C$70,$C$74,$C$75,$D$63,$D$64,$D$65,$D$66,$D$67,$D$68,$D$69,$D$70,$D$71,$D$72,$D$73,$D$74,$D$75,$C$56,$C$57,$C$58,$D$59,$C$60),"")</f>
        <v>0</v>
      </c>
      <c r="AN56" s="255">
        <f ca="1">IF(NOW(),_xll.mirSwapPV($C$51,$C$52,$C$54,$AA56,$C$55,$AC56+AN$51,$C$64,$C$65,$C$66,$C$67,$C$68,$C$69,$C$70,$C$74,$C$75,$D$63,$D$64,$D$65,$D$66,$D$67,$D$68,$D$69,$D$70,$D$71,$D$72,$D$73,$D$74,$D$75,$C$56,$C$57,$C$58,$D$59,$C$60),"")</f>
        <v>57576.296440606122</v>
      </c>
      <c r="AO56" s="255">
        <f ca="1">IF(NOW(),_xll.mirSwapPV($C$51,$C$52,$C$54,$AA56,$C$55,$AC56+AO$51,$C$64,$C$65,$C$66,$C$67,$C$68,$C$69,$C$70,$C$74,$C$75,$D$63,$D$64,$D$65,$D$66,$D$67,$D$68,$D$69,$D$70,$D$71,$D$72,$D$73,$D$74,$D$75,$C$56,$C$57,$C$58,$D$59,$C$60),"")</f>
        <v>115152.5928812122</v>
      </c>
      <c r="AP56" s="255">
        <f ca="1">IF(NOW(),_xll.mirSwapPV($C$51,$C$52,$C$54,$AA56,$C$55,$AC56+AP$51,$C$64,$C$65,$C$66,$C$67,$C$68,$C$69,$C$70,$C$74,$C$75,$D$63,$D$64,$D$65,$D$66,$D$67,$D$68,$D$69,$D$70,$D$71,$D$72,$D$73,$D$74,$D$75,$C$56,$C$57,$C$58,$D$59,$C$60),"")</f>
        <v>172728.88932181834</v>
      </c>
      <c r="AQ56" s="255">
        <f ca="1">IF(NOW(),_xll.mirSwapPV($C$51,$C$52,$C$54,$AA56,$C$55,$AC56+AQ$51,$C$64,$C$65,$C$66,$C$67,$C$68,$C$69,$C$70,$C$74,$C$75,$D$63,$D$64,$D$65,$D$66,$D$67,$D$68,$D$69,$D$70,$D$71,$D$72,$D$73,$D$74,$D$75,$C$56,$C$57,$C$58,$D$59,$C$60),"")</f>
        <v>230305.18576242443</v>
      </c>
      <c r="AR56" s="255">
        <f ca="1">IF(NOW(),_xll.mirSwapPV($C$51,$C$52,$C$54,$AA56,$C$55,$AC56+AR$51,$C$64,$C$65,$C$66,$C$67,$C$68,$C$69,$C$70,$C$74,$C$75,$D$63,$D$64,$D$65,$D$66,$D$67,$D$68,$D$69,$D$70,$D$71,$D$72,$D$73,$D$74,$D$75,$C$56,$C$57,$C$58,$D$59,$C$60),"")</f>
        <v>287881.48220303049</v>
      </c>
    </row>
    <row r="57" spans="2:44">
      <c r="B57" s="234" t="s">
        <v>434</v>
      </c>
      <c r="C57" s="235" t="s">
        <v>435</v>
      </c>
      <c r="D57" s="235"/>
      <c r="F57" s="224" t="s">
        <v>31</v>
      </c>
      <c r="G57" s="227">
        <f>_xll.mirGetDate($C$6,F57)</f>
        <v>44755</v>
      </c>
      <c r="H57" s="260">
        <f t="shared" si="14"/>
        <v>2.0259999999999997E-2</v>
      </c>
      <c r="I57" s="229">
        <f ca="1">IF(NOW(),_xll.mirGetParRate4($C$54,$G57,$C$55,$C$64,$C$65,$C$66,$C$67,$C$68,$C$69,$C$70,$C$74,$C$75,$D$64,$D$65,$D$66,$D$67,$D$68,$D$69,$D$70,$D$71,$D$72,$D$73,$D$74,$D$75,$C$56,$C$57,$C$58,$C$59,$C$60),"")</f>
        <v>2.0270627075756508E-2</v>
      </c>
      <c r="J57" s="229">
        <f t="shared" ca="1" si="10"/>
        <v>1.0627075756511339E-5</v>
      </c>
      <c r="K57" s="230">
        <f t="shared" ca="1" si="11"/>
        <v>0.10627075756511339</v>
      </c>
      <c r="L57" s="230" t="s">
        <v>12</v>
      </c>
      <c r="M57" s="224" t="s">
        <v>31</v>
      </c>
      <c r="N57" s="255">
        <f ca="1">IF(NOW(),_xll.mirSwapPV($C$51,$C$52,$C$54,$G57,$C$55,$I57+N$51,$C$64,$C$65,$C$66,$C$67,$C$68,$C$69,$C$70,$C$74,$C$75,$D$63,$D$64,$D$65,$D$66,$D$67,$D$68,$D$69,$D$70,$D$71,$D$72,$D$73,$D$74,$D$75,$C$56,$C$57,$C$58,$C$59,$C$60),"")</f>
        <v>-332503.98096674308</v>
      </c>
      <c r="O57" s="255">
        <f ca="1">IF(NOW(),_xll.mirSwapPV($C$51,$C$52,$C$54,$G57,$C$55,$I57+O$51,$C$64,$C$65,$C$66,$C$67,$C$68,$C$69,$C$70,$C$74,$C$75,$D$63,$D$64,$D$65,$D$66,$D$67,$D$68,$D$69,$D$70,$D$71,$D$72,$D$73,$D$74,$D$75,$C$56,$C$57,$C$58,$C$59,$C$60),"")</f>
        <v>-266003.18477339449</v>
      </c>
      <c r="P57" s="255">
        <f ca="1">IF(NOW(),_xll.mirSwapPV($C$51,$C$52,$C$54,$G57,$C$55,$I57+P$51,$C$64,$C$65,$C$66,$C$67,$C$68,$C$69,$C$70,$C$74,$C$75,$D$63,$D$64,$D$65,$D$66,$D$67,$D$68,$D$69,$D$70,$D$71,$D$72,$D$73,$D$74,$D$75,$C$56,$C$57,$C$58,$C$59,$C$60),"")</f>
        <v>-199502.38858004584</v>
      </c>
      <c r="Q57" s="255">
        <f ca="1">IF(NOW(),_xll.mirSwapPV($C$51,$C$52,$C$54,$G57,$C$55,$I57+Q$51,$C$64,$C$65,$C$66,$C$67,$C$68,$C$69,$C$70,$C$74,$C$75,$D$63,$D$64,$D$65,$D$66,$D$67,$D$68,$D$69,$D$70,$D$71,$D$72,$D$73,$D$74,$D$75,$C$56,$C$57,$C$58,$C$59,$C$60),"")</f>
        <v>-133001.59238669722</v>
      </c>
      <c r="R57" s="255">
        <f ca="1">IF(NOW(),_xll.mirSwapPV($C$51,$C$52,$C$54,$G57,$C$55,$I57+R$51,$C$64,$C$65,$C$66,$C$67,$C$68,$C$69,$C$70,$C$74,$C$75,$D$63,$D$64,$D$65,$D$66,$D$67,$D$68,$D$69,$D$70,$D$71,$D$72,$D$73,$D$74,$D$75,$C$56,$C$57,$C$58,$C$59,$C$60),"")</f>
        <v>-66500.796193348608</v>
      </c>
      <c r="S57" s="255">
        <f ca="1">IF(NOW(),_xll.mirSwapPV($C$51,$C$52,$C$54,$G57,$C$55,$I57+S$51,$C$64,$C$65,$C$66,$C$67,$C$68,$C$69,$C$70,$C$74,$C$75,$D$63,$D$64,$D$65,$D$66,$D$67,$D$68,$D$69,$D$70,$D$71,$D$72,$D$73,$D$74,$D$75,$C$56,$C$57,$C$58,$C$59,$C$60),"")</f>
        <v>0</v>
      </c>
      <c r="T57" s="255">
        <f ca="1">IF(NOW(),_xll.mirSwapPV($C$51,$C$52,$C$54,$G57,$C$55,$I57+T$51,$C$64,$C$65,$C$66,$C$67,$C$68,$C$69,$C$70,$C$74,$C$75,$D$63,$D$64,$D$65,$D$66,$D$67,$D$68,$D$69,$D$70,$D$71,$D$72,$D$73,$D$74,$D$75,$C$56,$C$57,$C$58,$C$59,$C$60),"")</f>
        <v>66500.796193348593</v>
      </c>
      <c r="U57" s="255">
        <f ca="1">IF(NOW(),_xll.mirSwapPV($C$51,$C$52,$C$54,$G57,$C$55,$I57+U$51,$C$64,$C$65,$C$66,$C$67,$C$68,$C$69,$C$70,$C$74,$C$75,$D$63,$D$64,$D$65,$D$66,$D$67,$D$68,$D$69,$D$70,$D$71,$D$72,$D$73,$D$74,$D$75,$C$56,$C$57,$C$58,$C$59,$C$60),"")</f>
        <v>133001.59238669722</v>
      </c>
      <c r="V57" s="255">
        <f ca="1">IF(NOW(),_xll.mirSwapPV($C$51,$C$52,$C$54,$G57,$C$55,$I57+V$51,$C$64,$C$65,$C$66,$C$67,$C$68,$C$69,$C$70,$C$74,$C$75,$D$63,$D$64,$D$65,$D$66,$D$67,$D$68,$D$69,$D$70,$D$71,$D$72,$D$73,$D$74,$D$75,$C$56,$C$57,$C$58,$C$59,$C$60),"")</f>
        <v>199502.38858004584</v>
      </c>
      <c r="W57" s="255">
        <f ca="1">IF(NOW(),_xll.mirSwapPV($C$51,$C$52,$C$54,$G57,$C$55,$I57+W$51,$C$64,$C$65,$C$66,$C$67,$C$68,$C$69,$C$70,$C$74,$C$75,$D$63,$D$64,$D$65,$D$66,$D$67,$D$68,$D$69,$D$70,$D$71,$D$72,$D$73,$D$74,$D$75,$C$56,$C$57,$C$58,$C$59,$C$60),"")</f>
        <v>266003.18477339449</v>
      </c>
      <c r="X57" s="255">
        <f ca="1">IF(NOW(),_xll.mirSwapPV($C$51,$C$52,$C$54,$G57,$C$55,$I57+X$51,$C$64,$C$65,$C$66,$C$67,$C$68,$C$69,$C$70,$C$74,$C$75,$D$63,$D$64,$D$65,$D$66,$D$67,$D$68,$D$69,$D$70,$D$71,$D$72,$D$73,$D$74,$D$75,$C$56,$C$57,$C$58,$C$59,$C$60),"")</f>
        <v>332503.98096674314</v>
      </c>
      <c r="Y57" s="230" t="s">
        <v>12</v>
      </c>
      <c r="Z57" s="224" t="s">
        <v>31</v>
      </c>
      <c r="AA57" s="227">
        <f>_xll.mirGetDate($C$6,Z57)</f>
        <v>44755</v>
      </c>
      <c r="AB57" s="260">
        <f t="shared" si="15"/>
        <v>2.0259999999999997E-2</v>
      </c>
      <c r="AC57" s="229">
        <f ca="1">IF(NOW(),_xll.mirGetParRate4($C$54,$AA57,$C$55,$C$64,$C$65,$C$66,$C$67,$C$68,$C$69,$C$70,$C$74,$C$75,$D$64,$D$65,$D$66,$D$67,$D$68,$D$69,$D$70,$D$71,$D$72,$D$73,$D$74,$D$75,$C$56,$C$57,$C$58,$D$59,$C$60),"")</f>
        <v>2.0270627075756525E-2</v>
      </c>
      <c r="AD57" s="229">
        <f t="shared" ca="1" si="12"/>
        <v>1.0627075756528687E-5</v>
      </c>
      <c r="AE57" s="230">
        <f t="shared" ca="1" si="13"/>
        <v>0.10627075756528687</v>
      </c>
      <c r="AG57" s="224" t="s">
        <v>31</v>
      </c>
      <c r="AH57" s="255">
        <f ca="1">IF(NOW(),_xll.mirSwapPV($C$51,$C$52,$C$54,$AA57,$C$55,$AC57+AH$51,$C$64,$C$65,$C$66,$C$67,$C$68,$C$69,$C$70,$C$74,$C$75,$D$63,$D$64,$D$65,$D$66,$D$67,$D$68,$D$69,$D$70,$D$71,$D$72,$D$73,$D$74,$D$75,$C$56,$C$57,$C$58,$D$59,$C$60),"")</f>
        <v>-332503.98096674302</v>
      </c>
      <c r="AI57" s="255">
        <f ca="1">IF(NOW(),_xll.mirSwapPV($C$51,$C$52,$C$54,$AA57,$C$55,$AC57+AI$51,$C$64,$C$65,$C$66,$C$67,$C$68,$C$69,$C$70,$C$74,$C$75,$D$63,$D$64,$D$65,$D$66,$D$67,$D$68,$D$69,$D$70,$D$71,$D$72,$D$73,$D$74,$D$75,$C$56,$C$57,$C$58,$D$59,$C$60),"")</f>
        <v>-266003.18477339449</v>
      </c>
      <c r="AJ57" s="255">
        <f ca="1">IF(NOW(),_xll.mirSwapPV($C$51,$C$52,$C$54,$AA57,$C$55,$AC57+AJ$51,$C$64,$C$65,$C$66,$C$67,$C$68,$C$69,$C$70,$C$74,$C$75,$D$63,$D$64,$D$65,$D$66,$D$67,$D$68,$D$69,$D$70,$D$71,$D$72,$D$73,$D$74,$D$75,$C$56,$C$57,$C$58,$D$59,$C$60),"")</f>
        <v>-199502.38858004581</v>
      </c>
      <c r="AK57" s="255">
        <f ca="1">IF(NOW(),_xll.mirSwapPV($C$51,$C$52,$C$54,$AA57,$C$55,$AC57+AK$51,$C$64,$C$65,$C$66,$C$67,$C$68,$C$69,$C$70,$C$74,$C$75,$D$63,$D$64,$D$65,$D$66,$D$67,$D$68,$D$69,$D$70,$D$71,$D$72,$D$73,$D$74,$D$75,$C$56,$C$57,$C$58,$D$59,$C$60),"")</f>
        <v>-133001.59238669722</v>
      </c>
      <c r="AL57" s="255">
        <f ca="1">IF(NOW(),_xll.mirSwapPV($C$51,$C$52,$C$54,$AA57,$C$55,$AC57+AL$51,$C$64,$C$65,$C$66,$C$67,$C$68,$C$69,$C$70,$C$74,$C$75,$D$63,$D$64,$D$65,$D$66,$D$67,$D$68,$D$69,$D$70,$D$71,$D$72,$D$73,$D$74,$D$75,$C$56,$C$57,$C$58,$D$59,$C$60),"")</f>
        <v>-66500.796193348593</v>
      </c>
      <c r="AM57" s="255">
        <f ca="1">IF(NOW(),_xll.mirSwapPV($C$51,$C$52,$C$54,$AA57,$C$55,$AC57+AM$51,$C$64,$C$65,$C$66,$C$67,$C$68,$C$69,$C$70,$C$74,$C$75,$D$63,$D$64,$D$65,$D$66,$D$67,$D$68,$D$69,$D$70,$D$71,$D$72,$D$73,$D$74,$D$75,$C$56,$C$57,$C$58,$D$59,$C$60),"")</f>
        <v>0</v>
      </c>
      <c r="AN57" s="255">
        <f ca="1">IF(NOW(),_xll.mirSwapPV($C$51,$C$52,$C$54,$AA57,$C$55,$AC57+AN$51,$C$64,$C$65,$C$66,$C$67,$C$68,$C$69,$C$70,$C$74,$C$75,$D$63,$D$64,$D$65,$D$66,$D$67,$D$68,$D$69,$D$70,$D$71,$D$72,$D$73,$D$74,$D$75,$C$56,$C$57,$C$58,$D$59,$C$60),"")</f>
        <v>66500.796193348622</v>
      </c>
      <c r="AO57" s="255">
        <f ca="1">IF(NOW(),_xll.mirSwapPV($C$51,$C$52,$C$54,$AA57,$C$55,$AC57+AO$51,$C$64,$C$65,$C$66,$C$67,$C$68,$C$69,$C$70,$C$74,$C$75,$D$63,$D$64,$D$65,$D$66,$D$67,$D$68,$D$69,$D$70,$D$71,$D$72,$D$73,$D$74,$D$75,$C$56,$C$57,$C$58,$D$59,$C$60),"")</f>
        <v>133001.59238669727</v>
      </c>
      <c r="AP57" s="255">
        <f ca="1">IF(NOW(),_xll.mirSwapPV($C$51,$C$52,$C$54,$AA57,$C$55,$AC57+AP$51,$C$64,$C$65,$C$66,$C$67,$C$68,$C$69,$C$70,$C$74,$C$75,$D$63,$D$64,$D$65,$D$66,$D$67,$D$68,$D$69,$D$70,$D$71,$D$72,$D$73,$D$74,$D$75,$C$56,$C$57,$C$58,$D$59,$C$60),"")</f>
        <v>199502.38858004584</v>
      </c>
      <c r="AQ57" s="255">
        <f ca="1">IF(NOW(),_xll.mirSwapPV($C$51,$C$52,$C$54,$AA57,$C$55,$AC57+AQ$51,$C$64,$C$65,$C$66,$C$67,$C$68,$C$69,$C$70,$C$74,$C$75,$D$63,$D$64,$D$65,$D$66,$D$67,$D$68,$D$69,$D$70,$D$71,$D$72,$D$73,$D$74,$D$75,$C$56,$C$57,$C$58,$D$59,$C$60),"")</f>
        <v>266003.18477339449</v>
      </c>
      <c r="AR57" s="255">
        <f ca="1">IF(NOW(),_xll.mirSwapPV($C$51,$C$52,$C$54,$AA57,$C$55,$AC57+AR$51,$C$64,$C$65,$C$66,$C$67,$C$68,$C$69,$C$70,$C$74,$C$75,$D$63,$D$64,$D$65,$D$66,$D$67,$D$68,$D$69,$D$70,$D$71,$D$72,$D$73,$D$74,$D$75,$C$56,$C$57,$C$58,$D$59,$C$60),"")</f>
        <v>332503.98096674302</v>
      </c>
    </row>
    <row r="58" spans="2:44">
      <c r="B58" s="234" t="s">
        <v>436</v>
      </c>
      <c r="C58" s="235" t="s">
        <v>201</v>
      </c>
      <c r="D58" s="235"/>
      <c r="F58" s="224" t="s">
        <v>119</v>
      </c>
      <c r="G58" s="227">
        <f>_xll.mirGetDate($C$6,F58)</f>
        <v>45120</v>
      </c>
      <c r="H58" s="260">
        <f t="shared" si="14"/>
        <v>2.1190000000000001E-2</v>
      </c>
      <c r="I58" s="229">
        <f ca="1">IF(NOW(),_xll.mirGetParRate4($C$54,$G58,$C$55,$C$64,$C$65,$C$66,$C$67,$C$68,$C$69,$C$70,$C$74,$C$75,$D$64,$D$65,$D$66,$D$67,$D$68,$D$69,$D$70,$D$71,$D$72,$D$73,$D$74,$D$75,$C$56,$C$57,$C$58,$C$59,$C$60),"")</f>
        <v>2.1200072783721383E-2</v>
      </c>
      <c r="J58" s="229">
        <f t="shared" ca="1" si="10"/>
        <v>1.0072783721382789E-5</v>
      </c>
      <c r="K58" s="230">
        <f t="shared" ca="1" si="11"/>
        <v>0.10072783721382789</v>
      </c>
      <c r="L58" s="230" t="s">
        <v>12</v>
      </c>
      <c r="M58" s="224" t="s">
        <v>119</v>
      </c>
      <c r="N58" s="255">
        <f ca="1">IF(NOW(),_xll.mirSwapPV($C$51,$C$52,$C$54,$G58,$C$55,$I58+N$51,$C$64,$C$65,$C$66,$C$67,$C$68,$C$69,$C$70,$C$74,$C$75,$D$63,$D$64,$D$65,$D$66,$D$67,$D$68,$D$69,$D$70,$D$71,$D$72,$D$73,$D$74,$D$75,$C$56,$C$57,$C$58,$C$59,$C$60),"")</f>
        <v>-376035.41393746505</v>
      </c>
      <c r="O58" s="255">
        <f ca="1">IF(NOW(),_xll.mirSwapPV($C$51,$C$52,$C$54,$G58,$C$55,$I58+O$51,$C$64,$C$65,$C$66,$C$67,$C$68,$C$69,$C$70,$C$74,$C$75,$D$63,$D$64,$D$65,$D$66,$D$67,$D$68,$D$69,$D$70,$D$71,$D$72,$D$73,$D$74,$D$75,$C$56,$C$57,$C$58,$C$59,$C$60),"")</f>
        <v>-300828.33114997199</v>
      </c>
      <c r="P58" s="255">
        <f ca="1">IF(NOW(),_xll.mirSwapPV($C$51,$C$52,$C$54,$G58,$C$55,$I58+P$51,$C$64,$C$65,$C$66,$C$67,$C$68,$C$69,$C$70,$C$74,$C$75,$D$63,$D$64,$D$65,$D$66,$D$67,$D$68,$D$69,$D$70,$D$71,$D$72,$D$73,$D$74,$D$75,$C$56,$C$57,$C$58,$C$59,$C$60),"")</f>
        <v>-225621.24836247897</v>
      </c>
      <c r="Q58" s="255">
        <f ca="1">IF(NOW(),_xll.mirSwapPV($C$51,$C$52,$C$54,$G58,$C$55,$I58+Q$51,$C$64,$C$65,$C$66,$C$67,$C$68,$C$69,$C$70,$C$74,$C$75,$D$63,$D$64,$D$65,$D$66,$D$67,$D$68,$D$69,$D$70,$D$71,$D$72,$D$73,$D$74,$D$75,$C$56,$C$57,$C$58,$C$59,$C$60),"")</f>
        <v>-150414.16557498599</v>
      </c>
      <c r="R58" s="255">
        <f ca="1">IF(NOW(),_xll.mirSwapPV($C$51,$C$52,$C$54,$G58,$C$55,$I58+R$51,$C$64,$C$65,$C$66,$C$67,$C$68,$C$69,$C$70,$C$74,$C$75,$D$63,$D$64,$D$65,$D$66,$D$67,$D$68,$D$69,$D$70,$D$71,$D$72,$D$73,$D$74,$D$75,$C$56,$C$57,$C$58,$C$59,$C$60),"")</f>
        <v>-75207.082787492982</v>
      </c>
      <c r="S58" s="255">
        <f ca="1">IF(NOW(),_xll.mirSwapPV($C$51,$C$52,$C$54,$G58,$C$55,$I58+S$51,$C$64,$C$65,$C$66,$C$67,$C$68,$C$69,$C$70,$C$74,$C$75,$D$63,$D$64,$D$65,$D$66,$D$67,$D$68,$D$69,$D$70,$D$71,$D$72,$D$73,$D$74,$D$75,$C$56,$C$57,$C$58,$C$59,$C$60),"")</f>
        <v>0</v>
      </c>
      <c r="T58" s="255">
        <f ca="1">IF(NOW(),_xll.mirSwapPV($C$51,$C$52,$C$54,$G58,$C$55,$I58+T$51,$C$64,$C$65,$C$66,$C$67,$C$68,$C$69,$C$70,$C$74,$C$75,$D$63,$D$64,$D$65,$D$66,$D$67,$D$68,$D$69,$D$70,$D$71,$D$72,$D$73,$D$74,$D$75,$C$56,$C$57,$C$58,$C$59,$C$60),"")</f>
        <v>75207.082787492967</v>
      </c>
      <c r="U58" s="255">
        <f ca="1">IF(NOW(),_xll.mirSwapPV($C$51,$C$52,$C$54,$G58,$C$55,$I58+U$51,$C$64,$C$65,$C$66,$C$67,$C$68,$C$69,$C$70,$C$74,$C$75,$D$63,$D$64,$D$65,$D$66,$D$67,$D$68,$D$69,$D$70,$D$71,$D$72,$D$73,$D$74,$D$75,$C$56,$C$57,$C$58,$C$59,$C$60),"")</f>
        <v>150414.16557498599</v>
      </c>
      <c r="V58" s="255">
        <f ca="1">IF(NOW(),_xll.mirSwapPV($C$51,$C$52,$C$54,$G58,$C$55,$I58+V$51,$C$64,$C$65,$C$66,$C$67,$C$68,$C$69,$C$70,$C$74,$C$75,$D$63,$D$64,$D$65,$D$66,$D$67,$D$68,$D$69,$D$70,$D$71,$D$72,$D$73,$D$74,$D$75,$C$56,$C$57,$C$58,$C$59,$C$60),"")</f>
        <v>225621.24836247895</v>
      </c>
      <c r="W58" s="255">
        <f ca="1">IF(NOW(),_xll.mirSwapPV($C$51,$C$52,$C$54,$G58,$C$55,$I58+W$51,$C$64,$C$65,$C$66,$C$67,$C$68,$C$69,$C$70,$C$74,$C$75,$D$63,$D$64,$D$65,$D$66,$D$67,$D$68,$D$69,$D$70,$D$71,$D$72,$D$73,$D$74,$D$75,$C$56,$C$57,$C$58,$C$59,$C$60),"")</f>
        <v>300828.33114997204</v>
      </c>
      <c r="X58" s="255">
        <f ca="1">IF(NOW(),_xll.mirSwapPV($C$51,$C$52,$C$54,$G58,$C$55,$I58+X$51,$C$64,$C$65,$C$66,$C$67,$C$68,$C$69,$C$70,$C$74,$C$75,$D$63,$D$64,$D$65,$D$66,$D$67,$D$68,$D$69,$D$70,$D$71,$D$72,$D$73,$D$74,$D$75,$C$56,$C$57,$C$58,$C$59,$C$60),"")</f>
        <v>376035.413937465</v>
      </c>
      <c r="Y58" s="230" t="s">
        <v>12</v>
      </c>
      <c r="Z58" s="224" t="s">
        <v>119</v>
      </c>
      <c r="AA58" s="227">
        <f>_xll.mirGetDate($C$6,Z58)</f>
        <v>45120</v>
      </c>
      <c r="AB58" s="260">
        <f t="shared" si="15"/>
        <v>2.1190000000000001E-2</v>
      </c>
      <c r="AC58" s="229">
        <f ca="1">IF(NOW(),_xll.mirGetParRate4($C$54,$AA58,$C$55,$C$64,$C$65,$C$66,$C$67,$C$68,$C$69,$C$70,$C$74,$C$75,$D$64,$D$65,$D$66,$D$67,$D$68,$D$69,$D$70,$D$71,$D$72,$D$73,$D$74,$D$75,$C$56,$C$57,$C$58,$D$59,$C$60),"")</f>
        <v>2.1200072783721408E-2</v>
      </c>
      <c r="AD58" s="229">
        <f t="shared" ca="1" si="12"/>
        <v>1.0072783721407075E-5</v>
      </c>
      <c r="AE58" s="230">
        <f t="shared" ca="1" si="13"/>
        <v>0.10072783721407075</v>
      </c>
      <c r="AG58" s="224" t="s">
        <v>119</v>
      </c>
      <c r="AH58" s="255">
        <f ca="1">IF(NOW(),_xll.mirSwapPV($C$51,$C$52,$C$54,$AA58,$C$55,$AC58+AH$51,$C$64,$C$65,$C$66,$C$67,$C$68,$C$69,$C$70,$C$74,$C$75,$D$63,$D$64,$D$65,$D$66,$D$67,$D$68,$D$69,$D$70,$D$71,$D$72,$D$73,$D$74,$D$75,$C$56,$C$57,$C$58,$D$59,$C$60),"")</f>
        <v>-376035.413937465</v>
      </c>
      <c r="AI58" s="255">
        <f ca="1">IF(NOW(),_xll.mirSwapPV($C$51,$C$52,$C$54,$AA58,$C$55,$AC58+AI$51,$C$64,$C$65,$C$66,$C$67,$C$68,$C$69,$C$70,$C$74,$C$75,$D$63,$D$64,$D$65,$D$66,$D$67,$D$68,$D$69,$D$70,$D$71,$D$72,$D$73,$D$74,$D$75,$C$56,$C$57,$C$58,$D$59,$C$60),"")</f>
        <v>-300828.33114997199</v>
      </c>
      <c r="AJ58" s="255">
        <f ca="1">IF(NOW(),_xll.mirSwapPV($C$51,$C$52,$C$54,$AA58,$C$55,$AC58+AJ$51,$C$64,$C$65,$C$66,$C$67,$C$68,$C$69,$C$70,$C$74,$C$75,$D$63,$D$64,$D$65,$D$66,$D$67,$D$68,$D$69,$D$70,$D$71,$D$72,$D$73,$D$74,$D$75,$C$56,$C$57,$C$58,$D$59,$C$60),"")</f>
        <v>-225621.24836247897</v>
      </c>
      <c r="AK58" s="255">
        <f ca="1">IF(NOW(),_xll.mirSwapPV($C$51,$C$52,$C$54,$AA58,$C$55,$AC58+AK$51,$C$64,$C$65,$C$66,$C$67,$C$68,$C$69,$C$70,$C$74,$C$75,$D$63,$D$64,$D$65,$D$66,$D$67,$D$68,$D$69,$D$70,$D$71,$D$72,$D$73,$D$74,$D$75,$C$56,$C$57,$C$58,$D$59,$C$60),"")</f>
        <v>-150414.16557498596</v>
      </c>
      <c r="AL58" s="255">
        <f ca="1">IF(NOW(),_xll.mirSwapPV($C$51,$C$52,$C$54,$AA58,$C$55,$AC58+AL$51,$C$64,$C$65,$C$66,$C$67,$C$68,$C$69,$C$70,$C$74,$C$75,$D$63,$D$64,$D$65,$D$66,$D$67,$D$68,$D$69,$D$70,$D$71,$D$72,$D$73,$D$74,$D$75,$C$56,$C$57,$C$58,$D$59,$C$60),"")</f>
        <v>-75207.082787492967</v>
      </c>
      <c r="AM58" s="255">
        <f ca="1">IF(NOW(),_xll.mirSwapPV($C$51,$C$52,$C$54,$AA58,$C$55,$AC58+AM$51,$C$64,$C$65,$C$66,$C$67,$C$68,$C$69,$C$70,$C$74,$C$75,$D$63,$D$64,$D$65,$D$66,$D$67,$D$68,$D$69,$D$70,$D$71,$D$72,$D$73,$D$74,$D$75,$C$56,$C$57,$C$58,$D$59,$C$60),"")</f>
        <v>0</v>
      </c>
      <c r="AN58" s="255">
        <f ca="1">IF(NOW(),_xll.mirSwapPV($C$51,$C$52,$C$54,$AA58,$C$55,$AC58+AN$51,$C$64,$C$65,$C$66,$C$67,$C$68,$C$69,$C$70,$C$74,$C$75,$D$63,$D$64,$D$65,$D$66,$D$67,$D$68,$D$69,$D$70,$D$71,$D$72,$D$73,$D$74,$D$75,$C$56,$C$57,$C$58,$D$59,$C$60),"")</f>
        <v>75207.082787493026</v>
      </c>
      <c r="AO58" s="255">
        <f ca="1">IF(NOW(),_xll.mirSwapPV($C$51,$C$52,$C$54,$AA58,$C$55,$AC58+AO$51,$C$64,$C$65,$C$66,$C$67,$C$68,$C$69,$C$70,$C$74,$C$75,$D$63,$D$64,$D$65,$D$66,$D$67,$D$68,$D$69,$D$70,$D$71,$D$72,$D$73,$D$74,$D$75,$C$56,$C$57,$C$58,$D$59,$C$60),"")</f>
        <v>150414.16557498605</v>
      </c>
      <c r="AP58" s="255">
        <f ca="1">IF(NOW(),_xll.mirSwapPV($C$51,$C$52,$C$54,$AA58,$C$55,$AC58+AP$51,$C$64,$C$65,$C$66,$C$67,$C$68,$C$69,$C$70,$C$74,$C$75,$D$63,$D$64,$D$65,$D$66,$D$67,$D$68,$D$69,$D$70,$D$71,$D$72,$D$73,$D$74,$D$75,$C$56,$C$57,$C$58,$D$59,$C$60),"")</f>
        <v>225621.24836247897</v>
      </c>
      <c r="AQ58" s="255">
        <f ca="1">IF(NOW(),_xll.mirSwapPV($C$51,$C$52,$C$54,$AA58,$C$55,$AC58+AQ$51,$C$64,$C$65,$C$66,$C$67,$C$68,$C$69,$C$70,$C$74,$C$75,$D$63,$D$64,$D$65,$D$66,$D$67,$D$68,$D$69,$D$70,$D$71,$D$72,$D$73,$D$74,$D$75,$C$56,$C$57,$C$58,$D$59,$C$60),"")</f>
        <v>300828.33114997204</v>
      </c>
      <c r="AR58" s="255">
        <f ca="1">IF(NOW(),_xll.mirSwapPV($C$51,$C$52,$C$54,$AA58,$C$55,$AC58+AR$51,$C$64,$C$65,$C$66,$C$67,$C$68,$C$69,$C$70,$C$74,$C$75,$D$63,$D$64,$D$65,$D$66,$D$67,$D$68,$D$69,$D$70,$D$71,$D$72,$D$73,$D$74,$D$75,$C$56,$C$57,$C$58,$D$59,$C$60),"")</f>
        <v>376035.41393746505</v>
      </c>
    </row>
    <row r="59" spans="2:44">
      <c r="B59" s="234" t="s">
        <v>437</v>
      </c>
      <c r="C59" s="236" t="b">
        <v>1</v>
      </c>
      <c r="D59" s="236" t="b">
        <v>0</v>
      </c>
      <c r="F59" s="224" t="s">
        <v>113</v>
      </c>
      <c r="G59" s="227">
        <f>_xll.mirGetDate($C$6,F59)</f>
        <v>45486</v>
      </c>
      <c r="H59" s="260">
        <f t="shared" si="14"/>
        <v>2.197E-2</v>
      </c>
      <c r="I59" s="229">
        <f ca="1">IF(NOW(),_xll.mirGetParRate4($C$54,$G59,$C$55,$C$64,$C$65,$C$66,$C$67,$C$68,$C$69,$C$70,$C$74,$C$75,$D$64,$D$65,$D$66,$D$67,$D$68,$D$69,$D$70,$D$71,$D$72,$D$73,$D$74,$D$75,$C$56,$C$57,$C$58,$C$59,$C$60),"")</f>
        <v>2.1979552735257757E-2</v>
      </c>
      <c r="J59" s="229">
        <f t="shared" ca="1" si="10"/>
        <v>9.5527352577569336E-6</v>
      </c>
      <c r="K59" s="230">
        <f t="shared" ca="1" si="11"/>
        <v>9.5527352577569336E-2</v>
      </c>
      <c r="L59" s="230" t="s">
        <v>12</v>
      </c>
      <c r="M59" s="224" t="s">
        <v>113</v>
      </c>
      <c r="N59" s="255">
        <f ca="1">IF(NOW(),_xll.mirSwapPV($C$51,$C$52,$C$54,$G59,$C$55,$I59+N$51,$C$64,$C$65,$C$66,$C$67,$C$68,$C$69,$C$70,$C$74,$C$75,$D$63,$D$64,$D$65,$D$66,$D$67,$D$68,$D$69,$D$70,$D$71,$D$72,$D$73,$D$74,$D$75,$C$56,$C$57,$C$58,$C$59,$C$60),"")</f>
        <v>-418823.01881965069</v>
      </c>
      <c r="O59" s="255">
        <f ca="1">IF(NOW(),_xll.mirSwapPV($C$51,$C$52,$C$54,$G59,$C$55,$I59+O$51,$C$64,$C$65,$C$66,$C$67,$C$68,$C$69,$C$70,$C$74,$C$75,$D$63,$D$64,$D$65,$D$66,$D$67,$D$68,$D$69,$D$70,$D$71,$D$72,$D$73,$D$74,$D$75,$C$56,$C$57,$C$58,$C$59,$C$60),"")</f>
        <v>-335058.41505572054</v>
      </c>
      <c r="P59" s="255">
        <f ca="1">IF(NOW(),_xll.mirSwapPV($C$51,$C$52,$C$54,$G59,$C$55,$I59+P$51,$C$64,$C$65,$C$66,$C$67,$C$68,$C$69,$C$70,$C$74,$C$75,$D$63,$D$64,$D$65,$D$66,$D$67,$D$68,$D$69,$D$70,$D$71,$D$72,$D$73,$D$74,$D$75,$C$56,$C$57,$C$58,$C$59,$C$60),"")</f>
        <v>-251293.81129179033</v>
      </c>
      <c r="Q59" s="255">
        <f ca="1">IF(NOW(),_xll.mirSwapPV($C$51,$C$52,$C$54,$G59,$C$55,$I59+Q$51,$C$64,$C$65,$C$66,$C$67,$C$68,$C$69,$C$70,$C$74,$C$75,$D$63,$D$64,$D$65,$D$66,$D$67,$D$68,$D$69,$D$70,$D$71,$D$72,$D$73,$D$74,$D$75,$C$56,$C$57,$C$58,$C$59,$C$60),"")</f>
        <v>-167529.20752786021</v>
      </c>
      <c r="R59" s="255">
        <f ca="1">IF(NOW(),_xll.mirSwapPV($C$51,$C$52,$C$54,$G59,$C$55,$I59+R$51,$C$64,$C$65,$C$66,$C$67,$C$68,$C$69,$C$70,$C$74,$C$75,$D$63,$D$64,$D$65,$D$66,$D$67,$D$68,$D$69,$D$70,$D$71,$D$72,$D$73,$D$74,$D$75,$C$56,$C$57,$C$58,$C$59,$C$60),"")</f>
        <v>-83764.603763930092</v>
      </c>
      <c r="S59" s="255">
        <f ca="1">IF(NOW(),_xll.mirSwapPV($C$51,$C$52,$C$54,$G59,$C$55,$I59+S$51,$C$64,$C$65,$C$66,$C$67,$C$68,$C$69,$C$70,$C$74,$C$75,$D$63,$D$64,$D$65,$D$66,$D$67,$D$68,$D$69,$D$70,$D$71,$D$72,$D$73,$D$74,$D$75,$C$56,$C$57,$C$58,$C$59,$C$60),"")</f>
        <v>0</v>
      </c>
      <c r="T59" s="255">
        <f ca="1">IF(NOW(),_xll.mirSwapPV($C$51,$C$52,$C$54,$G59,$C$55,$I59+T$51,$C$64,$C$65,$C$66,$C$67,$C$68,$C$69,$C$70,$C$74,$C$75,$D$63,$D$64,$D$65,$D$66,$D$67,$D$68,$D$69,$D$70,$D$71,$D$72,$D$73,$D$74,$D$75,$C$56,$C$57,$C$58,$C$59,$C$60),"")</f>
        <v>83764.603763930136</v>
      </c>
      <c r="U59" s="255">
        <f ca="1">IF(NOW(),_xll.mirSwapPV($C$51,$C$52,$C$54,$G59,$C$55,$I59+U$51,$C$64,$C$65,$C$66,$C$67,$C$68,$C$69,$C$70,$C$74,$C$75,$D$63,$D$64,$D$65,$D$66,$D$67,$D$68,$D$69,$D$70,$D$71,$D$72,$D$73,$D$74,$D$75,$C$56,$C$57,$C$58,$C$59,$C$60),"")</f>
        <v>167529.20752786027</v>
      </c>
      <c r="V59" s="255">
        <f ca="1">IF(NOW(),_xll.mirSwapPV($C$51,$C$52,$C$54,$G59,$C$55,$I59+V$51,$C$64,$C$65,$C$66,$C$67,$C$68,$C$69,$C$70,$C$74,$C$75,$D$63,$D$64,$D$65,$D$66,$D$67,$D$68,$D$69,$D$70,$D$71,$D$72,$D$73,$D$74,$D$75,$C$56,$C$57,$C$58,$C$59,$C$60),"")</f>
        <v>251293.81129179039</v>
      </c>
      <c r="W59" s="255">
        <f ca="1">IF(NOW(),_xll.mirSwapPV($C$51,$C$52,$C$54,$G59,$C$55,$I59+W$51,$C$64,$C$65,$C$66,$C$67,$C$68,$C$69,$C$70,$C$74,$C$75,$D$63,$D$64,$D$65,$D$66,$D$67,$D$68,$D$69,$D$70,$D$71,$D$72,$D$73,$D$74,$D$75,$C$56,$C$57,$C$58,$C$59,$C$60),"")</f>
        <v>335058.41505572048</v>
      </c>
      <c r="X59" s="255">
        <f ca="1">IF(NOW(),_xll.mirSwapPV($C$51,$C$52,$C$54,$G59,$C$55,$I59+X$51,$C$64,$C$65,$C$66,$C$67,$C$68,$C$69,$C$70,$C$74,$C$75,$D$63,$D$64,$D$65,$D$66,$D$67,$D$68,$D$69,$D$70,$D$71,$D$72,$D$73,$D$74,$D$75,$C$56,$C$57,$C$58,$C$59,$C$60),"")</f>
        <v>418823.01881965064</v>
      </c>
      <c r="Y59" s="230" t="s">
        <v>12</v>
      </c>
      <c r="Z59" s="224" t="s">
        <v>113</v>
      </c>
      <c r="AA59" s="227">
        <f>_xll.mirGetDate($C$6,Z59)</f>
        <v>45486</v>
      </c>
      <c r="AB59" s="260">
        <f t="shared" si="15"/>
        <v>2.197E-2</v>
      </c>
      <c r="AC59" s="229">
        <f ca="1">IF(NOW(),_xll.mirGetParRate4($C$54,$AA59,$C$55,$C$64,$C$65,$C$66,$C$67,$C$68,$C$69,$C$70,$C$74,$C$75,$D$64,$D$65,$D$66,$D$67,$D$68,$D$69,$D$70,$D$71,$D$72,$D$73,$D$74,$D$75,$C$56,$C$57,$C$58,$D$59,$C$60),"")</f>
        <v>2.1979552735257774E-2</v>
      </c>
      <c r="AD59" s="229">
        <f t="shared" ca="1" si="12"/>
        <v>9.5527352577742808E-6</v>
      </c>
      <c r="AE59" s="230">
        <f t="shared" ca="1" si="13"/>
        <v>9.5527352577742808E-2</v>
      </c>
      <c r="AG59" s="224" t="s">
        <v>113</v>
      </c>
      <c r="AH59" s="255">
        <f ca="1">IF(NOW(),_xll.mirSwapPV($C$51,$C$52,$C$54,$AA59,$C$55,$AC59+AH$51,$C$64,$C$65,$C$66,$C$67,$C$68,$C$69,$C$70,$C$74,$C$75,$D$63,$D$64,$D$65,$D$66,$D$67,$D$68,$D$69,$D$70,$D$71,$D$72,$D$73,$D$74,$D$75,$C$56,$C$57,$C$58,$D$59,$C$60),"")</f>
        <v>-418823.01881965069</v>
      </c>
      <c r="AI59" s="255">
        <f ca="1">IF(NOW(),_xll.mirSwapPV($C$51,$C$52,$C$54,$AA59,$C$55,$AC59+AI$51,$C$64,$C$65,$C$66,$C$67,$C$68,$C$69,$C$70,$C$74,$C$75,$D$63,$D$64,$D$65,$D$66,$D$67,$D$68,$D$69,$D$70,$D$71,$D$72,$D$73,$D$74,$D$75,$C$56,$C$57,$C$58,$D$59,$C$60),"")</f>
        <v>-335058.41505572054</v>
      </c>
      <c r="AJ59" s="255">
        <f ca="1">IF(NOW(),_xll.mirSwapPV($C$51,$C$52,$C$54,$AA59,$C$55,$AC59+AJ$51,$C$64,$C$65,$C$66,$C$67,$C$68,$C$69,$C$70,$C$74,$C$75,$D$63,$D$64,$D$65,$D$66,$D$67,$D$68,$D$69,$D$70,$D$71,$D$72,$D$73,$D$74,$D$75,$C$56,$C$57,$C$58,$D$59,$C$60),"")</f>
        <v>-251293.81129179039</v>
      </c>
      <c r="AK59" s="255">
        <f ca="1">IF(NOW(),_xll.mirSwapPV($C$51,$C$52,$C$54,$AA59,$C$55,$AC59+AK$51,$C$64,$C$65,$C$66,$C$67,$C$68,$C$69,$C$70,$C$74,$C$75,$D$63,$D$64,$D$65,$D$66,$D$67,$D$68,$D$69,$D$70,$D$71,$D$72,$D$73,$D$74,$D$75,$C$56,$C$57,$C$58,$D$59,$C$60),"")</f>
        <v>-167529.20752786024</v>
      </c>
      <c r="AL59" s="255">
        <f ca="1">IF(NOW(),_xll.mirSwapPV($C$51,$C$52,$C$54,$AA59,$C$55,$AC59+AL$51,$C$64,$C$65,$C$66,$C$67,$C$68,$C$69,$C$70,$C$74,$C$75,$D$63,$D$64,$D$65,$D$66,$D$67,$D$68,$D$69,$D$70,$D$71,$D$72,$D$73,$D$74,$D$75,$C$56,$C$57,$C$58,$D$59,$C$60),"")</f>
        <v>-83764.603763930107</v>
      </c>
      <c r="AM59" s="255">
        <f ca="1">IF(NOW(),_xll.mirSwapPV($C$51,$C$52,$C$54,$AA59,$C$55,$AC59+AM$51,$C$64,$C$65,$C$66,$C$67,$C$68,$C$69,$C$70,$C$74,$C$75,$D$63,$D$64,$D$65,$D$66,$D$67,$D$68,$D$69,$D$70,$D$71,$D$72,$D$73,$D$74,$D$75,$C$56,$C$57,$C$58,$D$59,$C$60),"")</f>
        <v>0</v>
      </c>
      <c r="AN59" s="255">
        <f ca="1">IF(NOW(),_xll.mirSwapPV($C$51,$C$52,$C$54,$AA59,$C$55,$AC59+AN$51,$C$64,$C$65,$C$66,$C$67,$C$68,$C$69,$C$70,$C$74,$C$75,$D$63,$D$64,$D$65,$D$66,$D$67,$D$68,$D$69,$D$70,$D$71,$D$72,$D$73,$D$74,$D$75,$C$56,$C$57,$C$58,$D$59,$C$60),"")</f>
        <v>83764.603763930078</v>
      </c>
      <c r="AO59" s="255">
        <f ca="1">IF(NOW(),_xll.mirSwapPV($C$51,$C$52,$C$54,$AA59,$C$55,$AC59+AO$51,$C$64,$C$65,$C$66,$C$67,$C$68,$C$69,$C$70,$C$74,$C$75,$D$63,$D$64,$D$65,$D$66,$D$67,$D$68,$D$69,$D$70,$D$71,$D$72,$D$73,$D$74,$D$75,$C$56,$C$57,$C$58,$D$59,$C$60),"")</f>
        <v>167529.20752786027</v>
      </c>
      <c r="AP59" s="255">
        <f ca="1">IF(NOW(),_xll.mirSwapPV($C$51,$C$52,$C$54,$AA59,$C$55,$AC59+AP$51,$C$64,$C$65,$C$66,$C$67,$C$68,$C$69,$C$70,$C$74,$C$75,$D$63,$D$64,$D$65,$D$66,$D$67,$D$68,$D$69,$D$70,$D$71,$D$72,$D$73,$D$74,$D$75,$C$56,$C$57,$C$58,$D$59,$C$60),"")</f>
        <v>251293.81129179033</v>
      </c>
      <c r="AQ59" s="255">
        <f ca="1">IF(NOW(),_xll.mirSwapPV($C$51,$C$52,$C$54,$AA59,$C$55,$AC59+AQ$51,$C$64,$C$65,$C$66,$C$67,$C$68,$C$69,$C$70,$C$74,$C$75,$D$63,$D$64,$D$65,$D$66,$D$67,$D$68,$D$69,$D$70,$D$71,$D$72,$D$73,$D$74,$D$75,$C$56,$C$57,$C$58,$D$59,$C$60),"")</f>
        <v>335058.41505572054</v>
      </c>
      <c r="AR59" s="255">
        <f ca="1">IF(NOW(),_xll.mirSwapPV($C$51,$C$52,$C$54,$AA59,$C$55,$AC59+AR$51,$C$64,$C$65,$C$66,$C$67,$C$68,$C$69,$C$70,$C$74,$C$75,$D$63,$D$64,$D$65,$D$66,$D$67,$D$68,$D$69,$D$70,$D$71,$D$72,$D$73,$D$74,$D$75,$C$56,$C$57,$C$58,$D$59,$C$60),"")</f>
        <v>418823.01881965058</v>
      </c>
    </row>
    <row r="60" spans="2:44">
      <c r="B60" s="225" t="s">
        <v>438</v>
      </c>
      <c r="C60" s="237" t="b">
        <v>1</v>
      </c>
      <c r="D60" s="237"/>
      <c r="F60" s="224" t="s">
        <v>28</v>
      </c>
      <c r="G60" s="227">
        <f>_xll.mirGetDate($C$6,F60)</f>
        <v>45851</v>
      </c>
      <c r="H60" s="260">
        <f t="shared" si="14"/>
        <v>2.2620000000000001E-2</v>
      </c>
      <c r="I60" s="229">
        <f ca="1">IF(NOW(),_xll.mirGetParRate4($C$54,$G60,$C$55,$C$64,$C$65,$C$66,$C$67,$C$68,$C$69,$C$70,$C$74,$C$75,$D$64,$D$65,$D$66,$D$67,$D$68,$D$69,$D$70,$D$71,$D$72,$D$73,$D$74,$D$75,$C$56,$C$57,$C$58,$C$59,$C$60),"")</f>
        <v>2.2629082572955008E-2</v>
      </c>
      <c r="J60" s="229">
        <f t="shared" ca="1" si="10"/>
        <v>9.0825729550068901E-6</v>
      </c>
      <c r="K60" s="230">
        <f t="shared" ca="1" si="11"/>
        <v>9.0825729550068901E-2</v>
      </c>
      <c r="L60" s="230" t="s">
        <v>12</v>
      </c>
      <c r="M60" s="224" t="s">
        <v>28</v>
      </c>
      <c r="N60" s="255">
        <f ca="1">IF(NOW(),_xll.mirSwapPV($C$51,$C$52,$C$54,$G60,$C$55,$I60+N$51,$C$64,$C$65,$C$66,$C$67,$C$68,$C$69,$C$70,$C$74,$C$75,$D$63,$D$64,$D$65,$D$66,$D$67,$D$68,$D$69,$D$70,$D$71,$D$72,$D$73,$D$74,$D$75,$C$56,$C$57,$C$58,$C$59,$C$60),"")</f>
        <v>-460063.14960164647</v>
      </c>
      <c r="O60" s="255">
        <f ca="1">IF(NOW(),_xll.mirSwapPV($C$51,$C$52,$C$54,$G60,$C$55,$I60+O$51,$C$64,$C$65,$C$66,$C$67,$C$68,$C$69,$C$70,$C$74,$C$75,$D$63,$D$64,$D$65,$D$66,$D$67,$D$68,$D$69,$D$70,$D$71,$D$72,$D$73,$D$74,$D$75,$C$56,$C$57,$C$58,$C$59,$C$60),"")</f>
        <v>-368050.51968131715</v>
      </c>
      <c r="P60" s="255">
        <f ca="1">IF(NOW(),_xll.mirSwapPV($C$51,$C$52,$C$54,$G60,$C$55,$I60+P$51,$C$64,$C$65,$C$66,$C$67,$C$68,$C$69,$C$70,$C$74,$C$75,$D$63,$D$64,$D$65,$D$66,$D$67,$D$68,$D$69,$D$70,$D$71,$D$72,$D$73,$D$74,$D$75,$C$56,$C$57,$C$58,$C$59,$C$60),"")</f>
        <v>-276037.88976098789</v>
      </c>
      <c r="Q60" s="255">
        <f ca="1">IF(NOW(),_xll.mirSwapPV($C$51,$C$52,$C$54,$G60,$C$55,$I60+Q$51,$C$64,$C$65,$C$66,$C$67,$C$68,$C$69,$C$70,$C$74,$C$75,$D$63,$D$64,$D$65,$D$66,$D$67,$D$68,$D$69,$D$70,$D$71,$D$72,$D$73,$D$74,$D$75,$C$56,$C$57,$C$58,$C$59,$C$60),"")</f>
        <v>-184025.25984065855</v>
      </c>
      <c r="R60" s="255">
        <f ca="1">IF(NOW(),_xll.mirSwapPV($C$51,$C$52,$C$54,$G60,$C$55,$I60+R$51,$C$64,$C$65,$C$66,$C$67,$C$68,$C$69,$C$70,$C$74,$C$75,$D$63,$D$64,$D$65,$D$66,$D$67,$D$68,$D$69,$D$70,$D$71,$D$72,$D$73,$D$74,$D$75,$C$56,$C$57,$C$58,$C$59,$C$60),"")</f>
        <v>-92012.629920329244</v>
      </c>
      <c r="S60" s="255">
        <f ca="1">IF(NOW(),_xll.mirSwapPV($C$51,$C$52,$C$54,$G60,$C$55,$I60+S$51,$C$64,$C$65,$C$66,$C$67,$C$68,$C$69,$C$70,$C$74,$C$75,$D$63,$D$64,$D$65,$D$66,$D$67,$D$68,$D$69,$D$70,$D$71,$D$72,$D$73,$D$74,$D$75,$C$56,$C$57,$C$58,$C$59,$C$60),"")</f>
        <v>0</v>
      </c>
      <c r="T60" s="255">
        <f ca="1">IF(NOW(),_xll.mirSwapPV($C$51,$C$52,$C$54,$G60,$C$55,$I60+T$51,$C$64,$C$65,$C$66,$C$67,$C$68,$C$69,$C$70,$C$74,$C$75,$D$63,$D$64,$D$65,$D$66,$D$67,$D$68,$D$69,$D$70,$D$71,$D$72,$D$73,$D$74,$D$75,$C$56,$C$57,$C$58,$C$59,$C$60),"")</f>
        <v>92012.629920329273</v>
      </c>
      <c r="U60" s="255">
        <f ca="1">IF(NOW(),_xll.mirSwapPV($C$51,$C$52,$C$54,$G60,$C$55,$I60+U$51,$C$64,$C$65,$C$66,$C$67,$C$68,$C$69,$C$70,$C$74,$C$75,$D$63,$D$64,$D$65,$D$66,$D$67,$D$68,$D$69,$D$70,$D$71,$D$72,$D$73,$D$74,$D$75,$C$56,$C$57,$C$58,$C$59,$C$60),"")</f>
        <v>184025.2598406586</v>
      </c>
      <c r="V60" s="255">
        <f ca="1">IF(NOW(),_xll.mirSwapPV($C$51,$C$52,$C$54,$G60,$C$55,$I60+V$51,$C$64,$C$65,$C$66,$C$67,$C$68,$C$69,$C$70,$C$74,$C$75,$D$63,$D$64,$D$65,$D$66,$D$67,$D$68,$D$69,$D$70,$D$71,$D$72,$D$73,$D$74,$D$75,$C$56,$C$57,$C$58,$C$59,$C$60),"")</f>
        <v>276037.88976098789</v>
      </c>
      <c r="W60" s="255">
        <f ca="1">IF(NOW(),_xll.mirSwapPV($C$51,$C$52,$C$54,$G60,$C$55,$I60+W$51,$C$64,$C$65,$C$66,$C$67,$C$68,$C$69,$C$70,$C$74,$C$75,$D$63,$D$64,$D$65,$D$66,$D$67,$D$68,$D$69,$D$70,$D$71,$D$72,$D$73,$D$74,$D$75,$C$56,$C$57,$C$58,$C$59,$C$60),"")</f>
        <v>368050.51968131715</v>
      </c>
      <c r="X60" s="255">
        <f ca="1">IF(NOW(),_xll.mirSwapPV($C$51,$C$52,$C$54,$G60,$C$55,$I60+X$51,$C$64,$C$65,$C$66,$C$67,$C$68,$C$69,$C$70,$C$74,$C$75,$D$63,$D$64,$D$65,$D$66,$D$67,$D$68,$D$69,$D$70,$D$71,$D$72,$D$73,$D$74,$D$75,$C$56,$C$57,$C$58,$C$59,$C$60),"")</f>
        <v>460063.14960164647</v>
      </c>
      <c r="Y60" s="230" t="s">
        <v>12</v>
      </c>
      <c r="Z60" s="224" t="s">
        <v>28</v>
      </c>
      <c r="AA60" s="227">
        <f>_xll.mirGetDate($C$6,Z60)</f>
        <v>45851</v>
      </c>
      <c r="AB60" s="260">
        <f t="shared" si="15"/>
        <v>2.2620000000000001E-2</v>
      </c>
      <c r="AC60" s="229">
        <f ca="1">IF(NOW(),_xll.mirGetParRate4($C$54,$AA60,$C$55,$C$64,$C$65,$C$66,$C$67,$C$68,$C$69,$C$70,$C$74,$C$75,$D$64,$D$65,$D$66,$D$67,$D$68,$D$69,$D$70,$D$71,$D$72,$D$73,$D$74,$D$75,$C$56,$C$57,$C$58,$D$59,$C$60),"")</f>
        <v>2.2629082572955012E-2</v>
      </c>
      <c r="AD60" s="229">
        <f t="shared" ca="1" si="12"/>
        <v>9.0825729550103595E-6</v>
      </c>
      <c r="AE60" s="230">
        <f t="shared" ca="1" si="13"/>
        <v>9.0825729550103595E-2</v>
      </c>
      <c r="AG60" s="224" t="s">
        <v>28</v>
      </c>
      <c r="AH60" s="255">
        <f ca="1">IF(NOW(),_xll.mirSwapPV($C$51,$C$52,$C$54,$AA60,$C$55,$AC60+AH$51,$C$64,$C$65,$C$66,$C$67,$C$68,$C$69,$C$70,$C$74,$C$75,$D$63,$D$64,$D$65,$D$66,$D$67,$D$68,$D$69,$D$70,$D$71,$D$72,$D$73,$D$74,$D$75,$C$56,$C$57,$C$58,$D$59,$C$60),"")</f>
        <v>-460063.14960164641</v>
      </c>
      <c r="AI60" s="255">
        <f ca="1">IF(NOW(),_xll.mirSwapPV($C$51,$C$52,$C$54,$AA60,$C$55,$AC60+AI$51,$C$64,$C$65,$C$66,$C$67,$C$68,$C$69,$C$70,$C$74,$C$75,$D$63,$D$64,$D$65,$D$66,$D$67,$D$68,$D$69,$D$70,$D$71,$D$72,$D$73,$D$74,$D$75,$C$56,$C$57,$C$58,$D$59,$C$60),"")</f>
        <v>-368050.51968131715</v>
      </c>
      <c r="AJ60" s="255">
        <f ca="1">IF(NOW(),_xll.mirSwapPV($C$51,$C$52,$C$54,$AA60,$C$55,$AC60+AJ$51,$C$64,$C$65,$C$66,$C$67,$C$68,$C$69,$C$70,$C$74,$C$75,$D$63,$D$64,$D$65,$D$66,$D$67,$D$68,$D$69,$D$70,$D$71,$D$72,$D$73,$D$74,$D$75,$C$56,$C$57,$C$58,$D$59,$C$60),"")</f>
        <v>-276037.88976098789</v>
      </c>
      <c r="AK60" s="255">
        <f ca="1">IF(NOW(),_xll.mirSwapPV($C$51,$C$52,$C$54,$AA60,$C$55,$AC60+AK$51,$C$64,$C$65,$C$66,$C$67,$C$68,$C$69,$C$70,$C$74,$C$75,$D$63,$D$64,$D$65,$D$66,$D$67,$D$68,$D$69,$D$70,$D$71,$D$72,$D$73,$D$74,$D$75,$C$56,$C$57,$C$58,$D$59,$C$60),"")</f>
        <v>-184025.25984065855</v>
      </c>
      <c r="AL60" s="255">
        <f ca="1">IF(NOW(),_xll.mirSwapPV($C$51,$C$52,$C$54,$AA60,$C$55,$AC60+AL$51,$C$64,$C$65,$C$66,$C$67,$C$68,$C$69,$C$70,$C$74,$C$75,$D$63,$D$64,$D$65,$D$66,$D$67,$D$68,$D$69,$D$70,$D$71,$D$72,$D$73,$D$74,$D$75,$C$56,$C$57,$C$58,$D$59,$C$60),"")</f>
        <v>-92012.629920329244</v>
      </c>
      <c r="AM60" s="255">
        <f ca="1">IF(NOW(),_xll.mirSwapPV($C$51,$C$52,$C$54,$AA60,$C$55,$AC60+AM$51,$C$64,$C$65,$C$66,$C$67,$C$68,$C$69,$C$70,$C$74,$C$75,$D$63,$D$64,$D$65,$D$66,$D$67,$D$68,$D$69,$D$70,$D$71,$D$72,$D$73,$D$74,$D$75,$C$56,$C$57,$C$58,$D$59,$C$60),"")</f>
        <v>0</v>
      </c>
      <c r="AN60" s="255">
        <f ca="1">IF(NOW(),_xll.mirSwapPV($C$51,$C$52,$C$54,$AA60,$C$55,$AC60+AN$51,$C$64,$C$65,$C$66,$C$67,$C$68,$C$69,$C$70,$C$74,$C$75,$D$63,$D$64,$D$65,$D$66,$D$67,$D$68,$D$69,$D$70,$D$71,$D$72,$D$73,$D$74,$D$75,$C$56,$C$57,$C$58,$D$59,$C$60),"")</f>
        <v>92012.629920329302</v>
      </c>
      <c r="AO60" s="255">
        <f ca="1">IF(NOW(),_xll.mirSwapPV($C$51,$C$52,$C$54,$AA60,$C$55,$AC60+AO$51,$C$64,$C$65,$C$66,$C$67,$C$68,$C$69,$C$70,$C$74,$C$75,$D$63,$D$64,$D$65,$D$66,$D$67,$D$68,$D$69,$D$70,$D$71,$D$72,$D$73,$D$74,$D$75,$C$56,$C$57,$C$58,$D$59,$C$60),"")</f>
        <v>184025.25984065863</v>
      </c>
      <c r="AP60" s="255">
        <f ca="1">IF(NOW(),_xll.mirSwapPV($C$51,$C$52,$C$54,$AA60,$C$55,$AC60+AP$51,$C$64,$C$65,$C$66,$C$67,$C$68,$C$69,$C$70,$C$74,$C$75,$D$63,$D$64,$D$65,$D$66,$D$67,$D$68,$D$69,$D$70,$D$71,$D$72,$D$73,$D$74,$D$75,$C$56,$C$57,$C$58,$D$59,$C$60),"")</f>
        <v>276037.88976098789</v>
      </c>
      <c r="AQ60" s="255">
        <f ca="1">IF(NOW(),_xll.mirSwapPV($C$51,$C$52,$C$54,$AA60,$C$55,$AC60+AQ$51,$C$64,$C$65,$C$66,$C$67,$C$68,$C$69,$C$70,$C$74,$C$75,$D$63,$D$64,$D$65,$D$66,$D$67,$D$68,$D$69,$D$70,$D$71,$D$72,$D$73,$D$74,$D$75,$C$56,$C$57,$C$58,$D$59,$C$60),"")</f>
        <v>368050.51968131721</v>
      </c>
      <c r="AR60" s="255">
        <f ca="1">IF(NOW(),_xll.mirSwapPV($C$51,$C$52,$C$54,$AA60,$C$55,$AC60+AR$51,$C$64,$C$65,$C$66,$C$67,$C$68,$C$69,$C$70,$C$74,$C$75,$D$63,$D$64,$D$65,$D$66,$D$67,$D$68,$D$69,$D$70,$D$71,$D$72,$D$73,$D$74,$D$75,$C$56,$C$57,$C$58,$D$59,$C$60),"")</f>
        <v>460063.14960164641</v>
      </c>
    </row>
    <row r="61" spans="2:44">
      <c r="F61" s="224" t="s">
        <v>26</v>
      </c>
      <c r="G61" s="227">
        <f>_xll.mirGetDate($C$6,F61)</f>
        <v>46581</v>
      </c>
      <c r="H61" s="260">
        <f t="shared" si="14"/>
        <v>2.3620000000000002E-2</v>
      </c>
      <c r="I61" s="229">
        <f ca="1">IF(NOW(),_xll.mirGetParRate4($C$54,$G61,$C$55,$C$64,$C$65,$C$66,$C$67,$C$68,$C$69,$C$70,$C$74,$C$75,$D$64,$D$65,$D$66,$D$67,$D$68,$D$69,$D$70,$D$71,$D$72,$D$73,$D$74,$D$75,$C$56,$C$57,$C$58,$C$59,$C$60),"")</f>
        <v>2.3628253379929614E-2</v>
      </c>
      <c r="J61" s="229">
        <f t="shared" ca="1" si="10"/>
        <v>8.2533799296118093E-6</v>
      </c>
      <c r="K61" s="230">
        <f t="shared" ca="1" si="11"/>
        <v>8.2533799296118093E-2</v>
      </c>
      <c r="L61" s="230" t="s">
        <v>12</v>
      </c>
      <c r="M61" s="224" t="s">
        <v>26</v>
      </c>
      <c r="N61" s="255">
        <f ca="1">IF(NOW(),_xll.mirSwapPV($C$51,$C$52,$C$54,$G61,$C$55,$I61+N$51,$C$64,$C$65,$C$66,$C$67,$C$68,$C$69,$C$70,$C$74,$C$75,$D$63,$D$64,$D$65,$D$66,$D$67,$D$68,$D$69,$D$70,$D$71,$D$72,$D$73,$D$74,$D$75,$C$56,$C$57,$C$58,$C$59,$C$60),"")</f>
        <v>-539399.29946624546</v>
      </c>
      <c r="O61" s="255">
        <f ca="1">IF(NOW(),_xll.mirSwapPV($C$51,$C$52,$C$54,$G61,$C$55,$I61+O$51,$C$64,$C$65,$C$66,$C$67,$C$68,$C$69,$C$70,$C$74,$C$75,$D$63,$D$64,$D$65,$D$66,$D$67,$D$68,$D$69,$D$70,$D$71,$D$72,$D$73,$D$74,$D$75,$C$56,$C$57,$C$58,$C$59,$C$60),"")</f>
        <v>-431519.43957299634</v>
      </c>
      <c r="P61" s="255">
        <f ca="1">IF(NOW(),_xll.mirSwapPV($C$51,$C$52,$C$54,$G61,$C$55,$I61+P$51,$C$64,$C$65,$C$66,$C$67,$C$68,$C$69,$C$70,$C$74,$C$75,$D$63,$D$64,$D$65,$D$66,$D$67,$D$68,$D$69,$D$70,$D$71,$D$72,$D$73,$D$74,$D$75,$C$56,$C$57,$C$58,$C$59,$C$60),"")</f>
        <v>-323639.57967974723</v>
      </c>
      <c r="Q61" s="255">
        <f ca="1">IF(NOW(),_xll.mirSwapPV($C$51,$C$52,$C$54,$G61,$C$55,$I61+Q$51,$C$64,$C$65,$C$66,$C$67,$C$68,$C$69,$C$70,$C$74,$C$75,$D$63,$D$64,$D$65,$D$66,$D$67,$D$68,$D$69,$D$70,$D$71,$D$72,$D$73,$D$74,$D$75,$C$56,$C$57,$C$58,$C$59,$C$60),"")</f>
        <v>-215759.71978649814</v>
      </c>
      <c r="R61" s="255">
        <f ca="1">IF(NOW(),_xll.mirSwapPV($C$51,$C$52,$C$54,$G61,$C$55,$I61+R$51,$C$64,$C$65,$C$66,$C$67,$C$68,$C$69,$C$70,$C$74,$C$75,$D$63,$D$64,$D$65,$D$66,$D$67,$D$68,$D$69,$D$70,$D$71,$D$72,$D$73,$D$74,$D$75,$C$56,$C$57,$C$58,$C$59,$C$60),"")</f>
        <v>-107879.85989324906</v>
      </c>
      <c r="S61" s="255">
        <f ca="1">IF(NOW(),_xll.mirSwapPV($C$51,$C$52,$C$54,$G61,$C$55,$I61+S$51,$C$64,$C$65,$C$66,$C$67,$C$68,$C$69,$C$70,$C$74,$C$75,$D$63,$D$64,$D$65,$D$66,$D$67,$D$68,$D$69,$D$70,$D$71,$D$72,$D$73,$D$74,$D$75,$C$56,$C$57,$C$58,$C$59,$C$60),"")</f>
        <v>0</v>
      </c>
      <c r="T61" s="255">
        <f ca="1">IF(NOW(),_xll.mirSwapPV($C$51,$C$52,$C$54,$G61,$C$55,$I61+T$51,$C$64,$C$65,$C$66,$C$67,$C$68,$C$69,$C$70,$C$74,$C$75,$D$63,$D$64,$D$65,$D$66,$D$67,$D$68,$D$69,$D$70,$D$71,$D$72,$D$73,$D$74,$D$75,$C$56,$C$57,$C$58,$C$59,$C$60),"")</f>
        <v>107879.85989324906</v>
      </c>
      <c r="U61" s="255">
        <f ca="1">IF(NOW(),_xll.mirSwapPV($C$51,$C$52,$C$54,$G61,$C$55,$I61+U$51,$C$64,$C$65,$C$66,$C$67,$C$68,$C$69,$C$70,$C$74,$C$75,$D$63,$D$64,$D$65,$D$66,$D$67,$D$68,$D$69,$D$70,$D$71,$D$72,$D$73,$D$74,$D$75,$C$56,$C$57,$C$58,$C$59,$C$60),"")</f>
        <v>215759.71978649817</v>
      </c>
      <c r="V61" s="255">
        <f ca="1">IF(NOW(),_xll.mirSwapPV($C$51,$C$52,$C$54,$G61,$C$55,$I61+V$51,$C$64,$C$65,$C$66,$C$67,$C$68,$C$69,$C$70,$C$74,$C$75,$D$63,$D$64,$D$65,$D$66,$D$67,$D$68,$D$69,$D$70,$D$71,$D$72,$D$73,$D$74,$D$75,$C$56,$C$57,$C$58,$C$59,$C$60),"")</f>
        <v>323639.57967974729</v>
      </c>
      <c r="W61" s="255">
        <f ca="1">IF(NOW(),_xll.mirSwapPV($C$51,$C$52,$C$54,$G61,$C$55,$I61+W$51,$C$64,$C$65,$C$66,$C$67,$C$68,$C$69,$C$70,$C$74,$C$75,$D$63,$D$64,$D$65,$D$66,$D$67,$D$68,$D$69,$D$70,$D$71,$D$72,$D$73,$D$74,$D$75,$C$56,$C$57,$C$58,$C$59,$C$60),"")</f>
        <v>431519.43957299629</v>
      </c>
      <c r="X61" s="255">
        <f ca="1">IF(NOW(),_xll.mirSwapPV($C$51,$C$52,$C$54,$G61,$C$55,$I61+X$51,$C$64,$C$65,$C$66,$C$67,$C$68,$C$69,$C$70,$C$74,$C$75,$D$63,$D$64,$D$65,$D$66,$D$67,$D$68,$D$69,$D$70,$D$71,$D$72,$D$73,$D$74,$D$75,$C$56,$C$57,$C$58,$C$59,$C$60),"")</f>
        <v>539399.29946624534</v>
      </c>
      <c r="Y61" s="230" t="s">
        <v>12</v>
      </c>
      <c r="Z61" s="224" t="s">
        <v>26</v>
      </c>
      <c r="AA61" s="227">
        <f>_xll.mirGetDate($C$6,Z61)</f>
        <v>46581</v>
      </c>
      <c r="AB61" s="260">
        <f t="shared" si="15"/>
        <v>2.3620000000000002E-2</v>
      </c>
      <c r="AC61" s="229">
        <f ca="1">IF(NOW(),_xll.mirGetParRate4($C$54,$AA61,$C$55,$C$64,$C$65,$C$66,$C$67,$C$68,$C$69,$C$70,$C$74,$C$75,$D$64,$D$65,$D$66,$D$67,$D$68,$D$69,$D$70,$D$71,$D$72,$D$73,$D$74,$D$75,$C$56,$C$57,$C$58,$D$59,$C$60),"")</f>
        <v>2.3628253379929621E-2</v>
      </c>
      <c r="AD61" s="229">
        <f t="shared" ca="1" si="12"/>
        <v>8.2533799296187482E-6</v>
      </c>
      <c r="AE61" s="230">
        <f t="shared" ca="1" si="13"/>
        <v>8.2533799296187482E-2</v>
      </c>
      <c r="AG61" s="224" t="s">
        <v>26</v>
      </c>
      <c r="AH61" s="255">
        <f ca="1">IF(NOW(),_xll.mirSwapPV($C$51,$C$52,$C$54,$AA61,$C$55,$AC61+AH$51,$C$64,$C$65,$C$66,$C$67,$C$68,$C$69,$C$70,$C$74,$C$75,$D$63,$D$64,$D$65,$D$66,$D$67,$D$68,$D$69,$D$70,$D$71,$D$72,$D$73,$D$74,$D$75,$C$56,$C$57,$C$58,$D$59,$C$60),"")</f>
        <v>-539399.29946624534</v>
      </c>
      <c r="AI61" s="255">
        <f ca="1">IF(NOW(),_xll.mirSwapPV($C$51,$C$52,$C$54,$AA61,$C$55,$AC61+AI$51,$C$64,$C$65,$C$66,$C$67,$C$68,$C$69,$C$70,$C$74,$C$75,$D$63,$D$64,$D$65,$D$66,$D$67,$D$68,$D$69,$D$70,$D$71,$D$72,$D$73,$D$74,$D$75,$C$56,$C$57,$C$58,$D$59,$C$60),"")</f>
        <v>-431519.43957299634</v>
      </c>
      <c r="AJ61" s="255">
        <f ca="1">IF(NOW(),_xll.mirSwapPV($C$51,$C$52,$C$54,$AA61,$C$55,$AC61+AJ$51,$C$64,$C$65,$C$66,$C$67,$C$68,$C$69,$C$70,$C$74,$C$75,$D$63,$D$64,$D$65,$D$66,$D$67,$D$68,$D$69,$D$70,$D$71,$D$72,$D$73,$D$74,$D$75,$C$56,$C$57,$C$58,$D$59,$C$60),"")</f>
        <v>-323639.57967974723</v>
      </c>
      <c r="AK61" s="255">
        <f ca="1">IF(NOW(),_xll.mirSwapPV($C$51,$C$52,$C$54,$AA61,$C$55,$AC61+AK$51,$C$64,$C$65,$C$66,$C$67,$C$68,$C$69,$C$70,$C$74,$C$75,$D$63,$D$64,$D$65,$D$66,$D$67,$D$68,$D$69,$D$70,$D$71,$D$72,$D$73,$D$74,$D$75,$C$56,$C$57,$C$58,$D$59,$C$60),"")</f>
        <v>-215759.71978649811</v>
      </c>
      <c r="AL61" s="255">
        <f ca="1">IF(NOW(),_xll.mirSwapPV($C$51,$C$52,$C$54,$AA61,$C$55,$AC61+AL$51,$C$64,$C$65,$C$66,$C$67,$C$68,$C$69,$C$70,$C$74,$C$75,$D$63,$D$64,$D$65,$D$66,$D$67,$D$68,$D$69,$D$70,$D$71,$D$72,$D$73,$D$74,$D$75,$C$56,$C$57,$C$58,$D$59,$C$60),"")</f>
        <v>-107879.85989324903</v>
      </c>
      <c r="AM61" s="255">
        <f ca="1">IF(NOW(),_xll.mirSwapPV($C$51,$C$52,$C$54,$AA61,$C$55,$AC61+AM$51,$C$64,$C$65,$C$66,$C$67,$C$68,$C$69,$C$70,$C$74,$C$75,$D$63,$D$64,$D$65,$D$66,$D$67,$D$68,$D$69,$D$70,$D$71,$D$72,$D$73,$D$74,$D$75,$C$56,$C$57,$C$58,$D$59,$C$60),"")</f>
        <v>0</v>
      </c>
      <c r="AN61" s="255">
        <f ca="1">IF(NOW(),_xll.mirSwapPV($C$51,$C$52,$C$54,$AA61,$C$55,$AC61+AN$51,$C$64,$C$65,$C$66,$C$67,$C$68,$C$69,$C$70,$C$74,$C$75,$D$63,$D$64,$D$65,$D$66,$D$67,$D$68,$D$69,$D$70,$D$71,$D$72,$D$73,$D$74,$D$75,$C$56,$C$57,$C$58,$D$59,$C$60),"")</f>
        <v>107879.85989324906</v>
      </c>
      <c r="AO61" s="255">
        <f ca="1">IF(NOW(),_xll.mirSwapPV($C$51,$C$52,$C$54,$AA61,$C$55,$AC61+AO$51,$C$64,$C$65,$C$66,$C$67,$C$68,$C$69,$C$70,$C$74,$C$75,$D$63,$D$64,$D$65,$D$66,$D$67,$D$68,$D$69,$D$70,$D$71,$D$72,$D$73,$D$74,$D$75,$C$56,$C$57,$C$58,$D$59,$C$60),"")</f>
        <v>215759.71978649817</v>
      </c>
      <c r="AP61" s="255">
        <f ca="1">IF(NOW(),_xll.mirSwapPV($C$51,$C$52,$C$54,$AA61,$C$55,$AC61+AP$51,$C$64,$C$65,$C$66,$C$67,$C$68,$C$69,$C$70,$C$74,$C$75,$D$63,$D$64,$D$65,$D$66,$D$67,$D$68,$D$69,$D$70,$D$71,$D$72,$D$73,$D$74,$D$75,$C$56,$C$57,$C$58,$D$59,$C$60),"")</f>
        <v>323639.57967974723</v>
      </c>
      <c r="AQ61" s="255">
        <f ca="1">IF(NOW(),_xll.mirSwapPV($C$51,$C$52,$C$54,$AA61,$C$55,$AC61+AQ$51,$C$64,$C$65,$C$66,$C$67,$C$68,$C$69,$C$70,$C$74,$C$75,$D$63,$D$64,$D$65,$D$66,$D$67,$D$68,$D$69,$D$70,$D$71,$D$72,$D$73,$D$74,$D$75,$C$56,$C$57,$C$58,$D$59,$C$60),"")</f>
        <v>431519.43957299634</v>
      </c>
      <c r="AR61" s="255">
        <f ca="1">IF(NOW(),_xll.mirSwapPV($C$51,$C$52,$C$54,$AA61,$C$55,$AC61+AR$51,$C$64,$C$65,$C$66,$C$67,$C$68,$C$69,$C$70,$C$74,$C$75,$D$63,$D$64,$D$65,$D$66,$D$67,$D$68,$D$69,$D$70,$D$71,$D$72,$D$73,$D$74,$D$75,$C$56,$C$57,$C$58,$D$59,$C$60),"")</f>
        <v>539399.29946624534</v>
      </c>
    </row>
    <row r="62" spans="2:44">
      <c r="B62" t="s">
        <v>439</v>
      </c>
      <c r="C62" s="112" t="s">
        <v>440</v>
      </c>
      <c r="D62" s="112" t="s">
        <v>441</v>
      </c>
      <c r="F62" s="224" t="s">
        <v>24</v>
      </c>
      <c r="G62" s="227">
        <f>_xll.mirGetDate($C$6,F62)</f>
        <v>47677</v>
      </c>
      <c r="H62" s="260">
        <f t="shared" si="14"/>
        <v>2.4550000000000002E-2</v>
      </c>
      <c r="I62" s="229">
        <f ca="1">IF(NOW(),_xll.mirGetParRate4($C$54,$G62,$C$55,$C$64,$C$65,$C$66,$C$67,$C$68,$C$69,$C$70,$C$74,$C$75,$D$64,$D$65,$D$66,$D$67,$D$68,$D$69,$D$70,$D$71,$D$72,$D$73,$D$74,$D$75,$C$56,$C$57,$C$58,$C$59,$C$60),"")</f>
        <v>2.455722952240114E-2</v>
      </c>
      <c r="J62" s="229">
        <f t="shared" ca="1" si="10"/>
        <v>7.229522401137195E-6</v>
      </c>
      <c r="K62" s="230">
        <f t="shared" ca="1" si="11"/>
        <v>7.229522401137195E-2</v>
      </c>
      <c r="L62" s="230" t="s">
        <v>12</v>
      </c>
      <c r="M62" s="224" t="s">
        <v>24</v>
      </c>
      <c r="N62" s="255">
        <f ca="1">IF(NOW(),_xll.mirSwapPV($C$51,$C$52,$C$54,$G62,$C$55,$I62+N$51,$C$64,$C$65,$C$66,$C$67,$C$68,$C$69,$C$70,$C$74,$C$75,$D$63,$D$64,$D$65,$D$66,$D$67,$D$68,$D$69,$D$70,$D$71,$D$72,$D$73,$D$74,$D$75,$C$56,$C$57,$C$58,$C$59,$C$60),"")</f>
        <v>-650948.40440974885</v>
      </c>
      <c r="O62" s="255">
        <f ca="1">IF(NOW(),_xll.mirSwapPV($C$51,$C$52,$C$54,$G62,$C$55,$I62+O$51,$C$64,$C$65,$C$66,$C$67,$C$68,$C$69,$C$70,$C$74,$C$75,$D$63,$D$64,$D$65,$D$66,$D$67,$D$68,$D$69,$D$70,$D$71,$D$72,$D$73,$D$74,$D$75,$C$56,$C$57,$C$58,$C$59,$C$60),"")</f>
        <v>-520758.72352779919</v>
      </c>
      <c r="P62" s="255">
        <f ca="1">IF(NOW(),_xll.mirSwapPV($C$51,$C$52,$C$54,$G62,$C$55,$I62+P$51,$C$64,$C$65,$C$66,$C$67,$C$68,$C$69,$C$70,$C$74,$C$75,$D$63,$D$64,$D$65,$D$66,$D$67,$D$68,$D$69,$D$70,$D$71,$D$72,$D$73,$D$74,$D$75,$C$56,$C$57,$C$58,$C$59,$C$60),"")</f>
        <v>-390569.04264584935</v>
      </c>
      <c r="Q62" s="255">
        <f ca="1">IF(NOW(),_xll.mirSwapPV($C$51,$C$52,$C$54,$G62,$C$55,$I62+Q$51,$C$64,$C$65,$C$66,$C$67,$C$68,$C$69,$C$70,$C$74,$C$75,$D$63,$D$64,$D$65,$D$66,$D$67,$D$68,$D$69,$D$70,$D$71,$D$72,$D$73,$D$74,$D$75,$C$56,$C$57,$C$58,$C$59,$C$60),"")</f>
        <v>-260379.36176389953</v>
      </c>
      <c r="R62" s="255">
        <f ca="1">IF(NOW(),_xll.mirSwapPV($C$51,$C$52,$C$54,$G62,$C$55,$I62+R$51,$C$64,$C$65,$C$66,$C$67,$C$68,$C$69,$C$70,$C$74,$C$75,$D$63,$D$64,$D$65,$D$66,$D$67,$D$68,$D$69,$D$70,$D$71,$D$72,$D$73,$D$74,$D$75,$C$56,$C$57,$C$58,$C$59,$C$60),"")</f>
        <v>-130189.68088194974</v>
      </c>
      <c r="S62" s="255">
        <f ca="1">IF(NOW(),_xll.mirSwapPV($C$51,$C$52,$C$54,$G62,$C$55,$I62+S$51,$C$64,$C$65,$C$66,$C$67,$C$68,$C$69,$C$70,$C$74,$C$75,$D$63,$D$64,$D$65,$D$66,$D$67,$D$68,$D$69,$D$70,$D$71,$D$72,$D$73,$D$74,$D$75,$C$56,$C$57,$C$58,$C$59,$C$60),"")</f>
        <v>0</v>
      </c>
      <c r="T62" s="255">
        <f ca="1">IF(NOW(),_xll.mirSwapPV($C$51,$C$52,$C$54,$G62,$C$55,$I62+T$51,$C$64,$C$65,$C$66,$C$67,$C$68,$C$69,$C$70,$C$74,$C$75,$D$63,$D$64,$D$65,$D$66,$D$67,$D$68,$D$69,$D$70,$D$71,$D$72,$D$73,$D$74,$D$75,$C$56,$C$57,$C$58,$C$59,$C$60),"")</f>
        <v>130189.68088194977</v>
      </c>
      <c r="U62" s="255">
        <f ca="1">IF(NOW(),_xll.mirSwapPV($C$51,$C$52,$C$54,$G62,$C$55,$I62+U$51,$C$64,$C$65,$C$66,$C$67,$C$68,$C$69,$C$70,$C$74,$C$75,$D$63,$D$64,$D$65,$D$66,$D$67,$D$68,$D$69,$D$70,$D$71,$D$72,$D$73,$D$74,$D$75,$C$56,$C$57,$C$58,$C$59,$C$60),"")</f>
        <v>260379.36176389953</v>
      </c>
      <c r="V62" s="255">
        <f ca="1">IF(NOW(),_xll.mirSwapPV($C$51,$C$52,$C$54,$G62,$C$55,$I62+V$51,$C$64,$C$65,$C$66,$C$67,$C$68,$C$69,$C$70,$C$74,$C$75,$D$63,$D$64,$D$65,$D$66,$D$67,$D$68,$D$69,$D$70,$D$71,$D$72,$D$73,$D$74,$D$75,$C$56,$C$57,$C$58,$C$59,$C$60),"")</f>
        <v>390569.04264584923</v>
      </c>
      <c r="W62" s="255">
        <f ca="1">IF(NOW(),_xll.mirSwapPV($C$51,$C$52,$C$54,$G62,$C$55,$I62+W$51,$C$64,$C$65,$C$66,$C$67,$C$68,$C$69,$C$70,$C$74,$C$75,$D$63,$D$64,$D$65,$D$66,$D$67,$D$68,$D$69,$D$70,$D$71,$D$72,$D$73,$D$74,$D$75,$C$56,$C$57,$C$58,$C$59,$C$60),"")</f>
        <v>520758.72352779919</v>
      </c>
      <c r="X62" s="255">
        <f ca="1">IF(NOW(),_xll.mirSwapPV($C$51,$C$52,$C$54,$G62,$C$55,$I62+X$51,$C$64,$C$65,$C$66,$C$67,$C$68,$C$69,$C$70,$C$74,$C$75,$D$63,$D$64,$D$65,$D$66,$D$67,$D$68,$D$69,$D$70,$D$71,$D$72,$D$73,$D$74,$D$75,$C$56,$C$57,$C$58,$C$59,$C$60),"")</f>
        <v>650948.40440974885</v>
      </c>
      <c r="Y62" s="230" t="s">
        <v>12</v>
      </c>
      <c r="Z62" s="224" t="s">
        <v>24</v>
      </c>
      <c r="AA62" s="227">
        <f>_xll.mirGetDate($C$6,Z62)</f>
        <v>47677</v>
      </c>
      <c r="AB62" s="260">
        <f t="shared" si="15"/>
        <v>2.4550000000000002E-2</v>
      </c>
      <c r="AC62" s="229">
        <f ca="1">IF(NOW(),_xll.mirGetParRate4($C$54,$AA62,$C$55,$C$64,$C$65,$C$66,$C$67,$C$68,$C$69,$C$70,$C$74,$C$75,$D$64,$D$65,$D$66,$D$67,$D$68,$D$69,$D$70,$D$71,$D$72,$D$73,$D$74,$D$75,$C$56,$C$57,$C$58,$D$59,$C$60),"")</f>
        <v>2.4557229522401136E-2</v>
      </c>
      <c r="AD62" s="229">
        <f t="shared" ca="1" si="12"/>
        <v>7.2295224011337256E-6</v>
      </c>
      <c r="AE62" s="230">
        <f t="shared" ca="1" si="13"/>
        <v>7.2295224011337256E-2</v>
      </c>
      <c r="AG62" s="224" t="s">
        <v>24</v>
      </c>
      <c r="AH62" s="255">
        <f ca="1">IF(NOW(),_xll.mirSwapPV($C$51,$C$52,$C$54,$AA62,$C$55,$AC62+AH$51,$C$64,$C$65,$C$66,$C$67,$C$68,$C$69,$C$70,$C$74,$C$75,$D$63,$D$64,$D$65,$D$66,$D$67,$D$68,$D$69,$D$70,$D$71,$D$72,$D$73,$D$74,$D$75,$C$56,$C$57,$C$58,$D$59,$C$60),"")</f>
        <v>-650948.40440974885</v>
      </c>
      <c r="AI62" s="255">
        <f ca="1">IF(NOW(),_xll.mirSwapPV($C$51,$C$52,$C$54,$AA62,$C$55,$AC62+AI$51,$C$64,$C$65,$C$66,$C$67,$C$68,$C$69,$C$70,$C$74,$C$75,$D$63,$D$64,$D$65,$D$66,$D$67,$D$68,$D$69,$D$70,$D$71,$D$72,$D$73,$D$74,$D$75,$C$56,$C$57,$C$58,$D$59,$C$60),"")</f>
        <v>-520758.72352779907</v>
      </c>
      <c r="AJ62" s="255">
        <f ca="1">IF(NOW(),_xll.mirSwapPV($C$51,$C$52,$C$54,$AA62,$C$55,$AC62+AJ$51,$C$64,$C$65,$C$66,$C$67,$C$68,$C$69,$C$70,$C$74,$C$75,$D$63,$D$64,$D$65,$D$66,$D$67,$D$68,$D$69,$D$70,$D$71,$D$72,$D$73,$D$74,$D$75,$C$56,$C$57,$C$58,$D$59,$C$60),"")</f>
        <v>-390569.04264584935</v>
      </c>
      <c r="AK62" s="255">
        <f ca="1">IF(NOW(),_xll.mirSwapPV($C$51,$C$52,$C$54,$AA62,$C$55,$AC62+AK$51,$C$64,$C$65,$C$66,$C$67,$C$68,$C$69,$C$70,$C$74,$C$75,$D$63,$D$64,$D$65,$D$66,$D$67,$D$68,$D$69,$D$70,$D$71,$D$72,$D$73,$D$74,$D$75,$C$56,$C$57,$C$58,$D$59,$C$60),"")</f>
        <v>-260379.36176389953</v>
      </c>
      <c r="AL62" s="255">
        <f ca="1">IF(NOW(),_xll.mirSwapPV($C$51,$C$52,$C$54,$AA62,$C$55,$AC62+AL$51,$C$64,$C$65,$C$66,$C$67,$C$68,$C$69,$C$70,$C$74,$C$75,$D$63,$D$64,$D$65,$D$66,$D$67,$D$68,$D$69,$D$70,$D$71,$D$72,$D$73,$D$74,$D$75,$C$56,$C$57,$C$58,$D$59,$C$60),"")</f>
        <v>-130189.68088194974</v>
      </c>
      <c r="AM62" s="255">
        <f ca="1">IF(NOW(),_xll.mirSwapPV($C$51,$C$52,$C$54,$AA62,$C$55,$AC62+AM$51,$C$64,$C$65,$C$66,$C$67,$C$68,$C$69,$C$70,$C$74,$C$75,$D$63,$D$64,$D$65,$D$66,$D$67,$D$68,$D$69,$D$70,$D$71,$D$72,$D$73,$D$74,$D$75,$C$56,$C$57,$C$58,$D$59,$C$60),"")</f>
        <v>0</v>
      </c>
      <c r="AN62" s="255">
        <f ca="1">IF(NOW(),_xll.mirSwapPV($C$51,$C$52,$C$54,$AA62,$C$55,$AC62+AN$51,$C$64,$C$65,$C$66,$C$67,$C$68,$C$69,$C$70,$C$74,$C$75,$D$63,$D$64,$D$65,$D$66,$D$67,$D$68,$D$69,$D$70,$D$71,$D$72,$D$73,$D$74,$D$75,$C$56,$C$57,$C$58,$D$59,$C$60),"")</f>
        <v>130189.68088194983</v>
      </c>
      <c r="AO62" s="255">
        <f ca="1">IF(NOW(),_xll.mirSwapPV($C$51,$C$52,$C$54,$AA62,$C$55,$AC62+AO$51,$C$64,$C$65,$C$66,$C$67,$C$68,$C$69,$C$70,$C$74,$C$75,$D$63,$D$64,$D$65,$D$66,$D$67,$D$68,$D$69,$D$70,$D$71,$D$72,$D$73,$D$74,$D$75,$C$56,$C$57,$C$58,$D$59,$C$60),"")</f>
        <v>260379.36176389959</v>
      </c>
      <c r="AP62" s="255">
        <f ca="1">IF(NOW(),_xll.mirSwapPV($C$51,$C$52,$C$54,$AA62,$C$55,$AC62+AP$51,$C$64,$C$65,$C$66,$C$67,$C$68,$C$69,$C$70,$C$74,$C$75,$D$63,$D$64,$D$65,$D$66,$D$67,$D$68,$D$69,$D$70,$D$71,$D$72,$D$73,$D$74,$D$75,$C$56,$C$57,$C$58,$D$59,$C$60),"")</f>
        <v>390569.04264584929</v>
      </c>
      <c r="AQ62" s="255">
        <f ca="1">IF(NOW(),_xll.mirSwapPV($C$51,$C$52,$C$54,$AA62,$C$55,$AC62+AQ$51,$C$64,$C$65,$C$66,$C$67,$C$68,$C$69,$C$70,$C$74,$C$75,$D$63,$D$64,$D$65,$D$66,$D$67,$D$68,$D$69,$D$70,$D$71,$D$72,$D$73,$D$74,$D$75,$C$56,$C$57,$C$58,$D$59,$C$60),"")</f>
        <v>520758.7235277993</v>
      </c>
      <c r="AR62" s="255">
        <f ca="1">IF(NOW(),_xll.mirSwapPV($C$51,$C$52,$C$54,$AA62,$C$55,$AC62+AR$51,$C$64,$C$65,$C$66,$C$67,$C$68,$C$69,$C$70,$C$74,$C$75,$D$63,$D$64,$D$65,$D$66,$D$67,$D$68,$D$69,$D$70,$D$71,$D$72,$D$73,$D$74,$D$75,$C$56,$C$57,$C$58,$D$59,$C$60),"")</f>
        <v>650948.40440974885</v>
      </c>
    </row>
    <row r="63" spans="2:44">
      <c r="B63" s="221" t="s">
        <v>442</v>
      </c>
      <c r="C63" s="238">
        <v>0</v>
      </c>
      <c r="D63" s="239">
        <v>0</v>
      </c>
      <c r="F63" s="224" t="s">
        <v>20</v>
      </c>
      <c r="G63" s="227">
        <f>_xll.mirGetDate($C$6,F63)</f>
        <v>49503</v>
      </c>
      <c r="H63" s="260">
        <f t="shared" si="14"/>
        <v>2.5075E-2</v>
      </c>
      <c r="I63" s="229">
        <f ca="1">IF(NOW(),_xll.mirGetParRate4($C$54,$G63,$C$55,$C$64,$C$65,$C$66,$C$67,$C$68,$C$69,$C$70,$C$74,$C$75,$D$64,$D$65,$D$66,$D$67,$D$68,$D$69,$D$70,$D$71,$D$72,$D$73,$D$74,$D$75,$C$56,$C$57,$C$58,$C$59,$C$60),"")</f>
        <v>2.5080932722401101E-2</v>
      </c>
      <c r="J63" s="229">
        <f t="shared" ca="1" si="10"/>
        <v>5.9327224011009039E-6</v>
      </c>
      <c r="K63" s="230">
        <f t="shared" ca="1" si="11"/>
        <v>5.9327224011009039E-2</v>
      </c>
      <c r="L63" s="230" t="s">
        <v>12</v>
      </c>
      <c r="M63" s="224" t="s">
        <v>20</v>
      </c>
      <c r="N63" s="255">
        <f ca="1">IF(NOW(),_xll.mirSwapPV($C$51,$C$52,$C$54,$G63,$C$55,$I63+N$51,$C$64,$C$65,$C$66,$C$67,$C$68,$C$69,$C$70,$C$74,$C$75,$D$63,$D$64,$D$65,$D$66,$D$67,$D$68,$D$69,$D$70,$D$71,$D$72,$D$73,$D$74,$D$75,$C$56,$C$57,$C$58,$C$59,$C$60),"")</f>
        <v>-817421.3529675263</v>
      </c>
      <c r="O63" s="255">
        <f ca="1">IF(NOW(),_xll.mirSwapPV($C$51,$C$52,$C$54,$G63,$C$55,$I63+O$51,$C$64,$C$65,$C$66,$C$67,$C$68,$C$69,$C$70,$C$74,$C$75,$D$63,$D$64,$D$65,$D$66,$D$67,$D$68,$D$69,$D$70,$D$71,$D$72,$D$73,$D$74,$D$75,$C$56,$C$57,$C$58,$C$59,$C$60),"")</f>
        <v>-653937.08237402095</v>
      </c>
      <c r="P63" s="255">
        <f ca="1">IF(NOW(),_xll.mirSwapPV($C$51,$C$52,$C$54,$G63,$C$55,$I63+P$51,$C$64,$C$65,$C$66,$C$67,$C$68,$C$69,$C$70,$C$74,$C$75,$D$63,$D$64,$D$65,$D$66,$D$67,$D$68,$D$69,$D$70,$D$71,$D$72,$D$73,$D$74,$D$75,$C$56,$C$57,$C$58,$C$59,$C$60),"")</f>
        <v>-490452.81178051571</v>
      </c>
      <c r="Q63" s="255">
        <f ca="1">IF(NOW(),_xll.mirSwapPV($C$51,$C$52,$C$54,$G63,$C$55,$I63+Q$51,$C$64,$C$65,$C$66,$C$67,$C$68,$C$69,$C$70,$C$74,$C$75,$D$63,$D$64,$D$65,$D$66,$D$67,$D$68,$D$69,$D$70,$D$71,$D$72,$D$73,$D$74,$D$75,$C$56,$C$57,$C$58,$C$59,$C$60),"")</f>
        <v>-326968.54118701041</v>
      </c>
      <c r="R63" s="255">
        <f ca="1">IF(NOW(),_xll.mirSwapPV($C$51,$C$52,$C$54,$G63,$C$55,$I63+R$51,$C$64,$C$65,$C$66,$C$67,$C$68,$C$69,$C$70,$C$74,$C$75,$D$63,$D$64,$D$65,$D$66,$D$67,$D$68,$D$69,$D$70,$D$71,$D$72,$D$73,$D$74,$D$75,$C$56,$C$57,$C$58,$C$59,$C$60),"")</f>
        <v>-163484.27059350518</v>
      </c>
      <c r="S63" s="255">
        <f ca="1">IF(NOW(),_xll.mirSwapPV($C$51,$C$52,$C$54,$G63,$C$55,$I63+S$51,$C$64,$C$65,$C$66,$C$67,$C$68,$C$69,$C$70,$C$74,$C$75,$D$63,$D$64,$D$65,$D$66,$D$67,$D$68,$D$69,$D$70,$D$71,$D$72,$D$73,$D$74,$D$75,$C$56,$C$57,$C$58,$C$59,$C$60),"")</f>
        <v>0</v>
      </c>
      <c r="T63" s="255">
        <f ca="1">IF(NOW(),_xll.mirSwapPV($C$51,$C$52,$C$54,$G63,$C$55,$I63+T$51,$C$64,$C$65,$C$66,$C$67,$C$68,$C$69,$C$70,$C$74,$C$75,$D$63,$D$64,$D$65,$D$66,$D$67,$D$68,$D$69,$D$70,$D$71,$D$72,$D$73,$D$74,$D$75,$C$56,$C$57,$C$58,$C$59,$C$60),"")</f>
        <v>163484.27059350524</v>
      </c>
      <c r="U63" s="255">
        <f ca="1">IF(NOW(),_xll.mirSwapPV($C$51,$C$52,$C$54,$G63,$C$55,$I63+U$51,$C$64,$C$65,$C$66,$C$67,$C$68,$C$69,$C$70,$C$74,$C$75,$D$63,$D$64,$D$65,$D$66,$D$67,$D$68,$D$69,$D$70,$D$71,$D$72,$D$73,$D$74,$D$75,$C$56,$C$57,$C$58,$C$59,$C$60),"")</f>
        <v>326968.54118701047</v>
      </c>
      <c r="V63" s="255">
        <f ca="1">IF(NOW(),_xll.mirSwapPV($C$51,$C$52,$C$54,$G63,$C$55,$I63+V$51,$C$64,$C$65,$C$66,$C$67,$C$68,$C$69,$C$70,$C$74,$C$75,$D$63,$D$64,$D$65,$D$66,$D$67,$D$68,$D$69,$D$70,$D$71,$D$72,$D$73,$D$74,$D$75,$C$56,$C$57,$C$58,$C$59,$C$60),"")</f>
        <v>490452.81178051559</v>
      </c>
      <c r="W63" s="255">
        <f ca="1">IF(NOW(),_xll.mirSwapPV($C$51,$C$52,$C$54,$G63,$C$55,$I63+W$51,$C$64,$C$65,$C$66,$C$67,$C$68,$C$69,$C$70,$C$74,$C$75,$D$63,$D$64,$D$65,$D$66,$D$67,$D$68,$D$69,$D$70,$D$71,$D$72,$D$73,$D$74,$D$75,$C$56,$C$57,$C$58,$C$59,$C$60),"")</f>
        <v>653937.08237402095</v>
      </c>
      <c r="X63" s="255">
        <f ca="1">IF(NOW(),_xll.mirSwapPV($C$51,$C$52,$C$54,$G63,$C$55,$I63+X$51,$C$64,$C$65,$C$66,$C$67,$C$68,$C$69,$C$70,$C$74,$C$75,$D$63,$D$64,$D$65,$D$66,$D$67,$D$68,$D$69,$D$70,$D$71,$D$72,$D$73,$D$74,$D$75,$C$56,$C$57,$C$58,$C$59,$C$60),"")</f>
        <v>817421.3529675263</v>
      </c>
      <c r="Y63" s="230" t="s">
        <v>12</v>
      </c>
      <c r="Z63" s="224" t="s">
        <v>20</v>
      </c>
      <c r="AA63" s="227">
        <f>_xll.mirGetDate($C$6,Z63)</f>
        <v>49503</v>
      </c>
      <c r="AB63" s="260">
        <f t="shared" si="15"/>
        <v>2.5075E-2</v>
      </c>
      <c r="AC63" s="229">
        <f ca="1">IF(NOW(),_xll.mirGetParRate4($C$54,$AA63,$C$55,$C$64,$C$65,$C$66,$C$67,$C$68,$C$69,$C$70,$C$74,$C$75,$D$64,$D$65,$D$66,$D$67,$D$68,$D$69,$D$70,$D$71,$D$72,$D$73,$D$74,$D$75,$C$56,$C$57,$C$58,$D$59,$C$60),"")</f>
        <v>2.5080932722401098E-2</v>
      </c>
      <c r="AD63" s="229">
        <f t="shared" ca="1" si="12"/>
        <v>5.9327224010974344E-6</v>
      </c>
      <c r="AE63" s="230">
        <f t="shared" ca="1" si="13"/>
        <v>5.9327224010974344E-2</v>
      </c>
      <c r="AG63" s="224" t="s">
        <v>20</v>
      </c>
      <c r="AH63" s="255">
        <f ca="1">IF(NOW(),_xll.mirSwapPV($C$51,$C$52,$C$54,$AA63,$C$55,$AC63+AH$51,$C$64,$C$65,$C$66,$C$67,$C$68,$C$69,$C$70,$C$74,$C$75,$D$63,$D$64,$D$65,$D$66,$D$67,$D$68,$D$69,$D$70,$D$71,$D$72,$D$73,$D$74,$D$75,$C$56,$C$57,$C$58,$D$59,$C$60),"")</f>
        <v>-817421.3529675263</v>
      </c>
      <c r="AI63" s="255">
        <f ca="1">IF(NOW(),_xll.mirSwapPV($C$51,$C$52,$C$54,$AA63,$C$55,$AC63+AI$51,$C$64,$C$65,$C$66,$C$67,$C$68,$C$69,$C$70,$C$74,$C$75,$D$63,$D$64,$D$65,$D$66,$D$67,$D$68,$D$69,$D$70,$D$71,$D$72,$D$73,$D$74,$D$75,$C$56,$C$57,$C$58,$D$59,$C$60),"")</f>
        <v>-653937.08237402095</v>
      </c>
      <c r="AJ63" s="255">
        <f ca="1">IF(NOW(),_xll.mirSwapPV($C$51,$C$52,$C$54,$AA63,$C$55,$AC63+AJ$51,$C$64,$C$65,$C$66,$C$67,$C$68,$C$69,$C$70,$C$74,$C$75,$D$63,$D$64,$D$65,$D$66,$D$67,$D$68,$D$69,$D$70,$D$71,$D$72,$D$73,$D$74,$D$75,$C$56,$C$57,$C$58,$D$59,$C$60),"")</f>
        <v>-490452.81178051571</v>
      </c>
      <c r="AK63" s="255">
        <f ca="1">IF(NOW(),_xll.mirSwapPV($C$51,$C$52,$C$54,$AA63,$C$55,$AC63+AK$51,$C$64,$C$65,$C$66,$C$67,$C$68,$C$69,$C$70,$C$74,$C$75,$D$63,$D$64,$D$65,$D$66,$D$67,$D$68,$D$69,$D$70,$D$71,$D$72,$D$73,$D$74,$D$75,$C$56,$C$57,$C$58,$D$59,$C$60),"")</f>
        <v>-326968.54118701041</v>
      </c>
      <c r="AL63" s="255">
        <f ca="1">IF(NOW(),_xll.mirSwapPV($C$51,$C$52,$C$54,$AA63,$C$55,$AC63+AL$51,$C$64,$C$65,$C$66,$C$67,$C$68,$C$69,$C$70,$C$74,$C$75,$D$63,$D$64,$D$65,$D$66,$D$67,$D$68,$D$69,$D$70,$D$71,$D$72,$D$73,$D$74,$D$75,$C$56,$C$57,$C$58,$D$59,$C$60),"")</f>
        <v>-163484.27059350518</v>
      </c>
      <c r="AM63" s="255">
        <f ca="1">IF(NOW(),_xll.mirSwapPV($C$51,$C$52,$C$54,$AA63,$C$55,$AC63+AM$51,$C$64,$C$65,$C$66,$C$67,$C$68,$C$69,$C$70,$C$74,$C$75,$D$63,$D$64,$D$65,$D$66,$D$67,$D$68,$D$69,$D$70,$D$71,$D$72,$D$73,$D$74,$D$75,$C$56,$C$57,$C$58,$D$59,$C$60),"")</f>
        <v>0</v>
      </c>
      <c r="AN63" s="255">
        <f ca="1">IF(NOW(),_xll.mirSwapPV($C$51,$C$52,$C$54,$AA63,$C$55,$AC63+AN$51,$C$64,$C$65,$C$66,$C$67,$C$68,$C$69,$C$70,$C$74,$C$75,$D$63,$D$64,$D$65,$D$66,$D$67,$D$68,$D$69,$D$70,$D$71,$D$72,$D$73,$D$74,$D$75,$C$56,$C$57,$C$58,$D$59,$C$60),"")</f>
        <v>163484.27059350529</v>
      </c>
      <c r="AO63" s="255">
        <f ca="1">IF(NOW(),_xll.mirSwapPV($C$51,$C$52,$C$54,$AA63,$C$55,$AC63+AO$51,$C$64,$C$65,$C$66,$C$67,$C$68,$C$69,$C$70,$C$74,$C$75,$D$63,$D$64,$D$65,$D$66,$D$67,$D$68,$D$69,$D$70,$D$71,$D$72,$D$73,$D$74,$D$75,$C$56,$C$57,$C$58,$D$59,$C$60),"")</f>
        <v>326968.54118701053</v>
      </c>
      <c r="AP63" s="255">
        <f ca="1">IF(NOW(),_xll.mirSwapPV($C$51,$C$52,$C$54,$AA63,$C$55,$AC63+AP$51,$C$64,$C$65,$C$66,$C$67,$C$68,$C$69,$C$70,$C$74,$C$75,$D$63,$D$64,$D$65,$D$66,$D$67,$D$68,$D$69,$D$70,$D$71,$D$72,$D$73,$D$74,$D$75,$C$56,$C$57,$C$58,$D$59,$C$60),"")</f>
        <v>490452.81178051565</v>
      </c>
      <c r="AQ63" s="255">
        <f ca="1">IF(NOW(),_xll.mirSwapPV($C$51,$C$52,$C$54,$AA63,$C$55,$AC63+AQ$51,$C$64,$C$65,$C$66,$C$67,$C$68,$C$69,$C$70,$C$74,$C$75,$D$63,$D$64,$D$65,$D$66,$D$67,$D$68,$D$69,$D$70,$D$71,$D$72,$D$73,$D$74,$D$75,$C$56,$C$57,$C$58,$D$59,$C$60),"")</f>
        <v>653937.08237402071</v>
      </c>
      <c r="AR63" s="255">
        <f ca="1">IF(NOW(),_xll.mirSwapPV($C$51,$C$52,$C$54,$AA63,$C$55,$AC63+AR$51,$C$64,$C$65,$C$66,$C$67,$C$68,$C$69,$C$70,$C$74,$C$75,$D$63,$D$64,$D$65,$D$66,$D$67,$D$68,$D$69,$D$70,$D$71,$D$72,$D$73,$D$74,$D$75,$C$56,$C$57,$C$58,$D$59,$C$60),"")</f>
        <v>817421.3529675263</v>
      </c>
    </row>
    <row r="64" spans="2:44">
      <c r="B64" s="234" t="s">
        <v>122</v>
      </c>
      <c r="C64" s="240" t="s">
        <v>78</v>
      </c>
      <c r="D64" s="240" t="s">
        <v>78</v>
      </c>
      <c r="E64" s="227"/>
      <c r="F64" s="224" t="s">
        <v>18</v>
      </c>
      <c r="G64" s="227">
        <f>_xll.mirGetDate($C$6,F64)</f>
        <v>51330</v>
      </c>
      <c r="H64" s="260">
        <f t="shared" si="14"/>
        <v>2.5049999999999999E-2</v>
      </c>
      <c r="I64" s="229">
        <f ca="1">IF(NOW(),_xll.mirGetParRate4($C$54,$G64,$C$55,$C$64,$C$65,$C$66,$C$67,$C$68,$C$69,$C$70,$C$74,$C$75,$D$64,$D$65,$D$66,$D$67,$D$68,$D$69,$D$70,$D$71,$D$72,$D$73,$D$74,$D$75,$C$56,$C$57,$C$58,$C$59,$C$60),"")</f>
        <v>2.5055020043665603E-2</v>
      </c>
      <c r="J64" s="229">
        <f t="shared" ca="1" si="10"/>
        <v>5.0200436656037961E-6</v>
      </c>
      <c r="K64" s="230">
        <f t="shared" ca="1" si="11"/>
        <v>5.0200436656037961E-2</v>
      </c>
      <c r="L64" s="230" t="s">
        <v>12</v>
      </c>
      <c r="M64" s="224" t="s">
        <v>18</v>
      </c>
      <c r="N64" s="255">
        <f ca="1">IF(NOW(),_xll.mirSwapPV($C$51,$C$52,$C$54,$G64,$C$55,$I64+N$51,$C$64,$C$65,$C$66,$C$67,$C$68,$C$69,$C$70,$C$74,$C$75,$D$63,$D$64,$D$65,$D$66,$D$67,$D$68,$D$69,$D$70,$D$71,$D$72,$D$73,$D$74,$D$75,$C$56,$C$57,$C$58,$C$59,$C$60),"")</f>
        <v>-964673.16142758704</v>
      </c>
      <c r="O64" s="255">
        <f ca="1">IF(NOW(),_xll.mirSwapPV($C$51,$C$52,$C$54,$G64,$C$55,$I64+O$51,$C$64,$C$65,$C$66,$C$67,$C$68,$C$69,$C$70,$C$74,$C$75,$D$63,$D$64,$D$65,$D$66,$D$67,$D$68,$D$69,$D$70,$D$71,$D$72,$D$73,$D$74,$D$75,$C$56,$C$57,$C$58,$C$59,$C$60),"")</f>
        <v>-771738.52914206963</v>
      </c>
      <c r="P64" s="255">
        <f ca="1">IF(NOW(),_xll.mirSwapPV($C$51,$C$52,$C$54,$G64,$C$55,$I64+P$51,$C$64,$C$65,$C$66,$C$67,$C$68,$C$69,$C$70,$C$74,$C$75,$D$63,$D$64,$D$65,$D$66,$D$67,$D$68,$D$69,$D$70,$D$71,$D$72,$D$73,$D$74,$D$75,$C$56,$C$57,$C$58,$C$59,$C$60),"")</f>
        <v>-578803.89685655222</v>
      </c>
      <c r="Q64" s="255">
        <f ca="1">IF(NOW(),_xll.mirSwapPV($C$51,$C$52,$C$54,$G64,$C$55,$I64+Q$51,$C$64,$C$65,$C$66,$C$67,$C$68,$C$69,$C$70,$C$74,$C$75,$D$63,$D$64,$D$65,$D$66,$D$67,$D$68,$D$69,$D$70,$D$71,$D$72,$D$73,$D$74,$D$75,$C$56,$C$57,$C$58,$C$59,$C$60),"")</f>
        <v>-385869.26457103476</v>
      </c>
      <c r="R64" s="255">
        <f ca="1">IF(NOW(),_xll.mirSwapPV($C$51,$C$52,$C$54,$G64,$C$55,$I64+R$51,$C$64,$C$65,$C$66,$C$67,$C$68,$C$69,$C$70,$C$74,$C$75,$D$63,$D$64,$D$65,$D$66,$D$67,$D$68,$D$69,$D$70,$D$71,$D$72,$D$73,$D$74,$D$75,$C$56,$C$57,$C$58,$C$59,$C$60),"")</f>
        <v>-192934.63228551732</v>
      </c>
      <c r="S64" s="255">
        <f ca="1">IF(NOW(),_xll.mirSwapPV($C$51,$C$52,$C$54,$G64,$C$55,$I64+S$51,$C$64,$C$65,$C$66,$C$67,$C$68,$C$69,$C$70,$C$74,$C$75,$D$63,$D$64,$D$65,$D$66,$D$67,$D$68,$D$69,$D$70,$D$71,$D$72,$D$73,$D$74,$D$75,$C$56,$C$57,$C$58,$C$59,$C$60),"")</f>
        <v>0</v>
      </c>
      <c r="T64" s="255">
        <f ca="1">IF(NOW(),_xll.mirSwapPV($C$51,$C$52,$C$54,$G64,$C$55,$I64+T$51,$C$64,$C$65,$C$66,$C$67,$C$68,$C$69,$C$70,$C$74,$C$75,$D$63,$D$64,$D$65,$D$66,$D$67,$D$68,$D$69,$D$70,$D$71,$D$72,$D$73,$D$74,$D$75,$C$56,$C$57,$C$58,$C$59,$C$60),"")</f>
        <v>192934.63228551744</v>
      </c>
      <c r="U64" s="255">
        <f ca="1">IF(NOW(),_xll.mirSwapPV($C$51,$C$52,$C$54,$G64,$C$55,$I64+U$51,$C$64,$C$65,$C$66,$C$67,$C$68,$C$69,$C$70,$C$74,$C$75,$D$63,$D$64,$D$65,$D$66,$D$67,$D$68,$D$69,$D$70,$D$71,$D$72,$D$73,$D$74,$D$75,$C$56,$C$57,$C$58,$C$59,$C$60),"")</f>
        <v>385869.26457103476</v>
      </c>
      <c r="V64" s="255">
        <f ca="1">IF(NOW(),_xll.mirSwapPV($C$51,$C$52,$C$54,$G64,$C$55,$I64+V$51,$C$64,$C$65,$C$66,$C$67,$C$68,$C$69,$C$70,$C$74,$C$75,$D$63,$D$64,$D$65,$D$66,$D$67,$D$68,$D$69,$D$70,$D$71,$D$72,$D$73,$D$74,$D$75,$C$56,$C$57,$C$58,$C$59,$C$60),"")</f>
        <v>578803.89685655211</v>
      </c>
      <c r="W64" s="255">
        <f ca="1">IF(NOW(),_xll.mirSwapPV($C$51,$C$52,$C$54,$G64,$C$55,$I64+W$51,$C$64,$C$65,$C$66,$C$67,$C$68,$C$69,$C$70,$C$74,$C$75,$D$63,$D$64,$D$65,$D$66,$D$67,$D$68,$D$69,$D$70,$D$71,$D$72,$D$73,$D$74,$D$75,$C$56,$C$57,$C$58,$C$59,$C$60),"")</f>
        <v>771738.52914206951</v>
      </c>
      <c r="X64" s="255">
        <f ca="1">IF(NOW(),_xll.mirSwapPV($C$51,$C$52,$C$54,$G64,$C$55,$I64+X$51,$C$64,$C$65,$C$66,$C$67,$C$68,$C$69,$C$70,$C$74,$C$75,$D$63,$D$64,$D$65,$D$66,$D$67,$D$68,$D$69,$D$70,$D$71,$D$72,$D$73,$D$74,$D$75,$C$56,$C$57,$C$58,$C$59,$C$60),"")</f>
        <v>964673.16142758692</v>
      </c>
      <c r="Y64" s="230" t="s">
        <v>12</v>
      </c>
      <c r="Z64" s="224" t="s">
        <v>18</v>
      </c>
      <c r="AA64" s="227">
        <f>_xll.mirGetDate($C$6,Z64)</f>
        <v>51330</v>
      </c>
      <c r="AB64" s="260">
        <f t="shared" si="15"/>
        <v>2.5049999999999999E-2</v>
      </c>
      <c r="AC64" s="229">
        <f ca="1">IF(NOW(),_xll.mirGetParRate4($C$54,$AA64,$C$55,$C$64,$C$65,$C$66,$C$67,$C$68,$C$69,$C$70,$C$74,$C$75,$D$64,$D$65,$D$66,$D$67,$D$68,$D$69,$D$70,$D$71,$D$72,$D$73,$D$74,$D$75,$C$56,$C$57,$C$58,$D$59,$C$60),"")</f>
        <v>2.50550200436656E-2</v>
      </c>
      <c r="AD64" s="229">
        <f t="shared" ca="1" si="12"/>
        <v>5.0200436656003267E-6</v>
      </c>
      <c r="AE64" s="230">
        <f t="shared" ca="1" si="13"/>
        <v>5.0200436656003267E-2</v>
      </c>
      <c r="AG64" s="224" t="s">
        <v>18</v>
      </c>
      <c r="AH64" s="255">
        <f ca="1">IF(NOW(),_xll.mirSwapPV($C$51,$C$52,$C$54,$AA64,$C$55,$AC64+AH$51,$C$64,$C$65,$C$66,$C$67,$C$68,$C$69,$C$70,$C$74,$C$75,$D$63,$D$64,$D$65,$D$66,$D$67,$D$68,$D$69,$D$70,$D$71,$D$72,$D$73,$D$74,$D$75,$C$56,$C$57,$C$58,$D$59,$C$60),"")</f>
        <v>-964673.16142758704</v>
      </c>
      <c r="AI64" s="255">
        <f ca="1">IF(NOW(),_xll.mirSwapPV($C$51,$C$52,$C$54,$AA64,$C$55,$AC64+AI$51,$C$64,$C$65,$C$66,$C$67,$C$68,$C$69,$C$70,$C$74,$C$75,$D$63,$D$64,$D$65,$D$66,$D$67,$D$68,$D$69,$D$70,$D$71,$D$72,$D$73,$D$74,$D$75,$C$56,$C$57,$C$58,$D$59,$C$60),"")</f>
        <v>-771738.52914206963</v>
      </c>
      <c r="AJ64" s="255">
        <f ca="1">IF(NOW(),_xll.mirSwapPV($C$51,$C$52,$C$54,$AA64,$C$55,$AC64+AJ$51,$C$64,$C$65,$C$66,$C$67,$C$68,$C$69,$C$70,$C$74,$C$75,$D$63,$D$64,$D$65,$D$66,$D$67,$D$68,$D$69,$D$70,$D$71,$D$72,$D$73,$D$74,$D$75,$C$56,$C$57,$C$58,$D$59,$C$60),"")</f>
        <v>-578803.89685655222</v>
      </c>
      <c r="AK64" s="255">
        <f ca="1">IF(NOW(),_xll.mirSwapPV($C$51,$C$52,$C$54,$AA64,$C$55,$AC64+AK$51,$C$64,$C$65,$C$66,$C$67,$C$68,$C$69,$C$70,$C$74,$C$75,$D$63,$D$64,$D$65,$D$66,$D$67,$D$68,$D$69,$D$70,$D$71,$D$72,$D$73,$D$74,$D$75,$C$56,$C$57,$C$58,$D$59,$C$60),"")</f>
        <v>-385869.26457103476</v>
      </c>
      <c r="AL64" s="255">
        <f ca="1">IF(NOW(),_xll.mirSwapPV($C$51,$C$52,$C$54,$AA64,$C$55,$AC64+AL$51,$C$64,$C$65,$C$66,$C$67,$C$68,$C$69,$C$70,$C$74,$C$75,$D$63,$D$64,$D$65,$D$66,$D$67,$D$68,$D$69,$D$70,$D$71,$D$72,$D$73,$D$74,$D$75,$C$56,$C$57,$C$58,$D$59,$C$60),"")</f>
        <v>-192934.63228551732</v>
      </c>
      <c r="AM64" s="255">
        <f ca="1">IF(NOW(),_xll.mirSwapPV($C$51,$C$52,$C$54,$AA64,$C$55,$AC64+AM$51,$C$64,$C$65,$C$66,$C$67,$C$68,$C$69,$C$70,$C$74,$C$75,$D$63,$D$64,$D$65,$D$66,$D$67,$D$68,$D$69,$D$70,$D$71,$D$72,$D$73,$D$74,$D$75,$C$56,$C$57,$C$58,$D$59,$C$60),"")</f>
        <v>0</v>
      </c>
      <c r="AN64" s="255">
        <f ca="1">IF(NOW(),_xll.mirSwapPV($C$51,$C$52,$C$54,$AA64,$C$55,$AC64+AN$51,$C$64,$C$65,$C$66,$C$67,$C$68,$C$69,$C$70,$C$74,$C$75,$D$63,$D$64,$D$65,$D$66,$D$67,$D$68,$D$69,$D$70,$D$71,$D$72,$D$73,$D$74,$D$75,$C$56,$C$57,$C$58,$D$59,$C$60),"")</f>
        <v>192934.63228551738</v>
      </c>
      <c r="AO64" s="255">
        <f ca="1">IF(NOW(),_xll.mirSwapPV($C$51,$C$52,$C$54,$AA64,$C$55,$AC64+AO$51,$C$64,$C$65,$C$66,$C$67,$C$68,$C$69,$C$70,$C$74,$C$75,$D$63,$D$64,$D$65,$D$66,$D$67,$D$68,$D$69,$D$70,$D$71,$D$72,$D$73,$D$74,$D$75,$C$56,$C$57,$C$58,$D$59,$C$60),"")</f>
        <v>385869.26457103482</v>
      </c>
      <c r="AP64" s="255">
        <f ca="1">IF(NOW(),_xll.mirSwapPV($C$51,$C$52,$C$54,$AA64,$C$55,$AC64+AP$51,$C$64,$C$65,$C$66,$C$67,$C$68,$C$69,$C$70,$C$74,$C$75,$D$63,$D$64,$D$65,$D$66,$D$67,$D$68,$D$69,$D$70,$D$71,$D$72,$D$73,$D$74,$D$75,$C$56,$C$57,$C$58,$D$59,$C$60),"")</f>
        <v>578803.89685655211</v>
      </c>
      <c r="AQ64" s="255">
        <f ca="1">IF(NOW(),_xll.mirSwapPV($C$51,$C$52,$C$54,$AA64,$C$55,$AC64+AQ$51,$C$64,$C$65,$C$66,$C$67,$C$68,$C$69,$C$70,$C$74,$C$75,$D$63,$D$64,$D$65,$D$66,$D$67,$D$68,$D$69,$D$70,$D$71,$D$72,$D$73,$D$74,$D$75,$C$56,$C$57,$C$58,$D$59,$C$60),"")</f>
        <v>771738.52914206951</v>
      </c>
      <c r="AR64" s="255">
        <f ca="1">IF(NOW(),_xll.mirSwapPV($C$51,$C$52,$C$54,$AA64,$C$55,$AC64+AR$51,$C$64,$C$65,$C$66,$C$67,$C$68,$C$69,$C$70,$C$74,$C$75,$D$63,$D$64,$D$65,$D$66,$D$67,$D$68,$D$69,$D$70,$D$71,$D$72,$D$73,$D$74,$D$75,$C$56,$C$57,$C$58,$D$59,$C$60),"")</f>
        <v>964673.16142758692</v>
      </c>
    </row>
    <row r="65" spans="2:44">
      <c r="B65" s="234" t="s">
        <v>130</v>
      </c>
      <c r="C65" s="241" t="s">
        <v>198</v>
      </c>
      <c r="D65" s="241" t="s">
        <v>198</v>
      </c>
      <c r="E65" s="242"/>
      <c r="F65" s="224" t="s">
        <v>17</v>
      </c>
      <c r="G65" s="227">
        <f>_xll.mirGetDate($C$6,F65)</f>
        <v>53156</v>
      </c>
      <c r="H65" s="260">
        <f t="shared" si="14"/>
        <v>2.4900000000000002E-2</v>
      </c>
      <c r="I65" s="229">
        <f ca="1">IF(NOW(),_xll.mirGetParRate4($C$54,$G65,$C$55,$C$64,$C$65,$C$66,$C$67,$C$68,$C$69,$C$70,$C$74,$C$75,$D$64,$D$65,$D$66,$D$67,$D$68,$D$69,$D$70,$D$71,$D$72,$D$73,$D$74,$D$75,$C$56,$C$57,$C$58,$C$59,$C$60),"")</f>
        <v>2.4904382707853074E-2</v>
      </c>
      <c r="J65" s="229">
        <f t="shared" ca="1" si="10"/>
        <v>4.3827078530719876E-6</v>
      </c>
      <c r="K65" s="230">
        <f t="shared" ca="1" si="11"/>
        <v>4.3827078530719876E-2</v>
      </c>
      <c r="L65" s="230" t="s">
        <v>12</v>
      </c>
      <c r="M65" s="224" t="s">
        <v>17</v>
      </c>
      <c r="N65" s="255">
        <f ca="1">IF(NOW(),_xll.mirSwapPV($C$51,$C$52,$C$54,$G65,$C$55,$I65+N$51,$C$64,$C$65,$C$66,$C$67,$C$68,$C$69,$C$70,$C$74,$C$75,$D$63,$D$64,$D$65,$D$66,$D$67,$D$68,$D$69,$D$70,$D$71,$D$72,$D$73,$D$74,$D$75,$C$56,$C$57,$C$58,$C$59,$C$60),"")</f>
        <v>-1095602.260317022</v>
      </c>
      <c r="O65" s="255">
        <f ca="1">IF(NOW(),_xll.mirSwapPV($C$51,$C$52,$C$54,$G65,$C$55,$I65+O$51,$C$64,$C$65,$C$66,$C$67,$C$68,$C$69,$C$70,$C$74,$C$75,$D$63,$D$64,$D$65,$D$66,$D$67,$D$68,$D$69,$D$70,$D$71,$D$72,$D$73,$D$74,$D$75,$C$56,$C$57,$C$58,$C$59,$C$60),"")</f>
        <v>-876481.80825361749</v>
      </c>
      <c r="P65" s="255">
        <f ca="1">IF(NOW(),_xll.mirSwapPV($C$51,$C$52,$C$54,$G65,$C$55,$I65+P$51,$C$64,$C$65,$C$66,$C$67,$C$68,$C$69,$C$70,$C$74,$C$75,$D$63,$D$64,$D$65,$D$66,$D$67,$D$68,$D$69,$D$70,$D$71,$D$72,$D$73,$D$74,$D$75,$C$56,$C$57,$C$58,$C$59,$C$60),"")</f>
        <v>-657361.35619021312</v>
      </c>
      <c r="Q65" s="255">
        <f ca="1">IF(NOW(),_xll.mirSwapPV($C$51,$C$52,$C$54,$G65,$C$55,$I65+Q$51,$C$64,$C$65,$C$66,$C$67,$C$68,$C$69,$C$70,$C$74,$C$75,$D$63,$D$64,$D$65,$D$66,$D$67,$D$68,$D$69,$D$70,$D$71,$D$72,$D$73,$D$74,$D$75,$C$56,$C$57,$C$58,$C$59,$C$60),"")</f>
        <v>-438240.90412680875</v>
      </c>
      <c r="R65" s="255">
        <f ca="1">IF(NOW(),_xll.mirSwapPV($C$51,$C$52,$C$54,$G65,$C$55,$I65+R$51,$C$64,$C$65,$C$66,$C$67,$C$68,$C$69,$C$70,$C$74,$C$75,$D$63,$D$64,$D$65,$D$66,$D$67,$D$68,$D$69,$D$70,$D$71,$D$72,$D$73,$D$74,$D$75,$C$56,$C$57,$C$58,$C$59,$C$60),"")</f>
        <v>-219120.45206340431</v>
      </c>
      <c r="S65" s="255">
        <f ca="1">IF(NOW(),_xll.mirSwapPV($C$51,$C$52,$C$54,$G65,$C$55,$I65+S$51,$C$64,$C$65,$C$66,$C$67,$C$68,$C$69,$C$70,$C$74,$C$75,$D$63,$D$64,$D$65,$D$66,$D$67,$D$68,$D$69,$D$70,$D$71,$D$72,$D$73,$D$74,$D$75,$C$56,$C$57,$C$58,$C$59,$C$60),"")</f>
        <v>0</v>
      </c>
      <c r="T65" s="255">
        <f ca="1">IF(NOW(),_xll.mirSwapPV($C$51,$C$52,$C$54,$G65,$C$55,$I65+T$51,$C$64,$C$65,$C$66,$C$67,$C$68,$C$69,$C$70,$C$74,$C$75,$D$63,$D$64,$D$65,$D$66,$D$67,$D$68,$D$69,$D$70,$D$71,$D$72,$D$73,$D$74,$D$75,$C$56,$C$57,$C$58,$C$59,$C$60),"")</f>
        <v>219120.45206340437</v>
      </c>
      <c r="U65" s="255">
        <f ca="1">IF(NOW(),_xll.mirSwapPV($C$51,$C$52,$C$54,$G65,$C$55,$I65+U$51,$C$64,$C$65,$C$66,$C$67,$C$68,$C$69,$C$70,$C$74,$C$75,$D$63,$D$64,$D$65,$D$66,$D$67,$D$68,$D$69,$D$70,$D$71,$D$72,$D$73,$D$74,$D$75,$C$56,$C$57,$C$58,$C$59,$C$60),"")</f>
        <v>438240.90412680875</v>
      </c>
      <c r="V65" s="255">
        <f ca="1">IF(NOW(),_xll.mirSwapPV($C$51,$C$52,$C$54,$G65,$C$55,$I65+V$51,$C$64,$C$65,$C$66,$C$67,$C$68,$C$69,$C$70,$C$74,$C$75,$D$63,$D$64,$D$65,$D$66,$D$67,$D$68,$D$69,$D$70,$D$71,$D$72,$D$73,$D$74,$D$75,$C$56,$C$57,$C$58,$C$59,$C$60),"")</f>
        <v>657361.356190213</v>
      </c>
      <c r="W65" s="255">
        <f ca="1">IF(NOW(),_xll.mirSwapPV($C$51,$C$52,$C$54,$G65,$C$55,$I65+W$51,$C$64,$C$65,$C$66,$C$67,$C$68,$C$69,$C$70,$C$74,$C$75,$D$63,$D$64,$D$65,$D$66,$D$67,$D$68,$D$69,$D$70,$D$71,$D$72,$D$73,$D$74,$D$75,$C$56,$C$57,$C$58,$C$59,$C$60),"")</f>
        <v>876481.80825361761</v>
      </c>
      <c r="X65" s="255">
        <f ca="1">IF(NOW(),_xll.mirSwapPV($C$51,$C$52,$C$54,$G65,$C$55,$I65+X$51,$C$64,$C$65,$C$66,$C$67,$C$68,$C$69,$C$70,$C$74,$C$75,$D$63,$D$64,$D$65,$D$66,$D$67,$D$68,$D$69,$D$70,$D$71,$D$72,$D$73,$D$74,$D$75,$C$56,$C$57,$C$58,$C$59,$C$60),"")</f>
        <v>1095602.260317022</v>
      </c>
      <c r="Y65" s="230" t="s">
        <v>12</v>
      </c>
      <c r="Z65" s="224" t="s">
        <v>17</v>
      </c>
      <c r="AA65" s="227">
        <f>_xll.mirGetDate($C$6,Z65)</f>
        <v>53156</v>
      </c>
      <c r="AB65" s="260">
        <f t="shared" si="15"/>
        <v>2.4900000000000002E-2</v>
      </c>
      <c r="AC65" s="229">
        <f ca="1">IF(NOW(),_xll.mirGetParRate4($C$54,$AA65,$C$55,$C$64,$C$65,$C$66,$C$67,$C$68,$C$69,$C$70,$C$74,$C$75,$D$64,$D$65,$D$66,$D$67,$D$68,$D$69,$D$70,$D$71,$D$72,$D$73,$D$74,$D$75,$C$56,$C$57,$C$58,$D$59,$C$60),"")</f>
        <v>2.4904382707853074E-2</v>
      </c>
      <c r="AD65" s="229">
        <f t="shared" ca="1" si="12"/>
        <v>4.3827078530719876E-6</v>
      </c>
      <c r="AE65" s="230">
        <f t="shared" ca="1" si="13"/>
        <v>4.3827078530719876E-2</v>
      </c>
      <c r="AG65" s="224" t="s">
        <v>17</v>
      </c>
      <c r="AH65" s="255">
        <f ca="1">IF(NOW(),_xll.mirSwapPV($C$51,$C$52,$C$54,$AA65,$C$55,$AC65+AH$51,$C$64,$C$65,$C$66,$C$67,$C$68,$C$69,$C$70,$C$74,$C$75,$D$63,$D$64,$D$65,$D$66,$D$67,$D$68,$D$69,$D$70,$D$71,$D$72,$D$73,$D$74,$D$75,$C$56,$C$57,$C$58,$D$59,$C$60),"")</f>
        <v>-1095602.260317022</v>
      </c>
      <c r="AI65" s="255">
        <f ca="1">IF(NOW(),_xll.mirSwapPV($C$51,$C$52,$C$54,$AA65,$C$55,$AC65+AI$51,$C$64,$C$65,$C$66,$C$67,$C$68,$C$69,$C$70,$C$74,$C$75,$D$63,$D$64,$D$65,$D$66,$D$67,$D$68,$D$69,$D$70,$D$71,$D$72,$D$73,$D$74,$D$75,$C$56,$C$57,$C$58,$D$59,$C$60),"")</f>
        <v>-876481.80825361749</v>
      </c>
      <c r="AJ65" s="255">
        <f ca="1">IF(NOW(),_xll.mirSwapPV($C$51,$C$52,$C$54,$AA65,$C$55,$AC65+AJ$51,$C$64,$C$65,$C$66,$C$67,$C$68,$C$69,$C$70,$C$74,$C$75,$D$63,$D$64,$D$65,$D$66,$D$67,$D$68,$D$69,$D$70,$D$71,$D$72,$D$73,$D$74,$D$75,$C$56,$C$57,$C$58,$D$59,$C$60),"")</f>
        <v>-657361.35619021312</v>
      </c>
      <c r="AK65" s="255">
        <f ca="1">IF(NOW(),_xll.mirSwapPV($C$51,$C$52,$C$54,$AA65,$C$55,$AC65+AK$51,$C$64,$C$65,$C$66,$C$67,$C$68,$C$69,$C$70,$C$74,$C$75,$D$63,$D$64,$D$65,$D$66,$D$67,$D$68,$D$69,$D$70,$D$71,$D$72,$D$73,$D$74,$D$75,$C$56,$C$57,$C$58,$D$59,$C$60),"")</f>
        <v>-438240.90412680875</v>
      </c>
      <c r="AL65" s="255">
        <f ca="1">IF(NOW(),_xll.mirSwapPV($C$51,$C$52,$C$54,$AA65,$C$55,$AC65+AL$51,$C$64,$C$65,$C$66,$C$67,$C$68,$C$69,$C$70,$C$74,$C$75,$D$63,$D$64,$D$65,$D$66,$D$67,$D$68,$D$69,$D$70,$D$71,$D$72,$D$73,$D$74,$D$75,$C$56,$C$57,$C$58,$D$59,$C$60),"")</f>
        <v>-219120.45206340431</v>
      </c>
      <c r="AM65" s="255">
        <f ca="1">IF(NOW(),_xll.mirSwapPV($C$51,$C$52,$C$54,$AA65,$C$55,$AC65+AM$51,$C$64,$C$65,$C$66,$C$67,$C$68,$C$69,$C$70,$C$74,$C$75,$D$63,$D$64,$D$65,$D$66,$D$67,$D$68,$D$69,$D$70,$D$71,$D$72,$D$73,$D$74,$D$75,$C$56,$C$57,$C$58,$D$59,$C$60),"")</f>
        <v>0</v>
      </c>
      <c r="AN65" s="255">
        <f ca="1">IF(NOW(),_xll.mirSwapPV($C$51,$C$52,$C$54,$AA65,$C$55,$AC65+AN$51,$C$64,$C$65,$C$66,$C$67,$C$68,$C$69,$C$70,$C$74,$C$75,$D$63,$D$64,$D$65,$D$66,$D$67,$D$68,$D$69,$D$70,$D$71,$D$72,$D$73,$D$74,$D$75,$C$56,$C$57,$C$58,$D$59,$C$60),"")</f>
        <v>219120.45206340437</v>
      </c>
      <c r="AO65" s="255">
        <f ca="1">IF(NOW(),_xll.mirSwapPV($C$51,$C$52,$C$54,$AA65,$C$55,$AC65+AO$51,$C$64,$C$65,$C$66,$C$67,$C$68,$C$69,$C$70,$C$74,$C$75,$D$63,$D$64,$D$65,$D$66,$D$67,$D$68,$D$69,$D$70,$D$71,$D$72,$D$73,$D$74,$D$75,$C$56,$C$57,$C$58,$D$59,$C$60),"")</f>
        <v>438240.90412680875</v>
      </c>
      <c r="AP65" s="255">
        <f ca="1">IF(NOW(),_xll.mirSwapPV($C$51,$C$52,$C$54,$AA65,$C$55,$AC65+AP$51,$C$64,$C$65,$C$66,$C$67,$C$68,$C$69,$C$70,$C$74,$C$75,$D$63,$D$64,$D$65,$D$66,$D$67,$D$68,$D$69,$D$70,$D$71,$D$72,$D$73,$D$74,$D$75,$C$56,$C$57,$C$58,$D$59,$C$60),"")</f>
        <v>657361.356190213</v>
      </c>
      <c r="AQ65" s="255">
        <f ca="1">IF(NOW(),_xll.mirSwapPV($C$51,$C$52,$C$54,$AA65,$C$55,$AC65+AQ$51,$C$64,$C$65,$C$66,$C$67,$C$68,$C$69,$C$70,$C$74,$C$75,$D$63,$D$64,$D$65,$D$66,$D$67,$D$68,$D$69,$D$70,$D$71,$D$72,$D$73,$D$74,$D$75,$C$56,$C$57,$C$58,$D$59,$C$60),"")</f>
        <v>876481.80825361761</v>
      </c>
      <c r="AR65" s="255">
        <f ca="1">IF(NOW(),_xll.mirSwapPV($C$51,$C$52,$C$54,$AA65,$C$55,$AC65+AR$51,$C$64,$C$65,$C$66,$C$67,$C$68,$C$69,$C$70,$C$74,$C$75,$D$63,$D$64,$D$65,$D$66,$D$67,$D$68,$D$69,$D$70,$D$71,$D$72,$D$73,$D$74,$D$75,$C$56,$C$57,$C$58,$D$59,$C$60),"")</f>
        <v>1095602.260317022</v>
      </c>
    </row>
    <row r="66" spans="2:44">
      <c r="B66" s="234" t="s">
        <v>443</v>
      </c>
      <c r="C66" s="240" t="s">
        <v>40</v>
      </c>
      <c r="D66" s="240" t="s">
        <v>40</v>
      </c>
      <c r="E66" s="224"/>
      <c r="F66" s="224" t="s">
        <v>15</v>
      </c>
      <c r="G66" s="227">
        <f>_xll.mirGetDate($C$6,F66)</f>
        <v>56808</v>
      </c>
      <c r="H66" s="260">
        <f t="shared" si="14"/>
        <v>2.4399999999999998E-2</v>
      </c>
      <c r="I66" s="229">
        <f ca="1">IF(NOW(),_xll.mirGetParRate4($C$54,$G66,$C$55,$C$64,$C$65,$C$66,$C$67,$C$68,$C$69,$C$70,$C$74,$C$75,$D$64,$D$65,$D$66,$D$67,$D$68,$D$69,$D$70,$D$71,$D$72,$D$73,$D$74,$D$75,$C$56,$C$57,$C$58,$C$59,$C$60),"")</f>
        <v>2.4403539755951015E-2</v>
      </c>
      <c r="J66" s="229">
        <f t="shared" ca="1" si="10"/>
        <v>3.5397559510173815E-6</v>
      </c>
      <c r="K66" s="230">
        <f t="shared" ca="1" si="11"/>
        <v>3.5397559510173815E-2</v>
      </c>
      <c r="L66" s="230" t="s">
        <v>12</v>
      </c>
      <c r="M66" s="224" t="s">
        <v>15</v>
      </c>
      <c r="N66" s="255">
        <f ca="1">IF(NOW(),_xll.mirSwapPV($C$51,$C$52,$C$54,$G66,$C$55,$I66+N$51,$C$64,$C$65,$C$66,$C$67,$C$68,$C$69,$C$70,$C$74,$C$75,$D$63,$D$64,$D$65,$D$66,$D$67,$D$68,$D$69,$D$70,$D$71,$D$72,$D$73,$D$74,$D$75,$C$56,$C$57,$C$58,$C$59,$C$60),"")</f>
        <v>-1317901.5977899607</v>
      </c>
      <c r="O66" s="255">
        <f ca="1">IF(NOW(),_xll.mirSwapPV($C$51,$C$52,$C$54,$G66,$C$55,$I66+O$51,$C$64,$C$65,$C$66,$C$67,$C$68,$C$69,$C$70,$C$74,$C$75,$D$63,$D$64,$D$65,$D$66,$D$67,$D$68,$D$69,$D$70,$D$71,$D$72,$D$73,$D$74,$D$75,$C$56,$C$57,$C$58,$C$59,$C$60),"")</f>
        <v>-1054321.2782319684</v>
      </c>
      <c r="P66" s="255">
        <f ca="1">IF(NOW(),_xll.mirSwapPV($C$51,$C$52,$C$54,$G66,$C$55,$I66+P$51,$C$64,$C$65,$C$66,$C$67,$C$68,$C$69,$C$70,$C$74,$C$75,$D$63,$D$64,$D$65,$D$66,$D$67,$D$68,$D$69,$D$70,$D$71,$D$72,$D$73,$D$74,$D$75,$C$56,$C$57,$C$58,$C$59,$C$60),"")</f>
        <v>-790740.95867397625</v>
      </c>
      <c r="Q66" s="255">
        <f ca="1">IF(NOW(),_xll.mirSwapPV($C$51,$C$52,$C$54,$G66,$C$55,$I66+Q$51,$C$64,$C$65,$C$66,$C$67,$C$68,$C$69,$C$70,$C$74,$C$75,$D$63,$D$64,$D$65,$D$66,$D$67,$D$68,$D$69,$D$70,$D$71,$D$72,$D$73,$D$74,$D$75,$C$56,$C$57,$C$58,$C$59,$C$60),"")</f>
        <v>-527160.63911598409</v>
      </c>
      <c r="R66" s="255">
        <f ca="1">IF(NOW(),_xll.mirSwapPV($C$51,$C$52,$C$54,$G66,$C$55,$I66+R$51,$C$64,$C$65,$C$66,$C$67,$C$68,$C$69,$C$70,$C$74,$C$75,$D$63,$D$64,$D$65,$D$66,$D$67,$D$68,$D$69,$D$70,$D$71,$D$72,$D$73,$D$74,$D$75,$C$56,$C$57,$C$58,$C$59,$C$60),"")</f>
        <v>-263580.31955799198</v>
      </c>
      <c r="S66" s="255">
        <f ca="1">IF(NOW(),_xll.mirSwapPV($C$51,$C$52,$C$54,$G66,$C$55,$I66+S$51,$C$64,$C$65,$C$66,$C$67,$C$68,$C$69,$C$70,$C$74,$C$75,$D$63,$D$64,$D$65,$D$66,$D$67,$D$68,$D$69,$D$70,$D$71,$D$72,$D$73,$D$74,$D$75,$C$56,$C$57,$C$58,$C$59,$C$60),"")</f>
        <v>0</v>
      </c>
      <c r="T66" s="255">
        <f ca="1">IF(NOW(),_xll.mirSwapPV($C$51,$C$52,$C$54,$G66,$C$55,$I66+T$51,$C$64,$C$65,$C$66,$C$67,$C$68,$C$69,$C$70,$C$74,$C$75,$D$63,$D$64,$D$65,$D$66,$D$67,$D$68,$D$69,$D$70,$D$71,$D$72,$D$73,$D$74,$D$75,$C$56,$C$57,$C$58,$C$59,$C$60),"")</f>
        <v>263580.3195579921</v>
      </c>
      <c r="U66" s="255">
        <f ca="1">IF(NOW(),_xll.mirSwapPV($C$51,$C$52,$C$54,$G66,$C$55,$I66+U$51,$C$64,$C$65,$C$66,$C$67,$C$68,$C$69,$C$70,$C$74,$C$75,$D$63,$D$64,$D$65,$D$66,$D$67,$D$68,$D$69,$D$70,$D$71,$D$72,$D$73,$D$74,$D$75,$C$56,$C$57,$C$58,$C$59,$C$60),"")</f>
        <v>527160.6391159842</v>
      </c>
      <c r="V66" s="255">
        <f ca="1">IF(NOW(),_xll.mirSwapPV($C$51,$C$52,$C$54,$G66,$C$55,$I66+V$51,$C$64,$C$65,$C$66,$C$67,$C$68,$C$69,$C$70,$C$74,$C$75,$D$63,$D$64,$D$65,$D$66,$D$67,$D$68,$D$69,$D$70,$D$71,$D$72,$D$73,$D$74,$D$75,$C$56,$C$57,$C$58,$C$59,$C$60),"")</f>
        <v>790740.95867397625</v>
      </c>
      <c r="W66" s="255">
        <f ca="1">IF(NOW(),_xll.mirSwapPV($C$51,$C$52,$C$54,$G66,$C$55,$I66+W$51,$C$64,$C$65,$C$66,$C$67,$C$68,$C$69,$C$70,$C$74,$C$75,$D$63,$D$64,$D$65,$D$66,$D$67,$D$68,$D$69,$D$70,$D$71,$D$72,$D$73,$D$74,$D$75,$C$56,$C$57,$C$58,$C$59,$C$60),"")</f>
        <v>1054321.2782319684</v>
      </c>
      <c r="X66" s="255">
        <f ca="1">IF(NOW(),_xll.mirSwapPV($C$51,$C$52,$C$54,$G66,$C$55,$I66+X$51,$C$64,$C$65,$C$66,$C$67,$C$68,$C$69,$C$70,$C$74,$C$75,$D$63,$D$64,$D$65,$D$66,$D$67,$D$68,$D$69,$D$70,$D$71,$D$72,$D$73,$D$74,$D$75,$C$56,$C$57,$C$58,$C$59,$C$60),"")</f>
        <v>1317901.5977899604</v>
      </c>
      <c r="Y66" s="230" t="s">
        <v>12</v>
      </c>
      <c r="Z66" s="224" t="s">
        <v>15</v>
      </c>
      <c r="AA66" s="227">
        <f>_xll.mirGetDate($C$6,Z66)</f>
        <v>56808</v>
      </c>
      <c r="AB66" s="260">
        <f t="shared" si="15"/>
        <v>2.4399999999999998E-2</v>
      </c>
      <c r="AC66" s="229">
        <f ca="1">IF(NOW(),_xll.mirGetParRate4($C$54,$AA66,$C$55,$C$64,$C$65,$C$66,$C$67,$C$68,$C$69,$C$70,$C$74,$C$75,$D$64,$D$65,$D$66,$D$67,$D$68,$D$69,$D$70,$D$71,$D$72,$D$73,$D$74,$D$75,$C$56,$C$57,$C$58,$D$59,$C$60),"")</f>
        <v>2.4403539755951022E-2</v>
      </c>
      <c r="AD66" s="229">
        <f t="shared" ca="1" si="12"/>
        <v>3.5397559510243204E-6</v>
      </c>
      <c r="AE66" s="230">
        <f t="shared" ca="1" si="13"/>
        <v>3.5397559510243204E-2</v>
      </c>
      <c r="AG66" s="224" t="s">
        <v>15</v>
      </c>
      <c r="AH66" s="255">
        <f ca="1">IF(NOW(),_xll.mirSwapPV($C$51,$C$52,$C$54,$AA66,$C$55,$AC66+AH$51,$C$64,$C$65,$C$66,$C$67,$C$68,$C$69,$C$70,$C$74,$C$75,$D$63,$D$64,$D$65,$D$66,$D$67,$D$68,$D$69,$D$70,$D$71,$D$72,$D$73,$D$74,$D$75,$C$56,$C$57,$C$58,$D$59,$C$60),"")</f>
        <v>-1317901.5977899607</v>
      </c>
      <c r="AI66" s="255">
        <f ca="1">IF(NOW(),_xll.mirSwapPV($C$51,$C$52,$C$54,$AA66,$C$55,$AC66+AI$51,$C$64,$C$65,$C$66,$C$67,$C$68,$C$69,$C$70,$C$74,$C$75,$D$63,$D$64,$D$65,$D$66,$D$67,$D$68,$D$69,$D$70,$D$71,$D$72,$D$73,$D$74,$D$75,$C$56,$C$57,$C$58,$D$59,$C$60),"")</f>
        <v>-1054321.2782319684</v>
      </c>
      <c r="AJ66" s="255">
        <f ca="1">IF(NOW(),_xll.mirSwapPV($C$51,$C$52,$C$54,$AA66,$C$55,$AC66+AJ$51,$C$64,$C$65,$C$66,$C$67,$C$68,$C$69,$C$70,$C$74,$C$75,$D$63,$D$64,$D$65,$D$66,$D$67,$D$68,$D$69,$D$70,$D$71,$D$72,$D$73,$D$74,$D$75,$C$56,$C$57,$C$58,$D$59,$C$60),"")</f>
        <v>-790740.95867397625</v>
      </c>
      <c r="AK66" s="255">
        <f ca="1">IF(NOW(),_xll.mirSwapPV($C$51,$C$52,$C$54,$AA66,$C$55,$AC66+AK$51,$C$64,$C$65,$C$66,$C$67,$C$68,$C$69,$C$70,$C$74,$C$75,$D$63,$D$64,$D$65,$D$66,$D$67,$D$68,$D$69,$D$70,$D$71,$D$72,$D$73,$D$74,$D$75,$C$56,$C$57,$C$58,$D$59,$C$60),"")</f>
        <v>-527160.63911598409</v>
      </c>
      <c r="AL66" s="255">
        <f ca="1">IF(NOW(),_xll.mirSwapPV($C$51,$C$52,$C$54,$AA66,$C$55,$AC66+AL$51,$C$64,$C$65,$C$66,$C$67,$C$68,$C$69,$C$70,$C$74,$C$75,$D$63,$D$64,$D$65,$D$66,$D$67,$D$68,$D$69,$D$70,$D$71,$D$72,$D$73,$D$74,$D$75,$C$56,$C$57,$C$58,$D$59,$C$60),"")</f>
        <v>-263580.31955799198</v>
      </c>
      <c r="AM66" s="255">
        <f ca="1">IF(NOW(),_xll.mirSwapPV($C$51,$C$52,$C$54,$AA66,$C$55,$AC66+AM$51,$C$64,$C$65,$C$66,$C$67,$C$68,$C$69,$C$70,$C$74,$C$75,$D$63,$D$64,$D$65,$D$66,$D$67,$D$68,$D$69,$D$70,$D$71,$D$72,$D$73,$D$74,$D$75,$C$56,$C$57,$C$58,$D$59,$C$60),"")</f>
        <v>0</v>
      </c>
      <c r="AN66" s="255">
        <f ca="1">IF(NOW(),_xll.mirSwapPV($C$51,$C$52,$C$54,$AA66,$C$55,$AC66+AN$51,$C$64,$C$65,$C$66,$C$67,$C$68,$C$69,$C$70,$C$74,$C$75,$D$63,$D$64,$D$65,$D$66,$D$67,$D$68,$D$69,$D$70,$D$71,$D$72,$D$73,$D$74,$D$75,$C$56,$C$57,$C$58,$D$59,$C$60),"")</f>
        <v>263580.31955799198</v>
      </c>
      <c r="AO66" s="255">
        <f ca="1">IF(NOW(),_xll.mirSwapPV($C$51,$C$52,$C$54,$AA66,$C$55,$AC66+AO$51,$C$64,$C$65,$C$66,$C$67,$C$68,$C$69,$C$70,$C$74,$C$75,$D$63,$D$64,$D$65,$D$66,$D$67,$D$68,$D$69,$D$70,$D$71,$D$72,$D$73,$D$74,$D$75,$C$56,$C$57,$C$58,$D$59,$C$60),"")</f>
        <v>527160.6391159842</v>
      </c>
      <c r="AP66" s="255">
        <f ca="1">IF(NOW(),_xll.mirSwapPV($C$51,$C$52,$C$54,$AA66,$C$55,$AC66+AP$51,$C$64,$C$65,$C$66,$C$67,$C$68,$C$69,$C$70,$C$74,$C$75,$D$63,$D$64,$D$65,$D$66,$D$67,$D$68,$D$69,$D$70,$D$71,$D$72,$D$73,$D$74,$D$75,$C$56,$C$57,$C$58,$D$59,$C$60),"")</f>
        <v>790740.95867397648</v>
      </c>
      <c r="AQ66" s="255">
        <f ca="1">IF(NOW(),_xll.mirSwapPV($C$51,$C$52,$C$54,$AA66,$C$55,$AC66+AQ$51,$C$64,$C$65,$C$66,$C$67,$C$68,$C$69,$C$70,$C$74,$C$75,$D$63,$D$64,$D$65,$D$66,$D$67,$D$68,$D$69,$D$70,$D$71,$D$72,$D$73,$D$74,$D$75,$C$56,$C$57,$C$58,$D$59,$C$60),"")</f>
        <v>1054321.2782319682</v>
      </c>
      <c r="AR66" s="255">
        <f ca="1">IF(NOW(),_xll.mirSwapPV($C$51,$C$52,$C$54,$AA66,$C$55,$AC66+AR$51,$C$64,$C$65,$C$66,$C$67,$C$68,$C$69,$C$70,$C$74,$C$75,$D$63,$D$64,$D$65,$D$66,$D$67,$D$68,$D$69,$D$70,$D$71,$D$72,$D$73,$D$74,$D$75,$C$56,$C$57,$C$58,$D$59,$C$60),"")</f>
        <v>1317901.5977899607</v>
      </c>
    </row>
    <row r="67" spans="2:44">
      <c r="B67" s="234" t="s">
        <v>174</v>
      </c>
      <c r="C67" s="240" t="s">
        <v>197</v>
      </c>
      <c r="D67" s="240" t="s">
        <v>197</v>
      </c>
      <c r="E67" s="224"/>
      <c r="F67" s="224" t="s">
        <v>14</v>
      </c>
      <c r="G67" s="227">
        <f>_xll.mirGetDate($C$6,F67)</f>
        <v>60461</v>
      </c>
      <c r="H67" s="260">
        <f t="shared" si="14"/>
        <v>2.4055E-2</v>
      </c>
      <c r="I67" s="229">
        <f ca="1">IF(NOW(),_xll.mirGetParRate4($C$54,$G67,$C$55,$C$64,$C$65,$C$66,$C$67,$C$68,$C$69,$C$70,$C$74,$C$75,$D$64,$D$65,$D$66,$D$67,$D$68,$D$69,$D$70,$D$71,$D$72,$D$73,$D$74,$D$75,$C$56,$C$57,$C$58,$C$59,$C$60),"")</f>
        <v>2.4058050527645369E-2</v>
      </c>
      <c r="J67" s="229">
        <f t="shared" ca="1" si="10"/>
        <v>3.0505276453693386E-6</v>
      </c>
      <c r="K67" s="230">
        <f t="shared" ca="1" si="11"/>
        <v>3.0505276453693386E-2</v>
      </c>
      <c r="L67" s="230" t="s">
        <v>12</v>
      </c>
      <c r="M67" s="224" t="s">
        <v>14</v>
      </c>
      <c r="N67" s="255">
        <f ca="1">IF(NOW(),_xll.mirSwapPV($C$51,$C$52,$C$54,$G67,$C$55,$I67+N$51,$C$64,$C$65,$C$66,$C$67,$C$68,$C$69,$C$70,$C$74,$C$75,$D$63,$D$64,$D$65,$D$66,$D$67,$D$68,$D$69,$D$70,$D$71,$D$72,$D$73,$D$74,$D$75,$C$56,$C$57,$C$58,$C$59,$C$60),"")</f>
        <v>-1498349.9245906647</v>
      </c>
      <c r="O67" s="255">
        <f ca="1">IF(NOW(),_xll.mirSwapPV($C$51,$C$52,$C$54,$G67,$C$55,$I67+O$51,$C$64,$C$65,$C$66,$C$67,$C$68,$C$69,$C$70,$C$74,$C$75,$D$63,$D$64,$D$65,$D$66,$D$67,$D$68,$D$69,$D$70,$D$71,$D$72,$D$73,$D$74,$D$75,$C$56,$C$57,$C$58,$C$59,$C$60),"")</f>
        <v>-1198679.9396725316</v>
      </c>
      <c r="P67" s="255">
        <f ca="1">IF(NOW(),_xll.mirSwapPV($C$51,$C$52,$C$54,$G67,$C$55,$I67+P$51,$C$64,$C$65,$C$66,$C$67,$C$68,$C$69,$C$70,$C$74,$C$75,$D$63,$D$64,$D$65,$D$66,$D$67,$D$68,$D$69,$D$70,$D$71,$D$72,$D$73,$D$74,$D$75,$C$56,$C$57,$C$58,$C$59,$C$60),"")</f>
        <v>-899009.95475439855</v>
      </c>
      <c r="Q67" s="255">
        <f ca="1">IF(NOW(),_xll.mirSwapPV($C$51,$C$52,$C$54,$G67,$C$55,$I67+Q$51,$C$64,$C$65,$C$66,$C$67,$C$68,$C$69,$C$70,$C$74,$C$75,$D$63,$D$64,$D$65,$D$66,$D$67,$D$68,$D$69,$D$70,$D$71,$D$72,$D$73,$D$74,$D$75,$C$56,$C$57,$C$58,$C$59,$C$60),"")</f>
        <v>-599339.96983626566</v>
      </c>
      <c r="R67" s="255">
        <f ca="1">IF(NOW(),_xll.mirSwapPV($C$51,$C$52,$C$54,$G67,$C$55,$I67+R$51,$C$64,$C$65,$C$66,$C$67,$C$68,$C$69,$C$70,$C$74,$C$75,$D$63,$D$64,$D$65,$D$66,$D$67,$D$68,$D$69,$D$70,$D$71,$D$72,$D$73,$D$74,$D$75,$C$56,$C$57,$C$58,$C$59,$C$60),"")</f>
        <v>-299669.98491813277</v>
      </c>
      <c r="S67" s="255">
        <f ca="1">IF(NOW(),_xll.mirSwapPV($C$51,$C$52,$C$54,$G67,$C$55,$I67+S$51,$C$64,$C$65,$C$66,$C$67,$C$68,$C$69,$C$70,$C$74,$C$75,$D$63,$D$64,$D$65,$D$66,$D$67,$D$68,$D$69,$D$70,$D$71,$D$72,$D$73,$D$74,$D$75,$C$56,$C$57,$C$58,$C$59,$C$60),"")</f>
        <v>0</v>
      </c>
      <c r="T67" s="255">
        <f ca="1">IF(NOW(),_xll.mirSwapPV($C$51,$C$52,$C$54,$G67,$C$55,$I67+T$51,$C$64,$C$65,$C$66,$C$67,$C$68,$C$69,$C$70,$C$74,$C$75,$D$63,$D$64,$D$65,$D$66,$D$67,$D$68,$D$69,$D$70,$D$71,$D$72,$D$73,$D$74,$D$75,$C$56,$C$57,$C$58,$C$59,$C$60),"")</f>
        <v>299669.98491813289</v>
      </c>
      <c r="U67" s="255">
        <f ca="1">IF(NOW(),_xll.mirSwapPV($C$51,$C$52,$C$54,$G67,$C$55,$I67+U$51,$C$64,$C$65,$C$66,$C$67,$C$68,$C$69,$C$70,$C$74,$C$75,$D$63,$D$64,$D$65,$D$66,$D$67,$D$68,$D$69,$D$70,$D$71,$D$72,$D$73,$D$74,$D$75,$C$56,$C$57,$C$58,$C$59,$C$60),"")</f>
        <v>599339.9698362659</v>
      </c>
      <c r="V67" s="255">
        <f ca="1">IF(NOW(),_xll.mirSwapPV($C$51,$C$52,$C$54,$G67,$C$55,$I67+V$51,$C$64,$C$65,$C$66,$C$67,$C$68,$C$69,$C$70,$C$74,$C$75,$D$63,$D$64,$D$65,$D$66,$D$67,$D$68,$D$69,$D$70,$D$71,$D$72,$D$73,$D$74,$D$75,$C$56,$C$57,$C$58,$C$59,$C$60),"")</f>
        <v>899009.95475439867</v>
      </c>
      <c r="W67" s="255">
        <f ca="1">IF(NOW(),_xll.mirSwapPV($C$51,$C$52,$C$54,$G67,$C$55,$I67+W$51,$C$64,$C$65,$C$66,$C$67,$C$68,$C$69,$C$70,$C$74,$C$75,$D$63,$D$64,$D$65,$D$66,$D$67,$D$68,$D$69,$D$70,$D$71,$D$72,$D$73,$D$74,$D$75,$C$56,$C$57,$C$58,$C$59,$C$60),"")</f>
        <v>1198679.9396725316</v>
      </c>
      <c r="X67" s="255">
        <f ca="1">IF(NOW(),_xll.mirSwapPV($C$51,$C$52,$C$54,$G67,$C$55,$I67+X$51,$C$64,$C$65,$C$66,$C$67,$C$68,$C$69,$C$70,$C$74,$C$75,$D$63,$D$64,$D$65,$D$66,$D$67,$D$68,$D$69,$D$70,$D$71,$D$72,$D$73,$D$74,$D$75,$C$56,$C$57,$C$58,$C$59,$C$60),"")</f>
        <v>1498349.9245906647</v>
      </c>
      <c r="Y67" s="230" t="s">
        <v>12</v>
      </c>
      <c r="Z67" s="224" t="s">
        <v>14</v>
      </c>
      <c r="AA67" s="227">
        <f>_xll.mirGetDate($C$6,Z67)</f>
        <v>60461</v>
      </c>
      <c r="AB67" s="260">
        <f t="shared" si="15"/>
        <v>2.4055E-2</v>
      </c>
      <c r="AC67" s="229">
        <f ca="1">IF(NOW(),_xll.mirGetParRate4($C$54,$AA67,$C$55,$C$64,$C$65,$C$66,$C$67,$C$68,$C$69,$C$70,$C$74,$C$75,$D$64,$D$65,$D$66,$D$67,$D$68,$D$69,$D$70,$D$71,$D$72,$D$73,$D$74,$D$75,$C$56,$C$57,$C$58,$D$59,$C$60),"")</f>
        <v>2.4058050527645369E-2</v>
      </c>
      <c r="AD67" s="229">
        <f t="shared" ca="1" si="12"/>
        <v>3.0505276453693386E-6</v>
      </c>
      <c r="AE67" s="230">
        <f t="shared" ca="1" si="13"/>
        <v>3.0505276453693386E-2</v>
      </c>
      <c r="AG67" s="224" t="s">
        <v>14</v>
      </c>
      <c r="AH67" s="255">
        <f ca="1">IF(NOW(),_xll.mirSwapPV($C$51,$C$52,$C$54,$AA67,$C$55,$AC67+AH$51,$C$64,$C$65,$C$66,$C$67,$C$68,$C$69,$C$70,$C$74,$C$75,$D$63,$D$64,$D$65,$D$66,$D$67,$D$68,$D$69,$D$70,$D$71,$D$72,$D$73,$D$74,$D$75,$C$56,$C$57,$C$58,$D$59,$C$60),"")</f>
        <v>-1498349.9245906647</v>
      </c>
      <c r="AI67" s="255">
        <f ca="1">IF(NOW(),_xll.mirSwapPV($C$51,$C$52,$C$54,$AA67,$C$55,$AC67+AI$51,$C$64,$C$65,$C$66,$C$67,$C$68,$C$69,$C$70,$C$74,$C$75,$D$63,$D$64,$D$65,$D$66,$D$67,$D$68,$D$69,$D$70,$D$71,$D$72,$D$73,$D$74,$D$75,$C$56,$C$57,$C$58,$D$59,$C$60),"")</f>
        <v>-1198679.9396725316</v>
      </c>
      <c r="AJ67" s="255">
        <f ca="1">IF(NOW(),_xll.mirSwapPV($C$51,$C$52,$C$54,$AA67,$C$55,$AC67+AJ$51,$C$64,$C$65,$C$66,$C$67,$C$68,$C$69,$C$70,$C$74,$C$75,$D$63,$D$64,$D$65,$D$66,$D$67,$D$68,$D$69,$D$70,$D$71,$D$72,$D$73,$D$74,$D$75,$C$56,$C$57,$C$58,$D$59,$C$60),"")</f>
        <v>-899009.95475439855</v>
      </c>
      <c r="AK67" s="255">
        <f ca="1">IF(NOW(),_xll.mirSwapPV($C$51,$C$52,$C$54,$AA67,$C$55,$AC67+AK$51,$C$64,$C$65,$C$66,$C$67,$C$68,$C$69,$C$70,$C$74,$C$75,$D$63,$D$64,$D$65,$D$66,$D$67,$D$68,$D$69,$D$70,$D$71,$D$72,$D$73,$D$74,$D$75,$C$56,$C$57,$C$58,$D$59,$C$60),"")</f>
        <v>-599339.96983626566</v>
      </c>
      <c r="AL67" s="255">
        <f ca="1">IF(NOW(),_xll.mirSwapPV($C$51,$C$52,$C$54,$AA67,$C$55,$AC67+AL$51,$C$64,$C$65,$C$66,$C$67,$C$68,$C$69,$C$70,$C$74,$C$75,$D$63,$D$64,$D$65,$D$66,$D$67,$D$68,$D$69,$D$70,$D$71,$D$72,$D$73,$D$74,$D$75,$C$56,$C$57,$C$58,$D$59,$C$60),"")</f>
        <v>-299669.98491813277</v>
      </c>
      <c r="AM67" s="255">
        <f ca="1">IF(NOW(),_xll.mirSwapPV($C$51,$C$52,$C$54,$AA67,$C$55,$AC67+AM$51,$C$64,$C$65,$C$66,$C$67,$C$68,$C$69,$C$70,$C$74,$C$75,$D$63,$D$64,$D$65,$D$66,$D$67,$D$68,$D$69,$D$70,$D$71,$D$72,$D$73,$D$74,$D$75,$C$56,$C$57,$C$58,$D$59,$C$60),"")</f>
        <v>0</v>
      </c>
      <c r="AN67" s="255">
        <f ca="1">IF(NOW(),_xll.mirSwapPV($C$51,$C$52,$C$54,$AA67,$C$55,$AC67+AN$51,$C$64,$C$65,$C$66,$C$67,$C$68,$C$69,$C$70,$C$74,$C$75,$D$63,$D$64,$D$65,$D$66,$D$67,$D$68,$D$69,$D$70,$D$71,$D$72,$D$73,$D$74,$D$75,$C$56,$C$57,$C$58,$D$59,$C$60),"")</f>
        <v>299669.98491813289</v>
      </c>
      <c r="AO67" s="255">
        <f ca="1">IF(NOW(),_xll.mirSwapPV($C$51,$C$52,$C$54,$AA67,$C$55,$AC67+AO$51,$C$64,$C$65,$C$66,$C$67,$C$68,$C$69,$C$70,$C$74,$C$75,$D$63,$D$64,$D$65,$D$66,$D$67,$D$68,$D$69,$D$70,$D$71,$D$72,$D$73,$D$74,$D$75,$C$56,$C$57,$C$58,$D$59,$C$60),"")</f>
        <v>599339.9698362659</v>
      </c>
      <c r="AP67" s="255">
        <f ca="1">IF(NOW(),_xll.mirSwapPV($C$51,$C$52,$C$54,$AA67,$C$55,$AC67+AP$51,$C$64,$C$65,$C$66,$C$67,$C$68,$C$69,$C$70,$C$74,$C$75,$D$63,$D$64,$D$65,$D$66,$D$67,$D$68,$D$69,$D$70,$D$71,$D$72,$D$73,$D$74,$D$75,$C$56,$C$57,$C$58,$D$59,$C$60),"")</f>
        <v>899009.95475439867</v>
      </c>
      <c r="AQ67" s="255">
        <f ca="1">IF(NOW(),_xll.mirSwapPV($C$51,$C$52,$C$54,$AA67,$C$55,$AC67+AQ$51,$C$64,$C$65,$C$66,$C$67,$C$68,$C$69,$C$70,$C$74,$C$75,$D$63,$D$64,$D$65,$D$66,$D$67,$D$68,$D$69,$D$70,$D$71,$D$72,$D$73,$D$74,$D$75,$C$56,$C$57,$C$58,$D$59,$C$60),"")</f>
        <v>1198679.9396725316</v>
      </c>
      <c r="AR67" s="255">
        <f ca="1">IF(NOW(),_xll.mirSwapPV($C$51,$C$52,$C$54,$AA67,$C$55,$AC67+AR$51,$C$64,$C$65,$C$66,$C$67,$C$68,$C$69,$C$70,$C$74,$C$75,$D$63,$D$64,$D$65,$D$66,$D$67,$D$68,$D$69,$D$70,$D$71,$D$72,$D$73,$D$74,$D$75,$C$56,$C$57,$C$58,$D$59,$C$60),"")</f>
        <v>1498349.9245906647</v>
      </c>
    </row>
    <row r="68" spans="2:44">
      <c r="B68" s="234" t="s">
        <v>444</v>
      </c>
      <c r="C68" s="243"/>
      <c r="D68" s="243"/>
      <c r="E68" s="244"/>
      <c r="F68" s="224"/>
      <c r="G68" s="227"/>
      <c r="H68" s="260"/>
      <c r="I68" s="229"/>
      <c r="J68" s="229"/>
      <c r="K68" s="230"/>
      <c r="L68" s="230"/>
      <c r="M68" s="224"/>
      <c r="N68" s="255"/>
      <c r="O68" s="255"/>
      <c r="P68" s="255"/>
      <c r="Q68" s="255"/>
      <c r="R68" s="255"/>
      <c r="S68" s="255"/>
      <c r="T68" s="255"/>
      <c r="U68" s="255"/>
      <c r="V68" s="255"/>
      <c r="W68" s="255"/>
      <c r="X68" s="255"/>
      <c r="Y68" s="230"/>
      <c r="Z68" s="224"/>
      <c r="AA68" s="227"/>
      <c r="AB68" s="260"/>
      <c r="AC68" s="229"/>
      <c r="AD68" s="229"/>
      <c r="AE68" s="230"/>
      <c r="AG68" s="224"/>
      <c r="AH68" s="255"/>
      <c r="AI68" s="255"/>
      <c r="AJ68" s="255"/>
      <c r="AK68" s="255"/>
      <c r="AL68" s="255"/>
      <c r="AM68" s="255"/>
      <c r="AN68" s="255"/>
      <c r="AO68" s="255"/>
      <c r="AP68" s="255"/>
      <c r="AQ68" s="255"/>
      <c r="AR68" s="255"/>
    </row>
    <row r="69" spans="2:44">
      <c r="B69" s="234" t="s">
        <v>445</v>
      </c>
      <c r="C69" s="243"/>
      <c r="D69" s="243"/>
      <c r="E69" s="245"/>
      <c r="F69" s="224"/>
      <c r="G69" s="227"/>
      <c r="H69" s="260"/>
      <c r="I69" s="229"/>
      <c r="J69" s="229"/>
      <c r="K69" s="230"/>
      <c r="L69" s="230"/>
      <c r="M69" s="224"/>
      <c r="N69" s="255"/>
      <c r="O69" s="255"/>
      <c r="P69" s="255"/>
      <c r="Q69" s="255"/>
      <c r="R69" s="255"/>
      <c r="S69" s="255"/>
      <c r="T69" s="255"/>
      <c r="U69" s="255"/>
      <c r="V69" s="255"/>
      <c r="W69" s="255"/>
      <c r="X69" s="255"/>
      <c r="Y69" s="230"/>
      <c r="Z69" s="224"/>
      <c r="AA69" s="227"/>
      <c r="AB69" s="260"/>
      <c r="AC69" s="229"/>
      <c r="AD69" s="229"/>
      <c r="AE69" s="230"/>
      <c r="AG69" s="224"/>
      <c r="AH69" s="255"/>
      <c r="AI69" s="255"/>
      <c r="AJ69" s="255"/>
      <c r="AK69" s="255"/>
      <c r="AL69" s="255"/>
      <c r="AM69" s="255"/>
      <c r="AN69" s="255"/>
      <c r="AO69" s="255"/>
      <c r="AP69" s="255"/>
      <c r="AQ69" s="255"/>
      <c r="AR69" s="255"/>
    </row>
    <row r="70" spans="2:44">
      <c r="B70" s="234" t="s">
        <v>446</v>
      </c>
      <c r="C70" s="240">
        <v>13</v>
      </c>
      <c r="D70" s="240">
        <v>13</v>
      </c>
      <c r="F70" s="224"/>
      <c r="G70" s="227"/>
      <c r="H70" s="260"/>
      <c r="I70" s="229"/>
      <c r="J70" s="229"/>
      <c r="K70" s="230"/>
      <c r="L70" s="230"/>
      <c r="M70" s="224"/>
      <c r="N70" s="255"/>
      <c r="O70" s="255"/>
      <c r="P70" s="255"/>
      <c r="Q70" s="255"/>
      <c r="R70" s="255"/>
      <c r="S70" s="255"/>
      <c r="T70" s="255"/>
      <c r="U70" s="255"/>
      <c r="V70" s="255"/>
      <c r="W70" s="255"/>
      <c r="X70" s="255"/>
      <c r="Y70" s="230"/>
      <c r="Z70" s="224"/>
      <c r="AA70" s="227"/>
      <c r="AB70" s="260"/>
      <c r="AC70" s="229"/>
      <c r="AD70" s="229"/>
      <c r="AE70" s="230"/>
      <c r="AG70" s="224"/>
      <c r="AH70" s="255"/>
      <c r="AI70" s="255"/>
      <c r="AJ70" s="255"/>
      <c r="AK70" s="255"/>
      <c r="AL70" s="255"/>
      <c r="AM70" s="255"/>
      <c r="AN70" s="255"/>
      <c r="AO70" s="255"/>
      <c r="AP70" s="255"/>
      <c r="AQ70" s="255"/>
      <c r="AR70" s="255"/>
    </row>
    <row r="71" spans="2:44">
      <c r="B71" s="234" t="s">
        <v>447</v>
      </c>
      <c r="C71" s="241" t="s">
        <v>6</v>
      </c>
      <c r="D71" s="246" t="s">
        <v>448</v>
      </c>
      <c r="F71" s="224"/>
      <c r="G71" s="224"/>
      <c r="H71" s="224"/>
      <c r="K71" s="10"/>
      <c r="L71" s="10"/>
      <c r="M71" s="10"/>
      <c r="P71" s="252"/>
      <c r="AG71" s="10"/>
      <c r="AJ71" s="252"/>
    </row>
    <row r="72" spans="2:44">
      <c r="B72" s="234" t="s">
        <v>449</v>
      </c>
      <c r="C72" s="241" t="s">
        <v>6</v>
      </c>
      <c r="D72" s="247">
        <v>7.3312999999999998E-3</v>
      </c>
      <c r="F72" s="224"/>
      <c r="G72" s="224"/>
      <c r="H72" s="224"/>
      <c r="I72" s="11"/>
      <c r="J72" s="248"/>
      <c r="K72" s="249"/>
      <c r="L72" s="249"/>
      <c r="M72" s="249"/>
      <c r="AG72" s="249"/>
    </row>
    <row r="73" spans="2:44">
      <c r="B73" s="234" t="s">
        <v>450</v>
      </c>
      <c r="C73" s="241" t="s">
        <v>6</v>
      </c>
      <c r="D73" s="250"/>
      <c r="I73" s="224"/>
      <c r="J73" s="224"/>
      <c r="K73" s="230"/>
      <c r="L73" s="230"/>
      <c r="M73" s="230"/>
      <c r="AG73" s="230"/>
    </row>
    <row r="74" spans="2:44">
      <c r="B74" s="234" t="s">
        <v>452</v>
      </c>
      <c r="C74" s="246" t="s">
        <v>448</v>
      </c>
      <c r="D74" s="246" t="s">
        <v>448</v>
      </c>
      <c r="M74" s="259"/>
      <c r="AG74" s="259"/>
    </row>
    <row r="75" spans="2:44">
      <c r="B75" s="225" t="s">
        <v>453</v>
      </c>
      <c r="C75" s="251" t="s">
        <v>457</v>
      </c>
      <c r="D75" s="251" t="s">
        <v>457</v>
      </c>
      <c r="F75" s="224"/>
      <c r="G75" s="118"/>
      <c r="M75" s="219" t="s">
        <v>462</v>
      </c>
      <c r="N75" s="219"/>
      <c r="O75" s="229"/>
      <c r="P75" s="252"/>
      <c r="Q75" s="252"/>
      <c r="R75" s="229"/>
      <c r="S75" s="229" t="s">
        <v>459</v>
      </c>
      <c r="T75" s="229"/>
      <c r="U75" s="229"/>
      <c r="V75" s="229"/>
      <c r="W75" t="s">
        <v>463</v>
      </c>
      <c r="X75" s="259" t="b">
        <f>$C$11</f>
        <v>1</v>
      </c>
      <c r="AG75" s="219" t="s">
        <v>462</v>
      </c>
      <c r="AH75" s="219"/>
      <c r="AI75" s="229"/>
      <c r="AJ75" s="252"/>
      <c r="AK75" s="252"/>
      <c r="AL75" s="229"/>
      <c r="AM75" s="229" t="s">
        <v>459</v>
      </c>
      <c r="AN75" s="229"/>
      <c r="AO75" s="229"/>
      <c r="AP75" s="229"/>
      <c r="AQ75" t="s">
        <v>463</v>
      </c>
      <c r="AR75" s="259" t="b">
        <f>$D$11</f>
        <v>0</v>
      </c>
    </row>
    <row r="76" spans="2:44">
      <c r="F76" s="224"/>
      <c r="G76" s="224"/>
      <c r="H76" s="224"/>
      <c r="I76" s="224"/>
      <c r="J76" s="224"/>
      <c r="K76" s="224"/>
      <c r="L76" s="224"/>
      <c r="M76" s="224" t="s">
        <v>76</v>
      </c>
      <c r="N76" s="230">
        <v>500</v>
      </c>
      <c r="O76" s="230">
        <f>N76-100</f>
        <v>400</v>
      </c>
      <c r="P76" s="230">
        <f t="shared" ref="P76:X76" si="16">O76-100</f>
        <v>300</v>
      </c>
      <c r="Q76" s="230">
        <f t="shared" si="16"/>
        <v>200</v>
      </c>
      <c r="R76" s="230">
        <f t="shared" si="16"/>
        <v>100</v>
      </c>
      <c r="S76" s="230">
        <f t="shared" si="16"/>
        <v>0</v>
      </c>
      <c r="T76" s="230">
        <f t="shared" si="16"/>
        <v>-100</v>
      </c>
      <c r="U76" s="230">
        <f t="shared" si="16"/>
        <v>-200</v>
      </c>
      <c r="V76" s="230">
        <f t="shared" si="16"/>
        <v>-300</v>
      </c>
      <c r="W76" s="230">
        <f t="shared" si="16"/>
        <v>-400</v>
      </c>
      <c r="X76" s="230">
        <f t="shared" si="16"/>
        <v>-500</v>
      </c>
      <c r="Y76" s="224"/>
      <c r="AE76" s="11"/>
      <c r="AG76" s="224" t="s">
        <v>76</v>
      </c>
      <c r="AH76" s="230">
        <v>500</v>
      </c>
      <c r="AI76" s="230">
        <f>AH76-100</f>
        <v>400</v>
      </c>
      <c r="AJ76" s="230">
        <f t="shared" ref="AJ76:AR76" si="17">AI76-100</f>
        <v>300</v>
      </c>
      <c r="AK76" s="230">
        <f t="shared" si="17"/>
        <v>200</v>
      </c>
      <c r="AL76" s="230">
        <f t="shared" si="17"/>
        <v>100</v>
      </c>
      <c r="AM76" s="230">
        <f t="shared" si="17"/>
        <v>0</v>
      </c>
      <c r="AN76" s="230">
        <f t="shared" si="17"/>
        <v>-100</v>
      </c>
      <c r="AO76" s="230">
        <f t="shared" si="17"/>
        <v>-200</v>
      </c>
      <c r="AP76" s="230">
        <f t="shared" si="17"/>
        <v>-300</v>
      </c>
      <c r="AQ76" s="230">
        <f t="shared" si="17"/>
        <v>-400</v>
      </c>
      <c r="AR76" s="230">
        <f t="shared" si="17"/>
        <v>-500</v>
      </c>
    </row>
    <row r="77" spans="2:44">
      <c r="F77" s="230"/>
      <c r="G77" s="227"/>
      <c r="H77" s="229"/>
      <c r="I77" s="229"/>
      <c r="J77" s="229"/>
      <c r="K77" s="230"/>
      <c r="L77" s="230"/>
      <c r="M77" s="227" t="s">
        <v>42</v>
      </c>
      <c r="N77" s="255">
        <f ca="1">IF(NOW(),_xll.mirSwapPV($C$51,$C$52,$C$54,$G52,$C$55,$I52,$C$64,$C$65,$C$66,$C$67,$C$68,$C$69,$C$70,$C$74,$C$75,$D$63+N$76,$D$64,$D$65,$D$66,$D$67,$D$68,$D$69,$D$70,$D$71,$D$72,$D$73,$D$74,$D$75,$C$56,$C$57,$C$58,$C$59,$C$60),"")</f>
        <v>-98985.127372311268</v>
      </c>
      <c r="O77" s="255">
        <f ca="1">IF(NOW(),_xll.mirSwapPV($C$51,$C$52,$C$54,$G52,$C$55,$I52,$C$64,$C$65,$C$66,$C$67,$C$68,$C$69,$C$70,$C$74,$C$75,$D$63+O$76,$D$64,$D$65,$D$66,$D$67,$D$68,$D$69,$D$70,$D$71,$D$72,$D$73,$D$74,$D$75,$C$56,$C$57,$C$58,$C$59,$C$60),"")</f>
        <v>-79188.101897849032</v>
      </c>
      <c r="P77" s="255">
        <f ca="1">IF(NOW(),_xll.mirSwapPV($C$51,$C$52,$C$54,$G52,$C$55,$I52,$C$64,$C$65,$C$66,$C$67,$C$68,$C$69,$C$70,$C$74,$C$75,$D$63+P$76,$D$64,$D$65,$D$66,$D$67,$D$68,$D$69,$D$70,$D$71,$D$72,$D$73,$D$74,$D$75,$C$56,$C$57,$C$58,$C$59,$C$60),"")</f>
        <v>-59391.076423386767</v>
      </c>
      <c r="Q77" s="255">
        <f ca="1">IF(NOW(),_xll.mirSwapPV($C$51,$C$52,$C$54,$G52,$C$55,$I52,$C$64,$C$65,$C$66,$C$67,$C$68,$C$69,$C$70,$C$74,$C$75,$D$63+Q$76,$D$64,$D$65,$D$66,$D$67,$D$68,$D$69,$D$70,$D$71,$D$72,$D$73,$D$74,$D$75,$C$56,$C$57,$C$58,$C$59,$C$60),"")</f>
        <v>-39594.050948924509</v>
      </c>
      <c r="R77" s="255">
        <f ca="1">IF(NOW(),_xll.mirSwapPV($C$51,$C$52,$C$54,$G52,$C$55,$I52,$C$64,$C$65,$C$66,$C$67,$C$68,$C$69,$C$70,$C$74,$C$75,$D$63+R$76,$D$64,$D$65,$D$66,$D$67,$D$68,$D$69,$D$70,$D$71,$D$72,$D$73,$D$74,$D$75,$C$56,$C$57,$C$58,$C$59,$C$60),"")</f>
        <v>-19797.025474462258</v>
      </c>
      <c r="S77" s="255">
        <f ca="1">IF(NOW(),_xll.mirSwapPV($C$51,$C$52,$C$54,$G52,$C$55,$I52,$C$64,$C$65,$C$66,$C$67,$C$68,$C$69,$C$70,$C$74,$C$75,$D$63+S$76,$D$64,$D$65,$D$66,$D$67,$D$68,$D$69,$D$70,$D$71,$D$72,$D$73,$D$74,$D$75,$C$56,$C$57,$C$58,$C$59,$C$60),"")</f>
        <v>0</v>
      </c>
      <c r="T77" s="255">
        <f ca="1">IF(NOW(),_xll.mirSwapPV($C$51,$C$52,$C$54,$G52,$C$55,$I52,$C$64,$C$65,$C$66,$C$67,$C$68,$C$69,$C$70,$C$74,$C$75,$D$63+T$76,$D$64,$D$65,$D$66,$D$67,$D$68,$D$69,$D$70,$D$71,$D$72,$D$73,$D$74,$D$75,$C$56,$C$57,$C$58,$C$59,$C$60),"")</f>
        <v>19797.025474462251</v>
      </c>
      <c r="U77" s="255">
        <f ca="1">IF(NOW(),_xll.mirSwapPV($C$51,$C$52,$C$54,$G52,$C$55,$I52,$C$64,$C$65,$C$66,$C$67,$C$68,$C$69,$C$70,$C$74,$C$75,$D$63+U$76,$D$64,$D$65,$D$66,$D$67,$D$68,$D$69,$D$70,$D$71,$D$72,$D$73,$D$74,$D$75,$C$56,$C$57,$C$58,$C$59,$C$60),"")</f>
        <v>39594.050948924501</v>
      </c>
      <c r="V77" s="255">
        <f ca="1">IF(NOW(),_xll.mirSwapPV($C$51,$C$52,$C$54,$G52,$C$55,$I52,$C$64,$C$65,$C$66,$C$67,$C$68,$C$69,$C$70,$C$74,$C$75,$D$63+V$76,$D$64,$D$65,$D$66,$D$67,$D$68,$D$69,$D$70,$D$71,$D$72,$D$73,$D$74,$D$75,$C$56,$C$57,$C$58,$C$59,$C$60),"")</f>
        <v>59391.076423386767</v>
      </c>
      <c r="W77" s="255">
        <f ca="1">IF(NOW(),_xll.mirSwapPV($C$51,$C$52,$C$54,$G52,$C$55,$I52,$C$64,$C$65,$C$66,$C$67,$C$68,$C$69,$C$70,$C$74,$C$75,$D$63+W$76,$D$64,$D$65,$D$66,$D$67,$D$68,$D$69,$D$70,$D$71,$D$72,$D$73,$D$74,$D$75,$C$56,$C$57,$C$58,$C$59,$C$60),"")</f>
        <v>79188.101897849003</v>
      </c>
      <c r="X77" s="255">
        <f ca="1">IF(NOW(),_xll.mirSwapPV($C$51,$C$52,$C$54,$G52,$C$55,$I52,$C$64,$C$65,$C$66,$C$67,$C$68,$C$69,$C$70,$C$74,$C$75,$D$63+X$76,$D$64,$D$65,$D$66,$D$67,$D$68,$D$69,$D$70,$D$71,$D$72,$D$73,$D$74,$D$75,$C$56,$C$57,$C$58,$C$59,$C$60),"")</f>
        <v>98985.127372311268</v>
      </c>
      <c r="Y77" s="229"/>
      <c r="AE77" s="230"/>
      <c r="AG77" s="227" t="s">
        <v>42</v>
      </c>
      <c r="AH77" s="255">
        <f ca="1">IF(NOW(),_xll.mirSwapPV($C$51,$C$52,$C$54,$AA52,$C$55,$AC52,$C$64,$C$65,$C$66,$C$67,$C$68,$C$69,$C$70,$C$74,$C$75,$D$63+AH$76,$D$64,$D$65,$D$66,$D$67,$D$68,$D$69,$D$70,$D$71,$D$72,$D$73,$D$74,$D$75,$C$56,$C$57,$C$58,$D$59,$C$60),"")</f>
        <v>-98985.127372311268</v>
      </c>
      <c r="AI77" s="255">
        <f ca="1">IF(NOW(),_xll.mirSwapPV($C$51,$C$52,$C$54,$AA52,$C$55,$AC52,$C$64,$C$65,$C$66,$C$67,$C$68,$C$69,$C$70,$C$74,$C$75,$D$63+AI$76,$D$64,$D$65,$D$66,$D$67,$D$68,$D$69,$D$70,$D$71,$D$72,$D$73,$D$74,$D$75,$C$56,$C$57,$C$58,$D$59,$C$60),"")</f>
        <v>-79188.101897849032</v>
      </c>
      <c r="AJ77" s="255">
        <f ca="1">IF(NOW(),_xll.mirSwapPV($C$51,$C$52,$C$54,$AA52,$C$55,$AC52,$C$64,$C$65,$C$66,$C$67,$C$68,$C$69,$C$70,$C$74,$C$75,$D$63+AJ$76,$D$64,$D$65,$D$66,$D$67,$D$68,$D$69,$D$70,$D$71,$D$72,$D$73,$D$74,$D$75,$C$56,$C$57,$C$58,$D$59,$C$60),"")</f>
        <v>-59391.076423386752</v>
      </c>
      <c r="AK77" s="255">
        <f ca="1">IF(NOW(),_xll.mirSwapPV($C$51,$C$52,$C$54,$AA52,$C$55,$AC52,$C$64,$C$65,$C$66,$C$67,$C$68,$C$69,$C$70,$C$74,$C$75,$D$63+AK$76,$D$64,$D$65,$D$66,$D$67,$D$68,$D$69,$D$70,$D$71,$D$72,$D$73,$D$74,$D$75,$C$56,$C$57,$C$58,$D$59,$C$60),"")</f>
        <v>-39594.050948924501</v>
      </c>
      <c r="AL77" s="255">
        <f ca="1">IF(NOW(),_xll.mirSwapPV($C$51,$C$52,$C$54,$AA52,$C$55,$AC52,$C$64,$C$65,$C$66,$C$67,$C$68,$C$69,$C$70,$C$74,$C$75,$D$63+AL$76,$D$64,$D$65,$D$66,$D$67,$D$68,$D$69,$D$70,$D$71,$D$72,$D$73,$D$74,$D$75,$C$56,$C$57,$C$58,$D$59,$C$60),"")</f>
        <v>-19797.025474462251</v>
      </c>
      <c r="AM77" s="255">
        <f ca="1">IF(NOW(),_xll.mirSwapPV($C$51,$C$52,$C$54,$AA52,$C$55,$AC52,$C$64,$C$65,$C$66,$C$67,$C$68,$C$69,$C$70,$C$74,$C$75,$D$63+AM$76,$D$64,$D$65,$D$66,$D$67,$D$68,$D$69,$D$70,$D$71,$D$72,$D$73,$D$74,$D$75,$C$56,$C$57,$C$58,$D$59,$C$60),"")</f>
        <v>0</v>
      </c>
      <c r="AN77" s="255">
        <f ca="1">IF(NOW(),_xll.mirSwapPV($C$51,$C$52,$C$54,$AA52,$C$55,$AC52,$C$64,$C$65,$C$66,$C$67,$C$68,$C$69,$C$70,$C$74,$C$75,$D$63+AN$76,$D$64,$D$65,$D$66,$D$67,$D$68,$D$69,$D$70,$D$71,$D$72,$D$73,$D$74,$D$75,$C$56,$C$57,$C$58,$D$59,$C$60),"")</f>
        <v>19797.025474462254</v>
      </c>
      <c r="AO77" s="255">
        <f ca="1">IF(NOW(),_xll.mirSwapPV($C$51,$C$52,$C$54,$AA52,$C$55,$AC52,$C$64,$C$65,$C$66,$C$67,$C$68,$C$69,$C$70,$C$74,$C$75,$D$63+AO$76,$D$64,$D$65,$D$66,$D$67,$D$68,$D$69,$D$70,$D$71,$D$72,$D$73,$D$74,$D$75,$C$56,$C$57,$C$58,$D$59,$C$60),"")</f>
        <v>39594.050948924501</v>
      </c>
      <c r="AP77" s="255">
        <f ca="1">IF(NOW(),_xll.mirSwapPV($C$51,$C$52,$C$54,$AA52,$C$55,$AC52,$C$64,$C$65,$C$66,$C$67,$C$68,$C$69,$C$70,$C$74,$C$75,$D$63+AP$76,$D$64,$D$65,$D$66,$D$67,$D$68,$D$69,$D$70,$D$71,$D$72,$D$73,$D$74,$D$75,$C$56,$C$57,$C$58,$D$59,$C$60),"")</f>
        <v>59391.076423386767</v>
      </c>
      <c r="AQ77" s="255">
        <f ca="1">IF(NOW(),_xll.mirSwapPV($C$51,$C$52,$C$54,$AA52,$C$55,$AC52,$C$64,$C$65,$C$66,$C$67,$C$68,$C$69,$C$70,$C$74,$C$75,$D$63+AQ$76,$D$64,$D$65,$D$66,$D$67,$D$68,$D$69,$D$70,$D$71,$D$72,$D$73,$D$74,$D$75,$C$56,$C$57,$C$58,$D$59,$C$60),"")</f>
        <v>79188.101897849003</v>
      </c>
      <c r="AR77" s="255">
        <f ca="1">IF(NOW(),_xll.mirSwapPV($C$51,$C$52,$C$54,$AA52,$C$55,$AC52,$C$64,$C$65,$C$66,$C$67,$C$68,$C$69,$C$70,$C$74,$C$75,$D$63+AR$76,$D$64,$D$65,$D$66,$D$67,$D$68,$D$69,$D$70,$D$71,$D$72,$D$73,$D$74,$D$75,$C$56,$C$57,$C$58,$D$59,$C$60),"")</f>
        <v>98985.127372311268</v>
      </c>
    </row>
    <row r="78" spans="2:44">
      <c r="F78" s="230"/>
      <c r="G78" s="227"/>
      <c r="H78" s="229"/>
      <c r="I78" s="229"/>
      <c r="J78" s="229"/>
      <c r="K78" s="230"/>
      <c r="L78" s="230"/>
      <c r="M78" s="224" t="s">
        <v>39</v>
      </c>
      <c r="N78" s="255">
        <f ca="1">IF(NOW(),_xll.mirSwapPV($C$51,$C$52,$C$54,$G53,$C$55,$I53,$C$64,$C$65,$C$66,$C$67,$C$68,$C$69,$C$70,$C$74,$C$75,$D$63+N$76,$D$64,$D$65,$D$66,$D$67,$D$68,$D$69,$D$70,$D$71,$D$72,$D$73,$D$74,$D$75,$C$56,$C$57,$C$58,$C$59,$C$60),"")</f>
        <v>-147592.05976994699</v>
      </c>
      <c r="O78" s="255">
        <f ca="1">IF(NOW(),_xll.mirSwapPV($C$51,$C$52,$C$54,$G53,$C$55,$I53,$C$64,$C$65,$C$66,$C$67,$C$68,$C$69,$C$70,$C$74,$C$75,$D$63+O$76,$D$64,$D$65,$D$66,$D$67,$D$68,$D$69,$D$70,$D$71,$D$72,$D$73,$D$74,$D$75,$C$56,$C$57,$C$58,$C$59,$C$60),"")</f>
        <v>-118073.64781595759</v>
      </c>
      <c r="P78" s="255">
        <f ca="1">IF(NOW(),_xll.mirSwapPV($C$51,$C$52,$C$54,$G53,$C$55,$I53,$C$64,$C$65,$C$66,$C$67,$C$68,$C$69,$C$70,$C$74,$C$75,$D$63+P$76,$D$64,$D$65,$D$66,$D$67,$D$68,$D$69,$D$70,$D$71,$D$72,$D$73,$D$74,$D$75,$C$56,$C$57,$C$58,$C$59,$C$60),"")</f>
        <v>-88555.235861968191</v>
      </c>
      <c r="Q78" s="255">
        <f ca="1">IF(NOW(),_xll.mirSwapPV($C$51,$C$52,$C$54,$G53,$C$55,$I53,$C$64,$C$65,$C$66,$C$67,$C$68,$C$69,$C$70,$C$74,$C$75,$D$63+Q$76,$D$64,$D$65,$D$66,$D$67,$D$68,$D$69,$D$70,$D$71,$D$72,$D$73,$D$74,$D$75,$C$56,$C$57,$C$58,$C$59,$C$60),"")</f>
        <v>-59036.823907978789</v>
      </c>
      <c r="R78" s="255">
        <f ca="1">IF(NOW(),_xll.mirSwapPV($C$51,$C$52,$C$54,$G53,$C$55,$I53,$C$64,$C$65,$C$66,$C$67,$C$68,$C$69,$C$70,$C$74,$C$75,$D$63+R$76,$D$64,$D$65,$D$66,$D$67,$D$68,$D$69,$D$70,$D$71,$D$72,$D$73,$D$74,$D$75,$C$56,$C$57,$C$58,$C$59,$C$60),"")</f>
        <v>-29518.411953989395</v>
      </c>
      <c r="S78" s="255">
        <f ca="1">IF(NOW(),_xll.mirSwapPV($C$51,$C$52,$C$54,$G53,$C$55,$I53,$C$64,$C$65,$C$66,$C$67,$C$68,$C$69,$C$70,$C$74,$C$75,$D$63+S$76,$D$64,$D$65,$D$66,$D$67,$D$68,$D$69,$D$70,$D$71,$D$72,$D$73,$D$74,$D$75,$C$56,$C$57,$C$58,$C$59,$C$60),"")</f>
        <v>0</v>
      </c>
      <c r="T78" s="255">
        <f ca="1">IF(NOW(),_xll.mirSwapPV($C$51,$C$52,$C$54,$G53,$C$55,$I53,$C$64,$C$65,$C$66,$C$67,$C$68,$C$69,$C$70,$C$74,$C$75,$D$63+T$76,$D$64,$D$65,$D$66,$D$67,$D$68,$D$69,$D$70,$D$71,$D$72,$D$73,$D$74,$D$75,$C$56,$C$57,$C$58,$C$59,$C$60),"")</f>
        <v>29518.411953989387</v>
      </c>
      <c r="U78" s="255">
        <f ca="1">IF(NOW(),_xll.mirSwapPV($C$51,$C$52,$C$54,$G53,$C$55,$I53,$C$64,$C$65,$C$66,$C$67,$C$68,$C$69,$C$70,$C$74,$C$75,$D$63+U$76,$D$64,$D$65,$D$66,$D$67,$D$68,$D$69,$D$70,$D$71,$D$72,$D$73,$D$74,$D$75,$C$56,$C$57,$C$58,$C$59,$C$60),"")</f>
        <v>59036.823907978782</v>
      </c>
      <c r="V78" s="255">
        <f ca="1">IF(NOW(),_xll.mirSwapPV($C$51,$C$52,$C$54,$G53,$C$55,$I53,$C$64,$C$65,$C$66,$C$67,$C$68,$C$69,$C$70,$C$74,$C$75,$D$63+V$76,$D$64,$D$65,$D$66,$D$67,$D$68,$D$69,$D$70,$D$71,$D$72,$D$73,$D$74,$D$75,$C$56,$C$57,$C$58,$C$59,$C$60),"")</f>
        <v>88555.235861968191</v>
      </c>
      <c r="W78" s="255">
        <f ca="1">IF(NOW(),_xll.mirSwapPV($C$51,$C$52,$C$54,$G53,$C$55,$I53,$C$64,$C$65,$C$66,$C$67,$C$68,$C$69,$C$70,$C$74,$C$75,$D$63+W$76,$D$64,$D$65,$D$66,$D$67,$D$68,$D$69,$D$70,$D$71,$D$72,$D$73,$D$74,$D$75,$C$56,$C$57,$C$58,$C$59,$C$60),"")</f>
        <v>118073.64781595756</v>
      </c>
      <c r="X78" s="255">
        <f ca="1">IF(NOW(),_xll.mirSwapPV($C$51,$C$52,$C$54,$G53,$C$55,$I53,$C$64,$C$65,$C$66,$C$67,$C$68,$C$69,$C$70,$C$74,$C$75,$D$63+X$76,$D$64,$D$65,$D$66,$D$67,$D$68,$D$69,$D$70,$D$71,$D$72,$D$73,$D$74,$D$75,$C$56,$C$57,$C$58,$C$59,$C$60),"")</f>
        <v>147592.05976994697</v>
      </c>
      <c r="Y78" s="229"/>
      <c r="AG78" s="224" t="s">
        <v>39</v>
      </c>
      <c r="AH78" s="255">
        <f ca="1">IF(NOW(),_xll.mirSwapPV($C$51,$C$52,$C$54,$AA53,$C$55,$AC53,$C$64,$C$65,$C$66,$C$67,$C$68,$C$69,$C$70,$C$74,$C$75,$D$63+AH$76,$D$64,$D$65,$D$66,$D$67,$D$68,$D$69,$D$70,$D$71,$D$72,$D$73,$D$74,$D$75,$C$56,$C$57,$C$58,$D$59,$C$60),"")</f>
        <v>-147592.05976994699</v>
      </c>
      <c r="AI78" s="255">
        <f ca="1">IF(NOW(),_xll.mirSwapPV($C$51,$C$52,$C$54,$AA53,$C$55,$AC53,$C$64,$C$65,$C$66,$C$67,$C$68,$C$69,$C$70,$C$74,$C$75,$D$63+AI$76,$D$64,$D$65,$D$66,$D$67,$D$68,$D$69,$D$70,$D$71,$D$72,$D$73,$D$74,$D$75,$C$56,$C$57,$C$58,$D$59,$C$60),"")</f>
        <v>-118073.64781595756</v>
      </c>
      <c r="AJ78" s="255">
        <f ca="1">IF(NOW(),_xll.mirSwapPV($C$51,$C$52,$C$54,$AA53,$C$55,$AC53,$C$64,$C$65,$C$66,$C$67,$C$68,$C$69,$C$70,$C$74,$C$75,$D$63+AJ$76,$D$64,$D$65,$D$66,$D$67,$D$68,$D$69,$D$70,$D$71,$D$72,$D$73,$D$74,$D$75,$C$56,$C$57,$C$58,$D$59,$C$60),"")</f>
        <v>-88555.235861968162</v>
      </c>
      <c r="AK78" s="255">
        <f ca="1">IF(NOW(),_xll.mirSwapPV($C$51,$C$52,$C$54,$AA53,$C$55,$AC53,$C$64,$C$65,$C$66,$C$67,$C$68,$C$69,$C$70,$C$74,$C$75,$D$63+AK$76,$D$64,$D$65,$D$66,$D$67,$D$68,$D$69,$D$70,$D$71,$D$72,$D$73,$D$74,$D$75,$C$56,$C$57,$C$58,$D$59,$C$60),"")</f>
        <v>-59036.823907978775</v>
      </c>
      <c r="AL78" s="255">
        <f ca="1">IF(NOW(),_xll.mirSwapPV($C$51,$C$52,$C$54,$AA53,$C$55,$AC53,$C$64,$C$65,$C$66,$C$67,$C$68,$C$69,$C$70,$C$74,$C$75,$D$63+AL$76,$D$64,$D$65,$D$66,$D$67,$D$68,$D$69,$D$70,$D$71,$D$72,$D$73,$D$74,$D$75,$C$56,$C$57,$C$58,$D$59,$C$60),"")</f>
        <v>-29518.411953989395</v>
      </c>
      <c r="AM78" s="255">
        <f ca="1">IF(NOW(),_xll.mirSwapPV($C$51,$C$52,$C$54,$AA53,$C$55,$AC53,$C$64,$C$65,$C$66,$C$67,$C$68,$C$69,$C$70,$C$74,$C$75,$D$63+AM$76,$D$64,$D$65,$D$66,$D$67,$D$68,$D$69,$D$70,$D$71,$D$72,$D$73,$D$74,$D$75,$C$56,$C$57,$C$58,$D$59,$C$60),"")</f>
        <v>0</v>
      </c>
      <c r="AN78" s="255">
        <f ca="1">IF(NOW(),_xll.mirSwapPV($C$51,$C$52,$C$54,$AA53,$C$55,$AC53,$C$64,$C$65,$C$66,$C$67,$C$68,$C$69,$C$70,$C$74,$C$75,$D$63+AN$76,$D$64,$D$65,$D$66,$D$67,$D$68,$D$69,$D$70,$D$71,$D$72,$D$73,$D$74,$D$75,$C$56,$C$57,$C$58,$D$59,$C$60),"")</f>
        <v>29518.411953989398</v>
      </c>
      <c r="AO78" s="255">
        <f ca="1">IF(NOW(),_xll.mirSwapPV($C$51,$C$52,$C$54,$AA53,$C$55,$AC53,$C$64,$C$65,$C$66,$C$67,$C$68,$C$69,$C$70,$C$74,$C$75,$D$63+AO$76,$D$64,$D$65,$D$66,$D$67,$D$68,$D$69,$D$70,$D$71,$D$72,$D$73,$D$74,$D$75,$C$56,$C$57,$C$58,$D$59,$C$60),"")</f>
        <v>59036.823907978789</v>
      </c>
      <c r="AP78" s="255">
        <f ca="1">IF(NOW(),_xll.mirSwapPV($C$51,$C$52,$C$54,$AA53,$C$55,$AC53,$C$64,$C$65,$C$66,$C$67,$C$68,$C$69,$C$70,$C$74,$C$75,$D$63+AP$76,$D$64,$D$65,$D$66,$D$67,$D$68,$D$69,$D$70,$D$71,$D$72,$D$73,$D$74,$D$75,$C$56,$C$57,$C$58,$D$59,$C$60),"")</f>
        <v>88555.235861968191</v>
      </c>
      <c r="AQ78" s="255">
        <f ca="1">IF(NOW(),_xll.mirSwapPV($C$51,$C$52,$C$54,$AA53,$C$55,$AC53,$C$64,$C$65,$C$66,$C$67,$C$68,$C$69,$C$70,$C$74,$C$75,$D$63+AQ$76,$D$64,$D$65,$D$66,$D$67,$D$68,$D$69,$D$70,$D$71,$D$72,$D$73,$D$74,$D$75,$C$56,$C$57,$C$58,$D$59,$C$60),"")</f>
        <v>118073.64781595756</v>
      </c>
      <c r="AR78" s="255">
        <f ca="1">IF(NOW(),_xll.mirSwapPV($C$51,$C$52,$C$54,$AA53,$C$55,$AC53,$C$64,$C$65,$C$66,$C$67,$C$68,$C$69,$C$70,$C$74,$C$75,$D$63+AR$76,$D$64,$D$65,$D$66,$D$67,$D$68,$D$69,$D$70,$D$71,$D$72,$D$73,$D$74,$D$75,$C$56,$C$57,$C$58,$D$59,$C$60),"")</f>
        <v>147592.05976994699</v>
      </c>
    </row>
    <row r="79" spans="2:44">
      <c r="F79" s="230"/>
      <c r="G79" s="227"/>
      <c r="H79" s="229"/>
      <c r="I79" s="229"/>
      <c r="J79" s="229"/>
      <c r="K79" s="230"/>
      <c r="L79" s="230"/>
      <c r="M79" s="224" t="s">
        <v>35</v>
      </c>
      <c r="N79" s="255">
        <f ca="1">IF(NOW(),_xll.mirSwapPV($C$51,$C$52,$C$54,$G54,$C$55,$I54,$C$64,$C$65,$C$66,$C$67,$C$68,$C$69,$C$70,$C$74,$C$75,$D$63+N$76,$D$64,$D$65,$D$66,$D$67,$D$68,$D$69,$D$70,$D$71,$D$72,$D$73,$D$74,$D$75,$C$56,$C$57,$C$58,$C$59,$C$60),"")</f>
        <v>-195575.44632915634</v>
      </c>
      <c r="O79" s="255">
        <f ca="1">IF(NOW(),_xll.mirSwapPV($C$51,$C$52,$C$54,$G54,$C$55,$I54,$C$64,$C$65,$C$66,$C$67,$C$68,$C$69,$C$70,$C$74,$C$75,$D$63+O$76,$D$64,$D$65,$D$66,$D$67,$D$68,$D$69,$D$70,$D$71,$D$72,$D$73,$D$74,$D$75,$C$56,$C$57,$C$58,$C$59,$C$60),"")</f>
        <v>-156460.35706332506</v>
      </c>
      <c r="P79" s="255">
        <f ca="1">IF(NOW(),_xll.mirSwapPV($C$51,$C$52,$C$54,$G54,$C$55,$I54,$C$64,$C$65,$C$66,$C$67,$C$68,$C$69,$C$70,$C$74,$C$75,$D$63+P$76,$D$64,$D$65,$D$66,$D$67,$D$68,$D$69,$D$70,$D$71,$D$72,$D$73,$D$74,$D$75,$C$56,$C$57,$C$58,$C$59,$C$60),"")</f>
        <v>-117345.26779749381</v>
      </c>
      <c r="Q79" s="255">
        <f ca="1">IF(NOW(),_xll.mirSwapPV($C$51,$C$52,$C$54,$G54,$C$55,$I54,$C$64,$C$65,$C$66,$C$67,$C$68,$C$69,$C$70,$C$74,$C$75,$D$63+Q$76,$D$64,$D$65,$D$66,$D$67,$D$68,$D$69,$D$70,$D$71,$D$72,$D$73,$D$74,$D$75,$C$56,$C$57,$C$58,$C$59,$C$60),"")</f>
        <v>-78230.178531662546</v>
      </c>
      <c r="R79" s="255">
        <f ca="1">IF(NOW(),_xll.mirSwapPV($C$51,$C$52,$C$54,$G54,$C$55,$I54,$C$64,$C$65,$C$66,$C$67,$C$68,$C$69,$C$70,$C$74,$C$75,$D$63+R$76,$D$64,$D$65,$D$66,$D$67,$D$68,$D$69,$D$70,$D$71,$D$72,$D$73,$D$74,$D$75,$C$56,$C$57,$C$58,$C$59,$C$60),"")</f>
        <v>-39115.08926583128</v>
      </c>
      <c r="S79" s="255">
        <f ca="1">IF(NOW(),_xll.mirSwapPV($C$51,$C$52,$C$54,$G54,$C$55,$I54,$C$64,$C$65,$C$66,$C$67,$C$68,$C$69,$C$70,$C$74,$C$75,$D$63+S$76,$D$64,$D$65,$D$66,$D$67,$D$68,$D$69,$D$70,$D$71,$D$72,$D$73,$D$74,$D$75,$C$56,$C$57,$C$58,$C$59,$C$60),"")</f>
        <v>0</v>
      </c>
      <c r="T79" s="255">
        <f ca="1">IF(NOW(),_xll.mirSwapPV($C$51,$C$52,$C$54,$G54,$C$55,$I54,$C$64,$C$65,$C$66,$C$67,$C$68,$C$69,$C$70,$C$74,$C$75,$D$63+T$76,$D$64,$D$65,$D$66,$D$67,$D$68,$D$69,$D$70,$D$71,$D$72,$D$73,$D$74,$D$75,$C$56,$C$57,$C$58,$C$59,$C$60),"")</f>
        <v>39115.089265831251</v>
      </c>
      <c r="U79" s="255">
        <f ca="1">IF(NOW(),_xll.mirSwapPV($C$51,$C$52,$C$54,$G54,$C$55,$I54,$C$64,$C$65,$C$66,$C$67,$C$68,$C$69,$C$70,$C$74,$C$75,$D$63+U$76,$D$64,$D$65,$D$66,$D$67,$D$68,$D$69,$D$70,$D$71,$D$72,$D$73,$D$74,$D$75,$C$56,$C$57,$C$58,$C$59,$C$60),"")</f>
        <v>78230.178531662532</v>
      </c>
      <c r="V79" s="255">
        <f ca="1">IF(NOW(),_xll.mirSwapPV($C$51,$C$52,$C$54,$G54,$C$55,$I54,$C$64,$C$65,$C$66,$C$67,$C$68,$C$69,$C$70,$C$74,$C$75,$D$63+V$76,$D$64,$D$65,$D$66,$D$67,$D$68,$D$69,$D$70,$D$71,$D$72,$D$73,$D$74,$D$75,$C$56,$C$57,$C$58,$C$59,$C$60),"")</f>
        <v>117345.2677974938</v>
      </c>
      <c r="W79" s="255">
        <f ca="1">IF(NOW(),_xll.mirSwapPV($C$51,$C$52,$C$54,$G54,$C$55,$I54,$C$64,$C$65,$C$66,$C$67,$C$68,$C$69,$C$70,$C$74,$C$75,$D$63+W$76,$D$64,$D$65,$D$66,$D$67,$D$68,$D$69,$D$70,$D$71,$D$72,$D$73,$D$74,$D$75,$C$56,$C$57,$C$58,$C$59,$C$60),"")</f>
        <v>156460.35706332506</v>
      </c>
      <c r="X79" s="255">
        <f ca="1">IF(NOW(),_xll.mirSwapPV($C$51,$C$52,$C$54,$G54,$C$55,$I54,$C$64,$C$65,$C$66,$C$67,$C$68,$C$69,$C$70,$C$74,$C$75,$D$63+X$76,$D$64,$D$65,$D$66,$D$67,$D$68,$D$69,$D$70,$D$71,$D$72,$D$73,$D$74,$D$75,$C$56,$C$57,$C$58,$C$59,$C$60),"")</f>
        <v>195575.44632915634</v>
      </c>
      <c r="Y79" s="229"/>
      <c r="AG79" s="224" t="s">
        <v>35</v>
      </c>
      <c r="AH79" s="255">
        <f ca="1">IF(NOW(),_xll.mirSwapPV($C$51,$C$52,$C$54,$AA54,$C$55,$AC54,$C$64,$C$65,$C$66,$C$67,$C$68,$C$69,$C$70,$C$74,$C$75,$D$63+AH$76,$D$64,$D$65,$D$66,$D$67,$D$68,$D$69,$D$70,$D$71,$D$72,$D$73,$D$74,$D$75,$C$56,$C$57,$C$58,$D$59,$C$60),"")</f>
        <v>-195575.44632915632</v>
      </c>
      <c r="AI79" s="255">
        <f ca="1">IF(NOW(),_xll.mirSwapPV($C$51,$C$52,$C$54,$AA54,$C$55,$AC54,$C$64,$C$65,$C$66,$C$67,$C$68,$C$69,$C$70,$C$74,$C$75,$D$63+AI$76,$D$64,$D$65,$D$66,$D$67,$D$68,$D$69,$D$70,$D$71,$D$72,$D$73,$D$74,$D$75,$C$56,$C$57,$C$58,$D$59,$C$60),"")</f>
        <v>-156460.35706332506</v>
      </c>
      <c r="AJ79" s="255">
        <f ca="1">IF(NOW(),_xll.mirSwapPV($C$51,$C$52,$C$54,$AA54,$C$55,$AC54,$C$64,$C$65,$C$66,$C$67,$C$68,$C$69,$C$70,$C$74,$C$75,$D$63+AJ$76,$D$64,$D$65,$D$66,$D$67,$D$68,$D$69,$D$70,$D$71,$D$72,$D$73,$D$74,$D$75,$C$56,$C$57,$C$58,$D$59,$C$60),"")</f>
        <v>-117345.26779749377</v>
      </c>
      <c r="AK79" s="255">
        <f ca="1">IF(NOW(),_xll.mirSwapPV($C$51,$C$52,$C$54,$AA54,$C$55,$AC54,$C$64,$C$65,$C$66,$C$67,$C$68,$C$69,$C$70,$C$74,$C$75,$D$63+AK$76,$D$64,$D$65,$D$66,$D$67,$D$68,$D$69,$D$70,$D$71,$D$72,$D$73,$D$74,$D$75,$C$56,$C$57,$C$58,$D$59,$C$60),"")</f>
        <v>-78230.178531662503</v>
      </c>
      <c r="AL79" s="255">
        <f ca="1">IF(NOW(),_xll.mirSwapPV($C$51,$C$52,$C$54,$AA54,$C$55,$AC54,$C$64,$C$65,$C$66,$C$67,$C$68,$C$69,$C$70,$C$74,$C$75,$D$63+AL$76,$D$64,$D$65,$D$66,$D$67,$D$68,$D$69,$D$70,$D$71,$D$72,$D$73,$D$74,$D$75,$C$56,$C$57,$C$58,$D$59,$C$60),"")</f>
        <v>-39115.089265831266</v>
      </c>
      <c r="AM79" s="255">
        <f ca="1">IF(NOW(),_xll.mirSwapPV($C$51,$C$52,$C$54,$AA54,$C$55,$AC54,$C$64,$C$65,$C$66,$C$67,$C$68,$C$69,$C$70,$C$74,$C$75,$D$63+AM$76,$D$64,$D$65,$D$66,$D$67,$D$68,$D$69,$D$70,$D$71,$D$72,$D$73,$D$74,$D$75,$C$56,$C$57,$C$58,$D$59,$C$60),"")</f>
        <v>0</v>
      </c>
      <c r="AN79" s="255">
        <f ca="1">IF(NOW(),_xll.mirSwapPV($C$51,$C$52,$C$54,$AA54,$C$55,$AC54,$C$64,$C$65,$C$66,$C$67,$C$68,$C$69,$C$70,$C$74,$C$75,$D$63+AN$76,$D$64,$D$65,$D$66,$D$67,$D$68,$D$69,$D$70,$D$71,$D$72,$D$73,$D$74,$D$75,$C$56,$C$57,$C$58,$D$59,$C$60),"")</f>
        <v>39115.089265831273</v>
      </c>
      <c r="AO79" s="255">
        <f ca="1">IF(NOW(),_xll.mirSwapPV($C$51,$C$52,$C$54,$AA54,$C$55,$AC54,$C$64,$C$65,$C$66,$C$67,$C$68,$C$69,$C$70,$C$74,$C$75,$D$63+AO$76,$D$64,$D$65,$D$66,$D$67,$D$68,$D$69,$D$70,$D$71,$D$72,$D$73,$D$74,$D$75,$C$56,$C$57,$C$58,$D$59,$C$60),"")</f>
        <v>78230.178531662532</v>
      </c>
      <c r="AP79" s="255">
        <f ca="1">IF(NOW(),_xll.mirSwapPV($C$51,$C$52,$C$54,$AA54,$C$55,$AC54,$C$64,$C$65,$C$66,$C$67,$C$68,$C$69,$C$70,$C$74,$C$75,$D$63+AP$76,$D$64,$D$65,$D$66,$D$67,$D$68,$D$69,$D$70,$D$71,$D$72,$D$73,$D$74,$D$75,$C$56,$C$57,$C$58,$D$59,$C$60),"")</f>
        <v>117345.26779749381</v>
      </c>
      <c r="AQ79" s="255">
        <f ca="1">IF(NOW(),_xll.mirSwapPV($C$51,$C$52,$C$54,$AA54,$C$55,$AC54,$C$64,$C$65,$C$66,$C$67,$C$68,$C$69,$C$70,$C$74,$C$75,$D$63+AQ$76,$D$64,$D$65,$D$66,$D$67,$D$68,$D$69,$D$70,$D$71,$D$72,$D$73,$D$74,$D$75,$C$56,$C$57,$C$58,$D$59,$C$60),"")</f>
        <v>156460.35706332506</v>
      </c>
      <c r="AR79" s="255">
        <f ca="1">IF(NOW(),_xll.mirSwapPV($C$51,$C$52,$C$54,$AA54,$C$55,$AC54,$C$64,$C$65,$C$66,$C$67,$C$68,$C$69,$C$70,$C$74,$C$75,$D$63+AR$76,$D$64,$D$65,$D$66,$D$67,$D$68,$D$69,$D$70,$D$71,$D$72,$D$73,$D$74,$D$75,$C$56,$C$57,$C$58,$D$59,$C$60),"")</f>
        <v>195575.44632915632</v>
      </c>
    </row>
    <row r="80" spans="2:44">
      <c r="F80" s="230"/>
      <c r="G80" s="227"/>
      <c r="H80" s="229"/>
      <c r="I80" s="229"/>
      <c r="J80" s="229"/>
      <c r="K80" s="230"/>
      <c r="L80" s="230"/>
      <c r="M80" s="224" t="s">
        <v>33</v>
      </c>
      <c r="N80" s="255">
        <f ca="1">IF(NOW(),_xll.mirSwapPV($C$51,$C$52,$C$54,$G55,$C$55,$I55,$C$64,$C$65,$C$66,$C$67,$C$68,$C$69,$C$70,$C$74,$C$75,$D$63+N$76,$D$64,$D$65,$D$66,$D$67,$D$68,$D$69,$D$70,$D$71,$D$72,$D$73,$D$74,$D$75,$C$56,$C$57,$C$58,$C$59,$C$60),"")</f>
        <v>-242183.82059898091</v>
      </c>
      <c r="O80" s="255">
        <f ca="1">IF(NOW(),_xll.mirSwapPV($C$51,$C$52,$C$54,$G55,$C$55,$I55,$C$64,$C$65,$C$66,$C$67,$C$68,$C$69,$C$70,$C$74,$C$75,$D$63+O$76,$D$64,$D$65,$D$66,$D$67,$D$68,$D$69,$D$70,$D$71,$D$72,$D$73,$D$74,$D$75,$C$56,$C$57,$C$58,$C$59,$C$60),"")</f>
        <v>-193747.05647918477</v>
      </c>
      <c r="P80" s="255">
        <f ca="1">IF(NOW(),_xll.mirSwapPV($C$51,$C$52,$C$54,$G55,$C$55,$I55,$C$64,$C$65,$C$66,$C$67,$C$68,$C$69,$C$70,$C$74,$C$75,$D$63+P$76,$D$64,$D$65,$D$66,$D$67,$D$68,$D$69,$D$70,$D$71,$D$72,$D$73,$D$74,$D$75,$C$56,$C$57,$C$58,$C$59,$C$60),"")</f>
        <v>-145310.29235938855</v>
      </c>
      <c r="Q80" s="255">
        <f ca="1">IF(NOW(),_xll.mirSwapPV($C$51,$C$52,$C$54,$G55,$C$55,$I55,$C$64,$C$65,$C$66,$C$67,$C$68,$C$69,$C$70,$C$74,$C$75,$D$63+Q$76,$D$64,$D$65,$D$66,$D$67,$D$68,$D$69,$D$70,$D$71,$D$72,$D$73,$D$74,$D$75,$C$56,$C$57,$C$58,$C$59,$C$60),"")</f>
        <v>-96873.528239592386</v>
      </c>
      <c r="R80" s="255">
        <f ca="1">IF(NOW(),_xll.mirSwapPV($C$51,$C$52,$C$54,$G55,$C$55,$I55,$C$64,$C$65,$C$66,$C$67,$C$68,$C$69,$C$70,$C$74,$C$75,$D$63+R$76,$D$64,$D$65,$D$66,$D$67,$D$68,$D$69,$D$70,$D$71,$D$72,$D$73,$D$74,$D$75,$C$56,$C$57,$C$58,$C$59,$C$60),"")</f>
        <v>-48436.764119796193</v>
      </c>
      <c r="S80" s="255">
        <f ca="1">IF(NOW(),_xll.mirSwapPV($C$51,$C$52,$C$54,$G55,$C$55,$I55,$C$64,$C$65,$C$66,$C$67,$C$68,$C$69,$C$70,$C$74,$C$75,$D$63+S$76,$D$64,$D$65,$D$66,$D$67,$D$68,$D$69,$D$70,$D$71,$D$72,$D$73,$D$74,$D$75,$C$56,$C$57,$C$58,$C$59,$C$60),"")</f>
        <v>0</v>
      </c>
      <c r="T80" s="255">
        <f ca="1">IF(NOW(),_xll.mirSwapPV($C$51,$C$52,$C$54,$G55,$C$55,$I55,$C$64,$C$65,$C$66,$C$67,$C$68,$C$69,$C$70,$C$74,$C$75,$D$63+T$76,$D$64,$D$65,$D$66,$D$67,$D$68,$D$69,$D$70,$D$71,$D$72,$D$73,$D$74,$D$75,$C$56,$C$57,$C$58,$C$59,$C$60),"")</f>
        <v>48436.764119796171</v>
      </c>
      <c r="U80" s="255">
        <f ca="1">IF(NOW(),_xll.mirSwapPV($C$51,$C$52,$C$54,$G55,$C$55,$I55,$C$64,$C$65,$C$66,$C$67,$C$68,$C$69,$C$70,$C$74,$C$75,$D$63+U$76,$D$64,$D$65,$D$66,$D$67,$D$68,$D$69,$D$70,$D$71,$D$72,$D$73,$D$74,$D$75,$C$56,$C$57,$C$58,$C$59,$C$60),"")</f>
        <v>96873.528239592357</v>
      </c>
      <c r="V80" s="255">
        <f ca="1">IF(NOW(),_xll.mirSwapPV($C$51,$C$52,$C$54,$G55,$C$55,$I55,$C$64,$C$65,$C$66,$C$67,$C$68,$C$69,$C$70,$C$74,$C$75,$D$63+V$76,$D$64,$D$65,$D$66,$D$67,$D$68,$D$69,$D$70,$D$71,$D$72,$D$73,$D$74,$D$75,$C$56,$C$57,$C$58,$C$59,$C$60),"")</f>
        <v>145310.29235938858</v>
      </c>
      <c r="W80" s="255">
        <f ca="1">IF(NOW(),_xll.mirSwapPV($C$51,$C$52,$C$54,$G55,$C$55,$I55,$C$64,$C$65,$C$66,$C$67,$C$68,$C$69,$C$70,$C$74,$C$75,$D$63+W$76,$D$64,$D$65,$D$66,$D$67,$D$68,$D$69,$D$70,$D$71,$D$72,$D$73,$D$74,$D$75,$C$56,$C$57,$C$58,$C$59,$C$60),"")</f>
        <v>193747.05647918471</v>
      </c>
      <c r="X80" s="255">
        <f ca="1">IF(NOW(),_xll.mirSwapPV($C$51,$C$52,$C$54,$G55,$C$55,$I55,$C$64,$C$65,$C$66,$C$67,$C$68,$C$69,$C$70,$C$74,$C$75,$D$63+X$76,$D$64,$D$65,$D$66,$D$67,$D$68,$D$69,$D$70,$D$71,$D$72,$D$73,$D$74,$D$75,$C$56,$C$57,$C$58,$C$59,$C$60),"")</f>
        <v>242183.82059898094</v>
      </c>
      <c r="Y80" s="229"/>
      <c r="AE80" s="252"/>
      <c r="AG80" s="224" t="s">
        <v>33</v>
      </c>
      <c r="AH80" s="255">
        <f ca="1">IF(NOW(),_xll.mirSwapPV($C$51,$C$52,$C$54,$AA55,$C$55,$AC55,$C$64,$C$65,$C$66,$C$67,$C$68,$C$69,$C$70,$C$74,$C$75,$D$63+AH$76,$D$64,$D$65,$D$66,$D$67,$D$68,$D$69,$D$70,$D$71,$D$72,$D$73,$D$74,$D$75,$C$56,$C$57,$C$58,$D$59,$C$60),"")</f>
        <v>-242183.82059898096</v>
      </c>
      <c r="AI80" s="255">
        <f ca="1">IF(NOW(),_xll.mirSwapPV($C$51,$C$52,$C$54,$AA55,$C$55,$AC55,$C$64,$C$65,$C$66,$C$67,$C$68,$C$69,$C$70,$C$74,$C$75,$D$63+AI$76,$D$64,$D$65,$D$66,$D$67,$D$68,$D$69,$D$70,$D$71,$D$72,$D$73,$D$74,$D$75,$C$56,$C$57,$C$58,$D$59,$C$60),"")</f>
        <v>-193747.05647918477</v>
      </c>
      <c r="AJ80" s="255">
        <f ca="1">IF(NOW(),_xll.mirSwapPV($C$51,$C$52,$C$54,$AA55,$C$55,$AC55,$C$64,$C$65,$C$66,$C$67,$C$68,$C$69,$C$70,$C$74,$C$75,$D$63+AJ$76,$D$64,$D$65,$D$66,$D$67,$D$68,$D$69,$D$70,$D$71,$D$72,$D$73,$D$74,$D$75,$C$56,$C$57,$C$58,$D$59,$C$60),"")</f>
        <v>-145310.29235938852</v>
      </c>
      <c r="AK80" s="255">
        <f ca="1">IF(NOW(),_xll.mirSwapPV($C$51,$C$52,$C$54,$AA55,$C$55,$AC55,$C$64,$C$65,$C$66,$C$67,$C$68,$C$69,$C$70,$C$74,$C$75,$D$63+AK$76,$D$64,$D$65,$D$66,$D$67,$D$68,$D$69,$D$70,$D$71,$D$72,$D$73,$D$74,$D$75,$C$56,$C$57,$C$58,$D$59,$C$60),"")</f>
        <v>-96873.528239592342</v>
      </c>
      <c r="AL80" s="255">
        <f ca="1">IF(NOW(),_xll.mirSwapPV($C$51,$C$52,$C$54,$AA55,$C$55,$AC55,$C$64,$C$65,$C$66,$C$67,$C$68,$C$69,$C$70,$C$74,$C$75,$D$63+AL$76,$D$64,$D$65,$D$66,$D$67,$D$68,$D$69,$D$70,$D$71,$D$72,$D$73,$D$74,$D$75,$C$56,$C$57,$C$58,$D$59,$C$60),"")</f>
        <v>-48436.764119796178</v>
      </c>
      <c r="AM80" s="255">
        <f ca="1">IF(NOW(),_xll.mirSwapPV($C$51,$C$52,$C$54,$AA55,$C$55,$AC55,$C$64,$C$65,$C$66,$C$67,$C$68,$C$69,$C$70,$C$74,$C$75,$D$63+AM$76,$D$64,$D$65,$D$66,$D$67,$D$68,$D$69,$D$70,$D$71,$D$72,$D$73,$D$74,$D$75,$C$56,$C$57,$C$58,$D$59,$C$60),"")</f>
        <v>0</v>
      </c>
      <c r="AN80" s="255">
        <f ca="1">IF(NOW(),_xll.mirSwapPV($C$51,$C$52,$C$54,$AA55,$C$55,$AC55,$C$64,$C$65,$C$66,$C$67,$C$68,$C$69,$C$70,$C$74,$C$75,$D$63+AN$76,$D$64,$D$65,$D$66,$D$67,$D$68,$D$69,$D$70,$D$71,$D$72,$D$73,$D$74,$D$75,$C$56,$C$57,$C$58,$D$59,$C$60),"")</f>
        <v>48436.764119796186</v>
      </c>
      <c r="AO80" s="255">
        <f ca="1">IF(NOW(),_xll.mirSwapPV($C$51,$C$52,$C$54,$AA55,$C$55,$AC55,$C$64,$C$65,$C$66,$C$67,$C$68,$C$69,$C$70,$C$74,$C$75,$D$63+AO$76,$D$64,$D$65,$D$66,$D$67,$D$68,$D$69,$D$70,$D$71,$D$72,$D$73,$D$74,$D$75,$C$56,$C$57,$C$58,$D$59,$C$60),"")</f>
        <v>96873.528239592371</v>
      </c>
      <c r="AP80" s="255">
        <f ca="1">IF(NOW(),_xll.mirSwapPV($C$51,$C$52,$C$54,$AA55,$C$55,$AC55,$C$64,$C$65,$C$66,$C$67,$C$68,$C$69,$C$70,$C$74,$C$75,$D$63+AP$76,$D$64,$D$65,$D$66,$D$67,$D$68,$D$69,$D$70,$D$71,$D$72,$D$73,$D$74,$D$75,$C$56,$C$57,$C$58,$D$59,$C$60),"")</f>
        <v>145310.29235938858</v>
      </c>
      <c r="AQ80" s="255">
        <f ca="1">IF(NOW(),_xll.mirSwapPV($C$51,$C$52,$C$54,$AA55,$C$55,$AC55,$C$64,$C$65,$C$66,$C$67,$C$68,$C$69,$C$70,$C$74,$C$75,$D$63+AQ$76,$D$64,$D$65,$D$66,$D$67,$D$68,$D$69,$D$70,$D$71,$D$72,$D$73,$D$74,$D$75,$C$56,$C$57,$C$58,$D$59,$C$60),"")</f>
        <v>193747.05647918471</v>
      </c>
      <c r="AR80" s="255">
        <f ca="1">IF(NOW(),_xll.mirSwapPV($C$51,$C$52,$C$54,$AA55,$C$55,$AC55,$C$64,$C$65,$C$66,$C$67,$C$68,$C$69,$C$70,$C$74,$C$75,$D$63+AR$76,$D$64,$D$65,$D$66,$D$67,$D$68,$D$69,$D$70,$D$71,$D$72,$D$73,$D$74,$D$75,$C$56,$C$57,$C$58,$D$59,$C$60),"")</f>
        <v>242183.82059898091</v>
      </c>
    </row>
    <row r="81" spans="6:44">
      <c r="F81" s="230"/>
      <c r="G81" s="227"/>
      <c r="H81" s="229"/>
      <c r="I81" s="229"/>
      <c r="J81" s="229"/>
      <c r="K81" s="230"/>
      <c r="L81" s="230"/>
      <c r="M81" s="224" t="s">
        <v>131</v>
      </c>
      <c r="N81" s="255">
        <f ca="1">IF(NOW(),_xll.mirSwapPV($C$51,$C$52,$C$54,$G56,$C$55,$I56,$C$64,$C$65,$C$66,$C$67,$C$68,$C$69,$C$70,$C$74,$C$75,$D$63+N$76,$D$64,$D$65,$D$66,$D$67,$D$68,$D$69,$D$70,$D$71,$D$72,$D$73,$D$74,$D$75,$C$56,$C$57,$C$58,$C$59,$C$60),"")</f>
        <v>-287881.48220303049</v>
      </c>
      <c r="O81" s="255">
        <f ca="1">IF(NOW(),_xll.mirSwapPV($C$51,$C$52,$C$54,$G56,$C$55,$I56,$C$64,$C$65,$C$66,$C$67,$C$68,$C$69,$C$70,$C$74,$C$75,$D$63+O$76,$D$64,$D$65,$D$66,$D$67,$D$68,$D$69,$D$70,$D$71,$D$72,$D$73,$D$74,$D$75,$C$56,$C$57,$C$58,$C$59,$C$60),"")</f>
        <v>-230305.18576242443</v>
      </c>
      <c r="P81" s="255">
        <f ca="1">IF(NOW(),_xll.mirSwapPV($C$51,$C$52,$C$54,$G56,$C$55,$I56,$C$64,$C$65,$C$66,$C$67,$C$68,$C$69,$C$70,$C$74,$C$75,$D$63+P$76,$D$64,$D$65,$D$66,$D$67,$D$68,$D$69,$D$70,$D$71,$D$72,$D$73,$D$74,$D$75,$C$56,$C$57,$C$58,$C$59,$C$60),"")</f>
        <v>-172728.88932181834</v>
      </c>
      <c r="Q81" s="255">
        <f ca="1">IF(NOW(),_xll.mirSwapPV($C$51,$C$52,$C$54,$G56,$C$55,$I56,$C$64,$C$65,$C$66,$C$67,$C$68,$C$69,$C$70,$C$74,$C$75,$D$63+Q$76,$D$64,$D$65,$D$66,$D$67,$D$68,$D$69,$D$70,$D$71,$D$72,$D$73,$D$74,$D$75,$C$56,$C$57,$C$58,$C$59,$C$60),"")</f>
        <v>-115152.59288121224</v>
      </c>
      <c r="R81" s="255">
        <f ca="1">IF(NOW(),_xll.mirSwapPV($C$51,$C$52,$C$54,$G56,$C$55,$I56,$C$64,$C$65,$C$66,$C$67,$C$68,$C$69,$C$70,$C$74,$C$75,$D$63+R$76,$D$64,$D$65,$D$66,$D$67,$D$68,$D$69,$D$70,$D$71,$D$72,$D$73,$D$74,$D$75,$C$56,$C$57,$C$58,$C$59,$C$60),"")</f>
        <v>-57576.296440606107</v>
      </c>
      <c r="S81" s="255">
        <f ca="1">IF(NOW(),_xll.mirSwapPV($C$51,$C$52,$C$54,$G56,$C$55,$I56,$C$64,$C$65,$C$66,$C$67,$C$68,$C$69,$C$70,$C$74,$C$75,$D$63+S$76,$D$64,$D$65,$D$66,$D$67,$D$68,$D$69,$D$70,$D$71,$D$72,$D$73,$D$74,$D$75,$C$56,$C$57,$C$58,$C$59,$C$60),"")</f>
        <v>0</v>
      </c>
      <c r="T81" s="255">
        <f ca="1">IF(NOW(),_xll.mirSwapPV($C$51,$C$52,$C$54,$G56,$C$55,$I56,$C$64,$C$65,$C$66,$C$67,$C$68,$C$69,$C$70,$C$74,$C$75,$D$63+T$76,$D$64,$D$65,$D$66,$D$67,$D$68,$D$69,$D$70,$D$71,$D$72,$D$73,$D$74,$D$75,$C$56,$C$57,$C$58,$C$59,$C$60),"")</f>
        <v>57576.296440606078</v>
      </c>
      <c r="U81" s="255">
        <f ca="1">IF(NOW(),_xll.mirSwapPV($C$51,$C$52,$C$54,$G56,$C$55,$I56,$C$64,$C$65,$C$66,$C$67,$C$68,$C$69,$C$70,$C$74,$C$75,$D$63+U$76,$D$64,$D$65,$D$66,$D$67,$D$68,$D$69,$D$70,$D$71,$D$72,$D$73,$D$74,$D$75,$C$56,$C$57,$C$58,$C$59,$C$60),"")</f>
        <v>115152.59288121219</v>
      </c>
      <c r="V81" s="255">
        <f ca="1">IF(NOW(),_xll.mirSwapPV($C$51,$C$52,$C$54,$G56,$C$55,$I56,$C$64,$C$65,$C$66,$C$67,$C$68,$C$69,$C$70,$C$74,$C$75,$D$63+V$76,$D$64,$D$65,$D$66,$D$67,$D$68,$D$69,$D$70,$D$71,$D$72,$D$73,$D$74,$D$75,$C$56,$C$57,$C$58,$C$59,$C$60),"")</f>
        <v>172728.88932181828</v>
      </c>
      <c r="W81" s="255">
        <f ca="1">IF(NOW(),_xll.mirSwapPV($C$51,$C$52,$C$54,$G56,$C$55,$I56,$C$64,$C$65,$C$66,$C$67,$C$68,$C$69,$C$70,$C$74,$C$75,$D$63+W$76,$D$64,$D$65,$D$66,$D$67,$D$68,$D$69,$D$70,$D$71,$D$72,$D$73,$D$74,$D$75,$C$56,$C$57,$C$58,$C$59,$C$60),"")</f>
        <v>230305.18576242437</v>
      </c>
      <c r="X81" s="255">
        <f ca="1">IF(NOW(),_xll.mirSwapPV($C$51,$C$52,$C$54,$G56,$C$55,$I56,$C$64,$C$65,$C$66,$C$67,$C$68,$C$69,$C$70,$C$74,$C$75,$D$63+X$76,$D$64,$D$65,$D$66,$D$67,$D$68,$D$69,$D$70,$D$71,$D$72,$D$73,$D$74,$D$75,$C$56,$C$57,$C$58,$C$59,$C$60),"")</f>
        <v>287881.48220303055</v>
      </c>
      <c r="Y81" s="229"/>
      <c r="AE81" s="10"/>
      <c r="AG81" s="224" t="s">
        <v>131</v>
      </c>
      <c r="AH81" s="255">
        <f ca="1">IF(NOW(),_xll.mirSwapPV($C$51,$C$52,$C$54,$AA56,$C$55,$AC56,$C$64,$C$65,$C$66,$C$67,$C$68,$C$69,$C$70,$C$74,$C$75,$D$63+AH$76,$D$64,$D$65,$D$66,$D$67,$D$68,$D$69,$D$70,$D$71,$D$72,$D$73,$D$74,$D$75,$C$56,$C$57,$C$58,$D$59,$C$60),"")</f>
        <v>-287881.48220303055</v>
      </c>
      <c r="AI81" s="255">
        <f ca="1">IF(NOW(),_xll.mirSwapPV($C$51,$C$52,$C$54,$AA56,$C$55,$AC56,$C$64,$C$65,$C$66,$C$67,$C$68,$C$69,$C$70,$C$74,$C$75,$D$63+AI$76,$D$64,$D$65,$D$66,$D$67,$D$68,$D$69,$D$70,$D$71,$D$72,$D$73,$D$74,$D$75,$C$56,$C$57,$C$58,$D$59,$C$60),"")</f>
        <v>-230305.18576242443</v>
      </c>
      <c r="AJ81" s="255">
        <f ca="1">IF(NOW(),_xll.mirSwapPV($C$51,$C$52,$C$54,$AA56,$C$55,$AC56,$C$64,$C$65,$C$66,$C$67,$C$68,$C$69,$C$70,$C$74,$C$75,$D$63+AJ$76,$D$64,$D$65,$D$66,$D$67,$D$68,$D$69,$D$70,$D$71,$D$72,$D$73,$D$74,$D$75,$C$56,$C$57,$C$58,$D$59,$C$60),"")</f>
        <v>-172728.88932181828</v>
      </c>
      <c r="AK81" s="255">
        <f ca="1">IF(NOW(),_xll.mirSwapPV($C$51,$C$52,$C$54,$AA56,$C$55,$AC56,$C$64,$C$65,$C$66,$C$67,$C$68,$C$69,$C$70,$C$74,$C$75,$D$63+AK$76,$D$64,$D$65,$D$66,$D$67,$D$68,$D$69,$D$70,$D$71,$D$72,$D$73,$D$74,$D$75,$C$56,$C$57,$C$58,$D$59,$C$60),"")</f>
        <v>-115152.59288121217</v>
      </c>
      <c r="AL81" s="255">
        <f ca="1">IF(NOW(),_xll.mirSwapPV($C$51,$C$52,$C$54,$AA56,$C$55,$AC56,$C$64,$C$65,$C$66,$C$67,$C$68,$C$69,$C$70,$C$74,$C$75,$D$63+AL$76,$D$64,$D$65,$D$66,$D$67,$D$68,$D$69,$D$70,$D$71,$D$72,$D$73,$D$74,$D$75,$C$56,$C$57,$C$58,$D$59,$C$60),"")</f>
        <v>-57576.296440606122</v>
      </c>
      <c r="AM81" s="255">
        <f ca="1">IF(NOW(),_xll.mirSwapPV($C$51,$C$52,$C$54,$AA56,$C$55,$AC56,$C$64,$C$65,$C$66,$C$67,$C$68,$C$69,$C$70,$C$74,$C$75,$D$63+AM$76,$D$64,$D$65,$D$66,$D$67,$D$68,$D$69,$D$70,$D$71,$D$72,$D$73,$D$74,$D$75,$C$56,$C$57,$C$58,$D$59,$C$60),"")</f>
        <v>0</v>
      </c>
      <c r="AN81" s="255">
        <f ca="1">IF(NOW(),_xll.mirSwapPV($C$51,$C$52,$C$54,$AA56,$C$55,$AC56,$C$64,$C$65,$C$66,$C$67,$C$68,$C$69,$C$70,$C$74,$C$75,$D$63+AN$76,$D$64,$D$65,$D$66,$D$67,$D$68,$D$69,$D$70,$D$71,$D$72,$D$73,$D$74,$D$75,$C$56,$C$57,$C$58,$D$59,$C$60),"")</f>
        <v>57576.2964406061</v>
      </c>
      <c r="AO81" s="255">
        <f ca="1">IF(NOW(),_xll.mirSwapPV($C$51,$C$52,$C$54,$AA56,$C$55,$AC56,$C$64,$C$65,$C$66,$C$67,$C$68,$C$69,$C$70,$C$74,$C$75,$D$63+AO$76,$D$64,$D$65,$D$66,$D$67,$D$68,$D$69,$D$70,$D$71,$D$72,$D$73,$D$74,$D$75,$C$56,$C$57,$C$58,$D$59,$C$60),"")</f>
        <v>115152.5928812122</v>
      </c>
      <c r="AP81" s="255">
        <f ca="1">IF(NOW(),_xll.mirSwapPV($C$51,$C$52,$C$54,$AA56,$C$55,$AC56,$C$64,$C$65,$C$66,$C$67,$C$68,$C$69,$C$70,$C$74,$C$75,$D$63+AP$76,$D$64,$D$65,$D$66,$D$67,$D$68,$D$69,$D$70,$D$71,$D$72,$D$73,$D$74,$D$75,$C$56,$C$57,$C$58,$D$59,$C$60),"")</f>
        <v>172728.88932181828</v>
      </c>
      <c r="AQ81" s="255">
        <f ca="1">IF(NOW(),_xll.mirSwapPV($C$51,$C$52,$C$54,$AA56,$C$55,$AC56,$C$64,$C$65,$C$66,$C$67,$C$68,$C$69,$C$70,$C$74,$C$75,$D$63+AQ$76,$D$64,$D$65,$D$66,$D$67,$D$68,$D$69,$D$70,$D$71,$D$72,$D$73,$D$74,$D$75,$C$56,$C$57,$C$58,$D$59,$C$60),"")</f>
        <v>230305.1857624244</v>
      </c>
      <c r="AR81" s="255">
        <f ca="1">IF(NOW(),_xll.mirSwapPV($C$51,$C$52,$C$54,$AA56,$C$55,$AC56,$C$64,$C$65,$C$66,$C$67,$C$68,$C$69,$C$70,$C$74,$C$75,$D$63+AR$76,$D$64,$D$65,$D$66,$D$67,$D$68,$D$69,$D$70,$D$71,$D$72,$D$73,$D$74,$D$75,$C$56,$C$57,$C$58,$D$59,$C$60),"")</f>
        <v>287881.48220303043</v>
      </c>
    </row>
    <row r="82" spans="6:44">
      <c r="F82" s="230"/>
      <c r="G82" s="227"/>
      <c r="H82" s="229"/>
      <c r="I82" s="229"/>
      <c r="J82" s="229"/>
      <c r="K82" s="230"/>
      <c r="L82" s="230"/>
      <c r="M82" s="224" t="s">
        <v>31</v>
      </c>
      <c r="N82" s="255">
        <f ca="1">IF(NOW(),_xll.mirSwapPV($C$51,$C$52,$C$54,$G57,$C$55,$I57,$C$64,$C$65,$C$66,$C$67,$C$68,$C$69,$C$70,$C$74,$C$75,$D$63+N$76,$D$64,$D$65,$D$66,$D$67,$D$68,$D$69,$D$70,$D$71,$D$72,$D$73,$D$74,$D$75,$C$56,$C$57,$C$58,$C$59,$C$60),"")</f>
        <v>-332503.98096674302</v>
      </c>
      <c r="O82" s="255">
        <f ca="1">IF(NOW(),_xll.mirSwapPV($C$51,$C$52,$C$54,$G57,$C$55,$I57,$C$64,$C$65,$C$66,$C$67,$C$68,$C$69,$C$70,$C$74,$C$75,$D$63+O$76,$D$64,$D$65,$D$66,$D$67,$D$68,$D$69,$D$70,$D$71,$D$72,$D$73,$D$74,$D$75,$C$56,$C$57,$C$58,$C$59,$C$60),"")</f>
        <v>-266003.18477339449</v>
      </c>
      <c r="P82" s="255">
        <f ca="1">IF(NOW(),_xll.mirSwapPV($C$51,$C$52,$C$54,$G57,$C$55,$I57,$C$64,$C$65,$C$66,$C$67,$C$68,$C$69,$C$70,$C$74,$C$75,$D$63+P$76,$D$64,$D$65,$D$66,$D$67,$D$68,$D$69,$D$70,$D$71,$D$72,$D$73,$D$74,$D$75,$C$56,$C$57,$C$58,$C$59,$C$60),"")</f>
        <v>-199502.3885800459</v>
      </c>
      <c r="Q82" s="255">
        <f ca="1">IF(NOW(),_xll.mirSwapPV($C$51,$C$52,$C$54,$G57,$C$55,$I57,$C$64,$C$65,$C$66,$C$67,$C$68,$C$69,$C$70,$C$74,$C$75,$D$63+Q$76,$D$64,$D$65,$D$66,$D$67,$D$68,$D$69,$D$70,$D$71,$D$72,$D$73,$D$74,$D$75,$C$56,$C$57,$C$58,$C$59,$C$60),"")</f>
        <v>-133001.59238669727</v>
      </c>
      <c r="R82" s="255">
        <f ca="1">IF(NOW(),_xll.mirSwapPV($C$51,$C$52,$C$54,$G57,$C$55,$I57,$C$64,$C$65,$C$66,$C$67,$C$68,$C$69,$C$70,$C$74,$C$75,$D$63+R$76,$D$64,$D$65,$D$66,$D$67,$D$68,$D$69,$D$70,$D$71,$D$72,$D$73,$D$74,$D$75,$C$56,$C$57,$C$58,$C$59,$C$60),"")</f>
        <v>-66500.796193348622</v>
      </c>
      <c r="S82" s="255">
        <f ca="1">IF(NOW(),_xll.mirSwapPV($C$51,$C$52,$C$54,$G57,$C$55,$I57,$C$64,$C$65,$C$66,$C$67,$C$68,$C$69,$C$70,$C$74,$C$75,$D$63+S$76,$D$64,$D$65,$D$66,$D$67,$D$68,$D$69,$D$70,$D$71,$D$72,$D$73,$D$74,$D$75,$C$56,$C$57,$C$58,$C$59,$C$60),"")</f>
        <v>0</v>
      </c>
      <c r="T82" s="255">
        <f ca="1">IF(NOW(),_xll.mirSwapPV($C$51,$C$52,$C$54,$G57,$C$55,$I57,$C$64,$C$65,$C$66,$C$67,$C$68,$C$69,$C$70,$C$74,$C$75,$D$63+T$76,$D$64,$D$65,$D$66,$D$67,$D$68,$D$69,$D$70,$D$71,$D$72,$D$73,$D$74,$D$75,$C$56,$C$57,$C$58,$C$59,$C$60),"")</f>
        <v>66500.796193348593</v>
      </c>
      <c r="U82" s="255">
        <f ca="1">IF(NOW(),_xll.mirSwapPV($C$51,$C$52,$C$54,$G57,$C$55,$I57,$C$64,$C$65,$C$66,$C$67,$C$68,$C$69,$C$70,$C$74,$C$75,$D$63+U$76,$D$64,$D$65,$D$66,$D$67,$D$68,$D$69,$D$70,$D$71,$D$72,$D$73,$D$74,$D$75,$C$56,$C$57,$C$58,$C$59,$C$60),"")</f>
        <v>133001.59238669724</v>
      </c>
      <c r="V82" s="255">
        <f ca="1">IF(NOW(),_xll.mirSwapPV($C$51,$C$52,$C$54,$G57,$C$55,$I57,$C$64,$C$65,$C$66,$C$67,$C$68,$C$69,$C$70,$C$74,$C$75,$D$63+V$76,$D$64,$D$65,$D$66,$D$67,$D$68,$D$69,$D$70,$D$71,$D$72,$D$73,$D$74,$D$75,$C$56,$C$57,$C$58,$C$59,$C$60),"")</f>
        <v>199502.38858004584</v>
      </c>
      <c r="W82" s="255">
        <f ca="1">IF(NOW(),_xll.mirSwapPV($C$51,$C$52,$C$54,$G57,$C$55,$I57,$C$64,$C$65,$C$66,$C$67,$C$68,$C$69,$C$70,$C$74,$C$75,$D$63+W$76,$D$64,$D$65,$D$66,$D$67,$D$68,$D$69,$D$70,$D$71,$D$72,$D$73,$D$74,$D$75,$C$56,$C$57,$C$58,$C$59,$C$60),"")</f>
        <v>266003.18477339449</v>
      </c>
      <c r="X82" s="255">
        <f ca="1">IF(NOW(),_xll.mirSwapPV($C$51,$C$52,$C$54,$G57,$C$55,$I57,$C$64,$C$65,$C$66,$C$67,$C$68,$C$69,$C$70,$C$74,$C$75,$D$63+X$76,$D$64,$D$65,$D$66,$D$67,$D$68,$D$69,$D$70,$D$71,$D$72,$D$73,$D$74,$D$75,$C$56,$C$57,$C$58,$C$59,$C$60),"")</f>
        <v>332503.98096674308</v>
      </c>
      <c r="Y82" s="229"/>
      <c r="AG82" s="224" t="s">
        <v>31</v>
      </c>
      <c r="AH82" s="255">
        <f ca="1">IF(NOW(),_xll.mirSwapPV($C$51,$C$52,$C$54,$AA57,$C$55,$AC57,$C$64,$C$65,$C$66,$C$67,$C$68,$C$69,$C$70,$C$74,$C$75,$D$63+AH$76,$D$64,$D$65,$D$66,$D$67,$D$68,$D$69,$D$70,$D$71,$D$72,$D$73,$D$74,$D$75,$C$56,$C$57,$C$58,$D$59,$C$60),"")</f>
        <v>-332503.98096674314</v>
      </c>
      <c r="AI82" s="255">
        <f ca="1">IF(NOW(),_xll.mirSwapPV($C$51,$C$52,$C$54,$AA57,$C$55,$AC57,$C$64,$C$65,$C$66,$C$67,$C$68,$C$69,$C$70,$C$74,$C$75,$D$63+AI$76,$D$64,$D$65,$D$66,$D$67,$D$68,$D$69,$D$70,$D$71,$D$72,$D$73,$D$74,$D$75,$C$56,$C$57,$C$58,$D$59,$C$60),"")</f>
        <v>-266003.18477339449</v>
      </c>
      <c r="AJ82" s="255">
        <f ca="1">IF(NOW(),_xll.mirSwapPV($C$51,$C$52,$C$54,$AA57,$C$55,$AC57,$C$64,$C$65,$C$66,$C$67,$C$68,$C$69,$C$70,$C$74,$C$75,$D$63+AJ$76,$D$64,$D$65,$D$66,$D$67,$D$68,$D$69,$D$70,$D$71,$D$72,$D$73,$D$74,$D$75,$C$56,$C$57,$C$58,$D$59,$C$60),"")</f>
        <v>-199502.38858004578</v>
      </c>
      <c r="AK82" s="255">
        <f ca="1">IF(NOW(),_xll.mirSwapPV($C$51,$C$52,$C$54,$AA57,$C$55,$AC57,$C$64,$C$65,$C$66,$C$67,$C$68,$C$69,$C$70,$C$74,$C$75,$D$63+AK$76,$D$64,$D$65,$D$66,$D$67,$D$68,$D$69,$D$70,$D$71,$D$72,$D$73,$D$74,$D$75,$C$56,$C$57,$C$58,$D$59,$C$60),"")</f>
        <v>-133001.59238669722</v>
      </c>
      <c r="AL82" s="255">
        <f ca="1">IF(NOW(),_xll.mirSwapPV($C$51,$C$52,$C$54,$AA57,$C$55,$AC57,$C$64,$C$65,$C$66,$C$67,$C$68,$C$69,$C$70,$C$74,$C$75,$D$63+AL$76,$D$64,$D$65,$D$66,$D$67,$D$68,$D$69,$D$70,$D$71,$D$72,$D$73,$D$74,$D$75,$C$56,$C$57,$C$58,$D$59,$C$60),"")</f>
        <v>-66500.796193348637</v>
      </c>
      <c r="AM82" s="255">
        <f ca="1">IF(NOW(),_xll.mirSwapPV($C$51,$C$52,$C$54,$AA57,$C$55,$AC57,$C$64,$C$65,$C$66,$C$67,$C$68,$C$69,$C$70,$C$74,$C$75,$D$63+AM$76,$D$64,$D$65,$D$66,$D$67,$D$68,$D$69,$D$70,$D$71,$D$72,$D$73,$D$74,$D$75,$C$56,$C$57,$C$58,$D$59,$C$60),"")</f>
        <v>0</v>
      </c>
      <c r="AN82" s="255">
        <f ca="1">IF(NOW(),_xll.mirSwapPV($C$51,$C$52,$C$54,$AA57,$C$55,$AC57,$C$64,$C$65,$C$66,$C$67,$C$68,$C$69,$C$70,$C$74,$C$75,$D$63+AN$76,$D$64,$D$65,$D$66,$D$67,$D$68,$D$69,$D$70,$D$71,$D$72,$D$73,$D$74,$D$75,$C$56,$C$57,$C$58,$D$59,$C$60),"")</f>
        <v>66500.796193348608</v>
      </c>
      <c r="AO82" s="255">
        <f ca="1">IF(NOW(),_xll.mirSwapPV($C$51,$C$52,$C$54,$AA57,$C$55,$AC57,$C$64,$C$65,$C$66,$C$67,$C$68,$C$69,$C$70,$C$74,$C$75,$D$63+AO$76,$D$64,$D$65,$D$66,$D$67,$D$68,$D$69,$D$70,$D$71,$D$72,$D$73,$D$74,$D$75,$C$56,$C$57,$C$58,$D$59,$C$60),"")</f>
        <v>133001.59238669724</v>
      </c>
      <c r="AP82" s="255">
        <f ca="1">IF(NOW(),_xll.mirSwapPV($C$51,$C$52,$C$54,$AA57,$C$55,$AC57,$C$64,$C$65,$C$66,$C$67,$C$68,$C$69,$C$70,$C$74,$C$75,$D$63+AP$76,$D$64,$D$65,$D$66,$D$67,$D$68,$D$69,$D$70,$D$71,$D$72,$D$73,$D$74,$D$75,$C$56,$C$57,$C$58,$D$59,$C$60),"")</f>
        <v>199502.38858004581</v>
      </c>
      <c r="AQ82" s="255">
        <f ca="1">IF(NOW(),_xll.mirSwapPV($C$51,$C$52,$C$54,$AA57,$C$55,$AC57,$C$64,$C$65,$C$66,$C$67,$C$68,$C$69,$C$70,$C$74,$C$75,$D$63+AQ$76,$D$64,$D$65,$D$66,$D$67,$D$68,$D$69,$D$70,$D$71,$D$72,$D$73,$D$74,$D$75,$C$56,$C$57,$C$58,$D$59,$C$60),"")</f>
        <v>266003.18477339449</v>
      </c>
      <c r="AR82" s="255">
        <f ca="1">IF(NOW(),_xll.mirSwapPV($C$51,$C$52,$C$54,$AA57,$C$55,$AC57,$C$64,$C$65,$C$66,$C$67,$C$68,$C$69,$C$70,$C$74,$C$75,$D$63+AR$76,$D$64,$D$65,$D$66,$D$67,$D$68,$D$69,$D$70,$D$71,$D$72,$D$73,$D$74,$D$75,$C$56,$C$57,$C$58,$D$59,$C$60),"")</f>
        <v>332503.98096674302</v>
      </c>
    </row>
    <row r="83" spans="6:44">
      <c r="F83" s="230"/>
      <c r="G83" s="227"/>
      <c r="H83" s="229"/>
      <c r="I83" s="229"/>
      <c r="J83" s="229"/>
      <c r="K83" s="230"/>
      <c r="L83" s="230"/>
      <c r="M83" s="224" t="s">
        <v>119</v>
      </c>
      <c r="N83" s="255">
        <f ca="1">IF(NOW(),_xll.mirSwapPV($C$51,$C$52,$C$54,$G58,$C$55,$I58,$C$64,$C$65,$C$66,$C$67,$C$68,$C$69,$C$70,$C$74,$C$75,$D$63+N$76,$D$64,$D$65,$D$66,$D$67,$D$68,$D$69,$D$70,$D$71,$D$72,$D$73,$D$74,$D$75,$C$56,$C$57,$C$58,$C$59,$C$60),"")</f>
        <v>-376035.413937465</v>
      </c>
      <c r="O83" s="255">
        <f ca="1">IF(NOW(),_xll.mirSwapPV($C$51,$C$52,$C$54,$G58,$C$55,$I58,$C$64,$C$65,$C$66,$C$67,$C$68,$C$69,$C$70,$C$74,$C$75,$D$63+O$76,$D$64,$D$65,$D$66,$D$67,$D$68,$D$69,$D$70,$D$71,$D$72,$D$73,$D$74,$D$75,$C$56,$C$57,$C$58,$C$59,$C$60),"")</f>
        <v>-300828.33114997199</v>
      </c>
      <c r="P83" s="255">
        <f ca="1">IF(NOW(),_xll.mirSwapPV($C$51,$C$52,$C$54,$G58,$C$55,$I58,$C$64,$C$65,$C$66,$C$67,$C$68,$C$69,$C$70,$C$74,$C$75,$D$63+P$76,$D$64,$D$65,$D$66,$D$67,$D$68,$D$69,$D$70,$D$71,$D$72,$D$73,$D$74,$D$75,$C$56,$C$57,$C$58,$C$59,$C$60),"")</f>
        <v>-225621.24836247903</v>
      </c>
      <c r="Q83" s="255">
        <f ca="1">IF(NOW(),_xll.mirSwapPV($C$51,$C$52,$C$54,$G58,$C$55,$I58,$C$64,$C$65,$C$66,$C$67,$C$68,$C$69,$C$70,$C$74,$C$75,$D$63+Q$76,$D$64,$D$65,$D$66,$D$67,$D$68,$D$69,$D$70,$D$71,$D$72,$D$73,$D$74,$D$75,$C$56,$C$57,$C$58,$C$59,$C$60),"")</f>
        <v>-150414.16557498605</v>
      </c>
      <c r="R83" s="255">
        <f ca="1">IF(NOW(),_xll.mirSwapPV($C$51,$C$52,$C$54,$G58,$C$55,$I58,$C$64,$C$65,$C$66,$C$67,$C$68,$C$69,$C$70,$C$74,$C$75,$D$63+R$76,$D$64,$D$65,$D$66,$D$67,$D$68,$D$69,$D$70,$D$71,$D$72,$D$73,$D$74,$D$75,$C$56,$C$57,$C$58,$C$59,$C$60),"")</f>
        <v>-75207.082787492996</v>
      </c>
      <c r="S83" s="255">
        <f ca="1">IF(NOW(),_xll.mirSwapPV($C$51,$C$52,$C$54,$G58,$C$55,$I58,$C$64,$C$65,$C$66,$C$67,$C$68,$C$69,$C$70,$C$74,$C$75,$D$63+S$76,$D$64,$D$65,$D$66,$D$67,$D$68,$D$69,$D$70,$D$71,$D$72,$D$73,$D$74,$D$75,$C$56,$C$57,$C$58,$C$59,$C$60),"")</f>
        <v>0</v>
      </c>
      <c r="T83" s="255">
        <f ca="1">IF(NOW(),_xll.mirSwapPV($C$51,$C$52,$C$54,$G58,$C$55,$I58,$C$64,$C$65,$C$66,$C$67,$C$68,$C$69,$C$70,$C$74,$C$75,$D$63+T$76,$D$64,$D$65,$D$66,$D$67,$D$68,$D$69,$D$70,$D$71,$D$72,$D$73,$D$74,$D$75,$C$56,$C$57,$C$58,$C$59,$C$60),"")</f>
        <v>75207.082787492996</v>
      </c>
      <c r="U83" s="255">
        <f ca="1">IF(NOW(),_xll.mirSwapPV($C$51,$C$52,$C$54,$G58,$C$55,$I58,$C$64,$C$65,$C$66,$C$67,$C$68,$C$69,$C$70,$C$74,$C$75,$D$63+U$76,$D$64,$D$65,$D$66,$D$67,$D$68,$D$69,$D$70,$D$71,$D$72,$D$73,$D$74,$D$75,$C$56,$C$57,$C$58,$C$59,$C$60),"")</f>
        <v>150414.16557498602</v>
      </c>
      <c r="V83" s="255">
        <f ca="1">IF(NOW(),_xll.mirSwapPV($C$51,$C$52,$C$54,$G58,$C$55,$I58,$C$64,$C$65,$C$66,$C$67,$C$68,$C$69,$C$70,$C$74,$C$75,$D$63+V$76,$D$64,$D$65,$D$66,$D$67,$D$68,$D$69,$D$70,$D$71,$D$72,$D$73,$D$74,$D$75,$C$56,$C$57,$C$58,$C$59,$C$60),"")</f>
        <v>225621.24836247903</v>
      </c>
      <c r="W83" s="255">
        <f ca="1">IF(NOW(),_xll.mirSwapPV($C$51,$C$52,$C$54,$G58,$C$55,$I58,$C$64,$C$65,$C$66,$C$67,$C$68,$C$69,$C$70,$C$74,$C$75,$D$63+W$76,$D$64,$D$65,$D$66,$D$67,$D$68,$D$69,$D$70,$D$71,$D$72,$D$73,$D$74,$D$75,$C$56,$C$57,$C$58,$C$59,$C$60),"")</f>
        <v>300828.33114997199</v>
      </c>
      <c r="X83" s="255">
        <f ca="1">IF(NOW(),_xll.mirSwapPV($C$51,$C$52,$C$54,$G58,$C$55,$I58,$C$64,$C$65,$C$66,$C$67,$C$68,$C$69,$C$70,$C$74,$C$75,$D$63+X$76,$D$64,$D$65,$D$66,$D$67,$D$68,$D$69,$D$70,$D$71,$D$72,$D$73,$D$74,$D$75,$C$56,$C$57,$C$58,$C$59,$C$60),"")</f>
        <v>376035.41393746511</v>
      </c>
      <c r="Y83" s="229"/>
      <c r="AE83" s="10"/>
      <c r="AF83" s="253"/>
      <c r="AG83" s="224" t="s">
        <v>119</v>
      </c>
      <c r="AH83" s="255">
        <f ca="1">IF(NOW(),_xll.mirSwapPV($C$51,$C$52,$C$54,$AA58,$C$55,$AC58,$C$64,$C$65,$C$66,$C$67,$C$68,$C$69,$C$70,$C$74,$C$75,$D$63+AH$76,$D$64,$D$65,$D$66,$D$67,$D$68,$D$69,$D$70,$D$71,$D$72,$D$73,$D$74,$D$75,$C$56,$C$57,$C$58,$D$59,$C$60),"")</f>
        <v>-376035.41393746505</v>
      </c>
      <c r="AI83" s="255">
        <f ca="1">IF(NOW(),_xll.mirSwapPV($C$51,$C$52,$C$54,$AA58,$C$55,$AC58,$C$64,$C$65,$C$66,$C$67,$C$68,$C$69,$C$70,$C$74,$C$75,$D$63+AI$76,$D$64,$D$65,$D$66,$D$67,$D$68,$D$69,$D$70,$D$71,$D$72,$D$73,$D$74,$D$75,$C$56,$C$57,$C$58,$D$59,$C$60),"")</f>
        <v>-300828.33114997199</v>
      </c>
      <c r="AJ83" s="255">
        <f ca="1">IF(NOW(),_xll.mirSwapPV($C$51,$C$52,$C$54,$AA58,$C$55,$AC58,$C$64,$C$65,$C$66,$C$67,$C$68,$C$69,$C$70,$C$74,$C$75,$D$63+AJ$76,$D$64,$D$65,$D$66,$D$67,$D$68,$D$69,$D$70,$D$71,$D$72,$D$73,$D$74,$D$75,$C$56,$C$57,$C$58,$D$59,$C$60),"")</f>
        <v>-225621.24836247895</v>
      </c>
      <c r="AK83" s="255">
        <f ca="1">IF(NOW(),_xll.mirSwapPV($C$51,$C$52,$C$54,$AA58,$C$55,$AC58,$C$64,$C$65,$C$66,$C$67,$C$68,$C$69,$C$70,$C$74,$C$75,$D$63+AK$76,$D$64,$D$65,$D$66,$D$67,$D$68,$D$69,$D$70,$D$71,$D$72,$D$73,$D$74,$D$75,$C$56,$C$57,$C$58,$D$59,$C$60),"")</f>
        <v>-150414.16557498599</v>
      </c>
      <c r="AL83" s="255">
        <f ca="1">IF(NOW(),_xll.mirSwapPV($C$51,$C$52,$C$54,$AA58,$C$55,$AC58,$C$64,$C$65,$C$66,$C$67,$C$68,$C$69,$C$70,$C$74,$C$75,$D$63+AL$76,$D$64,$D$65,$D$66,$D$67,$D$68,$D$69,$D$70,$D$71,$D$72,$D$73,$D$74,$D$75,$C$56,$C$57,$C$58,$D$59,$C$60),"")</f>
        <v>-75207.082787493055</v>
      </c>
      <c r="AM83" s="255">
        <f ca="1">IF(NOW(),_xll.mirSwapPV($C$51,$C$52,$C$54,$AA58,$C$55,$AC58,$C$64,$C$65,$C$66,$C$67,$C$68,$C$69,$C$70,$C$74,$C$75,$D$63+AM$76,$D$64,$D$65,$D$66,$D$67,$D$68,$D$69,$D$70,$D$71,$D$72,$D$73,$D$74,$D$75,$C$56,$C$57,$C$58,$D$59,$C$60),"")</f>
        <v>0</v>
      </c>
      <c r="AN83" s="255">
        <f ca="1">IF(NOW(),_xll.mirSwapPV($C$51,$C$52,$C$54,$AA58,$C$55,$AC58,$C$64,$C$65,$C$66,$C$67,$C$68,$C$69,$C$70,$C$74,$C$75,$D$63+AN$76,$D$64,$D$65,$D$66,$D$67,$D$68,$D$69,$D$70,$D$71,$D$72,$D$73,$D$74,$D$75,$C$56,$C$57,$C$58,$D$59,$C$60),"")</f>
        <v>75207.082787492996</v>
      </c>
      <c r="AO83" s="255">
        <f ca="1">IF(NOW(),_xll.mirSwapPV($C$51,$C$52,$C$54,$AA58,$C$55,$AC58,$C$64,$C$65,$C$66,$C$67,$C$68,$C$69,$C$70,$C$74,$C$75,$D$63+AO$76,$D$64,$D$65,$D$66,$D$67,$D$68,$D$69,$D$70,$D$71,$D$72,$D$73,$D$74,$D$75,$C$56,$C$57,$C$58,$D$59,$C$60),"")</f>
        <v>150414.16557498599</v>
      </c>
      <c r="AP83" s="255">
        <f ca="1">IF(NOW(),_xll.mirSwapPV($C$51,$C$52,$C$54,$AA58,$C$55,$AC58,$C$64,$C$65,$C$66,$C$67,$C$68,$C$69,$C$70,$C$74,$C$75,$D$63+AP$76,$D$64,$D$65,$D$66,$D$67,$D$68,$D$69,$D$70,$D$71,$D$72,$D$73,$D$74,$D$75,$C$56,$C$57,$C$58,$D$59,$C$60),"")</f>
        <v>225621.24836247897</v>
      </c>
      <c r="AQ83" s="255">
        <f ca="1">IF(NOW(),_xll.mirSwapPV($C$51,$C$52,$C$54,$AA58,$C$55,$AC58,$C$64,$C$65,$C$66,$C$67,$C$68,$C$69,$C$70,$C$74,$C$75,$D$63+AQ$76,$D$64,$D$65,$D$66,$D$67,$D$68,$D$69,$D$70,$D$71,$D$72,$D$73,$D$74,$D$75,$C$56,$C$57,$C$58,$D$59,$C$60),"")</f>
        <v>300828.33114997199</v>
      </c>
      <c r="AR83" s="255">
        <f ca="1">IF(NOW(),_xll.mirSwapPV($C$51,$C$52,$C$54,$AA58,$C$55,$AC58,$C$64,$C$65,$C$66,$C$67,$C$68,$C$69,$C$70,$C$74,$C$75,$D$63+AR$76,$D$64,$D$65,$D$66,$D$67,$D$68,$D$69,$D$70,$D$71,$D$72,$D$73,$D$74,$D$75,$C$56,$C$57,$C$58,$D$59,$C$60),"")</f>
        <v>376035.413937465</v>
      </c>
    </row>
    <row r="84" spans="6:44">
      <c r="F84" s="230"/>
      <c r="G84" s="227"/>
      <c r="H84" s="229"/>
      <c r="I84" s="229"/>
      <c r="J84" s="229"/>
      <c r="K84" s="230"/>
      <c r="L84" s="230"/>
      <c r="M84" s="224" t="s">
        <v>113</v>
      </c>
      <c r="N84" s="255">
        <f ca="1">IF(NOW(),_xll.mirSwapPV($C$51,$C$52,$C$54,$G59,$C$55,$I59,$C$64,$C$65,$C$66,$C$67,$C$68,$C$69,$C$70,$C$74,$C$75,$D$63+N$76,$D$64,$D$65,$D$66,$D$67,$D$68,$D$69,$D$70,$D$71,$D$72,$D$73,$D$74,$D$75,$C$56,$C$57,$C$58,$C$59,$C$60),"")</f>
        <v>-418823.01881965064</v>
      </c>
      <c r="O84" s="255">
        <f ca="1">IF(NOW(),_xll.mirSwapPV($C$51,$C$52,$C$54,$G59,$C$55,$I59,$C$64,$C$65,$C$66,$C$67,$C$68,$C$69,$C$70,$C$74,$C$75,$D$63+O$76,$D$64,$D$65,$D$66,$D$67,$D$68,$D$69,$D$70,$D$71,$D$72,$D$73,$D$74,$D$75,$C$56,$C$57,$C$58,$C$59,$C$60),"")</f>
        <v>-335058.41505572048</v>
      </c>
      <c r="P84" s="255">
        <f ca="1">IF(NOW(),_xll.mirSwapPV($C$51,$C$52,$C$54,$G59,$C$55,$I59,$C$64,$C$65,$C$66,$C$67,$C$68,$C$69,$C$70,$C$74,$C$75,$D$63+P$76,$D$64,$D$65,$D$66,$D$67,$D$68,$D$69,$D$70,$D$71,$D$72,$D$73,$D$74,$D$75,$C$56,$C$57,$C$58,$C$59,$C$60),"")</f>
        <v>-251293.81129179039</v>
      </c>
      <c r="Q84" s="255">
        <f ca="1">IF(NOW(),_xll.mirSwapPV($C$51,$C$52,$C$54,$G59,$C$55,$I59,$C$64,$C$65,$C$66,$C$67,$C$68,$C$69,$C$70,$C$74,$C$75,$D$63+Q$76,$D$64,$D$65,$D$66,$D$67,$D$68,$D$69,$D$70,$D$71,$D$72,$D$73,$D$74,$D$75,$C$56,$C$57,$C$58,$C$59,$C$60),"")</f>
        <v>-167529.20752786033</v>
      </c>
      <c r="R84" s="255">
        <f ca="1">IF(NOW(),_xll.mirSwapPV($C$51,$C$52,$C$54,$G59,$C$55,$I59,$C$64,$C$65,$C$66,$C$67,$C$68,$C$69,$C$70,$C$74,$C$75,$D$63+R$76,$D$64,$D$65,$D$66,$D$67,$D$68,$D$69,$D$70,$D$71,$D$72,$D$73,$D$74,$D$75,$C$56,$C$57,$C$58,$C$59,$C$60),"")</f>
        <v>-83764.603763930136</v>
      </c>
      <c r="S84" s="255">
        <f ca="1">IF(NOW(),_xll.mirSwapPV($C$51,$C$52,$C$54,$G59,$C$55,$I59,$C$64,$C$65,$C$66,$C$67,$C$68,$C$69,$C$70,$C$74,$C$75,$D$63+S$76,$D$64,$D$65,$D$66,$D$67,$D$68,$D$69,$D$70,$D$71,$D$72,$D$73,$D$74,$D$75,$C$56,$C$57,$C$58,$C$59,$C$60),"")</f>
        <v>0</v>
      </c>
      <c r="T84" s="255">
        <f ca="1">IF(NOW(),_xll.mirSwapPV($C$51,$C$52,$C$54,$G59,$C$55,$I59,$C$64,$C$65,$C$66,$C$67,$C$68,$C$69,$C$70,$C$74,$C$75,$D$63+T$76,$D$64,$D$65,$D$66,$D$67,$D$68,$D$69,$D$70,$D$71,$D$72,$D$73,$D$74,$D$75,$C$56,$C$57,$C$58,$C$59,$C$60),"")</f>
        <v>83764.603763930107</v>
      </c>
      <c r="U84" s="255">
        <f ca="1">IF(NOW(),_xll.mirSwapPV($C$51,$C$52,$C$54,$G59,$C$55,$I59,$C$64,$C$65,$C$66,$C$67,$C$68,$C$69,$C$70,$C$74,$C$75,$D$63+U$76,$D$64,$D$65,$D$66,$D$67,$D$68,$D$69,$D$70,$D$71,$D$72,$D$73,$D$74,$D$75,$C$56,$C$57,$C$58,$C$59,$C$60),"")</f>
        <v>167529.20752786024</v>
      </c>
      <c r="V84" s="255">
        <f ca="1">IF(NOW(),_xll.mirSwapPV($C$51,$C$52,$C$54,$G59,$C$55,$I59,$C$64,$C$65,$C$66,$C$67,$C$68,$C$69,$C$70,$C$74,$C$75,$D$63+V$76,$D$64,$D$65,$D$66,$D$67,$D$68,$D$69,$D$70,$D$71,$D$72,$D$73,$D$74,$D$75,$C$56,$C$57,$C$58,$C$59,$C$60),"")</f>
        <v>251293.81129179039</v>
      </c>
      <c r="W84" s="255">
        <f ca="1">IF(NOW(),_xll.mirSwapPV($C$51,$C$52,$C$54,$G59,$C$55,$I59,$C$64,$C$65,$C$66,$C$67,$C$68,$C$69,$C$70,$C$74,$C$75,$D$63+W$76,$D$64,$D$65,$D$66,$D$67,$D$68,$D$69,$D$70,$D$71,$D$72,$D$73,$D$74,$D$75,$C$56,$C$57,$C$58,$C$59,$C$60),"")</f>
        <v>335058.41505572048</v>
      </c>
      <c r="X84" s="255">
        <f ca="1">IF(NOW(),_xll.mirSwapPV($C$51,$C$52,$C$54,$G59,$C$55,$I59,$C$64,$C$65,$C$66,$C$67,$C$68,$C$69,$C$70,$C$74,$C$75,$D$63+X$76,$D$64,$D$65,$D$66,$D$67,$D$68,$D$69,$D$70,$D$71,$D$72,$D$73,$D$74,$D$75,$C$56,$C$57,$C$58,$C$59,$C$60),"")</f>
        <v>418823.01881965069</v>
      </c>
      <c r="Y84" s="229"/>
      <c r="AG84" s="224" t="s">
        <v>113</v>
      </c>
      <c r="AH84" s="255">
        <f ca="1">IF(NOW(),_xll.mirSwapPV($C$51,$C$52,$C$54,$AA59,$C$55,$AC59,$C$64,$C$65,$C$66,$C$67,$C$68,$C$69,$C$70,$C$74,$C$75,$D$63+AH$76,$D$64,$D$65,$D$66,$D$67,$D$68,$D$69,$D$70,$D$71,$D$72,$D$73,$D$74,$D$75,$C$56,$C$57,$C$58,$D$59,$C$60),"")</f>
        <v>-418823.01881965069</v>
      </c>
      <c r="AI84" s="255">
        <f ca="1">IF(NOW(),_xll.mirSwapPV($C$51,$C$52,$C$54,$AA59,$C$55,$AC59,$C$64,$C$65,$C$66,$C$67,$C$68,$C$69,$C$70,$C$74,$C$75,$D$63+AI$76,$D$64,$D$65,$D$66,$D$67,$D$68,$D$69,$D$70,$D$71,$D$72,$D$73,$D$74,$D$75,$C$56,$C$57,$C$58,$D$59,$C$60),"")</f>
        <v>-335058.41505572054</v>
      </c>
      <c r="AJ84" s="255">
        <f ca="1">IF(NOW(),_xll.mirSwapPV($C$51,$C$52,$C$54,$AA59,$C$55,$AC59,$C$64,$C$65,$C$66,$C$67,$C$68,$C$69,$C$70,$C$74,$C$75,$D$63+AJ$76,$D$64,$D$65,$D$66,$D$67,$D$68,$D$69,$D$70,$D$71,$D$72,$D$73,$D$74,$D$75,$C$56,$C$57,$C$58,$D$59,$C$60),"")</f>
        <v>-251293.81129179031</v>
      </c>
      <c r="AK84" s="255">
        <f ca="1">IF(NOW(),_xll.mirSwapPV($C$51,$C$52,$C$54,$AA59,$C$55,$AC59,$C$64,$C$65,$C$66,$C$67,$C$68,$C$69,$C$70,$C$74,$C$75,$D$63+AK$76,$D$64,$D$65,$D$66,$D$67,$D$68,$D$69,$D$70,$D$71,$D$72,$D$73,$D$74,$D$75,$C$56,$C$57,$C$58,$D$59,$C$60),"")</f>
        <v>-167529.20752786027</v>
      </c>
      <c r="AL84" s="255">
        <f ca="1">IF(NOW(),_xll.mirSwapPV($C$51,$C$52,$C$54,$AA59,$C$55,$AC59,$C$64,$C$65,$C$66,$C$67,$C$68,$C$69,$C$70,$C$74,$C$75,$D$63+AL$76,$D$64,$D$65,$D$66,$D$67,$D$68,$D$69,$D$70,$D$71,$D$72,$D$73,$D$74,$D$75,$C$56,$C$57,$C$58,$D$59,$C$60),"")</f>
        <v>-83764.603763930194</v>
      </c>
      <c r="AM84" s="255">
        <f ca="1">IF(NOW(),_xll.mirSwapPV($C$51,$C$52,$C$54,$AA59,$C$55,$AC59,$C$64,$C$65,$C$66,$C$67,$C$68,$C$69,$C$70,$C$74,$C$75,$D$63+AM$76,$D$64,$D$65,$D$66,$D$67,$D$68,$D$69,$D$70,$D$71,$D$72,$D$73,$D$74,$D$75,$C$56,$C$57,$C$58,$D$59,$C$60),"")</f>
        <v>0</v>
      </c>
      <c r="AN84" s="255">
        <f ca="1">IF(NOW(),_xll.mirSwapPV($C$51,$C$52,$C$54,$AA59,$C$55,$AC59,$C$64,$C$65,$C$66,$C$67,$C$68,$C$69,$C$70,$C$74,$C$75,$D$63+AN$76,$D$64,$D$65,$D$66,$D$67,$D$68,$D$69,$D$70,$D$71,$D$72,$D$73,$D$74,$D$75,$C$56,$C$57,$C$58,$D$59,$C$60),"")</f>
        <v>83764.603763930107</v>
      </c>
      <c r="AO84" s="255">
        <f ca="1">IF(NOW(),_xll.mirSwapPV($C$51,$C$52,$C$54,$AA59,$C$55,$AC59,$C$64,$C$65,$C$66,$C$67,$C$68,$C$69,$C$70,$C$74,$C$75,$D$63+AO$76,$D$64,$D$65,$D$66,$D$67,$D$68,$D$69,$D$70,$D$71,$D$72,$D$73,$D$74,$D$75,$C$56,$C$57,$C$58,$D$59,$C$60),"")</f>
        <v>167529.20752786021</v>
      </c>
      <c r="AP84" s="255">
        <f ca="1">IF(NOW(),_xll.mirSwapPV($C$51,$C$52,$C$54,$AA59,$C$55,$AC59,$C$64,$C$65,$C$66,$C$67,$C$68,$C$69,$C$70,$C$74,$C$75,$D$63+AP$76,$D$64,$D$65,$D$66,$D$67,$D$68,$D$69,$D$70,$D$71,$D$72,$D$73,$D$74,$D$75,$C$56,$C$57,$C$58,$D$59,$C$60),"")</f>
        <v>251293.81129179033</v>
      </c>
      <c r="AQ84" s="255">
        <f ca="1">IF(NOW(),_xll.mirSwapPV($C$51,$C$52,$C$54,$AA59,$C$55,$AC59,$C$64,$C$65,$C$66,$C$67,$C$68,$C$69,$C$70,$C$74,$C$75,$D$63+AQ$76,$D$64,$D$65,$D$66,$D$67,$D$68,$D$69,$D$70,$D$71,$D$72,$D$73,$D$74,$D$75,$C$56,$C$57,$C$58,$D$59,$C$60),"")</f>
        <v>335058.41505572043</v>
      </c>
      <c r="AR84" s="255">
        <f ca="1">IF(NOW(),_xll.mirSwapPV($C$51,$C$52,$C$54,$AA59,$C$55,$AC59,$C$64,$C$65,$C$66,$C$67,$C$68,$C$69,$C$70,$C$74,$C$75,$D$63+AR$76,$D$64,$D$65,$D$66,$D$67,$D$68,$D$69,$D$70,$D$71,$D$72,$D$73,$D$74,$D$75,$C$56,$C$57,$C$58,$D$59,$C$60),"")</f>
        <v>418823.01881965058</v>
      </c>
    </row>
    <row r="85" spans="6:44">
      <c r="F85" s="230"/>
      <c r="G85" s="227"/>
      <c r="H85" s="229"/>
      <c r="I85" s="229"/>
      <c r="J85" s="229"/>
      <c r="K85" s="230"/>
      <c r="L85" s="230"/>
      <c r="M85" s="224" t="s">
        <v>28</v>
      </c>
      <c r="N85" s="255">
        <f ca="1">IF(NOW(),_xll.mirSwapPV($C$51,$C$52,$C$54,$G60,$C$55,$I60,$C$64,$C$65,$C$66,$C$67,$C$68,$C$69,$C$70,$C$74,$C$75,$D$63+N$76,$D$64,$D$65,$D$66,$D$67,$D$68,$D$69,$D$70,$D$71,$D$72,$D$73,$D$74,$D$75,$C$56,$C$57,$C$58,$C$59,$C$60),"")</f>
        <v>-460063.14960164647</v>
      </c>
      <c r="O85" s="255">
        <f ca="1">IF(NOW(),_xll.mirSwapPV($C$51,$C$52,$C$54,$G60,$C$55,$I60,$C$64,$C$65,$C$66,$C$67,$C$68,$C$69,$C$70,$C$74,$C$75,$D$63+O$76,$D$64,$D$65,$D$66,$D$67,$D$68,$D$69,$D$70,$D$71,$D$72,$D$73,$D$74,$D$75,$C$56,$C$57,$C$58,$C$59,$C$60),"")</f>
        <v>-368050.51968131715</v>
      </c>
      <c r="P85" s="255">
        <f ca="1">IF(NOW(),_xll.mirSwapPV($C$51,$C$52,$C$54,$G60,$C$55,$I60,$C$64,$C$65,$C$66,$C$67,$C$68,$C$69,$C$70,$C$74,$C$75,$D$63+P$76,$D$64,$D$65,$D$66,$D$67,$D$68,$D$69,$D$70,$D$71,$D$72,$D$73,$D$74,$D$75,$C$56,$C$57,$C$58,$C$59,$C$60),"")</f>
        <v>-276037.88976098789</v>
      </c>
      <c r="Q85" s="255">
        <f ca="1">IF(NOW(),_xll.mirSwapPV($C$51,$C$52,$C$54,$G60,$C$55,$I60,$C$64,$C$65,$C$66,$C$67,$C$68,$C$69,$C$70,$C$74,$C$75,$D$63+Q$76,$D$64,$D$65,$D$66,$D$67,$D$68,$D$69,$D$70,$D$71,$D$72,$D$73,$D$74,$D$75,$C$56,$C$57,$C$58,$C$59,$C$60),"")</f>
        <v>-184025.25984065866</v>
      </c>
      <c r="R85" s="255">
        <f ca="1">IF(NOW(),_xll.mirSwapPV($C$51,$C$52,$C$54,$G60,$C$55,$I60,$C$64,$C$65,$C$66,$C$67,$C$68,$C$69,$C$70,$C$74,$C$75,$D$63+R$76,$D$64,$D$65,$D$66,$D$67,$D$68,$D$69,$D$70,$D$71,$D$72,$D$73,$D$74,$D$75,$C$56,$C$57,$C$58,$C$59,$C$60),"")</f>
        <v>-92012.629920329273</v>
      </c>
      <c r="S85" s="255">
        <f ca="1">IF(NOW(),_xll.mirSwapPV($C$51,$C$52,$C$54,$G60,$C$55,$I60,$C$64,$C$65,$C$66,$C$67,$C$68,$C$69,$C$70,$C$74,$C$75,$D$63+S$76,$D$64,$D$65,$D$66,$D$67,$D$68,$D$69,$D$70,$D$71,$D$72,$D$73,$D$74,$D$75,$C$56,$C$57,$C$58,$C$59,$C$60),"")</f>
        <v>0</v>
      </c>
      <c r="T85" s="255">
        <f ca="1">IF(NOW(),_xll.mirSwapPV($C$51,$C$52,$C$54,$G60,$C$55,$I60,$C$64,$C$65,$C$66,$C$67,$C$68,$C$69,$C$70,$C$74,$C$75,$D$63+T$76,$D$64,$D$65,$D$66,$D$67,$D$68,$D$69,$D$70,$D$71,$D$72,$D$73,$D$74,$D$75,$C$56,$C$57,$C$58,$C$59,$C$60),"")</f>
        <v>92012.629920329302</v>
      </c>
      <c r="U85" s="255">
        <f ca="1">IF(NOW(),_xll.mirSwapPV($C$51,$C$52,$C$54,$G60,$C$55,$I60,$C$64,$C$65,$C$66,$C$67,$C$68,$C$69,$C$70,$C$74,$C$75,$D$63+U$76,$D$64,$D$65,$D$66,$D$67,$D$68,$D$69,$D$70,$D$71,$D$72,$D$73,$D$74,$D$75,$C$56,$C$57,$C$58,$C$59,$C$60),"")</f>
        <v>184025.2598406586</v>
      </c>
      <c r="V85" s="255">
        <f ca="1">IF(NOW(),_xll.mirSwapPV($C$51,$C$52,$C$54,$G60,$C$55,$I60,$C$64,$C$65,$C$66,$C$67,$C$68,$C$69,$C$70,$C$74,$C$75,$D$63+V$76,$D$64,$D$65,$D$66,$D$67,$D$68,$D$69,$D$70,$D$71,$D$72,$D$73,$D$74,$D$75,$C$56,$C$57,$C$58,$C$59,$C$60),"")</f>
        <v>276037.88976098789</v>
      </c>
      <c r="W85" s="255">
        <f ca="1">IF(NOW(),_xll.mirSwapPV($C$51,$C$52,$C$54,$G60,$C$55,$I60,$C$64,$C$65,$C$66,$C$67,$C$68,$C$69,$C$70,$C$74,$C$75,$D$63+W$76,$D$64,$D$65,$D$66,$D$67,$D$68,$D$69,$D$70,$D$71,$D$72,$D$73,$D$74,$D$75,$C$56,$C$57,$C$58,$C$59,$C$60),"")</f>
        <v>368050.51968131721</v>
      </c>
      <c r="X85" s="255">
        <f ca="1">IF(NOW(),_xll.mirSwapPV($C$51,$C$52,$C$54,$G60,$C$55,$I60,$C$64,$C$65,$C$66,$C$67,$C$68,$C$69,$C$70,$C$74,$C$75,$D$63+X$76,$D$64,$D$65,$D$66,$D$67,$D$68,$D$69,$D$70,$D$71,$D$72,$D$73,$D$74,$D$75,$C$56,$C$57,$C$58,$C$59,$C$60),"")</f>
        <v>460063.14960164658</v>
      </c>
      <c r="Y85" s="229"/>
      <c r="AG85" s="224" t="s">
        <v>28</v>
      </c>
      <c r="AH85" s="255">
        <f ca="1">IF(NOW(),_xll.mirSwapPV($C$51,$C$52,$C$54,$AA60,$C$55,$AC60,$C$64,$C$65,$C$66,$C$67,$C$68,$C$69,$C$70,$C$74,$C$75,$D$63+AH$76,$D$64,$D$65,$D$66,$D$67,$D$68,$D$69,$D$70,$D$71,$D$72,$D$73,$D$74,$D$75,$C$56,$C$57,$C$58,$D$59,$C$60),"")</f>
        <v>-460063.14960164652</v>
      </c>
      <c r="AI85" s="255">
        <f ca="1">IF(NOW(),_xll.mirSwapPV($C$51,$C$52,$C$54,$AA60,$C$55,$AC60,$C$64,$C$65,$C$66,$C$67,$C$68,$C$69,$C$70,$C$74,$C$75,$D$63+AI$76,$D$64,$D$65,$D$66,$D$67,$D$68,$D$69,$D$70,$D$71,$D$72,$D$73,$D$74,$D$75,$C$56,$C$57,$C$58,$D$59,$C$60),"")</f>
        <v>-368050.51968131732</v>
      </c>
      <c r="AJ85" s="255">
        <f ca="1">IF(NOW(),_xll.mirSwapPV($C$51,$C$52,$C$54,$AA60,$C$55,$AC60,$C$64,$C$65,$C$66,$C$67,$C$68,$C$69,$C$70,$C$74,$C$75,$D$63+AJ$76,$D$64,$D$65,$D$66,$D$67,$D$68,$D$69,$D$70,$D$71,$D$72,$D$73,$D$74,$D$75,$C$56,$C$57,$C$58,$D$59,$C$60),"")</f>
        <v>-276037.88976098777</v>
      </c>
      <c r="AK85" s="255">
        <f ca="1">IF(NOW(),_xll.mirSwapPV($C$51,$C$52,$C$54,$AA60,$C$55,$AC60,$C$64,$C$65,$C$66,$C$67,$C$68,$C$69,$C$70,$C$74,$C$75,$D$63+AK$76,$D$64,$D$65,$D$66,$D$67,$D$68,$D$69,$D$70,$D$71,$D$72,$D$73,$D$74,$D$75,$C$56,$C$57,$C$58,$D$59,$C$60),"")</f>
        <v>-184025.25984065863</v>
      </c>
      <c r="AL85" s="255">
        <f ca="1">IF(NOW(),_xll.mirSwapPV($C$51,$C$52,$C$54,$AA60,$C$55,$AC60,$C$64,$C$65,$C$66,$C$67,$C$68,$C$69,$C$70,$C$74,$C$75,$D$63+AL$76,$D$64,$D$65,$D$66,$D$67,$D$68,$D$69,$D$70,$D$71,$D$72,$D$73,$D$74,$D$75,$C$56,$C$57,$C$58,$D$59,$C$60),"")</f>
        <v>-92012.62992032936</v>
      </c>
      <c r="AM85" s="255">
        <f ca="1">IF(NOW(),_xll.mirSwapPV($C$51,$C$52,$C$54,$AA60,$C$55,$AC60,$C$64,$C$65,$C$66,$C$67,$C$68,$C$69,$C$70,$C$74,$C$75,$D$63+AM$76,$D$64,$D$65,$D$66,$D$67,$D$68,$D$69,$D$70,$D$71,$D$72,$D$73,$D$74,$D$75,$C$56,$C$57,$C$58,$D$59,$C$60),"")</f>
        <v>0</v>
      </c>
      <c r="AN85" s="255">
        <f ca="1">IF(NOW(),_xll.mirSwapPV($C$51,$C$52,$C$54,$AA60,$C$55,$AC60,$C$64,$C$65,$C$66,$C$67,$C$68,$C$69,$C$70,$C$74,$C$75,$D$63+AN$76,$D$64,$D$65,$D$66,$D$67,$D$68,$D$69,$D$70,$D$71,$D$72,$D$73,$D$74,$D$75,$C$56,$C$57,$C$58,$D$59,$C$60),"")</f>
        <v>92012.629920329273</v>
      </c>
      <c r="AO85" s="255">
        <f ca="1">IF(NOW(),_xll.mirSwapPV($C$51,$C$52,$C$54,$AA60,$C$55,$AC60,$C$64,$C$65,$C$66,$C$67,$C$68,$C$69,$C$70,$C$74,$C$75,$D$63+AO$76,$D$64,$D$65,$D$66,$D$67,$D$68,$D$69,$D$70,$D$71,$D$72,$D$73,$D$74,$D$75,$C$56,$C$57,$C$58,$D$59,$C$60),"")</f>
        <v>184025.25984065857</v>
      </c>
      <c r="AP85" s="255">
        <f ca="1">IF(NOW(),_xll.mirSwapPV($C$51,$C$52,$C$54,$AA60,$C$55,$AC60,$C$64,$C$65,$C$66,$C$67,$C$68,$C$69,$C$70,$C$74,$C$75,$D$63+AP$76,$D$64,$D$65,$D$66,$D$67,$D$68,$D$69,$D$70,$D$71,$D$72,$D$73,$D$74,$D$75,$C$56,$C$57,$C$58,$D$59,$C$60),"")</f>
        <v>276037.88976098789</v>
      </c>
      <c r="AQ85" s="255">
        <f ca="1">IF(NOW(),_xll.mirSwapPV($C$51,$C$52,$C$54,$AA60,$C$55,$AC60,$C$64,$C$65,$C$66,$C$67,$C$68,$C$69,$C$70,$C$74,$C$75,$D$63+AQ$76,$D$64,$D$65,$D$66,$D$67,$D$68,$D$69,$D$70,$D$71,$D$72,$D$73,$D$74,$D$75,$C$56,$C$57,$C$58,$D$59,$C$60),"")</f>
        <v>368050.51968131715</v>
      </c>
      <c r="AR85" s="255">
        <f ca="1">IF(NOW(),_xll.mirSwapPV($C$51,$C$52,$C$54,$AA60,$C$55,$AC60,$C$64,$C$65,$C$66,$C$67,$C$68,$C$69,$C$70,$C$74,$C$75,$D$63+AR$76,$D$64,$D$65,$D$66,$D$67,$D$68,$D$69,$D$70,$D$71,$D$72,$D$73,$D$74,$D$75,$C$56,$C$57,$C$58,$D$59,$C$60),"")</f>
        <v>460063.14960164641</v>
      </c>
    </row>
    <row r="86" spans="6:44">
      <c r="F86" s="230"/>
      <c r="G86" s="227"/>
      <c r="H86" s="229"/>
      <c r="I86" s="229"/>
      <c r="J86" s="229"/>
      <c r="K86" s="230"/>
      <c r="L86" s="230"/>
      <c r="M86" s="224" t="s">
        <v>26</v>
      </c>
      <c r="N86" s="255">
        <f ca="1">IF(NOW(),_xll.mirSwapPV($C$51,$C$52,$C$54,$G61,$C$55,$I61,$C$64,$C$65,$C$66,$C$67,$C$68,$C$69,$C$70,$C$74,$C$75,$D$63+N$76,$D$64,$D$65,$D$66,$D$67,$D$68,$D$69,$D$70,$D$71,$D$72,$D$73,$D$74,$D$75,$C$56,$C$57,$C$58,$C$59,$C$60),"")</f>
        <v>-539399.29946624534</v>
      </c>
      <c r="O86" s="255">
        <f ca="1">IF(NOW(),_xll.mirSwapPV($C$51,$C$52,$C$54,$G61,$C$55,$I61,$C$64,$C$65,$C$66,$C$67,$C$68,$C$69,$C$70,$C$74,$C$75,$D$63+O$76,$D$64,$D$65,$D$66,$D$67,$D$68,$D$69,$D$70,$D$71,$D$72,$D$73,$D$74,$D$75,$C$56,$C$57,$C$58,$C$59,$C$60),"")</f>
        <v>-431519.43957299629</v>
      </c>
      <c r="P86" s="255">
        <f ca="1">IF(NOW(),_xll.mirSwapPV($C$51,$C$52,$C$54,$G61,$C$55,$I61,$C$64,$C$65,$C$66,$C$67,$C$68,$C$69,$C$70,$C$74,$C$75,$D$63+P$76,$D$64,$D$65,$D$66,$D$67,$D$68,$D$69,$D$70,$D$71,$D$72,$D$73,$D$74,$D$75,$C$56,$C$57,$C$58,$C$59,$C$60),"")</f>
        <v>-323639.57967974729</v>
      </c>
      <c r="Q86" s="255">
        <f ca="1">IF(NOW(),_xll.mirSwapPV($C$51,$C$52,$C$54,$G61,$C$55,$I61,$C$64,$C$65,$C$66,$C$67,$C$68,$C$69,$C$70,$C$74,$C$75,$D$63+Q$76,$D$64,$D$65,$D$66,$D$67,$D$68,$D$69,$D$70,$D$71,$D$72,$D$73,$D$74,$D$75,$C$56,$C$57,$C$58,$C$59,$C$60),"")</f>
        <v>-215759.71978649823</v>
      </c>
      <c r="R86" s="255">
        <f ca="1">IF(NOW(),_xll.mirSwapPV($C$51,$C$52,$C$54,$G61,$C$55,$I61,$C$64,$C$65,$C$66,$C$67,$C$68,$C$69,$C$70,$C$74,$C$75,$D$63+R$76,$D$64,$D$65,$D$66,$D$67,$D$68,$D$69,$D$70,$D$71,$D$72,$D$73,$D$74,$D$75,$C$56,$C$57,$C$58,$C$59,$C$60),"")</f>
        <v>-107879.85989324906</v>
      </c>
      <c r="S86" s="255">
        <f ca="1">IF(NOW(),_xll.mirSwapPV($C$51,$C$52,$C$54,$G61,$C$55,$I61,$C$64,$C$65,$C$66,$C$67,$C$68,$C$69,$C$70,$C$74,$C$75,$D$63+S$76,$D$64,$D$65,$D$66,$D$67,$D$68,$D$69,$D$70,$D$71,$D$72,$D$73,$D$74,$D$75,$C$56,$C$57,$C$58,$C$59,$C$60),"")</f>
        <v>0</v>
      </c>
      <c r="T86" s="255">
        <f ca="1">IF(NOW(),_xll.mirSwapPV($C$51,$C$52,$C$54,$G61,$C$55,$I61,$C$64,$C$65,$C$66,$C$67,$C$68,$C$69,$C$70,$C$74,$C$75,$D$63+T$76,$D$64,$D$65,$D$66,$D$67,$D$68,$D$69,$D$70,$D$71,$D$72,$D$73,$D$74,$D$75,$C$56,$C$57,$C$58,$C$59,$C$60),"")</f>
        <v>107879.85989324911</v>
      </c>
      <c r="U86" s="255">
        <f ca="1">IF(NOW(),_xll.mirSwapPV($C$51,$C$52,$C$54,$G61,$C$55,$I61,$C$64,$C$65,$C$66,$C$67,$C$68,$C$69,$C$70,$C$74,$C$75,$D$63+U$76,$D$64,$D$65,$D$66,$D$67,$D$68,$D$69,$D$70,$D$71,$D$72,$D$73,$D$74,$D$75,$C$56,$C$57,$C$58,$C$59,$C$60),"")</f>
        <v>215759.71978649823</v>
      </c>
      <c r="V86" s="255">
        <f ca="1">IF(NOW(),_xll.mirSwapPV($C$51,$C$52,$C$54,$G61,$C$55,$I61,$C$64,$C$65,$C$66,$C$67,$C$68,$C$69,$C$70,$C$74,$C$75,$D$63+V$76,$D$64,$D$65,$D$66,$D$67,$D$68,$D$69,$D$70,$D$71,$D$72,$D$73,$D$74,$D$75,$C$56,$C$57,$C$58,$C$59,$C$60),"")</f>
        <v>323639.57967974734</v>
      </c>
      <c r="W86" s="255">
        <f ca="1">IF(NOW(),_xll.mirSwapPV($C$51,$C$52,$C$54,$G61,$C$55,$I61,$C$64,$C$65,$C$66,$C$67,$C$68,$C$69,$C$70,$C$74,$C$75,$D$63+W$76,$D$64,$D$65,$D$66,$D$67,$D$68,$D$69,$D$70,$D$71,$D$72,$D$73,$D$74,$D$75,$C$56,$C$57,$C$58,$C$59,$C$60),"")</f>
        <v>431519.4395729964</v>
      </c>
      <c r="X86" s="255">
        <f ca="1">IF(NOW(),_xll.mirSwapPV($C$51,$C$52,$C$54,$G61,$C$55,$I61,$C$64,$C$65,$C$66,$C$67,$C$68,$C$69,$C$70,$C$74,$C$75,$D$63+X$76,$D$64,$D$65,$D$66,$D$67,$D$68,$D$69,$D$70,$D$71,$D$72,$D$73,$D$74,$D$75,$C$56,$C$57,$C$58,$C$59,$C$60),"")</f>
        <v>539399.29946624557</v>
      </c>
      <c r="Y86" s="229"/>
      <c r="AG86" s="224" t="s">
        <v>26</v>
      </c>
      <c r="AH86" s="255">
        <f ca="1">IF(NOW(),_xll.mirSwapPV($C$51,$C$52,$C$54,$AA61,$C$55,$AC61,$C$64,$C$65,$C$66,$C$67,$C$68,$C$69,$C$70,$C$74,$C$75,$D$63+AH$76,$D$64,$D$65,$D$66,$D$67,$D$68,$D$69,$D$70,$D$71,$D$72,$D$73,$D$74,$D$75,$C$56,$C$57,$C$58,$D$59,$C$60),"")</f>
        <v>-539399.29946624557</v>
      </c>
      <c r="AI86" s="255">
        <f ca="1">IF(NOW(),_xll.mirSwapPV($C$51,$C$52,$C$54,$AA61,$C$55,$AC61,$C$64,$C$65,$C$66,$C$67,$C$68,$C$69,$C$70,$C$74,$C$75,$D$63+AI$76,$D$64,$D$65,$D$66,$D$67,$D$68,$D$69,$D$70,$D$71,$D$72,$D$73,$D$74,$D$75,$C$56,$C$57,$C$58,$D$59,$C$60),"")</f>
        <v>-431519.43957299652</v>
      </c>
      <c r="AJ86" s="255">
        <f ca="1">IF(NOW(),_xll.mirSwapPV($C$51,$C$52,$C$54,$AA61,$C$55,$AC61,$C$64,$C$65,$C$66,$C$67,$C$68,$C$69,$C$70,$C$74,$C$75,$D$63+AJ$76,$D$64,$D$65,$D$66,$D$67,$D$68,$D$69,$D$70,$D$71,$D$72,$D$73,$D$74,$D$75,$C$56,$C$57,$C$58,$D$59,$C$60),"")</f>
        <v>-323639.579679747</v>
      </c>
      <c r="AK86" s="255">
        <f ca="1">IF(NOW(),_xll.mirSwapPV($C$51,$C$52,$C$54,$AA61,$C$55,$AC61,$C$64,$C$65,$C$66,$C$67,$C$68,$C$69,$C$70,$C$74,$C$75,$D$63+AK$76,$D$64,$D$65,$D$66,$D$67,$D$68,$D$69,$D$70,$D$71,$D$72,$D$73,$D$74,$D$75,$C$56,$C$57,$C$58,$D$59,$C$60),"")</f>
        <v>-215759.71978649823</v>
      </c>
      <c r="AL86" s="255">
        <f ca="1">IF(NOW(),_xll.mirSwapPV($C$51,$C$52,$C$54,$AA61,$C$55,$AC61,$C$64,$C$65,$C$66,$C$67,$C$68,$C$69,$C$70,$C$74,$C$75,$D$63+AL$76,$D$64,$D$65,$D$66,$D$67,$D$68,$D$69,$D$70,$D$71,$D$72,$D$73,$D$74,$D$75,$C$56,$C$57,$C$58,$D$59,$C$60),"")</f>
        <v>-107879.85989324916</v>
      </c>
      <c r="AM86" s="255">
        <f ca="1">IF(NOW(),_xll.mirSwapPV($C$51,$C$52,$C$54,$AA61,$C$55,$AC61,$C$64,$C$65,$C$66,$C$67,$C$68,$C$69,$C$70,$C$74,$C$75,$D$63+AM$76,$D$64,$D$65,$D$66,$D$67,$D$68,$D$69,$D$70,$D$71,$D$72,$D$73,$D$74,$D$75,$C$56,$C$57,$C$58,$D$59,$C$60),"")</f>
        <v>0</v>
      </c>
      <c r="AN86" s="255">
        <f ca="1">IF(NOW(),_xll.mirSwapPV($C$51,$C$52,$C$54,$AA61,$C$55,$AC61,$C$64,$C$65,$C$66,$C$67,$C$68,$C$69,$C$70,$C$74,$C$75,$D$63+AN$76,$D$64,$D$65,$D$66,$D$67,$D$68,$D$69,$D$70,$D$71,$D$72,$D$73,$D$74,$D$75,$C$56,$C$57,$C$58,$D$59,$C$60),"")</f>
        <v>107879.85989324911</v>
      </c>
      <c r="AO86" s="255">
        <f ca="1">IF(NOW(),_xll.mirSwapPV($C$51,$C$52,$C$54,$AA61,$C$55,$AC61,$C$64,$C$65,$C$66,$C$67,$C$68,$C$69,$C$70,$C$74,$C$75,$D$63+AO$76,$D$64,$D$65,$D$66,$D$67,$D$68,$D$69,$D$70,$D$71,$D$72,$D$73,$D$74,$D$75,$C$56,$C$57,$C$58,$D$59,$C$60),"")</f>
        <v>215759.7197864982</v>
      </c>
      <c r="AP86" s="255">
        <f ca="1">IF(NOW(),_xll.mirSwapPV($C$51,$C$52,$C$54,$AA61,$C$55,$AC61,$C$64,$C$65,$C$66,$C$67,$C$68,$C$69,$C$70,$C$74,$C$75,$D$63+AP$76,$D$64,$D$65,$D$66,$D$67,$D$68,$D$69,$D$70,$D$71,$D$72,$D$73,$D$74,$D$75,$C$56,$C$57,$C$58,$D$59,$C$60),"")</f>
        <v>323639.57967974729</v>
      </c>
      <c r="AQ86" s="255">
        <f ca="1">IF(NOW(),_xll.mirSwapPV($C$51,$C$52,$C$54,$AA61,$C$55,$AC61,$C$64,$C$65,$C$66,$C$67,$C$68,$C$69,$C$70,$C$74,$C$75,$D$63+AQ$76,$D$64,$D$65,$D$66,$D$67,$D$68,$D$69,$D$70,$D$71,$D$72,$D$73,$D$74,$D$75,$C$56,$C$57,$C$58,$D$59,$C$60),"")</f>
        <v>431519.43957299634</v>
      </c>
      <c r="AR86" s="255">
        <f ca="1">IF(NOW(),_xll.mirSwapPV($C$51,$C$52,$C$54,$AA61,$C$55,$AC61,$C$64,$C$65,$C$66,$C$67,$C$68,$C$69,$C$70,$C$74,$C$75,$D$63+AR$76,$D$64,$D$65,$D$66,$D$67,$D$68,$D$69,$D$70,$D$71,$D$72,$D$73,$D$74,$D$75,$C$56,$C$57,$C$58,$D$59,$C$60),"")</f>
        <v>539399.29946624546</v>
      </c>
    </row>
    <row r="87" spans="6:44">
      <c r="F87" s="230"/>
      <c r="G87" s="227"/>
      <c r="H87" s="229"/>
      <c r="I87" s="229"/>
      <c r="J87" s="229"/>
      <c r="K87" s="230"/>
      <c r="L87" s="230"/>
      <c r="M87" s="224" t="s">
        <v>24</v>
      </c>
      <c r="N87" s="255">
        <f ca="1">IF(NOW(),_xll.mirSwapPV($C$51,$C$52,$C$54,$G62,$C$55,$I62,$C$64,$C$65,$C$66,$C$67,$C$68,$C$69,$C$70,$C$74,$C$75,$D$63+N$76,$D$64,$D$65,$D$66,$D$67,$D$68,$D$69,$D$70,$D$71,$D$72,$D$73,$D$74,$D$75,$C$56,$C$57,$C$58,$C$59,$C$60),"")</f>
        <v>-650948.40440974885</v>
      </c>
      <c r="O87" s="255">
        <f ca="1">IF(NOW(),_xll.mirSwapPV($C$51,$C$52,$C$54,$G62,$C$55,$I62,$C$64,$C$65,$C$66,$C$67,$C$68,$C$69,$C$70,$C$74,$C$75,$D$63+O$76,$D$64,$D$65,$D$66,$D$67,$D$68,$D$69,$D$70,$D$71,$D$72,$D$73,$D$74,$D$75,$C$56,$C$57,$C$58,$C$59,$C$60),"")</f>
        <v>-520758.72352779895</v>
      </c>
      <c r="P87" s="255">
        <f ca="1">IF(NOW(),_xll.mirSwapPV($C$51,$C$52,$C$54,$G62,$C$55,$I62,$C$64,$C$65,$C$66,$C$67,$C$68,$C$69,$C$70,$C$74,$C$75,$D$63+P$76,$D$64,$D$65,$D$66,$D$67,$D$68,$D$69,$D$70,$D$71,$D$72,$D$73,$D$74,$D$75,$C$56,$C$57,$C$58,$C$59,$C$60),"")</f>
        <v>-390569.04264584935</v>
      </c>
      <c r="Q87" s="255">
        <f ca="1">IF(NOW(),_xll.mirSwapPV($C$51,$C$52,$C$54,$G62,$C$55,$I62,$C$64,$C$65,$C$66,$C$67,$C$68,$C$69,$C$70,$C$74,$C$75,$D$63+Q$76,$D$64,$D$65,$D$66,$D$67,$D$68,$D$69,$D$70,$D$71,$D$72,$D$73,$D$74,$D$75,$C$56,$C$57,$C$58,$C$59,$C$60),"")</f>
        <v>-260379.36176389965</v>
      </c>
      <c r="R87" s="255">
        <f ca="1">IF(NOW(),_xll.mirSwapPV($C$51,$C$52,$C$54,$G62,$C$55,$I62,$C$64,$C$65,$C$66,$C$67,$C$68,$C$69,$C$70,$C$74,$C$75,$D$63+R$76,$D$64,$D$65,$D$66,$D$67,$D$68,$D$69,$D$70,$D$71,$D$72,$D$73,$D$74,$D$75,$C$56,$C$57,$C$58,$C$59,$C$60),"")</f>
        <v>-130189.68088194971</v>
      </c>
      <c r="S87" s="255">
        <f ca="1">IF(NOW(),_xll.mirSwapPV($C$51,$C$52,$C$54,$G62,$C$55,$I62,$C$64,$C$65,$C$66,$C$67,$C$68,$C$69,$C$70,$C$74,$C$75,$D$63+S$76,$D$64,$D$65,$D$66,$D$67,$D$68,$D$69,$D$70,$D$71,$D$72,$D$73,$D$74,$D$75,$C$56,$C$57,$C$58,$C$59,$C$60),"")</f>
        <v>0</v>
      </c>
      <c r="T87" s="255">
        <f ca="1">IF(NOW(),_xll.mirSwapPV($C$51,$C$52,$C$54,$G62,$C$55,$I62,$C$64,$C$65,$C$66,$C$67,$C$68,$C$69,$C$70,$C$74,$C$75,$D$63+T$76,$D$64,$D$65,$D$66,$D$67,$D$68,$D$69,$D$70,$D$71,$D$72,$D$73,$D$74,$D$75,$C$56,$C$57,$C$58,$C$59,$C$60),"")</f>
        <v>130189.6808819498</v>
      </c>
      <c r="U87" s="255">
        <f ca="1">IF(NOW(),_xll.mirSwapPV($C$51,$C$52,$C$54,$G62,$C$55,$I62,$C$64,$C$65,$C$66,$C$67,$C$68,$C$69,$C$70,$C$74,$C$75,$D$63+U$76,$D$64,$D$65,$D$66,$D$67,$D$68,$D$69,$D$70,$D$71,$D$72,$D$73,$D$74,$D$75,$C$56,$C$57,$C$58,$C$59,$C$60),"")</f>
        <v>260379.36176389959</v>
      </c>
      <c r="V87" s="255">
        <f ca="1">IF(NOW(),_xll.mirSwapPV($C$51,$C$52,$C$54,$G62,$C$55,$I62,$C$64,$C$65,$C$66,$C$67,$C$68,$C$69,$C$70,$C$74,$C$75,$D$63+V$76,$D$64,$D$65,$D$66,$D$67,$D$68,$D$69,$D$70,$D$71,$D$72,$D$73,$D$74,$D$75,$C$56,$C$57,$C$58,$C$59,$C$60),"")</f>
        <v>390569.0426458494</v>
      </c>
      <c r="W87" s="255">
        <f ca="1">IF(NOW(),_xll.mirSwapPV($C$51,$C$52,$C$54,$G62,$C$55,$I62,$C$64,$C$65,$C$66,$C$67,$C$68,$C$69,$C$70,$C$74,$C$75,$D$63+W$76,$D$64,$D$65,$D$66,$D$67,$D$68,$D$69,$D$70,$D$71,$D$72,$D$73,$D$74,$D$75,$C$56,$C$57,$C$58,$C$59,$C$60),"")</f>
        <v>520758.72352779919</v>
      </c>
      <c r="X87" s="255">
        <f ca="1">IF(NOW(),_xll.mirSwapPV($C$51,$C$52,$C$54,$G62,$C$55,$I62,$C$64,$C$65,$C$66,$C$67,$C$68,$C$69,$C$70,$C$74,$C$75,$D$63+X$76,$D$64,$D$65,$D$66,$D$67,$D$68,$D$69,$D$70,$D$71,$D$72,$D$73,$D$74,$D$75,$C$56,$C$57,$C$58,$C$59,$C$60),"")</f>
        <v>650948.40440974897</v>
      </c>
      <c r="Y87" s="229"/>
      <c r="AG87" s="224" t="s">
        <v>24</v>
      </c>
      <c r="AH87" s="255">
        <f ca="1">IF(NOW(),_xll.mirSwapPV($C$51,$C$52,$C$54,$AA62,$C$55,$AC62,$C$64,$C$65,$C$66,$C$67,$C$68,$C$69,$C$70,$C$74,$C$75,$D$63+AH$76,$D$64,$D$65,$D$66,$D$67,$D$68,$D$69,$D$70,$D$71,$D$72,$D$73,$D$74,$D$75,$C$56,$C$57,$C$58,$D$59,$C$60),"")</f>
        <v>-650948.40440974908</v>
      </c>
      <c r="AI87" s="255">
        <f ca="1">IF(NOW(),_xll.mirSwapPV($C$51,$C$52,$C$54,$AA62,$C$55,$AC62,$C$64,$C$65,$C$66,$C$67,$C$68,$C$69,$C$70,$C$74,$C$75,$D$63+AI$76,$D$64,$D$65,$D$66,$D$67,$D$68,$D$69,$D$70,$D$71,$D$72,$D$73,$D$74,$D$75,$C$56,$C$57,$C$58,$D$59,$C$60),"")</f>
        <v>-520758.7235277993</v>
      </c>
      <c r="AJ87" s="255">
        <f ca="1">IF(NOW(),_xll.mirSwapPV($C$51,$C$52,$C$54,$AA62,$C$55,$AC62,$C$64,$C$65,$C$66,$C$67,$C$68,$C$69,$C$70,$C$74,$C$75,$D$63+AJ$76,$D$64,$D$65,$D$66,$D$67,$D$68,$D$69,$D$70,$D$71,$D$72,$D$73,$D$74,$D$75,$C$56,$C$57,$C$58,$D$59,$C$60),"")</f>
        <v>-390569.04264584905</v>
      </c>
      <c r="AK87" s="255">
        <f ca="1">IF(NOW(),_xll.mirSwapPV($C$51,$C$52,$C$54,$AA62,$C$55,$AC62,$C$64,$C$65,$C$66,$C$67,$C$68,$C$69,$C$70,$C$74,$C$75,$D$63+AK$76,$D$64,$D$65,$D$66,$D$67,$D$68,$D$69,$D$70,$D$71,$D$72,$D$73,$D$74,$D$75,$C$56,$C$57,$C$58,$D$59,$C$60),"")</f>
        <v>-260379.36176389959</v>
      </c>
      <c r="AL87" s="255">
        <f ca="1">IF(NOW(),_xll.mirSwapPV($C$51,$C$52,$C$54,$AA62,$C$55,$AC62,$C$64,$C$65,$C$66,$C$67,$C$68,$C$69,$C$70,$C$74,$C$75,$D$63+AL$76,$D$64,$D$65,$D$66,$D$67,$D$68,$D$69,$D$70,$D$71,$D$72,$D$73,$D$74,$D$75,$C$56,$C$57,$C$58,$D$59,$C$60),"")</f>
        <v>-130189.68088194987</v>
      </c>
      <c r="AM87" s="255">
        <f ca="1">IF(NOW(),_xll.mirSwapPV($C$51,$C$52,$C$54,$AA62,$C$55,$AC62,$C$64,$C$65,$C$66,$C$67,$C$68,$C$69,$C$70,$C$74,$C$75,$D$63+AM$76,$D$64,$D$65,$D$66,$D$67,$D$68,$D$69,$D$70,$D$71,$D$72,$D$73,$D$74,$D$75,$C$56,$C$57,$C$58,$D$59,$C$60),"")</f>
        <v>0</v>
      </c>
      <c r="AN87" s="255">
        <f ca="1">IF(NOW(),_xll.mirSwapPV($C$51,$C$52,$C$54,$AA62,$C$55,$AC62,$C$64,$C$65,$C$66,$C$67,$C$68,$C$69,$C$70,$C$74,$C$75,$D$63+AN$76,$D$64,$D$65,$D$66,$D$67,$D$68,$D$69,$D$70,$D$71,$D$72,$D$73,$D$74,$D$75,$C$56,$C$57,$C$58,$D$59,$C$60),"")</f>
        <v>130189.68088194983</v>
      </c>
      <c r="AO87" s="255">
        <f ca="1">IF(NOW(),_xll.mirSwapPV($C$51,$C$52,$C$54,$AA62,$C$55,$AC62,$C$64,$C$65,$C$66,$C$67,$C$68,$C$69,$C$70,$C$74,$C$75,$D$63+AO$76,$D$64,$D$65,$D$66,$D$67,$D$68,$D$69,$D$70,$D$71,$D$72,$D$73,$D$74,$D$75,$C$56,$C$57,$C$58,$D$59,$C$60),"")</f>
        <v>260379.36176389959</v>
      </c>
      <c r="AP87" s="255">
        <f ca="1">IF(NOW(),_xll.mirSwapPV($C$51,$C$52,$C$54,$AA62,$C$55,$AC62,$C$64,$C$65,$C$66,$C$67,$C$68,$C$69,$C$70,$C$74,$C$75,$D$63+AP$76,$D$64,$D$65,$D$66,$D$67,$D$68,$D$69,$D$70,$D$71,$D$72,$D$73,$D$74,$D$75,$C$56,$C$57,$C$58,$D$59,$C$60),"")</f>
        <v>390569.04264584935</v>
      </c>
      <c r="AQ87" s="255">
        <f ca="1">IF(NOW(),_xll.mirSwapPV($C$51,$C$52,$C$54,$AA62,$C$55,$AC62,$C$64,$C$65,$C$66,$C$67,$C$68,$C$69,$C$70,$C$74,$C$75,$D$63+AQ$76,$D$64,$D$65,$D$66,$D$67,$D$68,$D$69,$D$70,$D$71,$D$72,$D$73,$D$74,$D$75,$C$56,$C$57,$C$58,$D$59,$C$60),"")</f>
        <v>520758.72352779907</v>
      </c>
      <c r="AR87" s="255">
        <f ca="1">IF(NOW(),_xll.mirSwapPV($C$51,$C$52,$C$54,$AA62,$C$55,$AC62,$C$64,$C$65,$C$66,$C$67,$C$68,$C$69,$C$70,$C$74,$C$75,$D$63+AR$76,$D$64,$D$65,$D$66,$D$67,$D$68,$D$69,$D$70,$D$71,$D$72,$D$73,$D$74,$D$75,$C$56,$C$57,$C$58,$D$59,$C$60),"")</f>
        <v>650948.40440974885</v>
      </c>
    </row>
    <row r="88" spans="6:44">
      <c r="F88" s="230"/>
      <c r="G88" s="227"/>
      <c r="H88" s="229"/>
      <c r="I88" s="229"/>
      <c r="J88" s="229"/>
      <c r="K88" s="230"/>
      <c r="L88" s="230"/>
      <c r="M88" s="224" t="s">
        <v>20</v>
      </c>
      <c r="N88" s="255">
        <f ca="1">IF(NOW(),_xll.mirSwapPV($C$51,$C$52,$C$54,$G63,$C$55,$I63,$C$64,$C$65,$C$66,$C$67,$C$68,$C$69,$C$70,$C$74,$C$75,$D$63+N$76,$D$64,$D$65,$D$66,$D$67,$D$68,$D$69,$D$70,$D$71,$D$72,$D$73,$D$74,$D$75,$C$56,$C$57,$C$58,$C$59,$C$60),"")</f>
        <v>-817421.3529675263</v>
      </c>
      <c r="O88" s="255">
        <f ca="1">IF(NOW(),_xll.mirSwapPV($C$51,$C$52,$C$54,$G63,$C$55,$I63,$C$64,$C$65,$C$66,$C$67,$C$68,$C$69,$C$70,$C$74,$C$75,$D$63+O$76,$D$64,$D$65,$D$66,$D$67,$D$68,$D$69,$D$70,$D$71,$D$72,$D$73,$D$74,$D$75,$C$56,$C$57,$C$58,$C$59,$C$60),"")</f>
        <v>-653937.08237402071</v>
      </c>
      <c r="P88" s="255">
        <f ca="1">IF(NOW(),_xll.mirSwapPV($C$51,$C$52,$C$54,$G63,$C$55,$I63,$C$64,$C$65,$C$66,$C$67,$C$68,$C$69,$C$70,$C$74,$C$75,$D$63+P$76,$D$64,$D$65,$D$66,$D$67,$D$68,$D$69,$D$70,$D$71,$D$72,$D$73,$D$74,$D$75,$C$56,$C$57,$C$58,$C$59,$C$60),"")</f>
        <v>-490452.81178051559</v>
      </c>
      <c r="Q88" s="255">
        <f ca="1">IF(NOW(),_xll.mirSwapPV($C$51,$C$52,$C$54,$G63,$C$55,$I63,$C$64,$C$65,$C$66,$C$67,$C$68,$C$69,$C$70,$C$74,$C$75,$D$63+Q$76,$D$64,$D$65,$D$66,$D$67,$D$68,$D$69,$D$70,$D$71,$D$72,$D$73,$D$74,$D$75,$C$56,$C$57,$C$58,$C$59,$C$60),"")</f>
        <v>-326968.54118701047</v>
      </c>
      <c r="R88" s="255">
        <f ca="1">IF(NOW(),_xll.mirSwapPV($C$51,$C$52,$C$54,$G63,$C$55,$I63,$C$64,$C$65,$C$66,$C$67,$C$68,$C$69,$C$70,$C$74,$C$75,$D$63+R$76,$D$64,$D$65,$D$66,$D$67,$D$68,$D$69,$D$70,$D$71,$D$72,$D$73,$D$74,$D$75,$C$56,$C$57,$C$58,$C$59,$C$60),"")</f>
        <v>-163484.270593505</v>
      </c>
      <c r="S88" s="255">
        <f ca="1">IF(NOW(),_xll.mirSwapPV($C$51,$C$52,$C$54,$G63,$C$55,$I63,$C$64,$C$65,$C$66,$C$67,$C$68,$C$69,$C$70,$C$74,$C$75,$D$63+S$76,$D$64,$D$65,$D$66,$D$67,$D$68,$D$69,$D$70,$D$71,$D$72,$D$73,$D$74,$D$75,$C$56,$C$57,$C$58,$C$59,$C$60),"")</f>
        <v>0</v>
      </c>
      <c r="T88" s="255">
        <f ca="1">IF(NOW(),_xll.mirSwapPV($C$51,$C$52,$C$54,$G63,$C$55,$I63,$C$64,$C$65,$C$66,$C$67,$C$68,$C$69,$C$70,$C$74,$C$75,$D$63+T$76,$D$64,$D$65,$D$66,$D$67,$D$68,$D$69,$D$70,$D$71,$D$72,$D$73,$D$74,$D$75,$C$56,$C$57,$C$58,$C$59,$C$60),"")</f>
        <v>163484.27059350524</v>
      </c>
      <c r="U88" s="255">
        <f ca="1">IF(NOW(),_xll.mirSwapPV($C$51,$C$52,$C$54,$G63,$C$55,$I63,$C$64,$C$65,$C$66,$C$67,$C$68,$C$69,$C$70,$C$74,$C$75,$D$63+U$76,$D$64,$D$65,$D$66,$D$67,$D$68,$D$69,$D$70,$D$71,$D$72,$D$73,$D$74,$D$75,$C$56,$C$57,$C$58,$C$59,$C$60),"")</f>
        <v>326968.54118701047</v>
      </c>
      <c r="V88" s="255">
        <f ca="1">IF(NOW(),_xll.mirSwapPV($C$51,$C$52,$C$54,$G63,$C$55,$I63,$C$64,$C$65,$C$66,$C$67,$C$68,$C$69,$C$70,$C$74,$C$75,$D$63+V$76,$D$64,$D$65,$D$66,$D$67,$D$68,$D$69,$D$70,$D$71,$D$72,$D$73,$D$74,$D$75,$C$56,$C$57,$C$58,$C$59,$C$60),"")</f>
        <v>490452.81178051577</v>
      </c>
      <c r="W88" s="255">
        <f ca="1">IF(NOW(),_xll.mirSwapPV($C$51,$C$52,$C$54,$G63,$C$55,$I63,$C$64,$C$65,$C$66,$C$67,$C$68,$C$69,$C$70,$C$74,$C$75,$D$63+W$76,$D$64,$D$65,$D$66,$D$67,$D$68,$D$69,$D$70,$D$71,$D$72,$D$73,$D$74,$D$75,$C$56,$C$57,$C$58,$C$59,$C$60),"")</f>
        <v>653937.08237402095</v>
      </c>
      <c r="X88" s="255">
        <f ca="1">IF(NOW(),_xll.mirSwapPV($C$51,$C$52,$C$54,$G63,$C$55,$I63,$C$64,$C$65,$C$66,$C$67,$C$68,$C$69,$C$70,$C$74,$C$75,$D$63+X$76,$D$64,$D$65,$D$66,$D$67,$D$68,$D$69,$D$70,$D$71,$D$72,$D$73,$D$74,$D$75,$C$56,$C$57,$C$58,$C$59,$C$60),"")</f>
        <v>817421.35296752618</v>
      </c>
      <c r="Y88" s="229"/>
      <c r="AG88" s="224" t="s">
        <v>20</v>
      </c>
      <c r="AH88" s="255">
        <f ca="1">IF(NOW(),_xll.mirSwapPV($C$51,$C$52,$C$54,$AA63,$C$55,$AC63,$C$64,$C$65,$C$66,$C$67,$C$68,$C$69,$C$70,$C$74,$C$75,$D$63+AH$76,$D$64,$D$65,$D$66,$D$67,$D$68,$D$69,$D$70,$D$71,$D$72,$D$73,$D$74,$D$75,$C$56,$C$57,$C$58,$D$59,$C$60),"")</f>
        <v>-817421.3529675263</v>
      </c>
      <c r="AI88" s="255">
        <f ca="1">IF(NOW(),_xll.mirSwapPV($C$51,$C$52,$C$54,$AA63,$C$55,$AC63,$C$64,$C$65,$C$66,$C$67,$C$68,$C$69,$C$70,$C$74,$C$75,$D$63+AI$76,$D$64,$D$65,$D$66,$D$67,$D$68,$D$69,$D$70,$D$71,$D$72,$D$73,$D$74,$D$75,$C$56,$C$57,$C$58,$D$59,$C$60),"")</f>
        <v>-653937.08237402095</v>
      </c>
      <c r="AJ88" s="255">
        <f ca="1">IF(NOW(),_xll.mirSwapPV($C$51,$C$52,$C$54,$AA63,$C$55,$AC63,$C$64,$C$65,$C$66,$C$67,$C$68,$C$69,$C$70,$C$74,$C$75,$D$63+AJ$76,$D$64,$D$65,$D$66,$D$67,$D$68,$D$69,$D$70,$D$71,$D$72,$D$73,$D$74,$D$75,$C$56,$C$57,$C$58,$D$59,$C$60),"")</f>
        <v>-490452.81178051507</v>
      </c>
      <c r="AK88" s="255">
        <f ca="1">IF(NOW(),_xll.mirSwapPV($C$51,$C$52,$C$54,$AA63,$C$55,$AC63,$C$64,$C$65,$C$66,$C$67,$C$68,$C$69,$C$70,$C$74,$C$75,$D$63+AK$76,$D$64,$D$65,$D$66,$D$67,$D$68,$D$69,$D$70,$D$71,$D$72,$D$73,$D$74,$D$75,$C$56,$C$57,$C$58,$D$59,$C$60),"")</f>
        <v>-326968.5411870103</v>
      </c>
      <c r="AL88" s="255">
        <f ca="1">IF(NOW(),_xll.mirSwapPV($C$51,$C$52,$C$54,$AA63,$C$55,$AC63,$C$64,$C$65,$C$66,$C$67,$C$68,$C$69,$C$70,$C$74,$C$75,$D$63+AL$76,$D$64,$D$65,$D$66,$D$67,$D$68,$D$69,$D$70,$D$71,$D$72,$D$73,$D$74,$D$75,$C$56,$C$57,$C$58,$D$59,$C$60),"")</f>
        <v>-163484.27059350518</v>
      </c>
      <c r="AM88" s="255">
        <f ca="1">IF(NOW(),_xll.mirSwapPV($C$51,$C$52,$C$54,$AA63,$C$55,$AC63,$C$64,$C$65,$C$66,$C$67,$C$68,$C$69,$C$70,$C$74,$C$75,$D$63+AM$76,$D$64,$D$65,$D$66,$D$67,$D$68,$D$69,$D$70,$D$71,$D$72,$D$73,$D$74,$D$75,$C$56,$C$57,$C$58,$D$59,$C$60),"")</f>
        <v>0</v>
      </c>
      <c r="AN88" s="255">
        <f ca="1">IF(NOW(),_xll.mirSwapPV($C$51,$C$52,$C$54,$AA63,$C$55,$AC63,$C$64,$C$65,$C$66,$C$67,$C$68,$C$69,$C$70,$C$74,$C$75,$D$63+AN$76,$D$64,$D$65,$D$66,$D$67,$D$68,$D$69,$D$70,$D$71,$D$72,$D$73,$D$74,$D$75,$C$56,$C$57,$C$58,$D$59,$C$60),"")</f>
        <v>163484.27059350529</v>
      </c>
      <c r="AO88" s="255">
        <f ca="1">IF(NOW(),_xll.mirSwapPV($C$51,$C$52,$C$54,$AA63,$C$55,$AC63,$C$64,$C$65,$C$66,$C$67,$C$68,$C$69,$C$70,$C$74,$C$75,$D$63+AO$76,$D$64,$D$65,$D$66,$D$67,$D$68,$D$69,$D$70,$D$71,$D$72,$D$73,$D$74,$D$75,$C$56,$C$57,$C$58,$D$59,$C$60),"")</f>
        <v>326968.54118701047</v>
      </c>
      <c r="AP88" s="255">
        <f ca="1">IF(NOW(),_xll.mirSwapPV($C$51,$C$52,$C$54,$AA63,$C$55,$AC63,$C$64,$C$65,$C$66,$C$67,$C$68,$C$69,$C$70,$C$74,$C$75,$D$63+AP$76,$D$64,$D$65,$D$66,$D$67,$D$68,$D$69,$D$70,$D$71,$D$72,$D$73,$D$74,$D$75,$C$56,$C$57,$C$58,$D$59,$C$60),"")</f>
        <v>490452.81178051571</v>
      </c>
      <c r="AQ88" s="255">
        <f ca="1">IF(NOW(),_xll.mirSwapPV($C$51,$C$52,$C$54,$AA63,$C$55,$AC63,$C$64,$C$65,$C$66,$C$67,$C$68,$C$69,$C$70,$C$74,$C$75,$D$63+AQ$76,$D$64,$D$65,$D$66,$D$67,$D$68,$D$69,$D$70,$D$71,$D$72,$D$73,$D$74,$D$75,$C$56,$C$57,$C$58,$D$59,$C$60),"")</f>
        <v>653937.08237402083</v>
      </c>
      <c r="AR88" s="255">
        <f ca="1">IF(NOW(),_xll.mirSwapPV($C$51,$C$52,$C$54,$AA63,$C$55,$AC63,$C$64,$C$65,$C$66,$C$67,$C$68,$C$69,$C$70,$C$74,$C$75,$D$63+AR$76,$D$64,$D$65,$D$66,$D$67,$D$68,$D$69,$D$70,$D$71,$D$72,$D$73,$D$74,$D$75,$C$56,$C$57,$C$58,$D$59,$C$60),"")</f>
        <v>817421.35296752607</v>
      </c>
    </row>
    <row r="89" spans="6:44">
      <c r="F89" s="230"/>
      <c r="G89" s="227"/>
      <c r="H89" s="229"/>
      <c r="I89" s="229"/>
      <c r="J89" s="229"/>
      <c r="K89" s="230"/>
      <c r="L89" s="230"/>
      <c r="M89" s="224" t="s">
        <v>18</v>
      </c>
      <c r="N89" s="255">
        <f ca="1">IF(NOW(),_xll.mirSwapPV($C$51,$C$52,$C$54,$G64,$C$55,$I64,$C$64,$C$65,$C$66,$C$67,$C$68,$C$69,$C$70,$C$74,$C$75,$D$63+N$76,$D$64,$D$65,$D$66,$D$67,$D$68,$D$69,$D$70,$D$71,$D$72,$D$73,$D$74,$D$75,$C$56,$C$57,$C$58,$C$59,$C$60),"")</f>
        <v>-964673.16142758692</v>
      </c>
      <c r="O89" s="255">
        <f ca="1">IF(NOW(),_xll.mirSwapPV($C$51,$C$52,$C$54,$G64,$C$55,$I64,$C$64,$C$65,$C$66,$C$67,$C$68,$C$69,$C$70,$C$74,$C$75,$D$63+O$76,$D$64,$D$65,$D$66,$D$67,$D$68,$D$69,$D$70,$D$71,$D$72,$D$73,$D$74,$D$75,$C$56,$C$57,$C$58,$C$59,$C$60),"")</f>
        <v>-771738.52914206928</v>
      </c>
      <c r="P89" s="255">
        <f ca="1">IF(NOW(),_xll.mirSwapPV($C$51,$C$52,$C$54,$G64,$C$55,$I64,$C$64,$C$65,$C$66,$C$67,$C$68,$C$69,$C$70,$C$74,$C$75,$D$63+P$76,$D$64,$D$65,$D$66,$D$67,$D$68,$D$69,$D$70,$D$71,$D$72,$D$73,$D$74,$D$75,$C$56,$C$57,$C$58,$C$59,$C$60),"")</f>
        <v>-578803.89685655187</v>
      </c>
      <c r="Q89" s="255">
        <f ca="1">IF(NOW(),_xll.mirSwapPV($C$51,$C$52,$C$54,$G64,$C$55,$I64,$C$64,$C$65,$C$66,$C$67,$C$68,$C$69,$C$70,$C$74,$C$75,$D$63+Q$76,$D$64,$D$65,$D$66,$D$67,$D$68,$D$69,$D$70,$D$71,$D$72,$D$73,$D$74,$D$75,$C$56,$C$57,$C$58,$C$59,$C$60),"")</f>
        <v>-385869.26457103476</v>
      </c>
      <c r="R89" s="255">
        <f ca="1">IF(NOW(),_xll.mirSwapPV($C$51,$C$52,$C$54,$G64,$C$55,$I64,$C$64,$C$65,$C$66,$C$67,$C$68,$C$69,$C$70,$C$74,$C$75,$D$63+R$76,$D$64,$D$65,$D$66,$D$67,$D$68,$D$69,$D$70,$D$71,$D$72,$D$73,$D$74,$D$75,$C$56,$C$57,$C$58,$C$59,$C$60),"")</f>
        <v>-192934.6322855172</v>
      </c>
      <c r="S89" s="255">
        <f ca="1">IF(NOW(),_xll.mirSwapPV($C$51,$C$52,$C$54,$G64,$C$55,$I64,$C$64,$C$65,$C$66,$C$67,$C$68,$C$69,$C$70,$C$74,$C$75,$D$63+S$76,$D$64,$D$65,$D$66,$D$67,$D$68,$D$69,$D$70,$D$71,$D$72,$D$73,$D$74,$D$75,$C$56,$C$57,$C$58,$C$59,$C$60),"")</f>
        <v>0</v>
      </c>
      <c r="T89" s="255">
        <f ca="1">IF(NOW(),_xll.mirSwapPV($C$51,$C$52,$C$54,$G64,$C$55,$I64,$C$64,$C$65,$C$66,$C$67,$C$68,$C$69,$C$70,$C$74,$C$75,$D$63+T$76,$D$64,$D$65,$D$66,$D$67,$D$68,$D$69,$D$70,$D$71,$D$72,$D$73,$D$74,$D$75,$C$56,$C$57,$C$58,$C$59,$C$60),"")</f>
        <v>192934.63228551755</v>
      </c>
      <c r="U89" s="255">
        <f ca="1">IF(NOW(),_xll.mirSwapPV($C$51,$C$52,$C$54,$G64,$C$55,$I64,$C$64,$C$65,$C$66,$C$67,$C$68,$C$69,$C$70,$C$74,$C$75,$D$63+U$76,$D$64,$D$65,$D$66,$D$67,$D$68,$D$69,$D$70,$D$71,$D$72,$D$73,$D$74,$D$75,$C$56,$C$57,$C$58,$C$59,$C$60),"")</f>
        <v>385869.26457103487</v>
      </c>
      <c r="V89" s="255">
        <f ca="1">IF(NOW(),_xll.mirSwapPV($C$51,$C$52,$C$54,$G64,$C$55,$I64,$C$64,$C$65,$C$66,$C$67,$C$68,$C$69,$C$70,$C$74,$C$75,$D$63+V$76,$D$64,$D$65,$D$66,$D$67,$D$68,$D$69,$D$70,$D$71,$D$72,$D$73,$D$74,$D$75,$C$56,$C$57,$C$58,$C$59,$C$60),"")</f>
        <v>578803.89685655234</v>
      </c>
      <c r="W89" s="255">
        <f ca="1">IF(NOW(),_xll.mirSwapPV($C$51,$C$52,$C$54,$G64,$C$55,$I64,$C$64,$C$65,$C$66,$C$67,$C$68,$C$69,$C$70,$C$74,$C$75,$D$63+W$76,$D$64,$D$65,$D$66,$D$67,$D$68,$D$69,$D$70,$D$71,$D$72,$D$73,$D$74,$D$75,$C$56,$C$57,$C$58,$C$59,$C$60),"")</f>
        <v>771738.52914206975</v>
      </c>
      <c r="X89" s="255">
        <f ca="1">IF(NOW(),_xll.mirSwapPV($C$51,$C$52,$C$54,$G64,$C$55,$I64,$C$64,$C$65,$C$66,$C$67,$C$68,$C$69,$C$70,$C$74,$C$75,$D$63+X$76,$D$64,$D$65,$D$66,$D$67,$D$68,$D$69,$D$70,$D$71,$D$72,$D$73,$D$74,$D$75,$C$56,$C$57,$C$58,$C$59,$C$60),"")</f>
        <v>964673.16142758715</v>
      </c>
      <c r="Y89" s="229"/>
      <c r="AG89" s="224" t="s">
        <v>18</v>
      </c>
      <c r="AH89" s="255">
        <f ca="1">IF(NOW(),_xll.mirSwapPV($C$51,$C$52,$C$54,$AA64,$C$55,$AC64,$C$64,$C$65,$C$66,$C$67,$C$68,$C$69,$C$70,$C$74,$C$75,$D$63+AH$76,$D$64,$D$65,$D$66,$D$67,$D$68,$D$69,$D$70,$D$71,$D$72,$D$73,$D$74,$D$75,$C$56,$C$57,$C$58,$D$59,$C$60),"")</f>
        <v>-964673.16142758739</v>
      </c>
      <c r="AI89" s="255">
        <f ca="1">IF(NOW(),_xll.mirSwapPV($C$51,$C$52,$C$54,$AA64,$C$55,$AC64,$C$64,$C$65,$C$66,$C$67,$C$68,$C$69,$C$70,$C$74,$C$75,$D$63+AI$76,$D$64,$D$65,$D$66,$D$67,$D$68,$D$69,$D$70,$D$71,$D$72,$D$73,$D$74,$D$75,$C$56,$C$57,$C$58,$D$59,$C$60),"")</f>
        <v>-771738.52914206928</v>
      </c>
      <c r="AJ89" s="255">
        <f ca="1">IF(NOW(),_xll.mirSwapPV($C$51,$C$52,$C$54,$AA64,$C$55,$AC64,$C$64,$C$65,$C$66,$C$67,$C$68,$C$69,$C$70,$C$74,$C$75,$D$63+AJ$76,$D$64,$D$65,$D$66,$D$67,$D$68,$D$69,$D$70,$D$71,$D$72,$D$73,$D$74,$D$75,$C$56,$C$57,$C$58,$D$59,$C$60),"")</f>
        <v>-578803.89685655141</v>
      </c>
      <c r="AK89" s="255">
        <f ca="1">IF(NOW(),_xll.mirSwapPV($C$51,$C$52,$C$54,$AA64,$C$55,$AC64,$C$64,$C$65,$C$66,$C$67,$C$68,$C$69,$C$70,$C$74,$C$75,$D$63+AK$76,$D$64,$D$65,$D$66,$D$67,$D$68,$D$69,$D$70,$D$71,$D$72,$D$73,$D$74,$D$75,$C$56,$C$57,$C$58,$D$59,$C$60),"")</f>
        <v>-385869.26457103458</v>
      </c>
      <c r="AL89" s="255">
        <f ca="1">IF(NOW(),_xll.mirSwapPV($C$51,$C$52,$C$54,$AA64,$C$55,$AC64,$C$64,$C$65,$C$66,$C$67,$C$68,$C$69,$C$70,$C$74,$C$75,$D$63+AL$76,$D$64,$D$65,$D$66,$D$67,$D$68,$D$69,$D$70,$D$71,$D$72,$D$73,$D$74,$D$75,$C$56,$C$57,$C$58,$D$59,$C$60),"")</f>
        <v>-192934.63228551738</v>
      </c>
      <c r="AM89" s="255">
        <f ca="1">IF(NOW(),_xll.mirSwapPV($C$51,$C$52,$C$54,$AA64,$C$55,$AC64,$C$64,$C$65,$C$66,$C$67,$C$68,$C$69,$C$70,$C$74,$C$75,$D$63+AM$76,$D$64,$D$65,$D$66,$D$67,$D$68,$D$69,$D$70,$D$71,$D$72,$D$73,$D$74,$D$75,$C$56,$C$57,$C$58,$D$59,$C$60),"")</f>
        <v>0</v>
      </c>
      <c r="AN89" s="255">
        <f ca="1">IF(NOW(),_xll.mirSwapPV($C$51,$C$52,$C$54,$AA64,$C$55,$AC64,$C$64,$C$65,$C$66,$C$67,$C$68,$C$69,$C$70,$C$74,$C$75,$D$63+AN$76,$D$64,$D$65,$D$66,$D$67,$D$68,$D$69,$D$70,$D$71,$D$72,$D$73,$D$74,$D$75,$C$56,$C$57,$C$58,$D$59,$C$60),"")</f>
        <v>192934.63228551755</v>
      </c>
      <c r="AO89" s="255">
        <f ca="1">IF(NOW(),_xll.mirSwapPV($C$51,$C$52,$C$54,$AA64,$C$55,$AC64,$C$64,$C$65,$C$66,$C$67,$C$68,$C$69,$C$70,$C$74,$C$75,$D$63+AO$76,$D$64,$D$65,$D$66,$D$67,$D$68,$D$69,$D$70,$D$71,$D$72,$D$73,$D$74,$D$75,$C$56,$C$57,$C$58,$D$59,$C$60),"")</f>
        <v>385869.26457103487</v>
      </c>
      <c r="AP89" s="255">
        <f ca="1">IF(NOW(),_xll.mirSwapPV($C$51,$C$52,$C$54,$AA64,$C$55,$AC64,$C$64,$C$65,$C$66,$C$67,$C$68,$C$69,$C$70,$C$74,$C$75,$D$63+AP$76,$D$64,$D$65,$D$66,$D$67,$D$68,$D$69,$D$70,$D$71,$D$72,$D$73,$D$74,$D$75,$C$56,$C$57,$C$58,$D$59,$C$60),"")</f>
        <v>578803.89685655234</v>
      </c>
      <c r="AQ89" s="255">
        <f ca="1">IF(NOW(),_xll.mirSwapPV($C$51,$C$52,$C$54,$AA64,$C$55,$AC64,$C$64,$C$65,$C$66,$C$67,$C$68,$C$69,$C$70,$C$74,$C$75,$D$63+AQ$76,$D$64,$D$65,$D$66,$D$67,$D$68,$D$69,$D$70,$D$71,$D$72,$D$73,$D$74,$D$75,$C$56,$C$57,$C$58,$D$59,$C$60),"")</f>
        <v>771738.52914206951</v>
      </c>
      <c r="AR89" s="255">
        <f ca="1">IF(NOW(),_xll.mirSwapPV($C$51,$C$52,$C$54,$AA64,$C$55,$AC64,$C$64,$C$65,$C$66,$C$67,$C$68,$C$69,$C$70,$C$74,$C$75,$D$63+AR$76,$D$64,$D$65,$D$66,$D$67,$D$68,$D$69,$D$70,$D$71,$D$72,$D$73,$D$74,$D$75,$C$56,$C$57,$C$58,$D$59,$C$60),"")</f>
        <v>964673.16142758715</v>
      </c>
    </row>
    <row r="90" spans="6:44">
      <c r="F90" s="230"/>
      <c r="G90" s="227"/>
      <c r="H90" s="229"/>
      <c r="I90" s="229"/>
      <c r="J90" s="229"/>
      <c r="K90" s="230"/>
      <c r="L90" s="230"/>
      <c r="M90" s="224" t="s">
        <v>17</v>
      </c>
      <c r="N90" s="255">
        <f ca="1">IF(NOW(),_xll.mirSwapPV($C$51,$C$52,$C$54,$G65,$C$55,$I65,$C$64,$C$65,$C$66,$C$67,$C$68,$C$69,$C$70,$C$74,$C$75,$D$63+N$76,$D$64,$D$65,$D$66,$D$67,$D$68,$D$69,$D$70,$D$71,$D$72,$D$73,$D$74,$D$75,$C$56,$C$57,$C$58,$C$59,$C$60),"")</f>
        <v>-1095602.2603170215</v>
      </c>
      <c r="O90" s="255">
        <f ca="1">IF(NOW(),_xll.mirSwapPV($C$51,$C$52,$C$54,$G65,$C$55,$I65,$C$64,$C$65,$C$66,$C$67,$C$68,$C$69,$C$70,$C$74,$C$75,$D$63+O$76,$D$64,$D$65,$D$66,$D$67,$D$68,$D$69,$D$70,$D$71,$D$72,$D$73,$D$74,$D$75,$C$56,$C$57,$C$58,$C$59,$C$60),"")</f>
        <v>-876481.80825361726</v>
      </c>
      <c r="P90" s="255">
        <f ca="1">IF(NOW(),_xll.mirSwapPV($C$51,$C$52,$C$54,$G65,$C$55,$I65,$C$64,$C$65,$C$66,$C$67,$C$68,$C$69,$C$70,$C$74,$C$75,$D$63+P$76,$D$64,$D$65,$D$66,$D$67,$D$68,$D$69,$D$70,$D$71,$D$72,$D$73,$D$74,$D$75,$C$56,$C$57,$C$58,$C$59,$C$60),"")</f>
        <v>-657361.3561902123</v>
      </c>
      <c r="Q90" s="255">
        <f ca="1">IF(NOW(),_xll.mirSwapPV($C$51,$C$52,$C$54,$G65,$C$55,$I65,$C$64,$C$65,$C$66,$C$67,$C$68,$C$69,$C$70,$C$74,$C$75,$D$63+Q$76,$D$64,$D$65,$D$66,$D$67,$D$68,$D$69,$D$70,$D$71,$D$72,$D$73,$D$74,$D$75,$C$56,$C$57,$C$58,$C$59,$C$60),"")</f>
        <v>-438240.90412680863</v>
      </c>
      <c r="R90" s="255">
        <f ca="1">IF(NOW(),_xll.mirSwapPV($C$51,$C$52,$C$54,$G65,$C$55,$I65,$C$64,$C$65,$C$66,$C$67,$C$68,$C$69,$C$70,$C$74,$C$75,$D$63+R$76,$D$64,$D$65,$D$66,$D$67,$D$68,$D$69,$D$70,$D$71,$D$72,$D$73,$D$74,$D$75,$C$56,$C$57,$C$58,$C$59,$C$60),"")</f>
        <v>-219120.45206340414</v>
      </c>
      <c r="S90" s="255">
        <f ca="1">IF(NOW(),_xll.mirSwapPV($C$51,$C$52,$C$54,$G65,$C$55,$I65,$C$64,$C$65,$C$66,$C$67,$C$68,$C$69,$C$70,$C$74,$C$75,$D$63+S$76,$D$64,$D$65,$D$66,$D$67,$D$68,$D$69,$D$70,$D$71,$D$72,$D$73,$D$74,$D$75,$C$56,$C$57,$C$58,$C$59,$C$60),"")</f>
        <v>0</v>
      </c>
      <c r="T90" s="255">
        <f ca="1">IF(NOW(),_xll.mirSwapPV($C$51,$C$52,$C$54,$G65,$C$55,$I65,$C$64,$C$65,$C$66,$C$67,$C$68,$C$69,$C$70,$C$74,$C$75,$D$63+T$76,$D$64,$D$65,$D$66,$D$67,$D$68,$D$69,$D$70,$D$71,$D$72,$D$73,$D$74,$D$75,$C$56,$C$57,$C$58,$C$59,$C$60),"")</f>
        <v>219120.45206340446</v>
      </c>
      <c r="U90" s="255">
        <f ca="1">IF(NOW(),_xll.mirSwapPV($C$51,$C$52,$C$54,$G65,$C$55,$I65,$C$64,$C$65,$C$66,$C$67,$C$68,$C$69,$C$70,$C$74,$C$75,$D$63+U$76,$D$64,$D$65,$D$66,$D$67,$D$68,$D$69,$D$70,$D$71,$D$72,$D$73,$D$74,$D$75,$C$56,$C$57,$C$58,$C$59,$C$60),"")</f>
        <v>438240.90412680875</v>
      </c>
      <c r="V90" s="255">
        <f ca="1">IF(NOW(),_xll.mirSwapPV($C$51,$C$52,$C$54,$G65,$C$55,$I65,$C$64,$C$65,$C$66,$C$67,$C$68,$C$69,$C$70,$C$74,$C$75,$D$63+V$76,$D$64,$D$65,$D$66,$D$67,$D$68,$D$69,$D$70,$D$71,$D$72,$D$73,$D$74,$D$75,$C$56,$C$57,$C$58,$C$59,$C$60),"")</f>
        <v>657361.35619021324</v>
      </c>
      <c r="W90" s="255">
        <f ca="1">IF(NOW(),_xll.mirSwapPV($C$51,$C$52,$C$54,$G65,$C$55,$I65,$C$64,$C$65,$C$66,$C$67,$C$68,$C$69,$C$70,$C$74,$C$75,$D$63+W$76,$D$64,$D$65,$D$66,$D$67,$D$68,$D$69,$D$70,$D$71,$D$72,$D$73,$D$74,$D$75,$C$56,$C$57,$C$58,$C$59,$C$60),"")</f>
        <v>876481.80825361749</v>
      </c>
      <c r="X90" s="255">
        <f ca="1">IF(NOW(),_xll.mirSwapPV($C$51,$C$52,$C$54,$G65,$C$55,$I65,$C$64,$C$65,$C$66,$C$67,$C$68,$C$69,$C$70,$C$74,$C$75,$D$63+X$76,$D$64,$D$65,$D$66,$D$67,$D$68,$D$69,$D$70,$D$71,$D$72,$D$73,$D$74,$D$75,$C$56,$C$57,$C$58,$C$59,$C$60),"")</f>
        <v>1095602.260317022</v>
      </c>
      <c r="Y90" s="229"/>
      <c r="AG90" s="224" t="s">
        <v>17</v>
      </c>
      <c r="AH90" s="255">
        <f ca="1">IF(NOW(),_xll.mirSwapPV($C$51,$C$52,$C$54,$AA65,$C$55,$AC65,$C$64,$C$65,$C$66,$C$67,$C$68,$C$69,$C$70,$C$74,$C$75,$D$63+AH$76,$D$64,$D$65,$D$66,$D$67,$D$68,$D$69,$D$70,$D$71,$D$72,$D$73,$D$74,$D$75,$C$56,$C$57,$C$58,$D$59,$C$60),"")</f>
        <v>-1095602.2603170222</v>
      </c>
      <c r="AI90" s="255">
        <f ca="1">IF(NOW(),_xll.mirSwapPV($C$51,$C$52,$C$54,$AA65,$C$55,$AC65,$C$64,$C$65,$C$66,$C$67,$C$68,$C$69,$C$70,$C$74,$C$75,$D$63+AI$76,$D$64,$D$65,$D$66,$D$67,$D$68,$D$69,$D$70,$D$71,$D$72,$D$73,$D$74,$D$75,$C$56,$C$57,$C$58,$D$59,$C$60),"")</f>
        <v>-876481.80825361726</v>
      </c>
      <c r="AJ90" s="255">
        <f ca="1">IF(NOW(),_xll.mirSwapPV($C$51,$C$52,$C$54,$AA65,$C$55,$AC65,$C$64,$C$65,$C$66,$C$67,$C$68,$C$69,$C$70,$C$74,$C$75,$D$63+AJ$76,$D$64,$D$65,$D$66,$D$67,$D$68,$D$69,$D$70,$D$71,$D$72,$D$73,$D$74,$D$75,$C$56,$C$57,$C$58,$D$59,$C$60),"")</f>
        <v>-657361.35619021184</v>
      </c>
      <c r="AK90" s="255">
        <f ca="1">IF(NOW(),_xll.mirSwapPV($C$51,$C$52,$C$54,$AA65,$C$55,$AC65,$C$64,$C$65,$C$66,$C$67,$C$68,$C$69,$C$70,$C$74,$C$75,$D$63+AK$76,$D$64,$D$65,$D$66,$D$67,$D$68,$D$69,$D$70,$D$71,$D$72,$D$73,$D$74,$D$75,$C$56,$C$57,$C$58,$D$59,$C$60),"")</f>
        <v>-438240.9041268084</v>
      </c>
      <c r="AL90" s="255">
        <f ca="1">IF(NOW(),_xll.mirSwapPV($C$51,$C$52,$C$54,$AA65,$C$55,$AC65,$C$64,$C$65,$C$66,$C$67,$C$68,$C$69,$C$70,$C$74,$C$75,$D$63+AL$76,$D$64,$D$65,$D$66,$D$67,$D$68,$D$69,$D$70,$D$71,$D$72,$D$73,$D$74,$D$75,$C$56,$C$57,$C$58,$D$59,$C$60),"")</f>
        <v>-219120.45206340414</v>
      </c>
      <c r="AM90" s="255">
        <f ca="1">IF(NOW(),_xll.mirSwapPV($C$51,$C$52,$C$54,$AA65,$C$55,$AC65,$C$64,$C$65,$C$66,$C$67,$C$68,$C$69,$C$70,$C$74,$C$75,$D$63+AM$76,$D$64,$D$65,$D$66,$D$67,$D$68,$D$69,$D$70,$D$71,$D$72,$D$73,$D$74,$D$75,$C$56,$C$57,$C$58,$D$59,$C$60),"")</f>
        <v>0</v>
      </c>
      <c r="AN90" s="255">
        <f ca="1">IF(NOW(),_xll.mirSwapPV($C$51,$C$52,$C$54,$AA65,$C$55,$AC65,$C$64,$C$65,$C$66,$C$67,$C$68,$C$69,$C$70,$C$74,$C$75,$D$63+AN$76,$D$64,$D$65,$D$66,$D$67,$D$68,$D$69,$D$70,$D$71,$D$72,$D$73,$D$74,$D$75,$C$56,$C$57,$C$58,$D$59,$C$60),"")</f>
        <v>219120.45206340452</v>
      </c>
      <c r="AO90" s="255">
        <f ca="1">IF(NOW(),_xll.mirSwapPV($C$51,$C$52,$C$54,$AA65,$C$55,$AC65,$C$64,$C$65,$C$66,$C$67,$C$68,$C$69,$C$70,$C$74,$C$75,$D$63+AO$76,$D$64,$D$65,$D$66,$D$67,$D$68,$D$69,$D$70,$D$71,$D$72,$D$73,$D$74,$D$75,$C$56,$C$57,$C$58,$D$59,$C$60),"")</f>
        <v>438240.9041268088</v>
      </c>
      <c r="AP90" s="255">
        <f ca="1">IF(NOW(),_xll.mirSwapPV($C$51,$C$52,$C$54,$AA65,$C$55,$AC65,$C$64,$C$65,$C$66,$C$67,$C$68,$C$69,$C$70,$C$74,$C$75,$D$63+AP$76,$D$64,$D$65,$D$66,$D$67,$D$68,$D$69,$D$70,$D$71,$D$72,$D$73,$D$74,$D$75,$C$56,$C$57,$C$58,$D$59,$C$60),"")</f>
        <v>657361.35619021324</v>
      </c>
      <c r="AQ90" s="255">
        <f ca="1">IF(NOW(),_xll.mirSwapPV($C$51,$C$52,$C$54,$AA65,$C$55,$AC65,$C$64,$C$65,$C$66,$C$67,$C$68,$C$69,$C$70,$C$74,$C$75,$D$63+AQ$76,$D$64,$D$65,$D$66,$D$67,$D$68,$D$69,$D$70,$D$71,$D$72,$D$73,$D$74,$D$75,$C$56,$C$57,$C$58,$D$59,$C$60),"")</f>
        <v>876481.80825361749</v>
      </c>
      <c r="AR90" s="255">
        <f ca="1">IF(NOW(),_xll.mirSwapPV($C$51,$C$52,$C$54,$AA65,$C$55,$AC65,$C$64,$C$65,$C$66,$C$67,$C$68,$C$69,$C$70,$C$74,$C$75,$D$63+AR$76,$D$64,$D$65,$D$66,$D$67,$D$68,$D$69,$D$70,$D$71,$D$72,$D$73,$D$74,$D$75,$C$56,$C$57,$C$58,$D$59,$C$60),"")</f>
        <v>1095602.2603170217</v>
      </c>
    </row>
    <row r="91" spans="6:44">
      <c r="F91" s="230"/>
      <c r="G91" s="227"/>
      <c r="H91" s="229"/>
      <c r="I91" s="229"/>
      <c r="J91" s="229"/>
      <c r="K91" s="230"/>
      <c r="L91" s="230"/>
      <c r="M91" s="224" t="s">
        <v>15</v>
      </c>
      <c r="N91" s="255">
        <f ca="1">IF(NOW(),_xll.mirSwapPV($C$51,$C$52,$C$54,$G66,$C$55,$I66,$C$64,$C$65,$C$66,$C$67,$C$68,$C$69,$C$70,$C$74,$C$75,$D$63+N$76,$D$64,$D$65,$D$66,$D$67,$D$68,$D$69,$D$70,$D$71,$D$72,$D$73,$D$74,$D$75,$C$56,$C$57,$C$58,$C$59,$C$60),"")</f>
        <v>-1317901.5977899595</v>
      </c>
      <c r="O91" s="255">
        <f ca="1">IF(NOW(),_xll.mirSwapPV($C$51,$C$52,$C$54,$G66,$C$55,$I66,$C$64,$C$65,$C$66,$C$67,$C$68,$C$69,$C$70,$C$74,$C$75,$D$63+O$76,$D$64,$D$65,$D$66,$D$67,$D$68,$D$69,$D$70,$D$71,$D$72,$D$73,$D$74,$D$75,$C$56,$C$57,$C$58,$C$59,$C$60),"")</f>
        <v>-1054321.2782319679</v>
      </c>
      <c r="P91" s="255">
        <f ca="1">IF(NOW(),_xll.mirSwapPV($C$51,$C$52,$C$54,$G66,$C$55,$I66,$C$64,$C$65,$C$66,$C$67,$C$68,$C$69,$C$70,$C$74,$C$75,$D$63+P$76,$D$64,$D$65,$D$66,$D$67,$D$68,$D$69,$D$70,$D$71,$D$72,$D$73,$D$74,$D$75,$C$56,$C$57,$C$58,$C$59,$C$60),"")</f>
        <v>-790740.95867397531</v>
      </c>
      <c r="Q91" s="255">
        <f ca="1">IF(NOW(),_xll.mirSwapPV($C$51,$C$52,$C$54,$G66,$C$55,$I66,$C$64,$C$65,$C$66,$C$67,$C$68,$C$69,$C$70,$C$74,$C$75,$D$63+Q$76,$D$64,$D$65,$D$66,$D$67,$D$68,$D$69,$D$70,$D$71,$D$72,$D$73,$D$74,$D$75,$C$56,$C$57,$C$58,$C$59,$C$60),"")</f>
        <v>-527160.63911598397</v>
      </c>
      <c r="R91" s="255">
        <f ca="1">IF(NOW(),_xll.mirSwapPV($C$51,$C$52,$C$54,$G66,$C$55,$I66,$C$64,$C$65,$C$66,$C$67,$C$68,$C$69,$C$70,$C$74,$C$75,$D$63+R$76,$D$64,$D$65,$D$66,$D$67,$D$68,$D$69,$D$70,$D$71,$D$72,$D$73,$D$74,$D$75,$C$56,$C$57,$C$58,$C$59,$C$60),"")</f>
        <v>-263580.31955799175</v>
      </c>
      <c r="S91" s="255">
        <f ca="1">IF(NOW(),_xll.mirSwapPV($C$51,$C$52,$C$54,$G66,$C$55,$I66,$C$64,$C$65,$C$66,$C$67,$C$68,$C$69,$C$70,$C$74,$C$75,$D$63+S$76,$D$64,$D$65,$D$66,$D$67,$D$68,$D$69,$D$70,$D$71,$D$72,$D$73,$D$74,$D$75,$C$56,$C$57,$C$58,$C$59,$C$60),"")</f>
        <v>0</v>
      </c>
      <c r="T91" s="255">
        <f ca="1">IF(NOW(),_xll.mirSwapPV($C$51,$C$52,$C$54,$G66,$C$55,$I66,$C$64,$C$65,$C$66,$C$67,$C$68,$C$69,$C$70,$C$74,$C$75,$D$63+T$76,$D$64,$D$65,$D$66,$D$67,$D$68,$D$69,$D$70,$D$71,$D$72,$D$73,$D$74,$D$75,$C$56,$C$57,$C$58,$C$59,$C$60),"")</f>
        <v>263580.31955799233</v>
      </c>
      <c r="U91" s="255">
        <f ca="1">IF(NOW(),_xll.mirSwapPV($C$51,$C$52,$C$54,$G66,$C$55,$I66,$C$64,$C$65,$C$66,$C$67,$C$68,$C$69,$C$70,$C$74,$C$75,$D$63+U$76,$D$64,$D$65,$D$66,$D$67,$D$68,$D$69,$D$70,$D$71,$D$72,$D$73,$D$74,$D$75,$C$56,$C$57,$C$58,$C$59,$C$60),"")</f>
        <v>527160.63911598432</v>
      </c>
      <c r="V91" s="255">
        <f ca="1">IF(NOW(),_xll.mirSwapPV($C$51,$C$52,$C$54,$G66,$C$55,$I66,$C$64,$C$65,$C$66,$C$67,$C$68,$C$69,$C$70,$C$74,$C$75,$D$63+V$76,$D$64,$D$65,$D$66,$D$67,$D$68,$D$69,$D$70,$D$71,$D$72,$D$73,$D$74,$D$75,$C$56,$C$57,$C$58,$C$59,$C$60),"")</f>
        <v>790740.95867397648</v>
      </c>
      <c r="W91" s="255">
        <f ca="1">IF(NOW(),_xll.mirSwapPV($C$51,$C$52,$C$54,$G66,$C$55,$I66,$C$64,$C$65,$C$66,$C$67,$C$68,$C$69,$C$70,$C$74,$C$75,$D$63+W$76,$D$64,$D$65,$D$66,$D$67,$D$68,$D$69,$D$70,$D$71,$D$72,$D$73,$D$74,$D$75,$C$56,$C$57,$C$58,$C$59,$C$60),"")</f>
        <v>1054321.2782319684</v>
      </c>
      <c r="X91" s="255">
        <f ca="1">IF(NOW(),_xll.mirSwapPV($C$51,$C$52,$C$54,$G66,$C$55,$I66,$C$64,$C$65,$C$66,$C$67,$C$68,$C$69,$C$70,$C$74,$C$75,$D$63+X$76,$D$64,$D$65,$D$66,$D$67,$D$68,$D$69,$D$70,$D$71,$D$72,$D$73,$D$74,$D$75,$C$56,$C$57,$C$58,$C$59,$C$60),"")</f>
        <v>1317901.5977899607</v>
      </c>
      <c r="Y91" s="229"/>
      <c r="AG91" s="224" t="s">
        <v>15</v>
      </c>
      <c r="AH91" s="255">
        <f ca="1">IF(NOW(),_xll.mirSwapPV($C$51,$C$52,$C$54,$AA66,$C$55,$AC66,$C$64,$C$65,$C$66,$C$67,$C$68,$C$69,$C$70,$C$74,$C$75,$D$63+AH$76,$D$64,$D$65,$D$66,$D$67,$D$68,$D$69,$D$70,$D$71,$D$72,$D$73,$D$74,$D$75,$C$56,$C$57,$C$58,$D$59,$C$60),"")</f>
        <v>-1317901.5977899602</v>
      </c>
      <c r="AI91" s="255">
        <f ca="1">IF(NOW(),_xll.mirSwapPV($C$51,$C$52,$C$54,$AA66,$C$55,$AC66,$C$64,$C$65,$C$66,$C$67,$C$68,$C$69,$C$70,$C$74,$C$75,$D$63+AI$76,$D$64,$D$65,$D$66,$D$67,$D$68,$D$69,$D$70,$D$71,$D$72,$D$73,$D$74,$D$75,$C$56,$C$57,$C$58,$D$59,$C$60),"")</f>
        <v>-1054321.2782319677</v>
      </c>
      <c r="AJ91" s="255">
        <f ca="1">IF(NOW(),_xll.mirSwapPV($C$51,$C$52,$C$54,$AA66,$C$55,$AC66,$C$64,$C$65,$C$66,$C$67,$C$68,$C$69,$C$70,$C$74,$C$75,$D$63+AJ$76,$D$64,$D$65,$D$66,$D$67,$D$68,$D$69,$D$70,$D$71,$D$72,$D$73,$D$74,$D$75,$C$56,$C$57,$C$58,$D$59,$C$60),"")</f>
        <v>-790740.95867397485</v>
      </c>
      <c r="AK91" s="255">
        <f ca="1">IF(NOW(),_xll.mirSwapPV($C$51,$C$52,$C$54,$AA66,$C$55,$AC66,$C$64,$C$65,$C$66,$C$67,$C$68,$C$69,$C$70,$C$74,$C$75,$D$63+AK$76,$D$64,$D$65,$D$66,$D$67,$D$68,$D$69,$D$70,$D$71,$D$72,$D$73,$D$74,$D$75,$C$56,$C$57,$C$58,$D$59,$C$60),"")</f>
        <v>-527160.63911598374</v>
      </c>
      <c r="AL91" s="255">
        <f ca="1">IF(NOW(),_xll.mirSwapPV($C$51,$C$52,$C$54,$AA66,$C$55,$AC66,$C$64,$C$65,$C$66,$C$67,$C$68,$C$69,$C$70,$C$74,$C$75,$D$63+AL$76,$D$64,$D$65,$D$66,$D$67,$D$68,$D$69,$D$70,$D$71,$D$72,$D$73,$D$74,$D$75,$C$56,$C$57,$C$58,$D$59,$C$60),"")</f>
        <v>-263580.31955799164</v>
      </c>
      <c r="AM91" s="255">
        <f ca="1">IF(NOW(),_xll.mirSwapPV($C$51,$C$52,$C$54,$AA66,$C$55,$AC66,$C$64,$C$65,$C$66,$C$67,$C$68,$C$69,$C$70,$C$74,$C$75,$D$63+AM$76,$D$64,$D$65,$D$66,$D$67,$D$68,$D$69,$D$70,$D$71,$D$72,$D$73,$D$74,$D$75,$C$56,$C$57,$C$58,$D$59,$C$60),"")</f>
        <v>0</v>
      </c>
      <c r="AN91" s="255">
        <f ca="1">IF(NOW(),_xll.mirSwapPV($C$51,$C$52,$C$54,$AA66,$C$55,$AC66,$C$64,$C$65,$C$66,$C$67,$C$68,$C$69,$C$70,$C$74,$C$75,$D$63+AN$76,$D$64,$D$65,$D$66,$D$67,$D$68,$D$69,$D$70,$D$71,$D$72,$D$73,$D$74,$D$75,$C$56,$C$57,$C$58,$D$59,$C$60),"")</f>
        <v>263580.31955799257</v>
      </c>
      <c r="AO91" s="255">
        <f ca="1">IF(NOW(),_xll.mirSwapPV($C$51,$C$52,$C$54,$AA66,$C$55,$AC66,$C$64,$C$65,$C$66,$C$67,$C$68,$C$69,$C$70,$C$74,$C$75,$D$63+AO$76,$D$64,$D$65,$D$66,$D$67,$D$68,$D$69,$D$70,$D$71,$D$72,$D$73,$D$74,$D$75,$C$56,$C$57,$C$58,$D$59,$C$60),"")</f>
        <v>527160.63911598444</v>
      </c>
      <c r="AP91" s="255">
        <f ca="1">IF(NOW(),_xll.mirSwapPV($C$51,$C$52,$C$54,$AA66,$C$55,$AC66,$C$64,$C$65,$C$66,$C$67,$C$68,$C$69,$C$70,$C$74,$C$75,$D$63+AP$76,$D$64,$D$65,$D$66,$D$67,$D$68,$D$69,$D$70,$D$71,$D$72,$D$73,$D$74,$D$75,$C$56,$C$57,$C$58,$D$59,$C$60),"")</f>
        <v>790740.95867397648</v>
      </c>
      <c r="AQ91" s="255">
        <f ca="1">IF(NOW(),_xll.mirSwapPV($C$51,$C$52,$C$54,$AA66,$C$55,$AC66,$C$64,$C$65,$C$66,$C$67,$C$68,$C$69,$C$70,$C$74,$C$75,$D$63+AQ$76,$D$64,$D$65,$D$66,$D$67,$D$68,$D$69,$D$70,$D$71,$D$72,$D$73,$D$74,$D$75,$C$56,$C$57,$C$58,$D$59,$C$60),"")</f>
        <v>1054321.2782319684</v>
      </c>
      <c r="AR91" s="255">
        <f ca="1">IF(NOW(),_xll.mirSwapPV($C$51,$C$52,$C$54,$AA66,$C$55,$AC66,$C$64,$C$65,$C$66,$C$67,$C$68,$C$69,$C$70,$C$74,$C$75,$D$63+AR$76,$D$64,$D$65,$D$66,$D$67,$D$68,$D$69,$D$70,$D$71,$D$72,$D$73,$D$74,$D$75,$C$56,$C$57,$C$58,$D$59,$C$60),"")</f>
        <v>1317901.5977899604</v>
      </c>
    </row>
    <row r="92" spans="6:44">
      <c r="F92" s="230"/>
      <c r="G92" s="227"/>
      <c r="H92" s="229"/>
      <c r="I92" s="229"/>
      <c r="J92" s="229"/>
      <c r="K92" s="230"/>
      <c r="L92" s="230"/>
      <c r="M92" s="224" t="s">
        <v>14</v>
      </c>
      <c r="N92" s="255">
        <f ca="1">IF(NOW(),_xll.mirSwapPV($C$51,$C$52,$C$54,$G67,$C$55,$I67,$C$64,$C$65,$C$66,$C$67,$C$68,$C$69,$C$70,$C$74,$C$75,$D$63+N$76,$D$64,$D$65,$D$66,$D$67,$D$68,$D$69,$D$70,$D$71,$D$72,$D$73,$D$74,$D$75,$C$56,$C$57,$C$58,$C$59,$C$60),"")</f>
        <v>-1498349.9245906642</v>
      </c>
      <c r="O92" s="255">
        <f ca="1">IF(NOW(),_xll.mirSwapPV($C$51,$C$52,$C$54,$G67,$C$55,$I67,$C$64,$C$65,$C$66,$C$67,$C$68,$C$69,$C$70,$C$74,$C$75,$D$63+O$76,$D$64,$D$65,$D$66,$D$67,$D$68,$D$69,$D$70,$D$71,$D$72,$D$73,$D$74,$D$75,$C$56,$C$57,$C$58,$C$59,$C$60),"")</f>
        <v>-1198679.9396725316</v>
      </c>
      <c r="P92" s="255">
        <f ca="1">IF(NOW(),_xll.mirSwapPV($C$51,$C$52,$C$54,$G67,$C$55,$I67,$C$64,$C$65,$C$66,$C$67,$C$68,$C$69,$C$70,$C$74,$C$75,$D$63+P$76,$D$64,$D$65,$D$66,$D$67,$D$68,$D$69,$D$70,$D$71,$D$72,$D$73,$D$74,$D$75,$C$56,$C$57,$C$58,$C$59,$C$60),"")</f>
        <v>-899009.95475439762</v>
      </c>
      <c r="Q92" s="255">
        <f ca="1">IF(NOW(),_xll.mirSwapPV($C$51,$C$52,$C$54,$G67,$C$55,$I67,$C$64,$C$65,$C$66,$C$67,$C$68,$C$69,$C$70,$C$74,$C$75,$D$63+Q$76,$D$64,$D$65,$D$66,$D$67,$D$68,$D$69,$D$70,$D$71,$D$72,$D$73,$D$74,$D$75,$C$56,$C$57,$C$58,$C$59,$C$60),"")</f>
        <v>-599339.96983626566</v>
      </c>
      <c r="R92" s="255">
        <f ca="1">IF(NOW(),_xll.mirSwapPV($C$51,$C$52,$C$54,$G67,$C$55,$I67,$C$64,$C$65,$C$66,$C$67,$C$68,$C$69,$C$70,$C$74,$C$75,$D$63+R$76,$D$64,$D$65,$D$66,$D$67,$D$68,$D$69,$D$70,$D$71,$D$72,$D$73,$D$74,$D$75,$C$56,$C$57,$C$58,$C$59,$C$60),"")</f>
        <v>-299669.98491813266</v>
      </c>
      <c r="S92" s="255">
        <f ca="1">IF(NOW(),_xll.mirSwapPV($C$51,$C$52,$C$54,$G67,$C$55,$I67,$C$64,$C$65,$C$66,$C$67,$C$68,$C$69,$C$70,$C$74,$C$75,$D$63+S$76,$D$64,$D$65,$D$66,$D$67,$D$68,$D$69,$D$70,$D$71,$D$72,$D$73,$D$74,$D$75,$C$56,$C$57,$C$58,$C$59,$C$60),"")</f>
        <v>0</v>
      </c>
      <c r="T92" s="255">
        <f ca="1">IF(NOW(),_xll.mirSwapPV($C$51,$C$52,$C$54,$G67,$C$55,$I67,$C$64,$C$65,$C$66,$C$67,$C$68,$C$69,$C$70,$C$74,$C$75,$D$63+T$76,$D$64,$D$65,$D$66,$D$67,$D$68,$D$69,$D$70,$D$71,$D$72,$D$73,$D$74,$D$75,$C$56,$C$57,$C$58,$C$59,$C$60),"")</f>
        <v>299669.98491813318</v>
      </c>
      <c r="U92" s="255">
        <f ca="1">IF(NOW(),_xll.mirSwapPV($C$51,$C$52,$C$54,$G67,$C$55,$I67,$C$64,$C$65,$C$66,$C$67,$C$68,$C$69,$C$70,$C$74,$C$75,$D$63+U$76,$D$64,$D$65,$D$66,$D$67,$D$68,$D$69,$D$70,$D$71,$D$72,$D$73,$D$74,$D$75,$C$56,$C$57,$C$58,$C$59,$C$60),"")</f>
        <v>599339.9698362659</v>
      </c>
      <c r="V92" s="255">
        <f ca="1">IF(NOW(),_xll.mirSwapPV($C$51,$C$52,$C$54,$G67,$C$55,$I67,$C$64,$C$65,$C$66,$C$67,$C$68,$C$69,$C$70,$C$74,$C$75,$D$63+V$76,$D$64,$D$65,$D$66,$D$67,$D$68,$D$69,$D$70,$D$71,$D$72,$D$73,$D$74,$D$75,$C$56,$C$57,$C$58,$C$59,$C$60),"")</f>
        <v>899009.95475439879</v>
      </c>
      <c r="W92" s="255">
        <f ca="1">IF(NOW(),_xll.mirSwapPV($C$51,$C$52,$C$54,$G67,$C$55,$I67,$C$64,$C$65,$C$66,$C$67,$C$68,$C$69,$C$70,$C$74,$C$75,$D$63+W$76,$D$64,$D$65,$D$66,$D$67,$D$68,$D$69,$D$70,$D$71,$D$72,$D$73,$D$74,$D$75,$C$56,$C$57,$C$58,$C$59,$C$60),"")</f>
        <v>1198679.9396725316</v>
      </c>
      <c r="X92" s="255">
        <f ca="1">IF(NOW(),_xll.mirSwapPV($C$51,$C$52,$C$54,$G67,$C$55,$I67,$C$64,$C$65,$C$66,$C$67,$C$68,$C$69,$C$70,$C$74,$C$75,$D$63+X$76,$D$64,$D$65,$D$66,$D$67,$D$68,$D$69,$D$70,$D$71,$D$72,$D$73,$D$74,$D$75,$C$56,$C$57,$C$58,$C$59,$C$60),"")</f>
        <v>1498349.9245906647</v>
      </c>
      <c r="Y92" s="229"/>
      <c r="AG92" s="224" t="s">
        <v>14</v>
      </c>
      <c r="AH92" s="255">
        <f ca="1">IF(NOW(),_xll.mirSwapPV($C$51,$C$52,$C$54,$AA67,$C$55,$AC67,$C$64,$C$65,$C$66,$C$67,$C$68,$C$69,$C$70,$C$74,$C$75,$D$63+AH$76,$D$64,$D$65,$D$66,$D$67,$D$68,$D$69,$D$70,$D$71,$D$72,$D$73,$D$74,$D$75,$C$56,$C$57,$C$58,$D$59,$C$60),"")</f>
        <v>-1498349.9245906656</v>
      </c>
      <c r="AI92" s="255">
        <f ca="1">IF(NOW(),_xll.mirSwapPV($C$51,$C$52,$C$54,$AA67,$C$55,$AC67,$C$64,$C$65,$C$66,$C$67,$C$68,$C$69,$C$70,$C$74,$C$75,$D$63+AI$76,$D$64,$D$65,$D$66,$D$67,$D$68,$D$69,$D$70,$D$71,$D$72,$D$73,$D$74,$D$75,$C$56,$C$57,$C$58,$D$59,$C$60),"")</f>
        <v>-1198679.9396725311</v>
      </c>
      <c r="AJ92" s="255">
        <f ca="1">IF(NOW(),_xll.mirSwapPV($C$51,$C$52,$C$54,$AA67,$C$55,$AC67,$C$64,$C$65,$C$66,$C$67,$C$68,$C$69,$C$70,$C$74,$C$75,$D$63+AJ$76,$D$64,$D$65,$D$66,$D$67,$D$68,$D$69,$D$70,$D$71,$D$72,$D$73,$D$74,$D$75,$C$56,$C$57,$C$58,$D$59,$C$60),"")</f>
        <v>-899009.95475439739</v>
      </c>
      <c r="AK92" s="255">
        <f ca="1">IF(NOW(),_xll.mirSwapPV($C$51,$C$52,$C$54,$AA67,$C$55,$AC67,$C$64,$C$65,$C$66,$C$67,$C$68,$C$69,$C$70,$C$74,$C$75,$D$63+AK$76,$D$64,$D$65,$D$66,$D$67,$D$68,$D$69,$D$70,$D$71,$D$72,$D$73,$D$74,$D$75,$C$56,$C$57,$C$58,$D$59,$C$60),"")</f>
        <v>-599339.9698362652</v>
      </c>
      <c r="AL92" s="255">
        <f ca="1">IF(NOW(),_xll.mirSwapPV($C$51,$C$52,$C$54,$AA67,$C$55,$AC67,$C$64,$C$65,$C$66,$C$67,$C$68,$C$69,$C$70,$C$74,$C$75,$D$63+AL$76,$D$64,$D$65,$D$66,$D$67,$D$68,$D$69,$D$70,$D$71,$D$72,$D$73,$D$74,$D$75,$C$56,$C$57,$C$58,$D$59,$C$60),"")</f>
        <v>-299669.98491813266</v>
      </c>
      <c r="AM92" s="255">
        <f ca="1">IF(NOW(),_xll.mirSwapPV($C$51,$C$52,$C$54,$AA67,$C$55,$AC67,$C$64,$C$65,$C$66,$C$67,$C$68,$C$69,$C$70,$C$74,$C$75,$D$63+AM$76,$D$64,$D$65,$D$66,$D$67,$D$68,$D$69,$D$70,$D$71,$D$72,$D$73,$D$74,$D$75,$C$56,$C$57,$C$58,$D$59,$C$60),"")</f>
        <v>0</v>
      </c>
      <c r="AN92" s="255">
        <f ca="1">IF(NOW(),_xll.mirSwapPV($C$51,$C$52,$C$54,$AA67,$C$55,$AC67,$C$64,$C$65,$C$66,$C$67,$C$68,$C$69,$C$70,$C$74,$C$75,$D$63+AN$76,$D$64,$D$65,$D$66,$D$67,$D$68,$D$69,$D$70,$D$71,$D$72,$D$73,$D$74,$D$75,$C$56,$C$57,$C$58,$D$59,$C$60),"")</f>
        <v>299669.98491813318</v>
      </c>
      <c r="AO92" s="255">
        <f ca="1">IF(NOW(),_xll.mirSwapPV($C$51,$C$52,$C$54,$AA67,$C$55,$AC67,$C$64,$C$65,$C$66,$C$67,$C$68,$C$69,$C$70,$C$74,$C$75,$D$63+AO$76,$D$64,$D$65,$D$66,$D$67,$D$68,$D$69,$D$70,$D$71,$D$72,$D$73,$D$74,$D$75,$C$56,$C$57,$C$58,$D$59,$C$60),"")</f>
        <v>599339.96983626578</v>
      </c>
      <c r="AP92" s="255">
        <f ca="1">IF(NOW(),_xll.mirSwapPV($C$51,$C$52,$C$54,$AA67,$C$55,$AC67,$C$64,$C$65,$C$66,$C$67,$C$68,$C$69,$C$70,$C$74,$C$75,$D$63+AP$76,$D$64,$D$65,$D$66,$D$67,$D$68,$D$69,$D$70,$D$71,$D$72,$D$73,$D$74,$D$75,$C$56,$C$57,$C$58,$D$59,$C$60),"")</f>
        <v>899009.95475439855</v>
      </c>
      <c r="AQ92" s="255">
        <f ca="1">IF(NOW(),_xll.mirSwapPV($C$51,$C$52,$C$54,$AA67,$C$55,$AC67,$C$64,$C$65,$C$66,$C$67,$C$68,$C$69,$C$70,$C$74,$C$75,$D$63+AQ$76,$D$64,$D$65,$D$66,$D$67,$D$68,$D$69,$D$70,$D$71,$D$72,$D$73,$D$74,$D$75,$C$56,$C$57,$C$58,$D$59,$C$60),"")</f>
        <v>1198679.9396725311</v>
      </c>
      <c r="AR92" s="255">
        <f ca="1">IF(NOW(),_xll.mirSwapPV($C$51,$C$52,$C$54,$AA67,$C$55,$AC67,$C$64,$C$65,$C$66,$C$67,$C$68,$C$69,$C$70,$C$74,$C$75,$D$63+AR$76,$D$64,$D$65,$D$66,$D$67,$D$68,$D$69,$D$70,$D$71,$D$72,$D$73,$D$74,$D$75,$C$56,$C$57,$C$58,$D$59,$C$60),"")</f>
        <v>1498349.9245906642</v>
      </c>
    </row>
    <row r="93" spans="6:44">
      <c r="F93" s="230"/>
      <c r="G93" s="227"/>
      <c r="H93" s="229"/>
      <c r="I93" s="229"/>
      <c r="J93" s="229"/>
      <c r="K93" s="230"/>
      <c r="L93" s="230"/>
      <c r="M93" s="224"/>
      <c r="N93" s="255"/>
      <c r="O93" s="255"/>
      <c r="P93" s="255"/>
      <c r="Q93" s="255"/>
      <c r="R93" s="255"/>
      <c r="S93" s="255"/>
      <c r="T93" s="255"/>
      <c r="U93" s="255"/>
      <c r="V93" s="255"/>
      <c r="W93" s="255"/>
      <c r="X93" s="255"/>
      <c r="Y93" s="229"/>
      <c r="AG93" s="224"/>
      <c r="AH93" s="255"/>
      <c r="AI93" s="255"/>
      <c r="AJ93" s="255"/>
      <c r="AK93" s="255"/>
      <c r="AL93" s="255"/>
      <c r="AM93" s="255"/>
      <c r="AN93" s="255"/>
      <c r="AO93" s="255"/>
      <c r="AP93" s="255"/>
      <c r="AQ93" s="255"/>
      <c r="AR93" s="255"/>
    </row>
    <row r="94" spans="6:44">
      <c r="F94" s="230"/>
      <c r="G94" s="227"/>
      <c r="H94" s="229"/>
      <c r="I94" s="229"/>
      <c r="J94" s="229"/>
      <c r="K94" s="230"/>
      <c r="L94" s="230"/>
      <c r="M94" s="224"/>
      <c r="N94" s="255"/>
      <c r="O94" s="255"/>
      <c r="P94" s="255"/>
      <c r="Q94" s="255"/>
      <c r="R94" s="255"/>
      <c r="S94" s="255"/>
      <c r="T94" s="255"/>
      <c r="U94" s="255"/>
      <c r="V94" s="255"/>
      <c r="W94" s="255"/>
      <c r="X94" s="255"/>
      <c r="Y94" s="229"/>
      <c r="AG94" s="224"/>
      <c r="AH94" s="255"/>
      <c r="AI94" s="255"/>
      <c r="AJ94" s="255"/>
      <c r="AK94" s="255"/>
      <c r="AL94" s="255"/>
      <c r="AM94" s="255"/>
      <c r="AN94" s="255"/>
      <c r="AO94" s="255"/>
      <c r="AP94" s="255"/>
      <c r="AQ94" s="255"/>
      <c r="AR94" s="255"/>
    </row>
    <row r="95" spans="6:44">
      <c r="F95" s="230"/>
      <c r="G95" s="227"/>
      <c r="H95" s="229"/>
      <c r="I95" s="229"/>
      <c r="J95" s="229"/>
      <c r="K95" s="230"/>
      <c r="L95" s="230"/>
      <c r="M95" s="224"/>
      <c r="N95" s="255"/>
      <c r="O95" s="255"/>
      <c r="P95" s="255"/>
      <c r="Q95" s="255"/>
      <c r="R95" s="255"/>
      <c r="S95" s="255"/>
      <c r="T95" s="255"/>
      <c r="U95" s="255"/>
      <c r="V95" s="255"/>
      <c r="W95" s="255"/>
      <c r="X95" s="255"/>
      <c r="Y95" s="229"/>
      <c r="AG95" s="224"/>
      <c r="AH95" s="255"/>
      <c r="AI95" s="255"/>
      <c r="AJ95" s="255"/>
      <c r="AK95" s="255"/>
      <c r="AL95" s="255"/>
      <c r="AM95" s="255"/>
      <c r="AN95" s="255"/>
      <c r="AO95" s="255"/>
      <c r="AP95" s="255"/>
      <c r="AQ95" s="255"/>
      <c r="AR95" s="255"/>
    </row>
  </sheetData>
  <dataValidations count="3">
    <dataValidation type="list" allowBlank="1" showInputMessage="1" showErrorMessage="1" sqref="C18:D18 C66:D66">
      <formula1>"MOD_FOLLOWING,FOLLOWING,MOD_PRECEDING,PRECEDING,NO_CHANGE"</formula1>
    </dataValidation>
    <dataValidation type="list" allowBlank="1" showInputMessage="1" showErrorMessage="1" sqref="C27:D27 C75:D75">
      <formula1>"None,ShortStart,ShortEnd,LongStart,LongEnd,SS,SE,LS,LE"</formula1>
    </dataValidation>
    <dataValidation type="list" allowBlank="1" showInputMessage="1" showErrorMessage="1" sqref="C4 C52">
      <formula1>"PAYER,RECEIVER"</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339933"/>
  </sheetPr>
  <dimension ref="B1:AR95"/>
  <sheetViews>
    <sheetView showGridLines="0" topLeftCell="N55" zoomScaleNormal="100" workbookViewId="0"/>
  </sheetViews>
  <sheetFormatPr defaultRowHeight="15"/>
  <cols>
    <col min="2" max="2" width="15.7109375" customWidth="1"/>
    <col min="3" max="4" width="18.7109375" customWidth="1"/>
    <col min="5" max="5" width="15.28515625" customWidth="1"/>
    <col min="6" max="8" width="10.7109375" customWidth="1"/>
    <col min="9" max="9" width="10.140625" customWidth="1"/>
    <col min="10" max="10" width="10.85546875" customWidth="1"/>
    <col min="11" max="13" width="10.5703125" customWidth="1"/>
    <col min="14" max="14" width="14" customWidth="1"/>
    <col min="15" max="24" width="12.5703125" customWidth="1"/>
    <col min="25" max="25" width="9.85546875" customWidth="1"/>
    <col min="26" max="26" width="10.7109375" customWidth="1"/>
    <col min="27" max="27" width="13.42578125" customWidth="1"/>
    <col min="28" max="32" width="10.7109375" customWidth="1"/>
    <col min="33" max="42" width="9.7109375" customWidth="1"/>
    <col min="43" max="43" width="11.85546875" customWidth="1"/>
    <col min="44" max="44" width="9.7109375" customWidth="1"/>
  </cols>
  <sheetData>
    <row r="1" spans="2:44">
      <c r="F1" s="219"/>
      <c r="G1" s="217"/>
      <c r="H1" s="220"/>
      <c r="P1" s="257"/>
    </row>
    <row r="2" spans="2:44">
      <c r="B2" t="s">
        <v>464</v>
      </c>
      <c r="F2" t="s">
        <v>461</v>
      </c>
      <c r="G2" s="217"/>
      <c r="J2" t="s">
        <v>463</v>
      </c>
      <c r="K2" s="259" t="b">
        <f>$C$11</f>
        <v>1</v>
      </c>
      <c r="M2" s="219" t="s">
        <v>460</v>
      </c>
      <c r="N2" s="219"/>
      <c r="O2" s="229"/>
      <c r="P2" s="252"/>
      <c r="Q2" s="252"/>
      <c r="R2" s="229"/>
      <c r="S2" s="229" t="s">
        <v>459</v>
      </c>
      <c r="T2" s="229"/>
      <c r="U2" s="229"/>
      <c r="V2" s="229"/>
      <c r="W2" t="s">
        <v>463</v>
      </c>
      <c r="X2" s="259" t="b">
        <f>$C$11</f>
        <v>1</v>
      </c>
      <c r="Z2" t="s">
        <v>461</v>
      </c>
      <c r="AA2" s="217"/>
      <c r="AD2" t="s">
        <v>463</v>
      </c>
      <c r="AE2" s="259" t="b">
        <f>$D$11</f>
        <v>0</v>
      </c>
      <c r="AG2" s="219" t="s">
        <v>460</v>
      </c>
      <c r="AH2" s="219"/>
      <c r="AI2" s="229"/>
      <c r="AJ2" s="252"/>
      <c r="AK2" s="252"/>
      <c r="AL2" s="229"/>
      <c r="AM2" s="229" t="s">
        <v>459</v>
      </c>
      <c r="AN2" s="229"/>
      <c r="AO2" s="229"/>
      <c r="AP2" s="229"/>
      <c r="AQ2" t="s">
        <v>463</v>
      </c>
      <c r="AR2" s="259" t="b">
        <f>$D$11</f>
        <v>0</v>
      </c>
    </row>
    <row r="3" spans="2:44">
      <c r="B3" s="221" t="s">
        <v>424</v>
      </c>
      <c r="C3" s="222">
        <v>1000000</v>
      </c>
      <c r="D3" s="223"/>
      <c r="F3" s="224" t="s">
        <v>76</v>
      </c>
      <c r="G3" s="224" t="s">
        <v>425</v>
      </c>
      <c r="H3" s="224" t="s">
        <v>426</v>
      </c>
      <c r="I3" s="224" t="s">
        <v>428</v>
      </c>
      <c r="J3" s="224" t="s">
        <v>465</v>
      </c>
      <c r="K3" s="224" t="s">
        <v>427</v>
      </c>
      <c r="L3" s="224"/>
      <c r="M3" s="224" t="s">
        <v>76</v>
      </c>
      <c r="N3" s="256">
        <v>-0.05</v>
      </c>
      <c r="O3" s="256">
        <f>N3+1%</f>
        <v>-0.04</v>
      </c>
      <c r="P3" s="256">
        <f t="shared" ref="P3:X3" si="0">O3+1%</f>
        <v>-0.03</v>
      </c>
      <c r="Q3" s="256">
        <f t="shared" si="0"/>
        <v>-1.9999999999999997E-2</v>
      </c>
      <c r="R3" s="256">
        <f t="shared" si="0"/>
        <v>-9.9999999999999967E-3</v>
      </c>
      <c r="S3" s="256">
        <f t="shared" si="0"/>
        <v>0</v>
      </c>
      <c r="T3" s="256">
        <f t="shared" si="0"/>
        <v>0.01</v>
      </c>
      <c r="U3" s="256">
        <f t="shared" si="0"/>
        <v>0.02</v>
      </c>
      <c r="V3" s="256">
        <f t="shared" si="0"/>
        <v>0.03</v>
      </c>
      <c r="W3" s="256">
        <f t="shared" si="0"/>
        <v>0.04</v>
      </c>
      <c r="X3" s="256">
        <f t="shared" si="0"/>
        <v>0.05</v>
      </c>
      <c r="Z3" s="224" t="s">
        <v>76</v>
      </c>
      <c r="AA3" s="224" t="s">
        <v>425</v>
      </c>
      <c r="AB3" s="224" t="s">
        <v>426</v>
      </c>
      <c r="AC3" s="224" t="s">
        <v>428</v>
      </c>
      <c r="AD3" s="224" t="s">
        <v>465</v>
      </c>
      <c r="AE3" s="224" t="s">
        <v>427</v>
      </c>
      <c r="AG3" s="224" t="s">
        <v>76</v>
      </c>
      <c r="AH3" s="256">
        <v>-0.05</v>
      </c>
      <c r="AI3" s="256">
        <f>AH3+1%</f>
        <v>-0.04</v>
      </c>
      <c r="AJ3" s="256">
        <f t="shared" ref="AJ3:AR3" si="1">AI3+1%</f>
        <v>-0.03</v>
      </c>
      <c r="AK3" s="256">
        <f t="shared" si="1"/>
        <v>-1.9999999999999997E-2</v>
      </c>
      <c r="AL3" s="256">
        <f t="shared" si="1"/>
        <v>-9.9999999999999967E-3</v>
      </c>
      <c r="AM3" s="256">
        <f t="shared" si="1"/>
        <v>0</v>
      </c>
      <c r="AN3" s="256">
        <f t="shared" si="1"/>
        <v>0.01</v>
      </c>
      <c r="AO3" s="256">
        <f t="shared" si="1"/>
        <v>0.02</v>
      </c>
      <c r="AP3" s="256">
        <f t="shared" si="1"/>
        <v>0.03</v>
      </c>
      <c r="AQ3" s="256">
        <f t="shared" si="1"/>
        <v>0.04</v>
      </c>
      <c r="AR3" s="256">
        <f t="shared" si="1"/>
        <v>0.05</v>
      </c>
    </row>
    <row r="4" spans="2:44">
      <c r="B4" s="225" t="s">
        <v>429</v>
      </c>
      <c r="C4" s="226" t="s">
        <v>430</v>
      </c>
      <c r="D4" s="223"/>
      <c r="F4" s="227" t="s">
        <v>39</v>
      </c>
      <c r="G4" s="227">
        <f>_xll.mirGetDate($C$6,F4)</f>
        <v>43296</v>
      </c>
      <c r="H4" s="228">
        <f>'JPY Curve Config'!AO11</f>
        <v>1.7625E-3</v>
      </c>
      <c r="I4" s="229">
        <f ca="1">IF(NOW(),_xll.mirGetParRate4($C$6,F4,$C$7,$C$16,$C$17,$C$18,$C$19,$C$20,$C$21,$C$22,$C$26,$C$27,$D$16,$D$17,$D$18,$D$19,$D$20,$D$21,$D$22,$D$23,$D$24,$D$25,$D$26,$D$27,$C$8,$C$9,$C$10,$C$11,$C$12),"")</f>
        <v>1.7625002985300091E-3</v>
      </c>
      <c r="J4" s="229">
        <f t="shared" ref="J4:J22" ca="1" si="2">I4-H4</f>
        <v>2.9853000908970639E-10</v>
      </c>
      <c r="K4" s="230">
        <f t="shared" ref="K4:K22" ca="1" si="3">(I4-H4)*10000</f>
        <v>2.9853000908970639E-6</v>
      </c>
      <c r="L4" s="230" t="s">
        <v>12</v>
      </c>
      <c r="M4" s="227" t="s">
        <v>39</v>
      </c>
      <c r="N4" s="255">
        <f ca="1">IF(NOW(),_xll.mirSwapPV($C$3,$C$4,$C$6,$G4,$C$7,$I4+N$3,$C$16,$C$17,$C$18,$C$19,$C$20,$C$21,$C$22,$C$26,$C$27,$D$15,$D$16,$D$17,$D$18,$D$19,$D$20,$D$21,$D$22,$D$23,$D$24,$D$25,$D$26,$D$27,$C$8,$C$9,$C$10,$C$11,$C$12),"")</f>
        <v>150218.91320938815</v>
      </c>
      <c r="O4" s="255">
        <f ca="1">IF(NOW(),_xll.mirSwapPV($C$3,$C$4,$C$6,$G4,$C$7,$I4+O$3,$C$16,$C$17,$C$18,$C$19,$C$20,$C$21,$C$22,$C$26,$C$27,$D$15,$D$16,$D$17,$D$18,$D$19,$D$20,$D$21,$D$22,$D$23,$D$24,$D$25,$D$26,$D$27,$C$8,$C$9,$C$10,$C$11,$C$12),"")</f>
        <v>120175.13056751051</v>
      </c>
      <c r="P4" s="255">
        <f ca="1">IF(NOW(),_xll.mirSwapPV($C$3,$C$4,$C$6,$G4,$C$7,$I4+P$3,$C$16,$C$17,$C$18,$C$19,$C$20,$C$21,$C$22,$C$26,$C$27,$D$15,$D$16,$D$17,$D$18,$D$19,$D$20,$D$21,$D$22,$D$23,$D$24,$D$25,$D$26,$D$27,$C$8,$C$9,$C$10,$C$11,$C$12),"")</f>
        <v>90131.347925632872</v>
      </c>
      <c r="Q4" s="255">
        <f ca="1">IF(NOW(),_xll.mirSwapPV($C$3,$C$4,$C$6,$G4,$C$7,$I4+Q$3,$C$16,$C$17,$C$18,$C$19,$C$20,$C$21,$C$22,$C$26,$C$27,$D$15,$D$16,$D$17,$D$18,$D$19,$D$20,$D$21,$D$22,$D$23,$D$24,$D$25,$D$26,$D$27,$C$8,$C$9,$C$10,$C$11,$C$12),"")</f>
        <v>60087.565283755241</v>
      </c>
      <c r="R4" s="255">
        <f ca="1">IF(NOW(),_xll.mirSwapPV($C$3,$C$4,$C$6,$G4,$C$7,$I4+R$3,$C$16,$C$17,$C$18,$C$19,$C$20,$C$21,$C$22,$C$26,$C$27,$D$15,$D$16,$D$17,$D$18,$D$19,$D$20,$D$21,$D$22,$D$23,$D$24,$D$25,$D$26,$D$27,$C$8,$C$9,$C$10,$C$11,$C$12),"")</f>
        <v>30043.78264187762</v>
      </c>
      <c r="S4" s="255">
        <f ca="1">IF(NOW(),_xll.mirSwapPV($C$3,$C$4,$C$6,$G4,$C$7,$I4+S$3,$C$16,$C$17,$C$18,$C$19,$C$20,$C$21,$C$22,$C$26,$C$27,$D$15,$D$16,$D$17,$D$18,$D$19,$D$20,$D$21,$D$22,$D$23,$D$24,$D$25,$D$26,$D$27,$C$8,$C$9,$C$10,$C$11,$C$12),"")</f>
        <v>0</v>
      </c>
      <c r="T4" s="255">
        <f ca="1">IF(NOW(),_xll.mirSwapPV($C$3,$C$4,$C$6,$G4,$C$7,$I4+T$3,$C$16,$C$17,$C$18,$C$19,$C$20,$C$21,$C$22,$C$26,$C$27,$D$15,$D$16,$D$17,$D$18,$D$19,$D$20,$D$21,$D$22,$D$23,$D$24,$D$25,$D$26,$D$27,$C$8,$C$9,$C$10,$C$11,$C$12),"")</f>
        <v>-30043.782641877624</v>
      </c>
      <c r="U4" s="255">
        <f ca="1">IF(NOW(),_xll.mirSwapPV($C$3,$C$4,$C$6,$G4,$C$7,$I4+U$3,$C$16,$C$17,$C$18,$C$19,$C$20,$C$21,$C$22,$C$26,$C$27,$D$15,$D$16,$D$17,$D$18,$D$19,$D$20,$D$21,$D$22,$D$23,$D$24,$D$25,$D$26,$D$27,$C$8,$C$9,$C$10,$C$11,$C$12),"")</f>
        <v>-60087.565283755262</v>
      </c>
      <c r="V4" s="255">
        <f ca="1">IF(NOW(),_xll.mirSwapPV($C$3,$C$4,$C$6,$G4,$C$7,$I4+V$3,$C$16,$C$17,$C$18,$C$19,$C$20,$C$21,$C$22,$C$26,$C$27,$D$15,$D$16,$D$17,$D$18,$D$19,$D$20,$D$21,$D$22,$D$23,$D$24,$D$25,$D$26,$D$27,$C$8,$C$9,$C$10,$C$11,$C$12),"")</f>
        <v>-90131.347925632872</v>
      </c>
      <c r="W4" s="255">
        <f ca="1">IF(NOW(),_xll.mirSwapPV($C$3,$C$4,$C$6,$G4,$C$7,$I4+W$3,$C$16,$C$17,$C$18,$C$19,$C$20,$C$21,$C$22,$C$26,$C$27,$D$15,$D$16,$D$17,$D$18,$D$19,$D$20,$D$21,$D$22,$D$23,$D$24,$D$25,$D$26,$D$27,$C$8,$C$9,$C$10,$C$11,$C$12),"")</f>
        <v>-120175.13056751051</v>
      </c>
      <c r="X4" s="255">
        <f ca="1">IF(NOW(),_xll.mirSwapPV($C$3,$C$4,$C$6,$G4,$C$7,$I4+X$3,$C$16,$C$17,$C$18,$C$19,$C$20,$C$21,$C$22,$C$26,$C$27,$D$15,$D$16,$D$17,$D$18,$D$19,$D$20,$D$21,$D$22,$D$23,$D$24,$D$25,$D$26,$D$27,$C$8,$C$9,$C$10,$C$11,$C$12),"")</f>
        <v>-150218.91320938815</v>
      </c>
      <c r="Y4" s="230" t="s">
        <v>12</v>
      </c>
      <c r="Z4" s="227" t="s">
        <v>39</v>
      </c>
      <c r="AA4" s="227">
        <f>_xll.mirGetDate($C$6,Z4)</f>
        <v>43296</v>
      </c>
      <c r="AB4" s="228">
        <f>H4</f>
        <v>1.7625E-3</v>
      </c>
      <c r="AC4" s="229">
        <f ca="1">IF(NOW(),_xll.mirGetParRate4($C$6,Z4,$C$7,$C$16,$C$17,$C$18,$C$19,$C$20,$C$21,$C$22,$C$26,$C$27,$D$16,$D$17,$D$18,$D$19,$D$20,$D$21,$D$22,$D$23,$D$24,$D$25,$D$26,$D$27,$C$8,$C$9,$C$10,$D$11,$C$12),"")</f>
        <v>1.7625002985300238E-3</v>
      </c>
      <c r="AD4" s="229">
        <f t="shared" ref="AD4:AD22" ca="1" si="4">AC4-AB4</f>
        <v>2.9853002383485594E-10</v>
      </c>
      <c r="AE4" s="230">
        <f t="shared" ref="AE4:AE22" ca="1" si="5">(AC4-AB4)*10000</f>
        <v>2.9853002383485594E-6</v>
      </c>
      <c r="AG4" s="227" t="s">
        <v>39</v>
      </c>
      <c r="AH4" s="255">
        <f ca="1">IF(NOW(),_xll.mirSwapPV($C$3,$C$4,$C$6,$G4,$C$7,$I4+AH$3,$C$16,$C$17,$C$18,$C$19,$C$20,$C$21,$C$22,$C$26,$C$27,$D$15,$D$16,$D$17,$D$18,$D$19,$D$20,$D$21,$D$22,$D$23,$D$24,$D$25,$D$26,$D$27,$C$8,$C$9,$C$10,$D$11,$C$12),"")</f>
        <v>150218.91320938821</v>
      </c>
      <c r="AI4" s="255">
        <f ca="1">IF(NOW(),_xll.mirSwapPV($C$3,$C$4,$C$6,$G4,$C$7,$I4+AI$3,$C$16,$C$17,$C$18,$C$19,$C$20,$C$21,$C$22,$C$26,$C$27,$D$15,$D$16,$D$17,$D$18,$D$19,$D$20,$D$21,$D$22,$D$23,$D$24,$D$25,$D$26,$D$27,$C$8,$C$9,$C$10,$D$11,$C$12),"")</f>
        <v>120175.13056751055</v>
      </c>
      <c r="AJ4" s="255">
        <f ca="1">IF(NOW(),_xll.mirSwapPV($C$3,$C$4,$C$6,$G4,$C$7,$I4+AJ$3,$C$16,$C$17,$C$18,$C$19,$C$20,$C$21,$C$22,$C$26,$C$27,$D$15,$D$16,$D$17,$D$18,$D$19,$D$20,$D$21,$D$22,$D$23,$D$24,$D$25,$D$26,$D$27,$C$8,$C$9,$C$10,$D$11,$C$12),"")</f>
        <v>90131.347925632916</v>
      </c>
      <c r="AK4" s="255">
        <f ca="1">IF(NOW(),_xll.mirSwapPV($C$3,$C$4,$C$6,$G4,$C$7,$I4+AK$3,$C$16,$C$17,$C$18,$C$19,$C$20,$C$21,$C$22,$C$26,$C$27,$D$15,$D$16,$D$17,$D$18,$D$19,$D$20,$D$21,$D$22,$D$23,$D$24,$D$25,$D$26,$D$27,$C$8,$C$9,$C$10,$D$11,$C$12),"")</f>
        <v>60087.565283755284</v>
      </c>
      <c r="AL4" s="255">
        <f ca="1">IF(NOW(),_xll.mirSwapPV($C$3,$C$4,$C$6,$G4,$C$7,$I4+AL$3,$C$16,$C$17,$C$18,$C$19,$C$20,$C$21,$C$22,$C$26,$C$27,$D$15,$D$16,$D$17,$D$18,$D$19,$D$20,$D$21,$D$22,$D$23,$D$24,$D$25,$D$26,$D$27,$C$8,$C$9,$C$10,$D$11,$C$12),"")</f>
        <v>30043.782641877668</v>
      </c>
      <c r="AM4" s="255">
        <f ca="1">IF(NOW(),_xll.mirSwapPV($C$3,$C$4,$C$6,$G4,$C$7,$I4+AM$3,$C$16,$C$17,$C$18,$C$19,$C$20,$C$21,$C$22,$C$26,$C$27,$D$15,$D$16,$D$17,$D$18,$D$19,$D$20,$D$21,$D$22,$D$23,$D$24,$D$25,$D$26,$D$27,$C$8,$C$9,$C$10,$D$11,$C$12),"")</f>
        <v>4.4235448637408581E-11</v>
      </c>
      <c r="AN4" s="255">
        <f ca="1">IF(NOW(),_xll.mirSwapPV($C$3,$C$4,$C$6,$G4,$C$7,$I4+AN$3,$C$16,$C$17,$C$18,$C$19,$C$20,$C$21,$C$22,$C$26,$C$27,$D$15,$D$16,$D$17,$D$18,$D$19,$D$20,$D$21,$D$22,$D$23,$D$24,$D$25,$D$26,$D$27,$C$8,$C$9,$C$10,$D$11,$C$12),"")</f>
        <v>-30043.782641877584</v>
      </c>
      <c r="AO4" s="255">
        <f ca="1">IF(NOW(),_xll.mirSwapPV($C$3,$C$4,$C$6,$G4,$C$7,$I4+AO$3,$C$16,$C$17,$C$18,$C$19,$C$20,$C$21,$C$22,$C$26,$C$27,$D$15,$D$16,$D$17,$D$18,$D$19,$D$20,$D$21,$D$22,$D$23,$D$24,$D$25,$D$26,$D$27,$C$8,$C$9,$C$10,$D$11,$C$12),"")</f>
        <v>-60087.565283755226</v>
      </c>
      <c r="AP4" s="255">
        <f ca="1">IF(NOW(),_xll.mirSwapPV($C$3,$C$4,$C$6,$G4,$C$7,$I4+AP$3,$C$16,$C$17,$C$18,$C$19,$C$20,$C$21,$C$22,$C$26,$C$27,$D$15,$D$16,$D$17,$D$18,$D$19,$D$20,$D$21,$D$22,$D$23,$D$24,$D$25,$D$26,$D$27,$C$8,$C$9,$C$10,$D$11,$C$12),"")</f>
        <v>-90131.347925632828</v>
      </c>
      <c r="AQ4" s="255">
        <f ca="1">IF(NOW(),_xll.mirSwapPV($C$3,$C$4,$C$6,$G4,$C$7,$I4+AQ$3,$C$16,$C$17,$C$18,$C$19,$C$20,$C$21,$C$22,$C$26,$C$27,$D$15,$D$16,$D$17,$D$18,$D$19,$D$20,$D$21,$D$22,$D$23,$D$24,$D$25,$D$26,$D$27,$C$8,$C$9,$C$10,$D$11,$C$12),"")</f>
        <v>-120175.13056751048</v>
      </c>
      <c r="AR4" s="255">
        <f ca="1">IF(NOW(),_xll.mirSwapPV($C$3,$C$4,$C$6,$G4,$C$7,$I4+AR$3,$C$16,$C$17,$C$18,$C$19,$C$20,$C$21,$C$22,$C$26,$C$27,$D$15,$D$16,$D$17,$D$18,$D$19,$D$20,$D$21,$D$22,$D$23,$D$24,$D$25,$D$26,$D$27,$C$8,$C$9,$C$10,$D$11,$C$12),"")</f>
        <v>-150218.91320938809</v>
      </c>
    </row>
    <row r="5" spans="2:44">
      <c r="B5" s="231"/>
      <c r="C5" s="231"/>
      <c r="D5" s="232"/>
      <c r="F5" s="224" t="s">
        <v>35</v>
      </c>
      <c r="G5" s="227">
        <f>_xll.mirGetDate($C$6,F5)</f>
        <v>43661</v>
      </c>
      <c r="H5" s="228">
        <f>'JPY Curve Config'!AO12</f>
        <v>2.225E-3</v>
      </c>
      <c r="I5" s="229">
        <f ca="1">IF(NOW(),_xll.mirGetParRate4($C$6,F5,$C$7,$C$16,$C$17,$C$18,$C$19,$C$20,$C$21,$C$22,$C$26,$C$27,$D$16,$D$17,$D$18,$D$19,$D$20,$D$21,$D$22,$D$23,$D$24,$D$25,$D$26,$D$27,$C$8,$C$9,$C$10,$C$11,$C$12),"")</f>
        <v>2.2249999348907855E-3</v>
      </c>
      <c r="J5" s="229">
        <f t="shared" ca="1" si="2"/>
        <v>-6.5109214460873366E-11</v>
      </c>
      <c r="K5" s="230">
        <f t="shared" ca="1" si="3"/>
        <v>-6.5109214460873366E-7</v>
      </c>
      <c r="L5" s="230" t="s">
        <v>12</v>
      </c>
      <c r="M5" s="224" t="s">
        <v>35</v>
      </c>
      <c r="N5" s="255">
        <f ca="1">IF(NOW(),_xll.mirSwapPV($C$3,$C$4,$C$6,$G5,$C$7,$I5+N$3,$C$16,$C$17,$C$18,$C$19,$C$20,$C$21,$C$22,$C$26,$C$27,$D$15,$D$16,$D$17,$D$18,$D$19,$D$20,$D$21,$D$22,$D$23,$D$24,$D$25,$D$26,$D$27,$C$8,$C$9,$C$10,$C$11,$C$12),"")</f>
        <v>199875.20207088441</v>
      </c>
      <c r="O5" s="255">
        <f ca="1">IF(NOW(),_xll.mirSwapPV($C$3,$C$4,$C$6,$G5,$C$7,$I5+O$3,$C$16,$C$17,$C$18,$C$19,$C$20,$C$21,$C$22,$C$26,$C$27,$D$15,$D$16,$D$17,$D$18,$D$19,$D$20,$D$21,$D$22,$D$23,$D$24,$D$25,$D$26,$D$27,$C$8,$C$9,$C$10,$C$11,$C$12),"")</f>
        <v>159900.16165670753</v>
      </c>
      <c r="P5" s="255">
        <f ca="1">IF(NOW(),_xll.mirSwapPV($C$3,$C$4,$C$6,$G5,$C$7,$I5+P$3,$C$16,$C$17,$C$18,$C$19,$C$20,$C$21,$C$22,$C$26,$C$27,$D$15,$D$16,$D$17,$D$18,$D$19,$D$20,$D$21,$D$22,$D$23,$D$24,$D$25,$D$26,$D$27,$C$8,$C$9,$C$10,$C$11,$C$12),"")</f>
        <v>119925.12124253063</v>
      </c>
      <c r="Q5" s="255">
        <f ca="1">IF(NOW(),_xll.mirSwapPV($C$3,$C$4,$C$6,$G5,$C$7,$I5+Q$3,$C$16,$C$17,$C$18,$C$19,$C$20,$C$21,$C$22,$C$26,$C$27,$D$15,$D$16,$D$17,$D$18,$D$19,$D$20,$D$21,$D$22,$D$23,$D$24,$D$25,$D$26,$D$27,$C$8,$C$9,$C$10,$C$11,$C$12),"")</f>
        <v>79950.080828353748</v>
      </c>
      <c r="R5" s="255">
        <f ca="1">IF(NOW(),_xll.mirSwapPV($C$3,$C$4,$C$6,$G5,$C$7,$I5+R$3,$C$16,$C$17,$C$18,$C$19,$C$20,$C$21,$C$22,$C$26,$C$27,$D$15,$D$16,$D$17,$D$18,$D$19,$D$20,$D$21,$D$22,$D$23,$D$24,$D$25,$D$26,$D$27,$C$8,$C$9,$C$10,$C$11,$C$12),"")</f>
        <v>39975.040414176867</v>
      </c>
      <c r="S5" s="255">
        <f ca="1">IF(NOW(),_xll.mirSwapPV($C$3,$C$4,$C$6,$G5,$C$7,$I5+S$3,$C$16,$C$17,$C$18,$C$19,$C$20,$C$21,$C$22,$C$26,$C$27,$D$15,$D$16,$D$17,$D$18,$D$19,$D$20,$D$21,$D$22,$D$23,$D$24,$D$25,$D$26,$D$27,$C$8,$C$9,$C$10,$C$11,$C$12),"")</f>
        <v>0</v>
      </c>
      <c r="T5" s="255">
        <f ca="1">IF(NOW(),_xll.mirSwapPV($C$3,$C$4,$C$6,$G5,$C$7,$I5+T$3,$C$16,$C$17,$C$18,$C$19,$C$20,$C$21,$C$22,$C$26,$C$27,$D$15,$D$16,$D$17,$D$18,$D$19,$D$20,$D$21,$D$22,$D$23,$D$24,$D$25,$D$26,$D$27,$C$8,$C$9,$C$10,$C$11,$C$12),"")</f>
        <v>-39975.040414176881</v>
      </c>
      <c r="U5" s="255">
        <f ca="1">IF(NOW(),_xll.mirSwapPV($C$3,$C$4,$C$6,$G5,$C$7,$I5+U$3,$C$16,$C$17,$C$18,$C$19,$C$20,$C$21,$C$22,$C$26,$C$27,$D$15,$D$16,$D$17,$D$18,$D$19,$D$20,$D$21,$D$22,$D$23,$D$24,$D$25,$D$26,$D$27,$C$8,$C$9,$C$10,$C$11,$C$12),"")</f>
        <v>-79950.080828353748</v>
      </c>
      <c r="V5" s="255">
        <f ca="1">IF(NOW(),_xll.mirSwapPV($C$3,$C$4,$C$6,$G5,$C$7,$I5+V$3,$C$16,$C$17,$C$18,$C$19,$C$20,$C$21,$C$22,$C$26,$C$27,$D$15,$D$16,$D$17,$D$18,$D$19,$D$20,$D$21,$D$22,$D$23,$D$24,$D$25,$D$26,$D$27,$C$8,$C$9,$C$10,$C$11,$C$12),"")</f>
        <v>-119925.12124253063</v>
      </c>
      <c r="W5" s="255">
        <f ca="1">IF(NOW(),_xll.mirSwapPV($C$3,$C$4,$C$6,$G5,$C$7,$I5+W$3,$C$16,$C$17,$C$18,$C$19,$C$20,$C$21,$C$22,$C$26,$C$27,$D$15,$D$16,$D$17,$D$18,$D$19,$D$20,$D$21,$D$22,$D$23,$D$24,$D$25,$D$26,$D$27,$C$8,$C$9,$C$10,$C$11,$C$12),"")</f>
        <v>-159900.16165670753</v>
      </c>
      <c r="X5" s="255">
        <f ca="1">IF(NOW(),_xll.mirSwapPV($C$3,$C$4,$C$6,$G5,$C$7,$I5+X$3,$C$16,$C$17,$C$18,$C$19,$C$20,$C$21,$C$22,$C$26,$C$27,$D$15,$D$16,$D$17,$D$18,$D$19,$D$20,$D$21,$D$22,$D$23,$D$24,$D$25,$D$26,$D$27,$C$8,$C$9,$C$10,$C$11,$C$12),"")</f>
        <v>-199875.20207088441</v>
      </c>
      <c r="Y5" s="230" t="s">
        <v>12</v>
      </c>
      <c r="Z5" s="224" t="s">
        <v>35</v>
      </c>
      <c r="AA5" s="227">
        <f>_xll.mirGetDate($C$6,Z5)</f>
        <v>43661</v>
      </c>
      <c r="AB5" s="228">
        <f t="shared" ref="AB5:AB22" si="6">H5</f>
        <v>2.225E-3</v>
      </c>
      <c r="AC5" s="229">
        <f ca="1">IF(NOW(),_xll.mirGetParRate4($C$6,Z5,$C$7,$C$16,$C$17,$C$18,$C$19,$C$20,$C$21,$C$22,$C$26,$C$27,$D$16,$D$17,$D$18,$D$19,$D$20,$D$21,$D$22,$D$23,$D$24,$D$25,$D$26,$D$27,$C$8,$C$9,$C$10,$D$11,$C$12),"")</f>
        <v>2.2249999348908003E-3</v>
      </c>
      <c r="AD5" s="229">
        <f t="shared" ca="1" si="4"/>
        <v>-6.510919971572382E-11</v>
      </c>
      <c r="AE5" s="230">
        <f t="shared" ca="1" si="5"/>
        <v>-6.510919971572382E-7</v>
      </c>
      <c r="AG5" s="224" t="s">
        <v>35</v>
      </c>
      <c r="AH5" s="255">
        <f ca="1">IF(NOW(),_xll.mirSwapPV($C$3,$C$4,$C$6,$G5,$C$7,$I5+AH$3,$C$16,$C$17,$C$18,$C$19,$C$20,$C$21,$C$22,$C$26,$C$27,$D$15,$D$16,$D$17,$D$18,$D$19,$D$20,$D$21,$D$22,$D$23,$D$24,$D$25,$D$26,$D$27,$C$8,$C$9,$C$10,$D$11,$C$12),"")</f>
        <v>199875.20207088446</v>
      </c>
      <c r="AI5" s="255">
        <f ca="1">IF(NOW(),_xll.mirSwapPV($C$3,$C$4,$C$6,$G5,$C$7,$I5+AI$3,$C$16,$C$17,$C$18,$C$19,$C$20,$C$21,$C$22,$C$26,$C$27,$D$15,$D$16,$D$17,$D$18,$D$19,$D$20,$D$21,$D$22,$D$23,$D$24,$D$25,$D$26,$D$27,$C$8,$C$9,$C$10,$D$11,$C$12),"")</f>
        <v>159900.16165670758</v>
      </c>
      <c r="AJ5" s="255">
        <f ca="1">IF(NOW(),_xll.mirSwapPV($C$3,$C$4,$C$6,$G5,$C$7,$I5+AJ$3,$C$16,$C$17,$C$18,$C$19,$C$20,$C$21,$C$22,$C$26,$C$27,$D$15,$D$16,$D$17,$D$18,$D$19,$D$20,$D$21,$D$22,$D$23,$D$24,$D$25,$D$26,$D$27,$C$8,$C$9,$C$10,$D$11,$C$12),"")</f>
        <v>119925.1212425307</v>
      </c>
      <c r="AK5" s="255">
        <f ca="1">IF(NOW(),_xll.mirSwapPV($C$3,$C$4,$C$6,$G5,$C$7,$I5+AK$3,$C$16,$C$17,$C$18,$C$19,$C$20,$C$21,$C$22,$C$26,$C$27,$D$15,$D$16,$D$17,$D$18,$D$19,$D$20,$D$21,$D$22,$D$23,$D$24,$D$25,$D$26,$D$27,$C$8,$C$9,$C$10,$D$11,$C$12),"")</f>
        <v>79950.080828353821</v>
      </c>
      <c r="AL5" s="255">
        <f ca="1">IF(NOW(),_xll.mirSwapPV($C$3,$C$4,$C$6,$G5,$C$7,$I5+AL$3,$C$16,$C$17,$C$18,$C$19,$C$20,$C$21,$C$22,$C$26,$C$27,$D$15,$D$16,$D$17,$D$18,$D$19,$D$20,$D$21,$D$22,$D$23,$D$24,$D$25,$D$26,$D$27,$C$8,$C$9,$C$10,$D$11,$C$12),"")</f>
        <v>39975.040414176932</v>
      </c>
      <c r="AM5" s="255">
        <f ca="1">IF(NOW(),_xll.mirSwapPV($C$3,$C$4,$C$6,$G5,$C$7,$I5+AM$3,$C$16,$C$17,$C$18,$C$19,$C$20,$C$21,$C$22,$C$26,$C$27,$D$15,$D$16,$D$17,$D$18,$D$19,$D$20,$D$21,$D$22,$D$23,$D$24,$D$25,$D$26,$D$27,$C$8,$C$9,$C$10,$D$11,$C$12),"")</f>
        <v>5.8980598183211441E-11</v>
      </c>
      <c r="AN5" s="255">
        <f ca="1">IF(NOW(),_xll.mirSwapPV($C$3,$C$4,$C$6,$G5,$C$7,$I5+AN$3,$C$16,$C$17,$C$18,$C$19,$C$20,$C$21,$C$22,$C$26,$C$27,$D$15,$D$16,$D$17,$D$18,$D$19,$D$20,$D$21,$D$22,$D$23,$D$24,$D$25,$D$26,$D$27,$C$8,$C$9,$C$10,$D$11,$C$12),"")</f>
        <v>-39975.040414176823</v>
      </c>
      <c r="AO5" s="255">
        <f ca="1">IF(NOW(),_xll.mirSwapPV($C$3,$C$4,$C$6,$G5,$C$7,$I5+AO$3,$C$16,$C$17,$C$18,$C$19,$C$20,$C$21,$C$22,$C$26,$C$27,$D$15,$D$16,$D$17,$D$18,$D$19,$D$20,$D$21,$D$22,$D$23,$D$24,$D$25,$D$26,$D$27,$C$8,$C$9,$C$10,$D$11,$C$12),"")</f>
        <v>-79950.080828353704</v>
      </c>
      <c r="AP5" s="255">
        <f ca="1">IF(NOW(),_xll.mirSwapPV($C$3,$C$4,$C$6,$G5,$C$7,$I5+AP$3,$C$16,$C$17,$C$18,$C$19,$C$20,$C$21,$C$22,$C$26,$C$27,$D$15,$D$16,$D$17,$D$18,$D$19,$D$20,$D$21,$D$22,$D$23,$D$24,$D$25,$D$26,$D$27,$C$8,$C$9,$C$10,$D$11,$C$12),"")</f>
        <v>-119925.12124253057</v>
      </c>
      <c r="AQ5" s="255">
        <f ca="1">IF(NOW(),_xll.mirSwapPV($C$3,$C$4,$C$6,$G5,$C$7,$I5+AQ$3,$C$16,$C$17,$C$18,$C$19,$C$20,$C$21,$C$22,$C$26,$C$27,$D$15,$D$16,$D$17,$D$18,$D$19,$D$20,$D$21,$D$22,$D$23,$D$24,$D$25,$D$26,$D$27,$C$8,$C$9,$C$10,$D$11,$C$12),"")</f>
        <v>-159900.16165670747</v>
      </c>
      <c r="AR5" s="255">
        <f ca="1">IF(NOW(),_xll.mirSwapPV($C$3,$C$4,$C$6,$G5,$C$7,$I5+AR$3,$C$16,$C$17,$C$18,$C$19,$C$20,$C$21,$C$22,$C$26,$C$27,$D$15,$D$16,$D$17,$D$18,$D$19,$D$20,$D$21,$D$22,$D$23,$D$24,$D$25,$D$26,$D$27,$C$8,$C$9,$C$10,$D$11,$C$12),"")</f>
        <v>-199875.20207088435</v>
      </c>
    </row>
    <row r="6" spans="2:44">
      <c r="B6" s="221" t="s">
        <v>431</v>
      </c>
      <c r="C6" s="233">
        <v>42200</v>
      </c>
      <c r="D6" s="233"/>
      <c r="F6" s="224" t="s">
        <v>33</v>
      </c>
      <c r="G6" s="227">
        <f>_xll.mirGetDate($C$6,F6)</f>
        <v>44027</v>
      </c>
      <c r="H6" s="228">
        <f>'JPY Curve Config'!AO13</f>
        <v>2.8249999999999998E-3</v>
      </c>
      <c r="I6" s="229">
        <f ca="1">IF(NOW(),_xll.mirGetParRate4($C$6,F6,$C$7,$C$16,$C$17,$C$18,$C$19,$C$20,$C$21,$C$22,$C$26,$C$27,$D$16,$D$17,$D$18,$D$19,$D$20,$D$21,$D$22,$D$23,$D$24,$D$25,$D$26,$D$27,$C$8,$C$9,$C$10,$C$11,$C$12),"")</f>
        <v>2.8250005005668005E-3</v>
      </c>
      <c r="J6" s="229">
        <f t="shared" ca="1" si="2"/>
        <v>5.0056680068327752E-10</v>
      </c>
      <c r="K6" s="230">
        <f t="shared" ca="1" si="3"/>
        <v>5.0056680068327752E-6</v>
      </c>
      <c r="L6" s="230" t="s">
        <v>12</v>
      </c>
      <c r="M6" s="224" t="s">
        <v>33</v>
      </c>
      <c r="N6" s="255">
        <f ca="1">IF(NOW(),_xll.mirSwapPV($C$3,$C$4,$C$6,$G6,$C$7,$I6+N$3,$C$16,$C$17,$C$18,$C$19,$C$20,$C$21,$C$22,$C$26,$C$27,$D$15,$D$16,$D$17,$D$18,$D$19,$D$20,$D$21,$D$22,$D$23,$D$24,$D$25,$D$26,$D$27,$C$8,$C$9,$C$10,$C$11,$C$12),"")</f>
        <v>249500.07077146322</v>
      </c>
      <c r="O6" s="255">
        <f ca="1">IF(NOW(),_xll.mirSwapPV($C$3,$C$4,$C$6,$G6,$C$7,$I6+O$3,$C$16,$C$17,$C$18,$C$19,$C$20,$C$21,$C$22,$C$26,$C$27,$D$15,$D$16,$D$17,$D$18,$D$19,$D$20,$D$21,$D$22,$D$23,$D$24,$D$25,$D$26,$D$27,$C$8,$C$9,$C$10,$C$11,$C$12),"")</f>
        <v>199600.05661717057</v>
      </c>
      <c r="P6" s="255">
        <f ca="1">IF(NOW(),_xll.mirSwapPV($C$3,$C$4,$C$6,$G6,$C$7,$I6+P$3,$C$16,$C$17,$C$18,$C$19,$C$20,$C$21,$C$22,$C$26,$C$27,$D$15,$D$16,$D$17,$D$18,$D$19,$D$20,$D$21,$D$22,$D$23,$D$24,$D$25,$D$26,$D$27,$C$8,$C$9,$C$10,$C$11,$C$12),"")</f>
        <v>149700.04246287787</v>
      </c>
      <c r="Q6" s="255">
        <f ca="1">IF(NOW(),_xll.mirSwapPV($C$3,$C$4,$C$6,$G6,$C$7,$I6+Q$3,$C$16,$C$17,$C$18,$C$19,$C$20,$C$21,$C$22,$C$26,$C$27,$D$15,$D$16,$D$17,$D$18,$D$19,$D$20,$D$21,$D$22,$D$23,$D$24,$D$25,$D$26,$D$27,$C$8,$C$9,$C$10,$C$11,$C$12),"")</f>
        <v>99800.028308585257</v>
      </c>
      <c r="R6" s="255">
        <f ca="1">IF(NOW(),_xll.mirSwapPV($C$3,$C$4,$C$6,$G6,$C$7,$I6+R$3,$C$16,$C$17,$C$18,$C$19,$C$20,$C$21,$C$22,$C$26,$C$27,$D$15,$D$16,$D$17,$D$18,$D$19,$D$20,$D$21,$D$22,$D$23,$D$24,$D$25,$D$26,$D$27,$C$8,$C$9,$C$10,$C$11,$C$12),"")</f>
        <v>49900.014154292621</v>
      </c>
      <c r="S6" s="255">
        <f ca="1">IF(NOW(),_xll.mirSwapPV($C$3,$C$4,$C$6,$G6,$C$7,$I6+S$3,$C$16,$C$17,$C$18,$C$19,$C$20,$C$21,$C$22,$C$26,$C$27,$D$15,$D$16,$D$17,$D$18,$D$19,$D$20,$D$21,$D$22,$D$23,$D$24,$D$25,$D$26,$D$27,$C$8,$C$9,$C$10,$C$11,$C$12),"")</f>
        <v>0</v>
      </c>
      <c r="T6" s="255">
        <f ca="1">IF(NOW(),_xll.mirSwapPV($C$3,$C$4,$C$6,$G6,$C$7,$I6+T$3,$C$16,$C$17,$C$18,$C$19,$C$20,$C$21,$C$22,$C$26,$C$27,$D$15,$D$16,$D$17,$D$18,$D$19,$D$20,$D$21,$D$22,$D$23,$D$24,$D$25,$D$26,$D$27,$C$8,$C$9,$C$10,$C$11,$C$12),"")</f>
        <v>-49900.014154292643</v>
      </c>
      <c r="U6" s="255">
        <f ca="1">IF(NOW(),_xll.mirSwapPV($C$3,$C$4,$C$6,$G6,$C$7,$I6+U$3,$C$16,$C$17,$C$18,$C$19,$C$20,$C$21,$C$22,$C$26,$C$27,$D$15,$D$16,$D$17,$D$18,$D$19,$D$20,$D$21,$D$22,$D$23,$D$24,$D$25,$D$26,$D$27,$C$8,$C$9,$C$10,$C$11,$C$12),"")</f>
        <v>-99800.028308585286</v>
      </c>
      <c r="V6" s="255">
        <f ca="1">IF(NOW(),_xll.mirSwapPV($C$3,$C$4,$C$6,$G6,$C$7,$I6+V$3,$C$16,$C$17,$C$18,$C$19,$C$20,$C$21,$C$22,$C$26,$C$27,$D$15,$D$16,$D$17,$D$18,$D$19,$D$20,$D$21,$D$22,$D$23,$D$24,$D$25,$D$26,$D$27,$C$8,$C$9,$C$10,$C$11,$C$12),"")</f>
        <v>-149700.0424628779</v>
      </c>
      <c r="W6" s="255">
        <f ca="1">IF(NOW(),_xll.mirSwapPV($C$3,$C$4,$C$6,$G6,$C$7,$I6+W$3,$C$16,$C$17,$C$18,$C$19,$C$20,$C$21,$C$22,$C$26,$C$27,$D$15,$D$16,$D$17,$D$18,$D$19,$D$20,$D$21,$D$22,$D$23,$D$24,$D$25,$D$26,$D$27,$C$8,$C$9,$C$10,$C$11,$C$12),"")</f>
        <v>-199600.05661717057</v>
      </c>
      <c r="X6" s="255">
        <f ca="1">IF(NOW(),_xll.mirSwapPV($C$3,$C$4,$C$6,$G6,$C$7,$I6+X$3,$C$16,$C$17,$C$18,$C$19,$C$20,$C$21,$C$22,$C$26,$C$27,$D$15,$D$16,$D$17,$D$18,$D$19,$D$20,$D$21,$D$22,$D$23,$D$24,$D$25,$D$26,$D$27,$C$8,$C$9,$C$10,$C$11,$C$12),"")</f>
        <v>-249500.07077146322</v>
      </c>
      <c r="Y6" s="230" t="s">
        <v>12</v>
      </c>
      <c r="Z6" s="224" t="s">
        <v>33</v>
      </c>
      <c r="AA6" s="227">
        <f>_xll.mirGetDate($C$6,Z6)</f>
        <v>44027</v>
      </c>
      <c r="AB6" s="228">
        <f t="shared" si="6"/>
        <v>2.8249999999999998E-3</v>
      </c>
      <c r="AC6" s="229">
        <f ca="1">IF(NOW(),_xll.mirGetParRate4($C$6,Z6,$C$7,$C$16,$C$17,$C$18,$C$19,$C$20,$C$21,$C$22,$C$26,$C$27,$D$16,$D$17,$D$18,$D$19,$D$20,$D$21,$D$22,$D$23,$D$24,$D$25,$D$26,$D$27,$C$8,$C$9,$C$10,$D$11,$C$12),"")</f>
        <v>2.8250005005668378E-3</v>
      </c>
      <c r="AD6" s="229">
        <f t="shared" ca="1" si="4"/>
        <v>5.0056683797983226E-10</v>
      </c>
      <c r="AE6" s="230">
        <f t="shared" ca="1" si="5"/>
        <v>5.0056683797983226E-6</v>
      </c>
      <c r="AG6" s="224" t="s">
        <v>33</v>
      </c>
      <c r="AH6" s="255">
        <f ca="1">IF(NOW(),_xll.mirSwapPV($C$3,$C$4,$C$6,$G6,$C$7,$I6+AH$3,$C$16,$C$17,$C$18,$C$19,$C$20,$C$21,$C$22,$C$26,$C$27,$D$15,$D$16,$D$17,$D$18,$D$19,$D$20,$D$21,$D$22,$D$23,$D$24,$D$25,$D$26,$D$27,$C$8,$C$9,$C$10,$D$11,$C$12),"")</f>
        <v>249500.07077146342</v>
      </c>
      <c r="AI6" s="255">
        <f ca="1">IF(NOW(),_xll.mirSwapPV($C$3,$C$4,$C$6,$G6,$C$7,$I6+AI$3,$C$16,$C$17,$C$18,$C$19,$C$20,$C$21,$C$22,$C$26,$C$27,$D$15,$D$16,$D$17,$D$18,$D$19,$D$20,$D$21,$D$22,$D$23,$D$24,$D$25,$D$26,$D$27,$C$8,$C$9,$C$10,$D$11,$C$12),"")</f>
        <v>199600.05661717075</v>
      </c>
      <c r="AJ6" s="255">
        <f ca="1">IF(NOW(),_xll.mirSwapPV($C$3,$C$4,$C$6,$G6,$C$7,$I6+AJ$3,$C$16,$C$17,$C$18,$C$19,$C$20,$C$21,$C$22,$C$26,$C$27,$D$15,$D$16,$D$17,$D$18,$D$19,$D$20,$D$21,$D$22,$D$23,$D$24,$D$25,$D$26,$D$27,$C$8,$C$9,$C$10,$D$11,$C$12),"")</f>
        <v>149700.04246287807</v>
      </c>
      <c r="AK6" s="255">
        <f ca="1">IF(NOW(),_xll.mirSwapPV($C$3,$C$4,$C$6,$G6,$C$7,$I6+AK$3,$C$16,$C$17,$C$18,$C$19,$C$20,$C$21,$C$22,$C$26,$C$27,$D$15,$D$16,$D$17,$D$18,$D$19,$D$20,$D$21,$D$22,$D$23,$D$24,$D$25,$D$26,$D$27,$C$8,$C$9,$C$10,$D$11,$C$12),"")</f>
        <v>99800.028308585432</v>
      </c>
      <c r="AL6" s="255">
        <f ca="1">IF(NOW(),_xll.mirSwapPV($C$3,$C$4,$C$6,$G6,$C$7,$I6+AL$3,$C$16,$C$17,$C$18,$C$19,$C$20,$C$21,$C$22,$C$26,$C$27,$D$15,$D$16,$D$17,$D$18,$D$19,$D$20,$D$21,$D$22,$D$23,$D$24,$D$25,$D$26,$D$27,$C$8,$C$9,$C$10,$D$11,$C$12),"")</f>
        <v>49900.01415429281</v>
      </c>
      <c r="AM6" s="255">
        <f ca="1">IF(NOW(),_xll.mirSwapPV($C$3,$C$4,$C$6,$G6,$C$7,$I6+AM$3,$C$16,$C$17,$C$18,$C$19,$C$20,$C$21,$C$22,$C$26,$C$27,$D$15,$D$16,$D$17,$D$18,$D$19,$D$20,$D$21,$D$22,$D$23,$D$24,$D$25,$D$26,$D$27,$C$8,$C$9,$C$10,$D$11,$C$12),"")</f>
        <v>1.8561541192951836E-10</v>
      </c>
      <c r="AN6" s="255">
        <f ca="1">IF(NOW(),_xll.mirSwapPV($C$3,$C$4,$C$6,$G6,$C$7,$I6+AN$3,$C$16,$C$17,$C$18,$C$19,$C$20,$C$21,$C$22,$C$26,$C$27,$D$15,$D$16,$D$17,$D$18,$D$19,$D$20,$D$21,$D$22,$D$23,$D$24,$D$25,$D$26,$D$27,$C$8,$C$9,$C$10,$D$11,$C$12),"")</f>
        <v>-49900.014154292461</v>
      </c>
      <c r="AO6" s="255">
        <f ca="1">IF(NOW(),_xll.mirSwapPV($C$3,$C$4,$C$6,$G6,$C$7,$I6+AO$3,$C$16,$C$17,$C$18,$C$19,$C$20,$C$21,$C$22,$C$26,$C$27,$D$15,$D$16,$D$17,$D$18,$D$19,$D$20,$D$21,$D$22,$D$23,$D$24,$D$25,$D$26,$D$27,$C$8,$C$9,$C$10,$D$11,$C$12),"")</f>
        <v>-99800.028308585097</v>
      </c>
      <c r="AP6" s="255">
        <f ca="1">IF(NOW(),_xll.mirSwapPV($C$3,$C$4,$C$6,$G6,$C$7,$I6+AP$3,$C$16,$C$17,$C$18,$C$19,$C$20,$C$21,$C$22,$C$26,$C$27,$D$15,$D$16,$D$17,$D$18,$D$19,$D$20,$D$21,$D$22,$D$23,$D$24,$D$25,$D$26,$D$27,$C$8,$C$9,$C$10,$D$11,$C$12),"")</f>
        <v>-149700.04246287773</v>
      </c>
      <c r="AQ6" s="255">
        <f ca="1">IF(NOW(),_xll.mirSwapPV($C$3,$C$4,$C$6,$G6,$C$7,$I6+AQ$3,$C$16,$C$17,$C$18,$C$19,$C$20,$C$21,$C$22,$C$26,$C$27,$D$15,$D$16,$D$17,$D$18,$D$19,$D$20,$D$21,$D$22,$D$23,$D$24,$D$25,$D$26,$D$27,$C$8,$C$9,$C$10,$D$11,$C$12),"")</f>
        <v>-199600.05661717037</v>
      </c>
      <c r="AR6" s="255">
        <f ca="1">IF(NOW(),_xll.mirSwapPV($C$3,$C$4,$C$6,$G6,$C$7,$I6+AR$3,$C$16,$C$17,$C$18,$C$19,$C$20,$C$21,$C$22,$C$26,$C$27,$D$15,$D$16,$D$17,$D$18,$D$19,$D$20,$D$21,$D$22,$D$23,$D$24,$D$25,$D$26,$D$27,$C$8,$C$9,$C$10,$D$11,$C$12),"")</f>
        <v>-249500.07077146301</v>
      </c>
    </row>
    <row r="7" spans="2:44">
      <c r="B7" s="234" t="s">
        <v>432</v>
      </c>
      <c r="C7" s="235" t="s">
        <v>333</v>
      </c>
      <c r="D7" s="235"/>
      <c r="F7" s="224" t="s">
        <v>131</v>
      </c>
      <c r="G7" s="227">
        <f>_xll.mirGetDate($C$6,F7)</f>
        <v>44392</v>
      </c>
      <c r="H7" s="228">
        <f>'JPY Curve Config'!AO14</f>
        <v>3.5049999999999999E-3</v>
      </c>
      <c r="I7" s="229">
        <f ca="1">IF(NOW(),_xll.mirGetParRate4($C$6,F7,$C$7,$C$16,$C$17,$C$18,$C$19,$C$20,$C$21,$C$22,$C$26,$C$27,$D$16,$D$17,$D$18,$D$19,$D$20,$D$21,$D$22,$D$23,$D$24,$D$25,$D$26,$D$27,$C$8,$C$9,$C$10,$C$11,$C$12),"")</f>
        <v>3.5049989304662943E-3</v>
      </c>
      <c r="J7" s="229">
        <f t="shared" ca="1" si="2"/>
        <v>-1.0695337055235954E-9</v>
      </c>
      <c r="K7" s="230">
        <f t="shared" ca="1" si="3"/>
        <v>-1.0695337055235954E-5</v>
      </c>
      <c r="L7" s="230" t="s">
        <v>12</v>
      </c>
      <c r="M7" s="224" t="s">
        <v>131</v>
      </c>
      <c r="N7" s="255">
        <f ca="1">IF(NOW(),_xll.mirSwapPV($C$3,$C$4,$C$6,$G7,$C$7,$I7+N$3,$C$16,$C$17,$C$18,$C$19,$C$20,$C$21,$C$22,$C$26,$C$27,$D$15,$D$16,$D$17,$D$18,$D$19,$D$20,$D$21,$D$22,$D$23,$D$24,$D$25,$D$26,$D$27,$C$8,$C$9,$C$10,$C$11,$C$12),"")</f>
        <v>298872.69664936647</v>
      </c>
      <c r="O7" s="255">
        <f ca="1">IF(NOW(),_xll.mirSwapPV($C$3,$C$4,$C$6,$G7,$C$7,$I7+O$3,$C$16,$C$17,$C$18,$C$19,$C$20,$C$21,$C$22,$C$26,$C$27,$D$15,$D$16,$D$17,$D$18,$D$19,$D$20,$D$21,$D$22,$D$23,$D$24,$D$25,$D$26,$D$27,$C$8,$C$9,$C$10,$C$11,$C$12),"")</f>
        <v>239098.15731949316</v>
      </c>
      <c r="P7" s="255">
        <f ca="1">IF(NOW(),_xll.mirSwapPV($C$3,$C$4,$C$6,$G7,$C$7,$I7+P$3,$C$16,$C$17,$C$18,$C$19,$C$20,$C$21,$C$22,$C$26,$C$27,$D$15,$D$16,$D$17,$D$18,$D$19,$D$20,$D$21,$D$22,$D$23,$D$24,$D$25,$D$26,$D$27,$C$8,$C$9,$C$10,$C$11,$C$12),"")</f>
        <v>179323.61798961987</v>
      </c>
      <c r="Q7" s="255">
        <f ca="1">IF(NOW(),_xll.mirSwapPV($C$3,$C$4,$C$6,$G7,$C$7,$I7+Q$3,$C$16,$C$17,$C$18,$C$19,$C$20,$C$21,$C$22,$C$26,$C$27,$D$15,$D$16,$D$17,$D$18,$D$19,$D$20,$D$21,$D$22,$D$23,$D$24,$D$25,$D$26,$D$27,$C$8,$C$9,$C$10,$C$11,$C$12),"")</f>
        <v>119549.07865974656</v>
      </c>
      <c r="R7" s="255">
        <f ca="1">IF(NOW(),_xll.mirSwapPV($C$3,$C$4,$C$6,$G7,$C$7,$I7+R$3,$C$16,$C$17,$C$18,$C$19,$C$20,$C$21,$C$22,$C$26,$C$27,$D$15,$D$16,$D$17,$D$18,$D$19,$D$20,$D$21,$D$22,$D$23,$D$24,$D$25,$D$26,$D$27,$C$8,$C$9,$C$10,$C$11,$C$12),"")</f>
        <v>59774.539329873267</v>
      </c>
      <c r="S7" s="255">
        <f ca="1">IF(NOW(),_xll.mirSwapPV($C$3,$C$4,$C$6,$G7,$C$7,$I7+S$3,$C$16,$C$17,$C$18,$C$19,$C$20,$C$21,$C$22,$C$26,$C$27,$D$15,$D$16,$D$17,$D$18,$D$19,$D$20,$D$21,$D$22,$D$23,$D$24,$D$25,$D$26,$D$27,$C$8,$C$9,$C$10,$C$11,$C$12),"")</f>
        <v>0</v>
      </c>
      <c r="T7" s="255">
        <f ca="1">IF(NOW(),_xll.mirSwapPV($C$3,$C$4,$C$6,$G7,$C$7,$I7+T$3,$C$16,$C$17,$C$18,$C$19,$C$20,$C$21,$C$22,$C$26,$C$27,$D$15,$D$16,$D$17,$D$18,$D$19,$D$20,$D$21,$D$22,$D$23,$D$24,$D$25,$D$26,$D$27,$C$8,$C$9,$C$10,$C$11,$C$12),"")</f>
        <v>-59774.539329873282</v>
      </c>
      <c r="U7" s="255">
        <f ca="1">IF(NOW(),_xll.mirSwapPV($C$3,$C$4,$C$6,$G7,$C$7,$I7+U$3,$C$16,$C$17,$C$18,$C$19,$C$20,$C$21,$C$22,$C$26,$C$27,$D$15,$D$16,$D$17,$D$18,$D$19,$D$20,$D$21,$D$22,$D$23,$D$24,$D$25,$D$26,$D$27,$C$8,$C$9,$C$10,$C$11,$C$12),"")</f>
        <v>-119549.07865974656</v>
      </c>
      <c r="V7" s="255">
        <f ca="1">IF(NOW(),_xll.mirSwapPV($C$3,$C$4,$C$6,$G7,$C$7,$I7+V$3,$C$16,$C$17,$C$18,$C$19,$C$20,$C$21,$C$22,$C$26,$C$27,$D$15,$D$16,$D$17,$D$18,$D$19,$D$20,$D$21,$D$22,$D$23,$D$24,$D$25,$D$26,$D$27,$C$8,$C$9,$C$10,$C$11,$C$12),"")</f>
        <v>-179323.61798961987</v>
      </c>
      <c r="W7" s="255">
        <f ca="1">IF(NOW(),_xll.mirSwapPV($C$3,$C$4,$C$6,$G7,$C$7,$I7+W$3,$C$16,$C$17,$C$18,$C$19,$C$20,$C$21,$C$22,$C$26,$C$27,$D$15,$D$16,$D$17,$D$18,$D$19,$D$20,$D$21,$D$22,$D$23,$D$24,$D$25,$D$26,$D$27,$C$8,$C$9,$C$10,$C$11,$C$12),"")</f>
        <v>-239098.15731949318</v>
      </c>
      <c r="X7" s="255">
        <f ca="1">IF(NOW(),_xll.mirSwapPV($C$3,$C$4,$C$6,$G7,$C$7,$I7+X$3,$C$16,$C$17,$C$18,$C$19,$C$20,$C$21,$C$22,$C$26,$C$27,$D$15,$D$16,$D$17,$D$18,$D$19,$D$20,$D$21,$D$22,$D$23,$D$24,$D$25,$D$26,$D$27,$C$8,$C$9,$C$10,$C$11,$C$12),"")</f>
        <v>-298872.69664936647</v>
      </c>
      <c r="Y7" s="230" t="s">
        <v>12</v>
      </c>
      <c r="Z7" s="224" t="s">
        <v>131</v>
      </c>
      <c r="AA7" s="227">
        <f>_xll.mirGetDate($C$6,Z7)</f>
        <v>44392</v>
      </c>
      <c r="AB7" s="228">
        <f t="shared" si="6"/>
        <v>3.5049999999999999E-3</v>
      </c>
      <c r="AC7" s="229">
        <f ca="1">IF(NOW(),_xll.mirGetParRate4($C$6,Z7,$C$7,$C$16,$C$17,$C$18,$C$19,$C$20,$C$21,$C$22,$C$26,$C$27,$D$16,$D$17,$D$18,$D$19,$D$20,$D$21,$D$22,$D$23,$D$24,$D$25,$D$26,$D$27,$C$8,$C$9,$C$10,$D$11,$C$12),"")</f>
        <v>3.504998930466303E-3</v>
      </c>
      <c r="AD7" s="229">
        <f t="shared" ca="1" si="4"/>
        <v>-1.069533696849978E-9</v>
      </c>
      <c r="AE7" s="230">
        <f t="shared" ca="1" si="5"/>
        <v>-1.069533696849978E-5</v>
      </c>
      <c r="AG7" s="224" t="s">
        <v>131</v>
      </c>
      <c r="AH7" s="255">
        <f ca="1">IF(NOW(),_xll.mirSwapPV($C$3,$C$4,$C$6,$G7,$C$7,$I7+AH$3,$C$16,$C$17,$C$18,$C$19,$C$20,$C$21,$C$22,$C$26,$C$27,$D$15,$D$16,$D$17,$D$18,$D$19,$D$20,$D$21,$D$22,$D$23,$D$24,$D$25,$D$26,$D$27,$C$8,$C$9,$C$10,$D$11,$C$12),"")</f>
        <v>298872.69664936652</v>
      </c>
      <c r="AI7" s="255">
        <f ca="1">IF(NOW(),_xll.mirSwapPV($C$3,$C$4,$C$6,$G7,$C$7,$I7+AI$3,$C$16,$C$17,$C$18,$C$19,$C$20,$C$21,$C$22,$C$26,$C$27,$D$15,$D$16,$D$17,$D$18,$D$19,$D$20,$D$21,$D$22,$D$23,$D$24,$D$25,$D$26,$D$27,$C$8,$C$9,$C$10,$D$11,$C$12),"")</f>
        <v>239098.15731949321</v>
      </c>
      <c r="AJ7" s="255">
        <f ca="1">IF(NOW(),_xll.mirSwapPV($C$3,$C$4,$C$6,$G7,$C$7,$I7+AJ$3,$C$16,$C$17,$C$18,$C$19,$C$20,$C$21,$C$22,$C$26,$C$27,$D$15,$D$16,$D$17,$D$18,$D$19,$D$20,$D$21,$D$22,$D$23,$D$24,$D$25,$D$26,$D$27,$C$8,$C$9,$C$10,$D$11,$C$12),"")</f>
        <v>179323.61798961993</v>
      </c>
      <c r="AK7" s="255">
        <f ca="1">IF(NOW(),_xll.mirSwapPV($C$3,$C$4,$C$6,$G7,$C$7,$I7+AK$3,$C$16,$C$17,$C$18,$C$19,$C$20,$C$21,$C$22,$C$26,$C$27,$D$15,$D$16,$D$17,$D$18,$D$19,$D$20,$D$21,$D$22,$D$23,$D$24,$D$25,$D$26,$D$27,$C$8,$C$9,$C$10,$D$11,$C$12),"")</f>
        <v>119549.07865974662</v>
      </c>
      <c r="AL7" s="255">
        <f ca="1">IF(NOW(),_xll.mirSwapPV($C$3,$C$4,$C$6,$G7,$C$7,$I7+AL$3,$C$16,$C$17,$C$18,$C$19,$C$20,$C$21,$C$22,$C$26,$C$27,$D$15,$D$16,$D$17,$D$18,$D$19,$D$20,$D$21,$D$22,$D$23,$D$24,$D$25,$D$26,$D$27,$C$8,$C$9,$C$10,$D$11,$C$12),"")</f>
        <v>59774.539329873318</v>
      </c>
      <c r="AM7" s="255">
        <f ca="1">IF(NOW(),_xll.mirSwapPV($C$3,$C$4,$C$6,$G7,$C$7,$I7+AM$3,$C$16,$C$17,$C$18,$C$19,$C$20,$C$21,$C$22,$C$26,$C$27,$D$15,$D$16,$D$17,$D$18,$D$19,$D$20,$D$21,$D$22,$D$23,$D$24,$D$25,$D$26,$D$27,$C$8,$C$9,$C$10,$D$11,$C$12),"")</f>
        <v>5.2041704279304213E-11</v>
      </c>
      <c r="AN7" s="255">
        <f ca="1">IF(NOW(),_xll.mirSwapPV($C$3,$C$4,$C$6,$G7,$C$7,$I7+AN$3,$C$16,$C$17,$C$18,$C$19,$C$20,$C$21,$C$22,$C$26,$C$27,$D$15,$D$16,$D$17,$D$18,$D$19,$D$20,$D$21,$D$22,$D$23,$D$24,$D$25,$D$26,$D$27,$C$8,$C$9,$C$10,$D$11,$C$12),"")</f>
        <v>-59774.539329873238</v>
      </c>
      <c r="AO7" s="255">
        <f ca="1">IF(NOW(),_xll.mirSwapPV($C$3,$C$4,$C$6,$G7,$C$7,$I7+AO$3,$C$16,$C$17,$C$18,$C$19,$C$20,$C$21,$C$22,$C$26,$C$27,$D$15,$D$16,$D$17,$D$18,$D$19,$D$20,$D$21,$D$22,$D$23,$D$24,$D$25,$D$26,$D$27,$C$8,$C$9,$C$10,$D$11,$C$12),"")</f>
        <v>-119549.0786597465</v>
      </c>
      <c r="AP7" s="255">
        <f ca="1">IF(NOW(),_xll.mirSwapPV($C$3,$C$4,$C$6,$G7,$C$7,$I7+AP$3,$C$16,$C$17,$C$18,$C$19,$C$20,$C$21,$C$22,$C$26,$C$27,$D$15,$D$16,$D$17,$D$18,$D$19,$D$20,$D$21,$D$22,$D$23,$D$24,$D$25,$D$26,$D$27,$C$8,$C$9,$C$10,$D$11,$C$12),"")</f>
        <v>-179323.61798961982</v>
      </c>
      <c r="AQ7" s="255">
        <f ca="1">IF(NOW(),_xll.mirSwapPV($C$3,$C$4,$C$6,$G7,$C$7,$I7+AQ$3,$C$16,$C$17,$C$18,$C$19,$C$20,$C$21,$C$22,$C$26,$C$27,$D$15,$D$16,$D$17,$D$18,$D$19,$D$20,$D$21,$D$22,$D$23,$D$24,$D$25,$D$26,$D$27,$C$8,$C$9,$C$10,$D$11,$C$12),"")</f>
        <v>-239098.15731949313</v>
      </c>
      <c r="AR7" s="255">
        <f ca="1">IF(NOW(),_xll.mirSwapPV($C$3,$C$4,$C$6,$G7,$C$7,$I7+AR$3,$C$16,$C$17,$C$18,$C$19,$C$20,$C$21,$C$22,$C$26,$C$27,$D$15,$D$16,$D$17,$D$18,$D$19,$D$20,$D$21,$D$22,$D$23,$D$24,$D$25,$D$26,$D$27,$C$8,$C$9,$C$10,$D$11,$C$12),"")</f>
        <v>-298872.69664936641</v>
      </c>
    </row>
    <row r="8" spans="2:44">
      <c r="B8" s="234" t="s">
        <v>4</v>
      </c>
      <c r="C8" s="235" t="s">
        <v>433</v>
      </c>
      <c r="D8" s="235"/>
      <c r="F8" s="224" t="s">
        <v>31</v>
      </c>
      <c r="G8" s="227">
        <f>_xll.mirGetDate($C$6,F8)</f>
        <v>44757</v>
      </c>
      <c r="H8" s="228">
        <f>'JPY Curve Config'!AO15</f>
        <v>4.215E-3</v>
      </c>
      <c r="I8" s="229">
        <f ca="1">IF(NOW(),_xll.mirGetParRate4($C$6,F8,$C$7,$C$16,$C$17,$C$18,$C$19,$C$20,$C$21,$C$22,$C$26,$C$27,$D$16,$D$17,$D$18,$D$19,$D$20,$D$21,$D$22,$D$23,$D$24,$D$25,$D$26,$D$27,$C$8,$C$9,$C$10,$C$11,$C$12),"")</f>
        <v>4.2150004831117633E-3</v>
      </c>
      <c r="J8" s="229">
        <f t="shared" ca="1" si="2"/>
        <v>4.8311176326781835E-10</v>
      </c>
      <c r="K8" s="230">
        <f t="shared" ca="1" si="3"/>
        <v>4.8311176326781835E-6</v>
      </c>
      <c r="L8" s="230" t="s">
        <v>12</v>
      </c>
      <c r="M8" s="224" t="s">
        <v>31</v>
      </c>
      <c r="N8" s="255">
        <f ca="1">IF(NOW(),_xll.mirSwapPV($C$3,$C$4,$C$6,$G8,$C$7,$I8+N$3,$C$16,$C$17,$C$18,$C$19,$C$20,$C$21,$C$22,$C$26,$C$27,$D$15,$D$16,$D$17,$D$18,$D$19,$D$20,$D$21,$D$22,$D$23,$D$24,$D$25,$D$26,$D$27,$C$8,$C$9,$C$10,$C$11,$C$12),"")</f>
        <v>347927.2637247782</v>
      </c>
      <c r="O8" s="255">
        <f ca="1">IF(NOW(),_xll.mirSwapPV($C$3,$C$4,$C$6,$G8,$C$7,$I8+O$3,$C$16,$C$17,$C$18,$C$19,$C$20,$C$21,$C$22,$C$26,$C$27,$D$15,$D$16,$D$17,$D$18,$D$19,$D$20,$D$21,$D$22,$D$23,$D$24,$D$25,$D$26,$D$27,$C$8,$C$9,$C$10,$C$11,$C$12),"")</f>
        <v>278341.81097982253</v>
      </c>
      <c r="P8" s="255">
        <f ca="1">IF(NOW(),_xll.mirSwapPV($C$3,$C$4,$C$6,$G8,$C$7,$I8+P$3,$C$16,$C$17,$C$18,$C$19,$C$20,$C$21,$C$22,$C$26,$C$27,$D$15,$D$16,$D$17,$D$18,$D$19,$D$20,$D$21,$D$22,$D$23,$D$24,$D$25,$D$26,$D$27,$C$8,$C$9,$C$10,$C$11,$C$12),"")</f>
        <v>208756.3582348669</v>
      </c>
      <c r="Q8" s="255">
        <f ca="1">IF(NOW(),_xll.mirSwapPV($C$3,$C$4,$C$6,$G8,$C$7,$I8+Q$3,$C$16,$C$17,$C$18,$C$19,$C$20,$C$21,$C$22,$C$26,$C$27,$D$15,$D$16,$D$17,$D$18,$D$19,$D$20,$D$21,$D$22,$D$23,$D$24,$D$25,$D$26,$D$27,$C$8,$C$9,$C$10,$C$11,$C$12),"")</f>
        <v>139170.90548991124</v>
      </c>
      <c r="R8" s="255">
        <f ca="1">IF(NOW(),_xll.mirSwapPV($C$3,$C$4,$C$6,$G8,$C$7,$I8+R$3,$C$16,$C$17,$C$18,$C$19,$C$20,$C$21,$C$22,$C$26,$C$27,$D$15,$D$16,$D$17,$D$18,$D$19,$D$20,$D$21,$D$22,$D$23,$D$24,$D$25,$D$26,$D$27,$C$8,$C$9,$C$10,$C$11,$C$12),"")</f>
        <v>69585.452744955604</v>
      </c>
      <c r="S8" s="255">
        <f ca="1">IF(NOW(),_xll.mirSwapPV($C$3,$C$4,$C$6,$G8,$C$7,$I8+S$3,$C$16,$C$17,$C$18,$C$19,$C$20,$C$21,$C$22,$C$26,$C$27,$D$15,$D$16,$D$17,$D$18,$D$19,$D$20,$D$21,$D$22,$D$23,$D$24,$D$25,$D$26,$D$27,$C$8,$C$9,$C$10,$C$11,$C$12),"")</f>
        <v>0</v>
      </c>
      <c r="T8" s="255">
        <f ca="1">IF(NOW(),_xll.mirSwapPV($C$3,$C$4,$C$6,$G8,$C$7,$I8+T$3,$C$16,$C$17,$C$18,$C$19,$C$20,$C$21,$C$22,$C$26,$C$27,$D$15,$D$16,$D$17,$D$18,$D$19,$D$20,$D$21,$D$22,$D$23,$D$24,$D$25,$D$26,$D$27,$C$8,$C$9,$C$10,$C$11,$C$12),"")</f>
        <v>-69585.452744955634</v>
      </c>
      <c r="U8" s="255">
        <f ca="1">IF(NOW(),_xll.mirSwapPV($C$3,$C$4,$C$6,$G8,$C$7,$I8+U$3,$C$16,$C$17,$C$18,$C$19,$C$20,$C$21,$C$22,$C$26,$C$27,$D$15,$D$16,$D$17,$D$18,$D$19,$D$20,$D$21,$D$22,$D$23,$D$24,$D$25,$D$26,$D$27,$C$8,$C$9,$C$10,$C$11,$C$12),"")</f>
        <v>-139170.90548991127</v>
      </c>
      <c r="V8" s="255">
        <f ca="1">IF(NOW(),_xll.mirSwapPV($C$3,$C$4,$C$6,$G8,$C$7,$I8+V$3,$C$16,$C$17,$C$18,$C$19,$C$20,$C$21,$C$22,$C$26,$C$27,$D$15,$D$16,$D$17,$D$18,$D$19,$D$20,$D$21,$D$22,$D$23,$D$24,$D$25,$D$26,$D$27,$C$8,$C$9,$C$10,$C$11,$C$12),"")</f>
        <v>-208756.35823486687</v>
      </c>
      <c r="W8" s="255">
        <f ca="1">IF(NOW(),_xll.mirSwapPV($C$3,$C$4,$C$6,$G8,$C$7,$I8+W$3,$C$16,$C$17,$C$18,$C$19,$C$20,$C$21,$C$22,$C$26,$C$27,$D$15,$D$16,$D$17,$D$18,$D$19,$D$20,$D$21,$D$22,$D$23,$D$24,$D$25,$D$26,$D$27,$C$8,$C$9,$C$10,$C$11,$C$12),"")</f>
        <v>-278341.81097982253</v>
      </c>
      <c r="X8" s="255">
        <f ca="1">IF(NOW(),_xll.mirSwapPV($C$3,$C$4,$C$6,$G8,$C$7,$I8+X$3,$C$16,$C$17,$C$18,$C$19,$C$20,$C$21,$C$22,$C$26,$C$27,$D$15,$D$16,$D$17,$D$18,$D$19,$D$20,$D$21,$D$22,$D$23,$D$24,$D$25,$D$26,$D$27,$C$8,$C$9,$C$10,$C$11,$C$12),"")</f>
        <v>-347927.2637247782</v>
      </c>
      <c r="Y8" s="230" t="s">
        <v>12</v>
      </c>
      <c r="Z8" s="224" t="s">
        <v>31</v>
      </c>
      <c r="AA8" s="227">
        <f>_xll.mirGetDate($C$6,Z8)</f>
        <v>44757</v>
      </c>
      <c r="AB8" s="228">
        <f t="shared" si="6"/>
        <v>4.215E-3</v>
      </c>
      <c r="AC8" s="229">
        <f ca="1">IF(NOW(),_xll.mirGetParRate4($C$6,Z8,$C$7,$C$16,$C$17,$C$18,$C$19,$C$20,$C$21,$C$22,$C$26,$C$27,$D$16,$D$17,$D$18,$D$19,$D$20,$D$21,$D$22,$D$23,$D$24,$D$25,$D$26,$D$27,$C$8,$C$9,$C$10,$D$11,$C$12),"")</f>
        <v>4.2150004831117685E-3</v>
      </c>
      <c r="AD8" s="229">
        <f t="shared" ca="1" si="4"/>
        <v>4.8311176847198878E-10</v>
      </c>
      <c r="AE8" s="230">
        <f t="shared" ca="1" si="5"/>
        <v>4.8311176847198878E-6</v>
      </c>
      <c r="AG8" s="224" t="s">
        <v>31</v>
      </c>
      <c r="AH8" s="255">
        <f ca="1">IF(NOW(),_xll.mirSwapPV($C$3,$C$4,$C$6,$G8,$C$7,$I8+AH$3,$C$16,$C$17,$C$18,$C$19,$C$20,$C$21,$C$22,$C$26,$C$27,$D$15,$D$16,$D$17,$D$18,$D$19,$D$20,$D$21,$D$22,$D$23,$D$24,$D$25,$D$26,$D$27,$C$8,$C$9,$C$10,$D$11,$C$12),"")</f>
        <v>347927.2637247782</v>
      </c>
      <c r="AI8" s="255">
        <f ca="1">IF(NOW(),_xll.mirSwapPV($C$3,$C$4,$C$6,$G8,$C$7,$I8+AI$3,$C$16,$C$17,$C$18,$C$19,$C$20,$C$21,$C$22,$C$26,$C$27,$D$15,$D$16,$D$17,$D$18,$D$19,$D$20,$D$21,$D$22,$D$23,$D$24,$D$25,$D$26,$D$27,$C$8,$C$9,$C$10,$D$11,$C$12),"")</f>
        <v>278341.81097982259</v>
      </c>
      <c r="AJ8" s="255">
        <f ca="1">IF(NOW(),_xll.mirSwapPV($C$3,$C$4,$C$6,$G8,$C$7,$I8+AJ$3,$C$16,$C$17,$C$18,$C$19,$C$20,$C$21,$C$22,$C$26,$C$27,$D$15,$D$16,$D$17,$D$18,$D$19,$D$20,$D$21,$D$22,$D$23,$D$24,$D$25,$D$26,$D$27,$C$8,$C$9,$C$10,$D$11,$C$12),"")</f>
        <v>208756.35823486693</v>
      </c>
      <c r="AK8" s="255">
        <f ca="1">IF(NOW(),_xll.mirSwapPV($C$3,$C$4,$C$6,$G8,$C$7,$I8+AK$3,$C$16,$C$17,$C$18,$C$19,$C$20,$C$21,$C$22,$C$26,$C$27,$D$15,$D$16,$D$17,$D$18,$D$19,$D$20,$D$21,$D$22,$D$23,$D$24,$D$25,$D$26,$D$27,$C$8,$C$9,$C$10,$D$11,$C$12),"")</f>
        <v>139170.9054899113</v>
      </c>
      <c r="AL8" s="255">
        <f ca="1">IF(NOW(),_xll.mirSwapPV($C$3,$C$4,$C$6,$G8,$C$7,$I8+AL$3,$C$16,$C$17,$C$18,$C$19,$C$20,$C$21,$C$22,$C$26,$C$27,$D$15,$D$16,$D$17,$D$18,$D$19,$D$20,$D$21,$D$22,$D$23,$D$24,$D$25,$D$26,$D$27,$C$8,$C$9,$C$10,$D$11,$C$12),"")</f>
        <v>69585.452744955648</v>
      </c>
      <c r="AM8" s="255">
        <f ca="1">IF(NOW(),_xll.mirSwapPV($C$3,$C$4,$C$6,$G8,$C$7,$I8+AM$3,$C$16,$C$17,$C$18,$C$19,$C$20,$C$21,$C$22,$C$26,$C$27,$D$15,$D$16,$D$17,$D$18,$D$19,$D$20,$D$21,$D$22,$D$23,$D$24,$D$25,$D$26,$D$27,$C$8,$C$9,$C$10,$D$11,$C$12),"")</f>
        <v>3.8163916471489756E-11</v>
      </c>
      <c r="AN8" s="255">
        <f ca="1">IF(NOW(),_xll.mirSwapPV($C$3,$C$4,$C$6,$G8,$C$7,$I8+AN$3,$C$16,$C$17,$C$18,$C$19,$C$20,$C$21,$C$22,$C$26,$C$27,$D$15,$D$16,$D$17,$D$18,$D$19,$D$20,$D$21,$D$22,$D$23,$D$24,$D$25,$D$26,$D$27,$C$8,$C$9,$C$10,$D$11,$C$12),"")</f>
        <v>-69585.45274495559</v>
      </c>
      <c r="AO8" s="255">
        <f ca="1">IF(NOW(),_xll.mirSwapPV($C$3,$C$4,$C$6,$G8,$C$7,$I8+AO$3,$C$16,$C$17,$C$18,$C$19,$C$20,$C$21,$C$22,$C$26,$C$27,$D$15,$D$16,$D$17,$D$18,$D$19,$D$20,$D$21,$D$22,$D$23,$D$24,$D$25,$D$26,$D$27,$C$8,$C$9,$C$10,$D$11,$C$12),"")</f>
        <v>-139170.90548991124</v>
      </c>
      <c r="AP8" s="255">
        <f ca="1">IF(NOW(),_xll.mirSwapPV($C$3,$C$4,$C$6,$G8,$C$7,$I8+AP$3,$C$16,$C$17,$C$18,$C$19,$C$20,$C$21,$C$22,$C$26,$C$27,$D$15,$D$16,$D$17,$D$18,$D$19,$D$20,$D$21,$D$22,$D$23,$D$24,$D$25,$D$26,$D$27,$C$8,$C$9,$C$10,$D$11,$C$12),"")</f>
        <v>-208756.35823486684</v>
      </c>
      <c r="AQ8" s="255">
        <f ca="1">IF(NOW(),_xll.mirSwapPV($C$3,$C$4,$C$6,$G8,$C$7,$I8+AQ$3,$C$16,$C$17,$C$18,$C$19,$C$20,$C$21,$C$22,$C$26,$C$27,$D$15,$D$16,$D$17,$D$18,$D$19,$D$20,$D$21,$D$22,$D$23,$D$24,$D$25,$D$26,$D$27,$C$8,$C$9,$C$10,$D$11,$C$12),"")</f>
        <v>-278341.81097982248</v>
      </c>
      <c r="AR8" s="255">
        <f ca="1">IF(NOW(),_xll.mirSwapPV($C$3,$C$4,$C$6,$G8,$C$7,$I8+AR$3,$C$16,$C$17,$C$18,$C$19,$C$20,$C$21,$C$22,$C$26,$C$27,$D$15,$D$16,$D$17,$D$18,$D$19,$D$20,$D$21,$D$22,$D$23,$D$24,$D$25,$D$26,$D$27,$C$8,$C$9,$C$10,$D$11,$C$12),"")</f>
        <v>-347927.26372477814</v>
      </c>
    </row>
    <row r="9" spans="2:44">
      <c r="B9" s="234" t="s">
        <v>434</v>
      </c>
      <c r="C9" s="235" t="s">
        <v>435</v>
      </c>
      <c r="D9" s="235"/>
      <c r="F9" s="224" t="s">
        <v>119</v>
      </c>
      <c r="G9" s="227">
        <f>_xll.mirGetDate($C$6,F9)</f>
        <v>45122</v>
      </c>
      <c r="H9" s="228">
        <f>'JPY Curve Config'!AO16</f>
        <v>4.9300000000000004E-3</v>
      </c>
      <c r="I9" s="229">
        <f ca="1">IF(NOW(),_xll.mirGetParRate4($C$6,F9,$C$7,$C$16,$C$17,$C$18,$C$19,$C$20,$C$21,$C$22,$C$26,$C$27,$D$16,$D$17,$D$18,$D$19,$D$20,$D$21,$D$22,$D$23,$D$24,$D$25,$D$26,$D$27,$C$8,$C$9,$C$10,$C$11,$C$12),"")</f>
        <v>4.9300022226530463E-3</v>
      </c>
      <c r="J9" s="229">
        <f t="shared" ca="1" si="2"/>
        <v>2.2226530459884541E-9</v>
      </c>
      <c r="K9" s="230">
        <f t="shared" ca="1" si="3"/>
        <v>2.2226530459884541E-5</v>
      </c>
      <c r="L9" s="230" t="s">
        <v>12</v>
      </c>
      <c r="M9" s="224" t="s">
        <v>119</v>
      </c>
      <c r="N9" s="255">
        <f ca="1">IF(NOW(),_xll.mirSwapPV($C$3,$C$4,$C$6,$G9,$C$7,$I9+N$3,$C$16,$C$17,$C$18,$C$19,$C$20,$C$21,$C$22,$C$26,$C$27,$D$15,$D$16,$D$17,$D$18,$D$19,$D$20,$D$21,$D$22,$D$23,$D$24,$D$25,$D$26,$D$27,$C$8,$C$9,$C$10,$C$11,$C$12),"")</f>
        <v>396998.30049385119</v>
      </c>
      <c r="O9" s="255">
        <f ca="1">IF(NOW(),_xll.mirSwapPV($C$3,$C$4,$C$6,$G9,$C$7,$I9+O$3,$C$16,$C$17,$C$18,$C$19,$C$20,$C$21,$C$22,$C$26,$C$27,$D$15,$D$16,$D$17,$D$18,$D$19,$D$20,$D$21,$D$22,$D$23,$D$24,$D$25,$D$26,$D$27,$C$8,$C$9,$C$10,$C$11,$C$12),"")</f>
        <v>317598.64039508096</v>
      </c>
      <c r="P9" s="255">
        <f ca="1">IF(NOW(),_xll.mirSwapPV($C$3,$C$4,$C$6,$G9,$C$7,$I9+P$3,$C$16,$C$17,$C$18,$C$19,$C$20,$C$21,$C$22,$C$26,$C$27,$D$15,$D$16,$D$17,$D$18,$D$19,$D$20,$D$21,$D$22,$D$23,$D$24,$D$25,$D$26,$D$27,$C$8,$C$9,$C$10,$C$11,$C$12),"")</f>
        <v>238198.98029631071</v>
      </c>
      <c r="Q9" s="255">
        <f ca="1">IF(NOW(),_xll.mirSwapPV($C$3,$C$4,$C$6,$G9,$C$7,$I9+Q$3,$C$16,$C$17,$C$18,$C$19,$C$20,$C$21,$C$22,$C$26,$C$27,$D$15,$D$16,$D$17,$D$18,$D$19,$D$20,$D$21,$D$22,$D$23,$D$24,$D$25,$D$26,$D$27,$C$8,$C$9,$C$10,$C$11,$C$12),"")</f>
        <v>158799.32019754045</v>
      </c>
      <c r="R9" s="255">
        <f ca="1">IF(NOW(),_xll.mirSwapPV($C$3,$C$4,$C$6,$G9,$C$7,$I9+R$3,$C$16,$C$17,$C$18,$C$19,$C$20,$C$21,$C$22,$C$26,$C$27,$D$15,$D$16,$D$17,$D$18,$D$19,$D$20,$D$21,$D$22,$D$23,$D$24,$D$25,$D$26,$D$27,$C$8,$C$9,$C$10,$C$11,$C$12),"")</f>
        <v>79399.660098770211</v>
      </c>
      <c r="S9" s="255">
        <f ca="1">IF(NOW(),_xll.mirSwapPV($C$3,$C$4,$C$6,$G9,$C$7,$I9+S$3,$C$16,$C$17,$C$18,$C$19,$C$20,$C$21,$C$22,$C$26,$C$27,$D$15,$D$16,$D$17,$D$18,$D$19,$D$20,$D$21,$D$22,$D$23,$D$24,$D$25,$D$26,$D$27,$C$8,$C$9,$C$10,$C$11,$C$12),"")</f>
        <v>0</v>
      </c>
      <c r="T9" s="255">
        <f ca="1">IF(NOW(),_xll.mirSwapPV($C$3,$C$4,$C$6,$G9,$C$7,$I9+T$3,$C$16,$C$17,$C$18,$C$19,$C$20,$C$21,$C$22,$C$26,$C$27,$D$15,$D$16,$D$17,$D$18,$D$19,$D$20,$D$21,$D$22,$D$23,$D$24,$D$25,$D$26,$D$27,$C$8,$C$9,$C$10,$C$11,$C$12),"")</f>
        <v>-79399.660098770226</v>
      </c>
      <c r="U9" s="255">
        <f ca="1">IF(NOW(),_xll.mirSwapPV($C$3,$C$4,$C$6,$G9,$C$7,$I9+U$3,$C$16,$C$17,$C$18,$C$19,$C$20,$C$21,$C$22,$C$26,$C$27,$D$15,$D$16,$D$17,$D$18,$D$19,$D$20,$D$21,$D$22,$D$23,$D$24,$D$25,$D$26,$D$27,$C$8,$C$9,$C$10,$C$11,$C$12),"")</f>
        <v>-158799.32019754051</v>
      </c>
      <c r="V9" s="255">
        <f ca="1">IF(NOW(),_xll.mirSwapPV($C$3,$C$4,$C$6,$G9,$C$7,$I9+V$3,$C$16,$C$17,$C$18,$C$19,$C$20,$C$21,$C$22,$C$26,$C$27,$D$15,$D$16,$D$17,$D$18,$D$19,$D$20,$D$21,$D$22,$D$23,$D$24,$D$25,$D$26,$D$27,$C$8,$C$9,$C$10,$C$11,$C$12),"")</f>
        <v>-238198.98029631071</v>
      </c>
      <c r="W9" s="255">
        <f ca="1">IF(NOW(),_xll.mirSwapPV($C$3,$C$4,$C$6,$G9,$C$7,$I9+W$3,$C$16,$C$17,$C$18,$C$19,$C$20,$C$21,$C$22,$C$26,$C$27,$D$15,$D$16,$D$17,$D$18,$D$19,$D$20,$D$21,$D$22,$D$23,$D$24,$D$25,$D$26,$D$27,$C$8,$C$9,$C$10,$C$11,$C$12),"")</f>
        <v>-317598.64039508096</v>
      </c>
      <c r="X9" s="255">
        <f ca="1">IF(NOW(),_xll.mirSwapPV($C$3,$C$4,$C$6,$G9,$C$7,$I9+X$3,$C$16,$C$17,$C$18,$C$19,$C$20,$C$21,$C$22,$C$26,$C$27,$D$15,$D$16,$D$17,$D$18,$D$19,$D$20,$D$21,$D$22,$D$23,$D$24,$D$25,$D$26,$D$27,$C$8,$C$9,$C$10,$C$11,$C$12),"")</f>
        <v>-396998.30049385119</v>
      </c>
      <c r="Y9" s="230" t="s">
        <v>12</v>
      </c>
      <c r="Z9" s="224" t="s">
        <v>119</v>
      </c>
      <c r="AA9" s="227">
        <f>_xll.mirGetDate($C$6,Z9)</f>
        <v>45122</v>
      </c>
      <c r="AB9" s="228">
        <f t="shared" si="6"/>
        <v>4.9300000000000004E-3</v>
      </c>
      <c r="AC9" s="229">
        <f ca="1">IF(NOW(),_xll.mirGetParRate4($C$6,Z9,$C$7,$C$16,$C$17,$C$18,$C$19,$C$20,$C$21,$C$22,$C$26,$C$27,$D$16,$D$17,$D$18,$D$19,$D$20,$D$21,$D$22,$D$23,$D$24,$D$25,$D$26,$D$27,$C$8,$C$9,$C$10,$D$11,$C$12),"")</f>
        <v>4.930002222653042E-3</v>
      </c>
      <c r="AD9" s="229">
        <f t="shared" ca="1" si="4"/>
        <v>2.2226530416516455E-9</v>
      </c>
      <c r="AE9" s="230">
        <f t="shared" ca="1" si="5"/>
        <v>2.2226530416516455E-5</v>
      </c>
      <c r="AG9" s="224" t="s">
        <v>119</v>
      </c>
      <c r="AH9" s="255">
        <f ca="1">IF(NOW(),_xll.mirSwapPV($C$3,$C$4,$C$6,$G9,$C$7,$I9+AH$3,$C$16,$C$17,$C$18,$C$19,$C$20,$C$21,$C$22,$C$26,$C$27,$D$15,$D$16,$D$17,$D$18,$D$19,$D$20,$D$21,$D$22,$D$23,$D$24,$D$25,$D$26,$D$27,$C$8,$C$9,$C$10,$D$11,$C$12),"")</f>
        <v>396998.30049385119</v>
      </c>
      <c r="AI9" s="255">
        <f ca="1">IF(NOW(),_xll.mirSwapPV($C$3,$C$4,$C$6,$G9,$C$7,$I9+AI$3,$C$16,$C$17,$C$18,$C$19,$C$20,$C$21,$C$22,$C$26,$C$27,$D$15,$D$16,$D$17,$D$18,$D$19,$D$20,$D$21,$D$22,$D$23,$D$24,$D$25,$D$26,$D$27,$C$8,$C$9,$C$10,$D$11,$C$12),"")</f>
        <v>317598.6403950809</v>
      </c>
      <c r="AJ9" s="255">
        <f ca="1">IF(NOW(),_xll.mirSwapPV($C$3,$C$4,$C$6,$G9,$C$7,$I9+AJ$3,$C$16,$C$17,$C$18,$C$19,$C$20,$C$21,$C$22,$C$26,$C$27,$D$15,$D$16,$D$17,$D$18,$D$19,$D$20,$D$21,$D$22,$D$23,$D$24,$D$25,$D$26,$D$27,$C$8,$C$9,$C$10,$D$11,$C$12),"")</f>
        <v>238198.98029631068</v>
      </c>
      <c r="AK9" s="255">
        <f ca="1">IF(NOW(),_xll.mirSwapPV($C$3,$C$4,$C$6,$G9,$C$7,$I9+AK$3,$C$16,$C$17,$C$18,$C$19,$C$20,$C$21,$C$22,$C$26,$C$27,$D$15,$D$16,$D$17,$D$18,$D$19,$D$20,$D$21,$D$22,$D$23,$D$24,$D$25,$D$26,$D$27,$C$8,$C$9,$C$10,$D$11,$C$12),"")</f>
        <v>158799.32019754042</v>
      </c>
      <c r="AL9" s="255">
        <f ca="1">IF(NOW(),_xll.mirSwapPV($C$3,$C$4,$C$6,$G9,$C$7,$I9+AL$3,$C$16,$C$17,$C$18,$C$19,$C$20,$C$21,$C$22,$C$26,$C$27,$D$15,$D$16,$D$17,$D$18,$D$19,$D$20,$D$21,$D$22,$D$23,$D$24,$D$25,$D$26,$D$27,$C$8,$C$9,$C$10,$D$11,$C$12),"")</f>
        <v>79399.660098770168</v>
      </c>
      <c r="AM9" s="255">
        <f ca="1">IF(NOW(),_xll.mirSwapPV($C$3,$C$4,$C$6,$G9,$C$7,$I9+AM$3,$C$16,$C$17,$C$18,$C$19,$C$20,$C$21,$C$22,$C$26,$C$27,$D$15,$D$16,$D$17,$D$18,$D$19,$D$20,$D$21,$D$22,$D$23,$D$24,$D$25,$D$26,$D$27,$C$8,$C$9,$C$10,$D$11,$C$12),"")</f>
        <v>-3.4694469519536142E-11</v>
      </c>
      <c r="AN9" s="255">
        <f ca="1">IF(NOW(),_xll.mirSwapPV($C$3,$C$4,$C$6,$G9,$C$7,$I9+AN$3,$C$16,$C$17,$C$18,$C$19,$C$20,$C$21,$C$22,$C$26,$C$27,$D$15,$D$16,$D$17,$D$18,$D$19,$D$20,$D$21,$D$22,$D$23,$D$24,$D$25,$D$26,$D$27,$C$8,$C$9,$C$10,$D$11,$C$12),"")</f>
        <v>-79399.66009877027</v>
      </c>
      <c r="AO9" s="255">
        <f ca="1">IF(NOW(),_xll.mirSwapPV($C$3,$C$4,$C$6,$G9,$C$7,$I9+AO$3,$C$16,$C$17,$C$18,$C$19,$C$20,$C$21,$C$22,$C$26,$C$27,$D$15,$D$16,$D$17,$D$18,$D$19,$D$20,$D$21,$D$22,$D$23,$D$24,$D$25,$D$26,$D$27,$C$8,$C$9,$C$10,$D$11,$C$12),"")</f>
        <v>-158799.32019754054</v>
      </c>
      <c r="AP9" s="255">
        <f ca="1">IF(NOW(),_xll.mirSwapPV($C$3,$C$4,$C$6,$G9,$C$7,$I9+AP$3,$C$16,$C$17,$C$18,$C$19,$C$20,$C$21,$C$22,$C$26,$C$27,$D$15,$D$16,$D$17,$D$18,$D$19,$D$20,$D$21,$D$22,$D$23,$D$24,$D$25,$D$26,$D$27,$C$8,$C$9,$C$10,$D$11,$C$12),"")</f>
        <v>-238198.98029631074</v>
      </c>
      <c r="AQ9" s="255">
        <f ca="1">IF(NOW(),_xll.mirSwapPV($C$3,$C$4,$C$6,$G9,$C$7,$I9+AQ$3,$C$16,$C$17,$C$18,$C$19,$C$20,$C$21,$C$22,$C$26,$C$27,$D$15,$D$16,$D$17,$D$18,$D$19,$D$20,$D$21,$D$22,$D$23,$D$24,$D$25,$D$26,$D$27,$C$8,$C$9,$C$10,$D$11,$C$12),"")</f>
        <v>-317598.64039508102</v>
      </c>
      <c r="AR9" s="255">
        <f ca="1">IF(NOW(),_xll.mirSwapPV($C$3,$C$4,$C$6,$G9,$C$7,$I9+AR$3,$C$16,$C$17,$C$18,$C$19,$C$20,$C$21,$C$22,$C$26,$C$27,$D$15,$D$16,$D$17,$D$18,$D$19,$D$20,$D$21,$D$22,$D$23,$D$24,$D$25,$D$26,$D$27,$C$8,$C$9,$C$10,$D$11,$C$12),"")</f>
        <v>-396998.30049385119</v>
      </c>
    </row>
    <row r="10" spans="2:44">
      <c r="B10" s="234" t="s">
        <v>436</v>
      </c>
      <c r="C10" s="235" t="s">
        <v>201</v>
      </c>
      <c r="D10" s="235"/>
      <c r="F10" s="224" t="s">
        <v>113</v>
      </c>
      <c r="G10" s="227">
        <f>_xll.mirGetDate($C$6,F10)</f>
        <v>45488</v>
      </c>
      <c r="H10" s="228">
        <f>'JPY Curve Config'!AO17</f>
        <v>5.6350000000000003E-3</v>
      </c>
      <c r="I10" s="229">
        <f ca="1">IF(NOW(),_xll.mirGetParRate4($C$6,F10,$C$7,$C$16,$C$17,$C$18,$C$19,$C$20,$C$21,$C$22,$C$26,$C$27,$D$16,$D$17,$D$18,$D$19,$D$20,$D$21,$D$22,$D$23,$D$24,$D$25,$D$26,$D$27,$C$8,$C$9,$C$10,$C$11,$C$12),"")</f>
        <v>5.6350001072395474E-3</v>
      </c>
      <c r="J10" s="229">
        <f t="shared" ca="1" si="2"/>
        <v>1.0723954710356587E-10</v>
      </c>
      <c r="K10" s="230">
        <f t="shared" ca="1" si="3"/>
        <v>1.0723954710356587E-6</v>
      </c>
      <c r="L10" s="230" t="s">
        <v>12</v>
      </c>
      <c r="M10" s="224" t="s">
        <v>113</v>
      </c>
      <c r="N10" s="255">
        <f ca="1">IF(NOW(),_xll.mirSwapPV($C$3,$C$4,$C$6,$G10,$C$7,$I10+N$3,$C$16,$C$17,$C$18,$C$19,$C$20,$C$21,$C$22,$C$26,$C$27,$D$15,$D$16,$D$17,$D$18,$D$19,$D$20,$D$21,$D$22,$D$23,$D$24,$D$25,$D$26,$D$27,$C$8,$C$9,$C$10,$C$11,$C$12),"")</f>
        <v>445100.62572520418</v>
      </c>
      <c r="O10" s="255">
        <f ca="1">IF(NOW(),_xll.mirSwapPV($C$3,$C$4,$C$6,$G10,$C$7,$I10+O$3,$C$16,$C$17,$C$18,$C$19,$C$20,$C$21,$C$22,$C$26,$C$27,$D$15,$D$16,$D$17,$D$18,$D$19,$D$20,$D$21,$D$22,$D$23,$D$24,$D$25,$D$26,$D$27,$C$8,$C$9,$C$10,$C$11,$C$12),"")</f>
        <v>356080.50058016332</v>
      </c>
      <c r="P10" s="255">
        <f ca="1">IF(NOW(),_xll.mirSwapPV($C$3,$C$4,$C$6,$G10,$C$7,$I10+P$3,$C$16,$C$17,$C$18,$C$19,$C$20,$C$21,$C$22,$C$26,$C$27,$D$15,$D$16,$D$17,$D$18,$D$19,$D$20,$D$21,$D$22,$D$23,$D$24,$D$25,$D$26,$D$27,$C$8,$C$9,$C$10,$C$11,$C$12),"")</f>
        <v>267060.37543512246</v>
      </c>
      <c r="Q10" s="255">
        <f ca="1">IF(NOW(),_xll.mirSwapPV($C$3,$C$4,$C$6,$G10,$C$7,$I10+Q$3,$C$16,$C$17,$C$18,$C$19,$C$20,$C$21,$C$22,$C$26,$C$27,$D$15,$D$16,$D$17,$D$18,$D$19,$D$20,$D$21,$D$22,$D$23,$D$24,$D$25,$D$26,$D$27,$C$8,$C$9,$C$10,$C$11,$C$12),"")</f>
        <v>178040.25029008163</v>
      </c>
      <c r="R10" s="255">
        <f ca="1">IF(NOW(),_xll.mirSwapPV($C$3,$C$4,$C$6,$G10,$C$7,$I10+R$3,$C$16,$C$17,$C$18,$C$19,$C$20,$C$21,$C$22,$C$26,$C$27,$D$15,$D$16,$D$17,$D$18,$D$19,$D$20,$D$21,$D$22,$D$23,$D$24,$D$25,$D$26,$D$27,$C$8,$C$9,$C$10,$C$11,$C$12),"")</f>
        <v>89020.125145040787</v>
      </c>
      <c r="S10" s="255">
        <f ca="1">IF(NOW(),_xll.mirSwapPV($C$3,$C$4,$C$6,$G10,$C$7,$I10+S$3,$C$16,$C$17,$C$18,$C$19,$C$20,$C$21,$C$22,$C$26,$C$27,$D$15,$D$16,$D$17,$D$18,$D$19,$D$20,$D$21,$D$22,$D$23,$D$24,$D$25,$D$26,$D$27,$C$8,$C$9,$C$10,$C$11,$C$12),"")</f>
        <v>0</v>
      </c>
      <c r="T10" s="255">
        <f ca="1">IF(NOW(),_xll.mirSwapPV($C$3,$C$4,$C$6,$G10,$C$7,$I10+T$3,$C$16,$C$17,$C$18,$C$19,$C$20,$C$21,$C$22,$C$26,$C$27,$D$15,$D$16,$D$17,$D$18,$D$19,$D$20,$D$21,$D$22,$D$23,$D$24,$D$25,$D$26,$D$27,$C$8,$C$9,$C$10,$C$11,$C$12),"")</f>
        <v>-89020.125145040831</v>
      </c>
      <c r="U10" s="255">
        <f ca="1">IF(NOW(),_xll.mirSwapPV($C$3,$C$4,$C$6,$G10,$C$7,$I10+U$3,$C$16,$C$17,$C$18,$C$19,$C$20,$C$21,$C$22,$C$26,$C$27,$D$15,$D$16,$D$17,$D$18,$D$19,$D$20,$D$21,$D$22,$D$23,$D$24,$D$25,$D$26,$D$27,$C$8,$C$9,$C$10,$C$11,$C$12),"")</f>
        <v>-178040.25029008169</v>
      </c>
      <c r="V10" s="255">
        <f ca="1">IF(NOW(),_xll.mirSwapPV($C$3,$C$4,$C$6,$G10,$C$7,$I10+V$3,$C$16,$C$17,$C$18,$C$19,$C$20,$C$21,$C$22,$C$26,$C$27,$D$15,$D$16,$D$17,$D$18,$D$19,$D$20,$D$21,$D$22,$D$23,$D$24,$D$25,$D$26,$D$27,$C$8,$C$9,$C$10,$C$11,$C$12),"")</f>
        <v>-267060.37543512246</v>
      </c>
      <c r="W10" s="255">
        <f ca="1">IF(NOW(),_xll.mirSwapPV($C$3,$C$4,$C$6,$G10,$C$7,$I10+W$3,$C$16,$C$17,$C$18,$C$19,$C$20,$C$21,$C$22,$C$26,$C$27,$D$15,$D$16,$D$17,$D$18,$D$19,$D$20,$D$21,$D$22,$D$23,$D$24,$D$25,$D$26,$D$27,$C$8,$C$9,$C$10,$C$11,$C$12),"")</f>
        <v>-356080.50058016332</v>
      </c>
      <c r="X10" s="255">
        <f ca="1">IF(NOW(),_xll.mirSwapPV($C$3,$C$4,$C$6,$G10,$C$7,$I10+X$3,$C$16,$C$17,$C$18,$C$19,$C$20,$C$21,$C$22,$C$26,$C$27,$D$15,$D$16,$D$17,$D$18,$D$19,$D$20,$D$21,$D$22,$D$23,$D$24,$D$25,$D$26,$D$27,$C$8,$C$9,$C$10,$C$11,$C$12),"")</f>
        <v>-445100.62572520413</v>
      </c>
      <c r="Y10" s="230" t="s">
        <v>12</v>
      </c>
      <c r="Z10" s="224" t="s">
        <v>113</v>
      </c>
      <c r="AA10" s="227">
        <f>_xll.mirGetDate($C$6,Z10)</f>
        <v>45488</v>
      </c>
      <c r="AB10" s="228">
        <f t="shared" si="6"/>
        <v>5.6350000000000003E-3</v>
      </c>
      <c r="AC10" s="229">
        <f ca="1">IF(NOW(),_xll.mirGetParRate4($C$6,Z10,$C$7,$C$16,$C$17,$C$18,$C$19,$C$20,$C$21,$C$22,$C$26,$C$27,$D$16,$D$17,$D$18,$D$19,$D$20,$D$21,$D$22,$D$23,$D$24,$D$25,$D$26,$D$27,$C$8,$C$9,$C$10,$D$11,$C$12),"")</f>
        <v>5.6350001072395552E-3</v>
      </c>
      <c r="AD10" s="229">
        <f t="shared" ca="1" si="4"/>
        <v>1.0723955490982151E-10</v>
      </c>
      <c r="AE10" s="230">
        <f t="shared" ca="1" si="5"/>
        <v>1.0723955490982151E-6</v>
      </c>
      <c r="AG10" s="224" t="s">
        <v>113</v>
      </c>
      <c r="AH10" s="255">
        <f ca="1">IF(NOW(),_xll.mirSwapPV($C$3,$C$4,$C$6,$G10,$C$7,$I10+AH$3,$C$16,$C$17,$C$18,$C$19,$C$20,$C$21,$C$22,$C$26,$C$27,$D$15,$D$16,$D$17,$D$18,$D$19,$D$20,$D$21,$D$22,$D$23,$D$24,$D$25,$D$26,$D$27,$C$8,$C$9,$C$10,$D$11,$C$12),"")</f>
        <v>445100.62572520424</v>
      </c>
      <c r="AI10" s="255">
        <f ca="1">IF(NOW(),_xll.mirSwapPV($C$3,$C$4,$C$6,$G10,$C$7,$I10+AI$3,$C$16,$C$17,$C$18,$C$19,$C$20,$C$21,$C$22,$C$26,$C$27,$D$15,$D$16,$D$17,$D$18,$D$19,$D$20,$D$21,$D$22,$D$23,$D$24,$D$25,$D$26,$D$27,$C$8,$C$9,$C$10,$D$11,$C$12),"")</f>
        <v>356080.50058016338</v>
      </c>
      <c r="AJ10" s="255">
        <f ca="1">IF(NOW(),_xll.mirSwapPV($C$3,$C$4,$C$6,$G10,$C$7,$I10+AJ$3,$C$16,$C$17,$C$18,$C$19,$C$20,$C$21,$C$22,$C$26,$C$27,$D$15,$D$16,$D$17,$D$18,$D$19,$D$20,$D$21,$D$22,$D$23,$D$24,$D$25,$D$26,$D$27,$C$8,$C$9,$C$10,$D$11,$C$12),"")</f>
        <v>267060.37543512252</v>
      </c>
      <c r="AK10" s="255">
        <f ca="1">IF(NOW(),_xll.mirSwapPV($C$3,$C$4,$C$6,$G10,$C$7,$I10+AK$3,$C$16,$C$17,$C$18,$C$19,$C$20,$C$21,$C$22,$C$26,$C$27,$D$15,$D$16,$D$17,$D$18,$D$19,$D$20,$D$21,$D$22,$D$23,$D$24,$D$25,$D$26,$D$27,$C$8,$C$9,$C$10,$D$11,$C$12),"")</f>
        <v>178040.25029008169</v>
      </c>
      <c r="AL10" s="255">
        <f ca="1">IF(NOW(),_xll.mirSwapPV($C$3,$C$4,$C$6,$G10,$C$7,$I10+AL$3,$C$16,$C$17,$C$18,$C$19,$C$20,$C$21,$C$22,$C$26,$C$27,$D$15,$D$16,$D$17,$D$18,$D$19,$D$20,$D$21,$D$22,$D$23,$D$24,$D$25,$D$26,$D$27,$C$8,$C$9,$C$10,$D$11,$C$12),"")</f>
        <v>89020.125145040874</v>
      </c>
      <c r="AM10" s="255">
        <f ca="1">IF(NOW(),_xll.mirSwapPV($C$3,$C$4,$C$6,$G10,$C$7,$I10+AM$3,$C$16,$C$17,$C$18,$C$19,$C$20,$C$21,$C$22,$C$26,$C$27,$D$15,$D$16,$D$17,$D$18,$D$19,$D$20,$D$21,$D$22,$D$23,$D$24,$D$25,$D$26,$D$27,$C$8,$C$9,$C$10,$D$11,$C$12),"")</f>
        <v>6.9388939039072284E-11</v>
      </c>
      <c r="AN10" s="255">
        <f ca="1">IF(NOW(),_xll.mirSwapPV($C$3,$C$4,$C$6,$G10,$C$7,$I10+AN$3,$C$16,$C$17,$C$18,$C$19,$C$20,$C$21,$C$22,$C$26,$C$27,$D$15,$D$16,$D$17,$D$18,$D$19,$D$20,$D$21,$D$22,$D$23,$D$24,$D$25,$D$26,$D$27,$C$8,$C$9,$C$10,$D$11,$C$12),"")</f>
        <v>-89020.125145040758</v>
      </c>
      <c r="AO10" s="255">
        <f ca="1">IF(NOW(),_xll.mirSwapPV($C$3,$C$4,$C$6,$G10,$C$7,$I10+AO$3,$C$16,$C$17,$C$18,$C$19,$C$20,$C$21,$C$22,$C$26,$C$27,$D$15,$D$16,$D$17,$D$18,$D$19,$D$20,$D$21,$D$22,$D$23,$D$24,$D$25,$D$26,$D$27,$C$8,$C$9,$C$10,$D$11,$C$12),"")</f>
        <v>-178040.2502900816</v>
      </c>
      <c r="AP10" s="255">
        <f ca="1">IF(NOW(),_xll.mirSwapPV($C$3,$C$4,$C$6,$G10,$C$7,$I10+AP$3,$C$16,$C$17,$C$18,$C$19,$C$20,$C$21,$C$22,$C$26,$C$27,$D$15,$D$16,$D$17,$D$18,$D$19,$D$20,$D$21,$D$22,$D$23,$D$24,$D$25,$D$26,$D$27,$C$8,$C$9,$C$10,$D$11,$C$12),"")</f>
        <v>-267060.37543512241</v>
      </c>
      <c r="AQ10" s="255">
        <f ca="1">IF(NOW(),_xll.mirSwapPV($C$3,$C$4,$C$6,$G10,$C$7,$I10+AQ$3,$C$16,$C$17,$C$18,$C$19,$C$20,$C$21,$C$22,$C$26,$C$27,$D$15,$D$16,$D$17,$D$18,$D$19,$D$20,$D$21,$D$22,$D$23,$D$24,$D$25,$D$26,$D$27,$C$8,$C$9,$C$10,$D$11,$C$12),"")</f>
        <v>-356080.50058016327</v>
      </c>
      <c r="AR10" s="255">
        <f ca="1">IF(NOW(),_xll.mirSwapPV($C$3,$C$4,$C$6,$G10,$C$7,$I10+AR$3,$C$16,$C$17,$C$18,$C$19,$C$20,$C$21,$C$22,$C$26,$C$27,$D$15,$D$16,$D$17,$D$18,$D$19,$D$20,$D$21,$D$22,$D$23,$D$24,$D$25,$D$26,$D$27,$C$8,$C$9,$C$10,$D$11,$C$12),"")</f>
        <v>-445100.62572520401</v>
      </c>
    </row>
    <row r="11" spans="2:44">
      <c r="B11" s="234" t="s">
        <v>437</v>
      </c>
      <c r="C11" s="236" t="b">
        <v>1</v>
      </c>
      <c r="D11" s="236" t="b">
        <v>0</v>
      </c>
      <c r="F11" s="224" t="s">
        <v>28</v>
      </c>
      <c r="G11" s="227">
        <f>_xll.mirGetDate($C$6,F11)</f>
        <v>45853</v>
      </c>
      <c r="H11" s="228">
        <f>'JPY Curve Config'!AO18</f>
        <v>6.3549999999999995E-3</v>
      </c>
      <c r="I11" s="229">
        <f ca="1">IF(NOW(),_xll.mirGetParRate4($C$6,F11,$C$7,$C$16,$C$17,$C$18,$C$19,$C$20,$C$21,$C$22,$C$26,$C$27,$D$16,$D$17,$D$18,$D$19,$D$20,$D$21,$D$22,$D$23,$D$24,$D$25,$D$26,$D$27,$C$8,$C$9,$C$10,$C$11,$C$12),"")</f>
        <v>6.3549989815919368E-3</v>
      </c>
      <c r="J11" s="229">
        <f t="shared" ca="1" si="2"/>
        <v>-1.0184080627417824E-9</v>
      </c>
      <c r="K11" s="230">
        <f t="shared" ca="1" si="3"/>
        <v>-1.0184080627417824E-5</v>
      </c>
      <c r="L11" s="230" t="s">
        <v>12</v>
      </c>
      <c r="M11" s="224" t="s">
        <v>28</v>
      </c>
      <c r="N11" s="255">
        <f ca="1">IF(NOW(),_xll.mirSwapPV($C$3,$C$4,$C$6,$G11,$C$7,$I11+N$3,$C$16,$C$17,$C$18,$C$19,$C$20,$C$21,$C$22,$C$26,$C$27,$D$15,$D$16,$D$17,$D$18,$D$19,$D$20,$D$21,$D$22,$D$23,$D$24,$D$25,$D$26,$D$27,$C$8,$C$9,$C$10,$C$11,$C$12),"")</f>
        <v>492704.81837934424</v>
      </c>
      <c r="O11" s="255">
        <f ca="1">IF(NOW(),_xll.mirSwapPV($C$3,$C$4,$C$6,$G11,$C$7,$I11+O$3,$C$16,$C$17,$C$18,$C$19,$C$20,$C$21,$C$22,$C$26,$C$27,$D$15,$D$16,$D$17,$D$18,$D$19,$D$20,$D$21,$D$22,$D$23,$D$24,$D$25,$D$26,$D$27,$C$8,$C$9,$C$10,$C$11,$C$12),"")</f>
        <v>394163.85470347531</v>
      </c>
      <c r="P11" s="255">
        <f ca="1">IF(NOW(),_xll.mirSwapPV($C$3,$C$4,$C$6,$G11,$C$7,$I11+P$3,$C$16,$C$17,$C$18,$C$19,$C$20,$C$21,$C$22,$C$26,$C$27,$D$15,$D$16,$D$17,$D$18,$D$19,$D$20,$D$21,$D$22,$D$23,$D$24,$D$25,$D$26,$D$27,$C$8,$C$9,$C$10,$C$11,$C$12),"")</f>
        <v>295622.8910276065</v>
      </c>
      <c r="Q11" s="255">
        <f ca="1">IF(NOW(),_xll.mirSwapPV($C$3,$C$4,$C$6,$G11,$C$7,$I11+Q$3,$C$16,$C$17,$C$18,$C$19,$C$20,$C$21,$C$22,$C$26,$C$27,$D$15,$D$16,$D$17,$D$18,$D$19,$D$20,$D$21,$D$22,$D$23,$D$24,$D$25,$D$26,$D$27,$C$8,$C$9,$C$10,$C$11,$C$12),"")</f>
        <v>197081.92735173763</v>
      </c>
      <c r="R11" s="255">
        <f ca="1">IF(NOW(),_xll.mirSwapPV($C$3,$C$4,$C$6,$G11,$C$7,$I11+R$3,$C$16,$C$17,$C$18,$C$19,$C$20,$C$21,$C$22,$C$26,$C$27,$D$15,$D$16,$D$17,$D$18,$D$19,$D$20,$D$21,$D$22,$D$23,$D$24,$D$25,$D$26,$D$27,$C$8,$C$9,$C$10,$C$11,$C$12),"")</f>
        <v>98540.963675868814</v>
      </c>
      <c r="S11" s="255">
        <f ca="1">IF(NOW(),_xll.mirSwapPV($C$3,$C$4,$C$6,$G11,$C$7,$I11+S$3,$C$16,$C$17,$C$18,$C$19,$C$20,$C$21,$C$22,$C$26,$C$27,$D$15,$D$16,$D$17,$D$18,$D$19,$D$20,$D$21,$D$22,$D$23,$D$24,$D$25,$D$26,$D$27,$C$8,$C$9,$C$10,$C$11,$C$12),"")</f>
        <v>0</v>
      </c>
      <c r="T11" s="255">
        <f ca="1">IF(NOW(),_xll.mirSwapPV($C$3,$C$4,$C$6,$G11,$C$7,$I11+T$3,$C$16,$C$17,$C$18,$C$19,$C$20,$C$21,$C$22,$C$26,$C$27,$D$15,$D$16,$D$17,$D$18,$D$19,$D$20,$D$21,$D$22,$D$23,$D$24,$D$25,$D$26,$D$27,$C$8,$C$9,$C$10,$C$11,$C$12),"")</f>
        <v>-98540.963675868828</v>
      </c>
      <c r="U11" s="255">
        <f ca="1">IF(NOW(),_xll.mirSwapPV($C$3,$C$4,$C$6,$G11,$C$7,$I11+U$3,$C$16,$C$17,$C$18,$C$19,$C$20,$C$21,$C$22,$C$26,$C$27,$D$15,$D$16,$D$17,$D$18,$D$19,$D$20,$D$21,$D$22,$D$23,$D$24,$D$25,$D$26,$D$27,$C$8,$C$9,$C$10,$C$11,$C$12),"")</f>
        <v>-197081.92735173769</v>
      </c>
      <c r="V11" s="255">
        <f ca="1">IF(NOW(),_xll.mirSwapPV($C$3,$C$4,$C$6,$G11,$C$7,$I11+V$3,$C$16,$C$17,$C$18,$C$19,$C$20,$C$21,$C$22,$C$26,$C$27,$D$15,$D$16,$D$17,$D$18,$D$19,$D$20,$D$21,$D$22,$D$23,$D$24,$D$25,$D$26,$D$27,$C$8,$C$9,$C$10,$C$11,$C$12),"")</f>
        <v>-295622.8910276065</v>
      </c>
      <c r="W11" s="255">
        <f ca="1">IF(NOW(),_xll.mirSwapPV($C$3,$C$4,$C$6,$G11,$C$7,$I11+W$3,$C$16,$C$17,$C$18,$C$19,$C$20,$C$21,$C$22,$C$26,$C$27,$D$15,$D$16,$D$17,$D$18,$D$19,$D$20,$D$21,$D$22,$D$23,$D$24,$D$25,$D$26,$D$27,$C$8,$C$9,$C$10,$C$11,$C$12),"")</f>
        <v>-394163.85470347543</v>
      </c>
      <c r="X11" s="255">
        <f ca="1">IF(NOW(),_xll.mirSwapPV($C$3,$C$4,$C$6,$G11,$C$7,$I11+X$3,$C$16,$C$17,$C$18,$C$19,$C$20,$C$21,$C$22,$C$26,$C$27,$D$15,$D$16,$D$17,$D$18,$D$19,$D$20,$D$21,$D$22,$D$23,$D$24,$D$25,$D$26,$D$27,$C$8,$C$9,$C$10,$C$11,$C$12),"")</f>
        <v>-492704.81837934413</v>
      </c>
      <c r="Y11" s="230" t="s">
        <v>12</v>
      </c>
      <c r="Z11" s="224" t="s">
        <v>28</v>
      </c>
      <c r="AA11" s="227">
        <f>_xll.mirGetDate($C$6,Z11)</f>
        <v>45853</v>
      </c>
      <c r="AB11" s="228">
        <f t="shared" si="6"/>
        <v>6.3549999999999995E-3</v>
      </c>
      <c r="AC11" s="229">
        <f ca="1">IF(NOW(),_xll.mirGetParRate4($C$6,Z11,$C$7,$C$16,$C$17,$C$18,$C$19,$C$20,$C$21,$C$22,$C$26,$C$27,$D$16,$D$17,$D$18,$D$19,$D$20,$D$21,$D$22,$D$23,$D$24,$D$25,$D$26,$D$27,$C$8,$C$9,$C$10,$D$11,$C$12),"")</f>
        <v>6.3549989815919385E-3</v>
      </c>
      <c r="AD11" s="229">
        <f t="shared" ca="1" si="4"/>
        <v>-1.0184080610070589E-9</v>
      </c>
      <c r="AE11" s="230">
        <f t="shared" ca="1" si="5"/>
        <v>-1.0184080610070589E-5</v>
      </c>
      <c r="AG11" s="224" t="s">
        <v>28</v>
      </c>
      <c r="AH11" s="255">
        <f ca="1">IF(NOW(),_xll.mirSwapPV($C$3,$C$4,$C$6,$G11,$C$7,$I11+AH$3,$C$16,$C$17,$C$18,$C$19,$C$20,$C$21,$C$22,$C$26,$C$27,$D$15,$D$16,$D$17,$D$18,$D$19,$D$20,$D$21,$D$22,$D$23,$D$24,$D$25,$D$26,$D$27,$C$8,$C$9,$C$10,$D$11,$C$12),"")</f>
        <v>492704.8183793443</v>
      </c>
      <c r="AI11" s="255">
        <f ca="1">IF(NOW(),_xll.mirSwapPV($C$3,$C$4,$C$6,$G11,$C$7,$I11+AI$3,$C$16,$C$17,$C$18,$C$19,$C$20,$C$21,$C$22,$C$26,$C$27,$D$15,$D$16,$D$17,$D$18,$D$19,$D$20,$D$21,$D$22,$D$23,$D$24,$D$25,$D$26,$D$27,$C$8,$C$9,$C$10,$D$11,$C$12),"")</f>
        <v>394163.85470347537</v>
      </c>
      <c r="AJ11" s="255">
        <f ca="1">IF(NOW(),_xll.mirSwapPV($C$3,$C$4,$C$6,$G11,$C$7,$I11+AJ$3,$C$16,$C$17,$C$18,$C$19,$C$20,$C$21,$C$22,$C$26,$C$27,$D$15,$D$16,$D$17,$D$18,$D$19,$D$20,$D$21,$D$22,$D$23,$D$24,$D$25,$D$26,$D$27,$C$8,$C$9,$C$10,$D$11,$C$12),"")</f>
        <v>295622.8910276065</v>
      </c>
      <c r="AK11" s="255">
        <f ca="1">IF(NOW(),_xll.mirSwapPV($C$3,$C$4,$C$6,$G11,$C$7,$I11+AK$3,$C$16,$C$17,$C$18,$C$19,$C$20,$C$21,$C$22,$C$26,$C$27,$D$15,$D$16,$D$17,$D$18,$D$19,$D$20,$D$21,$D$22,$D$23,$D$24,$D$25,$D$26,$D$27,$C$8,$C$9,$C$10,$D$11,$C$12),"")</f>
        <v>197081.92735173766</v>
      </c>
      <c r="AL11" s="255">
        <f ca="1">IF(NOW(),_xll.mirSwapPV($C$3,$C$4,$C$6,$G11,$C$7,$I11+AL$3,$C$16,$C$17,$C$18,$C$19,$C$20,$C$21,$C$22,$C$26,$C$27,$D$15,$D$16,$D$17,$D$18,$D$19,$D$20,$D$21,$D$22,$D$23,$D$24,$D$25,$D$26,$D$27,$C$8,$C$9,$C$10,$D$11,$C$12),"")</f>
        <v>98540.963675868814</v>
      </c>
      <c r="AM11" s="255">
        <f ca="1">IF(NOW(),_xll.mirSwapPV($C$3,$C$4,$C$6,$G11,$C$7,$I11+AM$3,$C$16,$C$17,$C$18,$C$19,$C$20,$C$21,$C$22,$C$26,$C$27,$D$15,$D$16,$D$17,$D$18,$D$19,$D$20,$D$21,$D$22,$D$23,$D$24,$D$25,$D$26,$D$27,$C$8,$C$9,$C$10,$D$11,$C$12),"")</f>
        <v>1.3877787807814457E-11</v>
      </c>
      <c r="AN11" s="255">
        <f ca="1">IF(NOW(),_xll.mirSwapPV($C$3,$C$4,$C$6,$G11,$C$7,$I11+AN$3,$C$16,$C$17,$C$18,$C$19,$C$20,$C$21,$C$22,$C$26,$C$27,$D$15,$D$16,$D$17,$D$18,$D$19,$D$20,$D$21,$D$22,$D$23,$D$24,$D$25,$D$26,$D$27,$C$8,$C$9,$C$10,$D$11,$C$12),"")</f>
        <v>-98540.963675868814</v>
      </c>
      <c r="AO11" s="255">
        <f ca="1">IF(NOW(),_xll.mirSwapPV($C$3,$C$4,$C$6,$G11,$C$7,$I11+AO$3,$C$16,$C$17,$C$18,$C$19,$C$20,$C$21,$C$22,$C$26,$C$27,$D$15,$D$16,$D$17,$D$18,$D$19,$D$20,$D$21,$D$22,$D$23,$D$24,$D$25,$D$26,$D$27,$C$8,$C$9,$C$10,$D$11,$C$12),"")</f>
        <v>-197081.92735173766</v>
      </c>
      <c r="AP11" s="255">
        <f ca="1">IF(NOW(),_xll.mirSwapPV($C$3,$C$4,$C$6,$G11,$C$7,$I11+AP$3,$C$16,$C$17,$C$18,$C$19,$C$20,$C$21,$C$22,$C$26,$C$27,$D$15,$D$16,$D$17,$D$18,$D$19,$D$20,$D$21,$D$22,$D$23,$D$24,$D$25,$D$26,$D$27,$C$8,$C$9,$C$10,$D$11,$C$12),"")</f>
        <v>-295622.89102760644</v>
      </c>
      <c r="AQ11" s="255">
        <f ca="1">IF(NOW(),_xll.mirSwapPV($C$3,$C$4,$C$6,$G11,$C$7,$I11+AQ$3,$C$16,$C$17,$C$18,$C$19,$C$20,$C$21,$C$22,$C$26,$C$27,$D$15,$D$16,$D$17,$D$18,$D$19,$D$20,$D$21,$D$22,$D$23,$D$24,$D$25,$D$26,$D$27,$C$8,$C$9,$C$10,$D$11,$C$12),"")</f>
        <v>-394163.85470347537</v>
      </c>
      <c r="AR11" s="255">
        <f ca="1">IF(NOW(),_xll.mirSwapPV($C$3,$C$4,$C$6,$G11,$C$7,$I11+AR$3,$C$16,$C$17,$C$18,$C$19,$C$20,$C$21,$C$22,$C$26,$C$27,$D$15,$D$16,$D$17,$D$18,$D$19,$D$20,$D$21,$D$22,$D$23,$D$24,$D$25,$D$26,$D$27,$C$8,$C$9,$C$10,$D$11,$C$12),"")</f>
        <v>-492704.81837934413</v>
      </c>
    </row>
    <row r="12" spans="2:44">
      <c r="B12" s="225" t="s">
        <v>438</v>
      </c>
      <c r="C12" s="237" t="b">
        <v>1</v>
      </c>
      <c r="D12" s="237"/>
      <c r="F12" s="224" t="s">
        <v>26</v>
      </c>
      <c r="G12" s="227">
        <f>_xll.mirGetDate($C$6,F12)</f>
        <v>46583</v>
      </c>
      <c r="H12" s="228">
        <f>'JPY Curve Config'!AO19</f>
        <v>7.8000000000000005E-3</v>
      </c>
      <c r="I12" s="229">
        <f ca="1">IF(NOW(),_xll.mirGetParRate4($C$6,F12,$C$7,$C$16,$C$17,$C$18,$C$19,$C$20,$C$21,$C$22,$C$26,$C$27,$D$16,$D$17,$D$18,$D$19,$D$20,$D$21,$D$22,$D$23,$D$24,$D$25,$D$26,$D$27,$C$8,$C$9,$C$10,$C$11,$C$12),"")</f>
        <v>7.8000006013155118E-3</v>
      </c>
      <c r="J12" s="229">
        <f t="shared" ca="1" si="2"/>
        <v>6.0131551127273752E-10</v>
      </c>
      <c r="K12" s="230">
        <f t="shared" ca="1" si="3"/>
        <v>6.0131551127273752E-6</v>
      </c>
      <c r="L12" s="230" t="s">
        <v>12</v>
      </c>
      <c r="M12" s="224" t="s">
        <v>26</v>
      </c>
      <c r="N12" s="255">
        <f ca="1">IF(NOW(),_xll.mirSwapPV($C$3,$C$4,$C$6,$G12,$C$7,$I12+N$3,$C$16,$C$17,$C$18,$C$19,$C$20,$C$21,$C$22,$C$26,$C$27,$D$15,$D$16,$D$17,$D$18,$D$19,$D$20,$D$21,$D$22,$D$23,$D$24,$D$25,$D$26,$D$27,$C$8,$C$9,$C$10,$C$11,$C$12),"")</f>
        <v>586427.41626273922</v>
      </c>
      <c r="O12" s="255">
        <f ca="1">IF(NOW(),_xll.mirSwapPV($C$3,$C$4,$C$6,$G12,$C$7,$I12+O$3,$C$16,$C$17,$C$18,$C$19,$C$20,$C$21,$C$22,$C$26,$C$27,$D$15,$D$16,$D$17,$D$18,$D$19,$D$20,$D$21,$D$22,$D$23,$D$24,$D$25,$D$26,$D$27,$C$8,$C$9,$C$10,$C$11,$C$12),"")</f>
        <v>469141.93301019131</v>
      </c>
      <c r="P12" s="255">
        <f ca="1">IF(NOW(),_xll.mirSwapPV($C$3,$C$4,$C$6,$G12,$C$7,$I12+P$3,$C$16,$C$17,$C$18,$C$19,$C$20,$C$21,$C$22,$C$26,$C$27,$D$15,$D$16,$D$17,$D$18,$D$19,$D$20,$D$21,$D$22,$D$23,$D$24,$D$25,$D$26,$D$27,$C$8,$C$9,$C$10,$C$11,$C$12),"")</f>
        <v>351856.44975764345</v>
      </c>
      <c r="Q12" s="255">
        <f ca="1">IF(NOW(),_xll.mirSwapPV($C$3,$C$4,$C$6,$G12,$C$7,$I12+Q$3,$C$16,$C$17,$C$18,$C$19,$C$20,$C$21,$C$22,$C$26,$C$27,$D$15,$D$16,$D$17,$D$18,$D$19,$D$20,$D$21,$D$22,$D$23,$D$24,$D$25,$D$26,$D$27,$C$8,$C$9,$C$10,$C$11,$C$12),"")</f>
        <v>234570.96650509562</v>
      </c>
      <c r="R12" s="255">
        <f ca="1">IF(NOW(),_xll.mirSwapPV($C$3,$C$4,$C$6,$G12,$C$7,$I12+R$3,$C$16,$C$17,$C$18,$C$19,$C$20,$C$21,$C$22,$C$26,$C$27,$D$15,$D$16,$D$17,$D$18,$D$19,$D$20,$D$21,$D$22,$D$23,$D$24,$D$25,$D$26,$D$27,$C$8,$C$9,$C$10,$C$11,$C$12),"")</f>
        <v>117285.48325254778</v>
      </c>
      <c r="S12" s="255">
        <f ca="1">IF(NOW(),_xll.mirSwapPV($C$3,$C$4,$C$6,$G12,$C$7,$I12+S$3,$C$16,$C$17,$C$18,$C$19,$C$20,$C$21,$C$22,$C$26,$C$27,$D$15,$D$16,$D$17,$D$18,$D$19,$D$20,$D$21,$D$22,$D$23,$D$24,$D$25,$D$26,$D$27,$C$8,$C$9,$C$10,$C$11,$C$12),"")</f>
        <v>0</v>
      </c>
      <c r="T12" s="255">
        <f ca="1">IF(NOW(),_xll.mirSwapPV($C$3,$C$4,$C$6,$G12,$C$7,$I12+T$3,$C$16,$C$17,$C$18,$C$19,$C$20,$C$21,$C$22,$C$26,$C$27,$D$15,$D$16,$D$17,$D$18,$D$19,$D$20,$D$21,$D$22,$D$23,$D$24,$D$25,$D$26,$D$27,$C$8,$C$9,$C$10,$C$11,$C$12),"")</f>
        <v>-117285.48325254784</v>
      </c>
      <c r="U12" s="255">
        <f ca="1">IF(NOW(),_xll.mirSwapPV($C$3,$C$4,$C$6,$G12,$C$7,$I12+U$3,$C$16,$C$17,$C$18,$C$19,$C$20,$C$21,$C$22,$C$26,$C$27,$D$15,$D$16,$D$17,$D$18,$D$19,$D$20,$D$21,$D$22,$D$23,$D$24,$D$25,$D$26,$D$27,$C$8,$C$9,$C$10,$C$11,$C$12),"")</f>
        <v>-234570.96650509568</v>
      </c>
      <c r="V12" s="255">
        <f ca="1">IF(NOW(),_xll.mirSwapPV($C$3,$C$4,$C$6,$G12,$C$7,$I12+V$3,$C$16,$C$17,$C$18,$C$19,$C$20,$C$21,$C$22,$C$26,$C$27,$D$15,$D$16,$D$17,$D$18,$D$19,$D$20,$D$21,$D$22,$D$23,$D$24,$D$25,$D$26,$D$27,$C$8,$C$9,$C$10,$C$11,$C$12),"")</f>
        <v>-351856.44975764351</v>
      </c>
      <c r="W12" s="255">
        <f ca="1">IF(NOW(),_xll.mirSwapPV($C$3,$C$4,$C$6,$G12,$C$7,$I12+W$3,$C$16,$C$17,$C$18,$C$19,$C$20,$C$21,$C$22,$C$26,$C$27,$D$15,$D$16,$D$17,$D$18,$D$19,$D$20,$D$21,$D$22,$D$23,$D$24,$D$25,$D$26,$D$27,$C$8,$C$9,$C$10,$C$11,$C$12),"")</f>
        <v>-469141.93301019131</v>
      </c>
      <c r="X12" s="255">
        <f ca="1">IF(NOW(),_xll.mirSwapPV($C$3,$C$4,$C$6,$G12,$C$7,$I12+X$3,$C$16,$C$17,$C$18,$C$19,$C$20,$C$21,$C$22,$C$26,$C$27,$D$15,$D$16,$D$17,$D$18,$D$19,$D$20,$D$21,$D$22,$D$23,$D$24,$D$25,$D$26,$D$27,$C$8,$C$9,$C$10,$C$11,$C$12),"")</f>
        <v>-586427.41626273922</v>
      </c>
      <c r="Y12" s="230" t="s">
        <v>12</v>
      </c>
      <c r="Z12" s="224" t="s">
        <v>26</v>
      </c>
      <c r="AA12" s="227">
        <f>_xll.mirGetDate($C$6,Z12)</f>
        <v>46583</v>
      </c>
      <c r="AB12" s="228">
        <f t="shared" si="6"/>
        <v>7.8000000000000005E-3</v>
      </c>
      <c r="AC12" s="229">
        <f ca="1">IF(NOW(),_xll.mirGetParRate4($C$6,Z12,$C$7,$C$16,$C$17,$C$18,$C$19,$C$20,$C$21,$C$22,$C$26,$C$27,$D$16,$D$17,$D$18,$D$19,$D$20,$D$21,$D$22,$D$23,$D$24,$D$25,$D$26,$D$27,$C$8,$C$9,$C$10,$D$11,$C$12),"")</f>
        <v>7.8000006013155066E-3</v>
      </c>
      <c r="AD12" s="229">
        <f t="shared" ca="1" si="4"/>
        <v>6.013155060685671E-10</v>
      </c>
      <c r="AE12" s="230">
        <f t="shared" ca="1" si="5"/>
        <v>6.013155060685671E-6</v>
      </c>
      <c r="AG12" s="224" t="s">
        <v>26</v>
      </c>
      <c r="AH12" s="255">
        <f ca="1">IF(NOW(),_xll.mirSwapPV($C$3,$C$4,$C$6,$G12,$C$7,$I12+AH$3,$C$16,$C$17,$C$18,$C$19,$C$20,$C$21,$C$22,$C$26,$C$27,$D$15,$D$16,$D$17,$D$18,$D$19,$D$20,$D$21,$D$22,$D$23,$D$24,$D$25,$D$26,$D$27,$C$8,$C$9,$C$10,$D$11,$C$12),"")</f>
        <v>586427.41626273922</v>
      </c>
      <c r="AI12" s="255">
        <f ca="1">IF(NOW(),_xll.mirSwapPV($C$3,$C$4,$C$6,$G12,$C$7,$I12+AI$3,$C$16,$C$17,$C$18,$C$19,$C$20,$C$21,$C$22,$C$26,$C$27,$D$15,$D$16,$D$17,$D$18,$D$19,$D$20,$D$21,$D$22,$D$23,$D$24,$D$25,$D$26,$D$27,$C$8,$C$9,$C$10,$D$11,$C$12),"")</f>
        <v>469141.93301019125</v>
      </c>
      <c r="AJ12" s="255">
        <f ca="1">IF(NOW(),_xll.mirSwapPV($C$3,$C$4,$C$6,$G12,$C$7,$I12+AJ$3,$C$16,$C$17,$C$18,$C$19,$C$20,$C$21,$C$22,$C$26,$C$27,$D$15,$D$16,$D$17,$D$18,$D$19,$D$20,$D$21,$D$22,$D$23,$D$24,$D$25,$D$26,$D$27,$C$8,$C$9,$C$10,$D$11,$C$12),"")</f>
        <v>351856.44975764339</v>
      </c>
      <c r="AK12" s="255">
        <f ca="1">IF(NOW(),_xll.mirSwapPV($C$3,$C$4,$C$6,$G12,$C$7,$I12+AK$3,$C$16,$C$17,$C$18,$C$19,$C$20,$C$21,$C$22,$C$26,$C$27,$D$15,$D$16,$D$17,$D$18,$D$19,$D$20,$D$21,$D$22,$D$23,$D$24,$D$25,$D$26,$D$27,$C$8,$C$9,$C$10,$D$11,$C$12),"")</f>
        <v>234570.96650509557</v>
      </c>
      <c r="AL12" s="255">
        <f ca="1">IF(NOW(),_xll.mirSwapPV($C$3,$C$4,$C$6,$G12,$C$7,$I12+AL$3,$C$16,$C$17,$C$18,$C$19,$C$20,$C$21,$C$22,$C$26,$C$27,$D$15,$D$16,$D$17,$D$18,$D$19,$D$20,$D$21,$D$22,$D$23,$D$24,$D$25,$D$26,$D$27,$C$8,$C$9,$C$10,$D$11,$C$12),"")</f>
        <v>117285.48325254772</v>
      </c>
      <c r="AM12" s="255">
        <f ca="1">IF(NOW(),_xll.mirSwapPV($C$3,$C$4,$C$6,$G12,$C$7,$I12+AM$3,$C$16,$C$17,$C$18,$C$19,$C$20,$C$21,$C$22,$C$26,$C$27,$D$15,$D$16,$D$17,$D$18,$D$19,$D$20,$D$21,$D$22,$D$23,$D$24,$D$25,$D$26,$D$27,$C$8,$C$9,$C$10,$D$11,$C$12),"")</f>
        <v>-5.5511151231257827E-11</v>
      </c>
      <c r="AN12" s="255">
        <f ca="1">IF(NOW(),_xll.mirSwapPV($C$3,$C$4,$C$6,$G12,$C$7,$I12+AN$3,$C$16,$C$17,$C$18,$C$19,$C$20,$C$21,$C$22,$C$26,$C$27,$D$15,$D$16,$D$17,$D$18,$D$19,$D$20,$D$21,$D$22,$D$23,$D$24,$D$25,$D$26,$D$27,$C$8,$C$9,$C$10,$D$11,$C$12),"")</f>
        <v>-117285.4832525479</v>
      </c>
      <c r="AO12" s="255">
        <f ca="1">IF(NOW(),_xll.mirSwapPV($C$3,$C$4,$C$6,$G12,$C$7,$I12+AO$3,$C$16,$C$17,$C$18,$C$19,$C$20,$C$21,$C$22,$C$26,$C$27,$D$15,$D$16,$D$17,$D$18,$D$19,$D$20,$D$21,$D$22,$D$23,$D$24,$D$25,$D$26,$D$27,$C$8,$C$9,$C$10,$D$11,$C$12),"")</f>
        <v>-234570.96650509574</v>
      </c>
      <c r="AP12" s="255">
        <f ca="1">IF(NOW(),_xll.mirSwapPV($C$3,$C$4,$C$6,$G12,$C$7,$I12+AP$3,$C$16,$C$17,$C$18,$C$19,$C$20,$C$21,$C$22,$C$26,$C$27,$D$15,$D$16,$D$17,$D$18,$D$19,$D$20,$D$21,$D$22,$D$23,$D$24,$D$25,$D$26,$D$27,$C$8,$C$9,$C$10,$D$11,$C$12),"")</f>
        <v>-351856.44975764357</v>
      </c>
      <c r="AQ12" s="255">
        <f ca="1">IF(NOW(),_xll.mirSwapPV($C$3,$C$4,$C$6,$G12,$C$7,$I12+AQ$3,$C$16,$C$17,$C$18,$C$19,$C$20,$C$21,$C$22,$C$26,$C$27,$D$15,$D$16,$D$17,$D$18,$D$19,$D$20,$D$21,$D$22,$D$23,$D$24,$D$25,$D$26,$D$27,$C$8,$C$9,$C$10,$D$11,$C$12),"")</f>
        <v>-469141.93301019137</v>
      </c>
      <c r="AR12" s="255">
        <f ca="1">IF(NOW(),_xll.mirSwapPV($C$3,$C$4,$C$6,$G12,$C$7,$I12+AR$3,$C$16,$C$17,$C$18,$C$19,$C$20,$C$21,$C$22,$C$26,$C$27,$D$15,$D$16,$D$17,$D$18,$D$19,$D$20,$D$21,$D$22,$D$23,$D$24,$D$25,$D$26,$D$27,$C$8,$C$9,$C$10,$D$11,$C$12),"")</f>
        <v>-586427.41626273934</v>
      </c>
    </row>
    <row r="13" spans="2:44">
      <c r="F13" s="224" t="s">
        <v>24</v>
      </c>
      <c r="G13" s="227">
        <f>_xll.mirGetDate($C$6,F13)</f>
        <v>47679</v>
      </c>
      <c r="H13" s="228">
        <f>'JPY Curve Config'!AO20</f>
        <v>9.9500000000000005E-3</v>
      </c>
      <c r="I13" s="229">
        <f ca="1">IF(NOW(),_xll.mirGetParRate4($C$6,F13,$C$7,$C$16,$C$17,$C$18,$C$19,$C$20,$C$21,$C$22,$C$26,$C$27,$D$16,$D$17,$D$18,$D$19,$D$20,$D$21,$D$22,$D$23,$D$24,$D$25,$D$26,$D$27,$C$8,$C$9,$C$10,$C$11,$C$12),"")</f>
        <v>9.9500011856867056E-3</v>
      </c>
      <c r="J13" s="229">
        <f t="shared" ca="1" si="2"/>
        <v>1.1856867050685782E-9</v>
      </c>
      <c r="K13" s="230">
        <f t="shared" ca="1" si="3"/>
        <v>1.1856867050685782E-5</v>
      </c>
      <c r="L13" s="230" t="s">
        <v>12</v>
      </c>
      <c r="M13" s="224" t="s">
        <v>24</v>
      </c>
      <c r="N13" s="255">
        <f ca="1">IF(NOW(),_xll.mirSwapPV($C$3,$C$4,$C$6,$G13,$C$7,$I13+N$3,$C$16,$C$17,$C$18,$C$19,$C$20,$C$21,$C$22,$C$26,$C$27,$D$15,$D$16,$D$17,$D$18,$D$19,$D$20,$D$21,$D$22,$D$23,$D$24,$D$25,$D$26,$D$27,$C$8,$C$9,$C$10,$C$11,$C$12),"")</f>
        <v>721861.46365523851</v>
      </c>
      <c r="O13" s="255">
        <f ca="1">IF(NOW(),_xll.mirSwapPV($C$3,$C$4,$C$6,$G13,$C$7,$I13+O$3,$C$16,$C$17,$C$18,$C$19,$C$20,$C$21,$C$22,$C$26,$C$27,$D$15,$D$16,$D$17,$D$18,$D$19,$D$20,$D$21,$D$22,$D$23,$D$24,$D$25,$D$26,$D$27,$C$8,$C$9,$C$10,$C$11,$C$12),"")</f>
        <v>577489.17092419066</v>
      </c>
      <c r="P13" s="255">
        <f ca="1">IF(NOW(),_xll.mirSwapPV($C$3,$C$4,$C$6,$G13,$C$7,$I13+P$3,$C$16,$C$17,$C$18,$C$19,$C$20,$C$21,$C$22,$C$26,$C$27,$D$15,$D$16,$D$17,$D$18,$D$19,$D$20,$D$21,$D$22,$D$23,$D$24,$D$25,$D$26,$D$27,$C$8,$C$9,$C$10,$C$11,$C$12),"")</f>
        <v>433116.87819314306</v>
      </c>
      <c r="Q13" s="255">
        <f ca="1">IF(NOW(),_xll.mirSwapPV($C$3,$C$4,$C$6,$G13,$C$7,$I13+Q$3,$C$16,$C$17,$C$18,$C$19,$C$20,$C$21,$C$22,$C$26,$C$27,$D$15,$D$16,$D$17,$D$18,$D$19,$D$20,$D$21,$D$22,$D$23,$D$24,$D$25,$D$26,$D$27,$C$8,$C$9,$C$10,$C$11,$C$12),"")</f>
        <v>288744.58546209533</v>
      </c>
      <c r="R13" s="255">
        <f ca="1">IF(NOW(),_xll.mirSwapPV($C$3,$C$4,$C$6,$G13,$C$7,$I13+R$3,$C$16,$C$17,$C$18,$C$19,$C$20,$C$21,$C$22,$C$26,$C$27,$D$15,$D$16,$D$17,$D$18,$D$19,$D$20,$D$21,$D$22,$D$23,$D$24,$D$25,$D$26,$D$27,$C$8,$C$9,$C$10,$C$11,$C$12),"")</f>
        <v>144372.29273104767</v>
      </c>
      <c r="S13" s="255">
        <f ca="1">IF(NOW(),_xll.mirSwapPV($C$3,$C$4,$C$6,$G13,$C$7,$I13+S$3,$C$16,$C$17,$C$18,$C$19,$C$20,$C$21,$C$22,$C$26,$C$27,$D$15,$D$16,$D$17,$D$18,$D$19,$D$20,$D$21,$D$22,$D$23,$D$24,$D$25,$D$26,$D$27,$C$8,$C$9,$C$10,$C$11,$C$12),"")</f>
        <v>0</v>
      </c>
      <c r="T13" s="255">
        <f ca="1">IF(NOW(),_xll.mirSwapPV($C$3,$C$4,$C$6,$G13,$C$7,$I13+T$3,$C$16,$C$17,$C$18,$C$19,$C$20,$C$21,$C$22,$C$26,$C$27,$D$15,$D$16,$D$17,$D$18,$D$19,$D$20,$D$21,$D$22,$D$23,$D$24,$D$25,$D$26,$D$27,$C$8,$C$9,$C$10,$C$11,$C$12),"")</f>
        <v>-144372.29273104767</v>
      </c>
      <c r="U13" s="255">
        <f ca="1">IF(NOW(),_xll.mirSwapPV($C$3,$C$4,$C$6,$G13,$C$7,$I13+U$3,$C$16,$C$17,$C$18,$C$19,$C$20,$C$21,$C$22,$C$26,$C$27,$D$15,$D$16,$D$17,$D$18,$D$19,$D$20,$D$21,$D$22,$D$23,$D$24,$D$25,$D$26,$D$27,$C$8,$C$9,$C$10,$C$11,$C$12),"")</f>
        <v>-288744.58546209533</v>
      </c>
      <c r="V13" s="255">
        <f ca="1">IF(NOW(),_xll.mirSwapPV($C$3,$C$4,$C$6,$G13,$C$7,$I13+V$3,$C$16,$C$17,$C$18,$C$19,$C$20,$C$21,$C$22,$C$26,$C$27,$D$15,$D$16,$D$17,$D$18,$D$19,$D$20,$D$21,$D$22,$D$23,$D$24,$D$25,$D$26,$D$27,$C$8,$C$9,$C$10,$C$11,$C$12),"")</f>
        <v>-433116.87819314294</v>
      </c>
      <c r="W13" s="255">
        <f ca="1">IF(NOW(),_xll.mirSwapPV($C$3,$C$4,$C$6,$G13,$C$7,$I13+W$3,$C$16,$C$17,$C$18,$C$19,$C$20,$C$21,$C$22,$C$26,$C$27,$D$15,$D$16,$D$17,$D$18,$D$19,$D$20,$D$21,$D$22,$D$23,$D$24,$D$25,$D$26,$D$27,$C$8,$C$9,$C$10,$C$11,$C$12),"")</f>
        <v>-577489.17092419066</v>
      </c>
      <c r="X13" s="255">
        <f ca="1">IF(NOW(),_xll.mirSwapPV($C$3,$C$4,$C$6,$G13,$C$7,$I13+X$3,$C$16,$C$17,$C$18,$C$19,$C$20,$C$21,$C$22,$C$26,$C$27,$D$15,$D$16,$D$17,$D$18,$D$19,$D$20,$D$21,$D$22,$D$23,$D$24,$D$25,$D$26,$D$27,$C$8,$C$9,$C$10,$C$11,$C$12),"")</f>
        <v>-721861.46365523827</v>
      </c>
      <c r="Y13" s="230" t="s">
        <v>12</v>
      </c>
      <c r="Z13" s="224" t="s">
        <v>24</v>
      </c>
      <c r="AA13" s="227">
        <f>_xll.mirGetDate($C$6,Z13)</f>
        <v>47679</v>
      </c>
      <c r="AB13" s="228">
        <f t="shared" si="6"/>
        <v>9.9500000000000005E-3</v>
      </c>
      <c r="AC13" s="229">
        <f ca="1">IF(NOW(),_xll.mirGetParRate4($C$6,Z13,$C$7,$C$16,$C$17,$C$18,$C$19,$C$20,$C$21,$C$22,$C$26,$C$27,$D$16,$D$17,$D$18,$D$19,$D$20,$D$21,$D$22,$D$23,$D$24,$D$25,$D$26,$D$27,$C$8,$C$9,$C$10,$D$11,$C$12),"")</f>
        <v>9.9500011856866917E-3</v>
      </c>
      <c r="AD13" s="229">
        <f t="shared" ca="1" si="4"/>
        <v>1.1856866911907904E-9</v>
      </c>
      <c r="AE13" s="230">
        <f t="shared" ca="1" si="5"/>
        <v>1.1856866911907904E-5</v>
      </c>
      <c r="AG13" s="224" t="s">
        <v>24</v>
      </c>
      <c r="AH13" s="255">
        <f ca="1">IF(NOW(),_xll.mirSwapPV($C$3,$C$4,$C$6,$G13,$C$7,$I13+AH$3,$C$16,$C$17,$C$18,$C$19,$C$20,$C$21,$C$22,$C$26,$C$27,$D$15,$D$16,$D$17,$D$18,$D$19,$D$20,$D$21,$D$22,$D$23,$D$24,$D$25,$D$26,$D$27,$C$8,$C$9,$C$10,$D$11,$C$12),"")</f>
        <v>721861.46365523827</v>
      </c>
      <c r="AI13" s="255">
        <f ca="1">IF(NOW(),_xll.mirSwapPV($C$3,$C$4,$C$6,$G13,$C$7,$I13+AI$3,$C$16,$C$17,$C$18,$C$19,$C$20,$C$21,$C$22,$C$26,$C$27,$D$15,$D$16,$D$17,$D$18,$D$19,$D$20,$D$21,$D$22,$D$23,$D$24,$D$25,$D$26,$D$27,$C$8,$C$9,$C$10,$D$11,$C$12),"")</f>
        <v>577489.17092419055</v>
      </c>
      <c r="AJ13" s="255">
        <f ca="1">IF(NOW(),_xll.mirSwapPV($C$3,$C$4,$C$6,$G13,$C$7,$I13+AJ$3,$C$16,$C$17,$C$18,$C$19,$C$20,$C$21,$C$22,$C$26,$C$27,$D$15,$D$16,$D$17,$D$18,$D$19,$D$20,$D$21,$D$22,$D$23,$D$24,$D$25,$D$26,$D$27,$C$8,$C$9,$C$10,$D$11,$C$12),"")</f>
        <v>433116.87819314282</v>
      </c>
      <c r="AK13" s="255">
        <f ca="1">IF(NOW(),_xll.mirSwapPV($C$3,$C$4,$C$6,$G13,$C$7,$I13+AK$3,$C$16,$C$17,$C$18,$C$19,$C$20,$C$21,$C$22,$C$26,$C$27,$D$15,$D$16,$D$17,$D$18,$D$19,$D$20,$D$21,$D$22,$D$23,$D$24,$D$25,$D$26,$D$27,$C$8,$C$9,$C$10,$D$11,$C$12),"")</f>
        <v>288744.5854620951</v>
      </c>
      <c r="AL13" s="255">
        <f ca="1">IF(NOW(),_xll.mirSwapPV($C$3,$C$4,$C$6,$G13,$C$7,$I13+AL$3,$C$16,$C$17,$C$18,$C$19,$C$20,$C$21,$C$22,$C$26,$C$27,$D$15,$D$16,$D$17,$D$18,$D$19,$D$20,$D$21,$D$22,$D$23,$D$24,$D$25,$D$26,$D$27,$C$8,$C$9,$C$10,$D$11,$C$12),"")</f>
        <v>144372.29273104743</v>
      </c>
      <c r="AM13" s="255">
        <f ca="1">IF(NOW(),_xll.mirSwapPV($C$3,$C$4,$C$6,$G13,$C$7,$I13+AM$3,$C$16,$C$17,$C$18,$C$19,$C$20,$C$21,$C$22,$C$26,$C$27,$D$15,$D$16,$D$17,$D$18,$D$19,$D$20,$D$21,$D$22,$D$23,$D$24,$D$25,$D$26,$D$27,$C$8,$C$9,$C$10,$D$11,$C$12),"")</f>
        <v>-2.2204460492503131E-10</v>
      </c>
      <c r="AN13" s="255">
        <f ca="1">IF(NOW(),_xll.mirSwapPV($C$3,$C$4,$C$6,$G13,$C$7,$I13+AN$3,$C$16,$C$17,$C$18,$C$19,$C$20,$C$21,$C$22,$C$26,$C$27,$D$15,$D$16,$D$17,$D$18,$D$19,$D$20,$D$21,$D$22,$D$23,$D$24,$D$25,$D$26,$D$27,$C$8,$C$9,$C$10,$D$11,$C$12),"")</f>
        <v>-144372.29273104787</v>
      </c>
      <c r="AO13" s="255">
        <f ca="1">IF(NOW(),_xll.mirSwapPV($C$3,$C$4,$C$6,$G13,$C$7,$I13+AO$3,$C$16,$C$17,$C$18,$C$19,$C$20,$C$21,$C$22,$C$26,$C$27,$D$15,$D$16,$D$17,$D$18,$D$19,$D$20,$D$21,$D$22,$D$23,$D$24,$D$25,$D$26,$D$27,$C$8,$C$9,$C$10,$D$11,$C$12),"")</f>
        <v>-288744.58546209557</v>
      </c>
      <c r="AP13" s="255">
        <f ca="1">IF(NOW(),_xll.mirSwapPV($C$3,$C$4,$C$6,$G13,$C$7,$I13+AP$3,$C$16,$C$17,$C$18,$C$19,$C$20,$C$21,$C$22,$C$26,$C$27,$D$15,$D$16,$D$17,$D$18,$D$19,$D$20,$D$21,$D$22,$D$23,$D$24,$D$25,$D$26,$D$27,$C$8,$C$9,$C$10,$D$11,$C$12),"")</f>
        <v>-433116.87819314317</v>
      </c>
      <c r="AQ13" s="255">
        <f ca="1">IF(NOW(),_xll.mirSwapPV($C$3,$C$4,$C$6,$G13,$C$7,$I13+AQ$3,$C$16,$C$17,$C$18,$C$19,$C$20,$C$21,$C$22,$C$26,$C$27,$D$15,$D$16,$D$17,$D$18,$D$19,$D$20,$D$21,$D$22,$D$23,$D$24,$D$25,$D$26,$D$27,$C$8,$C$9,$C$10,$D$11,$C$12),"")</f>
        <v>-577489.1709241909</v>
      </c>
      <c r="AR13" s="255">
        <f ca="1">IF(NOW(),_xll.mirSwapPV($C$3,$C$4,$C$6,$G13,$C$7,$I13+AR$3,$C$16,$C$17,$C$18,$C$19,$C$20,$C$21,$C$22,$C$26,$C$27,$D$15,$D$16,$D$17,$D$18,$D$19,$D$20,$D$21,$D$22,$D$23,$D$24,$D$25,$D$26,$D$27,$C$8,$C$9,$C$10,$D$11,$C$12),"")</f>
        <v>-721861.46365523851</v>
      </c>
    </row>
    <row r="14" spans="2:44">
      <c r="B14" t="s">
        <v>439</v>
      </c>
      <c r="C14" s="112" t="s">
        <v>440</v>
      </c>
      <c r="D14" s="112" t="s">
        <v>441</v>
      </c>
      <c r="F14" s="224" t="s">
        <v>20</v>
      </c>
      <c r="G14" s="227">
        <f>_xll.mirGetDate($C$6,F14)</f>
        <v>49505</v>
      </c>
      <c r="H14" s="228">
        <f>'JPY Curve Config'!AO21</f>
        <v>1.269E-2</v>
      </c>
      <c r="I14" s="229">
        <f ca="1">IF(NOW(),_xll.mirGetParRate4($C$6,F14,$C$7,$C$16,$C$17,$C$18,$C$19,$C$20,$C$21,$C$22,$C$26,$C$27,$D$16,$D$17,$D$18,$D$19,$D$20,$D$21,$D$22,$D$23,$D$24,$D$25,$D$26,$D$27,$C$8,$C$9,$C$10,$C$11,$C$12),"")</f>
        <v>1.269000078555553E-2</v>
      </c>
      <c r="J14" s="229">
        <f t="shared" ca="1" si="2"/>
        <v>7.8555553034709291E-10</v>
      </c>
      <c r="K14" s="230">
        <f t="shared" ca="1" si="3"/>
        <v>7.8555553034709291E-6</v>
      </c>
      <c r="L14" s="230" t="s">
        <v>12</v>
      </c>
      <c r="M14" s="224" t="s">
        <v>20</v>
      </c>
      <c r="N14" s="255">
        <f ca="1">IF(NOW(),_xll.mirSwapPV($C$3,$C$4,$C$6,$G14,$C$7,$I14+N$3,$C$16,$C$17,$C$18,$C$19,$C$20,$C$21,$C$22,$C$26,$C$27,$D$15,$D$16,$D$17,$D$18,$D$19,$D$20,$D$21,$D$22,$D$23,$D$24,$D$25,$D$26,$D$27,$C$8,$C$9,$C$10,$C$11,$C$12),"")</f>
        <v>930300.79110236035</v>
      </c>
      <c r="O14" s="255">
        <f ca="1">IF(NOW(),_xll.mirSwapPV($C$3,$C$4,$C$6,$G14,$C$7,$I14+O$3,$C$16,$C$17,$C$18,$C$19,$C$20,$C$21,$C$22,$C$26,$C$27,$D$15,$D$16,$D$17,$D$18,$D$19,$D$20,$D$21,$D$22,$D$23,$D$24,$D$25,$D$26,$D$27,$C$8,$C$9,$C$10,$C$11,$C$12),"")</f>
        <v>744240.63288188819</v>
      </c>
      <c r="P14" s="255">
        <f ca="1">IF(NOW(),_xll.mirSwapPV($C$3,$C$4,$C$6,$G14,$C$7,$I14+P$3,$C$16,$C$17,$C$18,$C$19,$C$20,$C$21,$C$22,$C$26,$C$27,$D$15,$D$16,$D$17,$D$18,$D$19,$D$20,$D$21,$D$22,$D$23,$D$24,$D$25,$D$26,$D$27,$C$8,$C$9,$C$10,$C$11,$C$12),"")</f>
        <v>558180.47466141602</v>
      </c>
      <c r="Q14" s="255">
        <f ca="1">IF(NOW(),_xll.mirSwapPV($C$3,$C$4,$C$6,$G14,$C$7,$I14+Q$3,$C$16,$C$17,$C$18,$C$19,$C$20,$C$21,$C$22,$C$26,$C$27,$D$15,$D$16,$D$17,$D$18,$D$19,$D$20,$D$21,$D$22,$D$23,$D$24,$D$25,$D$26,$D$27,$C$8,$C$9,$C$10,$C$11,$C$12),"")</f>
        <v>372120.31644094404</v>
      </c>
      <c r="R14" s="255">
        <f ca="1">IF(NOW(),_xll.mirSwapPV($C$3,$C$4,$C$6,$G14,$C$7,$I14+R$3,$C$16,$C$17,$C$18,$C$19,$C$20,$C$21,$C$22,$C$26,$C$27,$D$15,$D$16,$D$17,$D$18,$D$19,$D$20,$D$21,$D$22,$D$23,$D$24,$D$25,$D$26,$D$27,$C$8,$C$9,$C$10,$C$11,$C$12),"")</f>
        <v>186060.15822047199</v>
      </c>
      <c r="S14" s="255">
        <f ca="1">IF(NOW(),_xll.mirSwapPV($C$3,$C$4,$C$6,$G14,$C$7,$I14+S$3,$C$16,$C$17,$C$18,$C$19,$C$20,$C$21,$C$22,$C$26,$C$27,$D$15,$D$16,$D$17,$D$18,$D$19,$D$20,$D$21,$D$22,$D$23,$D$24,$D$25,$D$26,$D$27,$C$8,$C$9,$C$10,$C$11,$C$12),"")</f>
        <v>0</v>
      </c>
      <c r="T14" s="255">
        <f ca="1">IF(NOW(),_xll.mirSwapPV($C$3,$C$4,$C$6,$G14,$C$7,$I14+T$3,$C$16,$C$17,$C$18,$C$19,$C$20,$C$21,$C$22,$C$26,$C$27,$D$15,$D$16,$D$17,$D$18,$D$19,$D$20,$D$21,$D$22,$D$23,$D$24,$D$25,$D$26,$D$27,$C$8,$C$9,$C$10,$C$11,$C$12),"")</f>
        <v>-186060.15822047211</v>
      </c>
      <c r="U14" s="255">
        <f ca="1">IF(NOW(),_xll.mirSwapPV($C$3,$C$4,$C$6,$G14,$C$7,$I14+U$3,$C$16,$C$17,$C$18,$C$19,$C$20,$C$21,$C$22,$C$26,$C$27,$D$15,$D$16,$D$17,$D$18,$D$19,$D$20,$D$21,$D$22,$D$23,$D$24,$D$25,$D$26,$D$27,$C$8,$C$9,$C$10,$C$11,$C$12),"")</f>
        <v>-372120.31644094409</v>
      </c>
      <c r="V14" s="255">
        <f ca="1">IF(NOW(),_xll.mirSwapPV($C$3,$C$4,$C$6,$G14,$C$7,$I14+V$3,$C$16,$C$17,$C$18,$C$19,$C$20,$C$21,$C$22,$C$26,$C$27,$D$15,$D$16,$D$17,$D$18,$D$19,$D$20,$D$21,$D$22,$D$23,$D$24,$D$25,$D$26,$D$27,$C$8,$C$9,$C$10,$C$11,$C$12),"")</f>
        <v>-558180.47466141614</v>
      </c>
      <c r="W14" s="255">
        <f ca="1">IF(NOW(),_xll.mirSwapPV($C$3,$C$4,$C$6,$G14,$C$7,$I14+W$3,$C$16,$C$17,$C$18,$C$19,$C$20,$C$21,$C$22,$C$26,$C$27,$D$15,$D$16,$D$17,$D$18,$D$19,$D$20,$D$21,$D$22,$D$23,$D$24,$D$25,$D$26,$D$27,$C$8,$C$9,$C$10,$C$11,$C$12),"")</f>
        <v>-744240.63288188819</v>
      </c>
      <c r="X14" s="255">
        <f ca="1">IF(NOW(),_xll.mirSwapPV($C$3,$C$4,$C$6,$G14,$C$7,$I14+X$3,$C$16,$C$17,$C$18,$C$19,$C$20,$C$21,$C$22,$C$26,$C$27,$D$15,$D$16,$D$17,$D$18,$D$19,$D$20,$D$21,$D$22,$D$23,$D$24,$D$25,$D$26,$D$27,$C$8,$C$9,$C$10,$C$11,$C$12),"")</f>
        <v>-930300.79110236024</v>
      </c>
      <c r="Y14" s="230" t="s">
        <v>12</v>
      </c>
      <c r="Z14" s="224" t="s">
        <v>20</v>
      </c>
      <c r="AA14" s="227">
        <f>_xll.mirGetDate($C$6,Z14)</f>
        <v>49505</v>
      </c>
      <c r="AB14" s="228">
        <f t="shared" si="6"/>
        <v>1.269E-2</v>
      </c>
      <c r="AC14" s="229">
        <f ca="1">IF(NOW(),_xll.mirGetParRate4($C$6,Z14,$C$7,$C$16,$C$17,$C$18,$C$19,$C$20,$C$21,$C$22,$C$26,$C$27,$D$16,$D$17,$D$18,$D$19,$D$20,$D$21,$D$22,$D$23,$D$24,$D$25,$D$26,$D$27,$C$8,$C$9,$C$10,$D$11,$C$12),"")</f>
        <v>1.2690000785555532E-2</v>
      </c>
      <c r="AD14" s="229">
        <f t="shared" ca="1" si="4"/>
        <v>7.8555553208181639E-10</v>
      </c>
      <c r="AE14" s="230">
        <f t="shared" ca="1" si="5"/>
        <v>7.8555553208181639E-6</v>
      </c>
      <c r="AG14" s="224" t="s">
        <v>20</v>
      </c>
      <c r="AH14" s="255">
        <f ca="1">IF(NOW(),_xll.mirSwapPV($C$3,$C$4,$C$6,$G14,$C$7,$I14+AH$3,$C$16,$C$17,$C$18,$C$19,$C$20,$C$21,$C$22,$C$26,$C$27,$D$15,$D$16,$D$17,$D$18,$D$19,$D$20,$D$21,$D$22,$D$23,$D$24,$D$25,$D$26,$D$27,$C$8,$C$9,$C$10,$D$11,$C$12),"")</f>
        <v>930300.79110236035</v>
      </c>
      <c r="AI14" s="255">
        <f ca="1">IF(NOW(),_xll.mirSwapPV($C$3,$C$4,$C$6,$G14,$C$7,$I14+AI$3,$C$16,$C$17,$C$18,$C$19,$C$20,$C$21,$C$22,$C$26,$C$27,$D$15,$D$16,$D$17,$D$18,$D$19,$D$20,$D$21,$D$22,$D$23,$D$24,$D$25,$D$26,$D$27,$C$8,$C$9,$C$10,$D$11,$C$12),"")</f>
        <v>744240.63288188819</v>
      </c>
      <c r="AJ14" s="255">
        <f ca="1">IF(NOW(),_xll.mirSwapPV($C$3,$C$4,$C$6,$G14,$C$7,$I14+AJ$3,$C$16,$C$17,$C$18,$C$19,$C$20,$C$21,$C$22,$C$26,$C$27,$D$15,$D$16,$D$17,$D$18,$D$19,$D$20,$D$21,$D$22,$D$23,$D$24,$D$25,$D$26,$D$27,$C$8,$C$9,$C$10,$D$11,$C$12),"")</f>
        <v>558180.47466141614</v>
      </c>
      <c r="AK14" s="255">
        <f ca="1">IF(NOW(),_xll.mirSwapPV($C$3,$C$4,$C$6,$G14,$C$7,$I14+AK$3,$C$16,$C$17,$C$18,$C$19,$C$20,$C$21,$C$22,$C$26,$C$27,$D$15,$D$16,$D$17,$D$18,$D$19,$D$20,$D$21,$D$22,$D$23,$D$24,$D$25,$D$26,$D$27,$C$8,$C$9,$C$10,$D$11,$C$12),"")</f>
        <v>372120.31644094409</v>
      </c>
      <c r="AL14" s="255">
        <f ca="1">IF(NOW(),_xll.mirSwapPV($C$3,$C$4,$C$6,$G14,$C$7,$I14+AL$3,$C$16,$C$17,$C$18,$C$19,$C$20,$C$21,$C$22,$C$26,$C$27,$D$15,$D$16,$D$17,$D$18,$D$19,$D$20,$D$21,$D$22,$D$23,$D$24,$D$25,$D$26,$D$27,$C$8,$C$9,$C$10,$D$11,$C$12),"")</f>
        <v>186060.15822047202</v>
      </c>
      <c r="AM14" s="255">
        <f ca="1">IF(NOW(),_xll.mirSwapPV($C$3,$C$4,$C$6,$G14,$C$7,$I14+AM$3,$C$16,$C$17,$C$18,$C$19,$C$20,$C$21,$C$22,$C$26,$C$27,$D$15,$D$16,$D$17,$D$18,$D$19,$D$20,$D$21,$D$22,$D$23,$D$24,$D$25,$D$26,$D$27,$C$8,$C$9,$C$10,$D$11,$C$12),"")</f>
        <v>2.7755575615628914E-11</v>
      </c>
      <c r="AN14" s="255">
        <f ca="1">IF(NOW(),_xll.mirSwapPV($C$3,$C$4,$C$6,$G14,$C$7,$I14+AN$3,$C$16,$C$17,$C$18,$C$19,$C$20,$C$21,$C$22,$C$26,$C$27,$D$15,$D$16,$D$17,$D$18,$D$19,$D$20,$D$21,$D$22,$D$23,$D$24,$D$25,$D$26,$D$27,$C$8,$C$9,$C$10,$D$11,$C$12),"")</f>
        <v>-186060.15822047208</v>
      </c>
      <c r="AO14" s="255">
        <f ca="1">IF(NOW(),_xll.mirSwapPV($C$3,$C$4,$C$6,$G14,$C$7,$I14+AO$3,$C$16,$C$17,$C$18,$C$19,$C$20,$C$21,$C$22,$C$26,$C$27,$D$15,$D$16,$D$17,$D$18,$D$19,$D$20,$D$21,$D$22,$D$23,$D$24,$D$25,$D$26,$D$27,$C$8,$C$9,$C$10,$D$11,$C$12),"")</f>
        <v>-372120.31644094409</v>
      </c>
      <c r="AP14" s="255">
        <f ca="1">IF(NOW(),_xll.mirSwapPV($C$3,$C$4,$C$6,$G14,$C$7,$I14+AP$3,$C$16,$C$17,$C$18,$C$19,$C$20,$C$21,$C$22,$C$26,$C$27,$D$15,$D$16,$D$17,$D$18,$D$19,$D$20,$D$21,$D$22,$D$23,$D$24,$D$25,$D$26,$D$27,$C$8,$C$9,$C$10,$D$11,$C$12),"")</f>
        <v>-558180.47466141614</v>
      </c>
      <c r="AQ14" s="255">
        <f ca="1">IF(NOW(),_xll.mirSwapPV($C$3,$C$4,$C$6,$G14,$C$7,$I14+AQ$3,$C$16,$C$17,$C$18,$C$19,$C$20,$C$21,$C$22,$C$26,$C$27,$D$15,$D$16,$D$17,$D$18,$D$19,$D$20,$D$21,$D$22,$D$23,$D$24,$D$25,$D$26,$D$27,$C$8,$C$9,$C$10,$D$11,$C$12),"")</f>
        <v>-744240.63288188819</v>
      </c>
      <c r="AR14" s="255">
        <f ca="1">IF(NOW(),_xll.mirSwapPV($C$3,$C$4,$C$6,$G14,$C$7,$I14+AR$3,$C$16,$C$17,$C$18,$C$19,$C$20,$C$21,$C$22,$C$26,$C$27,$D$15,$D$16,$D$17,$D$18,$D$19,$D$20,$D$21,$D$22,$D$23,$D$24,$D$25,$D$26,$D$27,$C$8,$C$9,$C$10,$D$11,$C$12),"")</f>
        <v>-930300.79110236024</v>
      </c>
    </row>
    <row r="15" spans="2:44">
      <c r="B15" s="221" t="s">
        <v>442</v>
      </c>
      <c r="C15" s="238">
        <v>0</v>
      </c>
      <c r="D15" s="239">
        <v>0</v>
      </c>
      <c r="F15" s="224" t="s">
        <v>18</v>
      </c>
      <c r="G15" s="227">
        <f>_xll.mirGetDate($C$6,F15)</f>
        <v>51332</v>
      </c>
      <c r="H15" s="228">
        <f>'JPY Curve Config'!AO22</f>
        <v>1.4199999999999999E-2</v>
      </c>
      <c r="I15" s="229">
        <f ca="1">IF(NOW(),_xll.mirGetParRate4($C$6,F15,$C$7,$C$16,$C$17,$C$18,$C$19,$C$20,$C$21,$C$22,$C$26,$C$27,$D$16,$D$17,$D$18,$D$19,$D$20,$D$21,$D$22,$D$23,$D$24,$D$25,$D$26,$D$27,$C$8,$C$9,$C$10,$C$11,$C$12),"")</f>
        <v>1.4199999323300112E-2</v>
      </c>
      <c r="J15" s="229">
        <f t="shared" ca="1" si="2"/>
        <v>-6.7669988709773143E-10</v>
      </c>
      <c r="K15" s="230">
        <f t="shared" ca="1" si="3"/>
        <v>-6.7669988709773143E-6</v>
      </c>
      <c r="L15" s="230" t="s">
        <v>12</v>
      </c>
      <c r="M15" s="224" t="s">
        <v>18</v>
      </c>
      <c r="N15" s="255">
        <f ca="1">IF(NOW(),_xll.mirSwapPV($C$3,$C$4,$C$6,$G15,$C$7,$I15+N$3,$C$16,$C$17,$C$18,$C$19,$C$20,$C$21,$C$22,$C$26,$C$27,$D$15,$D$16,$D$17,$D$18,$D$19,$D$20,$D$21,$D$22,$D$23,$D$24,$D$25,$D$26,$D$27,$C$8,$C$9,$C$10,$C$11,$C$12),"")</f>
        <v>1118749.5923696093</v>
      </c>
      <c r="O15" s="255">
        <f ca="1">IF(NOW(),_xll.mirSwapPV($C$3,$C$4,$C$6,$G15,$C$7,$I15+O$3,$C$16,$C$17,$C$18,$C$19,$C$20,$C$21,$C$22,$C$26,$C$27,$D$15,$D$16,$D$17,$D$18,$D$19,$D$20,$D$21,$D$22,$D$23,$D$24,$D$25,$D$26,$D$27,$C$8,$C$9,$C$10,$C$11,$C$12),"")</f>
        <v>894999.67389568756</v>
      </c>
      <c r="P15" s="255">
        <f ca="1">IF(NOW(),_xll.mirSwapPV($C$3,$C$4,$C$6,$G15,$C$7,$I15+P$3,$C$16,$C$17,$C$18,$C$19,$C$20,$C$21,$C$22,$C$26,$C$27,$D$15,$D$16,$D$17,$D$18,$D$19,$D$20,$D$21,$D$22,$D$23,$D$24,$D$25,$D$26,$D$27,$C$8,$C$9,$C$10,$C$11,$C$12),"")</f>
        <v>671249.75542176561</v>
      </c>
      <c r="Q15" s="255">
        <f ca="1">IF(NOW(),_xll.mirSwapPV($C$3,$C$4,$C$6,$G15,$C$7,$I15+Q$3,$C$16,$C$17,$C$18,$C$19,$C$20,$C$21,$C$22,$C$26,$C$27,$D$15,$D$16,$D$17,$D$18,$D$19,$D$20,$D$21,$D$22,$D$23,$D$24,$D$25,$D$26,$D$27,$C$8,$C$9,$C$10,$C$11,$C$12),"")</f>
        <v>447499.83694784367</v>
      </c>
      <c r="R15" s="255">
        <f ca="1">IF(NOW(),_xll.mirSwapPV($C$3,$C$4,$C$6,$G15,$C$7,$I15+R$3,$C$16,$C$17,$C$18,$C$19,$C$20,$C$21,$C$22,$C$26,$C$27,$D$15,$D$16,$D$17,$D$18,$D$19,$D$20,$D$21,$D$22,$D$23,$D$24,$D$25,$D$26,$D$27,$C$8,$C$9,$C$10,$C$11,$C$12),"")</f>
        <v>223749.91847392177</v>
      </c>
      <c r="S15" s="255">
        <f ca="1">IF(NOW(),_xll.mirSwapPV($C$3,$C$4,$C$6,$G15,$C$7,$I15+S$3,$C$16,$C$17,$C$18,$C$19,$C$20,$C$21,$C$22,$C$26,$C$27,$D$15,$D$16,$D$17,$D$18,$D$19,$D$20,$D$21,$D$22,$D$23,$D$24,$D$25,$D$26,$D$27,$C$8,$C$9,$C$10,$C$11,$C$12),"")</f>
        <v>0</v>
      </c>
      <c r="T15" s="255">
        <f ca="1">IF(NOW(),_xll.mirSwapPV($C$3,$C$4,$C$6,$G15,$C$7,$I15+T$3,$C$16,$C$17,$C$18,$C$19,$C$20,$C$21,$C$22,$C$26,$C$27,$D$15,$D$16,$D$17,$D$18,$D$19,$D$20,$D$21,$D$22,$D$23,$D$24,$D$25,$D$26,$D$27,$C$8,$C$9,$C$10,$C$11,$C$12),"")</f>
        <v>-223749.91847392195</v>
      </c>
      <c r="U15" s="255">
        <f ca="1">IF(NOW(),_xll.mirSwapPV($C$3,$C$4,$C$6,$G15,$C$7,$I15+U$3,$C$16,$C$17,$C$18,$C$19,$C$20,$C$21,$C$22,$C$26,$C$27,$D$15,$D$16,$D$17,$D$18,$D$19,$D$20,$D$21,$D$22,$D$23,$D$24,$D$25,$D$26,$D$27,$C$8,$C$9,$C$10,$C$11,$C$12),"")</f>
        <v>-447499.83694784372</v>
      </c>
      <c r="V15" s="255">
        <f ca="1">IF(NOW(),_xll.mirSwapPV($C$3,$C$4,$C$6,$G15,$C$7,$I15+V$3,$C$16,$C$17,$C$18,$C$19,$C$20,$C$21,$C$22,$C$26,$C$27,$D$15,$D$16,$D$17,$D$18,$D$19,$D$20,$D$21,$D$22,$D$23,$D$24,$D$25,$D$26,$D$27,$C$8,$C$9,$C$10,$C$11,$C$12),"")</f>
        <v>-671249.75542176561</v>
      </c>
      <c r="W15" s="255">
        <f ca="1">IF(NOW(),_xll.mirSwapPV($C$3,$C$4,$C$6,$G15,$C$7,$I15+W$3,$C$16,$C$17,$C$18,$C$19,$C$20,$C$21,$C$22,$C$26,$C$27,$D$15,$D$16,$D$17,$D$18,$D$19,$D$20,$D$21,$D$22,$D$23,$D$24,$D$25,$D$26,$D$27,$C$8,$C$9,$C$10,$C$11,$C$12),"")</f>
        <v>-894999.67389568756</v>
      </c>
      <c r="X15" s="255">
        <f ca="1">IF(NOW(),_xll.mirSwapPV($C$3,$C$4,$C$6,$G15,$C$7,$I15+X$3,$C$16,$C$17,$C$18,$C$19,$C$20,$C$21,$C$22,$C$26,$C$27,$D$15,$D$16,$D$17,$D$18,$D$19,$D$20,$D$21,$D$22,$D$23,$D$24,$D$25,$D$26,$D$27,$C$8,$C$9,$C$10,$C$11,$C$12),"")</f>
        <v>-1118749.5923696093</v>
      </c>
      <c r="Y15" s="230" t="s">
        <v>12</v>
      </c>
      <c r="Z15" s="224" t="s">
        <v>18</v>
      </c>
      <c r="AA15" s="227">
        <f>_xll.mirGetDate($C$6,Z15)</f>
        <v>51332</v>
      </c>
      <c r="AB15" s="228">
        <f t="shared" si="6"/>
        <v>1.4199999999999999E-2</v>
      </c>
      <c r="AC15" s="229">
        <f ca="1">IF(NOW(),_xll.mirGetParRate4($C$6,Z15,$C$7,$C$16,$C$17,$C$18,$C$19,$C$20,$C$21,$C$22,$C$26,$C$27,$D$16,$D$17,$D$18,$D$19,$D$20,$D$21,$D$22,$D$23,$D$24,$D$25,$D$26,$D$27,$C$8,$C$9,$C$10,$D$11,$C$12),"")</f>
        <v>1.4199999323300112E-2</v>
      </c>
      <c r="AD15" s="229">
        <f t="shared" ca="1" si="4"/>
        <v>-6.7669988709773143E-10</v>
      </c>
      <c r="AE15" s="230">
        <f t="shared" ca="1" si="5"/>
        <v>-6.7669988709773143E-6</v>
      </c>
      <c r="AG15" s="224" t="s">
        <v>18</v>
      </c>
      <c r="AH15" s="255">
        <f ca="1">IF(NOW(),_xll.mirSwapPV($C$3,$C$4,$C$6,$G15,$C$7,$I15+AH$3,$C$16,$C$17,$C$18,$C$19,$C$20,$C$21,$C$22,$C$26,$C$27,$D$15,$D$16,$D$17,$D$18,$D$19,$D$20,$D$21,$D$22,$D$23,$D$24,$D$25,$D$26,$D$27,$C$8,$C$9,$C$10,$D$11,$C$12),"")</f>
        <v>1118749.5923696093</v>
      </c>
      <c r="AI15" s="255">
        <f ca="1">IF(NOW(),_xll.mirSwapPV($C$3,$C$4,$C$6,$G15,$C$7,$I15+AI$3,$C$16,$C$17,$C$18,$C$19,$C$20,$C$21,$C$22,$C$26,$C$27,$D$15,$D$16,$D$17,$D$18,$D$19,$D$20,$D$21,$D$22,$D$23,$D$24,$D$25,$D$26,$D$27,$C$8,$C$9,$C$10,$D$11,$C$12),"")</f>
        <v>894999.67389568756</v>
      </c>
      <c r="AJ15" s="255">
        <f ca="1">IF(NOW(),_xll.mirSwapPV($C$3,$C$4,$C$6,$G15,$C$7,$I15+AJ$3,$C$16,$C$17,$C$18,$C$19,$C$20,$C$21,$C$22,$C$26,$C$27,$D$15,$D$16,$D$17,$D$18,$D$19,$D$20,$D$21,$D$22,$D$23,$D$24,$D$25,$D$26,$D$27,$C$8,$C$9,$C$10,$D$11,$C$12),"")</f>
        <v>671249.75542176561</v>
      </c>
      <c r="AK15" s="255">
        <f ca="1">IF(NOW(),_xll.mirSwapPV($C$3,$C$4,$C$6,$G15,$C$7,$I15+AK$3,$C$16,$C$17,$C$18,$C$19,$C$20,$C$21,$C$22,$C$26,$C$27,$D$15,$D$16,$D$17,$D$18,$D$19,$D$20,$D$21,$D$22,$D$23,$D$24,$D$25,$D$26,$D$27,$C$8,$C$9,$C$10,$D$11,$C$12),"")</f>
        <v>447499.83694784367</v>
      </c>
      <c r="AL15" s="255">
        <f ca="1">IF(NOW(),_xll.mirSwapPV($C$3,$C$4,$C$6,$G15,$C$7,$I15+AL$3,$C$16,$C$17,$C$18,$C$19,$C$20,$C$21,$C$22,$C$26,$C$27,$D$15,$D$16,$D$17,$D$18,$D$19,$D$20,$D$21,$D$22,$D$23,$D$24,$D$25,$D$26,$D$27,$C$8,$C$9,$C$10,$D$11,$C$12),"")</f>
        <v>223749.91847392177</v>
      </c>
      <c r="AM15" s="255">
        <f ca="1">IF(NOW(),_xll.mirSwapPV($C$3,$C$4,$C$6,$G15,$C$7,$I15+AM$3,$C$16,$C$17,$C$18,$C$19,$C$20,$C$21,$C$22,$C$26,$C$27,$D$15,$D$16,$D$17,$D$18,$D$19,$D$20,$D$21,$D$22,$D$23,$D$24,$D$25,$D$26,$D$27,$C$8,$C$9,$C$10,$D$11,$C$12),"")</f>
        <v>0</v>
      </c>
      <c r="AN15" s="255">
        <f ca="1">IF(NOW(),_xll.mirSwapPV($C$3,$C$4,$C$6,$G15,$C$7,$I15+AN$3,$C$16,$C$17,$C$18,$C$19,$C$20,$C$21,$C$22,$C$26,$C$27,$D$15,$D$16,$D$17,$D$18,$D$19,$D$20,$D$21,$D$22,$D$23,$D$24,$D$25,$D$26,$D$27,$C$8,$C$9,$C$10,$D$11,$C$12),"")</f>
        <v>-223749.91847392195</v>
      </c>
      <c r="AO15" s="255">
        <f ca="1">IF(NOW(),_xll.mirSwapPV($C$3,$C$4,$C$6,$G15,$C$7,$I15+AO$3,$C$16,$C$17,$C$18,$C$19,$C$20,$C$21,$C$22,$C$26,$C$27,$D$15,$D$16,$D$17,$D$18,$D$19,$D$20,$D$21,$D$22,$D$23,$D$24,$D$25,$D$26,$D$27,$C$8,$C$9,$C$10,$D$11,$C$12),"")</f>
        <v>-447499.83694784372</v>
      </c>
      <c r="AP15" s="255">
        <f ca="1">IF(NOW(),_xll.mirSwapPV($C$3,$C$4,$C$6,$G15,$C$7,$I15+AP$3,$C$16,$C$17,$C$18,$C$19,$C$20,$C$21,$C$22,$C$26,$C$27,$D$15,$D$16,$D$17,$D$18,$D$19,$D$20,$D$21,$D$22,$D$23,$D$24,$D$25,$D$26,$D$27,$C$8,$C$9,$C$10,$D$11,$C$12),"")</f>
        <v>-671249.75542176561</v>
      </c>
      <c r="AQ15" s="255">
        <f ca="1">IF(NOW(),_xll.mirSwapPV($C$3,$C$4,$C$6,$G15,$C$7,$I15+AQ$3,$C$16,$C$17,$C$18,$C$19,$C$20,$C$21,$C$22,$C$26,$C$27,$D$15,$D$16,$D$17,$D$18,$D$19,$D$20,$D$21,$D$22,$D$23,$D$24,$D$25,$D$26,$D$27,$C$8,$C$9,$C$10,$D$11,$C$12),"")</f>
        <v>-894999.67389568756</v>
      </c>
      <c r="AR15" s="255">
        <f ca="1">IF(NOW(),_xll.mirSwapPV($C$3,$C$4,$C$6,$G15,$C$7,$I15+AR$3,$C$16,$C$17,$C$18,$C$19,$C$20,$C$21,$C$22,$C$26,$C$27,$D$15,$D$16,$D$17,$D$18,$D$19,$D$20,$D$21,$D$22,$D$23,$D$24,$D$25,$D$26,$D$27,$C$8,$C$9,$C$10,$D$11,$C$12),"")</f>
        <v>-1118749.5923696093</v>
      </c>
    </row>
    <row r="16" spans="2:44">
      <c r="B16" s="234" t="s">
        <v>122</v>
      </c>
      <c r="C16" s="240" t="s">
        <v>78</v>
      </c>
      <c r="D16" s="240" t="s">
        <v>78</v>
      </c>
      <c r="E16" s="227"/>
      <c r="F16" s="224" t="s">
        <v>17</v>
      </c>
      <c r="G16" s="227">
        <f>_xll.mirGetDate($C$6,F16)</f>
        <v>53158</v>
      </c>
      <c r="H16" s="228">
        <f>'JPY Curve Config'!AO23</f>
        <v>1.4999999999999999E-2</v>
      </c>
      <c r="I16" s="229">
        <f ca="1">IF(NOW(),_xll.mirGetParRate4($C$6,F16,$C$7,$C$16,$C$17,$C$18,$C$19,$C$20,$C$21,$C$22,$C$26,$C$27,$D$16,$D$17,$D$18,$D$19,$D$20,$D$21,$D$22,$D$23,$D$24,$D$25,$D$26,$D$27,$C$8,$C$9,$C$10,$C$11,$C$12),"")</f>
        <v>1.4999999154733802E-2</v>
      </c>
      <c r="J16" s="229">
        <f t="shared" ca="1" si="2"/>
        <v>-8.4526619731351005E-10</v>
      </c>
      <c r="K16" s="230">
        <f t="shared" ca="1" si="3"/>
        <v>-8.4526619731351005E-6</v>
      </c>
      <c r="L16" s="230" t="s">
        <v>12</v>
      </c>
      <c r="M16" s="224" t="s">
        <v>17</v>
      </c>
      <c r="N16" s="255">
        <f ca="1">IF(NOW(),_xll.mirSwapPV($C$3,$C$4,$C$6,$G16,$C$7,$I16+N$3,$C$16,$C$17,$C$18,$C$19,$C$20,$C$21,$C$22,$C$26,$C$27,$D$15,$D$16,$D$17,$D$18,$D$19,$D$20,$D$21,$D$22,$D$23,$D$24,$D$25,$D$26,$D$27,$C$8,$C$9,$C$10,$C$11,$C$12),"")</f>
        <v>1290632.4929388375</v>
      </c>
      <c r="O16" s="255">
        <f ca="1">IF(NOW(),_xll.mirSwapPV($C$3,$C$4,$C$6,$G16,$C$7,$I16+O$3,$C$16,$C$17,$C$18,$C$19,$C$20,$C$21,$C$22,$C$26,$C$27,$D$15,$D$16,$D$17,$D$18,$D$19,$D$20,$D$21,$D$22,$D$23,$D$24,$D$25,$D$26,$D$27,$C$8,$C$9,$C$10,$C$11,$C$12),"")</f>
        <v>1032505.9943510699</v>
      </c>
      <c r="P16" s="255">
        <f ca="1">IF(NOW(),_xll.mirSwapPV($C$3,$C$4,$C$6,$G16,$C$7,$I16+P$3,$C$16,$C$17,$C$18,$C$19,$C$20,$C$21,$C$22,$C$26,$C$27,$D$15,$D$16,$D$17,$D$18,$D$19,$D$20,$D$21,$D$22,$D$23,$D$24,$D$25,$D$26,$D$27,$C$8,$C$9,$C$10,$C$11,$C$12),"")</f>
        <v>774379.49576330232</v>
      </c>
      <c r="Q16" s="255">
        <f ca="1">IF(NOW(),_xll.mirSwapPV($C$3,$C$4,$C$6,$G16,$C$7,$I16+Q$3,$C$16,$C$17,$C$18,$C$19,$C$20,$C$21,$C$22,$C$26,$C$27,$D$15,$D$16,$D$17,$D$18,$D$19,$D$20,$D$21,$D$22,$D$23,$D$24,$D$25,$D$26,$D$27,$C$8,$C$9,$C$10,$C$11,$C$12),"")</f>
        <v>516252.99717553484</v>
      </c>
      <c r="R16" s="255">
        <f ca="1">IF(NOW(),_xll.mirSwapPV($C$3,$C$4,$C$6,$G16,$C$7,$I16+R$3,$C$16,$C$17,$C$18,$C$19,$C$20,$C$21,$C$22,$C$26,$C$27,$D$15,$D$16,$D$17,$D$18,$D$19,$D$20,$D$21,$D$22,$D$23,$D$24,$D$25,$D$26,$D$27,$C$8,$C$9,$C$10,$C$11,$C$12),"")</f>
        <v>258126.49858776736</v>
      </c>
      <c r="S16" s="255">
        <f ca="1">IF(NOW(),_xll.mirSwapPV($C$3,$C$4,$C$6,$G16,$C$7,$I16+S$3,$C$16,$C$17,$C$18,$C$19,$C$20,$C$21,$C$22,$C$26,$C$27,$D$15,$D$16,$D$17,$D$18,$D$19,$D$20,$D$21,$D$22,$D$23,$D$24,$D$25,$D$26,$D$27,$C$8,$C$9,$C$10,$C$11,$C$12),"")</f>
        <v>0</v>
      </c>
      <c r="T16" s="255">
        <f ca="1">IF(NOW(),_xll.mirSwapPV($C$3,$C$4,$C$6,$G16,$C$7,$I16+T$3,$C$16,$C$17,$C$18,$C$19,$C$20,$C$21,$C$22,$C$26,$C$27,$D$15,$D$16,$D$17,$D$18,$D$19,$D$20,$D$21,$D$22,$D$23,$D$24,$D$25,$D$26,$D$27,$C$8,$C$9,$C$10,$C$11,$C$12),"")</f>
        <v>-258126.49858776754</v>
      </c>
      <c r="U16" s="255">
        <f ca="1">IF(NOW(),_xll.mirSwapPV($C$3,$C$4,$C$6,$G16,$C$7,$I16+U$3,$C$16,$C$17,$C$18,$C$19,$C$20,$C$21,$C$22,$C$26,$C$27,$D$15,$D$16,$D$17,$D$18,$D$19,$D$20,$D$21,$D$22,$D$23,$D$24,$D$25,$D$26,$D$27,$C$8,$C$9,$C$10,$C$11,$C$12),"")</f>
        <v>-516252.99717553495</v>
      </c>
      <c r="V16" s="255">
        <f ca="1">IF(NOW(),_xll.mirSwapPV($C$3,$C$4,$C$6,$G16,$C$7,$I16+V$3,$C$16,$C$17,$C$18,$C$19,$C$20,$C$21,$C$22,$C$26,$C$27,$D$15,$D$16,$D$17,$D$18,$D$19,$D$20,$D$21,$D$22,$D$23,$D$24,$D$25,$D$26,$D$27,$C$8,$C$9,$C$10,$C$11,$C$12),"")</f>
        <v>-774379.49576330255</v>
      </c>
      <c r="W16" s="255">
        <f ca="1">IF(NOW(),_xll.mirSwapPV($C$3,$C$4,$C$6,$G16,$C$7,$I16+W$3,$C$16,$C$17,$C$18,$C$19,$C$20,$C$21,$C$22,$C$26,$C$27,$D$15,$D$16,$D$17,$D$18,$D$19,$D$20,$D$21,$D$22,$D$23,$D$24,$D$25,$D$26,$D$27,$C$8,$C$9,$C$10,$C$11,$C$12),"")</f>
        <v>-1032505.9943510699</v>
      </c>
      <c r="X16" s="255">
        <f ca="1">IF(NOW(),_xll.mirSwapPV($C$3,$C$4,$C$6,$G16,$C$7,$I16+X$3,$C$16,$C$17,$C$18,$C$19,$C$20,$C$21,$C$22,$C$26,$C$27,$D$15,$D$16,$D$17,$D$18,$D$19,$D$20,$D$21,$D$22,$D$23,$D$24,$D$25,$D$26,$D$27,$C$8,$C$9,$C$10,$C$11,$C$12),"")</f>
        <v>-1290632.4929388377</v>
      </c>
      <c r="Y16" s="230" t="s">
        <v>12</v>
      </c>
      <c r="Z16" s="224" t="s">
        <v>17</v>
      </c>
      <c r="AA16" s="227">
        <f>_xll.mirGetDate($C$6,Z16)</f>
        <v>53158</v>
      </c>
      <c r="AB16" s="228">
        <f t="shared" si="6"/>
        <v>1.4999999999999999E-2</v>
      </c>
      <c r="AC16" s="229">
        <f ca="1">IF(NOW(),_xll.mirGetParRate4($C$6,Z16,$C$7,$C$16,$C$17,$C$18,$C$19,$C$20,$C$21,$C$22,$C$26,$C$27,$D$16,$D$17,$D$18,$D$19,$D$20,$D$21,$D$22,$D$23,$D$24,$D$25,$D$26,$D$27,$C$8,$C$9,$C$10,$D$11,$C$12),"")</f>
        <v>1.4999999154733799E-2</v>
      </c>
      <c r="AD16" s="229">
        <f t="shared" ca="1" si="4"/>
        <v>-8.45266200782957E-10</v>
      </c>
      <c r="AE16" s="230">
        <f t="shared" ca="1" si="5"/>
        <v>-8.45266200782957E-6</v>
      </c>
      <c r="AG16" s="224" t="s">
        <v>17</v>
      </c>
      <c r="AH16" s="255">
        <f ca="1">IF(NOW(),_xll.mirSwapPV($C$3,$C$4,$C$6,$G16,$C$7,$I16+AH$3,$C$16,$C$17,$C$18,$C$19,$C$20,$C$21,$C$22,$C$26,$C$27,$D$15,$D$16,$D$17,$D$18,$D$19,$D$20,$D$21,$D$22,$D$23,$D$24,$D$25,$D$26,$D$27,$C$8,$C$9,$C$10,$D$11,$C$12),"")</f>
        <v>1290632.4929388373</v>
      </c>
      <c r="AI16" s="255">
        <f ca="1">IF(NOW(),_xll.mirSwapPV($C$3,$C$4,$C$6,$G16,$C$7,$I16+AI$3,$C$16,$C$17,$C$18,$C$19,$C$20,$C$21,$C$22,$C$26,$C$27,$D$15,$D$16,$D$17,$D$18,$D$19,$D$20,$D$21,$D$22,$D$23,$D$24,$D$25,$D$26,$D$27,$C$8,$C$9,$C$10,$D$11,$C$12),"")</f>
        <v>1032505.9943510699</v>
      </c>
      <c r="AJ16" s="255">
        <f ca="1">IF(NOW(),_xll.mirSwapPV($C$3,$C$4,$C$6,$G16,$C$7,$I16+AJ$3,$C$16,$C$17,$C$18,$C$19,$C$20,$C$21,$C$22,$C$26,$C$27,$D$15,$D$16,$D$17,$D$18,$D$19,$D$20,$D$21,$D$22,$D$23,$D$24,$D$25,$D$26,$D$27,$C$8,$C$9,$C$10,$D$11,$C$12),"")</f>
        <v>774379.49576330232</v>
      </c>
      <c r="AK16" s="255">
        <f ca="1">IF(NOW(),_xll.mirSwapPV($C$3,$C$4,$C$6,$G16,$C$7,$I16+AK$3,$C$16,$C$17,$C$18,$C$19,$C$20,$C$21,$C$22,$C$26,$C$27,$D$15,$D$16,$D$17,$D$18,$D$19,$D$20,$D$21,$D$22,$D$23,$D$24,$D$25,$D$26,$D$27,$C$8,$C$9,$C$10,$D$11,$C$12),"")</f>
        <v>516252.99717553472</v>
      </c>
      <c r="AL16" s="255">
        <f ca="1">IF(NOW(),_xll.mirSwapPV($C$3,$C$4,$C$6,$G16,$C$7,$I16+AL$3,$C$16,$C$17,$C$18,$C$19,$C$20,$C$21,$C$22,$C$26,$C$27,$D$15,$D$16,$D$17,$D$18,$D$19,$D$20,$D$21,$D$22,$D$23,$D$24,$D$25,$D$26,$D$27,$C$8,$C$9,$C$10,$D$11,$C$12),"")</f>
        <v>258126.49858776727</v>
      </c>
      <c r="AM16" s="255">
        <f ca="1">IF(NOW(),_xll.mirSwapPV($C$3,$C$4,$C$6,$G16,$C$7,$I16+AM$3,$C$16,$C$17,$C$18,$C$19,$C$20,$C$21,$C$22,$C$26,$C$27,$D$15,$D$16,$D$17,$D$18,$D$19,$D$20,$D$21,$D$22,$D$23,$D$24,$D$25,$D$26,$D$27,$C$8,$C$9,$C$10,$D$11,$C$12),"")</f>
        <v>-1.1102230246251565E-10</v>
      </c>
      <c r="AN16" s="255">
        <f ca="1">IF(NOW(),_xll.mirSwapPV($C$3,$C$4,$C$6,$G16,$C$7,$I16+AN$3,$C$16,$C$17,$C$18,$C$19,$C$20,$C$21,$C$22,$C$26,$C$27,$D$15,$D$16,$D$17,$D$18,$D$19,$D$20,$D$21,$D$22,$D$23,$D$24,$D$25,$D$26,$D$27,$C$8,$C$9,$C$10,$D$11,$C$12),"")</f>
        <v>-258126.49858776765</v>
      </c>
      <c r="AO16" s="255">
        <f ca="1">IF(NOW(),_xll.mirSwapPV($C$3,$C$4,$C$6,$G16,$C$7,$I16+AO$3,$C$16,$C$17,$C$18,$C$19,$C$20,$C$21,$C$22,$C$26,$C$27,$D$15,$D$16,$D$17,$D$18,$D$19,$D$20,$D$21,$D$22,$D$23,$D$24,$D$25,$D$26,$D$27,$C$8,$C$9,$C$10,$D$11,$C$12),"")</f>
        <v>-516252.99717553495</v>
      </c>
      <c r="AP16" s="255">
        <f ca="1">IF(NOW(),_xll.mirSwapPV($C$3,$C$4,$C$6,$G16,$C$7,$I16+AP$3,$C$16,$C$17,$C$18,$C$19,$C$20,$C$21,$C$22,$C$26,$C$27,$D$15,$D$16,$D$17,$D$18,$D$19,$D$20,$D$21,$D$22,$D$23,$D$24,$D$25,$D$26,$D$27,$C$8,$C$9,$C$10,$D$11,$C$12),"")</f>
        <v>-774379.49576330255</v>
      </c>
      <c r="AQ16" s="255">
        <f ca="1">IF(NOW(),_xll.mirSwapPV($C$3,$C$4,$C$6,$G16,$C$7,$I16+AQ$3,$C$16,$C$17,$C$18,$C$19,$C$20,$C$21,$C$22,$C$26,$C$27,$D$15,$D$16,$D$17,$D$18,$D$19,$D$20,$D$21,$D$22,$D$23,$D$24,$D$25,$D$26,$D$27,$C$8,$C$9,$C$10,$D$11,$C$12),"")</f>
        <v>-1032505.9943510699</v>
      </c>
      <c r="AR16" s="255">
        <f ca="1">IF(NOW(),_xll.mirSwapPV($C$3,$C$4,$C$6,$G16,$C$7,$I16+AR$3,$C$16,$C$17,$C$18,$C$19,$C$20,$C$21,$C$22,$C$26,$C$27,$D$15,$D$16,$D$17,$D$18,$D$19,$D$20,$D$21,$D$22,$D$23,$D$24,$D$25,$D$26,$D$27,$C$8,$C$9,$C$10,$D$11,$C$12),"")</f>
        <v>-1290632.4929388377</v>
      </c>
    </row>
    <row r="17" spans="2:44">
      <c r="B17" s="234" t="s">
        <v>130</v>
      </c>
      <c r="C17" s="241" t="s">
        <v>198</v>
      </c>
      <c r="D17" s="241" t="s">
        <v>3</v>
      </c>
      <c r="E17" s="242"/>
      <c r="F17" s="224" t="s">
        <v>16</v>
      </c>
      <c r="G17" s="227">
        <f>_xll.mirGetDate($C$6,F17)</f>
        <v>54984</v>
      </c>
      <c r="H17" s="228">
        <f>'JPY Curve Config'!AO24</f>
        <v>1.5637499999999999E-2</v>
      </c>
      <c r="I17" s="229">
        <f ca="1">IF(NOW(),_xll.mirGetParRate4($C$6,F17,$C$7,$C$16,$C$17,$C$18,$C$19,$C$20,$C$21,$C$22,$C$26,$C$27,$D$16,$D$17,$D$18,$D$19,$D$20,$D$21,$D$22,$D$23,$D$24,$D$25,$D$26,$D$27,$C$8,$C$9,$C$10,$C$11,$C$12),"")</f>
        <v>1.5637501533688418E-2</v>
      </c>
      <c r="J17" s="229">
        <f t="shared" ca="1" si="2"/>
        <v>1.5336884193195566E-9</v>
      </c>
      <c r="K17" s="230">
        <f t="shared" ca="1" si="3"/>
        <v>1.5336884193195566E-5</v>
      </c>
      <c r="L17" s="230" t="s">
        <v>12</v>
      </c>
      <c r="M17" s="224" t="s">
        <v>16</v>
      </c>
      <c r="N17" s="255">
        <f ca="1">IF(NOW(),_xll.mirSwapPV($C$3,$C$4,$C$6,$G17,$C$7,$I17+N$3,$C$16,$C$17,$C$18,$C$19,$C$20,$C$21,$C$22,$C$26,$C$27,$D$15,$D$16,$D$17,$D$18,$D$19,$D$20,$D$21,$D$22,$D$23,$D$24,$D$25,$D$26,$D$27,$C$8,$C$9,$C$10,$C$11,$C$12),"")</f>
        <v>1446702.4249023667</v>
      </c>
      <c r="O17" s="255">
        <f ca="1">IF(NOW(),_xll.mirSwapPV($C$3,$C$4,$C$6,$G17,$C$7,$I17+O$3,$C$16,$C$17,$C$18,$C$19,$C$20,$C$21,$C$22,$C$26,$C$27,$D$15,$D$16,$D$17,$D$18,$D$19,$D$20,$D$21,$D$22,$D$23,$D$24,$D$25,$D$26,$D$27,$C$8,$C$9,$C$10,$C$11,$C$12),"")</f>
        <v>1157361.9399218934</v>
      </c>
      <c r="P17" s="255">
        <f ca="1">IF(NOW(),_xll.mirSwapPV($C$3,$C$4,$C$6,$G17,$C$7,$I17+P$3,$C$16,$C$17,$C$18,$C$19,$C$20,$C$21,$C$22,$C$26,$C$27,$D$15,$D$16,$D$17,$D$18,$D$19,$D$20,$D$21,$D$22,$D$23,$D$24,$D$25,$D$26,$D$27,$C$8,$C$9,$C$10,$C$11,$C$12),"")</f>
        <v>868021.45494142</v>
      </c>
      <c r="Q17" s="255">
        <f ca="1">IF(NOW(),_xll.mirSwapPV($C$3,$C$4,$C$6,$G17,$C$7,$I17+Q$3,$C$16,$C$17,$C$18,$C$19,$C$20,$C$21,$C$22,$C$26,$C$27,$D$15,$D$16,$D$17,$D$18,$D$19,$D$20,$D$21,$D$22,$D$23,$D$24,$D$25,$D$26,$D$27,$C$8,$C$9,$C$10,$C$11,$C$12),"")</f>
        <v>578680.96996094659</v>
      </c>
      <c r="R17" s="255">
        <f ca="1">IF(NOW(),_xll.mirSwapPV($C$3,$C$4,$C$6,$G17,$C$7,$I17+R$3,$C$16,$C$17,$C$18,$C$19,$C$20,$C$21,$C$22,$C$26,$C$27,$D$15,$D$16,$D$17,$D$18,$D$19,$D$20,$D$21,$D$22,$D$23,$D$24,$D$25,$D$26,$D$27,$C$8,$C$9,$C$10,$C$11,$C$12),"")</f>
        <v>289340.48498047329</v>
      </c>
      <c r="S17" s="255">
        <f ca="1">IF(NOW(),_xll.mirSwapPV($C$3,$C$4,$C$6,$G17,$C$7,$I17+S$3,$C$16,$C$17,$C$18,$C$19,$C$20,$C$21,$C$22,$C$26,$C$27,$D$15,$D$16,$D$17,$D$18,$D$19,$D$20,$D$21,$D$22,$D$23,$D$24,$D$25,$D$26,$D$27,$C$8,$C$9,$C$10,$C$11,$C$12),"")</f>
        <v>0</v>
      </c>
      <c r="T17" s="255">
        <f ca="1">IF(NOW(),_xll.mirSwapPV($C$3,$C$4,$C$6,$G17,$C$7,$I17+T$3,$C$16,$C$17,$C$18,$C$19,$C$20,$C$21,$C$22,$C$26,$C$27,$D$15,$D$16,$D$17,$D$18,$D$19,$D$20,$D$21,$D$22,$D$23,$D$24,$D$25,$D$26,$D$27,$C$8,$C$9,$C$10,$C$11,$C$12),"")</f>
        <v>-289340.48498047335</v>
      </c>
      <c r="U17" s="255">
        <f ca="1">IF(NOW(),_xll.mirSwapPV($C$3,$C$4,$C$6,$G17,$C$7,$I17+U$3,$C$16,$C$17,$C$18,$C$19,$C$20,$C$21,$C$22,$C$26,$C$27,$D$15,$D$16,$D$17,$D$18,$D$19,$D$20,$D$21,$D$22,$D$23,$D$24,$D$25,$D$26,$D$27,$C$8,$C$9,$C$10,$C$11,$C$12),"")</f>
        <v>-578680.96996094659</v>
      </c>
      <c r="V17" s="255">
        <f ca="1">IF(NOW(),_xll.mirSwapPV($C$3,$C$4,$C$6,$G17,$C$7,$I17+V$3,$C$16,$C$17,$C$18,$C$19,$C$20,$C$21,$C$22,$C$26,$C$27,$D$15,$D$16,$D$17,$D$18,$D$19,$D$20,$D$21,$D$22,$D$23,$D$24,$D$25,$D$26,$D$27,$C$8,$C$9,$C$10,$C$11,$C$12),"")</f>
        <v>-868021.45494142</v>
      </c>
      <c r="W17" s="255">
        <f ca="1">IF(NOW(),_xll.mirSwapPV($C$3,$C$4,$C$6,$G17,$C$7,$I17+W$3,$C$16,$C$17,$C$18,$C$19,$C$20,$C$21,$C$22,$C$26,$C$27,$D$15,$D$16,$D$17,$D$18,$D$19,$D$20,$D$21,$D$22,$D$23,$D$24,$D$25,$D$26,$D$27,$C$8,$C$9,$C$10,$C$11,$C$12),"")</f>
        <v>-1157361.9399218934</v>
      </c>
      <c r="X17" s="255">
        <f ca="1">IF(NOW(),_xll.mirSwapPV($C$3,$C$4,$C$6,$G17,$C$7,$I17+X$3,$C$16,$C$17,$C$18,$C$19,$C$20,$C$21,$C$22,$C$26,$C$27,$D$15,$D$16,$D$17,$D$18,$D$19,$D$20,$D$21,$D$22,$D$23,$D$24,$D$25,$D$26,$D$27,$C$8,$C$9,$C$10,$C$11,$C$12),"")</f>
        <v>-1446702.4249023665</v>
      </c>
      <c r="Y17" s="230" t="s">
        <v>12</v>
      </c>
      <c r="Z17" s="224" t="s">
        <v>16</v>
      </c>
      <c r="AA17" s="227">
        <f>_xll.mirGetDate($C$6,Z17)</f>
        <v>54984</v>
      </c>
      <c r="AB17" s="228">
        <f t="shared" si="6"/>
        <v>1.5637499999999999E-2</v>
      </c>
      <c r="AC17" s="229">
        <f ca="1">IF(NOW(),_xll.mirGetParRate4($C$6,Z17,$C$7,$C$16,$C$17,$C$18,$C$19,$C$20,$C$21,$C$22,$C$26,$C$27,$D$16,$D$17,$D$18,$D$19,$D$20,$D$21,$D$22,$D$23,$D$24,$D$25,$D$26,$D$27,$C$8,$C$9,$C$10,$D$11,$C$12),"")</f>
        <v>1.5637501533688421E-2</v>
      </c>
      <c r="AD17" s="229">
        <f t="shared" ca="1" si="4"/>
        <v>1.5336884227890035E-9</v>
      </c>
      <c r="AE17" s="230">
        <f t="shared" ca="1" si="5"/>
        <v>1.5336884227890035E-5</v>
      </c>
      <c r="AG17" s="224" t="s">
        <v>16</v>
      </c>
      <c r="AH17" s="255">
        <f ca="1">IF(NOW(),_xll.mirSwapPV($C$3,$C$4,$C$6,$G17,$C$7,$I17+AH$3,$C$16,$C$17,$C$18,$C$19,$C$20,$C$21,$C$22,$C$26,$C$27,$D$15,$D$16,$D$17,$D$18,$D$19,$D$20,$D$21,$D$22,$D$23,$D$24,$D$25,$D$26,$D$27,$C$8,$C$9,$C$10,$D$11,$C$12),"")</f>
        <v>1446702.4249023669</v>
      </c>
      <c r="AI17" s="255">
        <f ca="1">IF(NOW(),_xll.mirSwapPV($C$3,$C$4,$C$6,$G17,$C$7,$I17+AI$3,$C$16,$C$17,$C$18,$C$19,$C$20,$C$21,$C$22,$C$26,$C$27,$D$15,$D$16,$D$17,$D$18,$D$19,$D$20,$D$21,$D$22,$D$23,$D$24,$D$25,$D$26,$D$27,$C$8,$C$9,$C$10,$D$11,$C$12),"")</f>
        <v>1157361.9399218934</v>
      </c>
      <c r="AJ17" s="255">
        <f ca="1">IF(NOW(),_xll.mirSwapPV($C$3,$C$4,$C$6,$G17,$C$7,$I17+AJ$3,$C$16,$C$17,$C$18,$C$19,$C$20,$C$21,$C$22,$C$26,$C$27,$D$15,$D$16,$D$17,$D$18,$D$19,$D$20,$D$21,$D$22,$D$23,$D$24,$D$25,$D$26,$D$27,$C$8,$C$9,$C$10,$D$11,$C$12),"")</f>
        <v>868021.45494142</v>
      </c>
      <c r="AK17" s="255">
        <f ca="1">IF(NOW(),_xll.mirSwapPV($C$3,$C$4,$C$6,$G17,$C$7,$I17+AK$3,$C$16,$C$17,$C$18,$C$19,$C$20,$C$21,$C$22,$C$26,$C$27,$D$15,$D$16,$D$17,$D$18,$D$19,$D$20,$D$21,$D$22,$D$23,$D$24,$D$25,$D$26,$D$27,$C$8,$C$9,$C$10,$D$11,$C$12),"")</f>
        <v>578680.96996094659</v>
      </c>
      <c r="AL17" s="255">
        <f ca="1">IF(NOW(),_xll.mirSwapPV($C$3,$C$4,$C$6,$G17,$C$7,$I17+AL$3,$C$16,$C$17,$C$18,$C$19,$C$20,$C$21,$C$22,$C$26,$C$27,$D$15,$D$16,$D$17,$D$18,$D$19,$D$20,$D$21,$D$22,$D$23,$D$24,$D$25,$D$26,$D$27,$C$8,$C$9,$C$10,$D$11,$C$12),"")</f>
        <v>289340.48498047329</v>
      </c>
      <c r="AM17" s="255">
        <f ca="1">IF(NOW(),_xll.mirSwapPV($C$3,$C$4,$C$6,$G17,$C$7,$I17+AM$3,$C$16,$C$17,$C$18,$C$19,$C$20,$C$21,$C$22,$C$26,$C$27,$D$15,$D$16,$D$17,$D$18,$D$19,$D$20,$D$21,$D$22,$D$23,$D$24,$D$25,$D$26,$D$27,$C$8,$C$9,$C$10,$D$11,$C$12),"")</f>
        <v>5.5511151231257827E-11</v>
      </c>
      <c r="AN17" s="255">
        <f ca="1">IF(NOW(),_xll.mirSwapPV($C$3,$C$4,$C$6,$G17,$C$7,$I17+AN$3,$C$16,$C$17,$C$18,$C$19,$C$20,$C$21,$C$22,$C$26,$C$27,$D$15,$D$16,$D$17,$D$18,$D$19,$D$20,$D$21,$D$22,$D$23,$D$24,$D$25,$D$26,$D$27,$C$8,$C$9,$C$10,$D$11,$C$12),"")</f>
        <v>-289340.48498047329</v>
      </c>
      <c r="AO17" s="255">
        <f ca="1">IF(NOW(),_xll.mirSwapPV($C$3,$C$4,$C$6,$G17,$C$7,$I17+AO$3,$C$16,$C$17,$C$18,$C$19,$C$20,$C$21,$C$22,$C$26,$C$27,$D$15,$D$16,$D$17,$D$18,$D$19,$D$20,$D$21,$D$22,$D$23,$D$24,$D$25,$D$26,$D$27,$C$8,$C$9,$C$10,$D$11,$C$12),"")</f>
        <v>-578680.96996094659</v>
      </c>
      <c r="AP17" s="255">
        <f ca="1">IF(NOW(),_xll.mirSwapPV($C$3,$C$4,$C$6,$G17,$C$7,$I17+AP$3,$C$16,$C$17,$C$18,$C$19,$C$20,$C$21,$C$22,$C$26,$C$27,$D$15,$D$16,$D$17,$D$18,$D$19,$D$20,$D$21,$D$22,$D$23,$D$24,$D$25,$D$26,$D$27,$C$8,$C$9,$C$10,$D$11,$C$12),"")</f>
        <v>-868021.45494142</v>
      </c>
      <c r="AQ17" s="255">
        <f ca="1">IF(NOW(),_xll.mirSwapPV($C$3,$C$4,$C$6,$G17,$C$7,$I17+AQ$3,$C$16,$C$17,$C$18,$C$19,$C$20,$C$21,$C$22,$C$26,$C$27,$D$15,$D$16,$D$17,$D$18,$D$19,$D$20,$D$21,$D$22,$D$23,$D$24,$D$25,$D$26,$D$27,$C$8,$C$9,$C$10,$D$11,$C$12),"")</f>
        <v>-1157361.9399218934</v>
      </c>
      <c r="AR17" s="255">
        <f ca="1">IF(NOW(),_xll.mirSwapPV($C$3,$C$4,$C$6,$G17,$C$7,$I17+AR$3,$C$16,$C$17,$C$18,$C$19,$C$20,$C$21,$C$22,$C$26,$C$27,$D$15,$D$16,$D$17,$D$18,$D$19,$D$20,$D$21,$D$22,$D$23,$D$24,$D$25,$D$26,$D$27,$C$8,$C$9,$C$10,$D$11,$C$12),"")</f>
        <v>-1446702.4249023665</v>
      </c>
    </row>
    <row r="18" spans="2:44">
      <c r="B18" s="234" t="s">
        <v>443</v>
      </c>
      <c r="C18" s="240" t="s">
        <v>40</v>
      </c>
      <c r="D18" s="240" t="s">
        <v>40</v>
      </c>
      <c r="E18" s="224"/>
      <c r="F18" s="224" t="s">
        <v>15</v>
      </c>
      <c r="G18" s="227">
        <f>_xll.mirGetDate($C$6,F18)</f>
        <v>56810</v>
      </c>
      <c r="H18" s="228">
        <f>'JPY Curve Config'!AO25</f>
        <v>1.6174999999999998E-2</v>
      </c>
      <c r="I18" s="229">
        <f ca="1">IF(NOW(),_xll.mirGetParRate4($C$6,F18,$C$7,$C$16,$C$17,$C$18,$C$19,$C$20,$C$21,$C$22,$C$26,$C$27,$D$16,$D$17,$D$18,$D$19,$D$20,$D$21,$D$22,$D$23,$D$24,$D$25,$D$26,$D$27,$C$8,$C$9,$C$10,$C$11,$C$12),"")</f>
        <v>1.6175001901691251E-2</v>
      </c>
      <c r="J18" s="229">
        <f t="shared" ca="1" si="2"/>
        <v>1.9016912523872609E-9</v>
      </c>
      <c r="K18" s="230">
        <f t="shared" ca="1" si="3"/>
        <v>1.9016912523872609E-5</v>
      </c>
      <c r="L18" s="230" t="s">
        <v>12</v>
      </c>
      <c r="M18" s="224" t="s">
        <v>15</v>
      </c>
      <c r="N18" s="255">
        <f ca="1">IF(NOW(),_xll.mirSwapPV($C$3,$C$4,$C$6,$G18,$C$7,$I18+N$3,$C$16,$C$17,$C$18,$C$19,$C$20,$C$21,$C$22,$C$26,$C$27,$D$15,$D$16,$D$17,$D$18,$D$19,$D$20,$D$21,$D$22,$D$23,$D$24,$D$25,$D$26,$D$27,$C$8,$C$9,$C$10,$C$11,$C$12),"")</f>
        <v>1588249.3628229061</v>
      </c>
      <c r="O18" s="255">
        <f ca="1">IF(NOW(),_xll.mirSwapPV($C$3,$C$4,$C$6,$G18,$C$7,$I18+O$3,$C$16,$C$17,$C$18,$C$19,$C$20,$C$21,$C$22,$C$26,$C$27,$D$15,$D$16,$D$17,$D$18,$D$19,$D$20,$D$21,$D$22,$D$23,$D$24,$D$25,$D$26,$D$27,$C$8,$C$9,$C$10,$C$11,$C$12),"")</f>
        <v>1270599.4902583249</v>
      </c>
      <c r="P18" s="255">
        <f ca="1">IF(NOW(),_xll.mirSwapPV($C$3,$C$4,$C$6,$G18,$C$7,$I18+P$3,$C$16,$C$17,$C$18,$C$19,$C$20,$C$21,$C$22,$C$26,$C$27,$D$15,$D$16,$D$17,$D$18,$D$19,$D$20,$D$21,$D$22,$D$23,$D$24,$D$25,$D$26,$D$27,$C$8,$C$9,$C$10,$C$11,$C$12),"")</f>
        <v>952949.61769374367</v>
      </c>
      <c r="Q18" s="255">
        <f ca="1">IF(NOW(),_xll.mirSwapPV($C$3,$C$4,$C$6,$G18,$C$7,$I18+Q$3,$C$16,$C$17,$C$18,$C$19,$C$20,$C$21,$C$22,$C$26,$C$27,$D$15,$D$16,$D$17,$D$18,$D$19,$D$20,$D$21,$D$22,$D$23,$D$24,$D$25,$D$26,$D$27,$C$8,$C$9,$C$10,$C$11,$C$12),"")</f>
        <v>635299.74512916233</v>
      </c>
      <c r="R18" s="255">
        <f ca="1">IF(NOW(),_xll.mirSwapPV($C$3,$C$4,$C$6,$G18,$C$7,$I18+R$3,$C$16,$C$17,$C$18,$C$19,$C$20,$C$21,$C$22,$C$26,$C$27,$D$15,$D$16,$D$17,$D$18,$D$19,$D$20,$D$21,$D$22,$D$23,$D$24,$D$25,$D$26,$D$27,$C$8,$C$9,$C$10,$C$11,$C$12),"")</f>
        <v>317649.87256458111</v>
      </c>
      <c r="S18" s="255">
        <f ca="1">IF(NOW(),_xll.mirSwapPV($C$3,$C$4,$C$6,$G18,$C$7,$I18+S$3,$C$16,$C$17,$C$18,$C$19,$C$20,$C$21,$C$22,$C$26,$C$27,$D$15,$D$16,$D$17,$D$18,$D$19,$D$20,$D$21,$D$22,$D$23,$D$24,$D$25,$D$26,$D$27,$C$8,$C$9,$C$10,$C$11,$C$12),"")</f>
        <v>0</v>
      </c>
      <c r="T18" s="255">
        <f ca="1">IF(NOW(),_xll.mirSwapPV($C$3,$C$4,$C$6,$G18,$C$7,$I18+T$3,$C$16,$C$17,$C$18,$C$19,$C$20,$C$21,$C$22,$C$26,$C$27,$D$15,$D$16,$D$17,$D$18,$D$19,$D$20,$D$21,$D$22,$D$23,$D$24,$D$25,$D$26,$D$27,$C$8,$C$9,$C$10,$C$11,$C$12),"")</f>
        <v>-317649.87256458134</v>
      </c>
      <c r="U18" s="255">
        <f ca="1">IF(NOW(),_xll.mirSwapPV($C$3,$C$4,$C$6,$G18,$C$7,$I18+U$3,$C$16,$C$17,$C$18,$C$19,$C$20,$C$21,$C$22,$C$26,$C$27,$D$15,$D$16,$D$17,$D$18,$D$19,$D$20,$D$21,$D$22,$D$23,$D$24,$D$25,$D$26,$D$27,$C$8,$C$9,$C$10,$C$11,$C$12),"")</f>
        <v>-635299.74512916245</v>
      </c>
      <c r="V18" s="255">
        <f ca="1">IF(NOW(),_xll.mirSwapPV($C$3,$C$4,$C$6,$G18,$C$7,$I18+V$3,$C$16,$C$17,$C$18,$C$19,$C$20,$C$21,$C$22,$C$26,$C$27,$D$15,$D$16,$D$17,$D$18,$D$19,$D$20,$D$21,$D$22,$D$23,$D$24,$D$25,$D$26,$D$27,$C$8,$C$9,$C$10,$C$11,$C$12),"")</f>
        <v>-952949.61769374378</v>
      </c>
      <c r="W18" s="255">
        <f ca="1">IF(NOW(),_xll.mirSwapPV($C$3,$C$4,$C$6,$G18,$C$7,$I18+W$3,$C$16,$C$17,$C$18,$C$19,$C$20,$C$21,$C$22,$C$26,$C$27,$D$15,$D$16,$D$17,$D$18,$D$19,$D$20,$D$21,$D$22,$D$23,$D$24,$D$25,$D$26,$D$27,$C$8,$C$9,$C$10,$C$11,$C$12),"")</f>
        <v>-1270599.4902583251</v>
      </c>
      <c r="X18" s="255">
        <f ca="1">IF(NOW(),_xll.mirSwapPV($C$3,$C$4,$C$6,$G18,$C$7,$I18+X$3,$C$16,$C$17,$C$18,$C$19,$C$20,$C$21,$C$22,$C$26,$C$27,$D$15,$D$16,$D$17,$D$18,$D$19,$D$20,$D$21,$D$22,$D$23,$D$24,$D$25,$D$26,$D$27,$C$8,$C$9,$C$10,$C$11,$C$12),"")</f>
        <v>-1588249.3628229066</v>
      </c>
      <c r="Y18" s="230" t="s">
        <v>12</v>
      </c>
      <c r="Z18" s="224" t="s">
        <v>15</v>
      </c>
      <c r="AA18" s="227">
        <f>_xll.mirGetDate($C$6,Z18)</f>
        <v>56810</v>
      </c>
      <c r="AB18" s="228">
        <f t="shared" si="6"/>
        <v>1.6174999999999998E-2</v>
      </c>
      <c r="AC18" s="229">
        <f ca="1">IF(NOW(),_xll.mirGetParRate4($C$6,Z18,$C$7,$C$16,$C$17,$C$18,$C$19,$C$20,$C$21,$C$22,$C$26,$C$27,$D$16,$D$17,$D$18,$D$19,$D$20,$D$21,$D$22,$D$23,$D$24,$D$25,$D$26,$D$27,$C$8,$C$9,$C$10,$D$11,$C$12),"")</f>
        <v>1.6175001901691247E-2</v>
      </c>
      <c r="AD18" s="229">
        <f t="shared" ca="1" si="4"/>
        <v>1.9016912489178139E-9</v>
      </c>
      <c r="AE18" s="230">
        <f t="shared" ca="1" si="5"/>
        <v>1.9016912489178139E-5</v>
      </c>
      <c r="AG18" s="224" t="s">
        <v>15</v>
      </c>
      <c r="AH18" s="255">
        <f ca="1">IF(NOW(),_xll.mirSwapPV($C$3,$C$4,$C$6,$G18,$C$7,$I18+AH$3,$C$16,$C$17,$C$18,$C$19,$C$20,$C$21,$C$22,$C$26,$C$27,$D$15,$D$16,$D$17,$D$18,$D$19,$D$20,$D$21,$D$22,$D$23,$D$24,$D$25,$D$26,$D$27,$C$8,$C$9,$C$10,$D$11,$C$12),"")</f>
        <v>1588249.3628229061</v>
      </c>
      <c r="AI18" s="255">
        <f ca="1">IF(NOW(),_xll.mirSwapPV($C$3,$C$4,$C$6,$G18,$C$7,$I18+AI$3,$C$16,$C$17,$C$18,$C$19,$C$20,$C$21,$C$22,$C$26,$C$27,$D$15,$D$16,$D$17,$D$18,$D$19,$D$20,$D$21,$D$22,$D$23,$D$24,$D$25,$D$26,$D$27,$C$8,$C$9,$C$10,$D$11,$C$12),"")</f>
        <v>1270599.4902583249</v>
      </c>
      <c r="AJ18" s="255">
        <f ca="1">IF(NOW(),_xll.mirSwapPV($C$3,$C$4,$C$6,$G18,$C$7,$I18+AJ$3,$C$16,$C$17,$C$18,$C$19,$C$20,$C$21,$C$22,$C$26,$C$27,$D$15,$D$16,$D$17,$D$18,$D$19,$D$20,$D$21,$D$22,$D$23,$D$24,$D$25,$D$26,$D$27,$C$8,$C$9,$C$10,$D$11,$C$12),"")</f>
        <v>952949.61769374355</v>
      </c>
      <c r="AK18" s="255">
        <f ca="1">IF(NOW(),_xll.mirSwapPV($C$3,$C$4,$C$6,$G18,$C$7,$I18+AK$3,$C$16,$C$17,$C$18,$C$19,$C$20,$C$21,$C$22,$C$26,$C$27,$D$15,$D$16,$D$17,$D$18,$D$19,$D$20,$D$21,$D$22,$D$23,$D$24,$D$25,$D$26,$D$27,$C$8,$C$9,$C$10,$D$11,$C$12),"")</f>
        <v>635299.74512916221</v>
      </c>
      <c r="AL18" s="255">
        <f ca="1">IF(NOW(),_xll.mirSwapPV($C$3,$C$4,$C$6,$G18,$C$7,$I18+AL$3,$C$16,$C$17,$C$18,$C$19,$C$20,$C$21,$C$22,$C$26,$C$27,$D$15,$D$16,$D$17,$D$18,$D$19,$D$20,$D$21,$D$22,$D$23,$D$24,$D$25,$D$26,$D$27,$C$8,$C$9,$C$10,$D$11,$C$12),"")</f>
        <v>317649.87256458099</v>
      </c>
      <c r="AM18" s="255">
        <f ca="1">IF(NOW(),_xll.mirSwapPV($C$3,$C$4,$C$6,$G18,$C$7,$I18+AM$3,$C$16,$C$17,$C$18,$C$19,$C$20,$C$21,$C$22,$C$26,$C$27,$D$15,$D$16,$D$17,$D$18,$D$19,$D$20,$D$21,$D$22,$D$23,$D$24,$D$25,$D$26,$D$27,$C$8,$C$9,$C$10,$D$11,$C$12),"")</f>
        <v>-1.1102230246251565E-10</v>
      </c>
      <c r="AN18" s="255">
        <f ca="1">IF(NOW(),_xll.mirSwapPV($C$3,$C$4,$C$6,$G18,$C$7,$I18+AN$3,$C$16,$C$17,$C$18,$C$19,$C$20,$C$21,$C$22,$C$26,$C$27,$D$15,$D$16,$D$17,$D$18,$D$19,$D$20,$D$21,$D$22,$D$23,$D$24,$D$25,$D$26,$D$27,$C$8,$C$9,$C$10,$D$11,$C$12),"")</f>
        <v>-317649.87256458146</v>
      </c>
      <c r="AO18" s="255">
        <f ca="1">IF(NOW(),_xll.mirSwapPV($C$3,$C$4,$C$6,$G18,$C$7,$I18+AO$3,$C$16,$C$17,$C$18,$C$19,$C$20,$C$21,$C$22,$C$26,$C$27,$D$15,$D$16,$D$17,$D$18,$D$19,$D$20,$D$21,$D$22,$D$23,$D$24,$D$25,$D$26,$D$27,$C$8,$C$9,$C$10,$D$11,$C$12),"")</f>
        <v>-635299.74512916256</v>
      </c>
      <c r="AP18" s="255">
        <f ca="1">IF(NOW(),_xll.mirSwapPV($C$3,$C$4,$C$6,$G18,$C$7,$I18+AP$3,$C$16,$C$17,$C$18,$C$19,$C$20,$C$21,$C$22,$C$26,$C$27,$D$15,$D$16,$D$17,$D$18,$D$19,$D$20,$D$21,$D$22,$D$23,$D$24,$D$25,$D$26,$D$27,$C$8,$C$9,$C$10,$D$11,$C$12),"")</f>
        <v>-952949.6176937439</v>
      </c>
      <c r="AQ18" s="255">
        <f ca="1">IF(NOW(),_xll.mirSwapPV($C$3,$C$4,$C$6,$G18,$C$7,$I18+AQ$3,$C$16,$C$17,$C$18,$C$19,$C$20,$C$21,$C$22,$C$26,$C$27,$D$15,$D$16,$D$17,$D$18,$D$19,$D$20,$D$21,$D$22,$D$23,$D$24,$D$25,$D$26,$D$27,$C$8,$C$9,$C$10,$D$11,$C$12),"")</f>
        <v>-1270599.4902583254</v>
      </c>
      <c r="AR18" s="255">
        <f ca="1">IF(NOW(),_xll.mirSwapPV($C$3,$C$4,$C$6,$G18,$C$7,$I18+AR$3,$C$16,$C$17,$C$18,$C$19,$C$20,$C$21,$C$22,$C$26,$C$27,$D$15,$D$16,$D$17,$D$18,$D$19,$D$20,$D$21,$D$22,$D$23,$D$24,$D$25,$D$26,$D$27,$C$8,$C$9,$C$10,$D$11,$C$12),"")</f>
        <v>-1588249.3628229066</v>
      </c>
    </row>
    <row r="19" spans="2:44">
      <c r="B19" s="234" t="s">
        <v>174</v>
      </c>
      <c r="C19" s="240" t="s">
        <v>458</v>
      </c>
      <c r="D19" s="240" t="s">
        <v>458</v>
      </c>
      <c r="E19" s="224"/>
      <c r="F19" s="224"/>
      <c r="G19" s="227"/>
      <c r="H19" s="228"/>
      <c r="I19" s="229"/>
      <c r="J19" s="229"/>
      <c r="K19" s="230"/>
      <c r="L19" s="230" t="s">
        <v>12</v>
      </c>
      <c r="M19" s="230"/>
      <c r="N19" s="255"/>
      <c r="O19" s="255"/>
      <c r="P19" s="255"/>
      <c r="Q19" s="255"/>
      <c r="R19" s="255"/>
      <c r="S19" s="255"/>
      <c r="T19" s="255"/>
      <c r="U19" s="255"/>
      <c r="V19" s="255"/>
      <c r="W19" s="255"/>
      <c r="X19" s="255"/>
      <c r="Y19" s="230" t="s">
        <v>12</v>
      </c>
      <c r="Z19" s="224"/>
      <c r="AA19" s="227"/>
      <c r="AB19" s="228"/>
      <c r="AC19" s="229"/>
      <c r="AD19" s="229"/>
      <c r="AE19" s="230"/>
      <c r="AG19" s="224"/>
      <c r="AH19" s="255"/>
      <c r="AI19" s="255"/>
      <c r="AJ19" s="255"/>
      <c r="AK19" s="255"/>
      <c r="AL19" s="255"/>
      <c r="AM19" s="255"/>
      <c r="AN19" s="255"/>
      <c r="AO19" s="255"/>
      <c r="AP19" s="255"/>
      <c r="AQ19" s="255"/>
      <c r="AR19" s="255"/>
    </row>
    <row r="20" spans="2:44">
      <c r="B20" s="234" t="s">
        <v>444</v>
      </c>
      <c r="C20" s="243"/>
      <c r="D20" s="243"/>
      <c r="E20" s="244"/>
      <c r="F20" s="224"/>
      <c r="G20" s="227"/>
      <c r="H20" s="228"/>
      <c r="I20" s="229"/>
      <c r="J20" s="229"/>
      <c r="K20" s="230"/>
      <c r="L20" s="230" t="s">
        <v>12</v>
      </c>
      <c r="M20" s="230"/>
      <c r="N20" s="255"/>
      <c r="O20" s="255"/>
      <c r="P20" s="255"/>
      <c r="Q20" s="255"/>
      <c r="R20" s="255"/>
      <c r="S20" s="255"/>
      <c r="T20" s="255"/>
      <c r="U20" s="255"/>
      <c r="V20" s="255"/>
      <c r="W20" s="255"/>
      <c r="X20" s="255"/>
      <c r="Y20" s="230" t="s">
        <v>12</v>
      </c>
      <c r="Z20" s="224"/>
      <c r="AA20" s="227"/>
      <c r="AB20" s="228"/>
      <c r="AC20" s="229"/>
      <c r="AD20" s="229"/>
      <c r="AE20" s="230"/>
      <c r="AG20" s="224"/>
      <c r="AH20" s="255"/>
      <c r="AI20" s="255"/>
      <c r="AJ20" s="255"/>
      <c r="AK20" s="255"/>
      <c r="AL20" s="255"/>
      <c r="AM20" s="255"/>
      <c r="AN20" s="255"/>
      <c r="AO20" s="255"/>
      <c r="AP20" s="255"/>
      <c r="AQ20" s="255"/>
      <c r="AR20" s="255"/>
    </row>
    <row r="21" spans="2:44">
      <c r="B21" s="234" t="s">
        <v>445</v>
      </c>
      <c r="C21" s="243"/>
      <c r="D21" s="243"/>
      <c r="E21" s="245"/>
      <c r="F21" s="224"/>
      <c r="G21" s="227"/>
      <c r="H21" s="228"/>
      <c r="I21" s="229"/>
      <c r="J21" s="229"/>
      <c r="K21" s="230"/>
      <c r="L21" s="230" t="s">
        <v>12</v>
      </c>
      <c r="M21" s="230"/>
      <c r="N21" s="255"/>
      <c r="O21" s="255"/>
      <c r="P21" s="255"/>
      <c r="Q21" s="255"/>
      <c r="R21" s="255"/>
      <c r="S21" s="255"/>
      <c r="T21" s="255"/>
      <c r="U21" s="255"/>
      <c r="V21" s="255"/>
      <c r="W21" s="255"/>
      <c r="X21" s="255"/>
      <c r="Y21" s="230" t="s">
        <v>12</v>
      </c>
      <c r="Z21" s="224"/>
      <c r="AA21" s="227"/>
      <c r="AB21" s="228"/>
      <c r="AC21" s="229"/>
      <c r="AD21" s="229"/>
      <c r="AE21" s="230"/>
      <c r="AG21" s="224"/>
      <c r="AH21" s="255"/>
      <c r="AI21" s="255"/>
      <c r="AJ21" s="255"/>
      <c r="AK21" s="255"/>
      <c r="AL21" s="255"/>
      <c r="AM21" s="255"/>
      <c r="AN21" s="255"/>
      <c r="AO21" s="255"/>
      <c r="AP21" s="255"/>
      <c r="AQ21" s="255"/>
      <c r="AR21" s="255"/>
    </row>
    <row r="22" spans="2:44">
      <c r="B22" s="234" t="s">
        <v>446</v>
      </c>
      <c r="C22" s="240">
        <v>15</v>
      </c>
      <c r="D22" s="240">
        <v>15</v>
      </c>
      <c r="F22" s="224"/>
      <c r="G22" s="227"/>
      <c r="H22" s="228"/>
      <c r="I22" s="229"/>
      <c r="J22" s="229"/>
      <c r="K22" s="230"/>
      <c r="L22" s="230" t="s">
        <v>12</v>
      </c>
      <c r="M22" s="230"/>
      <c r="N22" s="255"/>
      <c r="O22" s="255"/>
      <c r="P22" s="255"/>
      <c r="Q22" s="255"/>
      <c r="R22" s="255"/>
      <c r="S22" s="255"/>
      <c r="T22" s="255"/>
      <c r="U22" s="255"/>
      <c r="V22" s="255"/>
      <c r="W22" s="255"/>
      <c r="X22" s="255"/>
      <c r="Y22" s="230" t="s">
        <v>12</v>
      </c>
      <c r="Z22" s="224"/>
      <c r="AA22" s="227"/>
      <c r="AB22" s="228"/>
      <c r="AC22" s="229"/>
      <c r="AD22" s="229"/>
      <c r="AE22" s="230"/>
      <c r="AG22" s="224"/>
      <c r="AH22" s="255"/>
      <c r="AI22" s="255"/>
      <c r="AJ22" s="255"/>
      <c r="AK22" s="255"/>
      <c r="AL22" s="255"/>
      <c r="AM22" s="255"/>
      <c r="AN22" s="255"/>
      <c r="AO22" s="255"/>
      <c r="AP22" s="255"/>
      <c r="AQ22" s="255"/>
      <c r="AR22" s="255"/>
    </row>
    <row r="23" spans="2:44">
      <c r="B23" s="234" t="s">
        <v>447</v>
      </c>
      <c r="C23" s="241" t="s">
        <v>6</v>
      </c>
      <c r="D23" s="246" t="s">
        <v>448</v>
      </c>
      <c r="F23" s="224"/>
      <c r="G23" s="224"/>
      <c r="H23" s="224"/>
      <c r="K23" s="10"/>
      <c r="L23" s="10"/>
      <c r="M23" s="10"/>
      <c r="P23" s="252"/>
      <c r="AG23" s="10"/>
      <c r="AJ23" s="252"/>
    </row>
    <row r="24" spans="2:44">
      <c r="B24" s="234" t="s">
        <v>449</v>
      </c>
      <c r="C24" s="241" t="s">
        <v>6</v>
      </c>
      <c r="D24" s="247">
        <v>1.3429E-3</v>
      </c>
      <c r="F24" s="224"/>
      <c r="G24" s="224"/>
      <c r="H24" s="224"/>
      <c r="I24" s="11"/>
      <c r="J24" s="248"/>
      <c r="K24" s="249"/>
      <c r="L24" s="249"/>
      <c r="M24" s="249"/>
      <c r="AG24" s="249"/>
    </row>
    <row r="25" spans="2:44">
      <c r="B25" s="234" t="s">
        <v>450</v>
      </c>
      <c r="C25" s="241" t="s">
        <v>6</v>
      </c>
      <c r="D25" s="250"/>
      <c r="I25" s="224"/>
      <c r="J25" s="224"/>
      <c r="K25" s="230"/>
      <c r="L25" s="230"/>
      <c r="M25" s="230"/>
      <c r="AG25" s="230"/>
    </row>
    <row r="26" spans="2:44">
      <c r="B26" s="234" t="s">
        <v>452</v>
      </c>
      <c r="C26" s="246" t="s">
        <v>448</v>
      </c>
      <c r="D26" s="246" t="s">
        <v>448</v>
      </c>
      <c r="M26" s="259"/>
      <c r="AG26" s="259"/>
    </row>
    <row r="27" spans="2:44">
      <c r="B27" s="225" t="s">
        <v>453</v>
      </c>
      <c r="C27" s="251" t="s">
        <v>457</v>
      </c>
      <c r="D27" s="251" t="s">
        <v>457</v>
      </c>
      <c r="F27" s="224"/>
      <c r="G27" s="118"/>
      <c r="M27" s="219" t="s">
        <v>462</v>
      </c>
      <c r="N27" s="219"/>
      <c r="O27" s="229"/>
      <c r="P27" s="252"/>
      <c r="Q27" s="252"/>
      <c r="R27" s="229"/>
      <c r="S27" s="229" t="s">
        <v>459</v>
      </c>
      <c r="T27" s="229"/>
      <c r="U27" s="229"/>
      <c r="V27" s="229"/>
      <c r="W27" t="s">
        <v>463</v>
      </c>
      <c r="X27" s="259" t="b">
        <f>$C$11</f>
        <v>1</v>
      </c>
      <c r="AG27" s="219" t="s">
        <v>462</v>
      </c>
      <c r="AH27" s="219"/>
      <c r="AI27" s="229"/>
      <c r="AJ27" s="252"/>
      <c r="AK27" s="252"/>
      <c r="AL27" s="229"/>
      <c r="AM27" s="229" t="s">
        <v>459</v>
      </c>
      <c r="AN27" s="229"/>
      <c r="AO27" s="229"/>
      <c r="AP27" s="229"/>
      <c r="AQ27" t="s">
        <v>463</v>
      </c>
      <c r="AR27" s="259" t="b">
        <f>$D$11</f>
        <v>0</v>
      </c>
    </row>
    <row r="28" spans="2:44">
      <c r="F28" s="224"/>
      <c r="G28" s="224"/>
      <c r="H28" s="224"/>
      <c r="I28" s="224"/>
      <c r="J28" s="224"/>
      <c r="K28" s="224"/>
      <c r="L28" s="224"/>
      <c r="M28" s="224" t="s">
        <v>76</v>
      </c>
      <c r="N28" s="230">
        <v>500</v>
      </c>
      <c r="O28" s="230">
        <f>N28-100</f>
        <v>400</v>
      </c>
      <c r="P28" s="230">
        <f t="shared" ref="P28:X28" si="7">O28-100</f>
        <v>300</v>
      </c>
      <c r="Q28" s="230">
        <f t="shared" si="7"/>
        <v>200</v>
      </c>
      <c r="R28" s="230">
        <f t="shared" si="7"/>
        <v>100</v>
      </c>
      <c r="S28" s="230">
        <f t="shared" si="7"/>
        <v>0</v>
      </c>
      <c r="T28" s="230">
        <f t="shared" si="7"/>
        <v>-100</v>
      </c>
      <c r="U28" s="230">
        <f t="shared" si="7"/>
        <v>-200</v>
      </c>
      <c r="V28" s="230">
        <f t="shared" si="7"/>
        <v>-300</v>
      </c>
      <c r="W28" s="230">
        <f t="shared" si="7"/>
        <v>-400</v>
      </c>
      <c r="X28" s="230">
        <f t="shared" si="7"/>
        <v>-500</v>
      </c>
      <c r="Y28" s="224"/>
      <c r="AE28" s="11"/>
      <c r="AG28" s="224" t="s">
        <v>76</v>
      </c>
      <c r="AH28" s="230">
        <v>500</v>
      </c>
      <c r="AI28" s="230">
        <f>AH28-100</f>
        <v>400</v>
      </c>
      <c r="AJ28" s="230">
        <f t="shared" ref="AJ28:AR28" si="8">AI28-100</f>
        <v>300</v>
      </c>
      <c r="AK28" s="230">
        <f t="shared" si="8"/>
        <v>200</v>
      </c>
      <c r="AL28" s="230">
        <f t="shared" si="8"/>
        <v>100</v>
      </c>
      <c r="AM28" s="230">
        <f t="shared" si="8"/>
        <v>0</v>
      </c>
      <c r="AN28" s="230">
        <f t="shared" si="8"/>
        <v>-100</v>
      </c>
      <c r="AO28" s="230">
        <f t="shared" si="8"/>
        <v>-200</v>
      </c>
      <c r="AP28" s="230">
        <f t="shared" si="8"/>
        <v>-300</v>
      </c>
      <c r="AQ28" s="230">
        <f t="shared" si="8"/>
        <v>-400</v>
      </c>
      <c r="AR28" s="230">
        <f t="shared" si="8"/>
        <v>-500</v>
      </c>
    </row>
    <row r="29" spans="2:44">
      <c r="F29" s="230"/>
      <c r="G29" s="227"/>
      <c r="H29" s="229"/>
      <c r="I29" s="229"/>
      <c r="J29" s="229"/>
      <c r="K29" s="230"/>
      <c r="L29" s="230"/>
      <c r="M29" s="227" t="s">
        <v>39</v>
      </c>
      <c r="N29" s="255">
        <f ca="1">IF(NOW(),_xll.mirSwapPV($C$3,$C$4,$C$6,$G4,$C$7,$I4,$C$16,$C$17,$C$18,$C$19,$C$20,$C$21,$C$22,$C$26,$C$27,N$28,$D$16,$D$17,$D$18,$D$19,$D$20,$D$21,$D$22,$D$23,$D$24,$D$25,$D$26,$D$27,$C$8,$C$9,$C$10,$C$11,$C$12),"")</f>
        <v>152305.28700396299</v>
      </c>
      <c r="O29" s="255">
        <f ca="1">IF(NOW(),_xll.mirSwapPV($C$3,$C$4,$C$6,$G4,$C$7,$I4,$C$16,$C$17,$C$18,$C$19,$C$20,$C$21,$C$22,$C$26,$C$27,O$28,$D$16,$D$17,$D$18,$D$19,$D$20,$D$21,$D$22,$D$23,$D$24,$D$25,$D$26,$D$27,$C$8,$C$9,$C$10,$C$11,$C$12),"")</f>
        <v>121844.22960317036</v>
      </c>
      <c r="P29" s="255">
        <f ca="1">IF(NOW(),_xll.mirSwapPV($C$3,$C$4,$C$6,$G4,$C$7,$I4,$C$16,$C$17,$C$18,$C$19,$C$20,$C$21,$C$22,$C$26,$C$27,P$28,$D$16,$D$17,$D$18,$D$19,$D$20,$D$21,$D$22,$D$23,$D$24,$D$25,$D$26,$D$27,$C$8,$C$9,$C$10,$C$11,$C$12),"")</f>
        <v>91383.172202377784</v>
      </c>
      <c r="Q29" s="255">
        <f ca="1">IF(NOW(),_xll.mirSwapPV($C$3,$C$4,$C$6,$G4,$C$7,$I4,$C$16,$C$17,$C$18,$C$19,$C$20,$C$21,$C$22,$C$26,$C$27,Q$28,$D$16,$D$17,$D$18,$D$19,$D$20,$D$21,$D$22,$D$23,$D$24,$D$25,$D$26,$D$27,$C$8,$C$9,$C$10,$C$11,$C$12),"")</f>
        <v>60922.114801585172</v>
      </c>
      <c r="R29" s="255">
        <f ca="1">IF(NOW(),_xll.mirSwapPV($C$3,$C$4,$C$6,$G4,$C$7,$I4,$C$16,$C$17,$C$18,$C$19,$C$20,$C$21,$C$22,$C$26,$C$27,R$28,$D$16,$D$17,$D$18,$D$19,$D$20,$D$21,$D$22,$D$23,$D$24,$D$25,$D$26,$D$27,$C$8,$C$9,$C$10,$C$11,$C$12),"")</f>
        <v>30461.057400792586</v>
      </c>
      <c r="S29" s="255">
        <f ca="1">IF(NOW(),_xll.mirSwapPV($C$3,$C$4,$C$6,$G4,$C$7,$I4,$C$16,$C$17,$C$18,$C$19,$C$20,$C$21,$C$22,$C$26,$C$27,S$28,$D$16,$D$17,$D$18,$D$19,$D$20,$D$21,$D$22,$D$23,$D$24,$D$25,$D$26,$D$27,$C$8,$C$9,$C$10,$C$11,$C$12),"")</f>
        <v>0</v>
      </c>
      <c r="T29" s="255">
        <f ca="1">IF(NOW(),_xll.mirSwapPV($C$3,$C$4,$C$6,$G4,$C$7,$I4,$C$16,$C$17,$C$18,$C$19,$C$20,$C$21,$C$22,$C$26,$C$27,T$28,$D$16,$D$17,$D$18,$D$19,$D$20,$D$21,$D$22,$D$23,$D$24,$D$25,$D$26,$D$27,$C$8,$C$9,$C$10,$C$11,$C$12),"")</f>
        <v>-30461.057400792597</v>
      </c>
      <c r="U29" s="255">
        <f ca="1">IF(NOW(),_xll.mirSwapPV($C$3,$C$4,$C$6,$G4,$C$7,$I4,$C$16,$C$17,$C$18,$C$19,$C$20,$C$21,$C$22,$C$26,$C$27,U$28,$D$16,$D$17,$D$18,$D$19,$D$20,$D$21,$D$22,$D$23,$D$24,$D$25,$D$26,$D$27,$C$8,$C$9,$C$10,$C$11,$C$12),"")</f>
        <v>-60922.114801585172</v>
      </c>
      <c r="V29" s="255">
        <f ca="1">IF(NOW(),_xll.mirSwapPV($C$3,$C$4,$C$6,$G4,$C$7,$I4,$C$16,$C$17,$C$18,$C$19,$C$20,$C$21,$C$22,$C$26,$C$27,V$28,$D$16,$D$17,$D$18,$D$19,$D$20,$D$21,$D$22,$D$23,$D$24,$D$25,$D$26,$D$27,$C$8,$C$9,$C$10,$C$11,$C$12),"")</f>
        <v>-91383.172202377784</v>
      </c>
      <c r="W29" s="255">
        <f ca="1">IF(NOW(),_xll.mirSwapPV($C$3,$C$4,$C$6,$G4,$C$7,$I4,$C$16,$C$17,$C$18,$C$19,$C$20,$C$21,$C$22,$C$26,$C$27,W$28,$D$16,$D$17,$D$18,$D$19,$D$20,$D$21,$D$22,$D$23,$D$24,$D$25,$D$26,$D$27,$C$8,$C$9,$C$10,$C$11,$C$12),"")</f>
        <v>-121844.22960317036</v>
      </c>
      <c r="X29" s="255">
        <f ca="1">IF(NOW(),_xll.mirSwapPV($C$3,$C$4,$C$6,$G4,$C$7,$I4,$C$16,$C$17,$C$18,$C$19,$C$20,$C$21,$C$22,$C$26,$C$27,X$28,$D$16,$D$17,$D$18,$D$19,$D$20,$D$21,$D$22,$D$23,$D$24,$D$25,$D$26,$D$27,$C$8,$C$9,$C$10,$C$11,$C$12),"")</f>
        <v>-152305.28700396296</v>
      </c>
      <c r="Y29" s="229"/>
      <c r="AE29" s="230"/>
      <c r="AG29" s="227" t="s">
        <v>39</v>
      </c>
      <c r="AH29" s="255">
        <f ca="1">IF(NOW(),_xll.mirSwapPV($C$3,$C$4,$C$6,$AA4,$C$7,$AC4,$C$16,$C$17,$C$18,$C$19,$C$20,$C$21,$C$22,$C$26,$C$27,AH$28,$D$16,$D$17,$D$18,$D$19,$D$20,$D$21,$D$22,$D$23,$D$24,$D$25,$D$26,$D$27,$C$8,$C$9,$C$10,$D$11,$C$12),"")</f>
        <v>152305.28700396296</v>
      </c>
      <c r="AI29" s="255">
        <f ca="1">IF(NOW(),_xll.mirSwapPV($C$3,$C$4,$C$6,$AA4,$C$7,$AC4,$C$16,$C$17,$C$18,$C$19,$C$20,$C$21,$C$22,$C$26,$C$27,AI$28,$D$16,$D$17,$D$18,$D$19,$D$20,$D$21,$D$22,$D$23,$D$24,$D$25,$D$26,$D$27,$C$8,$C$9,$C$10,$D$11,$C$12),"")</f>
        <v>121844.22960317037</v>
      </c>
      <c r="AJ29" s="255">
        <f ca="1">IF(NOW(),_xll.mirSwapPV($C$3,$C$4,$C$6,$AA4,$C$7,$AC4,$C$16,$C$17,$C$18,$C$19,$C$20,$C$21,$C$22,$C$26,$C$27,AJ$28,$D$16,$D$17,$D$18,$D$19,$D$20,$D$21,$D$22,$D$23,$D$24,$D$25,$D$26,$D$27,$C$8,$C$9,$C$10,$D$11,$C$12),"")</f>
        <v>91383.172202377784</v>
      </c>
      <c r="AK29" s="255">
        <f ca="1">IF(NOW(),_xll.mirSwapPV($C$3,$C$4,$C$6,$AA4,$C$7,$AC4,$C$16,$C$17,$C$18,$C$19,$C$20,$C$21,$C$22,$C$26,$C$27,AK$28,$D$16,$D$17,$D$18,$D$19,$D$20,$D$21,$D$22,$D$23,$D$24,$D$25,$D$26,$D$27,$C$8,$C$9,$C$10,$D$11,$C$12),"")</f>
        <v>60922.114801585187</v>
      </c>
      <c r="AL29" s="255">
        <f ca="1">IF(NOW(),_xll.mirSwapPV($C$3,$C$4,$C$6,$AA4,$C$7,$AC4,$C$16,$C$17,$C$18,$C$19,$C$20,$C$21,$C$22,$C$26,$C$27,AL$28,$D$16,$D$17,$D$18,$D$19,$D$20,$D$21,$D$22,$D$23,$D$24,$D$25,$D$26,$D$27,$C$8,$C$9,$C$10,$D$11,$C$12),"")</f>
        <v>30461.057400792593</v>
      </c>
      <c r="AM29" s="255">
        <f ca="1">IF(NOW(),_xll.mirSwapPV($C$3,$C$4,$C$6,$AA4,$C$7,$AC4,$C$16,$C$17,$C$18,$C$19,$C$20,$C$21,$C$22,$C$26,$C$27,AM$28,$D$16,$D$17,$D$18,$D$19,$D$20,$D$21,$D$22,$D$23,$D$24,$D$25,$D$26,$D$27,$C$8,$C$9,$C$10,$D$11,$C$12),"")</f>
        <v>0</v>
      </c>
      <c r="AN29" s="255">
        <f ca="1">IF(NOW(),_xll.mirSwapPV($C$3,$C$4,$C$6,$AA4,$C$7,$AC4,$C$16,$C$17,$C$18,$C$19,$C$20,$C$21,$C$22,$C$26,$C$27,AN$28,$D$16,$D$17,$D$18,$D$19,$D$20,$D$21,$D$22,$D$23,$D$24,$D$25,$D$26,$D$27,$C$8,$C$9,$C$10,$D$11,$C$12),"")</f>
        <v>-30461.057400792593</v>
      </c>
      <c r="AO29" s="255">
        <f ca="1">IF(NOW(),_xll.mirSwapPV($C$3,$C$4,$C$6,$AA4,$C$7,$AC4,$C$16,$C$17,$C$18,$C$19,$C$20,$C$21,$C$22,$C$26,$C$27,AO$28,$D$16,$D$17,$D$18,$D$19,$D$20,$D$21,$D$22,$D$23,$D$24,$D$25,$D$26,$D$27,$C$8,$C$9,$C$10,$D$11,$C$12),"")</f>
        <v>-60922.11480158518</v>
      </c>
      <c r="AP29" s="255">
        <f ca="1">IF(NOW(),_xll.mirSwapPV($C$3,$C$4,$C$6,$AA4,$C$7,$AC4,$C$16,$C$17,$C$18,$C$19,$C$20,$C$21,$C$22,$C$26,$C$27,AP$28,$D$16,$D$17,$D$18,$D$19,$D$20,$D$21,$D$22,$D$23,$D$24,$D$25,$D$26,$D$27,$C$8,$C$9,$C$10,$D$11,$C$12),"")</f>
        <v>-91383.172202377769</v>
      </c>
      <c r="AQ29" s="255">
        <f ca="1">IF(NOW(),_xll.mirSwapPV($C$3,$C$4,$C$6,$AA4,$C$7,$AC4,$C$16,$C$17,$C$18,$C$19,$C$20,$C$21,$C$22,$C$26,$C$27,AQ$28,$D$16,$D$17,$D$18,$D$19,$D$20,$D$21,$D$22,$D$23,$D$24,$D$25,$D$26,$D$27,$C$8,$C$9,$C$10,$D$11,$C$12),"")</f>
        <v>-121844.22960317034</v>
      </c>
      <c r="AR29" s="255">
        <f ca="1">IF(NOW(),_xll.mirSwapPV($C$3,$C$4,$C$6,$AA4,$C$7,$AC4,$C$16,$C$17,$C$18,$C$19,$C$20,$C$21,$C$22,$C$26,$C$27,AR$28,$D$16,$D$17,$D$18,$D$19,$D$20,$D$21,$D$22,$D$23,$D$24,$D$25,$D$26,$D$27,$C$8,$C$9,$C$10,$D$11,$C$12),"")</f>
        <v>-152305.28700396296</v>
      </c>
    </row>
    <row r="30" spans="2:44">
      <c r="F30" s="230"/>
      <c r="G30" s="227"/>
      <c r="H30" s="229"/>
      <c r="I30" s="229"/>
      <c r="J30" s="229"/>
      <c r="K30" s="230"/>
      <c r="L30" s="230"/>
      <c r="M30" s="224" t="s">
        <v>35</v>
      </c>
      <c r="N30" s="255">
        <f ca="1">IF(NOW(),_xll.mirSwapPV($C$3,$C$4,$C$6,$G5,$C$7,$I5,$C$16,$C$17,$C$18,$C$19,$C$20,$C$21,$C$22,$C$26,$C$27,N$28,$D$16,$D$17,$D$18,$D$19,$D$20,$D$21,$D$22,$D$23,$D$24,$D$25,$D$26,$D$27,$C$8,$C$9,$C$10,$C$11,$C$12),"")</f>
        <v>202651.24654409112</v>
      </c>
      <c r="O30" s="255">
        <f ca="1">IF(NOW(),_xll.mirSwapPV($C$3,$C$4,$C$6,$G5,$C$7,$I5,$C$16,$C$17,$C$18,$C$19,$C$20,$C$21,$C$22,$C$26,$C$27,O$28,$D$16,$D$17,$D$18,$D$19,$D$20,$D$21,$D$22,$D$23,$D$24,$D$25,$D$26,$D$27,$C$8,$C$9,$C$10,$C$11,$C$12),"")</f>
        <v>162120.99723527287</v>
      </c>
      <c r="P30" s="255">
        <f ca="1">IF(NOW(),_xll.mirSwapPV($C$3,$C$4,$C$6,$G5,$C$7,$I5,$C$16,$C$17,$C$18,$C$19,$C$20,$C$21,$C$22,$C$26,$C$27,P$28,$D$16,$D$17,$D$18,$D$19,$D$20,$D$21,$D$22,$D$23,$D$24,$D$25,$D$26,$D$27,$C$8,$C$9,$C$10,$C$11,$C$12),"")</f>
        <v>121590.74792645466</v>
      </c>
      <c r="Q30" s="255">
        <f ca="1">IF(NOW(),_xll.mirSwapPV($C$3,$C$4,$C$6,$G5,$C$7,$I5,$C$16,$C$17,$C$18,$C$19,$C$20,$C$21,$C$22,$C$26,$C$27,Q$28,$D$16,$D$17,$D$18,$D$19,$D$20,$D$21,$D$22,$D$23,$D$24,$D$25,$D$26,$D$27,$C$8,$C$9,$C$10,$C$11,$C$12),"")</f>
        <v>81060.498617636447</v>
      </c>
      <c r="R30" s="255">
        <f ca="1">IF(NOW(),_xll.mirSwapPV($C$3,$C$4,$C$6,$G5,$C$7,$I5,$C$16,$C$17,$C$18,$C$19,$C$20,$C$21,$C$22,$C$26,$C$27,R$28,$D$16,$D$17,$D$18,$D$19,$D$20,$D$21,$D$22,$D$23,$D$24,$D$25,$D$26,$D$27,$C$8,$C$9,$C$10,$C$11,$C$12),"")</f>
        <v>40530.249308818209</v>
      </c>
      <c r="S30" s="255">
        <f ca="1">IF(NOW(),_xll.mirSwapPV($C$3,$C$4,$C$6,$G5,$C$7,$I5,$C$16,$C$17,$C$18,$C$19,$C$20,$C$21,$C$22,$C$26,$C$27,S$28,$D$16,$D$17,$D$18,$D$19,$D$20,$D$21,$D$22,$D$23,$D$24,$D$25,$D$26,$D$27,$C$8,$C$9,$C$10,$C$11,$C$12),"")</f>
        <v>0</v>
      </c>
      <c r="T30" s="255">
        <f ca="1">IF(NOW(),_xll.mirSwapPV($C$3,$C$4,$C$6,$G5,$C$7,$I5,$C$16,$C$17,$C$18,$C$19,$C$20,$C$21,$C$22,$C$26,$C$27,T$28,$D$16,$D$17,$D$18,$D$19,$D$20,$D$21,$D$22,$D$23,$D$24,$D$25,$D$26,$D$27,$C$8,$C$9,$C$10,$C$11,$C$12),"")</f>
        <v>-40530.249308818224</v>
      </c>
      <c r="U30" s="255">
        <f ca="1">IF(NOW(),_xll.mirSwapPV($C$3,$C$4,$C$6,$G5,$C$7,$I5,$C$16,$C$17,$C$18,$C$19,$C$20,$C$21,$C$22,$C$26,$C$27,U$28,$D$16,$D$17,$D$18,$D$19,$D$20,$D$21,$D$22,$D$23,$D$24,$D$25,$D$26,$D$27,$C$8,$C$9,$C$10,$C$11,$C$12),"")</f>
        <v>-81060.498617636418</v>
      </c>
      <c r="V30" s="255">
        <f ca="1">IF(NOW(),_xll.mirSwapPV($C$3,$C$4,$C$6,$G5,$C$7,$I5,$C$16,$C$17,$C$18,$C$19,$C$20,$C$21,$C$22,$C$26,$C$27,V$28,$D$16,$D$17,$D$18,$D$19,$D$20,$D$21,$D$22,$D$23,$D$24,$D$25,$D$26,$D$27,$C$8,$C$9,$C$10,$C$11,$C$12),"")</f>
        <v>-121590.74792645466</v>
      </c>
      <c r="W30" s="255">
        <f ca="1">IF(NOW(),_xll.mirSwapPV($C$3,$C$4,$C$6,$G5,$C$7,$I5,$C$16,$C$17,$C$18,$C$19,$C$20,$C$21,$C$22,$C$26,$C$27,W$28,$D$16,$D$17,$D$18,$D$19,$D$20,$D$21,$D$22,$D$23,$D$24,$D$25,$D$26,$D$27,$C$8,$C$9,$C$10,$C$11,$C$12),"")</f>
        <v>-162120.99723527289</v>
      </c>
      <c r="X30" s="255">
        <f ca="1">IF(NOW(),_xll.mirSwapPV($C$3,$C$4,$C$6,$G5,$C$7,$I5,$C$16,$C$17,$C$18,$C$19,$C$20,$C$21,$C$22,$C$26,$C$27,X$28,$D$16,$D$17,$D$18,$D$19,$D$20,$D$21,$D$22,$D$23,$D$24,$D$25,$D$26,$D$27,$C$8,$C$9,$C$10,$C$11,$C$12),"")</f>
        <v>-202651.24654409112</v>
      </c>
      <c r="Y30" s="229"/>
      <c r="AG30" s="224" t="s">
        <v>35</v>
      </c>
      <c r="AH30" s="255">
        <f ca="1">IF(NOW(),_xll.mirSwapPV($C$3,$C$4,$C$6,$AA5,$C$7,$AC5,$C$16,$C$17,$C$18,$C$19,$C$20,$C$21,$C$22,$C$26,$C$27,AH$28,$D$16,$D$17,$D$18,$D$19,$D$20,$D$21,$D$22,$D$23,$D$24,$D$25,$D$26,$D$27,$C$8,$C$9,$C$10,$D$11,$C$12),"")</f>
        <v>202651.24654409109</v>
      </c>
      <c r="AI30" s="255">
        <f ca="1">IF(NOW(),_xll.mirSwapPV($C$3,$C$4,$C$6,$AA5,$C$7,$AC5,$C$16,$C$17,$C$18,$C$19,$C$20,$C$21,$C$22,$C$26,$C$27,AI$28,$D$16,$D$17,$D$18,$D$19,$D$20,$D$21,$D$22,$D$23,$D$24,$D$25,$D$26,$D$27,$C$8,$C$9,$C$10,$D$11,$C$12),"")</f>
        <v>162120.99723527287</v>
      </c>
      <c r="AJ30" s="255">
        <f ca="1">IF(NOW(),_xll.mirSwapPV($C$3,$C$4,$C$6,$AA5,$C$7,$AC5,$C$16,$C$17,$C$18,$C$19,$C$20,$C$21,$C$22,$C$26,$C$27,AJ$28,$D$16,$D$17,$D$18,$D$19,$D$20,$D$21,$D$22,$D$23,$D$24,$D$25,$D$26,$D$27,$C$8,$C$9,$C$10,$D$11,$C$12),"")</f>
        <v>121590.74792645466</v>
      </c>
      <c r="AK30" s="255">
        <f ca="1">IF(NOW(),_xll.mirSwapPV($C$3,$C$4,$C$6,$AA5,$C$7,$AC5,$C$16,$C$17,$C$18,$C$19,$C$20,$C$21,$C$22,$C$26,$C$27,AK$28,$D$16,$D$17,$D$18,$D$19,$D$20,$D$21,$D$22,$D$23,$D$24,$D$25,$D$26,$D$27,$C$8,$C$9,$C$10,$D$11,$C$12),"")</f>
        <v>81060.498617636447</v>
      </c>
      <c r="AL30" s="255">
        <f ca="1">IF(NOW(),_xll.mirSwapPV($C$3,$C$4,$C$6,$AA5,$C$7,$AC5,$C$16,$C$17,$C$18,$C$19,$C$20,$C$21,$C$22,$C$26,$C$27,AL$28,$D$16,$D$17,$D$18,$D$19,$D$20,$D$21,$D$22,$D$23,$D$24,$D$25,$D$26,$D$27,$C$8,$C$9,$C$10,$D$11,$C$12),"")</f>
        <v>40530.249308818224</v>
      </c>
      <c r="AM30" s="255">
        <f ca="1">IF(NOW(),_xll.mirSwapPV($C$3,$C$4,$C$6,$AA5,$C$7,$AC5,$C$16,$C$17,$C$18,$C$19,$C$20,$C$21,$C$22,$C$26,$C$27,AM$28,$D$16,$D$17,$D$18,$D$19,$D$20,$D$21,$D$22,$D$23,$D$24,$D$25,$D$26,$D$27,$C$8,$C$9,$C$10,$D$11,$C$12),"")</f>
        <v>0</v>
      </c>
      <c r="AN30" s="255">
        <f ca="1">IF(NOW(),_xll.mirSwapPV($C$3,$C$4,$C$6,$AA5,$C$7,$AC5,$C$16,$C$17,$C$18,$C$19,$C$20,$C$21,$C$22,$C$26,$C$27,AN$28,$D$16,$D$17,$D$18,$D$19,$D$20,$D$21,$D$22,$D$23,$D$24,$D$25,$D$26,$D$27,$C$8,$C$9,$C$10,$D$11,$C$12),"")</f>
        <v>-40530.249308818224</v>
      </c>
      <c r="AO30" s="255">
        <f ca="1">IF(NOW(),_xll.mirSwapPV($C$3,$C$4,$C$6,$AA5,$C$7,$AC5,$C$16,$C$17,$C$18,$C$19,$C$20,$C$21,$C$22,$C$26,$C$27,AO$28,$D$16,$D$17,$D$18,$D$19,$D$20,$D$21,$D$22,$D$23,$D$24,$D$25,$D$26,$D$27,$C$8,$C$9,$C$10,$D$11,$C$12),"")</f>
        <v>-81060.498617636433</v>
      </c>
      <c r="AP30" s="255">
        <f ca="1">IF(NOW(),_xll.mirSwapPV($C$3,$C$4,$C$6,$AA5,$C$7,$AC5,$C$16,$C$17,$C$18,$C$19,$C$20,$C$21,$C$22,$C$26,$C$27,AP$28,$D$16,$D$17,$D$18,$D$19,$D$20,$D$21,$D$22,$D$23,$D$24,$D$25,$D$26,$D$27,$C$8,$C$9,$C$10,$D$11,$C$12),"")</f>
        <v>-121590.74792645466</v>
      </c>
      <c r="AQ30" s="255">
        <f ca="1">IF(NOW(),_xll.mirSwapPV($C$3,$C$4,$C$6,$AA5,$C$7,$AC5,$C$16,$C$17,$C$18,$C$19,$C$20,$C$21,$C$22,$C$26,$C$27,AQ$28,$D$16,$D$17,$D$18,$D$19,$D$20,$D$21,$D$22,$D$23,$D$24,$D$25,$D$26,$D$27,$C$8,$C$9,$C$10,$D$11,$C$12),"")</f>
        <v>-162120.99723527284</v>
      </c>
      <c r="AR30" s="255">
        <f ca="1">IF(NOW(),_xll.mirSwapPV($C$3,$C$4,$C$6,$AA5,$C$7,$AC5,$C$16,$C$17,$C$18,$C$19,$C$20,$C$21,$C$22,$C$26,$C$27,AR$28,$D$16,$D$17,$D$18,$D$19,$D$20,$D$21,$D$22,$D$23,$D$24,$D$25,$D$26,$D$27,$C$8,$C$9,$C$10,$D$11,$C$12),"")</f>
        <v>-202651.24654409109</v>
      </c>
    </row>
    <row r="31" spans="2:44">
      <c r="F31" s="230"/>
      <c r="G31" s="227"/>
      <c r="H31" s="229"/>
      <c r="I31" s="229"/>
      <c r="J31" s="229"/>
      <c r="K31" s="230"/>
      <c r="L31" s="230"/>
      <c r="M31" s="224" t="s">
        <v>33</v>
      </c>
      <c r="N31" s="255">
        <f ca="1">IF(NOW(),_xll.mirSwapPV($C$3,$C$4,$C$6,$G6,$C$7,$I6,$C$16,$C$17,$C$18,$C$19,$C$20,$C$21,$C$22,$C$26,$C$27,N$28,$D$16,$D$17,$D$18,$D$19,$D$20,$D$21,$D$22,$D$23,$D$24,$D$25,$D$26,$D$27,$C$8,$C$9,$C$10,$C$11,$C$12),"")</f>
        <v>252965.3495321779</v>
      </c>
      <c r="O31" s="255">
        <f ca="1">IF(NOW(),_xll.mirSwapPV($C$3,$C$4,$C$6,$G6,$C$7,$I6,$C$16,$C$17,$C$18,$C$19,$C$20,$C$21,$C$22,$C$26,$C$27,O$28,$D$16,$D$17,$D$18,$D$19,$D$20,$D$21,$D$22,$D$23,$D$24,$D$25,$D$26,$D$27,$C$8,$C$9,$C$10,$C$11,$C$12),"")</f>
        <v>202372.27962574238</v>
      </c>
      <c r="P31" s="255">
        <f ca="1">IF(NOW(),_xll.mirSwapPV($C$3,$C$4,$C$6,$G6,$C$7,$I6,$C$16,$C$17,$C$18,$C$19,$C$20,$C$21,$C$22,$C$26,$C$27,P$28,$D$16,$D$17,$D$18,$D$19,$D$20,$D$21,$D$22,$D$23,$D$24,$D$25,$D$26,$D$27,$C$8,$C$9,$C$10,$C$11,$C$12),"")</f>
        <v>151779.20971930679</v>
      </c>
      <c r="Q31" s="255">
        <f ca="1">IF(NOW(),_xll.mirSwapPV($C$3,$C$4,$C$6,$G6,$C$7,$I6,$C$16,$C$17,$C$18,$C$19,$C$20,$C$21,$C$22,$C$26,$C$27,Q$28,$D$16,$D$17,$D$18,$D$19,$D$20,$D$21,$D$22,$D$23,$D$24,$D$25,$D$26,$D$27,$C$8,$C$9,$C$10,$C$11,$C$12),"")</f>
        <v>101186.13981287117</v>
      </c>
      <c r="R31" s="255">
        <f ca="1">IF(NOW(),_xll.mirSwapPV($C$3,$C$4,$C$6,$G6,$C$7,$I6,$C$16,$C$17,$C$18,$C$19,$C$20,$C$21,$C$22,$C$26,$C$27,R$28,$D$16,$D$17,$D$18,$D$19,$D$20,$D$21,$D$22,$D$23,$D$24,$D$25,$D$26,$D$27,$C$8,$C$9,$C$10,$C$11,$C$12),"")</f>
        <v>50593.069906435572</v>
      </c>
      <c r="S31" s="255">
        <f ca="1">IF(NOW(),_xll.mirSwapPV($C$3,$C$4,$C$6,$G6,$C$7,$I6,$C$16,$C$17,$C$18,$C$19,$C$20,$C$21,$C$22,$C$26,$C$27,S$28,$D$16,$D$17,$D$18,$D$19,$D$20,$D$21,$D$22,$D$23,$D$24,$D$25,$D$26,$D$27,$C$8,$C$9,$C$10,$C$11,$C$12),"")</f>
        <v>0</v>
      </c>
      <c r="T31" s="255">
        <f ca="1">IF(NOW(),_xll.mirSwapPV($C$3,$C$4,$C$6,$G6,$C$7,$I6,$C$16,$C$17,$C$18,$C$19,$C$20,$C$21,$C$22,$C$26,$C$27,T$28,$D$16,$D$17,$D$18,$D$19,$D$20,$D$21,$D$22,$D$23,$D$24,$D$25,$D$26,$D$27,$C$8,$C$9,$C$10,$C$11,$C$12),"")</f>
        <v>-50593.069906435594</v>
      </c>
      <c r="U31" s="255">
        <f ca="1">IF(NOW(),_xll.mirSwapPV($C$3,$C$4,$C$6,$G6,$C$7,$I6,$C$16,$C$17,$C$18,$C$19,$C$20,$C$21,$C$22,$C$26,$C$27,U$28,$D$16,$D$17,$D$18,$D$19,$D$20,$D$21,$D$22,$D$23,$D$24,$D$25,$D$26,$D$27,$C$8,$C$9,$C$10,$C$11,$C$12),"")</f>
        <v>-101186.13981287116</v>
      </c>
      <c r="V31" s="255">
        <f ca="1">IF(NOW(),_xll.mirSwapPV($C$3,$C$4,$C$6,$G6,$C$7,$I6,$C$16,$C$17,$C$18,$C$19,$C$20,$C$21,$C$22,$C$26,$C$27,V$28,$D$16,$D$17,$D$18,$D$19,$D$20,$D$21,$D$22,$D$23,$D$24,$D$25,$D$26,$D$27,$C$8,$C$9,$C$10,$C$11,$C$12),"")</f>
        <v>-151779.20971930676</v>
      </c>
      <c r="W31" s="255">
        <f ca="1">IF(NOW(),_xll.mirSwapPV($C$3,$C$4,$C$6,$G6,$C$7,$I6,$C$16,$C$17,$C$18,$C$19,$C$20,$C$21,$C$22,$C$26,$C$27,W$28,$D$16,$D$17,$D$18,$D$19,$D$20,$D$21,$D$22,$D$23,$D$24,$D$25,$D$26,$D$27,$C$8,$C$9,$C$10,$C$11,$C$12),"")</f>
        <v>-202372.27962574235</v>
      </c>
      <c r="X31" s="255">
        <f ca="1">IF(NOW(),_xll.mirSwapPV($C$3,$C$4,$C$6,$G6,$C$7,$I6,$C$16,$C$17,$C$18,$C$19,$C$20,$C$21,$C$22,$C$26,$C$27,X$28,$D$16,$D$17,$D$18,$D$19,$D$20,$D$21,$D$22,$D$23,$D$24,$D$25,$D$26,$D$27,$C$8,$C$9,$C$10,$C$11,$C$12),"")</f>
        <v>-252965.3495321779</v>
      </c>
      <c r="Y31" s="229"/>
      <c r="AG31" s="224" t="s">
        <v>33</v>
      </c>
      <c r="AH31" s="255">
        <f ca="1">IF(NOW(),_xll.mirSwapPV($C$3,$C$4,$C$6,$AA6,$C$7,$AC6,$C$16,$C$17,$C$18,$C$19,$C$20,$C$21,$C$22,$C$26,$C$27,AH$28,$D$16,$D$17,$D$18,$D$19,$D$20,$D$21,$D$22,$D$23,$D$24,$D$25,$D$26,$D$27,$C$8,$C$9,$C$10,$D$11,$C$12),"")</f>
        <v>252965.3495321779</v>
      </c>
      <c r="AI31" s="255">
        <f ca="1">IF(NOW(),_xll.mirSwapPV($C$3,$C$4,$C$6,$AA6,$C$7,$AC6,$C$16,$C$17,$C$18,$C$19,$C$20,$C$21,$C$22,$C$26,$C$27,AI$28,$D$16,$D$17,$D$18,$D$19,$D$20,$D$21,$D$22,$D$23,$D$24,$D$25,$D$26,$D$27,$C$8,$C$9,$C$10,$D$11,$C$12),"")</f>
        <v>202372.27962574235</v>
      </c>
      <c r="AJ31" s="255">
        <f ca="1">IF(NOW(),_xll.mirSwapPV($C$3,$C$4,$C$6,$AA6,$C$7,$AC6,$C$16,$C$17,$C$18,$C$19,$C$20,$C$21,$C$22,$C$26,$C$27,AJ$28,$D$16,$D$17,$D$18,$D$19,$D$20,$D$21,$D$22,$D$23,$D$24,$D$25,$D$26,$D$27,$C$8,$C$9,$C$10,$D$11,$C$12),"")</f>
        <v>151779.20971930676</v>
      </c>
      <c r="AK31" s="255">
        <f ca="1">IF(NOW(),_xll.mirSwapPV($C$3,$C$4,$C$6,$AA6,$C$7,$AC6,$C$16,$C$17,$C$18,$C$19,$C$20,$C$21,$C$22,$C$26,$C$27,AK$28,$D$16,$D$17,$D$18,$D$19,$D$20,$D$21,$D$22,$D$23,$D$24,$D$25,$D$26,$D$27,$C$8,$C$9,$C$10,$D$11,$C$12),"")</f>
        <v>101186.13981287119</v>
      </c>
      <c r="AL31" s="255">
        <f ca="1">IF(NOW(),_xll.mirSwapPV($C$3,$C$4,$C$6,$AA6,$C$7,$AC6,$C$16,$C$17,$C$18,$C$19,$C$20,$C$21,$C$22,$C$26,$C$27,AL$28,$D$16,$D$17,$D$18,$D$19,$D$20,$D$21,$D$22,$D$23,$D$24,$D$25,$D$26,$D$27,$C$8,$C$9,$C$10,$D$11,$C$12),"")</f>
        <v>50593.069906435587</v>
      </c>
      <c r="AM31" s="255">
        <f ca="1">IF(NOW(),_xll.mirSwapPV($C$3,$C$4,$C$6,$AA6,$C$7,$AC6,$C$16,$C$17,$C$18,$C$19,$C$20,$C$21,$C$22,$C$26,$C$27,AM$28,$D$16,$D$17,$D$18,$D$19,$D$20,$D$21,$D$22,$D$23,$D$24,$D$25,$D$26,$D$27,$C$8,$C$9,$C$10,$D$11,$C$12),"")</f>
        <v>0</v>
      </c>
      <c r="AN31" s="255">
        <f ca="1">IF(NOW(),_xll.mirSwapPV($C$3,$C$4,$C$6,$AA6,$C$7,$AC6,$C$16,$C$17,$C$18,$C$19,$C$20,$C$21,$C$22,$C$26,$C$27,AN$28,$D$16,$D$17,$D$18,$D$19,$D$20,$D$21,$D$22,$D$23,$D$24,$D$25,$D$26,$D$27,$C$8,$C$9,$C$10,$D$11,$C$12),"")</f>
        <v>-50593.069906435587</v>
      </c>
      <c r="AO31" s="255">
        <f ca="1">IF(NOW(),_xll.mirSwapPV($C$3,$C$4,$C$6,$AA6,$C$7,$AC6,$C$16,$C$17,$C$18,$C$19,$C$20,$C$21,$C$22,$C$26,$C$27,AO$28,$D$16,$D$17,$D$18,$D$19,$D$20,$D$21,$D$22,$D$23,$D$24,$D$25,$D$26,$D$27,$C$8,$C$9,$C$10,$D$11,$C$12),"")</f>
        <v>-101186.13981287116</v>
      </c>
      <c r="AP31" s="255">
        <f ca="1">IF(NOW(),_xll.mirSwapPV($C$3,$C$4,$C$6,$AA6,$C$7,$AC6,$C$16,$C$17,$C$18,$C$19,$C$20,$C$21,$C$22,$C$26,$C$27,AP$28,$D$16,$D$17,$D$18,$D$19,$D$20,$D$21,$D$22,$D$23,$D$24,$D$25,$D$26,$D$27,$C$8,$C$9,$C$10,$D$11,$C$12),"")</f>
        <v>-151779.20971930676</v>
      </c>
      <c r="AQ31" s="255">
        <f ca="1">IF(NOW(),_xll.mirSwapPV($C$3,$C$4,$C$6,$AA6,$C$7,$AC6,$C$16,$C$17,$C$18,$C$19,$C$20,$C$21,$C$22,$C$26,$C$27,AQ$28,$D$16,$D$17,$D$18,$D$19,$D$20,$D$21,$D$22,$D$23,$D$24,$D$25,$D$26,$D$27,$C$8,$C$9,$C$10,$D$11,$C$12),"")</f>
        <v>-202372.27962574232</v>
      </c>
      <c r="AR31" s="255">
        <f ca="1">IF(NOW(),_xll.mirSwapPV($C$3,$C$4,$C$6,$AA6,$C$7,$AC6,$C$16,$C$17,$C$18,$C$19,$C$20,$C$21,$C$22,$C$26,$C$27,AR$28,$D$16,$D$17,$D$18,$D$19,$D$20,$D$21,$D$22,$D$23,$D$24,$D$25,$D$26,$D$27,$C$8,$C$9,$C$10,$D$11,$C$12),"")</f>
        <v>-252965.3495321779</v>
      </c>
    </row>
    <row r="32" spans="2:44">
      <c r="F32" s="230"/>
      <c r="G32" s="227"/>
      <c r="H32" s="229"/>
      <c r="I32" s="229"/>
      <c r="J32" s="229"/>
      <c r="K32" s="230"/>
      <c r="L32" s="230"/>
      <c r="M32" s="224" t="s">
        <v>131</v>
      </c>
      <c r="N32" s="255">
        <f ca="1">IF(NOW(),_xll.mirSwapPV($C$3,$C$4,$C$6,$G7,$C$7,$I7,$C$16,$C$17,$C$18,$C$19,$C$20,$C$21,$C$22,$C$26,$C$27,N$28,$D$16,$D$17,$D$18,$D$19,$D$20,$D$21,$D$22,$D$23,$D$24,$D$25,$D$26,$D$27,$C$8,$C$9,$C$10,$C$11,$C$12),"")</f>
        <v>303023.70632505207</v>
      </c>
      <c r="O32" s="255">
        <f ca="1">IF(NOW(),_xll.mirSwapPV($C$3,$C$4,$C$6,$G7,$C$7,$I7,$C$16,$C$17,$C$18,$C$19,$C$20,$C$21,$C$22,$C$26,$C$27,O$28,$D$16,$D$17,$D$18,$D$19,$D$20,$D$21,$D$22,$D$23,$D$24,$D$25,$D$26,$D$27,$C$8,$C$9,$C$10,$C$11,$C$12),"")</f>
        <v>242418.96506004169</v>
      </c>
      <c r="P32" s="255">
        <f ca="1">IF(NOW(),_xll.mirSwapPV($C$3,$C$4,$C$6,$G7,$C$7,$I7,$C$16,$C$17,$C$18,$C$19,$C$20,$C$21,$C$22,$C$26,$C$27,P$28,$D$16,$D$17,$D$18,$D$19,$D$20,$D$21,$D$22,$D$23,$D$24,$D$25,$D$26,$D$27,$C$8,$C$9,$C$10,$C$11,$C$12),"")</f>
        <v>181814.22379503126</v>
      </c>
      <c r="Q32" s="255">
        <f ca="1">IF(NOW(),_xll.mirSwapPV($C$3,$C$4,$C$6,$G7,$C$7,$I7,$C$16,$C$17,$C$18,$C$19,$C$20,$C$21,$C$22,$C$26,$C$27,Q$28,$D$16,$D$17,$D$18,$D$19,$D$20,$D$21,$D$22,$D$23,$D$24,$D$25,$D$26,$D$27,$C$8,$C$9,$C$10,$C$11,$C$12),"")</f>
        <v>121209.48253002085</v>
      </c>
      <c r="R32" s="255">
        <f ca="1">IF(NOW(),_xll.mirSwapPV($C$3,$C$4,$C$6,$G7,$C$7,$I7,$C$16,$C$17,$C$18,$C$19,$C$20,$C$21,$C$22,$C$26,$C$27,R$28,$D$16,$D$17,$D$18,$D$19,$D$20,$D$21,$D$22,$D$23,$D$24,$D$25,$D$26,$D$27,$C$8,$C$9,$C$10,$C$11,$C$12),"")</f>
        <v>60604.741265010394</v>
      </c>
      <c r="S32" s="255">
        <f ca="1">IF(NOW(),_xll.mirSwapPV($C$3,$C$4,$C$6,$G7,$C$7,$I7,$C$16,$C$17,$C$18,$C$19,$C$20,$C$21,$C$22,$C$26,$C$27,S$28,$D$16,$D$17,$D$18,$D$19,$D$20,$D$21,$D$22,$D$23,$D$24,$D$25,$D$26,$D$27,$C$8,$C$9,$C$10,$C$11,$C$12),"")</f>
        <v>0</v>
      </c>
      <c r="T32" s="255">
        <f ca="1">IF(NOW(),_xll.mirSwapPV($C$3,$C$4,$C$6,$G7,$C$7,$I7,$C$16,$C$17,$C$18,$C$19,$C$20,$C$21,$C$22,$C$26,$C$27,T$28,$D$16,$D$17,$D$18,$D$19,$D$20,$D$21,$D$22,$D$23,$D$24,$D$25,$D$26,$D$27,$C$8,$C$9,$C$10,$C$11,$C$12),"")</f>
        <v>-60604.741265010423</v>
      </c>
      <c r="U32" s="255">
        <f ca="1">IF(NOW(),_xll.mirSwapPV($C$3,$C$4,$C$6,$G7,$C$7,$I7,$C$16,$C$17,$C$18,$C$19,$C$20,$C$21,$C$22,$C$26,$C$27,U$28,$D$16,$D$17,$D$18,$D$19,$D$20,$D$21,$D$22,$D$23,$D$24,$D$25,$D$26,$D$27,$C$8,$C$9,$C$10,$C$11,$C$12),"")</f>
        <v>-121209.48253002082</v>
      </c>
      <c r="V32" s="255">
        <f ca="1">IF(NOW(),_xll.mirSwapPV($C$3,$C$4,$C$6,$G7,$C$7,$I7,$C$16,$C$17,$C$18,$C$19,$C$20,$C$21,$C$22,$C$26,$C$27,V$28,$D$16,$D$17,$D$18,$D$19,$D$20,$D$21,$D$22,$D$23,$D$24,$D$25,$D$26,$D$27,$C$8,$C$9,$C$10,$C$11,$C$12),"")</f>
        <v>-181814.22379503128</v>
      </c>
      <c r="W32" s="255">
        <f ca="1">IF(NOW(),_xll.mirSwapPV($C$3,$C$4,$C$6,$G7,$C$7,$I7,$C$16,$C$17,$C$18,$C$19,$C$20,$C$21,$C$22,$C$26,$C$27,W$28,$D$16,$D$17,$D$18,$D$19,$D$20,$D$21,$D$22,$D$23,$D$24,$D$25,$D$26,$D$27,$C$8,$C$9,$C$10,$C$11,$C$12),"")</f>
        <v>-242418.96506004169</v>
      </c>
      <c r="X32" s="255">
        <f ca="1">IF(NOW(),_xll.mirSwapPV($C$3,$C$4,$C$6,$G7,$C$7,$I7,$C$16,$C$17,$C$18,$C$19,$C$20,$C$21,$C$22,$C$26,$C$27,X$28,$D$16,$D$17,$D$18,$D$19,$D$20,$D$21,$D$22,$D$23,$D$24,$D$25,$D$26,$D$27,$C$8,$C$9,$C$10,$C$11,$C$12),"")</f>
        <v>-303023.70632505207</v>
      </c>
      <c r="Y32" s="229"/>
      <c r="AE32" s="252"/>
      <c r="AG32" s="224" t="s">
        <v>131</v>
      </c>
      <c r="AH32" s="255">
        <f ca="1">IF(NOW(),_xll.mirSwapPV($C$3,$C$4,$C$6,$AA7,$C$7,$AC7,$C$16,$C$17,$C$18,$C$19,$C$20,$C$21,$C$22,$C$26,$C$27,AH$28,$D$16,$D$17,$D$18,$D$19,$D$20,$D$21,$D$22,$D$23,$D$24,$D$25,$D$26,$D$27,$C$8,$C$9,$C$10,$D$11,$C$12),"")</f>
        <v>303023.70632505207</v>
      </c>
      <c r="AI32" s="255">
        <f ca="1">IF(NOW(),_xll.mirSwapPV($C$3,$C$4,$C$6,$AA7,$C$7,$AC7,$C$16,$C$17,$C$18,$C$19,$C$20,$C$21,$C$22,$C$26,$C$27,AI$28,$D$16,$D$17,$D$18,$D$19,$D$20,$D$21,$D$22,$D$23,$D$24,$D$25,$D$26,$D$27,$C$8,$C$9,$C$10,$D$11,$C$12),"")</f>
        <v>242418.96506004164</v>
      </c>
      <c r="AJ32" s="255">
        <f ca="1">IF(NOW(),_xll.mirSwapPV($C$3,$C$4,$C$6,$AA7,$C$7,$AC7,$C$16,$C$17,$C$18,$C$19,$C$20,$C$21,$C$22,$C$26,$C$27,AJ$28,$D$16,$D$17,$D$18,$D$19,$D$20,$D$21,$D$22,$D$23,$D$24,$D$25,$D$26,$D$27,$C$8,$C$9,$C$10,$D$11,$C$12),"")</f>
        <v>181814.2237950312</v>
      </c>
      <c r="AK32" s="255">
        <f ca="1">IF(NOW(),_xll.mirSwapPV($C$3,$C$4,$C$6,$AA7,$C$7,$AC7,$C$16,$C$17,$C$18,$C$19,$C$20,$C$21,$C$22,$C$26,$C$27,AK$28,$D$16,$D$17,$D$18,$D$19,$D$20,$D$21,$D$22,$D$23,$D$24,$D$25,$D$26,$D$27,$C$8,$C$9,$C$10,$D$11,$C$12),"")</f>
        <v>121209.48253002085</v>
      </c>
      <c r="AL32" s="255">
        <f ca="1">IF(NOW(),_xll.mirSwapPV($C$3,$C$4,$C$6,$AA7,$C$7,$AC7,$C$16,$C$17,$C$18,$C$19,$C$20,$C$21,$C$22,$C$26,$C$27,AL$28,$D$16,$D$17,$D$18,$D$19,$D$20,$D$21,$D$22,$D$23,$D$24,$D$25,$D$26,$D$27,$C$8,$C$9,$C$10,$D$11,$C$12),"")</f>
        <v>60604.741265010416</v>
      </c>
      <c r="AM32" s="255">
        <f ca="1">IF(NOW(),_xll.mirSwapPV($C$3,$C$4,$C$6,$AA7,$C$7,$AC7,$C$16,$C$17,$C$18,$C$19,$C$20,$C$21,$C$22,$C$26,$C$27,AM$28,$D$16,$D$17,$D$18,$D$19,$D$20,$D$21,$D$22,$D$23,$D$24,$D$25,$D$26,$D$27,$C$8,$C$9,$C$10,$D$11,$C$12),"")</f>
        <v>0</v>
      </c>
      <c r="AN32" s="255">
        <f ca="1">IF(NOW(),_xll.mirSwapPV($C$3,$C$4,$C$6,$AA7,$C$7,$AC7,$C$16,$C$17,$C$18,$C$19,$C$20,$C$21,$C$22,$C$26,$C$27,AN$28,$D$16,$D$17,$D$18,$D$19,$D$20,$D$21,$D$22,$D$23,$D$24,$D$25,$D$26,$D$27,$C$8,$C$9,$C$10,$D$11,$C$12),"")</f>
        <v>-60604.741265010423</v>
      </c>
      <c r="AO32" s="255">
        <f ca="1">IF(NOW(),_xll.mirSwapPV($C$3,$C$4,$C$6,$AA7,$C$7,$AC7,$C$16,$C$17,$C$18,$C$19,$C$20,$C$21,$C$22,$C$26,$C$27,AO$28,$D$16,$D$17,$D$18,$D$19,$D$20,$D$21,$D$22,$D$23,$D$24,$D$25,$D$26,$D$27,$C$8,$C$9,$C$10,$D$11,$C$12),"")</f>
        <v>-121209.48253002082</v>
      </c>
      <c r="AP32" s="255">
        <f ca="1">IF(NOW(),_xll.mirSwapPV($C$3,$C$4,$C$6,$AA7,$C$7,$AC7,$C$16,$C$17,$C$18,$C$19,$C$20,$C$21,$C$22,$C$26,$C$27,AP$28,$D$16,$D$17,$D$18,$D$19,$D$20,$D$21,$D$22,$D$23,$D$24,$D$25,$D$26,$D$27,$C$8,$C$9,$C$10,$D$11,$C$12),"")</f>
        <v>-181814.22379503126</v>
      </c>
      <c r="AQ32" s="255">
        <f ca="1">IF(NOW(),_xll.mirSwapPV($C$3,$C$4,$C$6,$AA7,$C$7,$AC7,$C$16,$C$17,$C$18,$C$19,$C$20,$C$21,$C$22,$C$26,$C$27,AQ$28,$D$16,$D$17,$D$18,$D$19,$D$20,$D$21,$D$22,$D$23,$D$24,$D$25,$D$26,$D$27,$C$8,$C$9,$C$10,$D$11,$C$12),"")</f>
        <v>-242418.96506004164</v>
      </c>
      <c r="AR32" s="255">
        <f ca="1">IF(NOW(),_xll.mirSwapPV($C$3,$C$4,$C$6,$AA7,$C$7,$AC7,$C$16,$C$17,$C$18,$C$19,$C$20,$C$21,$C$22,$C$26,$C$27,AR$28,$D$16,$D$17,$D$18,$D$19,$D$20,$D$21,$D$22,$D$23,$D$24,$D$25,$D$26,$D$27,$C$8,$C$9,$C$10,$D$11,$C$12),"")</f>
        <v>-303023.70632505207</v>
      </c>
    </row>
    <row r="33" spans="6:44">
      <c r="F33" s="230"/>
      <c r="G33" s="227"/>
      <c r="H33" s="229"/>
      <c r="I33" s="229"/>
      <c r="J33" s="229"/>
      <c r="K33" s="230"/>
      <c r="L33" s="230"/>
      <c r="M33" s="224" t="s">
        <v>31</v>
      </c>
      <c r="N33" s="255">
        <f ca="1">IF(NOW(),_xll.mirSwapPV($C$3,$C$4,$C$6,$G8,$C$7,$I8,$C$16,$C$17,$C$18,$C$19,$C$20,$C$21,$C$22,$C$26,$C$27,N$28,$D$16,$D$17,$D$18,$D$19,$D$20,$D$21,$D$22,$D$23,$D$24,$D$25,$D$26,$D$27,$C$8,$C$9,$C$10,$C$11,$C$12),"")</f>
        <v>352759.58683206677</v>
      </c>
      <c r="O33" s="255">
        <f ca="1">IF(NOW(),_xll.mirSwapPV($C$3,$C$4,$C$6,$G8,$C$7,$I8,$C$16,$C$17,$C$18,$C$19,$C$20,$C$21,$C$22,$C$26,$C$27,O$28,$D$16,$D$17,$D$18,$D$19,$D$20,$D$21,$D$22,$D$23,$D$24,$D$25,$D$26,$D$27,$C$8,$C$9,$C$10,$C$11,$C$12),"")</f>
        <v>282207.66946565348</v>
      </c>
      <c r="P33" s="255">
        <f ca="1">IF(NOW(),_xll.mirSwapPV($C$3,$C$4,$C$6,$G8,$C$7,$I8,$C$16,$C$17,$C$18,$C$19,$C$20,$C$21,$C$22,$C$26,$C$27,P$28,$D$16,$D$17,$D$18,$D$19,$D$20,$D$21,$D$22,$D$23,$D$24,$D$25,$D$26,$D$27,$C$8,$C$9,$C$10,$C$11,$C$12),"")</f>
        <v>211655.75209924005</v>
      </c>
      <c r="Q33" s="255">
        <f ca="1">IF(NOW(),_xll.mirSwapPV($C$3,$C$4,$C$6,$G8,$C$7,$I8,$C$16,$C$17,$C$18,$C$19,$C$20,$C$21,$C$22,$C$26,$C$27,Q$28,$D$16,$D$17,$D$18,$D$19,$D$20,$D$21,$D$22,$D$23,$D$24,$D$25,$D$26,$D$27,$C$8,$C$9,$C$10,$C$11,$C$12),"")</f>
        <v>141103.83473282671</v>
      </c>
      <c r="R33" s="255">
        <f ca="1">IF(NOW(),_xll.mirSwapPV($C$3,$C$4,$C$6,$G8,$C$7,$I8,$C$16,$C$17,$C$18,$C$19,$C$20,$C$21,$C$22,$C$26,$C$27,R$28,$D$16,$D$17,$D$18,$D$19,$D$20,$D$21,$D$22,$D$23,$D$24,$D$25,$D$26,$D$27,$C$8,$C$9,$C$10,$C$11,$C$12),"")</f>
        <v>70551.917366413327</v>
      </c>
      <c r="S33" s="255">
        <f ca="1">IF(NOW(),_xll.mirSwapPV($C$3,$C$4,$C$6,$G8,$C$7,$I8,$C$16,$C$17,$C$18,$C$19,$C$20,$C$21,$C$22,$C$26,$C$27,S$28,$D$16,$D$17,$D$18,$D$19,$D$20,$D$21,$D$22,$D$23,$D$24,$D$25,$D$26,$D$27,$C$8,$C$9,$C$10,$C$11,$C$12),"")</f>
        <v>0</v>
      </c>
      <c r="T33" s="255">
        <f ca="1">IF(NOW(),_xll.mirSwapPV($C$3,$C$4,$C$6,$G8,$C$7,$I8,$C$16,$C$17,$C$18,$C$19,$C$20,$C$21,$C$22,$C$26,$C$27,T$28,$D$16,$D$17,$D$18,$D$19,$D$20,$D$21,$D$22,$D$23,$D$24,$D$25,$D$26,$D$27,$C$8,$C$9,$C$10,$C$11,$C$12),"")</f>
        <v>-70551.917366413356</v>
      </c>
      <c r="U33" s="255">
        <f ca="1">IF(NOW(),_xll.mirSwapPV($C$3,$C$4,$C$6,$G8,$C$7,$I8,$C$16,$C$17,$C$18,$C$19,$C$20,$C$21,$C$22,$C$26,$C$27,U$28,$D$16,$D$17,$D$18,$D$19,$D$20,$D$21,$D$22,$D$23,$D$24,$D$25,$D$26,$D$27,$C$8,$C$9,$C$10,$C$11,$C$12),"")</f>
        <v>-141103.83473282668</v>
      </c>
      <c r="V33" s="255">
        <f ca="1">IF(NOW(),_xll.mirSwapPV($C$3,$C$4,$C$6,$G8,$C$7,$I8,$C$16,$C$17,$C$18,$C$19,$C$20,$C$21,$C$22,$C$26,$C$27,V$28,$D$16,$D$17,$D$18,$D$19,$D$20,$D$21,$D$22,$D$23,$D$24,$D$25,$D$26,$D$27,$C$8,$C$9,$C$10,$C$11,$C$12),"")</f>
        <v>-211655.75209924005</v>
      </c>
      <c r="W33" s="255">
        <f ca="1">IF(NOW(),_xll.mirSwapPV($C$3,$C$4,$C$6,$G8,$C$7,$I8,$C$16,$C$17,$C$18,$C$19,$C$20,$C$21,$C$22,$C$26,$C$27,W$28,$D$16,$D$17,$D$18,$D$19,$D$20,$D$21,$D$22,$D$23,$D$24,$D$25,$D$26,$D$27,$C$8,$C$9,$C$10,$C$11,$C$12),"")</f>
        <v>-282207.66946565337</v>
      </c>
      <c r="X33" s="255">
        <f ca="1">IF(NOW(),_xll.mirSwapPV($C$3,$C$4,$C$6,$G8,$C$7,$I8,$C$16,$C$17,$C$18,$C$19,$C$20,$C$21,$C$22,$C$26,$C$27,X$28,$D$16,$D$17,$D$18,$D$19,$D$20,$D$21,$D$22,$D$23,$D$24,$D$25,$D$26,$D$27,$C$8,$C$9,$C$10,$C$11,$C$12),"")</f>
        <v>-352759.58683206671</v>
      </c>
      <c r="Y33" s="229"/>
      <c r="AE33" s="10"/>
      <c r="AG33" s="224" t="s">
        <v>31</v>
      </c>
      <c r="AH33" s="255">
        <f ca="1">IF(NOW(),_xll.mirSwapPV($C$3,$C$4,$C$6,$AA8,$C$7,$AC8,$C$16,$C$17,$C$18,$C$19,$C$20,$C$21,$C$22,$C$26,$C$27,AH$28,$D$16,$D$17,$D$18,$D$19,$D$20,$D$21,$D$22,$D$23,$D$24,$D$25,$D$26,$D$27,$C$8,$C$9,$C$10,$D$11,$C$12),"")</f>
        <v>352759.58683206677</v>
      </c>
      <c r="AI33" s="255">
        <f ca="1">IF(NOW(),_xll.mirSwapPV($C$3,$C$4,$C$6,$AA8,$C$7,$AC8,$C$16,$C$17,$C$18,$C$19,$C$20,$C$21,$C$22,$C$26,$C$27,AI$28,$D$16,$D$17,$D$18,$D$19,$D$20,$D$21,$D$22,$D$23,$D$24,$D$25,$D$26,$D$27,$C$8,$C$9,$C$10,$D$11,$C$12),"")</f>
        <v>282207.66946565337</v>
      </c>
      <c r="AJ33" s="255">
        <f ca="1">IF(NOW(),_xll.mirSwapPV($C$3,$C$4,$C$6,$AA8,$C$7,$AC8,$C$16,$C$17,$C$18,$C$19,$C$20,$C$21,$C$22,$C$26,$C$27,AJ$28,$D$16,$D$17,$D$18,$D$19,$D$20,$D$21,$D$22,$D$23,$D$24,$D$25,$D$26,$D$27,$C$8,$C$9,$C$10,$D$11,$C$12),"")</f>
        <v>211655.75209924</v>
      </c>
      <c r="AK33" s="255">
        <f ca="1">IF(NOW(),_xll.mirSwapPV($C$3,$C$4,$C$6,$AA8,$C$7,$AC8,$C$16,$C$17,$C$18,$C$19,$C$20,$C$21,$C$22,$C$26,$C$27,AK$28,$D$16,$D$17,$D$18,$D$19,$D$20,$D$21,$D$22,$D$23,$D$24,$D$25,$D$26,$D$27,$C$8,$C$9,$C$10,$D$11,$C$12),"")</f>
        <v>141103.83473282674</v>
      </c>
      <c r="AL33" s="255">
        <f ca="1">IF(NOW(),_xll.mirSwapPV($C$3,$C$4,$C$6,$AA8,$C$7,$AC8,$C$16,$C$17,$C$18,$C$19,$C$20,$C$21,$C$22,$C$26,$C$27,AL$28,$D$16,$D$17,$D$18,$D$19,$D$20,$D$21,$D$22,$D$23,$D$24,$D$25,$D$26,$D$27,$C$8,$C$9,$C$10,$D$11,$C$12),"")</f>
        <v>70551.917366413341</v>
      </c>
      <c r="AM33" s="255">
        <f ca="1">IF(NOW(),_xll.mirSwapPV($C$3,$C$4,$C$6,$AA8,$C$7,$AC8,$C$16,$C$17,$C$18,$C$19,$C$20,$C$21,$C$22,$C$26,$C$27,AM$28,$D$16,$D$17,$D$18,$D$19,$D$20,$D$21,$D$22,$D$23,$D$24,$D$25,$D$26,$D$27,$C$8,$C$9,$C$10,$D$11,$C$12),"")</f>
        <v>0</v>
      </c>
      <c r="AN33" s="255">
        <f ca="1">IF(NOW(),_xll.mirSwapPV($C$3,$C$4,$C$6,$AA8,$C$7,$AC8,$C$16,$C$17,$C$18,$C$19,$C$20,$C$21,$C$22,$C$26,$C$27,AN$28,$D$16,$D$17,$D$18,$D$19,$D$20,$D$21,$D$22,$D$23,$D$24,$D$25,$D$26,$D$27,$C$8,$C$9,$C$10,$D$11,$C$12),"")</f>
        <v>-70551.917366413356</v>
      </c>
      <c r="AO33" s="255">
        <f ca="1">IF(NOW(),_xll.mirSwapPV($C$3,$C$4,$C$6,$AA8,$C$7,$AC8,$C$16,$C$17,$C$18,$C$19,$C$20,$C$21,$C$22,$C$26,$C$27,AO$28,$D$16,$D$17,$D$18,$D$19,$D$20,$D$21,$D$22,$D$23,$D$24,$D$25,$D$26,$D$27,$C$8,$C$9,$C$10,$D$11,$C$12),"")</f>
        <v>-141103.83473282668</v>
      </c>
      <c r="AP33" s="255">
        <f ca="1">IF(NOW(),_xll.mirSwapPV($C$3,$C$4,$C$6,$AA8,$C$7,$AC8,$C$16,$C$17,$C$18,$C$19,$C$20,$C$21,$C$22,$C$26,$C$27,AP$28,$D$16,$D$17,$D$18,$D$19,$D$20,$D$21,$D$22,$D$23,$D$24,$D$25,$D$26,$D$27,$C$8,$C$9,$C$10,$D$11,$C$12),"")</f>
        <v>-211655.75209924002</v>
      </c>
      <c r="AQ33" s="255">
        <f ca="1">IF(NOW(),_xll.mirSwapPV($C$3,$C$4,$C$6,$AA8,$C$7,$AC8,$C$16,$C$17,$C$18,$C$19,$C$20,$C$21,$C$22,$C$26,$C$27,AQ$28,$D$16,$D$17,$D$18,$D$19,$D$20,$D$21,$D$22,$D$23,$D$24,$D$25,$D$26,$D$27,$C$8,$C$9,$C$10,$D$11,$C$12),"")</f>
        <v>-282207.66946565337</v>
      </c>
      <c r="AR33" s="255">
        <f ca="1">IF(NOW(),_xll.mirSwapPV($C$3,$C$4,$C$6,$AA8,$C$7,$AC8,$C$16,$C$17,$C$18,$C$19,$C$20,$C$21,$C$22,$C$26,$C$27,AR$28,$D$16,$D$17,$D$18,$D$19,$D$20,$D$21,$D$22,$D$23,$D$24,$D$25,$D$26,$D$27,$C$8,$C$9,$C$10,$D$11,$C$12),"")</f>
        <v>-352759.58683206677</v>
      </c>
    </row>
    <row r="34" spans="6:44">
      <c r="F34" s="230"/>
      <c r="G34" s="227"/>
      <c r="H34" s="229"/>
      <c r="I34" s="229"/>
      <c r="J34" s="229"/>
      <c r="K34" s="230"/>
      <c r="L34" s="230"/>
      <c r="M34" s="224" t="s">
        <v>119</v>
      </c>
      <c r="N34" s="255">
        <f ca="1">IF(NOW(),_xll.mirSwapPV($C$3,$C$4,$C$6,$G9,$C$7,$I9,$C$16,$C$17,$C$18,$C$19,$C$20,$C$21,$C$22,$C$26,$C$27,N$28,$D$16,$D$17,$D$18,$D$19,$D$20,$D$21,$D$22,$D$23,$D$24,$D$25,$D$26,$D$27,$C$8,$C$9,$C$10,$C$11,$C$12),"")</f>
        <v>402512.16577848804</v>
      </c>
      <c r="O34" s="255">
        <f ca="1">IF(NOW(),_xll.mirSwapPV($C$3,$C$4,$C$6,$G9,$C$7,$I9,$C$16,$C$17,$C$18,$C$19,$C$20,$C$21,$C$22,$C$26,$C$27,O$28,$D$16,$D$17,$D$18,$D$19,$D$20,$D$21,$D$22,$D$23,$D$24,$D$25,$D$26,$D$27,$C$8,$C$9,$C$10,$C$11,$C$12),"")</f>
        <v>322009.7326227905</v>
      </c>
      <c r="P34" s="255">
        <f ca="1">IF(NOW(),_xll.mirSwapPV($C$3,$C$4,$C$6,$G9,$C$7,$I9,$C$16,$C$17,$C$18,$C$19,$C$20,$C$21,$C$22,$C$26,$C$27,P$28,$D$16,$D$17,$D$18,$D$19,$D$20,$D$21,$D$22,$D$23,$D$24,$D$25,$D$26,$D$27,$C$8,$C$9,$C$10,$C$11,$C$12),"")</f>
        <v>241507.29946709282</v>
      </c>
      <c r="Q34" s="255">
        <f ca="1">IF(NOW(),_xll.mirSwapPV($C$3,$C$4,$C$6,$G9,$C$7,$I9,$C$16,$C$17,$C$18,$C$19,$C$20,$C$21,$C$22,$C$26,$C$27,Q$28,$D$16,$D$17,$D$18,$D$19,$D$20,$D$21,$D$22,$D$23,$D$24,$D$25,$D$26,$D$27,$C$8,$C$9,$C$10,$C$11,$C$12),"")</f>
        <v>161004.86631139525</v>
      </c>
      <c r="R34" s="255">
        <f ca="1">IF(NOW(),_xll.mirSwapPV($C$3,$C$4,$C$6,$G9,$C$7,$I9,$C$16,$C$17,$C$18,$C$19,$C$20,$C$21,$C$22,$C$26,$C$27,R$28,$D$16,$D$17,$D$18,$D$19,$D$20,$D$21,$D$22,$D$23,$D$24,$D$25,$D$26,$D$27,$C$8,$C$9,$C$10,$C$11,$C$12),"")</f>
        <v>80502.433155697581</v>
      </c>
      <c r="S34" s="255">
        <f ca="1">IF(NOW(),_xll.mirSwapPV($C$3,$C$4,$C$6,$G9,$C$7,$I9,$C$16,$C$17,$C$18,$C$19,$C$20,$C$21,$C$22,$C$26,$C$27,S$28,$D$16,$D$17,$D$18,$D$19,$D$20,$D$21,$D$22,$D$23,$D$24,$D$25,$D$26,$D$27,$C$8,$C$9,$C$10,$C$11,$C$12),"")</f>
        <v>0</v>
      </c>
      <c r="T34" s="255">
        <f ca="1">IF(NOW(),_xll.mirSwapPV($C$3,$C$4,$C$6,$G9,$C$7,$I9,$C$16,$C$17,$C$18,$C$19,$C$20,$C$21,$C$22,$C$26,$C$27,T$28,$D$16,$D$17,$D$18,$D$19,$D$20,$D$21,$D$22,$D$23,$D$24,$D$25,$D$26,$D$27,$C$8,$C$9,$C$10,$C$11,$C$12),"")</f>
        <v>-80502.43315569761</v>
      </c>
      <c r="U34" s="255">
        <f ca="1">IF(NOW(),_xll.mirSwapPV($C$3,$C$4,$C$6,$G9,$C$7,$I9,$C$16,$C$17,$C$18,$C$19,$C$20,$C$21,$C$22,$C$26,$C$27,U$28,$D$16,$D$17,$D$18,$D$19,$D$20,$D$21,$D$22,$D$23,$D$24,$D$25,$D$26,$D$27,$C$8,$C$9,$C$10,$C$11,$C$12),"")</f>
        <v>-161004.86631139519</v>
      </c>
      <c r="V34" s="255">
        <f ca="1">IF(NOW(),_xll.mirSwapPV($C$3,$C$4,$C$6,$G9,$C$7,$I9,$C$16,$C$17,$C$18,$C$19,$C$20,$C$21,$C$22,$C$26,$C$27,V$28,$D$16,$D$17,$D$18,$D$19,$D$20,$D$21,$D$22,$D$23,$D$24,$D$25,$D$26,$D$27,$C$8,$C$9,$C$10,$C$11,$C$12),"")</f>
        <v>-241507.29946709282</v>
      </c>
      <c r="W34" s="255">
        <f ca="1">IF(NOW(),_xll.mirSwapPV($C$3,$C$4,$C$6,$G9,$C$7,$I9,$C$16,$C$17,$C$18,$C$19,$C$20,$C$21,$C$22,$C$26,$C$27,W$28,$D$16,$D$17,$D$18,$D$19,$D$20,$D$21,$D$22,$D$23,$D$24,$D$25,$D$26,$D$27,$C$8,$C$9,$C$10,$C$11,$C$12),"")</f>
        <v>-322009.73262279038</v>
      </c>
      <c r="X34" s="255">
        <f ca="1">IF(NOW(),_xll.mirSwapPV($C$3,$C$4,$C$6,$G9,$C$7,$I9,$C$16,$C$17,$C$18,$C$19,$C$20,$C$21,$C$22,$C$26,$C$27,X$28,$D$16,$D$17,$D$18,$D$19,$D$20,$D$21,$D$22,$D$23,$D$24,$D$25,$D$26,$D$27,$C$8,$C$9,$C$10,$C$11,$C$12),"")</f>
        <v>-402512.16577848804</v>
      </c>
      <c r="Y34" s="229"/>
      <c r="AG34" s="224" t="s">
        <v>119</v>
      </c>
      <c r="AH34" s="255">
        <f ca="1">IF(NOW(),_xll.mirSwapPV($C$3,$C$4,$C$6,$AA9,$C$7,$AC9,$C$16,$C$17,$C$18,$C$19,$C$20,$C$21,$C$22,$C$26,$C$27,AH$28,$D$16,$D$17,$D$18,$D$19,$D$20,$D$21,$D$22,$D$23,$D$24,$D$25,$D$26,$D$27,$C$8,$C$9,$C$10,$D$11,$C$12),"")</f>
        <v>402512.16577848804</v>
      </c>
      <c r="AI34" s="255">
        <f ca="1">IF(NOW(),_xll.mirSwapPV($C$3,$C$4,$C$6,$AA9,$C$7,$AC9,$C$16,$C$17,$C$18,$C$19,$C$20,$C$21,$C$22,$C$26,$C$27,AI$28,$D$16,$D$17,$D$18,$D$19,$D$20,$D$21,$D$22,$D$23,$D$24,$D$25,$D$26,$D$27,$C$8,$C$9,$C$10,$D$11,$C$12),"")</f>
        <v>322009.73262279044</v>
      </c>
      <c r="AJ34" s="255">
        <f ca="1">IF(NOW(),_xll.mirSwapPV($C$3,$C$4,$C$6,$AA9,$C$7,$AC9,$C$16,$C$17,$C$18,$C$19,$C$20,$C$21,$C$22,$C$26,$C$27,AJ$28,$D$16,$D$17,$D$18,$D$19,$D$20,$D$21,$D$22,$D$23,$D$24,$D$25,$D$26,$D$27,$C$8,$C$9,$C$10,$D$11,$C$12),"")</f>
        <v>241507.29946709273</v>
      </c>
      <c r="AK34" s="255">
        <f ca="1">IF(NOW(),_xll.mirSwapPV($C$3,$C$4,$C$6,$AA9,$C$7,$AC9,$C$16,$C$17,$C$18,$C$19,$C$20,$C$21,$C$22,$C$26,$C$27,AK$28,$D$16,$D$17,$D$18,$D$19,$D$20,$D$21,$D$22,$D$23,$D$24,$D$25,$D$26,$D$27,$C$8,$C$9,$C$10,$D$11,$C$12),"")</f>
        <v>161004.86631139525</v>
      </c>
      <c r="AL34" s="255">
        <f ca="1">IF(NOW(),_xll.mirSwapPV($C$3,$C$4,$C$6,$AA9,$C$7,$AC9,$C$16,$C$17,$C$18,$C$19,$C$20,$C$21,$C$22,$C$26,$C$27,AL$28,$D$16,$D$17,$D$18,$D$19,$D$20,$D$21,$D$22,$D$23,$D$24,$D$25,$D$26,$D$27,$C$8,$C$9,$C$10,$D$11,$C$12),"")</f>
        <v>80502.433155697596</v>
      </c>
      <c r="AM34" s="255">
        <f ca="1">IF(NOW(),_xll.mirSwapPV($C$3,$C$4,$C$6,$AA9,$C$7,$AC9,$C$16,$C$17,$C$18,$C$19,$C$20,$C$21,$C$22,$C$26,$C$27,AM$28,$D$16,$D$17,$D$18,$D$19,$D$20,$D$21,$D$22,$D$23,$D$24,$D$25,$D$26,$D$27,$C$8,$C$9,$C$10,$D$11,$C$12),"")</f>
        <v>0</v>
      </c>
      <c r="AN34" s="255">
        <f ca="1">IF(NOW(),_xll.mirSwapPV($C$3,$C$4,$C$6,$AA9,$C$7,$AC9,$C$16,$C$17,$C$18,$C$19,$C$20,$C$21,$C$22,$C$26,$C$27,AN$28,$D$16,$D$17,$D$18,$D$19,$D$20,$D$21,$D$22,$D$23,$D$24,$D$25,$D$26,$D$27,$C$8,$C$9,$C$10,$D$11,$C$12),"")</f>
        <v>-80502.43315569761</v>
      </c>
      <c r="AO34" s="255">
        <f ca="1">IF(NOW(),_xll.mirSwapPV($C$3,$C$4,$C$6,$AA9,$C$7,$AC9,$C$16,$C$17,$C$18,$C$19,$C$20,$C$21,$C$22,$C$26,$C$27,AO$28,$D$16,$D$17,$D$18,$D$19,$D$20,$D$21,$D$22,$D$23,$D$24,$D$25,$D$26,$D$27,$C$8,$C$9,$C$10,$D$11,$C$12),"")</f>
        <v>-161004.86631139519</v>
      </c>
      <c r="AP34" s="255">
        <f ca="1">IF(NOW(),_xll.mirSwapPV($C$3,$C$4,$C$6,$AA9,$C$7,$AC9,$C$16,$C$17,$C$18,$C$19,$C$20,$C$21,$C$22,$C$26,$C$27,AP$28,$D$16,$D$17,$D$18,$D$19,$D$20,$D$21,$D$22,$D$23,$D$24,$D$25,$D$26,$D$27,$C$8,$C$9,$C$10,$D$11,$C$12),"")</f>
        <v>-241507.29946709282</v>
      </c>
      <c r="AQ34" s="255">
        <f ca="1">IF(NOW(),_xll.mirSwapPV($C$3,$C$4,$C$6,$AA9,$C$7,$AC9,$C$16,$C$17,$C$18,$C$19,$C$20,$C$21,$C$22,$C$26,$C$27,AQ$28,$D$16,$D$17,$D$18,$D$19,$D$20,$D$21,$D$22,$D$23,$D$24,$D$25,$D$26,$D$27,$C$8,$C$9,$C$10,$D$11,$C$12),"")</f>
        <v>-322009.73262279032</v>
      </c>
      <c r="AR34" s="255">
        <f ca="1">IF(NOW(),_xll.mirSwapPV($C$3,$C$4,$C$6,$AA9,$C$7,$AC9,$C$16,$C$17,$C$18,$C$19,$C$20,$C$21,$C$22,$C$26,$C$27,AR$28,$D$16,$D$17,$D$18,$D$19,$D$20,$D$21,$D$22,$D$23,$D$24,$D$25,$D$26,$D$27,$C$8,$C$9,$C$10,$D$11,$C$12),"")</f>
        <v>-402512.16577848804</v>
      </c>
    </row>
    <row r="35" spans="6:44">
      <c r="F35" s="230"/>
      <c r="G35" s="227"/>
      <c r="H35" s="229"/>
      <c r="I35" s="229"/>
      <c r="J35" s="229"/>
      <c r="K35" s="230"/>
      <c r="L35" s="230"/>
      <c r="M35" s="224" t="s">
        <v>113</v>
      </c>
      <c r="N35" s="255">
        <f ca="1">IF(NOW(),_xll.mirSwapPV($C$3,$C$4,$C$6,$G10,$C$7,$I10,$C$16,$C$17,$C$18,$C$19,$C$20,$C$21,$C$22,$C$26,$C$27,N$28,$D$16,$D$17,$D$18,$D$19,$D$20,$D$21,$D$22,$D$23,$D$24,$D$25,$D$26,$D$27,$C$8,$C$9,$C$10,$C$11,$C$12),"")</f>
        <v>451282.57886027644</v>
      </c>
      <c r="O35" s="255">
        <f ca="1">IF(NOW(),_xll.mirSwapPV($C$3,$C$4,$C$6,$G10,$C$7,$I10,$C$16,$C$17,$C$18,$C$19,$C$20,$C$21,$C$22,$C$26,$C$27,O$28,$D$16,$D$17,$D$18,$D$19,$D$20,$D$21,$D$22,$D$23,$D$24,$D$25,$D$26,$D$27,$C$8,$C$9,$C$10,$C$11,$C$12),"")</f>
        <v>361026.06308822124</v>
      </c>
      <c r="P35" s="255">
        <f ca="1">IF(NOW(),_xll.mirSwapPV($C$3,$C$4,$C$6,$G10,$C$7,$I10,$C$16,$C$17,$C$18,$C$19,$C$20,$C$21,$C$22,$C$26,$C$27,P$28,$D$16,$D$17,$D$18,$D$19,$D$20,$D$21,$D$22,$D$23,$D$24,$D$25,$D$26,$D$27,$C$8,$C$9,$C$10,$C$11,$C$12),"")</f>
        <v>270769.54731616587</v>
      </c>
      <c r="Q35" s="255">
        <f ca="1">IF(NOW(),_xll.mirSwapPV($C$3,$C$4,$C$6,$G10,$C$7,$I10,$C$16,$C$17,$C$18,$C$19,$C$20,$C$21,$C$22,$C$26,$C$27,Q$28,$D$16,$D$17,$D$18,$D$19,$D$20,$D$21,$D$22,$D$23,$D$24,$D$25,$D$26,$D$27,$C$8,$C$9,$C$10,$C$11,$C$12),"")</f>
        <v>180513.03154411059</v>
      </c>
      <c r="R35" s="255">
        <f ca="1">IF(NOW(),_xll.mirSwapPV($C$3,$C$4,$C$6,$G10,$C$7,$I10,$C$16,$C$17,$C$18,$C$19,$C$20,$C$21,$C$22,$C$26,$C$27,R$28,$D$16,$D$17,$D$18,$D$19,$D$20,$D$21,$D$22,$D$23,$D$24,$D$25,$D$26,$D$27,$C$8,$C$9,$C$10,$C$11,$C$12),"")</f>
        <v>90256.515772055282</v>
      </c>
      <c r="S35" s="255">
        <f ca="1">IF(NOW(),_xll.mirSwapPV($C$3,$C$4,$C$6,$G10,$C$7,$I10,$C$16,$C$17,$C$18,$C$19,$C$20,$C$21,$C$22,$C$26,$C$27,S$28,$D$16,$D$17,$D$18,$D$19,$D$20,$D$21,$D$22,$D$23,$D$24,$D$25,$D$26,$D$27,$C$8,$C$9,$C$10,$C$11,$C$12),"")</f>
        <v>0</v>
      </c>
      <c r="T35" s="255">
        <f ca="1">IF(NOW(),_xll.mirSwapPV($C$3,$C$4,$C$6,$G10,$C$7,$I10,$C$16,$C$17,$C$18,$C$19,$C$20,$C$21,$C$22,$C$26,$C$27,T$28,$D$16,$D$17,$D$18,$D$19,$D$20,$D$21,$D$22,$D$23,$D$24,$D$25,$D$26,$D$27,$C$8,$C$9,$C$10,$C$11,$C$12),"")</f>
        <v>-90256.515772055296</v>
      </c>
      <c r="U35" s="255">
        <f ca="1">IF(NOW(),_xll.mirSwapPV($C$3,$C$4,$C$6,$G10,$C$7,$I10,$C$16,$C$17,$C$18,$C$19,$C$20,$C$21,$C$22,$C$26,$C$27,U$28,$D$16,$D$17,$D$18,$D$19,$D$20,$D$21,$D$22,$D$23,$D$24,$D$25,$D$26,$D$27,$C$8,$C$9,$C$10,$C$11,$C$12),"")</f>
        <v>-180513.03154411053</v>
      </c>
      <c r="V35" s="255">
        <f ca="1">IF(NOW(),_xll.mirSwapPV($C$3,$C$4,$C$6,$G10,$C$7,$I10,$C$16,$C$17,$C$18,$C$19,$C$20,$C$21,$C$22,$C$26,$C$27,V$28,$D$16,$D$17,$D$18,$D$19,$D$20,$D$21,$D$22,$D$23,$D$24,$D$25,$D$26,$D$27,$C$8,$C$9,$C$10,$C$11,$C$12),"")</f>
        <v>-270769.54731616587</v>
      </c>
      <c r="W35" s="255">
        <f ca="1">IF(NOW(),_xll.mirSwapPV($C$3,$C$4,$C$6,$G10,$C$7,$I10,$C$16,$C$17,$C$18,$C$19,$C$20,$C$21,$C$22,$C$26,$C$27,W$28,$D$16,$D$17,$D$18,$D$19,$D$20,$D$21,$D$22,$D$23,$D$24,$D$25,$D$26,$D$27,$C$8,$C$9,$C$10,$C$11,$C$12),"")</f>
        <v>-361026.06308822113</v>
      </c>
      <c r="X35" s="255">
        <f ca="1">IF(NOW(),_xll.mirSwapPV($C$3,$C$4,$C$6,$G10,$C$7,$I10,$C$16,$C$17,$C$18,$C$19,$C$20,$C$21,$C$22,$C$26,$C$27,X$28,$D$16,$D$17,$D$18,$D$19,$D$20,$D$21,$D$22,$D$23,$D$24,$D$25,$D$26,$D$27,$C$8,$C$9,$C$10,$C$11,$C$12),"")</f>
        <v>-451282.57886027638</v>
      </c>
      <c r="Y35" s="229"/>
      <c r="AE35" s="10"/>
      <c r="AF35" s="253"/>
      <c r="AG35" s="224" t="s">
        <v>113</v>
      </c>
      <c r="AH35" s="255">
        <f ca="1">IF(NOW(),_xll.mirSwapPV($C$3,$C$4,$C$6,$AA10,$C$7,$AC10,$C$16,$C$17,$C$18,$C$19,$C$20,$C$21,$C$22,$C$26,$C$27,AH$28,$D$16,$D$17,$D$18,$D$19,$D$20,$D$21,$D$22,$D$23,$D$24,$D$25,$D$26,$D$27,$C$8,$C$9,$C$10,$D$11,$C$12),"")</f>
        <v>451282.57886027644</v>
      </c>
      <c r="AI35" s="255">
        <f ca="1">IF(NOW(),_xll.mirSwapPV($C$3,$C$4,$C$6,$AA10,$C$7,$AC10,$C$16,$C$17,$C$18,$C$19,$C$20,$C$21,$C$22,$C$26,$C$27,AI$28,$D$16,$D$17,$D$18,$D$19,$D$20,$D$21,$D$22,$D$23,$D$24,$D$25,$D$26,$D$27,$C$8,$C$9,$C$10,$D$11,$C$12),"")</f>
        <v>361026.06308822107</v>
      </c>
      <c r="AJ35" s="255">
        <f ca="1">IF(NOW(),_xll.mirSwapPV($C$3,$C$4,$C$6,$AA10,$C$7,$AC10,$C$16,$C$17,$C$18,$C$19,$C$20,$C$21,$C$22,$C$26,$C$27,AJ$28,$D$16,$D$17,$D$18,$D$19,$D$20,$D$21,$D$22,$D$23,$D$24,$D$25,$D$26,$D$27,$C$8,$C$9,$C$10,$D$11,$C$12),"")</f>
        <v>270769.54731616576</v>
      </c>
      <c r="AK35" s="255">
        <f ca="1">IF(NOW(),_xll.mirSwapPV($C$3,$C$4,$C$6,$AA10,$C$7,$AC10,$C$16,$C$17,$C$18,$C$19,$C$20,$C$21,$C$22,$C$26,$C$27,AK$28,$D$16,$D$17,$D$18,$D$19,$D$20,$D$21,$D$22,$D$23,$D$24,$D$25,$D$26,$D$27,$C$8,$C$9,$C$10,$D$11,$C$12),"")</f>
        <v>180513.03154411062</v>
      </c>
      <c r="AL35" s="255">
        <f ca="1">IF(NOW(),_xll.mirSwapPV($C$3,$C$4,$C$6,$AA10,$C$7,$AC10,$C$16,$C$17,$C$18,$C$19,$C$20,$C$21,$C$22,$C$26,$C$27,AL$28,$D$16,$D$17,$D$18,$D$19,$D$20,$D$21,$D$22,$D$23,$D$24,$D$25,$D$26,$D$27,$C$8,$C$9,$C$10,$D$11,$C$12),"")</f>
        <v>90256.515772055267</v>
      </c>
      <c r="AM35" s="255">
        <f ca="1">IF(NOW(),_xll.mirSwapPV($C$3,$C$4,$C$6,$AA10,$C$7,$AC10,$C$16,$C$17,$C$18,$C$19,$C$20,$C$21,$C$22,$C$26,$C$27,AM$28,$D$16,$D$17,$D$18,$D$19,$D$20,$D$21,$D$22,$D$23,$D$24,$D$25,$D$26,$D$27,$C$8,$C$9,$C$10,$D$11,$C$12),"")</f>
        <v>0</v>
      </c>
      <c r="AN35" s="255">
        <f ca="1">IF(NOW(),_xll.mirSwapPV($C$3,$C$4,$C$6,$AA10,$C$7,$AC10,$C$16,$C$17,$C$18,$C$19,$C$20,$C$21,$C$22,$C$26,$C$27,AN$28,$D$16,$D$17,$D$18,$D$19,$D$20,$D$21,$D$22,$D$23,$D$24,$D$25,$D$26,$D$27,$C$8,$C$9,$C$10,$D$11,$C$12),"")</f>
        <v>-90256.515772055296</v>
      </c>
      <c r="AO35" s="255">
        <f ca="1">IF(NOW(),_xll.mirSwapPV($C$3,$C$4,$C$6,$AA10,$C$7,$AC10,$C$16,$C$17,$C$18,$C$19,$C$20,$C$21,$C$22,$C$26,$C$27,AO$28,$D$16,$D$17,$D$18,$D$19,$D$20,$D$21,$D$22,$D$23,$D$24,$D$25,$D$26,$D$27,$C$8,$C$9,$C$10,$D$11,$C$12),"")</f>
        <v>-180513.03154411056</v>
      </c>
      <c r="AP35" s="255">
        <f ca="1">IF(NOW(),_xll.mirSwapPV($C$3,$C$4,$C$6,$AA10,$C$7,$AC10,$C$16,$C$17,$C$18,$C$19,$C$20,$C$21,$C$22,$C$26,$C$27,AP$28,$D$16,$D$17,$D$18,$D$19,$D$20,$D$21,$D$22,$D$23,$D$24,$D$25,$D$26,$D$27,$C$8,$C$9,$C$10,$D$11,$C$12),"")</f>
        <v>-270769.54731616587</v>
      </c>
      <c r="AQ35" s="255">
        <f ca="1">IF(NOW(),_xll.mirSwapPV($C$3,$C$4,$C$6,$AA10,$C$7,$AC10,$C$16,$C$17,$C$18,$C$19,$C$20,$C$21,$C$22,$C$26,$C$27,AQ$28,$D$16,$D$17,$D$18,$D$19,$D$20,$D$21,$D$22,$D$23,$D$24,$D$25,$D$26,$D$27,$C$8,$C$9,$C$10,$D$11,$C$12),"")</f>
        <v>-361026.06308822107</v>
      </c>
      <c r="AR35" s="255">
        <f ca="1">IF(NOW(),_xll.mirSwapPV($C$3,$C$4,$C$6,$AA10,$C$7,$AC10,$C$16,$C$17,$C$18,$C$19,$C$20,$C$21,$C$22,$C$26,$C$27,AR$28,$D$16,$D$17,$D$18,$D$19,$D$20,$D$21,$D$22,$D$23,$D$24,$D$25,$D$26,$D$27,$C$8,$C$9,$C$10,$D$11,$C$12),"")</f>
        <v>-451282.57886027644</v>
      </c>
    </row>
    <row r="36" spans="6:44">
      <c r="F36" s="230"/>
      <c r="G36" s="227"/>
      <c r="H36" s="229"/>
      <c r="I36" s="229"/>
      <c r="J36" s="229"/>
      <c r="K36" s="230"/>
      <c r="L36" s="230"/>
      <c r="M36" s="224" t="s">
        <v>28</v>
      </c>
      <c r="N36" s="255">
        <f ca="1">IF(NOW(),_xll.mirSwapPV($C$3,$C$4,$C$6,$G11,$C$7,$I11,$C$16,$C$17,$C$18,$C$19,$C$20,$C$21,$C$22,$C$26,$C$27,N$28,$D$16,$D$17,$D$18,$D$19,$D$20,$D$21,$D$22,$D$23,$D$24,$D$25,$D$26,$D$27,$C$8,$C$9,$C$10,$C$11,$C$12),"")</f>
        <v>499547.94085683511</v>
      </c>
      <c r="O36" s="255">
        <f ca="1">IF(NOW(),_xll.mirSwapPV($C$3,$C$4,$C$6,$G11,$C$7,$I11,$C$16,$C$17,$C$18,$C$19,$C$20,$C$21,$C$22,$C$26,$C$27,O$28,$D$16,$D$17,$D$18,$D$19,$D$20,$D$21,$D$22,$D$23,$D$24,$D$25,$D$26,$D$27,$C$8,$C$9,$C$10,$C$11,$C$12),"")</f>
        <v>399638.3526854681</v>
      </c>
      <c r="P36" s="255">
        <f ca="1">IF(NOW(),_xll.mirSwapPV($C$3,$C$4,$C$6,$G11,$C$7,$I11,$C$16,$C$17,$C$18,$C$19,$C$20,$C$21,$C$22,$C$26,$C$27,P$28,$D$16,$D$17,$D$18,$D$19,$D$20,$D$21,$D$22,$D$23,$D$24,$D$25,$D$26,$D$27,$C$8,$C$9,$C$10,$C$11,$C$12),"")</f>
        <v>299728.76451410103</v>
      </c>
      <c r="Q36" s="255">
        <f ca="1">IF(NOW(),_xll.mirSwapPV($C$3,$C$4,$C$6,$G11,$C$7,$I11,$C$16,$C$17,$C$18,$C$19,$C$20,$C$21,$C$22,$C$26,$C$27,Q$28,$D$16,$D$17,$D$18,$D$19,$D$20,$D$21,$D$22,$D$23,$D$24,$D$25,$D$26,$D$27,$C$8,$C$9,$C$10,$C$11,$C$12),"")</f>
        <v>199819.17634273405</v>
      </c>
      <c r="R36" s="255">
        <f ca="1">IF(NOW(),_xll.mirSwapPV($C$3,$C$4,$C$6,$G11,$C$7,$I11,$C$16,$C$17,$C$18,$C$19,$C$20,$C$21,$C$22,$C$26,$C$27,R$28,$D$16,$D$17,$D$18,$D$19,$D$20,$D$21,$D$22,$D$23,$D$24,$D$25,$D$26,$D$27,$C$8,$C$9,$C$10,$C$11,$C$12),"")</f>
        <v>99909.58817136701</v>
      </c>
      <c r="S36" s="255">
        <f ca="1">IF(NOW(),_xll.mirSwapPV($C$3,$C$4,$C$6,$G11,$C$7,$I11,$C$16,$C$17,$C$18,$C$19,$C$20,$C$21,$C$22,$C$26,$C$27,S$28,$D$16,$D$17,$D$18,$D$19,$D$20,$D$21,$D$22,$D$23,$D$24,$D$25,$D$26,$D$27,$C$8,$C$9,$C$10,$C$11,$C$12),"")</f>
        <v>0</v>
      </c>
      <c r="T36" s="255">
        <f ca="1">IF(NOW(),_xll.mirSwapPV($C$3,$C$4,$C$6,$G11,$C$7,$I11,$C$16,$C$17,$C$18,$C$19,$C$20,$C$21,$C$22,$C$26,$C$27,T$28,$D$16,$D$17,$D$18,$D$19,$D$20,$D$21,$D$22,$D$23,$D$24,$D$25,$D$26,$D$27,$C$8,$C$9,$C$10,$C$11,$C$12),"")</f>
        <v>-99909.588171367024</v>
      </c>
      <c r="U36" s="255">
        <f ca="1">IF(NOW(),_xll.mirSwapPV($C$3,$C$4,$C$6,$G11,$C$7,$I11,$C$16,$C$17,$C$18,$C$19,$C$20,$C$21,$C$22,$C$26,$C$27,U$28,$D$16,$D$17,$D$18,$D$19,$D$20,$D$21,$D$22,$D$23,$D$24,$D$25,$D$26,$D$27,$C$8,$C$9,$C$10,$C$11,$C$12),"")</f>
        <v>-199819.17634273399</v>
      </c>
      <c r="V36" s="255">
        <f ca="1">IF(NOW(),_xll.mirSwapPV($C$3,$C$4,$C$6,$G11,$C$7,$I11,$C$16,$C$17,$C$18,$C$19,$C$20,$C$21,$C$22,$C$26,$C$27,V$28,$D$16,$D$17,$D$18,$D$19,$D$20,$D$21,$D$22,$D$23,$D$24,$D$25,$D$26,$D$27,$C$8,$C$9,$C$10,$C$11,$C$12),"")</f>
        <v>-299728.76451410103</v>
      </c>
      <c r="W36" s="255">
        <f ca="1">IF(NOW(),_xll.mirSwapPV($C$3,$C$4,$C$6,$G11,$C$7,$I11,$C$16,$C$17,$C$18,$C$19,$C$20,$C$21,$C$22,$C$26,$C$27,W$28,$D$16,$D$17,$D$18,$D$19,$D$20,$D$21,$D$22,$D$23,$D$24,$D$25,$D$26,$D$27,$C$8,$C$9,$C$10,$C$11,$C$12),"")</f>
        <v>-399638.35268546798</v>
      </c>
      <c r="X36" s="255">
        <f ca="1">IF(NOW(),_xll.mirSwapPV($C$3,$C$4,$C$6,$G11,$C$7,$I11,$C$16,$C$17,$C$18,$C$19,$C$20,$C$21,$C$22,$C$26,$C$27,X$28,$D$16,$D$17,$D$18,$D$19,$D$20,$D$21,$D$22,$D$23,$D$24,$D$25,$D$26,$D$27,$C$8,$C$9,$C$10,$C$11,$C$12),"")</f>
        <v>-499547.94085683499</v>
      </c>
      <c r="Y36" s="229"/>
      <c r="AG36" s="224" t="s">
        <v>28</v>
      </c>
      <c r="AH36" s="255">
        <f ca="1">IF(NOW(),_xll.mirSwapPV($C$3,$C$4,$C$6,$AA11,$C$7,$AC11,$C$16,$C$17,$C$18,$C$19,$C$20,$C$21,$C$22,$C$26,$C$27,AH$28,$D$16,$D$17,$D$18,$D$19,$D$20,$D$21,$D$22,$D$23,$D$24,$D$25,$D$26,$D$27,$C$8,$C$9,$C$10,$D$11,$C$12),"")</f>
        <v>499547.94085683505</v>
      </c>
      <c r="AI36" s="255">
        <f ca="1">IF(NOW(),_xll.mirSwapPV($C$3,$C$4,$C$6,$AA11,$C$7,$AC11,$C$16,$C$17,$C$18,$C$19,$C$20,$C$21,$C$22,$C$26,$C$27,AI$28,$D$16,$D$17,$D$18,$D$19,$D$20,$D$21,$D$22,$D$23,$D$24,$D$25,$D$26,$D$27,$C$8,$C$9,$C$10,$D$11,$C$12),"")</f>
        <v>399638.35268546798</v>
      </c>
      <c r="AJ36" s="255">
        <f ca="1">IF(NOW(),_xll.mirSwapPV($C$3,$C$4,$C$6,$AA11,$C$7,$AC11,$C$16,$C$17,$C$18,$C$19,$C$20,$C$21,$C$22,$C$26,$C$27,AJ$28,$D$16,$D$17,$D$18,$D$19,$D$20,$D$21,$D$22,$D$23,$D$24,$D$25,$D$26,$D$27,$C$8,$C$9,$C$10,$D$11,$C$12),"")</f>
        <v>299728.76451410091</v>
      </c>
      <c r="AK36" s="255">
        <f ca="1">IF(NOW(),_xll.mirSwapPV($C$3,$C$4,$C$6,$AA11,$C$7,$AC11,$C$16,$C$17,$C$18,$C$19,$C$20,$C$21,$C$22,$C$26,$C$27,AK$28,$D$16,$D$17,$D$18,$D$19,$D$20,$D$21,$D$22,$D$23,$D$24,$D$25,$D$26,$D$27,$C$8,$C$9,$C$10,$D$11,$C$12),"")</f>
        <v>199819.17634273408</v>
      </c>
      <c r="AL36" s="255">
        <f ca="1">IF(NOW(),_xll.mirSwapPV($C$3,$C$4,$C$6,$AA11,$C$7,$AC11,$C$16,$C$17,$C$18,$C$19,$C$20,$C$21,$C$22,$C$26,$C$27,AL$28,$D$16,$D$17,$D$18,$D$19,$D$20,$D$21,$D$22,$D$23,$D$24,$D$25,$D$26,$D$27,$C$8,$C$9,$C$10,$D$11,$C$12),"")</f>
        <v>99909.588171366995</v>
      </c>
      <c r="AM36" s="255">
        <f ca="1">IF(NOW(),_xll.mirSwapPV($C$3,$C$4,$C$6,$AA11,$C$7,$AC11,$C$16,$C$17,$C$18,$C$19,$C$20,$C$21,$C$22,$C$26,$C$27,AM$28,$D$16,$D$17,$D$18,$D$19,$D$20,$D$21,$D$22,$D$23,$D$24,$D$25,$D$26,$D$27,$C$8,$C$9,$C$10,$D$11,$C$12),"")</f>
        <v>0</v>
      </c>
      <c r="AN36" s="255">
        <f ca="1">IF(NOW(),_xll.mirSwapPV($C$3,$C$4,$C$6,$AA11,$C$7,$AC11,$C$16,$C$17,$C$18,$C$19,$C$20,$C$21,$C$22,$C$26,$C$27,AN$28,$D$16,$D$17,$D$18,$D$19,$D$20,$D$21,$D$22,$D$23,$D$24,$D$25,$D$26,$D$27,$C$8,$C$9,$C$10,$D$11,$C$12),"")</f>
        <v>-99909.588171367024</v>
      </c>
      <c r="AO36" s="255">
        <f ca="1">IF(NOW(),_xll.mirSwapPV($C$3,$C$4,$C$6,$AA11,$C$7,$AC11,$C$16,$C$17,$C$18,$C$19,$C$20,$C$21,$C$22,$C$26,$C$27,AO$28,$D$16,$D$17,$D$18,$D$19,$D$20,$D$21,$D$22,$D$23,$D$24,$D$25,$D$26,$D$27,$C$8,$C$9,$C$10,$D$11,$C$12),"")</f>
        <v>-199819.17634273399</v>
      </c>
      <c r="AP36" s="255">
        <f ca="1">IF(NOW(),_xll.mirSwapPV($C$3,$C$4,$C$6,$AA11,$C$7,$AC11,$C$16,$C$17,$C$18,$C$19,$C$20,$C$21,$C$22,$C$26,$C$27,AP$28,$D$16,$D$17,$D$18,$D$19,$D$20,$D$21,$D$22,$D$23,$D$24,$D$25,$D$26,$D$27,$C$8,$C$9,$C$10,$D$11,$C$12),"")</f>
        <v>-299728.76451410103</v>
      </c>
      <c r="AQ36" s="255">
        <f ca="1">IF(NOW(),_xll.mirSwapPV($C$3,$C$4,$C$6,$AA11,$C$7,$AC11,$C$16,$C$17,$C$18,$C$19,$C$20,$C$21,$C$22,$C$26,$C$27,AQ$28,$D$16,$D$17,$D$18,$D$19,$D$20,$D$21,$D$22,$D$23,$D$24,$D$25,$D$26,$D$27,$C$8,$C$9,$C$10,$D$11,$C$12),"")</f>
        <v>-399638.35268546798</v>
      </c>
      <c r="AR36" s="255">
        <f ca="1">IF(NOW(),_xll.mirSwapPV($C$3,$C$4,$C$6,$AA11,$C$7,$AC11,$C$16,$C$17,$C$18,$C$19,$C$20,$C$21,$C$22,$C$26,$C$27,AR$28,$D$16,$D$17,$D$18,$D$19,$D$20,$D$21,$D$22,$D$23,$D$24,$D$25,$D$26,$D$27,$C$8,$C$9,$C$10,$D$11,$C$12),"")</f>
        <v>-499547.94085683505</v>
      </c>
    </row>
    <row r="37" spans="6:44">
      <c r="F37" s="230"/>
      <c r="G37" s="227"/>
      <c r="H37" s="229"/>
      <c r="I37" s="229"/>
      <c r="J37" s="229"/>
      <c r="K37" s="230"/>
      <c r="L37" s="230"/>
      <c r="M37" s="224" t="s">
        <v>26</v>
      </c>
      <c r="N37" s="255">
        <f ca="1">IF(NOW(),_xll.mirSwapPV($C$3,$C$4,$C$6,$G12,$C$7,$I12,$C$16,$C$17,$C$18,$C$19,$C$20,$C$21,$C$22,$C$26,$C$27,N$28,$D$16,$D$17,$D$18,$D$19,$D$20,$D$21,$D$22,$D$23,$D$24,$D$25,$D$26,$D$27,$C$8,$C$9,$C$10,$C$11,$C$12),"")</f>
        <v>594572.24148861051</v>
      </c>
      <c r="O37" s="255">
        <f ca="1">IF(NOW(),_xll.mirSwapPV($C$3,$C$4,$C$6,$G12,$C$7,$I12,$C$16,$C$17,$C$18,$C$19,$C$20,$C$21,$C$22,$C$26,$C$27,O$28,$D$16,$D$17,$D$18,$D$19,$D$20,$D$21,$D$22,$D$23,$D$24,$D$25,$D$26,$D$27,$C$8,$C$9,$C$10,$C$11,$C$12),"")</f>
        <v>475657.79319088848</v>
      </c>
      <c r="P37" s="255">
        <f ca="1">IF(NOW(),_xll.mirSwapPV($C$3,$C$4,$C$6,$G12,$C$7,$I12,$C$16,$C$17,$C$18,$C$19,$C$20,$C$21,$C$22,$C$26,$C$27,P$28,$D$16,$D$17,$D$18,$D$19,$D$20,$D$21,$D$22,$D$23,$D$24,$D$25,$D$26,$D$27,$C$8,$C$9,$C$10,$C$11,$C$12),"")</f>
        <v>356743.34489316633</v>
      </c>
      <c r="Q37" s="255">
        <f ca="1">IF(NOW(),_xll.mirSwapPV($C$3,$C$4,$C$6,$G12,$C$7,$I12,$C$16,$C$17,$C$18,$C$19,$C$20,$C$21,$C$22,$C$26,$C$27,Q$28,$D$16,$D$17,$D$18,$D$19,$D$20,$D$21,$D$22,$D$23,$D$24,$D$25,$D$26,$D$27,$C$8,$C$9,$C$10,$C$11,$C$12),"")</f>
        <v>237828.89659544421</v>
      </c>
      <c r="R37" s="255">
        <f ca="1">IF(NOW(),_xll.mirSwapPV($C$3,$C$4,$C$6,$G12,$C$7,$I12,$C$16,$C$17,$C$18,$C$19,$C$20,$C$21,$C$22,$C$26,$C$27,R$28,$D$16,$D$17,$D$18,$D$19,$D$20,$D$21,$D$22,$D$23,$D$24,$D$25,$D$26,$D$27,$C$8,$C$9,$C$10,$C$11,$C$12),"")</f>
        <v>118914.44829772211</v>
      </c>
      <c r="S37" s="255">
        <f ca="1">IF(NOW(),_xll.mirSwapPV($C$3,$C$4,$C$6,$G12,$C$7,$I12,$C$16,$C$17,$C$18,$C$19,$C$20,$C$21,$C$22,$C$26,$C$27,S$28,$D$16,$D$17,$D$18,$D$19,$D$20,$D$21,$D$22,$D$23,$D$24,$D$25,$D$26,$D$27,$C$8,$C$9,$C$10,$C$11,$C$12),"")</f>
        <v>0</v>
      </c>
      <c r="T37" s="255">
        <f ca="1">IF(NOW(),_xll.mirSwapPV($C$3,$C$4,$C$6,$G12,$C$7,$I12,$C$16,$C$17,$C$18,$C$19,$C$20,$C$21,$C$22,$C$26,$C$27,T$28,$D$16,$D$17,$D$18,$D$19,$D$20,$D$21,$D$22,$D$23,$D$24,$D$25,$D$26,$D$27,$C$8,$C$9,$C$10,$C$11,$C$12),"")</f>
        <v>-118914.44829772212</v>
      </c>
      <c r="U37" s="255">
        <f ca="1">IF(NOW(),_xll.mirSwapPV($C$3,$C$4,$C$6,$G12,$C$7,$I12,$C$16,$C$17,$C$18,$C$19,$C$20,$C$21,$C$22,$C$26,$C$27,U$28,$D$16,$D$17,$D$18,$D$19,$D$20,$D$21,$D$22,$D$23,$D$24,$D$25,$D$26,$D$27,$C$8,$C$9,$C$10,$C$11,$C$12),"")</f>
        <v>-237828.89659544424</v>
      </c>
      <c r="V37" s="255">
        <f ca="1">IF(NOW(),_xll.mirSwapPV($C$3,$C$4,$C$6,$G12,$C$7,$I12,$C$16,$C$17,$C$18,$C$19,$C$20,$C$21,$C$22,$C$26,$C$27,V$28,$D$16,$D$17,$D$18,$D$19,$D$20,$D$21,$D$22,$D$23,$D$24,$D$25,$D$26,$D$27,$C$8,$C$9,$C$10,$C$11,$C$12),"")</f>
        <v>-356743.34489316627</v>
      </c>
      <c r="W37" s="255">
        <f ca="1">IF(NOW(),_xll.mirSwapPV($C$3,$C$4,$C$6,$G12,$C$7,$I12,$C$16,$C$17,$C$18,$C$19,$C$20,$C$21,$C$22,$C$26,$C$27,W$28,$D$16,$D$17,$D$18,$D$19,$D$20,$D$21,$D$22,$D$23,$D$24,$D$25,$D$26,$D$27,$C$8,$C$9,$C$10,$C$11,$C$12),"")</f>
        <v>-475657.79319088842</v>
      </c>
      <c r="X37" s="255">
        <f ca="1">IF(NOW(),_xll.mirSwapPV($C$3,$C$4,$C$6,$G12,$C$7,$I12,$C$16,$C$17,$C$18,$C$19,$C$20,$C$21,$C$22,$C$26,$C$27,X$28,$D$16,$D$17,$D$18,$D$19,$D$20,$D$21,$D$22,$D$23,$D$24,$D$25,$D$26,$D$27,$C$8,$C$9,$C$10,$C$11,$C$12),"")</f>
        <v>-594572.24148861051</v>
      </c>
      <c r="Y37" s="229"/>
      <c r="AG37" s="224" t="s">
        <v>26</v>
      </c>
      <c r="AH37" s="255">
        <f ca="1">IF(NOW(),_xll.mirSwapPV($C$3,$C$4,$C$6,$AA12,$C$7,$AC12,$C$16,$C$17,$C$18,$C$19,$C$20,$C$21,$C$22,$C$26,$C$27,AH$28,$D$16,$D$17,$D$18,$D$19,$D$20,$D$21,$D$22,$D$23,$D$24,$D$25,$D$26,$D$27,$C$8,$C$9,$C$10,$D$11,$C$12),"")</f>
        <v>594572.24148861051</v>
      </c>
      <c r="AI37" s="255">
        <f ca="1">IF(NOW(),_xll.mirSwapPV($C$3,$C$4,$C$6,$AA12,$C$7,$AC12,$C$16,$C$17,$C$18,$C$19,$C$20,$C$21,$C$22,$C$26,$C$27,AI$28,$D$16,$D$17,$D$18,$D$19,$D$20,$D$21,$D$22,$D$23,$D$24,$D$25,$D$26,$D$27,$C$8,$C$9,$C$10,$D$11,$C$12),"")</f>
        <v>475657.79319088842</v>
      </c>
      <c r="AJ37" s="255">
        <f ca="1">IF(NOW(),_xll.mirSwapPV($C$3,$C$4,$C$6,$AA12,$C$7,$AC12,$C$16,$C$17,$C$18,$C$19,$C$20,$C$21,$C$22,$C$26,$C$27,AJ$28,$D$16,$D$17,$D$18,$D$19,$D$20,$D$21,$D$22,$D$23,$D$24,$D$25,$D$26,$D$27,$C$8,$C$9,$C$10,$D$11,$C$12),"")</f>
        <v>356743.34489316616</v>
      </c>
      <c r="AK37" s="255">
        <f ca="1">IF(NOW(),_xll.mirSwapPV($C$3,$C$4,$C$6,$AA12,$C$7,$AC12,$C$16,$C$17,$C$18,$C$19,$C$20,$C$21,$C$22,$C$26,$C$27,AK$28,$D$16,$D$17,$D$18,$D$19,$D$20,$D$21,$D$22,$D$23,$D$24,$D$25,$D$26,$D$27,$C$8,$C$9,$C$10,$D$11,$C$12),"")</f>
        <v>237828.89659544433</v>
      </c>
      <c r="AL37" s="255">
        <f ca="1">IF(NOW(),_xll.mirSwapPV($C$3,$C$4,$C$6,$AA12,$C$7,$AC12,$C$16,$C$17,$C$18,$C$19,$C$20,$C$21,$C$22,$C$26,$C$27,AL$28,$D$16,$D$17,$D$18,$D$19,$D$20,$D$21,$D$22,$D$23,$D$24,$D$25,$D$26,$D$27,$C$8,$C$9,$C$10,$D$11,$C$12),"")</f>
        <v>118914.44829772211</v>
      </c>
      <c r="AM37" s="255">
        <f ca="1">IF(NOW(),_xll.mirSwapPV($C$3,$C$4,$C$6,$AA12,$C$7,$AC12,$C$16,$C$17,$C$18,$C$19,$C$20,$C$21,$C$22,$C$26,$C$27,AM$28,$D$16,$D$17,$D$18,$D$19,$D$20,$D$21,$D$22,$D$23,$D$24,$D$25,$D$26,$D$27,$C$8,$C$9,$C$10,$D$11,$C$12),"")</f>
        <v>0</v>
      </c>
      <c r="AN37" s="255">
        <f ca="1">IF(NOW(),_xll.mirSwapPV($C$3,$C$4,$C$6,$AA12,$C$7,$AC12,$C$16,$C$17,$C$18,$C$19,$C$20,$C$21,$C$22,$C$26,$C$27,AN$28,$D$16,$D$17,$D$18,$D$19,$D$20,$D$21,$D$22,$D$23,$D$24,$D$25,$D$26,$D$27,$C$8,$C$9,$C$10,$D$11,$C$12),"")</f>
        <v>-118914.44829772212</v>
      </c>
      <c r="AO37" s="255">
        <f ca="1">IF(NOW(),_xll.mirSwapPV($C$3,$C$4,$C$6,$AA12,$C$7,$AC12,$C$16,$C$17,$C$18,$C$19,$C$20,$C$21,$C$22,$C$26,$C$27,AO$28,$D$16,$D$17,$D$18,$D$19,$D$20,$D$21,$D$22,$D$23,$D$24,$D$25,$D$26,$D$27,$C$8,$C$9,$C$10,$D$11,$C$12),"")</f>
        <v>-237828.89659544418</v>
      </c>
      <c r="AP37" s="255">
        <f ca="1">IF(NOW(),_xll.mirSwapPV($C$3,$C$4,$C$6,$AA12,$C$7,$AC12,$C$16,$C$17,$C$18,$C$19,$C$20,$C$21,$C$22,$C$26,$C$27,AP$28,$D$16,$D$17,$D$18,$D$19,$D$20,$D$21,$D$22,$D$23,$D$24,$D$25,$D$26,$D$27,$C$8,$C$9,$C$10,$D$11,$C$12),"")</f>
        <v>-356743.34489316627</v>
      </c>
      <c r="AQ37" s="255">
        <f ca="1">IF(NOW(),_xll.mirSwapPV($C$3,$C$4,$C$6,$AA12,$C$7,$AC12,$C$16,$C$17,$C$18,$C$19,$C$20,$C$21,$C$22,$C$26,$C$27,AQ$28,$D$16,$D$17,$D$18,$D$19,$D$20,$D$21,$D$22,$D$23,$D$24,$D$25,$D$26,$D$27,$C$8,$C$9,$C$10,$D$11,$C$12),"")</f>
        <v>-475657.7931908883</v>
      </c>
      <c r="AR37" s="255">
        <f ca="1">IF(NOW(),_xll.mirSwapPV($C$3,$C$4,$C$6,$AA12,$C$7,$AC12,$C$16,$C$17,$C$18,$C$19,$C$20,$C$21,$C$22,$C$26,$C$27,AR$28,$D$16,$D$17,$D$18,$D$19,$D$20,$D$21,$D$22,$D$23,$D$24,$D$25,$D$26,$D$27,$C$8,$C$9,$C$10,$D$11,$C$12),"")</f>
        <v>-594572.24148861051</v>
      </c>
    </row>
    <row r="38" spans="6:44">
      <c r="F38" s="230"/>
      <c r="G38" s="227"/>
      <c r="H38" s="229"/>
      <c r="I38" s="229"/>
      <c r="J38" s="229"/>
      <c r="K38" s="230"/>
      <c r="L38" s="230"/>
      <c r="M38" s="224" t="s">
        <v>24</v>
      </c>
      <c r="N38" s="255">
        <f ca="1">IF(NOW(),_xll.mirSwapPV($C$3,$C$4,$C$6,$G13,$C$7,$I13,$C$16,$C$17,$C$18,$C$19,$C$20,$C$21,$C$22,$C$26,$C$27,N$28,$D$16,$D$17,$D$18,$D$19,$D$20,$D$21,$D$22,$D$23,$D$24,$D$25,$D$26,$D$27,$C$8,$C$9,$C$10,$C$11,$C$12),"")</f>
        <v>731887.31731711689</v>
      </c>
      <c r="O38" s="255">
        <f ca="1">IF(NOW(),_xll.mirSwapPV($C$3,$C$4,$C$6,$G13,$C$7,$I13,$C$16,$C$17,$C$18,$C$19,$C$20,$C$21,$C$22,$C$26,$C$27,O$28,$D$16,$D$17,$D$18,$D$19,$D$20,$D$21,$D$22,$D$23,$D$24,$D$25,$D$26,$D$27,$C$8,$C$9,$C$10,$C$11,$C$12),"")</f>
        <v>585509.85385369346</v>
      </c>
      <c r="P38" s="255">
        <f ca="1">IF(NOW(),_xll.mirSwapPV($C$3,$C$4,$C$6,$G13,$C$7,$I13,$C$16,$C$17,$C$18,$C$19,$C$20,$C$21,$C$22,$C$26,$C$27,P$28,$D$16,$D$17,$D$18,$D$19,$D$20,$D$21,$D$22,$D$23,$D$24,$D$25,$D$26,$D$27,$C$8,$C$9,$C$10,$C$11,$C$12),"")</f>
        <v>439132.3903902701</v>
      </c>
      <c r="Q38" s="255">
        <f ca="1">IF(NOW(),_xll.mirSwapPV($C$3,$C$4,$C$6,$G13,$C$7,$I13,$C$16,$C$17,$C$18,$C$19,$C$20,$C$21,$C$22,$C$26,$C$27,Q$28,$D$16,$D$17,$D$18,$D$19,$D$20,$D$21,$D$22,$D$23,$D$24,$D$25,$D$26,$D$27,$C$8,$C$9,$C$10,$C$11,$C$12),"")</f>
        <v>292754.92692684667</v>
      </c>
      <c r="R38" s="255">
        <f ca="1">IF(NOW(),_xll.mirSwapPV($C$3,$C$4,$C$6,$G13,$C$7,$I13,$C$16,$C$17,$C$18,$C$19,$C$20,$C$21,$C$22,$C$26,$C$27,R$28,$D$16,$D$17,$D$18,$D$19,$D$20,$D$21,$D$22,$D$23,$D$24,$D$25,$D$26,$D$27,$C$8,$C$9,$C$10,$C$11,$C$12),"")</f>
        <v>146377.46346342337</v>
      </c>
      <c r="S38" s="255">
        <f ca="1">IF(NOW(),_xll.mirSwapPV($C$3,$C$4,$C$6,$G13,$C$7,$I13,$C$16,$C$17,$C$18,$C$19,$C$20,$C$21,$C$22,$C$26,$C$27,S$28,$D$16,$D$17,$D$18,$D$19,$D$20,$D$21,$D$22,$D$23,$D$24,$D$25,$D$26,$D$27,$C$8,$C$9,$C$10,$C$11,$C$12),"")</f>
        <v>0</v>
      </c>
      <c r="T38" s="255">
        <f ca="1">IF(NOW(),_xll.mirSwapPV($C$3,$C$4,$C$6,$G13,$C$7,$I13,$C$16,$C$17,$C$18,$C$19,$C$20,$C$21,$C$22,$C$26,$C$27,T$28,$D$16,$D$17,$D$18,$D$19,$D$20,$D$21,$D$22,$D$23,$D$24,$D$25,$D$26,$D$27,$C$8,$C$9,$C$10,$C$11,$C$12),"")</f>
        <v>-146377.4634634234</v>
      </c>
      <c r="U38" s="255">
        <f ca="1">IF(NOW(),_xll.mirSwapPV($C$3,$C$4,$C$6,$G13,$C$7,$I13,$C$16,$C$17,$C$18,$C$19,$C$20,$C$21,$C$22,$C$26,$C$27,U$28,$D$16,$D$17,$D$18,$D$19,$D$20,$D$21,$D$22,$D$23,$D$24,$D$25,$D$26,$D$27,$C$8,$C$9,$C$10,$C$11,$C$12),"")</f>
        <v>-292754.92692684679</v>
      </c>
      <c r="V38" s="255">
        <f ca="1">IF(NOW(),_xll.mirSwapPV($C$3,$C$4,$C$6,$G13,$C$7,$I13,$C$16,$C$17,$C$18,$C$19,$C$20,$C$21,$C$22,$C$26,$C$27,V$28,$D$16,$D$17,$D$18,$D$19,$D$20,$D$21,$D$22,$D$23,$D$24,$D$25,$D$26,$D$27,$C$8,$C$9,$C$10,$C$11,$C$12),"")</f>
        <v>-439132.3903902701</v>
      </c>
      <c r="W38" s="255">
        <f ca="1">IF(NOW(),_xll.mirSwapPV($C$3,$C$4,$C$6,$G13,$C$7,$I13,$C$16,$C$17,$C$18,$C$19,$C$20,$C$21,$C$22,$C$26,$C$27,W$28,$D$16,$D$17,$D$18,$D$19,$D$20,$D$21,$D$22,$D$23,$D$24,$D$25,$D$26,$D$27,$C$8,$C$9,$C$10,$C$11,$C$12),"")</f>
        <v>-585509.85385369346</v>
      </c>
      <c r="X38" s="255">
        <f ca="1">IF(NOW(),_xll.mirSwapPV($C$3,$C$4,$C$6,$G13,$C$7,$I13,$C$16,$C$17,$C$18,$C$19,$C$20,$C$21,$C$22,$C$26,$C$27,X$28,$D$16,$D$17,$D$18,$D$19,$D$20,$D$21,$D$22,$D$23,$D$24,$D$25,$D$26,$D$27,$C$8,$C$9,$C$10,$C$11,$C$12),"")</f>
        <v>-731887.31731711677</v>
      </c>
      <c r="Y38" s="229"/>
      <c r="AG38" s="224" t="s">
        <v>24</v>
      </c>
      <c r="AH38" s="255">
        <f ca="1">IF(NOW(),_xll.mirSwapPV($C$3,$C$4,$C$6,$AA13,$C$7,$AC13,$C$16,$C$17,$C$18,$C$19,$C$20,$C$21,$C$22,$C$26,$C$27,AH$28,$D$16,$D$17,$D$18,$D$19,$D$20,$D$21,$D$22,$D$23,$D$24,$D$25,$D$26,$D$27,$C$8,$C$9,$C$10,$D$11,$C$12),"")</f>
        <v>731887.31731711666</v>
      </c>
      <c r="AI38" s="255">
        <f ca="1">IF(NOW(),_xll.mirSwapPV($C$3,$C$4,$C$6,$AA13,$C$7,$AC13,$C$16,$C$17,$C$18,$C$19,$C$20,$C$21,$C$22,$C$26,$C$27,AI$28,$D$16,$D$17,$D$18,$D$19,$D$20,$D$21,$D$22,$D$23,$D$24,$D$25,$D$26,$D$27,$C$8,$C$9,$C$10,$D$11,$C$12),"")</f>
        <v>585509.85385369335</v>
      </c>
      <c r="AJ38" s="255">
        <f ca="1">IF(NOW(),_xll.mirSwapPV($C$3,$C$4,$C$6,$AA13,$C$7,$AC13,$C$16,$C$17,$C$18,$C$19,$C$20,$C$21,$C$22,$C$26,$C$27,AJ$28,$D$16,$D$17,$D$18,$D$19,$D$20,$D$21,$D$22,$D$23,$D$24,$D$25,$D$26,$D$27,$C$8,$C$9,$C$10,$D$11,$C$12),"")</f>
        <v>439132.39039026987</v>
      </c>
      <c r="AK38" s="255">
        <f ca="1">IF(NOW(),_xll.mirSwapPV($C$3,$C$4,$C$6,$AA13,$C$7,$AC13,$C$16,$C$17,$C$18,$C$19,$C$20,$C$21,$C$22,$C$26,$C$27,AK$28,$D$16,$D$17,$D$18,$D$19,$D$20,$D$21,$D$22,$D$23,$D$24,$D$25,$D$26,$D$27,$C$8,$C$9,$C$10,$D$11,$C$12),"")</f>
        <v>292754.92692684679</v>
      </c>
      <c r="AL38" s="255">
        <f ca="1">IF(NOW(),_xll.mirSwapPV($C$3,$C$4,$C$6,$AA13,$C$7,$AC13,$C$16,$C$17,$C$18,$C$19,$C$20,$C$21,$C$22,$C$26,$C$27,AL$28,$D$16,$D$17,$D$18,$D$19,$D$20,$D$21,$D$22,$D$23,$D$24,$D$25,$D$26,$D$27,$C$8,$C$9,$C$10,$D$11,$C$12),"")</f>
        <v>146377.46346342331</v>
      </c>
      <c r="AM38" s="255">
        <f ca="1">IF(NOW(),_xll.mirSwapPV($C$3,$C$4,$C$6,$AA13,$C$7,$AC13,$C$16,$C$17,$C$18,$C$19,$C$20,$C$21,$C$22,$C$26,$C$27,AM$28,$D$16,$D$17,$D$18,$D$19,$D$20,$D$21,$D$22,$D$23,$D$24,$D$25,$D$26,$D$27,$C$8,$C$9,$C$10,$D$11,$C$12),"")</f>
        <v>0</v>
      </c>
      <c r="AN38" s="255">
        <f ca="1">IF(NOW(),_xll.mirSwapPV($C$3,$C$4,$C$6,$AA13,$C$7,$AC13,$C$16,$C$17,$C$18,$C$19,$C$20,$C$21,$C$22,$C$26,$C$27,AN$28,$D$16,$D$17,$D$18,$D$19,$D$20,$D$21,$D$22,$D$23,$D$24,$D$25,$D$26,$D$27,$C$8,$C$9,$C$10,$D$11,$C$12),"")</f>
        <v>-146377.46346342337</v>
      </c>
      <c r="AO38" s="255">
        <f ca="1">IF(NOW(),_xll.mirSwapPV($C$3,$C$4,$C$6,$AA13,$C$7,$AC13,$C$16,$C$17,$C$18,$C$19,$C$20,$C$21,$C$22,$C$26,$C$27,AO$28,$D$16,$D$17,$D$18,$D$19,$D$20,$D$21,$D$22,$D$23,$D$24,$D$25,$D$26,$D$27,$C$8,$C$9,$C$10,$D$11,$C$12),"")</f>
        <v>-292754.92692684667</v>
      </c>
      <c r="AP38" s="255">
        <f ca="1">IF(NOW(),_xll.mirSwapPV($C$3,$C$4,$C$6,$AA13,$C$7,$AC13,$C$16,$C$17,$C$18,$C$19,$C$20,$C$21,$C$22,$C$26,$C$27,AP$28,$D$16,$D$17,$D$18,$D$19,$D$20,$D$21,$D$22,$D$23,$D$24,$D$25,$D$26,$D$27,$C$8,$C$9,$C$10,$D$11,$C$12),"")</f>
        <v>-439132.3903902701</v>
      </c>
      <c r="AQ38" s="255">
        <f ca="1">IF(NOW(),_xll.mirSwapPV($C$3,$C$4,$C$6,$AA13,$C$7,$AC13,$C$16,$C$17,$C$18,$C$19,$C$20,$C$21,$C$22,$C$26,$C$27,AQ$28,$D$16,$D$17,$D$18,$D$19,$D$20,$D$21,$D$22,$D$23,$D$24,$D$25,$D$26,$D$27,$C$8,$C$9,$C$10,$D$11,$C$12),"")</f>
        <v>-585509.85385369335</v>
      </c>
      <c r="AR38" s="255">
        <f ca="1">IF(NOW(),_xll.mirSwapPV($C$3,$C$4,$C$6,$AA13,$C$7,$AC13,$C$16,$C$17,$C$18,$C$19,$C$20,$C$21,$C$22,$C$26,$C$27,AR$28,$D$16,$D$17,$D$18,$D$19,$D$20,$D$21,$D$22,$D$23,$D$24,$D$25,$D$26,$D$27,$C$8,$C$9,$C$10,$D$11,$C$12),"")</f>
        <v>-731887.31731711677</v>
      </c>
    </row>
    <row r="39" spans="6:44">
      <c r="F39" s="230"/>
      <c r="G39" s="227"/>
      <c r="H39" s="229"/>
      <c r="I39" s="229"/>
      <c r="J39" s="229"/>
      <c r="K39" s="230"/>
      <c r="L39" s="230"/>
      <c r="M39" s="224" t="s">
        <v>20</v>
      </c>
      <c r="N39" s="255">
        <f ca="1">IF(NOW(),_xll.mirSwapPV($C$3,$C$4,$C$6,$G14,$C$7,$I14,$C$16,$C$17,$C$18,$C$19,$C$20,$C$21,$C$22,$C$26,$C$27,N$28,$D$16,$D$17,$D$18,$D$19,$D$20,$D$21,$D$22,$D$23,$D$24,$D$25,$D$26,$D$27,$C$8,$C$9,$C$10,$C$11,$C$12),"")</f>
        <v>943221.6354232264</v>
      </c>
      <c r="O39" s="255">
        <f ca="1">IF(NOW(),_xll.mirSwapPV($C$3,$C$4,$C$6,$G14,$C$7,$I14,$C$16,$C$17,$C$18,$C$19,$C$20,$C$21,$C$22,$C$26,$C$27,O$28,$D$16,$D$17,$D$18,$D$19,$D$20,$D$21,$D$22,$D$23,$D$24,$D$25,$D$26,$D$27,$C$8,$C$9,$C$10,$C$11,$C$12),"")</f>
        <v>754577.30833858089</v>
      </c>
      <c r="P39" s="255">
        <f ca="1">IF(NOW(),_xll.mirSwapPV($C$3,$C$4,$C$6,$G14,$C$7,$I14,$C$16,$C$17,$C$18,$C$19,$C$20,$C$21,$C$22,$C$26,$C$27,P$28,$D$16,$D$17,$D$18,$D$19,$D$20,$D$21,$D$22,$D$23,$D$24,$D$25,$D$26,$D$27,$C$8,$C$9,$C$10,$C$11,$C$12),"")</f>
        <v>565932.98125393596</v>
      </c>
      <c r="Q39" s="255">
        <f ca="1">IF(NOW(),_xll.mirSwapPV($C$3,$C$4,$C$6,$G14,$C$7,$I14,$C$16,$C$17,$C$18,$C$19,$C$20,$C$21,$C$22,$C$26,$C$27,Q$28,$D$16,$D$17,$D$18,$D$19,$D$20,$D$21,$D$22,$D$23,$D$24,$D$25,$D$26,$D$27,$C$8,$C$9,$C$10,$C$11,$C$12),"")</f>
        <v>377288.65416929038</v>
      </c>
      <c r="R39" s="255">
        <f ca="1">IF(NOW(),_xll.mirSwapPV($C$3,$C$4,$C$6,$G14,$C$7,$I14,$C$16,$C$17,$C$18,$C$19,$C$20,$C$21,$C$22,$C$26,$C$27,R$28,$D$16,$D$17,$D$18,$D$19,$D$20,$D$21,$D$22,$D$23,$D$24,$D$25,$D$26,$D$27,$C$8,$C$9,$C$10,$C$11,$C$12),"")</f>
        <v>188644.32708464528</v>
      </c>
      <c r="S39" s="255">
        <f ca="1">IF(NOW(),_xll.mirSwapPV($C$3,$C$4,$C$6,$G14,$C$7,$I14,$C$16,$C$17,$C$18,$C$19,$C$20,$C$21,$C$22,$C$26,$C$27,S$28,$D$16,$D$17,$D$18,$D$19,$D$20,$D$21,$D$22,$D$23,$D$24,$D$25,$D$26,$D$27,$C$8,$C$9,$C$10,$C$11,$C$12),"")</f>
        <v>0</v>
      </c>
      <c r="T39" s="255">
        <f ca="1">IF(NOW(),_xll.mirSwapPV($C$3,$C$4,$C$6,$G14,$C$7,$I14,$C$16,$C$17,$C$18,$C$19,$C$20,$C$21,$C$22,$C$26,$C$27,T$28,$D$16,$D$17,$D$18,$D$19,$D$20,$D$21,$D$22,$D$23,$D$24,$D$25,$D$26,$D$27,$C$8,$C$9,$C$10,$C$11,$C$12),"")</f>
        <v>-188644.32708464528</v>
      </c>
      <c r="U39" s="255">
        <f ca="1">IF(NOW(),_xll.mirSwapPV($C$3,$C$4,$C$6,$G14,$C$7,$I14,$C$16,$C$17,$C$18,$C$19,$C$20,$C$21,$C$22,$C$26,$C$27,U$28,$D$16,$D$17,$D$18,$D$19,$D$20,$D$21,$D$22,$D$23,$D$24,$D$25,$D$26,$D$27,$C$8,$C$9,$C$10,$C$11,$C$12),"")</f>
        <v>-377288.65416929056</v>
      </c>
      <c r="V39" s="255">
        <f ca="1">IF(NOW(),_xll.mirSwapPV($C$3,$C$4,$C$6,$G14,$C$7,$I14,$C$16,$C$17,$C$18,$C$19,$C$20,$C$21,$C$22,$C$26,$C$27,V$28,$D$16,$D$17,$D$18,$D$19,$D$20,$D$21,$D$22,$D$23,$D$24,$D$25,$D$26,$D$27,$C$8,$C$9,$C$10,$C$11,$C$12),"")</f>
        <v>-565932.98125393561</v>
      </c>
      <c r="W39" s="255">
        <f ca="1">IF(NOW(),_xll.mirSwapPV($C$3,$C$4,$C$6,$G14,$C$7,$I14,$C$16,$C$17,$C$18,$C$19,$C$20,$C$21,$C$22,$C$26,$C$27,W$28,$D$16,$D$17,$D$18,$D$19,$D$20,$D$21,$D$22,$D$23,$D$24,$D$25,$D$26,$D$27,$C$8,$C$9,$C$10,$C$11,$C$12),"")</f>
        <v>-754577.308338581</v>
      </c>
      <c r="X39" s="255">
        <f ca="1">IF(NOW(),_xll.mirSwapPV($C$3,$C$4,$C$6,$G14,$C$7,$I14,$C$16,$C$17,$C$18,$C$19,$C$20,$C$21,$C$22,$C$26,$C$27,X$28,$D$16,$D$17,$D$18,$D$19,$D$20,$D$21,$D$22,$D$23,$D$24,$D$25,$D$26,$D$27,$C$8,$C$9,$C$10,$C$11,$C$12),"")</f>
        <v>-943221.63542322617</v>
      </c>
      <c r="Y39" s="229"/>
      <c r="AG39" s="224" t="s">
        <v>20</v>
      </c>
      <c r="AH39" s="255">
        <f ca="1">IF(NOW(),_xll.mirSwapPV($C$3,$C$4,$C$6,$AA14,$C$7,$AC14,$C$16,$C$17,$C$18,$C$19,$C$20,$C$21,$C$22,$C$26,$C$27,AH$28,$D$16,$D$17,$D$18,$D$19,$D$20,$D$21,$D$22,$D$23,$D$24,$D$25,$D$26,$D$27,$C$8,$C$9,$C$10,$D$11,$C$12),"")</f>
        <v>943221.63542322617</v>
      </c>
      <c r="AI39" s="255">
        <f ca="1">IF(NOW(),_xll.mirSwapPV($C$3,$C$4,$C$6,$AA14,$C$7,$AC14,$C$16,$C$17,$C$18,$C$19,$C$20,$C$21,$C$22,$C$26,$C$27,AI$28,$D$16,$D$17,$D$18,$D$19,$D$20,$D$21,$D$22,$D$23,$D$24,$D$25,$D$26,$D$27,$C$8,$C$9,$C$10,$D$11,$C$12),"")</f>
        <v>754577.30833858089</v>
      </c>
      <c r="AJ39" s="255">
        <f ca="1">IF(NOW(),_xll.mirSwapPV($C$3,$C$4,$C$6,$AA14,$C$7,$AC14,$C$16,$C$17,$C$18,$C$19,$C$20,$C$21,$C$22,$C$26,$C$27,AJ$28,$D$16,$D$17,$D$18,$D$19,$D$20,$D$21,$D$22,$D$23,$D$24,$D$25,$D$26,$D$27,$C$8,$C$9,$C$10,$D$11,$C$12),"")</f>
        <v>565932.98125393537</v>
      </c>
      <c r="AK39" s="255">
        <f ca="1">IF(NOW(),_xll.mirSwapPV($C$3,$C$4,$C$6,$AA14,$C$7,$AC14,$C$16,$C$17,$C$18,$C$19,$C$20,$C$21,$C$22,$C$26,$C$27,AK$28,$D$16,$D$17,$D$18,$D$19,$D$20,$D$21,$D$22,$D$23,$D$24,$D$25,$D$26,$D$27,$C$8,$C$9,$C$10,$D$11,$C$12),"")</f>
        <v>377288.65416929068</v>
      </c>
      <c r="AL39" s="255">
        <f ca="1">IF(NOW(),_xll.mirSwapPV($C$3,$C$4,$C$6,$AA14,$C$7,$AC14,$C$16,$C$17,$C$18,$C$19,$C$20,$C$21,$C$22,$C$26,$C$27,AL$28,$D$16,$D$17,$D$18,$D$19,$D$20,$D$21,$D$22,$D$23,$D$24,$D$25,$D$26,$D$27,$C$8,$C$9,$C$10,$D$11,$C$12),"")</f>
        <v>188644.32708464522</v>
      </c>
      <c r="AM39" s="255">
        <f ca="1">IF(NOW(),_xll.mirSwapPV($C$3,$C$4,$C$6,$AA14,$C$7,$AC14,$C$16,$C$17,$C$18,$C$19,$C$20,$C$21,$C$22,$C$26,$C$27,AM$28,$D$16,$D$17,$D$18,$D$19,$D$20,$D$21,$D$22,$D$23,$D$24,$D$25,$D$26,$D$27,$C$8,$C$9,$C$10,$D$11,$C$12),"")</f>
        <v>0</v>
      </c>
      <c r="AN39" s="255">
        <f ca="1">IF(NOW(),_xll.mirSwapPV($C$3,$C$4,$C$6,$AA14,$C$7,$AC14,$C$16,$C$17,$C$18,$C$19,$C$20,$C$21,$C$22,$C$26,$C$27,AN$28,$D$16,$D$17,$D$18,$D$19,$D$20,$D$21,$D$22,$D$23,$D$24,$D$25,$D$26,$D$27,$C$8,$C$9,$C$10,$D$11,$C$12),"")</f>
        <v>-188644.32708464522</v>
      </c>
      <c r="AO39" s="255">
        <f ca="1">IF(NOW(),_xll.mirSwapPV($C$3,$C$4,$C$6,$AA14,$C$7,$AC14,$C$16,$C$17,$C$18,$C$19,$C$20,$C$21,$C$22,$C$26,$C$27,AO$28,$D$16,$D$17,$D$18,$D$19,$D$20,$D$21,$D$22,$D$23,$D$24,$D$25,$D$26,$D$27,$C$8,$C$9,$C$10,$D$11,$C$12),"")</f>
        <v>-377288.65416929044</v>
      </c>
      <c r="AP39" s="255">
        <f ca="1">IF(NOW(),_xll.mirSwapPV($C$3,$C$4,$C$6,$AA14,$C$7,$AC14,$C$16,$C$17,$C$18,$C$19,$C$20,$C$21,$C$22,$C$26,$C$27,AP$28,$D$16,$D$17,$D$18,$D$19,$D$20,$D$21,$D$22,$D$23,$D$24,$D$25,$D$26,$D$27,$C$8,$C$9,$C$10,$D$11,$C$12),"")</f>
        <v>-565932.98125393561</v>
      </c>
      <c r="AQ39" s="255">
        <f ca="1">IF(NOW(),_xll.mirSwapPV($C$3,$C$4,$C$6,$AA14,$C$7,$AC14,$C$16,$C$17,$C$18,$C$19,$C$20,$C$21,$C$22,$C$26,$C$27,AQ$28,$D$16,$D$17,$D$18,$D$19,$D$20,$D$21,$D$22,$D$23,$D$24,$D$25,$D$26,$D$27,$C$8,$C$9,$C$10,$D$11,$C$12),"")</f>
        <v>-754577.30833858089</v>
      </c>
      <c r="AR39" s="255">
        <f ca="1">IF(NOW(),_xll.mirSwapPV($C$3,$C$4,$C$6,$AA14,$C$7,$AC14,$C$16,$C$17,$C$18,$C$19,$C$20,$C$21,$C$22,$C$26,$C$27,AR$28,$D$16,$D$17,$D$18,$D$19,$D$20,$D$21,$D$22,$D$23,$D$24,$D$25,$D$26,$D$27,$C$8,$C$9,$C$10,$D$11,$C$12),"")</f>
        <v>-943221.6354232264</v>
      </c>
    </row>
    <row r="40" spans="6:44">
      <c r="F40" s="230"/>
      <c r="G40" s="227"/>
      <c r="H40" s="229"/>
      <c r="I40" s="229"/>
      <c r="J40" s="229"/>
      <c r="K40" s="230"/>
      <c r="L40" s="230"/>
      <c r="M40" s="224" t="s">
        <v>18</v>
      </c>
      <c r="N40" s="255">
        <f ca="1">IF(NOW(),_xll.mirSwapPV($C$3,$C$4,$C$6,$G15,$C$7,$I15,$C$16,$C$17,$C$18,$C$19,$C$20,$C$21,$C$22,$C$26,$C$27,N$28,$D$16,$D$17,$D$18,$D$19,$D$20,$D$21,$D$22,$D$23,$D$24,$D$25,$D$26,$D$27,$C$8,$C$9,$C$10,$C$11,$C$12),"")</f>
        <v>1134287.781152521</v>
      </c>
      <c r="O40" s="255">
        <f ca="1">IF(NOW(),_xll.mirSwapPV($C$3,$C$4,$C$6,$G15,$C$7,$I15,$C$16,$C$17,$C$18,$C$19,$C$20,$C$21,$C$22,$C$26,$C$27,O$28,$D$16,$D$17,$D$18,$D$19,$D$20,$D$21,$D$22,$D$23,$D$24,$D$25,$D$26,$D$27,$C$8,$C$9,$C$10,$C$11,$C$12),"")</f>
        <v>907430.22492201673</v>
      </c>
      <c r="P40" s="255">
        <f ca="1">IF(NOW(),_xll.mirSwapPV($C$3,$C$4,$C$6,$G15,$C$7,$I15,$C$16,$C$17,$C$18,$C$19,$C$20,$C$21,$C$22,$C$26,$C$27,P$28,$D$16,$D$17,$D$18,$D$19,$D$20,$D$21,$D$22,$D$23,$D$24,$D$25,$D$26,$D$27,$C$8,$C$9,$C$10,$C$11,$C$12),"")</f>
        <v>680572.66869151255</v>
      </c>
      <c r="Q40" s="255">
        <f ca="1">IF(NOW(),_xll.mirSwapPV($C$3,$C$4,$C$6,$G15,$C$7,$I15,$C$16,$C$17,$C$18,$C$19,$C$20,$C$21,$C$22,$C$26,$C$27,Q$28,$D$16,$D$17,$D$18,$D$19,$D$20,$D$21,$D$22,$D$23,$D$24,$D$25,$D$26,$D$27,$C$8,$C$9,$C$10,$C$11,$C$12),"")</f>
        <v>453715.11246100807</v>
      </c>
      <c r="R40" s="255">
        <f ca="1">IF(NOW(),_xll.mirSwapPV($C$3,$C$4,$C$6,$G15,$C$7,$I15,$C$16,$C$17,$C$18,$C$19,$C$20,$C$21,$C$22,$C$26,$C$27,R$28,$D$16,$D$17,$D$18,$D$19,$D$20,$D$21,$D$22,$D$23,$D$24,$D$25,$D$26,$D$27,$C$8,$C$9,$C$10,$C$11,$C$12),"")</f>
        <v>226857.55623050412</v>
      </c>
      <c r="S40" s="255">
        <f ca="1">IF(NOW(),_xll.mirSwapPV($C$3,$C$4,$C$6,$G15,$C$7,$I15,$C$16,$C$17,$C$18,$C$19,$C$20,$C$21,$C$22,$C$26,$C$27,S$28,$D$16,$D$17,$D$18,$D$19,$D$20,$D$21,$D$22,$D$23,$D$24,$D$25,$D$26,$D$27,$C$8,$C$9,$C$10,$C$11,$C$12),"")</f>
        <v>0</v>
      </c>
      <c r="T40" s="255">
        <f ca="1">IF(NOW(),_xll.mirSwapPV($C$3,$C$4,$C$6,$G15,$C$7,$I15,$C$16,$C$17,$C$18,$C$19,$C$20,$C$21,$C$22,$C$26,$C$27,T$28,$D$16,$D$17,$D$18,$D$19,$D$20,$D$21,$D$22,$D$23,$D$24,$D$25,$D$26,$D$27,$C$8,$C$9,$C$10,$C$11,$C$12),"")</f>
        <v>-226857.55623050424</v>
      </c>
      <c r="U40" s="255">
        <f ca="1">IF(NOW(),_xll.mirSwapPV($C$3,$C$4,$C$6,$G15,$C$7,$I15,$C$16,$C$17,$C$18,$C$19,$C$20,$C$21,$C$22,$C$26,$C$27,U$28,$D$16,$D$17,$D$18,$D$19,$D$20,$D$21,$D$22,$D$23,$D$24,$D$25,$D$26,$D$27,$C$8,$C$9,$C$10,$C$11,$C$12),"")</f>
        <v>-453715.11246100836</v>
      </c>
      <c r="V40" s="255">
        <f ca="1">IF(NOW(),_xll.mirSwapPV($C$3,$C$4,$C$6,$G15,$C$7,$I15,$C$16,$C$17,$C$18,$C$19,$C$20,$C$21,$C$22,$C$26,$C$27,V$28,$D$16,$D$17,$D$18,$D$19,$D$20,$D$21,$D$22,$D$23,$D$24,$D$25,$D$26,$D$27,$C$8,$C$9,$C$10,$C$11,$C$12),"")</f>
        <v>-680572.66869151231</v>
      </c>
      <c r="W40" s="255">
        <f ca="1">IF(NOW(),_xll.mirSwapPV($C$3,$C$4,$C$6,$G15,$C$7,$I15,$C$16,$C$17,$C$18,$C$19,$C$20,$C$21,$C$22,$C$26,$C$27,W$28,$D$16,$D$17,$D$18,$D$19,$D$20,$D$21,$D$22,$D$23,$D$24,$D$25,$D$26,$D$27,$C$8,$C$9,$C$10,$C$11,$C$12),"")</f>
        <v>-907430.22492201673</v>
      </c>
      <c r="X40" s="255">
        <f ca="1">IF(NOW(),_xll.mirSwapPV($C$3,$C$4,$C$6,$G15,$C$7,$I15,$C$16,$C$17,$C$18,$C$19,$C$20,$C$21,$C$22,$C$26,$C$27,X$28,$D$16,$D$17,$D$18,$D$19,$D$20,$D$21,$D$22,$D$23,$D$24,$D$25,$D$26,$D$27,$C$8,$C$9,$C$10,$C$11,$C$12),"")</f>
        <v>-1134287.7811525206</v>
      </c>
      <c r="Y40" s="229"/>
      <c r="AG40" s="224" t="s">
        <v>18</v>
      </c>
      <c r="AH40" s="255">
        <f ca="1">IF(NOW(),_xll.mirSwapPV($C$3,$C$4,$C$6,$AA15,$C$7,$AC15,$C$16,$C$17,$C$18,$C$19,$C$20,$C$21,$C$22,$C$26,$C$27,AH$28,$D$16,$D$17,$D$18,$D$19,$D$20,$D$21,$D$22,$D$23,$D$24,$D$25,$D$26,$D$27,$C$8,$C$9,$C$10,$D$11,$C$12),"")</f>
        <v>1134287.7811525208</v>
      </c>
      <c r="AI40" s="255">
        <f ca="1">IF(NOW(),_xll.mirSwapPV($C$3,$C$4,$C$6,$AA15,$C$7,$AC15,$C$16,$C$17,$C$18,$C$19,$C$20,$C$21,$C$22,$C$26,$C$27,AI$28,$D$16,$D$17,$D$18,$D$19,$D$20,$D$21,$D$22,$D$23,$D$24,$D$25,$D$26,$D$27,$C$8,$C$9,$C$10,$D$11,$C$12),"")</f>
        <v>907430.22492201626</v>
      </c>
      <c r="AJ40" s="255">
        <f ca="1">IF(NOW(),_xll.mirSwapPV($C$3,$C$4,$C$6,$AA15,$C$7,$AC15,$C$16,$C$17,$C$18,$C$19,$C$20,$C$21,$C$22,$C$26,$C$27,AJ$28,$D$16,$D$17,$D$18,$D$19,$D$20,$D$21,$D$22,$D$23,$D$24,$D$25,$D$26,$D$27,$C$8,$C$9,$C$10,$D$11,$C$12),"")</f>
        <v>680572.66869151208</v>
      </c>
      <c r="AK40" s="255">
        <f ca="1">IF(NOW(),_xll.mirSwapPV($C$3,$C$4,$C$6,$AA15,$C$7,$AC15,$C$16,$C$17,$C$18,$C$19,$C$20,$C$21,$C$22,$C$26,$C$27,AK$28,$D$16,$D$17,$D$18,$D$19,$D$20,$D$21,$D$22,$D$23,$D$24,$D$25,$D$26,$D$27,$C$8,$C$9,$C$10,$D$11,$C$12),"")</f>
        <v>453715.11246100854</v>
      </c>
      <c r="AL40" s="255">
        <f ca="1">IF(NOW(),_xll.mirSwapPV($C$3,$C$4,$C$6,$AA15,$C$7,$AC15,$C$16,$C$17,$C$18,$C$19,$C$20,$C$21,$C$22,$C$26,$C$27,AL$28,$D$16,$D$17,$D$18,$D$19,$D$20,$D$21,$D$22,$D$23,$D$24,$D$25,$D$26,$D$27,$C$8,$C$9,$C$10,$D$11,$C$12),"")</f>
        <v>226857.55623050401</v>
      </c>
      <c r="AM40" s="255">
        <f ca="1">IF(NOW(),_xll.mirSwapPV($C$3,$C$4,$C$6,$AA15,$C$7,$AC15,$C$16,$C$17,$C$18,$C$19,$C$20,$C$21,$C$22,$C$26,$C$27,AM$28,$D$16,$D$17,$D$18,$D$19,$D$20,$D$21,$D$22,$D$23,$D$24,$D$25,$D$26,$D$27,$C$8,$C$9,$C$10,$D$11,$C$12),"")</f>
        <v>0</v>
      </c>
      <c r="AN40" s="255">
        <f ca="1">IF(NOW(),_xll.mirSwapPV($C$3,$C$4,$C$6,$AA15,$C$7,$AC15,$C$16,$C$17,$C$18,$C$19,$C$20,$C$21,$C$22,$C$26,$C$27,AN$28,$D$16,$D$17,$D$18,$D$19,$D$20,$D$21,$D$22,$D$23,$D$24,$D$25,$D$26,$D$27,$C$8,$C$9,$C$10,$D$11,$C$12),"")</f>
        <v>-226857.55623050407</v>
      </c>
      <c r="AO40" s="255">
        <f ca="1">IF(NOW(),_xll.mirSwapPV($C$3,$C$4,$C$6,$AA15,$C$7,$AC15,$C$16,$C$17,$C$18,$C$19,$C$20,$C$21,$C$22,$C$26,$C$27,AO$28,$D$16,$D$17,$D$18,$D$19,$D$20,$D$21,$D$22,$D$23,$D$24,$D$25,$D$26,$D$27,$C$8,$C$9,$C$10,$D$11,$C$12),"")</f>
        <v>-453715.11246100813</v>
      </c>
      <c r="AP40" s="255">
        <f ca="1">IF(NOW(),_xll.mirSwapPV($C$3,$C$4,$C$6,$AA15,$C$7,$AC15,$C$16,$C$17,$C$18,$C$19,$C$20,$C$21,$C$22,$C$26,$C$27,AP$28,$D$16,$D$17,$D$18,$D$19,$D$20,$D$21,$D$22,$D$23,$D$24,$D$25,$D$26,$D$27,$C$8,$C$9,$C$10,$D$11,$C$12),"")</f>
        <v>-680572.66869151231</v>
      </c>
      <c r="AQ40" s="255">
        <f ca="1">IF(NOW(),_xll.mirSwapPV($C$3,$C$4,$C$6,$AA15,$C$7,$AC15,$C$16,$C$17,$C$18,$C$19,$C$20,$C$21,$C$22,$C$26,$C$27,AQ$28,$D$16,$D$17,$D$18,$D$19,$D$20,$D$21,$D$22,$D$23,$D$24,$D$25,$D$26,$D$27,$C$8,$C$9,$C$10,$D$11,$C$12),"")</f>
        <v>-907430.22492201626</v>
      </c>
      <c r="AR40" s="255">
        <f ca="1">IF(NOW(),_xll.mirSwapPV($C$3,$C$4,$C$6,$AA15,$C$7,$AC15,$C$16,$C$17,$C$18,$C$19,$C$20,$C$21,$C$22,$C$26,$C$27,AR$28,$D$16,$D$17,$D$18,$D$19,$D$20,$D$21,$D$22,$D$23,$D$24,$D$25,$D$26,$D$27,$C$8,$C$9,$C$10,$D$11,$C$12),"")</f>
        <v>-1134287.781152521</v>
      </c>
    </row>
    <row r="41" spans="6:44">
      <c r="F41" s="230"/>
      <c r="G41" s="227"/>
      <c r="H41" s="229"/>
      <c r="I41" s="229"/>
      <c r="J41" s="229"/>
      <c r="K41" s="230"/>
      <c r="L41" s="230"/>
      <c r="M41" s="224" t="s">
        <v>17</v>
      </c>
      <c r="N41" s="255">
        <f ca="1">IF(NOW(),_xll.mirSwapPV($C$3,$C$4,$C$6,$G16,$C$7,$I16,$C$16,$C$17,$C$18,$C$19,$C$20,$C$21,$C$22,$C$26,$C$27,N$28,$D$16,$D$17,$D$18,$D$19,$D$20,$D$21,$D$22,$D$23,$D$24,$D$25,$D$26,$D$27,$C$8,$C$9,$C$10,$C$11,$C$12),"")</f>
        <v>1308557.9442296547</v>
      </c>
      <c r="O41" s="255">
        <f ca="1">IF(NOW(),_xll.mirSwapPV($C$3,$C$4,$C$6,$G16,$C$7,$I16,$C$16,$C$17,$C$18,$C$19,$C$20,$C$21,$C$22,$C$26,$C$27,O$28,$D$16,$D$17,$D$18,$D$19,$D$20,$D$21,$D$22,$D$23,$D$24,$D$25,$D$26,$D$27,$C$8,$C$9,$C$10,$C$11,$C$12),"")</f>
        <v>1046846.3553837237</v>
      </c>
      <c r="P41" s="255">
        <f ca="1">IF(NOW(),_xll.mirSwapPV($C$3,$C$4,$C$6,$G16,$C$7,$I16,$C$16,$C$17,$C$18,$C$19,$C$20,$C$21,$C$22,$C$26,$C$27,P$28,$D$16,$D$17,$D$18,$D$19,$D$20,$D$21,$D$22,$D$23,$D$24,$D$25,$D$26,$D$27,$C$8,$C$9,$C$10,$C$11,$C$12),"")</f>
        <v>785134.76653779252</v>
      </c>
      <c r="Q41" s="255">
        <f ca="1">IF(NOW(),_xll.mirSwapPV($C$3,$C$4,$C$6,$G16,$C$7,$I16,$C$16,$C$17,$C$18,$C$19,$C$20,$C$21,$C$22,$C$26,$C$27,Q$28,$D$16,$D$17,$D$18,$D$19,$D$20,$D$21,$D$22,$D$23,$D$24,$D$25,$D$26,$D$27,$C$8,$C$9,$C$10,$C$11,$C$12),"")</f>
        <v>523423.17769186164</v>
      </c>
      <c r="R41" s="255">
        <f ca="1">IF(NOW(),_xll.mirSwapPV($C$3,$C$4,$C$6,$G16,$C$7,$I16,$C$16,$C$17,$C$18,$C$19,$C$20,$C$21,$C$22,$C$26,$C$27,R$28,$D$16,$D$17,$D$18,$D$19,$D$20,$D$21,$D$22,$D$23,$D$24,$D$25,$D$26,$D$27,$C$8,$C$9,$C$10,$C$11,$C$12),"")</f>
        <v>261711.58884593076</v>
      </c>
      <c r="S41" s="255">
        <f ca="1">IF(NOW(),_xll.mirSwapPV($C$3,$C$4,$C$6,$G16,$C$7,$I16,$C$16,$C$17,$C$18,$C$19,$C$20,$C$21,$C$22,$C$26,$C$27,S$28,$D$16,$D$17,$D$18,$D$19,$D$20,$D$21,$D$22,$D$23,$D$24,$D$25,$D$26,$D$27,$C$8,$C$9,$C$10,$C$11,$C$12),"")</f>
        <v>0</v>
      </c>
      <c r="T41" s="255">
        <f ca="1">IF(NOW(),_xll.mirSwapPV($C$3,$C$4,$C$6,$G16,$C$7,$I16,$C$16,$C$17,$C$18,$C$19,$C$20,$C$21,$C$22,$C$26,$C$27,T$28,$D$16,$D$17,$D$18,$D$19,$D$20,$D$21,$D$22,$D$23,$D$24,$D$25,$D$26,$D$27,$C$8,$C$9,$C$10,$C$11,$C$12),"")</f>
        <v>-261711.58884593094</v>
      </c>
      <c r="U41" s="255">
        <f ca="1">IF(NOW(),_xll.mirSwapPV($C$3,$C$4,$C$6,$G16,$C$7,$I16,$C$16,$C$17,$C$18,$C$19,$C$20,$C$21,$C$22,$C$26,$C$27,U$28,$D$16,$D$17,$D$18,$D$19,$D$20,$D$21,$D$22,$D$23,$D$24,$D$25,$D$26,$D$27,$C$8,$C$9,$C$10,$C$11,$C$12),"")</f>
        <v>-523423.17769186187</v>
      </c>
      <c r="V41" s="255">
        <f ca="1">IF(NOW(),_xll.mirSwapPV($C$3,$C$4,$C$6,$G16,$C$7,$I16,$C$16,$C$17,$C$18,$C$19,$C$20,$C$21,$C$22,$C$26,$C$27,V$28,$D$16,$D$17,$D$18,$D$19,$D$20,$D$21,$D$22,$D$23,$D$24,$D$25,$D$26,$D$27,$C$8,$C$9,$C$10,$C$11,$C$12),"")</f>
        <v>-785134.76653779252</v>
      </c>
      <c r="W41" s="255">
        <f ca="1">IF(NOW(),_xll.mirSwapPV($C$3,$C$4,$C$6,$G16,$C$7,$I16,$C$16,$C$17,$C$18,$C$19,$C$20,$C$21,$C$22,$C$26,$C$27,W$28,$D$16,$D$17,$D$18,$D$19,$D$20,$D$21,$D$22,$D$23,$D$24,$D$25,$D$26,$D$27,$C$8,$C$9,$C$10,$C$11,$C$12),"")</f>
        <v>-1046846.3553837237</v>
      </c>
      <c r="X41" s="255">
        <f ca="1">IF(NOW(),_xll.mirSwapPV($C$3,$C$4,$C$6,$G16,$C$7,$I16,$C$16,$C$17,$C$18,$C$19,$C$20,$C$21,$C$22,$C$26,$C$27,X$28,$D$16,$D$17,$D$18,$D$19,$D$20,$D$21,$D$22,$D$23,$D$24,$D$25,$D$26,$D$27,$C$8,$C$9,$C$10,$C$11,$C$12),"")</f>
        <v>-1308557.9442296545</v>
      </c>
      <c r="Y41" s="229"/>
      <c r="AG41" s="224" t="s">
        <v>17</v>
      </c>
      <c r="AH41" s="255">
        <f ca="1">IF(NOW(),_xll.mirSwapPV($C$3,$C$4,$C$6,$AA16,$C$7,$AC16,$C$16,$C$17,$C$18,$C$19,$C$20,$C$21,$C$22,$C$26,$C$27,AH$28,$D$16,$D$17,$D$18,$D$19,$D$20,$D$21,$D$22,$D$23,$D$24,$D$25,$D$26,$D$27,$C$8,$C$9,$C$10,$D$11,$C$12),"")</f>
        <v>1308557.944229654</v>
      </c>
      <c r="AI41" s="255">
        <f ca="1">IF(NOW(),_xll.mirSwapPV($C$3,$C$4,$C$6,$AA16,$C$7,$AC16,$C$16,$C$17,$C$18,$C$19,$C$20,$C$21,$C$22,$C$26,$C$27,AI$28,$D$16,$D$17,$D$18,$D$19,$D$20,$D$21,$D$22,$D$23,$D$24,$D$25,$D$26,$D$27,$C$8,$C$9,$C$10,$D$11,$C$12),"")</f>
        <v>1046846.3553837235</v>
      </c>
      <c r="AJ41" s="255">
        <f ca="1">IF(NOW(),_xll.mirSwapPV($C$3,$C$4,$C$6,$AA16,$C$7,$AC16,$C$16,$C$17,$C$18,$C$19,$C$20,$C$21,$C$22,$C$26,$C$27,AJ$28,$D$16,$D$17,$D$18,$D$19,$D$20,$D$21,$D$22,$D$23,$D$24,$D$25,$D$26,$D$27,$C$8,$C$9,$C$10,$D$11,$C$12),"")</f>
        <v>785134.76653779217</v>
      </c>
      <c r="AK41" s="255">
        <f ca="1">IF(NOW(),_xll.mirSwapPV($C$3,$C$4,$C$6,$AA16,$C$7,$AC16,$C$16,$C$17,$C$18,$C$19,$C$20,$C$21,$C$22,$C$26,$C$27,AK$28,$D$16,$D$17,$D$18,$D$19,$D$20,$D$21,$D$22,$D$23,$D$24,$D$25,$D$26,$D$27,$C$8,$C$9,$C$10,$D$11,$C$12),"")</f>
        <v>523423.1776918621</v>
      </c>
      <c r="AL41" s="255">
        <f ca="1">IF(NOW(),_xll.mirSwapPV($C$3,$C$4,$C$6,$AA16,$C$7,$AC16,$C$16,$C$17,$C$18,$C$19,$C$20,$C$21,$C$22,$C$26,$C$27,AL$28,$D$16,$D$17,$D$18,$D$19,$D$20,$D$21,$D$22,$D$23,$D$24,$D$25,$D$26,$D$27,$C$8,$C$9,$C$10,$D$11,$C$12),"")</f>
        <v>261711.58884593076</v>
      </c>
      <c r="AM41" s="255">
        <f ca="1">IF(NOW(),_xll.mirSwapPV($C$3,$C$4,$C$6,$AA16,$C$7,$AC16,$C$16,$C$17,$C$18,$C$19,$C$20,$C$21,$C$22,$C$26,$C$27,AM$28,$D$16,$D$17,$D$18,$D$19,$D$20,$D$21,$D$22,$D$23,$D$24,$D$25,$D$26,$D$27,$C$8,$C$9,$C$10,$D$11,$C$12),"")</f>
        <v>0</v>
      </c>
      <c r="AN41" s="255">
        <f ca="1">IF(NOW(),_xll.mirSwapPV($C$3,$C$4,$C$6,$AA16,$C$7,$AC16,$C$16,$C$17,$C$18,$C$19,$C$20,$C$21,$C$22,$C$26,$C$27,AN$28,$D$16,$D$17,$D$18,$D$19,$D$20,$D$21,$D$22,$D$23,$D$24,$D$25,$D$26,$D$27,$C$8,$C$9,$C$10,$D$11,$C$12),"")</f>
        <v>-261711.58884593082</v>
      </c>
      <c r="AO41" s="255">
        <f ca="1">IF(NOW(),_xll.mirSwapPV($C$3,$C$4,$C$6,$AA16,$C$7,$AC16,$C$16,$C$17,$C$18,$C$19,$C$20,$C$21,$C$22,$C$26,$C$27,AO$28,$D$16,$D$17,$D$18,$D$19,$D$20,$D$21,$D$22,$D$23,$D$24,$D$25,$D$26,$D$27,$C$8,$C$9,$C$10,$D$11,$C$12),"")</f>
        <v>-523423.17769186164</v>
      </c>
      <c r="AP41" s="255">
        <f ca="1">IF(NOW(),_xll.mirSwapPV($C$3,$C$4,$C$6,$AA16,$C$7,$AC16,$C$16,$C$17,$C$18,$C$19,$C$20,$C$21,$C$22,$C$26,$C$27,AP$28,$D$16,$D$17,$D$18,$D$19,$D$20,$D$21,$D$22,$D$23,$D$24,$D$25,$D$26,$D$27,$C$8,$C$9,$C$10,$D$11,$C$12),"")</f>
        <v>-785134.76653779252</v>
      </c>
      <c r="AQ41" s="255">
        <f ca="1">IF(NOW(),_xll.mirSwapPV($C$3,$C$4,$C$6,$AA16,$C$7,$AC16,$C$16,$C$17,$C$18,$C$19,$C$20,$C$21,$C$22,$C$26,$C$27,AQ$28,$D$16,$D$17,$D$18,$D$19,$D$20,$D$21,$D$22,$D$23,$D$24,$D$25,$D$26,$D$27,$C$8,$C$9,$C$10,$D$11,$C$12),"")</f>
        <v>-1046846.3553837233</v>
      </c>
      <c r="AR41" s="255">
        <f ca="1">IF(NOW(),_xll.mirSwapPV($C$3,$C$4,$C$6,$AA16,$C$7,$AC16,$C$16,$C$17,$C$18,$C$19,$C$20,$C$21,$C$22,$C$26,$C$27,AR$28,$D$16,$D$17,$D$18,$D$19,$D$20,$D$21,$D$22,$D$23,$D$24,$D$25,$D$26,$D$27,$C$8,$C$9,$C$10,$D$11,$C$12),"")</f>
        <v>-1308557.9442296547</v>
      </c>
    </row>
    <row r="42" spans="6:44">
      <c r="F42" s="230"/>
      <c r="G42" s="227"/>
      <c r="H42" s="229"/>
      <c r="I42" s="229"/>
      <c r="J42" s="229"/>
      <c r="K42" s="230"/>
      <c r="L42" s="230"/>
      <c r="M42" s="224" t="s">
        <v>16</v>
      </c>
      <c r="N42" s="255">
        <f ca="1">IF(NOW(),_xll.mirSwapPV($C$3,$C$4,$C$6,$G17,$C$7,$I17,$C$16,$C$17,$C$18,$C$19,$C$20,$C$21,$C$22,$C$26,$C$27,N$28,$D$16,$D$17,$D$18,$D$19,$D$20,$D$21,$D$22,$D$23,$D$24,$D$25,$D$26,$D$27,$C$8,$C$9,$C$10,$C$11,$C$12),"")</f>
        <v>1466795.5141371223</v>
      </c>
      <c r="O42" s="255">
        <f ca="1">IF(NOW(),_xll.mirSwapPV($C$3,$C$4,$C$6,$G17,$C$7,$I17,$C$16,$C$17,$C$18,$C$19,$C$20,$C$21,$C$22,$C$26,$C$27,O$28,$D$16,$D$17,$D$18,$D$19,$D$20,$D$21,$D$22,$D$23,$D$24,$D$25,$D$26,$D$27,$C$8,$C$9,$C$10,$C$11,$C$12),"")</f>
        <v>1173436.4113096977</v>
      </c>
      <c r="P42" s="255">
        <f ca="1">IF(NOW(),_xll.mirSwapPV($C$3,$C$4,$C$6,$G17,$C$7,$I17,$C$16,$C$17,$C$18,$C$19,$C$20,$C$21,$C$22,$C$26,$C$27,P$28,$D$16,$D$17,$D$18,$D$19,$D$20,$D$21,$D$22,$D$23,$D$24,$D$25,$D$26,$D$27,$C$8,$C$9,$C$10,$C$11,$C$12),"")</f>
        <v>880077.30848227302</v>
      </c>
      <c r="Q42" s="255">
        <f ca="1">IF(NOW(),_xll.mirSwapPV($C$3,$C$4,$C$6,$G17,$C$7,$I17,$C$16,$C$17,$C$18,$C$19,$C$20,$C$21,$C$22,$C$26,$C$27,Q$28,$D$16,$D$17,$D$18,$D$19,$D$20,$D$21,$D$22,$D$23,$D$24,$D$25,$D$26,$D$27,$C$8,$C$9,$C$10,$C$11,$C$12),"")</f>
        <v>586718.20565484883</v>
      </c>
      <c r="R42" s="255">
        <f ca="1">IF(NOW(),_xll.mirSwapPV($C$3,$C$4,$C$6,$G17,$C$7,$I17,$C$16,$C$17,$C$18,$C$19,$C$20,$C$21,$C$22,$C$26,$C$27,R$28,$D$16,$D$17,$D$18,$D$19,$D$20,$D$21,$D$22,$D$23,$D$24,$D$25,$D$26,$D$27,$C$8,$C$9,$C$10,$C$11,$C$12),"")</f>
        <v>293359.10282742442</v>
      </c>
      <c r="S42" s="255">
        <f ca="1">IF(NOW(),_xll.mirSwapPV($C$3,$C$4,$C$6,$G17,$C$7,$I17,$C$16,$C$17,$C$18,$C$19,$C$20,$C$21,$C$22,$C$26,$C$27,S$28,$D$16,$D$17,$D$18,$D$19,$D$20,$D$21,$D$22,$D$23,$D$24,$D$25,$D$26,$D$27,$C$8,$C$9,$C$10,$C$11,$C$12),"")</f>
        <v>0</v>
      </c>
      <c r="T42" s="255">
        <f ca="1">IF(NOW(),_xll.mirSwapPV($C$3,$C$4,$C$6,$G17,$C$7,$I17,$C$16,$C$17,$C$18,$C$19,$C$20,$C$21,$C$22,$C$26,$C$27,T$28,$D$16,$D$17,$D$18,$D$19,$D$20,$D$21,$D$22,$D$23,$D$24,$D$25,$D$26,$D$27,$C$8,$C$9,$C$10,$C$11,$C$12),"")</f>
        <v>-293359.10282742436</v>
      </c>
      <c r="U42" s="255">
        <f ca="1">IF(NOW(),_xll.mirSwapPV($C$3,$C$4,$C$6,$G17,$C$7,$I17,$C$16,$C$17,$C$18,$C$19,$C$20,$C$21,$C$22,$C$26,$C$27,U$28,$D$16,$D$17,$D$18,$D$19,$D$20,$D$21,$D$22,$D$23,$D$24,$D$25,$D$26,$D$27,$C$8,$C$9,$C$10,$C$11,$C$12),"")</f>
        <v>-586718.20565484883</v>
      </c>
      <c r="V42" s="255">
        <f ca="1">IF(NOW(),_xll.mirSwapPV($C$3,$C$4,$C$6,$G17,$C$7,$I17,$C$16,$C$17,$C$18,$C$19,$C$20,$C$21,$C$22,$C$26,$C$27,V$28,$D$16,$D$17,$D$18,$D$19,$D$20,$D$21,$D$22,$D$23,$D$24,$D$25,$D$26,$D$27,$C$8,$C$9,$C$10,$C$11,$C$12),"")</f>
        <v>-880077.3084822729</v>
      </c>
      <c r="W42" s="255">
        <f ca="1">IF(NOW(),_xll.mirSwapPV($C$3,$C$4,$C$6,$G17,$C$7,$I17,$C$16,$C$17,$C$18,$C$19,$C$20,$C$21,$C$22,$C$26,$C$27,W$28,$D$16,$D$17,$D$18,$D$19,$D$20,$D$21,$D$22,$D$23,$D$24,$D$25,$D$26,$D$27,$C$8,$C$9,$C$10,$C$11,$C$12),"")</f>
        <v>-1173436.4113096977</v>
      </c>
      <c r="X42" s="255">
        <f ca="1">IF(NOW(),_xll.mirSwapPV($C$3,$C$4,$C$6,$G17,$C$7,$I17,$C$16,$C$17,$C$18,$C$19,$C$20,$C$21,$C$22,$C$26,$C$27,X$28,$D$16,$D$17,$D$18,$D$19,$D$20,$D$21,$D$22,$D$23,$D$24,$D$25,$D$26,$D$27,$C$8,$C$9,$C$10,$C$11,$C$12),"")</f>
        <v>-1466795.5141371218</v>
      </c>
      <c r="Y42" s="229"/>
      <c r="AG42" s="224" t="s">
        <v>16</v>
      </c>
      <c r="AH42" s="255">
        <f ca="1">IF(NOW(),_xll.mirSwapPV($C$3,$C$4,$C$6,$AA17,$C$7,$AC17,$C$16,$C$17,$C$18,$C$19,$C$20,$C$21,$C$22,$C$26,$C$27,AH$28,$D$16,$D$17,$D$18,$D$19,$D$20,$D$21,$D$22,$D$23,$D$24,$D$25,$D$26,$D$27,$C$8,$C$9,$C$10,$D$11,$C$12),"")</f>
        <v>1466795.5141371216</v>
      </c>
      <c r="AI42" s="255">
        <f ca="1">IF(NOW(),_xll.mirSwapPV($C$3,$C$4,$C$6,$AA17,$C$7,$AC17,$C$16,$C$17,$C$18,$C$19,$C$20,$C$21,$C$22,$C$26,$C$27,AI$28,$D$16,$D$17,$D$18,$D$19,$D$20,$D$21,$D$22,$D$23,$D$24,$D$25,$D$26,$D$27,$C$8,$C$9,$C$10,$D$11,$C$12),"")</f>
        <v>1173436.4113096977</v>
      </c>
      <c r="AJ42" s="255">
        <f ca="1">IF(NOW(),_xll.mirSwapPV($C$3,$C$4,$C$6,$AA17,$C$7,$AC17,$C$16,$C$17,$C$18,$C$19,$C$20,$C$21,$C$22,$C$26,$C$27,AJ$28,$D$16,$D$17,$D$18,$D$19,$D$20,$D$21,$D$22,$D$23,$D$24,$D$25,$D$26,$D$27,$C$8,$C$9,$C$10,$D$11,$C$12),"")</f>
        <v>880077.30848227267</v>
      </c>
      <c r="AK42" s="255">
        <f ca="1">IF(NOW(),_xll.mirSwapPV($C$3,$C$4,$C$6,$AA17,$C$7,$AC17,$C$16,$C$17,$C$18,$C$19,$C$20,$C$21,$C$22,$C$26,$C$27,AK$28,$D$16,$D$17,$D$18,$D$19,$D$20,$D$21,$D$22,$D$23,$D$24,$D$25,$D$26,$D$27,$C$8,$C$9,$C$10,$D$11,$C$12),"")</f>
        <v>586718.20565484872</v>
      </c>
      <c r="AL42" s="255">
        <f ca="1">IF(NOW(),_xll.mirSwapPV($C$3,$C$4,$C$6,$AA17,$C$7,$AC17,$C$16,$C$17,$C$18,$C$19,$C$20,$C$21,$C$22,$C$26,$C$27,AL$28,$D$16,$D$17,$D$18,$D$19,$D$20,$D$21,$D$22,$D$23,$D$24,$D$25,$D$26,$D$27,$C$8,$C$9,$C$10,$D$11,$C$12),"")</f>
        <v>293359.10282742418</v>
      </c>
      <c r="AM42" s="255">
        <f ca="1">IF(NOW(),_xll.mirSwapPV($C$3,$C$4,$C$6,$AA17,$C$7,$AC17,$C$16,$C$17,$C$18,$C$19,$C$20,$C$21,$C$22,$C$26,$C$27,AM$28,$D$16,$D$17,$D$18,$D$19,$D$20,$D$21,$D$22,$D$23,$D$24,$D$25,$D$26,$D$27,$C$8,$C$9,$C$10,$D$11,$C$12),"")</f>
        <v>-5.5511151231257827E-11</v>
      </c>
      <c r="AN42" s="255">
        <f ca="1">IF(NOW(),_xll.mirSwapPV($C$3,$C$4,$C$6,$AA17,$C$7,$AC17,$C$16,$C$17,$C$18,$C$19,$C$20,$C$21,$C$22,$C$26,$C$27,AN$28,$D$16,$D$17,$D$18,$D$19,$D$20,$D$21,$D$22,$D$23,$D$24,$D$25,$D$26,$D$27,$C$8,$C$9,$C$10,$D$11,$C$12),"")</f>
        <v>-293359.10282742442</v>
      </c>
      <c r="AO42" s="255">
        <f ca="1">IF(NOW(),_xll.mirSwapPV($C$3,$C$4,$C$6,$AA17,$C$7,$AC17,$C$16,$C$17,$C$18,$C$19,$C$20,$C$21,$C$22,$C$26,$C$27,AO$28,$D$16,$D$17,$D$18,$D$19,$D$20,$D$21,$D$22,$D$23,$D$24,$D$25,$D$26,$D$27,$C$8,$C$9,$C$10,$D$11,$C$12),"")</f>
        <v>-586718.20565484883</v>
      </c>
      <c r="AP42" s="255">
        <f ca="1">IF(NOW(),_xll.mirSwapPV($C$3,$C$4,$C$6,$AA17,$C$7,$AC17,$C$16,$C$17,$C$18,$C$19,$C$20,$C$21,$C$22,$C$26,$C$27,AP$28,$D$16,$D$17,$D$18,$D$19,$D$20,$D$21,$D$22,$D$23,$D$24,$D$25,$D$26,$D$27,$C$8,$C$9,$C$10,$D$11,$C$12),"")</f>
        <v>-880077.30848227313</v>
      </c>
      <c r="AQ42" s="255">
        <f ca="1">IF(NOW(),_xll.mirSwapPV($C$3,$C$4,$C$6,$AA17,$C$7,$AC17,$C$16,$C$17,$C$18,$C$19,$C$20,$C$21,$C$22,$C$26,$C$27,AQ$28,$D$16,$D$17,$D$18,$D$19,$D$20,$D$21,$D$22,$D$23,$D$24,$D$25,$D$26,$D$27,$C$8,$C$9,$C$10,$D$11,$C$12),"")</f>
        <v>-1173436.4113096972</v>
      </c>
      <c r="AR42" s="255">
        <f ca="1">IF(NOW(),_xll.mirSwapPV($C$3,$C$4,$C$6,$AA17,$C$7,$AC17,$C$16,$C$17,$C$18,$C$19,$C$20,$C$21,$C$22,$C$26,$C$27,AR$28,$D$16,$D$17,$D$18,$D$19,$D$20,$D$21,$D$22,$D$23,$D$24,$D$25,$D$26,$D$27,$C$8,$C$9,$C$10,$D$11,$C$12),"")</f>
        <v>-1466795.5141371221</v>
      </c>
    </row>
    <row r="43" spans="6:44">
      <c r="F43" s="230"/>
      <c r="G43" s="227"/>
      <c r="H43" s="229"/>
      <c r="I43" s="229"/>
      <c r="J43" s="229"/>
      <c r="K43" s="230"/>
      <c r="L43" s="230"/>
      <c r="M43" s="224" t="s">
        <v>15</v>
      </c>
      <c r="N43" s="255">
        <f ca="1">IF(NOW(),_xll.mirSwapPV($C$3,$C$4,$C$6,$G18,$C$7,$I18,$C$16,$C$17,$C$18,$C$19,$C$20,$C$21,$C$22,$C$26,$C$27,N$28,$D$16,$D$17,$D$18,$D$19,$D$20,$D$21,$D$22,$D$23,$D$24,$D$25,$D$26,$D$27,$C$8,$C$9,$C$10,$C$11,$C$12),"")</f>
        <v>1610308.3817510027</v>
      </c>
      <c r="O43" s="255">
        <f ca="1">IF(NOW(),_xll.mirSwapPV($C$3,$C$4,$C$6,$G18,$C$7,$I18,$C$16,$C$17,$C$18,$C$19,$C$20,$C$21,$C$22,$C$26,$C$27,O$28,$D$16,$D$17,$D$18,$D$19,$D$20,$D$21,$D$22,$D$23,$D$24,$D$25,$D$26,$D$27,$C$8,$C$9,$C$10,$C$11,$C$12),"")</f>
        <v>1288246.7054008022</v>
      </c>
      <c r="P43" s="255">
        <f ca="1">IF(NOW(),_xll.mirSwapPV($C$3,$C$4,$C$6,$G18,$C$7,$I18,$C$16,$C$17,$C$18,$C$19,$C$20,$C$21,$C$22,$C$26,$C$27,P$28,$D$16,$D$17,$D$18,$D$19,$D$20,$D$21,$D$22,$D$23,$D$24,$D$25,$D$26,$D$27,$C$8,$C$9,$C$10,$C$11,$C$12),"")</f>
        <v>966185.0290506013</v>
      </c>
      <c r="Q43" s="255">
        <f ca="1">IF(NOW(),_xll.mirSwapPV($C$3,$C$4,$C$6,$G18,$C$7,$I18,$C$16,$C$17,$C$18,$C$19,$C$20,$C$21,$C$22,$C$26,$C$27,Q$28,$D$16,$D$17,$D$18,$D$19,$D$20,$D$21,$D$22,$D$23,$D$24,$D$25,$D$26,$D$27,$C$8,$C$9,$C$10,$C$11,$C$12),"")</f>
        <v>644123.35270040063</v>
      </c>
      <c r="R43" s="255">
        <f ca="1">IF(NOW(),_xll.mirSwapPV($C$3,$C$4,$C$6,$G18,$C$7,$I18,$C$16,$C$17,$C$18,$C$19,$C$20,$C$21,$C$22,$C$26,$C$27,R$28,$D$16,$D$17,$D$18,$D$19,$D$20,$D$21,$D$22,$D$23,$D$24,$D$25,$D$26,$D$27,$C$8,$C$9,$C$10,$C$11,$C$12),"")</f>
        <v>322061.67635020055</v>
      </c>
      <c r="S43" s="255">
        <f ca="1">IF(NOW(),_xll.mirSwapPV($C$3,$C$4,$C$6,$G18,$C$7,$I18,$C$16,$C$17,$C$18,$C$19,$C$20,$C$21,$C$22,$C$26,$C$27,S$28,$D$16,$D$17,$D$18,$D$19,$D$20,$D$21,$D$22,$D$23,$D$24,$D$25,$D$26,$D$27,$C$8,$C$9,$C$10,$C$11,$C$12),"")</f>
        <v>0</v>
      </c>
      <c r="T43" s="255">
        <f ca="1">IF(NOW(),_xll.mirSwapPV($C$3,$C$4,$C$6,$G18,$C$7,$I18,$C$16,$C$17,$C$18,$C$19,$C$20,$C$21,$C$22,$C$26,$C$27,T$28,$D$16,$D$17,$D$18,$D$19,$D$20,$D$21,$D$22,$D$23,$D$24,$D$25,$D$26,$D$27,$C$8,$C$9,$C$10,$C$11,$C$12),"")</f>
        <v>-322061.67635020032</v>
      </c>
      <c r="U43" s="255">
        <f ca="1">IF(NOW(),_xll.mirSwapPV($C$3,$C$4,$C$6,$G18,$C$7,$I18,$C$16,$C$17,$C$18,$C$19,$C$20,$C$21,$C$22,$C$26,$C$27,U$28,$D$16,$D$17,$D$18,$D$19,$D$20,$D$21,$D$22,$D$23,$D$24,$D$25,$D$26,$D$27,$C$8,$C$9,$C$10,$C$11,$C$12),"")</f>
        <v>-644123.35270040075</v>
      </c>
      <c r="V43" s="255">
        <f ca="1">IF(NOW(),_xll.mirSwapPV($C$3,$C$4,$C$6,$G18,$C$7,$I18,$C$16,$C$17,$C$18,$C$19,$C$20,$C$21,$C$22,$C$26,$C$27,V$28,$D$16,$D$17,$D$18,$D$19,$D$20,$D$21,$D$22,$D$23,$D$24,$D$25,$D$26,$D$27,$C$8,$C$9,$C$10,$C$11,$C$12),"")</f>
        <v>-966185.02905060106</v>
      </c>
      <c r="W43" s="255">
        <f ca="1">IF(NOW(),_xll.mirSwapPV($C$3,$C$4,$C$6,$G18,$C$7,$I18,$C$16,$C$17,$C$18,$C$19,$C$20,$C$21,$C$22,$C$26,$C$27,W$28,$D$16,$D$17,$D$18,$D$19,$D$20,$D$21,$D$22,$D$23,$D$24,$D$25,$D$26,$D$27,$C$8,$C$9,$C$10,$C$11,$C$12),"")</f>
        <v>-1288246.7054008017</v>
      </c>
      <c r="X43" s="255">
        <f ca="1">IF(NOW(),_xll.mirSwapPV($C$3,$C$4,$C$6,$G18,$C$7,$I18,$C$16,$C$17,$C$18,$C$19,$C$20,$C$21,$C$22,$C$26,$C$27,X$28,$D$16,$D$17,$D$18,$D$19,$D$20,$D$21,$D$22,$D$23,$D$24,$D$25,$D$26,$D$27,$C$8,$C$9,$C$10,$C$11,$C$12),"")</f>
        <v>-1610308.3817510018</v>
      </c>
      <c r="Y43" s="229"/>
      <c r="AG43" s="224" t="s">
        <v>15</v>
      </c>
      <c r="AH43" s="255">
        <f ca="1">IF(NOW(),_xll.mirSwapPV($C$3,$C$4,$C$6,$AA18,$C$7,$AC18,$C$16,$C$17,$C$18,$C$19,$C$20,$C$21,$C$22,$C$26,$C$27,AH$28,$D$16,$D$17,$D$18,$D$19,$D$20,$D$21,$D$22,$D$23,$D$24,$D$25,$D$26,$D$27,$C$8,$C$9,$C$10,$D$11,$C$12),"")</f>
        <v>1610308.3817510023</v>
      </c>
      <c r="AI43" s="255">
        <f ca="1">IF(NOW(),_xll.mirSwapPV($C$3,$C$4,$C$6,$AA18,$C$7,$AC18,$C$16,$C$17,$C$18,$C$19,$C$20,$C$21,$C$22,$C$26,$C$27,AI$28,$D$16,$D$17,$D$18,$D$19,$D$20,$D$21,$D$22,$D$23,$D$24,$D$25,$D$26,$D$27,$C$8,$C$9,$C$10,$D$11,$C$12),"")</f>
        <v>1288246.7054008017</v>
      </c>
      <c r="AJ43" s="255">
        <f ca="1">IF(NOW(),_xll.mirSwapPV($C$3,$C$4,$C$6,$AA18,$C$7,$AC18,$C$16,$C$17,$C$18,$C$19,$C$20,$C$21,$C$22,$C$26,$C$27,AJ$28,$D$16,$D$17,$D$18,$D$19,$D$20,$D$21,$D$22,$D$23,$D$24,$D$25,$D$26,$D$27,$C$8,$C$9,$C$10,$D$11,$C$12),"")</f>
        <v>966185.02905060095</v>
      </c>
      <c r="AK43" s="255">
        <f ca="1">IF(NOW(),_xll.mirSwapPV($C$3,$C$4,$C$6,$AA18,$C$7,$AC18,$C$16,$C$17,$C$18,$C$19,$C$20,$C$21,$C$22,$C$26,$C$27,AK$28,$D$16,$D$17,$D$18,$D$19,$D$20,$D$21,$D$22,$D$23,$D$24,$D$25,$D$26,$D$27,$C$8,$C$9,$C$10,$D$11,$C$12),"")</f>
        <v>644123.35270040075</v>
      </c>
      <c r="AL43" s="255">
        <f ca="1">IF(NOW(),_xll.mirSwapPV($C$3,$C$4,$C$6,$AA18,$C$7,$AC18,$C$16,$C$17,$C$18,$C$19,$C$20,$C$21,$C$22,$C$26,$C$27,AL$28,$D$16,$D$17,$D$18,$D$19,$D$20,$D$21,$D$22,$D$23,$D$24,$D$25,$D$26,$D$27,$C$8,$C$9,$C$10,$D$11,$C$12),"")</f>
        <v>322061.6763502002</v>
      </c>
      <c r="AM43" s="255">
        <f ca="1">IF(NOW(),_xll.mirSwapPV($C$3,$C$4,$C$6,$AA18,$C$7,$AC18,$C$16,$C$17,$C$18,$C$19,$C$20,$C$21,$C$22,$C$26,$C$27,AM$28,$D$16,$D$17,$D$18,$D$19,$D$20,$D$21,$D$22,$D$23,$D$24,$D$25,$D$26,$D$27,$C$8,$C$9,$C$10,$D$11,$C$12),"")</f>
        <v>0</v>
      </c>
      <c r="AN43" s="255">
        <f ca="1">IF(NOW(),_xll.mirSwapPV($C$3,$C$4,$C$6,$AA18,$C$7,$AC18,$C$16,$C$17,$C$18,$C$19,$C$20,$C$21,$C$22,$C$26,$C$27,AN$28,$D$16,$D$17,$D$18,$D$19,$D$20,$D$21,$D$22,$D$23,$D$24,$D$25,$D$26,$D$27,$C$8,$C$9,$C$10,$D$11,$C$12),"")</f>
        <v>-322061.67635020043</v>
      </c>
      <c r="AO43" s="255">
        <f ca="1">IF(NOW(),_xll.mirSwapPV($C$3,$C$4,$C$6,$AA18,$C$7,$AC18,$C$16,$C$17,$C$18,$C$19,$C$20,$C$21,$C$22,$C$26,$C$27,AO$28,$D$16,$D$17,$D$18,$D$19,$D$20,$D$21,$D$22,$D$23,$D$24,$D$25,$D$26,$D$27,$C$8,$C$9,$C$10,$D$11,$C$12),"")</f>
        <v>-644123.35270040086</v>
      </c>
      <c r="AP43" s="255">
        <f ca="1">IF(NOW(),_xll.mirSwapPV($C$3,$C$4,$C$6,$AA18,$C$7,$AC18,$C$16,$C$17,$C$18,$C$19,$C$20,$C$21,$C$22,$C$26,$C$27,AP$28,$D$16,$D$17,$D$18,$D$19,$D$20,$D$21,$D$22,$D$23,$D$24,$D$25,$D$26,$D$27,$C$8,$C$9,$C$10,$D$11,$C$12),"")</f>
        <v>-966185.02905060118</v>
      </c>
      <c r="AQ43" s="255">
        <f ca="1">IF(NOW(),_xll.mirSwapPV($C$3,$C$4,$C$6,$AA18,$C$7,$AC18,$C$16,$C$17,$C$18,$C$19,$C$20,$C$21,$C$22,$C$26,$C$27,AQ$28,$D$16,$D$17,$D$18,$D$19,$D$20,$D$21,$D$22,$D$23,$D$24,$D$25,$D$26,$D$27,$C$8,$C$9,$C$10,$D$11,$C$12),"")</f>
        <v>-1288246.7054008015</v>
      </c>
      <c r="AR43" s="255">
        <f ca="1">IF(NOW(),_xll.mirSwapPV($C$3,$C$4,$C$6,$AA18,$C$7,$AC18,$C$16,$C$17,$C$18,$C$19,$C$20,$C$21,$C$22,$C$26,$C$27,AR$28,$D$16,$D$17,$D$18,$D$19,$D$20,$D$21,$D$22,$D$23,$D$24,$D$25,$D$26,$D$27,$C$8,$C$9,$C$10,$D$11,$C$12),"")</f>
        <v>-1610308.3817510023</v>
      </c>
    </row>
    <row r="44" spans="6:44">
      <c r="F44" s="230"/>
      <c r="G44" s="227"/>
      <c r="H44" s="229"/>
      <c r="I44" s="229"/>
      <c r="J44" s="229"/>
      <c r="K44" s="230"/>
      <c r="L44" s="230"/>
      <c r="M44" s="224"/>
      <c r="N44" s="255"/>
      <c r="O44" s="255"/>
      <c r="P44" s="255"/>
      <c r="Q44" s="255"/>
      <c r="R44" s="255"/>
      <c r="S44" s="255"/>
      <c r="T44" s="255"/>
      <c r="U44" s="255"/>
      <c r="V44" s="255"/>
      <c r="W44" s="255"/>
      <c r="X44" s="255"/>
      <c r="Y44" s="229"/>
      <c r="AG44" s="224"/>
      <c r="AH44" s="255"/>
      <c r="AI44" s="255"/>
      <c r="AJ44" s="255"/>
      <c r="AK44" s="255"/>
      <c r="AL44" s="255"/>
      <c r="AM44" s="255"/>
      <c r="AN44" s="255"/>
      <c r="AO44" s="255"/>
      <c r="AP44" s="255"/>
      <c r="AQ44" s="255"/>
      <c r="AR44" s="255"/>
    </row>
    <row r="45" spans="6:44">
      <c r="F45" s="230"/>
      <c r="G45" s="227"/>
      <c r="H45" s="229"/>
      <c r="I45" s="229"/>
      <c r="J45" s="229"/>
      <c r="K45" s="230"/>
      <c r="L45" s="230"/>
      <c r="M45" s="224"/>
      <c r="N45" s="255"/>
      <c r="O45" s="255"/>
      <c r="P45" s="255"/>
      <c r="Q45" s="255"/>
      <c r="R45" s="255"/>
      <c r="S45" s="255"/>
      <c r="T45" s="255"/>
      <c r="U45" s="255"/>
      <c r="V45" s="255"/>
      <c r="W45" s="255"/>
      <c r="X45" s="255"/>
      <c r="Y45" s="229"/>
      <c r="AG45" s="224"/>
      <c r="AH45" s="255"/>
      <c r="AI45" s="255"/>
      <c r="AJ45" s="255"/>
      <c r="AK45" s="255"/>
      <c r="AL45" s="255"/>
      <c r="AM45" s="255"/>
      <c r="AN45" s="255"/>
      <c r="AO45" s="255"/>
      <c r="AP45" s="255"/>
      <c r="AQ45" s="255"/>
      <c r="AR45" s="255"/>
    </row>
    <row r="46" spans="6:44">
      <c r="F46" s="230"/>
      <c r="G46" s="227"/>
      <c r="H46" s="229"/>
      <c r="I46" s="229"/>
      <c r="J46" s="229"/>
      <c r="K46" s="230"/>
      <c r="L46" s="230"/>
      <c r="M46" s="224"/>
      <c r="N46" s="255"/>
      <c r="O46" s="255"/>
      <c r="P46" s="255"/>
      <c r="Q46" s="255"/>
      <c r="R46" s="255"/>
      <c r="S46" s="255"/>
      <c r="T46" s="255"/>
      <c r="U46" s="255"/>
      <c r="V46" s="255"/>
      <c r="W46" s="255"/>
      <c r="X46" s="255"/>
      <c r="Y46" s="229"/>
      <c r="AG46" s="224"/>
      <c r="AH46" s="255"/>
      <c r="AI46" s="255"/>
      <c r="AJ46" s="255"/>
      <c r="AK46" s="255"/>
      <c r="AL46" s="255"/>
      <c r="AM46" s="255"/>
      <c r="AN46" s="255"/>
      <c r="AO46" s="255"/>
      <c r="AP46" s="255"/>
      <c r="AQ46" s="255"/>
      <c r="AR46" s="255"/>
    </row>
    <row r="47" spans="6:44">
      <c r="F47" s="230"/>
      <c r="G47" s="227"/>
      <c r="H47" s="229"/>
      <c r="I47" s="229"/>
      <c r="J47" s="229"/>
      <c r="K47" s="230"/>
      <c r="L47" s="230"/>
      <c r="M47" s="224"/>
      <c r="N47" s="255"/>
      <c r="O47" s="255"/>
      <c r="P47" s="255"/>
      <c r="Q47" s="255"/>
      <c r="R47" s="255"/>
      <c r="S47" s="255"/>
      <c r="T47" s="255"/>
      <c r="U47" s="255"/>
      <c r="V47" s="255"/>
      <c r="W47" s="255"/>
      <c r="X47" s="255"/>
      <c r="Y47" s="229"/>
      <c r="AG47" s="224"/>
      <c r="AH47" s="255"/>
      <c r="AI47" s="255"/>
      <c r="AJ47" s="255"/>
      <c r="AK47" s="255"/>
      <c r="AL47" s="255"/>
      <c r="AM47" s="255"/>
      <c r="AN47" s="255"/>
      <c r="AO47" s="255"/>
      <c r="AP47" s="255"/>
      <c r="AQ47" s="255"/>
      <c r="AR47" s="255"/>
    </row>
    <row r="48" spans="6:44">
      <c r="F48" s="230"/>
      <c r="G48" s="227"/>
      <c r="H48" s="229"/>
      <c r="I48" s="229"/>
      <c r="J48" s="224"/>
      <c r="K48" s="224"/>
      <c r="L48" s="224"/>
      <c r="M48" s="224"/>
      <c r="Y48" s="224"/>
    </row>
    <row r="49" spans="2:44">
      <c r="F49" s="224"/>
      <c r="G49" s="224"/>
      <c r="H49" s="224"/>
      <c r="I49" s="224"/>
      <c r="J49" s="224"/>
      <c r="K49" s="230"/>
      <c r="L49" s="230"/>
      <c r="M49" s="230"/>
      <c r="N49" s="224"/>
      <c r="O49" s="224"/>
      <c r="P49" s="224"/>
      <c r="Q49" s="224"/>
      <c r="R49" s="224"/>
      <c r="S49" s="224"/>
      <c r="T49" s="224"/>
      <c r="U49" s="224"/>
      <c r="V49" s="224"/>
      <c r="W49" s="224"/>
      <c r="X49" s="224"/>
      <c r="Y49" s="224"/>
      <c r="AD49" s="10"/>
    </row>
    <row r="50" spans="2:44">
      <c r="B50" t="s">
        <v>2</v>
      </c>
      <c r="F50" t="s">
        <v>461</v>
      </c>
      <c r="G50" s="217"/>
      <c r="J50" t="s">
        <v>463</v>
      </c>
      <c r="K50" s="259" t="b">
        <f>$C$11</f>
        <v>1</v>
      </c>
      <c r="M50" s="219" t="s">
        <v>460</v>
      </c>
      <c r="N50" s="219"/>
      <c r="O50" s="229"/>
      <c r="P50" s="252"/>
      <c r="Q50" s="252"/>
      <c r="R50" s="229"/>
      <c r="S50" s="229" t="s">
        <v>459</v>
      </c>
      <c r="T50" s="229"/>
      <c r="U50" s="229"/>
      <c r="V50" s="229"/>
      <c r="W50" t="s">
        <v>463</v>
      </c>
      <c r="X50" s="259" t="b">
        <f>$C$11</f>
        <v>1</v>
      </c>
      <c r="Z50" t="s">
        <v>461</v>
      </c>
      <c r="AA50" s="217"/>
      <c r="AD50" t="s">
        <v>463</v>
      </c>
      <c r="AE50" s="259" t="b">
        <f>$D$11</f>
        <v>0</v>
      </c>
      <c r="AG50" s="219" t="s">
        <v>460</v>
      </c>
      <c r="AH50" s="219"/>
      <c r="AI50" s="229"/>
      <c r="AJ50" s="252"/>
      <c r="AK50" s="252"/>
      <c r="AL50" s="229"/>
      <c r="AM50" s="229" t="s">
        <v>459</v>
      </c>
      <c r="AN50" s="229"/>
      <c r="AO50" s="229"/>
      <c r="AP50" s="229"/>
      <c r="AQ50" t="s">
        <v>463</v>
      </c>
      <c r="AR50" s="259" t="b">
        <f>$D$11</f>
        <v>0</v>
      </c>
    </row>
    <row r="51" spans="2:44">
      <c r="B51" s="221" t="s">
        <v>424</v>
      </c>
      <c r="C51" s="222">
        <v>1000000</v>
      </c>
      <c r="D51" s="223"/>
      <c r="F51" s="224" t="s">
        <v>76</v>
      </c>
      <c r="G51" s="224" t="s">
        <v>425</v>
      </c>
      <c r="H51" s="224" t="s">
        <v>426</v>
      </c>
      <c r="I51" s="224" t="s">
        <v>428</v>
      </c>
      <c r="J51" s="224" t="s">
        <v>465</v>
      </c>
      <c r="K51" s="224" t="s">
        <v>427</v>
      </c>
      <c r="L51" s="224"/>
      <c r="M51" s="224" t="s">
        <v>76</v>
      </c>
      <c r="N51" s="256">
        <v>-0.05</v>
      </c>
      <c r="O51" s="256">
        <f>N51+1%</f>
        <v>-0.04</v>
      </c>
      <c r="P51" s="256">
        <f t="shared" ref="P51:X51" si="9">O51+1%</f>
        <v>-0.03</v>
      </c>
      <c r="Q51" s="256">
        <f t="shared" si="9"/>
        <v>-1.9999999999999997E-2</v>
      </c>
      <c r="R51" s="256">
        <f t="shared" si="9"/>
        <v>-9.9999999999999967E-3</v>
      </c>
      <c r="S51" s="256">
        <f t="shared" si="9"/>
        <v>0</v>
      </c>
      <c r="T51" s="256">
        <f t="shared" si="9"/>
        <v>0.01</v>
      </c>
      <c r="U51" s="256">
        <f t="shared" si="9"/>
        <v>0.02</v>
      </c>
      <c r="V51" s="256">
        <f t="shared" si="9"/>
        <v>0.03</v>
      </c>
      <c r="W51" s="256">
        <f t="shared" si="9"/>
        <v>0.04</v>
      </c>
      <c r="X51" s="256">
        <f t="shared" si="9"/>
        <v>0.05</v>
      </c>
      <c r="Z51" s="224" t="s">
        <v>76</v>
      </c>
      <c r="AA51" s="224" t="s">
        <v>425</v>
      </c>
      <c r="AB51" s="224" t="s">
        <v>426</v>
      </c>
      <c r="AC51" s="224" t="s">
        <v>428</v>
      </c>
      <c r="AD51" s="224" t="s">
        <v>465</v>
      </c>
      <c r="AE51" s="224" t="s">
        <v>427</v>
      </c>
      <c r="AG51" s="224" t="s">
        <v>76</v>
      </c>
      <c r="AH51" s="256">
        <v>-0.05</v>
      </c>
      <c r="AI51" s="256">
        <f>AH51+1%</f>
        <v>-0.04</v>
      </c>
      <c r="AJ51" s="256">
        <f t="shared" ref="AJ51:AR51" si="10">AI51+1%</f>
        <v>-0.03</v>
      </c>
      <c r="AK51" s="256">
        <f t="shared" si="10"/>
        <v>-1.9999999999999997E-2</v>
      </c>
      <c r="AL51" s="256">
        <f t="shared" si="10"/>
        <v>-9.9999999999999967E-3</v>
      </c>
      <c r="AM51" s="256">
        <f t="shared" si="10"/>
        <v>0</v>
      </c>
      <c r="AN51" s="256">
        <f t="shared" si="10"/>
        <v>0.01</v>
      </c>
      <c r="AO51" s="256">
        <f t="shared" si="10"/>
        <v>0.02</v>
      </c>
      <c r="AP51" s="256">
        <f t="shared" si="10"/>
        <v>0.03</v>
      </c>
      <c r="AQ51" s="256">
        <f t="shared" si="10"/>
        <v>0.04</v>
      </c>
      <c r="AR51" s="256">
        <f t="shared" si="10"/>
        <v>0.05</v>
      </c>
    </row>
    <row r="52" spans="2:44">
      <c r="B52" s="225" t="s">
        <v>429</v>
      </c>
      <c r="C52" s="226" t="s">
        <v>473</v>
      </c>
      <c r="D52" s="223"/>
      <c r="F52" s="227" t="s">
        <v>39</v>
      </c>
      <c r="G52" s="227">
        <f>_xll.mirGetDate($C$6,F52)</f>
        <v>43296</v>
      </c>
      <c r="H52" s="260">
        <f>H4</f>
        <v>1.7625E-3</v>
      </c>
      <c r="I52" s="229">
        <f ca="1">IF(NOW(),_xll.mirGetParRate4($C$54,$G52,$C$55,$C$64,$C$65,$C$66,$C$67,$C$68,$C$69,$C$70,$C$74,$C$75,$D$64,$D$65,$D$66,$D$67,$D$68,$D$69,$D$70,$D$71,$D$72,$D$73,$D$74,$D$75,$C$56,$C$57,$C$58,$C$59,$C$60),"")</f>
        <v>2.5851154672472208E-3</v>
      </c>
      <c r="J52" s="229">
        <f t="shared" ref="J52:J70" ca="1" si="11">I52-H52</f>
        <v>8.226154672472208E-4</v>
      </c>
      <c r="K52" s="230">
        <f t="shared" ref="K52:K70" ca="1" si="12">(I52-H52)*10000</f>
        <v>8.2261546724722088</v>
      </c>
      <c r="L52" s="230" t="s">
        <v>12</v>
      </c>
      <c r="M52" s="227" t="s">
        <v>39</v>
      </c>
      <c r="N52" s="255">
        <f ca="1">IF(NOW(),_xll.mirSwapPV($C$51,$C$52,$C$54,$G52,$C$55,$I52+N$51,$C$64,$C$65,$C$66,$C$67,$C$68,$C$69,$C$70,$C$74,$C$75,$D$63,$D$64,$D$65,$D$66,$D$67,$D$68,$D$69,$D$70,$D$71,$D$72,$D$73,$D$74,$D$75,$C$56,$C$57,$C$58,$C$59,$C$60),"")</f>
        <v>-150300.80743458591</v>
      </c>
      <c r="O52" s="255">
        <f ca="1">IF(NOW(),_xll.mirSwapPV($C$51,$C$52,$C$54,$G52,$C$55,$I52+O$51,$C$64,$C$65,$C$66,$C$67,$C$68,$C$69,$C$70,$C$74,$C$75,$D$63,$D$64,$D$65,$D$66,$D$67,$D$68,$D$69,$D$70,$D$71,$D$72,$D$73,$D$74,$D$75,$C$56,$C$57,$C$58,$C$59,$C$60),"")</f>
        <v>-120240.6459476687</v>
      </c>
      <c r="P52" s="255">
        <f ca="1">IF(NOW(),_xll.mirSwapPV($C$51,$C$52,$C$54,$G52,$C$55,$I52+P$51,$C$64,$C$65,$C$66,$C$67,$C$68,$C$69,$C$70,$C$74,$C$75,$D$63,$D$64,$D$65,$D$66,$D$67,$D$68,$D$69,$D$70,$D$71,$D$72,$D$73,$D$74,$D$75,$C$56,$C$57,$C$58,$C$59,$C$60),"")</f>
        <v>-90180.484460751526</v>
      </c>
      <c r="Q52" s="255">
        <f ca="1">IF(NOW(),_xll.mirSwapPV($C$51,$C$52,$C$54,$G52,$C$55,$I52+Q$51,$C$64,$C$65,$C$66,$C$67,$C$68,$C$69,$C$70,$C$74,$C$75,$D$63,$D$64,$D$65,$D$66,$D$67,$D$68,$D$69,$D$70,$D$71,$D$72,$D$73,$D$74,$D$75,$C$56,$C$57,$C$58,$C$59,$C$60),"")</f>
        <v>-60120.322973834351</v>
      </c>
      <c r="R52" s="255">
        <f ca="1">IF(NOW(),_xll.mirSwapPV($C$51,$C$52,$C$54,$G52,$C$55,$I52+R$51,$C$64,$C$65,$C$66,$C$67,$C$68,$C$69,$C$70,$C$74,$C$75,$D$63,$D$64,$D$65,$D$66,$D$67,$D$68,$D$69,$D$70,$D$71,$D$72,$D$73,$D$74,$D$75,$C$56,$C$57,$C$58,$C$59,$C$60),"")</f>
        <v>-30060.161486917164</v>
      </c>
      <c r="S52" s="255">
        <f ca="1">IF(NOW(),_xll.mirSwapPV($C$51,$C$52,$C$54,$G52,$C$55,$I52+S$51,$C$64,$C$65,$C$66,$C$67,$C$68,$C$69,$C$70,$C$74,$C$75,$D$63,$D$64,$D$65,$D$66,$D$67,$D$68,$D$69,$D$70,$D$71,$D$72,$D$73,$D$74,$D$75,$C$56,$C$57,$C$58,$C$59,$C$60),"")</f>
        <v>0</v>
      </c>
      <c r="T52" s="255">
        <f ca="1">IF(NOW(),_xll.mirSwapPV($C$51,$C$52,$C$54,$G52,$C$55,$I52+T$51,$C$64,$C$65,$C$66,$C$67,$C$68,$C$69,$C$70,$C$74,$C$75,$D$63,$D$64,$D$65,$D$66,$D$67,$D$68,$D$69,$D$70,$D$71,$D$72,$D$73,$D$74,$D$75,$C$56,$C$57,$C$58,$C$59,$C$60),"")</f>
        <v>30060.161486917172</v>
      </c>
      <c r="U52" s="255">
        <f ca="1">IF(NOW(),_xll.mirSwapPV($C$51,$C$52,$C$54,$G52,$C$55,$I52+U$51,$C$64,$C$65,$C$66,$C$67,$C$68,$C$69,$C$70,$C$74,$C$75,$D$63,$D$64,$D$65,$D$66,$D$67,$D$68,$D$69,$D$70,$D$71,$D$72,$D$73,$D$74,$D$75,$C$56,$C$57,$C$58,$C$59,$C$60),"")</f>
        <v>60120.322973834365</v>
      </c>
      <c r="V52" s="255">
        <f ca="1">IF(NOW(),_xll.mirSwapPV($C$51,$C$52,$C$54,$G52,$C$55,$I52+V$51,$C$64,$C$65,$C$66,$C$67,$C$68,$C$69,$C$70,$C$74,$C$75,$D$63,$D$64,$D$65,$D$66,$D$67,$D$68,$D$69,$D$70,$D$71,$D$72,$D$73,$D$74,$D$75,$C$56,$C$57,$C$58,$C$59,$C$60),"")</f>
        <v>90180.484460751512</v>
      </c>
      <c r="W52" s="255">
        <f ca="1">IF(NOW(),_xll.mirSwapPV($C$51,$C$52,$C$54,$G52,$C$55,$I52+W$51,$C$64,$C$65,$C$66,$C$67,$C$68,$C$69,$C$70,$C$74,$C$75,$D$63,$D$64,$D$65,$D$66,$D$67,$D$68,$D$69,$D$70,$D$71,$D$72,$D$73,$D$74,$D$75,$C$56,$C$57,$C$58,$C$59,$C$60),"")</f>
        <v>120240.64594766869</v>
      </c>
      <c r="X52" s="255">
        <f ca="1">IF(NOW(),_xll.mirSwapPV($C$51,$C$52,$C$54,$G52,$C$55,$I52+X$51,$C$64,$C$65,$C$66,$C$67,$C$68,$C$69,$C$70,$C$74,$C$75,$D$63,$D$64,$D$65,$D$66,$D$67,$D$68,$D$69,$D$70,$D$71,$D$72,$D$73,$D$74,$D$75,$C$56,$C$57,$C$58,$C$59,$C$60),"")</f>
        <v>150300.80743458588</v>
      </c>
      <c r="Y52" s="230" t="s">
        <v>12</v>
      </c>
      <c r="Z52" s="227" t="s">
        <v>39</v>
      </c>
      <c r="AA52" s="227">
        <f>_xll.mirGetDate($C$6,Z52)</f>
        <v>43296</v>
      </c>
      <c r="AB52" s="260">
        <f>H4</f>
        <v>1.7625E-3</v>
      </c>
      <c r="AC52" s="229">
        <f ca="1">IF(NOW(),_xll.mirGetParRate4($C$54,$AA52,$C$55,$C$64,$C$65,$C$66,$C$67,$C$68,$C$69,$C$70,$C$74,$C$75,$D$64,$D$65,$D$66,$D$67,$D$68,$D$69,$D$70,$D$71,$D$72,$D$73,$D$74,$D$75,$C$56,$C$57,$C$58,$D$59,$C$60),"")</f>
        <v>2.5851154672472125E-3</v>
      </c>
      <c r="AD52" s="229">
        <f t="shared" ref="AD52:AD70" ca="1" si="13">AC52-AB52</f>
        <v>8.2261546724721256E-4</v>
      </c>
      <c r="AE52" s="230">
        <f t="shared" ref="AE52:AE70" ca="1" si="14">(AC52-AB52)*10000</f>
        <v>8.2261546724721253</v>
      </c>
      <c r="AG52" s="227" t="s">
        <v>39</v>
      </c>
      <c r="AH52" s="255">
        <f ca="1">IF(NOW(),_xll.mirSwapPV($C$51,$C$52,$C$54,$AA52,$C$55,$AC52+AH$51,$C$64,$C$65,$C$66,$C$67,$C$68,$C$69,$C$70,$C$74,$C$75,$D$63,$D$64,$D$65,$D$66,$D$67,$D$68,$D$69,$D$70,$D$71,$D$72,$D$73,$D$74,$D$75,$C$56,$C$57,$C$58,$D$59,$C$60),"")</f>
        <v>-150300.80743458588</v>
      </c>
      <c r="AI52" s="255">
        <f ca="1">IF(NOW(),_xll.mirSwapPV($C$51,$C$52,$C$54,$AA52,$C$55,$AC52+AI$51,$C$64,$C$65,$C$66,$C$67,$C$68,$C$69,$C$70,$C$74,$C$75,$D$63,$D$64,$D$65,$D$66,$D$67,$D$68,$D$69,$D$70,$D$71,$D$72,$D$73,$D$74,$D$75,$C$56,$C$57,$C$58,$D$59,$C$60),"")</f>
        <v>-120240.6459476687</v>
      </c>
      <c r="AJ52" s="255">
        <f ca="1">IF(NOW(),_xll.mirSwapPV($C$51,$C$52,$C$54,$AA52,$C$55,$AC52+AJ$51,$C$64,$C$65,$C$66,$C$67,$C$68,$C$69,$C$70,$C$74,$C$75,$D$63,$D$64,$D$65,$D$66,$D$67,$D$68,$D$69,$D$70,$D$71,$D$72,$D$73,$D$74,$D$75,$C$56,$C$57,$C$58,$D$59,$C$60),"")</f>
        <v>-90180.484460751526</v>
      </c>
      <c r="AK52" s="255">
        <f ca="1">IF(NOW(),_xll.mirSwapPV($C$51,$C$52,$C$54,$AA52,$C$55,$AC52+AK$51,$C$64,$C$65,$C$66,$C$67,$C$68,$C$69,$C$70,$C$74,$C$75,$D$63,$D$64,$D$65,$D$66,$D$67,$D$68,$D$69,$D$70,$D$71,$D$72,$D$73,$D$74,$D$75,$C$56,$C$57,$C$58,$D$59,$C$60),"")</f>
        <v>-60120.322973834343</v>
      </c>
      <c r="AL52" s="255">
        <f ca="1">IF(NOW(),_xll.mirSwapPV($C$51,$C$52,$C$54,$AA52,$C$55,$AC52+AL$51,$C$64,$C$65,$C$66,$C$67,$C$68,$C$69,$C$70,$C$74,$C$75,$D$63,$D$64,$D$65,$D$66,$D$67,$D$68,$D$69,$D$70,$D$71,$D$72,$D$73,$D$74,$D$75,$C$56,$C$57,$C$58,$D$59,$C$60),"")</f>
        <v>-30060.161486917164</v>
      </c>
      <c r="AM52" s="255">
        <f ca="1">IF(NOW(),_xll.mirSwapPV($C$51,$C$52,$C$54,$AA52,$C$55,$AC52+AM$51,$C$64,$C$65,$C$66,$C$67,$C$68,$C$69,$C$70,$C$74,$C$75,$D$63,$D$64,$D$65,$D$66,$D$67,$D$68,$D$69,$D$70,$D$71,$D$72,$D$73,$D$74,$D$75,$C$56,$C$57,$C$58,$D$59,$C$60),"")</f>
        <v>0</v>
      </c>
      <c r="AN52" s="255">
        <f ca="1">IF(NOW(),_xll.mirSwapPV($C$51,$C$52,$C$54,$AA52,$C$55,$AC52+AN$51,$C$64,$C$65,$C$66,$C$67,$C$68,$C$69,$C$70,$C$74,$C$75,$D$63,$D$64,$D$65,$D$66,$D$67,$D$68,$D$69,$D$70,$D$71,$D$72,$D$73,$D$74,$D$75,$C$56,$C$57,$C$58,$D$59,$C$60),"")</f>
        <v>30060.161486917175</v>
      </c>
      <c r="AO52" s="255">
        <f ca="1">IF(NOW(),_xll.mirSwapPV($C$51,$C$52,$C$54,$AA52,$C$55,$AC52+AO$51,$C$64,$C$65,$C$66,$C$67,$C$68,$C$69,$C$70,$C$74,$C$75,$D$63,$D$64,$D$65,$D$66,$D$67,$D$68,$D$69,$D$70,$D$71,$D$72,$D$73,$D$74,$D$75,$C$56,$C$57,$C$58,$D$59,$C$60),"")</f>
        <v>60120.322973834343</v>
      </c>
      <c r="AP52" s="255">
        <f ca="1">IF(NOW(),_xll.mirSwapPV($C$51,$C$52,$C$54,$AA52,$C$55,$AC52+AP$51,$C$64,$C$65,$C$66,$C$67,$C$68,$C$69,$C$70,$C$74,$C$75,$D$63,$D$64,$D$65,$D$66,$D$67,$D$68,$D$69,$D$70,$D$71,$D$72,$D$73,$D$74,$D$75,$C$56,$C$57,$C$58,$D$59,$C$60),"")</f>
        <v>90180.484460751526</v>
      </c>
      <c r="AQ52" s="255">
        <f ca="1">IF(NOW(),_xll.mirSwapPV($C$51,$C$52,$C$54,$AA52,$C$55,$AC52+AQ$51,$C$64,$C$65,$C$66,$C$67,$C$68,$C$69,$C$70,$C$74,$C$75,$D$63,$D$64,$D$65,$D$66,$D$67,$D$68,$D$69,$D$70,$D$71,$D$72,$D$73,$D$74,$D$75,$C$56,$C$57,$C$58,$D$59,$C$60),"")</f>
        <v>120240.6459476687</v>
      </c>
      <c r="AR52" s="255">
        <f ca="1">IF(NOW(),_xll.mirSwapPV($C$51,$C$52,$C$54,$AA52,$C$55,$AC52+AR$51,$C$64,$C$65,$C$66,$C$67,$C$68,$C$69,$C$70,$C$74,$C$75,$D$63,$D$64,$D$65,$D$66,$D$67,$D$68,$D$69,$D$70,$D$71,$D$72,$D$73,$D$74,$D$75,$C$56,$C$57,$C$58,$D$59,$C$60),"")</f>
        <v>150300.80743458588</v>
      </c>
    </row>
    <row r="53" spans="2:44">
      <c r="B53" s="231"/>
      <c r="C53" s="231"/>
      <c r="D53" s="232"/>
      <c r="F53" s="224" t="s">
        <v>35</v>
      </c>
      <c r="G53" s="227">
        <f>_xll.mirGetDate($C$6,F53)</f>
        <v>43661</v>
      </c>
      <c r="H53" s="260">
        <f t="shared" ref="H53:H70" si="15">H5</f>
        <v>2.225E-3</v>
      </c>
      <c r="I53" s="229">
        <f ca="1">IF(NOW(),_xll.mirGetParRate4($C$54,$G53,$C$55,$C$64,$C$65,$C$66,$C$67,$C$68,$C$69,$C$70,$C$74,$C$75,$D$64,$D$65,$D$66,$D$67,$D$68,$D$69,$D$70,$D$71,$D$72,$D$73,$D$74,$D$75,$C$56,$C$57,$C$58,$C$59,$C$60),"")</f>
        <v>4.0291232389887089E-3</v>
      </c>
      <c r="J53" s="229">
        <f t="shared" ca="1" si="11"/>
        <v>1.804123238988709E-3</v>
      </c>
      <c r="K53" s="230">
        <f t="shared" ca="1" si="12"/>
        <v>18.041232389887089</v>
      </c>
      <c r="L53" s="230" t="s">
        <v>12</v>
      </c>
      <c r="M53" s="224" t="s">
        <v>35</v>
      </c>
      <c r="N53" s="255">
        <f ca="1">IF(NOW(),_xll.mirSwapPV($C$51,$C$52,$C$54,$G53,$C$55,$I53+N$51,$C$64,$C$65,$C$66,$C$67,$C$68,$C$69,$C$70,$C$74,$C$75,$D$63,$D$64,$D$65,$D$66,$D$67,$D$68,$D$69,$D$70,$D$71,$D$72,$D$73,$D$74,$D$75,$C$56,$C$57,$C$58,$C$59,$C$60),"")</f>
        <v>-199873.1557084099</v>
      </c>
      <c r="O53" s="255">
        <f ca="1">IF(NOW(),_xll.mirSwapPV($C$51,$C$52,$C$54,$G53,$C$55,$I53+O$51,$C$64,$C$65,$C$66,$C$67,$C$68,$C$69,$C$70,$C$74,$C$75,$D$63,$D$64,$D$65,$D$66,$D$67,$D$68,$D$69,$D$70,$D$71,$D$72,$D$73,$D$74,$D$75,$C$56,$C$57,$C$58,$C$59,$C$60),"")</f>
        <v>-159898.52456672792</v>
      </c>
      <c r="P53" s="255">
        <f ca="1">IF(NOW(),_xll.mirSwapPV($C$51,$C$52,$C$54,$G53,$C$55,$I53+P$51,$C$64,$C$65,$C$66,$C$67,$C$68,$C$69,$C$70,$C$74,$C$75,$D$63,$D$64,$D$65,$D$66,$D$67,$D$68,$D$69,$D$70,$D$71,$D$72,$D$73,$D$74,$D$75,$C$56,$C$57,$C$58,$C$59,$C$60),"")</f>
        <v>-119923.89342504591</v>
      </c>
      <c r="Q53" s="255">
        <f ca="1">IF(NOW(),_xll.mirSwapPV($C$51,$C$52,$C$54,$G53,$C$55,$I53+Q$51,$C$64,$C$65,$C$66,$C$67,$C$68,$C$69,$C$70,$C$74,$C$75,$D$63,$D$64,$D$65,$D$66,$D$67,$D$68,$D$69,$D$70,$D$71,$D$72,$D$73,$D$74,$D$75,$C$56,$C$57,$C$58,$C$59,$C$60),"")</f>
        <v>-79949.262283363933</v>
      </c>
      <c r="R53" s="255">
        <f ca="1">IF(NOW(),_xll.mirSwapPV($C$51,$C$52,$C$54,$G53,$C$55,$I53+R$51,$C$64,$C$65,$C$66,$C$67,$C$68,$C$69,$C$70,$C$74,$C$75,$D$63,$D$64,$D$65,$D$66,$D$67,$D$68,$D$69,$D$70,$D$71,$D$72,$D$73,$D$74,$D$75,$C$56,$C$57,$C$58,$C$59,$C$60),"")</f>
        <v>-39974.631141681966</v>
      </c>
      <c r="S53" s="255">
        <f ca="1">IF(NOW(),_xll.mirSwapPV($C$51,$C$52,$C$54,$G53,$C$55,$I53+S$51,$C$64,$C$65,$C$66,$C$67,$C$68,$C$69,$C$70,$C$74,$C$75,$D$63,$D$64,$D$65,$D$66,$D$67,$D$68,$D$69,$D$70,$D$71,$D$72,$D$73,$D$74,$D$75,$C$56,$C$57,$C$58,$C$59,$C$60),"")</f>
        <v>0</v>
      </c>
      <c r="T53" s="255">
        <f ca="1">IF(NOW(),_xll.mirSwapPV($C$51,$C$52,$C$54,$G53,$C$55,$I53+T$51,$C$64,$C$65,$C$66,$C$67,$C$68,$C$69,$C$70,$C$74,$C$75,$D$63,$D$64,$D$65,$D$66,$D$67,$D$68,$D$69,$D$70,$D$71,$D$72,$D$73,$D$74,$D$75,$C$56,$C$57,$C$58,$C$59,$C$60),"")</f>
        <v>39974.631141681966</v>
      </c>
      <c r="U53" s="255">
        <f ca="1">IF(NOW(),_xll.mirSwapPV($C$51,$C$52,$C$54,$G53,$C$55,$I53+U$51,$C$64,$C$65,$C$66,$C$67,$C$68,$C$69,$C$70,$C$74,$C$75,$D$63,$D$64,$D$65,$D$66,$D$67,$D$68,$D$69,$D$70,$D$71,$D$72,$D$73,$D$74,$D$75,$C$56,$C$57,$C$58,$C$59,$C$60),"")</f>
        <v>79949.262283363962</v>
      </c>
      <c r="V53" s="255">
        <f ca="1">IF(NOW(),_xll.mirSwapPV($C$51,$C$52,$C$54,$G53,$C$55,$I53+V$51,$C$64,$C$65,$C$66,$C$67,$C$68,$C$69,$C$70,$C$74,$C$75,$D$63,$D$64,$D$65,$D$66,$D$67,$D$68,$D$69,$D$70,$D$71,$D$72,$D$73,$D$74,$D$75,$C$56,$C$57,$C$58,$C$59,$C$60),"")</f>
        <v>119923.89342504591</v>
      </c>
      <c r="W53" s="255">
        <f ca="1">IF(NOW(),_xll.mirSwapPV($C$51,$C$52,$C$54,$G53,$C$55,$I53+W$51,$C$64,$C$65,$C$66,$C$67,$C$68,$C$69,$C$70,$C$74,$C$75,$D$63,$D$64,$D$65,$D$66,$D$67,$D$68,$D$69,$D$70,$D$71,$D$72,$D$73,$D$74,$D$75,$C$56,$C$57,$C$58,$C$59,$C$60),"")</f>
        <v>159898.52456672789</v>
      </c>
      <c r="X53" s="255">
        <f ca="1">IF(NOW(),_xll.mirSwapPV($C$51,$C$52,$C$54,$G53,$C$55,$I53+X$51,$C$64,$C$65,$C$66,$C$67,$C$68,$C$69,$C$70,$C$74,$C$75,$D$63,$D$64,$D$65,$D$66,$D$67,$D$68,$D$69,$D$70,$D$71,$D$72,$D$73,$D$74,$D$75,$C$56,$C$57,$C$58,$C$59,$C$60),"")</f>
        <v>199873.15570840987</v>
      </c>
      <c r="Y53" s="230" t="s">
        <v>12</v>
      </c>
      <c r="Z53" s="224" t="s">
        <v>35</v>
      </c>
      <c r="AA53" s="227">
        <f>_xll.mirGetDate($C$6,Z53)</f>
        <v>43661</v>
      </c>
      <c r="AB53" s="260">
        <f t="shared" ref="AB53:AB70" si="16">H5</f>
        <v>2.225E-3</v>
      </c>
      <c r="AC53" s="229">
        <f ca="1">IF(NOW(),_xll.mirGetParRate4($C$54,$AA53,$C$55,$C$64,$C$65,$C$66,$C$67,$C$68,$C$69,$C$70,$C$74,$C$75,$D$64,$D$65,$D$66,$D$67,$D$68,$D$69,$D$70,$D$71,$D$72,$D$73,$D$74,$D$75,$C$56,$C$57,$C$58,$D$59,$C$60),"")</f>
        <v>4.0291232389887272E-3</v>
      </c>
      <c r="AD53" s="229">
        <f t="shared" ca="1" si="13"/>
        <v>1.8041232389887272E-3</v>
      </c>
      <c r="AE53" s="230">
        <f t="shared" ca="1" si="14"/>
        <v>18.04123238988727</v>
      </c>
      <c r="AG53" s="224" t="s">
        <v>35</v>
      </c>
      <c r="AH53" s="255">
        <f ca="1">IF(NOW(),_xll.mirSwapPV($C$51,$C$52,$C$54,$AA53,$C$55,$AC53+AH$51,$C$64,$C$65,$C$66,$C$67,$C$68,$C$69,$C$70,$C$74,$C$75,$D$63,$D$64,$D$65,$D$66,$D$67,$D$68,$D$69,$D$70,$D$71,$D$72,$D$73,$D$74,$D$75,$C$56,$C$57,$C$58,$D$59,$C$60),"")</f>
        <v>-199873.1557084099</v>
      </c>
      <c r="AI53" s="255">
        <f ca="1">IF(NOW(),_xll.mirSwapPV($C$51,$C$52,$C$54,$AA53,$C$55,$AC53+AI$51,$C$64,$C$65,$C$66,$C$67,$C$68,$C$69,$C$70,$C$74,$C$75,$D$63,$D$64,$D$65,$D$66,$D$67,$D$68,$D$69,$D$70,$D$71,$D$72,$D$73,$D$74,$D$75,$C$56,$C$57,$C$58,$D$59,$C$60),"")</f>
        <v>-159898.52456672792</v>
      </c>
      <c r="AJ53" s="255">
        <f ca="1">IF(NOW(),_xll.mirSwapPV($C$51,$C$52,$C$54,$AA53,$C$55,$AC53+AJ$51,$C$64,$C$65,$C$66,$C$67,$C$68,$C$69,$C$70,$C$74,$C$75,$D$63,$D$64,$D$65,$D$66,$D$67,$D$68,$D$69,$D$70,$D$71,$D$72,$D$73,$D$74,$D$75,$C$56,$C$57,$C$58,$D$59,$C$60),"")</f>
        <v>-119923.89342504591</v>
      </c>
      <c r="AK53" s="255">
        <f ca="1">IF(NOW(),_xll.mirSwapPV($C$51,$C$52,$C$54,$AA53,$C$55,$AC53+AK$51,$C$64,$C$65,$C$66,$C$67,$C$68,$C$69,$C$70,$C$74,$C$75,$D$63,$D$64,$D$65,$D$66,$D$67,$D$68,$D$69,$D$70,$D$71,$D$72,$D$73,$D$74,$D$75,$C$56,$C$57,$C$58,$D$59,$C$60),"")</f>
        <v>-79949.262283363933</v>
      </c>
      <c r="AL53" s="255">
        <f ca="1">IF(NOW(),_xll.mirSwapPV($C$51,$C$52,$C$54,$AA53,$C$55,$AC53+AL$51,$C$64,$C$65,$C$66,$C$67,$C$68,$C$69,$C$70,$C$74,$C$75,$D$63,$D$64,$D$65,$D$66,$D$67,$D$68,$D$69,$D$70,$D$71,$D$72,$D$73,$D$74,$D$75,$C$56,$C$57,$C$58,$D$59,$C$60),"")</f>
        <v>-39974.631141681966</v>
      </c>
      <c r="AM53" s="255">
        <f ca="1">IF(NOW(),_xll.mirSwapPV($C$51,$C$52,$C$54,$AA53,$C$55,$AC53+AM$51,$C$64,$C$65,$C$66,$C$67,$C$68,$C$69,$C$70,$C$74,$C$75,$D$63,$D$64,$D$65,$D$66,$D$67,$D$68,$D$69,$D$70,$D$71,$D$72,$D$73,$D$74,$D$75,$C$56,$C$57,$C$58,$D$59,$C$60),"")</f>
        <v>0</v>
      </c>
      <c r="AN53" s="255">
        <f ca="1">IF(NOW(),_xll.mirSwapPV($C$51,$C$52,$C$54,$AA53,$C$55,$AC53+AN$51,$C$64,$C$65,$C$66,$C$67,$C$68,$C$69,$C$70,$C$74,$C$75,$D$63,$D$64,$D$65,$D$66,$D$67,$D$68,$D$69,$D$70,$D$71,$D$72,$D$73,$D$74,$D$75,$C$56,$C$57,$C$58,$D$59,$C$60),"")</f>
        <v>39974.631141681974</v>
      </c>
      <c r="AO53" s="255">
        <f ca="1">IF(NOW(),_xll.mirSwapPV($C$51,$C$52,$C$54,$AA53,$C$55,$AC53+AO$51,$C$64,$C$65,$C$66,$C$67,$C$68,$C$69,$C$70,$C$74,$C$75,$D$63,$D$64,$D$65,$D$66,$D$67,$D$68,$D$69,$D$70,$D$71,$D$72,$D$73,$D$74,$D$75,$C$56,$C$57,$C$58,$D$59,$C$60),"")</f>
        <v>79949.262283363962</v>
      </c>
      <c r="AP53" s="255">
        <f ca="1">IF(NOW(),_xll.mirSwapPV($C$51,$C$52,$C$54,$AA53,$C$55,$AC53+AP$51,$C$64,$C$65,$C$66,$C$67,$C$68,$C$69,$C$70,$C$74,$C$75,$D$63,$D$64,$D$65,$D$66,$D$67,$D$68,$D$69,$D$70,$D$71,$D$72,$D$73,$D$74,$D$75,$C$56,$C$57,$C$58,$D$59,$C$60),"")</f>
        <v>119923.89342504591</v>
      </c>
      <c r="AQ53" s="255">
        <f ca="1">IF(NOW(),_xll.mirSwapPV($C$51,$C$52,$C$54,$AA53,$C$55,$AC53+AQ$51,$C$64,$C$65,$C$66,$C$67,$C$68,$C$69,$C$70,$C$74,$C$75,$D$63,$D$64,$D$65,$D$66,$D$67,$D$68,$D$69,$D$70,$D$71,$D$72,$D$73,$D$74,$D$75,$C$56,$C$57,$C$58,$D$59,$C$60),"")</f>
        <v>159898.52456672789</v>
      </c>
      <c r="AR53" s="255">
        <f ca="1">IF(NOW(),_xll.mirSwapPV($C$51,$C$52,$C$54,$AA53,$C$55,$AC53+AR$51,$C$64,$C$65,$C$66,$C$67,$C$68,$C$69,$C$70,$C$74,$C$75,$D$63,$D$64,$D$65,$D$66,$D$67,$D$68,$D$69,$D$70,$D$71,$D$72,$D$73,$D$74,$D$75,$C$56,$C$57,$C$58,$D$59,$C$60),"")</f>
        <v>199873.15570840987</v>
      </c>
    </row>
    <row r="54" spans="2:44">
      <c r="B54" s="221" t="s">
        <v>431</v>
      </c>
      <c r="C54" s="233">
        <v>42200</v>
      </c>
      <c r="D54" s="233"/>
      <c r="F54" s="224" t="s">
        <v>33</v>
      </c>
      <c r="G54" s="227">
        <f>_xll.mirGetDate($C$6,F54)</f>
        <v>44027</v>
      </c>
      <c r="H54" s="260">
        <f t="shared" si="15"/>
        <v>2.8249999999999998E-3</v>
      </c>
      <c r="I54" s="229">
        <f ca="1">IF(NOW(),_xll.mirGetParRate4($C$54,$G54,$C$55,$C$64,$C$65,$C$66,$C$67,$C$68,$C$69,$C$70,$C$74,$C$75,$D$64,$D$65,$D$66,$D$67,$D$68,$D$69,$D$70,$D$71,$D$72,$D$73,$D$74,$D$75,$C$56,$C$57,$C$58,$C$59,$C$60),"")</f>
        <v>5.6985579472232798E-3</v>
      </c>
      <c r="J54" s="229">
        <f t="shared" ca="1" si="11"/>
        <v>2.87355794722328E-3</v>
      </c>
      <c r="K54" s="230">
        <f t="shared" ca="1" si="12"/>
        <v>28.7355794722328</v>
      </c>
      <c r="L54" s="230" t="s">
        <v>12</v>
      </c>
      <c r="M54" s="224" t="s">
        <v>33</v>
      </c>
      <c r="N54" s="255">
        <f ca="1">IF(NOW(),_xll.mirSwapPV($C$51,$C$52,$C$54,$G54,$C$55,$I54+N$51,$C$64,$C$65,$C$66,$C$67,$C$68,$C$69,$C$70,$C$74,$C$75,$D$63,$D$64,$D$65,$D$66,$D$67,$D$68,$D$69,$D$70,$D$71,$D$72,$D$73,$D$74,$D$75,$C$56,$C$57,$C$58,$C$59,$C$60),"")</f>
        <v>-249096.03223594063</v>
      </c>
      <c r="O54" s="255">
        <f ca="1">IF(NOW(),_xll.mirSwapPV($C$51,$C$52,$C$54,$G54,$C$55,$I54+O$51,$C$64,$C$65,$C$66,$C$67,$C$68,$C$69,$C$70,$C$74,$C$75,$D$63,$D$64,$D$65,$D$66,$D$67,$D$68,$D$69,$D$70,$D$71,$D$72,$D$73,$D$74,$D$75,$C$56,$C$57,$C$58,$C$59,$C$60),"")</f>
        <v>-199276.8257887525</v>
      </c>
      <c r="P54" s="255">
        <f ca="1">IF(NOW(),_xll.mirSwapPV($C$51,$C$52,$C$54,$G54,$C$55,$I54+P$51,$C$64,$C$65,$C$66,$C$67,$C$68,$C$69,$C$70,$C$74,$C$75,$D$63,$D$64,$D$65,$D$66,$D$67,$D$68,$D$69,$D$70,$D$71,$D$72,$D$73,$D$74,$D$75,$C$56,$C$57,$C$58,$C$59,$C$60),"")</f>
        <v>-149457.61934156436</v>
      </c>
      <c r="Q54" s="255">
        <f ca="1">IF(NOW(),_xll.mirSwapPV($C$51,$C$52,$C$54,$G54,$C$55,$I54+Q$51,$C$64,$C$65,$C$66,$C$67,$C$68,$C$69,$C$70,$C$74,$C$75,$D$63,$D$64,$D$65,$D$66,$D$67,$D$68,$D$69,$D$70,$D$71,$D$72,$D$73,$D$74,$D$75,$C$56,$C$57,$C$58,$C$59,$C$60),"")</f>
        <v>-99638.412894376219</v>
      </c>
      <c r="R54" s="255">
        <f ca="1">IF(NOW(),_xll.mirSwapPV($C$51,$C$52,$C$54,$G54,$C$55,$I54+R$51,$C$64,$C$65,$C$66,$C$67,$C$68,$C$69,$C$70,$C$74,$C$75,$D$63,$D$64,$D$65,$D$66,$D$67,$D$68,$D$69,$D$70,$D$71,$D$72,$D$73,$D$74,$D$75,$C$56,$C$57,$C$58,$C$59,$C$60),"")</f>
        <v>-49819.206447188109</v>
      </c>
      <c r="S54" s="255">
        <f ca="1">IF(NOW(),_xll.mirSwapPV($C$51,$C$52,$C$54,$G54,$C$55,$I54+S$51,$C$64,$C$65,$C$66,$C$67,$C$68,$C$69,$C$70,$C$74,$C$75,$D$63,$D$64,$D$65,$D$66,$D$67,$D$68,$D$69,$D$70,$D$71,$D$72,$D$73,$D$74,$D$75,$C$56,$C$57,$C$58,$C$59,$C$60),"")</f>
        <v>0</v>
      </c>
      <c r="T54" s="255">
        <f ca="1">IF(NOW(),_xll.mirSwapPV($C$51,$C$52,$C$54,$G54,$C$55,$I54+T$51,$C$64,$C$65,$C$66,$C$67,$C$68,$C$69,$C$70,$C$74,$C$75,$D$63,$D$64,$D$65,$D$66,$D$67,$D$68,$D$69,$D$70,$D$71,$D$72,$D$73,$D$74,$D$75,$C$56,$C$57,$C$58,$C$59,$C$60),"")</f>
        <v>49819.206447188131</v>
      </c>
      <c r="U54" s="255">
        <f ca="1">IF(NOW(),_xll.mirSwapPV($C$51,$C$52,$C$54,$G54,$C$55,$I54+U$51,$C$64,$C$65,$C$66,$C$67,$C$68,$C$69,$C$70,$C$74,$C$75,$D$63,$D$64,$D$65,$D$66,$D$67,$D$68,$D$69,$D$70,$D$71,$D$72,$D$73,$D$74,$D$75,$C$56,$C$57,$C$58,$C$59,$C$60),"")</f>
        <v>99638.412894376248</v>
      </c>
      <c r="V54" s="255">
        <f ca="1">IF(NOW(),_xll.mirSwapPV($C$51,$C$52,$C$54,$G54,$C$55,$I54+V$51,$C$64,$C$65,$C$66,$C$67,$C$68,$C$69,$C$70,$C$74,$C$75,$D$63,$D$64,$D$65,$D$66,$D$67,$D$68,$D$69,$D$70,$D$71,$D$72,$D$73,$D$74,$D$75,$C$56,$C$57,$C$58,$C$59,$C$60),"")</f>
        <v>149457.61934156436</v>
      </c>
      <c r="W54" s="255">
        <f ca="1">IF(NOW(),_xll.mirSwapPV($C$51,$C$52,$C$54,$G54,$C$55,$I54+W$51,$C$64,$C$65,$C$66,$C$67,$C$68,$C$69,$C$70,$C$74,$C$75,$D$63,$D$64,$D$65,$D$66,$D$67,$D$68,$D$69,$D$70,$D$71,$D$72,$D$73,$D$74,$D$75,$C$56,$C$57,$C$58,$C$59,$C$60),"")</f>
        <v>199276.8257887525</v>
      </c>
      <c r="X54" s="255">
        <f ca="1">IF(NOW(),_xll.mirSwapPV($C$51,$C$52,$C$54,$G54,$C$55,$I54+X$51,$C$64,$C$65,$C$66,$C$67,$C$68,$C$69,$C$70,$C$74,$C$75,$D$63,$D$64,$D$65,$D$66,$D$67,$D$68,$D$69,$D$70,$D$71,$D$72,$D$73,$D$74,$D$75,$C$56,$C$57,$C$58,$C$59,$C$60),"")</f>
        <v>249096.03223594066</v>
      </c>
      <c r="Y54" s="230" t="s">
        <v>12</v>
      </c>
      <c r="Z54" s="224" t="s">
        <v>33</v>
      </c>
      <c r="AA54" s="227">
        <f>_xll.mirGetDate($C$6,Z54)</f>
        <v>44027</v>
      </c>
      <c r="AB54" s="260">
        <f t="shared" si="16"/>
        <v>2.8249999999999998E-3</v>
      </c>
      <c r="AC54" s="229">
        <f ca="1">IF(NOW(),_xll.mirGetParRate4($C$54,$AA54,$C$55,$C$64,$C$65,$C$66,$C$67,$C$68,$C$69,$C$70,$C$74,$C$75,$D$64,$D$65,$D$66,$D$67,$D$68,$D$69,$D$70,$D$71,$D$72,$D$73,$D$74,$D$75,$C$56,$C$57,$C$58,$D$59,$C$60),"")</f>
        <v>5.6985579472232815E-3</v>
      </c>
      <c r="AD54" s="229">
        <f t="shared" ca="1" si="13"/>
        <v>2.8735579472232817E-3</v>
      </c>
      <c r="AE54" s="230">
        <f t="shared" ca="1" si="14"/>
        <v>28.735579472232818</v>
      </c>
      <c r="AG54" s="224" t="s">
        <v>33</v>
      </c>
      <c r="AH54" s="255">
        <f ca="1">IF(NOW(),_xll.mirSwapPV($C$51,$C$52,$C$54,$AA54,$C$55,$AC54+AH$51,$C$64,$C$65,$C$66,$C$67,$C$68,$C$69,$C$70,$C$74,$C$75,$D$63,$D$64,$D$65,$D$66,$D$67,$D$68,$D$69,$D$70,$D$71,$D$72,$D$73,$D$74,$D$75,$C$56,$C$57,$C$58,$D$59,$C$60),"")</f>
        <v>-249096.03223594066</v>
      </c>
      <c r="AI54" s="255">
        <f ca="1">IF(NOW(),_xll.mirSwapPV($C$51,$C$52,$C$54,$AA54,$C$55,$AC54+AI$51,$C$64,$C$65,$C$66,$C$67,$C$68,$C$69,$C$70,$C$74,$C$75,$D$63,$D$64,$D$65,$D$66,$D$67,$D$68,$D$69,$D$70,$D$71,$D$72,$D$73,$D$74,$D$75,$C$56,$C$57,$C$58,$D$59,$C$60),"")</f>
        <v>-199276.82578875253</v>
      </c>
      <c r="AJ54" s="255">
        <f ca="1">IF(NOW(),_xll.mirSwapPV($C$51,$C$52,$C$54,$AA54,$C$55,$AC54+AJ$51,$C$64,$C$65,$C$66,$C$67,$C$68,$C$69,$C$70,$C$74,$C$75,$D$63,$D$64,$D$65,$D$66,$D$67,$D$68,$D$69,$D$70,$D$71,$D$72,$D$73,$D$74,$D$75,$C$56,$C$57,$C$58,$D$59,$C$60),"")</f>
        <v>-149457.61934156436</v>
      </c>
      <c r="AK54" s="255">
        <f ca="1">IF(NOW(),_xll.mirSwapPV($C$51,$C$52,$C$54,$AA54,$C$55,$AC54+AK$51,$C$64,$C$65,$C$66,$C$67,$C$68,$C$69,$C$70,$C$74,$C$75,$D$63,$D$64,$D$65,$D$66,$D$67,$D$68,$D$69,$D$70,$D$71,$D$72,$D$73,$D$74,$D$75,$C$56,$C$57,$C$58,$D$59,$C$60),"")</f>
        <v>-99638.412894376219</v>
      </c>
      <c r="AL54" s="255">
        <f ca="1">IF(NOW(),_xll.mirSwapPV($C$51,$C$52,$C$54,$AA54,$C$55,$AC54+AL$51,$C$64,$C$65,$C$66,$C$67,$C$68,$C$69,$C$70,$C$74,$C$75,$D$63,$D$64,$D$65,$D$66,$D$67,$D$68,$D$69,$D$70,$D$71,$D$72,$D$73,$D$74,$D$75,$C$56,$C$57,$C$58,$D$59,$C$60),"")</f>
        <v>-49819.206447188109</v>
      </c>
      <c r="AM54" s="255">
        <f ca="1">IF(NOW(),_xll.mirSwapPV($C$51,$C$52,$C$54,$AA54,$C$55,$AC54+AM$51,$C$64,$C$65,$C$66,$C$67,$C$68,$C$69,$C$70,$C$74,$C$75,$D$63,$D$64,$D$65,$D$66,$D$67,$D$68,$D$69,$D$70,$D$71,$D$72,$D$73,$D$74,$D$75,$C$56,$C$57,$C$58,$D$59,$C$60),"")</f>
        <v>0</v>
      </c>
      <c r="AN54" s="255">
        <f ca="1">IF(NOW(),_xll.mirSwapPV($C$51,$C$52,$C$54,$AA54,$C$55,$AC54+AN$51,$C$64,$C$65,$C$66,$C$67,$C$68,$C$69,$C$70,$C$74,$C$75,$D$63,$D$64,$D$65,$D$66,$D$67,$D$68,$D$69,$D$70,$D$71,$D$72,$D$73,$D$74,$D$75,$C$56,$C$57,$C$58,$D$59,$C$60),"")</f>
        <v>49819.206447188124</v>
      </c>
      <c r="AO54" s="255">
        <f ca="1">IF(NOW(),_xll.mirSwapPV($C$51,$C$52,$C$54,$AA54,$C$55,$AC54+AO$51,$C$64,$C$65,$C$66,$C$67,$C$68,$C$69,$C$70,$C$74,$C$75,$D$63,$D$64,$D$65,$D$66,$D$67,$D$68,$D$69,$D$70,$D$71,$D$72,$D$73,$D$74,$D$75,$C$56,$C$57,$C$58,$D$59,$C$60),"")</f>
        <v>99638.412894376263</v>
      </c>
      <c r="AP54" s="255">
        <f ca="1">IF(NOW(),_xll.mirSwapPV($C$51,$C$52,$C$54,$AA54,$C$55,$AC54+AP$51,$C$64,$C$65,$C$66,$C$67,$C$68,$C$69,$C$70,$C$74,$C$75,$D$63,$D$64,$D$65,$D$66,$D$67,$D$68,$D$69,$D$70,$D$71,$D$72,$D$73,$D$74,$D$75,$C$56,$C$57,$C$58,$D$59,$C$60),"")</f>
        <v>149457.61934156434</v>
      </c>
      <c r="AQ54" s="255">
        <f ca="1">IF(NOW(),_xll.mirSwapPV($C$51,$C$52,$C$54,$AA54,$C$55,$AC54+AQ$51,$C$64,$C$65,$C$66,$C$67,$C$68,$C$69,$C$70,$C$74,$C$75,$D$63,$D$64,$D$65,$D$66,$D$67,$D$68,$D$69,$D$70,$D$71,$D$72,$D$73,$D$74,$D$75,$C$56,$C$57,$C$58,$D$59,$C$60),"")</f>
        <v>199276.82578875247</v>
      </c>
      <c r="AR54" s="255">
        <f ca="1">IF(NOW(),_xll.mirSwapPV($C$51,$C$52,$C$54,$AA54,$C$55,$AC54+AR$51,$C$64,$C$65,$C$66,$C$67,$C$68,$C$69,$C$70,$C$74,$C$75,$D$63,$D$64,$D$65,$D$66,$D$67,$D$68,$D$69,$D$70,$D$71,$D$72,$D$73,$D$74,$D$75,$C$56,$C$57,$C$58,$D$59,$C$60),"")</f>
        <v>249096.03223594063</v>
      </c>
    </row>
    <row r="55" spans="2:44">
      <c r="B55" s="234" t="s">
        <v>432</v>
      </c>
      <c r="C55" s="235" t="s">
        <v>315</v>
      </c>
      <c r="D55" s="235"/>
      <c r="F55" s="224" t="s">
        <v>131</v>
      </c>
      <c r="G55" s="227">
        <f>_xll.mirGetDate($C$6,F55)</f>
        <v>44392</v>
      </c>
      <c r="H55" s="260">
        <f t="shared" si="15"/>
        <v>3.5049999999999999E-3</v>
      </c>
      <c r="I55" s="229">
        <f ca="1">IF(NOW(),_xll.mirGetParRate4($C$54,$G55,$C$55,$C$64,$C$65,$C$66,$C$67,$C$68,$C$69,$C$70,$C$74,$C$75,$D$64,$D$65,$D$66,$D$67,$D$68,$D$69,$D$70,$D$71,$D$72,$D$73,$D$74,$D$75,$C$56,$C$57,$C$58,$C$59,$C$60),"")</f>
        <v>7.373270862673891E-3</v>
      </c>
      <c r="J55" s="229">
        <f t="shared" ca="1" si="11"/>
        <v>3.8682708626738911E-3</v>
      </c>
      <c r="K55" s="230">
        <f t="shared" ca="1" si="12"/>
        <v>38.682708626738915</v>
      </c>
      <c r="L55" s="230" t="s">
        <v>12</v>
      </c>
      <c r="M55" s="224" t="s">
        <v>131</v>
      </c>
      <c r="N55" s="255">
        <f ca="1">IF(NOW(),_xll.mirSwapPV($C$51,$C$52,$C$54,$G55,$C$55,$I55+N$51,$C$64,$C$65,$C$66,$C$67,$C$68,$C$69,$C$70,$C$74,$C$75,$D$63,$D$64,$D$65,$D$66,$D$67,$D$68,$D$69,$D$70,$D$71,$D$72,$D$73,$D$74,$D$75,$C$56,$C$57,$C$58,$C$59,$C$60),"")</f>
        <v>-297667.53869917651</v>
      </c>
      <c r="O55" s="255">
        <f ca="1">IF(NOW(),_xll.mirSwapPV($C$51,$C$52,$C$54,$G55,$C$55,$I55+O$51,$C$64,$C$65,$C$66,$C$67,$C$68,$C$69,$C$70,$C$74,$C$75,$D$63,$D$64,$D$65,$D$66,$D$67,$D$68,$D$69,$D$70,$D$71,$D$72,$D$73,$D$74,$D$75,$C$56,$C$57,$C$58,$C$59,$C$60),"")</f>
        <v>-238134.03095934118</v>
      </c>
      <c r="P55" s="255">
        <f ca="1">IF(NOW(),_xll.mirSwapPV($C$51,$C$52,$C$54,$G55,$C$55,$I55+P$51,$C$64,$C$65,$C$66,$C$67,$C$68,$C$69,$C$70,$C$74,$C$75,$D$63,$D$64,$D$65,$D$66,$D$67,$D$68,$D$69,$D$70,$D$71,$D$72,$D$73,$D$74,$D$75,$C$56,$C$57,$C$58,$C$59,$C$60),"")</f>
        <v>-178600.52321950588</v>
      </c>
      <c r="Q55" s="255">
        <f ca="1">IF(NOW(),_xll.mirSwapPV($C$51,$C$52,$C$54,$G55,$C$55,$I55+Q$51,$C$64,$C$65,$C$66,$C$67,$C$68,$C$69,$C$70,$C$74,$C$75,$D$63,$D$64,$D$65,$D$66,$D$67,$D$68,$D$69,$D$70,$D$71,$D$72,$D$73,$D$74,$D$75,$C$56,$C$57,$C$58,$C$59,$C$60),"")</f>
        <v>-119067.01547967058</v>
      </c>
      <c r="R55" s="255">
        <f ca="1">IF(NOW(),_xll.mirSwapPV($C$51,$C$52,$C$54,$G55,$C$55,$I55+R$51,$C$64,$C$65,$C$66,$C$67,$C$68,$C$69,$C$70,$C$74,$C$75,$D$63,$D$64,$D$65,$D$66,$D$67,$D$68,$D$69,$D$70,$D$71,$D$72,$D$73,$D$74,$D$75,$C$56,$C$57,$C$58,$C$59,$C$60),"")</f>
        <v>-59533.507739835273</v>
      </c>
      <c r="S55" s="255">
        <f ca="1">IF(NOW(),_xll.mirSwapPV($C$51,$C$52,$C$54,$G55,$C$55,$I55+S$51,$C$64,$C$65,$C$66,$C$67,$C$68,$C$69,$C$70,$C$74,$C$75,$D$63,$D$64,$D$65,$D$66,$D$67,$D$68,$D$69,$D$70,$D$71,$D$72,$D$73,$D$74,$D$75,$C$56,$C$57,$C$58,$C$59,$C$60),"")</f>
        <v>0</v>
      </c>
      <c r="T55" s="255">
        <f ca="1">IF(NOW(),_xll.mirSwapPV($C$51,$C$52,$C$54,$G55,$C$55,$I55+T$51,$C$64,$C$65,$C$66,$C$67,$C$68,$C$69,$C$70,$C$74,$C$75,$D$63,$D$64,$D$65,$D$66,$D$67,$D$68,$D$69,$D$70,$D$71,$D$72,$D$73,$D$74,$D$75,$C$56,$C$57,$C$58,$C$59,$C$60),"")</f>
        <v>59533.507739835295</v>
      </c>
      <c r="U55" s="255">
        <f ca="1">IF(NOW(),_xll.mirSwapPV($C$51,$C$52,$C$54,$G55,$C$55,$I55+U$51,$C$64,$C$65,$C$66,$C$67,$C$68,$C$69,$C$70,$C$74,$C$75,$D$63,$D$64,$D$65,$D$66,$D$67,$D$68,$D$69,$D$70,$D$71,$D$72,$D$73,$D$74,$D$75,$C$56,$C$57,$C$58,$C$59,$C$60),"")</f>
        <v>119067.0154796706</v>
      </c>
      <c r="V55" s="255">
        <f ca="1">IF(NOW(),_xll.mirSwapPV($C$51,$C$52,$C$54,$G55,$C$55,$I55+V$51,$C$64,$C$65,$C$66,$C$67,$C$68,$C$69,$C$70,$C$74,$C$75,$D$63,$D$64,$D$65,$D$66,$D$67,$D$68,$D$69,$D$70,$D$71,$D$72,$D$73,$D$74,$D$75,$C$56,$C$57,$C$58,$C$59,$C$60),"")</f>
        <v>178600.52321950591</v>
      </c>
      <c r="W55" s="255">
        <f ca="1">IF(NOW(),_xll.mirSwapPV($C$51,$C$52,$C$54,$G55,$C$55,$I55+W$51,$C$64,$C$65,$C$66,$C$67,$C$68,$C$69,$C$70,$C$74,$C$75,$D$63,$D$64,$D$65,$D$66,$D$67,$D$68,$D$69,$D$70,$D$71,$D$72,$D$73,$D$74,$D$75,$C$56,$C$57,$C$58,$C$59,$C$60),"")</f>
        <v>238134.03095934121</v>
      </c>
      <c r="X55" s="255">
        <f ca="1">IF(NOW(),_xll.mirSwapPV($C$51,$C$52,$C$54,$G55,$C$55,$I55+X$51,$C$64,$C$65,$C$66,$C$67,$C$68,$C$69,$C$70,$C$74,$C$75,$D$63,$D$64,$D$65,$D$66,$D$67,$D$68,$D$69,$D$70,$D$71,$D$72,$D$73,$D$74,$D$75,$C$56,$C$57,$C$58,$C$59,$C$60),"")</f>
        <v>297667.53869917657</v>
      </c>
      <c r="Y55" s="230" t="s">
        <v>12</v>
      </c>
      <c r="Z55" s="224" t="s">
        <v>131</v>
      </c>
      <c r="AA55" s="227">
        <f>_xll.mirGetDate($C$6,Z55)</f>
        <v>44392</v>
      </c>
      <c r="AB55" s="260">
        <f t="shared" si="16"/>
        <v>3.5049999999999999E-3</v>
      </c>
      <c r="AC55" s="229">
        <f ca="1">IF(NOW(),_xll.mirGetParRate4($C$54,$AA55,$C$55,$C$64,$C$65,$C$66,$C$67,$C$68,$C$69,$C$70,$C$74,$C$75,$D$64,$D$65,$D$66,$D$67,$D$68,$D$69,$D$70,$D$71,$D$72,$D$73,$D$74,$D$75,$C$56,$C$57,$C$58,$D$59,$C$60),"")</f>
        <v>7.3732708626738953E-3</v>
      </c>
      <c r="AD55" s="229">
        <f t="shared" ca="1" si="13"/>
        <v>3.8682708626738955E-3</v>
      </c>
      <c r="AE55" s="230">
        <f t="shared" ca="1" si="14"/>
        <v>38.682708626738957</v>
      </c>
      <c r="AG55" s="224" t="s">
        <v>131</v>
      </c>
      <c r="AH55" s="255">
        <f ca="1">IF(NOW(),_xll.mirSwapPV($C$51,$C$52,$C$54,$AA55,$C$55,$AC55+AH$51,$C$64,$C$65,$C$66,$C$67,$C$68,$C$69,$C$70,$C$74,$C$75,$D$63,$D$64,$D$65,$D$66,$D$67,$D$68,$D$69,$D$70,$D$71,$D$72,$D$73,$D$74,$D$75,$C$56,$C$57,$C$58,$D$59,$C$60),"")</f>
        <v>-297667.53869917657</v>
      </c>
      <c r="AI55" s="255">
        <f ca="1">IF(NOW(),_xll.mirSwapPV($C$51,$C$52,$C$54,$AA55,$C$55,$AC55+AI$51,$C$64,$C$65,$C$66,$C$67,$C$68,$C$69,$C$70,$C$74,$C$75,$D$63,$D$64,$D$65,$D$66,$D$67,$D$68,$D$69,$D$70,$D$71,$D$72,$D$73,$D$74,$D$75,$C$56,$C$57,$C$58,$D$59,$C$60),"")</f>
        <v>-238134.03095934118</v>
      </c>
      <c r="AJ55" s="255">
        <f ca="1">IF(NOW(),_xll.mirSwapPV($C$51,$C$52,$C$54,$AA55,$C$55,$AC55+AJ$51,$C$64,$C$65,$C$66,$C$67,$C$68,$C$69,$C$70,$C$74,$C$75,$D$63,$D$64,$D$65,$D$66,$D$67,$D$68,$D$69,$D$70,$D$71,$D$72,$D$73,$D$74,$D$75,$C$56,$C$57,$C$58,$D$59,$C$60),"")</f>
        <v>-178600.52321950591</v>
      </c>
      <c r="AK55" s="255">
        <f ca="1">IF(NOW(),_xll.mirSwapPV($C$51,$C$52,$C$54,$AA55,$C$55,$AC55+AK$51,$C$64,$C$65,$C$66,$C$67,$C$68,$C$69,$C$70,$C$74,$C$75,$D$63,$D$64,$D$65,$D$66,$D$67,$D$68,$D$69,$D$70,$D$71,$D$72,$D$73,$D$74,$D$75,$C$56,$C$57,$C$58,$D$59,$C$60),"")</f>
        <v>-119067.01547967058</v>
      </c>
      <c r="AL55" s="255">
        <f ca="1">IF(NOW(),_xll.mirSwapPV($C$51,$C$52,$C$54,$AA55,$C$55,$AC55+AL$51,$C$64,$C$65,$C$66,$C$67,$C$68,$C$69,$C$70,$C$74,$C$75,$D$63,$D$64,$D$65,$D$66,$D$67,$D$68,$D$69,$D$70,$D$71,$D$72,$D$73,$D$74,$D$75,$C$56,$C$57,$C$58,$D$59,$C$60),"")</f>
        <v>-59533.507739835273</v>
      </c>
      <c r="AM55" s="255">
        <f ca="1">IF(NOW(),_xll.mirSwapPV($C$51,$C$52,$C$54,$AA55,$C$55,$AC55+AM$51,$C$64,$C$65,$C$66,$C$67,$C$68,$C$69,$C$70,$C$74,$C$75,$D$63,$D$64,$D$65,$D$66,$D$67,$D$68,$D$69,$D$70,$D$71,$D$72,$D$73,$D$74,$D$75,$C$56,$C$57,$C$58,$D$59,$C$60),"")</f>
        <v>0</v>
      </c>
      <c r="AN55" s="255">
        <f ca="1">IF(NOW(),_xll.mirSwapPV($C$51,$C$52,$C$54,$AA55,$C$55,$AC55+AN$51,$C$64,$C$65,$C$66,$C$67,$C$68,$C$69,$C$70,$C$74,$C$75,$D$63,$D$64,$D$65,$D$66,$D$67,$D$68,$D$69,$D$70,$D$71,$D$72,$D$73,$D$74,$D$75,$C$56,$C$57,$C$58,$D$59,$C$60),"")</f>
        <v>59533.507739835295</v>
      </c>
      <c r="AO55" s="255">
        <f ca="1">IF(NOW(),_xll.mirSwapPV($C$51,$C$52,$C$54,$AA55,$C$55,$AC55+AO$51,$C$64,$C$65,$C$66,$C$67,$C$68,$C$69,$C$70,$C$74,$C$75,$D$63,$D$64,$D$65,$D$66,$D$67,$D$68,$D$69,$D$70,$D$71,$D$72,$D$73,$D$74,$D$75,$C$56,$C$57,$C$58,$D$59,$C$60),"")</f>
        <v>119067.0154796706</v>
      </c>
      <c r="AP55" s="255">
        <f ca="1">IF(NOW(),_xll.mirSwapPV($C$51,$C$52,$C$54,$AA55,$C$55,$AC55+AP$51,$C$64,$C$65,$C$66,$C$67,$C$68,$C$69,$C$70,$C$74,$C$75,$D$63,$D$64,$D$65,$D$66,$D$67,$D$68,$D$69,$D$70,$D$71,$D$72,$D$73,$D$74,$D$75,$C$56,$C$57,$C$58,$D$59,$C$60),"")</f>
        <v>178600.52321950588</v>
      </c>
      <c r="AQ55" s="255">
        <f ca="1">IF(NOW(),_xll.mirSwapPV($C$51,$C$52,$C$54,$AA55,$C$55,$AC55+AQ$51,$C$64,$C$65,$C$66,$C$67,$C$68,$C$69,$C$70,$C$74,$C$75,$D$63,$D$64,$D$65,$D$66,$D$67,$D$68,$D$69,$D$70,$D$71,$D$72,$D$73,$D$74,$D$75,$C$56,$C$57,$C$58,$D$59,$C$60),"")</f>
        <v>238134.03095934124</v>
      </c>
      <c r="AR55" s="255">
        <f ca="1">IF(NOW(),_xll.mirSwapPV($C$51,$C$52,$C$54,$AA55,$C$55,$AC55+AR$51,$C$64,$C$65,$C$66,$C$67,$C$68,$C$69,$C$70,$C$74,$C$75,$D$63,$D$64,$D$65,$D$66,$D$67,$D$68,$D$69,$D$70,$D$71,$D$72,$D$73,$D$74,$D$75,$C$56,$C$57,$C$58,$D$59,$C$60),"")</f>
        <v>297667.53869917651</v>
      </c>
    </row>
    <row r="56" spans="2:44">
      <c r="B56" s="234" t="s">
        <v>4</v>
      </c>
      <c r="C56" s="235" t="s">
        <v>433</v>
      </c>
      <c r="D56" s="235"/>
      <c r="F56" s="224" t="s">
        <v>31</v>
      </c>
      <c r="G56" s="227">
        <f>_xll.mirGetDate($C$6,F56)</f>
        <v>44757</v>
      </c>
      <c r="H56" s="260">
        <f t="shared" si="15"/>
        <v>4.215E-3</v>
      </c>
      <c r="I56" s="229">
        <f ca="1">IF(NOW(),_xll.mirGetParRate4($C$54,$G56,$C$55,$C$64,$C$65,$C$66,$C$67,$C$68,$C$69,$C$70,$C$74,$C$75,$D$64,$D$65,$D$66,$D$67,$D$68,$D$69,$D$70,$D$71,$D$72,$D$73,$D$74,$D$75,$C$56,$C$57,$C$58,$C$59,$C$60),"")</f>
        <v>8.965134671997296E-3</v>
      </c>
      <c r="J56" s="229">
        <f t="shared" ca="1" si="11"/>
        <v>4.750134671997296E-3</v>
      </c>
      <c r="K56" s="230">
        <f t="shared" ca="1" si="12"/>
        <v>47.501346719972958</v>
      </c>
      <c r="L56" s="230" t="s">
        <v>12</v>
      </c>
      <c r="M56" s="224" t="s">
        <v>31</v>
      </c>
      <c r="N56" s="255">
        <f ca="1">IF(NOW(),_xll.mirSwapPV($C$51,$C$52,$C$54,$G56,$C$55,$I56+N$51,$C$64,$C$65,$C$66,$C$67,$C$68,$C$69,$C$70,$C$74,$C$75,$D$63,$D$64,$D$65,$D$66,$D$67,$D$68,$D$69,$D$70,$D$71,$D$72,$D$73,$D$74,$D$75,$C$56,$C$57,$C$58,$C$59,$C$60),"")</f>
        <v>-345445.58092836302</v>
      </c>
      <c r="O56" s="255">
        <f ca="1">IF(NOW(),_xll.mirSwapPV($C$51,$C$52,$C$54,$G56,$C$55,$I56+O$51,$C$64,$C$65,$C$66,$C$67,$C$68,$C$69,$C$70,$C$74,$C$75,$D$63,$D$64,$D$65,$D$66,$D$67,$D$68,$D$69,$D$70,$D$71,$D$72,$D$73,$D$74,$D$75,$C$56,$C$57,$C$58,$C$59,$C$60),"")</f>
        <v>-276356.46474269044</v>
      </c>
      <c r="P56" s="255">
        <f ca="1">IF(NOW(),_xll.mirSwapPV($C$51,$C$52,$C$54,$G56,$C$55,$I56+P$51,$C$64,$C$65,$C$66,$C$67,$C$68,$C$69,$C$70,$C$74,$C$75,$D$63,$D$64,$D$65,$D$66,$D$67,$D$68,$D$69,$D$70,$D$71,$D$72,$D$73,$D$74,$D$75,$C$56,$C$57,$C$58,$C$59,$C$60),"")</f>
        <v>-207267.3485570178</v>
      </c>
      <c r="Q56" s="255">
        <f ca="1">IF(NOW(),_xll.mirSwapPV($C$51,$C$52,$C$54,$G56,$C$55,$I56+Q$51,$C$64,$C$65,$C$66,$C$67,$C$68,$C$69,$C$70,$C$74,$C$75,$D$63,$D$64,$D$65,$D$66,$D$67,$D$68,$D$69,$D$70,$D$71,$D$72,$D$73,$D$74,$D$75,$C$56,$C$57,$C$58,$C$59,$C$60),"")</f>
        <v>-138178.23237134519</v>
      </c>
      <c r="R56" s="255">
        <f ca="1">IF(NOW(),_xll.mirSwapPV($C$51,$C$52,$C$54,$G56,$C$55,$I56+R$51,$C$64,$C$65,$C$66,$C$67,$C$68,$C$69,$C$70,$C$74,$C$75,$D$63,$D$64,$D$65,$D$66,$D$67,$D$68,$D$69,$D$70,$D$71,$D$72,$D$73,$D$74,$D$75,$C$56,$C$57,$C$58,$C$59,$C$60),"")</f>
        <v>-69089.116185672581</v>
      </c>
      <c r="S56" s="255">
        <f ca="1">IF(NOW(),_xll.mirSwapPV($C$51,$C$52,$C$54,$G56,$C$55,$I56+S$51,$C$64,$C$65,$C$66,$C$67,$C$68,$C$69,$C$70,$C$74,$C$75,$D$63,$D$64,$D$65,$D$66,$D$67,$D$68,$D$69,$D$70,$D$71,$D$72,$D$73,$D$74,$D$75,$C$56,$C$57,$C$58,$C$59,$C$60),"")</f>
        <v>-6.9388939039072284E-12</v>
      </c>
      <c r="T56" s="255">
        <f ca="1">IF(NOW(),_xll.mirSwapPV($C$51,$C$52,$C$54,$G56,$C$55,$I56+T$51,$C$64,$C$65,$C$66,$C$67,$C$68,$C$69,$C$70,$C$74,$C$75,$D$63,$D$64,$D$65,$D$66,$D$67,$D$68,$D$69,$D$70,$D$71,$D$72,$D$73,$D$74,$D$75,$C$56,$C$57,$C$58,$C$59,$C$60),"")</f>
        <v>69089.116185672596</v>
      </c>
      <c r="U56" s="255">
        <f ca="1">IF(NOW(),_xll.mirSwapPV($C$51,$C$52,$C$54,$G56,$C$55,$I56+U$51,$C$64,$C$65,$C$66,$C$67,$C$68,$C$69,$C$70,$C$74,$C$75,$D$63,$D$64,$D$65,$D$66,$D$67,$D$68,$D$69,$D$70,$D$71,$D$72,$D$73,$D$74,$D$75,$C$56,$C$57,$C$58,$C$59,$C$60),"")</f>
        <v>138178.23237134519</v>
      </c>
      <c r="V56" s="255">
        <f ca="1">IF(NOW(),_xll.mirSwapPV($C$51,$C$52,$C$54,$G56,$C$55,$I56+V$51,$C$64,$C$65,$C$66,$C$67,$C$68,$C$69,$C$70,$C$74,$C$75,$D$63,$D$64,$D$65,$D$66,$D$67,$D$68,$D$69,$D$70,$D$71,$D$72,$D$73,$D$74,$D$75,$C$56,$C$57,$C$58,$C$59,$C$60),"")</f>
        <v>207267.34855701777</v>
      </c>
      <c r="W56" s="255">
        <f ca="1">IF(NOW(),_xll.mirSwapPV($C$51,$C$52,$C$54,$G56,$C$55,$I56+W$51,$C$64,$C$65,$C$66,$C$67,$C$68,$C$69,$C$70,$C$74,$C$75,$D$63,$D$64,$D$65,$D$66,$D$67,$D$68,$D$69,$D$70,$D$71,$D$72,$D$73,$D$74,$D$75,$C$56,$C$57,$C$58,$C$59,$C$60),"")</f>
        <v>276356.46474269044</v>
      </c>
      <c r="X56" s="255">
        <f ca="1">IF(NOW(),_xll.mirSwapPV($C$51,$C$52,$C$54,$G56,$C$55,$I56+X$51,$C$64,$C$65,$C$66,$C$67,$C$68,$C$69,$C$70,$C$74,$C$75,$D$63,$D$64,$D$65,$D$66,$D$67,$D$68,$D$69,$D$70,$D$71,$D$72,$D$73,$D$74,$D$75,$C$56,$C$57,$C$58,$C$59,$C$60),"")</f>
        <v>345445.58092836302</v>
      </c>
      <c r="Y56" s="230" t="s">
        <v>12</v>
      </c>
      <c r="Z56" s="224" t="s">
        <v>31</v>
      </c>
      <c r="AA56" s="227">
        <f>_xll.mirGetDate($C$6,Z56)</f>
        <v>44757</v>
      </c>
      <c r="AB56" s="260">
        <f t="shared" si="16"/>
        <v>4.215E-3</v>
      </c>
      <c r="AC56" s="229">
        <f ca="1">IF(NOW(),_xll.mirGetParRate4($C$54,$AA56,$C$55,$C$64,$C$65,$C$66,$C$67,$C$68,$C$69,$C$70,$C$74,$C$75,$D$64,$D$65,$D$66,$D$67,$D$68,$D$69,$D$70,$D$71,$D$72,$D$73,$D$74,$D$75,$C$56,$C$57,$C$58,$D$59,$C$60),"")</f>
        <v>8.9651346719972942E-3</v>
      </c>
      <c r="AD56" s="229">
        <f t="shared" ca="1" si="13"/>
        <v>4.7501346719972942E-3</v>
      </c>
      <c r="AE56" s="230">
        <f t="shared" ca="1" si="14"/>
        <v>47.501346719972943</v>
      </c>
      <c r="AG56" s="224" t="s">
        <v>31</v>
      </c>
      <c r="AH56" s="255">
        <f ca="1">IF(NOW(),_xll.mirSwapPV($C$51,$C$52,$C$54,$AA56,$C$55,$AC56+AH$51,$C$64,$C$65,$C$66,$C$67,$C$68,$C$69,$C$70,$C$74,$C$75,$D$63,$D$64,$D$65,$D$66,$D$67,$D$68,$D$69,$D$70,$D$71,$D$72,$D$73,$D$74,$D$75,$C$56,$C$57,$C$58,$D$59,$C$60),"")</f>
        <v>-345445.58092836308</v>
      </c>
      <c r="AI56" s="255">
        <f ca="1">IF(NOW(),_xll.mirSwapPV($C$51,$C$52,$C$54,$AA56,$C$55,$AC56+AI$51,$C$64,$C$65,$C$66,$C$67,$C$68,$C$69,$C$70,$C$74,$C$75,$D$63,$D$64,$D$65,$D$66,$D$67,$D$68,$D$69,$D$70,$D$71,$D$72,$D$73,$D$74,$D$75,$C$56,$C$57,$C$58,$D$59,$C$60),"")</f>
        <v>-276356.46474269038</v>
      </c>
      <c r="AJ56" s="255">
        <f ca="1">IF(NOW(),_xll.mirSwapPV($C$51,$C$52,$C$54,$AA56,$C$55,$AC56+AJ$51,$C$64,$C$65,$C$66,$C$67,$C$68,$C$69,$C$70,$C$74,$C$75,$D$63,$D$64,$D$65,$D$66,$D$67,$D$68,$D$69,$D$70,$D$71,$D$72,$D$73,$D$74,$D$75,$C$56,$C$57,$C$58,$D$59,$C$60),"")</f>
        <v>-207267.3485570178</v>
      </c>
      <c r="AK56" s="255">
        <f ca="1">IF(NOW(),_xll.mirSwapPV($C$51,$C$52,$C$54,$AA56,$C$55,$AC56+AK$51,$C$64,$C$65,$C$66,$C$67,$C$68,$C$69,$C$70,$C$74,$C$75,$D$63,$D$64,$D$65,$D$66,$D$67,$D$68,$D$69,$D$70,$D$71,$D$72,$D$73,$D$74,$D$75,$C$56,$C$57,$C$58,$D$59,$C$60),"")</f>
        <v>-138178.23237134519</v>
      </c>
      <c r="AL56" s="255">
        <f ca="1">IF(NOW(),_xll.mirSwapPV($C$51,$C$52,$C$54,$AA56,$C$55,$AC56+AL$51,$C$64,$C$65,$C$66,$C$67,$C$68,$C$69,$C$70,$C$74,$C$75,$D$63,$D$64,$D$65,$D$66,$D$67,$D$68,$D$69,$D$70,$D$71,$D$72,$D$73,$D$74,$D$75,$C$56,$C$57,$C$58,$D$59,$C$60),"")</f>
        <v>-69089.116185672581</v>
      </c>
      <c r="AM56" s="255">
        <f ca="1">IF(NOW(),_xll.mirSwapPV($C$51,$C$52,$C$54,$AA56,$C$55,$AC56+AM$51,$C$64,$C$65,$C$66,$C$67,$C$68,$C$69,$C$70,$C$74,$C$75,$D$63,$D$64,$D$65,$D$66,$D$67,$D$68,$D$69,$D$70,$D$71,$D$72,$D$73,$D$74,$D$75,$C$56,$C$57,$C$58,$D$59,$C$60),"")</f>
        <v>0</v>
      </c>
      <c r="AN56" s="255">
        <f ca="1">IF(NOW(),_xll.mirSwapPV($C$51,$C$52,$C$54,$AA56,$C$55,$AC56+AN$51,$C$64,$C$65,$C$66,$C$67,$C$68,$C$69,$C$70,$C$74,$C$75,$D$63,$D$64,$D$65,$D$66,$D$67,$D$68,$D$69,$D$70,$D$71,$D$72,$D$73,$D$74,$D$75,$C$56,$C$57,$C$58,$D$59,$C$60),"")</f>
        <v>69089.116185672596</v>
      </c>
      <c r="AO56" s="255">
        <f ca="1">IF(NOW(),_xll.mirSwapPV($C$51,$C$52,$C$54,$AA56,$C$55,$AC56+AO$51,$C$64,$C$65,$C$66,$C$67,$C$68,$C$69,$C$70,$C$74,$C$75,$D$63,$D$64,$D$65,$D$66,$D$67,$D$68,$D$69,$D$70,$D$71,$D$72,$D$73,$D$74,$D$75,$C$56,$C$57,$C$58,$D$59,$C$60),"")</f>
        <v>138178.23237134522</v>
      </c>
      <c r="AP56" s="255">
        <f ca="1">IF(NOW(),_xll.mirSwapPV($C$51,$C$52,$C$54,$AA56,$C$55,$AC56+AP$51,$C$64,$C$65,$C$66,$C$67,$C$68,$C$69,$C$70,$C$74,$C$75,$D$63,$D$64,$D$65,$D$66,$D$67,$D$68,$D$69,$D$70,$D$71,$D$72,$D$73,$D$74,$D$75,$C$56,$C$57,$C$58,$D$59,$C$60),"")</f>
        <v>207267.34855701774</v>
      </c>
      <c r="AQ56" s="255">
        <f ca="1">IF(NOW(),_xll.mirSwapPV($C$51,$C$52,$C$54,$AA56,$C$55,$AC56+AQ$51,$C$64,$C$65,$C$66,$C$67,$C$68,$C$69,$C$70,$C$74,$C$75,$D$63,$D$64,$D$65,$D$66,$D$67,$D$68,$D$69,$D$70,$D$71,$D$72,$D$73,$D$74,$D$75,$C$56,$C$57,$C$58,$D$59,$C$60),"")</f>
        <v>276356.4647426905</v>
      </c>
      <c r="AR56" s="255">
        <f ca="1">IF(NOW(),_xll.mirSwapPV($C$51,$C$52,$C$54,$AA56,$C$55,$AC56+AR$51,$C$64,$C$65,$C$66,$C$67,$C$68,$C$69,$C$70,$C$74,$C$75,$D$63,$D$64,$D$65,$D$66,$D$67,$D$68,$D$69,$D$70,$D$71,$D$72,$D$73,$D$74,$D$75,$C$56,$C$57,$C$58,$D$59,$C$60),"")</f>
        <v>345445.58092836296</v>
      </c>
    </row>
    <row r="57" spans="2:44">
      <c r="B57" s="234" t="s">
        <v>434</v>
      </c>
      <c r="C57" s="235" t="s">
        <v>435</v>
      </c>
      <c r="D57" s="235"/>
      <c r="F57" s="224" t="s">
        <v>119</v>
      </c>
      <c r="G57" s="227">
        <f>_xll.mirGetDate($C$6,F57)</f>
        <v>45122</v>
      </c>
      <c r="H57" s="260">
        <f t="shared" si="15"/>
        <v>4.9300000000000004E-3</v>
      </c>
      <c r="I57" s="229">
        <f ca="1">IF(NOW(),_xll.mirGetParRate4($C$54,$G57,$C$55,$C$64,$C$65,$C$66,$C$67,$C$68,$C$69,$C$70,$C$74,$C$75,$D$64,$D$65,$D$66,$D$67,$D$68,$D$69,$D$70,$D$71,$D$72,$D$73,$D$74,$D$75,$C$56,$C$57,$C$58,$C$59,$C$60),"")</f>
        <v>1.0435554457789105E-2</v>
      </c>
      <c r="J57" s="229">
        <f t="shared" ca="1" si="11"/>
        <v>5.5055544577891045E-3</v>
      </c>
      <c r="K57" s="230">
        <f t="shared" ca="1" si="12"/>
        <v>55.055544577891048</v>
      </c>
      <c r="L57" s="230" t="s">
        <v>12</v>
      </c>
      <c r="M57" s="224" t="s">
        <v>119</v>
      </c>
      <c r="N57" s="255">
        <f ca="1">IF(NOW(),_xll.mirSwapPV($C$51,$C$52,$C$54,$G57,$C$55,$I57+N$51,$C$64,$C$65,$C$66,$C$67,$C$68,$C$69,$C$70,$C$74,$C$75,$D$63,$D$64,$D$65,$D$66,$D$67,$D$68,$D$69,$D$70,$D$71,$D$72,$D$73,$D$74,$D$75,$C$56,$C$57,$C$58,$C$59,$C$60),"")</f>
        <v>-392585.59739955037</v>
      </c>
      <c r="O57" s="255">
        <f ca="1">IF(NOW(),_xll.mirSwapPV($C$51,$C$52,$C$54,$G57,$C$55,$I57+O$51,$C$64,$C$65,$C$66,$C$67,$C$68,$C$69,$C$70,$C$74,$C$75,$D$63,$D$64,$D$65,$D$66,$D$67,$D$68,$D$69,$D$70,$D$71,$D$72,$D$73,$D$74,$D$75,$C$56,$C$57,$C$58,$C$59,$C$60),"")</f>
        <v>-314068.47791964025</v>
      </c>
      <c r="P57" s="255">
        <f ca="1">IF(NOW(),_xll.mirSwapPV($C$51,$C$52,$C$54,$G57,$C$55,$I57+P$51,$C$64,$C$65,$C$66,$C$67,$C$68,$C$69,$C$70,$C$74,$C$75,$D$63,$D$64,$D$65,$D$66,$D$67,$D$68,$D$69,$D$70,$D$71,$D$72,$D$73,$D$74,$D$75,$C$56,$C$57,$C$58,$C$59,$C$60),"")</f>
        <v>-235551.35843973019</v>
      </c>
      <c r="Q57" s="255">
        <f ca="1">IF(NOW(),_xll.mirSwapPV($C$51,$C$52,$C$54,$G57,$C$55,$I57+Q$51,$C$64,$C$65,$C$66,$C$67,$C$68,$C$69,$C$70,$C$74,$C$75,$D$63,$D$64,$D$65,$D$66,$D$67,$D$68,$D$69,$D$70,$D$71,$D$72,$D$73,$D$74,$D$75,$C$56,$C$57,$C$58,$C$59,$C$60),"")</f>
        <v>-157034.2389598201</v>
      </c>
      <c r="R57" s="255">
        <f ca="1">IF(NOW(),_xll.mirSwapPV($C$51,$C$52,$C$54,$G57,$C$55,$I57+R$51,$C$64,$C$65,$C$66,$C$67,$C$68,$C$69,$C$70,$C$74,$C$75,$D$63,$D$64,$D$65,$D$66,$D$67,$D$68,$D$69,$D$70,$D$71,$D$72,$D$73,$D$74,$D$75,$C$56,$C$57,$C$58,$C$59,$C$60),"")</f>
        <v>-78517.119479910034</v>
      </c>
      <c r="S57" s="255">
        <f ca="1">IF(NOW(),_xll.mirSwapPV($C$51,$C$52,$C$54,$G57,$C$55,$I57+S$51,$C$64,$C$65,$C$66,$C$67,$C$68,$C$69,$C$70,$C$74,$C$75,$D$63,$D$64,$D$65,$D$66,$D$67,$D$68,$D$69,$D$70,$D$71,$D$72,$D$73,$D$74,$D$75,$C$56,$C$57,$C$58,$C$59,$C$60),"")</f>
        <v>0</v>
      </c>
      <c r="T57" s="255">
        <f ca="1">IF(NOW(),_xll.mirSwapPV($C$51,$C$52,$C$54,$G57,$C$55,$I57+T$51,$C$64,$C$65,$C$66,$C$67,$C$68,$C$69,$C$70,$C$74,$C$75,$D$63,$D$64,$D$65,$D$66,$D$67,$D$68,$D$69,$D$70,$D$71,$D$72,$D$73,$D$74,$D$75,$C$56,$C$57,$C$58,$C$59,$C$60),"")</f>
        <v>78517.119479910078</v>
      </c>
      <c r="U57" s="255">
        <f ca="1">IF(NOW(),_xll.mirSwapPV($C$51,$C$52,$C$54,$G57,$C$55,$I57+U$51,$C$64,$C$65,$C$66,$C$67,$C$68,$C$69,$C$70,$C$74,$C$75,$D$63,$D$64,$D$65,$D$66,$D$67,$D$68,$D$69,$D$70,$D$71,$D$72,$D$73,$D$74,$D$75,$C$56,$C$57,$C$58,$C$59,$C$60),"")</f>
        <v>157034.23895982013</v>
      </c>
      <c r="V57" s="255">
        <f ca="1">IF(NOW(),_xll.mirSwapPV($C$51,$C$52,$C$54,$G57,$C$55,$I57+V$51,$C$64,$C$65,$C$66,$C$67,$C$68,$C$69,$C$70,$C$74,$C$75,$D$63,$D$64,$D$65,$D$66,$D$67,$D$68,$D$69,$D$70,$D$71,$D$72,$D$73,$D$74,$D$75,$C$56,$C$57,$C$58,$C$59,$C$60),"")</f>
        <v>235551.35843973019</v>
      </c>
      <c r="W57" s="255">
        <f ca="1">IF(NOW(),_xll.mirSwapPV($C$51,$C$52,$C$54,$G57,$C$55,$I57+W$51,$C$64,$C$65,$C$66,$C$67,$C$68,$C$69,$C$70,$C$74,$C$75,$D$63,$D$64,$D$65,$D$66,$D$67,$D$68,$D$69,$D$70,$D$71,$D$72,$D$73,$D$74,$D$75,$C$56,$C$57,$C$58,$C$59,$C$60),"")</f>
        <v>314068.47791964025</v>
      </c>
      <c r="X57" s="255">
        <f ca="1">IF(NOW(),_xll.mirSwapPV($C$51,$C$52,$C$54,$G57,$C$55,$I57+X$51,$C$64,$C$65,$C$66,$C$67,$C$68,$C$69,$C$70,$C$74,$C$75,$D$63,$D$64,$D$65,$D$66,$D$67,$D$68,$D$69,$D$70,$D$71,$D$72,$D$73,$D$74,$D$75,$C$56,$C$57,$C$58,$C$59,$C$60),"")</f>
        <v>392585.59739955037</v>
      </c>
      <c r="Y57" s="230" t="s">
        <v>12</v>
      </c>
      <c r="Z57" s="224" t="s">
        <v>119</v>
      </c>
      <c r="AA57" s="227">
        <f>_xll.mirGetDate($C$6,Z57)</f>
        <v>45122</v>
      </c>
      <c r="AB57" s="260">
        <f t="shared" si="16"/>
        <v>4.9300000000000004E-3</v>
      </c>
      <c r="AC57" s="229">
        <f ca="1">IF(NOW(),_xll.mirGetParRate4($C$54,$AA57,$C$55,$C$64,$C$65,$C$66,$C$67,$C$68,$C$69,$C$70,$C$74,$C$75,$D$64,$D$65,$D$66,$D$67,$D$68,$D$69,$D$70,$D$71,$D$72,$D$73,$D$74,$D$75,$C$56,$C$57,$C$58,$D$59,$C$60),"")</f>
        <v>1.0435554457789112E-2</v>
      </c>
      <c r="AD57" s="229">
        <f t="shared" ca="1" si="13"/>
        <v>5.5055544577891115E-3</v>
      </c>
      <c r="AE57" s="230">
        <f t="shared" ca="1" si="14"/>
        <v>55.055544577891112</v>
      </c>
      <c r="AG57" s="224" t="s">
        <v>119</v>
      </c>
      <c r="AH57" s="255">
        <f ca="1">IF(NOW(),_xll.mirSwapPV($C$51,$C$52,$C$54,$AA57,$C$55,$AC57+AH$51,$C$64,$C$65,$C$66,$C$67,$C$68,$C$69,$C$70,$C$74,$C$75,$D$63,$D$64,$D$65,$D$66,$D$67,$D$68,$D$69,$D$70,$D$71,$D$72,$D$73,$D$74,$D$75,$C$56,$C$57,$C$58,$D$59,$C$60),"")</f>
        <v>-392585.59739955037</v>
      </c>
      <c r="AI57" s="255">
        <f ca="1">IF(NOW(),_xll.mirSwapPV($C$51,$C$52,$C$54,$AA57,$C$55,$AC57+AI$51,$C$64,$C$65,$C$66,$C$67,$C$68,$C$69,$C$70,$C$74,$C$75,$D$63,$D$64,$D$65,$D$66,$D$67,$D$68,$D$69,$D$70,$D$71,$D$72,$D$73,$D$74,$D$75,$C$56,$C$57,$C$58,$D$59,$C$60),"")</f>
        <v>-314068.47791964025</v>
      </c>
      <c r="AJ57" s="255">
        <f ca="1">IF(NOW(),_xll.mirSwapPV($C$51,$C$52,$C$54,$AA57,$C$55,$AC57+AJ$51,$C$64,$C$65,$C$66,$C$67,$C$68,$C$69,$C$70,$C$74,$C$75,$D$63,$D$64,$D$65,$D$66,$D$67,$D$68,$D$69,$D$70,$D$71,$D$72,$D$73,$D$74,$D$75,$C$56,$C$57,$C$58,$D$59,$C$60),"")</f>
        <v>-235551.35843973019</v>
      </c>
      <c r="AK57" s="255">
        <f ca="1">IF(NOW(),_xll.mirSwapPV($C$51,$C$52,$C$54,$AA57,$C$55,$AC57+AK$51,$C$64,$C$65,$C$66,$C$67,$C$68,$C$69,$C$70,$C$74,$C$75,$D$63,$D$64,$D$65,$D$66,$D$67,$D$68,$D$69,$D$70,$D$71,$D$72,$D$73,$D$74,$D$75,$C$56,$C$57,$C$58,$D$59,$C$60),"")</f>
        <v>-157034.2389598201</v>
      </c>
      <c r="AL57" s="255">
        <f ca="1">IF(NOW(),_xll.mirSwapPV($C$51,$C$52,$C$54,$AA57,$C$55,$AC57+AL$51,$C$64,$C$65,$C$66,$C$67,$C$68,$C$69,$C$70,$C$74,$C$75,$D$63,$D$64,$D$65,$D$66,$D$67,$D$68,$D$69,$D$70,$D$71,$D$72,$D$73,$D$74,$D$75,$C$56,$C$57,$C$58,$D$59,$C$60),"")</f>
        <v>-78517.119479910034</v>
      </c>
      <c r="AM57" s="255">
        <f ca="1">IF(NOW(),_xll.mirSwapPV($C$51,$C$52,$C$54,$AA57,$C$55,$AC57+AM$51,$C$64,$C$65,$C$66,$C$67,$C$68,$C$69,$C$70,$C$74,$C$75,$D$63,$D$64,$D$65,$D$66,$D$67,$D$68,$D$69,$D$70,$D$71,$D$72,$D$73,$D$74,$D$75,$C$56,$C$57,$C$58,$D$59,$C$60),"")</f>
        <v>0</v>
      </c>
      <c r="AN57" s="255">
        <f ca="1">IF(NOW(),_xll.mirSwapPV($C$51,$C$52,$C$54,$AA57,$C$55,$AC57+AN$51,$C$64,$C$65,$C$66,$C$67,$C$68,$C$69,$C$70,$C$74,$C$75,$D$63,$D$64,$D$65,$D$66,$D$67,$D$68,$D$69,$D$70,$D$71,$D$72,$D$73,$D$74,$D$75,$C$56,$C$57,$C$58,$D$59,$C$60),"")</f>
        <v>78517.119479910078</v>
      </c>
      <c r="AO57" s="255">
        <f ca="1">IF(NOW(),_xll.mirSwapPV($C$51,$C$52,$C$54,$AA57,$C$55,$AC57+AO$51,$C$64,$C$65,$C$66,$C$67,$C$68,$C$69,$C$70,$C$74,$C$75,$D$63,$D$64,$D$65,$D$66,$D$67,$D$68,$D$69,$D$70,$D$71,$D$72,$D$73,$D$74,$D$75,$C$56,$C$57,$C$58,$D$59,$C$60),"")</f>
        <v>157034.23895982013</v>
      </c>
      <c r="AP57" s="255">
        <f ca="1">IF(NOW(),_xll.mirSwapPV($C$51,$C$52,$C$54,$AA57,$C$55,$AC57+AP$51,$C$64,$C$65,$C$66,$C$67,$C$68,$C$69,$C$70,$C$74,$C$75,$D$63,$D$64,$D$65,$D$66,$D$67,$D$68,$D$69,$D$70,$D$71,$D$72,$D$73,$D$74,$D$75,$C$56,$C$57,$C$58,$D$59,$C$60),"")</f>
        <v>235551.35843973019</v>
      </c>
      <c r="AQ57" s="255">
        <f ca="1">IF(NOW(),_xll.mirSwapPV($C$51,$C$52,$C$54,$AA57,$C$55,$AC57+AQ$51,$C$64,$C$65,$C$66,$C$67,$C$68,$C$69,$C$70,$C$74,$C$75,$D$63,$D$64,$D$65,$D$66,$D$67,$D$68,$D$69,$D$70,$D$71,$D$72,$D$73,$D$74,$D$75,$C$56,$C$57,$C$58,$D$59,$C$60),"")</f>
        <v>314068.47791964025</v>
      </c>
      <c r="AR57" s="255">
        <f ca="1">IF(NOW(),_xll.mirSwapPV($C$51,$C$52,$C$54,$AA57,$C$55,$AC57+AR$51,$C$64,$C$65,$C$66,$C$67,$C$68,$C$69,$C$70,$C$74,$C$75,$D$63,$D$64,$D$65,$D$66,$D$67,$D$68,$D$69,$D$70,$D$71,$D$72,$D$73,$D$74,$D$75,$C$56,$C$57,$C$58,$D$59,$C$60),"")</f>
        <v>392585.59739955037</v>
      </c>
    </row>
    <row r="58" spans="2:44">
      <c r="B58" s="234" t="s">
        <v>436</v>
      </c>
      <c r="C58" s="235" t="s">
        <v>201</v>
      </c>
      <c r="D58" s="235"/>
      <c r="F58" s="224" t="s">
        <v>113</v>
      </c>
      <c r="G58" s="227">
        <f>_xll.mirGetDate($C$6,F58)</f>
        <v>45488</v>
      </c>
      <c r="H58" s="260">
        <f t="shared" si="15"/>
        <v>5.6350000000000003E-3</v>
      </c>
      <c r="I58" s="229">
        <f ca="1">IF(NOW(),_xll.mirGetParRate4($C$54,$G58,$C$55,$C$64,$C$65,$C$66,$C$67,$C$68,$C$69,$C$70,$C$74,$C$75,$D$64,$D$65,$D$66,$D$67,$D$68,$D$69,$D$70,$D$71,$D$72,$D$73,$D$74,$D$75,$C$56,$C$57,$C$58,$C$59,$C$60),"")</f>
        <v>1.1759763998696436E-2</v>
      </c>
      <c r="J58" s="229">
        <f t="shared" ca="1" si="11"/>
        <v>6.1247639986964355E-3</v>
      </c>
      <c r="K58" s="230">
        <f t="shared" ca="1" si="12"/>
        <v>61.247639986964359</v>
      </c>
      <c r="L58" s="230" t="s">
        <v>12</v>
      </c>
      <c r="M58" s="224" t="s">
        <v>113</v>
      </c>
      <c r="N58" s="255">
        <f ca="1">IF(NOW(),_xll.mirSwapPV($C$51,$C$52,$C$54,$G58,$C$55,$I58+N$51,$C$64,$C$65,$C$66,$C$67,$C$68,$C$69,$C$70,$C$74,$C$75,$D$63,$D$64,$D$65,$D$66,$D$67,$D$68,$D$69,$D$70,$D$71,$D$72,$D$73,$D$74,$D$75,$C$56,$C$57,$C$58,$C$59,$C$60),"")</f>
        <v>-438252.52539896447</v>
      </c>
      <c r="O58" s="255">
        <f ca="1">IF(NOW(),_xll.mirSwapPV($C$51,$C$52,$C$54,$G58,$C$55,$I58+O$51,$C$64,$C$65,$C$66,$C$67,$C$68,$C$69,$C$70,$C$74,$C$75,$D$63,$D$64,$D$65,$D$66,$D$67,$D$68,$D$69,$D$70,$D$71,$D$72,$D$73,$D$74,$D$75,$C$56,$C$57,$C$58,$C$59,$C$60),"")</f>
        <v>-350602.02031917154</v>
      </c>
      <c r="P58" s="255">
        <f ca="1">IF(NOW(),_xll.mirSwapPV($C$51,$C$52,$C$54,$G58,$C$55,$I58+P$51,$C$64,$C$65,$C$66,$C$67,$C$68,$C$69,$C$70,$C$74,$C$75,$D$63,$D$64,$D$65,$D$66,$D$67,$D$68,$D$69,$D$70,$D$71,$D$72,$D$73,$D$74,$D$75,$C$56,$C$57,$C$58,$C$59,$C$60),"")</f>
        <v>-262951.51523937867</v>
      </c>
      <c r="Q58" s="255">
        <f ca="1">IF(NOW(),_xll.mirSwapPV($C$51,$C$52,$C$54,$G58,$C$55,$I58+Q$51,$C$64,$C$65,$C$66,$C$67,$C$68,$C$69,$C$70,$C$74,$C$75,$D$63,$D$64,$D$65,$D$66,$D$67,$D$68,$D$69,$D$70,$D$71,$D$72,$D$73,$D$74,$D$75,$C$56,$C$57,$C$58,$C$59,$C$60),"")</f>
        <v>-175301.01015958577</v>
      </c>
      <c r="R58" s="255">
        <f ca="1">IF(NOW(),_xll.mirSwapPV($C$51,$C$52,$C$54,$G58,$C$55,$I58+R$51,$C$64,$C$65,$C$66,$C$67,$C$68,$C$69,$C$70,$C$74,$C$75,$D$63,$D$64,$D$65,$D$66,$D$67,$D$68,$D$69,$D$70,$D$71,$D$72,$D$73,$D$74,$D$75,$C$56,$C$57,$C$58,$C$59,$C$60),"")</f>
        <v>-87650.505079792856</v>
      </c>
      <c r="S58" s="255">
        <f ca="1">IF(NOW(),_xll.mirSwapPV($C$51,$C$52,$C$54,$G58,$C$55,$I58+S$51,$C$64,$C$65,$C$66,$C$67,$C$68,$C$69,$C$70,$C$74,$C$75,$D$63,$D$64,$D$65,$D$66,$D$67,$D$68,$D$69,$D$70,$D$71,$D$72,$D$73,$D$74,$D$75,$C$56,$C$57,$C$58,$C$59,$C$60),"")</f>
        <v>0</v>
      </c>
      <c r="T58" s="255">
        <f ca="1">IF(NOW(),_xll.mirSwapPV($C$51,$C$52,$C$54,$G58,$C$55,$I58+T$51,$C$64,$C$65,$C$66,$C$67,$C$68,$C$69,$C$70,$C$74,$C$75,$D$63,$D$64,$D$65,$D$66,$D$67,$D$68,$D$69,$D$70,$D$71,$D$72,$D$73,$D$74,$D$75,$C$56,$C$57,$C$58,$C$59,$C$60),"")</f>
        <v>87650.5050797929</v>
      </c>
      <c r="U58" s="255">
        <f ca="1">IF(NOW(),_xll.mirSwapPV($C$51,$C$52,$C$54,$G58,$C$55,$I58+U$51,$C$64,$C$65,$C$66,$C$67,$C$68,$C$69,$C$70,$C$74,$C$75,$D$63,$D$64,$D$65,$D$66,$D$67,$D$68,$D$69,$D$70,$D$71,$D$72,$D$73,$D$74,$D$75,$C$56,$C$57,$C$58,$C$59,$C$60),"")</f>
        <v>175301.01015958577</v>
      </c>
      <c r="V58" s="255">
        <f ca="1">IF(NOW(),_xll.mirSwapPV($C$51,$C$52,$C$54,$G58,$C$55,$I58+V$51,$C$64,$C$65,$C$66,$C$67,$C$68,$C$69,$C$70,$C$74,$C$75,$D$63,$D$64,$D$65,$D$66,$D$67,$D$68,$D$69,$D$70,$D$71,$D$72,$D$73,$D$74,$D$75,$C$56,$C$57,$C$58,$C$59,$C$60),"")</f>
        <v>262951.51523937873</v>
      </c>
      <c r="W58" s="255">
        <f ca="1">IF(NOW(),_xll.mirSwapPV($C$51,$C$52,$C$54,$G58,$C$55,$I58+W$51,$C$64,$C$65,$C$66,$C$67,$C$68,$C$69,$C$70,$C$74,$C$75,$D$63,$D$64,$D$65,$D$66,$D$67,$D$68,$D$69,$D$70,$D$71,$D$72,$D$73,$D$74,$D$75,$C$56,$C$57,$C$58,$C$59,$C$60),"")</f>
        <v>350602.0203191716</v>
      </c>
      <c r="X58" s="255">
        <f ca="1">IF(NOW(),_xll.mirSwapPV($C$51,$C$52,$C$54,$G58,$C$55,$I58+X$51,$C$64,$C$65,$C$66,$C$67,$C$68,$C$69,$C$70,$C$74,$C$75,$D$63,$D$64,$D$65,$D$66,$D$67,$D$68,$D$69,$D$70,$D$71,$D$72,$D$73,$D$74,$D$75,$C$56,$C$57,$C$58,$C$59,$C$60),"")</f>
        <v>438252.52539896447</v>
      </c>
      <c r="Y58" s="230" t="s">
        <v>12</v>
      </c>
      <c r="Z58" s="224" t="s">
        <v>113</v>
      </c>
      <c r="AA58" s="227">
        <f>_xll.mirGetDate($C$6,Z58)</f>
        <v>45488</v>
      </c>
      <c r="AB58" s="260">
        <f t="shared" si="16"/>
        <v>5.6350000000000003E-3</v>
      </c>
      <c r="AC58" s="229">
        <f ca="1">IF(NOW(),_xll.mirGetParRate4($C$54,$AA58,$C$55,$C$64,$C$65,$C$66,$C$67,$C$68,$C$69,$C$70,$C$74,$C$75,$D$64,$D$65,$D$66,$D$67,$D$68,$D$69,$D$70,$D$71,$D$72,$D$73,$D$74,$D$75,$C$56,$C$57,$C$58,$D$59,$C$60),"")</f>
        <v>1.1759763998696425E-2</v>
      </c>
      <c r="AD58" s="229">
        <f t="shared" ca="1" si="13"/>
        <v>6.1247639986964251E-3</v>
      </c>
      <c r="AE58" s="230">
        <f t="shared" ca="1" si="14"/>
        <v>61.247639986964252</v>
      </c>
      <c r="AG58" s="224" t="s">
        <v>113</v>
      </c>
      <c r="AH58" s="255">
        <f ca="1">IF(NOW(),_xll.mirSwapPV($C$51,$C$52,$C$54,$AA58,$C$55,$AC58+AH$51,$C$64,$C$65,$C$66,$C$67,$C$68,$C$69,$C$70,$C$74,$C$75,$D$63,$D$64,$D$65,$D$66,$D$67,$D$68,$D$69,$D$70,$D$71,$D$72,$D$73,$D$74,$D$75,$C$56,$C$57,$C$58,$D$59,$C$60),"")</f>
        <v>-438252.52539896453</v>
      </c>
      <c r="AI58" s="255">
        <f ca="1">IF(NOW(),_xll.mirSwapPV($C$51,$C$52,$C$54,$AA58,$C$55,$AC58+AI$51,$C$64,$C$65,$C$66,$C$67,$C$68,$C$69,$C$70,$C$74,$C$75,$D$63,$D$64,$D$65,$D$66,$D$67,$D$68,$D$69,$D$70,$D$71,$D$72,$D$73,$D$74,$D$75,$C$56,$C$57,$C$58,$D$59,$C$60),"")</f>
        <v>-350602.0203191716</v>
      </c>
      <c r="AJ58" s="255">
        <f ca="1">IF(NOW(),_xll.mirSwapPV($C$51,$C$52,$C$54,$AA58,$C$55,$AC58+AJ$51,$C$64,$C$65,$C$66,$C$67,$C$68,$C$69,$C$70,$C$74,$C$75,$D$63,$D$64,$D$65,$D$66,$D$67,$D$68,$D$69,$D$70,$D$71,$D$72,$D$73,$D$74,$D$75,$C$56,$C$57,$C$58,$D$59,$C$60),"")</f>
        <v>-262951.51523937873</v>
      </c>
      <c r="AK58" s="255">
        <f ca="1">IF(NOW(),_xll.mirSwapPV($C$51,$C$52,$C$54,$AA58,$C$55,$AC58+AK$51,$C$64,$C$65,$C$66,$C$67,$C$68,$C$69,$C$70,$C$74,$C$75,$D$63,$D$64,$D$65,$D$66,$D$67,$D$68,$D$69,$D$70,$D$71,$D$72,$D$73,$D$74,$D$75,$C$56,$C$57,$C$58,$D$59,$C$60),"")</f>
        <v>-175301.01015958577</v>
      </c>
      <c r="AL58" s="255">
        <f ca="1">IF(NOW(),_xll.mirSwapPV($C$51,$C$52,$C$54,$AA58,$C$55,$AC58+AL$51,$C$64,$C$65,$C$66,$C$67,$C$68,$C$69,$C$70,$C$74,$C$75,$D$63,$D$64,$D$65,$D$66,$D$67,$D$68,$D$69,$D$70,$D$71,$D$72,$D$73,$D$74,$D$75,$C$56,$C$57,$C$58,$D$59,$C$60),"")</f>
        <v>-87650.505079792871</v>
      </c>
      <c r="AM58" s="255">
        <f ca="1">IF(NOW(),_xll.mirSwapPV($C$51,$C$52,$C$54,$AA58,$C$55,$AC58+AM$51,$C$64,$C$65,$C$66,$C$67,$C$68,$C$69,$C$70,$C$74,$C$75,$D$63,$D$64,$D$65,$D$66,$D$67,$D$68,$D$69,$D$70,$D$71,$D$72,$D$73,$D$74,$D$75,$C$56,$C$57,$C$58,$D$59,$C$60),"")</f>
        <v>0</v>
      </c>
      <c r="AN58" s="255">
        <f ca="1">IF(NOW(),_xll.mirSwapPV($C$51,$C$52,$C$54,$AA58,$C$55,$AC58+AN$51,$C$64,$C$65,$C$66,$C$67,$C$68,$C$69,$C$70,$C$74,$C$75,$D$63,$D$64,$D$65,$D$66,$D$67,$D$68,$D$69,$D$70,$D$71,$D$72,$D$73,$D$74,$D$75,$C$56,$C$57,$C$58,$D$59,$C$60),"")</f>
        <v>87650.5050797929</v>
      </c>
      <c r="AO58" s="255">
        <f ca="1">IF(NOW(),_xll.mirSwapPV($C$51,$C$52,$C$54,$AA58,$C$55,$AC58+AO$51,$C$64,$C$65,$C$66,$C$67,$C$68,$C$69,$C$70,$C$74,$C$75,$D$63,$D$64,$D$65,$D$66,$D$67,$D$68,$D$69,$D$70,$D$71,$D$72,$D$73,$D$74,$D$75,$C$56,$C$57,$C$58,$D$59,$C$60),"")</f>
        <v>175301.01015958577</v>
      </c>
      <c r="AP58" s="255">
        <f ca="1">IF(NOW(),_xll.mirSwapPV($C$51,$C$52,$C$54,$AA58,$C$55,$AC58+AP$51,$C$64,$C$65,$C$66,$C$67,$C$68,$C$69,$C$70,$C$74,$C$75,$D$63,$D$64,$D$65,$D$66,$D$67,$D$68,$D$69,$D$70,$D$71,$D$72,$D$73,$D$74,$D$75,$C$56,$C$57,$C$58,$D$59,$C$60),"")</f>
        <v>262951.51523937867</v>
      </c>
      <c r="AQ58" s="255">
        <f ca="1">IF(NOW(),_xll.mirSwapPV($C$51,$C$52,$C$54,$AA58,$C$55,$AC58+AQ$51,$C$64,$C$65,$C$66,$C$67,$C$68,$C$69,$C$70,$C$74,$C$75,$D$63,$D$64,$D$65,$D$66,$D$67,$D$68,$D$69,$D$70,$D$71,$D$72,$D$73,$D$74,$D$75,$C$56,$C$57,$C$58,$D$59,$C$60),"")</f>
        <v>350602.02031917154</v>
      </c>
      <c r="AR58" s="255">
        <f ca="1">IF(NOW(),_xll.mirSwapPV($C$51,$C$52,$C$54,$AA58,$C$55,$AC58+AR$51,$C$64,$C$65,$C$66,$C$67,$C$68,$C$69,$C$70,$C$74,$C$75,$D$63,$D$64,$D$65,$D$66,$D$67,$D$68,$D$69,$D$70,$D$71,$D$72,$D$73,$D$74,$D$75,$C$56,$C$57,$C$58,$D$59,$C$60),"")</f>
        <v>438252.52539896441</v>
      </c>
    </row>
    <row r="59" spans="2:44">
      <c r="B59" s="234" t="s">
        <v>437</v>
      </c>
      <c r="C59" s="236" t="b">
        <v>1</v>
      </c>
      <c r="D59" s="236" t="b">
        <v>0</v>
      </c>
      <c r="F59" s="224" t="s">
        <v>28</v>
      </c>
      <c r="G59" s="227">
        <f>_xll.mirGetDate($C$6,F59)</f>
        <v>45853</v>
      </c>
      <c r="H59" s="260">
        <f t="shared" si="15"/>
        <v>6.3549999999999995E-3</v>
      </c>
      <c r="I59" s="229">
        <f ca="1">IF(NOW(),_xll.mirGetParRate4($C$54,$G59,$C$55,$C$64,$C$65,$C$66,$C$67,$C$68,$C$69,$C$70,$C$74,$C$75,$D$64,$D$65,$D$66,$D$67,$D$68,$D$69,$D$70,$D$71,$D$72,$D$73,$D$74,$D$75,$C$56,$C$57,$C$58,$C$59,$C$60),"")</f>
        <v>1.2897136149301384E-2</v>
      </c>
      <c r="J59" s="229">
        <f t="shared" ca="1" si="11"/>
        <v>6.5421361493013842E-3</v>
      </c>
      <c r="K59" s="230">
        <f t="shared" ca="1" si="12"/>
        <v>65.421361493013848</v>
      </c>
      <c r="L59" s="230" t="s">
        <v>12</v>
      </c>
      <c r="M59" s="224" t="s">
        <v>28</v>
      </c>
      <c r="N59" s="255">
        <f ca="1">IF(NOW(),_xll.mirSwapPV($C$51,$C$52,$C$54,$G59,$C$55,$I59+N$51,$C$64,$C$65,$C$66,$C$67,$C$68,$C$69,$C$70,$C$74,$C$75,$D$63,$D$64,$D$65,$D$66,$D$67,$D$68,$D$69,$D$70,$D$71,$D$72,$D$73,$D$74,$D$75,$C$56,$C$57,$C$58,$C$59,$C$60),"")</f>
        <v>-483168.64497448754</v>
      </c>
      <c r="O59" s="255">
        <f ca="1">IF(NOW(),_xll.mirSwapPV($C$51,$C$52,$C$54,$G59,$C$55,$I59+O$51,$C$64,$C$65,$C$66,$C$67,$C$68,$C$69,$C$70,$C$74,$C$75,$D$63,$D$64,$D$65,$D$66,$D$67,$D$68,$D$69,$D$70,$D$71,$D$72,$D$73,$D$74,$D$75,$C$56,$C$57,$C$58,$C$59,$C$60),"")</f>
        <v>-386534.91597958998</v>
      </c>
      <c r="P59" s="255">
        <f ca="1">IF(NOW(),_xll.mirSwapPV($C$51,$C$52,$C$54,$G59,$C$55,$I59+P$51,$C$64,$C$65,$C$66,$C$67,$C$68,$C$69,$C$70,$C$74,$C$75,$D$63,$D$64,$D$65,$D$66,$D$67,$D$68,$D$69,$D$70,$D$71,$D$72,$D$73,$D$74,$D$75,$C$56,$C$57,$C$58,$C$59,$C$60),"")</f>
        <v>-289901.18698469247</v>
      </c>
      <c r="Q59" s="255">
        <f ca="1">IF(NOW(),_xll.mirSwapPV($C$51,$C$52,$C$54,$G59,$C$55,$I59+Q$51,$C$64,$C$65,$C$66,$C$67,$C$68,$C$69,$C$70,$C$74,$C$75,$D$63,$D$64,$D$65,$D$66,$D$67,$D$68,$D$69,$D$70,$D$71,$D$72,$D$73,$D$74,$D$75,$C$56,$C$57,$C$58,$C$59,$C$60),"")</f>
        <v>-193267.45798979493</v>
      </c>
      <c r="R59" s="255">
        <f ca="1">IF(NOW(),_xll.mirSwapPV($C$51,$C$52,$C$54,$G59,$C$55,$I59+R$51,$C$64,$C$65,$C$66,$C$67,$C$68,$C$69,$C$70,$C$74,$C$75,$D$63,$D$64,$D$65,$D$66,$D$67,$D$68,$D$69,$D$70,$D$71,$D$72,$D$73,$D$74,$D$75,$C$56,$C$57,$C$58,$C$59,$C$60),"")</f>
        <v>-96633.728994897465</v>
      </c>
      <c r="S59" s="255">
        <f ca="1">IF(NOW(),_xll.mirSwapPV($C$51,$C$52,$C$54,$G59,$C$55,$I59+S$51,$C$64,$C$65,$C$66,$C$67,$C$68,$C$69,$C$70,$C$74,$C$75,$D$63,$D$64,$D$65,$D$66,$D$67,$D$68,$D$69,$D$70,$D$71,$D$72,$D$73,$D$74,$D$75,$C$56,$C$57,$C$58,$C$59,$C$60),"")</f>
        <v>-1.3877787807814457E-11</v>
      </c>
      <c r="T59" s="255">
        <f ca="1">IF(NOW(),_xll.mirSwapPV($C$51,$C$52,$C$54,$G59,$C$55,$I59+T$51,$C$64,$C$65,$C$66,$C$67,$C$68,$C$69,$C$70,$C$74,$C$75,$D$63,$D$64,$D$65,$D$66,$D$67,$D$68,$D$69,$D$70,$D$71,$D$72,$D$73,$D$74,$D$75,$C$56,$C$57,$C$58,$C$59,$C$60),"")</f>
        <v>96633.728994897465</v>
      </c>
      <c r="U59" s="255">
        <f ca="1">IF(NOW(),_xll.mirSwapPV($C$51,$C$52,$C$54,$G59,$C$55,$I59+U$51,$C$64,$C$65,$C$66,$C$67,$C$68,$C$69,$C$70,$C$74,$C$75,$D$63,$D$64,$D$65,$D$66,$D$67,$D$68,$D$69,$D$70,$D$71,$D$72,$D$73,$D$74,$D$75,$C$56,$C$57,$C$58,$C$59,$C$60),"")</f>
        <v>193267.45798979493</v>
      </c>
      <c r="V59" s="255">
        <f ca="1">IF(NOW(),_xll.mirSwapPV($C$51,$C$52,$C$54,$G59,$C$55,$I59+V$51,$C$64,$C$65,$C$66,$C$67,$C$68,$C$69,$C$70,$C$74,$C$75,$D$63,$D$64,$D$65,$D$66,$D$67,$D$68,$D$69,$D$70,$D$71,$D$72,$D$73,$D$74,$D$75,$C$56,$C$57,$C$58,$C$59,$C$60),"")</f>
        <v>289901.18698469241</v>
      </c>
      <c r="W59" s="255">
        <f ca="1">IF(NOW(),_xll.mirSwapPV($C$51,$C$52,$C$54,$G59,$C$55,$I59+W$51,$C$64,$C$65,$C$66,$C$67,$C$68,$C$69,$C$70,$C$74,$C$75,$D$63,$D$64,$D$65,$D$66,$D$67,$D$68,$D$69,$D$70,$D$71,$D$72,$D$73,$D$74,$D$75,$C$56,$C$57,$C$58,$C$59,$C$60),"")</f>
        <v>386534.91597958998</v>
      </c>
      <c r="X59" s="255">
        <f ca="1">IF(NOW(),_xll.mirSwapPV($C$51,$C$52,$C$54,$G59,$C$55,$I59+X$51,$C$64,$C$65,$C$66,$C$67,$C$68,$C$69,$C$70,$C$74,$C$75,$D$63,$D$64,$D$65,$D$66,$D$67,$D$68,$D$69,$D$70,$D$71,$D$72,$D$73,$D$74,$D$75,$C$56,$C$57,$C$58,$C$59,$C$60),"")</f>
        <v>483168.64497448743</v>
      </c>
      <c r="Y59" s="230" t="s">
        <v>12</v>
      </c>
      <c r="Z59" s="224" t="s">
        <v>28</v>
      </c>
      <c r="AA59" s="227">
        <f>_xll.mirGetDate($C$6,Z59)</f>
        <v>45853</v>
      </c>
      <c r="AB59" s="260">
        <f t="shared" si="16"/>
        <v>6.3549999999999995E-3</v>
      </c>
      <c r="AC59" s="229">
        <f ca="1">IF(NOW(),_xll.mirGetParRate4($C$54,$AA59,$C$55,$C$64,$C$65,$C$66,$C$67,$C$68,$C$69,$C$70,$C$74,$C$75,$D$64,$D$65,$D$66,$D$67,$D$68,$D$69,$D$70,$D$71,$D$72,$D$73,$D$74,$D$75,$C$56,$C$57,$C$58,$D$59,$C$60),"")</f>
        <v>1.2897136149301399E-2</v>
      </c>
      <c r="AD59" s="229">
        <f t="shared" ca="1" si="13"/>
        <v>6.5421361493013998E-3</v>
      </c>
      <c r="AE59" s="230">
        <f t="shared" ca="1" si="14"/>
        <v>65.421361493014004</v>
      </c>
      <c r="AG59" s="224" t="s">
        <v>28</v>
      </c>
      <c r="AH59" s="255">
        <f ca="1">IF(NOW(),_xll.mirSwapPV($C$51,$C$52,$C$54,$AA59,$C$55,$AC59+AH$51,$C$64,$C$65,$C$66,$C$67,$C$68,$C$69,$C$70,$C$74,$C$75,$D$63,$D$64,$D$65,$D$66,$D$67,$D$68,$D$69,$D$70,$D$71,$D$72,$D$73,$D$74,$D$75,$C$56,$C$57,$C$58,$D$59,$C$60),"")</f>
        <v>-483168.64497448748</v>
      </c>
      <c r="AI59" s="255">
        <f ca="1">IF(NOW(),_xll.mirSwapPV($C$51,$C$52,$C$54,$AA59,$C$55,$AC59+AI$51,$C$64,$C$65,$C$66,$C$67,$C$68,$C$69,$C$70,$C$74,$C$75,$D$63,$D$64,$D$65,$D$66,$D$67,$D$68,$D$69,$D$70,$D$71,$D$72,$D$73,$D$74,$D$75,$C$56,$C$57,$C$58,$D$59,$C$60),"")</f>
        <v>-386534.91597958992</v>
      </c>
      <c r="AJ59" s="255">
        <f ca="1">IF(NOW(),_xll.mirSwapPV($C$51,$C$52,$C$54,$AA59,$C$55,$AC59+AJ$51,$C$64,$C$65,$C$66,$C$67,$C$68,$C$69,$C$70,$C$74,$C$75,$D$63,$D$64,$D$65,$D$66,$D$67,$D$68,$D$69,$D$70,$D$71,$D$72,$D$73,$D$74,$D$75,$C$56,$C$57,$C$58,$D$59,$C$60),"")</f>
        <v>-289901.18698469247</v>
      </c>
      <c r="AK59" s="255">
        <f ca="1">IF(NOW(),_xll.mirSwapPV($C$51,$C$52,$C$54,$AA59,$C$55,$AC59+AK$51,$C$64,$C$65,$C$66,$C$67,$C$68,$C$69,$C$70,$C$74,$C$75,$D$63,$D$64,$D$65,$D$66,$D$67,$D$68,$D$69,$D$70,$D$71,$D$72,$D$73,$D$74,$D$75,$C$56,$C$57,$C$58,$D$59,$C$60),"")</f>
        <v>-193267.45798979493</v>
      </c>
      <c r="AL59" s="255">
        <f ca="1">IF(NOW(),_xll.mirSwapPV($C$51,$C$52,$C$54,$AA59,$C$55,$AC59+AL$51,$C$64,$C$65,$C$66,$C$67,$C$68,$C$69,$C$70,$C$74,$C$75,$D$63,$D$64,$D$65,$D$66,$D$67,$D$68,$D$69,$D$70,$D$71,$D$72,$D$73,$D$74,$D$75,$C$56,$C$57,$C$58,$D$59,$C$60),"")</f>
        <v>-96633.728994897465</v>
      </c>
      <c r="AM59" s="255">
        <f ca="1">IF(NOW(),_xll.mirSwapPV($C$51,$C$52,$C$54,$AA59,$C$55,$AC59+AM$51,$C$64,$C$65,$C$66,$C$67,$C$68,$C$69,$C$70,$C$74,$C$75,$D$63,$D$64,$D$65,$D$66,$D$67,$D$68,$D$69,$D$70,$D$71,$D$72,$D$73,$D$74,$D$75,$C$56,$C$57,$C$58,$D$59,$C$60),"")</f>
        <v>0</v>
      </c>
      <c r="AN59" s="255">
        <f ca="1">IF(NOW(),_xll.mirSwapPV($C$51,$C$52,$C$54,$AA59,$C$55,$AC59+AN$51,$C$64,$C$65,$C$66,$C$67,$C$68,$C$69,$C$70,$C$74,$C$75,$D$63,$D$64,$D$65,$D$66,$D$67,$D$68,$D$69,$D$70,$D$71,$D$72,$D$73,$D$74,$D$75,$C$56,$C$57,$C$58,$D$59,$C$60),"")</f>
        <v>96633.728994897479</v>
      </c>
      <c r="AO59" s="255">
        <f ca="1">IF(NOW(),_xll.mirSwapPV($C$51,$C$52,$C$54,$AA59,$C$55,$AC59+AO$51,$C$64,$C$65,$C$66,$C$67,$C$68,$C$69,$C$70,$C$74,$C$75,$D$63,$D$64,$D$65,$D$66,$D$67,$D$68,$D$69,$D$70,$D$71,$D$72,$D$73,$D$74,$D$75,$C$56,$C$57,$C$58,$D$59,$C$60),"")</f>
        <v>193267.45798979499</v>
      </c>
      <c r="AP59" s="255">
        <f ca="1">IF(NOW(),_xll.mirSwapPV($C$51,$C$52,$C$54,$AA59,$C$55,$AC59+AP$51,$C$64,$C$65,$C$66,$C$67,$C$68,$C$69,$C$70,$C$74,$C$75,$D$63,$D$64,$D$65,$D$66,$D$67,$D$68,$D$69,$D$70,$D$71,$D$72,$D$73,$D$74,$D$75,$C$56,$C$57,$C$58,$D$59,$C$60),"")</f>
        <v>289901.18698469253</v>
      </c>
      <c r="AQ59" s="255">
        <f ca="1">IF(NOW(),_xll.mirSwapPV($C$51,$C$52,$C$54,$AA59,$C$55,$AC59+AQ$51,$C$64,$C$65,$C$66,$C$67,$C$68,$C$69,$C$70,$C$74,$C$75,$D$63,$D$64,$D$65,$D$66,$D$67,$D$68,$D$69,$D$70,$D$71,$D$72,$D$73,$D$74,$D$75,$C$56,$C$57,$C$58,$D$59,$C$60),"")</f>
        <v>386534.91597958998</v>
      </c>
      <c r="AR59" s="255">
        <f ca="1">IF(NOW(),_xll.mirSwapPV($C$51,$C$52,$C$54,$AA59,$C$55,$AC59+AR$51,$C$64,$C$65,$C$66,$C$67,$C$68,$C$69,$C$70,$C$74,$C$75,$D$63,$D$64,$D$65,$D$66,$D$67,$D$68,$D$69,$D$70,$D$71,$D$72,$D$73,$D$74,$D$75,$C$56,$C$57,$C$58,$D$59,$C$60),"")</f>
        <v>483168.64497448743</v>
      </c>
    </row>
    <row r="60" spans="2:44">
      <c r="B60" s="225" t="s">
        <v>438</v>
      </c>
      <c r="C60" s="237" t="b">
        <v>1</v>
      </c>
      <c r="D60" s="237"/>
      <c r="F60" s="224" t="s">
        <v>26</v>
      </c>
      <c r="G60" s="227">
        <f>_xll.mirGetDate($C$6,F60)</f>
        <v>46583</v>
      </c>
      <c r="H60" s="260">
        <f t="shared" si="15"/>
        <v>7.8000000000000005E-3</v>
      </c>
      <c r="I60" s="229">
        <f ca="1">IF(NOW(),_xll.mirGetParRate4($C$54,$G60,$C$55,$C$64,$C$65,$C$66,$C$67,$C$68,$C$69,$C$70,$C$74,$C$75,$D$64,$D$65,$D$66,$D$67,$D$68,$D$69,$D$70,$D$71,$D$72,$D$73,$D$74,$D$75,$C$56,$C$57,$C$58,$C$59,$C$60),"")</f>
        <v>1.4748266195661528E-2</v>
      </c>
      <c r="J60" s="229">
        <f t="shared" ca="1" si="11"/>
        <v>6.9482661956615276E-3</v>
      </c>
      <c r="K60" s="230">
        <f t="shared" ca="1" si="12"/>
        <v>69.482661956615274</v>
      </c>
      <c r="L60" s="230" t="s">
        <v>12</v>
      </c>
      <c r="M60" s="224" t="s">
        <v>26</v>
      </c>
      <c r="N60" s="255">
        <f ca="1">IF(NOW(),_xll.mirSwapPV($C$51,$C$52,$C$54,$G60,$C$55,$I60+N$51,$C$64,$C$65,$C$66,$C$67,$C$68,$C$69,$C$70,$C$74,$C$75,$D$63,$D$64,$D$65,$D$66,$D$67,$D$68,$D$69,$D$70,$D$71,$D$72,$D$73,$D$74,$D$75,$C$56,$C$57,$C$58,$C$59,$C$60),"")</f>
        <v>-569938.0308485931</v>
      </c>
      <c r="O60" s="255">
        <f ca="1">IF(NOW(),_xll.mirSwapPV($C$51,$C$52,$C$54,$G60,$C$55,$I60+O$51,$C$64,$C$65,$C$66,$C$67,$C$68,$C$69,$C$70,$C$74,$C$75,$D$63,$D$64,$D$65,$D$66,$D$67,$D$68,$D$69,$D$70,$D$71,$D$72,$D$73,$D$74,$D$75,$C$56,$C$57,$C$58,$C$59,$C$60),"")</f>
        <v>-455950.42467887449</v>
      </c>
      <c r="P60" s="255">
        <f ca="1">IF(NOW(),_xll.mirSwapPV($C$51,$C$52,$C$54,$G60,$C$55,$I60+P$51,$C$64,$C$65,$C$66,$C$67,$C$68,$C$69,$C$70,$C$74,$C$75,$D$63,$D$64,$D$65,$D$66,$D$67,$D$68,$D$69,$D$70,$D$71,$D$72,$D$73,$D$74,$D$75,$C$56,$C$57,$C$58,$C$59,$C$60),"")</f>
        <v>-341962.81850915583</v>
      </c>
      <c r="Q60" s="255">
        <f ca="1">IF(NOW(),_xll.mirSwapPV($C$51,$C$52,$C$54,$G60,$C$55,$I60+Q$51,$C$64,$C$65,$C$66,$C$67,$C$68,$C$69,$C$70,$C$74,$C$75,$D$63,$D$64,$D$65,$D$66,$D$67,$D$68,$D$69,$D$70,$D$71,$D$72,$D$73,$D$74,$D$75,$C$56,$C$57,$C$58,$C$59,$C$60),"")</f>
        <v>-227975.21233943719</v>
      </c>
      <c r="R60" s="255">
        <f ca="1">IF(NOW(),_xll.mirSwapPV($C$51,$C$52,$C$54,$G60,$C$55,$I60+R$51,$C$64,$C$65,$C$66,$C$67,$C$68,$C$69,$C$70,$C$74,$C$75,$D$63,$D$64,$D$65,$D$66,$D$67,$D$68,$D$69,$D$70,$D$71,$D$72,$D$73,$D$74,$D$75,$C$56,$C$57,$C$58,$C$59,$C$60),"")</f>
        <v>-113987.60616971858</v>
      </c>
      <c r="S60" s="255">
        <f ca="1">IF(NOW(),_xll.mirSwapPV($C$51,$C$52,$C$54,$G60,$C$55,$I60+S$51,$C$64,$C$65,$C$66,$C$67,$C$68,$C$69,$C$70,$C$74,$C$75,$D$63,$D$64,$D$65,$D$66,$D$67,$D$68,$D$69,$D$70,$D$71,$D$72,$D$73,$D$74,$D$75,$C$56,$C$57,$C$58,$C$59,$C$60),"")</f>
        <v>0</v>
      </c>
      <c r="T60" s="255">
        <f ca="1">IF(NOW(),_xll.mirSwapPV($C$51,$C$52,$C$54,$G60,$C$55,$I60+T$51,$C$64,$C$65,$C$66,$C$67,$C$68,$C$69,$C$70,$C$74,$C$75,$D$63,$D$64,$D$65,$D$66,$D$67,$D$68,$D$69,$D$70,$D$71,$D$72,$D$73,$D$74,$D$75,$C$56,$C$57,$C$58,$C$59,$C$60),"")</f>
        <v>113987.60616971859</v>
      </c>
      <c r="U60" s="255">
        <f ca="1">IF(NOW(),_xll.mirSwapPV($C$51,$C$52,$C$54,$G60,$C$55,$I60+U$51,$C$64,$C$65,$C$66,$C$67,$C$68,$C$69,$C$70,$C$74,$C$75,$D$63,$D$64,$D$65,$D$66,$D$67,$D$68,$D$69,$D$70,$D$71,$D$72,$D$73,$D$74,$D$75,$C$56,$C$57,$C$58,$C$59,$C$60),"")</f>
        <v>227975.21233943725</v>
      </c>
      <c r="V60" s="255">
        <f ca="1">IF(NOW(),_xll.mirSwapPV($C$51,$C$52,$C$54,$G60,$C$55,$I60+V$51,$C$64,$C$65,$C$66,$C$67,$C$68,$C$69,$C$70,$C$74,$C$75,$D$63,$D$64,$D$65,$D$66,$D$67,$D$68,$D$69,$D$70,$D$71,$D$72,$D$73,$D$74,$D$75,$C$56,$C$57,$C$58,$C$59,$C$60),"")</f>
        <v>341962.81850915577</v>
      </c>
      <c r="W60" s="255">
        <f ca="1">IF(NOW(),_xll.mirSwapPV($C$51,$C$52,$C$54,$G60,$C$55,$I60+W$51,$C$64,$C$65,$C$66,$C$67,$C$68,$C$69,$C$70,$C$74,$C$75,$D$63,$D$64,$D$65,$D$66,$D$67,$D$68,$D$69,$D$70,$D$71,$D$72,$D$73,$D$74,$D$75,$C$56,$C$57,$C$58,$C$59,$C$60),"")</f>
        <v>455950.42467887449</v>
      </c>
      <c r="X60" s="255">
        <f ca="1">IF(NOW(),_xll.mirSwapPV($C$51,$C$52,$C$54,$G60,$C$55,$I60+X$51,$C$64,$C$65,$C$66,$C$67,$C$68,$C$69,$C$70,$C$74,$C$75,$D$63,$D$64,$D$65,$D$66,$D$67,$D$68,$D$69,$D$70,$D$71,$D$72,$D$73,$D$74,$D$75,$C$56,$C$57,$C$58,$C$59,$C$60),"")</f>
        <v>569938.0308485931</v>
      </c>
      <c r="Y60" s="230" t="s">
        <v>12</v>
      </c>
      <c r="Z60" s="224" t="s">
        <v>26</v>
      </c>
      <c r="AA60" s="227">
        <f>_xll.mirGetDate($C$6,Z60)</f>
        <v>46583</v>
      </c>
      <c r="AB60" s="260">
        <f t="shared" si="16"/>
        <v>7.8000000000000005E-3</v>
      </c>
      <c r="AC60" s="229">
        <f ca="1">IF(NOW(),_xll.mirGetParRate4($C$54,$AA60,$C$55,$C$64,$C$65,$C$66,$C$67,$C$68,$C$69,$C$70,$C$74,$C$75,$D$64,$D$65,$D$66,$D$67,$D$68,$D$69,$D$70,$D$71,$D$72,$D$73,$D$74,$D$75,$C$56,$C$57,$C$58,$D$59,$C$60),"")</f>
        <v>1.4748266195661539E-2</v>
      </c>
      <c r="AD60" s="229">
        <f t="shared" ca="1" si="13"/>
        <v>6.948266195661538E-3</v>
      </c>
      <c r="AE60" s="230">
        <f t="shared" ca="1" si="14"/>
        <v>69.482661956615374</v>
      </c>
      <c r="AG60" s="224" t="s">
        <v>26</v>
      </c>
      <c r="AH60" s="255">
        <f ca="1">IF(NOW(),_xll.mirSwapPV($C$51,$C$52,$C$54,$AA60,$C$55,$AC60+AH$51,$C$64,$C$65,$C$66,$C$67,$C$68,$C$69,$C$70,$C$74,$C$75,$D$63,$D$64,$D$65,$D$66,$D$67,$D$68,$D$69,$D$70,$D$71,$D$72,$D$73,$D$74,$D$75,$C$56,$C$57,$C$58,$D$59,$C$60),"")</f>
        <v>-569938.0308485931</v>
      </c>
      <c r="AI60" s="255">
        <f ca="1">IF(NOW(),_xll.mirSwapPV($C$51,$C$52,$C$54,$AA60,$C$55,$AC60+AI$51,$C$64,$C$65,$C$66,$C$67,$C$68,$C$69,$C$70,$C$74,$C$75,$D$63,$D$64,$D$65,$D$66,$D$67,$D$68,$D$69,$D$70,$D$71,$D$72,$D$73,$D$74,$D$75,$C$56,$C$57,$C$58,$D$59,$C$60),"")</f>
        <v>-455950.42467887449</v>
      </c>
      <c r="AJ60" s="255">
        <f ca="1">IF(NOW(),_xll.mirSwapPV($C$51,$C$52,$C$54,$AA60,$C$55,$AC60+AJ$51,$C$64,$C$65,$C$66,$C$67,$C$68,$C$69,$C$70,$C$74,$C$75,$D$63,$D$64,$D$65,$D$66,$D$67,$D$68,$D$69,$D$70,$D$71,$D$72,$D$73,$D$74,$D$75,$C$56,$C$57,$C$58,$D$59,$C$60),"")</f>
        <v>-341962.81850915583</v>
      </c>
      <c r="AK60" s="255">
        <f ca="1">IF(NOW(),_xll.mirSwapPV($C$51,$C$52,$C$54,$AA60,$C$55,$AC60+AK$51,$C$64,$C$65,$C$66,$C$67,$C$68,$C$69,$C$70,$C$74,$C$75,$D$63,$D$64,$D$65,$D$66,$D$67,$D$68,$D$69,$D$70,$D$71,$D$72,$D$73,$D$74,$D$75,$C$56,$C$57,$C$58,$D$59,$C$60),"")</f>
        <v>-227975.21233943719</v>
      </c>
      <c r="AL60" s="255">
        <f ca="1">IF(NOW(),_xll.mirSwapPV($C$51,$C$52,$C$54,$AA60,$C$55,$AC60+AL$51,$C$64,$C$65,$C$66,$C$67,$C$68,$C$69,$C$70,$C$74,$C$75,$D$63,$D$64,$D$65,$D$66,$D$67,$D$68,$D$69,$D$70,$D$71,$D$72,$D$73,$D$74,$D$75,$C$56,$C$57,$C$58,$D$59,$C$60),"")</f>
        <v>-113987.60616971857</v>
      </c>
      <c r="AM60" s="255">
        <f ca="1">IF(NOW(),_xll.mirSwapPV($C$51,$C$52,$C$54,$AA60,$C$55,$AC60+AM$51,$C$64,$C$65,$C$66,$C$67,$C$68,$C$69,$C$70,$C$74,$C$75,$D$63,$D$64,$D$65,$D$66,$D$67,$D$68,$D$69,$D$70,$D$71,$D$72,$D$73,$D$74,$D$75,$C$56,$C$57,$C$58,$D$59,$C$60),"")</f>
        <v>0</v>
      </c>
      <c r="AN60" s="255">
        <f ca="1">IF(NOW(),_xll.mirSwapPV($C$51,$C$52,$C$54,$AA60,$C$55,$AC60+AN$51,$C$64,$C$65,$C$66,$C$67,$C$68,$C$69,$C$70,$C$74,$C$75,$D$63,$D$64,$D$65,$D$66,$D$67,$D$68,$D$69,$D$70,$D$71,$D$72,$D$73,$D$74,$D$75,$C$56,$C$57,$C$58,$D$59,$C$60),"")</f>
        <v>113987.60616971865</v>
      </c>
      <c r="AO60" s="255">
        <f ca="1">IF(NOW(),_xll.mirSwapPV($C$51,$C$52,$C$54,$AA60,$C$55,$AC60+AO$51,$C$64,$C$65,$C$66,$C$67,$C$68,$C$69,$C$70,$C$74,$C$75,$D$63,$D$64,$D$65,$D$66,$D$67,$D$68,$D$69,$D$70,$D$71,$D$72,$D$73,$D$74,$D$75,$C$56,$C$57,$C$58,$D$59,$C$60),"")</f>
        <v>227975.2123394373</v>
      </c>
      <c r="AP60" s="255">
        <f ca="1">IF(NOW(),_xll.mirSwapPV($C$51,$C$52,$C$54,$AA60,$C$55,$AC60+AP$51,$C$64,$C$65,$C$66,$C$67,$C$68,$C$69,$C$70,$C$74,$C$75,$D$63,$D$64,$D$65,$D$66,$D$67,$D$68,$D$69,$D$70,$D$71,$D$72,$D$73,$D$74,$D$75,$C$56,$C$57,$C$58,$D$59,$C$60),"")</f>
        <v>341962.81850915588</v>
      </c>
      <c r="AQ60" s="255">
        <f ca="1">IF(NOW(),_xll.mirSwapPV($C$51,$C$52,$C$54,$AA60,$C$55,$AC60+AQ$51,$C$64,$C$65,$C$66,$C$67,$C$68,$C$69,$C$70,$C$74,$C$75,$D$63,$D$64,$D$65,$D$66,$D$67,$D$68,$D$69,$D$70,$D$71,$D$72,$D$73,$D$74,$D$75,$C$56,$C$57,$C$58,$D$59,$C$60),"")</f>
        <v>455950.42467887449</v>
      </c>
      <c r="AR60" s="255">
        <f ca="1">IF(NOW(),_xll.mirSwapPV($C$51,$C$52,$C$54,$AA60,$C$55,$AC60+AR$51,$C$64,$C$65,$C$66,$C$67,$C$68,$C$69,$C$70,$C$74,$C$75,$D$63,$D$64,$D$65,$D$66,$D$67,$D$68,$D$69,$D$70,$D$71,$D$72,$D$73,$D$74,$D$75,$C$56,$C$57,$C$58,$D$59,$C$60),"")</f>
        <v>569938.0308485931</v>
      </c>
    </row>
    <row r="61" spans="2:44">
      <c r="F61" s="224" t="s">
        <v>24</v>
      </c>
      <c r="G61" s="227">
        <f>_xll.mirGetDate($C$6,F61)</f>
        <v>47679</v>
      </c>
      <c r="H61" s="260">
        <f t="shared" si="15"/>
        <v>9.9500000000000005E-3</v>
      </c>
      <c r="I61" s="229">
        <f ca="1">IF(NOW(),_xll.mirGetParRate4($C$54,$G61,$C$55,$C$64,$C$65,$C$66,$C$67,$C$68,$C$69,$C$70,$C$74,$C$75,$D$64,$D$65,$D$66,$D$67,$D$68,$D$69,$D$70,$D$71,$D$72,$D$73,$D$74,$D$75,$C$56,$C$57,$C$58,$C$59,$C$60),"")</f>
        <v>1.6608493573374475E-2</v>
      </c>
      <c r="J61" s="229">
        <f t="shared" ca="1" si="11"/>
        <v>6.6584935733744743E-3</v>
      </c>
      <c r="K61" s="230">
        <f t="shared" ca="1" si="12"/>
        <v>66.584935733744743</v>
      </c>
      <c r="L61" s="230" t="s">
        <v>12</v>
      </c>
      <c r="M61" s="224" t="s">
        <v>24</v>
      </c>
      <c r="N61" s="255">
        <f ca="1">IF(NOW(),_xll.mirSwapPV($C$51,$C$52,$C$54,$G61,$C$55,$I61+N$51,$C$64,$C$65,$C$66,$C$67,$C$68,$C$69,$C$70,$C$74,$C$75,$D$63,$D$64,$D$65,$D$66,$D$67,$D$68,$D$69,$D$70,$D$71,$D$72,$D$73,$D$74,$D$75,$C$56,$C$57,$C$58,$C$59,$C$60),"")</f>
        <v>-692615.23399544926</v>
      </c>
      <c r="O61" s="255">
        <f ca="1">IF(NOW(),_xll.mirSwapPV($C$51,$C$52,$C$54,$G61,$C$55,$I61+O$51,$C$64,$C$65,$C$66,$C$67,$C$68,$C$69,$C$70,$C$74,$C$75,$D$63,$D$64,$D$65,$D$66,$D$67,$D$68,$D$69,$D$70,$D$71,$D$72,$D$73,$D$74,$D$75,$C$56,$C$57,$C$58,$C$59,$C$60),"")</f>
        <v>-554092.18719635939</v>
      </c>
      <c r="P61" s="255">
        <f ca="1">IF(NOW(),_xll.mirSwapPV($C$51,$C$52,$C$54,$G61,$C$55,$I61+P$51,$C$64,$C$65,$C$66,$C$67,$C$68,$C$69,$C$70,$C$74,$C$75,$D$63,$D$64,$D$65,$D$66,$D$67,$D$68,$D$69,$D$70,$D$71,$D$72,$D$73,$D$74,$D$75,$C$56,$C$57,$C$58,$C$59,$C$60),"")</f>
        <v>-415569.14039726957</v>
      </c>
      <c r="Q61" s="255">
        <f ca="1">IF(NOW(),_xll.mirSwapPV($C$51,$C$52,$C$54,$G61,$C$55,$I61+Q$51,$C$64,$C$65,$C$66,$C$67,$C$68,$C$69,$C$70,$C$74,$C$75,$D$63,$D$64,$D$65,$D$66,$D$67,$D$68,$D$69,$D$70,$D$71,$D$72,$D$73,$D$74,$D$75,$C$56,$C$57,$C$58,$C$59,$C$60),"")</f>
        <v>-277046.09359817969</v>
      </c>
      <c r="R61" s="255">
        <f ca="1">IF(NOW(),_xll.mirSwapPV($C$51,$C$52,$C$54,$G61,$C$55,$I61+R$51,$C$64,$C$65,$C$66,$C$67,$C$68,$C$69,$C$70,$C$74,$C$75,$D$63,$D$64,$D$65,$D$66,$D$67,$D$68,$D$69,$D$70,$D$71,$D$72,$D$73,$D$74,$D$75,$C$56,$C$57,$C$58,$C$59,$C$60),"")</f>
        <v>-138523.04679908985</v>
      </c>
      <c r="S61" s="255">
        <f ca="1">IF(NOW(),_xll.mirSwapPV($C$51,$C$52,$C$54,$G61,$C$55,$I61+S$51,$C$64,$C$65,$C$66,$C$67,$C$68,$C$69,$C$70,$C$74,$C$75,$D$63,$D$64,$D$65,$D$66,$D$67,$D$68,$D$69,$D$70,$D$71,$D$72,$D$73,$D$74,$D$75,$C$56,$C$57,$C$58,$C$59,$C$60),"")</f>
        <v>-2.7755575615628914E-11</v>
      </c>
      <c r="T61" s="255">
        <f ca="1">IF(NOW(),_xll.mirSwapPV($C$51,$C$52,$C$54,$G61,$C$55,$I61+T$51,$C$64,$C$65,$C$66,$C$67,$C$68,$C$69,$C$70,$C$74,$C$75,$D$63,$D$64,$D$65,$D$66,$D$67,$D$68,$D$69,$D$70,$D$71,$D$72,$D$73,$D$74,$D$75,$C$56,$C$57,$C$58,$C$59,$C$60),"")</f>
        <v>138523.04679908985</v>
      </c>
      <c r="U61" s="255">
        <f ca="1">IF(NOW(),_xll.mirSwapPV($C$51,$C$52,$C$54,$G61,$C$55,$I61+U$51,$C$64,$C$65,$C$66,$C$67,$C$68,$C$69,$C$70,$C$74,$C$75,$D$63,$D$64,$D$65,$D$66,$D$67,$D$68,$D$69,$D$70,$D$71,$D$72,$D$73,$D$74,$D$75,$C$56,$C$57,$C$58,$C$59,$C$60),"")</f>
        <v>277046.09359817975</v>
      </c>
      <c r="V61" s="255">
        <f ca="1">IF(NOW(),_xll.mirSwapPV($C$51,$C$52,$C$54,$G61,$C$55,$I61+V$51,$C$64,$C$65,$C$66,$C$67,$C$68,$C$69,$C$70,$C$74,$C$75,$D$63,$D$64,$D$65,$D$66,$D$67,$D$68,$D$69,$D$70,$D$71,$D$72,$D$73,$D$74,$D$75,$C$56,$C$57,$C$58,$C$59,$C$60),"")</f>
        <v>415569.14039726957</v>
      </c>
      <c r="W61" s="255">
        <f ca="1">IF(NOW(),_xll.mirSwapPV($C$51,$C$52,$C$54,$G61,$C$55,$I61+W$51,$C$64,$C$65,$C$66,$C$67,$C$68,$C$69,$C$70,$C$74,$C$75,$D$63,$D$64,$D$65,$D$66,$D$67,$D$68,$D$69,$D$70,$D$71,$D$72,$D$73,$D$74,$D$75,$C$56,$C$57,$C$58,$C$59,$C$60),"")</f>
        <v>554092.18719635939</v>
      </c>
      <c r="X61" s="255">
        <f ca="1">IF(NOW(),_xll.mirSwapPV($C$51,$C$52,$C$54,$G61,$C$55,$I61+X$51,$C$64,$C$65,$C$66,$C$67,$C$68,$C$69,$C$70,$C$74,$C$75,$D$63,$D$64,$D$65,$D$66,$D$67,$D$68,$D$69,$D$70,$D$71,$D$72,$D$73,$D$74,$D$75,$C$56,$C$57,$C$58,$C$59,$C$60),"")</f>
        <v>692615.23399544926</v>
      </c>
      <c r="Y61" s="230" t="s">
        <v>12</v>
      </c>
      <c r="Z61" s="224" t="s">
        <v>24</v>
      </c>
      <c r="AA61" s="227">
        <f>_xll.mirGetDate($C$6,Z61)</f>
        <v>47679</v>
      </c>
      <c r="AB61" s="260">
        <f t="shared" si="16"/>
        <v>9.9500000000000005E-3</v>
      </c>
      <c r="AC61" s="229">
        <f ca="1">IF(NOW(),_xll.mirGetParRate4($C$54,$AA61,$C$55,$C$64,$C$65,$C$66,$C$67,$C$68,$C$69,$C$70,$C$74,$C$75,$D$64,$D$65,$D$66,$D$67,$D$68,$D$69,$D$70,$D$71,$D$72,$D$73,$D$74,$D$75,$C$56,$C$57,$C$58,$D$59,$C$60),"")</f>
        <v>1.6608493573374485E-2</v>
      </c>
      <c r="AD61" s="229">
        <f t="shared" ca="1" si="13"/>
        <v>6.6584935733744847E-3</v>
      </c>
      <c r="AE61" s="230">
        <f t="shared" ca="1" si="14"/>
        <v>66.584935733744842</v>
      </c>
      <c r="AG61" s="224" t="s">
        <v>24</v>
      </c>
      <c r="AH61" s="255">
        <f ca="1">IF(NOW(),_xll.mirSwapPV($C$51,$C$52,$C$54,$AA61,$C$55,$AC61+AH$51,$C$64,$C$65,$C$66,$C$67,$C$68,$C$69,$C$70,$C$74,$C$75,$D$63,$D$64,$D$65,$D$66,$D$67,$D$68,$D$69,$D$70,$D$71,$D$72,$D$73,$D$74,$D$75,$C$56,$C$57,$C$58,$D$59,$C$60),"")</f>
        <v>-692615.23399544926</v>
      </c>
      <c r="AI61" s="255">
        <f ca="1">IF(NOW(),_xll.mirSwapPV($C$51,$C$52,$C$54,$AA61,$C$55,$AC61+AI$51,$C$64,$C$65,$C$66,$C$67,$C$68,$C$69,$C$70,$C$74,$C$75,$D$63,$D$64,$D$65,$D$66,$D$67,$D$68,$D$69,$D$70,$D$71,$D$72,$D$73,$D$74,$D$75,$C$56,$C$57,$C$58,$D$59,$C$60),"")</f>
        <v>-554092.18719635939</v>
      </c>
      <c r="AJ61" s="255">
        <f ca="1">IF(NOW(),_xll.mirSwapPV($C$51,$C$52,$C$54,$AA61,$C$55,$AC61+AJ$51,$C$64,$C$65,$C$66,$C$67,$C$68,$C$69,$C$70,$C$74,$C$75,$D$63,$D$64,$D$65,$D$66,$D$67,$D$68,$D$69,$D$70,$D$71,$D$72,$D$73,$D$74,$D$75,$C$56,$C$57,$C$58,$D$59,$C$60),"")</f>
        <v>-415569.14039726951</v>
      </c>
      <c r="AK61" s="255">
        <f ca="1">IF(NOW(),_xll.mirSwapPV($C$51,$C$52,$C$54,$AA61,$C$55,$AC61+AK$51,$C$64,$C$65,$C$66,$C$67,$C$68,$C$69,$C$70,$C$74,$C$75,$D$63,$D$64,$D$65,$D$66,$D$67,$D$68,$D$69,$D$70,$D$71,$D$72,$D$73,$D$74,$D$75,$C$56,$C$57,$C$58,$D$59,$C$60),"")</f>
        <v>-277046.09359817964</v>
      </c>
      <c r="AL61" s="255">
        <f ca="1">IF(NOW(),_xll.mirSwapPV($C$51,$C$52,$C$54,$AA61,$C$55,$AC61+AL$51,$C$64,$C$65,$C$66,$C$67,$C$68,$C$69,$C$70,$C$74,$C$75,$D$63,$D$64,$D$65,$D$66,$D$67,$D$68,$D$69,$D$70,$D$71,$D$72,$D$73,$D$74,$D$75,$C$56,$C$57,$C$58,$D$59,$C$60),"")</f>
        <v>-138523.04679908979</v>
      </c>
      <c r="AM61" s="255">
        <f ca="1">IF(NOW(),_xll.mirSwapPV($C$51,$C$52,$C$54,$AA61,$C$55,$AC61+AM$51,$C$64,$C$65,$C$66,$C$67,$C$68,$C$69,$C$70,$C$74,$C$75,$D$63,$D$64,$D$65,$D$66,$D$67,$D$68,$D$69,$D$70,$D$71,$D$72,$D$73,$D$74,$D$75,$C$56,$C$57,$C$58,$D$59,$C$60),"")</f>
        <v>2.7755575615628914E-11</v>
      </c>
      <c r="AN61" s="255">
        <f ca="1">IF(NOW(),_xll.mirSwapPV($C$51,$C$52,$C$54,$AA61,$C$55,$AC61+AN$51,$C$64,$C$65,$C$66,$C$67,$C$68,$C$69,$C$70,$C$74,$C$75,$D$63,$D$64,$D$65,$D$66,$D$67,$D$68,$D$69,$D$70,$D$71,$D$72,$D$73,$D$74,$D$75,$C$56,$C$57,$C$58,$D$59,$C$60),"")</f>
        <v>138523.04679908985</v>
      </c>
      <c r="AO61" s="255">
        <f ca="1">IF(NOW(),_xll.mirSwapPV($C$51,$C$52,$C$54,$AA61,$C$55,$AC61+AO$51,$C$64,$C$65,$C$66,$C$67,$C$68,$C$69,$C$70,$C$74,$C$75,$D$63,$D$64,$D$65,$D$66,$D$67,$D$68,$D$69,$D$70,$D$71,$D$72,$D$73,$D$74,$D$75,$C$56,$C$57,$C$58,$D$59,$C$60),"")</f>
        <v>277046.09359817969</v>
      </c>
      <c r="AP61" s="255">
        <f ca="1">IF(NOW(),_xll.mirSwapPV($C$51,$C$52,$C$54,$AA61,$C$55,$AC61+AP$51,$C$64,$C$65,$C$66,$C$67,$C$68,$C$69,$C$70,$C$74,$C$75,$D$63,$D$64,$D$65,$D$66,$D$67,$D$68,$D$69,$D$70,$D$71,$D$72,$D$73,$D$74,$D$75,$C$56,$C$57,$C$58,$D$59,$C$60),"")</f>
        <v>415569.14039726957</v>
      </c>
      <c r="AQ61" s="255">
        <f ca="1">IF(NOW(),_xll.mirSwapPV($C$51,$C$52,$C$54,$AA61,$C$55,$AC61+AQ$51,$C$64,$C$65,$C$66,$C$67,$C$68,$C$69,$C$70,$C$74,$C$75,$D$63,$D$64,$D$65,$D$66,$D$67,$D$68,$D$69,$D$70,$D$71,$D$72,$D$73,$D$74,$D$75,$C$56,$C$57,$C$58,$D$59,$C$60),"")</f>
        <v>554092.18719635939</v>
      </c>
      <c r="AR61" s="255">
        <f ca="1">IF(NOW(),_xll.mirSwapPV($C$51,$C$52,$C$54,$AA61,$C$55,$AC61+AR$51,$C$64,$C$65,$C$66,$C$67,$C$68,$C$69,$C$70,$C$74,$C$75,$D$63,$D$64,$D$65,$D$66,$D$67,$D$68,$D$69,$D$70,$D$71,$D$72,$D$73,$D$74,$D$75,$C$56,$C$57,$C$58,$D$59,$C$60),"")</f>
        <v>692615.23399544938</v>
      </c>
    </row>
    <row r="62" spans="2:44">
      <c r="B62" t="s">
        <v>439</v>
      </c>
      <c r="C62" s="112" t="s">
        <v>440</v>
      </c>
      <c r="D62" s="112" t="s">
        <v>441</v>
      </c>
      <c r="F62" s="224" t="s">
        <v>20</v>
      </c>
      <c r="G62" s="227">
        <f>_xll.mirGetDate($C$6,F62)</f>
        <v>49505</v>
      </c>
      <c r="H62" s="260">
        <f t="shared" si="15"/>
        <v>1.269E-2</v>
      </c>
      <c r="I62" s="229">
        <f ca="1">IF(NOW(),_xll.mirGetParRate4($C$54,$G62,$C$55,$C$64,$C$65,$C$66,$C$67,$C$68,$C$69,$C$70,$C$74,$C$75,$D$64,$D$65,$D$66,$D$67,$D$68,$D$69,$D$70,$D$71,$D$72,$D$73,$D$74,$D$75,$C$56,$C$57,$C$58,$C$59,$C$60),"")</f>
        <v>1.8084811887997623E-2</v>
      </c>
      <c r="J62" s="229">
        <f t="shared" ca="1" si="11"/>
        <v>5.3948118879976227E-3</v>
      </c>
      <c r="K62" s="230">
        <f t="shared" ca="1" si="12"/>
        <v>53.948118879976228</v>
      </c>
      <c r="L62" s="230" t="s">
        <v>12</v>
      </c>
      <c r="M62" s="224" t="s">
        <v>20</v>
      </c>
      <c r="N62" s="255">
        <f ca="1">IF(NOW(),_xll.mirSwapPV($C$51,$C$52,$C$54,$G62,$C$55,$I62+N$51,$C$64,$C$65,$C$66,$C$67,$C$68,$C$69,$C$70,$C$74,$C$75,$D$63,$D$64,$D$65,$D$66,$D$67,$D$68,$D$69,$D$70,$D$71,$D$72,$D$73,$D$74,$D$75,$C$56,$C$57,$C$58,$C$59,$C$60),"")</f>
        <v>-879086.65850046871</v>
      </c>
      <c r="O62" s="255">
        <f ca="1">IF(NOW(),_xll.mirSwapPV($C$51,$C$52,$C$54,$G62,$C$55,$I62+O$51,$C$64,$C$65,$C$66,$C$67,$C$68,$C$69,$C$70,$C$74,$C$75,$D$63,$D$64,$D$65,$D$66,$D$67,$D$68,$D$69,$D$70,$D$71,$D$72,$D$73,$D$74,$D$75,$C$56,$C$57,$C$58,$C$59,$C$60),"")</f>
        <v>-703269.32680037501</v>
      </c>
      <c r="P62" s="255">
        <f ca="1">IF(NOW(),_xll.mirSwapPV($C$51,$C$52,$C$54,$G62,$C$55,$I62+P$51,$C$64,$C$65,$C$66,$C$67,$C$68,$C$69,$C$70,$C$74,$C$75,$D$63,$D$64,$D$65,$D$66,$D$67,$D$68,$D$69,$D$70,$D$71,$D$72,$D$73,$D$74,$D$75,$C$56,$C$57,$C$58,$C$59,$C$60),"")</f>
        <v>-527451.9951002812</v>
      </c>
      <c r="Q62" s="255">
        <f ca="1">IF(NOW(),_xll.mirSwapPV($C$51,$C$52,$C$54,$G62,$C$55,$I62+Q$51,$C$64,$C$65,$C$66,$C$67,$C$68,$C$69,$C$70,$C$74,$C$75,$D$63,$D$64,$D$65,$D$66,$D$67,$D$68,$D$69,$D$70,$D$71,$D$72,$D$73,$D$74,$D$75,$C$56,$C$57,$C$58,$C$59,$C$60),"")</f>
        <v>-351634.66340018745</v>
      </c>
      <c r="R62" s="255">
        <f ca="1">IF(NOW(),_xll.mirSwapPV($C$51,$C$52,$C$54,$G62,$C$55,$I62+R$51,$C$64,$C$65,$C$66,$C$67,$C$68,$C$69,$C$70,$C$74,$C$75,$D$63,$D$64,$D$65,$D$66,$D$67,$D$68,$D$69,$D$70,$D$71,$D$72,$D$73,$D$74,$D$75,$C$56,$C$57,$C$58,$C$59,$C$60),"")</f>
        <v>-175817.33170009367</v>
      </c>
      <c r="S62" s="255">
        <f ca="1">IF(NOW(),_xll.mirSwapPV($C$51,$C$52,$C$54,$G62,$C$55,$I62+S$51,$C$64,$C$65,$C$66,$C$67,$C$68,$C$69,$C$70,$C$74,$C$75,$D$63,$D$64,$D$65,$D$66,$D$67,$D$68,$D$69,$D$70,$D$71,$D$72,$D$73,$D$74,$D$75,$C$56,$C$57,$C$58,$C$59,$C$60),"")</f>
        <v>0</v>
      </c>
      <c r="T62" s="255">
        <f ca="1">IF(NOW(),_xll.mirSwapPV($C$51,$C$52,$C$54,$G62,$C$55,$I62+T$51,$C$64,$C$65,$C$66,$C$67,$C$68,$C$69,$C$70,$C$74,$C$75,$D$63,$D$64,$D$65,$D$66,$D$67,$D$68,$D$69,$D$70,$D$71,$D$72,$D$73,$D$74,$D$75,$C$56,$C$57,$C$58,$C$59,$C$60),"")</f>
        <v>175817.33170009372</v>
      </c>
      <c r="U62" s="255">
        <f ca="1">IF(NOW(),_xll.mirSwapPV($C$51,$C$52,$C$54,$G62,$C$55,$I62+U$51,$C$64,$C$65,$C$66,$C$67,$C$68,$C$69,$C$70,$C$74,$C$75,$D$63,$D$64,$D$65,$D$66,$D$67,$D$68,$D$69,$D$70,$D$71,$D$72,$D$73,$D$74,$D$75,$C$56,$C$57,$C$58,$C$59,$C$60),"")</f>
        <v>351634.66340018756</v>
      </c>
      <c r="V62" s="255">
        <f ca="1">IF(NOW(),_xll.mirSwapPV($C$51,$C$52,$C$54,$G62,$C$55,$I62+V$51,$C$64,$C$65,$C$66,$C$67,$C$68,$C$69,$C$70,$C$74,$C$75,$D$63,$D$64,$D$65,$D$66,$D$67,$D$68,$D$69,$D$70,$D$71,$D$72,$D$73,$D$74,$D$75,$C$56,$C$57,$C$58,$C$59,$C$60),"")</f>
        <v>527451.99510028132</v>
      </c>
      <c r="W62" s="255">
        <f ca="1">IF(NOW(),_xll.mirSwapPV($C$51,$C$52,$C$54,$G62,$C$55,$I62+W$51,$C$64,$C$65,$C$66,$C$67,$C$68,$C$69,$C$70,$C$74,$C$75,$D$63,$D$64,$D$65,$D$66,$D$67,$D$68,$D$69,$D$70,$D$71,$D$72,$D$73,$D$74,$D$75,$C$56,$C$57,$C$58,$C$59,$C$60),"")</f>
        <v>703269.3268003749</v>
      </c>
      <c r="X62" s="255">
        <f ca="1">IF(NOW(),_xll.mirSwapPV($C$51,$C$52,$C$54,$G62,$C$55,$I62+X$51,$C$64,$C$65,$C$66,$C$67,$C$68,$C$69,$C$70,$C$74,$C$75,$D$63,$D$64,$D$65,$D$66,$D$67,$D$68,$D$69,$D$70,$D$71,$D$72,$D$73,$D$74,$D$75,$C$56,$C$57,$C$58,$C$59,$C$60),"")</f>
        <v>879086.65850046882</v>
      </c>
      <c r="Y62" s="230" t="s">
        <v>12</v>
      </c>
      <c r="Z62" s="224" t="s">
        <v>20</v>
      </c>
      <c r="AA62" s="227">
        <f>_xll.mirGetDate($C$6,Z62)</f>
        <v>49505</v>
      </c>
      <c r="AB62" s="260">
        <f t="shared" si="16"/>
        <v>1.269E-2</v>
      </c>
      <c r="AC62" s="229">
        <f ca="1">IF(NOW(),_xll.mirGetParRate4($C$54,$AA62,$C$55,$C$64,$C$65,$C$66,$C$67,$C$68,$C$69,$C$70,$C$74,$C$75,$D$64,$D$65,$D$66,$D$67,$D$68,$D$69,$D$70,$D$71,$D$72,$D$73,$D$74,$D$75,$C$56,$C$57,$C$58,$D$59,$C$60),"")</f>
        <v>1.8084811887997623E-2</v>
      </c>
      <c r="AD62" s="229">
        <f t="shared" ca="1" si="13"/>
        <v>5.3948118879976227E-3</v>
      </c>
      <c r="AE62" s="230">
        <f t="shared" ca="1" si="14"/>
        <v>53.948118879976228</v>
      </c>
      <c r="AG62" s="224" t="s">
        <v>20</v>
      </c>
      <c r="AH62" s="255">
        <f ca="1">IF(NOW(),_xll.mirSwapPV($C$51,$C$52,$C$54,$AA62,$C$55,$AC62+AH$51,$C$64,$C$65,$C$66,$C$67,$C$68,$C$69,$C$70,$C$74,$C$75,$D$63,$D$64,$D$65,$D$66,$D$67,$D$68,$D$69,$D$70,$D$71,$D$72,$D$73,$D$74,$D$75,$C$56,$C$57,$C$58,$D$59,$C$60),"")</f>
        <v>-879086.65850046882</v>
      </c>
      <c r="AI62" s="255">
        <f ca="1">IF(NOW(),_xll.mirSwapPV($C$51,$C$52,$C$54,$AA62,$C$55,$AC62+AI$51,$C$64,$C$65,$C$66,$C$67,$C$68,$C$69,$C$70,$C$74,$C$75,$D$63,$D$64,$D$65,$D$66,$D$67,$D$68,$D$69,$D$70,$D$71,$D$72,$D$73,$D$74,$D$75,$C$56,$C$57,$C$58,$D$59,$C$60),"")</f>
        <v>-703269.32680037513</v>
      </c>
      <c r="AJ62" s="255">
        <f ca="1">IF(NOW(),_xll.mirSwapPV($C$51,$C$52,$C$54,$AA62,$C$55,$AC62+AJ$51,$C$64,$C$65,$C$66,$C$67,$C$68,$C$69,$C$70,$C$74,$C$75,$D$63,$D$64,$D$65,$D$66,$D$67,$D$68,$D$69,$D$70,$D$71,$D$72,$D$73,$D$74,$D$75,$C$56,$C$57,$C$58,$D$59,$C$60),"")</f>
        <v>-527451.99510028132</v>
      </c>
      <c r="AK62" s="255">
        <f ca="1">IF(NOW(),_xll.mirSwapPV($C$51,$C$52,$C$54,$AA62,$C$55,$AC62+AK$51,$C$64,$C$65,$C$66,$C$67,$C$68,$C$69,$C$70,$C$74,$C$75,$D$63,$D$64,$D$65,$D$66,$D$67,$D$68,$D$69,$D$70,$D$71,$D$72,$D$73,$D$74,$D$75,$C$56,$C$57,$C$58,$D$59,$C$60),"")</f>
        <v>-351634.66340018745</v>
      </c>
      <c r="AL62" s="255">
        <f ca="1">IF(NOW(),_xll.mirSwapPV($C$51,$C$52,$C$54,$AA62,$C$55,$AC62+AL$51,$C$64,$C$65,$C$66,$C$67,$C$68,$C$69,$C$70,$C$74,$C$75,$D$63,$D$64,$D$65,$D$66,$D$67,$D$68,$D$69,$D$70,$D$71,$D$72,$D$73,$D$74,$D$75,$C$56,$C$57,$C$58,$D$59,$C$60),"")</f>
        <v>-175817.33170009372</v>
      </c>
      <c r="AM62" s="255">
        <f ca="1">IF(NOW(),_xll.mirSwapPV($C$51,$C$52,$C$54,$AA62,$C$55,$AC62+AM$51,$C$64,$C$65,$C$66,$C$67,$C$68,$C$69,$C$70,$C$74,$C$75,$D$63,$D$64,$D$65,$D$66,$D$67,$D$68,$D$69,$D$70,$D$71,$D$72,$D$73,$D$74,$D$75,$C$56,$C$57,$C$58,$D$59,$C$60),"")</f>
        <v>-5.5511151231257827E-11</v>
      </c>
      <c r="AN62" s="255">
        <f ca="1">IF(NOW(),_xll.mirSwapPV($C$51,$C$52,$C$54,$AA62,$C$55,$AC62+AN$51,$C$64,$C$65,$C$66,$C$67,$C$68,$C$69,$C$70,$C$74,$C$75,$D$63,$D$64,$D$65,$D$66,$D$67,$D$68,$D$69,$D$70,$D$71,$D$72,$D$73,$D$74,$D$75,$C$56,$C$57,$C$58,$D$59,$C$60),"")</f>
        <v>175817.33170009367</v>
      </c>
      <c r="AO62" s="255">
        <f ca="1">IF(NOW(),_xll.mirSwapPV($C$51,$C$52,$C$54,$AA62,$C$55,$AC62+AO$51,$C$64,$C$65,$C$66,$C$67,$C$68,$C$69,$C$70,$C$74,$C$75,$D$63,$D$64,$D$65,$D$66,$D$67,$D$68,$D$69,$D$70,$D$71,$D$72,$D$73,$D$74,$D$75,$C$56,$C$57,$C$58,$D$59,$C$60),"")</f>
        <v>351634.66340018751</v>
      </c>
      <c r="AP62" s="255">
        <f ca="1">IF(NOW(),_xll.mirSwapPV($C$51,$C$52,$C$54,$AA62,$C$55,$AC62+AP$51,$C$64,$C$65,$C$66,$C$67,$C$68,$C$69,$C$70,$C$74,$C$75,$D$63,$D$64,$D$65,$D$66,$D$67,$D$68,$D$69,$D$70,$D$71,$D$72,$D$73,$D$74,$D$75,$C$56,$C$57,$C$58,$D$59,$C$60),"")</f>
        <v>527451.9951002812</v>
      </c>
      <c r="AQ62" s="255">
        <f ca="1">IF(NOW(),_xll.mirSwapPV($C$51,$C$52,$C$54,$AA62,$C$55,$AC62+AQ$51,$C$64,$C$65,$C$66,$C$67,$C$68,$C$69,$C$70,$C$74,$C$75,$D$63,$D$64,$D$65,$D$66,$D$67,$D$68,$D$69,$D$70,$D$71,$D$72,$D$73,$D$74,$D$75,$C$56,$C$57,$C$58,$D$59,$C$60),"")</f>
        <v>703269.3268003749</v>
      </c>
      <c r="AR62" s="255">
        <f ca="1">IF(NOW(),_xll.mirSwapPV($C$51,$C$52,$C$54,$AA62,$C$55,$AC62+AR$51,$C$64,$C$65,$C$66,$C$67,$C$68,$C$69,$C$70,$C$74,$C$75,$D$63,$D$64,$D$65,$D$66,$D$67,$D$68,$D$69,$D$70,$D$71,$D$72,$D$73,$D$74,$D$75,$C$56,$C$57,$C$58,$D$59,$C$60),"")</f>
        <v>879086.65850046882</v>
      </c>
    </row>
    <row r="63" spans="2:44">
      <c r="B63" s="221" t="s">
        <v>442</v>
      </c>
      <c r="C63" s="238">
        <v>0</v>
      </c>
      <c r="D63" s="239">
        <v>0</v>
      </c>
      <c r="F63" s="224" t="s">
        <v>18</v>
      </c>
      <c r="G63" s="227">
        <f>_xll.mirGetDate($C$6,F63)</f>
        <v>51332</v>
      </c>
      <c r="H63" s="260">
        <f t="shared" si="15"/>
        <v>1.4199999999999999E-2</v>
      </c>
      <c r="I63" s="229">
        <f ca="1">IF(NOW(),_xll.mirGetParRate4($C$54,$G63,$C$55,$C$64,$C$65,$C$66,$C$67,$C$68,$C$69,$C$70,$C$74,$C$75,$D$64,$D$65,$D$66,$D$67,$D$68,$D$69,$D$70,$D$71,$D$72,$D$73,$D$74,$D$75,$C$56,$C$57,$C$58,$C$59,$C$60),"")</f>
        <v>1.8402825961116507E-2</v>
      </c>
      <c r="J63" s="229">
        <f t="shared" ca="1" si="11"/>
        <v>4.2028259611165079E-3</v>
      </c>
      <c r="K63" s="230">
        <f t="shared" ca="1" si="12"/>
        <v>42.028259611165076</v>
      </c>
      <c r="L63" s="230" t="s">
        <v>12</v>
      </c>
      <c r="M63" s="224" t="s">
        <v>18</v>
      </c>
      <c r="N63" s="255">
        <f ca="1">IF(NOW(),_xll.mirSwapPV($C$51,$C$52,$C$54,$G63,$C$55,$I63+N$51,$C$64,$C$65,$C$66,$C$67,$C$68,$C$69,$C$70,$C$74,$C$75,$D$63,$D$64,$D$65,$D$66,$D$67,$D$68,$D$69,$D$70,$D$71,$D$72,$D$73,$D$74,$D$75,$C$56,$C$57,$C$58,$C$59,$C$60),"")</f>
        <v>-1047182.794682715</v>
      </c>
      <c r="O63" s="255">
        <f ca="1">IF(NOW(),_xll.mirSwapPV($C$51,$C$52,$C$54,$G63,$C$55,$I63+O$51,$C$64,$C$65,$C$66,$C$67,$C$68,$C$69,$C$70,$C$74,$C$75,$D$63,$D$64,$D$65,$D$66,$D$67,$D$68,$D$69,$D$70,$D$71,$D$72,$D$73,$D$74,$D$75,$C$56,$C$57,$C$58,$C$59,$C$60),"")</f>
        <v>-837746.23574617179</v>
      </c>
      <c r="P63" s="255">
        <f ca="1">IF(NOW(),_xll.mirSwapPV($C$51,$C$52,$C$54,$G63,$C$55,$I63+P$51,$C$64,$C$65,$C$66,$C$67,$C$68,$C$69,$C$70,$C$74,$C$75,$D$63,$D$64,$D$65,$D$66,$D$67,$D$68,$D$69,$D$70,$D$71,$D$72,$D$73,$D$74,$D$75,$C$56,$C$57,$C$58,$C$59,$C$60),"")</f>
        <v>-628309.67680962884</v>
      </c>
      <c r="Q63" s="255">
        <f ca="1">IF(NOW(),_xll.mirSwapPV($C$51,$C$52,$C$54,$G63,$C$55,$I63+Q$51,$C$64,$C$65,$C$66,$C$67,$C$68,$C$69,$C$70,$C$74,$C$75,$D$63,$D$64,$D$65,$D$66,$D$67,$D$68,$D$69,$D$70,$D$71,$D$72,$D$73,$D$74,$D$75,$C$56,$C$57,$C$58,$C$59,$C$60),"")</f>
        <v>-418873.11787308584</v>
      </c>
      <c r="R63" s="255">
        <f ca="1">IF(NOW(),_xll.mirSwapPV($C$51,$C$52,$C$54,$G63,$C$55,$I63+R$51,$C$64,$C$65,$C$66,$C$67,$C$68,$C$69,$C$70,$C$74,$C$75,$D$63,$D$64,$D$65,$D$66,$D$67,$D$68,$D$69,$D$70,$D$71,$D$72,$D$73,$D$74,$D$75,$C$56,$C$57,$C$58,$C$59,$C$60),"")</f>
        <v>-209436.55893654286</v>
      </c>
      <c r="S63" s="255">
        <f ca="1">IF(NOW(),_xll.mirSwapPV($C$51,$C$52,$C$54,$G63,$C$55,$I63+S$51,$C$64,$C$65,$C$66,$C$67,$C$68,$C$69,$C$70,$C$74,$C$75,$D$63,$D$64,$D$65,$D$66,$D$67,$D$68,$D$69,$D$70,$D$71,$D$72,$D$73,$D$74,$D$75,$C$56,$C$57,$C$58,$C$59,$C$60),"")</f>
        <v>0</v>
      </c>
      <c r="T63" s="255">
        <f ca="1">IF(NOW(),_xll.mirSwapPV($C$51,$C$52,$C$54,$G63,$C$55,$I63+T$51,$C$64,$C$65,$C$66,$C$67,$C$68,$C$69,$C$70,$C$74,$C$75,$D$63,$D$64,$D$65,$D$66,$D$67,$D$68,$D$69,$D$70,$D$71,$D$72,$D$73,$D$74,$D$75,$C$56,$C$57,$C$58,$C$59,$C$60),"")</f>
        <v>209436.55893654289</v>
      </c>
      <c r="U63" s="255">
        <f ca="1">IF(NOW(),_xll.mirSwapPV($C$51,$C$52,$C$54,$G63,$C$55,$I63+U$51,$C$64,$C$65,$C$66,$C$67,$C$68,$C$69,$C$70,$C$74,$C$75,$D$63,$D$64,$D$65,$D$66,$D$67,$D$68,$D$69,$D$70,$D$71,$D$72,$D$73,$D$74,$D$75,$C$56,$C$57,$C$58,$C$59,$C$60),"")</f>
        <v>418873.1178730859</v>
      </c>
      <c r="V63" s="255">
        <f ca="1">IF(NOW(),_xll.mirSwapPV($C$51,$C$52,$C$54,$G63,$C$55,$I63+V$51,$C$64,$C$65,$C$66,$C$67,$C$68,$C$69,$C$70,$C$74,$C$75,$D$63,$D$64,$D$65,$D$66,$D$67,$D$68,$D$69,$D$70,$D$71,$D$72,$D$73,$D$74,$D$75,$C$56,$C$57,$C$58,$C$59,$C$60),"")</f>
        <v>628309.67680962873</v>
      </c>
      <c r="W63" s="255">
        <f ca="1">IF(NOW(),_xll.mirSwapPV($C$51,$C$52,$C$54,$G63,$C$55,$I63+W$51,$C$64,$C$65,$C$66,$C$67,$C$68,$C$69,$C$70,$C$74,$C$75,$D$63,$D$64,$D$65,$D$66,$D$67,$D$68,$D$69,$D$70,$D$71,$D$72,$D$73,$D$74,$D$75,$C$56,$C$57,$C$58,$C$59,$C$60),"")</f>
        <v>837746.23574617191</v>
      </c>
      <c r="X63" s="255">
        <f ca="1">IF(NOW(),_xll.mirSwapPV($C$51,$C$52,$C$54,$G63,$C$55,$I63+X$51,$C$64,$C$65,$C$66,$C$67,$C$68,$C$69,$C$70,$C$74,$C$75,$D$63,$D$64,$D$65,$D$66,$D$67,$D$68,$D$69,$D$70,$D$71,$D$72,$D$73,$D$74,$D$75,$C$56,$C$57,$C$58,$C$59,$C$60),"")</f>
        <v>1047182.7946827146</v>
      </c>
      <c r="Y63" s="230" t="s">
        <v>12</v>
      </c>
      <c r="Z63" s="224" t="s">
        <v>18</v>
      </c>
      <c r="AA63" s="227">
        <f>_xll.mirGetDate($C$6,Z63)</f>
        <v>51332</v>
      </c>
      <c r="AB63" s="260">
        <f t="shared" si="16"/>
        <v>1.4199999999999999E-2</v>
      </c>
      <c r="AC63" s="229">
        <f ca="1">IF(NOW(),_xll.mirGetParRate4($C$54,$AA63,$C$55,$C$64,$C$65,$C$66,$C$67,$C$68,$C$69,$C$70,$C$74,$C$75,$D$64,$D$65,$D$66,$D$67,$D$68,$D$69,$D$70,$D$71,$D$72,$D$73,$D$74,$D$75,$C$56,$C$57,$C$58,$D$59,$C$60),"")</f>
        <v>1.84028259611165E-2</v>
      </c>
      <c r="AD63" s="229">
        <f t="shared" ca="1" si="13"/>
        <v>4.2028259611165009E-3</v>
      </c>
      <c r="AE63" s="230">
        <f t="shared" ca="1" si="14"/>
        <v>42.028259611165012</v>
      </c>
      <c r="AG63" s="224" t="s">
        <v>18</v>
      </c>
      <c r="AH63" s="255">
        <f ca="1">IF(NOW(),_xll.mirSwapPV($C$51,$C$52,$C$54,$AA63,$C$55,$AC63+AH$51,$C$64,$C$65,$C$66,$C$67,$C$68,$C$69,$C$70,$C$74,$C$75,$D$63,$D$64,$D$65,$D$66,$D$67,$D$68,$D$69,$D$70,$D$71,$D$72,$D$73,$D$74,$D$75,$C$56,$C$57,$C$58,$D$59,$C$60),"")</f>
        <v>-1047182.7946827149</v>
      </c>
      <c r="AI63" s="255">
        <f ca="1">IF(NOW(),_xll.mirSwapPV($C$51,$C$52,$C$54,$AA63,$C$55,$AC63+AI$51,$C$64,$C$65,$C$66,$C$67,$C$68,$C$69,$C$70,$C$74,$C$75,$D$63,$D$64,$D$65,$D$66,$D$67,$D$68,$D$69,$D$70,$D$71,$D$72,$D$73,$D$74,$D$75,$C$56,$C$57,$C$58,$D$59,$C$60),"")</f>
        <v>-837746.23574617179</v>
      </c>
      <c r="AJ63" s="255">
        <f ca="1">IF(NOW(),_xll.mirSwapPV($C$51,$C$52,$C$54,$AA63,$C$55,$AC63+AJ$51,$C$64,$C$65,$C$66,$C$67,$C$68,$C$69,$C$70,$C$74,$C$75,$D$63,$D$64,$D$65,$D$66,$D$67,$D$68,$D$69,$D$70,$D$71,$D$72,$D$73,$D$74,$D$75,$C$56,$C$57,$C$58,$D$59,$C$60),"")</f>
        <v>-628309.67680962884</v>
      </c>
      <c r="AK63" s="255">
        <f ca="1">IF(NOW(),_xll.mirSwapPV($C$51,$C$52,$C$54,$AA63,$C$55,$AC63+AK$51,$C$64,$C$65,$C$66,$C$67,$C$68,$C$69,$C$70,$C$74,$C$75,$D$63,$D$64,$D$65,$D$66,$D$67,$D$68,$D$69,$D$70,$D$71,$D$72,$D$73,$D$74,$D$75,$C$56,$C$57,$C$58,$D$59,$C$60),"")</f>
        <v>-418873.11787308584</v>
      </c>
      <c r="AL63" s="255">
        <f ca="1">IF(NOW(),_xll.mirSwapPV($C$51,$C$52,$C$54,$AA63,$C$55,$AC63+AL$51,$C$64,$C$65,$C$66,$C$67,$C$68,$C$69,$C$70,$C$74,$C$75,$D$63,$D$64,$D$65,$D$66,$D$67,$D$68,$D$69,$D$70,$D$71,$D$72,$D$73,$D$74,$D$75,$C$56,$C$57,$C$58,$D$59,$C$60),"")</f>
        <v>-209436.55893654292</v>
      </c>
      <c r="AM63" s="255">
        <f ca="1">IF(NOW(),_xll.mirSwapPV($C$51,$C$52,$C$54,$AA63,$C$55,$AC63+AM$51,$C$64,$C$65,$C$66,$C$67,$C$68,$C$69,$C$70,$C$74,$C$75,$D$63,$D$64,$D$65,$D$66,$D$67,$D$68,$D$69,$D$70,$D$71,$D$72,$D$73,$D$74,$D$75,$C$56,$C$57,$C$58,$D$59,$C$60),"")</f>
        <v>0</v>
      </c>
      <c r="AN63" s="255">
        <f ca="1">IF(NOW(),_xll.mirSwapPV($C$51,$C$52,$C$54,$AA63,$C$55,$AC63+AN$51,$C$64,$C$65,$C$66,$C$67,$C$68,$C$69,$C$70,$C$74,$C$75,$D$63,$D$64,$D$65,$D$66,$D$67,$D$68,$D$69,$D$70,$D$71,$D$72,$D$73,$D$74,$D$75,$C$56,$C$57,$C$58,$D$59,$C$60),"")</f>
        <v>209436.55893654289</v>
      </c>
      <c r="AO63" s="255">
        <f ca="1">IF(NOW(),_xll.mirSwapPV($C$51,$C$52,$C$54,$AA63,$C$55,$AC63+AO$51,$C$64,$C$65,$C$66,$C$67,$C$68,$C$69,$C$70,$C$74,$C$75,$D$63,$D$64,$D$65,$D$66,$D$67,$D$68,$D$69,$D$70,$D$71,$D$72,$D$73,$D$74,$D$75,$C$56,$C$57,$C$58,$D$59,$C$60),"")</f>
        <v>418873.1178730859</v>
      </c>
      <c r="AP63" s="255">
        <f ca="1">IF(NOW(),_xll.mirSwapPV($C$51,$C$52,$C$54,$AA63,$C$55,$AC63+AP$51,$C$64,$C$65,$C$66,$C$67,$C$68,$C$69,$C$70,$C$74,$C$75,$D$63,$D$64,$D$65,$D$66,$D$67,$D$68,$D$69,$D$70,$D$71,$D$72,$D$73,$D$74,$D$75,$C$56,$C$57,$C$58,$D$59,$C$60),"")</f>
        <v>628309.67680962884</v>
      </c>
      <c r="AQ63" s="255">
        <f ca="1">IF(NOW(),_xll.mirSwapPV($C$51,$C$52,$C$54,$AA63,$C$55,$AC63+AQ$51,$C$64,$C$65,$C$66,$C$67,$C$68,$C$69,$C$70,$C$74,$C$75,$D$63,$D$64,$D$65,$D$66,$D$67,$D$68,$D$69,$D$70,$D$71,$D$72,$D$73,$D$74,$D$75,$C$56,$C$57,$C$58,$D$59,$C$60),"")</f>
        <v>837746.23574617179</v>
      </c>
      <c r="AR63" s="255">
        <f ca="1">IF(NOW(),_xll.mirSwapPV($C$51,$C$52,$C$54,$AA63,$C$55,$AC63+AR$51,$C$64,$C$65,$C$66,$C$67,$C$68,$C$69,$C$70,$C$74,$C$75,$D$63,$D$64,$D$65,$D$66,$D$67,$D$68,$D$69,$D$70,$D$71,$D$72,$D$73,$D$74,$D$75,$C$56,$C$57,$C$58,$D$59,$C$60),"")</f>
        <v>1047182.7946827149</v>
      </c>
    </row>
    <row r="64" spans="2:44">
      <c r="B64" s="234" t="s">
        <v>122</v>
      </c>
      <c r="C64" s="240" t="s">
        <v>152</v>
      </c>
      <c r="D64" s="240" t="s">
        <v>78</v>
      </c>
      <c r="E64" s="227"/>
      <c r="F64" s="224" t="s">
        <v>17</v>
      </c>
      <c r="G64" s="227">
        <f>_xll.mirGetDate($C$6,F64)</f>
        <v>53158</v>
      </c>
      <c r="H64" s="260">
        <f t="shared" si="15"/>
        <v>1.4999999999999999E-2</v>
      </c>
      <c r="I64" s="229">
        <f ca="1">IF(NOW(),_xll.mirGetParRate4($C$54,$G64,$C$55,$C$64,$C$65,$C$66,$C$67,$C$68,$C$69,$C$70,$C$74,$C$75,$D$64,$D$65,$D$66,$D$67,$D$68,$D$69,$D$70,$D$71,$D$72,$D$73,$D$74,$D$75,$C$56,$C$57,$C$58,$C$59,$C$60),"")</f>
        <v>1.8508171240135218E-2</v>
      </c>
      <c r="J64" s="229">
        <f t="shared" ca="1" si="11"/>
        <v>3.5081712401352182E-3</v>
      </c>
      <c r="K64" s="230">
        <f t="shared" ca="1" si="12"/>
        <v>35.081712401352185</v>
      </c>
      <c r="L64" s="230" t="s">
        <v>12</v>
      </c>
      <c r="M64" s="224" t="s">
        <v>17</v>
      </c>
      <c r="N64" s="255">
        <f ca="1">IF(NOW(),_xll.mirSwapPV($C$51,$C$52,$C$54,$G64,$C$55,$I64+N$51,$C$64,$C$65,$C$66,$C$67,$C$68,$C$69,$C$70,$C$74,$C$75,$D$63,$D$64,$D$65,$D$66,$D$67,$D$68,$D$69,$D$70,$D$71,$D$72,$D$73,$D$74,$D$75,$C$56,$C$57,$C$58,$C$59,$C$60),"")</f>
        <v>-1200253.8604142829</v>
      </c>
      <c r="O64" s="255">
        <f ca="1">IF(NOW(),_xll.mirSwapPV($C$51,$C$52,$C$54,$G64,$C$55,$I64+O$51,$C$64,$C$65,$C$66,$C$67,$C$68,$C$69,$C$70,$C$74,$C$75,$D$63,$D$64,$D$65,$D$66,$D$67,$D$68,$D$69,$D$70,$D$71,$D$72,$D$73,$D$74,$D$75,$C$56,$C$57,$C$58,$C$59,$C$60),"")</f>
        <v>-960203.08833142626</v>
      </c>
      <c r="P64" s="255">
        <f ca="1">IF(NOW(),_xll.mirSwapPV($C$51,$C$52,$C$54,$G64,$C$55,$I64+P$51,$C$64,$C$65,$C$66,$C$67,$C$68,$C$69,$C$70,$C$74,$C$75,$D$63,$D$64,$D$65,$D$66,$D$67,$D$68,$D$69,$D$70,$D$71,$D$72,$D$73,$D$74,$D$75,$C$56,$C$57,$C$58,$C$59,$C$60),"")</f>
        <v>-720152.31624856964</v>
      </c>
      <c r="Q64" s="255">
        <f ca="1">IF(NOW(),_xll.mirSwapPV($C$51,$C$52,$C$54,$G64,$C$55,$I64+Q$51,$C$64,$C$65,$C$66,$C$67,$C$68,$C$69,$C$70,$C$74,$C$75,$D$63,$D$64,$D$65,$D$66,$D$67,$D$68,$D$69,$D$70,$D$71,$D$72,$D$73,$D$74,$D$75,$C$56,$C$57,$C$58,$C$59,$C$60),"")</f>
        <v>-480101.54416571307</v>
      </c>
      <c r="R64" s="255">
        <f ca="1">IF(NOW(),_xll.mirSwapPV($C$51,$C$52,$C$54,$G64,$C$55,$I64+R$51,$C$64,$C$65,$C$66,$C$67,$C$68,$C$69,$C$70,$C$74,$C$75,$D$63,$D$64,$D$65,$D$66,$D$67,$D$68,$D$69,$D$70,$D$71,$D$72,$D$73,$D$74,$D$75,$C$56,$C$57,$C$58,$C$59,$C$60),"")</f>
        <v>-240050.77208285654</v>
      </c>
      <c r="S64" s="255">
        <f ca="1">IF(NOW(),_xll.mirSwapPV($C$51,$C$52,$C$54,$G64,$C$55,$I64+S$51,$C$64,$C$65,$C$66,$C$67,$C$68,$C$69,$C$70,$C$74,$C$75,$D$63,$D$64,$D$65,$D$66,$D$67,$D$68,$D$69,$D$70,$D$71,$D$72,$D$73,$D$74,$D$75,$C$56,$C$57,$C$58,$C$59,$C$60),"")</f>
        <v>0</v>
      </c>
      <c r="T64" s="255">
        <f ca="1">IF(NOW(),_xll.mirSwapPV($C$51,$C$52,$C$54,$G64,$C$55,$I64+T$51,$C$64,$C$65,$C$66,$C$67,$C$68,$C$69,$C$70,$C$74,$C$75,$D$63,$D$64,$D$65,$D$66,$D$67,$D$68,$D$69,$D$70,$D$71,$D$72,$D$73,$D$74,$D$75,$C$56,$C$57,$C$58,$C$59,$C$60),"")</f>
        <v>240050.77208285657</v>
      </c>
      <c r="U64" s="255">
        <f ca="1">IF(NOW(),_xll.mirSwapPV($C$51,$C$52,$C$54,$G64,$C$55,$I64+U$51,$C$64,$C$65,$C$66,$C$67,$C$68,$C$69,$C$70,$C$74,$C$75,$D$63,$D$64,$D$65,$D$66,$D$67,$D$68,$D$69,$D$70,$D$71,$D$72,$D$73,$D$74,$D$75,$C$56,$C$57,$C$58,$C$59,$C$60),"")</f>
        <v>480101.54416571319</v>
      </c>
      <c r="V64" s="255">
        <f ca="1">IF(NOW(),_xll.mirSwapPV($C$51,$C$52,$C$54,$G64,$C$55,$I64+V$51,$C$64,$C$65,$C$66,$C$67,$C$68,$C$69,$C$70,$C$74,$C$75,$D$63,$D$64,$D$65,$D$66,$D$67,$D$68,$D$69,$D$70,$D$71,$D$72,$D$73,$D$74,$D$75,$C$56,$C$57,$C$58,$C$59,$C$60),"")</f>
        <v>720152.31624856987</v>
      </c>
      <c r="W64" s="255">
        <f ca="1">IF(NOW(),_xll.mirSwapPV($C$51,$C$52,$C$54,$G64,$C$55,$I64+W$51,$C$64,$C$65,$C$66,$C$67,$C$68,$C$69,$C$70,$C$74,$C$75,$D$63,$D$64,$D$65,$D$66,$D$67,$D$68,$D$69,$D$70,$D$71,$D$72,$D$73,$D$74,$D$75,$C$56,$C$57,$C$58,$C$59,$C$60),"")</f>
        <v>960203.08833142626</v>
      </c>
      <c r="X64" s="255">
        <f ca="1">IF(NOW(),_xll.mirSwapPV($C$51,$C$52,$C$54,$G64,$C$55,$I64+X$51,$C$64,$C$65,$C$66,$C$67,$C$68,$C$69,$C$70,$C$74,$C$75,$D$63,$D$64,$D$65,$D$66,$D$67,$D$68,$D$69,$D$70,$D$71,$D$72,$D$73,$D$74,$D$75,$C$56,$C$57,$C$58,$C$59,$C$60),"")</f>
        <v>1200253.8604142831</v>
      </c>
      <c r="Y64" s="230" t="s">
        <v>12</v>
      </c>
      <c r="Z64" s="224" t="s">
        <v>17</v>
      </c>
      <c r="AA64" s="227">
        <f>_xll.mirGetDate($C$6,Z64)</f>
        <v>53158</v>
      </c>
      <c r="AB64" s="260">
        <f t="shared" si="16"/>
        <v>1.4999999999999999E-2</v>
      </c>
      <c r="AC64" s="229">
        <f ca="1">IF(NOW(),_xll.mirGetParRate4($C$54,$AA64,$C$55,$C$64,$C$65,$C$66,$C$67,$C$68,$C$69,$C$70,$C$74,$C$75,$D$64,$D$65,$D$66,$D$67,$D$68,$D$69,$D$70,$D$71,$D$72,$D$73,$D$74,$D$75,$C$56,$C$57,$C$58,$D$59,$C$60),"")</f>
        <v>1.8508171240135214E-2</v>
      </c>
      <c r="AD64" s="229">
        <f t="shared" ca="1" si="13"/>
        <v>3.5081712401352147E-3</v>
      </c>
      <c r="AE64" s="230">
        <f t="shared" ca="1" si="14"/>
        <v>35.081712401352149</v>
      </c>
      <c r="AG64" s="224" t="s">
        <v>17</v>
      </c>
      <c r="AH64" s="255">
        <f ca="1">IF(NOW(),_xll.mirSwapPV($C$51,$C$52,$C$54,$AA64,$C$55,$AC64+AH$51,$C$64,$C$65,$C$66,$C$67,$C$68,$C$69,$C$70,$C$74,$C$75,$D$63,$D$64,$D$65,$D$66,$D$67,$D$68,$D$69,$D$70,$D$71,$D$72,$D$73,$D$74,$D$75,$C$56,$C$57,$C$58,$D$59,$C$60),"")</f>
        <v>-1200253.8604142829</v>
      </c>
      <c r="AI64" s="255">
        <f ca="1">IF(NOW(),_xll.mirSwapPV($C$51,$C$52,$C$54,$AA64,$C$55,$AC64+AI$51,$C$64,$C$65,$C$66,$C$67,$C$68,$C$69,$C$70,$C$74,$C$75,$D$63,$D$64,$D$65,$D$66,$D$67,$D$68,$D$69,$D$70,$D$71,$D$72,$D$73,$D$74,$D$75,$C$56,$C$57,$C$58,$D$59,$C$60),"")</f>
        <v>-960203.08833142626</v>
      </c>
      <c r="AJ64" s="255">
        <f ca="1">IF(NOW(),_xll.mirSwapPV($C$51,$C$52,$C$54,$AA64,$C$55,$AC64+AJ$51,$C$64,$C$65,$C$66,$C$67,$C$68,$C$69,$C$70,$C$74,$C$75,$D$63,$D$64,$D$65,$D$66,$D$67,$D$68,$D$69,$D$70,$D$71,$D$72,$D$73,$D$74,$D$75,$C$56,$C$57,$C$58,$D$59,$C$60),"")</f>
        <v>-720152.31624856964</v>
      </c>
      <c r="AK64" s="255">
        <f ca="1">IF(NOW(),_xll.mirSwapPV($C$51,$C$52,$C$54,$AA64,$C$55,$AC64+AK$51,$C$64,$C$65,$C$66,$C$67,$C$68,$C$69,$C$70,$C$74,$C$75,$D$63,$D$64,$D$65,$D$66,$D$67,$D$68,$D$69,$D$70,$D$71,$D$72,$D$73,$D$74,$D$75,$C$56,$C$57,$C$58,$D$59,$C$60),"")</f>
        <v>-480101.54416571307</v>
      </c>
      <c r="AL64" s="255">
        <f ca="1">IF(NOW(),_xll.mirSwapPV($C$51,$C$52,$C$54,$AA64,$C$55,$AC64+AL$51,$C$64,$C$65,$C$66,$C$67,$C$68,$C$69,$C$70,$C$74,$C$75,$D$63,$D$64,$D$65,$D$66,$D$67,$D$68,$D$69,$D$70,$D$71,$D$72,$D$73,$D$74,$D$75,$C$56,$C$57,$C$58,$D$59,$C$60),"")</f>
        <v>-240050.77208285651</v>
      </c>
      <c r="AM64" s="255">
        <f ca="1">IF(NOW(),_xll.mirSwapPV($C$51,$C$52,$C$54,$AA64,$C$55,$AC64+AM$51,$C$64,$C$65,$C$66,$C$67,$C$68,$C$69,$C$70,$C$74,$C$75,$D$63,$D$64,$D$65,$D$66,$D$67,$D$68,$D$69,$D$70,$D$71,$D$72,$D$73,$D$74,$D$75,$C$56,$C$57,$C$58,$D$59,$C$60),"")</f>
        <v>0</v>
      </c>
      <c r="AN64" s="255">
        <f ca="1">IF(NOW(),_xll.mirSwapPV($C$51,$C$52,$C$54,$AA64,$C$55,$AC64+AN$51,$C$64,$C$65,$C$66,$C$67,$C$68,$C$69,$C$70,$C$74,$C$75,$D$63,$D$64,$D$65,$D$66,$D$67,$D$68,$D$69,$D$70,$D$71,$D$72,$D$73,$D$74,$D$75,$C$56,$C$57,$C$58,$D$59,$C$60),"")</f>
        <v>240050.77208285668</v>
      </c>
      <c r="AO64" s="255">
        <f ca="1">IF(NOW(),_xll.mirSwapPV($C$51,$C$52,$C$54,$AA64,$C$55,$AC64+AO$51,$C$64,$C$65,$C$66,$C$67,$C$68,$C$69,$C$70,$C$74,$C$75,$D$63,$D$64,$D$65,$D$66,$D$67,$D$68,$D$69,$D$70,$D$71,$D$72,$D$73,$D$74,$D$75,$C$56,$C$57,$C$58,$D$59,$C$60),"")</f>
        <v>480101.54416571307</v>
      </c>
      <c r="AP64" s="255">
        <f ca="1">IF(NOW(),_xll.mirSwapPV($C$51,$C$52,$C$54,$AA64,$C$55,$AC64+AP$51,$C$64,$C$65,$C$66,$C$67,$C$68,$C$69,$C$70,$C$74,$C$75,$D$63,$D$64,$D$65,$D$66,$D$67,$D$68,$D$69,$D$70,$D$71,$D$72,$D$73,$D$74,$D$75,$C$56,$C$57,$C$58,$D$59,$C$60),"")</f>
        <v>720152.31624856964</v>
      </c>
      <c r="AQ64" s="255">
        <f ca="1">IF(NOW(),_xll.mirSwapPV($C$51,$C$52,$C$54,$AA64,$C$55,$AC64+AQ$51,$C$64,$C$65,$C$66,$C$67,$C$68,$C$69,$C$70,$C$74,$C$75,$D$63,$D$64,$D$65,$D$66,$D$67,$D$68,$D$69,$D$70,$D$71,$D$72,$D$73,$D$74,$D$75,$C$56,$C$57,$C$58,$D$59,$C$60),"")</f>
        <v>960203.08833142626</v>
      </c>
      <c r="AR64" s="255">
        <f ca="1">IF(NOW(),_xll.mirSwapPV($C$51,$C$52,$C$54,$AA64,$C$55,$AC64+AR$51,$C$64,$C$65,$C$66,$C$67,$C$68,$C$69,$C$70,$C$74,$C$75,$D$63,$D$64,$D$65,$D$66,$D$67,$D$68,$D$69,$D$70,$D$71,$D$72,$D$73,$D$74,$D$75,$C$56,$C$57,$C$58,$D$59,$C$60),"")</f>
        <v>1200253.8604142831</v>
      </c>
    </row>
    <row r="65" spans="2:44">
      <c r="B65" s="234" t="s">
        <v>130</v>
      </c>
      <c r="C65" s="241" t="s">
        <v>163</v>
      </c>
      <c r="D65" s="241" t="s">
        <v>3</v>
      </c>
      <c r="E65" s="242"/>
      <c r="F65" s="224" t="s">
        <v>16</v>
      </c>
      <c r="G65" s="227">
        <f>_xll.mirGetDate($C$6,F65)</f>
        <v>54984</v>
      </c>
      <c r="H65" s="260">
        <f t="shared" si="15"/>
        <v>1.5637499999999999E-2</v>
      </c>
      <c r="I65" s="229">
        <f ca="1">IF(NOW(),_xll.mirGetParRate4($C$54,$G65,$C$55,$C$64,$C$65,$C$66,$C$67,$C$68,$C$69,$C$70,$C$74,$C$75,$D$64,$D$65,$D$66,$D$67,$D$68,$D$69,$D$70,$D$71,$D$72,$D$73,$D$74,$D$75,$C$56,$C$57,$C$58,$C$59,$C$60),"")</f>
        <v>1.8626261951847821E-2</v>
      </c>
      <c r="J65" s="229">
        <f t="shared" ca="1" si="11"/>
        <v>2.9887619518478223E-3</v>
      </c>
      <c r="K65" s="230">
        <f t="shared" ca="1" si="12"/>
        <v>29.887619518478221</v>
      </c>
      <c r="L65" s="230" t="s">
        <v>12</v>
      </c>
      <c r="M65" s="224" t="s">
        <v>16</v>
      </c>
      <c r="N65" s="255">
        <f ca="1">IF(NOW(),_xll.mirSwapPV($C$51,$C$52,$C$54,$G65,$C$55,$I65+N$51,$C$64,$C$65,$C$66,$C$67,$C$68,$C$69,$C$70,$C$74,$C$75,$D$63,$D$64,$D$65,$D$66,$D$67,$D$68,$D$69,$D$70,$D$71,$D$72,$D$73,$D$74,$D$75,$C$56,$C$57,$C$58,$C$59,$C$60),"")</f>
        <v>-1341179.2700771403</v>
      </c>
      <c r="O65" s="255">
        <f ca="1">IF(NOW(),_xll.mirSwapPV($C$51,$C$52,$C$54,$G65,$C$55,$I65+O$51,$C$64,$C$65,$C$66,$C$67,$C$68,$C$69,$C$70,$C$74,$C$75,$D$63,$D$64,$D$65,$D$66,$D$67,$D$68,$D$69,$D$70,$D$71,$D$72,$D$73,$D$74,$D$75,$C$56,$C$57,$C$58,$C$59,$C$60),"")</f>
        <v>-1072943.4160617122</v>
      </c>
      <c r="P65" s="255">
        <f ca="1">IF(NOW(),_xll.mirSwapPV($C$51,$C$52,$C$54,$G65,$C$55,$I65+P$51,$C$64,$C$65,$C$66,$C$67,$C$68,$C$69,$C$70,$C$74,$C$75,$D$63,$D$64,$D$65,$D$66,$D$67,$D$68,$D$69,$D$70,$D$71,$D$72,$D$73,$D$74,$D$75,$C$56,$C$57,$C$58,$C$59,$C$60),"")</f>
        <v>-804707.56204628409</v>
      </c>
      <c r="Q65" s="255">
        <f ca="1">IF(NOW(),_xll.mirSwapPV($C$51,$C$52,$C$54,$G65,$C$55,$I65+Q$51,$C$64,$C$65,$C$66,$C$67,$C$68,$C$69,$C$70,$C$74,$C$75,$D$63,$D$64,$D$65,$D$66,$D$67,$D$68,$D$69,$D$70,$D$71,$D$72,$D$73,$D$74,$D$75,$C$56,$C$57,$C$58,$C$59,$C$60),"")</f>
        <v>-536471.70803085598</v>
      </c>
      <c r="R65" s="255">
        <f ca="1">IF(NOW(),_xll.mirSwapPV($C$51,$C$52,$C$54,$G65,$C$55,$I65+R$51,$C$64,$C$65,$C$66,$C$67,$C$68,$C$69,$C$70,$C$74,$C$75,$D$63,$D$64,$D$65,$D$66,$D$67,$D$68,$D$69,$D$70,$D$71,$D$72,$D$73,$D$74,$D$75,$C$56,$C$57,$C$58,$C$59,$C$60),"")</f>
        <v>-268235.85401542799</v>
      </c>
      <c r="S65" s="255">
        <f ca="1">IF(NOW(),_xll.mirSwapPV($C$51,$C$52,$C$54,$G65,$C$55,$I65+S$51,$C$64,$C$65,$C$66,$C$67,$C$68,$C$69,$C$70,$C$74,$C$75,$D$63,$D$64,$D$65,$D$66,$D$67,$D$68,$D$69,$D$70,$D$71,$D$72,$D$73,$D$74,$D$75,$C$56,$C$57,$C$58,$C$59,$C$60),"")</f>
        <v>-5.5511151231257827E-11</v>
      </c>
      <c r="T65" s="255">
        <f ca="1">IF(NOW(),_xll.mirSwapPV($C$51,$C$52,$C$54,$G65,$C$55,$I65+T$51,$C$64,$C$65,$C$66,$C$67,$C$68,$C$69,$C$70,$C$74,$C$75,$D$63,$D$64,$D$65,$D$66,$D$67,$D$68,$D$69,$D$70,$D$71,$D$72,$D$73,$D$74,$D$75,$C$56,$C$57,$C$58,$C$59,$C$60),"")</f>
        <v>268235.85401542811</v>
      </c>
      <c r="U65" s="255">
        <f ca="1">IF(NOW(),_xll.mirSwapPV($C$51,$C$52,$C$54,$G65,$C$55,$I65+U$51,$C$64,$C$65,$C$66,$C$67,$C$68,$C$69,$C$70,$C$74,$C$75,$D$63,$D$64,$D$65,$D$66,$D$67,$D$68,$D$69,$D$70,$D$71,$D$72,$D$73,$D$74,$D$75,$C$56,$C$57,$C$58,$C$59,$C$60),"")</f>
        <v>536471.70803085587</v>
      </c>
      <c r="V65" s="255">
        <f ca="1">IF(NOW(),_xll.mirSwapPV($C$51,$C$52,$C$54,$G65,$C$55,$I65+V$51,$C$64,$C$65,$C$66,$C$67,$C$68,$C$69,$C$70,$C$74,$C$75,$D$63,$D$64,$D$65,$D$66,$D$67,$D$68,$D$69,$D$70,$D$71,$D$72,$D$73,$D$74,$D$75,$C$56,$C$57,$C$58,$C$59,$C$60),"")</f>
        <v>804707.56204628397</v>
      </c>
      <c r="W65" s="255">
        <f ca="1">IF(NOW(),_xll.mirSwapPV($C$51,$C$52,$C$54,$G65,$C$55,$I65+W$51,$C$64,$C$65,$C$66,$C$67,$C$68,$C$69,$C$70,$C$74,$C$75,$D$63,$D$64,$D$65,$D$66,$D$67,$D$68,$D$69,$D$70,$D$71,$D$72,$D$73,$D$74,$D$75,$C$56,$C$57,$C$58,$C$59,$C$60),"")</f>
        <v>1072943.4160617122</v>
      </c>
      <c r="X65" s="255">
        <f ca="1">IF(NOW(),_xll.mirSwapPV($C$51,$C$52,$C$54,$G65,$C$55,$I65+X$51,$C$64,$C$65,$C$66,$C$67,$C$68,$C$69,$C$70,$C$74,$C$75,$D$63,$D$64,$D$65,$D$66,$D$67,$D$68,$D$69,$D$70,$D$71,$D$72,$D$73,$D$74,$D$75,$C$56,$C$57,$C$58,$C$59,$C$60),"")</f>
        <v>1341179.2700771401</v>
      </c>
      <c r="Y65" s="230" t="s">
        <v>12</v>
      </c>
      <c r="Z65" s="224" t="s">
        <v>16</v>
      </c>
      <c r="AA65" s="227">
        <f>_xll.mirGetDate($C$6,Z65)</f>
        <v>54984</v>
      </c>
      <c r="AB65" s="260">
        <f t="shared" si="16"/>
        <v>1.5637499999999999E-2</v>
      </c>
      <c r="AC65" s="229">
        <f ca="1">IF(NOW(),_xll.mirGetParRate4($C$54,$AA65,$C$55,$C$64,$C$65,$C$66,$C$67,$C$68,$C$69,$C$70,$C$74,$C$75,$D$64,$D$65,$D$66,$D$67,$D$68,$D$69,$D$70,$D$71,$D$72,$D$73,$D$74,$D$75,$C$56,$C$57,$C$58,$D$59,$C$60),"")</f>
        <v>1.8626261951847814E-2</v>
      </c>
      <c r="AD65" s="229">
        <f t="shared" ca="1" si="13"/>
        <v>2.9887619518478153E-3</v>
      </c>
      <c r="AE65" s="230">
        <f t="shared" ca="1" si="14"/>
        <v>29.887619518478154</v>
      </c>
      <c r="AG65" s="224" t="s">
        <v>16</v>
      </c>
      <c r="AH65" s="255">
        <f ca="1">IF(NOW(),_xll.mirSwapPV($C$51,$C$52,$C$54,$AA65,$C$55,$AC65+AH$51,$C$64,$C$65,$C$66,$C$67,$C$68,$C$69,$C$70,$C$74,$C$75,$D$63,$D$64,$D$65,$D$66,$D$67,$D$68,$D$69,$D$70,$D$71,$D$72,$D$73,$D$74,$D$75,$C$56,$C$57,$C$58,$D$59,$C$60),"")</f>
        <v>-1341179.2700771403</v>
      </c>
      <c r="AI65" s="255">
        <f ca="1">IF(NOW(),_xll.mirSwapPV($C$51,$C$52,$C$54,$AA65,$C$55,$AC65+AI$51,$C$64,$C$65,$C$66,$C$67,$C$68,$C$69,$C$70,$C$74,$C$75,$D$63,$D$64,$D$65,$D$66,$D$67,$D$68,$D$69,$D$70,$D$71,$D$72,$D$73,$D$74,$D$75,$C$56,$C$57,$C$58,$D$59,$C$60),"")</f>
        <v>-1072943.4160617122</v>
      </c>
      <c r="AJ65" s="255">
        <f ca="1">IF(NOW(),_xll.mirSwapPV($C$51,$C$52,$C$54,$AA65,$C$55,$AC65+AJ$51,$C$64,$C$65,$C$66,$C$67,$C$68,$C$69,$C$70,$C$74,$C$75,$D$63,$D$64,$D$65,$D$66,$D$67,$D$68,$D$69,$D$70,$D$71,$D$72,$D$73,$D$74,$D$75,$C$56,$C$57,$C$58,$D$59,$C$60),"")</f>
        <v>-804707.56204628397</v>
      </c>
      <c r="AK65" s="255">
        <f ca="1">IF(NOW(),_xll.mirSwapPV($C$51,$C$52,$C$54,$AA65,$C$55,$AC65+AK$51,$C$64,$C$65,$C$66,$C$67,$C$68,$C$69,$C$70,$C$74,$C$75,$D$63,$D$64,$D$65,$D$66,$D$67,$D$68,$D$69,$D$70,$D$71,$D$72,$D$73,$D$74,$D$75,$C$56,$C$57,$C$58,$D$59,$C$60),"")</f>
        <v>-536471.70803085598</v>
      </c>
      <c r="AL65" s="255">
        <f ca="1">IF(NOW(),_xll.mirSwapPV($C$51,$C$52,$C$54,$AA65,$C$55,$AC65+AL$51,$C$64,$C$65,$C$66,$C$67,$C$68,$C$69,$C$70,$C$74,$C$75,$D$63,$D$64,$D$65,$D$66,$D$67,$D$68,$D$69,$D$70,$D$71,$D$72,$D$73,$D$74,$D$75,$C$56,$C$57,$C$58,$D$59,$C$60),"")</f>
        <v>-268235.85401542793</v>
      </c>
      <c r="AM65" s="255">
        <f ca="1">IF(NOW(),_xll.mirSwapPV($C$51,$C$52,$C$54,$AA65,$C$55,$AC65+AM$51,$C$64,$C$65,$C$66,$C$67,$C$68,$C$69,$C$70,$C$74,$C$75,$D$63,$D$64,$D$65,$D$66,$D$67,$D$68,$D$69,$D$70,$D$71,$D$72,$D$73,$D$74,$D$75,$C$56,$C$57,$C$58,$D$59,$C$60),"")</f>
        <v>0</v>
      </c>
      <c r="AN65" s="255">
        <f ca="1">IF(NOW(),_xll.mirSwapPV($C$51,$C$52,$C$54,$AA65,$C$55,$AC65+AN$51,$C$64,$C$65,$C$66,$C$67,$C$68,$C$69,$C$70,$C$74,$C$75,$D$63,$D$64,$D$65,$D$66,$D$67,$D$68,$D$69,$D$70,$D$71,$D$72,$D$73,$D$74,$D$75,$C$56,$C$57,$C$58,$D$59,$C$60),"")</f>
        <v>268235.85401542811</v>
      </c>
      <c r="AO65" s="255">
        <f ca="1">IF(NOW(),_xll.mirSwapPV($C$51,$C$52,$C$54,$AA65,$C$55,$AC65+AO$51,$C$64,$C$65,$C$66,$C$67,$C$68,$C$69,$C$70,$C$74,$C$75,$D$63,$D$64,$D$65,$D$66,$D$67,$D$68,$D$69,$D$70,$D$71,$D$72,$D$73,$D$74,$D$75,$C$56,$C$57,$C$58,$D$59,$C$60),"")</f>
        <v>536471.7080308561</v>
      </c>
      <c r="AP65" s="255">
        <f ca="1">IF(NOW(),_xll.mirSwapPV($C$51,$C$52,$C$54,$AA65,$C$55,$AC65+AP$51,$C$64,$C$65,$C$66,$C$67,$C$68,$C$69,$C$70,$C$74,$C$75,$D$63,$D$64,$D$65,$D$66,$D$67,$D$68,$D$69,$D$70,$D$71,$D$72,$D$73,$D$74,$D$75,$C$56,$C$57,$C$58,$D$59,$C$60),"")</f>
        <v>804707.56204628397</v>
      </c>
      <c r="AQ65" s="255">
        <f ca="1">IF(NOW(),_xll.mirSwapPV($C$51,$C$52,$C$54,$AA65,$C$55,$AC65+AQ$51,$C$64,$C$65,$C$66,$C$67,$C$68,$C$69,$C$70,$C$74,$C$75,$D$63,$D$64,$D$65,$D$66,$D$67,$D$68,$D$69,$D$70,$D$71,$D$72,$D$73,$D$74,$D$75,$C$56,$C$57,$C$58,$D$59,$C$60),"")</f>
        <v>1072943.4160617122</v>
      </c>
      <c r="AR65" s="255">
        <f ca="1">IF(NOW(),_xll.mirSwapPV($C$51,$C$52,$C$54,$AA65,$C$55,$AC65+AR$51,$C$64,$C$65,$C$66,$C$67,$C$68,$C$69,$C$70,$C$74,$C$75,$D$63,$D$64,$D$65,$D$66,$D$67,$D$68,$D$69,$D$70,$D$71,$D$72,$D$73,$D$74,$D$75,$C$56,$C$57,$C$58,$D$59,$C$60),"")</f>
        <v>1341179.2700771403</v>
      </c>
    </row>
    <row r="66" spans="2:44">
      <c r="B66" s="234" t="s">
        <v>443</v>
      </c>
      <c r="C66" s="240" t="s">
        <v>40</v>
      </c>
      <c r="D66" s="240" t="s">
        <v>40</v>
      </c>
      <c r="E66" s="224"/>
      <c r="F66" s="224" t="s">
        <v>15</v>
      </c>
      <c r="G66" s="227">
        <f>_xll.mirGetDate($C$6,F66)</f>
        <v>56810</v>
      </c>
      <c r="H66" s="260">
        <f t="shared" si="15"/>
        <v>1.6174999999999998E-2</v>
      </c>
      <c r="I66" s="229">
        <f ca="1">IF(NOW(),_xll.mirGetParRate4($C$54,$G66,$C$55,$C$64,$C$65,$C$66,$C$67,$C$68,$C$69,$C$70,$C$74,$C$75,$D$64,$D$65,$D$66,$D$67,$D$68,$D$69,$D$70,$D$71,$D$72,$D$73,$D$74,$D$75,$C$56,$C$57,$C$58,$C$59,$C$60),"")</f>
        <v>1.8609824910112267E-2</v>
      </c>
      <c r="J66" s="229">
        <f t="shared" ca="1" si="11"/>
        <v>2.4348249101122689E-3</v>
      </c>
      <c r="K66" s="230">
        <f t="shared" ca="1" si="12"/>
        <v>24.34824910112269</v>
      </c>
      <c r="L66" s="230" t="s">
        <v>12</v>
      </c>
      <c r="M66" s="224" t="s">
        <v>15</v>
      </c>
      <c r="N66" s="255">
        <f ca="1">IF(NOW(),_xll.mirSwapPV($C$51,$C$52,$C$54,$G66,$C$55,$I66+N$51,$C$64,$C$65,$C$66,$C$67,$C$68,$C$69,$C$70,$C$74,$C$75,$D$63,$D$64,$D$65,$D$66,$D$67,$D$68,$D$69,$D$70,$D$71,$D$72,$D$73,$D$74,$D$75,$C$56,$C$57,$C$58,$C$59,$C$60),"")</f>
        <v>-1471307.5991774679</v>
      </c>
      <c r="O66" s="255">
        <f ca="1">IF(NOW(),_xll.mirSwapPV($C$51,$C$52,$C$54,$G66,$C$55,$I66+O$51,$C$64,$C$65,$C$66,$C$67,$C$68,$C$69,$C$70,$C$74,$C$75,$D$63,$D$64,$D$65,$D$66,$D$67,$D$68,$D$69,$D$70,$D$71,$D$72,$D$73,$D$74,$D$75,$C$56,$C$57,$C$58,$C$59,$C$60),"")</f>
        <v>-1177046.0793419741</v>
      </c>
      <c r="P66" s="255">
        <f ca="1">IF(NOW(),_xll.mirSwapPV($C$51,$C$52,$C$54,$G66,$C$55,$I66+P$51,$C$64,$C$65,$C$66,$C$67,$C$68,$C$69,$C$70,$C$74,$C$75,$D$63,$D$64,$D$65,$D$66,$D$67,$D$68,$D$69,$D$70,$D$71,$D$72,$D$73,$D$74,$D$75,$C$56,$C$57,$C$58,$C$59,$C$60),"")</f>
        <v>-882784.55950648047</v>
      </c>
      <c r="Q66" s="255">
        <f ca="1">IF(NOW(),_xll.mirSwapPV($C$51,$C$52,$C$54,$G66,$C$55,$I66+Q$51,$C$64,$C$65,$C$66,$C$67,$C$68,$C$69,$C$70,$C$74,$C$75,$D$63,$D$64,$D$65,$D$66,$D$67,$D$68,$D$69,$D$70,$D$71,$D$72,$D$73,$D$74,$D$75,$C$56,$C$57,$C$58,$C$59,$C$60),"")</f>
        <v>-588523.03967098694</v>
      </c>
      <c r="R66" s="255">
        <f ca="1">IF(NOW(),_xll.mirSwapPV($C$51,$C$52,$C$54,$G66,$C$55,$I66+R$51,$C$64,$C$65,$C$66,$C$67,$C$68,$C$69,$C$70,$C$74,$C$75,$D$63,$D$64,$D$65,$D$66,$D$67,$D$68,$D$69,$D$70,$D$71,$D$72,$D$73,$D$74,$D$75,$C$56,$C$57,$C$58,$C$59,$C$60),"")</f>
        <v>-294261.51983549341</v>
      </c>
      <c r="S66" s="255">
        <f ca="1">IF(NOW(),_xll.mirSwapPV($C$51,$C$52,$C$54,$G66,$C$55,$I66+S$51,$C$64,$C$65,$C$66,$C$67,$C$68,$C$69,$C$70,$C$74,$C$75,$D$63,$D$64,$D$65,$D$66,$D$67,$D$68,$D$69,$D$70,$D$71,$D$72,$D$73,$D$74,$D$75,$C$56,$C$57,$C$58,$C$59,$C$60),"")</f>
        <v>0</v>
      </c>
      <c r="T66" s="255">
        <f ca="1">IF(NOW(),_xll.mirSwapPV($C$51,$C$52,$C$54,$G66,$C$55,$I66+T$51,$C$64,$C$65,$C$66,$C$67,$C$68,$C$69,$C$70,$C$74,$C$75,$D$63,$D$64,$D$65,$D$66,$D$67,$D$68,$D$69,$D$70,$D$71,$D$72,$D$73,$D$74,$D$75,$C$56,$C$57,$C$58,$C$59,$C$60),"")</f>
        <v>294261.51983549353</v>
      </c>
      <c r="U66" s="255">
        <f ca="1">IF(NOW(),_xll.mirSwapPV($C$51,$C$52,$C$54,$G66,$C$55,$I66+U$51,$C$64,$C$65,$C$66,$C$67,$C$68,$C$69,$C$70,$C$74,$C$75,$D$63,$D$64,$D$65,$D$66,$D$67,$D$68,$D$69,$D$70,$D$71,$D$72,$D$73,$D$74,$D$75,$C$56,$C$57,$C$58,$C$59,$C$60),"")</f>
        <v>588523.03967098694</v>
      </c>
      <c r="V66" s="255">
        <f ca="1">IF(NOW(),_xll.mirSwapPV($C$51,$C$52,$C$54,$G66,$C$55,$I66+V$51,$C$64,$C$65,$C$66,$C$67,$C$68,$C$69,$C$70,$C$74,$C$75,$D$63,$D$64,$D$65,$D$66,$D$67,$D$68,$D$69,$D$70,$D$71,$D$72,$D$73,$D$74,$D$75,$C$56,$C$57,$C$58,$C$59,$C$60),"")</f>
        <v>882784.55950648058</v>
      </c>
      <c r="W66" s="255">
        <f ca="1">IF(NOW(),_xll.mirSwapPV($C$51,$C$52,$C$54,$G66,$C$55,$I66+W$51,$C$64,$C$65,$C$66,$C$67,$C$68,$C$69,$C$70,$C$74,$C$75,$D$63,$D$64,$D$65,$D$66,$D$67,$D$68,$D$69,$D$70,$D$71,$D$72,$D$73,$D$74,$D$75,$C$56,$C$57,$C$58,$C$59,$C$60),"")</f>
        <v>1177046.0793419741</v>
      </c>
      <c r="X66" s="255">
        <f ca="1">IF(NOW(),_xll.mirSwapPV($C$51,$C$52,$C$54,$G66,$C$55,$I66+X$51,$C$64,$C$65,$C$66,$C$67,$C$68,$C$69,$C$70,$C$74,$C$75,$D$63,$D$64,$D$65,$D$66,$D$67,$D$68,$D$69,$D$70,$D$71,$D$72,$D$73,$D$74,$D$75,$C$56,$C$57,$C$58,$C$59,$C$60),"")</f>
        <v>1471307.5991774681</v>
      </c>
      <c r="Y66" s="230" t="s">
        <v>12</v>
      </c>
      <c r="Z66" s="224" t="s">
        <v>15</v>
      </c>
      <c r="AA66" s="227">
        <f>_xll.mirGetDate($C$6,Z66)</f>
        <v>56810</v>
      </c>
      <c r="AB66" s="260">
        <f t="shared" si="16"/>
        <v>1.6174999999999998E-2</v>
      </c>
      <c r="AC66" s="229">
        <f ca="1">IF(NOW(),_xll.mirGetParRate4($C$54,$AA66,$C$55,$C$64,$C$65,$C$66,$C$67,$C$68,$C$69,$C$70,$C$74,$C$75,$D$64,$D$65,$D$66,$D$67,$D$68,$D$69,$D$70,$D$71,$D$72,$D$73,$D$74,$D$75,$C$56,$C$57,$C$58,$D$59,$C$60),"")</f>
        <v>1.8609824910112278E-2</v>
      </c>
      <c r="AD66" s="229">
        <f t="shared" ca="1" si="13"/>
        <v>2.4348249101122793E-3</v>
      </c>
      <c r="AE66" s="230">
        <f t="shared" ca="1" si="14"/>
        <v>24.348249101122793</v>
      </c>
      <c r="AG66" s="224" t="s">
        <v>15</v>
      </c>
      <c r="AH66" s="255">
        <f ca="1">IF(NOW(),_xll.mirSwapPV($C$51,$C$52,$C$54,$AA66,$C$55,$AC66+AH$51,$C$64,$C$65,$C$66,$C$67,$C$68,$C$69,$C$70,$C$74,$C$75,$D$63,$D$64,$D$65,$D$66,$D$67,$D$68,$D$69,$D$70,$D$71,$D$72,$D$73,$D$74,$D$75,$C$56,$C$57,$C$58,$D$59,$C$60),"")</f>
        <v>-1471307.5991774681</v>
      </c>
      <c r="AI66" s="255">
        <f ca="1">IF(NOW(),_xll.mirSwapPV($C$51,$C$52,$C$54,$AA66,$C$55,$AC66+AI$51,$C$64,$C$65,$C$66,$C$67,$C$68,$C$69,$C$70,$C$74,$C$75,$D$63,$D$64,$D$65,$D$66,$D$67,$D$68,$D$69,$D$70,$D$71,$D$72,$D$73,$D$74,$D$75,$C$56,$C$57,$C$58,$D$59,$C$60),"")</f>
        <v>-1177046.0793419741</v>
      </c>
      <c r="AJ66" s="255">
        <f ca="1">IF(NOW(),_xll.mirSwapPV($C$51,$C$52,$C$54,$AA66,$C$55,$AC66+AJ$51,$C$64,$C$65,$C$66,$C$67,$C$68,$C$69,$C$70,$C$74,$C$75,$D$63,$D$64,$D$65,$D$66,$D$67,$D$68,$D$69,$D$70,$D$71,$D$72,$D$73,$D$74,$D$75,$C$56,$C$57,$C$58,$D$59,$C$60),"")</f>
        <v>-882784.55950648058</v>
      </c>
      <c r="AK66" s="255">
        <f ca="1">IF(NOW(),_xll.mirSwapPV($C$51,$C$52,$C$54,$AA66,$C$55,$AC66+AK$51,$C$64,$C$65,$C$66,$C$67,$C$68,$C$69,$C$70,$C$74,$C$75,$D$63,$D$64,$D$65,$D$66,$D$67,$D$68,$D$69,$D$70,$D$71,$D$72,$D$73,$D$74,$D$75,$C$56,$C$57,$C$58,$D$59,$C$60),"")</f>
        <v>-588523.03967098694</v>
      </c>
      <c r="AL66" s="255">
        <f ca="1">IF(NOW(),_xll.mirSwapPV($C$51,$C$52,$C$54,$AA66,$C$55,$AC66+AL$51,$C$64,$C$65,$C$66,$C$67,$C$68,$C$69,$C$70,$C$74,$C$75,$D$63,$D$64,$D$65,$D$66,$D$67,$D$68,$D$69,$D$70,$D$71,$D$72,$D$73,$D$74,$D$75,$C$56,$C$57,$C$58,$D$59,$C$60),"")</f>
        <v>-294261.51983549347</v>
      </c>
      <c r="AM66" s="255">
        <f ca="1">IF(NOW(),_xll.mirSwapPV($C$51,$C$52,$C$54,$AA66,$C$55,$AC66+AM$51,$C$64,$C$65,$C$66,$C$67,$C$68,$C$69,$C$70,$C$74,$C$75,$D$63,$D$64,$D$65,$D$66,$D$67,$D$68,$D$69,$D$70,$D$71,$D$72,$D$73,$D$74,$D$75,$C$56,$C$57,$C$58,$D$59,$C$60),"")</f>
        <v>0</v>
      </c>
      <c r="AN66" s="255">
        <f ca="1">IF(NOW(),_xll.mirSwapPV($C$51,$C$52,$C$54,$AA66,$C$55,$AC66+AN$51,$C$64,$C$65,$C$66,$C$67,$C$68,$C$69,$C$70,$C$74,$C$75,$D$63,$D$64,$D$65,$D$66,$D$67,$D$68,$D$69,$D$70,$D$71,$D$72,$D$73,$D$74,$D$75,$C$56,$C$57,$C$58,$D$59,$C$60),"")</f>
        <v>294261.51983549341</v>
      </c>
      <c r="AO66" s="255">
        <f ca="1">IF(NOW(),_xll.mirSwapPV($C$51,$C$52,$C$54,$AA66,$C$55,$AC66+AO$51,$C$64,$C$65,$C$66,$C$67,$C$68,$C$69,$C$70,$C$74,$C$75,$D$63,$D$64,$D$65,$D$66,$D$67,$D$68,$D$69,$D$70,$D$71,$D$72,$D$73,$D$74,$D$75,$C$56,$C$57,$C$58,$D$59,$C$60),"")</f>
        <v>588523.03967098705</v>
      </c>
      <c r="AP66" s="255">
        <f ca="1">IF(NOW(),_xll.mirSwapPV($C$51,$C$52,$C$54,$AA66,$C$55,$AC66+AP$51,$C$64,$C$65,$C$66,$C$67,$C$68,$C$69,$C$70,$C$74,$C$75,$D$63,$D$64,$D$65,$D$66,$D$67,$D$68,$D$69,$D$70,$D$71,$D$72,$D$73,$D$74,$D$75,$C$56,$C$57,$C$58,$D$59,$C$60),"")</f>
        <v>882784.55950648047</v>
      </c>
      <c r="AQ66" s="255">
        <f ca="1">IF(NOW(),_xll.mirSwapPV($C$51,$C$52,$C$54,$AA66,$C$55,$AC66+AQ$51,$C$64,$C$65,$C$66,$C$67,$C$68,$C$69,$C$70,$C$74,$C$75,$D$63,$D$64,$D$65,$D$66,$D$67,$D$68,$D$69,$D$70,$D$71,$D$72,$D$73,$D$74,$D$75,$C$56,$C$57,$C$58,$D$59,$C$60),"")</f>
        <v>1177046.0793419741</v>
      </c>
      <c r="AR66" s="255">
        <f ca="1">IF(NOW(),_xll.mirSwapPV($C$51,$C$52,$C$54,$AA66,$C$55,$AC66+AR$51,$C$64,$C$65,$C$66,$C$67,$C$68,$C$69,$C$70,$C$74,$C$75,$D$63,$D$64,$D$65,$D$66,$D$67,$D$68,$D$69,$D$70,$D$71,$D$72,$D$73,$D$74,$D$75,$C$56,$C$57,$C$58,$D$59,$C$60),"")</f>
        <v>1471307.5991774676</v>
      </c>
    </row>
    <row r="67" spans="2:44">
      <c r="B67" s="234" t="s">
        <v>174</v>
      </c>
      <c r="C67" s="240" t="s">
        <v>0</v>
      </c>
      <c r="D67" s="240" t="s">
        <v>0</v>
      </c>
      <c r="E67" s="224"/>
      <c r="F67" s="224"/>
      <c r="G67" s="227"/>
      <c r="H67" s="260"/>
      <c r="I67" s="229"/>
      <c r="J67" s="229"/>
      <c r="K67" s="230"/>
      <c r="L67" s="230"/>
      <c r="M67" s="224"/>
      <c r="N67" s="255"/>
      <c r="O67" s="255"/>
      <c r="P67" s="255"/>
      <c r="Q67" s="255"/>
      <c r="R67" s="255"/>
      <c r="S67" s="255"/>
      <c r="T67" s="255"/>
      <c r="U67" s="255"/>
      <c r="V67" s="255"/>
      <c r="W67" s="255"/>
      <c r="X67" s="255"/>
      <c r="Y67" s="230"/>
      <c r="Z67" s="224"/>
      <c r="AA67" s="227"/>
      <c r="AB67" s="260"/>
      <c r="AC67" s="229"/>
      <c r="AD67" s="229"/>
      <c r="AE67" s="230"/>
      <c r="AG67" s="224"/>
      <c r="AH67" s="255"/>
      <c r="AI67" s="255"/>
      <c r="AJ67" s="255"/>
      <c r="AK67" s="255"/>
      <c r="AL67" s="255"/>
      <c r="AM67" s="255"/>
      <c r="AN67" s="255"/>
      <c r="AO67" s="255"/>
      <c r="AP67" s="255"/>
      <c r="AQ67" s="255"/>
      <c r="AR67" s="255"/>
    </row>
    <row r="68" spans="2:44">
      <c r="B68" s="234" t="s">
        <v>444</v>
      </c>
      <c r="C68" s="243"/>
      <c r="D68" s="243"/>
      <c r="E68" s="244"/>
      <c r="F68" s="224"/>
      <c r="G68" s="227"/>
      <c r="H68" s="260"/>
      <c r="I68" s="229"/>
      <c r="J68" s="229"/>
      <c r="K68" s="230"/>
      <c r="L68" s="230"/>
      <c r="M68" s="224"/>
      <c r="N68" s="255"/>
      <c r="O68" s="255"/>
      <c r="P68" s="255"/>
      <c r="Q68" s="255"/>
      <c r="R68" s="255"/>
      <c r="S68" s="255"/>
      <c r="T68" s="255"/>
      <c r="U68" s="255"/>
      <c r="V68" s="255"/>
      <c r="W68" s="255"/>
      <c r="X68" s="255"/>
      <c r="Y68" s="230"/>
      <c r="Z68" s="224"/>
      <c r="AA68" s="227"/>
      <c r="AB68" s="260"/>
      <c r="AC68" s="229"/>
      <c r="AD68" s="229"/>
      <c r="AE68" s="230"/>
      <c r="AG68" s="224"/>
      <c r="AH68" s="255"/>
      <c r="AI68" s="255"/>
      <c r="AJ68" s="255"/>
      <c r="AK68" s="255"/>
      <c r="AL68" s="255"/>
      <c r="AM68" s="255"/>
      <c r="AN68" s="255"/>
      <c r="AO68" s="255"/>
      <c r="AP68" s="255"/>
      <c r="AQ68" s="255"/>
      <c r="AR68" s="255"/>
    </row>
    <row r="69" spans="2:44">
      <c r="B69" s="234" t="s">
        <v>445</v>
      </c>
      <c r="C69" s="243"/>
      <c r="D69" s="243"/>
      <c r="E69" s="245"/>
      <c r="F69" s="224"/>
      <c r="G69" s="227"/>
      <c r="H69" s="260"/>
      <c r="I69" s="229"/>
      <c r="J69" s="229"/>
      <c r="K69" s="230"/>
      <c r="L69" s="230"/>
      <c r="M69" s="224"/>
      <c r="N69" s="255"/>
      <c r="O69" s="255"/>
      <c r="P69" s="255"/>
      <c r="Q69" s="255"/>
      <c r="R69" s="255"/>
      <c r="S69" s="255"/>
      <c r="T69" s="255"/>
      <c r="U69" s="255"/>
      <c r="V69" s="255"/>
      <c r="W69" s="255"/>
      <c r="X69" s="255"/>
      <c r="Y69" s="230"/>
      <c r="Z69" s="224"/>
      <c r="AA69" s="227"/>
      <c r="AB69" s="260"/>
      <c r="AC69" s="229"/>
      <c r="AD69" s="229"/>
      <c r="AE69" s="230"/>
      <c r="AG69" s="224"/>
      <c r="AH69" s="255"/>
      <c r="AI69" s="255"/>
      <c r="AJ69" s="255"/>
      <c r="AK69" s="255"/>
      <c r="AL69" s="255"/>
      <c r="AM69" s="255"/>
      <c r="AN69" s="255"/>
      <c r="AO69" s="255"/>
      <c r="AP69" s="255"/>
      <c r="AQ69" s="255"/>
      <c r="AR69" s="255"/>
    </row>
    <row r="70" spans="2:44">
      <c r="B70" s="234" t="s">
        <v>446</v>
      </c>
      <c r="C70" s="240">
        <f>DAY(C54)</f>
        <v>15</v>
      </c>
      <c r="D70" s="240">
        <f>DAY(C54)</f>
        <v>15</v>
      </c>
      <c r="F70" s="224"/>
      <c r="G70" s="227"/>
      <c r="H70" s="260"/>
      <c r="I70" s="229"/>
      <c r="J70" s="229"/>
      <c r="K70" s="230"/>
      <c r="L70" s="230"/>
      <c r="M70" s="224"/>
      <c r="N70" s="255"/>
      <c r="O70" s="255"/>
      <c r="P70" s="255"/>
      <c r="Q70" s="255"/>
      <c r="R70" s="255"/>
      <c r="S70" s="255"/>
      <c r="T70" s="255"/>
      <c r="U70" s="255"/>
      <c r="V70" s="255"/>
      <c r="W70" s="255"/>
      <c r="X70" s="255"/>
      <c r="Y70" s="230"/>
      <c r="Z70" s="224"/>
      <c r="AA70" s="227"/>
      <c r="AB70" s="260"/>
      <c r="AC70" s="229"/>
      <c r="AD70" s="229"/>
      <c r="AE70" s="230"/>
      <c r="AG70" s="224"/>
      <c r="AH70" s="255"/>
      <c r="AI70" s="255"/>
      <c r="AJ70" s="255"/>
      <c r="AK70" s="255"/>
      <c r="AL70" s="255"/>
      <c r="AM70" s="255"/>
      <c r="AN70" s="255"/>
      <c r="AO70" s="255"/>
      <c r="AP70" s="255"/>
      <c r="AQ70" s="255"/>
      <c r="AR70" s="255"/>
    </row>
    <row r="71" spans="2:44">
      <c r="B71" s="234" t="s">
        <v>447</v>
      </c>
      <c r="C71" s="241" t="s">
        <v>6</v>
      </c>
      <c r="D71" s="246" t="s">
        <v>448</v>
      </c>
      <c r="F71" s="224"/>
      <c r="G71" s="224"/>
      <c r="H71" s="224"/>
      <c r="K71" s="10"/>
      <c r="L71" s="10"/>
      <c r="M71" s="10"/>
      <c r="P71" s="252"/>
      <c r="AG71" s="10"/>
      <c r="AJ71" s="252"/>
    </row>
    <row r="72" spans="2:44">
      <c r="B72" s="234" t="s">
        <v>449</v>
      </c>
      <c r="C72" s="241" t="s">
        <v>6</v>
      </c>
      <c r="D72" s="247">
        <f>'JPY Curve Config'!$Z$29</f>
        <v>1.3429E-3</v>
      </c>
      <c r="F72" s="224"/>
      <c r="G72" s="224"/>
      <c r="H72" s="224"/>
      <c r="I72" s="11"/>
      <c r="J72" s="248"/>
      <c r="K72" s="249"/>
      <c r="L72" s="249"/>
      <c r="M72" s="249"/>
      <c r="AG72" s="249"/>
    </row>
    <row r="73" spans="2:44">
      <c r="B73" s="234" t="s">
        <v>450</v>
      </c>
      <c r="C73" s="241" t="s">
        <v>6</v>
      </c>
      <c r="D73" s="250"/>
      <c r="I73" s="224"/>
      <c r="J73" s="224"/>
      <c r="K73" s="230"/>
      <c r="L73" s="230"/>
      <c r="M73" s="230"/>
      <c r="AG73" s="230"/>
    </row>
    <row r="74" spans="2:44">
      <c r="B74" s="234" t="s">
        <v>452</v>
      </c>
      <c r="C74" s="246" t="s">
        <v>448</v>
      </c>
      <c r="D74" s="246" t="s">
        <v>448</v>
      </c>
      <c r="M74" s="259"/>
      <c r="AG74" s="259"/>
    </row>
    <row r="75" spans="2:44">
      <c r="B75" s="225" t="s">
        <v>453</v>
      </c>
      <c r="C75" s="251" t="s">
        <v>454</v>
      </c>
      <c r="D75" s="251" t="s">
        <v>454</v>
      </c>
      <c r="F75" s="224"/>
      <c r="G75" s="118"/>
      <c r="M75" s="219" t="s">
        <v>462</v>
      </c>
      <c r="N75" s="219"/>
      <c r="O75" s="229"/>
      <c r="P75" s="252"/>
      <c r="Q75" s="252"/>
      <c r="R75" s="229"/>
      <c r="S75" s="229" t="s">
        <v>459</v>
      </c>
      <c r="T75" s="229"/>
      <c r="U75" s="229"/>
      <c r="V75" s="229"/>
      <c r="W75" t="s">
        <v>463</v>
      </c>
      <c r="X75" s="259" t="b">
        <f>$C$11</f>
        <v>1</v>
      </c>
      <c r="AG75" s="219" t="s">
        <v>462</v>
      </c>
      <c r="AH75" s="219"/>
      <c r="AI75" s="229"/>
      <c r="AJ75" s="252"/>
      <c r="AK75" s="252"/>
      <c r="AL75" s="229"/>
      <c r="AM75" s="229" t="s">
        <v>459</v>
      </c>
      <c r="AN75" s="229"/>
      <c r="AO75" s="229"/>
      <c r="AP75" s="229"/>
      <c r="AQ75" t="s">
        <v>463</v>
      </c>
      <c r="AR75" s="259" t="b">
        <f>$D$11</f>
        <v>0</v>
      </c>
    </row>
    <row r="76" spans="2:44">
      <c r="F76" s="224"/>
      <c r="G76" s="224"/>
      <c r="H76" s="224"/>
      <c r="I76" s="224"/>
      <c r="J76" s="224"/>
      <c r="K76" s="224"/>
      <c r="L76" s="224"/>
      <c r="M76" s="224" t="s">
        <v>76</v>
      </c>
      <c r="N76" s="230">
        <v>500</v>
      </c>
      <c r="O76" s="230">
        <f>N76-100</f>
        <v>400</v>
      </c>
      <c r="P76" s="230">
        <f t="shared" ref="P76:X76" si="17">O76-100</f>
        <v>300</v>
      </c>
      <c r="Q76" s="230">
        <f t="shared" si="17"/>
        <v>200</v>
      </c>
      <c r="R76" s="230">
        <f t="shared" si="17"/>
        <v>100</v>
      </c>
      <c r="S76" s="230">
        <f t="shared" si="17"/>
        <v>0</v>
      </c>
      <c r="T76" s="230">
        <f t="shared" si="17"/>
        <v>-100</v>
      </c>
      <c r="U76" s="230">
        <f t="shared" si="17"/>
        <v>-200</v>
      </c>
      <c r="V76" s="230">
        <f t="shared" si="17"/>
        <v>-300</v>
      </c>
      <c r="W76" s="230">
        <f t="shared" si="17"/>
        <v>-400</v>
      </c>
      <c r="X76" s="230">
        <f t="shared" si="17"/>
        <v>-500</v>
      </c>
      <c r="Y76" s="224"/>
      <c r="AE76" s="11"/>
      <c r="AG76" s="224" t="s">
        <v>76</v>
      </c>
      <c r="AH76" s="230">
        <v>500</v>
      </c>
      <c r="AI76" s="230">
        <f>AH76-100</f>
        <v>400</v>
      </c>
      <c r="AJ76" s="230">
        <f t="shared" ref="AJ76:AR76" si="18">AI76-100</f>
        <v>300</v>
      </c>
      <c r="AK76" s="230">
        <f t="shared" si="18"/>
        <v>200</v>
      </c>
      <c r="AL76" s="230">
        <f t="shared" si="18"/>
        <v>100</v>
      </c>
      <c r="AM76" s="230">
        <f t="shared" si="18"/>
        <v>0</v>
      </c>
      <c r="AN76" s="230">
        <f t="shared" si="18"/>
        <v>-100</v>
      </c>
      <c r="AO76" s="230">
        <f t="shared" si="18"/>
        <v>-200</v>
      </c>
      <c r="AP76" s="230">
        <f t="shared" si="18"/>
        <v>-300</v>
      </c>
      <c r="AQ76" s="230">
        <f t="shared" si="18"/>
        <v>-400</v>
      </c>
      <c r="AR76" s="230">
        <f t="shared" si="18"/>
        <v>-500</v>
      </c>
    </row>
    <row r="77" spans="2:44">
      <c r="F77" s="230"/>
      <c r="G77" s="227"/>
      <c r="H77" s="229"/>
      <c r="I77" s="229"/>
      <c r="J77" s="229"/>
      <c r="K77" s="230"/>
      <c r="L77" s="230"/>
      <c r="M77" s="227" t="s">
        <v>39</v>
      </c>
      <c r="N77" s="255">
        <f ca="1">IF(NOW(),_xll.mirSwapPV($C$51,$C$52,$C$54,$G52,$C$55,$I52,$C$64,$C$65,$C$66,$C$67,$C$68,$C$69,$C$70,$C$74,$C$75,$D$63+N$76,$D$64,$D$65,$D$66,$D$67,$D$68,$D$69,$D$70,$D$71,$D$72,$D$73,$D$74,$D$75,$C$56,$C$57,$C$58,$C$59,$C$60),"")</f>
        <v>-152542.46364885769</v>
      </c>
      <c r="O77" s="255">
        <f ca="1">IF(NOW(),_xll.mirSwapPV($C$51,$C$52,$C$54,$G52,$C$55,$I52,$C$64,$C$65,$C$66,$C$67,$C$68,$C$69,$C$70,$C$74,$C$75,$D$63+O$76,$D$64,$D$65,$D$66,$D$67,$D$68,$D$69,$D$70,$D$71,$D$72,$D$73,$D$74,$D$75,$C$56,$C$57,$C$58,$C$59,$C$60),"")</f>
        <v>-122033.97091908618</v>
      </c>
      <c r="P77" s="255">
        <f ca="1">IF(NOW(),_xll.mirSwapPV($C$51,$C$52,$C$54,$G52,$C$55,$I52,$C$64,$C$65,$C$66,$C$67,$C$68,$C$69,$C$70,$C$74,$C$75,$D$63+P$76,$D$64,$D$65,$D$66,$D$67,$D$68,$D$69,$D$70,$D$71,$D$72,$D$73,$D$74,$D$75,$C$56,$C$57,$C$58,$C$59,$C$60),"")</f>
        <v>-91525.478189314628</v>
      </c>
      <c r="Q77" s="255">
        <f ca="1">IF(NOW(),_xll.mirSwapPV($C$51,$C$52,$C$54,$G52,$C$55,$I52,$C$64,$C$65,$C$66,$C$67,$C$68,$C$69,$C$70,$C$74,$C$75,$D$63+Q$76,$D$64,$D$65,$D$66,$D$67,$D$68,$D$69,$D$70,$D$71,$D$72,$D$73,$D$74,$D$75,$C$56,$C$57,$C$58,$C$59,$C$60),"")</f>
        <v>-61016.985459543095</v>
      </c>
      <c r="R77" s="255">
        <f ca="1">IF(NOW(),_xll.mirSwapPV($C$51,$C$52,$C$54,$G52,$C$55,$I52,$C$64,$C$65,$C$66,$C$67,$C$68,$C$69,$C$70,$C$74,$C$75,$D$63+R$76,$D$64,$D$65,$D$66,$D$67,$D$68,$D$69,$D$70,$D$71,$D$72,$D$73,$D$74,$D$75,$C$56,$C$57,$C$58,$C$59,$C$60),"")</f>
        <v>-30508.492729771544</v>
      </c>
      <c r="S77" s="255">
        <f ca="1">IF(NOW(),_xll.mirSwapPV($C$51,$C$52,$C$54,$G52,$C$55,$I52,$C$64,$C$65,$C$66,$C$67,$C$68,$C$69,$C$70,$C$74,$C$75,$D$63+S$76,$D$64,$D$65,$D$66,$D$67,$D$68,$D$69,$D$70,$D$71,$D$72,$D$73,$D$74,$D$75,$C$56,$C$57,$C$58,$C$59,$C$60),"")</f>
        <v>0</v>
      </c>
      <c r="T77" s="255">
        <f ca="1">IF(NOW(),_xll.mirSwapPV($C$51,$C$52,$C$54,$G52,$C$55,$I52,$C$64,$C$65,$C$66,$C$67,$C$68,$C$69,$C$70,$C$74,$C$75,$D$63+T$76,$D$64,$D$65,$D$66,$D$67,$D$68,$D$69,$D$70,$D$71,$D$72,$D$73,$D$74,$D$75,$C$56,$C$57,$C$58,$C$59,$C$60),"")</f>
        <v>30508.492729771544</v>
      </c>
      <c r="U77" s="255">
        <f ca="1">IF(NOW(),_xll.mirSwapPV($C$51,$C$52,$C$54,$G52,$C$55,$I52,$C$64,$C$65,$C$66,$C$67,$C$68,$C$69,$C$70,$C$74,$C$75,$D$63+U$76,$D$64,$D$65,$D$66,$D$67,$D$68,$D$69,$D$70,$D$71,$D$72,$D$73,$D$74,$D$75,$C$56,$C$57,$C$58,$C$59,$C$60),"")</f>
        <v>61016.985459543081</v>
      </c>
      <c r="V77" s="255">
        <f ca="1">IF(NOW(),_xll.mirSwapPV($C$51,$C$52,$C$54,$G52,$C$55,$I52,$C$64,$C$65,$C$66,$C$67,$C$68,$C$69,$C$70,$C$74,$C$75,$D$63+V$76,$D$64,$D$65,$D$66,$D$67,$D$68,$D$69,$D$70,$D$71,$D$72,$D$73,$D$74,$D$75,$C$56,$C$57,$C$58,$C$59,$C$60),"")</f>
        <v>91525.478189314628</v>
      </c>
      <c r="W77" s="255">
        <f ca="1">IF(NOW(),_xll.mirSwapPV($C$51,$C$52,$C$54,$G52,$C$55,$I52,$C$64,$C$65,$C$66,$C$67,$C$68,$C$69,$C$70,$C$74,$C$75,$D$63+W$76,$D$64,$D$65,$D$66,$D$67,$D$68,$D$69,$D$70,$D$71,$D$72,$D$73,$D$74,$D$75,$C$56,$C$57,$C$58,$C$59,$C$60),"")</f>
        <v>122033.97091908615</v>
      </c>
      <c r="X77" s="255">
        <f ca="1">IF(NOW(),_xll.mirSwapPV($C$51,$C$52,$C$54,$G52,$C$55,$I52,$C$64,$C$65,$C$66,$C$67,$C$68,$C$69,$C$70,$C$74,$C$75,$D$63+X$76,$D$64,$D$65,$D$66,$D$67,$D$68,$D$69,$D$70,$D$71,$D$72,$D$73,$D$74,$D$75,$C$56,$C$57,$C$58,$C$59,$C$60),"")</f>
        <v>152542.46364885769</v>
      </c>
      <c r="Y77" s="229"/>
      <c r="AE77" s="230"/>
      <c r="AG77" s="227" t="s">
        <v>39</v>
      </c>
      <c r="AH77" s="255">
        <f ca="1">IF(NOW(),_xll.mirSwapPV($C$51,$C$52,$C$54,$AA52,$C$55,$AC52,$C$64,$C$65,$C$66,$C$67,$C$68,$C$69,$C$70,$C$74,$C$75,$D$63+AH$76,$D$64,$D$65,$D$66,$D$67,$D$68,$D$69,$D$70,$D$71,$D$72,$D$73,$D$74,$D$75,$C$56,$C$57,$C$58,$D$59,$C$60),"")</f>
        <v>-152542.46364885769</v>
      </c>
      <c r="AI77" s="255">
        <f ca="1">IF(NOW(),_xll.mirSwapPV($C$51,$C$52,$C$54,$AA52,$C$55,$AC52,$C$64,$C$65,$C$66,$C$67,$C$68,$C$69,$C$70,$C$74,$C$75,$D$63+AI$76,$D$64,$D$65,$D$66,$D$67,$D$68,$D$69,$D$70,$D$71,$D$72,$D$73,$D$74,$D$75,$C$56,$C$57,$C$58,$D$59,$C$60),"")</f>
        <v>-122033.97091908616</v>
      </c>
      <c r="AJ77" s="255">
        <f ca="1">IF(NOW(),_xll.mirSwapPV($C$51,$C$52,$C$54,$AA52,$C$55,$AC52,$C$64,$C$65,$C$66,$C$67,$C$68,$C$69,$C$70,$C$74,$C$75,$D$63+AJ$76,$D$64,$D$65,$D$66,$D$67,$D$68,$D$69,$D$70,$D$71,$D$72,$D$73,$D$74,$D$75,$C$56,$C$57,$C$58,$D$59,$C$60),"")</f>
        <v>-91525.478189314643</v>
      </c>
      <c r="AK77" s="255">
        <f ca="1">IF(NOW(),_xll.mirSwapPV($C$51,$C$52,$C$54,$AA52,$C$55,$AC52,$C$64,$C$65,$C$66,$C$67,$C$68,$C$69,$C$70,$C$74,$C$75,$D$63+AK$76,$D$64,$D$65,$D$66,$D$67,$D$68,$D$69,$D$70,$D$71,$D$72,$D$73,$D$74,$D$75,$C$56,$C$57,$C$58,$D$59,$C$60),"")</f>
        <v>-61016.985459543073</v>
      </c>
      <c r="AL77" s="255">
        <f ca="1">IF(NOW(),_xll.mirSwapPV($C$51,$C$52,$C$54,$AA52,$C$55,$AC52,$C$64,$C$65,$C$66,$C$67,$C$68,$C$69,$C$70,$C$74,$C$75,$D$63+AL$76,$D$64,$D$65,$D$66,$D$67,$D$68,$D$69,$D$70,$D$71,$D$72,$D$73,$D$74,$D$75,$C$56,$C$57,$C$58,$D$59,$C$60),"")</f>
        <v>-30508.49272977154</v>
      </c>
      <c r="AM77" s="255">
        <f ca="1">IF(NOW(),_xll.mirSwapPV($C$51,$C$52,$C$54,$AA52,$C$55,$AC52,$C$64,$C$65,$C$66,$C$67,$C$68,$C$69,$C$70,$C$74,$C$75,$D$63+AM$76,$D$64,$D$65,$D$66,$D$67,$D$68,$D$69,$D$70,$D$71,$D$72,$D$73,$D$74,$D$75,$C$56,$C$57,$C$58,$D$59,$C$60),"")</f>
        <v>0</v>
      </c>
      <c r="AN77" s="255">
        <f ca="1">IF(NOW(),_xll.mirSwapPV($C$51,$C$52,$C$54,$AA52,$C$55,$AC52,$C$64,$C$65,$C$66,$C$67,$C$68,$C$69,$C$70,$C$74,$C$75,$D$63+AN$76,$D$64,$D$65,$D$66,$D$67,$D$68,$D$69,$D$70,$D$71,$D$72,$D$73,$D$74,$D$75,$C$56,$C$57,$C$58,$D$59,$C$60),"")</f>
        <v>30508.49272977154</v>
      </c>
      <c r="AO77" s="255">
        <f ca="1">IF(NOW(),_xll.mirSwapPV($C$51,$C$52,$C$54,$AA52,$C$55,$AC52,$C$64,$C$65,$C$66,$C$67,$C$68,$C$69,$C$70,$C$74,$C$75,$D$63+AO$76,$D$64,$D$65,$D$66,$D$67,$D$68,$D$69,$D$70,$D$71,$D$72,$D$73,$D$74,$D$75,$C$56,$C$57,$C$58,$D$59,$C$60),"")</f>
        <v>61016.985459543081</v>
      </c>
      <c r="AP77" s="255">
        <f ca="1">IF(NOW(),_xll.mirSwapPV($C$51,$C$52,$C$54,$AA52,$C$55,$AC52,$C$64,$C$65,$C$66,$C$67,$C$68,$C$69,$C$70,$C$74,$C$75,$D$63+AP$76,$D$64,$D$65,$D$66,$D$67,$D$68,$D$69,$D$70,$D$71,$D$72,$D$73,$D$74,$D$75,$C$56,$C$57,$C$58,$D$59,$C$60),"")</f>
        <v>91525.478189314643</v>
      </c>
      <c r="AQ77" s="255">
        <f ca="1">IF(NOW(),_xll.mirSwapPV($C$51,$C$52,$C$54,$AA52,$C$55,$AC52,$C$64,$C$65,$C$66,$C$67,$C$68,$C$69,$C$70,$C$74,$C$75,$D$63+AQ$76,$D$64,$D$65,$D$66,$D$67,$D$68,$D$69,$D$70,$D$71,$D$72,$D$73,$D$74,$D$75,$C$56,$C$57,$C$58,$D$59,$C$60),"")</f>
        <v>122033.97091908616</v>
      </c>
      <c r="AR77" s="255">
        <f ca="1">IF(NOW(),_xll.mirSwapPV($C$51,$C$52,$C$54,$AA52,$C$55,$AC52,$C$64,$C$65,$C$66,$C$67,$C$68,$C$69,$C$70,$C$74,$C$75,$D$63+AR$76,$D$64,$D$65,$D$66,$D$67,$D$68,$D$69,$D$70,$D$71,$D$72,$D$73,$D$74,$D$75,$C$56,$C$57,$C$58,$D$59,$C$60),"")</f>
        <v>152542.46364885769</v>
      </c>
    </row>
    <row r="78" spans="2:44">
      <c r="F78" s="230"/>
      <c r="G78" s="227"/>
      <c r="H78" s="229"/>
      <c r="I78" s="229"/>
      <c r="J78" s="229"/>
      <c r="K78" s="230"/>
      <c r="L78" s="230"/>
      <c r="M78" s="224" t="s">
        <v>35</v>
      </c>
      <c r="N78" s="255">
        <f ca="1">IF(NOW(),_xll.mirSwapPV($C$51,$C$52,$C$54,$G53,$C$55,$I53,$C$64,$C$65,$C$66,$C$67,$C$68,$C$69,$C$70,$C$74,$C$75,$D$63+N$76,$D$64,$D$65,$D$66,$D$67,$D$68,$D$69,$D$70,$D$71,$D$72,$D$73,$D$74,$D$75,$C$56,$C$57,$C$58,$C$59,$C$60),"")</f>
        <v>-202890.72538400179</v>
      </c>
      <c r="O78" s="255">
        <f ca="1">IF(NOW(),_xll.mirSwapPV($C$51,$C$52,$C$54,$G53,$C$55,$I53,$C$64,$C$65,$C$66,$C$67,$C$68,$C$69,$C$70,$C$74,$C$75,$D$63+O$76,$D$64,$D$65,$D$66,$D$67,$D$68,$D$69,$D$70,$D$71,$D$72,$D$73,$D$74,$D$75,$C$56,$C$57,$C$58,$C$59,$C$60),"")</f>
        <v>-162312.58030720145</v>
      </c>
      <c r="P78" s="255">
        <f ca="1">IF(NOW(),_xll.mirSwapPV($C$51,$C$52,$C$54,$G53,$C$55,$I53,$C$64,$C$65,$C$66,$C$67,$C$68,$C$69,$C$70,$C$74,$C$75,$D$63+P$76,$D$64,$D$65,$D$66,$D$67,$D$68,$D$69,$D$70,$D$71,$D$72,$D$73,$D$74,$D$75,$C$56,$C$57,$C$58,$C$59,$C$60),"")</f>
        <v>-121734.43523040108</v>
      </c>
      <c r="Q78" s="255">
        <f ca="1">IF(NOW(),_xll.mirSwapPV($C$51,$C$52,$C$54,$G53,$C$55,$I53,$C$64,$C$65,$C$66,$C$67,$C$68,$C$69,$C$70,$C$74,$C$75,$D$63+Q$76,$D$64,$D$65,$D$66,$D$67,$D$68,$D$69,$D$70,$D$71,$D$72,$D$73,$D$74,$D$75,$C$56,$C$57,$C$58,$C$59,$C$60),"")</f>
        <v>-81156.290153600741</v>
      </c>
      <c r="R78" s="255">
        <f ca="1">IF(NOW(),_xll.mirSwapPV($C$51,$C$52,$C$54,$G53,$C$55,$I53,$C$64,$C$65,$C$66,$C$67,$C$68,$C$69,$C$70,$C$74,$C$75,$D$63+R$76,$D$64,$D$65,$D$66,$D$67,$D$68,$D$69,$D$70,$D$71,$D$72,$D$73,$D$74,$D$75,$C$56,$C$57,$C$58,$C$59,$C$60),"")</f>
        <v>-40578.145076800356</v>
      </c>
      <c r="S78" s="255">
        <f ca="1">IF(NOW(),_xll.mirSwapPV($C$51,$C$52,$C$54,$G53,$C$55,$I53,$C$64,$C$65,$C$66,$C$67,$C$68,$C$69,$C$70,$C$74,$C$75,$D$63+S$76,$D$64,$D$65,$D$66,$D$67,$D$68,$D$69,$D$70,$D$71,$D$72,$D$73,$D$74,$D$75,$C$56,$C$57,$C$58,$C$59,$C$60),"")</f>
        <v>0</v>
      </c>
      <c r="T78" s="255">
        <f ca="1">IF(NOW(),_xll.mirSwapPV($C$51,$C$52,$C$54,$G53,$C$55,$I53,$C$64,$C$65,$C$66,$C$67,$C$68,$C$69,$C$70,$C$74,$C$75,$D$63+T$76,$D$64,$D$65,$D$66,$D$67,$D$68,$D$69,$D$70,$D$71,$D$72,$D$73,$D$74,$D$75,$C$56,$C$57,$C$58,$C$59,$C$60),"")</f>
        <v>40578.145076800363</v>
      </c>
      <c r="U78" s="255">
        <f ca="1">IF(NOW(),_xll.mirSwapPV($C$51,$C$52,$C$54,$G53,$C$55,$I53,$C$64,$C$65,$C$66,$C$67,$C$68,$C$69,$C$70,$C$74,$C$75,$D$63+U$76,$D$64,$D$65,$D$66,$D$67,$D$68,$D$69,$D$70,$D$71,$D$72,$D$73,$D$74,$D$75,$C$56,$C$57,$C$58,$C$59,$C$60),"")</f>
        <v>81156.290153600727</v>
      </c>
      <c r="V78" s="255">
        <f ca="1">IF(NOW(),_xll.mirSwapPV($C$51,$C$52,$C$54,$G53,$C$55,$I53,$C$64,$C$65,$C$66,$C$67,$C$68,$C$69,$C$70,$C$74,$C$75,$D$63+V$76,$D$64,$D$65,$D$66,$D$67,$D$68,$D$69,$D$70,$D$71,$D$72,$D$73,$D$74,$D$75,$C$56,$C$57,$C$58,$C$59,$C$60),"")</f>
        <v>121734.43523040108</v>
      </c>
      <c r="W78" s="255">
        <f ca="1">IF(NOW(),_xll.mirSwapPV($C$51,$C$52,$C$54,$G53,$C$55,$I53,$C$64,$C$65,$C$66,$C$67,$C$68,$C$69,$C$70,$C$74,$C$75,$D$63+W$76,$D$64,$D$65,$D$66,$D$67,$D$68,$D$69,$D$70,$D$71,$D$72,$D$73,$D$74,$D$75,$C$56,$C$57,$C$58,$C$59,$C$60),"")</f>
        <v>162312.58030720142</v>
      </c>
      <c r="X78" s="255">
        <f ca="1">IF(NOW(),_xll.mirSwapPV($C$51,$C$52,$C$54,$G53,$C$55,$I53,$C$64,$C$65,$C$66,$C$67,$C$68,$C$69,$C$70,$C$74,$C$75,$D$63+X$76,$D$64,$D$65,$D$66,$D$67,$D$68,$D$69,$D$70,$D$71,$D$72,$D$73,$D$74,$D$75,$C$56,$C$57,$C$58,$C$59,$C$60),"")</f>
        <v>202890.72538400179</v>
      </c>
      <c r="Y78" s="229"/>
      <c r="AG78" s="224" t="s">
        <v>35</v>
      </c>
      <c r="AH78" s="255">
        <f ca="1">IF(NOW(),_xll.mirSwapPV($C$51,$C$52,$C$54,$AA53,$C$55,$AC53,$C$64,$C$65,$C$66,$C$67,$C$68,$C$69,$C$70,$C$74,$C$75,$D$63+AH$76,$D$64,$D$65,$D$66,$D$67,$D$68,$D$69,$D$70,$D$71,$D$72,$D$73,$D$74,$D$75,$C$56,$C$57,$C$58,$D$59,$C$60),"")</f>
        <v>-202890.72538400179</v>
      </c>
      <c r="AI78" s="255">
        <f ca="1">IF(NOW(),_xll.mirSwapPV($C$51,$C$52,$C$54,$AA53,$C$55,$AC53,$C$64,$C$65,$C$66,$C$67,$C$68,$C$69,$C$70,$C$74,$C$75,$D$63+AI$76,$D$64,$D$65,$D$66,$D$67,$D$68,$D$69,$D$70,$D$71,$D$72,$D$73,$D$74,$D$75,$C$56,$C$57,$C$58,$D$59,$C$60),"")</f>
        <v>-162312.58030720142</v>
      </c>
      <c r="AJ78" s="255">
        <f ca="1">IF(NOW(),_xll.mirSwapPV($C$51,$C$52,$C$54,$AA53,$C$55,$AC53,$C$64,$C$65,$C$66,$C$67,$C$68,$C$69,$C$70,$C$74,$C$75,$D$63+AJ$76,$D$64,$D$65,$D$66,$D$67,$D$68,$D$69,$D$70,$D$71,$D$72,$D$73,$D$74,$D$75,$C$56,$C$57,$C$58,$D$59,$C$60),"")</f>
        <v>-121734.43523040108</v>
      </c>
      <c r="AK78" s="255">
        <f ca="1">IF(NOW(),_xll.mirSwapPV($C$51,$C$52,$C$54,$AA53,$C$55,$AC53,$C$64,$C$65,$C$66,$C$67,$C$68,$C$69,$C$70,$C$74,$C$75,$D$63+AK$76,$D$64,$D$65,$D$66,$D$67,$D$68,$D$69,$D$70,$D$71,$D$72,$D$73,$D$74,$D$75,$C$56,$C$57,$C$58,$D$59,$C$60),"")</f>
        <v>-81156.290153600712</v>
      </c>
      <c r="AL78" s="255">
        <f ca="1">IF(NOW(),_xll.mirSwapPV($C$51,$C$52,$C$54,$AA53,$C$55,$AC53,$C$64,$C$65,$C$66,$C$67,$C$68,$C$69,$C$70,$C$74,$C$75,$D$63+AL$76,$D$64,$D$65,$D$66,$D$67,$D$68,$D$69,$D$70,$D$71,$D$72,$D$73,$D$74,$D$75,$C$56,$C$57,$C$58,$D$59,$C$60),"")</f>
        <v>-40578.145076800363</v>
      </c>
      <c r="AM78" s="255">
        <f ca="1">IF(NOW(),_xll.mirSwapPV($C$51,$C$52,$C$54,$AA53,$C$55,$AC53,$C$64,$C$65,$C$66,$C$67,$C$68,$C$69,$C$70,$C$74,$C$75,$D$63+AM$76,$D$64,$D$65,$D$66,$D$67,$D$68,$D$69,$D$70,$D$71,$D$72,$D$73,$D$74,$D$75,$C$56,$C$57,$C$58,$D$59,$C$60),"")</f>
        <v>0</v>
      </c>
      <c r="AN78" s="255">
        <f ca="1">IF(NOW(),_xll.mirSwapPV($C$51,$C$52,$C$54,$AA53,$C$55,$AC53,$C$64,$C$65,$C$66,$C$67,$C$68,$C$69,$C$70,$C$74,$C$75,$D$63+AN$76,$D$64,$D$65,$D$66,$D$67,$D$68,$D$69,$D$70,$D$71,$D$72,$D$73,$D$74,$D$75,$C$56,$C$57,$C$58,$D$59,$C$60),"")</f>
        <v>40578.145076800356</v>
      </c>
      <c r="AO78" s="255">
        <f ca="1">IF(NOW(),_xll.mirSwapPV($C$51,$C$52,$C$54,$AA53,$C$55,$AC53,$C$64,$C$65,$C$66,$C$67,$C$68,$C$69,$C$70,$C$74,$C$75,$D$63+AO$76,$D$64,$D$65,$D$66,$D$67,$D$68,$D$69,$D$70,$D$71,$D$72,$D$73,$D$74,$D$75,$C$56,$C$57,$C$58,$D$59,$C$60),"")</f>
        <v>81156.290153600712</v>
      </c>
      <c r="AP78" s="255">
        <f ca="1">IF(NOW(),_xll.mirSwapPV($C$51,$C$52,$C$54,$AA53,$C$55,$AC53,$C$64,$C$65,$C$66,$C$67,$C$68,$C$69,$C$70,$C$74,$C$75,$D$63+AP$76,$D$64,$D$65,$D$66,$D$67,$D$68,$D$69,$D$70,$D$71,$D$72,$D$73,$D$74,$D$75,$C$56,$C$57,$C$58,$D$59,$C$60),"")</f>
        <v>121734.43523040108</v>
      </c>
      <c r="AQ78" s="255">
        <f ca="1">IF(NOW(),_xll.mirSwapPV($C$51,$C$52,$C$54,$AA53,$C$55,$AC53,$C$64,$C$65,$C$66,$C$67,$C$68,$C$69,$C$70,$C$74,$C$75,$D$63+AQ$76,$D$64,$D$65,$D$66,$D$67,$D$68,$D$69,$D$70,$D$71,$D$72,$D$73,$D$74,$D$75,$C$56,$C$57,$C$58,$D$59,$C$60),"")</f>
        <v>162312.58030720145</v>
      </c>
      <c r="AR78" s="255">
        <f ca="1">IF(NOW(),_xll.mirSwapPV($C$51,$C$52,$C$54,$AA53,$C$55,$AC53,$C$64,$C$65,$C$66,$C$67,$C$68,$C$69,$C$70,$C$74,$C$75,$D$63+AR$76,$D$64,$D$65,$D$66,$D$67,$D$68,$D$69,$D$70,$D$71,$D$72,$D$73,$D$74,$D$75,$C$56,$C$57,$C$58,$D$59,$C$60),"")</f>
        <v>202890.72538400179</v>
      </c>
    </row>
    <row r="79" spans="2:44">
      <c r="F79" s="230"/>
      <c r="G79" s="227"/>
      <c r="H79" s="229"/>
      <c r="I79" s="229"/>
      <c r="J79" s="229"/>
      <c r="K79" s="230"/>
      <c r="L79" s="230"/>
      <c r="M79" s="224" t="s">
        <v>33</v>
      </c>
      <c r="N79" s="255">
        <f ca="1">IF(NOW(),_xll.mirSwapPV($C$51,$C$52,$C$54,$G54,$C$55,$I54,$C$64,$C$65,$C$66,$C$67,$C$68,$C$69,$C$70,$C$74,$C$75,$D$63+N$76,$D$64,$D$65,$D$66,$D$67,$D$68,$D$69,$D$70,$D$71,$D$72,$D$73,$D$74,$D$75,$C$56,$C$57,$C$58,$C$59,$C$60),"")</f>
        <v>-253069.5285075022</v>
      </c>
      <c r="O79" s="255">
        <f ca="1">IF(NOW(),_xll.mirSwapPV($C$51,$C$52,$C$54,$G54,$C$55,$I54,$C$64,$C$65,$C$66,$C$67,$C$68,$C$69,$C$70,$C$74,$C$75,$D$63+O$76,$D$64,$D$65,$D$66,$D$67,$D$68,$D$69,$D$70,$D$71,$D$72,$D$73,$D$74,$D$75,$C$56,$C$57,$C$58,$C$59,$C$60),"")</f>
        <v>-202455.6228060018</v>
      </c>
      <c r="P79" s="255">
        <f ca="1">IF(NOW(),_xll.mirSwapPV($C$51,$C$52,$C$54,$G54,$C$55,$I54,$C$64,$C$65,$C$66,$C$67,$C$68,$C$69,$C$70,$C$74,$C$75,$D$63+P$76,$D$64,$D$65,$D$66,$D$67,$D$68,$D$69,$D$70,$D$71,$D$72,$D$73,$D$74,$D$75,$C$56,$C$57,$C$58,$C$59,$C$60),"")</f>
        <v>-151841.71710450135</v>
      </c>
      <c r="Q79" s="255">
        <f ca="1">IF(NOW(),_xll.mirSwapPV($C$51,$C$52,$C$54,$G54,$C$55,$I54,$C$64,$C$65,$C$66,$C$67,$C$68,$C$69,$C$70,$C$74,$C$75,$D$63+Q$76,$D$64,$D$65,$D$66,$D$67,$D$68,$D$69,$D$70,$D$71,$D$72,$D$73,$D$74,$D$75,$C$56,$C$57,$C$58,$C$59,$C$60),"")</f>
        <v>-101227.81140300092</v>
      </c>
      <c r="R79" s="255">
        <f ca="1">IF(NOW(),_xll.mirSwapPV($C$51,$C$52,$C$54,$G54,$C$55,$I54,$C$64,$C$65,$C$66,$C$67,$C$68,$C$69,$C$70,$C$74,$C$75,$D$63+R$76,$D$64,$D$65,$D$66,$D$67,$D$68,$D$69,$D$70,$D$71,$D$72,$D$73,$D$74,$D$75,$C$56,$C$57,$C$58,$C$59,$C$60),"")</f>
        <v>-50613.905701500436</v>
      </c>
      <c r="S79" s="255">
        <f ca="1">IF(NOW(),_xll.mirSwapPV($C$51,$C$52,$C$54,$G54,$C$55,$I54,$C$64,$C$65,$C$66,$C$67,$C$68,$C$69,$C$70,$C$74,$C$75,$D$63+S$76,$D$64,$D$65,$D$66,$D$67,$D$68,$D$69,$D$70,$D$71,$D$72,$D$73,$D$74,$D$75,$C$56,$C$57,$C$58,$C$59,$C$60),"")</f>
        <v>0</v>
      </c>
      <c r="T79" s="255">
        <f ca="1">IF(NOW(),_xll.mirSwapPV($C$51,$C$52,$C$54,$G54,$C$55,$I54,$C$64,$C$65,$C$66,$C$67,$C$68,$C$69,$C$70,$C$74,$C$75,$D$63+T$76,$D$64,$D$65,$D$66,$D$67,$D$68,$D$69,$D$70,$D$71,$D$72,$D$73,$D$74,$D$75,$C$56,$C$57,$C$58,$C$59,$C$60),"")</f>
        <v>50613.905701500444</v>
      </c>
      <c r="U79" s="255">
        <f ca="1">IF(NOW(),_xll.mirSwapPV($C$51,$C$52,$C$54,$G54,$C$55,$I54,$C$64,$C$65,$C$66,$C$67,$C$68,$C$69,$C$70,$C$74,$C$75,$D$63+U$76,$D$64,$D$65,$D$66,$D$67,$D$68,$D$69,$D$70,$D$71,$D$72,$D$73,$D$74,$D$75,$C$56,$C$57,$C$58,$C$59,$C$60),"")</f>
        <v>101227.81140300089</v>
      </c>
      <c r="V79" s="255">
        <f ca="1">IF(NOW(),_xll.mirSwapPV($C$51,$C$52,$C$54,$G54,$C$55,$I54,$C$64,$C$65,$C$66,$C$67,$C$68,$C$69,$C$70,$C$74,$C$75,$D$63+V$76,$D$64,$D$65,$D$66,$D$67,$D$68,$D$69,$D$70,$D$71,$D$72,$D$73,$D$74,$D$75,$C$56,$C$57,$C$58,$C$59,$C$60),"")</f>
        <v>151841.71710450135</v>
      </c>
      <c r="W79" s="255">
        <f ca="1">IF(NOW(),_xll.mirSwapPV($C$51,$C$52,$C$54,$G54,$C$55,$I54,$C$64,$C$65,$C$66,$C$67,$C$68,$C$69,$C$70,$C$74,$C$75,$D$63+W$76,$D$64,$D$65,$D$66,$D$67,$D$68,$D$69,$D$70,$D$71,$D$72,$D$73,$D$74,$D$75,$C$56,$C$57,$C$58,$C$59,$C$60),"")</f>
        <v>202455.62280600175</v>
      </c>
      <c r="X79" s="255">
        <f ca="1">IF(NOW(),_xll.mirSwapPV($C$51,$C$52,$C$54,$G54,$C$55,$I54,$C$64,$C$65,$C$66,$C$67,$C$68,$C$69,$C$70,$C$74,$C$75,$D$63+X$76,$D$64,$D$65,$D$66,$D$67,$D$68,$D$69,$D$70,$D$71,$D$72,$D$73,$D$74,$D$75,$C$56,$C$57,$C$58,$C$59,$C$60),"")</f>
        <v>253069.5285075022</v>
      </c>
      <c r="Y79" s="229"/>
      <c r="AG79" s="224" t="s">
        <v>33</v>
      </c>
      <c r="AH79" s="255">
        <f ca="1">IF(NOW(),_xll.mirSwapPV($C$51,$C$52,$C$54,$AA54,$C$55,$AC54,$C$64,$C$65,$C$66,$C$67,$C$68,$C$69,$C$70,$C$74,$C$75,$D$63+AH$76,$D$64,$D$65,$D$66,$D$67,$D$68,$D$69,$D$70,$D$71,$D$72,$D$73,$D$74,$D$75,$C$56,$C$57,$C$58,$D$59,$C$60),"")</f>
        <v>-253069.52850750225</v>
      </c>
      <c r="AI79" s="255">
        <f ca="1">IF(NOW(),_xll.mirSwapPV($C$51,$C$52,$C$54,$AA54,$C$55,$AC54,$C$64,$C$65,$C$66,$C$67,$C$68,$C$69,$C$70,$C$74,$C$75,$D$63+AI$76,$D$64,$D$65,$D$66,$D$67,$D$68,$D$69,$D$70,$D$71,$D$72,$D$73,$D$74,$D$75,$C$56,$C$57,$C$58,$D$59,$C$60),"")</f>
        <v>-202455.62280600175</v>
      </c>
      <c r="AJ79" s="255">
        <f ca="1">IF(NOW(),_xll.mirSwapPV($C$51,$C$52,$C$54,$AA54,$C$55,$AC54,$C$64,$C$65,$C$66,$C$67,$C$68,$C$69,$C$70,$C$74,$C$75,$D$63+AJ$76,$D$64,$D$65,$D$66,$D$67,$D$68,$D$69,$D$70,$D$71,$D$72,$D$73,$D$74,$D$75,$C$56,$C$57,$C$58,$D$59,$C$60),"")</f>
        <v>-151841.71710450135</v>
      </c>
      <c r="AK79" s="255">
        <f ca="1">IF(NOW(),_xll.mirSwapPV($C$51,$C$52,$C$54,$AA54,$C$55,$AC54,$C$64,$C$65,$C$66,$C$67,$C$68,$C$69,$C$70,$C$74,$C$75,$D$63+AK$76,$D$64,$D$65,$D$66,$D$67,$D$68,$D$69,$D$70,$D$71,$D$72,$D$73,$D$74,$D$75,$C$56,$C$57,$C$58,$D$59,$C$60),"")</f>
        <v>-101227.81140300087</v>
      </c>
      <c r="AL79" s="255">
        <f ca="1">IF(NOW(),_xll.mirSwapPV($C$51,$C$52,$C$54,$AA54,$C$55,$AC54,$C$64,$C$65,$C$66,$C$67,$C$68,$C$69,$C$70,$C$74,$C$75,$D$63+AL$76,$D$64,$D$65,$D$66,$D$67,$D$68,$D$69,$D$70,$D$71,$D$72,$D$73,$D$74,$D$75,$C$56,$C$57,$C$58,$D$59,$C$60),"")</f>
        <v>-50613.905701500444</v>
      </c>
      <c r="AM79" s="255">
        <f ca="1">IF(NOW(),_xll.mirSwapPV($C$51,$C$52,$C$54,$AA54,$C$55,$AC54,$C$64,$C$65,$C$66,$C$67,$C$68,$C$69,$C$70,$C$74,$C$75,$D$63+AM$76,$D$64,$D$65,$D$66,$D$67,$D$68,$D$69,$D$70,$D$71,$D$72,$D$73,$D$74,$D$75,$C$56,$C$57,$C$58,$D$59,$C$60),"")</f>
        <v>0</v>
      </c>
      <c r="AN79" s="255">
        <f ca="1">IF(NOW(),_xll.mirSwapPV($C$51,$C$52,$C$54,$AA54,$C$55,$AC54,$C$64,$C$65,$C$66,$C$67,$C$68,$C$69,$C$70,$C$74,$C$75,$D$63+AN$76,$D$64,$D$65,$D$66,$D$67,$D$68,$D$69,$D$70,$D$71,$D$72,$D$73,$D$74,$D$75,$C$56,$C$57,$C$58,$D$59,$C$60),"")</f>
        <v>50613.905701500444</v>
      </c>
      <c r="AO79" s="255">
        <f ca="1">IF(NOW(),_xll.mirSwapPV($C$51,$C$52,$C$54,$AA54,$C$55,$AC54,$C$64,$C$65,$C$66,$C$67,$C$68,$C$69,$C$70,$C$74,$C$75,$D$63+AO$76,$D$64,$D$65,$D$66,$D$67,$D$68,$D$69,$D$70,$D$71,$D$72,$D$73,$D$74,$D$75,$C$56,$C$57,$C$58,$D$59,$C$60),"")</f>
        <v>101227.81140300089</v>
      </c>
      <c r="AP79" s="255">
        <f ca="1">IF(NOW(),_xll.mirSwapPV($C$51,$C$52,$C$54,$AA54,$C$55,$AC54,$C$64,$C$65,$C$66,$C$67,$C$68,$C$69,$C$70,$C$74,$C$75,$D$63+AP$76,$D$64,$D$65,$D$66,$D$67,$D$68,$D$69,$D$70,$D$71,$D$72,$D$73,$D$74,$D$75,$C$56,$C$57,$C$58,$D$59,$C$60),"")</f>
        <v>151841.71710450135</v>
      </c>
      <c r="AQ79" s="255">
        <f ca="1">IF(NOW(),_xll.mirSwapPV($C$51,$C$52,$C$54,$AA54,$C$55,$AC54,$C$64,$C$65,$C$66,$C$67,$C$68,$C$69,$C$70,$C$74,$C$75,$D$63+AQ$76,$D$64,$D$65,$D$66,$D$67,$D$68,$D$69,$D$70,$D$71,$D$72,$D$73,$D$74,$D$75,$C$56,$C$57,$C$58,$D$59,$C$60),"")</f>
        <v>202455.6228060018</v>
      </c>
      <c r="AR79" s="255">
        <f ca="1">IF(NOW(),_xll.mirSwapPV($C$51,$C$52,$C$54,$AA54,$C$55,$AC54,$C$64,$C$65,$C$66,$C$67,$C$68,$C$69,$C$70,$C$74,$C$75,$D$63+AR$76,$D$64,$D$65,$D$66,$D$67,$D$68,$D$69,$D$70,$D$71,$D$72,$D$73,$D$74,$D$75,$C$56,$C$57,$C$58,$D$59,$C$60),"")</f>
        <v>253069.5285075022</v>
      </c>
    </row>
    <row r="80" spans="2:44">
      <c r="F80" s="230"/>
      <c r="G80" s="227"/>
      <c r="H80" s="229"/>
      <c r="I80" s="229"/>
      <c r="J80" s="229"/>
      <c r="K80" s="230"/>
      <c r="L80" s="230"/>
      <c r="M80" s="224" t="s">
        <v>131</v>
      </c>
      <c r="N80" s="255">
        <f ca="1">IF(NOW(),_xll.mirSwapPV($C$51,$C$52,$C$54,$G55,$C$55,$I55,$C$64,$C$65,$C$66,$C$67,$C$68,$C$69,$C$70,$C$74,$C$75,$D$63+N$76,$D$64,$D$65,$D$66,$D$67,$D$68,$D$69,$D$70,$D$71,$D$72,$D$73,$D$74,$D$75,$C$56,$C$57,$C$58,$C$59,$C$60),"")</f>
        <v>-302490.7129720439</v>
      </c>
      <c r="O80" s="255">
        <f ca="1">IF(NOW(),_xll.mirSwapPV($C$51,$C$52,$C$54,$G55,$C$55,$I55,$C$64,$C$65,$C$66,$C$67,$C$68,$C$69,$C$70,$C$74,$C$75,$D$63+O$76,$D$64,$D$65,$D$66,$D$67,$D$68,$D$69,$D$70,$D$71,$D$72,$D$73,$D$74,$D$75,$C$56,$C$57,$C$58,$C$59,$C$60),"")</f>
        <v>-241992.57037763516</v>
      </c>
      <c r="P80" s="255">
        <f ca="1">IF(NOW(),_xll.mirSwapPV($C$51,$C$52,$C$54,$G55,$C$55,$I55,$C$64,$C$65,$C$66,$C$67,$C$68,$C$69,$C$70,$C$74,$C$75,$D$63+P$76,$D$64,$D$65,$D$66,$D$67,$D$68,$D$69,$D$70,$D$71,$D$72,$D$73,$D$74,$D$75,$C$56,$C$57,$C$58,$C$59,$C$60),"")</f>
        <v>-181494.42778322636</v>
      </c>
      <c r="Q80" s="255">
        <f ca="1">IF(NOW(),_xll.mirSwapPV($C$51,$C$52,$C$54,$G55,$C$55,$I55,$C$64,$C$65,$C$66,$C$67,$C$68,$C$69,$C$70,$C$74,$C$75,$D$63+Q$76,$D$64,$D$65,$D$66,$D$67,$D$68,$D$69,$D$70,$D$71,$D$72,$D$73,$D$74,$D$75,$C$56,$C$57,$C$58,$C$59,$C$60),"")</f>
        <v>-120996.28518881758</v>
      </c>
      <c r="R80" s="255">
        <f ca="1">IF(NOW(),_xll.mirSwapPV($C$51,$C$52,$C$54,$G55,$C$55,$I55,$C$64,$C$65,$C$66,$C$67,$C$68,$C$69,$C$70,$C$74,$C$75,$D$63+R$76,$D$64,$D$65,$D$66,$D$67,$D$68,$D$69,$D$70,$D$71,$D$72,$D$73,$D$74,$D$75,$C$56,$C$57,$C$58,$C$59,$C$60),"")</f>
        <v>-60498.142594408768</v>
      </c>
      <c r="S80" s="255">
        <f ca="1">IF(NOW(),_xll.mirSwapPV($C$51,$C$52,$C$54,$G55,$C$55,$I55,$C$64,$C$65,$C$66,$C$67,$C$68,$C$69,$C$70,$C$74,$C$75,$D$63+S$76,$D$64,$D$65,$D$66,$D$67,$D$68,$D$69,$D$70,$D$71,$D$72,$D$73,$D$74,$D$75,$C$56,$C$57,$C$58,$C$59,$C$60),"")</f>
        <v>0</v>
      </c>
      <c r="T80" s="255">
        <f ca="1">IF(NOW(),_xll.mirSwapPV($C$51,$C$52,$C$54,$G55,$C$55,$I55,$C$64,$C$65,$C$66,$C$67,$C$68,$C$69,$C$70,$C$74,$C$75,$D$63+T$76,$D$64,$D$65,$D$66,$D$67,$D$68,$D$69,$D$70,$D$71,$D$72,$D$73,$D$74,$D$75,$C$56,$C$57,$C$58,$C$59,$C$60),"")</f>
        <v>60498.142594408775</v>
      </c>
      <c r="U80" s="255">
        <f ca="1">IF(NOW(),_xll.mirSwapPV($C$51,$C$52,$C$54,$G55,$C$55,$I55,$C$64,$C$65,$C$66,$C$67,$C$68,$C$69,$C$70,$C$74,$C$75,$D$63+U$76,$D$64,$D$65,$D$66,$D$67,$D$68,$D$69,$D$70,$D$71,$D$72,$D$73,$D$74,$D$75,$C$56,$C$57,$C$58,$C$59,$C$60),"")</f>
        <v>120996.28518881755</v>
      </c>
      <c r="V80" s="255">
        <f ca="1">IF(NOW(),_xll.mirSwapPV($C$51,$C$52,$C$54,$G55,$C$55,$I55,$C$64,$C$65,$C$66,$C$67,$C$68,$C$69,$C$70,$C$74,$C$75,$D$63+V$76,$D$64,$D$65,$D$66,$D$67,$D$68,$D$69,$D$70,$D$71,$D$72,$D$73,$D$74,$D$75,$C$56,$C$57,$C$58,$C$59,$C$60),"")</f>
        <v>181494.42778322633</v>
      </c>
      <c r="W80" s="255">
        <f ca="1">IF(NOW(),_xll.mirSwapPV($C$51,$C$52,$C$54,$G55,$C$55,$I55,$C$64,$C$65,$C$66,$C$67,$C$68,$C$69,$C$70,$C$74,$C$75,$D$63+W$76,$D$64,$D$65,$D$66,$D$67,$D$68,$D$69,$D$70,$D$71,$D$72,$D$73,$D$74,$D$75,$C$56,$C$57,$C$58,$C$59,$C$60),"")</f>
        <v>241992.57037763504</v>
      </c>
      <c r="X80" s="255">
        <f ca="1">IF(NOW(),_xll.mirSwapPV($C$51,$C$52,$C$54,$G55,$C$55,$I55,$C$64,$C$65,$C$66,$C$67,$C$68,$C$69,$C$70,$C$74,$C$75,$D$63+X$76,$D$64,$D$65,$D$66,$D$67,$D$68,$D$69,$D$70,$D$71,$D$72,$D$73,$D$74,$D$75,$C$56,$C$57,$C$58,$C$59,$C$60),"")</f>
        <v>302490.71297204384</v>
      </c>
      <c r="Y80" s="229"/>
      <c r="AE80" s="252"/>
      <c r="AG80" s="224" t="s">
        <v>131</v>
      </c>
      <c r="AH80" s="255">
        <f ca="1">IF(NOW(),_xll.mirSwapPV($C$51,$C$52,$C$54,$AA55,$C$55,$AC55,$C$64,$C$65,$C$66,$C$67,$C$68,$C$69,$C$70,$C$74,$C$75,$D$63+AH$76,$D$64,$D$65,$D$66,$D$67,$D$68,$D$69,$D$70,$D$71,$D$72,$D$73,$D$74,$D$75,$C$56,$C$57,$C$58,$D$59,$C$60),"")</f>
        <v>-302490.7129720439</v>
      </c>
      <c r="AI80" s="255">
        <f ca="1">IF(NOW(),_xll.mirSwapPV($C$51,$C$52,$C$54,$AA55,$C$55,$AC55,$C$64,$C$65,$C$66,$C$67,$C$68,$C$69,$C$70,$C$74,$C$75,$D$63+AI$76,$D$64,$D$65,$D$66,$D$67,$D$68,$D$69,$D$70,$D$71,$D$72,$D$73,$D$74,$D$75,$C$56,$C$57,$C$58,$D$59,$C$60),"")</f>
        <v>-241992.57037763507</v>
      </c>
      <c r="AJ80" s="255">
        <f ca="1">IF(NOW(),_xll.mirSwapPV($C$51,$C$52,$C$54,$AA55,$C$55,$AC55,$C$64,$C$65,$C$66,$C$67,$C$68,$C$69,$C$70,$C$74,$C$75,$D$63+AJ$76,$D$64,$D$65,$D$66,$D$67,$D$68,$D$69,$D$70,$D$71,$D$72,$D$73,$D$74,$D$75,$C$56,$C$57,$C$58,$D$59,$C$60),"")</f>
        <v>-181494.42778322636</v>
      </c>
      <c r="AK80" s="255">
        <f ca="1">IF(NOW(),_xll.mirSwapPV($C$51,$C$52,$C$54,$AA55,$C$55,$AC55,$C$64,$C$65,$C$66,$C$67,$C$68,$C$69,$C$70,$C$74,$C$75,$D$63+AK$76,$D$64,$D$65,$D$66,$D$67,$D$68,$D$69,$D$70,$D$71,$D$72,$D$73,$D$74,$D$75,$C$56,$C$57,$C$58,$D$59,$C$60),"")</f>
        <v>-120996.28518881752</v>
      </c>
      <c r="AL80" s="255">
        <f ca="1">IF(NOW(),_xll.mirSwapPV($C$51,$C$52,$C$54,$AA55,$C$55,$AC55,$C$64,$C$65,$C$66,$C$67,$C$68,$C$69,$C$70,$C$74,$C$75,$D$63+AL$76,$D$64,$D$65,$D$66,$D$67,$D$68,$D$69,$D$70,$D$71,$D$72,$D$73,$D$74,$D$75,$C$56,$C$57,$C$58,$D$59,$C$60),"")</f>
        <v>-60498.142594408753</v>
      </c>
      <c r="AM80" s="255">
        <f ca="1">IF(NOW(),_xll.mirSwapPV($C$51,$C$52,$C$54,$AA55,$C$55,$AC55,$C$64,$C$65,$C$66,$C$67,$C$68,$C$69,$C$70,$C$74,$C$75,$D$63+AM$76,$D$64,$D$65,$D$66,$D$67,$D$68,$D$69,$D$70,$D$71,$D$72,$D$73,$D$74,$D$75,$C$56,$C$57,$C$58,$D$59,$C$60),"")</f>
        <v>0</v>
      </c>
      <c r="AN80" s="255">
        <f ca="1">IF(NOW(),_xll.mirSwapPV($C$51,$C$52,$C$54,$AA55,$C$55,$AC55,$C$64,$C$65,$C$66,$C$67,$C$68,$C$69,$C$70,$C$74,$C$75,$D$63+AN$76,$D$64,$D$65,$D$66,$D$67,$D$68,$D$69,$D$70,$D$71,$D$72,$D$73,$D$74,$D$75,$C$56,$C$57,$C$58,$D$59,$C$60),"")</f>
        <v>60498.142594408775</v>
      </c>
      <c r="AO80" s="255">
        <f ca="1">IF(NOW(),_xll.mirSwapPV($C$51,$C$52,$C$54,$AA55,$C$55,$AC55,$C$64,$C$65,$C$66,$C$67,$C$68,$C$69,$C$70,$C$74,$C$75,$D$63+AO$76,$D$64,$D$65,$D$66,$D$67,$D$68,$D$69,$D$70,$D$71,$D$72,$D$73,$D$74,$D$75,$C$56,$C$57,$C$58,$D$59,$C$60),"")</f>
        <v>120996.28518881755</v>
      </c>
      <c r="AP80" s="255">
        <f ca="1">IF(NOW(),_xll.mirSwapPV($C$51,$C$52,$C$54,$AA55,$C$55,$AC55,$C$64,$C$65,$C$66,$C$67,$C$68,$C$69,$C$70,$C$74,$C$75,$D$63+AP$76,$D$64,$D$65,$D$66,$D$67,$D$68,$D$69,$D$70,$D$71,$D$72,$D$73,$D$74,$D$75,$C$56,$C$57,$C$58,$D$59,$C$60),"")</f>
        <v>181494.42778322633</v>
      </c>
      <c r="AQ80" s="255">
        <f ca="1">IF(NOW(),_xll.mirSwapPV($C$51,$C$52,$C$54,$AA55,$C$55,$AC55,$C$64,$C$65,$C$66,$C$67,$C$68,$C$69,$C$70,$C$74,$C$75,$D$63+AQ$76,$D$64,$D$65,$D$66,$D$67,$D$68,$D$69,$D$70,$D$71,$D$72,$D$73,$D$74,$D$75,$C$56,$C$57,$C$58,$D$59,$C$60),"")</f>
        <v>241992.5703776351</v>
      </c>
      <c r="AR80" s="255">
        <f ca="1">IF(NOW(),_xll.mirSwapPV($C$51,$C$52,$C$54,$AA55,$C$55,$AC55,$C$64,$C$65,$C$66,$C$67,$C$68,$C$69,$C$70,$C$74,$C$75,$D$63+AR$76,$D$64,$D$65,$D$66,$D$67,$D$68,$D$69,$D$70,$D$71,$D$72,$D$73,$D$74,$D$75,$C$56,$C$57,$C$58,$D$59,$C$60),"")</f>
        <v>302490.7129720439</v>
      </c>
    </row>
    <row r="81" spans="6:44">
      <c r="F81" s="230"/>
      <c r="G81" s="227"/>
      <c r="H81" s="229"/>
      <c r="I81" s="229"/>
      <c r="J81" s="229"/>
      <c r="K81" s="230"/>
      <c r="L81" s="230"/>
      <c r="M81" s="224" t="s">
        <v>31</v>
      </c>
      <c r="N81" s="255">
        <f ca="1">IF(NOW(),_xll.mirSwapPV($C$51,$C$52,$C$54,$G56,$C$55,$I56,$C$64,$C$65,$C$66,$C$67,$C$68,$C$69,$C$70,$C$74,$C$75,$D$63+N$76,$D$64,$D$65,$D$66,$D$67,$D$68,$D$69,$D$70,$D$71,$D$72,$D$73,$D$74,$D$75,$C$56,$C$57,$C$58,$C$59,$C$60),"")</f>
        <v>-351141.27427565056</v>
      </c>
      <c r="O81" s="255">
        <f ca="1">IF(NOW(),_xll.mirSwapPV($C$51,$C$52,$C$54,$G56,$C$55,$I56,$C$64,$C$65,$C$66,$C$67,$C$68,$C$69,$C$70,$C$74,$C$75,$D$63+O$76,$D$64,$D$65,$D$66,$D$67,$D$68,$D$69,$D$70,$D$71,$D$72,$D$73,$D$74,$D$75,$C$56,$C$57,$C$58,$C$59,$C$60),"")</f>
        <v>-280913.01942052058</v>
      </c>
      <c r="P81" s="255">
        <f ca="1">IF(NOW(),_xll.mirSwapPV($C$51,$C$52,$C$54,$G56,$C$55,$I56,$C$64,$C$65,$C$66,$C$67,$C$68,$C$69,$C$70,$C$74,$C$75,$D$63+P$76,$D$64,$D$65,$D$66,$D$67,$D$68,$D$69,$D$70,$D$71,$D$72,$D$73,$D$74,$D$75,$C$56,$C$57,$C$58,$C$59,$C$60),"")</f>
        <v>-210684.76456539036</v>
      </c>
      <c r="Q81" s="255">
        <f ca="1">IF(NOW(),_xll.mirSwapPV($C$51,$C$52,$C$54,$G56,$C$55,$I56,$C$64,$C$65,$C$66,$C$67,$C$68,$C$69,$C$70,$C$74,$C$75,$D$63+Q$76,$D$64,$D$65,$D$66,$D$67,$D$68,$D$69,$D$70,$D$71,$D$72,$D$73,$D$74,$D$75,$C$56,$C$57,$C$58,$C$59,$C$60),"")</f>
        <v>-140456.50971026026</v>
      </c>
      <c r="R81" s="255">
        <f ca="1">IF(NOW(),_xll.mirSwapPV($C$51,$C$52,$C$54,$G56,$C$55,$I56,$C$64,$C$65,$C$66,$C$67,$C$68,$C$69,$C$70,$C$74,$C$75,$D$63+R$76,$D$64,$D$65,$D$66,$D$67,$D$68,$D$69,$D$70,$D$71,$D$72,$D$73,$D$74,$D$75,$C$56,$C$57,$C$58,$C$59,$C$60),"")</f>
        <v>-70228.254855130115</v>
      </c>
      <c r="S81" s="255">
        <f ca="1">IF(NOW(),_xll.mirSwapPV($C$51,$C$52,$C$54,$G56,$C$55,$I56,$C$64,$C$65,$C$66,$C$67,$C$68,$C$69,$C$70,$C$74,$C$75,$D$63+S$76,$D$64,$D$65,$D$66,$D$67,$D$68,$D$69,$D$70,$D$71,$D$72,$D$73,$D$74,$D$75,$C$56,$C$57,$C$58,$C$59,$C$60),"")</f>
        <v>-6.9388939039072284E-12</v>
      </c>
      <c r="T81" s="255">
        <f ca="1">IF(NOW(),_xll.mirSwapPV($C$51,$C$52,$C$54,$G56,$C$55,$I56,$C$64,$C$65,$C$66,$C$67,$C$68,$C$69,$C$70,$C$74,$C$75,$D$63+T$76,$D$64,$D$65,$D$66,$D$67,$D$68,$D$69,$D$70,$D$71,$D$72,$D$73,$D$74,$D$75,$C$56,$C$57,$C$58,$C$59,$C$60),"")</f>
        <v>70228.254855130115</v>
      </c>
      <c r="U81" s="255">
        <f ca="1">IF(NOW(),_xll.mirSwapPV($C$51,$C$52,$C$54,$G56,$C$55,$I56,$C$64,$C$65,$C$66,$C$67,$C$68,$C$69,$C$70,$C$74,$C$75,$D$63+U$76,$D$64,$D$65,$D$66,$D$67,$D$68,$D$69,$D$70,$D$71,$D$72,$D$73,$D$74,$D$75,$C$56,$C$57,$C$58,$C$59,$C$60),"")</f>
        <v>140456.50971026023</v>
      </c>
      <c r="V81" s="255">
        <f ca="1">IF(NOW(),_xll.mirSwapPV($C$51,$C$52,$C$54,$G56,$C$55,$I56,$C$64,$C$65,$C$66,$C$67,$C$68,$C$69,$C$70,$C$74,$C$75,$D$63+V$76,$D$64,$D$65,$D$66,$D$67,$D$68,$D$69,$D$70,$D$71,$D$72,$D$73,$D$74,$D$75,$C$56,$C$57,$C$58,$C$59,$C$60),"")</f>
        <v>210684.76456539036</v>
      </c>
      <c r="W81" s="255">
        <f ca="1">IF(NOW(),_xll.mirSwapPV($C$51,$C$52,$C$54,$G56,$C$55,$I56,$C$64,$C$65,$C$66,$C$67,$C$68,$C$69,$C$70,$C$74,$C$75,$D$63+W$76,$D$64,$D$65,$D$66,$D$67,$D$68,$D$69,$D$70,$D$71,$D$72,$D$73,$D$74,$D$75,$C$56,$C$57,$C$58,$C$59,$C$60),"")</f>
        <v>280913.01942052046</v>
      </c>
      <c r="X81" s="255">
        <f ca="1">IF(NOW(),_xll.mirSwapPV($C$51,$C$52,$C$54,$G56,$C$55,$I56,$C$64,$C$65,$C$66,$C$67,$C$68,$C$69,$C$70,$C$74,$C$75,$D$63+X$76,$D$64,$D$65,$D$66,$D$67,$D$68,$D$69,$D$70,$D$71,$D$72,$D$73,$D$74,$D$75,$C$56,$C$57,$C$58,$C$59,$C$60),"")</f>
        <v>351141.27427565056</v>
      </c>
      <c r="Y81" s="229"/>
      <c r="AE81" s="10"/>
      <c r="AG81" s="224" t="s">
        <v>31</v>
      </c>
      <c r="AH81" s="255">
        <f ca="1">IF(NOW(),_xll.mirSwapPV($C$51,$C$52,$C$54,$AA56,$C$55,$AC56,$C$64,$C$65,$C$66,$C$67,$C$68,$C$69,$C$70,$C$74,$C$75,$D$63+AH$76,$D$64,$D$65,$D$66,$D$67,$D$68,$D$69,$D$70,$D$71,$D$72,$D$73,$D$74,$D$75,$C$56,$C$57,$C$58,$D$59,$C$60),"")</f>
        <v>-351141.27427565068</v>
      </c>
      <c r="AI81" s="255">
        <f ca="1">IF(NOW(),_xll.mirSwapPV($C$51,$C$52,$C$54,$AA56,$C$55,$AC56,$C$64,$C$65,$C$66,$C$67,$C$68,$C$69,$C$70,$C$74,$C$75,$D$63+AI$76,$D$64,$D$65,$D$66,$D$67,$D$68,$D$69,$D$70,$D$71,$D$72,$D$73,$D$74,$D$75,$C$56,$C$57,$C$58,$D$59,$C$60),"")</f>
        <v>-280913.0194205204</v>
      </c>
      <c r="AJ81" s="255">
        <f ca="1">IF(NOW(),_xll.mirSwapPV($C$51,$C$52,$C$54,$AA56,$C$55,$AC56,$C$64,$C$65,$C$66,$C$67,$C$68,$C$69,$C$70,$C$74,$C$75,$D$63+AJ$76,$D$64,$D$65,$D$66,$D$67,$D$68,$D$69,$D$70,$D$71,$D$72,$D$73,$D$74,$D$75,$C$56,$C$57,$C$58,$D$59,$C$60),"")</f>
        <v>-210684.76456539039</v>
      </c>
      <c r="AK81" s="255">
        <f ca="1">IF(NOW(),_xll.mirSwapPV($C$51,$C$52,$C$54,$AA56,$C$55,$AC56,$C$64,$C$65,$C$66,$C$67,$C$68,$C$69,$C$70,$C$74,$C$75,$D$63+AK$76,$D$64,$D$65,$D$66,$D$67,$D$68,$D$69,$D$70,$D$71,$D$72,$D$73,$D$74,$D$75,$C$56,$C$57,$C$58,$D$59,$C$60),"")</f>
        <v>-140456.5097102602</v>
      </c>
      <c r="AL81" s="255">
        <f ca="1">IF(NOW(),_xll.mirSwapPV($C$51,$C$52,$C$54,$AA56,$C$55,$AC56,$C$64,$C$65,$C$66,$C$67,$C$68,$C$69,$C$70,$C$74,$C$75,$D$63+AL$76,$D$64,$D$65,$D$66,$D$67,$D$68,$D$69,$D$70,$D$71,$D$72,$D$73,$D$74,$D$75,$C$56,$C$57,$C$58,$D$59,$C$60),"")</f>
        <v>-70228.254855130101</v>
      </c>
      <c r="AM81" s="255">
        <f ca="1">IF(NOW(),_xll.mirSwapPV($C$51,$C$52,$C$54,$AA56,$C$55,$AC56,$C$64,$C$65,$C$66,$C$67,$C$68,$C$69,$C$70,$C$74,$C$75,$D$63+AM$76,$D$64,$D$65,$D$66,$D$67,$D$68,$D$69,$D$70,$D$71,$D$72,$D$73,$D$74,$D$75,$C$56,$C$57,$C$58,$D$59,$C$60),"")</f>
        <v>0</v>
      </c>
      <c r="AN81" s="255">
        <f ca="1">IF(NOW(),_xll.mirSwapPV($C$51,$C$52,$C$54,$AA56,$C$55,$AC56,$C$64,$C$65,$C$66,$C$67,$C$68,$C$69,$C$70,$C$74,$C$75,$D$63+AN$76,$D$64,$D$65,$D$66,$D$67,$D$68,$D$69,$D$70,$D$71,$D$72,$D$73,$D$74,$D$75,$C$56,$C$57,$C$58,$D$59,$C$60),"")</f>
        <v>70228.254855130115</v>
      </c>
      <c r="AO81" s="255">
        <f ca="1">IF(NOW(),_xll.mirSwapPV($C$51,$C$52,$C$54,$AA56,$C$55,$AC56,$C$64,$C$65,$C$66,$C$67,$C$68,$C$69,$C$70,$C$74,$C$75,$D$63+AO$76,$D$64,$D$65,$D$66,$D$67,$D$68,$D$69,$D$70,$D$71,$D$72,$D$73,$D$74,$D$75,$C$56,$C$57,$C$58,$D$59,$C$60),"")</f>
        <v>140456.50971026023</v>
      </c>
      <c r="AP81" s="255">
        <f ca="1">IF(NOW(),_xll.mirSwapPV($C$51,$C$52,$C$54,$AA56,$C$55,$AC56,$C$64,$C$65,$C$66,$C$67,$C$68,$C$69,$C$70,$C$74,$C$75,$D$63+AP$76,$D$64,$D$65,$D$66,$D$67,$D$68,$D$69,$D$70,$D$71,$D$72,$D$73,$D$74,$D$75,$C$56,$C$57,$C$58,$D$59,$C$60),"")</f>
        <v>210684.76456539036</v>
      </c>
      <c r="AQ81" s="255">
        <f ca="1">IF(NOW(),_xll.mirSwapPV($C$51,$C$52,$C$54,$AA56,$C$55,$AC56,$C$64,$C$65,$C$66,$C$67,$C$68,$C$69,$C$70,$C$74,$C$75,$D$63+AQ$76,$D$64,$D$65,$D$66,$D$67,$D$68,$D$69,$D$70,$D$71,$D$72,$D$73,$D$74,$D$75,$C$56,$C$57,$C$58,$D$59,$C$60),"")</f>
        <v>280913.01942052052</v>
      </c>
      <c r="AR81" s="255">
        <f ca="1">IF(NOW(),_xll.mirSwapPV($C$51,$C$52,$C$54,$AA56,$C$55,$AC56,$C$64,$C$65,$C$66,$C$67,$C$68,$C$69,$C$70,$C$74,$C$75,$D$63+AR$76,$D$64,$D$65,$D$66,$D$67,$D$68,$D$69,$D$70,$D$71,$D$72,$D$73,$D$74,$D$75,$C$56,$C$57,$C$58,$D$59,$C$60),"")</f>
        <v>351141.27427565056</v>
      </c>
    </row>
    <row r="82" spans="6:44">
      <c r="F82" s="230"/>
      <c r="G82" s="227"/>
      <c r="H82" s="229"/>
      <c r="I82" s="229"/>
      <c r="J82" s="229"/>
      <c r="K82" s="230"/>
      <c r="L82" s="230"/>
      <c r="M82" s="224" t="s">
        <v>119</v>
      </c>
      <c r="N82" s="255">
        <f ca="1">IF(NOW(),_xll.mirSwapPV($C$51,$C$52,$C$54,$G57,$C$55,$I57,$C$64,$C$65,$C$66,$C$67,$C$68,$C$69,$C$70,$C$74,$C$75,$D$63+N$76,$D$64,$D$65,$D$66,$D$67,$D$68,$D$69,$D$70,$D$71,$D$72,$D$73,$D$74,$D$75,$C$56,$C$57,$C$58,$C$59,$C$60),"")</f>
        <v>-399166.62011515006</v>
      </c>
      <c r="O82" s="255">
        <f ca="1">IF(NOW(),_xll.mirSwapPV($C$51,$C$52,$C$54,$G57,$C$55,$I57,$C$64,$C$65,$C$66,$C$67,$C$68,$C$69,$C$70,$C$74,$C$75,$D$63+O$76,$D$64,$D$65,$D$66,$D$67,$D$68,$D$69,$D$70,$D$71,$D$72,$D$73,$D$74,$D$75,$C$56,$C$57,$C$58,$C$59,$C$60),"")</f>
        <v>-319333.29609212012</v>
      </c>
      <c r="P82" s="255">
        <f ca="1">IF(NOW(),_xll.mirSwapPV($C$51,$C$52,$C$54,$G57,$C$55,$I57,$C$64,$C$65,$C$66,$C$67,$C$68,$C$69,$C$70,$C$74,$C$75,$D$63+P$76,$D$64,$D$65,$D$66,$D$67,$D$68,$D$69,$D$70,$D$71,$D$72,$D$73,$D$74,$D$75,$C$56,$C$57,$C$58,$C$59,$C$60),"")</f>
        <v>-239499.97206909009</v>
      </c>
      <c r="Q82" s="255">
        <f ca="1">IF(NOW(),_xll.mirSwapPV($C$51,$C$52,$C$54,$G57,$C$55,$I57,$C$64,$C$65,$C$66,$C$67,$C$68,$C$69,$C$70,$C$74,$C$75,$D$63+Q$76,$D$64,$D$65,$D$66,$D$67,$D$68,$D$69,$D$70,$D$71,$D$72,$D$73,$D$74,$D$75,$C$56,$C$57,$C$58,$C$59,$C$60),"")</f>
        <v>-159666.64804606006</v>
      </c>
      <c r="R82" s="255">
        <f ca="1">IF(NOW(),_xll.mirSwapPV($C$51,$C$52,$C$54,$G57,$C$55,$I57,$C$64,$C$65,$C$66,$C$67,$C$68,$C$69,$C$70,$C$74,$C$75,$D$63+R$76,$D$64,$D$65,$D$66,$D$67,$D$68,$D$69,$D$70,$D$71,$D$72,$D$73,$D$74,$D$75,$C$56,$C$57,$C$58,$C$59,$C$60),"")</f>
        <v>-79833.32402303</v>
      </c>
      <c r="S82" s="255">
        <f ca="1">IF(NOW(),_xll.mirSwapPV($C$51,$C$52,$C$54,$G57,$C$55,$I57,$C$64,$C$65,$C$66,$C$67,$C$68,$C$69,$C$70,$C$74,$C$75,$D$63+S$76,$D$64,$D$65,$D$66,$D$67,$D$68,$D$69,$D$70,$D$71,$D$72,$D$73,$D$74,$D$75,$C$56,$C$57,$C$58,$C$59,$C$60),"")</f>
        <v>0</v>
      </c>
      <c r="T82" s="255">
        <f ca="1">IF(NOW(),_xll.mirSwapPV($C$51,$C$52,$C$54,$G57,$C$55,$I57,$C$64,$C$65,$C$66,$C$67,$C$68,$C$69,$C$70,$C$74,$C$75,$D$63+T$76,$D$64,$D$65,$D$66,$D$67,$D$68,$D$69,$D$70,$D$71,$D$72,$D$73,$D$74,$D$75,$C$56,$C$57,$C$58,$C$59,$C$60),"")</f>
        <v>79833.32402303</v>
      </c>
      <c r="U82" s="255">
        <f ca="1">IF(NOW(),_xll.mirSwapPV($C$51,$C$52,$C$54,$G57,$C$55,$I57,$C$64,$C$65,$C$66,$C$67,$C$68,$C$69,$C$70,$C$74,$C$75,$D$63+U$76,$D$64,$D$65,$D$66,$D$67,$D$68,$D$69,$D$70,$D$71,$D$72,$D$73,$D$74,$D$75,$C$56,$C$57,$C$58,$C$59,$C$60),"")</f>
        <v>159666.64804606</v>
      </c>
      <c r="V82" s="255">
        <f ca="1">IF(NOW(),_xll.mirSwapPV($C$51,$C$52,$C$54,$G57,$C$55,$I57,$C$64,$C$65,$C$66,$C$67,$C$68,$C$69,$C$70,$C$74,$C$75,$D$63+V$76,$D$64,$D$65,$D$66,$D$67,$D$68,$D$69,$D$70,$D$71,$D$72,$D$73,$D$74,$D$75,$C$56,$C$57,$C$58,$C$59,$C$60),"")</f>
        <v>239499.97206909006</v>
      </c>
      <c r="W82" s="255">
        <f ca="1">IF(NOW(),_xll.mirSwapPV($C$51,$C$52,$C$54,$G57,$C$55,$I57,$C$64,$C$65,$C$66,$C$67,$C$68,$C$69,$C$70,$C$74,$C$75,$D$63+W$76,$D$64,$D$65,$D$66,$D$67,$D$68,$D$69,$D$70,$D$71,$D$72,$D$73,$D$74,$D$75,$C$56,$C$57,$C$58,$C$59,$C$60),"")</f>
        <v>319333.29609212</v>
      </c>
      <c r="X82" s="255">
        <f ca="1">IF(NOW(),_xll.mirSwapPV($C$51,$C$52,$C$54,$G57,$C$55,$I57,$C$64,$C$65,$C$66,$C$67,$C$68,$C$69,$C$70,$C$74,$C$75,$D$63+X$76,$D$64,$D$65,$D$66,$D$67,$D$68,$D$69,$D$70,$D$71,$D$72,$D$73,$D$74,$D$75,$C$56,$C$57,$C$58,$C$59,$C$60),"")</f>
        <v>399166.62011515006</v>
      </c>
      <c r="Y82" s="229"/>
      <c r="AG82" s="224" t="s">
        <v>119</v>
      </c>
      <c r="AH82" s="255">
        <f ca="1">IF(NOW(),_xll.mirSwapPV($C$51,$C$52,$C$54,$AA57,$C$55,$AC57,$C$64,$C$65,$C$66,$C$67,$C$68,$C$69,$C$70,$C$74,$C$75,$D$63+AH$76,$D$64,$D$65,$D$66,$D$67,$D$68,$D$69,$D$70,$D$71,$D$72,$D$73,$D$74,$D$75,$C$56,$C$57,$C$58,$D$59,$C$60),"")</f>
        <v>-399166.62011515006</v>
      </c>
      <c r="AI82" s="255">
        <f ca="1">IF(NOW(),_xll.mirSwapPV($C$51,$C$52,$C$54,$AA57,$C$55,$AC57,$C$64,$C$65,$C$66,$C$67,$C$68,$C$69,$C$70,$C$74,$C$75,$D$63+AI$76,$D$64,$D$65,$D$66,$D$67,$D$68,$D$69,$D$70,$D$71,$D$72,$D$73,$D$74,$D$75,$C$56,$C$57,$C$58,$D$59,$C$60),"")</f>
        <v>-319333.29609212</v>
      </c>
      <c r="AJ82" s="255">
        <f ca="1">IF(NOW(),_xll.mirSwapPV($C$51,$C$52,$C$54,$AA57,$C$55,$AC57,$C$64,$C$65,$C$66,$C$67,$C$68,$C$69,$C$70,$C$74,$C$75,$D$63+AJ$76,$D$64,$D$65,$D$66,$D$67,$D$68,$D$69,$D$70,$D$71,$D$72,$D$73,$D$74,$D$75,$C$56,$C$57,$C$58,$D$59,$C$60),"")</f>
        <v>-239499.97206909009</v>
      </c>
      <c r="AK82" s="255">
        <f ca="1">IF(NOW(),_xll.mirSwapPV($C$51,$C$52,$C$54,$AA57,$C$55,$AC57,$C$64,$C$65,$C$66,$C$67,$C$68,$C$69,$C$70,$C$74,$C$75,$D$63+AK$76,$D$64,$D$65,$D$66,$D$67,$D$68,$D$69,$D$70,$D$71,$D$72,$D$73,$D$74,$D$75,$C$56,$C$57,$C$58,$D$59,$C$60),"")</f>
        <v>-159666.64804605997</v>
      </c>
      <c r="AL82" s="255">
        <f ca="1">IF(NOW(),_xll.mirSwapPV($C$51,$C$52,$C$54,$AA57,$C$55,$AC57,$C$64,$C$65,$C$66,$C$67,$C$68,$C$69,$C$70,$C$74,$C$75,$D$63+AL$76,$D$64,$D$65,$D$66,$D$67,$D$68,$D$69,$D$70,$D$71,$D$72,$D$73,$D$74,$D$75,$C$56,$C$57,$C$58,$D$59,$C$60),"")</f>
        <v>-79833.324023029971</v>
      </c>
      <c r="AM82" s="255">
        <f ca="1">IF(NOW(),_xll.mirSwapPV($C$51,$C$52,$C$54,$AA57,$C$55,$AC57,$C$64,$C$65,$C$66,$C$67,$C$68,$C$69,$C$70,$C$74,$C$75,$D$63+AM$76,$D$64,$D$65,$D$66,$D$67,$D$68,$D$69,$D$70,$D$71,$D$72,$D$73,$D$74,$D$75,$C$56,$C$57,$C$58,$D$59,$C$60),"")</f>
        <v>0</v>
      </c>
      <c r="AN82" s="255">
        <f ca="1">IF(NOW(),_xll.mirSwapPV($C$51,$C$52,$C$54,$AA57,$C$55,$AC57,$C$64,$C$65,$C$66,$C$67,$C$68,$C$69,$C$70,$C$74,$C$75,$D$63+AN$76,$D$64,$D$65,$D$66,$D$67,$D$68,$D$69,$D$70,$D$71,$D$72,$D$73,$D$74,$D$75,$C$56,$C$57,$C$58,$D$59,$C$60),"")</f>
        <v>79833.32402303</v>
      </c>
      <c r="AO82" s="255">
        <f ca="1">IF(NOW(),_xll.mirSwapPV($C$51,$C$52,$C$54,$AA57,$C$55,$AC57,$C$64,$C$65,$C$66,$C$67,$C$68,$C$69,$C$70,$C$74,$C$75,$D$63+AO$76,$D$64,$D$65,$D$66,$D$67,$D$68,$D$69,$D$70,$D$71,$D$72,$D$73,$D$74,$D$75,$C$56,$C$57,$C$58,$D$59,$C$60),"")</f>
        <v>159666.64804606</v>
      </c>
      <c r="AP82" s="255">
        <f ca="1">IF(NOW(),_xll.mirSwapPV($C$51,$C$52,$C$54,$AA57,$C$55,$AC57,$C$64,$C$65,$C$66,$C$67,$C$68,$C$69,$C$70,$C$74,$C$75,$D$63+AP$76,$D$64,$D$65,$D$66,$D$67,$D$68,$D$69,$D$70,$D$71,$D$72,$D$73,$D$74,$D$75,$C$56,$C$57,$C$58,$D$59,$C$60),"")</f>
        <v>239499.97206909009</v>
      </c>
      <c r="AQ82" s="255">
        <f ca="1">IF(NOW(),_xll.mirSwapPV($C$51,$C$52,$C$54,$AA57,$C$55,$AC57,$C$64,$C$65,$C$66,$C$67,$C$68,$C$69,$C$70,$C$74,$C$75,$D$63+AQ$76,$D$64,$D$65,$D$66,$D$67,$D$68,$D$69,$D$70,$D$71,$D$72,$D$73,$D$74,$D$75,$C$56,$C$57,$C$58,$D$59,$C$60),"")</f>
        <v>319333.29609212</v>
      </c>
      <c r="AR82" s="255">
        <f ca="1">IF(NOW(),_xll.mirSwapPV($C$51,$C$52,$C$54,$AA57,$C$55,$AC57,$C$64,$C$65,$C$66,$C$67,$C$68,$C$69,$C$70,$C$74,$C$75,$D$63+AR$76,$D$64,$D$65,$D$66,$D$67,$D$68,$D$69,$D$70,$D$71,$D$72,$D$73,$D$74,$D$75,$C$56,$C$57,$C$58,$D$59,$C$60),"")</f>
        <v>399166.62011515006</v>
      </c>
    </row>
    <row r="83" spans="6:44">
      <c r="F83" s="230"/>
      <c r="G83" s="227"/>
      <c r="H83" s="229"/>
      <c r="I83" s="229"/>
      <c r="J83" s="229"/>
      <c r="K83" s="230"/>
      <c r="L83" s="230"/>
      <c r="M83" s="224" t="s">
        <v>113</v>
      </c>
      <c r="N83" s="255">
        <f ca="1">IF(NOW(),_xll.mirSwapPV($C$51,$C$52,$C$54,$G58,$C$55,$I58,$C$64,$C$65,$C$66,$C$67,$C$68,$C$69,$C$70,$C$74,$C$75,$D$63+N$76,$D$64,$D$65,$D$66,$D$67,$D$68,$D$69,$D$70,$D$71,$D$72,$D$73,$D$74,$D$75,$C$56,$C$57,$C$58,$C$59,$C$60),"")</f>
        <v>-445844.23518302292</v>
      </c>
      <c r="O83" s="255">
        <f ca="1">IF(NOW(),_xll.mirSwapPV($C$51,$C$52,$C$54,$G58,$C$55,$I58,$C$64,$C$65,$C$66,$C$67,$C$68,$C$69,$C$70,$C$74,$C$75,$D$63+O$76,$D$64,$D$65,$D$66,$D$67,$D$68,$D$69,$D$70,$D$71,$D$72,$D$73,$D$74,$D$75,$C$56,$C$57,$C$58,$C$59,$C$60),"")</f>
        <v>-356675.3881464185</v>
      </c>
      <c r="P83" s="255">
        <f ca="1">IF(NOW(),_xll.mirSwapPV($C$51,$C$52,$C$54,$G58,$C$55,$I58,$C$64,$C$65,$C$66,$C$67,$C$68,$C$69,$C$70,$C$74,$C$75,$D$63+P$76,$D$64,$D$65,$D$66,$D$67,$D$68,$D$69,$D$70,$D$71,$D$72,$D$73,$D$74,$D$75,$C$56,$C$57,$C$58,$C$59,$C$60),"")</f>
        <v>-267506.54110981378</v>
      </c>
      <c r="Q83" s="255">
        <f ca="1">IF(NOW(),_xll.mirSwapPV($C$51,$C$52,$C$54,$G58,$C$55,$I58,$C$64,$C$65,$C$66,$C$67,$C$68,$C$69,$C$70,$C$74,$C$75,$D$63+Q$76,$D$64,$D$65,$D$66,$D$67,$D$68,$D$69,$D$70,$D$71,$D$72,$D$73,$D$74,$D$75,$C$56,$C$57,$C$58,$C$59,$C$60),"")</f>
        <v>-178337.69407320928</v>
      </c>
      <c r="R83" s="255">
        <f ca="1">IF(NOW(),_xll.mirSwapPV($C$51,$C$52,$C$54,$G58,$C$55,$I58,$C$64,$C$65,$C$66,$C$67,$C$68,$C$69,$C$70,$C$74,$C$75,$D$63+R$76,$D$64,$D$65,$D$66,$D$67,$D$68,$D$69,$D$70,$D$71,$D$72,$D$73,$D$74,$D$75,$C$56,$C$57,$C$58,$C$59,$C$60),"")</f>
        <v>-89168.847036604595</v>
      </c>
      <c r="S83" s="255">
        <f ca="1">IF(NOW(),_xll.mirSwapPV($C$51,$C$52,$C$54,$G58,$C$55,$I58,$C$64,$C$65,$C$66,$C$67,$C$68,$C$69,$C$70,$C$74,$C$75,$D$63+S$76,$D$64,$D$65,$D$66,$D$67,$D$68,$D$69,$D$70,$D$71,$D$72,$D$73,$D$74,$D$75,$C$56,$C$57,$C$58,$C$59,$C$60),"")</f>
        <v>0</v>
      </c>
      <c r="T83" s="255">
        <f ca="1">IF(NOW(),_xll.mirSwapPV($C$51,$C$52,$C$54,$G58,$C$55,$I58,$C$64,$C$65,$C$66,$C$67,$C$68,$C$69,$C$70,$C$74,$C$75,$D$63+T$76,$D$64,$D$65,$D$66,$D$67,$D$68,$D$69,$D$70,$D$71,$D$72,$D$73,$D$74,$D$75,$C$56,$C$57,$C$58,$C$59,$C$60),"")</f>
        <v>89168.847036604609</v>
      </c>
      <c r="U83" s="255">
        <f ca="1">IF(NOW(),_xll.mirSwapPV($C$51,$C$52,$C$54,$G58,$C$55,$I58,$C$64,$C$65,$C$66,$C$67,$C$68,$C$69,$C$70,$C$74,$C$75,$D$63+U$76,$D$64,$D$65,$D$66,$D$67,$D$68,$D$69,$D$70,$D$71,$D$72,$D$73,$D$74,$D$75,$C$56,$C$57,$C$58,$C$59,$C$60),"")</f>
        <v>178337.69407320919</v>
      </c>
      <c r="V83" s="255">
        <f ca="1">IF(NOW(),_xll.mirSwapPV($C$51,$C$52,$C$54,$G58,$C$55,$I58,$C$64,$C$65,$C$66,$C$67,$C$68,$C$69,$C$70,$C$74,$C$75,$D$63+V$76,$D$64,$D$65,$D$66,$D$67,$D$68,$D$69,$D$70,$D$71,$D$72,$D$73,$D$74,$D$75,$C$56,$C$57,$C$58,$C$59,$C$60),"")</f>
        <v>267506.54110981378</v>
      </c>
      <c r="W83" s="255">
        <f ca="1">IF(NOW(),_xll.mirSwapPV($C$51,$C$52,$C$54,$G58,$C$55,$I58,$C$64,$C$65,$C$66,$C$67,$C$68,$C$69,$C$70,$C$74,$C$75,$D$63+W$76,$D$64,$D$65,$D$66,$D$67,$D$68,$D$69,$D$70,$D$71,$D$72,$D$73,$D$74,$D$75,$C$56,$C$57,$C$58,$C$59,$C$60),"")</f>
        <v>356675.38814641832</v>
      </c>
      <c r="X83" s="255">
        <f ca="1">IF(NOW(),_xll.mirSwapPV($C$51,$C$52,$C$54,$G58,$C$55,$I58,$C$64,$C$65,$C$66,$C$67,$C$68,$C$69,$C$70,$C$74,$C$75,$D$63+X$76,$D$64,$D$65,$D$66,$D$67,$D$68,$D$69,$D$70,$D$71,$D$72,$D$73,$D$74,$D$75,$C$56,$C$57,$C$58,$C$59,$C$60),"")</f>
        <v>445844.23518302292</v>
      </c>
      <c r="Y83" s="229"/>
      <c r="AE83" s="10"/>
      <c r="AF83" s="253"/>
      <c r="AG83" s="224" t="s">
        <v>113</v>
      </c>
      <c r="AH83" s="255">
        <f ca="1">IF(NOW(),_xll.mirSwapPV($C$51,$C$52,$C$54,$AA58,$C$55,$AC58,$C$64,$C$65,$C$66,$C$67,$C$68,$C$69,$C$70,$C$74,$C$75,$D$63+AH$76,$D$64,$D$65,$D$66,$D$67,$D$68,$D$69,$D$70,$D$71,$D$72,$D$73,$D$74,$D$75,$C$56,$C$57,$C$58,$D$59,$C$60),"")</f>
        <v>-445844.23518302297</v>
      </c>
      <c r="AI83" s="255">
        <f ca="1">IF(NOW(),_xll.mirSwapPV($C$51,$C$52,$C$54,$AA58,$C$55,$AC58,$C$64,$C$65,$C$66,$C$67,$C$68,$C$69,$C$70,$C$74,$C$75,$D$63+AI$76,$D$64,$D$65,$D$66,$D$67,$D$68,$D$69,$D$70,$D$71,$D$72,$D$73,$D$74,$D$75,$C$56,$C$57,$C$58,$D$59,$C$60),"")</f>
        <v>-356675.38814641832</v>
      </c>
      <c r="AJ83" s="255">
        <f ca="1">IF(NOW(),_xll.mirSwapPV($C$51,$C$52,$C$54,$AA58,$C$55,$AC58,$C$64,$C$65,$C$66,$C$67,$C$68,$C$69,$C$70,$C$74,$C$75,$D$63+AJ$76,$D$64,$D$65,$D$66,$D$67,$D$68,$D$69,$D$70,$D$71,$D$72,$D$73,$D$74,$D$75,$C$56,$C$57,$C$58,$D$59,$C$60),"")</f>
        <v>-267506.54110981378</v>
      </c>
      <c r="AK83" s="255">
        <f ca="1">IF(NOW(),_xll.mirSwapPV($C$51,$C$52,$C$54,$AA58,$C$55,$AC58,$C$64,$C$65,$C$66,$C$67,$C$68,$C$69,$C$70,$C$74,$C$75,$D$63+AK$76,$D$64,$D$65,$D$66,$D$67,$D$68,$D$69,$D$70,$D$71,$D$72,$D$73,$D$74,$D$75,$C$56,$C$57,$C$58,$D$59,$C$60),"")</f>
        <v>-178337.6940732091</v>
      </c>
      <c r="AL83" s="255">
        <f ca="1">IF(NOW(),_xll.mirSwapPV($C$51,$C$52,$C$54,$AA58,$C$55,$AC58,$C$64,$C$65,$C$66,$C$67,$C$68,$C$69,$C$70,$C$74,$C$75,$D$63+AL$76,$D$64,$D$65,$D$66,$D$67,$D$68,$D$69,$D$70,$D$71,$D$72,$D$73,$D$74,$D$75,$C$56,$C$57,$C$58,$D$59,$C$60),"")</f>
        <v>-89168.847036604537</v>
      </c>
      <c r="AM83" s="255">
        <f ca="1">IF(NOW(),_xll.mirSwapPV($C$51,$C$52,$C$54,$AA58,$C$55,$AC58,$C$64,$C$65,$C$66,$C$67,$C$68,$C$69,$C$70,$C$74,$C$75,$D$63+AM$76,$D$64,$D$65,$D$66,$D$67,$D$68,$D$69,$D$70,$D$71,$D$72,$D$73,$D$74,$D$75,$C$56,$C$57,$C$58,$D$59,$C$60),"")</f>
        <v>0</v>
      </c>
      <c r="AN83" s="255">
        <f ca="1">IF(NOW(),_xll.mirSwapPV($C$51,$C$52,$C$54,$AA58,$C$55,$AC58,$C$64,$C$65,$C$66,$C$67,$C$68,$C$69,$C$70,$C$74,$C$75,$D$63+AN$76,$D$64,$D$65,$D$66,$D$67,$D$68,$D$69,$D$70,$D$71,$D$72,$D$73,$D$74,$D$75,$C$56,$C$57,$C$58,$D$59,$C$60),"")</f>
        <v>89168.847036604609</v>
      </c>
      <c r="AO83" s="255">
        <f ca="1">IF(NOW(),_xll.mirSwapPV($C$51,$C$52,$C$54,$AA58,$C$55,$AC58,$C$64,$C$65,$C$66,$C$67,$C$68,$C$69,$C$70,$C$74,$C$75,$D$63+AO$76,$D$64,$D$65,$D$66,$D$67,$D$68,$D$69,$D$70,$D$71,$D$72,$D$73,$D$74,$D$75,$C$56,$C$57,$C$58,$D$59,$C$60),"")</f>
        <v>178337.69407320922</v>
      </c>
      <c r="AP83" s="255">
        <f ca="1">IF(NOW(),_xll.mirSwapPV($C$51,$C$52,$C$54,$AA58,$C$55,$AC58,$C$64,$C$65,$C$66,$C$67,$C$68,$C$69,$C$70,$C$74,$C$75,$D$63+AP$76,$D$64,$D$65,$D$66,$D$67,$D$68,$D$69,$D$70,$D$71,$D$72,$D$73,$D$74,$D$75,$C$56,$C$57,$C$58,$D$59,$C$60),"")</f>
        <v>267506.54110981378</v>
      </c>
      <c r="AQ83" s="255">
        <f ca="1">IF(NOW(),_xll.mirSwapPV($C$51,$C$52,$C$54,$AA58,$C$55,$AC58,$C$64,$C$65,$C$66,$C$67,$C$68,$C$69,$C$70,$C$74,$C$75,$D$63+AQ$76,$D$64,$D$65,$D$66,$D$67,$D$68,$D$69,$D$70,$D$71,$D$72,$D$73,$D$74,$D$75,$C$56,$C$57,$C$58,$D$59,$C$60),"")</f>
        <v>356675.38814641844</v>
      </c>
      <c r="AR83" s="255">
        <f ca="1">IF(NOW(),_xll.mirSwapPV($C$51,$C$52,$C$54,$AA58,$C$55,$AC58,$C$64,$C$65,$C$66,$C$67,$C$68,$C$69,$C$70,$C$74,$C$75,$D$63+AR$76,$D$64,$D$65,$D$66,$D$67,$D$68,$D$69,$D$70,$D$71,$D$72,$D$73,$D$74,$D$75,$C$56,$C$57,$C$58,$D$59,$C$60),"")</f>
        <v>445844.23518302303</v>
      </c>
    </row>
    <row r="84" spans="6:44">
      <c r="F84" s="230"/>
      <c r="G84" s="227"/>
      <c r="H84" s="229"/>
      <c r="I84" s="229"/>
      <c r="J84" s="229"/>
      <c r="K84" s="230"/>
      <c r="L84" s="230"/>
      <c r="M84" s="224" t="s">
        <v>28</v>
      </c>
      <c r="N84" s="255">
        <f ca="1">IF(NOW(),_xll.mirSwapPV($C$51,$C$52,$C$54,$G59,$C$55,$I59,$C$64,$C$65,$C$66,$C$67,$C$68,$C$69,$C$70,$C$74,$C$75,$D$63+N$76,$D$64,$D$65,$D$66,$D$67,$D$68,$D$69,$D$70,$D$71,$D$72,$D$73,$D$74,$D$75,$C$56,$C$57,$C$58,$C$59,$C$60),"")</f>
        <v>-491641.46924409922</v>
      </c>
      <c r="O84" s="255">
        <f ca="1">IF(NOW(),_xll.mirSwapPV($C$51,$C$52,$C$54,$G59,$C$55,$I59,$C$64,$C$65,$C$66,$C$67,$C$68,$C$69,$C$70,$C$74,$C$75,$D$63+O$76,$D$64,$D$65,$D$66,$D$67,$D$68,$D$69,$D$70,$D$71,$D$72,$D$73,$D$74,$D$75,$C$56,$C$57,$C$58,$C$59,$C$60),"")</f>
        <v>-393313.17539527954</v>
      </c>
      <c r="P84" s="255">
        <f ca="1">IF(NOW(),_xll.mirSwapPV($C$51,$C$52,$C$54,$G59,$C$55,$I59,$C$64,$C$65,$C$66,$C$67,$C$68,$C$69,$C$70,$C$74,$C$75,$D$63+P$76,$D$64,$D$65,$D$66,$D$67,$D$68,$D$69,$D$70,$D$71,$D$72,$D$73,$D$74,$D$75,$C$56,$C$57,$C$58,$C$59,$C$60),"")</f>
        <v>-294984.88154645963</v>
      </c>
      <c r="Q84" s="255">
        <f ca="1">IF(NOW(),_xll.mirSwapPV($C$51,$C$52,$C$54,$G59,$C$55,$I59,$C$64,$C$65,$C$66,$C$67,$C$68,$C$69,$C$70,$C$74,$C$75,$D$63+Q$76,$D$64,$D$65,$D$66,$D$67,$D$68,$D$69,$D$70,$D$71,$D$72,$D$73,$D$74,$D$75,$C$56,$C$57,$C$58,$C$59,$C$60),"")</f>
        <v>-196656.5876976398</v>
      </c>
      <c r="R84" s="255">
        <f ca="1">IF(NOW(),_xll.mirSwapPV($C$51,$C$52,$C$54,$G59,$C$55,$I59,$C$64,$C$65,$C$66,$C$67,$C$68,$C$69,$C$70,$C$74,$C$75,$D$63+R$76,$D$64,$D$65,$D$66,$D$67,$D$68,$D$69,$D$70,$D$71,$D$72,$D$73,$D$74,$D$75,$C$56,$C$57,$C$58,$C$59,$C$60),"")</f>
        <v>-98328.293848819856</v>
      </c>
      <c r="S84" s="255">
        <f ca="1">IF(NOW(),_xll.mirSwapPV($C$51,$C$52,$C$54,$G59,$C$55,$I59,$C$64,$C$65,$C$66,$C$67,$C$68,$C$69,$C$70,$C$74,$C$75,$D$63+S$76,$D$64,$D$65,$D$66,$D$67,$D$68,$D$69,$D$70,$D$71,$D$72,$D$73,$D$74,$D$75,$C$56,$C$57,$C$58,$C$59,$C$60),"")</f>
        <v>-1.3877787807814457E-11</v>
      </c>
      <c r="T84" s="255">
        <f ca="1">IF(NOW(),_xll.mirSwapPV($C$51,$C$52,$C$54,$G59,$C$55,$I59,$C$64,$C$65,$C$66,$C$67,$C$68,$C$69,$C$70,$C$74,$C$75,$D$63+T$76,$D$64,$D$65,$D$66,$D$67,$D$68,$D$69,$D$70,$D$71,$D$72,$D$73,$D$74,$D$75,$C$56,$C$57,$C$58,$C$59,$C$60),"")</f>
        <v>98328.293848819856</v>
      </c>
      <c r="U84" s="255">
        <f ca="1">IF(NOW(),_xll.mirSwapPV($C$51,$C$52,$C$54,$G59,$C$55,$I59,$C$64,$C$65,$C$66,$C$67,$C$68,$C$69,$C$70,$C$74,$C$75,$D$63+U$76,$D$64,$D$65,$D$66,$D$67,$D$68,$D$69,$D$70,$D$71,$D$72,$D$73,$D$74,$D$75,$C$56,$C$57,$C$58,$C$59,$C$60),"")</f>
        <v>196656.58769763971</v>
      </c>
      <c r="V84" s="255">
        <f ca="1">IF(NOW(),_xll.mirSwapPV($C$51,$C$52,$C$54,$G59,$C$55,$I59,$C$64,$C$65,$C$66,$C$67,$C$68,$C$69,$C$70,$C$74,$C$75,$D$63+V$76,$D$64,$D$65,$D$66,$D$67,$D$68,$D$69,$D$70,$D$71,$D$72,$D$73,$D$74,$D$75,$C$56,$C$57,$C$58,$C$59,$C$60),"")</f>
        <v>294984.88154645963</v>
      </c>
      <c r="W84" s="255">
        <f ca="1">IF(NOW(),_xll.mirSwapPV($C$51,$C$52,$C$54,$G59,$C$55,$I59,$C$64,$C$65,$C$66,$C$67,$C$68,$C$69,$C$70,$C$74,$C$75,$D$63+W$76,$D$64,$D$65,$D$66,$D$67,$D$68,$D$69,$D$70,$D$71,$D$72,$D$73,$D$74,$D$75,$C$56,$C$57,$C$58,$C$59,$C$60),"")</f>
        <v>393313.17539527942</v>
      </c>
      <c r="X84" s="255">
        <f ca="1">IF(NOW(),_xll.mirSwapPV($C$51,$C$52,$C$54,$G59,$C$55,$I59,$C$64,$C$65,$C$66,$C$67,$C$68,$C$69,$C$70,$C$74,$C$75,$D$63+X$76,$D$64,$D$65,$D$66,$D$67,$D$68,$D$69,$D$70,$D$71,$D$72,$D$73,$D$74,$D$75,$C$56,$C$57,$C$58,$C$59,$C$60),"")</f>
        <v>491641.46924409922</v>
      </c>
      <c r="Y84" s="229"/>
      <c r="AG84" s="224" t="s">
        <v>28</v>
      </c>
      <c r="AH84" s="255">
        <f ca="1">IF(NOW(),_xll.mirSwapPV($C$51,$C$52,$C$54,$AA59,$C$55,$AC59,$C$64,$C$65,$C$66,$C$67,$C$68,$C$69,$C$70,$C$74,$C$75,$D$63+AH$76,$D$64,$D$65,$D$66,$D$67,$D$68,$D$69,$D$70,$D$71,$D$72,$D$73,$D$74,$D$75,$C$56,$C$57,$C$58,$D$59,$C$60),"")</f>
        <v>-491641.46924409922</v>
      </c>
      <c r="AI84" s="255">
        <f ca="1">IF(NOW(),_xll.mirSwapPV($C$51,$C$52,$C$54,$AA59,$C$55,$AC59,$C$64,$C$65,$C$66,$C$67,$C$68,$C$69,$C$70,$C$74,$C$75,$D$63+AI$76,$D$64,$D$65,$D$66,$D$67,$D$68,$D$69,$D$70,$D$71,$D$72,$D$73,$D$74,$D$75,$C$56,$C$57,$C$58,$D$59,$C$60),"")</f>
        <v>-393313.17539527931</v>
      </c>
      <c r="AJ84" s="255">
        <f ca="1">IF(NOW(),_xll.mirSwapPV($C$51,$C$52,$C$54,$AA59,$C$55,$AC59,$C$64,$C$65,$C$66,$C$67,$C$68,$C$69,$C$70,$C$74,$C$75,$D$63+AJ$76,$D$64,$D$65,$D$66,$D$67,$D$68,$D$69,$D$70,$D$71,$D$72,$D$73,$D$74,$D$75,$C$56,$C$57,$C$58,$D$59,$C$60),"")</f>
        <v>-294984.88154645963</v>
      </c>
      <c r="AK84" s="255">
        <f ca="1">IF(NOW(),_xll.mirSwapPV($C$51,$C$52,$C$54,$AA59,$C$55,$AC59,$C$64,$C$65,$C$66,$C$67,$C$68,$C$69,$C$70,$C$74,$C$75,$D$63+AK$76,$D$64,$D$65,$D$66,$D$67,$D$68,$D$69,$D$70,$D$71,$D$72,$D$73,$D$74,$D$75,$C$56,$C$57,$C$58,$D$59,$C$60),"")</f>
        <v>-196656.58769763965</v>
      </c>
      <c r="AL84" s="255">
        <f ca="1">IF(NOW(),_xll.mirSwapPV($C$51,$C$52,$C$54,$AA59,$C$55,$AC59,$C$64,$C$65,$C$66,$C$67,$C$68,$C$69,$C$70,$C$74,$C$75,$D$63+AL$76,$D$64,$D$65,$D$66,$D$67,$D$68,$D$69,$D$70,$D$71,$D$72,$D$73,$D$74,$D$75,$C$56,$C$57,$C$58,$D$59,$C$60),"")</f>
        <v>-98328.293848819783</v>
      </c>
      <c r="AM84" s="255">
        <f ca="1">IF(NOW(),_xll.mirSwapPV($C$51,$C$52,$C$54,$AA59,$C$55,$AC59,$C$64,$C$65,$C$66,$C$67,$C$68,$C$69,$C$70,$C$74,$C$75,$D$63+AM$76,$D$64,$D$65,$D$66,$D$67,$D$68,$D$69,$D$70,$D$71,$D$72,$D$73,$D$74,$D$75,$C$56,$C$57,$C$58,$D$59,$C$60),"")</f>
        <v>0</v>
      </c>
      <c r="AN84" s="255">
        <f ca="1">IF(NOW(),_xll.mirSwapPV($C$51,$C$52,$C$54,$AA59,$C$55,$AC59,$C$64,$C$65,$C$66,$C$67,$C$68,$C$69,$C$70,$C$74,$C$75,$D$63+AN$76,$D$64,$D$65,$D$66,$D$67,$D$68,$D$69,$D$70,$D$71,$D$72,$D$73,$D$74,$D$75,$C$56,$C$57,$C$58,$D$59,$C$60),"")</f>
        <v>98328.293848819885</v>
      </c>
      <c r="AO84" s="255">
        <f ca="1">IF(NOW(),_xll.mirSwapPV($C$51,$C$52,$C$54,$AA59,$C$55,$AC59,$C$64,$C$65,$C$66,$C$67,$C$68,$C$69,$C$70,$C$74,$C$75,$D$63+AO$76,$D$64,$D$65,$D$66,$D$67,$D$68,$D$69,$D$70,$D$71,$D$72,$D$73,$D$74,$D$75,$C$56,$C$57,$C$58,$D$59,$C$60),"")</f>
        <v>196656.58769763974</v>
      </c>
      <c r="AP84" s="255">
        <f ca="1">IF(NOW(),_xll.mirSwapPV($C$51,$C$52,$C$54,$AA59,$C$55,$AC59,$C$64,$C$65,$C$66,$C$67,$C$68,$C$69,$C$70,$C$74,$C$75,$D$63+AP$76,$D$64,$D$65,$D$66,$D$67,$D$68,$D$69,$D$70,$D$71,$D$72,$D$73,$D$74,$D$75,$C$56,$C$57,$C$58,$D$59,$C$60),"")</f>
        <v>294984.88154645963</v>
      </c>
      <c r="AQ84" s="255">
        <f ca="1">IF(NOW(),_xll.mirSwapPV($C$51,$C$52,$C$54,$AA59,$C$55,$AC59,$C$64,$C$65,$C$66,$C$67,$C$68,$C$69,$C$70,$C$74,$C$75,$D$63+AQ$76,$D$64,$D$65,$D$66,$D$67,$D$68,$D$69,$D$70,$D$71,$D$72,$D$73,$D$74,$D$75,$C$56,$C$57,$C$58,$D$59,$C$60),"")</f>
        <v>393313.17539527948</v>
      </c>
      <c r="AR84" s="255">
        <f ca="1">IF(NOW(),_xll.mirSwapPV($C$51,$C$52,$C$54,$AA59,$C$55,$AC59,$C$64,$C$65,$C$66,$C$67,$C$68,$C$69,$C$70,$C$74,$C$75,$D$63+AR$76,$D$64,$D$65,$D$66,$D$67,$D$68,$D$69,$D$70,$D$71,$D$72,$D$73,$D$74,$D$75,$C$56,$C$57,$C$58,$D$59,$C$60),"")</f>
        <v>491641.46924409934</v>
      </c>
    </row>
    <row r="85" spans="6:44">
      <c r="F85" s="230"/>
      <c r="G85" s="227"/>
      <c r="H85" s="229"/>
      <c r="I85" s="229"/>
      <c r="J85" s="229"/>
      <c r="K85" s="230"/>
      <c r="L85" s="230"/>
      <c r="M85" s="224" t="s">
        <v>26</v>
      </c>
      <c r="N85" s="255">
        <f ca="1">IF(NOW(),_xll.mirSwapPV($C$51,$C$52,$C$54,$G60,$C$55,$I60,$C$64,$C$65,$C$66,$C$67,$C$68,$C$69,$C$70,$C$74,$C$75,$D$63+N$76,$D$64,$D$65,$D$66,$D$67,$D$68,$D$69,$D$70,$D$71,$D$72,$D$73,$D$74,$D$75,$C$56,$C$57,$C$58,$C$59,$C$60),"")</f>
        <v>-580132.46295708523</v>
      </c>
      <c r="O85" s="255">
        <f ca="1">IF(NOW(),_xll.mirSwapPV($C$51,$C$52,$C$54,$G60,$C$55,$I60,$C$64,$C$65,$C$66,$C$67,$C$68,$C$69,$C$70,$C$74,$C$75,$D$63+O$76,$D$64,$D$65,$D$66,$D$67,$D$68,$D$69,$D$70,$D$71,$D$72,$D$73,$D$74,$D$75,$C$56,$C$57,$C$58,$C$59,$C$60),"")</f>
        <v>-464105.97036566836</v>
      </c>
      <c r="P85" s="255">
        <f ca="1">IF(NOW(),_xll.mirSwapPV($C$51,$C$52,$C$54,$G60,$C$55,$I60,$C$64,$C$65,$C$66,$C$67,$C$68,$C$69,$C$70,$C$74,$C$75,$D$63+P$76,$D$64,$D$65,$D$66,$D$67,$D$68,$D$69,$D$70,$D$71,$D$72,$D$73,$D$74,$D$75,$C$56,$C$57,$C$58,$C$59,$C$60),"")</f>
        <v>-348079.47777425119</v>
      </c>
      <c r="Q85" s="255">
        <f ca="1">IF(NOW(),_xll.mirSwapPV($C$51,$C$52,$C$54,$G60,$C$55,$I60,$C$64,$C$65,$C$66,$C$67,$C$68,$C$69,$C$70,$C$74,$C$75,$D$63+Q$76,$D$64,$D$65,$D$66,$D$67,$D$68,$D$69,$D$70,$D$71,$D$72,$D$73,$D$74,$D$75,$C$56,$C$57,$C$58,$C$59,$C$60),"")</f>
        <v>-232052.98518283424</v>
      </c>
      <c r="R85" s="255">
        <f ca="1">IF(NOW(),_xll.mirSwapPV($C$51,$C$52,$C$54,$G60,$C$55,$I60,$C$64,$C$65,$C$66,$C$67,$C$68,$C$69,$C$70,$C$74,$C$75,$D$63+R$76,$D$64,$D$65,$D$66,$D$67,$D$68,$D$69,$D$70,$D$71,$D$72,$D$73,$D$74,$D$75,$C$56,$C$57,$C$58,$C$59,$C$60),"")</f>
        <v>-116026.49259141712</v>
      </c>
      <c r="S85" s="255">
        <f ca="1">IF(NOW(),_xll.mirSwapPV($C$51,$C$52,$C$54,$G60,$C$55,$I60,$C$64,$C$65,$C$66,$C$67,$C$68,$C$69,$C$70,$C$74,$C$75,$D$63+S$76,$D$64,$D$65,$D$66,$D$67,$D$68,$D$69,$D$70,$D$71,$D$72,$D$73,$D$74,$D$75,$C$56,$C$57,$C$58,$C$59,$C$60),"")</f>
        <v>0</v>
      </c>
      <c r="T85" s="255">
        <f ca="1">IF(NOW(),_xll.mirSwapPV($C$51,$C$52,$C$54,$G60,$C$55,$I60,$C$64,$C$65,$C$66,$C$67,$C$68,$C$69,$C$70,$C$74,$C$75,$D$63+T$76,$D$64,$D$65,$D$66,$D$67,$D$68,$D$69,$D$70,$D$71,$D$72,$D$73,$D$74,$D$75,$C$56,$C$57,$C$58,$C$59,$C$60),"")</f>
        <v>116026.49259141709</v>
      </c>
      <c r="U85" s="255">
        <f ca="1">IF(NOW(),_xll.mirSwapPV($C$51,$C$52,$C$54,$G60,$C$55,$I60,$C$64,$C$65,$C$66,$C$67,$C$68,$C$69,$C$70,$C$74,$C$75,$D$63+U$76,$D$64,$D$65,$D$66,$D$67,$D$68,$D$69,$D$70,$D$71,$D$72,$D$73,$D$74,$D$75,$C$56,$C$57,$C$58,$C$59,$C$60),"")</f>
        <v>232052.98518283418</v>
      </c>
      <c r="V85" s="255">
        <f ca="1">IF(NOW(),_xll.mirSwapPV($C$51,$C$52,$C$54,$G60,$C$55,$I60,$C$64,$C$65,$C$66,$C$67,$C$68,$C$69,$C$70,$C$74,$C$75,$D$63+V$76,$D$64,$D$65,$D$66,$D$67,$D$68,$D$69,$D$70,$D$71,$D$72,$D$73,$D$74,$D$75,$C$56,$C$57,$C$58,$C$59,$C$60),"")</f>
        <v>348079.47777425125</v>
      </c>
      <c r="W85" s="255">
        <f ca="1">IF(NOW(),_xll.mirSwapPV($C$51,$C$52,$C$54,$G60,$C$55,$I60,$C$64,$C$65,$C$66,$C$67,$C$68,$C$69,$C$70,$C$74,$C$75,$D$63+W$76,$D$64,$D$65,$D$66,$D$67,$D$68,$D$69,$D$70,$D$71,$D$72,$D$73,$D$74,$D$75,$C$56,$C$57,$C$58,$C$59,$C$60),"")</f>
        <v>464105.97036566824</v>
      </c>
      <c r="X85" s="255">
        <f ca="1">IF(NOW(),_xll.mirSwapPV($C$51,$C$52,$C$54,$G60,$C$55,$I60,$C$64,$C$65,$C$66,$C$67,$C$68,$C$69,$C$70,$C$74,$C$75,$D$63+X$76,$D$64,$D$65,$D$66,$D$67,$D$68,$D$69,$D$70,$D$71,$D$72,$D$73,$D$74,$D$75,$C$56,$C$57,$C$58,$C$59,$C$60),"")</f>
        <v>580132.46295708546</v>
      </c>
      <c r="Y85" s="229"/>
      <c r="AG85" s="224" t="s">
        <v>26</v>
      </c>
      <c r="AH85" s="255">
        <f ca="1">IF(NOW(),_xll.mirSwapPV($C$51,$C$52,$C$54,$AA60,$C$55,$AC60,$C$64,$C$65,$C$66,$C$67,$C$68,$C$69,$C$70,$C$74,$C$75,$D$63+AH$76,$D$64,$D$65,$D$66,$D$67,$D$68,$D$69,$D$70,$D$71,$D$72,$D$73,$D$74,$D$75,$C$56,$C$57,$C$58,$D$59,$C$60),"")</f>
        <v>-580132.46295708534</v>
      </c>
      <c r="AI85" s="255">
        <f ca="1">IF(NOW(),_xll.mirSwapPV($C$51,$C$52,$C$54,$AA60,$C$55,$AC60,$C$64,$C$65,$C$66,$C$67,$C$68,$C$69,$C$70,$C$74,$C$75,$D$63+AI$76,$D$64,$D$65,$D$66,$D$67,$D$68,$D$69,$D$70,$D$71,$D$72,$D$73,$D$74,$D$75,$C$56,$C$57,$C$58,$D$59,$C$60),"")</f>
        <v>-464105.97036566824</v>
      </c>
      <c r="AJ85" s="255">
        <f ca="1">IF(NOW(),_xll.mirSwapPV($C$51,$C$52,$C$54,$AA60,$C$55,$AC60,$C$64,$C$65,$C$66,$C$67,$C$68,$C$69,$C$70,$C$74,$C$75,$D$63+AJ$76,$D$64,$D$65,$D$66,$D$67,$D$68,$D$69,$D$70,$D$71,$D$72,$D$73,$D$74,$D$75,$C$56,$C$57,$C$58,$D$59,$C$60),"")</f>
        <v>-348079.47777425131</v>
      </c>
      <c r="AK85" s="255">
        <f ca="1">IF(NOW(),_xll.mirSwapPV($C$51,$C$52,$C$54,$AA60,$C$55,$AC60,$C$64,$C$65,$C$66,$C$67,$C$68,$C$69,$C$70,$C$74,$C$75,$D$63+AK$76,$D$64,$D$65,$D$66,$D$67,$D$68,$D$69,$D$70,$D$71,$D$72,$D$73,$D$74,$D$75,$C$56,$C$57,$C$58,$D$59,$C$60),"")</f>
        <v>-232052.98518283406</v>
      </c>
      <c r="AL85" s="255">
        <f ca="1">IF(NOW(),_xll.mirSwapPV($C$51,$C$52,$C$54,$AA60,$C$55,$AC60,$C$64,$C$65,$C$66,$C$67,$C$68,$C$69,$C$70,$C$74,$C$75,$D$63+AL$76,$D$64,$D$65,$D$66,$D$67,$D$68,$D$69,$D$70,$D$71,$D$72,$D$73,$D$74,$D$75,$C$56,$C$57,$C$58,$D$59,$C$60),"")</f>
        <v>-116026.49259141696</v>
      </c>
      <c r="AM85" s="255">
        <f ca="1">IF(NOW(),_xll.mirSwapPV($C$51,$C$52,$C$54,$AA60,$C$55,$AC60,$C$64,$C$65,$C$66,$C$67,$C$68,$C$69,$C$70,$C$74,$C$75,$D$63+AM$76,$D$64,$D$65,$D$66,$D$67,$D$68,$D$69,$D$70,$D$71,$D$72,$D$73,$D$74,$D$75,$C$56,$C$57,$C$58,$D$59,$C$60),"")</f>
        <v>0</v>
      </c>
      <c r="AN85" s="255">
        <f ca="1">IF(NOW(),_xll.mirSwapPV($C$51,$C$52,$C$54,$AA60,$C$55,$AC60,$C$64,$C$65,$C$66,$C$67,$C$68,$C$69,$C$70,$C$74,$C$75,$D$63+AN$76,$D$64,$D$65,$D$66,$D$67,$D$68,$D$69,$D$70,$D$71,$D$72,$D$73,$D$74,$D$75,$C$56,$C$57,$C$58,$D$59,$C$60),"")</f>
        <v>116026.49259141713</v>
      </c>
      <c r="AO85" s="255">
        <f ca="1">IF(NOW(),_xll.mirSwapPV($C$51,$C$52,$C$54,$AA60,$C$55,$AC60,$C$64,$C$65,$C$66,$C$67,$C$68,$C$69,$C$70,$C$74,$C$75,$D$63+AO$76,$D$64,$D$65,$D$66,$D$67,$D$68,$D$69,$D$70,$D$71,$D$72,$D$73,$D$74,$D$75,$C$56,$C$57,$C$58,$D$59,$C$60),"")</f>
        <v>232052.98518283421</v>
      </c>
      <c r="AP85" s="255">
        <f ca="1">IF(NOW(),_xll.mirSwapPV($C$51,$C$52,$C$54,$AA60,$C$55,$AC60,$C$64,$C$65,$C$66,$C$67,$C$68,$C$69,$C$70,$C$74,$C$75,$D$63+AP$76,$D$64,$D$65,$D$66,$D$67,$D$68,$D$69,$D$70,$D$71,$D$72,$D$73,$D$74,$D$75,$C$56,$C$57,$C$58,$D$59,$C$60),"")</f>
        <v>348079.47777425137</v>
      </c>
      <c r="AQ85" s="255">
        <f ca="1">IF(NOW(),_xll.mirSwapPV($C$51,$C$52,$C$54,$AA60,$C$55,$AC60,$C$64,$C$65,$C$66,$C$67,$C$68,$C$69,$C$70,$C$74,$C$75,$D$63+AQ$76,$D$64,$D$65,$D$66,$D$67,$D$68,$D$69,$D$70,$D$71,$D$72,$D$73,$D$74,$D$75,$C$56,$C$57,$C$58,$D$59,$C$60),"")</f>
        <v>464105.97036566841</v>
      </c>
      <c r="AR85" s="255">
        <f ca="1">IF(NOW(),_xll.mirSwapPV($C$51,$C$52,$C$54,$AA60,$C$55,$AC60,$C$64,$C$65,$C$66,$C$67,$C$68,$C$69,$C$70,$C$74,$C$75,$D$63+AR$76,$D$64,$D$65,$D$66,$D$67,$D$68,$D$69,$D$70,$D$71,$D$72,$D$73,$D$74,$D$75,$C$56,$C$57,$C$58,$D$59,$C$60),"")</f>
        <v>580132.46295708546</v>
      </c>
    </row>
    <row r="86" spans="6:44">
      <c r="F86" s="230"/>
      <c r="G86" s="227"/>
      <c r="H86" s="229"/>
      <c r="I86" s="229"/>
      <c r="J86" s="229"/>
      <c r="K86" s="230"/>
      <c r="L86" s="230"/>
      <c r="M86" s="224" t="s">
        <v>24</v>
      </c>
      <c r="N86" s="255">
        <f ca="1">IF(NOW(),_xll.mirSwapPV($C$51,$C$52,$C$54,$G61,$C$55,$I61,$C$64,$C$65,$C$66,$C$67,$C$68,$C$69,$C$70,$C$74,$C$75,$D$63+N$76,$D$64,$D$65,$D$66,$D$67,$D$68,$D$69,$D$70,$D$71,$D$72,$D$73,$D$74,$D$75,$C$56,$C$57,$C$58,$C$59,$C$60),"")</f>
        <v>-705375.04990592063</v>
      </c>
      <c r="O86" s="255">
        <f ca="1">IF(NOW(),_xll.mirSwapPV($C$51,$C$52,$C$54,$G61,$C$55,$I61,$C$64,$C$65,$C$66,$C$67,$C$68,$C$69,$C$70,$C$74,$C$75,$D$63+O$76,$D$64,$D$65,$D$66,$D$67,$D$68,$D$69,$D$70,$D$71,$D$72,$D$73,$D$74,$D$75,$C$56,$C$57,$C$58,$C$59,$C$60),"")</f>
        <v>-564300.03992473683</v>
      </c>
      <c r="P86" s="255">
        <f ca="1">IF(NOW(),_xll.mirSwapPV($C$51,$C$52,$C$54,$G61,$C$55,$I61,$C$64,$C$65,$C$66,$C$67,$C$68,$C$69,$C$70,$C$74,$C$75,$D$63+P$76,$D$64,$D$65,$D$66,$D$67,$D$68,$D$69,$D$70,$D$71,$D$72,$D$73,$D$74,$D$75,$C$56,$C$57,$C$58,$C$59,$C$60),"")</f>
        <v>-423225.02994355239</v>
      </c>
      <c r="Q86" s="255">
        <f ca="1">IF(NOW(),_xll.mirSwapPV($C$51,$C$52,$C$54,$G61,$C$55,$I61,$C$64,$C$65,$C$66,$C$67,$C$68,$C$69,$C$70,$C$74,$C$75,$D$63+Q$76,$D$64,$D$65,$D$66,$D$67,$D$68,$D$69,$D$70,$D$71,$D$72,$D$73,$D$74,$D$75,$C$56,$C$57,$C$58,$C$59,$C$60),"")</f>
        <v>-282150.01996236842</v>
      </c>
      <c r="R86" s="255">
        <f ca="1">IF(NOW(),_xll.mirSwapPV($C$51,$C$52,$C$54,$G61,$C$55,$I61,$C$64,$C$65,$C$66,$C$67,$C$68,$C$69,$C$70,$C$74,$C$75,$D$63+R$76,$D$64,$D$65,$D$66,$D$67,$D$68,$D$69,$D$70,$D$71,$D$72,$D$73,$D$74,$D$75,$C$56,$C$57,$C$58,$C$59,$C$60),"")</f>
        <v>-141075.00998118418</v>
      </c>
      <c r="S86" s="255">
        <f ca="1">IF(NOW(),_xll.mirSwapPV($C$51,$C$52,$C$54,$G61,$C$55,$I61,$C$64,$C$65,$C$66,$C$67,$C$68,$C$69,$C$70,$C$74,$C$75,$D$63+S$76,$D$64,$D$65,$D$66,$D$67,$D$68,$D$69,$D$70,$D$71,$D$72,$D$73,$D$74,$D$75,$C$56,$C$57,$C$58,$C$59,$C$60),"")</f>
        <v>-2.7755575615628914E-11</v>
      </c>
      <c r="T86" s="255">
        <f ca="1">IF(NOW(),_xll.mirSwapPV($C$51,$C$52,$C$54,$G61,$C$55,$I61,$C$64,$C$65,$C$66,$C$67,$C$68,$C$69,$C$70,$C$74,$C$75,$D$63+T$76,$D$64,$D$65,$D$66,$D$67,$D$68,$D$69,$D$70,$D$71,$D$72,$D$73,$D$74,$D$75,$C$56,$C$57,$C$58,$C$59,$C$60),"")</f>
        <v>141075.00998118418</v>
      </c>
      <c r="U86" s="255">
        <f ca="1">IF(NOW(),_xll.mirSwapPV($C$51,$C$52,$C$54,$G61,$C$55,$I61,$C$64,$C$65,$C$66,$C$67,$C$68,$C$69,$C$70,$C$74,$C$75,$D$63+U$76,$D$64,$D$65,$D$66,$D$67,$D$68,$D$69,$D$70,$D$71,$D$72,$D$73,$D$74,$D$75,$C$56,$C$57,$C$58,$C$59,$C$60),"")</f>
        <v>282150.01996236836</v>
      </c>
      <c r="V86" s="255">
        <f ca="1">IF(NOW(),_xll.mirSwapPV($C$51,$C$52,$C$54,$G61,$C$55,$I61,$C$64,$C$65,$C$66,$C$67,$C$68,$C$69,$C$70,$C$74,$C$75,$D$63+V$76,$D$64,$D$65,$D$66,$D$67,$D$68,$D$69,$D$70,$D$71,$D$72,$D$73,$D$74,$D$75,$C$56,$C$57,$C$58,$C$59,$C$60),"")</f>
        <v>423225.02994355262</v>
      </c>
      <c r="W86" s="255">
        <f ca="1">IF(NOW(),_xll.mirSwapPV($C$51,$C$52,$C$54,$G61,$C$55,$I61,$C$64,$C$65,$C$66,$C$67,$C$68,$C$69,$C$70,$C$74,$C$75,$D$63+W$76,$D$64,$D$65,$D$66,$D$67,$D$68,$D$69,$D$70,$D$71,$D$72,$D$73,$D$74,$D$75,$C$56,$C$57,$C$58,$C$59,$C$60),"")</f>
        <v>564300.0399247366</v>
      </c>
      <c r="X86" s="255">
        <f ca="1">IF(NOW(),_xll.mirSwapPV($C$51,$C$52,$C$54,$G61,$C$55,$I61,$C$64,$C$65,$C$66,$C$67,$C$68,$C$69,$C$70,$C$74,$C$75,$D$63+X$76,$D$64,$D$65,$D$66,$D$67,$D$68,$D$69,$D$70,$D$71,$D$72,$D$73,$D$74,$D$75,$C$56,$C$57,$C$58,$C$59,$C$60),"")</f>
        <v>705375.04990592098</v>
      </c>
      <c r="Y86" s="229"/>
      <c r="AG86" s="224" t="s">
        <v>24</v>
      </c>
      <c r="AH86" s="255">
        <f ca="1">IF(NOW(),_xll.mirSwapPV($C$51,$C$52,$C$54,$AA61,$C$55,$AC61,$C$64,$C$65,$C$66,$C$67,$C$68,$C$69,$C$70,$C$74,$C$75,$D$63+AH$76,$D$64,$D$65,$D$66,$D$67,$D$68,$D$69,$D$70,$D$71,$D$72,$D$73,$D$74,$D$75,$C$56,$C$57,$C$58,$D$59,$C$60),"")</f>
        <v>-705375.04990592087</v>
      </c>
      <c r="AI86" s="255">
        <f ca="1">IF(NOW(),_xll.mirSwapPV($C$51,$C$52,$C$54,$AA61,$C$55,$AC61,$C$64,$C$65,$C$66,$C$67,$C$68,$C$69,$C$70,$C$74,$C$75,$D$63+AI$76,$D$64,$D$65,$D$66,$D$67,$D$68,$D$69,$D$70,$D$71,$D$72,$D$73,$D$74,$D$75,$C$56,$C$57,$C$58,$D$59,$C$60),"")</f>
        <v>-564300.0399247366</v>
      </c>
      <c r="AJ86" s="255">
        <f ca="1">IF(NOW(),_xll.mirSwapPV($C$51,$C$52,$C$54,$AA61,$C$55,$AC61,$C$64,$C$65,$C$66,$C$67,$C$68,$C$69,$C$70,$C$74,$C$75,$D$63+AJ$76,$D$64,$D$65,$D$66,$D$67,$D$68,$D$69,$D$70,$D$71,$D$72,$D$73,$D$74,$D$75,$C$56,$C$57,$C$58,$D$59,$C$60),"")</f>
        <v>-423225.02994355251</v>
      </c>
      <c r="AK86" s="255">
        <f ca="1">IF(NOW(),_xll.mirSwapPV($C$51,$C$52,$C$54,$AA61,$C$55,$AC61,$C$64,$C$65,$C$66,$C$67,$C$68,$C$69,$C$70,$C$74,$C$75,$D$63+AK$76,$D$64,$D$65,$D$66,$D$67,$D$68,$D$69,$D$70,$D$71,$D$72,$D$73,$D$74,$D$75,$C$56,$C$57,$C$58,$D$59,$C$60),"")</f>
        <v>-282150.0199623683</v>
      </c>
      <c r="AL86" s="255">
        <f ca="1">IF(NOW(),_xll.mirSwapPV($C$51,$C$52,$C$54,$AA61,$C$55,$AC61,$C$64,$C$65,$C$66,$C$67,$C$68,$C$69,$C$70,$C$74,$C$75,$D$63+AL$76,$D$64,$D$65,$D$66,$D$67,$D$68,$D$69,$D$70,$D$71,$D$72,$D$73,$D$74,$D$75,$C$56,$C$57,$C$58,$D$59,$C$60),"")</f>
        <v>-141075.00998118403</v>
      </c>
      <c r="AM86" s="255">
        <f ca="1">IF(NOW(),_xll.mirSwapPV($C$51,$C$52,$C$54,$AA61,$C$55,$AC61,$C$64,$C$65,$C$66,$C$67,$C$68,$C$69,$C$70,$C$74,$C$75,$D$63+AM$76,$D$64,$D$65,$D$66,$D$67,$D$68,$D$69,$D$70,$D$71,$D$72,$D$73,$D$74,$D$75,$C$56,$C$57,$C$58,$D$59,$C$60),"")</f>
        <v>2.7755575615628914E-11</v>
      </c>
      <c r="AN86" s="255">
        <f ca="1">IF(NOW(),_xll.mirSwapPV($C$51,$C$52,$C$54,$AA61,$C$55,$AC61,$C$64,$C$65,$C$66,$C$67,$C$68,$C$69,$C$70,$C$74,$C$75,$D$63+AN$76,$D$64,$D$65,$D$66,$D$67,$D$68,$D$69,$D$70,$D$71,$D$72,$D$73,$D$74,$D$75,$C$56,$C$57,$C$58,$D$59,$C$60),"")</f>
        <v>141075.00998118427</v>
      </c>
      <c r="AO86" s="255">
        <f ca="1">IF(NOW(),_xll.mirSwapPV($C$51,$C$52,$C$54,$AA61,$C$55,$AC61,$C$64,$C$65,$C$66,$C$67,$C$68,$C$69,$C$70,$C$74,$C$75,$D$63+AO$76,$D$64,$D$65,$D$66,$D$67,$D$68,$D$69,$D$70,$D$71,$D$72,$D$73,$D$74,$D$75,$C$56,$C$57,$C$58,$D$59,$C$60),"")</f>
        <v>282150.01996236842</v>
      </c>
      <c r="AP86" s="255">
        <f ca="1">IF(NOW(),_xll.mirSwapPV($C$51,$C$52,$C$54,$AA61,$C$55,$AC61,$C$64,$C$65,$C$66,$C$67,$C$68,$C$69,$C$70,$C$74,$C$75,$D$63+AP$76,$D$64,$D$65,$D$66,$D$67,$D$68,$D$69,$D$70,$D$71,$D$72,$D$73,$D$74,$D$75,$C$56,$C$57,$C$58,$D$59,$C$60),"")</f>
        <v>423225.02994355268</v>
      </c>
      <c r="AQ86" s="255">
        <f ca="1">IF(NOW(),_xll.mirSwapPV($C$51,$C$52,$C$54,$AA61,$C$55,$AC61,$C$64,$C$65,$C$66,$C$67,$C$68,$C$69,$C$70,$C$74,$C$75,$D$63+AQ$76,$D$64,$D$65,$D$66,$D$67,$D$68,$D$69,$D$70,$D$71,$D$72,$D$73,$D$74,$D$75,$C$56,$C$57,$C$58,$D$59,$C$60),"")</f>
        <v>564300.03992473683</v>
      </c>
      <c r="AR86" s="255">
        <f ca="1">IF(NOW(),_xll.mirSwapPV($C$51,$C$52,$C$54,$AA61,$C$55,$AC61,$C$64,$C$65,$C$66,$C$67,$C$68,$C$69,$C$70,$C$74,$C$75,$D$63+AR$76,$D$64,$D$65,$D$66,$D$67,$D$68,$D$69,$D$70,$D$71,$D$72,$D$73,$D$74,$D$75,$C$56,$C$57,$C$58,$D$59,$C$60),"")</f>
        <v>705375.04990592098</v>
      </c>
    </row>
    <row r="87" spans="6:44">
      <c r="F87" s="230"/>
      <c r="G87" s="227"/>
      <c r="H87" s="229"/>
      <c r="I87" s="229"/>
      <c r="J87" s="229"/>
      <c r="K87" s="230"/>
      <c r="L87" s="230"/>
      <c r="M87" s="224" t="s">
        <v>20</v>
      </c>
      <c r="N87" s="255">
        <f ca="1">IF(NOW(),_xll.mirSwapPV($C$51,$C$52,$C$54,$G62,$C$55,$I62,$C$64,$C$65,$C$66,$C$67,$C$68,$C$69,$C$70,$C$74,$C$75,$D$63+N$76,$D$64,$D$65,$D$66,$D$67,$D$68,$D$69,$D$70,$D$71,$D$72,$D$73,$D$74,$D$75,$C$56,$C$57,$C$58,$C$59,$C$60),"")</f>
        <v>-895612.9666641826</v>
      </c>
      <c r="O87" s="255">
        <f ca="1">IF(NOW(),_xll.mirSwapPV($C$51,$C$52,$C$54,$G62,$C$55,$I62,$C$64,$C$65,$C$66,$C$67,$C$68,$C$69,$C$70,$C$74,$C$75,$D$63+O$76,$D$64,$D$65,$D$66,$D$67,$D$68,$D$69,$D$70,$D$71,$D$72,$D$73,$D$74,$D$75,$C$56,$C$57,$C$58,$C$59,$C$60),"")</f>
        <v>-716490.37333134655</v>
      </c>
      <c r="P87" s="255">
        <f ca="1">IF(NOW(),_xll.mirSwapPV($C$51,$C$52,$C$54,$G62,$C$55,$I62,$C$64,$C$65,$C$66,$C$67,$C$68,$C$69,$C$70,$C$74,$C$75,$D$63+P$76,$D$64,$D$65,$D$66,$D$67,$D$68,$D$69,$D$70,$D$71,$D$72,$D$73,$D$74,$D$75,$C$56,$C$57,$C$58,$C$59,$C$60),"")</f>
        <v>-537367.77999850968</v>
      </c>
      <c r="Q87" s="255">
        <f ca="1">IF(NOW(),_xll.mirSwapPV($C$51,$C$52,$C$54,$G62,$C$55,$I62,$C$64,$C$65,$C$66,$C$67,$C$68,$C$69,$C$70,$C$74,$C$75,$D$63+Q$76,$D$64,$D$65,$D$66,$D$67,$D$68,$D$69,$D$70,$D$71,$D$72,$D$73,$D$74,$D$75,$C$56,$C$57,$C$58,$C$59,$C$60),"")</f>
        <v>-358245.18666567316</v>
      </c>
      <c r="R87" s="255">
        <f ca="1">IF(NOW(),_xll.mirSwapPV($C$51,$C$52,$C$54,$G62,$C$55,$I62,$C$64,$C$65,$C$66,$C$67,$C$68,$C$69,$C$70,$C$74,$C$75,$D$63+R$76,$D$64,$D$65,$D$66,$D$67,$D$68,$D$69,$D$70,$D$71,$D$72,$D$73,$D$74,$D$75,$C$56,$C$57,$C$58,$C$59,$C$60),"")</f>
        <v>-179122.59333283658</v>
      </c>
      <c r="S87" s="255">
        <f ca="1">IF(NOW(),_xll.mirSwapPV($C$51,$C$52,$C$54,$G62,$C$55,$I62,$C$64,$C$65,$C$66,$C$67,$C$68,$C$69,$C$70,$C$74,$C$75,$D$63+S$76,$D$64,$D$65,$D$66,$D$67,$D$68,$D$69,$D$70,$D$71,$D$72,$D$73,$D$74,$D$75,$C$56,$C$57,$C$58,$C$59,$C$60),"")</f>
        <v>0</v>
      </c>
      <c r="T87" s="255">
        <f ca="1">IF(NOW(),_xll.mirSwapPV($C$51,$C$52,$C$54,$G62,$C$55,$I62,$C$64,$C$65,$C$66,$C$67,$C$68,$C$69,$C$70,$C$74,$C$75,$D$63+T$76,$D$64,$D$65,$D$66,$D$67,$D$68,$D$69,$D$70,$D$71,$D$72,$D$73,$D$74,$D$75,$C$56,$C$57,$C$58,$C$59,$C$60),"")</f>
        <v>179122.5933328367</v>
      </c>
      <c r="U87" s="255">
        <f ca="1">IF(NOW(),_xll.mirSwapPV($C$51,$C$52,$C$54,$G62,$C$55,$I62,$C$64,$C$65,$C$66,$C$67,$C$68,$C$69,$C$70,$C$74,$C$75,$D$63+U$76,$D$64,$D$65,$D$66,$D$67,$D$68,$D$69,$D$70,$D$71,$D$72,$D$73,$D$74,$D$75,$C$56,$C$57,$C$58,$C$59,$C$60),"")</f>
        <v>358245.18666567327</v>
      </c>
      <c r="V87" s="255">
        <f ca="1">IF(NOW(),_xll.mirSwapPV($C$51,$C$52,$C$54,$G62,$C$55,$I62,$C$64,$C$65,$C$66,$C$67,$C$68,$C$69,$C$70,$C$74,$C$75,$D$63+V$76,$D$64,$D$65,$D$66,$D$67,$D$68,$D$69,$D$70,$D$71,$D$72,$D$73,$D$74,$D$75,$C$56,$C$57,$C$58,$C$59,$C$60),"")</f>
        <v>537367.77999850991</v>
      </c>
      <c r="W87" s="255">
        <f ca="1">IF(NOW(),_xll.mirSwapPV($C$51,$C$52,$C$54,$G62,$C$55,$I62,$C$64,$C$65,$C$66,$C$67,$C$68,$C$69,$C$70,$C$74,$C$75,$D$63+W$76,$D$64,$D$65,$D$66,$D$67,$D$68,$D$69,$D$70,$D$71,$D$72,$D$73,$D$74,$D$75,$C$56,$C$57,$C$58,$C$59,$C$60),"")</f>
        <v>716490.37333134632</v>
      </c>
      <c r="X87" s="255">
        <f ca="1">IF(NOW(),_xll.mirSwapPV($C$51,$C$52,$C$54,$G62,$C$55,$I62,$C$64,$C$65,$C$66,$C$67,$C$68,$C$69,$C$70,$C$74,$C$75,$D$63+X$76,$D$64,$D$65,$D$66,$D$67,$D$68,$D$69,$D$70,$D$71,$D$72,$D$73,$D$74,$D$75,$C$56,$C$57,$C$58,$C$59,$C$60),"")</f>
        <v>895612.96666418319</v>
      </c>
      <c r="Y87" s="229"/>
      <c r="AG87" s="224" t="s">
        <v>20</v>
      </c>
      <c r="AH87" s="255">
        <f ca="1">IF(NOW(),_xll.mirSwapPV($C$51,$C$52,$C$54,$AA62,$C$55,$AC62,$C$64,$C$65,$C$66,$C$67,$C$68,$C$69,$C$70,$C$74,$C$75,$D$63+AH$76,$D$64,$D$65,$D$66,$D$67,$D$68,$D$69,$D$70,$D$71,$D$72,$D$73,$D$74,$D$75,$C$56,$C$57,$C$58,$D$59,$C$60),"")</f>
        <v>-895612.96666418295</v>
      </c>
      <c r="AI87" s="255">
        <f ca="1">IF(NOW(),_xll.mirSwapPV($C$51,$C$52,$C$54,$AA62,$C$55,$AC62,$C$64,$C$65,$C$66,$C$67,$C$68,$C$69,$C$70,$C$74,$C$75,$D$63+AI$76,$D$64,$D$65,$D$66,$D$67,$D$68,$D$69,$D$70,$D$71,$D$72,$D$73,$D$74,$D$75,$C$56,$C$57,$C$58,$D$59,$C$60),"")</f>
        <v>-716490.37333134632</v>
      </c>
      <c r="AJ87" s="255">
        <f ca="1">IF(NOW(),_xll.mirSwapPV($C$51,$C$52,$C$54,$AA62,$C$55,$AC62,$C$64,$C$65,$C$66,$C$67,$C$68,$C$69,$C$70,$C$74,$C$75,$D$63+AJ$76,$D$64,$D$65,$D$66,$D$67,$D$68,$D$69,$D$70,$D$71,$D$72,$D$73,$D$74,$D$75,$C$56,$C$57,$C$58,$D$59,$C$60),"")</f>
        <v>-537367.77999850968</v>
      </c>
      <c r="AK87" s="255">
        <f ca="1">IF(NOW(),_xll.mirSwapPV($C$51,$C$52,$C$54,$AA62,$C$55,$AC62,$C$64,$C$65,$C$66,$C$67,$C$68,$C$69,$C$70,$C$74,$C$75,$D$63+AK$76,$D$64,$D$65,$D$66,$D$67,$D$68,$D$69,$D$70,$D$71,$D$72,$D$73,$D$74,$D$75,$C$56,$C$57,$C$58,$D$59,$C$60),"")</f>
        <v>-358245.18666567304</v>
      </c>
      <c r="AL87" s="255">
        <f ca="1">IF(NOW(),_xll.mirSwapPV($C$51,$C$52,$C$54,$AA62,$C$55,$AC62,$C$64,$C$65,$C$66,$C$67,$C$68,$C$69,$C$70,$C$74,$C$75,$D$63+AL$76,$D$64,$D$65,$D$66,$D$67,$D$68,$D$69,$D$70,$D$71,$D$72,$D$73,$D$74,$D$75,$C$56,$C$57,$C$58,$D$59,$C$60),"")</f>
        <v>-179122.59333283643</v>
      </c>
      <c r="AM87" s="255">
        <f ca="1">IF(NOW(),_xll.mirSwapPV($C$51,$C$52,$C$54,$AA62,$C$55,$AC62,$C$64,$C$65,$C$66,$C$67,$C$68,$C$69,$C$70,$C$74,$C$75,$D$63+AM$76,$D$64,$D$65,$D$66,$D$67,$D$68,$D$69,$D$70,$D$71,$D$72,$D$73,$D$74,$D$75,$C$56,$C$57,$C$58,$D$59,$C$60),"")</f>
        <v>-5.5511151231257827E-11</v>
      </c>
      <c r="AN87" s="255">
        <f ca="1">IF(NOW(),_xll.mirSwapPV($C$51,$C$52,$C$54,$AA62,$C$55,$AC62,$C$64,$C$65,$C$66,$C$67,$C$68,$C$69,$C$70,$C$74,$C$75,$D$63+AN$76,$D$64,$D$65,$D$66,$D$67,$D$68,$D$69,$D$70,$D$71,$D$72,$D$73,$D$74,$D$75,$C$56,$C$57,$C$58,$D$59,$C$60),"")</f>
        <v>179122.59333283667</v>
      </c>
      <c r="AO87" s="255">
        <f ca="1">IF(NOW(),_xll.mirSwapPV($C$51,$C$52,$C$54,$AA62,$C$55,$AC62,$C$64,$C$65,$C$66,$C$67,$C$68,$C$69,$C$70,$C$74,$C$75,$D$63+AO$76,$D$64,$D$65,$D$66,$D$67,$D$68,$D$69,$D$70,$D$71,$D$72,$D$73,$D$74,$D$75,$C$56,$C$57,$C$58,$D$59,$C$60),"")</f>
        <v>358245.18666567327</v>
      </c>
      <c r="AP87" s="255">
        <f ca="1">IF(NOW(),_xll.mirSwapPV($C$51,$C$52,$C$54,$AA62,$C$55,$AC62,$C$64,$C$65,$C$66,$C$67,$C$68,$C$69,$C$70,$C$74,$C$75,$D$63+AP$76,$D$64,$D$65,$D$66,$D$67,$D$68,$D$69,$D$70,$D$71,$D$72,$D$73,$D$74,$D$75,$C$56,$C$57,$C$58,$D$59,$C$60),"")</f>
        <v>537367.77999850991</v>
      </c>
      <c r="AQ87" s="255">
        <f ca="1">IF(NOW(),_xll.mirSwapPV($C$51,$C$52,$C$54,$AA62,$C$55,$AC62,$C$64,$C$65,$C$66,$C$67,$C$68,$C$69,$C$70,$C$74,$C$75,$D$63+AQ$76,$D$64,$D$65,$D$66,$D$67,$D$68,$D$69,$D$70,$D$71,$D$72,$D$73,$D$74,$D$75,$C$56,$C$57,$C$58,$D$59,$C$60),"")</f>
        <v>716490.37333134643</v>
      </c>
      <c r="AR87" s="255">
        <f ca="1">IF(NOW(),_xll.mirSwapPV($C$51,$C$52,$C$54,$AA62,$C$55,$AC62,$C$64,$C$65,$C$66,$C$67,$C$68,$C$69,$C$70,$C$74,$C$75,$D$63+AR$76,$D$64,$D$65,$D$66,$D$67,$D$68,$D$69,$D$70,$D$71,$D$72,$D$73,$D$74,$D$75,$C$56,$C$57,$C$58,$D$59,$C$60),"")</f>
        <v>895612.96666418307</v>
      </c>
    </row>
    <row r="88" spans="6:44">
      <c r="F88" s="230"/>
      <c r="G88" s="227"/>
      <c r="H88" s="229"/>
      <c r="I88" s="229"/>
      <c r="J88" s="229"/>
      <c r="K88" s="230"/>
      <c r="L88" s="230"/>
      <c r="M88" s="224" t="s">
        <v>18</v>
      </c>
      <c r="N88" s="255">
        <f ca="1">IF(NOW(),_xll.mirSwapPV($C$51,$C$52,$C$54,$G63,$C$55,$I63,$C$64,$C$65,$C$66,$C$67,$C$68,$C$69,$C$70,$C$74,$C$75,$D$63+N$76,$D$64,$D$65,$D$66,$D$67,$D$68,$D$69,$D$70,$D$71,$D$72,$D$73,$D$74,$D$75,$C$56,$C$57,$C$58,$C$59,$C$60),"")</f>
        <v>-1067055.5709118785</v>
      </c>
      <c r="O88" s="255">
        <f ca="1">IF(NOW(),_xll.mirSwapPV($C$51,$C$52,$C$54,$G63,$C$55,$I63,$C$64,$C$65,$C$66,$C$67,$C$68,$C$69,$C$70,$C$74,$C$75,$D$63+O$76,$D$64,$D$65,$D$66,$D$67,$D$68,$D$69,$D$70,$D$71,$D$72,$D$73,$D$74,$D$75,$C$56,$C$57,$C$58,$C$59,$C$60),"")</f>
        <v>-853644.45672950312</v>
      </c>
      <c r="P88" s="255">
        <f ca="1">IF(NOW(),_xll.mirSwapPV($C$51,$C$52,$C$54,$G63,$C$55,$I63,$C$64,$C$65,$C$66,$C$67,$C$68,$C$69,$C$70,$C$74,$C$75,$D$63+P$76,$D$64,$D$65,$D$66,$D$67,$D$68,$D$69,$D$70,$D$71,$D$72,$D$73,$D$74,$D$75,$C$56,$C$57,$C$58,$C$59,$C$60),"")</f>
        <v>-640233.34254712728</v>
      </c>
      <c r="Q88" s="255">
        <f ca="1">IF(NOW(),_xll.mirSwapPV($C$51,$C$52,$C$54,$G63,$C$55,$I63,$C$64,$C$65,$C$66,$C$67,$C$68,$C$69,$C$70,$C$74,$C$75,$D$63+Q$76,$D$64,$D$65,$D$66,$D$67,$D$68,$D$69,$D$70,$D$71,$D$72,$D$73,$D$74,$D$75,$C$56,$C$57,$C$58,$C$59,$C$60),"")</f>
        <v>-426822.22836475162</v>
      </c>
      <c r="R88" s="255">
        <f ca="1">IF(NOW(),_xll.mirSwapPV($C$51,$C$52,$C$54,$G63,$C$55,$I63,$C$64,$C$65,$C$66,$C$67,$C$68,$C$69,$C$70,$C$74,$C$75,$D$63+R$76,$D$64,$D$65,$D$66,$D$67,$D$68,$D$69,$D$70,$D$71,$D$72,$D$73,$D$74,$D$75,$C$56,$C$57,$C$58,$C$59,$C$60),"")</f>
        <v>-213411.11418237581</v>
      </c>
      <c r="S88" s="255">
        <f ca="1">IF(NOW(),_xll.mirSwapPV($C$51,$C$52,$C$54,$G63,$C$55,$I63,$C$64,$C$65,$C$66,$C$67,$C$68,$C$69,$C$70,$C$74,$C$75,$D$63+S$76,$D$64,$D$65,$D$66,$D$67,$D$68,$D$69,$D$70,$D$71,$D$72,$D$73,$D$74,$D$75,$C$56,$C$57,$C$58,$C$59,$C$60),"")</f>
        <v>0</v>
      </c>
      <c r="T88" s="255">
        <f ca="1">IF(NOW(),_xll.mirSwapPV($C$51,$C$52,$C$54,$G63,$C$55,$I63,$C$64,$C$65,$C$66,$C$67,$C$68,$C$69,$C$70,$C$74,$C$75,$D$63+T$76,$D$64,$D$65,$D$66,$D$67,$D$68,$D$69,$D$70,$D$71,$D$72,$D$73,$D$74,$D$75,$C$56,$C$57,$C$58,$C$59,$C$60),"")</f>
        <v>213411.11418237592</v>
      </c>
      <c r="U88" s="255">
        <f ca="1">IF(NOW(),_xll.mirSwapPV($C$51,$C$52,$C$54,$G63,$C$55,$I63,$C$64,$C$65,$C$66,$C$67,$C$68,$C$69,$C$70,$C$74,$C$75,$D$63+U$76,$D$64,$D$65,$D$66,$D$67,$D$68,$D$69,$D$70,$D$71,$D$72,$D$73,$D$74,$D$75,$C$56,$C$57,$C$58,$C$59,$C$60),"")</f>
        <v>426822.22836475179</v>
      </c>
      <c r="V88" s="255">
        <f ca="1">IF(NOW(),_xll.mirSwapPV($C$51,$C$52,$C$54,$G63,$C$55,$I63,$C$64,$C$65,$C$66,$C$67,$C$68,$C$69,$C$70,$C$74,$C$75,$D$63+V$76,$D$64,$D$65,$D$66,$D$67,$D$68,$D$69,$D$70,$D$71,$D$72,$D$73,$D$74,$D$75,$C$56,$C$57,$C$58,$C$59,$C$60),"")</f>
        <v>640233.34254712763</v>
      </c>
      <c r="W88" s="255">
        <f ca="1">IF(NOW(),_xll.mirSwapPV($C$51,$C$52,$C$54,$G63,$C$55,$I63,$C$64,$C$65,$C$66,$C$67,$C$68,$C$69,$C$70,$C$74,$C$75,$D$63+W$76,$D$64,$D$65,$D$66,$D$67,$D$68,$D$69,$D$70,$D$71,$D$72,$D$73,$D$74,$D$75,$C$56,$C$57,$C$58,$C$59,$C$60),"")</f>
        <v>853644.45672950323</v>
      </c>
      <c r="X88" s="255">
        <f ca="1">IF(NOW(),_xll.mirSwapPV($C$51,$C$52,$C$54,$G63,$C$55,$I63,$C$64,$C$65,$C$66,$C$67,$C$68,$C$69,$C$70,$C$74,$C$75,$D$63+X$76,$D$64,$D$65,$D$66,$D$67,$D$68,$D$69,$D$70,$D$71,$D$72,$D$73,$D$74,$D$75,$C$56,$C$57,$C$58,$C$59,$C$60),"")</f>
        <v>1067055.5709118794</v>
      </c>
      <c r="Y88" s="229"/>
      <c r="AG88" s="224" t="s">
        <v>18</v>
      </c>
      <c r="AH88" s="255">
        <f ca="1">IF(NOW(),_xll.mirSwapPV($C$51,$C$52,$C$54,$AA63,$C$55,$AC63,$C$64,$C$65,$C$66,$C$67,$C$68,$C$69,$C$70,$C$74,$C$75,$D$63+AH$76,$D$64,$D$65,$D$66,$D$67,$D$68,$D$69,$D$70,$D$71,$D$72,$D$73,$D$74,$D$75,$C$56,$C$57,$C$58,$D$59,$C$60),"")</f>
        <v>-1067055.5709118792</v>
      </c>
      <c r="AI88" s="255">
        <f ca="1">IF(NOW(),_xll.mirSwapPV($C$51,$C$52,$C$54,$AA63,$C$55,$AC63,$C$64,$C$65,$C$66,$C$67,$C$68,$C$69,$C$70,$C$74,$C$75,$D$63+AI$76,$D$64,$D$65,$D$66,$D$67,$D$68,$D$69,$D$70,$D$71,$D$72,$D$73,$D$74,$D$75,$C$56,$C$57,$C$58,$D$59,$C$60),"")</f>
        <v>-853644.45672950323</v>
      </c>
      <c r="AJ88" s="255">
        <f ca="1">IF(NOW(),_xll.mirSwapPV($C$51,$C$52,$C$54,$AA63,$C$55,$AC63,$C$64,$C$65,$C$66,$C$67,$C$68,$C$69,$C$70,$C$74,$C$75,$D$63+AJ$76,$D$64,$D$65,$D$66,$D$67,$D$68,$D$69,$D$70,$D$71,$D$72,$D$73,$D$74,$D$75,$C$56,$C$57,$C$58,$D$59,$C$60),"")</f>
        <v>-640233.34254712739</v>
      </c>
      <c r="AK88" s="255">
        <f ca="1">IF(NOW(),_xll.mirSwapPV($C$51,$C$52,$C$54,$AA63,$C$55,$AC63,$C$64,$C$65,$C$66,$C$67,$C$68,$C$69,$C$70,$C$74,$C$75,$D$63+AK$76,$D$64,$D$65,$D$66,$D$67,$D$68,$D$69,$D$70,$D$71,$D$72,$D$73,$D$74,$D$75,$C$56,$C$57,$C$58,$D$59,$C$60),"")</f>
        <v>-426822.2283647515</v>
      </c>
      <c r="AL88" s="255">
        <f ca="1">IF(NOW(),_xll.mirSwapPV($C$51,$C$52,$C$54,$AA63,$C$55,$AC63,$C$64,$C$65,$C$66,$C$67,$C$68,$C$69,$C$70,$C$74,$C$75,$D$63+AL$76,$D$64,$D$65,$D$66,$D$67,$D$68,$D$69,$D$70,$D$71,$D$72,$D$73,$D$74,$D$75,$C$56,$C$57,$C$58,$D$59,$C$60),"")</f>
        <v>-213411.11418237569</v>
      </c>
      <c r="AM88" s="255">
        <f ca="1">IF(NOW(),_xll.mirSwapPV($C$51,$C$52,$C$54,$AA63,$C$55,$AC63,$C$64,$C$65,$C$66,$C$67,$C$68,$C$69,$C$70,$C$74,$C$75,$D$63+AM$76,$D$64,$D$65,$D$66,$D$67,$D$68,$D$69,$D$70,$D$71,$D$72,$D$73,$D$74,$D$75,$C$56,$C$57,$C$58,$D$59,$C$60),"")</f>
        <v>0</v>
      </c>
      <c r="AN88" s="255">
        <f ca="1">IF(NOW(),_xll.mirSwapPV($C$51,$C$52,$C$54,$AA63,$C$55,$AC63,$C$64,$C$65,$C$66,$C$67,$C$68,$C$69,$C$70,$C$74,$C$75,$D$63+AN$76,$D$64,$D$65,$D$66,$D$67,$D$68,$D$69,$D$70,$D$71,$D$72,$D$73,$D$74,$D$75,$C$56,$C$57,$C$58,$D$59,$C$60),"")</f>
        <v>213411.11418237587</v>
      </c>
      <c r="AO88" s="255">
        <f ca="1">IF(NOW(),_xll.mirSwapPV($C$51,$C$52,$C$54,$AA63,$C$55,$AC63,$C$64,$C$65,$C$66,$C$67,$C$68,$C$69,$C$70,$C$74,$C$75,$D$63+AO$76,$D$64,$D$65,$D$66,$D$67,$D$68,$D$69,$D$70,$D$71,$D$72,$D$73,$D$74,$D$75,$C$56,$C$57,$C$58,$D$59,$C$60),"")</f>
        <v>426822.22836475173</v>
      </c>
      <c r="AP88" s="255">
        <f ca="1">IF(NOW(),_xll.mirSwapPV($C$51,$C$52,$C$54,$AA63,$C$55,$AC63,$C$64,$C$65,$C$66,$C$67,$C$68,$C$69,$C$70,$C$74,$C$75,$D$63+AP$76,$D$64,$D$65,$D$66,$D$67,$D$68,$D$69,$D$70,$D$71,$D$72,$D$73,$D$74,$D$75,$C$56,$C$57,$C$58,$D$59,$C$60),"")</f>
        <v>640233.34254712763</v>
      </c>
      <c r="AQ88" s="255">
        <f ca="1">IF(NOW(),_xll.mirSwapPV($C$51,$C$52,$C$54,$AA63,$C$55,$AC63,$C$64,$C$65,$C$66,$C$67,$C$68,$C$69,$C$70,$C$74,$C$75,$D$63+AQ$76,$D$64,$D$65,$D$66,$D$67,$D$68,$D$69,$D$70,$D$71,$D$72,$D$73,$D$74,$D$75,$C$56,$C$57,$C$58,$D$59,$C$60),"")</f>
        <v>853644.45672950335</v>
      </c>
      <c r="AR88" s="255">
        <f ca="1">IF(NOW(),_xll.mirSwapPV($C$51,$C$52,$C$54,$AA63,$C$55,$AC63,$C$64,$C$65,$C$66,$C$67,$C$68,$C$69,$C$70,$C$74,$C$75,$D$63+AR$76,$D$64,$D$65,$D$66,$D$67,$D$68,$D$69,$D$70,$D$71,$D$72,$D$73,$D$74,$D$75,$C$56,$C$57,$C$58,$D$59,$C$60),"")</f>
        <v>1067055.5709118794</v>
      </c>
    </row>
    <row r="89" spans="6:44">
      <c r="F89" s="230"/>
      <c r="G89" s="227"/>
      <c r="H89" s="229"/>
      <c r="I89" s="229"/>
      <c r="J89" s="229"/>
      <c r="K89" s="230"/>
      <c r="L89" s="230"/>
      <c r="M89" s="224" t="s">
        <v>17</v>
      </c>
      <c r="N89" s="255">
        <f ca="1">IF(NOW(),_xll.mirSwapPV($C$51,$C$52,$C$54,$G64,$C$55,$I64,$C$64,$C$65,$C$66,$C$67,$C$68,$C$69,$C$70,$C$74,$C$75,$D$63+N$76,$D$64,$D$65,$D$66,$D$67,$D$68,$D$69,$D$70,$D$71,$D$72,$D$73,$D$74,$D$75,$C$56,$C$57,$C$58,$C$59,$C$60),"")</f>
        <v>-1223051.9604093432</v>
      </c>
      <c r="O89" s="255">
        <f ca="1">IF(NOW(),_xll.mirSwapPV($C$51,$C$52,$C$54,$G64,$C$55,$I64,$C$64,$C$65,$C$66,$C$67,$C$68,$C$69,$C$70,$C$74,$C$75,$D$63+O$76,$D$64,$D$65,$D$66,$D$67,$D$68,$D$69,$D$70,$D$71,$D$72,$D$73,$D$74,$D$75,$C$56,$C$57,$C$58,$C$59,$C$60),"")</f>
        <v>-978441.56832747499</v>
      </c>
      <c r="P89" s="255">
        <f ca="1">IF(NOW(),_xll.mirSwapPV($C$51,$C$52,$C$54,$G64,$C$55,$I64,$C$64,$C$65,$C$66,$C$67,$C$68,$C$69,$C$70,$C$74,$C$75,$D$63+P$76,$D$64,$D$65,$D$66,$D$67,$D$68,$D$69,$D$70,$D$71,$D$72,$D$73,$D$74,$D$75,$C$56,$C$57,$C$58,$C$59,$C$60),"")</f>
        <v>-733831.1762456065</v>
      </c>
      <c r="Q89" s="255">
        <f ca="1">IF(NOW(),_xll.mirSwapPV($C$51,$C$52,$C$54,$G64,$C$55,$I64,$C$64,$C$65,$C$66,$C$67,$C$68,$C$69,$C$70,$C$74,$C$75,$D$63+Q$76,$D$64,$D$65,$D$66,$D$67,$D$68,$D$69,$D$70,$D$71,$D$72,$D$73,$D$74,$D$75,$C$56,$C$57,$C$58,$C$59,$C$60),"")</f>
        <v>-489220.78416373755</v>
      </c>
      <c r="R89" s="255">
        <f ca="1">IF(NOW(),_xll.mirSwapPV($C$51,$C$52,$C$54,$G64,$C$55,$I64,$C$64,$C$65,$C$66,$C$67,$C$68,$C$69,$C$70,$C$74,$C$75,$D$63+R$76,$D$64,$D$65,$D$66,$D$67,$D$68,$D$69,$D$70,$D$71,$D$72,$D$73,$D$74,$D$75,$C$56,$C$57,$C$58,$C$59,$C$60),"")</f>
        <v>-244610.39208186869</v>
      </c>
      <c r="S89" s="255">
        <f ca="1">IF(NOW(),_xll.mirSwapPV($C$51,$C$52,$C$54,$G64,$C$55,$I64,$C$64,$C$65,$C$66,$C$67,$C$68,$C$69,$C$70,$C$74,$C$75,$D$63+S$76,$D$64,$D$65,$D$66,$D$67,$D$68,$D$69,$D$70,$D$71,$D$72,$D$73,$D$74,$D$75,$C$56,$C$57,$C$58,$C$59,$C$60),"")</f>
        <v>0</v>
      </c>
      <c r="T89" s="255">
        <f ca="1">IF(NOW(),_xll.mirSwapPV($C$51,$C$52,$C$54,$G64,$C$55,$I64,$C$64,$C$65,$C$66,$C$67,$C$68,$C$69,$C$70,$C$74,$C$75,$D$63+T$76,$D$64,$D$65,$D$66,$D$67,$D$68,$D$69,$D$70,$D$71,$D$72,$D$73,$D$74,$D$75,$C$56,$C$57,$C$58,$C$59,$C$60),"")</f>
        <v>244610.39208186892</v>
      </c>
      <c r="U89" s="255">
        <f ca="1">IF(NOW(),_xll.mirSwapPV($C$51,$C$52,$C$54,$G64,$C$55,$I64,$C$64,$C$65,$C$66,$C$67,$C$68,$C$69,$C$70,$C$74,$C$75,$D$63+U$76,$D$64,$D$65,$D$66,$D$67,$D$68,$D$69,$D$70,$D$71,$D$72,$D$73,$D$74,$D$75,$C$56,$C$57,$C$58,$C$59,$C$60),"")</f>
        <v>489220.78416373773</v>
      </c>
      <c r="V89" s="255">
        <f ca="1">IF(NOW(),_xll.mirSwapPV($C$51,$C$52,$C$54,$G64,$C$55,$I64,$C$64,$C$65,$C$66,$C$67,$C$68,$C$69,$C$70,$C$74,$C$75,$D$63+V$76,$D$64,$D$65,$D$66,$D$67,$D$68,$D$69,$D$70,$D$71,$D$72,$D$73,$D$74,$D$75,$C$56,$C$57,$C$58,$C$59,$C$60),"")</f>
        <v>733831.17624560662</v>
      </c>
      <c r="W89" s="255">
        <f ca="1">IF(NOW(),_xll.mirSwapPV($C$51,$C$52,$C$54,$G64,$C$55,$I64,$C$64,$C$65,$C$66,$C$67,$C$68,$C$69,$C$70,$C$74,$C$75,$D$63+W$76,$D$64,$D$65,$D$66,$D$67,$D$68,$D$69,$D$70,$D$71,$D$72,$D$73,$D$74,$D$75,$C$56,$C$57,$C$58,$C$59,$C$60),"")</f>
        <v>978441.56832747499</v>
      </c>
      <c r="X89" s="255">
        <f ca="1">IF(NOW(),_xll.mirSwapPV($C$51,$C$52,$C$54,$G64,$C$55,$I64,$C$64,$C$65,$C$66,$C$67,$C$68,$C$69,$C$70,$C$74,$C$75,$D$63+X$76,$D$64,$D$65,$D$66,$D$67,$D$68,$D$69,$D$70,$D$71,$D$72,$D$73,$D$74,$D$75,$C$56,$C$57,$C$58,$C$59,$C$60),"")</f>
        <v>1223051.9604093444</v>
      </c>
      <c r="Y89" s="229"/>
      <c r="AG89" s="224" t="s">
        <v>17</v>
      </c>
      <c r="AH89" s="255">
        <f ca="1">IF(NOW(),_xll.mirSwapPV($C$51,$C$52,$C$54,$AA64,$C$55,$AC64,$C$64,$C$65,$C$66,$C$67,$C$68,$C$69,$C$70,$C$74,$C$75,$D$63+AH$76,$D$64,$D$65,$D$66,$D$67,$D$68,$D$69,$D$70,$D$71,$D$72,$D$73,$D$74,$D$75,$C$56,$C$57,$C$58,$D$59,$C$60),"")</f>
        <v>-1223051.9604093437</v>
      </c>
      <c r="AI89" s="255">
        <f ca="1">IF(NOW(),_xll.mirSwapPV($C$51,$C$52,$C$54,$AA64,$C$55,$AC64,$C$64,$C$65,$C$66,$C$67,$C$68,$C$69,$C$70,$C$74,$C$75,$D$63+AI$76,$D$64,$D$65,$D$66,$D$67,$D$68,$D$69,$D$70,$D$71,$D$72,$D$73,$D$74,$D$75,$C$56,$C$57,$C$58,$D$59,$C$60),"")</f>
        <v>-978441.56832747499</v>
      </c>
      <c r="AJ89" s="255">
        <f ca="1">IF(NOW(),_xll.mirSwapPV($C$51,$C$52,$C$54,$AA64,$C$55,$AC64,$C$64,$C$65,$C$66,$C$67,$C$68,$C$69,$C$70,$C$74,$C$75,$D$63+AJ$76,$D$64,$D$65,$D$66,$D$67,$D$68,$D$69,$D$70,$D$71,$D$72,$D$73,$D$74,$D$75,$C$56,$C$57,$C$58,$D$59,$C$60),"")</f>
        <v>-733831.17624560627</v>
      </c>
      <c r="AK89" s="255">
        <f ca="1">IF(NOW(),_xll.mirSwapPV($C$51,$C$52,$C$54,$AA64,$C$55,$AC64,$C$64,$C$65,$C$66,$C$67,$C$68,$C$69,$C$70,$C$74,$C$75,$D$63+AK$76,$D$64,$D$65,$D$66,$D$67,$D$68,$D$69,$D$70,$D$71,$D$72,$D$73,$D$74,$D$75,$C$56,$C$57,$C$58,$D$59,$C$60),"")</f>
        <v>-489220.78416373732</v>
      </c>
      <c r="AL89" s="255">
        <f ca="1">IF(NOW(),_xll.mirSwapPV($C$51,$C$52,$C$54,$AA64,$C$55,$AC64,$C$64,$C$65,$C$66,$C$67,$C$68,$C$69,$C$70,$C$74,$C$75,$D$63+AL$76,$D$64,$D$65,$D$66,$D$67,$D$68,$D$69,$D$70,$D$71,$D$72,$D$73,$D$74,$D$75,$C$56,$C$57,$C$58,$D$59,$C$60),"")</f>
        <v>-244610.39208186857</v>
      </c>
      <c r="AM89" s="255">
        <f ca="1">IF(NOW(),_xll.mirSwapPV($C$51,$C$52,$C$54,$AA64,$C$55,$AC64,$C$64,$C$65,$C$66,$C$67,$C$68,$C$69,$C$70,$C$74,$C$75,$D$63+AM$76,$D$64,$D$65,$D$66,$D$67,$D$68,$D$69,$D$70,$D$71,$D$72,$D$73,$D$74,$D$75,$C$56,$C$57,$C$58,$D$59,$C$60),"")</f>
        <v>0</v>
      </c>
      <c r="AN89" s="255">
        <f ca="1">IF(NOW(),_xll.mirSwapPV($C$51,$C$52,$C$54,$AA64,$C$55,$AC64,$C$64,$C$65,$C$66,$C$67,$C$68,$C$69,$C$70,$C$74,$C$75,$D$63+AN$76,$D$64,$D$65,$D$66,$D$67,$D$68,$D$69,$D$70,$D$71,$D$72,$D$73,$D$74,$D$75,$C$56,$C$57,$C$58,$D$59,$C$60),"")</f>
        <v>244610.39208186892</v>
      </c>
      <c r="AO89" s="255">
        <f ca="1">IF(NOW(),_xll.mirSwapPV($C$51,$C$52,$C$54,$AA64,$C$55,$AC64,$C$64,$C$65,$C$66,$C$67,$C$68,$C$69,$C$70,$C$74,$C$75,$D$63+AO$76,$D$64,$D$65,$D$66,$D$67,$D$68,$D$69,$D$70,$D$71,$D$72,$D$73,$D$74,$D$75,$C$56,$C$57,$C$58,$D$59,$C$60),"")</f>
        <v>489220.78416373779</v>
      </c>
      <c r="AP89" s="255">
        <f ca="1">IF(NOW(),_xll.mirSwapPV($C$51,$C$52,$C$54,$AA64,$C$55,$AC64,$C$64,$C$65,$C$66,$C$67,$C$68,$C$69,$C$70,$C$74,$C$75,$D$63+AP$76,$D$64,$D$65,$D$66,$D$67,$D$68,$D$69,$D$70,$D$71,$D$72,$D$73,$D$74,$D$75,$C$56,$C$57,$C$58,$D$59,$C$60),"")</f>
        <v>733831.17624560662</v>
      </c>
      <c r="AQ89" s="255">
        <f ca="1">IF(NOW(),_xll.mirSwapPV($C$51,$C$52,$C$54,$AA64,$C$55,$AC64,$C$64,$C$65,$C$66,$C$67,$C$68,$C$69,$C$70,$C$74,$C$75,$D$63+AQ$76,$D$64,$D$65,$D$66,$D$67,$D$68,$D$69,$D$70,$D$71,$D$72,$D$73,$D$74,$D$75,$C$56,$C$57,$C$58,$D$59,$C$60),"")</f>
        <v>978441.56832747522</v>
      </c>
      <c r="AR89" s="255">
        <f ca="1">IF(NOW(),_xll.mirSwapPV($C$51,$C$52,$C$54,$AA64,$C$55,$AC64,$C$64,$C$65,$C$66,$C$67,$C$68,$C$69,$C$70,$C$74,$C$75,$D$63+AR$76,$D$64,$D$65,$D$66,$D$67,$D$68,$D$69,$D$70,$D$71,$D$72,$D$73,$D$74,$D$75,$C$56,$C$57,$C$58,$D$59,$C$60),"")</f>
        <v>1223051.9604093446</v>
      </c>
    </row>
    <row r="90" spans="6:44">
      <c r="F90" s="230"/>
      <c r="G90" s="227"/>
      <c r="H90" s="229"/>
      <c r="I90" s="229"/>
      <c r="J90" s="229"/>
      <c r="K90" s="230"/>
      <c r="L90" s="230"/>
      <c r="M90" s="224" t="s">
        <v>16</v>
      </c>
      <c r="N90" s="255">
        <f ca="1">IF(NOW(),_xll.mirSwapPV($C$51,$C$52,$C$54,$G65,$C$55,$I65,$C$64,$C$65,$C$66,$C$67,$C$68,$C$69,$C$70,$C$74,$C$75,$D$63+N$76,$D$64,$D$65,$D$66,$D$67,$D$68,$D$69,$D$70,$D$71,$D$72,$D$73,$D$74,$D$75,$C$56,$C$57,$C$58,$C$59,$C$60),"")</f>
        <v>-1366543.0648706765</v>
      </c>
      <c r="O90" s="255">
        <f ca="1">IF(NOW(),_xll.mirSwapPV($C$51,$C$52,$C$54,$G65,$C$55,$I65,$C$64,$C$65,$C$66,$C$67,$C$68,$C$69,$C$70,$C$74,$C$75,$D$63+O$76,$D$64,$D$65,$D$66,$D$67,$D$68,$D$69,$D$70,$D$71,$D$72,$D$73,$D$74,$D$75,$C$56,$C$57,$C$58,$C$59,$C$60),"")</f>
        <v>-1093234.4518965422</v>
      </c>
      <c r="P90" s="255">
        <f ca="1">IF(NOW(),_xll.mirSwapPV($C$51,$C$52,$C$54,$G65,$C$55,$I65,$C$64,$C$65,$C$66,$C$67,$C$68,$C$69,$C$70,$C$74,$C$75,$D$63+P$76,$D$64,$D$65,$D$66,$D$67,$D$68,$D$69,$D$70,$D$71,$D$72,$D$73,$D$74,$D$75,$C$56,$C$57,$C$58,$C$59,$C$60),"")</f>
        <v>-819925.83892240631</v>
      </c>
      <c r="Q90" s="255">
        <f ca="1">IF(NOW(),_xll.mirSwapPV($C$51,$C$52,$C$54,$G65,$C$55,$I65,$C$64,$C$65,$C$66,$C$67,$C$68,$C$69,$C$70,$C$74,$C$75,$D$63+Q$76,$D$64,$D$65,$D$66,$D$67,$D$68,$D$69,$D$70,$D$71,$D$72,$D$73,$D$74,$D$75,$C$56,$C$57,$C$58,$C$59,$C$60),"")</f>
        <v>-546617.22594827123</v>
      </c>
      <c r="R90" s="255">
        <f ca="1">IF(NOW(),_xll.mirSwapPV($C$51,$C$52,$C$54,$G65,$C$55,$I65,$C$64,$C$65,$C$66,$C$67,$C$68,$C$69,$C$70,$C$74,$C$75,$D$63+R$76,$D$64,$D$65,$D$66,$D$67,$D$68,$D$69,$D$70,$D$71,$D$72,$D$73,$D$74,$D$75,$C$56,$C$57,$C$58,$C$59,$C$60),"")</f>
        <v>-273308.61297413567</v>
      </c>
      <c r="S90" s="255">
        <f ca="1">IF(NOW(),_xll.mirSwapPV($C$51,$C$52,$C$54,$G65,$C$55,$I65,$C$64,$C$65,$C$66,$C$67,$C$68,$C$69,$C$70,$C$74,$C$75,$D$63+S$76,$D$64,$D$65,$D$66,$D$67,$D$68,$D$69,$D$70,$D$71,$D$72,$D$73,$D$74,$D$75,$C$56,$C$57,$C$58,$C$59,$C$60),"")</f>
        <v>-5.5511151231257827E-11</v>
      </c>
      <c r="T90" s="255">
        <f ca="1">IF(NOW(),_xll.mirSwapPV($C$51,$C$52,$C$54,$G65,$C$55,$I65,$C$64,$C$65,$C$66,$C$67,$C$68,$C$69,$C$70,$C$74,$C$75,$D$63+T$76,$D$64,$D$65,$D$66,$D$67,$D$68,$D$69,$D$70,$D$71,$D$72,$D$73,$D$74,$D$75,$C$56,$C$57,$C$58,$C$59,$C$60),"")</f>
        <v>273308.6129741355</v>
      </c>
      <c r="U90" s="255">
        <f ca="1">IF(NOW(),_xll.mirSwapPV($C$51,$C$52,$C$54,$G65,$C$55,$I65,$C$64,$C$65,$C$66,$C$67,$C$68,$C$69,$C$70,$C$74,$C$75,$D$63+U$76,$D$64,$D$65,$D$66,$D$67,$D$68,$D$69,$D$70,$D$71,$D$72,$D$73,$D$74,$D$75,$C$56,$C$57,$C$58,$C$59,$C$60),"")</f>
        <v>546617.22594827099</v>
      </c>
      <c r="V90" s="255">
        <f ca="1">IF(NOW(),_xll.mirSwapPV($C$51,$C$52,$C$54,$G65,$C$55,$I65,$C$64,$C$65,$C$66,$C$67,$C$68,$C$69,$C$70,$C$74,$C$75,$D$63+V$76,$D$64,$D$65,$D$66,$D$67,$D$68,$D$69,$D$70,$D$71,$D$72,$D$73,$D$74,$D$75,$C$56,$C$57,$C$58,$C$59,$C$60),"")</f>
        <v>819925.83892240643</v>
      </c>
      <c r="W90" s="255">
        <f ca="1">IF(NOW(),_xll.mirSwapPV($C$51,$C$52,$C$54,$G65,$C$55,$I65,$C$64,$C$65,$C$66,$C$67,$C$68,$C$69,$C$70,$C$74,$C$75,$D$63+W$76,$D$64,$D$65,$D$66,$D$67,$D$68,$D$69,$D$70,$D$71,$D$72,$D$73,$D$74,$D$75,$C$56,$C$57,$C$58,$C$59,$C$60),"")</f>
        <v>1093234.4518965418</v>
      </c>
      <c r="X90" s="255">
        <f ca="1">IF(NOW(),_xll.mirSwapPV($C$51,$C$52,$C$54,$G65,$C$55,$I65,$C$64,$C$65,$C$66,$C$67,$C$68,$C$69,$C$70,$C$74,$C$75,$D$63+X$76,$D$64,$D$65,$D$66,$D$67,$D$68,$D$69,$D$70,$D$71,$D$72,$D$73,$D$74,$D$75,$C$56,$C$57,$C$58,$C$59,$C$60),"")</f>
        <v>1366543.0648706774</v>
      </c>
      <c r="Y90" s="229"/>
      <c r="AG90" s="224" t="s">
        <v>16</v>
      </c>
      <c r="AH90" s="255">
        <f ca="1">IF(NOW(),_xll.mirSwapPV($C$51,$C$52,$C$54,$AA65,$C$55,$AC65,$C$64,$C$65,$C$66,$C$67,$C$68,$C$69,$C$70,$C$74,$C$75,$D$63+AH$76,$D$64,$D$65,$D$66,$D$67,$D$68,$D$69,$D$70,$D$71,$D$72,$D$73,$D$74,$D$75,$C$56,$C$57,$C$58,$D$59,$C$60),"")</f>
        <v>-1366543.064870677</v>
      </c>
      <c r="AI90" s="255">
        <f ca="1">IF(NOW(),_xll.mirSwapPV($C$51,$C$52,$C$54,$AA65,$C$55,$AC65,$C$64,$C$65,$C$66,$C$67,$C$68,$C$69,$C$70,$C$74,$C$75,$D$63+AI$76,$D$64,$D$65,$D$66,$D$67,$D$68,$D$69,$D$70,$D$71,$D$72,$D$73,$D$74,$D$75,$C$56,$C$57,$C$58,$D$59,$C$60),"")</f>
        <v>-1093234.4518965415</v>
      </c>
      <c r="AJ90" s="255">
        <f ca="1">IF(NOW(),_xll.mirSwapPV($C$51,$C$52,$C$54,$AA65,$C$55,$AC65,$C$64,$C$65,$C$66,$C$67,$C$68,$C$69,$C$70,$C$74,$C$75,$D$63+AJ$76,$D$64,$D$65,$D$66,$D$67,$D$68,$D$69,$D$70,$D$71,$D$72,$D$73,$D$74,$D$75,$C$56,$C$57,$C$58,$D$59,$C$60),"")</f>
        <v>-819925.8389224062</v>
      </c>
      <c r="AK90" s="255">
        <f ca="1">IF(NOW(),_xll.mirSwapPV($C$51,$C$52,$C$54,$AA65,$C$55,$AC65,$C$64,$C$65,$C$66,$C$67,$C$68,$C$69,$C$70,$C$74,$C$75,$D$63+AK$76,$D$64,$D$65,$D$66,$D$67,$D$68,$D$69,$D$70,$D$71,$D$72,$D$73,$D$74,$D$75,$C$56,$C$57,$C$58,$D$59,$C$60),"")</f>
        <v>-546617.22594827111</v>
      </c>
      <c r="AL90" s="255">
        <f ca="1">IF(NOW(),_xll.mirSwapPV($C$51,$C$52,$C$54,$AA65,$C$55,$AC65,$C$64,$C$65,$C$66,$C$67,$C$68,$C$69,$C$70,$C$74,$C$75,$D$63+AL$76,$D$64,$D$65,$D$66,$D$67,$D$68,$D$69,$D$70,$D$71,$D$72,$D$73,$D$74,$D$75,$C$56,$C$57,$C$58,$D$59,$C$60),"")</f>
        <v>-273308.61297413526</v>
      </c>
      <c r="AM90" s="255">
        <f ca="1">IF(NOW(),_xll.mirSwapPV($C$51,$C$52,$C$54,$AA65,$C$55,$AC65,$C$64,$C$65,$C$66,$C$67,$C$68,$C$69,$C$70,$C$74,$C$75,$D$63+AM$76,$D$64,$D$65,$D$66,$D$67,$D$68,$D$69,$D$70,$D$71,$D$72,$D$73,$D$74,$D$75,$C$56,$C$57,$C$58,$D$59,$C$60),"")</f>
        <v>0</v>
      </c>
      <c r="AN90" s="255">
        <f ca="1">IF(NOW(),_xll.mirSwapPV($C$51,$C$52,$C$54,$AA65,$C$55,$AC65,$C$64,$C$65,$C$66,$C$67,$C$68,$C$69,$C$70,$C$74,$C$75,$D$63+AN$76,$D$64,$D$65,$D$66,$D$67,$D$68,$D$69,$D$70,$D$71,$D$72,$D$73,$D$74,$D$75,$C$56,$C$57,$C$58,$D$59,$C$60),"")</f>
        <v>273308.61297413561</v>
      </c>
      <c r="AO90" s="255">
        <f ca="1">IF(NOW(),_xll.mirSwapPV($C$51,$C$52,$C$54,$AA65,$C$55,$AC65,$C$64,$C$65,$C$66,$C$67,$C$68,$C$69,$C$70,$C$74,$C$75,$D$63+AO$76,$D$64,$D$65,$D$66,$D$67,$D$68,$D$69,$D$70,$D$71,$D$72,$D$73,$D$74,$D$75,$C$56,$C$57,$C$58,$D$59,$C$60),"")</f>
        <v>546617.22594827111</v>
      </c>
      <c r="AP90" s="255">
        <f ca="1">IF(NOW(),_xll.mirSwapPV($C$51,$C$52,$C$54,$AA65,$C$55,$AC65,$C$64,$C$65,$C$66,$C$67,$C$68,$C$69,$C$70,$C$74,$C$75,$D$63+AP$76,$D$64,$D$65,$D$66,$D$67,$D$68,$D$69,$D$70,$D$71,$D$72,$D$73,$D$74,$D$75,$C$56,$C$57,$C$58,$D$59,$C$60),"")</f>
        <v>819925.83892240666</v>
      </c>
      <c r="AQ90" s="255">
        <f ca="1">IF(NOW(),_xll.mirSwapPV($C$51,$C$52,$C$54,$AA65,$C$55,$AC65,$C$64,$C$65,$C$66,$C$67,$C$68,$C$69,$C$70,$C$74,$C$75,$D$63+AQ$76,$D$64,$D$65,$D$66,$D$67,$D$68,$D$69,$D$70,$D$71,$D$72,$D$73,$D$74,$D$75,$C$56,$C$57,$C$58,$D$59,$C$60),"")</f>
        <v>1093234.4518965418</v>
      </c>
      <c r="AR90" s="255">
        <f ca="1">IF(NOW(),_xll.mirSwapPV($C$51,$C$52,$C$54,$AA65,$C$55,$AC65,$C$64,$C$65,$C$66,$C$67,$C$68,$C$69,$C$70,$C$74,$C$75,$D$63+AR$76,$D$64,$D$65,$D$66,$D$67,$D$68,$D$69,$D$70,$D$71,$D$72,$D$73,$D$74,$D$75,$C$56,$C$57,$C$58,$D$59,$C$60),"")</f>
        <v>1366543.0648706779</v>
      </c>
    </row>
    <row r="91" spans="6:44">
      <c r="F91" s="230"/>
      <c r="G91" s="227"/>
      <c r="H91" s="229"/>
      <c r="I91" s="229"/>
      <c r="J91" s="229"/>
      <c r="K91" s="230"/>
      <c r="L91" s="230"/>
      <c r="M91" s="224" t="s">
        <v>15</v>
      </c>
      <c r="N91" s="255">
        <f ca="1">IF(NOW(),_xll.mirSwapPV($C$51,$C$52,$C$54,$G66,$C$55,$I66,$C$64,$C$65,$C$66,$C$67,$C$68,$C$69,$C$70,$C$74,$C$75,$D$63+N$76,$D$64,$D$65,$D$66,$D$67,$D$68,$D$69,$D$70,$D$71,$D$72,$D$73,$D$74,$D$75,$C$56,$C$57,$C$58,$C$59,$C$60),"")</f>
        <v>-1499145.7303461705</v>
      </c>
      <c r="O91" s="255">
        <f ca="1">IF(NOW(),_xll.mirSwapPV($C$51,$C$52,$C$54,$G66,$C$55,$I66,$C$64,$C$65,$C$66,$C$67,$C$68,$C$69,$C$70,$C$74,$C$75,$D$63+O$76,$D$64,$D$65,$D$66,$D$67,$D$68,$D$69,$D$70,$D$71,$D$72,$D$73,$D$74,$D$75,$C$56,$C$57,$C$58,$C$59,$C$60),"")</f>
        <v>-1199316.5842769372</v>
      </c>
      <c r="P91" s="255">
        <f ca="1">IF(NOW(),_xll.mirSwapPV($C$51,$C$52,$C$54,$G66,$C$55,$I66,$C$64,$C$65,$C$66,$C$67,$C$68,$C$69,$C$70,$C$74,$C$75,$D$63+P$76,$D$64,$D$65,$D$66,$D$67,$D$68,$D$69,$D$70,$D$71,$D$72,$D$73,$D$74,$D$75,$C$56,$C$57,$C$58,$C$59,$C$60),"")</f>
        <v>-899487.43820770283</v>
      </c>
      <c r="Q91" s="255">
        <f ca="1">IF(NOW(),_xll.mirSwapPV($C$51,$C$52,$C$54,$G66,$C$55,$I66,$C$64,$C$65,$C$66,$C$67,$C$68,$C$69,$C$70,$C$74,$C$75,$D$63+Q$76,$D$64,$D$65,$D$66,$D$67,$D$68,$D$69,$D$70,$D$71,$D$72,$D$73,$D$74,$D$75,$C$56,$C$57,$C$58,$C$59,$C$60),"")</f>
        <v>-599658.29213846894</v>
      </c>
      <c r="R91" s="255">
        <f ca="1">IF(NOW(),_xll.mirSwapPV($C$51,$C$52,$C$54,$G66,$C$55,$I66,$C$64,$C$65,$C$66,$C$67,$C$68,$C$69,$C$70,$C$74,$C$75,$D$63+R$76,$D$64,$D$65,$D$66,$D$67,$D$68,$D$69,$D$70,$D$71,$D$72,$D$73,$D$74,$D$75,$C$56,$C$57,$C$58,$C$59,$C$60),"")</f>
        <v>-299829.14606923447</v>
      </c>
      <c r="S91" s="255">
        <f ca="1">IF(NOW(),_xll.mirSwapPV($C$51,$C$52,$C$54,$G66,$C$55,$I66,$C$64,$C$65,$C$66,$C$67,$C$68,$C$69,$C$70,$C$74,$C$75,$D$63+S$76,$D$64,$D$65,$D$66,$D$67,$D$68,$D$69,$D$70,$D$71,$D$72,$D$73,$D$74,$D$75,$C$56,$C$57,$C$58,$C$59,$C$60),"")</f>
        <v>0</v>
      </c>
      <c r="T91" s="255">
        <f ca="1">IF(NOW(),_xll.mirSwapPV($C$51,$C$52,$C$54,$G66,$C$55,$I66,$C$64,$C$65,$C$66,$C$67,$C$68,$C$69,$C$70,$C$74,$C$75,$D$63+T$76,$D$64,$D$65,$D$66,$D$67,$D$68,$D$69,$D$70,$D$71,$D$72,$D$73,$D$74,$D$75,$C$56,$C$57,$C$58,$C$59,$C$60),"")</f>
        <v>299829.1460692343</v>
      </c>
      <c r="U91" s="255">
        <f ca="1">IF(NOW(),_xll.mirSwapPV($C$51,$C$52,$C$54,$G66,$C$55,$I66,$C$64,$C$65,$C$66,$C$67,$C$68,$C$69,$C$70,$C$74,$C$75,$D$63+U$76,$D$64,$D$65,$D$66,$D$67,$D$68,$D$69,$D$70,$D$71,$D$72,$D$73,$D$74,$D$75,$C$56,$C$57,$C$58,$C$59,$C$60),"")</f>
        <v>599658.29213846847</v>
      </c>
      <c r="V91" s="255">
        <f ca="1">IF(NOW(),_xll.mirSwapPV($C$51,$C$52,$C$54,$G66,$C$55,$I66,$C$64,$C$65,$C$66,$C$67,$C$68,$C$69,$C$70,$C$74,$C$75,$D$63+V$76,$D$64,$D$65,$D$66,$D$67,$D$68,$D$69,$D$70,$D$71,$D$72,$D$73,$D$74,$D$75,$C$56,$C$57,$C$58,$C$59,$C$60),"")</f>
        <v>899487.43820770271</v>
      </c>
      <c r="W91" s="255">
        <f ca="1">IF(NOW(),_xll.mirSwapPV($C$51,$C$52,$C$54,$G66,$C$55,$I66,$C$64,$C$65,$C$66,$C$67,$C$68,$C$69,$C$70,$C$74,$C$75,$D$63+W$76,$D$64,$D$65,$D$66,$D$67,$D$68,$D$69,$D$70,$D$71,$D$72,$D$73,$D$74,$D$75,$C$56,$C$57,$C$58,$C$59,$C$60),"")</f>
        <v>1199316.5842769367</v>
      </c>
      <c r="X91" s="255">
        <f ca="1">IF(NOW(),_xll.mirSwapPV($C$51,$C$52,$C$54,$G66,$C$55,$I66,$C$64,$C$65,$C$66,$C$67,$C$68,$C$69,$C$70,$C$74,$C$75,$D$63+X$76,$D$64,$D$65,$D$66,$D$67,$D$68,$D$69,$D$70,$D$71,$D$72,$D$73,$D$74,$D$75,$C$56,$C$57,$C$58,$C$59,$C$60),"")</f>
        <v>1499145.7303461712</v>
      </c>
      <c r="Y91" s="229"/>
      <c r="AG91" s="224" t="s">
        <v>15</v>
      </c>
      <c r="AH91" s="255">
        <f ca="1">IF(NOW(),_xll.mirSwapPV($C$51,$C$52,$C$54,$AA66,$C$55,$AC66,$C$64,$C$65,$C$66,$C$67,$C$68,$C$69,$C$70,$C$74,$C$75,$D$63+AH$76,$D$64,$D$65,$D$66,$D$67,$D$68,$D$69,$D$70,$D$71,$D$72,$D$73,$D$74,$D$75,$C$56,$C$57,$C$58,$D$59,$C$60),"")</f>
        <v>-1499145.7303461705</v>
      </c>
      <c r="AI91" s="255">
        <f ca="1">IF(NOW(),_xll.mirSwapPV($C$51,$C$52,$C$54,$AA66,$C$55,$AC66,$C$64,$C$65,$C$66,$C$67,$C$68,$C$69,$C$70,$C$74,$C$75,$D$63+AI$76,$D$64,$D$65,$D$66,$D$67,$D$68,$D$69,$D$70,$D$71,$D$72,$D$73,$D$74,$D$75,$C$56,$C$57,$C$58,$D$59,$C$60),"")</f>
        <v>-1199316.5842769365</v>
      </c>
      <c r="AJ91" s="255">
        <f ca="1">IF(NOW(),_xll.mirSwapPV($C$51,$C$52,$C$54,$AA66,$C$55,$AC66,$C$64,$C$65,$C$66,$C$67,$C$68,$C$69,$C$70,$C$74,$C$75,$D$63+AJ$76,$D$64,$D$65,$D$66,$D$67,$D$68,$D$69,$D$70,$D$71,$D$72,$D$73,$D$74,$D$75,$C$56,$C$57,$C$58,$D$59,$C$60),"")</f>
        <v>-899487.43820770248</v>
      </c>
      <c r="AK91" s="255">
        <f ca="1">IF(NOW(),_xll.mirSwapPV($C$51,$C$52,$C$54,$AA66,$C$55,$AC66,$C$64,$C$65,$C$66,$C$67,$C$68,$C$69,$C$70,$C$74,$C$75,$D$63+AK$76,$D$64,$D$65,$D$66,$D$67,$D$68,$D$69,$D$70,$D$71,$D$72,$D$73,$D$74,$D$75,$C$56,$C$57,$C$58,$D$59,$C$60),"")</f>
        <v>-599658.29213846859</v>
      </c>
      <c r="AL91" s="255">
        <f ca="1">IF(NOW(),_xll.mirSwapPV($C$51,$C$52,$C$54,$AA66,$C$55,$AC66,$C$64,$C$65,$C$66,$C$67,$C$68,$C$69,$C$70,$C$74,$C$75,$D$63+AL$76,$D$64,$D$65,$D$66,$D$67,$D$68,$D$69,$D$70,$D$71,$D$72,$D$73,$D$74,$D$75,$C$56,$C$57,$C$58,$D$59,$C$60),"")</f>
        <v>-299829.14606923383</v>
      </c>
      <c r="AM91" s="255">
        <f ca="1">IF(NOW(),_xll.mirSwapPV($C$51,$C$52,$C$54,$AA66,$C$55,$AC66,$C$64,$C$65,$C$66,$C$67,$C$68,$C$69,$C$70,$C$74,$C$75,$D$63+AM$76,$D$64,$D$65,$D$66,$D$67,$D$68,$D$69,$D$70,$D$71,$D$72,$D$73,$D$74,$D$75,$C$56,$C$57,$C$58,$D$59,$C$60),"")</f>
        <v>0</v>
      </c>
      <c r="AN91" s="255">
        <f ca="1">IF(NOW(),_xll.mirSwapPV($C$51,$C$52,$C$54,$AA66,$C$55,$AC66,$C$64,$C$65,$C$66,$C$67,$C$68,$C$69,$C$70,$C$74,$C$75,$D$63+AN$76,$D$64,$D$65,$D$66,$D$67,$D$68,$D$69,$D$70,$D$71,$D$72,$D$73,$D$74,$D$75,$C$56,$C$57,$C$58,$D$59,$C$60),"")</f>
        <v>299829.14606923453</v>
      </c>
      <c r="AO91" s="255">
        <f ca="1">IF(NOW(),_xll.mirSwapPV($C$51,$C$52,$C$54,$AA66,$C$55,$AC66,$C$64,$C$65,$C$66,$C$67,$C$68,$C$69,$C$70,$C$74,$C$75,$D$63+AO$76,$D$64,$D$65,$D$66,$D$67,$D$68,$D$69,$D$70,$D$71,$D$72,$D$73,$D$74,$D$75,$C$56,$C$57,$C$58,$D$59,$C$60),"")</f>
        <v>599658.29213846894</v>
      </c>
      <c r="AP91" s="255">
        <f ca="1">IF(NOW(),_xll.mirSwapPV($C$51,$C$52,$C$54,$AA66,$C$55,$AC66,$C$64,$C$65,$C$66,$C$67,$C$68,$C$69,$C$70,$C$74,$C$75,$D$63+AP$76,$D$64,$D$65,$D$66,$D$67,$D$68,$D$69,$D$70,$D$71,$D$72,$D$73,$D$74,$D$75,$C$56,$C$57,$C$58,$D$59,$C$60),"")</f>
        <v>899487.43820770318</v>
      </c>
      <c r="AQ91" s="255">
        <f ca="1">IF(NOW(),_xll.mirSwapPV($C$51,$C$52,$C$54,$AA66,$C$55,$AC66,$C$64,$C$65,$C$66,$C$67,$C$68,$C$69,$C$70,$C$74,$C$75,$D$63+AQ$76,$D$64,$D$65,$D$66,$D$67,$D$68,$D$69,$D$70,$D$71,$D$72,$D$73,$D$74,$D$75,$C$56,$C$57,$C$58,$D$59,$C$60),"")</f>
        <v>1199316.5842769372</v>
      </c>
      <c r="AR91" s="255">
        <f ca="1">IF(NOW(),_xll.mirSwapPV($C$51,$C$52,$C$54,$AA66,$C$55,$AC66,$C$64,$C$65,$C$66,$C$67,$C$68,$C$69,$C$70,$C$74,$C$75,$D$63+AR$76,$D$64,$D$65,$D$66,$D$67,$D$68,$D$69,$D$70,$D$71,$D$72,$D$73,$D$74,$D$75,$C$56,$C$57,$C$58,$D$59,$C$60),"")</f>
        <v>1499145.7303461719</v>
      </c>
    </row>
    <row r="92" spans="6:44">
      <c r="F92" s="230"/>
      <c r="G92" s="227"/>
      <c r="H92" s="229"/>
      <c r="I92" s="229"/>
      <c r="J92" s="229"/>
      <c r="K92" s="230"/>
      <c r="L92" s="230"/>
      <c r="M92" s="224"/>
      <c r="N92" s="255"/>
      <c r="O92" s="255"/>
      <c r="P92" s="255"/>
      <c r="Q92" s="255"/>
      <c r="R92" s="255"/>
      <c r="S92" s="255"/>
      <c r="T92" s="255"/>
      <c r="U92" s="255"/>
      <c r="V92" s="255"/>
      <c r="W92" s="255"/>
      <c r="X92" s="255"/>
      <c r="Y92" s="229"/>
      <c r="AG92" s="224"/>
      <c r="AH92" s="255" t="str">
        <f ca="1">IF(NOW(),_xll.mirSwapPV($C$51,$C$52,$C$54,$AA67,$C$55,$AC67,$C$64,$C$65,$C$66,$C$67,$C$68,$C$69,$C$70,$C$74,$C$75,$D$63+AH$76,$D$64,$D$65,$D$66,$D$67,$D$68,$D$69,$D$70,$D$71,$D$72,$D$73,$D$74,$D$75,$C$56,$C$57,$C$58,$D$59,$C$60),"")</f>
        <v>[2015/08/07 15:52] term must have string of ON, TN, Y, M, D or W.</v>
      </c>
      <c r="AI92" s="255" t="str">
        <f ca="1">IF(NOW(),_xll.mirSwapPV($C$51,$C$52,$C$54,$AA67,$C$55,$AC67,$C$64,$C$65,$C$66,$C$67,$C$68,$C$69,$C$70,$C$74,$C$75,$D$63+AI$76,$D$64,$D$65,$D$66,$D$67,$D$68,$D$69,$D$70,$D$71,$D$72,$D$73,$D$74,$D$75,$C$56,$C$57,$C$58,$D$59,$C$60),"")</f>
        <v>[2015/08/07 15:52] term must have string of ON, TN, Y, M, D or W.</v>
      </c>
      <c r="AJ92" s="255" t="str">
        <f ca="1">IF(NOW(),_xll.mirSwapPV($C$51,$C$52,$C$54,$AA67,$C$55,$AC67,$C$64,$C$65,$C$66,$C$67,$C$68,$C$69,$C$70,$C$74,$C$75,$D$63+AJ$76,$D$64,$D$65,$D$66,$D$67,$D$68,$D$69,$D$70,$D$71,$D$72,$D$73,$D$74,$D$75,$C$56,$C$57,$C$58,$D$59,$C$60),"")</f>
        <v>[2015/08/07 15:52] term must have string of ON, TN, Y, M, D or W.</v>
      </c>
      <c r="AK92" s="255" t="str">
        <f ca="1">IF(NOW(),_xll.mirSwapPV($C$51,$C$52,$C$54,$AA67,$C$55,$AC67,$C$64,$C$65,$C$66,$C$67,$C$68,$C$69,$C$70,$C$74,$C$75,$D$63+AK$76,$D$64,$D$65,$D$66,$D$67,$D$68,$D$69,$D$70,$D$71,$D$72,$D$73,$D$74,$D$75,$C$56,$C$57,$C$58,$D$59,$C$60),"")</f>
        <v>[2015/08/07 15:52] term must have string of ON, TN, Y, M, D or W.</v>
      </c>
      <c r="AL92" s="255" t="str">
        <f ca="1">IF(NOW(),_xll.mirSwapPV($C$51,$C$52,$C$54,$AA67,$C$55,$AC67,$C$64,$C$65,$C$66,$C$67,$C$68,$C$69,$C$70,$C$74,$C$75,$D$63+AL$76,$D$64,$D$65,$D$66,$D$67,$D$68,$D$69,$D$70,$D$71,$D$72,$D$73,$D$74,$D$75,$C$56,$C$57,$C$58,$D$59,$C$60),"")</f>
        <v>[2015/08/07 15:52] term must have string of ON, TN, Y, M, D or W.</v>
      </c>
      <c r="AM92" s="255" t="str">
        <f ca="1">IF(NOW(),_xll.mirSwapPV($C$51,$C$52,$C$54,$AA67,$C$55,$AC67,$C$64,$C$65,$C$66,$C$67,$C$68,$C$69,$C$70,$C$74,$C$75,$D$63+AM$76,$D$64,$D$65,$D$66,$D$67,$D$68,$D$69,$D$70,$D$71,$D$72,$D$73,$D$74,$D$75,$C$56,$C$57,$C$58,$D$59,$C$60),"")</f>
        <v>[2015/08/07 15:52] term must have string of ON, TN, Y, M, D or W.</v>
      </c>
      <c r="AN92" s="255" t="str">
        <f ca="1">IF(NOW(),_xll.mirSwapPV($C$51,$C$52,$C$54,$AA67,$C$55,$AC67,$C$64,$C$65,$C$66,$C$67,$C$68,$C$69,$C$70,$C$74,$C$75,$D$63+AN$76,$D$64,$D$65,$D$66,$D$67,$D$68,$D$69,$D$70,$D$71,$D$72,$D$73,$D$74,$D$75,$C$56,$C$57,$C$58,$D$59,$C$60),"")</f>
        <v>[2015/08/07 15:52] term must have string of ON, TN, Y, M, D or W.</v>
      </c>
      <c r="AO92" s="255" t="str">
        <f ca="1">IF(NOW(),_xll.mirSwapPV($C$51,$C$52,$C$54,$AA67,$C$55,$AC67,$C$64,$C$65,$C$66,$C$67,$C$68,$C$69,$C$70,$C$74,$C$75,$D$63+AO$76,$D$64,$D$65,$D$66,$D$67,$D$68,$D$69,$D$70,$D$71,$D$72,$D$73,$D$74,$D$75,$C$56,$C$57,$C$58,$D$59,$C$60),"")</f>
        <v>[2015/08/07 15:52] term must have string of ON, TN, Y, M, D or W.</v>
      </c>
      <c r="AP92" s="255" t="str">
        <f ca="1">IF(NOW(),_xll.mirSwapPV($C$51,$C$52,$C$54,$AA67,$C$55,$AC67,$C$64,$C$65,$C$66,$C$67,$C$68,$C$69,$C$70,$C$74,$C$75,$D$63+AP$76,$D$64,$D$65,$D$66,$D$67,$D$68,$D$69,$D$70,$D$71,$D$72,$D$73,$D$74,$D$75,$C$56,$C$57,$C$58,$D$59,$C$60),"")</f>
        <v>[2015/08/07 15:52] term must have string of ON, TN, Y, M, D or W.</v>
      </c>
      <c r="AQ92" s="255" t="str">
        <f ca="1">IF(NOW(),_xll.mirSwapPV($C$51,$C$52,$C$54,$AA67,$C$55,$AC67,$C$64,$C$65,$C$66,$C$67,$C$68,$C$69,$C$70,$C$74,$C$75,$D$63+AQ$76,$D$64,$D$65,$D$66,$D$67,$D$68,$D$69,$D$70,$D$71,$D$72,$D$73,$D$74,$D$75,$C$56,$C$57,$C$58,$D$59,$C$60),"")</f>
        <v>[2015/08/07 15:52] term must have string of ON, TN, Y, M, D or W.</v>
      </c>
      <c r="AR92" s="255" t="str">
        <f ca="1">IF(NOW(),_xll.mirSwapPV($C$51,$C$52,$C$54,$AA67,$C$55,$AC67,$C$64,$C$65,$C$66,$C$67,$C$68,$C$69,$C$70,$C$74,$C$75,$D$63+AR$76,$D$64,$D$65,$D$66,$D$67,$D$68,$D$69,$D$70,$D$71,$D$72,$D$73,$D$74,$D$75,$C$56,$C$57,$C$58,$D$59,$C$60),"")</f>
        <v>[2015/08/07 15:52] term must have string of ON, TN, Y, M, D or W.</v>
      </c>
    </row>
    <row r="93" spans="6:44">
      <c r="F93" s="230"/>
      <c r="G93" s="227"/>
      <c r="H93" s="229"/>
      <c r="I93" s="229"/>
      <c r="J93" s="229"/>
      <c r="K93" s="230"/>
      <c r="L93" s="230"/>
      <c r="M93" s="224"/>
      <c r="N93" s="255"/>
      <c r="O93" s="255"/>
      <c r="P93" s="255"/>
      <c r="Q93" s="255"/>
      <c r="R93" s="255"/>
      <c r="S93" s="255"/>
      <c r="T93" s="255"/>
      <c r="U93" s="255"/>
      <c r="V93" s="255"/>
      <c r="W93" s="255"/>
      <c r="X93" s="255"/>
      <c r="Y93" s="229"/>
      <c r="AG93" s="224"/>
      <c r="AH93" s="255" t="str">
        <f ca="1">IF(NOW(),_xll.mirSwapPV($C$51,$C$52,$C$54,$AA68,$C$55,$AC68,$C$64,$C$65,$C$66,$C$67,$C$68,$C$69,$C$70,$C$74,$C$75,$D$63+AH$76,$D$64,$D$65,$D$66,$D$67,$D$68,$D$69,$D$70,$D$71,$D$72,$D$73,$D$74,$D$75,$C$56,$C$57,$C$58,$D$59,$C$60),"")</f>
        <v>[2015/08/07 15:52] term must have string of ON, TN, Y, M, D or W.</v>
      </c>
      <c r="AI93" s="255" t="str">
        <f ca="1">IF(NOW(),_xll.mirSwapPV($C$51,$C$52,$C$54,$AA68,$C$55,$AC68,$C$64,$C$65,$C$66,$C$67,$C$68,$C$69,$C$70,$C$74,$C$75,$D$63+AI$76,$D$64,$D$65,$D$66,$D$67,$D$68,$D$69,$D$70,$D$71,$D$72,$D$73,$D$74,$D$75,$C$56,$C$57,$C$58,$D$59,$C$60),"")</f>
        <v>[2015/08/07 15:52] term must have string of ON, TN, Y, M, D or W.</v>
      </c>
      <c r="AJ93" s="255" t="str">
        <f ca="1">IF(NOW(),_xll.mirSwapPV($C$51,$C$52,$C$54,$AA68,$C$55,$AC68,$C$64,$C$65,$C$66,$C$67,$C$68,$C$69,$C$70,$C$74,$C$75,$D$63+AJ$76,$D$64,$D$65,$D$66,$D$67,$D$68,$D$69,$D$70,$D$71,$D$72,$D$73,$D$74,$D$75,$C$56,$C$57,$C$58,$D$59,$C$60),"")</f>
        <v>[2015/08/07 15:52] term must have string of ON, TN, Y, M, D or W.</v>
      </c>
      <c r="AK93" s="255" t="str">
        <f ca="1">IF(NOW(),_xll.mirSwapPV($C$51,$C$52,$C$54,$AA68,$C$55,$AC68,$C$64,$C$65,$C$66,$C$67,$C$68,$C$69,$C$70,$C$74,$C$75,$D$63+AK$76,$D$64,$D$65,$D$66,$D$67,$D$68,$D$69,$D$70,$D$71,$D$72,$D$73,$D$74,$D$75,$C$56,$C$57,$C$58,$D$59,$C$60),"")</f>
        <v>[2015/08/07 15:52] term must have string of ON, TN, Y, M, D or W.</v>
      </c>
      <c r="AL93" s="255" t="str">
        <f ca="1">IF(NOW(),_xll.mirSwapPV($C$51,$C$52,$C$54,$AA68,$C$55,$AC68,$C$64,$C$65,$C$66,$C$67,$C$68,$C$69,$C$70,$C$74,$C$75,$D$63+AL$76,$D$64,$D$65,$D$66,$D$67,$D$68,$D$69,$D$70,$D$71,$D$72,$D$73,$D$74,$D$75,$C$56,$C$57,$C$58,$D$59,$C$60),"")</f>
        <v>[2015/08/07 15:52] term must have string of ON, TN, Y, M, D or W.</v>
      </c>
      <c r="AM93" s="255" t="str">
        <f ca="1">IF(NOW(),_xll.mirSwapPV($C$51,$C$52,$C$54,$AA68,$C$55,$AC68,$C$64,$C$65,$C$66,$C$67,$C$68,$C$69,$C$70,$C$74,$C$75,$D$63+AM$76,$D$64,$D$65,$D$66,$D$67,$D$68,$D$69,$D$70,$D$71,$D$72,$D$73,$D$74,$D$75,$C$56,$C$57,$C$58,$D$59,$C$60),"")</f>
        <v>[2015/08/07 15:52] term must have string of ON, TN, Y, M, D or W.</v>
      </c>
      <c r="AN93" s="255" t="str">
        <f ca="1">IF(NOW(),_xll.mirSwapPV($C$51,$C$52,$C$54,$AA68,$C$55,$AC68,$C$64,$C$65,$C$66,$C$67,$C$68,$C$69,$C$70,$C$74,$C$75,$D$63+AN$76,$D$64,$D$65,$D$66,$D$67,$D$68,$D$69,$D$70,$D$71,$D$72,$D$73,$D$74,$D$75,$C$56,$C$57,$C$58,$D$59,$C$60),"")</f>
        <v>[2015/08/07 15:52] term must have string of ON, TN, Y, M, D or W.</v>
      </c>
      <c r="AO93" s="255" t="str">
        <f ca="1">IF(NOW(),_xll.mirSwapPV($C$51,$C$52,$C$54,$AA68,$C$55,$AC68,$C$64,$C$65,$C$66,$C$67,$C$68,$C$69,$C$70,$C$74,$C$75,$D$63+AO$76,$D$64,$D$65,$D$66,$D$67,$D$68,$D$69,$D$70,$D$71,$D$72,$D$73,$D$74,$D$75,$C$56,$C$57,$C$58,$D$59,$C$60),"")</f>
        <v>[2015/08/07 15:52] term must have string of ON, TN, Y, M, D or W.</v>
      </c>
      <c r="AP93" s="255" t="str">
        <f ca="1">IF(NOW(),_xll.mirSwapPV($C$51,$C$52,$C$54,$AA68,$C$55,$AC68,$C$64,$C$65,$C$66,$C$67,$C$68,$C$69,$C$70,$C$74,$C$75,$D$63+AP$76,$D$64,$D$65,$D$66,$D$67,$D$68,$D$69,$D$70,$D$71,$D$72,$D$73,$D$74,$D$75,$C$56,$C$57,$C$58,$D$59,$C$60),"")</f>
        <v>[2015/08/07 15:52] term must have string of ON, TN, Y, M, D or W.</v>
      </c>
      <c r="AQ93" s="255" t="str">
        <f ca="1">IF(NOW(),_xll.mirSwapPV($C$51,$C$52,$C$54,$AA68,$C$55,$AC68,$C$64,$C$65,$C$66,$C$67,$C$68,$C$69,$C$70,$C$74,$C$75,$D$63+AQ$76,$D$64,$D$65,$D$66,$D$67,$D$68,$D$69,$D$70,$D$71,$D$72,$D$73,$D$74,$D$75,$C$56,$C$57,$C$58,$D$59,$C$60),"")</f>
        <v>[2015/08/07 15:52] term must have string of ON, TN, Y, M, D or W.</v>
      </c>
      <c r="AR93" s="255" t="str">
        <f ca="1">IF(NOW(),_xll.mirSwapPV($C$51,$C$52,$C$54,$AA68,$C$55,$AC68,$C$64,$C$65,$C$66,$C$67,$C$68,$C$69,$C$70,$C$74,$C$75,$D$63+AR$76,$D$64,$D$65,$D$66,$D$67,$D$68,$D$69,$D$70,$D$71,$D$72,$D$73,$D$74,$D$75,$C$56,$C$57,$C$58,$D$59,$C$60),"")</f>
        <v>[2015/08/07 15:52] term must have string of ON, TN, Y, M, D or W.</v>
      </c>
    </row>
    <row r="94" spans="6:44">
      <c r="F94" s="230"/>
      <c r="G94" s="227"/>
      <c r="H94" s="229"/>
      <c r="I94" s="229"/>
      <c r="J94" s="229"/>
      <c r="K94" s="230"/>
      <c r="L94" s="230"/>
      <c r="M94" s="224"/>
      <c r="N94" s="255"/>
      <c r="O94" s="255"/>
      <c r="P94" s="255"/>
      <c r="Q94" s="255"/>
      <c r="R94" s="255"/>
      <c r="S94" s="255"/>
      <c r="T94" s="255"/>
      <c r="U94" s="255"/>
      <c r="V94" s="255"/>
      <c r="W94" s="255"/>
      <c r="X94" s="255"/>
      <c r="Y94" s="229"/>
      <c r="AG94" s="224"/>
      <c r="AH94" s="255" t="str">
        <f ca="1">IF(NOW(),_xll.mirSwapPV($C$51,$C$52,$C$54,$AA69,$C$55,$AC69,$C$64,$C$65,$C$66,$C$67,$C$68,$C$69,$C$70,$C$74,$C$75,$D$63+AH$76,$D$64,$D$65,$D$66,$D$67,$D$68,$D$69,$D$70,$D$71,$D$72,$D$73,$D$74,$D$75,$C$56,$C$57,$C$58,$D$59,$C$60),"")</f>
        <v>[2015/08/07 15:52] term must have string of ON, TN, Y, M, D or W.</v>
      </c>
      <c r="AI94" s="255" t="str">
        <f ca="1">IF(NOW(),_xll.mirSwapPV($C$51,$C$52,$C$54,$AA69,$C$55,$AC69,$C$64,$C$65,$C$66,$C$67,$C$68,$C$69,$C$70,$C$74,$C$75,$D$63+AI$76,$D$64,$D$65,$D$66,$D$67,$D$68,$D$69,$D$70,$D$71,$D$72,$D$73,$D$74,$D$75,$C$56,$C$57,$C$58,$D$59,$C$60),"")</f>
        <v>[2015/08/07 15:52] term must have string of ON, TN, Y, M, D or W.</v>
      </c>
      <c r="AJ94" s="255" t="str">
        <f ca="1">IF(NOW(),_xll.mirSwapPV($C$51,$C$52,$C$54,$AA69,$C$55,$AC69,$C$64,$C$65,$C$66,$C$67,$C$68,$C$69,$C$70,$C$74,$C$75,$D$63+AJ$76,$D$64,$D$65,$D$66,$D$67,$D$68,$D$69,$D$70,$D$71,$D$72,$D$73,$D$74,$D$75,$C$56,$C$57,$C$58,$D$59,$C$60),"")</f>
        <v>[2015/08/07 15:52] term must have string of ON, TN, Y, M, D or W.</v>
      </c>
      <c r="AK94" s="255" t="str">
        <f ca="1">IF(NOW(),_xll.mirSwapPV($C$51,$C$52,$C$54,$AA69,$C$55,$AC69,$C$64,$C$65,$C$66,$C$67,$C$68,$C$69,$C$70,$C$74,$C$75,$D$63+AK$76,$D$64,$D$65,$D$66,$D$67,$D$68,$D$69,$D$70,$D$71,$D$72,$D$73,$D$74,$D$75,$C$56,$C$57,$C$58,$D$59,$C$60),"")</f>
        <v>[2015/08/07 15:52] term must have string of ON, TN, Y, M, D or W.</v>
      </c>
      <c r="AL94" s="255" t="str">
        <f ca="1">IF(NOW(),_xll.mirSwapPV($C$51,$C$52,$C$54,$AA69,$C$55,$AC69,$C$64,$C$65,$C$66,$C$67,$C$68,$C$69,$C$70,$C$74,$C$75,$D$63+AL$76,$D$64,$D$65,$D$66,$D$67,$D$68,$D$69,$D$70,$D$71,$D$72,$D$73,$D$74,$D$75,$C$56,$C$57,$C$58,$D$59,$C$60),"")</f>
        <v>[2015/08/07 15:52] term must have string of ON, TN, Y, M, D or W.</v>
      </c>
      <c r="AM94" s="255" t="str">
        <f ca="1">IF(NOW(),_xll.mirSwapPV($C$51,$C$52,$C$54,$AA69,$C$55,$AC69,$C$64,$C$65,$C$66,$C$67,$C$68,$C$69,$C$70,$C$74,$C$75,$D$63+AM$76,$D$64,$D$65,$D$66,$D$67,$D$68,$D$69,$D$70,$D$71,$D$72,$D$73,$D$74,$D$75,$C$56,$C$57,$C$58,$D$59,$C$60),"")</f>
        <v>[2015/08/07 15:52] term must have string of ON, TN, Y, M, D or W.</v>
      </c>
      <c r="AN94" s="255" t="str">
        <f ca="1">IF(NOW(),_xll.mirSwapPV($C$51,$C$52,$C$54,$AA69,$C$55,$AC69,$C$64,$C$65,$C$66,$C$67,$C$68,$C$69,$C$70,$C$74,$C$75,$D$63+AN$76,$D$64,$D$65,$D$66,$D$67,$D$68,$D$69,$D$70,$D$71,$D$72,$D$73,$D$74,$D$75,$C$56,$C$57,$C$58,$D$59,$C$60),"")</f>
        <v>[2015/08/07 15:52] term must have string of ON, TN, Y, M, D or W.</v>
      </c>
      <c r="AO94" s="255" t="str">
        <f ca="1">IF(NOW(),_xll.mirSwapPV($C$51,$C$52,$C$54,$AA69,$C$55,$AC69,$C$64,$C$65,$C$66,$C$67,$C$68,$C$69,$C$70,$C$74,$C$75,$D$63+AO$76,$D$64,$D$65,$D$66,$D$67,$D$68,$D$69,$D$70,$D$71,$D$72,$D$73,$D$74,$D$75,$C$56,$C$57,$C$58,$D$59,$C$60),"")</f>
        <v>[2015/08/07 15:52] term must have string of ON, TN, Y, M, D or W.</v>
      </c>
      <c r="AP94" s="255" t="str">
        <f ca="1">IF(NOW(),_xll.mirSwapPV($C$51,$C$52,$C$54,$AA69,$C$55,$AC69,$C$64,$C$65,$C$66,$C$67,$C$68,$C$69,$C$70,$C$74,$C$75,$D$63+AP$76,$D$64,$D$65,$D$66,$D$67,$D$68,$D$69,$D$70,$D$71,$D$72,$D$73,$D$74,$D$75,$C$56,$C$57,$C$58,$D$59,$C$60),"")</f>
        <v>[2015/08/07 15:52] term must have string of ON, TN, Y, M, D or W.</v>
      </c>
      <c r="AQ94" s="255" t="str">
        <f ca="1">IF(NOW(),_xll.mirSwapPV($C$51,$C$52,$C$54,$AA69,$C$55,$AC69,$C$64,$C$65,$C$66,$C$67,$C$68,$C$69,$C$70,$C$74,$C$75,$D$63+AQ$76,$D$64,$D$65,$D$66,$D$67,$D$68,$D$69,$D$70,$D$71,$D$72,$D$73,$D$74,$D$75,$C$56,$C$57,$C$58,$D$59,$C$60),"")</f>
        <v>[2015/08/07 15:52] term must have string of ON, TN, Y, M, D or W.</v>
      </c>
      <c r="AR94" s="255" t="str">
        <f ca="1">IF(NOW(),_xll.mirSwapPV($C$51,$C$52,$C$54,$AA69,$C$55,$AC69,$C$64,$C$65,$C$66,$C$67,$C$68,$C$69,$C$70,$C$74,$C$75,$D$63+AR$76,$D$64,$D$65,$D$66,$D$67,$D$68,$D$69,$D$70,$D$71,$D$72,$D$73,$D$74,$D$75,$C$56,$C$57,$C$58,$D$59,$C$60),"")</f>
        <v>[2015/08/07 15:52] term must have string of ON, TN, Y, M, D or W.</v>
      </c>
    </row>
    <row r="95" spans="6:44">
      <c r="F95" s="230"/>
      <c r="G95" s="227"/>
      <c r="H95" s="229"/>
      <c r="I95" s="229"/>
      <c r="J95" s="229"/>
      <c r="K95" s="230"/>
      <c r="L95" s="230"/>
      <c r="M95" s="224"/>
      <c r="N95" s="255"/>
      <c r="O95" s="255"/>
      <c r="P95" s="255"/>
      <c r="Q95" s="255"/>
      <c r="R95" s="255"/>
      <c r="S95" s="255"/>
      <c r="T95" s="255"/>
      <c r="U95" s="255"/>
      <c r="V95" s="255"/>
      <c r="W95" s="255"/>
      <c r="X95" s="255"/>
      <c r="Y95" s="229"/>
      <c r="AG95" s="224"/>
      <c r="AH95" s="255" t="str">
        <f ca="1">IF(NOW(),_xll.mirSwapPV($C$51,$C$52,$C$54,$AA70,$C$55,$AC70,$C$64,$C$65,$C$66,$C$67,$C$68,$C$69,$C$70,$C$74,$C$75,$D$63+AH$76,$D$64,$D$65,$D$66,$D$67,$D$68,$D$69,$D$70,$D$71,$D$72,$D$73,$D$74,$D$75,$C$56,$C$57,$C$58,$D$59,$C$60),"")</f>
        <v>[2015/08/07 15:52] term must have string of ON, TN, Y, M, D or W.</v>
      </c>
      <c r="AI95" s="255" t="str">
        <f ca="1">IF(NOW(),_xll.mirSwapPV($C$51,$C$52,$C$54,$AA70,$C$55,$AC70,$C$64,$C$65,$C$66,$C$67,$C$68,$C$69,$C$70,$C$74,$C$75,$D$63+AI$76,$D$64,$D$65,$D$66,$D$67,$D$68,$D$69,$D$70,$D$71,$D$72,$D$73,$D$74,$D$75,$C$56,$C$57,$C$58,$D$59,$C$60),"")</f>
        <v>[2015/08/07 15:52] term must have string of ON, TN, Y, M, D or W.</v>
      </c>
      <c r="AJ95" s="255" t="str">
        <f ca="1">IF(NOW(),_xll.mirSwapPV($C$51,$C$52,$C$54,$AA70,$C$55,$AC70,$C$64,$C$65,$C$66,$C$67,$C$68,$C$69,$C$70,$C$74,$C$75,$D$63+AJ$76,$D$64,$D$65,$D$66,$D$67,$D$68,$D$69,$D$70,$D$71,$D$72,$D$73,$D$74,$D$75,$C$56,$C$57,$C$58,$D$59,$C$60),"")</f>
        <v>[2015/08/07 15:52] term must have string of ON, TN, Y, M, D or W.</v>
      </c>
      <c r="AK95" s="255" t="str">
        <f ca="1">IF(NOW(),_xll.mirSwapPV($C$51,$C$52,$C$54,$AA70,$C$55,$AC70,$C$64,$C$65,$C$66,$C$67,$C$68,$C$69,$C$70,$C$74,$C$75,$D$63+AK$76,$D$64,$D$65,$D$66,$D$67,$D$68,$D$69,$D$70,$D$71,$D$72,$D$73,$D$74,$D$75,$C$56,$C$57,$C$58,$D$59,$C$60),"")</f>
        <v>[2015/08/07 15:52] term must have string of ON, TN, Y, M, D or W.</v>
      </c>
      <c r="AL95" s="255" t="str">
        <f ca="1">IF(NOW(),_xll.mirSwapPV($C$51,$C$52,$C$54,$AA70,$C$55,$AC70,$C$64,$C$65,$C$66,$C$67,$C$68,$C$69,$C$70,$C$74,$C$75,$D$63+AL$76,$D$64,$D$65,$D$66,$D$67,$D$68,$D$69,$D$70,$D$71,$D$72,$D$73,$D$74,$D$75,$C$56,$C$57,$C$58,$D$59,$C$60),"")</f>
        <v>[2015/08/07 15:52] term must have string of ON, TN, Y, M, D or W.</v>
      </c>
      <c r="AM95" s="255" t="str">
        <f ca="1">IF(NOW(),_xll.mirSwapPV($C$51,$C$52,$C$54,$AA70,$C$55,$AC70,$C$64,$C$65,$C$66,$C$67,$C$68,$C$69,$C$70,$C$74,$C$75,$D$63+AM$76,$D$64,$D$65,$D$66,$D$67,$D$68,$D$69,$D$70,$D$71,$D$72,$D$73,$D$74,$D$75,$C$56,$C$57,$C$58,$D$59,$C$60),"")</f>
        <v>[2015/08/07 15:52] term must have string of ON, TN, Y, M, D or W.</v>
      </c>
      <c r="AN95" s="255" t="str">
        <f ca="1">IF(NOW(),_xll.mirSwapPV($C$51,$C$52,$C$54,$AA70,$C$55,$AC70,$C$64,$C$65,$C$66,$C$67,$C$68,$C$69,$C$70,$C$74,$C$75,$D$63+AN$76,$D$64,$D$65,$D$66,$D$67,$D$68,$D$69,$D$70,$D$71,$D$72,$D$73,$D$74,$D$75,$C$56,$C$57,$C$58,$D$59,$C$60),"")</f>
        <v>[2015/08/07 15:52] term must have string of ON, TN, Y, M, D or W.</v>
      </c>
      <c r="AO95" s="255" t="str">
        <f ca="1">IF(NOW(),_xll.mirSwapPV($C$51,$C$52,$C$54,$AA70,$C$55,$AC70,$C$64,$C$65,$C$66,$C$67,$C$68,$C$69,$C$70,$C$74,$C$75,$D$63+AO$76,$D$64,$D$65,$D$66,$D$67,$D$68,$D$69,$D$70,$D$71,$D$72,$D$73,$D$74,$D$75,$C$56,$C$57,$C$58,$D$59,$C$60),"")</f>
        <v>[2015/08/07 15:52] term must have string of ON, TN, Y, M, D or W.</v>
      </c>
      <c r="AP95" s="255" t="str">
        <f ca="1">IF(NOW(),_xll.mirSwapPV($C$51,$C$52,$C$54,$AA70,$C$55,$AC70,$C$64,$C$65,$C$66,$C$67,$C$68,$C$69,$C$70,$C$74,$C$75,$D$63+AP$76,$D$64,$D$65,$D$66,$D$67,$D$68,$D$69,$D$70,$D$71,$D$72,$D$73,$D$74,$D$75,$C$56,$C$57,$C$58,$D$59,$C$60),"")</f>
        <v>[2015/08/07 15:52] term must have string of ON, TN, Y, M, D or W.</v>
      </c>
      <c r="AQ95" s="255" t="str">
        <f ca="1">IF(NOW(),_xll.mirSwapPV($C$51,$C$52,$C$54,$AA70,$C$55,$AC70,$C$64,$C$65,$C$66,$C$67,$C$68,$C$69,$C$70,$C$74,$C$75,$D$63+AQ$76,$D$64,$D$65,$D$66,$D$67,$D$68,$D$69,$D$70,$D$71,$D$72,$D$73,$D$74,$D$75,$C$56,$C$57,$C$58,$D$59,$C$60),"")</f>
        <v>[2015/08/07 15:52] term must have string of ON, TN, Y, M, D or W.</v>
      </c>
      <c r="AR95" s="255" t="str">
        <f ca="1">IF(NOW(),_xll.mirSwapPV($C$51,$C$52,$C$54,$AA70,$C$55,$AC70,$C$64,$C$65,$C$66,$C$67,$C$68,$C$69,$C$70,$C$74,$C$75,$D$63+AR$76,$D$64,$D$65,$D$66,$D$67,$D$68,$D$69,$D$70,$D$71,$D$72,$D$73,$D$74,$D$75,$C$56,$C$57,$C$58,$D$59,$C$60),"")</f>
        <v>[2015/08/07 15:52] term must have string of ON, TN, Y, M, D or W.</v>
      </c>
    </row>
  </sheetData>
  <dataValidations count="3">
    <dataValidation type="list" allowBlank="1" showInputMessage="1" showErrorMessage="1" sqref="C18:D18 C66:D66">
      <formula1>"MOD_FOLLOWING,FOLLOWING,MOD_PRECEDING,PRECEDING,NO_CHANGE"</formula1>
    </dataValidation>
    <dataValidation type="list" allowBlank="1" showInputMessage="1" showErrorMessage="1" sqref="C27:D27 C75:D75">
      <formula1>"None,ShortStart,ShortEnd,LongStart,LongEnd,SS,SE,LS,LE"</formula1>
    </dataValidation>
    <dataValidation type="list" allowBlank="1" showInputMessage="1" showErrorMessage="1" sqref="C4 C52">
      <formula1>"PAYER,RECEIVER"</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B2:AM217"/>
  <sheetViews>
    <sheetView showGridLines="0" zoomScaleNormal="100" workbookViewId="0"/>
  </sheetViews>
  <sheetFormatPr defaultRowHeight="15"/>
  <cols>
    <col min="2" max="32" width="10.7109375" customWidth="1"/>
  </cols>
  <sheetData>
    <row r="2" spans="2:39">
      <c r="B2" t="s">
        <v>526</v>
      </c>
    </row>
    <row r="4" spans="2:39">
      <c r="B4" t="s">
        <v>527</v>
      </c>
      <c r="E4" t="s">
        <v>472</v>
      </c>
    </row>
    <row r="5" spans="2:39">
      <c r="B5" t="s">
        <v>528</v>
      </c>
      <c r="E5" s="252">
        <f ca="1">SUM(AC10:AM28)</f>
        <v>0</v>
      </c>
    </row>
    <row r="6" spans="2:39">
      <c r="B6" t="s">
        <v>529</v>
      </c>
    </row>
    <row r="8" spans="2:39">
      <c r="B8" t="s">
        <v>510</v>
      </c>
      <c r="O8" t="s">
        <v>470</v>
      </c>
      <c r="AB8" t="s">
        <v>511</v>
      </c>
    </row>
    <row r="9" spans="2:39">
      <c r="B9" s="254" t="str">
        <f>'EUR Swap PVs'!M3</f>
        <v>Term</v>
      </c>
      <c r="C9" s="276">
        <f>'EUR Swap PVs'!N3</f>
        <v>-0.05</v>
      </c>
      <c r="D9" s="276">
        <f>'EUR Swap PVs'!O3</f>
        <v>-0.04</v>
      </c>
      <c r="E9" s="276">
        <f>'EUR Swap PVs'!P3</f>
        <v>-0.03</v>
      </c>
      <c r="F9" s="276">
        <f>'EUR Swap PVs'!Q3</f>
        <v>-1.9999999999999997E-2</v>
      </c>
      <c r="G9" s="276">
        <f>'EUR Swap PVs'!R3</f>
        <v>-9.9999999999999967E-3</v>
      </c>
      <c r="H9" s="276">
        <f>'EUR Swap PVs'!S3</f>
        <v>0</v>
      </c>
      <c r="I9" s="276">
        <f>'EUR Swap PVs'!T3</f>
        <v>0.01</v>
      </c>
      <c r="J9" s="276">
        <f>'EUR Swap PVs'!U3</f>
        <v>0.02</v>
      </c>
      <c r="K9" s="276">
        <f>'EUR Swap PVs'!V3</f>
        <v>0.03</v>
      </c>
      <c r="L9" s="276">
        <f>'EUR Swap PVs'!W3</f>
        <v>0.04</v>
      </c>
      <c r="M9" s="277">
        <f>'EUR Swap PVs'!X3</f>
        <v>0.05</v>
      </c>
      <c r="O9" s="254" t="s">
        <v>76</v>
      </c>
      <c r="P9" s="276">
        <v>-0.05</v>
      </c>
      <c r="Q9" s="276">
        <v>-0.04</v>
      </c>
      <c r="R9" s="276">
        <v>-0.03</v>
      </c>
      <c r="S9" s="276">
        <v>-1.9999999999999997E-2</v>
      </c>
      <c r="T9" s="276">
        <v>-9.9999999999999967E-3</v>
      </c>
      <c r="U9" s="276">
        <v>0</v>
      </c>
      <c r="V9" s="276">
        <v>0.01</v>
      </c>
      <c r="W9" s="276">
        <v>0.02</v>
      </c>
      <c r="X9" s="276">
        <v>0.03</v>
      </c>
      <c r="Y9" s="276">
        <v>0.04</v>
      </c>
      <c r="Z9" s="277">
        <v>0.05</v>
      </c>
      <c r="AB9" s="254" t="str">
        <f>O9</f>
        <v>Term</v>
      </c>
      <c r="AC9" s="276">
        <f>P9</f>
        <v>-0.05</v>
      </c>
      <c r="AD9" s="276">
        <f t="shared" ref="AD9:AM9" si="0">Q9</f>
        <v>-0.04</v>
      </c>
      <c r="AE9" s="276">
        <f t="shared" si="0"/>
        <v>-0.03</v>
      </c>
      <c r="AF9" s="276">
        <f t="shared" si="0"/>
        <v>-1.9999999999999997E-2</v>
      </c>
      <c r="AG9" s="276">
        <f t="shared" si="0"/>
        <v>-9.9999999999999967E-3</v>
      </c>
      <c r="AH9" s="276">
        <f t="shared" si="0"/>
        <v>0</v>
      </c>
      <c r="AI9" s="276">
        <f t="shared" si="0"/>
        <v>0.01</v>
      </c>
      <c r="AJ9" s="276">
        <f t="shared" si="0"/>
        <v>0.02</v>
      </c>
      <c r="AK9" s="276">
        <f t="shared" si="0"/>
        <v>0.03</v>
      </c>
      <c r="AL9" s="276">
        <f t="shared" si="0"/>
        <v>0.04</v>
      </c>
      <c r="AM9" s="277">
        <f t="shared" si="0"/>
        <v>0.05</v>
      </c>
    </row>
    <row r="10" spans="2:39">
      <c r="B10" s="282" t="str">
        <f>'EUR Swap PVs'!M4</f>
        <v>2Y</v>
      </c>
      <c r="C10" s="278">
        <f ca="1">'EUR Swap PVs'!N4</f>
        <v>100441.45996346937</v>
      </c>
      <c r="D10" s="278">
        <f ca="1">'EUR Swap PVs'!O4</f>
        <v>80353.167970775496</v>
      </c>
      <c r="E10" s="278">
        <f ca="1">'EUR Swap PVs'!P4</f>
        <v>60264.875978081611</v>
      </c>
      <c r="F10" s="278">
        <f ca="1">'EUR Swap PVs'!Q4</f>
        <v>40176.583985387741</v>
      </c>
      <c r="G10" s="278">
        <f ca="1">'EUR Swap PVs'!R4</f>
        <v>20088.291992693863</v>
      </c>
      <c r="H10" s="278">
        <f ca="1">'EUR Swap PVs'!S4</f>
        <v>0</v>
      </c>
      <c r="I10" s="278">
        <f ca="1">'EUR Swap PVs'!T4</f>
        <v>-20088.291992693874</v>
      </c>
      <c r="J10" s="278">
        <f ca="1">'EUR Swap PVs'!U4</f>
        <v>-40176.583985387748</v>
      </c>
      <c r="K10" s="278">
        <f ca="1">'EUR Swap PVs'!V4</f>
        <v>-60264.875978081611</v>
      </c>
      <c r="L10" s="278">
        <f ca="1">'EUR Swap PVs'!W4</f>
        <v>-80353.167970775481</v>
      </c>
      <c r="M10" s="279">
        <f ca="1">'EUR Swap PVs'!X4</f>
        <v>-100441.45996346936</v>
      </c>
      <c r="O10" s="282" t="s">
        <v>42</v>
      </c>
      <c r="P10" s="278">
        <v>100441.45996346937</v>
      </c>
      <c r="Q10" s="278">
        <v>80353.167970775496</v>
      </c>
      <c r="R10" s="278">
        <v>60264.875978081611</v>
      </c>
      <c r="S10" s="278">
        <v>40176.583985387741</v>
      </c>
      <c r="T10" s="278">
        <v>20088.291992693863</v>
      </c>
      <c r="U10" s="278">
        <v>0</v>
      </c>
      <c r="V10" s="278">
        <v>-20088.291992693874</v>
      </c>
      <c r="W10" s="278">
        <v>-40176.583985387748</v>
      </c>
      <c r="X10" s="278">
        <v>-60264.875978081611</v>
      </c>
      <c r="Y10" s="278">
        <v>-80353.167970775481</v>
      </c>
      <c r="Z10" s="279">
        <v>-100441.45996346936</v>
      </c>
      <c r="AB10" s="282" t="str">
        <f t="shared" ref="AB10:AB28" si="1">O10</f>
        <v>2Y</v>
      </c>
      <c r="AC10" s="278">
        <f ca="1">IF(ABS(P10-C10)&gt;SnapshotTolerance,1,0)</f>
        <v>0</v>
      </c>
      <c r="AD10" s="278">
        <f ca="1">IF(ABS(Q10-D10)&gt;SnapshotTolerance,1,0)</f>
        <v>0</v>
      </c>
      <c r="AE10" s="278">
        <f ca="1">IF(ABS(R10-E10)&gt;SnapshotTolerance,1,0)</f>
        <v>0</v>
      </c>
      <c r="AF10" s="278">
        <f ca="1">IF(ABS(S10-F10)&gt;SnapshotTolerance,1,0)</f>
        <v>0</v>
      </c>
      <c r="AG10" s="278">
        <f ca="1">IF(ABS(T10-G10)&gt;SnapshotTolerance,1,0)</f>
        <v>0</v>
      </c>
      <c r="AH10" s="278">
        <f ca="1">IF(ABS(U10-H10)&gt;SnapshotTolerance,1,0)</f>
        <v>0</v>
      </c>
      <c r="AI10" s="278">
        <f ca="1">IF(ABS(V10-I10)&gt;SnapshotTolerance,1,0)</f>
        <v>0</v>
      </c>
      <c r="AJ10" s="278">
        <f ca="1">IF(ABS(W10-J10)&gt;SnapshotTolerance,1,0)</f>
        <v>0</v>
      </c>
      <c r="AK10" s="278">
        <f ca="1">IF(ABS(X10-K10)&gt;SnapshotTolerance,1,0)</f>
        <v>0</v>
      </c>
      <c r="AL10" s="278">
        <f ca="1">IF(ABS(Y10-L10)&gt;SnapshotTolerance,1,0)</f>
        <v>0</v>
      </c>
      <c r="AM10" s="279">
        <f ca="1">IF(ABS(Z10-M10)&gt;SnapshotTolerance,1,0)</f>
        <v>0</v>
      </c>
    </row>
    <row r="11" spans="2:39">
      <c r="B11" s="282" t="str">
        <f>'EUR Swap PVs'!M5</f>
        <v>3Y</v>
      </c>
      <c r="C11" s="278">
        <f ca="1">'EUR Swap PVs'!N5</f>
        <v>150300.80743458585</v>
      </c>
      <c r="D11" s="278">
        <f ca="1">'EUR Swap PVs'!O5</f>
        <v>120240.64594766869</v>
      </c>
      <c r="E11" s="278">
        <f ca="1">'EUR Swap PVs'!P5</f>
        <v>90180.484460751526</v>
      </c>
      <c r="F11" s="278">
        <f ca="1">'EUR Swap PVs'!Q5</f>
        <v>60120.322973834343</v>
      </c>
      <c r="G11" s="278">
        <f ca="1">'EUR Swap PVs'!R5</f>
        <v>30060.161486917168</v>
      </c>
      <c r="H11" s="278">
        <f ca="1">'EUR Swap PVs'!S5</f>
        <v>-8.6736173798840355E-13</v>
      </c>
      <c r="I11" s="278">
        <f ca="1">'EUR Swap PVs'!T5</f>
        <v>-30060.161486917175</v>
      </c>
      <c r="J11" s="278">
        <f ca="1">'EUR Swap PVs'!U5</f>
        <v>-60120.322973834351</v>
      </c>
      <c r="K11" s="278">
        <f ca="1">'EUR Swap PVs'!V5</f>
        <v>-90180.484460751526</v>
      </c>
      <c r="L11" s="278">
        <f ca="1">'EUR Swap PVs'!W5</f>
        <v>-120240.64594766872</v>
      </c>
      <c r="M11" s="279">
        <f ca="1">'EUR Swap PVs'!X5</f>
        <v>-150300.80743458591</v>
      </c>
      <c r="O11" s="282" t="s">
        <v>39</v>
      </c>
      <c r="P11" s="278">
        <v>150300.80743458585</v>
      </c>
      <c r="Q11" s="278">
        <v>120240.64594766869</v>
      </c>
      <c r="R11" s="278">
        <v>90180.484460751526</v>
      </c>
      <c r="S11" s="278">
        <v>60120.322973834343</v>
      </c>
      <c r="T11" s="278">
        <v>30060.161486917168</v>
      </c>
      <c r="U11" s="278">
        <v>-8.6736173798840355E-13</v>
      </c>
      <c r="V11" s="278">
        <v>-30060.161486917175</v>
      </c>
      <c r="W11" s="278">
        <v>-60120.322973834351</v>
      </c>
      <c r="X11" s="278">
        <v>-90180.484460751526</v>
      </c>
      <c r="Y11" s="278">
        <v>-120240.64594766872</v>
      </c>
      <c r="Z11" s="279">
        <v>-150300.80743458591</v>
      </c>
      <c r="AB11" s="282" t="str">
        <f t="shared" si="1"/>
        <v>3Y</v>
      </c>
      <c r="AC11" s="278">
        <f ca="1">IF(ABS(P11-C11)&gt;SnapshotTolerance,1,0)</f>
        <v>0</v>
      </c>
      <c r="AD11" s="278">
        <f ca="1">IF(ABS(Q11-D11)&gt;SnapshotTolerance,1,0)</f>
        <v>0</v>
      </c>
      <c r="AE11" s="278">
        <f ca="1">IF(ABS(R11-E11)&gt;SnapshotTolerance,1,0)</f>
        <v>0</v>
      </c>
      <c r="AF11" s="278">
        <f ca="1">IF(ABS(S11-F11)&gt;SnapshotTolerance,1,0)</f>
        <v>0</v>
      </c>
      <c r="AG11" s="278">
        <f ca="1">IF(ABS(T11-G11)&gt;SnapshotTolerance,1,0)</f>
        <v>0</v>
      </c>
      <c r="AH11" s="278">
        <f ca="1">IF(ABS(U11-H11)&gt;SnapshotTolerance,1,0)</f>
        <v>0</v>
      </c>
      <c r="AI11" s="278">
        <f ca="1">IF(ABS(V11-I11)&gt;SnapshotTolerance,1,0)</f>
        <v>0</v>
      </c>
      <c r="AJ11" s="278">
        <f ca="1">IF(ABS(W11-J11)&gt;SnapshotTolerance,1,0)</f>
        <v>0</v>
      </c>
      <c r="AK11" s="278">
        <f ca="1">IF(ABS(X11-K11)&gt;SnapshotTolerance,1,0)</f>
        <v>0</v>
      </c>
      <c r="AL11" s="278">
        <f ca="1">IF(ABS(Y11-L11)&gt;SnapshotTolerance,1,0)</f>
        <v>0</v>
      </c>
      <c r="AM11" s="279">
        <f ca="1">IF(ABS(Z11-M11)&gt;SnapshotTolerance,1,0)</f>
        <v>0</v>
      </c>
    </row>
    <row r="12" spans="2:39">
      <c r="B12" s="282" t="str">
        <f>'EUR Swap PVs'!M6</f>
        <v>4Y</v>
      </c>
      <c r="C12" s="278">
        <f ca="1">'EUR Swap PVs'!N6</f>
        <v>199873.1557084099</v>
      </c>
      <c r="D12" s="278">
        <f ca="1">'EUR Swap PVs'!O6</f>
        <v>159898.52456672789</v>
      </c>
      <c r="E12" s="278">
        <f ca="1">'EUR Swap PVs'!P6</f>
        <v>119923.89342504593</v>
      </c>
      <c r="F12" s="278">
        <f ca="1">'EUR Swap PVs'!Q6</f>
        <v>79949.262283363947</v>
      </c>
      <c r="G12" s="278">
        <f ca="1">'EUR Swap PVs'!R6</f>
        <v>39974.631141681966</v>
      </c>
      <c r="H12" s="278">
        <f ca="1">'EUR Swap PVs'!S6</f>
        <v>0</v>
      </c>
      <c r="I12" s="278">
        <f ca="1">'EUR Swap PVs'!T6</f>
        <v>-39974.631141681981</v>
      </c>
      <c r="J12" s="278">
        <f ca="1">'EUR Swap PVs'!U6</f>
        <v>-79949.262283363947</v>
      </c>
      <c r="K12" s="278">
        <f ca="1">'EUR Swap PVs'!V6</f>
        <v>-119923.89342504591</v>
      </c>
      <c r="L12" s="278">
        <f ca="1">'EUR Swap PVs'!W6</f>
        <v>-159898.52456672792</v>
      </c>
      <c r="M12" s="279">
        <f ca="1">'EUR Swap PVs'!X6</f>
        <v>-199873.15570840987</v>
      </c>
      <c r="O12" s="282" t="s">
        <v>35</v>
      </c>
      <c r="P12" s="278">
        <v>199873.1557084099</v>
      </c>
      <c r="Q12" s="278">
        <v>159898.52456672789</v>
      </c>
      <c r="R12" s="278">
        <v>119923.89342504593</v>
      </c>
      <c r="S12" s="278">
        <v>79949.262283363947</v>
      </c>
      <c r="T12" s="278">
        <v>39974.631141681966</v>
      </c>
      <c r="U12" s="278">
        <v>0</v>
      </c>
      <c r="V12" s="278">
        <v>-39974.631141681981</v>
      </c>
      <c r="W12" s="278">
        <v>-79949.262283363947</v>
      </c>
      <c r="X12" s="278">
        <v>-119923.89342504591</v>
      </c>
      <c r="Y12" s="278">
        <v>-159898.52456672792</v>
      </c>
      <c r="Z12" s="279">
        <v>-199873.15570840987</v>
      </c>
      <c r="AB12" s="282" t="str">
        <f t="shared" si="1"/>
        <v>4Y</v>
      </c>
      <c r="AC12" s="278">
        <f ca="1">IF(ABS(P12-C12)&gt;SnapshotTolerance,1,0)</f>
        <v>0</v>
      </c>
      <c r="AD12" s="278">
        <f ca="1">IF(ABS(Q12-D12)&gt;SnapshotTolerance,1,0)</f>
        <v>0</v>
      </c>
      <c r="AE12" s="278">
        <f ca="1">IF(ABS(R12-E12)&gt;SnapshotTolerance,1,0)</f>
        <v>0</v>
      </c>
      <c r="AF12" s="278">
        <f ca="1">IF(ABS(S12-F12)&gt;SnapshotTolerance,1,0)</f>
        <v>0</v>
      </c>
      <c r="AG12" s="278">
        <f ca="1">IF(ABS(T12-G12)&gt;SnapshotTolerance,1,0)</f>
        <v>0</v>
      </c>
      <c r="AH12" s="278">
        <f ca="1">IF(ABS(U12-H12)&gt;SnapshotTolerance,1,0)</f>
        <v>0</v>
      </c>
      <c r="AI12" s="278">
        <f ca="1">IF(ABS(V12-I12)&gt;SnapshotTolerance,1,0)</f>
        <v>0</v>
      </c>
      <c r="AJ12" s="278">
        <f ca="1">IF(ABS(W12-J12)&gt;SnapshotTolerance,1,0)</f>
        <v>0</v>
      </c>
      <c r="AK12" s="278">
        <f ca="1">IF(ABS(X12-K12)&gt;SnapshotTolerance,1,0)</f>
        <v>0</v>
      </c>
      <c r="AL12" s="278">
        <f ca="1">IF(ABS(Y12-L12)&gt;SnapshotTolerance,1,0)</f>
        <v>0</v>
      </c>
      <c r="AM12" s="279">
        <f ca="1">IF(ABS(Z12-M12)&gt;SnapshotTolerance,1,0)</f>
        <v>0</v>
      </c>
    </row>
    <row r="13" spans="2:39">
      <c r="B13" s="282" t="str">
        <f>'EUR Swap PVs'!M7</f>
        <v>5Y</v>
      </c>
      <c r="C13" s="278">
        <f ca="1">'EUR Swap PVs'!N7</f>
        <v>249096.03223594063</v>
      </c>
      <c r="D13" s="278">
        <f ca="1">'EUR Swap PVs'!O7</f>
        <v>199276.8257887525</v>
      </c>
      <c r="E13" s="278">
        <f ca="1">'EUR Swap PVs'!P7</f>
        <v>149457.61934156436</v>
      </c>
      <c r="F13" s="278">
        <f ca="1">'EUR Swap PVs'!Q7</f>
        <v>99638.412894376233</v>
      </c>
      <c r="G13" s="278">
        <f ca="1">'EUR Swap PVs'!R7</f>
        <v>49819.206447188102</v>
      </c>
      <c r="H13" s="278">
        <f ca="1">'EUR Swap PVs'!S7</f>
        <v>0</v>
      </c>
      <c r="I13" s="278">
        <f ca="1">'EUR Swap PVs'!T7</f>
        <v>-49819.206447188124</v>
      </c>
      <c r="J13" s="278">
        <f ca="1">'EUR Swap PVs'!U7</f>
        <v>-99638.412894376248</v>
      </c>
      <c r="K13" s="278">
        <f ca="1">'EUR Swap PVs'!V7</f>
        <v>-149457.61934156436</v>
      </c>
      <c r="L13" s="278">
        <f ca="1">'EUR Swap PVs'!W7</f>
        <v>-199276.8257887525</v>
      </c>
      <c r="M13" s="279">
        <f ca="1">'EUR Swap PVs'!X7</f>
        <v>-249096.03223594066</v>
      </c>
      <c r="O13" s="282" t="s">
        <v>33</v>
      </c>
      <c r="P13" s="278">
        <v>249096.03223594063</v>
      </c>
      <c r="Q13" s="278">
        <v>199276.8257887525</v>
      </c>
      <c r="R13" s="278">
        <v>149457.61934156436</v>
      </c>
      <c r="S13" s="278">
        <v>99638.412894376233</v>
      </c>
      <c r="T13" s="278">
        <v>49819.206447188102</v>
      </c>
      <c r="U13" s="278">
        <v>0</v>
      </c>
      <c r="V13" s="278">
        <v>-49819.206447188124</v>
      </c>
      <c r="W13" s="278">
        <v>-99638.412894376248</v>
      </c>
      <c r="X13" s="278">
        <v>-149457.61934156436</v>
      </c>
      <c r="Y13" s="278">
        <v>-199276.8257887525</v>
      </c>
      <c r="Z13" s="279">
        <v>-249096.03223594066</v>
      </c>
      <c r="AB13" s="282" t="str">
        <f t="shared" si="1"/>
        <v>5Y</v>
      </c>
      <c r="AC13" s="278">
        <f ca="1">IF(ABS(P13-C13)&gt;SnapshotTolerance,1,0)</f>
        <v>0</v>
      </c>
      <c r="AD13" s="278">
        <f ca="1">IF(ABS(Q13-D13)&gt;SnapshotTolerance,1,0)</f>
        <v>0</v>
      </c>
      <c r="AE13" s="278">
        <f ca="1">IF(ABS(R13-E13)&gt;SnapshotTolerance,1,0)</f>
        <v>0</v>
      </c>
      <c r="AF13" s="278">
        <f ca="1">IF(ABS(S13-F13)&gt;SnapshotTolerance,1,0)</f>
        <v>0</v>
      </c>
      <c r="AG13" s="278">
        <f ca="1">IF(ABS(T13-G13)&gt;SnapshotTolerance,1,0)</f>
        <v>0</v>
      </c>
      <c r="AH13" s="278">
        <f ca="1">IF(ABS(U13-H13)&gt;SnapshotTolerance,1,0)</f>
        <v>0</v>
      </c>
      <c r="AI13" s="278">
        <f ca="1">IF(ABS(V13-I13)&gt;SnapshotTolerance,1,0)</f>
        <v>0</v>
      </c>
      <c r="AJ13" s="278">
        <f ca="1">IF(ABS(W13-J13)&gt;SnapshotTolerance,1,0)</f>
        <v>0</v>
      </c>
      <c r="AK13" s="278">
        <f ca="1">IF(ABS(X13-K13)&gt;SnapshotTolerance,1,0)</f>
        <v>0</v>
      </c>
      <c r="AL13" s="278">
        <f ca="1">IF(ABS(Y13-L13)&gt;SnapshotTolerance,1,0)</f>
        <v>0</v>
      </c>
      <c r="AM13" s="279">
        <f ca="1">IF(ABS(Z13-M13)&gt;SnapshotTolerance,1,0)</f>
        <v>0</v>
      </c>
    </row>
    <row r="14" spans="2:39">
      <c r="B14" s="282" t="str">
        <f>'EUR Swap PVs'!M8</f>
        <v>6Y</v>
      </c>
      <c r="C14" s="278">
        <f ca="1">'EUR Swap PVs'!N8</f>
        <v>297667.53869917651</v>
      </c>
      <c r="D14" s="278">
        <f ca="1">'EUR Swap PVs'!O8</f>
        <v>238134.03095934118</v>
      </c>
      <c r="E14" s="278">
        <f ca="1">'EUR Swap PVs'!P8</f>
        <v>178600.52321950591</v>
      </c>
      <c r="F14" s="278">
        <f ca="1">'EUR Swap PVs'!Q8</f>
        <v>119067.01547967059</v>
      </c>
      <c r="G14" s="278">
        <f ca="1">'EUR Swap PVs'!R8</f>
        <v>59533.507739835273</v>
      </c>
      <c r="H14" s="278">
        <f ca="1">'EUR Swap PVs'!S8</f>
        <v>0</v>
      </c>
      <c r="I14" s="278">
        <f ca="1">'EUR Swap PVs'!T8</f>
        <v>-59533.507739835302</v>
      </c>
      <c r="J14" s="278">
        <f ca="1">'EUR Swap PVs'!U8</f>
        <v>-119067.0154796706</v>
      </c>
      <c r="K14" s="278">
        <f ca="1">'EUR Swap PVs'!V8</f>
        <v>-178600.52321950594</v>
      </c>
      <c r="L14" s="278">
        <f ca="1">'EUR Swap PVs'!W8</f>
        <v>-238134.03095934121</v>
      </c>
      <c r="M14" s="279">
        <f ca="1">'EUR Swap PVs'!X8</f>
        <v>-297667.53869917657</v>
      </c>
      <c r="O14" s="282" t="s">
        <v>131</v>
      </c>
      <c r="P14" s="278">
        <v>297667.53869917651</v>
      </c>
      <c r="Q14" s="278">
        <v>238134.03095934118</v>
      </c>
      <c r="R14" s="278">
        <v>178600.52321950591</v>
      </c>
      <c r="S14" s="278">
        <v>119067.01547967059</v>
      </c>
      <c r="T14" s="278">
        <v>59533.507739835273</v>
      </c>
      <c r="U14" s="278">
        <v>0</v>
      </c>
      <c r="V14" s="278">
        <v>-59533.507739835302</v>
      </c>
      <c r="W14" s="278">
        <v>-119067.0154796706</v>
      </c>
      <c r="X14" s="278">
        <v>-178600.52321950594</v>
      </c>
      <c r="Y14" s="278">
        <v>-238134.03095934121</v>
      </c>
      <c r="Z14" s="279">
        <v>-297667.53869917657</v>
      </c>
      <c r="AB14" s="282" t="str">
        <f t="shared" si="1"/>
        <v>6Y</v>
      </c>
      <c r="AC14" s="278">
        <f ca="1">IF(ABS(P14-C14)&gt;SnapshotTolerance,1,0)</f>
        <v>0</v>
      </c>
      <c r="AD14" s="278">
        <f ca="1">IF(ABS(Q14-D14)&gt;SnapshotTolerance,1,0)</f>
        <v>0</v>
      </c>
      <c r="AE14" s="278">
        <f ca="1">IF(ABS(R14-E14)&gt;SnapshotTolerance,1,0)</f>
        <v>0</v>
      </c>
      <c r="AF14" s="278">
        <f ca="1">IF(ABS(S14-F14)&gt;SnapshotTolerance,1,0)</f>
        <v>0</v>
      </c>
      <c r="AG14" s="278">
        <f ca="1">IF(ABS(T14-G14)&gt;SnapshotTolerance,1,0)</f>
        <v>0</v>
      </c>
      <c r="AH14" s="278">
        <f ca="1">IF(ABS(U14-H14)&gt;SnapshotTolerance,1,0)</f>
        <v>0</v>
      </c>
      <c r="AI14" s="278">
        <f ca="1">IF(ABS(V14-I14)&gt;SnapshotTolerance,1,0)</f>
        <v>0</v>
      </c>
      <c r="AJ14" s="278">
        <f ca="1">IF(ABS(W14-J14)&gt;SnapshotTolerance,1,0)</f>
        <v>0</v>
      </c>
      <c r="AK14" s="278">
        <f ca="1">IF(ABS(X14-K14)&gt;SnapshotTolerance,1,0)</f>
        <v>0</v>
      </c>
      <c r="AL14" s="278">
        <f ca="1">IF(ABS(Y14-L14)&gt;SnapshotTolerance,1,0)</f>
        <v>0</v>
      </c>
      <c r="AM14" s="279">
        <f ca="1">IF(ABS(Z14-M14)&gt;SnapshotTolerance,1,0)</f>
        <v>0</v>
      </c>
    </row>
    <row r="15" spans="2:39">
      <c r="B15" s="282" t="str">
        <f>'EUR Swap PVs'!M9</f>
        <v>7Y</v>
      </c>
      <c r="C15" s="278">
        <f ca="1">'EUR Swap PVs'!N9</f>
        <v>345445.58092836302</v>
      </c>
      <c r="D15" s="278">
        <f ca="1">'EUR Swap PVs'!O9</f>
        <v>276356.46474269044</v>
      </c>
      <c r="E15" s="278">
        <f ca="1">'EUR Swap PVs'!P9</f>
        <v>207267.34855701777</v>
      </c>
      <c r="F15" s="278">
        <f ca="1">'EUR Swap PVs'!Q9</f>
        <v>138178.23237134519</v>
      </c>
      <c r="G15" s="278">
        <f ca="1">'EUR Swap PVs'!R9</f>
        <v>69089.116185672581</v>
      </c>
      <c r="H15" s="278">
        <f ca="1">'EUR Swap PVs'!S9</f>
        <v>6.9388939039072284E-12</v>
      </c>
      <c r="I15" s="278">
        <f ca="1">'EUR Swap PVs'!T9</f>
        <v>-69089.116185672581</v>
      </c>
      <c r="J15" s="278">
        <f ca="1">'EUR Swap PVs'!U9</f>
        <v>-138178.23237134519</v>
      </c>
      <c r="K15" s="278">
        <f ca="1">'EUR Swap PVs'!V9</f>
        <v>-207267.34855701777</v>
      </c>
      <c r="L15" s="278">
        <f ca="1">'EUR Swap PVs'!W9</f>
        <v>-276356.46474269038</v>
      </c>
      <c r="M15" s="279">
        <f ca="1">'EUR Swap PVs'!X9</f>
        <v>-345445.58092836302</v>
      </c>
      <c r="O15" s="282" t="s">
        <v>31</v>
      </c>
      <c r="P15" s="278">
        <v>345445.58092836302</v>
      </c>
      <c r="Q15" s="278">
        <v>276356.46474269044</v>
      </c>
      <c r="R15" s="278">
        <v>207267.34855701777</v>
      </c>
      <c r="S15" s="278">
        <v>138178.23237134519</v>
      </c>
      <c r="T15" s="278">
        <v>69089.116185672581</v>
      </c>
      <c r="U15" s="278">
        <v>6.9388939039072284E-12</v>
      </c>
      <c r="V15" s="278">
        <v>-69089.116185672581</v>
      </c>
      <c r="W15" s="278">
        <v>-138178.23237134519</v>
      </c>
      <c r="X15" s="278">
        <v>-207267.34855701777</v>
      </c>
      <c r="Y15" s="278">
        <v>-276356.46474269038</v>
      </c>
      <c r="Z15" s="279">
        <v>-345445.58092836302</v>
      </c>
      <c r="AB15" s="282" t="str">
        <f t="shared" si="1"/>
        <v>7Y</v>
      </c>
      <c r="AC15" s="278">
        <f ca="1">IF(ABS(P15-C15)&gt;SnapshotTolerance,1,0)</f>
        <v>0</v>
      </c>
      <c r="AD15" s="278">
        <f ca="1">IF(ABS(Q15-D15)&gt;SnapshotTolerance,1,0)</f>
        <v>0</v>
      </c>
      <c r="AE15" s="278">
        <f ca="1">IF(ABS(R15-E15)&gt;SnapshotTolerance,1,0)</f>
        <v>0</v>
      </c>
      <c r="AF15" s="278">
        <f ca="1">IF(ABS(S15-F15)&gt;SnapshotTolerance,1,0)</f>
        <v>0</v>
      </c>
      <c r="AG15" s="278">
        <f ca="1">IF(ABS(T15-G15)&gt;SnapshotTolerance,1,0)</f>
        <v>0</v>
      </c>
      <c r="AH15" s="278">
        <f ca="1">IF(ABS(U15-H15)&gt;SnapshotTolerance,1,0)</f>
        <v>0</v>
      </c>
      <c r="AI15" s="278">
        <f ca="1">IF(ABS(V15-I15)&gt;SnapshotTolerance,1,0)</f>
        <v>0</v>
      </c>
      <c r="AJ15" s="278">
        <f ca="1">IF(ABS(W15-J15)&gt;SnapshotTolerance,1,0)</f>
        <v>0</v>
      </c>
      <c r="AK15" s="278">
        <f ca="1">IF(ABS(X15-K15)&gt;SnapshotTolerance,1,0)</f>
        <v>0</v>
      </c>
      <c r="AL15" s="278">
        <f ca="1">IF(ABS(Y15-L15)&gt;SnapshotTolerance,1,0)</f>
        <v>0</v>
      </c>
      <c r="AM15" s="279">
        <f ca="1">IF(ABS(Z15-M15)&gt;SnapshotTolerance,1,0)</f>
        <v>0</v>
      </c>
    </row>
    <row r="16" spans="2:39">
      <c r="B16" s="282" t="str">
        <f>'EUR Swap PVs'!M10</f>
        <v>8Y</v>
      </c>
      <c r="C16" s="278">
        <f ca="1">'EUR Swap PVs'!N10</f>
        <v>392585.59739955037</v>
      </c>
      <c r="D16" s="278">
        <f ca="1">'EUR Swap PVs'!O10</f>
        <v>314068.47791964019</v>
      </c>
      <c r="E16" s="278">
        <f ca="1">'EUR Swap PVs'!P10</f>
        <v>235551.35843973019</v>
      </c>
      <c r="F16" s="278">
        <f ca="1">'EUR Swap PVs'!Q10</f>
        <v>157034.2389598201</v>
      </c>
      <c r="G16" s="278">
        <f ca="1">'EUR Swap PVs'!R10</f>
        <v>78517.119479910034</v>
      </c>
      <c r="H16" s="278">
        <f ca="1">'EUR Swap PVs'!S10</f>
        <v>0</v>
      </c>
      <c r="I16" s="278">
        <f ca="1">'EUR Swap PVs'!T10</f>
        <v>-78517.119479910078</v>
      </c>
      <c r="J16" s="278">
        <f ca="1">'EUR Swap PVs'!U10</f>
        <v>-157034.23895982013</v>
      </c>
      <c r="K16" s="278">
        <f ca="1">'EUR Swap PVs'!V10</f>
        <v>-235551.35843973019</v>
      </c>
      <c r="L16" s="278">
        <f ca="1">'EUR Swap PVs'!W10</f>
        <v>-314068.47791964025</v>
      </c>
      <c r="M16" s="279">
        <f ca="1">'EUR Swap PVs'!X10</f>
        <v>-392585.59739955037</v>
      </c>
      <c r="O16" s="282" t="s">
        <v>119</v>
      </c>
      <c r="P16" s="278">
        <v>392585.59739955037</v>
      </c>
      <c r="Q16" s="278">
        <v>314068.47791964019</v>
      </c>
      <c r="R16" s="278">
        <v>235551.35843973019</v>
      </c>
      <c r="S16" s="278">
        <v>157034.2389598201</v>
      </c>
      <c r="T16" s="278">
        <v>78517.119479910034</v>
      </c>
      <c r="U16" s="278">
        <v>0</v>
      </c>
      <c r="V16" s="278">
        <v>-78517.119479910078</v>
      </c>
      <c r="W16" s="278">
        <v>-157034.23895982013</v>
      </c>
      <c r="X16" s="278">
        <v>-235551.35843973019</v>
      </c>
      <c r="Y16" s="278">
        <v>-314068.47791964025</v>
      </c>
      <c r="Z16" s="279">
        <v>-392585.59739955037</v>
      </c>
      <c r="AB16" s="282" t="str">
        <f t="shared" si="1"/>
        <v>8Y</v>
      </c>
      <c r="AC16" s="278">
        <f ca="1">IF(ABS(P16-C16)&gt;SnapshotTolerance,1,0)</f>
        <v>0</v>
      </c>
      <c r="AD16" s="278">
        <f ca="1">IF(ABS(Q16-D16)&gt;SnapshotTolerance,1,0)</f>
        <v>0</v>
      </c>
      <c r="AE16" s="278">
        <f ca="1">IF(ABS(R16-E16)&gt;SnapshotTolerance,1,0)</f>
        <v>0</v>
      </c>
      <c r="AF16" s="278">
        <f ca="1">IF(ABS(S16-F16)&gt;SnapshotTolerance,1,0)</f>
        <v>0</v>
      </c>
      <c r="AG16" s="278">
        <f ca="1">IF(ABS(T16-G16)&gt;SnapshotTolerance,1,0)</f>
        <v>0</v>
      </c>
      <c r="AH16" s="278">
        <f ca="1">IF(ABS(U16-H16)&gt;SnapshotTolerance,1,0)</f>
        <v>0</v>
      </c>
      <c r="AI16" s="278">
        <f ca="1">IF(ABS(V16-I16)&gt;SnapshotTolerance,1,0)</f>
        <v>0</v>
      </c>
      <c r="AJ16" s="278">
        <f ca="1">IF(ABS(W16-J16)&gt;SnapshotTolerance,1,0)</f>
        <v>0</v>
      </c>
      <c r="AK16" s="278">
        <f ca="1">IF(ABS(X16-K16)&gt;SnapshotTolerance,1,0)</f>
        <v>0</v>
      </c>
      <c r="AL16" s="278">
        <f ca="1">IF(ABS(Y16-L16)&gt;SnapshotTolerance,1,0)</f>
        <v>0</v>
      </c>
      <c r="AM16" s="279">
        <f ca="1">IF(ABS(Z16-M16)&gt;SnapshotTolerance,1,0)</f>
        <v>0</v>
      </c>
    </row>
    <row r="17" spans="2:39">
      <c r="B17" s="282" t="str">
        <f>'EUR Swap PVs'!M11</f>
        <v>9Y</v>
      </c>
      <c r="C17" s="278">
        <f ca="1">'EUR Swap PVs'!N11</f>
        <v>438252.52539896447</v>
      </c>
      <c r="D17" s="278">
        <f ca="1">'EUR Swap PVs'!O11</f>
        <v>350602.02031917154</v>
      </c>
      <c r="E17" s="278">
        <f ca="1">'EUR Swap PVs'!P11</f>
        <v>262951.51523937867</v>
      </c>
      <c r="F17" s="278">
        <f ca="1">'EUR Swap PVs'!Q11</f>
        <v>175301.01015958577</v>
      </c>
      <c r="G17" s="278">
        <f ca="1">'EUR Swap PVs'!R11</f>
        <v>87650.505079792856</v>
      </c>
      <c r="H17" s="278">
        <f ca="1">'EUR Swap PVs'!S11</f>
        <v>-1.3877787807814457E-11</v>
      </c>
      <c r="I17" s="278">
        <f ca="1">'EUR Swap PVs'!T11</f>
        <v>-87650.5050797929</v>
      </c>
      <c r="J17" s="278">
        <f ca="1">'EUR Swap PVs'!U11</f>
        <v>-175301.01015958577</v>
      </c>
      <c r="K17" s="278">
        <f ca="1">'EUR Swap PVs'!V11</f>
        <v>-262951.51523937873</v>
      </c>
      <c r="L17" s="278">
        <f ca="1">'EUR Swap PVs'!W11</f>
        <v>-350602.0203191716</v>
      </c>
      <c r="M17" s="279">
        <f ca="1">'EUR Swap PVs'!X11</f>
        <v>-438252.52539896447</v>
      </c>
      <c r="O17" s="282" t="s">
        <v>113</v>
      </c>
      <c r="P17" s="278">
        <v>438252.52539896447</v>
      </c>
      <c r="Q17" s="278">
        <v>350602.02031917154</v>
      </c>
      <c r="R17" s="278">
        <v>262951.51523937867</v>
      </c>
      <c r="S17" s="278">
        <v>175301.01015958577</v>
      </c>
      <c r="T17" s="278">
        <v>87650.505079792856</v>
      </c>
      <c r="U17" s="278">
        <v>-1.3877787807814457E-11</v>
      </c>
      <c r="V17" s="278">
        <v>-87650.5050797929</v>
      </c>
      <c r="W17" s="278">
        <v>-175301.01015958577</v>
      </c>
      <c r="X17" s="278">
        <v>-262951.51523937873</v>
      </c>
      <c r="Y17" s="278">
        <v>-350602.0203191716</v>
      </c>
      <c r="Z17" s="279">
        <v>-438252.52539896447</v>
      </c>
      <c r="AB17" s="282" t="str">
        <f t="shared" si="1"/>
        <v>9Y</v>
      </c>
      <c r="AC17" s="278">
        <f ca="1">IF(ABS(P17-C17)&gt;SnapshotTolerance,1,0)</f>
        <v>0</v>
      </c>
      <c r="AD17" s="278">
        <f ca="1">IF(ABS(Q17-D17)&gt;SnapshotTolerance,1,0)</f>
        <v>0</v>
      </c>
      <c r="AE17" s="278">
        <f ca="1">IF(ABS(R17-E17)&gt;SnapshotTolerance,1,0)</f>
        <v>0</v>
      </c>
      <c r="AF17" s="278">
        <f ca="1">IF(ABS(S17-F17)&gt;SnapshotTolerance,1,0)</f>
        <v>0</v>
      </c>
      <c r="AG17" s="278">
        <f ca="1">IF(ABS(T17-G17)&gt;SnapshotTolerance,1,0)</f>
        <v>0</v>
      </c>
      <c r="AH17" s="278">
        <f ca="1">IF(ABS(U17-H17)&gt;SnapshotTolerance,1,0)</f>
        <v>0</v>
      </c>
      <c r="AI17" s="278">
        <f ca="1">IF(ABS(V17-I17)&gt;SnapshotTolerance,1,0)</f>
        <v>0</v>
      </c>
      <c r="AJ17" s="278">
        <f ca="1">IF(ABS(W17-J17)&gt;SnapshotTolerance,1,0)</f>
        <v>0</v>
      </c>
      <c r="AK17" s="278">
        <f ca="1">IF(ABS(X17-K17)&gt;SnapshotTolerance,1,0)</f>
        <v>0</v>
      </c>
      <c r="AL17" s="278">
        <f ca="1">IF(ABS(Y17-L17)&gt;SnapshotTolerance,1,0)</f>
        <v>0</v>
      </c>
      <c r="AM17" s="279">
        <f ca="1">IF(ABS(Z17-M17)&gt;SnapshotTolerance,1,0)</f>
        <v>0</v>
      </c>
    </row>
    <row r="18" spans="2:39">
      <c r="B18" s="282" t="str">
        <f>'EUR Swap PVs'!M12</f>
        <v>10Y</v>
      </c>
      <c r="C18" s="278">
        <f ca="1">'EUR Swap PVs'!N12</f>
        <v>483168.64497448748</v>
      </c>
      <c r="D18" s="278">
        <f ca="1">'EUR Swap PVs'!O12</f>
        <v>386534.91597958998</v>
      </c>
      <c r="E18" s="278">
        <f ca="1">'EUR Swap PVs'!P12</f>
        <v>289901.18698469247</v>
      </c>
      <c r="F18" s="278">
        <f ca="1">'EUR Swap PVs'!Q12</f>
        <v>193267.45798979493</v>
      </c>
      <c r="G18" s="278">
        <f ca="1">'EUR Swap PVs'!R12</f>
        <v>96633.728994897465</v>
      </c>
      <c r="H18" s="278">
        <f ca="1">'EUR Swap PVs'!S12</f>
        <v>0</v>
      </c>
      <c r="I18" s="278">
        <f ca="1">'EUR Swap PVs'!T12</f>
        <v>-96633.728994897479</v>
      </c>
      <c r="J18" s="278">
        <f ca="1">'EUR Swap PVs'!U12</f>
        <v>-193267.45798979493</v>
      </c>
      <c r="K18" s="278">
        <f ca="1">'EUR Swap PVs'!V12</f>
        <v>-289901.18698469247</v>
      </c>
      <c r="L18" s="278">
        <f ca="1">'EUR Swap PVs'!W12</f>
        <v>-386534.91597958998</v>
      </c>
      <c r="M18" s="279">
        <f ca="1">'EUR Swap PVs'!X12</f>
        <v>-483168.64497448754</v>
      </c>
      <c r="O18" s="282" t="s">
        <v>28</v>
      </c>
      <c r="P18" s="278">
        <v>483168.64497448748</v>
      </c>
      <c r="Q18" s="278">
        <v>386534.91597958998</v>
      </c>
      <c r="R18" s="278">
        <v>289901.18698469247</v>
      </c>
      <c r="S18" s="278">
        <v>193267.45798979493</v>
      </c>
      <c r="T18" s="278">
        <v>96633.728994897465</v>
      </c>
      <c r="U18" s="278">
        <v>0</v>
      </c>
      <c r="V18" s="278">
        <v>-96633.728994897479</v>
      </c>
      <c r="W18" s="278">
        <v>-193267.45798979493</v>
      </c>
      <c r="X18" s="278">
        <v>-289901.18698469247</v>
      </c>
      <c r="Y18" s="278">
        <v>-386534.91597958998</v>
      </c>
      <c r="Z18" s="279">
        <v>-483168.64497448754</v>
      </c>
      <c r="AB18" s="282" t="str">
        <f t="shared" si="1"/>
        <v>10Y</v>
      </c>
      <c r="AC18" s="278">
        <f ca="1">IF(ABS(P18-C18)&gt;SnapshotTolerance,1,0)</f>
        <v>0</v>
      </c>
      <c r="AD18" s="278">
        <f ca="1">IF(ABS(Q18-D18)&gt;SnapshotTolerance,1,0)</f>
        <v>0</v>
      </c>
      <c r="AE18" s="278">
        <f ca="1">IF(ABS(R18-E18)&gt;SnapshotTolerance,1,0)</f>
        <v>0</v>
      </c>
      <c r="AF18" s="278">
        <f ca="1">IF(ABS(S18-F18)&gt;SnapshotTolerance,1,0)</f>
        <v>0</v>
      </c>
      <c r="AG18" s="278">
        <f ca="1">IF(ABS(T18-G18)&gt;SnapshotTolerance,1,0)</f>
        <v>0</v>
      </c>
      <c r="AH18" s="278">
        <f ca="1">IF(ABS(U18-H18)&gt;SnapshotTolerance,1,0)</f>
        <v>0</v>
      </c>
      <c r="AI18" s="278">
        <f ca="1">IF(ABS(V18-I18)&gt;SnapshotTolerance,1,0)</f>
        <v>0</v>
      </c>
      <c r="AJ18" s="278">
        <f ca="1">IF(ABS(W18-J18)&gt;SnapshotTolerance,1,0)</f>
        <v>0</v>
      </c>
      <c r="AK18" s="278">
        <f ca="1">IF(ABS(X18-K18)&gt;SnapshotTolerance,1,0)</f>
        <v>0</v>
      </c>
      <c r="AL18" s="278">
        <f ca="1">IF(ABS(Y18-L18)&gt;SnapshotTolerance,1,0)</f>
        <v>0</v>
      </c>
      <c r="AM18" s="279">
        <f ca="1">IF(ABS(Z18-M18)&gt;SnapshotTolerance,1,0)</f>
        <v>0</v>
      </c>
    </row>
    <row r="19" spans="2:39">
      <c r="B19" s="282" t="str">
        <f>'EUR Swap PVs'!M13</f>
        <v>11Y</v>
      </c>
      <c r="C19" s="278">
        <f ca="1">'EUR Swap PVs'!N13</f>
        <v>527061.76365639444</v>
      </c>
      <c r="D19" s="278">
        <f ca="1">'EUR Swap PVs'!O13</f>
        <v>421649.41092511552</v>
      </c>
      <c r="E19" s="278">
        <f ca="1">'EUR Swap PVs'!P13</f>
        <v>316237.05819383665</v>
      </c>
      <c r="F19" s="278">
        <f ca="1">'EUR Swap PVs'!Q13</f>
        <v>210824.70546255773</v>
      </c>
      <c r="G19" s="278">
        <f ca="1">'EUR Swap PVs'!R13</f>
        <v>105412.35273127886</v>
      </c>
      <c r="H19" s="278">
        <f ca="1">'EUR Swap PVs'!S13</f>
        <v>0</v>
      </c>
      <c r="I19" s="278">
        <f ca="1">'EUR Swap PVs'!T13</f>
        <v>-105412.35273127888</v>
      </c>
      <c r="J19" s="278">
        <f ca="1">'EUR Swap PVs'!U13</f>
        <v>-210824.70546255773</v>
      </c>
      <c r="K19" s="278">
        <f ca="1">'EUR Swap PVs'!V13</f>
        <v>-316237.05819383665</v>
      </c>
      <c r="L19" s="278">
        <f ca="1">'EUR Swap PVs'!W13</f>
        <v>-421649.41092511563</v>
      </c>
      <c r="M19" s="279">
        <f ca="1">'EUR Swap PVs'!X13</f>
        <v>-527061.76365639444</v>
      </c>
      <c r="O19" s="282" t="s">
        <v>366</v>
      </c>
      <c r="P19" s="278">
        <v>527061.76365639444</v>
      </c>
      <c r="Q19" s="278">
        <v>421649.41092511552</v>
      </c>
      <c r="R19" s="278">
        <v>316237.05819383665</v>
      </c>
      <c r="S19" s="278">
        <v>210824.70546255773</v>
      </c>
      <c r="T19" s="278">
        <v>105412.35273127886</v>
      </c>
      <c r="U19" s="278">
        <v>0</v>
      </c>
      <c r="V19" s="278">
        <v>-105412.35273127888</v>
      </c>
      <c r="W19" s="278">
        <v>-210824.70546255773</v>
      </c>
      <c r="X19" s="278">
        <v>-316237.05819383665</v>
      </c>
      <c r="Y19" s="278">
        <v>-421649.41092511563</v>
      </c>
      <c r="Z19" s="279">
        <v>-527061.76365639444</v>
      </c>
      <c r="AB19" s="282" t="str">
        <f t="shared" si="1"/>
        <v>11Y</v>
      </c>
      <c r="AC19" s="278">
        <f ca="1">IF(ABS(P19-C19)&gt;SnapshotTolerance,1,0)</f>
        <v>0</v>
      </c>
      <c r="AD19" s="278">
        <f ca="1">IF(ABS(Q19-D19)&gt;SnapshotTolerance,1,0)</f>
        <v>0</v>
      </c>
      <c r="AE19" s="278">
        <f ca="1">IF(ABS(R19-E19)&gt;SnapshotTolerance,1,0)</f>
        <v>0</v>
      </c>
      <c r="AF19" s="278">
        <f ca="1">IF(ABS(S19-F19)&gt;SnapshotTolerance,1,0)</f>
        <v>0</v>
      </c>
      <c r="AG19" s="278">
        <f ca="1">IF(ABS(T19-G19)&gt;SnapshotTolerance,1,0)</f>
        <v>0</v>
      </c>
      <c r="AH19" s="278">
        <f ca="1">IF(ABS(U19-H19)&gt;SnapshotTolerance,1,0)</f>
        <v>0</v>
      </c>
      <c r="AI19" s="278">
        <f ca="1">IF(ABS(V19-I19)&gt;SnapshotTolerance,1,0)</f>
        <v>0</v>
      </c>
      <c r="AJ19" s="278">
        <f ca="1">IF(ABS(W19-J19)&gt;SnapshotTolerance,1,0)</f>
        <v>0</v>
      </c>
      <c r="AK19" s="278">
        <f ca="1">IF(ABS(X19-K19)&gt;SnapshotTolerance,1,0)</f>
        <v>0</v>
      </c>
      <c r="AL19" s="278">
        <f ca="1">IF(ABS(Y19-L19)&gt;SnapshotTolerance,1,0)</f>
        <v>0</v>
      </c>
      <c r="AM19" s="279">
        <f ca="1">IF(ABS(Z19-M19)&gt;SnapshotTolerance,1,0)</f>
        <v>0</v>
      </c>
    </row>
    <row r="20" spans="2:39">
      <c r="B20" s="282" t="str">
        <f>'EUR Swap PVs'!M14</f>
        <v>12Y</v>
      </c>
      <c r="C20" s="278">
        <f ca="1">'EUR Swap PVs'!N14</f>
        <v>569938.0308485931</v>
      </c>
      <c r="D20" s="278">
        <f ca="1">'EUR Swap PVs'!O14</f>
        <v>455950.42467887449</v>
      </c>
      <c r="E20" s="278">
        <f ca="1">'EUR Swap PVs'!P14</f>
        <v>341962.81850915583</v>
      </c>
      <c r="F20" s="278">
        <f ca="1">'EUR Swap PVs'!Q14</f>
        <v>227975.21233943719</v>
      </c>
      <c r="G20" s="278">
        <f ca="1">'EUR Swap PVs'!R14</f>
        <v>113987.60616971858</v>
      </c>
      <c r="H20" s="278">
        <f ca="1">'EUR Swap PVs'!S14</f>
        <v>0</v>
      </c>
      <c r="I20" s="278">
        <f ca="1">'EUR Swap PVs'!T14</f>
        <v>-113987.60616971865</v>
      </c>
      <c r="J20" s="278">
        <f ca="1">'EUR Swap PVs'!U14</f>
        <v>-227975.2123394373</v>
      </c>
      <c r="K20" s="278">
        <f ca="1">'EUR Swap PVs'!V14</f>
        <v>-341962.81850915577</v>
      </c>
      <c r="L20" s="278">
        <f ca="1">'EUR Swap PVs'!W14</f>
        <v>-455950.42467887449</v>
      </c>
      <c r="M20" s="279">
        <f ca="1">'EUR Swap PVs'!X14</f>
        <v>-569938.0308485931</v>
      </c>
      <c r="O20" s="282" t="s">
        <v>26</v>
      </c>
      <c r="P20" s="278">
        <v>569938.0308485931</v>
      </c>
      <c r="Q20" s="278">
        <v>455950.42467887449</v>
      </c>
      <c r="R20" s="278">
        <v>341962.81850915583</v>
      </c>
      <c r="S20" s="278">
        <v>227975.21233943719</v>
      </c>
      <c r="T20" s="278">
        <v>113987.60616971858</v>
      </c>
      <c r="U20" s="278">
        <v>0</v>
      </c>
      <c r="V20" s="278">
        <v>-113987.60616971865</v>
      </c>
      <c r="W20" s="278">
        <v>-227975.2123394373</v>
      </c>
      <c r="X20" s="278">
        <v>-341962.81850915577</v>
      </c>
      <c r="Y20" s="278">
        <v>-455950.42467887449</v>
      </c>
      <c r="Z20" s="279">
        <v>-569938.0308485931</v>
      </c>
      <c r="AB20" s="282" t="str">
        <f t="shared" si="1"/>
        <v>12Y</v>
      </c>
      <c r="AC20" s="278">
        <f ca="1">IF(ABS(P20-C20)&gt;SnapshotTolerance,1,0)</f>
        <v>0</v>
      </c>
      <c r="AD20" s="278">
        <f ca="1">IF(ABS(Q20-D20)&gt;SnapshotTolerance,1,0)</f>
        <v>0</v>
      </c>
      <c r="AE20" s="278">
        <f ca="1">IF(ABS(R20-E20)&gt;SnapshotTolerance,1,0)</f>
        <v>0</v>
      </c>
      <c r="AF20" s="278">
        <f ca="1">IF(ABS(S20-F20)&gt;SnapshotTolerance,1,0)</f>
        <v>0</v>
      </c>
      <c r="AG20" s="278">
        <f ca="1">IF(ABS(T20-G20)&gt;SnapshotTolerance,1,0)</f>
        <v>0</v>
      </c>
      <c r="AH20" s="278">
        <f ca="1">IF(ABS(U20-H20)&gt;SnapshotTolerance,1,0)</f>
        <v>0</v>
      </c>
      <c r="AI20" s="278">
        <f ca="1">IF(ABS(V20-I20)&gt;SnapshotTolerance,1,0)</f>
        <v>0</v>
      </c>
      <c r="AJ20" s="278">
        <f ca="1">IF(ABS(W20-J20)&gt;SnapshotTolerance,1,0)</f>
        <v>0</v>
      </c>
      <c r="AK20" s="278">
        <f ca="1">IF(ABS(X20-K20)&gt;SnapshotTolerance,1,0)</f>
        <v>0</v>
      </c>
      <c r="AL20" s="278">
        <f ca="1">IF(ABS(Y20-L20)&gt;SnapshotTolerance,1,0)</f>
        <v>0</v>
      </c>
      <c r="AM20" s="279">
        <f ca="1">IF(ABS(Z20-M20)&gt;SnapshotTolerance,1,0)</f>
        <v>0</v>
      </c>
    </row>
    <row r="21" spans="2:39">
      <c r="B21" s="282" t="str">
        <f>'EUR Swap PVs'!M15</f>
        <v>15Y</v>
      </c>
      <c r="C21" s="278">
        <f ca="1">'EUR Swap PVs'!N15</f>
        <v>692615.23399544926</v>
      </c>
      <c r="D21" s="278">
        <f ca="1">'EUR Swap PVs'!O15</f>
        <v>554092.18719635939</v>
      </c>
      <c r="E21" s="278">
        <f ca="1">'EUR Swap PVs'!P15</f>
        <v>415569.14039726957</v>
      </c>
      <c r="F21" s="278">
        <f ca="1">'EUR Swap PVs'!Q15</f>
        <v>277046.09359817969</v>
      </c>
      <c r="G21" s="278">
        <f ca="1">'EUR Swap PVs'!R15</f>
        <v>138523.04679908982</v>
      </c>
      <c r="H21" s="278">
        <f ca="1">'EUR Swap PVs'!S15</f>
        <v>0</v>
      </c>
      <c r="I21" s="278">
        <f ca="1">'EUR Swap PVs'!T15</f>
        <v>-138523.04679908988</v>
      </c>
      <c r="J21" s="278">
        <f ca="1">'EUR Swap PVs'!U15</f>
        <v>-277046.09359817969</v>
      </c>
      <c r="K21" s="278">
        <f ca="1">'EUR Swap PVs'!V15</f>
        <v>-415569.14039726957</v>
      </c>
      <c r="L21" s="278">
        <f ca="1">'EUR Swap PVs'!W15</f>
        <v>-554092.18719635939</v>
      </c>
      <c r="M21" s="279">
        <f ca="1">'EUR Swap PVs'!X15</f>
        <v>-692615.23399544938</v>
      </c>
      <c r="O21" s="282" t="s">
        <v>24</v>
      </c>
      <c r="P21" s="278">
        <v>692615.23399544926</v>
      </c>
      <c r="Q21" s="278">
        <v>554092.18719635939</v>
      </c>
      <c r="R21" s="278">
        <v>415569.14039726957</v>
      </c>
      <c r="S21" s="278">
        <v>277046.09359817969</v>
      </c>
      <c r="T21" s="278">
        <v>138523.04679908982</v>
      </c>
      <c r="U21" s="278">
        <v>0</v>
      </c>
      <c r="V21" s="278">
        <v>-138523.04679908988</v>
      </c>
      <c r="W21" s="278">
        <v>-277046.09359817969</v>
      </c>
      <c r="X21" s="278">
        <v>-415569.14039726957</v>
      </c>
      <c r="Y21" s="278">
        <v>-554092.18719635939</v>
      </c>
      <c r="Z21" s="279">
        <v>-692615.23399544938</v>
      </c>
      <c r="AB21" s="282" t="str">
        <f t="shared" si="1"/>
        <v>15Y</v>
      </c>
      <c r="AC21" s="278">
        <f ca="1">IF(ABS(P21-C21)&gt;SnapshotTolerance,1,0)</f>
        <v>0</v>
      </c>
      <c r="AD21" s="278">
        <f ca="1">IF(ABS(Q21-D21)&gt;SnapshotTolerance,1,0)</f>
        <v>0</v>
      </c>
      <c r="AE21" s="278">
        <f ca="1">IF(ABS(R21-E21)&gt;SnapshotTolerance,1,0)</f>
        <v>0</v>
      </c>
      <c r="AF21" s="278">
        <f ca="1">IF(ABS(S21-F21)&gt;SnapshotTolerance,1,0)</f>
        <v>0</v>
      </c>
      <c r="AG21" s="278">
        <f ca="1">IF(ABS(T21-G21)&gt;SnapshotTolerance,1,0)</f>
        <v>0</v>
      </c>
      <c r="AH21" s="278">
        <f ca="1">IF(ABS(U21-H21)&gt;SnapshotTolerance,1,0)</f>
        <v>0</v>
      </c>
      <c r="AI21" s="278">
        <f ca="1">IF(ABS(V21-I21)&gt;SnapshotTolerance,1,0)</f>
        <v>0</v>
      </c>
      <c r="AJ21" s="278">
        <f ca="1">IF(ABS(W21-J21)&gt;SnapshotTolerance,1,0)</f>
        <v>0</v>
      </c>
      <c r="AK21" s="278">
        <f ca="1">IF(ABS(X21-K21)&gt;SnapshotTolerance,1,0)</f>
        <v>0</v>
      </c>
      <c r="AL21" s="278">
        <f ca="1">IF(ABS(Y21-L21)&gt;SnapshotTolerance,1,0)</f>
        <v>0</v>
      </c>
      <c r="AM21" s="279">
        <f ca="1">IF(ABS(Z21-M21)&gt;SnapshotTolerance,1,0)</f>
        <v>0</v>
      </c>
    </row>
    <row r="22" spans="2:39">
      <c r="B22" s="282" t="str">
        <f>'EUR Swap PVs'!M16</f>
        <v>20Y</v>
      </c>
      <c r="C22" s="278">
        <f ca="1">'EUR Swap PVs'!N16</f>
        <v>879086.65850046882</v>
      </c>
      <c r="D22" s="278">
        <f ca="1">'EUR Swap PVs'!O16</f>
        <v>703269.32680037513</v>
      </c>
      <c r="E22" s="278">
        <f ca="1">'EUR Swap PVs'!P16</f>
        <v>527451.99510028132</v>
      </c>
      <c r="F22" s="278">
        <f ca="1">'EUR Swap PVs'!Q16</f>
        <v>351634.66340018745</v>
      </c>
      <c r="G22" s="278">
        <f ca="1">'EUR Swap PVs'!R16</f>
        <v>175817.33170009372</v>
      </c>
      <c r="H22" s="278">
        <f ca="1">'EUR Swap PVs'!S16</f>
        <v>0</v>
      </c>
      <c r="I22" s="278">
        <f ca="1">'EUR Swap PVs'!T16</f>
        <v>-175817.33170009378</v>
      </c>
      <c r="J22" s="278">
        <f ca="1">'EUR Swap PVs'!U16</f>
        <v>-351634.66340018756</v>
      </c>
      <c r="K22" s="278">
        <f ca="1">'EUR Swap PVs'!V16</f>
        <v>-527451.9951002812</v>
      </c>
      <c r="L22" s="278">
        <f ca="1">'EUR Swap PVs'!W16</f>
        <v>-703269.3268003749</v>
      </c>
      <c r="M22" s="279">
        <f ca="1">'EUR Swap PVs'!X16</f>
        <v>-879086.65850046882</v>
      </c>
      <c r="O22" s="282" t="s">
        <v>20</v>
      </c>
      <c r="P22" s="278">
        <v>879086.65850046882</v>
      </c>
      <c r="Q22" s="278">
        <v>703269.32680037513</v>
      </c>
      <c r="R22" s="278">
        <v>527451.99510028132</v>
      </c>
      <c r="S22" s="278">
        <v>351634.66340018745</v>
      </c>
      <c r="T22" s="278">
        <v>175817.33170009372</v>
      </c>
      <c r="U22" s="278">
        <v>0</v>
      </c>
      <c r="V22" s="278">
        <v>-175817.33170009378</v>
      </c>
      <c r="W22" s="278">
        <v>-351634.66340018756</v>
      </c>
      <c r="X22" s="278">
        <v>-527451.9951002812</v>
      </c>
      <c r="Y22" s="278">
        <v>-703269.3268003749</v>
      </c>
      <c r="Z22" s="279">
        <v>-879086.65850046882</v>
      </c>
      <c r="AB22" s="282" t="str">
        <f t="shared" si="1"/>
        <v>20Y</v>
      </c>
      <c r="AC22" s="278">
        <f ca="1">IF(ABS(P22-C22)&gt;SnapshotTolerance,1,0)</f>
        <v>0</v>
      </c>
      <c r="AD22" s="278">
        <f ca="1">IF(ABS(Q22-D22)&gt;SnapshotTolerance,1,0)</f>
        <v>0</v>
      </c>
      <c r="AE22" s="278">
        <f ca="1">IF(ABS(R22-E22)&gt;SnapshotTolerance,1,0)</f>
        <v>0</v>
      </c>
      <c r="AF22" s="278">
        <f ca="1">IF(ABS(S22-F22)&gt;SnapshotTolerance,1,0)</f>
        <v>0</v>
      </c>
      <c r="AG22" s="278">
        <f ca="1">IF(ABS(T22-G22)&gt;SnapshotTolerance,1,0)</f>
        <v>0</v>
      </c>
      <c r="AH22" s="278">
        <f ca="1">IF(ABS(U22-H22)&gt;SnapshotTolerance,1,0)</f>
        <v>0</v>
      </c>
      <c r="AI22" s="278">
        <f ca="1">IF(ABS(V22-I22)&gt;SnapshotTolerance,1,0)</f>
        <v>0</v>
      </c>
      <c r="AJ22" s="278">
        <f ca="1">IF(ABS(W22-J22)&gt;SnapshotTolerance,1,0)</f>
        <v>0</v>
      </c>
      <c r="AK22" s="278">
        <f ca="1">IF(ABS(X22-K22)&gt;SnapshotTolerance,1,0)</f>
        <v>0</v>
      </c>
      <c r="AL22" s="278">
        <f ca="1">IF(ABS(Y22-L22)&gt;SnapshotTolerance,1,0)</f>
        <v>0</v>
      </c>
      <c r="AM22" s="279">
        <f ca="1">IF(ABS(Z22-M22)&gt;SnapshotTolerance,1,0)</f>
        <v>0</v>
      </c>
    </row>
    <row r="23" spans="2:39">
      <c r="B23" s="282" t="str">
        <f>'EUR Swap PVs'!M17</f>
        <v>25Y</v>
      </c>
      <c r="C23" s="278">
        <f ca="1">'EUR Swap PVs'!N17</f>
        <v>1047182.7946827149</v>
      </c>
      <c r="D23" s="278">
        <f ca="1">'EUR Swap PVs'!O17</f>
        <v>837746.23574617179</v>
      </c>
      <c r="E23" s="278">
        <f ca="1">'EUR Swap PVs'!P17</f>
        <v>628309.67680962884</v>
      </c>
      <c r="F23" s="278">
        <f ca="1">'EUR Swap PVs'!Q17</f>
        <v>418873.11787308584</v>
      </c>
      <c r="G23" s="278">
        <f ca="1">'EUR Swap PVs'!R17</f>
        <v>209436.55893654289</v>
      </c>
      <c r="H23" s="278">
        <f ca="1">'EUR Swap PVs'!S17</f>
        <v>0</v>
      </c>
      <c r="I23" s="278">
        <f ca="1">'EUR Swap PVs'!T17</f>
        <v>-209436.55893654301</v>
      </c>
      <c r="J23" s="278">
        <f ca="1">'EUR Swap PVs'!U17</f>
        <v>-418873.11787308601</v>
      </c>
      <c r="K23" s="278">
        <f ca="1">'EUR Swap PVs'!V17</f>
        <v>-628309.67680962896</v>
      </c>
      <c r="L23" s="278">
        <f ca="1">'EUR Swap PVs'!W17</f>
        <v>-837746.23574617191</v>
      </c>
      <c r="M23" s="279">
        <f ca="1">'EUR Swap PVs'!X17</f>
        <v>-1047182.7946827146</v>
      </c>
      <c r="O23" s="282" t="s">
        <v>18</v>
      </c>
      <c r="P23" s="278">
        <v>1047182.7946827149</v>
      </c>
      <c r="Q23" s="278">
        <v>837746.23574617179</v>
      </c>
      <c r="R23" s="278">
        <v>628309.67680962884</v>
      </c>
      <c r="S23" s="278">
        <v>418873.11787308584</v>
      </c>
      <c r="T23" s="278">
        <v>209436.55893654289</v>
      </c>
      <c r="U23" s="278">
        <v>0</v>
      </c>
      <c r="V23" s="278">
        <v>-209436.55893654301</v>
      </c>
      <c r="W23" s="278">
        <v>-418873.11787308601</v>
      </c>
      <c r="X23" s="278">
        <v>-628309.67680962896</v>
      </c>
      <c r="Y23" s="278">
        <v>-837746.23574617191</v>
      </c>
      <c r="Z23" s="279">
        <v>-1047182.7946827146</v>
      </c>
      <c r="AB23" s="282" t="str">
        <f t="shared" si="1"/>
        <v>25Y</v>
      </c>
      <c r="AC23" s="278">
        <f ca="1">IF(ABS(P23-C23)&gt;SnapshotTolerance,1,0)</f>
        <v>0</v>
      </c>
      <c r="AD23" s="278">
        <f ca="1">IF(ABS(Q23-D23)&gt;SnapshotTolerance,1,0)</f>
        <v>0</v>
      </c>
      <c r="AE23" s="278">
        <f ca="1">IF(ABS(R23-E23)&gt;SnapshotTolerance,1,0)</f>
        <v>0</v>
      </c>
      <c r="AF23" s="278">
        <f ca="1">IF(ABS(S23-F23)&gt;SnapshotTolerance,1,0)</f>
        <v>0</v>
      </c>
      <c r="AG23" s="278">
        <f ca="1">IF(ABS(T23-G23)&gt;SnapshotTolerance,1,0)</f>
        <v>0</v>
      </c>
      <c r="AH23" s="278">
        <f ca="1">IF(ABS(U23-H23)&gt;SnapshotTolerance,1,0)</f>
        <v>0</v>
      </c>
      <c r="AI23" s="278">
        <f ca="1">IF(ABS(V23-I23)&gt;SnapshotTolerance,1,0)</f>
        <v>0</v>
      </c>
      <c r="AJ23" s="278">
        <f ca="1">IF(ABS(W23-J23)&gt;SnapshotTolerance,1,0)</f>
        <v>0</v>
      </c>
      <c r="AK23" s="278">
        <f ca="1">IF(ABS(X23-K23)&gt;SnapshotTolerance,1,0)</f>
        <v>0</v>
      </c>
      <c r="AL23" s="278">
        <f ca="1">IF(ABS(Y23-L23)&gt;SnapshotTolerance,1,0)</f>
        <v>0</v>
      </c>
      <c r="AM23" s="279">
        <f ca="1">IF(ABS(Z23-M23)&gt;SnapshotTolerance,1,0)</f>
        <v>0</v>
      </c>
    </row>
    <row r="24" spans="2:39">
      <c r="B24" s="282" t="str">
        <f>'EUR Swap PVs'!M18</f>
        <v>30Y</v>
      </c>
      <c r="C24" s="278">
        <f ca="1">'EUR Swap PVs'!N18</f>
        <v>1200253.8604142829</v>
      </c>
      <c r="D24" s="278">
        <f ca="1">'EUR Swap PVs'!O18</f>
        <v>960203.08833142626</v>
      </c>
      <c r="E24" s="278">
        <f ca="1">'EUR Swap PVs'!P18</f>
        <v>720152.31624856964</v>
      </c>
      <c r="F24" s="278">
        <f ca="1">'EUR Swap PVs'!Q18</f>
        <v>480101.54416571307</v>
      </c>
      <c r="G24" s="278">
        <f ca="1">'EUR Swap PVs'!R18</f>
        <v>240050.77208285648</v>
      </c>
      <c r="H24" s="278">
        <f ca="1">'EUR Swap PVs'!S18</f>
        <v>-5.5511151231257827E-11</v>
      </c>
      <c r="I24" s="278">
        <f ca="1">'EUR Swap PVs'!T18</f>
        <v>-240050.77208285668</v>
      </c>
      <c r="J24" s="278">
        <f ca="1">'EUR Swap PVs'!U18</f>
        <v>-480101.54416571331</v>
      </c>
      <c r="K24" s="278">
        <f ca="1">'EUR Swap PVs'!V18</f>
        <v>-720152.31624856987</v>
      </c>
      <c r="L24" s="278">
        <f ca="1">'EUR Swap PVs'!W18</f>
        <v>-960203.08833142649</v>
      </c>
      <c r="M24" s="279">
        <f ca="1">'EUR Swap PVs'!X18</f>
        <v>-1200253.8604142831</v>
      </c>
      <c r="O24" s="282" t="s">
        <v>17</v>
      </c>
      <c r="P24" s="278">
        <v>1200253.8604142829</v>
      </c>
      <c r="Q24" s="278">
        <v>960203.08833142626</v>
      </c>
      <c r="R24" s="278">
        <v>720152.31624856964</v>
      </c>
      <c r="S24" s="278">
        <v>480101.54416571307</v>
      </c>
      <c r="T24" s="278">
        <v>240050.77208285648</v>
      </c>
      <c r="U24" s="278">
        <v>-5.5511151231257827E-11</v>
      </c>
      <c r="V24" s="278">
        <v>-240050.77208285668</v>
      </c>
      <c r="W24" s="278">
        <v>-480101.54416571331</v>
      </c>
      <c r="X24" s="278">
        <v>-720152.31624856987</v>
      </c>
      <c r="Y24" s="278">
        <v>-960203.08833142649</v>
      </c>
      <c r="Z24" s="279">
        <v>-1200253.8604142831</v>
      </c>
      <c r="AB24" s="282" t="str">
        <f t="shared" si="1"/>
        <v>30Y</v>
      </c>
      <c r="AC24" s="278">
        <f ca="1">IF(ABS(P24-C24)&gt;SnapshotTolerance,1,0)</f>
        <v>0</v>
      </c>
      <c r="AD24" s="278">
        <f ca="1">IF(ABS(Q24-D24)&gt;SnapshotTolerance,1,0)</f>
        <v>0</v>
      </c>
      <c r="AE24" s="278">
        <f ca="1">IF(ABS(R24-E24)&gt;SnapshotTolerance,1,0)</f>
        <v>0</v>
      </c>
      <c r="AF24" s="278">
        <f ca="1">IF(ABS(S24-F24)&gt;SnapshotTolerance,1,0)</f>
        <v>0</v>
      </c>
      <c r="AG24" s="278">
        <f ca="1">IF(ABS(T24-G24)&gt;SnapshotTolerance,1,0)</f>
        <v>0</v>
      </c>
      <c r="AH24" s="278">
        <f ca="1">IF(ABS(U24-H24)&gt;SnapshotTolerance,1,0)</f>
        <v>0</v>
      </c>
      <c r="AI24" s="278">
        <f ca="1">IF(ABS(V24-I24)&gt;SnapshotTolerance,1,0)</f>
        <v>0</v>
      </c>
      <c r="AJ24" s="278">
        <f ca="1">IF(ABS(W24-J24)&gt;SnapshotTolerance,1,0)</f>
        <v>0</v>
      </c>
      <c r="AK24" s="278">
        <f ca="1">IF(ABS(X24-K24)&gt;SnapshotTolerance,1,0)</f>
        <v>0</v>
      </c>
      <c r="AL24" s="278">
        <f ca="1">IF(ABS(Y24-L24)&gt;SnapshotTolerance,1,0)</f>
        <v>0</v>
      </c>
      <c r="AM24" s="279">
        <f ca="1">IF(ABS(Z24-M24)&gt;SnapshotTolerance,1,0)</f>
        <v>0</v>
      </c>
    </row>
    <row r="25" spans="2:39">
      <c r="B25" s="282" t="str">
        <f>'EUR Swap PVs'!M19</f>
        <v>35Y</v>
      </c>
      <c r="C25" s="278">
        <f ca="1">'EUR Swap PVs'!N19</f>
        <v>1341179.2700771403</v>
      </c>
      <c r="D25" s="278">
        <f ca="1">'EUR Swap PVs'!O19</f>
        <v>1072943.4160617122</v>
      </c>
      <c r="E25" s="278">
        <f ca="1">'EUR Swap PVs'!P19</f>
        <v>804707.56204628397</v>
      </c>
      <c r="F25" s="278">
        <f ca="1">'EUR Swap PVs'!Q19</f>
        <v>536471.70803085598</v>
      </c>
      <c r="G25" s="278">
        <f ca="1">'EUR Swap PVs'!R19</f>
        <v>268235.85401542793</v>
      </c>
      <c r="H25" s="278">
        <f ca="1">'EUR Swap PVs'!S19</f>
        <v>0</v>
      </c>
      <c r="I25" s="278">
        <f ca="1">'EUR Swap PVs'!T19</f>
        <v>-268235.85401542799</v>
      </c>
      <c r="J25" s="278">
        <f ca="1">'EUR Swap PVs'!U19</f>
        <v>-536471.7080308561</v>
      </c>
      <c r="K25" s="278">
        <f ca="1">'EUR Swap PVs'!V19</f>
        <v>-804707.56204628397</v>
      </c>
      <c r="L25" s="278">
        <f ca="1">'EUR Swap PVs'!W19</f>
        <v>-1072943.4160617122</v>
      </c>
      <c r="M25" s="279">
        <f ca="1">'EUR Swap PVs'!X19</f>
        <v>-1341179.2700771401</v>
      </c>
      <c r="O25" s="282" t="s">
        <v>16</v>
      </c>
      <c r="P25" s="278">
        <v>1341179.2700771403</v>
      </c>
      <c r="Q25" s="278">
        <v>1072943.4160617122</v>
      </c>
      <c r="R25" s="278">
        <v>804707.56204628397</v>
      </c>
      <c r="S25" s="278">
        <v>536471.70803085598</v>
      </c>
      <c r="T25" s="278">
        <v>268235.85401542793</v>
      </c>
      <c r="U25" s="278">
        <v>0</v>
      </c>
      <c r="V25" s="278">
        <v>-268235.85401542799</v>
      </c>
      <c r="W25" s="278">
        <v>-536471.7080308561</v>
      </c>
      <c r="X25" s="278">
        <v>-804707.56204628397</v>
      </c>
      <c r="Y25" s="278">
        <v>-1072943.4160617122</v>
      </c>
      <c r="Z25" s="279">
        <v>-1341179.2700771401</v>
      </c>
      <c r="AB25" s="282" t="str">
        <f t="shared" si="1"/>
        <v>35Y</v>
      </c>
      <c r="AC25" s="278">
        <f ca="1">IF(ABS(P25-C25)&gt;SnapshotTolerance,1,0)</f>
        <v>0</v>
      </c>
      <c r="AD25" s="278">
        <f ca="1">IF(ABS(Q25-D25)&gt;SnapshotTolerance,1,0)</f>
        <v>0</v>
      </c>
      <c r="AE25" s="278">
        <f ca="1">IF(ABS(R25-E25)&gt;SnapshotTolerance,1,0)</f>
        <v>0</v>
      </c>
      <c r="AF25" s="278">
        <f ca="1">IF(ABS(S25-F25)&gt;SnapshotTolerance,1,0)</f>
        <v>0</v>
      </c>
      <c r="AG25" s="278">
        <f ca="1">IF(ABS(T25-G25)&gt;SnapshotTolerance,1,0)</f>
        <v>0</v>
      </c>
      <c r="AH25" s="278">
        <f ca="1">IF(ABS(U25-H25)&gt;SnapshotTolerance,1,0)</f>
        <v>0</v>
      </c>
      <c r="AI25" s="278">
        <f ca="1">IF(ABS(V25-I25)&gt;SnapshotTolerance,1,0)</f>
        <v>0</v>
      </c>
      <c r="AJ25" s="278">
        <f ca="1">IF(ABS(W25-J25)&gt;SnapshotTolerance,1,0)</f>
        <v>0</v>
      </c>
      <c r="AK25" s="278">
        <f ca="1">IF(ABS(X25-K25)&gt;SnapshotTolerance,1,0)</f>
        <v>0</v>
      </c>
      <c r="AL25" s="278">
        <f ca="1">IF(ABS(Y25-L25)&gt;SnapshotTolerance,1,0)</f>
        <v>0</v>
      </c>
      <c r="AM25" s="279">
        <f ca="1">IF(ABS(Z25-M25)&gt;SnapshotTolerance,1,0)</f>
        <v>0</v>
      </c>
    </row>
    <row r="26" spans="2:39">
      <c r="B26" s="282" t="str">
        <f>'EUR Swap PVs'!M20</f>
        <v>40Y</v>
      </c>
      <c r="C26" s="278">
        <f ca="1">'EUR Swap PVs'!N20</f>
        <v>1471307.5991774679</v>
      </c>
      <c r="D26" s="278">
        <f ca="1">'EUR Swap PVs'!O20</f>
        <v>1177046.0793419741</v>
      </c>
      <c r="E26" s="278">
        <f ca="1">'EUR Swap PVs'!P20</f>
        <v>882784.55950648058</v>
      </c>
      <c r="F26" s="278">
        <f ca="1">'EUR Swap PVs'!Q20</f>
        <v>588523.03967098705</v>
      </c>
      <c r="G26" s="278">
        <f ca="1">'EUR Swap PVs'!R20</f>
        <v>294261.51983549347</v>
      </c>
      <c r="H26" s="278">
        <f ca="1">'EUR Swap PVs'!S20</f>
        <v>0</v>
      </c>
      <c r="I26" s="278">
        <f ca="1">'EUR Swap PVs'!T20</f>
        <v>-294261.51983549353</v>
      </c>
      <c r="J26" s="278">
        <f ca="1">'EUR Swap PVs'!U20</f>
        <v>-588523.03967098694</v>
      </c>
      <c r="K26" s="278">
        <f ca="1">'EUR Swap PVs'!V20</f>
        <v>-882784.55950648058</v>
      </c>
      <c r="L26" s="278">
        <f ca="1">'EUR Swap PVs'!W20</f>
        <v>-1177046.0793419741</v>
      </c>
      <c r="M26" s="279">
        <f ca="1">'EUR Swap PVs'!X20</f>
        <v>-1471307.5991774681</v>
      </c>
      <c r="O26" s="282" t="s">
        <v>15</v>
      </c>
      <c r="P26" s="278">
        <v>1471307.5991774679</v>
      </c>
      <c r="Q26" s="278">
        <v>1177046.0793419741</v>
      </c>
      <c r="R26" s="278">
        <v>882784.55950648058</v>
      </c>
      <c r="S26" s="278">
        <v>588523.03967098705</v>
      </c>
      <c r="T26" s="278">
        <v>294261.51983549347</v>
      </c>
      <c r="U26" s="278">
        <v>0</v>
      </c>
      <c r="V26" s="278">
        <v>-294261.51983549353</v>
      </c>
      <c r="W26" s="278">
        <v>-588523.03967098694</v>
      </c>
      <c r="X26" s="278">
        <v>-882784.55950648058</v>
      </c>
      <c r="Y26" s="278">
        <v>-1177046.0793419741</v>
      </c>
      <c r="Z26" s="279">
        <v>-1471307.5991774681</v>
      </c>
      <c r="AB26" s="282" t="str">
        <f t="shared" si="1"/>
        <v>40Y</v>
      </c>
      <c r="AC26" s="278">
        <f ca="1">IF(ABS(P26-C26)&gt;SnapshotTolerance,1,0)</f>
        <v>0</v>
      </c>
      <c r="AD26" s="278">
        <f ca="1">IF(ABS(Q26-D26)&gt;SnapshotTolerance,1,0)</f>
        <v>0</v>
      </c>
      <c r="AE26" s="278">
        <f ca="1">IF(ABS(R26-E26)&gt;SnapshotTolerance,1,0)</f>
        <v>0</v>
      </c>
      <c r="AF26" s="278">
        <f ca="1">IF(ABS(S26-F26)&gt;SnapshotTolerance,1,0)</f>
        <v>0</v>
      </c>
      <c r="AG26" s="278">
        <f ca="1">IF(ABS(T26-G26)&gt;SnapshotTolerance,1,0)</f>
        <v>0</v>
      </c>
      <c r="AH26" s="278">
        <f ca="1">IF(ABS(U26-H26)&gt;SnapshotTolerance,1,0)</f>
        <v>0</v>
      </c>
      <c r="AI26" s="278">
        <f ca="1">IF(ABS(V26-I26)&gt;SnapshotTolerance,1,0)</f>
        <v>0</v>
      </c>
      <c r="AJ26" s="278">
        <f ca="1">IF(ABS(W26-J26)&gt;SnapshotTolerance,1,0)</f>
        <v>0</v>
      </c>
      <c r="AK26" s="278">
        <f ca="1">IF(ABS(X26-K26)&gt;SnapshotTolerance,1,0)</f>
        <v>0</v>
      </c>
      <c r="AL26" s="278">
        <f ca="1">IF(ABS(Y26-L26)&gt;SnapshotTolerance,1,0)</f>
        <v>0</v>
      </c>
      <c r="AM26" s="279">
        <f ca="1">IF(ABS(Z26-M26)&gt;SnapshotTolerance,1,0)</f>
        <v>0</v>
      </c>
    </row>
    <row r="27" spans="2:39">
      <c r="B27" s="282" t="str">
        <f>'EUR Swap PVs'!M21</f>
        <v>45Y</v>
      </c>
      <c r="C27" s="278">
        <f ca="1">'EUR Swap PVs'!N21</f>
        <v>1589983.8927858977</v>
      </c>
      <c r="D27" s="278">
        <f ca="1">'EUR Swap PVs'!O21</f>
        <v>1271987.114228718</v>
      </c>
      <c r="E27" s="278">
        <f ca="1">'EUR Swap PVs'!P21</f>
        <v>953990.33567153849</v>
      </c>
      <c r="F27" s="278">
        <f ca="1">'EUR Swap PVs'!Q21</f>
        <v>635993.55711435887</v>
      </c>
      <c r="G27" s="278">
        <f ca="1">'EUR Swap PVs'!R21</f>
        <v>317996.77855717938</v>
      </c>
      <c r="H27" s="278">
        <f ca="1">'EUR Swap PVs'!S21</f>
        <v>0</v>
      </c>
      <c r="I27" s="278">
        <f ca="1">'EUR Swap PVs'!T21</f>
        <v>-317996.77855717944</v>
      </c>
      <c r="J27" s="278">
        <f ca="1">'EUR Swap PVs'!U21</f>
        <v>-635993.55711435899</v>
      </c>
      <c r="K27" s="278">
        <f ca="1">'EUR Swap PVs'!V21</f>
        <v>-953990.33567153837</v>
      </c>
      <c r="L27" s="278">
        <f ca="1">'EUR Swap PVs'!W21</f>
        <v>-1271987.1142287182</v>
      </c>
      <c r="M27" s="279">
        <f ca="1">'EUR Swap PVs'!X21</f>
        <v>-1589983.8927858972</v>
      </c>
      <c r="O27" s="282" t="s">
        <v>368</v>
      </c>
      <c r="P27" s="278">
        <v>1589983.8927858977</v>
      </c>
      <c r="Q27" s="278">
        <v>1271987.114228718</v>
      </c>
      <c r="R27" s="278">
        <v>953990.33567153849</v>
      </c>
      <c r="S27" s="278">
        <v>635993.55711435887</v>
      </c>
      <c r="T27" s="278">
        <v>317996.77855717938</v>
      </c>
      <c r="U27" s="278">
        <v>0</v>
      </c>
      <c r="V27" s="278">
        <v>-317996.77855717944</v>
      </c>
      <c r="W27" s="278">
        <v>-635993.55711435899</v>
      </c>
      <c r="X27" s="278">
        <v>-953990.33567153837</v>
      </c>
      <c r="Y27" s="278">
        <v>-1271987.1142287182</v>
      </c>
      <c r="Z27" s="279">
        <v>-1589983.8927858972</v>
      </c>
      <c r="AB27" s="282" t="str">
        <f t="shared" si="1"/>
        <v>45Y</v>
      </c>
      <c r="AC27" s="278">
        <f ca="1">IF(ABS(P27-C27)&gt;SnapshotTolerance,1,0)</f>
        <v>0</v>
      </c>
      <c r="AD27" s="278">
        <f ca="1">IF(ABS(Q27-D27)&gt;SnapshotTolerance,1,0)</f>
        <v>0</v>
      </c>
      <c r="AE27" s="278">
        <f ca="1">IF(ABS(R27-E27)&gt;SnapshotTolerance,1,0)</f>
        <v>0</v>
      </c>
      <c r="AF27" s="278">
        <f ca="1">IF(ABS(S27-F27)&gt;SnapshotTolerance,1,0)</f>
        <v>0</v>
      </c>
      <c r="AG27" s="278">
        <f ca="1">IF(ABS(T27-G27)&gt;SnapshotTolerance,1,0)</f>
        <v>0</v>
      </c>
      <c r="AH27" s="278">
        <f ca="1">IF(ABS(U27-H27)&gt;SnapshotTolerance,1,0)</f>
        <v>0</v>
      </c>
      <c r="AI27" s="278">
        <f ca="1">IF(ABS(V27-I27)&gt;SnapshotTolerance,1,0)</f>
        <v>0</v>
      </c>
      <c r="AJ27" s="278">
        <f ca="1">IF(ABS(W27-J27)&gt;SnapshotTolerance,1,0)</f>
        <v>0</v>
      </c>
      <c r="AK27" s="278">
        <f ca="1">IF(ABS(X27-K27)&gt;SnapshotTolerance,1,0)</f>
        <v>0</v>
      </c>
      <c r="AL27" s="278">
        <f ca="1">IF(ABS(Y27-L27)&gt;SnapshotTolerance,1,0)</f>
        <v>0</v>
      </c>
      <c r="AM27" s="279">
        <f ca="1">IF(ABS(Z27-M27)&gt;SnapshotTolerance,1,0)</f>
        <v>0</v>
      </c>
    </row>
    <row r="28" spans="2:39">
      <c r="B28" s="283" t="str">
        <f>'EUR Swap PVs'!M22</f>
        <v>50Y</v>
      </c>
      <c r="C28" s="280">
        <f ca="1">'EUR Swap PVs'!N22</f>
        <v>1698516.6839658313</v>
      </c>
      <c r="D28" s="280">
        <f ca="1">'EUR Swap PVs'!O22</f>
        <v>1358813.3471726649</v>
      </c>
      <c r="E28" s="280">
        <f ca="1">'EUR Swap PVs'!P22</f>
        <v>1019110.0103794988</v>
      </c>
      <c r="F28" s="280">
        <f ca="1">'EUR Swap PVs'!Q22</f>
        <v>679406.67358633247</v>
      </c>
      <c r="G28" s="280">
        <f ca="1">'EUR Swap PVs'!R22</f>
        <v>339703.33679316618</v>
      </c>
      <c r="H28" s="280">
        <f ca="1">'EUR Swap PVs'!S22</f>
        <v>0</v>
      </c>
      <c r="I28" s="280">
        <f ca="1">'EUR Swap PVs'!T22</f>
        <v>-339703.33679316635</v>
      </c>
      <c r="J28" s="280">
        <f ca="1">'EUR Swap PVs'!U22</f>
        <v>-679406.67358633259</v>
      </c>
      <c r="K28" s="280">
        <f ca="1">'EUR Swap PVs'!V22</f>
        <v>-1019110.0103794986</v>
      </c>
      <c r="L28" s="280">
        <f ca="1">'EUR Swap PVs'!W22</f>
        <v>-1358813.3471726649</v>
      </c>
      <c r="M28" s="281">
        <f ca="1">'EUR Swap PVs'!X22</f>
        <v>-1698516.6839658313</v>
      </c>
      <c r="O28" s="283" t="s">
        <v>14</v>
      </c>
      <c r="P28" s="280">
        <v>1698516.6839658313</v>
      </c>
      <c r="Q28" s="280">
        <v>1358813.3471726649</v>
      </c>
      <c r="R28" s="280">
        <v>1019110.0103794988</v>
      </c>
      <c r="S28" s="280">
        <v>679406.67358633247</v>
      </c>
      <c r="T28" s="280">
        <v>339703.33679316618</v>
      </c>
      <c r="U28" s="280">
        <v>0</v>
      </c>
      <c r="V28" s="280">
        <v>-339703.33679316635</v>
      </c>
      <c r="W28" s="280">
        <v>-679406.67358633259</v>
      </c>
      <c r="X28" s="280">
        <v>-1019110.0103794986</v>
      </c>
      <c r="Y28" s="280">
        <v>-1358813.3471726649</v>
      </c>
      <c r="Z28" s="281">
        <v>-1698516.6839658313</v>
      </c>
      <c r="AB28" s="283" t="str">
        <f t="shared" si="1"/>
        <v>50Y</v>
      </c>
      <c r="AC28" s="280">
        <f ca="1">IF(ABS(P28-C28)&gt;SnapshotTolerance,1,0)</f>
        <v>0</v>
      </c>
      <c r="AD28" s="280">
        <f ca="1">IF(ABS(Q28-D28)&gt;SnapshotTolerance,1,0)</f>
        <v>0</v>
      </c>
      <c r="AE28" s="280">
        <f ca="1">IF(ABS(R28-E28)&gt;SnapshotTolerance,1,0)</f>
        <v>0</v>
      </c>
      <c r="AF28" s="280">
        <f ca="1">IF(ABS(S28-F28)&gt;SnapshotTolerance,1,0)</f>
        <v>0</v>
      </c>
      <c r="AG28" s="280">
        <f ca="1">IF(ABS(T28-G28)&gt;SnapshotTolerance,1,0)</f>
        <v>0</v>
      </c>
      <c r="AH28" s="280">
        <f ca="1">IF(ABS(U28-H28)&gt;SnapshotTolerance,1,0)</f>
        <v>0</v>
      </c>
      <c r="AI28" s="280">
        <f ca="1">IF(ABS(V28-I28)&gt;SnapshotTolerance,1,0)</f>
        <v>0</v>
      </c>
      <c r="AJ28" s="280">
        <f ca="1">IF(ABS(W28-J28)&gt;SnapshotTolerance,1,0)</f>
        <v>0</v>
      </c>
      <c r="AK28" s="280">
        <f ca="1">IF(ABS(X28-K28)&gt;SnapshotTolerance,1,0)</f>
        <v>0</v>
      </c>
      <c r="AL28" s="280">
        <f ca="1">IF(ABS(Y28-L28)&gt;SnapshotTolerance,1,0)</f>
        <v>0</v>
      </c>
      <c r="AM28" s="281">
        <f ca="1">IF(ABS(Z28-M28)&gt;SnapshotTolerance,1,0)</f>
        <v>0</v>
      </c>
    </row>
    <row r="31" spans="2:39">
      <c r="B31" t="s">
        <v>527</v>
      </c>
      <c r="E31" t="s">
        <v>472</v>
      </c>
    </row>
    <row r="32" spans="2:39">
      <c r="B32" t="s">
        <v>530</v>
      </c>
      <c r="E32" s="252">
        <f ca="1">SUM(AC37:AM55)</f>
        <v>0</v>
      </c>
    </row>
    <row r="33" spans="2:39">
      <c r="B33" t="s">
        <v>529</v>
      </c>
    </row>
    <row r="35" spans="2:39">
      <c r="B35" t="s">
        <v>510</v>
      </c>
      <c r="O35" t="s">
        <v>470</v>
      </c>
      <c r="AB35" t="s">
        <v>511</v>
      </c>
    </row>
    <row r="36" spans="2:39">
      <c r="B36" s="254" t="str">
        <f>'EUR Swap PVs'!M28</f>
        <v>Term</v>
      </c>
      <c r="C36" s="287">
        <f>'EUR Swap PVs'!N28</f>
        <v>500</v>
      </c>
      <c r="D36" s="287">
        <f>'EUR Swap PVs'!O28</f>
        <v>400</v>
      </c>
      <c r="E36" s="287">
        <f>'EUR Swap PVs'!P28</f>
        <v>300</v>
      </c>
      <c r="F36" s="287">
        <f>'EUR Swap PVs'!Q28</f>
        <v>200</v>
      </c>
      <c r="G36" s="287">
        <f>'EUR Swap PVs'!R28</f>
        <v>100</v>
      </c>
      <c r="H36" s="287">
        <f>'EUR Swap PVs'!S28</f>
        <v>0</v>
      </c>
      <c r="I36" s="287">
        <f>'EUR Swap PVs'!T28</f>
        <v>-100</v>
      </c>
      <c r="J36" s="287">
        <f>'EUR Swap PVs'!U28</f>
        <v>-200</v>
      </c>
      <c r="K36" s="287">
        <f>'EUR Swap PVs'!V28</f>
        <v>-300</v>
      </c>
      <c r="L36" s="287">
        <f>'EUR Swap PVs'!W28</f>
        <v>-400</v>
      </c>
      <c r="M36" s="288">
        <f>'EUR Swap PVs'!X28</f>
        <v>-500</v>
      </c>
      <c r="O36" s="254" t="s">
        <v>76</v>
      </c>
      <c r="P36" s="287">
        <v>500</v>
      </c>
      <c r="Q36" s="287">
        <v>400</v>
      </c>
      <c r="R36" s="287">
        <v>300</v>
      </c>
      <c r="S36" s="287">
        <v>200</v>
      </c>
      <c r="T36" s="287">
        <v>100</v>
      </c>
      <c r="U36" s="287">
        <v>0</v>
      </c>
      <c r="V36" s="287">
        <v>-100</v>
      </c>
      <c r="W36" s="287">
        <v>-200</v>
      </c>
      <c r="X36" s="287">
        <v>-300</v>
      </c>
      <c r="Y36" s="287">
        <v>-400</v>
      </c>
      <c r="Z36" s="288">
        <v>-500</v>
      </c>
      <c r="AB36" s="254" t="str">
        <f>O36</f>
        <v>Term</v>
      </c>
      <c r="AC36" s="287">
        <f>P36</f>
        <v>500</v>
      </c>
      <c r="AD36" s="287">
        <f t="shared" ref="AD36" si="2">Q36</f>
        <v>400</v>
      </c>
      <c r="AE36" s="287">
        <f t="shared" ref="AE36" si="3">R36</f>
        <v>300</v>
      </c>
      <c r="AF36" s="287">
        <f t="shared" ref="AF36" si="4">S36</f>
        <v>200</v>
      </c>
      <c r="AG36" s="287">
        <f t="shared" ref="AG36" si="5">T36</f>
        <v>100</v>
      </c>
      <c r="AH36" s="287">
        <f t="shared" ref="AH36" si="6">U36</f>
        <v>0</v>
      </c>
      <c r="AI36" s="287">
        <f t="shared" ref="AI36" si="7">V36</f>
        <v>-100</v>
      </c>
      <c r="AJ36" s="287">
        <f t="shared" ref="AJ36" si="8">W36</f>
        <v>-200</v>
      </c>
      <c r="AK36" s="287">
        <f t="shared" ref="AK36" si="9">X36</f>
        <v>-300</v>
      </c>
      <c r="AL36" s="287">
        <f t="shared" ref="AL36" si="10">Y36</f>
        <v>-400</v>
      </c>
      <c r="AM36" s="288">
        <f t="shared" ref="AM36" si="11">Z36</f>
        <v>-500</v>
      </c>
    </row>
    <row r="37" spans="2:39">
      <c r="B37" s="282" t="str">
        <f>'EUR Swap PVs'!M29</f>
        <v>2Y</v>
      </c>
      <c r="C37" s="278">
        <f ca="1">'EUR Swap PVs'!N29</f>
        <v>101953.21509841588</v>
      </c>
      <c r="D37" s="278">
        <f ca="1">'EUR Swap PVs'!O29</f>
        <v>81562.572078732701</v>
      </c>
      <c r="E37" s="278">
        <f ca="1">'EUR Swap PVs'!P29</f>
        <v>61171.929059049529</v>
      </c>
      <c r="F37" s="278">
        <f ca="1">'EUR Swap PVs'!Q29</f>
        <v>40781.286039366358</v>
      </c>
      <c r="G37" s="278">
        <f ca="1">'EUR Swap PVs'!R29</f>
        <v>20390.643019683172</v>
      </c>
      <c r="H37" s="278">
        <f ca="1">'EUR Swap PVs'!S29</f>
        <v>0</v>
      </c>
      <c r="I37" s="278">
        <f ca="1">'EUR Swap PVs'!T29</f>
        <v>-20390.643019683172</v>
      </c>
      <c r="J37" s="278">
        <f ca="1">'EUR Swap PVs'!U29</f>
        <v>-40781.28603936635</v>
      </c>
      <c r="K37" s="278">
        <f ca="1">'EUR Swap PVs'!V29</f>
        <v>-61171.929059049529</v>
      </c>
      <c r="L37" s="278">
        <f ca="1">'EUR Swap PVs'!W29</f>
        <v>-81562.572078732701</v>
      </c>
      <c r="M37" s="279">
        <f ca="1">'EUR Swap PVs'!X29</f>
        <v>-101953.21509841588</v>
      </c>
      <c r="O37" s="282" t="s">
        <v>42</v>
      </c>
      <c r="P37" s="278">
        <v>101953.21509841588</v>
      </c>
      <c r="Q37" s="278">
        <v>81562.572078732701</v>
      </c>
      <c r="R37" s="278">
        <v>61171.929059049529</v>
      </c>
      <c r="S37" s="278">
        <v>40781.286039366358</v>
      </c>
      <c r="T37" s="278">
        <v>20390.643019683172</v>
      </c>
      <c r="U37" s="278">
        <v>0</v>
      </c>
      <c r="V37" s="278">
        <v>-20390.643019683172</v>
      </c>
      <c r="W37" s="278">
        <v>-40781.28603936635</v>
      </c>
      <c r="X37" s="278">
        <v>-61171.929059049529</v>
      </c>
      <c r="Y37" s="278">
        <v>-81562.572078732701</v>
      </c>
      <c r="Z37" s="279">
        <v>-101953.21509841588</v>
      </c>
      <c r="AB37" s="282" t="str">
        <f t="shared" ref="AB37:AB55" si="12">O37</f>
        <v>2Y</v>
      </c>
      <c r="AC37" s="278">
        <f ca="1">IF(ABS(P37-C37)&gt;SnapshotTolerance,1,0)</f>
        <v>0</v>
      </c>
      <c r="AD37" s="278">
        <f ca="1">IF(ABS(Q37-D37)&gt;SnapshotTolerance,1,0)</f>
        <v>0</v>
      </c>
      <c r="AE37" s="278">
        <f ca="1">IF(ABS(R37-E37)&gt;SnapshotTolerance,1,0)</f>
        <v>0</v>
      </c>
      <c r="AF37" s="278">
        <f ca="1">IF(ABS(S37-F37)&gt;SnapshotTolerance,1,0)</f>
        <v>0</v>
      </c>
      <c r="AG37" s="278">
        <f ca="1">IF(ABS(T37-G37)&gt;SnapshotTolerance,1,0)</f>
        <v>0</v>
      </c>
      <c r="AH37" s="278">
        <f ca="1">IF(ABS(U37-H37)&gt;SnapshotTolerance,1,0)</f>
        <v>0</v>
      </c>
      <c r="AI37" s="278">
        <f ca="1">IF(ABS(V37-I37)&gt;SnapshotTolerance,1,0)</f>
        <v>0</v>
      </c>
      <c r="AJ37" s="278">
        <f ca="1">IF(ABS(W37-J37)&gt;SnapshotTolerance,1,0)</f>
        <v>0</v>
      </c>
      <c r="AK37" s="278">
        <f ca="1">IF(ABS(X37-K37)&gt;SnapshotTolerance,1,0)</f>
        <v>0</v>
      </c>
      <c r="AL37" s="278">
        <f ca="1">IF(ABS(Y37-L37)&gt;SnapshotTolerance,1,0)</f>
        <v>0</v>
      </c>
      <c r="AM37" s="279">
        <f ca="1">IF(ABS(Z37-M37)&gt;SnapshotTolerance,1,0)</f>
        <v>0</v>
      </c>
    </row>
    <row r="38" spans="2:39">
      <c r="B38" s="282" t="str">
        <f>'EUR Swap PVs'!M30</f>
        <v>3Y</v>
      </c>
      <c r="C38" s="278">
        <f ca="1">'EUR Swap PVs'!N30</f>
        <v>152542.46364885772</v>
      </c>
      <c r="D38" s="278">
        <f ca="1">'EUR Swap PVs'!O30</f>
        <v>122033.97091908618</v>
      </c>
      <c r="E38" s="278">
        <f ca="1">'EUR Swap PVs'!P30</f>
        <v>91525.478189314628</v>
      </c>
      <c r="F38" s="278">
        <f ca="1">'EUR Swap PVs'!Q30</f>
        <v>61016.985459543095</v>
      </c>
      <c r="G38" s="278">
        <f ca="1">'EUR Swap PVs'!R30</f>
        <v>30508.492729771533</v>
      </c>
      <c r="H38" s="278">
        <f ca="1">'EUR Swap PVs'!S30</f>
        <v>-8.6736173798840355E-13</v>
      </c>
      <c r="I38" s="278">
        <f ca="1">'EUR Swap PVs'!T30</f>
        <v>-30508.49272977154</v>
      </c>
      <c r="J38" s="278">
        <f ca="1">'EUR Swap PVs'!U30</f>
        <v>-61016.985459543088</v>
      </c>
      <c r="K38" s="278">
        <f ca="1">'EUR Swap PVs'!V30</f>
        <v>-91525.478189314628</v>
      </c>
      <c r="L38" s="278">
        <f ca="1">'EUR Swap PVs'!W30</f>
        <v>-122033.97091908618</v>
      </c>
      <c r="M38" s="279">
        <f ca="1">'EUR Swap PVs'!X30</f>
        <v>-152542.46364885769</v>
      </c>
      <c r="O38" s="282" t="s">
        <v>39</v>
      </c>
      <c r="P38" s="278">
        <v>152542.46364885772</v>
      </c>
      <c r="Q38" s="278">
        <v>122033.97091908618</v>
      </c>
      <c r="R38" s="278">
        <v>91525.478189314628</v>
      </c>
      <c r="S38" s="278">
        <v>61016.985459543095</v>
      </c>
      <c r="T38" s="278">
        <v>30508.492729771533</v>
      </c>
      <c r="U38" s="278">
        <v>-8.6736173798840355E-13</v>
      </c>
      <c r="V38" s="278">
        <v>-30508.49272977154</v>
      </c>
      <c r="W38" s="278">
        <v>-61016.985459543088</v>
      </c>
      <c r="X38" s="278">
        <v>-91525.478189314628</v>
      </c>
      <c r="Y38" s="278">
        <v>-122033.97091908618</v>
      </c>
      <c r="Z38" s="279">
        <v>-152542.46364885769</v>
      </c>
      <c r="AB38" s="282" t="str">
        <f t="shared" si="12"/>
        <v>3Y</v>
      </c>
      <c r="AC38" s="278">
        <f ca="1">IF(ABS(P38-C38)&gt;SnapshotTolerance,1,0)</f>
        <v>0</v>
      </c>
      <c r="AD38" s="278">
        <f ca="1">IF(ABS(Q38-D38)&gt;SnapshotTolerance,1,0)</f>
        <v>0</v>
      </c>
      <c r="AE38" s="278">
        <f ca="1">IF(ABS(R38-E38)&gt;SnapshotTolerance,1,0)</f>
        <v>0</v>
      </c>
      <c r="AF38" s="278">
        <f ca="1">IF(ABS(S38-F38)&gt;SnapshotTolerance,1,0)</f>
        <v>0</v>
      </c>
      <c r="AG38" s="278">
        <f ca="1">IF(ABS(T38-G38)&gt;SnapshotTolerance,1,0)</f>
        <v>0</v>
      </c>
      <c r="AH38" s="278">
        <f ca="1">IF(ABS(U38-H38)&gt;SnapshotTolerance,1,0)</f>
        <v>0</v>
      </c>
      <c r="AI38" s="278">
        <f ca="1">IF(ABS(V38-I38)&gt;SnapshotTolerance,1,0)</f>
        <v>0</v>
      </c>
      <c r="AJ38" s="278">
        <f ca="1">IF(ABS(W38-J38)&gt;SnapshotTolerance,1,0)</f>
        <v>0</v>
      </c>
      <c r="AK38" s="278">
        <f ca="1">IF(ABS(X38-K38)&gt;SnapshotTolerance,1,0)</f>
        <v>0</v>
      </c>
      <c r="AL38" s="278">
        <f ca="1">IF(ABS(Y38-L38)&gt;SnapshotTolerance,1,0)</f>
        <v>0</v>
      </c>
      <c r="AM38" s="279">
        <f ca="1">IF(ABS(Z38-M38)&gt;SnapshotTolerance,1,0)</f>
        <v>0</v>
      </c>
    </row>
    <row r="39" spans="2:39">
      <c r="B39" s="282" t="str">
        <f>'EUR Swap PVs'!M31</f>
        <v>4Y</v>
      </c>
      <c r="C39" s="278">
        <f ca="1">'EUR Swap PVs'!N31</f>
        <v>202890.72538400179</v>
      </c>
      <c r="D39" s="278">
        <f ca="1">'EUR Swap PVs'!O31</f>
        <v>162312.58030720145</v>
      </c>
      <c r="E39" s="278">
        <f ca="1">'EUR Swap PVs'!P31</f>
        <v>121734.43523040108</v>
      </c>
      <c r="F39" s="278">
        <f ca="1">'EUR Swap PVs'!Q31</f>
        <v>81156.290153600741</v>
      </c>
      <c r="G39" s="278">
        <f ca="1">'EUR Swap PVs'!R31</f>
        <v>40578.145076800356</v>
      </c>
      <c r="H39" s="278">
        <f ca="1">'EUR Swap PVs'!S31</f>
        <v>0</v>
      </c>
      <c r="I39" s="278">
        <f ca="1">'EUR Swap PVs'!T31</f>
        <v>-40578.145076800356</v>
      </c>
      <c r="J39" s="278">
        <f ca="1">'EUR Swap PVs'!U31</f>
        <v>-81156.290153600727</v>
      </c>
      <c r="K39" s="278">
        <f ca="1">'EUR Swap PVs'!V31</f>
        <v>-121734.43523040108</v>
      </c>
      <c r="L39" s="278">
        <f ca="1">'EUR Swap PVs'!W31</f>
        <v>-162312.58030720145</v>
      </c>
      <c r="M39" s="279">
        <f ca="1">'EUR Swap PVs'!X31</f>
        <v>-202890.72538400182</v>
      </c>
      <c r="O39" s="282" t="s">
        <v>35</v>
      </c>
      <c r="P39" s="278">
        <v>202890.72538400179</v>
      </c>
      <c r="Q39" s="278">
        <v>162312.58030720145</v>
      </c>
      <c r="R39" s="278">
        <v>121734.43523040108</v>
      </c>
      <c r="S39" s="278">
        <v>81156.290153600741</v>
      </c>
      <c r="T39" s="278">
        <v>40578.145076800356</v>
      </c>
      <c r="U39" s="278">
        <v>0</v>
      </c>
      <c r="V39" s="278">
        <v>-40578.145076800356</v>
      </c>
      <c r="W39" s="278">
        <v>-81156.290153600727</v>
      </c>
      <c r="X39" s="278">
        <v>-121734.43523040108</v>
      </c>
      <c r="Y39" s="278">
        <v>-162312.58030720145</v>
      </c>
      <c r="Z39" s="279">
        <v>-202890.72538400182</v>
      </c>
      <c r="AB39" s="282" t="str">
        <f t="shared" si="12"/>
        <v>4Y</v>
      </c>
      <c r="AC39" s="278">
        <f ca="1">IF(ABS(P39-C39)&gt;SnapshotTolerance,1,0)</f>
        <v>0</v>
      </c>
      <c r="AD39" s="278">
        <f ca="1">IF(ABS(Q39-D39)&gt;SnapshotTolerance,1,0)</f>
        <v>0</v>
      </c>
      <c r="AE39" s="278">
        <f ca="1">IF(ABS(R39-E39)&gt;SnapshotTolerance,1,0)</f>
        <v>0</v>
      </c>
      <c r="AF39" s="278">
        <f ca="1">IF(ABS(S39-F39)&gt;SnapshotTolerance,1,0)</f>
        <v>0</v>
      </c>
      <c r="AG39" s="278">
        <f ca="1">IF(ABS(T39-G39)&gt;SnapshotTolerance,1,0)</f>
        <v>0</v>
      </c>
      <c r="AH39" s="278">
        <f ca="1">IF(ABS(U39-H39)&gt;SnapshotTolerance,1,0)</f>
        <v>0</v>
      </c>
      <c r="AI39" s="278">
        <f ca="1">IF(ABS(V39-I39)&gt;SnapshotTolerance,1,0)</f>
        <v>0</v>
      </c>
      <c r="AJ39" s="278">
        <f ca="1">IF(ABS(W39-J39)&gt;SnapshotTolerance,1,0)</f>
        <v>0</v>
      </c>
      <c r="AK39" s="278">
        <f ca="1">IF(ABS(X39-K39)&gt;SnapshotTolerance,1,0)</f>
        <v>0</v>
      </c>
      <c r="AL39" s="278">
        <f ca="1">IF(ABS(Y39-L39)&gt;SnapshotTolerance,1,0)</f>
        <v>0</v>
      </c>
      <c r="AM39" s="279">
        <f ca="1">IF(ABS(Z39-M39)&gt;SnapshotTolerance,1,0)</f>
        <v>0</v>
      </c>
    </row>
    <row r="40" spans="2:39">
      <c r="B40" s="282" t="str">
        <f>'EUR Swap PVs'!M32</f>
        <v>5Y</v>
      </c>
      <c r="C40" s="278">
        <f ca="1">'EUR Swap PVs'!N32</f>
        <v>253069.5285075022</v>
      </c>
      <c r="D40" s="278">
        <f ca="1">'EUR Swap PVs'!O32</f>
        <v>202455.6228060018</v>
      </c>
      <c r="E40" s="278">
        <f ca="1">'EUR Swap PVs'!P32</f>
        <v>151841.71710450135</v>
      </c>
      <c r="F40" s="278">
        <f ca="1">'EUR Swap PVs'!Q32</f>
        <v>101227.81140300092</v>
      </c>
      <c r="G40" s="278">
        <f ca="1">'EUR Swap PVs'!R32</f>
        <v>50613.905701500429</v>
      </c>
      <c r="H40" s="278">
        <f ca="1">'EUR Swap PVs'!S32</f>
        <v>0</v>
      </c>
      <c r="I40" s="278">
        <f ca="1">'EUR Swap PVs'!T32</f>
        <v>-50613.905701500444</v>
      </c>
      <c r="J40" s="278">
        <f ca="1">'EUR Swap PVs'!U32</f>
        <v>-101227.81140300089</v>
      </c>
      <c r="K40" s="278">
        <f ca="1">'EUR Swap PVs'!V32</f>
        <v>-151841.71710450135</v>
      </c>
      <c r="L40" s="278">
        <f ca="1">'EUR Swap PVs'!W32</f>
        <v>-202455.62280600177</v>
      </c>
      <c r="M40" s="279">
        <f ca="1">'EUR Swap PVs'!X32</f>
        <v>-253069.5285075022</v>
      </c>
      <c r="O40" s="282" t="s">
        <v>33</v>
      </c>
      <c r="P40" s="278">
        <v>253069.5285075022</v>
      </c>
      <c r="Q40" s="278">
        <v>202455.6228060018</v>
      </c>
      <c r="R40" s="278">
        <v>151841.71710450135</v>
      </c>
      <c r="S40" s="278">
        <v>101227.81140300092</v>
      </c>
      <c r="T40" s="278">
        <v>50613.905701500429</v>
      </c>
      <c r="U40" s="278">
        <v>0</v>
      </c>
      <c r="V40" s="278">
        <v>-50613.905701500444</v>
      </c>
      <c r="W40" s="278">
        <v>-101227.81140300089</v>
      </c>
      <c r="X40" s="278">
        <v>-151841.71710450135</v>
      </c>
      <c r="Y40" s="278">
        <v>-202455.62280600177</v>
      </c>
      <c r="Z40" s="279">
        <v>-253069.5285075022</v>
      </c>
      <c r="AB40" s="282" t="str">
        <f t="shared" si="12"/>
        <v>5Y</v>
      </c>
      <c r="AC40" s="278">
        <f ca="1">IF(ABS(P40-C40)&gt;SnapshotTolerance,1,0)</f>
        <v>0</v>
      </c>
      <c r="AD40" s="278">
        <f ca="1">IF(ABS(Q40-D40)&gt;SnapshotTolerance,1,0)</f>
        <v>0</v>
      </c>
      <c r="AE40" s="278">
        <f ca="1">IF(ABS(R40-E40)&gt;SnapshotTolerance,1,0)</f>
        <v>0</v>
      </c>
      <c r="AF40" s="278">
        <f ca="1">IF(ABS(S40-F40)&gt;SnapshotTolerance,1,0)</f>
        <v>0</v>
      </c>
      <c r="AG40" s="278">
        <f ca="1">IF(ABS(T40-G40)&gt;SnapshotTolerance,1,0)</f>
        <v>0</v>
      </c>
      <c r="AH40" s="278">
        <f ca="1">IF(ABS(U40-H40)&gt;SnapshotTolerance,1,0)</f>
        <v>0</v>
      </c>
      <c r="AI40" s="278">
        <f ca="1">IF(ABS(V40-I40)&gt;SnapshotTolerance,1,0)</f>
        <v>0</v>
      </c>
      <c r="AJ40" s="278">
        <f ca="1">IF(ABS(W40-J40)&gt;SnapshotTolerance,1,0)</f>
        <v>0</v>
      </c>
      <c r="AK40" s="278">
        <f ca="1">IF(ABS(X40-K40)&gt;SnapshotTolerance,1,0)</f>
        <v>0</v>
      </c>
      <c r="AL40" s="278">
        <f ca="1">IF(ABS(Y40-L40)&gt;SnapshotTolerance,1,0)</f>
        <v>0</v>
      </c>
      <c r="AM40" s="279">
        <f ca="1">IF(ABS(Z40-M40)&gt;SnapshotTolerance,1,0)</f>
        <v>0</v>
      </c>
    </row>
    <row r="41" spans="2:39">
      <c r="B41" s="282" t="str">
        <f>'EUR Swap PVs'!M33</f>
        <v>6Y</v>
      </c>
      <c r="C41" s="278">
        <f ca="1">'EUR Swap PVs'!N33</f>
        <v>302490.7129720439</v>
      </c>
      <c r="D41" s="278">
        <f ca="1">'EUR Swap PVs'!O33</f>
        <v>241992.57037763516</v>
      </c>
      <c r="E41" s="278">
        <f ca="1">'EUR Swap PVs'!P33</f>
        <v>181494.42778322636</v>
      </c>
      <c r="F41" s="278">
        <f ca="1">'EUR Swap PVs'!Q33</f>
        <v>120996.28518881758</v>
      </c>
      <c r="G41" s="278">
        <f ca="1">'EUR Swap PVs'!R33</f>
        <v>60498.142594408746</v>
      </c>
      <c r="H41" s="278">
        <f ca="1">'EUR Swap PVs'!S33</f>
        <v>0</v>
      </c>
      <c r="I41" s="278">
        <f ca="1">'EUR Swap PVs'!T33</f>
        <v>-60498.142594408768</v>
      </c>
      <c r="J41" s="278">
        <f ca="1">'EUR Swap PVs'!U33</f>
        <v>-120996.28518881754</v>
      </c>
      <c r="K41" s="278">
        <f ca="1">'EUR Swap PVs'!V33</f>
        <v>-181494.42778322633</v>
      </c>
      <c r="L41" s="278">
        <f ca="1">'EUR Swap PVs'!W33</f>
        <v>-241992.57037763507</v>
      </c>
      <c r="M41" s="279">
        <f ca="1">'EUR Swap PVs'!X33</f>
        <v>-302490.7129720439</v>
      </c>
      <c r="O41" s="282" t="s">
        <v>131</v>
      </c>
      <c r="P41" s="278">
        <v>302490.7129720439</v>
      </c>
      <c r="Q41" s="278">
        <v>241992.57037763516</v>
      </c>
      <c r="R41" s="278">
        <v>181494.42778322636</v>
      </c>
      <c r="S41" s="278">
        <v>120996.28518881758</v>
      </c>
      <c r="T41" s="278">
        <v>60498.142594408746</v>
      </c>
      <c r="U41" s="278">
        <v>0</v>
      </c>
      <c r="V41" s="278">
        <v>-60498.142594408768</v>
      </c>
      <c r="W41" s="278">
        <v>-120996.28518881754</v>
      </c>
      <c r="X41" s="278">
        <v>-181494.42778322633</v>
      </c>
      <c r="Y41" s="278">
        <v>-241992.57037763507</v>
      </c>
      <c r="Z41" s="279">
        <v>-302490.7129720439</v>
      </c>
      <c r="AB41" s="282" t="str">
        <f t="shared" si="12"/>
        <v>6Y</v>
      </c>
      <c r="AC41" s="278">
        <f ca="1">IF(ABS(P41-C41)&gt;SnapshotTolerance,1,0)</f>
        <v>0</v>
      </c>
      <c r="AD41" s="278">
        <f ca="1">IF(ABS(Q41-D41)&gt;SnapshotTolerance,1,0)</f>
        <v>0</v>
      </c>
      <c r="AE41" s="278">
        <f ca="1">IF(ABS(R41-E41)&gt;SnapshotTolerance,1,0)</f>
        <v>0</v>
      </c>
      <c r="AF41" s="278">
        <f ca="1">IF(ABS(S41-F41)&gt;SnapshotTolerance,1,0)</f>
        <v>0</v>
      </c>
      <c r="AG41" s="278">
        <f ca="1">IF(ABS(T41-G41)&gt;SnapshotTolerance,1,0)</f>
        <v>0</v>
      </c>
      <c r="AH41" s="278">
        <f ca="1">IF(ABS(U41-H41)&gt;SnapshotTolerance,1,0)</f>
        <v>0</v>
      </c>
      <c r="AI41" s="278">
        <f ca="1">IF(ABS(V41-I41)&gt;SnapshotTolerance,1,0)</f>
        <v>0</v>
      </c>
      <c r="AJ41" s="278">
        <f ca="1">IF(ABS(W41-J41)&gt;SnapshotTolerance,1,0)</f>
        <v>0</v>
      </c>
      <c r="AK41" s="278">
        <f ca="1">IF(ABS(X41-K41)&gt;SnapshotTolerance,1,0)</f>
        <v>0</v>
      </c>
      <c r="AL41" s="278">
        <f ca="1">IF(ABS(Y41-L41)&gt;SnapshotTolerance,1,0)</f>
        <v>0</v>
      </c>
      <c r="AM41" s="279">
        <f ca="1">IF(ABS(Z41-M41)&gt;SnapshotTolerance,1,0)</f>
        <v>0</v>
      </c>
    </row>
    <row r="42" spans="2:39">
      <c r="B42" s="282" t="str">
        <f>'EUR Swap PVs'!M34</f>
        <v>7Y</v>
      </c>
      <c r="C42" s="278">
        <f ca="1">'EUR Swap PVs'!N34</f>
        <v>351141.27427565056</v>
      </c>
      <c r="D42" s="278">
        <f ca="1">'EUR Swap PVs'!O34</f>
        <v>280913.01942052058</v>
      </c>
      <c r="E42" s="278">
        <f ca="1">'EUR Swap PVs'!P34</f>
        <v>210684.76456539039</v>
      </c>
      <c r="F42" s="278">
        <f ca="1">'EUR Swap PVs'!Q34</f>
        <v>140456.50971026029</v>
      </c>
      <c r="G42" s="278">
        <f ca="1">'EUR Swap PVs'!R34</f>
        <v>70228.254855130101</v>
      </c>
      <c r="H42" s="278">
        <f ca="1">'EUR Swap PVs'!S34</f>
        <v>6.9388939039072284E-12</v>
      </c>
      <c r="I42" s="278">
        <f ca="1">'EUR Swap PVs'!T34</f>
        <v>-70228.254855130115</v>
      </c>
      <c r="J42" s="278">
        <f ca="1">'EUR Swap PVs'!U34</f>
        <v>-140456.50971026023</v>
      </c>
      <c r="K42" s="278">
        <f ca="1">'EUR Swap PVs'!V34</f>
        <v>-210684.76456539033</v>
      </c>
      <c r="L42" s="278">
        <f ca="1">'EUR Swap PVs'!W34</f>
        <v>-280913.01942052046</v>
      </c>
      <c r="M42" s="279">
        <f ca="1">'EUR Swap PVs'!X34</f>
        <v>-351141.27427565062</v>
      </c>
      <c r="O42" s="282" t="s">
        <v>31</v>
      </c>
      <c r="P42" s="278">
        <v>351141.27427565056</v>
      </c>
      <c r="Q42" s="278">
        <v>280913.01942052058</v>
      </c>
      <c r="R42" s="278">
        <v>210684.76456539039</v>
      </c>
      <c r="S42" s="278">
        <v>140456.50971026029</v>
      </c>
      <c r="T42" s="278">
        <v>70228.254855130101</v>
      </c>
      <c r="U42" s="278">
        <v>6.9388939039072284E-12</v>
      </c>
      <c r="V42" s="278">
        <v>-70228.254855130115</v>
      </c>
      <c r="W42" s="278">
        <v>-140456.50971026023</v>
      </c>
      <c r="X42" s="278">
        <v>-210684.76456539033</v>
      </c>
      <c r="Y42" s="278">
        <v>-280913.01942052046</v>
      </c>
      <c r="Z42" s="279">
        <v>-351141.27427565062</v>
      </c>
      <c r="AB42" s="282" t="str">
        <f t="shared" si="12"/>
        <v>7Y</v>
      </c>
      <c r="AC42" s="278">
        <f ca="1">IF(ABS(P42-C42)&gt;SnapshotTolerance,1,0)</f>
        <v>0</v>
      </c>
      <c r="AD42" s="278">
        <f ca="1">IF(ABS(Q42-D42)&gt;SnapshotTolerance,1,0)</f>
        <v>0</v>
      </c>
      <c r="AE42" s="278">
        <f ca="1">IF(ABS(R42-E42)&gt;SnapshotTolerance,1,0)</f>
        <v>0</v>
      </c>
      <c r="AF42" s="278">
        <f ca="1">IF(ABS(S42-F42)&gt;SnapshotTolerance,1,0)</f>
        <v>0</v>
      </c>
      <c r="AG42" s="278">
        <f ca="1">IF(ABS(T42-G42)&gt;SnapshotTolerance,1,0)</f>
        <v>0</v>
      </c>
      <c r="AH42" s="278">
        <f ca="1">IF(ABS(U42-H42)&gt;SnapshotTolerance,1,0)</f>
        <v>0</v>
      </c>
      <c r="AI42" s="278">
        <f ca="1">IF(ABS(V42-I42)&gt;SnapshotTolerance,1,0)</f>
        <v>0</v>
      </c>
      <c r="AJ42" s="278">
        <f ca="1">IF(ABS(W42-J42)&gt;SnapshotTolerance,1,0)</f>
        <v>0</v>
      </c>
      <c r="AK42" s="278">
        <f ca="1">IF(ABS(X42-K42)&gt;SnapshotTolerance,1,0)</f>
        <v>0</v>
      </c>
      <c r="AL42" s="278">
        <f ca="1">IF(ABS(Y42-L42)&gt;SnapshotTolerance,1,0)</f>
        <v>0</v>
      </c>
      <c r="AM42" s="279">
        <f ca="1">IF(ABS(Z42-M42)&gt;SnapshotTolerance,1,0)</f>
        <v>0</v>
      </c>
    </row>
    <row r="43" spans="2:39">
      <c r="B43" s="282" t="str">
        <f>'EUR Swap PVs'!M35</f>
        <v>8Y</v>
      </c>
      <c r="C43" s="278">
        <f ca="1">'EUR Swap PVs'!N35</f>
        <v>399166.62011515006</v>
      </c>
      <c r="D43" s="278">
        <f ca="1">'EUR Swap PVs'!O35</f>
        <v>319333.29609212012</v>
      </c>
      <c r="E43" s="278">
        <f ca="1">'EUR Swap PVs'!P35</f>
        <v>239499.97206909009</v>
      </c>
      <c r="F43" s="278">
        <f ca="1">'EUR Swap PVs'!Q35</f>
        <v>159666.64804606006</v>
      </c>
      <c r="G43" s="278">
        <f ca="1">'EUR Swap PVs'!R35</f>
        <v>79833.324023029971</v>
      </c>
      <c r="H43" s="278">
        <f ca="1">'EUR Swap PVs'!S35</f>
        <v>0</v>
      </c>
      <c r="I43" s="278">
        <f ca="1">'EUR Swap PVs'!T35</f>
        <v>-79833.32402303</v>
      </c>
      <c r="J43" s="278">
        <f ca="1">'EUR Swap PVs'!U35</f>
        <v>-159666.64804606</v>
      </c>
      <c r="K43" s="278">
        <f ca="1">'EUR Swap PVs'!V35</f>
        <v>-239499.97206909006</v>
      </c>
      <c r="L43" s="278">
        <f ca="1">'EUR Swap PVs'!W35</f>
        <v>-319333.29609212</v>
      </c>
      <c r="M43" s="279">
        <f ca="1">'EUR Swap PVs'!X35</f>
        <v>-399166.62011515006</v>
      </c>
      <c r="O43" s="282" t="s">
        <v>119</v>
      </c>
      <c r="P43" s="278">
        <v>399166.62011515006</v>
      </c>
      <c r="Q43" s="278">
        <v>319333.29609212012</v>
      </c>
      <c r="R43" s="278">
        <v>239499.97206909009</v>
      </c>
      <c r="S43" s="278">
        <v>159666.64804606006</v>
      </c>
      <c r="T43" s="278">
        <v>79833.324023029971</v>
      </c>
      <c r="U43" s="278">
        <v>0</v>
      </c>
      <c r="V43" s="278">
        <v>-79833.32402303</v>
      </c>
      <c r="W43" s="278">
        <v>-159666.64804606</v>
      </c>
      <c r="X43" s="278">
        <v>-239499.97206909006</v>
      </c>
      <c r="Y43" s="278">
        <v>-319333.29609212</v>
      </c>
      <c r="Z43" s="279">
        <v>-399166.62011515006</v>
      </c>
      <c r="AB43" s="282" t="str">
        <f t="shared" si="12"/>
        <v>8Y</v>
      </c>
      <c r="AC43" s="278">
        <f ca="1">IF(ABS(P43-C43)&gt;SnapshotTolerance,1,0)</f>
        <v>0</v>
      </c>
      <c r="AD43" s="278">
        <f ca="1">IF(ABS(Q43-D43)&gt;SnapshotTolerance,1,0)</f>
        <v>0</v>
      </c>
      <c r="AE43" s="278">
        <f ca="1">IF(ABS(R43-E43)&gt;SnapshotTolerance,1,0)</f>
        <v>0</v>
      </c>
      <c r="AF43" s="278">
        <f ca="1">IF(ABS(S43-F43)&gt;SnapshotTolerance,1,0)</f>
        <v>0</v>
      </c>
      <c r="AG43" s="278">
        <f ca="1">IF(ABS(T43-G43)&gt;SnapshotTolerance,1,0)</f>
        <v>0</v>
      </c>
      <c r="AH43" s="278">
        <f ca="1">IF(ABS(U43-H43)&gt;SnapshotTolerance,1,0)</f>
        <v>0</v>
      </c>
      <c r="AI43" s="278">
        <f ca="1">IF(ABS(V43-I43)&gt;SnapshotTolerance,1,0)</f>
        <v>0</v>
      </c>
      <c r="AJ43" s="278">
        <f ca="1">IF(ABS(W43-J43)&gt;SnapshotTolerance,1,0)</f>
        <v>0</v>
      </c>
      <c r="AK43" s="278">
        <f ca="1">IF(ABS(X43-K43)&gt;SnapshotTolerance,1,0)</f>
        <v>0</v>
      </c>
      <c r="AL43" s="278">
        <f ca="1">IF(ABS(Y43-L43)&gt;SnapshotTolerance,1,0)</f>
        <v>0</v>
      </c>
      <c r="AM43" s="279">
        <f ca="1">IF(ABS(Z43-M43)&gt;SnapshotTolerance,1,0)</f>
        <v>0</v>
      </c>
    </row>
    <row r="44" spans="2:39">
      <c r="B44" s="282" t="str">
        <f>'EUR Swap PVs'!M36</f>
        <v>9Y</v>
      </c>
      <c r="C44" s="278">
        <f ca="1">'EUR Swap PVs'!N36</f>
        <v>445844.23518302286</v>
      </c>
      <c r="D44" s="278">
        <f ca="1">'EUR Swap PVs'!O36</f>
        <v>356675.38814641844</v>
      </c>
      <c r="E44" s="278">
        <f ca="1">'EUR Swap PVs'!P36</f>
        <v>267506.54110981378</v>
      </c>
      <c r="F44" s="278">
        <f ca="1">'EUR Swap PVs'!Q36</f>
        <v>178337.69407320925</v>
      </c>
      <c r="G44" s="278">
        <f ca="1">'EUR Swap PVs'!R36</f>
        <v>89168.847036604522</v>
      </c>
      <c r="H44" s="278">
        <f ca="1">'EUR Swap PVs'!S36</f>
        <v>-1.3877787807814457E-11</v>
      </c>
      <c r="I44" s="278">
        <f ca="1">'EUR Swap PVs'!T36</f>
        <v>-89168.847036604609</v>
      </c>
      <c r="J44" s="278">
        <f ca="1">'EUR Swap PVs'!U36</f>
        <v>-178337.69407320922</v>
      </c>
      <c r="K44" s="278">
        <f ca="1">'EUR Swap PVs'!V36</f>
        <v>-267506.54110981378</v>
      </c>
      <c r="L44" s="278">
        <f ca="1">'EUR Swap PVs'!W36</f>
        <v>-356675.38814641844</v>
      </c>
      <c r="M44" s="279">
        <f ca="1">'EUR Swap PVs'!X36</f>
        <v>-445844.23518302297</v>
      </c>
      <c r="O44" s="282" t="s">
        <v>113</v>
      </c>
      <c r="P44" s="278">
        <v>445844.23518302286</v>
      </c>
      <c r="Q44" s="278">
        <v>356675.38814641844</v>
      </c>
      <c r="R44" s="278">
        <v>267506.54110981378</v>
      </c>
      <c r="S44" s="278">
        <v>178337.69407320925</v>
      </c>
      <c r="T44" s="278">
        <v>89168.847036604522</v>
      </c>
      <c r="U44" s="278">
        <v>-1.3877787807814457E-11</v>
      </c>
      <c r="V44" s="278">
        <v>-89168.847036604609</v>
      </c>
      <c r="W44" s="278">
        <v>-178337.69407320922</v>
      </c>
      <c r="X44" s="278">
        <v>-267506.54110981378</v>
      </c>
      <c r="Y44" s="278">
        <v>-356675.38814641844</v>
      </c>
      <c r="Z44" s="279">
        <v>-445844.23518302297</v>
      </c>
      <c r="AB44" s="282" t="str">
        <f t="shared" si="12"/>
        <v>9Y</v>
      </c>
      <c r="AC44" s="278">
        <f ca="1">IF(ABS(P44-C44)&gt;SnapshotTolerance,1,0)</f>
        <v>0</v>
      </c>
      <c r="AD44" s="278">
        <f ca="1">IF(ABS(Q44-D44)&gt;SnapshotTolerance,1,0)</f>
        <v>0</v>
      </c>
      <c r="AE44" s="278">
        <f ca="1">IF(ABS(R44-E44)&gt;SnapshotTolerance,1,0)</f>
        <v>0</v>
      </c>
      <c r="AF44" s="278">
        <f ca="1">IF(ABS(S44-F44)&gt;SnapshotTolerance,1,0)</f>
        <v>0</v>
      </c>
      <c r="AG44" s="278">
        <f ca="1">IF(ABS(T44-G44)&gt;SnapshotTolerance,1,0)</f>
        <v>0</v>
      </c>
      <c r="AH44" s="278">
        <f ca="1">IF(ABS(U44-H44)&gt;SnapshotTolerance,1,0)</f>
        <v>0</v>
      </c>
      <c r="AI44" s="278">
        <f ca="1">IF(ABS(V44-I44)&gt;SnapshotTolerance,1,0)</f>
        <v>0</v>
      </c>
      <c r="AJ44" s="278">
        <f ca="1">IF(ABS(W44-J44)&gt;SnapshotTolerance,1,0)</f>
        <v>0</v>
      </c>
      <c r="AK44" s="278">
        <f ca="1">IF(ABS(X44-K44)&gt;SnapshotTolerance,1,0)</f>
        <v>0</v>
      </c>
      <c r="AL44" s="278">
        <f ca="1">IF(ABS(Y44-L44)&gt;SnapshotTolerance,1,0)</f>
        <v>0</v>
      </c>
      <c r="AM44" s="279">
        <f ca="1">IF(ABS(Z44-M44)&gt;SnapshotTolerance,1,0)</f>
        <v>0</v>
      </c>
    </row>
    <row r="45" spans="2:39">
      <c r="B45" s="282" t="str">
        <f>'EUR Swap PVs'!M37</f>
        <v>10Y</v>
      </c>
      <c r="C45" s="278">
        <f ca="1">'EUR Swap PVs'!N37</f>
        <v>491641.46924409922</v>
      </c>
      <c r="D45" s="278">
        <f ca="1">'EUR Swap PVs'!O37</f>
        <v>393313.17539527954</v>
      </c>
      <c r="E45" s="278">
        <f ca="1">'EUR Swap PVs'!P37</f>
        <v>294984.88154645957</v>
      </c>
      <c r="F45" s="278">
        <f ca="1">'EUR Swap PVs'!Q37</f>
        <v>196656.58769763977</v>
      </c>
      <c r="G45" s="278">
        <f ca="1">'EUR Swap PVs'!R37</f>
        <v>98328.293848819783</v>
      </c>
      <c r="H45" s="278">
        <f ca="1">'EUR Swap PVs'!S37</f>
        <v>0</v>
      </c>
      <c r="I45" s="278">
        <f ca="1">'EUR Swap PVs'!T37</f>
        <v>-98328.293848819856</v>
      </c>
      <c r="J45" s="278">
        <f ca="1">'EUR Swap PVs'!U37</f>
        <v>-196656.58769763971</v>
      </c>
      <c r="K45" s="278">
        <f ca="1">'EUR Swap PVs'!V37</f>
        <v>-294984.88154645963</v>
      </c>
      <c r="L45" s="278">
        <f ca="1">'EUR Swap PVs'!W37</f>
        <v>-393313.17539527948</v>
      </c>
      <c r="M45" s="279">
        <f ca="1">'EUR Swap PVs'!X37</f>
        <v>-491641.46924409934</v>
      </c>
      <c r="O45" s="282" t="s">
        <v>28</v>
      </c>
      <c r="P45" s="278">
        <v>491641.46924409922</v>
      </c>
      <c r="Q45" s="278">
        <v>393313.17539527954</v>
      </c>
      <c r="R45" s="278">
        <v>294984.88154645957</v>
      </c>
      <c r="S45" s="278">
        <v>196656.58769763977</v>
      </c>
      <c r="T45" s="278">
        <v>98328.293848819783</v>
      </c>
      <c r="U45" s="278">
        <v>0</v>
      </c>
      <c r="V45" s="278">
        <v>-98328.293848819856</v>
      </c>
      <c r="W45" s="278">
        <v>-196656.58769763971</v>
      </c>
      <c r="X45" s="278">
        <v>-294984.88154645963</v>
      </c>
      <c r="Y45" s="278">
        <v>-393313.17539527948</v>
      </c>
      <c r="Z45" s="279">
        <v>-491641.46924409934</v>
      </c>
      <c r="AB45" s="282" t="str">
        <f t="shared" si="12"/>
        <v>10Y</v>
      </c>
      <c r="AC45" s="278">
        <f ca="1">IF(ABS(P45-C45)&gt;SnapshotTolerance,1,0)</f>
        <v>0</v>
      </c>
      <c r="AD45" s="278">
        <f ca="1">IF(ABS(Q45-D45)&gt;SnapshotTolerance,1,0)</f>
        <v>0</v>
      </c>
      <c r="AE45" s="278">
        <f ca="1">IF(ABS(R45-E45)&gt;SnapshotTolerance,1,0)</f>
        <v>0</v>
      </c>
      <c r="AF45" s="278">
        <f ca="1">IF(ABS(S45-F45)&gt;SnapshotTolerance,1,0)</f>
        <v>0</v>
      </c>
      <c r="AG45" s="278">
        <f ca="1">IF(ABS(T45-G45)&gt;SnapshotTolerance,1,0)</f>
        <v>0</v>
      </c>
      <c r="AH45" s="278">
        <f ca="1">IF(ABS(U45-H45)&gt;SnapshotTolerance,1,0)</f>
        <v>0</v>
      </c>
      <c r="AI45" s="278">
        <f ca="1">IF(ABS(V45-I45)&gt;SnapshotTolerance,1,0)</f>
        <v>0</v>
      </c>
      <c r="AJ45" s="278">
        <f ca="1">IF(ABS(W45-J45)&gt;SnapshotTolerance,1,0)</f>
        <v>0</v>
      </c>
      <c r="AK45" s="278">
        <f ca="1">IF(ABS(X45-K45)&gt;SnapshotTolerance,1,0)</f>
        <v>0</v>
      </c>
      <c r="AL45" s="278">
        <f ca="1">IF(ABS(Y45-L45)&gt;SnapshotTolerance,1,0)</f>
        <v>0</v>
      </c>
      <c r="AM45" s="279">
        <f ca="1">IF(ABS(Z45-M45)&gt;SnapshotTolerance,1,0)</f>
        <v>0</v>
      </c>
    </row>
    <row r="46" spans="2:39">
      <c r="B46" s="282" t="str">
        <f>'EUR Swap PVs'!M38</f>
        <v>11Y</v>
      </c>
      <c r="C46" s="278">
        <f ca="1">'EUR Swap PVs'!N38</f>
        <v>536403.6230546463</v>
      </c>
      <c r="D46" s="278">
        <f ca="1">'EUR Swap PVs'!O38</f>
        <v>429122.89844371722</v>
      </c>
      <c r="E46" s="278">
        <f ca="1">'EUR Swap PVs'!P38</f>
        <v>321842.17383278778</v>
      </c>
      <c r="F46" s="278">
        <f ca="1">'EUR Swap PVs'!Q38</f>
        <v>214561.44922185864</v>
      </c>
      <c r="G46" s="278">
        <f ca="1">'EUR Swap PVs'!R38</f>
        <v>107280.72461092922</v>
      </c>
      <c r="H46" s="278">
        <f ca="1">'EUR Swap PVs'!S38</f>
        <v>0</v>
      </c>
      <c r="I46" s="278">
        <f ca="1">'EUR Swap PVs'!T38</f>
        <v>-107280.72461092929</v>
      </c>
      <c r="J46" s="278">
        <f ca="1">'EUR Swap PVs'!U38</f>
        <v>-214561.44922185855</v>
      </c>
      <c r="K46" s="278">
        <f ca="1">'EUR Swap PVs'!V38</f>
        <v>-321842.17383278784</v>
      </c>
      <c r="L46" s="278">
        <f ca="1">'EUR Swap PVs'!W38</f>
        <v>-429122.8984437171</v>
      </c>
      <c r="M46" s="279">
        <f ca="1">'EUR Swap PVs'!X38</f>
        <v>-536403.62305464642</v>
      </c>
      <c r="O46" s="282" t="s">
        <v>366</v>
      </c>
      <c r="P46" s="278">
        <v>536403.6230546463</v>
      </c>
      <c r="Q46" s="278">
        <v>429122.89844371722</v>
      </c>
      <c r="R46" s="278">
        <v>321842.17383278778</v>
      </c>
      <c r="S46" s="278">
        <v>214561.44922185864</v>
      </c>
      <c r="T46" s="278">
        <v>107280.72461092922</v>
      </c>
      <c r="U46" s="278">
        <v>0</v>
      </c>
      <c r="V46" s="278">
        <v>-107280.72461092929</v>
      </c>
      <c r="W46" s="278">
        <v>-214561.44922185855</v>
      </c>
      <c r="X46" s="278">
        <v>-321842.17383278784</v>
      </c>
      <c r="Y46" s="278">
        <v>-429122.8984437171</v>
      </c>
      <c r="Z46" s="279">
        <v>-536403.62305464642</v>
      </c>
      <c r="AB46" s="282" t="str">
        <f t="shared" si="12"/>
        <v>11Y</v>
      </c>
      <c r="AC46" s="278">
        <f ca="1">IF(ABS(P46-C46)&gt;SnapshotTolerance,1,0)</f>
        <v>0</v>
      </c>
      <c r="AD46" s="278">
        <f ca="1">IF(ABS(Q46-D46)&gt;SnapshotTolerance,1,0)</f>
        <v>0</v>
      </c>
      <c r="AE46" s="278">
        <f ca="1">IF(ABS(R46-E46)&gt;SnapshotTolerance,1,0)</f>
        <v>0</v>
      </c>
      <c r="AF46" s="278">
        <f ca="1">IF(ABS(S46-F46)&gt;SnapshotTolerance,1,0)</f>
        <v>0</v>
      </c>
      <c r="AG46" s="278">
        <f ca="1">IF(ABS(T46-G46)&gt;SnapshotTolerance,1,0)</f>
        <v>0</v>
      </c>
      <c r="AH46" s="278">
        <f ca="1">IF(ABS(U46-H46)&gt;SnapshotTolerance,1,0)</f>
        <v>0</v>
      </c>
      <c r="AI46" s="278">
        <f ca="1">IF(ABS(V46-I46)&gt;SnapshotTolerance,1,0)</f>
        <v>0</v>
      </c>
      <c r="AJ46" s="278">
        <f ca="1">IF(ABS(W46-J46)&gt;SnapshotTolerance,1,0)</f>
        <v>0</v>
      </c>
      <c r="AK46" s="278">
        <f ca="1">IF(ABS(X46-K46)&gt;SnapshotTolerance,1,0)</f>
        <v>0</v>
      </c>
      <c r="AL46" s="278">
        <f ca="1">IF(ABS(Y46-L46)&gt;SnapshotTolerance,1,0)</f>
        <v>0</v>
      </c>
      <c r="AM46" s="279">
        <f ca="1">IF(ABS(Z46-M46)&gt;SnapshotTolerance,1,0)</f>
        <v>0</v>
      </c>
    </row>
    <row r="47" spans="2:39">
      <c r="B47" s="282" t="str">
        <f>'EUR Swap PVs'!M39</f>
        <v>12Y</v>
      </c>
      <c r="C47" s="278">
        <f ca="1">'EUR Swap PVs'!N39</f>
        <v>580132.46295708523</v>
      </c>
      <c r="D47" s="278">
        <f ca="1">'EUR Swap PVs'!O39</f>
        <v>464105.97036566836</v>
      </c>
      <c r="E47" s="278">
        <f ca="1">'EUR Swap PVs'!P39</f>
        <v>348079.47777425119</v>
      </c>
      <c r="F47" s="278">
        <f ca="1">'EUR Swap PVs'!Q39</f>
        <v>232052.98518283424</v>
      </c>
      <c r="G47" s="278">
        <f ca="1">'EUR Swap PVs'!R39</f>
        <v>116026.49259141706</v>
      </c>
      <c r="H47" s="278">
        <f ca="1">'EUR Swap PVs'!S39</f>
        <v>0</v>
      </c>
      <c r="I47" s="278">
        <f ca="1">'EUR Swap PVs'!T39</f>
        <v>-116026.49259141709</v>
      </c>
      <c r="J47" s="278">
        <f ca="1">'EUR Swap PVs'!U39</f>
        <v>-232052.98518283418</v>
      </c>
      <c r="K47" s="278">
        <f ca="1">'EUR Swap PVs'!V39</f>
        <v>-348079.47777425125</v>
      </c>
      <c r="L47" s="278">
        <f ca="1">'EUR Swap PVs'!W39</f>
        <v>-464105.9703656683</v>
      </c>
      <c r="M47" s="279">
        <f ca="1">'EUR Swap PVs'!X39</f>
        <v>-580132.46295708546</v>
      </c>
      <c r="O47" s="282" t="s">
        <v>26</v>
      </c>
      <c r="P47" s="278">
        <v>580132.46295708523</v>
      </c>
      <c r="Q47" s="278">
        <v>464105.97036566836</v>
      </c>
      <c r="R47" s="278">
        <v>348079.47777425119</v>
      </c>
      <c r="S47" s="278">
        <v>232052.98518283424</v>
      </c>
      <c r="T47" s="278">
        <v>116026.49259141706</v>
      </c>
      <c r="U47" s="278">
        <v>0</v>
      </c>
      <c r="V47" s="278">
        <v>-116026.49259141709</v>
      </c>
      <c r="W47" s="278">
        <v>-232052.98518283418</v>
      </c>
      <c r="X47" s="278">
        <v>-348079.47777425125</v>
      </c>
      <c r="Y47" s="278">
        <v>-464105.9703656683</v>
      </c>
      <c r="Z47" s="279">
        <v>-580132.46295708546</v>
      </c>
      <c r="AB47" s="282" t="str">
        <f t="shared" si="12"/>
        <v>12Y</v>
      </c>
      <c r="AC47" s="278">
        <f ca="1">IF(ABS(P47-C47)&gt;SnapshotTolerance,1,0)</f>
        <v>0</v>
      </c>
      <c r="AD47" s="278">
        <f ca="1">IF(ABS(Q47-D47)&gt;SnapshotTolerance,1,0)</f>
        <v>0</v>
      </c>
      <c r="AE47" s="278">
        <f ca="1">IF(ABS(R47-E47)&gt;SnapshotTolerance,1,0)</f>
        <v>0</v>
      </c>
      <c r="AF47" s="278">
        <f ca="1">IF(ABS(S47-F47)&gt;SnapshotTolerance,1,0)</f>
        <v>0</v>
      </c>
      <c r="AG47" s="278">
        <f ca="1">IF(ABS(T47-G47)&gt;SnapshotTolerance,1,0)</f>
        <v>0</v>
      </c>
      <c r="AH47" s="278">
        <f ca="1">IF(ABS(U47-H47)&gt;SnapshotTolerance,1,0)</f>
        <v>0</v>
      </c>
      <c r="AI47" s="278">
        <f ca="1">IF(ABS(V47-I47)&gt;SnapshotTolerance,1,0)</f>
        <v>0</v>
      </c>
      <c r="AJ47" s="278">
        <f ca="1">IF(ABS(W47-J47)&gt;SnapshotTolerance,1,0)</f>
        <v>0</v>
      </c>
      <c r="AK47" s="278">
        <f ca="1">IF(ABS(X47-K47)&gt;SnapshotTolerance,1,0)</f>
        <v>0</v>
      </c>
      <c r="AL47" s="278">
        <f ca="1">IF(ABS(Y47-L47)&gt;SnapshotTolerance,1,0)</f>
        <v>0</v>
      </c>
      <c r="AM47" s="279">
        <f ca="1">IF(ABS(Z47-M47)&gt;SnapshotTolerance,1,0)</f>
        <v>0</v>
      </c>
    </row>
    <row r="48" spans="2:39">
      <c r="B48" s="282" t="str">
        <f>'EUR Swap PVs'!M40</f>
        <v>15Y</v>
      </c>
      <c r="C48" s="278">
        <f ca="1">'EUR Swap PVs'!N40</f>
        <v>705375.04990592063</v>
      </c>
      <c r="D48" s="278">
        <f ca="1">'EUR Swap PVs'!O40</f>
        <v>564300.03992473683</v>
      </c>
      <c r="E48" s="278">
        <f ca="1">'EUR Swap PVs'!P40</f>
        <v>423225.02994355239</v>
      </c>
      <c r="F48" s="278">
        <f ca="1">'EUR Swap PVs'!Q40</f>
        <v>282150.01996236842</v>
      </c>
      <c r="G48" s="278">
        <f ca="1">'EUR Swap PVs'!R40</f>
        <v>141075.00998118412</v>
      </c>
      <c r="H48" s="278">
        <f ca="1">'EUR Swap PVs'!S40</f>
        <v>0</v>
      </c>
      <c r="I48" s="278">
        <f ca="1">'EUR Swap PVs'!T40</f>
        <v>-141075.00998118421</v>
      </c>
      <c r="J48" s="278">
        <f ca="1">'EUR Swap PVs'!U40</f>
        <v>-282150.01996236836</v>
      </c>
      <c r="K48" s="278">
        <f ca="1">'EUR Swap PVs'!V40</f>
        <v>-423225.02994355262</v>
      </c>
      <c r="L48" s="278">
        <f ca="1">'EUR Swap PVs'!W40</f>
        <v>-564300.0399247366</v>
      </c>
      <c r="M48" s="279">
        <f ca="1">'EUR Swap PVs'!X40</f>
        <v>-705375.04990592098</v>
      </c>
      <c r="O48" s="282" t="s">
        <v>24</v>
      </c>
      <c r="P48" s="278">
        <v>705375.04990592063</v>
      </c>
      <c r="Q48" s="278">
        <v>564300.03992473683</v>
      </c>
      <c r="R48" s="278">
        <v>423225.02994355239</v>
      </c>
      <c r="S48" s="278">
        <v>282150.01996236842</v>
      </c>
      <c r="T48" s="278">
        <v>141075.00998118412</v>
      </c>
      <c r="U48" s="278">
        <v>0</v>
      </c>
      <c r="V48" s="278">
        <v>-141075.00998118421</v>
      </c>
      <c r="W48" s="278">
        <v>-282150.01996236836</v>
      </c>
      <c r="X48" s="278">
        <v>-423225.02994355262</v>
      </c>
      <c r="Y48" s="278">
        <v>-564300.0399247366</v>
      </c>
      <c r="Z48" s="279">
        <v>-705375.04990592098</v>
      </c>
      <c r="AB48" s="282" t="str">
        <f t="shared" si="12"/>
        <v>15Y</v>
      </c>
      <c r="AC48" s="278">
        <f ca="1">IF(ABS(P48-C48)&gt;SnapshotTolerance,1,0)</f>
        <v>0</v>
      </c>
      <c r="AD48" s="278">
        <f ca="1">IF(ABS(Q48-D48)&gt;SnapshotTolerance,1,0)</f>
        <v>0</v>
      </c>
      <c r="AE48" s="278">
        <f ca="1">IF(ABS(R48-E48)&gt;SnapshotTolerance,1,0)</f>
        <v>0</v>
      </c>
      <c r="AF48" s="278">
        <f ca="1">IF(ABS(S48-F48)&gt;SnapshotTolerance,1,0)</f>
        <v>0</v>
      </c>
      <c r="AG48" s="278">
        <f ca="1">IF(ABS(T48-G48)&gt;SnapshotTolerance,1,0)</f>
        <v>0</v>
      </c>
      <c r="AH48" s="278">
        <f ca="1">IF(ABS(U48-H48)&gt;SnapshotTolerance,1,0)</f>
        <v>0</v>
      </c>
      <c r="AI48" s="278">
        <f ca="1">IF(ABS(V48-I48)&gt;SnapshotTolerance,1,0)</f>
        <v>0</v>
      </c>
      <c r="AJ48" s="278">
        <f ca="1">IF(ABS(W48-J48)&gt;SnapshotTolerance,1,0)</f>
        <v>0</v>
      </c>
      <c r="AK48" s="278">
        <f ca="1">IF(ABS(X48-K48)&gt;SnapshotTolerance,1,0)</f>
        <v>0</v>
      </c>
      <c r="AL48" s="278">
        <f ca="1">IF(ABS(Y48-L48)&gt;SnapshotTolerance,1,0)</f>
        <v>0</v>
      </c>
      <c r="AM48" s="279">
        <f ca="1">IF(ABS(Z48-M48)&gt;SnapshotTolerance,1,0)</f>
        <v>0</v>
      </c>
    </row>
    <row r="49" spans="2:39">
      <c r="B49" s="282" t="str">
        <f>'EUR Swap PVs'!M41</f>
        <v>20Y</v>
      </c>
      <c r="C49" s="278">
        <f ca="1">'EUR Swap PVs'!N41</f>
        <v>895612.9666641826</v>
      </c>
      <c r="D49" s="278">
        <f ca="1">'EUR Swap PVs'!O41</f>
        <v>716490.37333134655</v>
      </c>
      <c r="E49" s="278">
        <f ca="1">'EUR Swap PVs'!P41</f>
        <v>537367.77999850968</v>
      </c>
      <c r="F49" s="278">
        <f ca="1">'EUR Swap PVs'!Q41</f>
        <v>358245.18666567316</v>
      </c>
      <c r="G49" s="278">
        <f ca="1">'EUR Swap PVs'!R41</f>
        <v>179122.59333283652</v>
      </c>
      <c r="H49" s="278">
        <f ca="1">'EUR Swap PVs'!S41</f>
        <v>0</v>
      </c>
      <c r="I49" s="278">
        <f ca="1">'EUR Swap PVs'!T41</f>
        <v>-179122.5933328367</v>
      </c>
      <c r="J49" s="278">
        <f ca="1">'EUR Swap PVs'!U41</f>
        <v>-358245.18666567327</v>
      </c>
      <c r="K49" s="278">
        <f ca="1">'EUR Swap PVs'!V41</f>
        <v>-537367.77999850991</v>
      </c>
      <c r="L49" s="278">
        <f ca="1">'EUR Swap PVs'!W41</f>
        <v>-716490.37333134632</v>
      </c>
      <c r="M49" s="279">
        <f ca="1">'EUR Swap PVs'!X41</f>
        <v>-895612.96666418319</v>
      </c>
      <c r="O49" s="282" t="s">
        <v>20</v>
      </c>
      <c r="P49" s="278">
        <v>895612.9666641826</v>
      </c>
      <c r="Q49" s="278">
        <v>716490.37333134655</v>
      </c>
      <c r="R49" s="278">
        <v>537367.77999850968</v>
      </c>
      <c r="S49" s="278">
        <v>358245.18666567316</v>
      </c>
      <c r="T49" s="278">
        <v>179122.59333283652</v>
      </c>
      <c r="U49" s="278">
        <v>0</v>
      </c>
      <c r="V49" s="278">
        <v>-179122.5933328367</v>
      </c>
      <c r="W49" s="278">
        <v>-358245.18666567327</v>
      </c>
      <c r="X49" s="278">
        <v>-537367.77999850991</v>
      </c>
      <c r="Y49" s="278">
        <v>-716490.37333134632</v>
      </c>
      <c r="Z49" s="279">
        <v>-895612.96666418319</v>
      </c>
      <c r="AB49" s="282" t="str">
        <f t="shared" si="12"/>
        <v>20Y</v>
      </c>
      <c r="AC49" s="278">
        <f ca="1">IF(ABS(P49-C49)&gt;SnapshotTolerance,1,0)</f>
        <v>0</v>
      </c>
      <c r="AD49" s="278">
        <f ca="1">IF(ABS(Q49-D49)&gt;SnapshotTolerance,1,0)</f>
        <v>0</v>
      </c>
      <c r="AE49" s="278">
        <f ca="1">IF(ABS(R49-E49)&gt;SnapshotTolerance,1,0)</f>
        <v>0</v>
      </c>
      <c r="AF49" s="278">
        <f ca="1">IF(ABS(S49-F49)&gt;SnapshotTolerance,1,0)</f>
        <v>0</v>
      </c>
      <c r="AG49" s="278">
        <f ca="1">IF(ABS(T49-G49)&gt;SnapshotTolerance,1,0)</f>
        <v>0</v>
      </c>
      <c r="AH49" s="278">
        <f ca="1">IF(ABS(U49-H49)&gt;SnapshotTolerance,1,0)</f>
        <v>0</v>
      </c>
      <c r="AI49" s="278">
        <f ca="1">IF(ABS(V49-I49)&gt;SnapshotTolerance,1,0)</f>
        <v>0</v>
      </c>
      <c r="AJ49" s="278">
        <f ca="1">IF(ABS(W49-J49)&gt;SnapshotTolerance,1,0)</f>
        <v>0</v>
      </c>
      <c r="AK49" s="278">
        <f ca="1">IF(ABS(X49-K49)&gt;SnapshotTolerance,1,0)</f>
        <v>0</v>
      </c>
      <c r="AL49" s="278">
        <f ca="1">IF(ABS(Y49-L49)&gt;SnapshotTolerance,1,0)</f>
        <v>0</v>
      </c>
      <c r="AM49" s="279">
        <f ca="1">IF(ABS(Z49-M49)&gt;SnapshotTolerance,1,0)</f>
        <v>0</v>
      </c>
    </row>
    <row r="50" spans="2:39">
      <c r="B50" s="282" t="str">
        <f>'EUR Swap PVs'!M42</f>
        <v>25Y</v>
      </c>
      <c r="C50" s="278">
        <f ca="1">'EUR Swap PVs'!N42</f>
        <v>1067055.5709118785</v>
      </c>
      <c r="D50" s="278">
        <f ca="1">'EUR Swap PVs'!O42</f>
        <v>853644.45672950312</v>
      </c>
      <c r="E50" s="278">
        <f ca="1">'EUR Swap PVs'!P42</f>
        <v>640233.34254712728</v>
      </c>
      <c r="F50" s="278">
        <f ca="1">'EUR Swap PVs'!Q42</f>
        <v>426822.22836475162</v>
      </c>
      <c r="G50" s="278">
        <f ca="1">'EUR Swap PVs'!R42</f>
        <v>213411.11418237581</v>
      </c>
      <c r="H50" s="278">
        <f ca="1">'EUR Swap PVs'!S42</f>
        <v>0</v>
      </c>
      <c r="I50" s="278">
        <f ca="1">'EUR Swap PVs'!T42</f>
        <v>-213411.11418237592</v>
      </c>
      <c r="J50" s="278">
        <f ca="1">'EUR Swap PVs'!U42</f>
        <v>-426822.22836475179</v>
      </c>
      <c r="K50" s="278">
        <f ca="1">'EUR Swap PVs'!V42</f>
        <v>-640233.34254712763</v>
      </c>
      <c r="L50" s="278">
        <f ca="1">'EUR Swap PVs'!W42</f>
        <v>-853644.45672950323</v>
      </c>
      <c r="M50" s="279">
        <f ca="1">'EUR Swap PVs'!X42</f>
        <v>-1067055.5709118794</v>
      </c>
      <c r="O50" s="282" t="s">
        <v>18</v>
      </c>
      <c r="P50" s="278">
        <v>1067055.5709118785</v>
      </c>
      <c r="Q50" s="278">
        <v>853644.45672950312</v>
      </c>
      <c r="R50" s="278">
        <v>640233.34254712728</v>
      </c>
      <c r="S50" s="278">
        <v>426822.22836475162</v>
      </c>
      <c r="T50" s="278">
        <v>213411.11418237581</v>
      </c>
      <c r="U50" s="278">
        <v>0</v>
      </c>
      <c r="V50" s="278">
        <v>-213411.11418237592</v>
      </c>
      <c r="W50" s="278">
        <v>-426822.22836475179</v>
      </c>
      <c r="X50" s="278">
        <v>-640233.34254712763</v>
      </c>
      <c r="Y50" s="278">
        <v>-853644.45672950323</v>
      </c>
      <c r="Z50" s="279">
        <v>-1067055.5709118794</v>
      </c>
      <c r="AB50" s="282" t="str">
        <f t="shared" si="12"/>
        <v>25Y</v>
      </c>
      <c r="AC50" s="278">
        <f ca="1">IF(ABS(P50-C50)&gt;SnapshotTolerance,1,0)</f>
        <v>0</v>
      </c>
      <c r="AD50" s="278">
        <f ca="1">IF(ABS(Q50-D50)&gt;SnapshotTolerance,1,0)</f>
        <v>0</v>
      </c>
      <c r="AE50" s="278">
        <f ca="1">IF(ABS(R50-E50)&gt;SnapshotTolerance,1,0)</f>
        <v>0</v>
      </c>
      <c r="AF50" s="278">
        <f ca="1">IF(ABS(S50-F50)&gt;SnapshotTolerance,1,0)</f>
        <v>0</v>
      </c>
      <c r="AG50" s="278">
        <f ca="1">IF(ABS(T50-G50)&gt;SnapshotTolerance,1,0)</f>
        <v>0</v>
      </c>
      <c r="AH50" s="278">
        <f ca="1">IF(ABS(U50-H50)&gt;SnapshotTolerance,1,0)</f>
        <v>0</v>
      </c>
      <c r="AI50" s="278">
        <f ca="1">IF(ABS(V50-I50)&gt;SnapshotTolerance,1,0)</f>
        <v>0</v>
      </c>
      <c r="AJ50" s="278">
        <f ca="1">IF(ABS(W50-J50)&gt;SnapshotTolerance,1,0)</f>
        <v>0</v>
      </c>
      <c r="AK50" s="278">
        <f ca="1">IF(ABS(X50-K50)&gt;SnapshotTolerance,1,0)</f>
        <v>0</v>
      </c>
      <c r="AL50" s="278">
        <f ca="1">IF(ABS(Y50-L50)&gt;SnapshotTolerance,1,0)</f>
        <v>0</v>
      </c>
      <c r="AM50" s="279">
        <f ca="1">IF(ABS(Z50-M50)&gt;SnapshotTolerance,1,0)</f>
        <v>0</v>
      </c>
    </row>
    <row r="51" spans="2:39">
      <c r="B51" s="282" t="str">
        <f>'EUR Swap PVs'!M43</f>
        <v>30Y</v>
      </c>
      <c r="C51" s="278">
        <f ca="1">'EUR Swap PVs'!N43</f>
        <v>1223051.960409343</v>
      </c>
      <c r="D51" s="278">
        <f ca="1">'EUR Swap PVs'!O43</f>
        <v>978441.56832747487</v>
      </c>
      <c r="E51" s="278">
        <f ca="1">'EUR Swap PVs'!P43</f>
        <v>733831.17624560639</v>
      </c>
      <c r="F51" s="278">
        <f ca="1">'EUR Swap PVs'!Q43</f>
        <v>489220.78416373749</v>
      </c>
      <c r="G51" s="278">
        <f ca="1">'EUR Swap PVs'!R43</f>
        <v>244610.39208186863</v>
      </c>
      <c r="H51" s="278">
        <f ca="1">'EUR Swap PVs'!S43</f>
        <v>-5.5511151231257827E-11</v>
      </c>
      <c r="I51" s="278">
        <f ca="1">'EUR Swap PVs'!T43</f>
        <v>-244610.39208186898</v>
      </c>
      <c r="J51" s="278">
        <f ca="1">'EUR Swap PVs'!U43</f>
        <v>-489220.78416373784</v>
      </c>
      <c r="K51" s="278">
        <f ca="1">'EUR Swap PVs'!V43</f>
        <v>-733831.17624560662</v>
      </c>
      <c r="L51" s="278">
        <f ca="1">'EUR Swap PVs'!W43</f>
        <v>-978441.56832747511</v>
      </c>
      <c r="M51" s="279">
        <f ca="1">'EUR Swap PVs'!X43</f>
        <v>-1223051.9604093444</v>
      </c>
      <c r="O51" s="282" t="s">
        <v>17</v>
      </c>
      <c r="P51" s="278">
        <v>1223051.960409343</v>
      </c>
      <c r="Q51" s="278">
        <v>978441.56832747487</v>
      </c>
      <c r="R51" s="278">
        <v>733831.17624560639</v>
      </c>
      <c r="S51" s="278">
        <v>489220.78416373749</v>
      </c>
      <c r="T51" s="278">
        <v>244610.39208186863</v>
      </c>
      <c r="U51" s="278">
        <v>-5.5511151231257827E-11</v>
      </c>
      <c r="V51" s="278">
        <v>-244610.39208186898</v>
      </c>
      <c r="W51" s="278">
        <v>-489220.78416373784</v>
      </c>
      <c r="X51" s="278">
        <v>-733831.17624560662</v>
      </c>
      <c r="Y51" s="278">
        <v>-978441.56832747511</v>
      </c>
      <c r="Z51" s="279">
        <v>-1223051.9604093444</v>
      </c>
      <c r="AB51" s="282" t="str">
        <f t="shared" si="12"/>
        <v>30Y</v>
      </c>
      <c r="AC51" s="278">
        <f ca="1">IF(ABS(P51-C51)&gt;SnapshotTolerance,1,0)</f>
        <v>0</v>
      </c>
      <c r="AD51" s="278">
        <f ca="1">IF(ABS(Q51-D51)&gt;SnapshotTolerance,1,0)</f>
        <v>0</v>
      </c>
      <c r="AE51" s="278">
        <f ca="1">IF(ABS(R51-E51)&gt;SnapshotTolerance,1,0)</f>
        <v>0</v>
      </c>
      <c r="AF51" s="278">
        <f ca="1">IF(ABS(S51-F51)&gt;SnapshotTolerance,1,0)</f>
        <v>0</v>
      </c>
      <c r="AG51" s="278">
        <f ca="1">IF(ABS(T51-G51)&gt;SnapshotTolerance,1,0)</f>
        <v>0</v>
      </c>
      <c r="AH51" s="278">
        <f ca="1">IF(ABS(U51-H51)&gt;SnapshotTolerance,1,0)</f>
        <v>0</v>
      </c>
      <c r="AI51" s="278">
        <f ca="1">IF(ABS(V51-I51)&gt;SnapshotTolerance,1,0)</f>
        <v>0</v>
      </c>
      <c r="AJ51" s="278">
        <f ca="1">IF(ABS(W51-J51)&gt;SnapshotTolerance,1,0)</f>
        <v>0</v>
      </c>
      <c r="AK51" s="278">
        <f ca="1">IF(ABS(X51-K51)&gt;SnapshotTolerance,1,0)</f>
        <v>0</v>
      </c>
      <c r="AL51" s="278">
        <f ca="1">IF(ABS(Y51-L51)&gt;SnapshotTolerance,1,0)</f>
        <v>0</v>
      </c>
      <c r="AM51" s="279">
        <f ca="1">IF(ABS(Z51-M51)&gt;SnapshotTolerance,1,0)</f>
        <v>0</v>
      </c>
    </row>
    <row r="52" spans="2:39">
      <c r="B52" s="282" t="str">
        <f>'EUR Swap PVs'!M44</f>
        <v>35Y</v>
      </c>
      <c r="C52" s="278">
        <f ca="1">'EUR Swap PVs'!N44</f>
        <v>1366543.0648706765</v>
      </c>
      <c r="D52" s="278">
        <f ca="1">'EUR Swap PVs'!O44</f>
        <v>1093234.451896542</v>
      </c>
      <c r="E52" s="278">
        <f ca="1">'EUR Swap PVs'!P44</f>
        <v>819925.8389224062</v>
      </c>
      <c r="F52" s="278">
        <f ca="1">'EUR Swap PVs'!Q44</f>
        <v>546617.22594827111</v>
      </c>
      <c r="G52" s="278">
        <f ca="1">'EUR Swap PVs'!R44</f>
        <v>273308.61297413561</v>
      </c>
      <c r="H52" s="278">
        <f ca="1">'EUR Swap PVs'!S44</f>
        <v>0</v>
      </c>
      <c r="I52" s="278">
        <f ca="1">'EUR Swap PVs'!T44</f>
        <v>-273308.61297413555</v>
      </c>
      <c r="J52" s="278">
        <f ca="1">'EUR Swap PVs'!U44</f>
        <v>-546617.22594827099</v>
      </c>
      <c r="K52" s="278">
        <f ca="1">'EUR Swap PVs'!V44</f>
        <v>-819925.83892240655</v>
      </c>
      <c r="L52" s="278">
        <f ca="1">'EUR Swap PVs'!W44</f>
        <v>-1093234.4518965418</v>
      </c>
      <c r="M52" s="279">
        <f ca="1">'EUR Swap PVs'!X44</f>
        <v>-1366543.0648706777</v>
      </c>
      <c r="O52" s="282" t="s">
        <v>16</v>
      </c>
      <c r="P52" s="278">
        <v>1366543.0648706765</v>
      </c>
      <c r="Q52" s="278">
        <v>1093234.451896542</v>
      </c>
      <c r="R52" s="278">
        <v>819925.8389224062</v>
      </c>
      <c r="S52" s="278">
        <v>546617.22594827111</v>
      </c>
      <c r="T52" s="278">
        <v>273308.61297413561</v>
      </c>
      <c r="U52" s="278">
        <v>0</v>
      </c>
      <c r="V52" s="278">
        <v>-273308.61297413555</v>
      </c>
      <c r="W52" s="278">
        <v>-546617.22594827099</v>
      </c>
      <c r="X52" s="278">
        <v>-819925.83892240655</v>
      </c>
      <c r="Y52" s="278">
        <v>-1093234.4518965418</v>
      </c>
      <c r="Z52" s="279">
        <v>-1366543.0648706777</v>
      </c>
      <c r="AB52" s="282" t="str">
        <f t="shared" si="12"/>
        <v>35Y</v>
      </c>
      <c r="AC52" s="278">
        <f ca="1">IF(ABS(P52-C52)&gt;SnapshotTolerance,1,0)</f>
        <v>0</v>
      </c>
      <c r="AD52" s="278">
        <f ca="1">IF(ABS(Q52-D52)&gt;SnapshotTolerance,1,0)</f>
        <v>0</v>
      </c>
      <c r="AE52" s="278">
        <f ca="1">IF(ABS(R52-E52)&gt;SnapshotTolerance,1,0)</f>
        <v>0</v>
      </c>
      <c r="AF52" s="278">
        <f ca="1">IF(ABS(S52-F52)&gt;SnapshotTolerance,1,0)</f>
        <v>0</v>
      </c>
      <c r="AG52" s="278">
        <f ca="1">IF(ABS(T52-G52)&gt;SnapshotTolerance,1,0)</f>
        <v>0</v>
      </c>
      <c r="AH52" s="278">
        <f ca="1">IF(ABS(U52-H52)&gt;SnapshotTolerance,1,0)</f>
        <v>0</v>
      </c>
      <c r="AI52" s="278">
        <f ca="1">IF(ABS(V52-I52)&gt;SnapshotTolerance,1,0)</f>
        <v>0</v>
      </c>
      <c r="AJ52" s="278">
        <f ca="1">IF(ABS(W52-J52)&gt;SnapshotTolerance,1,0)</f>
        <v>0</v>
      </c>
      <c r="AK52" s="278">
        <f ca="1">IF(ABS(X52-K52)&gt;SnapshotTolerance,1,0)</f>
        <v>0</v>
      </c>
      <c r="AL52" s="278">
        <f ca="1">IF(ABS(Y52-L52)&gt;SnapshotTolerance,1,0)</f>
        <v>0</v>
      </c>
      <c r="AM52" s="279">
        <f ca="1">IF(ABS(Z52-M52)&gt;SnapshotTolerance,1,0)</f>
        <v>0</v>
      </c>
    </row>
    <row r="53" spans="2:39">
      <c r="B53" s="282" t="str">
        <f>'EUR Swap PVs'!M45</f>
        <v>40Y</v>
      </c>
      <c r="C53" s="278">
        <f ca="1">'EUR Swap PVs'!N45</f>
        <v>1499145.7303461705</v>
      </c>
      <c r="D53" s="278">
        <f ca="1">'EUR Swap PVs'!O45</f>
        <v>1199316.5842769372</v>
      </c>
      <c r="E53" s="278">
        <f ca="1">'EUR Swap PVs'!P45</f>
        <v>899487.43820770283</v>
      </c>
      <c r="F53" s="278">
        <f ca="1">'EUR Swap PVs'!Q45</f>
        <v>599658.29213846894</v>
      </c>
      <c r="G53" s="278">
        <f ca="1">'EUR Swap PVs'!R45</f>
        <v>299829.14606923447</v>
      </c>
      <c r="H53" s="278">
        <f ca="1">'EUR Swap PVs'!S45</f>
        <v>0</v>
      </c>
      <c r="I53" s="278">
        <f ca="1">'EUR Swap PVs'!T45</f>
        <v>-299829.1460692343</v>
      </c>
      <c r="J53" s="278">
        <f ca="1">'EUR Swap PVs'!U45</f>
        <v>-599658.29213846847</v>
      </c>
      <c r="K53" s="278">
        <f ca="1">'EUR Swap PVs'!V45</f>
        <v>-899487.43820770271</v>
      </c>
      <c r="L53" s="278">
        <f ca="1">'EUR Swap PVs'!W45</f>
        <v>-1199316.5842769367</v>
      </c>
      <c r="M53" s="279">
        <f ca="1">'EUR Swap PVs'!X45</f>
        <v>-1499145.7303461712</v>
      </c>
      <c r="O53" s="282" t="s">
        <v>15</v>
      </c>
      <c r="P53" s="278">
        <v>1499145.7303461705</v>
      </c>
      <c r="Q53" s="278">
        <v>1199316.5842769372</v>
      </c>
      <c r="R53" s="278">
        <v>899487.43820770283</v>
      </c>
      <c r="S53" s="278">
        <v>599658.29213846894</v>
      </c>
      <c r="T53" s="278">
        <v>299829.14606923447</v>
      </c>
      <c r="U53" s="278">
        <v>0</v>
      </c>
      <c r="V53" s="278">
        <v>-299829.1460692343</v>
      </c>
      <c r="W53" s="278">
        <v>-599658.29213846847</v>
      </c>
      <c r="X53" s="278">
        <v>-899487.43820770271</v>
      </c>
      <c r="Y53" s="278">
        <v>-1199316.5842769367</v>
      </c>
      <c r="Z53" s="279">
        <v>-1499145.7303461712</v>
      </c>
      <c r="AB53" s="282" t="str">
        <f t="shared" si="12"/>
        <v>40Y</v>
      </c>
      <c r="AC53" s="278">
        <f ca="1">IF(ABS(P53-C53)&gt;SnapshotTolerance,1,0)</f>
        <v>0</v>
      </c>
      <c r="AD53" s="278">
        <f ca="1">IF(ABS(Q53-D53)&gt;SnapshotTolerance,1,0)</f>
        <v>0</v>
      </c>
      <c r="AE53" s="278">
        <f ca="1">IF(ABS(R53-E53)&gt;SnapshotTolerance,1,0)</f>
        <v>0</v>
      </c>
      <c r="AF53" s="278">
        <f ca="1">IF(ABS(S53-F53)&gt;SnapshotTolerance,1,0)</f>
        <v>0</v>
      </c>
      <c r="AG53" s="278">
        <f ca="1">IF(ABS(T53-G53)&gt;SnapshotTolerance,1,0)</f>
        <v>0</v>
      </c>
      <c r="AH53" s="278">
        <f ca="1">IF(ABS(U53-H53)&gt;SnapshotTolerance,1,0)</f>
        <v>0</v>
      </c>
      <c r="AI53" s="278">
        <f ca="1">IF(ABS(V53-I53)&gt;SnapshotTolerance,1,0)</f>
        <v>0</v>
      </c>
      <c r="AJ53" s="278">
        <f ca="1">IF(ABS(W53-J53)&gt;SnapshotTolerance,1,0)</f>
        <v>0</v>
      </c>
      <c r="AK53" s="278">
        <f ca="1">IF(ABS(X53-K53)&gt;SnapshotTolerance,1,0)</f>
        <v>0</v>
      </c>
      <c r="AL53" s="278">
        <f ca="1">IF(ABS(Y53-L53)&gt;SnapshotTolerance,1,0)</f>
        <v>0</v>
      </c>
      <c r="AM53" s="279">
        <f ca="1">IF(ABS(Z53-M53)&gt;SnapshotTolerance,1,0)</f>
        <v>0</v>
      </c>
    </row>
    <row r="54" spans="2:39">
      <c r="B54" s="282" t="str">
        <f>'EUR Swap PVs'!M46</f>
        <v>45Y</v>
      </c>
      <c r="C54" s="278">
        <f ca="1">'EUR Swap PVs'!N46</f>
        <v>1620154.4699725835</v>
      </c>
      <c r="D54" s="278">
        <f ca="1">'EUR Swap PVs'!O46</f>
        <v>1296123.5759780677</v>
      </c>
      <c r="E54" s="278">
        <f ca="1">'EUR Swap PVs'!P46</f>
        <v>972092.68198355101</v>
      </c>
      <c r="F54" s="278">
        <f ca="1">'EUR Swap PVs'!Q46</f>
        <v>648061.78798903432</v>
      </c>
      <c r="G54" s="278">
        <f ca="1">'EUR Swap PVs'!R46</f>
        <v>324030.89399451733</v>
      </c>
      <c r="H54" s="278">
        <f ca="1">'EUR Swap PVs'!S46</f>
        <v>0</v>
      </c>
      <c r="I54" s="278">
        <f ca="1">'EUR Swap PVs'!T46</f>
        <v>-324030.89399451693</v>
      </c>
      <c r="J54" s="278">
        <f ca="1">'EUR Swap PVs'!U46</f>
        <v>-648061.78798903385</v>
      </c>
      <c r="K54" s="278">
        <f ca="1">'EUR Swap PVs'!V46</f>
        <v>-972092.68198355066</v>
      </c>
      <c r="L54" s="278">
        <f ca="1">'EUR Swap PVs'!W46</f>
        <v>-1296123.5759780677</v>
      </c>
      <c r="M54" s="279">
        <f ca="1">'EUR Swap PVs'!X46</f>
        <v>-1620154.4699725846</v>
      </c>
      <c r="O54" s="282" t="s">
        <v>368</v>
      </c>
      <c r="P54" s="278">
        <v>1620154.4699725835</v>
      </c>
      <c r="Q54" s="278">
        <v>1296123.5759780677</v>
      </c>
      <c r="R54" s="278">
        <v>972092.68198355101</v>
      </c>
      <c r="S54" s="278">
        <v>648061.78798903432</v>
      </c>
      <c r="T54" s="278">
        <v>324030.89399451733</v>
      </c>
      <c r="U54" s="278">
        <v>0</v>
      </c>
      <c r="V54" s="278">
        <v>-324030.89399451693</v>
      </c>
      <c r="W54" s="278">
        <v>-648061.78798903385</v>
      </c>
      <c r="X54" s="278">
        <v>-972092.68198355066</v>
      </c>
      <c r="Y54" s="278">
        <v>-1296123.5759780677</v>
      </c>
      <c r="Z54" s="279">
        <v>-1620154.4699725846</v>
      </c>
      <c r="AB54" s="282" t="str">
        <f t="shared" si="12"/>
        <v>45Y</v>
      </c>
      <c r="AC54" s="278">
        <f ca="1">IF(ABS(P54-C54)&gt;SnapshotTolerance,1,0)</f>
        <v>0</v>
      </c>
      <c r="AD54" s="278">
        <f ca="1">IF(ABS(Q54-D54)&gt;SnapshotTolerance,1,0)</f>
        <v>0</v>
      </c>
      <c r="AE54" s="278">
        <f ca="1">IF(ABS(R54-E54)&gt;SnapshotTolerance,1,0)</f>
        <v>0</v>
      </c>
      <c r="AF54" s="278">
        <f ca="1">IF(ABS(S54-F54)&gt;SnapshotTolerance,1,0)</f>
        <v>0</v>
      </c>
      <c r="AG54" s="278">
        <f ca="1">IF(ABS(T54-G54)&gt;SnapshotTolerance,1,0)</f>
        <v>0</v>
      </c>
      <c r="AH54" s="278">
        <f ca="1">IF(ABS(U54-H54)&gt;SnapshotTolerance,1,0)</f>
        <v>0</v>
      </c>
      <c r="AI54" s="278">
        <f ca="1">IF(ABS(V54-I54)&gt;SnapshotTolerance,1,0)</f>
        <v>0</v>
      </c>
      <c r="AJ54" s="278">
        <f ca="1">IF(ABS(W54-J54)&gt;SnapshotTolerance,1,0)</f>
        <v>0</v>
      </c>
      <c r="AK54" s="278">
        <f ca="1">IF(ABS(X54-K54)&gt;SnapshotTolerance,1,0)</f>
        <v>0</v>
      </c>
      <c r="AL54" s="278">
        <f ca="1">IF(ABS(Y54-L54)&gt;SnapshotTolerance,1,0)</f>
        <v>0</v>
      </c>
      <c r="AM54" s="279">
        <f ca="1">IF(ABS(Z54-M54)&gt;SnapshotTolerance,1,0)</f>
        <v>0</v>
      </c>
    </row>
    <row r="55" spans="2:39">
      <c r="B55" s="283" t="str">
        <f>'EUR Swap PVs'!M47</f>
        <v>50Y</v>
      </c>
      <c r="C55" s="280">
        <f ca="1">'EUR Swap PVs'!N47</f>
        <v>1730741.4546833574</v>
      </c>
      <c r="D55" s="280">
        <f ca="1">'EUR Swap PVs'!O47</f>
        <v>1384593.1637466867</v>
      </c>
      <c r="E55" s="280">
        <f ca="1">'EUR Swap PVs'!P47</f>
        <v>1038444.8728100156</v>
      </c>
      <c r="F55" s="280">
        <f ca="1">'EUR Swap PVs'!Q47</f>
        <v>692296.58187334414</v>
      </c>
      <c r="G55" s="280">
        <f ca="1">'EUR Swap PVs'!R47</f>
        <v>346148.2909366719</v>
      </c>
      <c r="H55" s="280">
        <f ca="1">'EUR Swap PVs'!S47</f>
        <v>0</v>
      </c>
      <c r="I55" s="280">
        <f ca="1">'EUR Swap PVs'!T47</f>
        <v>-346148.29093667178</v>
      </c>
      <c r="J55" s="280">
        <f ca="1">'EUR Swap PVs'!U47</f>
        <v>-692296.58187334356</v>
      </c>
      <c r="K55" s="280">
        <f ca="1">'EUR Swap PVs'!V47</f>
        <v>-1038444.8728100153</v>
      </c>
      <c r="L55" s="280">
        <f ca="1">'EUR Swap PVs'!W47</f>
        <v>-1384593.1637466867</v>
      </c>
      <c r="M55" s="281">
        <f ca="1">'EUR Swap PVs'!X47</f>
        <v>-1730741.4546833585</v>
      </c>
      <c r="O55" s="283" t="s">
        <v>14</v>
      </c>
      <c r="P55" s="280">
        <v>1730741.4546833574</v>
      </c>
      <c r="Q55" s="280">
        <v>1384593.1637466867</v>
      </c>
      <c r="R55" s="280">
        <v>1038444.8728100156</v>
      </c>
      <c r="S55" s="280">
        <v>692296.58187334414</v>
      </c>
      <c r="T55" s="280">
        <v>346148.2909366719</v>
      </c>
      <c r="U55" s="280">
        <v>0</v>
      </c>
      <c r="V55" s="280">
        <v>-346148.29093667178</v>
      </c>
      <c r="W55" s="280">
        <v>-692296.58187334356</v>
      </c>
      <c r="X55" s="280">
        <v>-1038444.8728100153</v>
      </c>
      <c r="Y55" s="280">
        <v>-1384593.1637466867</v>
      </c>
      <c r="Z55" s="281">
        <v>-1730741.4546833585</v>
      </c>
      <c r="AB55" s="283" t="str">
        <f t="shared" si="12"/>
        <v>50Y</v>
      </c>
      <c r="AC55" s="280">
        <f ca="1">IF(ABS(P55-C55)&gt;SnapshotTolerance,1,0)</f>
        <v>0</v>
      </c>
      <c r="AD55" s="280">
        <f ca="1">IF(ABS(Q55-D55)&gt;SnapshotTolerance,1,0)</f>
        <v>0</v>
      </c>
      <c r="AE55" s="280">
        <f ca="1">IF(ABS(R55-E55)&gt;SnapshotTolerance,1,0)</f>
        <v>0</v>
      </c>
      <c r="AF55" s="280">
        <f ca="1">IF(ABS(S55-F55)&gt;SnapshotTolerance,1,0)</f>
        <v>0</v>
      </c>
      <c r="AG55" s="280">
        <f ca="1">IF(ABS(T55-G55)&gt;SnapshotTolerance,1,0)</f>
        <v>0</v>
      </c>
      <c r="AH55" s="280">
        <f ca="1">IF(ABS(U55-H55)&gt;SnapshotTolerance,1,0)</f>
        <v>0</v>
      </c>
      <c r="AI55" s="280">
        <f ca="1">IF(ABS(V55-I55)&gt;SnapshotTolerance,1,0)</f>
        <v>0</v>
      </c>
      <c r="AJ55" s="280">
        <f ca="1">IF(ABS(W55-J55)&gt;SnapshotTolerance,1,0)</f>
        <v>0</v>
      </c>
      <c r="AK55" s="280">
        <f ca="1">IF(ABS(X55-K55)&gt;SnapshotTolerance,1,0)</f>
        <v>0</v>
      </c>
      <c r="AL55" s="280">
        <f ca="1">IF(ABS(Y55-L55)&gt;SnapshotTolerance,1,0)</f>
        <v>0</v>
      </c>
      <c r="AM55" s="281">
        <f ca="1">IF(ABS(Z55-M55)&gt;SnapshotTolerance,1,0)</f>
        <v>0</v>
      </c>
    </row>
    <row r="58" spans="2:39">
      <c r="B58" t="s">
        <v>527</v>
      </c>
      <c r="E58" t="s">
        <v>472</v>
      </c>
    </row>
    <row r="59" spans="2:39">
      <c r="B59" t="s">
        <v>528</v>
      </c>
      <c r="E59" s="252">
        <f ca="1">SUM(AC64:AM82)</f>
        <v>0</v>
      </c>
    </row>
    <row r="60" spans="2:39">
      <c r="B60" t="s">
        <v>532</v>
      </c>
    </row>
    <row r="62" spans="2:39">
      <c r="B62" t="s">
        <v>510</v>
      </c>
      <c r="O62" t="s">
        <v>470</v>
      </c>
      <c r="AB62" t="s">
        <v>511</v>
      </c>
    </row>
    <row r="63" spans="2:39">
      <c r="B63" s="254" t="str">
        <f>'EUR Swap PVs'!AG3</f>
        <v>Term</v>
      </c>
      <c r="C63" s="276">
        <f>'EUR Swap PVs'!AH3</f>
        <v>-0.05</v>
      </c>
      <c r="D63" s="276">
        <f>'EUR Swap PVs'!AI3</f>
        <v>-0.04</v>
      </c>
      <c r="E63" s="276">
        <f>'EUR Swap PVs'!AJ3</f>
        <v>-0.03</v>
      </c>
      <c r="F63" s="276">
        <f>'EUR Swap PVs'!AK3</f>
        <v>-1.9999999999999997E-2</v>
      </c>
      <c r="G63" s="276">
        <f>'EUR Swap PVs'!AL3</f>
        <v>-9.9999999999999967E-3</v>
      </c>
      <c r="H63" s="276">
        <f>'EUR Swap PVs'!AM3</f>
        <v>0</v>
      </c>
      <c r="I63" s="276">
        <f>'EUR Swap PVs'!AN3</f>
        <v>0.01</v>
      </c>
      <c r="J63" s="276">
        <f>'EUR Swap PVs'!AO3</f>
        <v>0.02</v>
      </c>
      <c r="K63" s="276">
        <f>'EUR Swap PVs'!AP3</f>
        <v>0.03</v>
      </c>
      <c r="L63" s="276">
        <f>'EUR Swap PVs'!AQ3</f>
        <v>0.04</v>
      </c>
      <c r="M63" s="277">
        <f>'EUR Swap PVs'!AR3</f>
        <v>0.05</v>
      </c>
      <c r="O63" s="254" t="s">
        <v>76</v>
      </c>
      <c r="P63" s="276">
        <v>-0.05</v>
      </c>
      <c r="Q63" s="276">
        <v>-0.04</v>
      </c>
      <c r="R63" s="276">
        <v>-0.03</v>
      </c>
      <c r="S63" s="276">
        <v>-1.9999999999999997E-2</v>
      </c>
      <c r="T63" s="276">
        <v>-9.9999999999999967E-3</v>
      </c>
      <c r="U63" s="276">
        <v>0</v>
      </c>
      <c r="V63" s="276">
        <v>0.01</v>
      </c>
      <c r="W63" s="276">
        <v>0.02</v>
      </c>
      <c r="X63" s="276">
        <v>0.03</v>
      </c>
      <c r="Y63" s="276">
        <v>0.04</v>
      </c>
      <c r="Z63" s="277">
        <v>0.05</v>
      </c>
      <c r="AB63" s="254" t="str">
        <f>O63</f>
        <v>Term</v>
      </c>
      <c r="AC63" s="276">
        <f>P63</f>
        <v>-0.05</v>
      </c>
      <c r="AD63" s="276">
        <f t="shared" ref="AD63" si="13">Q63</f>
        <v>-0.04</v>
      </c>
      <c r="AE63" s="276">
        <f t="shared" ref="AE63" si="14">R63</f>
        <v>-0.03</v>
      </c>
      <c r="AF63" s="276">
        <f t="shared" ref="AF63" si="15">S63</f>
        <v>-1.9999999999999997E-2</v>
      </c>
      <c r="AG63" s="276">
        <f t="shared" ref="AG63" si="16">T63</f>
        <v>-9.9999999999999967E-3</v>
      </c>
      <c r="AH63" s="276">
        <f t="shared" ref="AH63" si="17">U63</f>
        <v>0</v>
      </c>
      <c r="AI63" s="276">
        <f t="shared" ref="AI63" si="18">V63</f>
        <v>0.01</v>
      </c>
      <c r="AJ63" s="276">
        <f t="shared" ref="AJ63" si="19">W63</f>
        <v>0.02</v>
      </c>
      <c r="AK63" s="276">
        <f t="shared" ref="AK63" si="20">X63</f>
        <v>0.03</v>
      </c>
      <c r="AL63" s="276">
        <f t="shared" ref="AL63" si="21">Y63</f>
        <v>0.04</v>
      </c>
      <c r="AM63" s="277">
        <f t="shared" ref="AM63" si="22">Z63</f>
        <v>0.05</v>
      </c>
    </row>
    <row r="64" spans="2:39">
      <c r="B64" s="282" t="str">
        <f>'EUR Swap PVs'!AG4</f>
        <v>2Y</v>
      </c>
      <c r="C64" s="278">
        <f ca="1">'EUR Swap PVs'!AH4</f>
        <v>100441.45996346939</v>
      </c>
      <c r="D64" s="278">
        <f ca="1">'EUR Swap PVs'!AI4</f>
        <v>80353.16797077551</v>
      </c>
      <c r="E64" s="278">
        <f ca="1">'EUR Swap PVs'!AJ4</f>
        <v>60264.875978081618</v>
      </c>
      <c r="F64" s="278">
        <f ca="1">'EUR Swap PVs'!AK4</f>
        <v>40176.583985387748</v>
      </c>
      <c r="G64" s="278">
        <f ca="1">'EUR Swap PVs'!AL4</f>
        <v>20088.29199269387</v>
      </c>
      <c r="H64" s="278">
        <f ca="1">'EUR Swap PVs'!AM4</f>
        <v>8.2399365108898337E-12</v>
      </c>
      <c r="I64" s="278">
        <f ca="1">'EUR Swap PVs'!AN4</f>
        <v>-20088.291992693867</v>
      </c>
      <c r="J64" s="278">
        <f ca="1">'EUR Swap PVs'!AO4</f>
        <v>-40176.583985387741</v>
      </c>
      <c r="K64" s="278">
        <f ca="1">'EUR Swap PVs'!AP4</f>
        <v>-60264.875978081604</v>
      </c>
      <c r="L64" s="278">
        <f ca="1">'EUR Swap PVs'!AQ4</f>
        <v>-80353.167970775467</v>
      </c>
      <c r="M64" s="279">
        <f ca="1">'EUR Swap PVs'!AR4</f>
        <v>-100441.45996346934</v>
      </c>
      <c r="O64" s="282" t="s">
        <v>42</v>
      </c>
      <c r="P64" s="278">
        <v>100441.45996346939</v>
      </c>
      <c r="Q64" s="278">
        <v>80353.16797077551</v>
      </c>
      <c r="R64" s="278">
        <v>60264.875978081618</v>
      </c>
      <c r="S64" s="278">
        <v>40176.583985387748</v>
      </c>
      <c r="T64" s="278">
        <v>20088.29199269387</v>
      </c>
      <c r="U64" s="278">
        <v>8.2399365108898337E-12</v>
      </c>
      <c r="V64" s="278">
        <v>-20088.291992693867</v>
      </c>
      <c r="W64" s="278">
        <v>-40176.583985387741</v>
      </c>
      <c r="X64" s="278">
        <v>-60264.875978081604</v>
      </c>
      <c r="Y64" s="278">
        <v>-80353.167970775467</v>
      </c>
      <c r="Z64" s="279">
        <v>-100441.45996346934</v>
      </c>
      <c r="AB64" s="282" t="str">
        <f t="shared" ref="AB64:AB82" si="23">O64</f>
        <v>2Y</v>
      </c>
      <c r="AC64" s="278">
        <f ca="1">IF(ABS(P64-C64)&gt;SnapshotTolerance,1,0)</f>
        <v>0</v>
      </c>
      <c r="AD64" s="278">
        <f ca="1">IF(ABS(Q64-D64)&gt;SnapshotTolerance,1,0)</f>
        <v>0</v>
      </c>
      <c r="AE64" s="278">
        <f ca="1">IF(ABS(R64-E64)&gt;SnapshotTolerance,1,0)</f>
        <v>0</v>
      </c>
      <c r="AF64" s="278">
        <f ca="1">IF(ABS(S64-F64)&gt;SnapshotTolerance,1,0)</f>
        <v>0</v>
      </c>
      <c r="AG64" s="278">
        <f ca="1">IF(ABS(T64-G64)&gt;SnapshotTolerance,1,0)</f>
        <v>0</v>
      </c>
      <c r="AH64" s="278">
        <f ca="1">IF(ABS(U64-H64)&gt;SnapshotTolerance,1,0)</f>
        <v>0</v>
      </c>
      <c r="AI64" s="278">
        <f ca="1">IF(ABS(V64-I64)&gt;SnapshotTolerance,1,0)</f>
        <v>0</v>
      </c>
      <c r="AJ64" s="278">
        <f ca="1">IF(ABS(W64-J64)&gt;SnapshotTolerance,1,0)</f>
        <v>0</v>
      </c>
      <c r="AK64" s="278">
        <f ca="1">IF(ABS(X64-K64)&gt;SnapshotTolerance,1,0)</f>
        <v>0</v>
      </c>
      <c r="AL64" s="278">
        <f ca="1">IF(ABS(Y64-L64)&gt;SnapshotTolerance,1,0)</f>
        <v>0</v>
      </c>
      <c r="AM64" s="279">
        <f ca="1">IF(ABS(Z64-M64)&gt;SnapshotTolerance,1,0)</f>
        <v>0</v>
      </c>
    </row>
    <row r="65" spans="2:39">
      <c r="B65" s="282" t="str">
        <f>'EUR Swap PVs'!AG5</f>
        <v>3Y</v>
      </c>
      <c r="C65" s="278">
        <f ca="1">'EUR Swap PVs'!AH5</f>
        <v>150300.80743458585</v>
      </c>
      <c r="D65" s="278">
        <f ca="1">'EUR Swap PVs'!AI5</f>
        <v>120240.64594766866</v>
      </c>
      <c r="E65" s="278">
        <f ca="1">'EUR Swap PVs'!AJ5</f>
        <v>90180.484460751497</v>
      </c>
      <c r="F65" s="278">
        <f ca="1">'EUR Swap PVs'!AK5</f>
        <v>60120.322973834322</v>
      </c>
      <c r="G65" s="278">
        <f ca="1">'EUR Swap PVs'!AL5</f>
        <v>30060.161486917143</v>
      </c>
      <c r="H65" s="278">
        <f ca="1">'EUR Swap PVs'!AM5</f>
        <v>-2.3418766925686896E-11</v>
      </c>
      <c r="I65" s="278">
        <f ca="1">'EUR Swap PVs'!AN5</f>
        <v>-30060.161486917201</v>
      </c>
      <c r="J65" s="278">
        <f ca="1">'EUR Swap PVs'!AO5</f>
        <v>-60120.32297383438</v>
      </c>
      <c r="K65" s="278">
        <f ca="1">'EUR Swap PVs'!AP5</f>
        <v>-90180.484460751555</v>
      </c>
      <c r="L65" s="278">
        <f ca="1">'EUR Swap PVs'!AQ5</f>
        <v>-120240.64594766875</v>
      </c>
      <c r="M65" s="279">
        <f ca="1">'EUR Swap PVs'!AR5</f>
        <v>-150300.80743458591</v>
      </c>
      <c r="O65" s="282" t="s">
        <v>39</v>
      </c>
      <c r="P65" s="278">
        <v>150300.80743458585</v>
      </c>
      <c r="Q65" s="278">
        <v>120240.64594766866</v>
      </c>
      <c r="R65" s="278">
        <v>90180.484460751497</v>
      </c>
      <c r="S65" s="278">
        <v>60120.322973834322</v>
      </c>
      <c r="T65" s="278">
        <v>30060.161486917143</v>
      </c>
      <c r="U65" s="278">
        <v>-2.3418766925686896E-11</v>
      </c>
      <c r="V65" s="278">
        <v>-30060.161486917201</v>
      </c>
      <c r="W65" s="278">
        <v>-60120.32297383438</v>
      </c>
      <c r="X65" s="278">
        <v>-90180.484460751555</v>
      </c>
      <c r="Y65" s="278">
        <v>-120240.64594766875</v>
      </c>
      <c r="Z65" s="279">
        <v>-150300.80743458591</v>
      </c>
      <c r="AB65" s="282" t="str">
        <f t="shared" si="23"/>
        <v>3Y</v>
      </c>
      <c r="AC65" s="278">
        <f ca="1">IF(ABS(P65-C65)&gt;SnapshotTolerance,1,0)</f>
        <v>0</v>
      </c>
      <c r="AD65" s="278">
        <f ca="1">IF(ABS(Q65-D65)&gt;SnapshotTolerance,1,0)</f>
        <v>0</v>
      </c>
      <c r="AE65" s="278">
        <f ca="1">IF(ABS(R65-E65)&gt;SnapshotTolerance,1,0)</f>
        <v>0</v>
      </c>
      <c r="AF65" s="278">
        <f ca="1">IF(ABS(S65-F65)&gt;SnapshotTolerance,1,0)</f>
        <v>0</v>
      </c>
      <c r="AG65" s="278">
        <f ca="1">IF(ABS(T65-G65)&gt;SnapshotTolerance,1,0)</f>
        <v>0</v>
      </c>
      <c r="AH65" s="278">
        <f ca="1">IF(ABS(U65-H65)&gt;SnapshotTolerance,1,0)</f>
        <v>0</v>
      </c>
      <c r="AI65" s="278">
        <f ca="1">IF(ABS(V65-I65)&gt;SnapshotTolerance,1,0)</f>
        <v>0</v>
      </c>
      <c r="AJ65" s="278">
        <f ca="1">IF(ABS(W65-J65)&gt;SnapshotTolerance,1,0)</f>
        <v>0</v>
      </c>
      <c r="AK65" s="278">
        <f ca="1">IF(ABS(X65-K65)&gt;SnapshotTolerance,1,0)</f>
        <v>0</v>
      </c>
      <c r="AL65" s="278">
        <f ca="1">IF(ABS(Y65-L65)&gt;SnapshotTolerance,1,0)</f>
        <v>0</v>
      </c>
      <c r="AM65" s="279">
        <f ca="1">IF(ABS(Z65-M65)&gt;SnapshotTolerance,1,0)</f>
        <v>0</v>
      </c>
    </row>
    <row r="66" spans="2:39">
      <c r="B66" s="282" t="str">
        <f>'EUR Swap PVs'!AG6</f>
        <v>4Y</v>
      </c>
      <c r="C66" s="278">
        <f ca="1">'EUR Swap PVs'!AH6</f>
        <v>199873.15570840999</v>
      </c>
      <c r="D66" s="278">
        <f ca="1">'EUR Swap PVs'!AI6</f>
        <v>159898.52456672798</v>
      </c>
      <c r="E66" s="278">
        <f ca="1">'EUR Swap PVs'!AJ6</f>
        <v>119923.893425046</v>
      </c>
      <c r="F66" s="278">
        <f ca="1">'EUR Swap PVs'!AK6</f>
        <v>79949.26228336402</v>
      </c>
      <c r="G66" s="278">
        <f ca="1">'EUR Swap PVs'!AL6</f>
        <v>39974.631141682039</v>
      </c>
      <c r="H66" s="278">
        <f ca="1">'EUR Swap PVs'!AM6</f>
        <v>7.6327832942979512E-11</v>
      </c>
      <c r="I66" s="278">
        <f ca="1">'EUR Swap PVs'!AN6</f>
        <v>-39974.631141681901</v>
      </c>
      <c r="J66" s="278">
        <f ca="1">'EUR Swap PVs'!AO6</f>
        <v>-79949.262283363874</v>
      </c>
      <c r="K66" s="278">
        <f ca="1">'EUR Swap PVs'!AP6</f>
        <v>-119923.89342504586</v>
      </c>
      <c r="L66" s="278">
        <f ca="1">'EUR Swap PVs'!AQ6</f>
        <v>-159898.52456672784</v>
      </c>
      <c r="M66" s="279">
        <f ca="1">'EUR Swap PVs'!AR6</f>
        <v>-199873.15570840979</v>
      </c>
      <c r="O66" s="282" t="s">
        <v>35</v>
      </c>
      <c r="P66" s="278">
        <v>199873.15570840999</v>
      </c>
      <c r="Q66" s="278">
        <v>159898.52456672798</v>
      </c>
      <c r="R66" s="278">
        <v>119923.893425046</v>
      </c>
      <c r="S66" s="278">
        <v>79949.26228336402</v>
      </c>
      <c r="T66" s="278">
        <v>39974.631141682039</v>
      </c>
      <c r="U66" s="278">
        <v>7.6327832942979512E-11</v>
      </c>
      <c r="V66" s="278">
        <v>-39974.631141681901</v>
      </c>
      <c r="W66" s="278">
        <v>-79949.262283363874</v>
      </c>
      <c r="X66" s="278">
        <v>-119923.89342504586</v>
      </c>
      <c r="Y66" s="278">
        <v>-159898.52456672784</v>
      </c>
      <c r="Z66" s="279">
        <v>-199873.15570840979</v>
      </c>
      <c r="AB66" s="282" t="str">
        <f t="shared" si="23"/>
        <v>4Y</v>
      </c>
      <c r="AC66" s="278">
        <f ca="1">IF(ABS(P66-C66)&gt;SnapshotTolerance,1,0)</f>
        <v>0</v>
      </c>
      <c r="AD66" s="278">
        <f ca="1">IF(ABS(Q66-D66)&gt;SnapshotTolerance,1,0)</f>
        <v>0</v>
      </c>
      <c r="AE66" s="278">
        <f ca="1">IF(ABS(R66-E66)&gt;SnapshotTolerance,1,0)</f>
        <v>0</v>
      </c>
      <c r="AF66" s="278">
        <f ca="1">IF(ABS(S66-F66)&gt;SnapshotTolerance,1,0)</f>
        <v>0</v>
      </c>
      <c r="AG66" s="278">
        <f ca="1">IF(ABS(T66-G66)&gt;SnapshotTolerance,1,0)</f>
        <v>0</v>
      </c>
      <c r="AH66" s="278">
        <f ca="1">IF(ABS(U66-H66)&gt;SnapshotTolerance,1,0)</f>
        <v>0</v>
      </c>
      <c r="AI66" s="278">
        <f ca="1">IF(ABS(V66-I66)&gt;SnapshotTolerance,1,0)</f>
        <v>0</v>
      </c>
      <c r="AJ66" s="278">
        <f ca="1">IF(ABS(W66-J66)&gt;SnapshotTolerance,1,0)</f>
        <v>0</v>
      </c>
      <c r="AK66" s="278">
        <f ca="1">IF(ABS(X66-K66)&gt;SnapshotTolerance,1,0)</f>
        <v>0</v>
      </c>
      <c r="AL66" s="278">
        <f ca="1">IF(ABS(Y66-L66)&gt;SnapshotTolerance,1,0)</f>
        <v>0</v>
      </c>
      <c r="AM66" s="279">
        <f ca="1">IF(ABS(Z66-M66)&gt;SnapshotTolerance,1,0)</f>
        <v>0</v>
      </c>
    </row>
    <row r="67" spans="2:39">
      <c r="B67" s="282" t="str">
        <f>'EUR Swap PVs'!AG7</f>
        <v>5Y</v>
      </c>
      <c r="C67" s="278">
        <f ca="1">'EUR Swap PVs'!AH7</f>
        <v>249096.03223594063</v>
      </c>
      <c r="D67" s="278">
        <f ca="1">'EUR Swap PVs'!AI7</f>
        <v>199276.8257887525</v>
      </c>
      <c r="E67" s="278">
        <f ca="1">'EUR Swap PVs'!AJ7</f>
        <v>149457.61934156436</v>
      </c>
      <c r="F67" s="278">
        <f ca="1">'EUR Swap PVs'!AK7</f>
        <v>99638.412894376248</v>
      </c>
      <c r="G67" s="278">
        <f ca="1">'EUR Swap PVs'!AL7</f>
        <v>49819.206447188117</v>
      </c>
      <c r="H67" s="278">
        <f ca="1">'EUR Swap PVs'!AM7</f>
        <v>1.3877787807814457E-11</v>
      </c>
      <c r="I67" s="278">
        <f ca="1">'EUR Swap PVs'!AN7</f>
        <v>-49819.206447188109</v>
      </c>
      <c r="J67" s="278">
        <f ca="1">'EUR Swap PVs'!AO7</f>
        <v>-99638.412894376233</v>
      </c>
      <c r="K67" s="278">
        <f ca="1">'EUR Swap PVs'!AP7</f>
        <v>-149457.61934156436</v>
      </c>
      <c r="L67" s="278">
        <f ca="1">'EUR Swap PVs'!AQ7</f>
        <v>-199276.8257887525</v>
      </c>
      <c r="M67" s="279">
        <f ca="1">'EUR Swap PVs'!AR7</f>
        <v>-249096.03223594063</v>
      </c>
      <c r="O67" s="282" t="s">
        <v>33</v>
      </c>
      <c r="P67" s="278">
        <v>249096.03223594063</v>
      </c>
      <c r="Q67" s="278">
        <v>199276.8257887525</v>
      </c>
      <c r="R67" s="278">
        <v>149457.61934156436</v>
      </c>
      <c r="S67" s="278">
        <v>99638.412894376248</v>
      </c>
      <c r="T67" s="278">
        <v>49819.206447188117</v>
      </c>
      <c r="U67" s="278">
        <v>1.3877787807814457E-11</v>
      </c>
      <c r="V67" s="278">
        <v>-49819.206447188109</v>
      </c>
      <c r="W67" s="278">
        <v>-99638.412894376233</v>
      </c>
      <c r="X67" s="278">
        <v>-149457.61934156436</v>
      </c>
      <c r="Y67" s="278">
        <v>-199276.8257887525</v>
      </c>
      <c r="Z67" s="279">
        <v>-249096.03223594063</v>
      </c>
      <c r="AB67" s="282" t="str">
        <f t="shared" si="23"/>
        <v>5Y</v>
      </c>
      <c r="AC67" s="278">
        <f ca="1">IF(ABS(P67-C67)&gt;SnapshotTolerance,1,0)</f>
        <v>0</v>
      </c>
      <c r="AD67" s="278">
        <f ca="1">IF(ABS(Q67-D67)&gt;SnapshotTolerance,1,0)</f>
        <v>0</v>
      </c>
      <c r="AE67" s="278">
        <f ca="1">IF(ABS(R67-E67)&gt;SnapshotTolerance,1,0)</f>
        <v>0</v>
      </c>
      <c r="AF67" s="278">
        <f ca="1">IF(ABS(S67-F67)&gt;SnapshotTolerance,1,0)</f>
        <v>0</v>
      </c>
      <c r="AG67" s="278">
        <f ca="1">IF(ABS(T67-G67)&gt;SnapshotTolerance,1,0)</f>
        <v>0</v>
      </c>
      <c r="AH67" s="278">
        <f ca="1">IF(ABS(U67-H67)&gt;SnapshotTolerance,1,0)</f>
        <v>0</v>
      </c>
      <c r="AI67" s="278">
        <f ca="1">IF(ABS(V67-I67)&gt;SnapshotTolerance,1,0)</f>
        <v>0</v>
      </c>
      <c r="AJ67" s="278">
        <f ca="1">IF(ABS(W67-J67)&gt;SnapshotTolerance,1,0)</f>
        <v>0</v>
      </c>
      <c r="AK67" s="278">
        <f ca="1">IF(ABS(X67-K67)&gt;SnapshotTolerance,1,0)</f>
        <v>0</v>
      </c>
      <c r="AL67" s="278">
        <f ca="1">IF(ABS(Y67-L67)&gt;SnapshotTolerance,1,0)</f>
        <v>0</v>
      </c>
      <c r="AM67" s="279">
        <f ca="1">IF(ABS(Z67-M67)&gt;SnapshotTolerance,1,0)</f>
        <v>0</v>
      </c>
    </row>
    <row r="68" spans="2:39">
      <c r="B68" s="282" t="str">
        <f>'EUR Swap PVs'!AG8</f>
        <v>6Y</v>
      </c>
      <c r="C68" s="278">
        <f ca="1">'EUR Swap PVs'!AH8</f>
        <v>297667.53869917657</v>
      </c>
      <c r="D68" s="278">
        <f ca="1">'EUR Swap PVs'!AI8</f>
        <v>238134.03095934121</v>
      </c>
      <c r="E68" s="278">
        <f ca="1">'EUR Swap PVs'!AJ8</f>
        <v>178600.52321950594</v>
      </c>
      <c r="F68" s="278">
        <f ca="1">'EUR Swap PVs'!AK8</f>
        <v>119067.01547967063</v>
      </c>
      <c r="G68" s="278">
        <f ca="1">'EUR Swap PVs'!AL8</f>
        <v>59533.507739835317</v>
      </c>
      <c r="H68" s="278">
        <f ca="1">'EUR Swap PVs'!AM8</f>
        <v>3.4694469519536142E-11</v>
      </c>
      <c r="I68" s="278">
        <f ca="1">'EUR Swap PVs'!AN8</f>
        <v>-59533.507739835266</v>
      </c>
      <c r="J68" s="278">
        <f ca="1">'EUR Swap PVs'!AO8</f>
        <v>-119067.01547967058</v>
      </c>
      <c r="K68" s="278">
        <f ca="1">'EUR Swap PVs'!AP8</f>
        <v>-178600.52321950591</v>
      </c>
      <c r="L68" s="278">
        <f ca="1">'EUR Swap PVs'!AQ8</f>
        <v>-238134.03095934118</v>
      </c>
      <c r="M68" s="279">
        <f ca="1">'EUR Swap PVs'!AR8</f>
        <v>-297667.53869917651</v>
      </c>
      <c r="O68" s="282" t="s">
        <v>131</v>
      </c>
      <c r="P68" s="278">
        <v>297667.53869917657</v>
      </c>
      <c r="Q68" s="278">
        <v>238134.03095934121</v>
      </c>
      <c r="R68" s="278">
        <v>178600.52321950594</v>
      </c>
      <c r="S68" s="278">
        <v>119067.01547967063</v>
      </c>
      <c r="T68" s="278">
        <v>59533.507739835317</v>
      </c>
      <c r="U68" s="278">
        <v>3.4694469519536142E-11</v>
      </c>
      <c r="V68" s="278">
        <v>-59533.507739835266</v>
      </c>
      <c r="W68" s="278">
        <v>-119067.01547967058</v>
      </c>
      <c r="X68" s="278">
        <v>-178600.52321950591</v>
      </c>
      <c r="Y68" s="278">
        <v>-238134.03095934118</v>
      </c>
      <c r="Z68" s="279">
        <v>-297667.53869917651</v>
      </c>
      <c r="AB68" s="282" t="str">
        <f t="shared" si="23"/>
        <v>6Y</v>
      </c>
      <c r="AC68" s="278">
        <f ca="1">IF(ABS(P68-C68)&gt;SnapshotTolerance,1,0)</f>
        <v>0</v>
      </c>
      <c r="AD68" s="278">
        <f ca="1">IF(ABS(Q68-D68)&gt;SnapshotTolerance,1,0)</f>
        <v>0</v>
      </c>
      <c r="AE68" s="278">
        <f ca="1">IF(ABS(R68-E68)&gt;SnapshotTolerance,1,0)</f>
        <v>0</v>
      </c>
      <c r="AF68" s="278">
        <f ca="1">IF(ABS(S68-F68)&gt;SnapshotTolerance,1,0)</f>
        <v>0</v>
      </c>
      <c r="AG68" s="278">
        <f ca="1">IF(ABS(T68-G68)&gt;SnapshotTolerance,1,0)</f>
        <v>0</v>
      </c>
      <c r="AH68" s="278">
        <f ca="1">IF(ABS(U68-H68)&gt;SnapshotTolerance,1,0)</f>
        <v>0</v>
      </c>
      <c r="AI68" s="278">
        <f ca="1">IF(ABS(V68-I68)&gt;SnapshotTolerance,1,0)</f>
        <v>0</v>
      </c>
      <c r="AJ68" s="278">
        <f ca="1">IF(ABS(W68-J68)&gt;SnapshotTolerance,1,0)</f>
        <v>0</v>
      </c>
      <c r="AK68" s="278">
        <f ca="1">IF(ABS(X68-K68)&gt;SnapshotTolerance,1,0)</f>
        <v>0</v>
      </c>
      <c r="AL68" s="278">
        <f ca="1">IF(ABS(Y68-L68)&gt;SnapshotTolerance,1,0)</f>
        <v>0</v>
      </c>
      <c r="AM68" s="279">
        <f ca="1">IF(ABS(Z68-M68)&gt;SnapshotTolerance,1,0)</f>
        <v>0</v>
      </c>
    </row>
    <row r="69" spans="2:39">
      <c r="B69" s="282" t="str">
        <f>'EUR Swap PVs'!AG9</f>
        <v>7Y</v>
      </c>
      <c r="C69" s="278">
        <f ca="1">'EUR Swap PVs'!AH9</f>
        <v>345445.58092836296</v>
      </c>
      <c r="D69" s="278">
        <f ca="1">'EUR Swap PVs'!AI9</f>
        <v>276356.46474269038</v>
      </c>
      <c r="E69" s="278">
        <f ca="1">'EUR Swap PVs'!AJ9</f>
        <v>207267.34855701777</v>
      </c>
      <c r="F69" s="278">
        <f ca="1">'EUR Swap PVs'!AK9</f>
        <v>138178.23237134519</v>
      </c>
      <c r="G69" s="278">
        <f ca="1">'EUR Swap PVs'!AL9</f>
        <v>69089.116185672567</v>
      </c>
      <c r="H69" s="278">
        <f ca="1">'EUR Swap PVs'!AM9</f>
        <v>-6.9388939039072284E-12</v>
      </c>
      <c r="I69" s="278">
        <f ca="1">'EUR Swap PVs'!AN9</f>
        <v>-69089.116185672596</v>
      </c>
      <c r="J69" s="278">
        <f ca="1">'EUR Swap PVs'!AO9</f>
        <v>-138178.23237134522</v>
      </c>
      <c r="K69" s="278">
        <f ca="1">'EUR Swap PVs'!AP9</f>
        <v>-207267.3485570178</v>
      </c>
      <c r="L69" s="278">
        <f ca="1">'EUR Swap PVs'!AQ9</f>
        <v>-276356.46474269038</v>
      </c>
      <c r="M69" s="279">
        <f ca="1">'EUR Swap PVs'!AR9</f>
        <v>-345445.58092836308</v>
      </c>
      <c r="O69" s="282" t="s">
        <v>31</v>
      </c>
      <c r="P69" s="278">
        <v>345445.58092836296</v>
      </c>
      <c r="Q69" s="278">
        <v>276356.46474269038</v>
      </c>
      <c r="R69" s="278">
        <v>207267.34855701777</v>
      </c>
      <c r="S69" s="278">
        <v>138178.23237134519</v>
      </c>
      <c r="T69" s="278">
        <v>69089.116185672567</v>
      </c>
      <c r="U69" s="278">
        <v>-6.9388939039072284E-12</v>
      </c>
      <c r="V69" s="278">
        <v>-69089.116185672596</v>
      </c>
      <c r="W69" s="278">
        <v>-138178.23237134522</v>
      </c>
      <c r="X69" s="278">
        <v>-207267.3485570178</v>
      </c>
      <c r="Y69" s="278">
        <v>-276356.46474269038</v>
      </c>
      <c r="Z69" s="279">
        <v>-345445.58092836308</v>
      </c>
      <c r="AB69" s="282" t="str">
        <f t="shared" si="23"/>
        <v>7Y</v>
      </c>
      <c r="AC69" s="278">
        <f ca="1">IF(ABS(P69-C69)&gt;SnapshotTolerance,1,0)</f>
        <v>0</v>
      </c>
      <c r="AD69" s="278">
        <f ca="1">IF(ABS(Q69-D69)&gt;SnapshotTolerance,1,0)</f>
        <v>0</v>
      </c>
      <c r="AE69" s="278">
        <f ca="1">IF(ABS(R69-E69)&gt;SnapshotTolerance,1,0)</f>
        <v>0</v>
      </c>
      <c r="AF69" s="278">
        <f ca="1">IF(ABS(S69-F69)&gt;SnapshotTolerance,1,0)</f>
        <v>0</v>
      </c>
      <c r="AG69" s="278">
        <f ca="1">IF(ABS(T69-G69)&gt;SnapshotTolerance,1,0)</f>
        <v>0</v>
      </c>
      <c r="AH69" s="278">
        <f ca="1">IF(ABS(U69-H69)&gt;SnapshotTolerance,1,0)</f>
        <v>0</v>
      </c>
      <c r="AI69" s="278">
        <f ca="1">IF(ABS(V69-I69)&gt;SnapshotTolerance,1,0)</f>
        <v>0</v>
      </c>
      <c r="AJ69" s="278">
        <f ca="1">IF(ABS(W69-J69)&gt;SnapshotTolerance,1,0)</f>
        <v>0</v>
      </c>
      <c r="AK69" s="278">
        <f ca="1">IF(ABS(X69-K69)&gt;SnapshotTolerance,1,0)</f>
        <v>0</v>
      </c>
      <c r="AL69" s="278">
        <f ca="1">IF(ABS(Y69-L69)&gt;SnapshotTolerance,1,0)</f>
        <v>0</v>
      </c>
      <c r="AM69" s="279">
        <f ca="1">IF(ABS(Z69-M69)&gt;SnapshotTolerance,1,0)</f>
        <v>0</v>
      </c>
    </row>
    <row r="70" spans="2:39">
      <c r="B70" s="282" t="str">
        <f>'EUR Swap PVs'!AG10</f>
        <v>8Y</v>
      </c>
      <c r="C70" s="278">
        <f ca="1">'EUR Swap PVs'!AH10</f>
        <v>392585.59739955037</v>
      </c>
      <c r="D70" s="278">
        <f ca="1">'EUR Swap PVs'!AI10</f>
        <v>314068.47791964031</v>
      </c>
      <c r="E70" s="278">
        <f ca="1">'EUR Swap PVs'!AJ10</f>
        <v>235551.35843973025</v>
      </c>
      <c r="F70" s="278">
        <f ca="1">'EUR Swap PVs'!AK10</f>
        <v>157034.23895982016</v>
      </c>
      <c r="G70" s="278">
        <f ca="1">'EUR Swap PVs'!AL10</f>
        <v>78517.119479910092</v>
      </c>
      <c r="H70" s="278">
        <f ca="1">'EUR Swap PVs'!AM10</f>
        <v>5.5511151231257827E-11</v>
      </c>
      <c r="I70" s="278">
        <f ca="1">'EUR Swap PVs'!AN10</f>
        <v>-78517.119479910019</v>
      </c>
      <c r="J70" s="278">
        <f ca="1">'EUR Swap PVs'!AO10</f>
        <v>-157034.23895982007</v>
      </c>
      <c r="K70" s="278">
        <f ca="1">'EUR Swap PVs'!AP10</f>
        <v>-235551.35843973013</v>
      </c>
      <c r="L70" s="278">
        <f ca="1">'EUR Swap PVs'!AQ10</f>
        <v>-314068.47791964019</v>
      </c>
      <c r="M70" s="279">
        <f ca="1">'EUR Swap PVs'!AR10</f>
        <v>-392585.59739955032</v>
      </c>
      <c r="O70" s="282" t="s">
        <v>119</v>
      </c>
      <c r="P70" s="278">
        <v>392585.59739955037</v>
      </c>
      <c r="Q70" s="278">
        <v>314068.47791964031</v>
      </c>
      <c r="R70" s="278">
        <v>235551.35843973025</v>
      </c>
      <c r="S70" s="278">
        <v>157034.23895982016</v>
      </c>
      <c r="T70" s="278">
        <v>78517.119479910092</v>
      </c>
      <c r="U70" s="278">
        <v>5.5511151231257827E-11</v>
      </c>
      <c r="V70" s="278">
        <v>-78517.119479910019</v>
      </c>
      <c r="W70" s="278">
        <v>-157034.23895982007</v>
      </c>
      <c r="X70" s="278">
        <v>-235551.35843973013</v>
      </c>
      <c r="Y70" s="278">
        <v>-314068.47791964019</v>
      </c>
      <c r="Z70" s="279">
        <v>-392585.59739955032</v>
      </c>
      <c r="AB70" s="282" t="str">
        <f t="shared" si="23"/>
        <v>8Y</v>
      </c>
      <c r="AC70" s="278">
        <f ca="1">IF(ABS(P70-C70)&gt;SnapshotTolerance,1,0)</f>
        <v>0</v>
      </c>
      <c r="AD70" s="278">
        <f ca="1">IF(ABS(Q70-D70)&gt;SnapshotTolerance,1,0)</f>
        <v>0</v>
      </c>
      <c r="AE70" s="278">
        <f ca="1">IF(ABS(R70-E70)&gt;SnapshotTolerance,1,0)</f>
        <v>0</v>
      </c>
      <c r="AF70" s="278">
        <f ca="1">IF(ABS(S70-F70)&gt;SnapshotTolerance,1,0)</f>
        <v>0</v>
      </c>
      <c r="AG70" s="278">
        <f ca="1">IF(ABS(T70-G70)&gt;SnapshotTolerance,1,0)</f>
        <v>0</v>
      </c>
      <c r="AH70" s="278">
        <f ca="1">IF(ABS(U70-H70)&gt;SnapshotTolerance,1,0)</f>
        <v>0</v>
      </c>
      <c r="AI70" s="278">
        <f ca="1">IF(ABS(V70-I70)&gt;SnapshotTolerance,1,0)</f>
        <v>0</v>
      </c>
      <c r="AJ70" s="278">
        <f ca="1">IF(ABS(W70-J70)&gt;SnapshotTolerance,1,0)</f>
        <v>0</v>
      </c>
      <c r="AK70" s="278">
        <f ca="1">IF(ABS(X70-K70)&gt;SnapshotTolerance,1,0)</f>
        <v>0</v>
      </c>
      <c r="AL70" s="278">
        <f ca="1">IF(ABS(Y70-L70)&gt;SnapshotTolerance,1,0)</f>
        <v>0</v>
      </c>
      <c r="AM70" s="279">
        <f ca="1">IF(ABS(Z70-M70)&gt;SnapshotTolerance,1,0)</f>
        <v>0</v>
      </c>
    </row>
    <row r="71" spans="2:39">
      <c r="B71" s="282" t="str">
        <f>'EUR Swap PVs'!AG11</f>
        <v>9Y</v>
      </c>
      <c r="C71" s="278">
        <f ca="1">'EUR Swap PVs'!AH11</f>
        <v>438252.52539896441</v>
      </c>
      <c r="D71" s="278">
        <f ca="1">'EUR Swap PVs'!AI11</f>
        <v>350602.02031917148</v>
      </c>
      <c r="E71" s="278">
        <f ca="1">'EUR Swap PVs'!AJ11</f>
        <v>262951.51523937855</v>
      </c>
      <c r="F71" s="278">
        <f ca="1">'EUR Swap PVs'!AK11</f>
        <v>175301.01015958565</v>
      </c>
      <c r="G71" s="278">
        <f ca="1">'EUR Swap PVs'!AL11</f>
        <v>87650.505079792769</v>
      </c>
      <c r="H71" s="278">
        <f ca="1">'EUR Swap PVs'!AM11</f>
        <v>-9.7144514654701197E-11</v>
      </c>
      <c r="I71" s="278">
        <f ca="1">'EUR Swap PVs'!AN11</f>
        <v>-87650.505079792987</v>
      </c>
      <c r="J71" s="278">
        <f ca="1">'EUR Swap PVs'!AO11</f>
        <v>-175301.01015958583</v>
      </c>
      <c r="K71" s="278">
        <f ca="1">'EUR Swap PVs'!AP11</f>
        <v>-262951.51523937879</v>
      </c>
      <c r="L71" s="278">
        <f ca="1">'EUR Swap PVs'!AQ11</f>
        <v>-350602.02031917166</v>
      </c>
      <c r="M71" s="279">
        <f ca="1">'EUR Swap PVs'!AR11</f>
        <v>-438252.52539896453</v>
      </c>
      <c r="O71" s="282" t="s">
        <v>113</v>
      </c>
      <c r="P71" s="278">
        <v>438252.52539896441</v>
      </c>
      <c r="Q71" s="278">
        <v>350602.02031917148</v>
      </c>
      <c r="R71" s="278">
        <v>262951.51523937855</v>
      </c>
      <c r="S71" s="278">
        <v>175301.01015958565</v>
      </c>
      <c r="T71" s="278">
        <v>87650.505079792769</v>
      </c>
      <c r="U71" s="278">
        <v>-9.7144514654701197E-11</v>
      </c>
      <c r="V71" s="278">
        <v>-87650.505079792987</v>
      </c>
      <c r="W71" s="278">
        <v>-175301.01015958583</v>
      </c>
      <c r="X71" s="278">
        <v>-262951.51523937879</v>
      </c>
      <c r="Y71" s="278">
        <v>-350602.02031917166</v>
      </c>
      <c r="Z71" s="279">
        <v>-438252.52539896453</v>
      </c>
      <c r="AB71" s="282" t="str">
        <f t="shared" si="23"/>
        <v>9Y</v>
      </c>
      <c r="AC71" s="278">
        <f ca="1">IF(ABS(P71-C71)&gt;SnapshotTolerance,1,0)</f>
        <v>0</v>
      </c>
      <c r="AD71" s="278">
        <f ca="1">IF(ABS(Q71-D71)&gt;SnapshotTolerance,1,0)</f>
        <v>0</v>
      </c>
      <c r="AE71" s="278">
        <f ca="1">IF(ABS(R71-E71)&gt;SnapshotTolerance,1,0)</f>
        <v>0</v>
      </c>
      <c r="AF71" s="278">
        <f ca="1">IF(ABS(S71-F71)&gt;SnapshotTolerance,1,0)</f>
        <v>0</v>
      </c>
      <c r="AG71" s="278">
        <f ca="1">IF(ABS(T71-G71)&gt;SnapshotTolerance,1,0)</f>
        <v>0</v>
      </c>
      <c r="AH71" s="278">
        <f ca="1">IF(ABS(U71-H71)&gt;SnapshotTolerance,1,0)</f>
        <v>0</v>
      </c>
      <c r="AI71" s="278">
        <f ca="1">IF(ABS(V71-I71)&gt;SnapshotTolerance,1,0)</f>
        <v>0</v>
      </c>
      <c r="AJ71" s="278">
        <f ca="1">IF(ABS(W71-J71)&gt;SnapshotTolerance,1,0)</f>
        <v>0</v>
      </c>
      <c r="AK71" s="278">
        <f ca="1">IF(ABS(X71-K71)&gt;SnapshotTolerance,1,0)</f>
        <v>0</v>
      </c>
      <c r="AL71" s="278">
        <f ca="1">IF(ABS(Y71-L71)&gt;SnapshotTolerance,1,0)</f>
        <v>0</v>
      </c>
      <c r="AM71" s="279">
        <f ca="1">IF(ABS(Z71-M71)&gt;SnapshotTolerance,1,0)</f>
        <v>0</v>
      </c>
    </row>
    <row r="72" spans="2:39">
      <c r="B72" s="282" t="str">
        <f>'EUR Swap PVs'!AG12</f>
        <v>10Y</v>
      </c>
      <c r="C72" s="278">
        <f ca="1">'EUR Swap PVs'!AH12</f>
        <v>483168.6449744876</v>
      </c>
      <c r="D72" s="278">
        <f ca="1">'EUR Swap PVs'!AI12</f>
        <v>386534.91597959009</v>
      </c>
      <c r="E72" s="278">
        <f ca="1">'EUR Swap PVs'!AJ12</f>
        <v>289901.18698469258</v>
      </c>
      <c r="F72" s="278">
        <f ca="1">'EUR Swap PVs'!AK12</f>
        <v>193267.4579897951</v>
      </c>
      <c r="G72" s="278">
        <f ca="1">'EUR Swap PVs'!AL12</f>
        <v>96633.72899489761</v>
      </c>
      <c r="H72" s="278">
        <f ca="1">'EUR Swap PVs'!AM12</f>
        <v>1.3877787807814457E-10</v>
      </c>
      <c r="I72" s="278">
        <f ca="1">'EUR Swap PVs'!AN12</f>
        <v>-96633.728994897348</v>
      </c>
      <c r="J72" s="278">
        <f ca="1">'EUR Swap PVs'!AO12</f>
        <v>-193267.45798979484</v>
      </c>
      <c r="K72" s="278">
        <f ca="1">'EUR Swap PVs'!AP12</f>
        <v>-289901.18698469235</v>
      </c>
      <c r="L72" s="278">
        <f ca="1">'EUR Swap PVs'!AQ12</f>
        <v>-386534.91597958986</v>
      </c>
      <c r="M72" s="279">
        <f ca="1">'EUR Swap PVs'!AR12</f>
        <v>-483168.64497448743</v>
      </c>
      <c r="O72" s="282" t="s">
        <v>28</v>
      </c>
      <c r="P72" s="278">
        <v>483168.6449744876</v>
      </c>
      <c r="Q72" s="278">
        <v>386534.91597959009</v>
      </c>
      <c r="R72" s="278">
        <v>289901.18698469258</v>
      </c>
      <c r="S72" s="278">
        <v>193267.4579897951</v>
      </c>
      <c r="T72" s="278">
        <v>96633.72899489761</v>
      </c>
      <c r="U72" s="278">
        <v>1.3877787807814457E-10</v>
      </c>
      <c r="V72" s="278">
        <v>-96633.728994897348</v>
      </c>
      <c r="W72" s="278">
        <v>-193267.45798979484</v>
      </c>
      <c r="X72" s="278">
        <v>-289901.18698469235</v>
      </c>
      <c r="Y72" s="278">
        <v>-386534.91597958986</v>
      </c>
      <c r="Z72" s="279">
        <v>-483168.64497448743</v>
      </c>
      <c r="AB72" s="282" t="str">
        <f t="shared" si="23"/>
        <v>10Y</v>
      </c>
      <c r="AC72" s="278">
        <f ca="1">IF(ABS(P72-C72)&gt;SnapshotTolerance,1,0)</f>
        <v>0</v>
      </c>
      <c r="AD72" s="278">
        <f ca="1">IF(ABS(Q72-D72)&gt;SnapshotTolerance,1,0)</f>
        <v>0</v>
      </c>
      <c r="AE72" s="278">
        <f ca="1">IF(ABS(R72-E72)&gt;SnapshotTolerance,1,0)</f>
        <v>0</v>
      </c>
      <c r="AF72" s="278">
        <f ca="1">IF(ABS(S72-F72)&gt;SnapshotTolerance,1,0)</f>
        <v>0</v>
      </c>
      <c r="AG72" s="278">
        <f ca="1">IF(ABS(T72-G72)&gt;SnapshotTolerance,1,0)</f>
        <v>0</v>
      </c>
      <c r="AH72" s="278">
        <f ca="1">IF(ABS(U72-H72)&gt;SnapshotTolerance,1,0)</f>
        <v>0</v>
      </c>
      <c r="AI72" s="278">
        <f ca="1">IF(ABS(V72-I72)&gt;SnapshotTolerance,1,0)</f>
        <v>0</v>
      </c>
      <c r="AJ72" s="278">
        <f ca="1">IF(ABS(W72-J72)&gt;SnapshotTolerance,1,0)</f>
        <v>0</v>
      </c>
      <c r="AK72" s="278">
        <f ca="1">IF(ABS(X72-K72)&gt;SnapshotTolerance,1,0)</f>
        <v>0</v>
      </c>
      <c r="AL72" s="278">
        <f ca="1">IF(ABS(Y72-L72)&gt;SnapshotTolerance,1,0)</f>
        <v>0</v>
      </c>
      <c r="AM72" s="279">
        <f ca="1">IF(ABS(Z72-M72)&gt;SnapshotTolerance,1,0)</f>
        <v>0</v>
      </c>
    </row>
    <row r="73" spans="2:39">
      <c r="B73" s="282" t="str">
        <f>'EUR Swap PVs'!AG13</f>
        <v>11Y</v>
      </c>
      <c r="C73" s="278">
        <f ca="1">'EUR Swap PVs'!AH13</f>
        <v>527061.76365639456</v>
      </c>
      <c r="D73" s="278">
        <f ca="1">'EUR Swap PVs'!AI13</f>
        <v>421649.41092511569</v>
      </c>
      <c r="E73" s="278">
        <f ca="1">'EUR Swap PVs'!AJ13</f>
        <v>316237.05819383683</v>
      </c>
      <c r="F73" s="278">
        <f ca="1">'EUR Swap PVs'!AK13</f>
        <v>210824.70546255793</v>
      </c>
      <c r="G73" s="278">
        <f ca="1">'EUR Swap PVs'!AL13</f>
        <v>105412.35273127905</v>
      </c>
      <c r="H73" s="278">
        <f ca="1">'EUR Swap PVs'!AM13</f>
        <v>1.9428902930940239E-10</v>
      </c>
      <c r="I73" s="278">
        <f ca="1">'EUR Swap PVs'!AN13</f>
        <v>-105412.35273127869</v>
      </c>
      <c r="J73" s="278">
        <f ca="1">'EUR Swap PVs'!AO13</f>
        <v>-210824.70546255755</v>
      </c>
      <c r="K73" s="278">
        <f ca="1">'EUR Swap PVs'!AP13</f>
        <v>-316237.05819383648</v>
      </c>
      <c r="L73" s="278">
        <f ca="1">'EUR Swap PVs'!AQ13</f>
        <v>-421649.41092511546</v>
      </c>
      <c r="M73" s="279">
        <f ca="1">'EUR Swap PVs'!AR13</f>
        <v>-527061.76365639421</v>
      </c>
      <c r="O73" s="282" t="s">
        <v>366</v>
      </c>
      <c r="P73" s="278">
        <v>527061.76365639456</v>
      </c>
      <c r="Q73" s="278">
        <v>421649.41092511569</v>
      </c>
      <c r="R73" s="278">
        <v>316237.05819383683</v>
      </c>
      <c r="S73" s="278">
        <v>210824.70546255793</v>
      </c>
      <c r="T73" s="278">
        <v>105412.35273127905</v>
      </c>
      <c r="U73" s="278">
        <v>1.9428902930940239E-10</v>
      </c>
      <c r="V73" s="278">
        <v>-105412.35273127869</v>
      </c>
      <c r="W73" s="278">
        <v>-210824.70546255755</v>
      </c>
      <c r="X73" s="278">
        <v>-316237.05819383648</v>
      </c>
      <c r="Y73" s="278">
        <v>-421649.41092511546</v>
      </c>
      <c r="Z73" s="279">
        <v>-527061.76365639421</v>
      </c>
      <c r="AB73" s="282" t="str">
        <f t="shared" si="23"/>
        <v>11Y</v>
      </c>
      <c r="AC73" s="278">
        <f ca="1">IF(ABS(P73-C73)&gt;SnapshotTolerance,1,0)</f>
        <v>0</v>
      </c>
      <c r="AD73" s="278">
        <f ca="1">IF(ABS(Q73-D73)&gt;SnapshotTolerance,1,0)</f>
        <v>0</v>
      </c>
      <c r="AE73" s="278">
        <f ca="1">IF(ABS(R73-E73)&gt;SnapshotTolerance,1,0)</f>
        <v>0</v>
      </c>
      <c r="AF73" s="278">
        <f ca="1">IF(ABS(S73-F73)&gt;SnapshotTolerance,1,0)</f>
        <v>0</v>
      </c>
      <c r="AG73" s="278">
        <f ca="1">IF(ABS(T73-G73)&gt;SnapshotTolerance,1,0)</f>
        <v>0</v>
      </c>
      <c r="AH73" s="278">
        <f ca="1">IF(ABS(U73-H73)&gt;SnapshotTolerance,1,0)</f>
        <v>0</v>
      </c>
      <c r="AI73" s="278">
        <f ca="1">IF(ABS(V73-I73)&gt;SnapshotTolerance,1,0)</f>
        <v>0</v>
      </c>
      <c r="AJ73" s="278">
        <f ca="1">IF(ABS(W73-J73)&gt;SnapshotTolerance,1,0)</f>
        <v>0</v>
      </c>
      <c r="AK73" s="278">
        <f ca="1">IF(ABS(X73-K73)&gt;SnapshotTolerance,1,0)</f>
        <v>0</v>
      </c>
      <c r="AL73" s="278">
        <f ca="1">IF(ABS(Y73-L73)&gt;SnapshotTolerance,1,0)</f>
        <v>0</v>
      </c>
      <c r="AM73" s="279">
        <f ca="1">IF(ABS(Z73-M73)&gt;SnapshotTolerance,1,0)</f>
        <v>0</v>
      </c>
    </row>
    <row r="74" spans="2:39">
      <c r="B74" s="282" t="str">
        <f>'EUR Swap PVs'!AG14</f>
        <v>12Y</v>
      </c>
      <c r="C74" s="278">
        <f ca="1">'EUR Swap PVs'!AH14</f>
        <v>569938.03084859333</v>
      </c>
      <c r="D74" s="278">
        <f ca="1">'EUR Swap PVs'!AI14</f>
        <v>455950.42467887461</v>
      </c>
      <c r="E74" s="278">
        <f ca="1">'EUR Swap PVs'!AJ14</f>
        <v>341962.81850915594</v>
      </c>
      <c r="F74" s="278">
        <f ca="1">'EUR Swap PVs'!AK14</f>
        <v>227975.2123394373</v>
      </c>
      <c r="G74" s="278">
        <f ca="1">'EUR Swap PVs'!AL14</f>
        <v>113987.60616971868</v>
      </c>
      <c r="H74" s="278">
        <f ca="1">'EUR Swap PVs'!AM14</f>
        <v>1.1102230246251565E-10</v>
      </c>
      <c r="I74" s="278">
        <f ca="1">'EUR Swap PVs'!AN14</f>
        <v>-113987.60616971854</v>
      </c>
      <c r="J74" s="278">
        <f ca="1">'EUR Swap PVs'!AO14</f>
        <v>-227975.21233943719</v>
      </c>
      <c r="K74" s="278">
        <f ca="1">'EUR Swap PVs'!AP14</f>
        <v>-341962.81850915565</v>
      </c>
      <c r="L74" s="278">
        <f ca="1">'EUR Swap PVs'!AQ14</f>
        <v>-455950.42467887438</v>
      </c>
      <c r="M74" s="279">
        <f ca="1">'EUR Swap PVs'!AR14</f>
        <v>-569938.03084859299</v>
      </c>
      <c r="O74" s="282" t="s">
        <v>26</v>
      </c>
      <c r="P74" s="278">
        <v>569938.03084859333</v>
      </c>
      <c r="Q74" s="278">
        <v>455950.42467887461</v>
      </c>
      <c r="R74" s="278">
        <v>341962.81850915594</v>
      </c>
      <c r="S74" s="278">
        <v>227975.2123394373</v>
      </c>
      <c r="T74" s="278">
        <v>113987.60616971868</v>
      </c>
      <c r="U74" s="278">
        <v>1.1102230246251565E-10</v>
      </c>
      <c r="V74" s="278">
        <v>-113987.60616971854</v>
      </c>
      <c r="W74" s="278">
        <v>-227975.21233943719</v>
      </c>
      <c r="X74" s="278">
        <v>-341962.81850915565</v>
      </c>
      <c r="Y74" s="278">
        <v>-455950.42467887438</v>
      </c>
      <c r="Z74" s="279">
        <v>-569938.03084859299</v>
      </c>
      <c r="AB74" s="282" t="str">
        <f t="shared" si="23"/>
        <v>12Y</v>
      </c>
      <c r="AC74" s="278">
        <f ca="1">IF(ABS(P74-C74)&gt;SnapshotTolerance,1,0)</f>
        <v>0</v>
      </c>
      <c r="AD74" s="278">
        <f ca="1">IF(ABS(Q74-D74)&gt;SnapshotTolerance,1,0)</f>
        <v>0</v>
      </c>
      <c r="AE74" s="278">
        <f ca="1">IF(ABS(R74-E74)&gt;SnapshotTolerance,1,0)</f>
        <v>0</v>
      </c>
      <c r="AF74" s="278">
        <f ca="1">IF(ABS(S74-F74)&gt;SnapshotTolerance,1,0)</f>
        <v>0</v>
      </c>
      <c r="AG74" s="278">
        <f ca="1">IF(ABS(T74-G74)&gt;SnapshotTolerance,1,0)</f>
        <v>0</v>
      </c>
      <c r="AH74" s="278">
        <f ca="1">IF(ABS(U74-H74)&gt;SnapshotTolerance,1,0)</f>
        <v>0</v>
      </c>
      <c r="AI74" s="278">
        <f ca="1">IF(ABS(V74-I74)&gt;SnapshotTolerance,1,0)</f>
        <v>0</v>
      </c>
      <c r="AJ74" s="278">
        <f ca="1">IF(ABS(W74-J74)&gt;SnapshotTolerance,1,0)</f>
        <v>0</v>
      </c>
      <c r="AK74" s="278">
        <f ca="1">IF(ABS(X74-K74)&gt;SnapshotTolerance,1,0)</f>
        <v>0</v>
      </c>
      <c r="AL74" s="278">
        <f ca="1">IF(ABS(Y74-L74)&gt;SnapshotTolerance,1,0)</f>
        <v>0</v>
      </c>
      <c r="AM74" s="279">
        <f ca="1">IF(ABS(Z74-M74)&gt;SnapshotTolerance,1,0)</f>
        <v>0</v>
      </c>
    </row>
    <row r="75" spans="2:39">
      <c r="B75" s="282" t="str">
        <f>'EUR Swap PVs'!AG15</f>
        <v>15Y</v>
      </c>
      <c r="C75" s="278">
        <f ca="1">'EUR Swap PVs'!AH15</f>
        <v>692615.2339954495</v>
      </c>
      <c r="D75" s="278">
        <f ca="1">'EUR Swap PVs'!AI15</f>
        <v>554092.1871963595</v>
      </c>
      <c r="E75" s="278">
        <f ca="1">'EUR Swap PVs'!AJ15</f>
        <v>415569.14039726969</v>
      </c>
      <c r="F75" s="278">
        <f ca="1">'EUR Swap PVs'!AK15</f>
        <v>277046.09359817975</v>
      </c>
      <c r="G75" s="278">
        <f ca="1">'EUR Swap PVs'!AL15</f>
        <v>138523.04679908991</v>
      </c>
      <c r="H75" s="278">
        <f ca="1">'EUR Swap PVs'!AM15</f>
        <v>1.1102230246251565E-10</v>
      </c>
      <c r="I75" s="278">
        <f ca="1">'EUR Swap PVs'!AN15</f>
        <v>-138523.04679908979</v>
      </c>
      <c r="J75" s="278">
        <f ca="1">'EUR Swap PVs'!AO15</f>
        <v>-277046.09359817958</v>
      </c>
      <c r="K75" s="278">
        <f ca="1">'EUR Swap PVs'!AP15</f>
        <v>-415569.14039726945</v>
      </c>
      <c r="L75" s="278">
        <f ca="1">'EUR Swap PVs'!AQ15</f>
        <v>-554092.18719635927</v>
      </c>
      <c r="M75" s="279">
        <f ca="1">'EUR Swap PVs'!AR15</f>
        <v>-692615.23399544926</v>
      </c>
      <c r="O75" s="282" t="s">
        <v>24</v>
      </c>
      <c r="P75" s="278">
        <v>692615.2339954495</v>
      </c>
      <c r="Q75" s="278">
        <v>554092.1871963595</v>
      </c>
      <c r="R75" s="278">
        <v>415569.14039726969</v>
      </c>
      <c r="S75" s="278">
        <v>277046.09359817975</v>
      </c>
      <c r="T75" s="278">
        <v>138523.04679908991</v>
      </c>
      <c r="U75" s="278">
        <v>1.1102230246251565E-10</v>
      </c>
      <c r="V75" s="278">
        <v>-138523.04679908979</v>
      </c>
      <c r="W75" s="278">
        <v>-277046.09359817958</v>
      </c>
      <c r="X75" s="278">
        <v>-415569.14039726945</v>
      </c>
      <c r="Y75" s="278">
        <v>-554092.18719635927</v>
      </c>
      <c r="Z75" s="279">
        <v>-692615.23399544926</v>
      </c>
      <c r="AB75" s="282" t="str">
        <f t="shared" si="23"/>
        <v>15Y</v>
      </c>
      <c r="AC75" s="278">
        <f ca="1">IF(ABS(P75-C75)&gt;SnapshotTolerance,1,0)</f>
        <v>0</v>
      </c>
      <c r="AD75" s="278">
        <f ca="1">IF(ABS(Q75-D75)&gt;SnapshotTolerance,1,0)</f>
        <v>0</v>
      </c>
      <c r="AE75" s="278">
        <f ca="1">IF(ABS(R75-E75)&gt;SnapshotTolerance,1,0)</f>
        <v>0</v>
      </c>
      <c r="AF75" s="278">
        <f ca="1">IF(ABS(S75-F75)&gt;SnapshotTolerance,1,0)</f>
        <v>0</v>
      </c>
      <c r="AG75" s="278">
        <f ca="1">IF(ABS(T75-G75)&gt;SnapshotTolerance,1,0)</f>
        <v>0</v>
      </c>
      <c r="AH75" s="278">
        <f ca="1">IF(ABS(U75-H75)&gt;SnapshotTolerance,1,0)</f>
        <v>0</v>
      </c>
      <c r="AI75" s="278">
        <f ca="1">IF(ABS(V75-I75)&gt;SnapshotTolerance,1,0)</f>
        <v>0</v>
      </c>
      <c r="AJ75" s="278">
        <f ca="1">IF(ABS(W75-J75)&gt;SnapshotTolerance,1,0)</f>
        <v>0</v>
      </c>
      <c r="AK75" s="278">
        <f ca="1">IF(ABS(X75-K75)&gt;SnapshotTolerance,1,0)</f>
        <v>0</v>
      </c>
      <c r="AL75" s="278">
        <f ca="1">IF(ABS(Y75-L75)&gt;SnapshotTolerance,1,0)</f>
        <v>0</v>
      </c>
      <c r="AM75" s="279">
        <f ca="1">IF(ABS(Z75-M75)&gt;SnapshotTolerance,1,0)</f>
        <v>0</v>
      </c>
    </row>
    <row r="76" spans="2:39">
      <c r="B76" s="282" t="str">
        <f>'EUR Swap PVs'!AG16</f>
        <v>20Y</v>
      </c>
      <c r="C76" s="278">
        <f ca="1">'EUR Swap PVs'!AH16</f>
        <v>879086.65850046882</v>
      </c>
      <c r="D76" s="278">
        <f ca="1">'EUR Swap PVs'!AI16</f>
        <v>703269.32680037513</v>
      </c>
      <c r="E76" s="278">
        <f ca="1">'EUR Swap PVs'!AJ16</f>
        <v>527451.99510028132</v>
      </c>
      <c r="F76" s="278">
        <f ca="1">'EUR Swap PVs'!AK16</f>
        <v>351634.66340018751</v>
      </c>
      <c r="G76" s="278">
        <f ca="1">'EUR Swap PVs'!AL16</f>
        <v>175817.33170009378</v>
      </c>
      <c r="H76" s="278">
        <f ca="1">'EUR Swap PVs'!AM16</f>
        <v>5.5511151231257827E-11</v>
      </c>
      <c r="I76" s="278">
        <f ca="1">'EUR Swap PVs'!AN16</f>
        <v>-175817.33170009372</v>
      </c>
      <c r="J76" s="278">
        <f ca="1">'EUR Swap PVs'!AO16</f>
        <v>-351634.66340018751</v>
      </c>
      <c r="K76" s="278">
        <f ca="1">'EUR Swap PVs'!AP16</f>
        <v>-527451.9951002812</v>
      </c>
      <c r="L76" s="278">
        <f ca="1">'EUR Swap PVs'!AQ16</f>
        <v>-703269.3268003749</v>
      </c>
      <c r="M76" s="279">
        <f ca="1">'EUR Swap PVs'!AR16</f>
        <v>-879086.65850046882</v>
      </c>
      <c r="O76" s="282" t="s">
        <v>20</v>
      </c>
      <c r="P76" s="278">
        <v>879086.65850046882</v>
      </c>
      <c r="Q76" s="278">
        <v>703269.32680037513</v>
      </c>
      <c r="R76" s="278">
        <v>527451.99510028132</v>
      </c>
      <c r="S76" s="278">
        <v>351634.66340018751</v>
      </c>
      <c r="T76" s="278">
        <v>175817.33170009378</v>
      </c>
      <c r="U76" s="278">
        <v>5.5511151231257827E-11</v>
      </c>
      <c r="V76" s="278">
        <v>-175817.33170009372</v>
      </c>
      <c r="W76" s="278">
        <v>-351634.66340018751</v>
      </c>
      <c r="X76" s="278">
        <v>-527451.9951002812</v>
      </c>
      <c r="Y76" s="278">
        <v>-703269.3268003749</v>
      </c>
      <c r="Z76" s="279">
        <v>-879086.65850046882</v>
      </c>
      <c r="AB76" s="282" t="str">
        <f t="shared" si="23"/>
        <v>20Y</v>
      </c>
      <c r="AC76" s="278">
        <f ca="1">IF(ABS(P76-C76)&gt;SnapshotTolerance,1,0)</f>
        <v>0</v>
      </c>
      <c r="AD76" s="278">
        <f ca="1">IF(ABS(Q76-D76)&gt;SnapshotTolerance,1,0)</f>
        <v>0</v>
      </c>
      <c r="AE76" s="278">
        <f ca="1">IF(ABS(R76-E76)&gt;SnapshotTolerance,1,0)</f>
        <v>0</v>
      </c>
      <c r="AF76" s="278">
        <f ca="1">IF(ABS(S76-F76)&gt;SnapshotTolerance,1,0)</f>
        <v>0</v>
      </c>
      <c r="AG76" s="278">
        <f ca="1">IF(ABS(T76-G76)&gt;SnapshotTolerance,1,0)</f>
        <v>0</v>
      </c>
      <c r="AH76" s="278">
        <f ca="1">IF(ABS(U76-H76)&gt;SnapshotTolerance,1,0)</f>
        <v>0</v>
      </c>
      <c r="AI76" s="278">
        <f ca="1">IF(ABS(V76-I76)&gt;SnapshotTolerance,1,0)</f>
        <v>0</v>
      </c>
      <c r="AJ76" s="278">
        <f ca="1">IF(ABS(W76-J76)&gt;SnapshotTolerance,1,0)</f>
        <v>0</v>
      </c>
      <c r="AK76" s="278">
        <f ca="1">IF(ABS(X76-K76)&gt;SnapshotTolerance,1,0)</f>
        <v>0</v>
      </c>
      <c r="AL76" s="278">
        <f ca="1">IF(ABS(Y76-L76)&gt;SnapshotTolerance,1,0)</f>
        <v>0</v>
      </c>
      <c r="AM76" s="279">
        <f ca="1">IF(ABS(Z76-M76)&gt;SnapshotTolerance,1,0)</f>
        <v>0</v>
      </c>
    </row>
    <row r="77" spans="2:39">
      <c r="B77" s="282" t="str">
        <f>'EUR Swap PVs'!AG17</f>
        <v>25Y</v>
      </c>
      <c r="C77" s="278">
        <f ca="1">'EUR Swap PVs'!AH17</f>
        <v>1047182.7946827146</v>
      </c>
      <c r="D77" s="278">
        <f ca="1">'EUR Swap PVs'!AI17</f>
        <v>837746.23574617179</v>
      </c>
      <c r="E77" s="278">
        <f ca="1">'EUR Swap PVs'!AJ17</f>
        <v>628309.67680962884</v>
      </c>
      <c r="F77" s="278">
        <f ca="1">'EUR Swap PVs'!AK17</f>
        <v>418873.11787308572</v>
      </c>
      <c r="G77" s="278">
        <f ca="1">'EUR Swap PVs'!AL17</f>
        <v>209436.55893654277</v>
      </c>
      <c r="H77" s="278">
        <f ca="1">'EUR Swap PVs'!AM17</f>
        <v>-1.1102230246251565E-10</v>
      </c>
      <c r="I77" s="278">
        <f ca="1">'EUR Swap PVs'!AN17</f>
        <v>-209436.55893654312</v>
      </c>
      <c r="J77" s="278">
        <f ca="1">'EUR Swap PVs'!AO17</f>
        <v>-418873.11787308613</v>
      </c>
      <c r="K77" s="278">
        <f ca="1">'EUR Swap PVs'!AP17</f>
        <v>-628309.67680962896</v>
      </c>
      <c r="L77" s="278">
        <f ca="1">'EUR Swap PVs'!AQ17</f>
        <v>-837746.23574617202</v>
      </c>
      <c r="M77" s="279">
        <f ca="1">'EUR Swap PVs'!AR17</f>
        <v>-1047182.7946827149</v>
      </c>
      <c r="O77" s="282" t="s">
        <v>18</v>
      </c>
      <c r="P77" s="278">
        <v>1047182.7946827146</v>
      </c>
      <c r="Q77" s="278">
        <v>837746.23574617179</v>
      </c>
      <c r="R77" s="278">
        <v>628309.67680962884</v>
      </c>
      <c r="S77" s="278">
        <v>418873.11787308572</v>
      </c>
      <c r="T77" s="278">
        <v>209436.55893654277</v>
      </c>
      <c r="U77" s="278">
        <v>-1.1102230246251565E-10</v>
      </c>
      <c r="V77" s="278">
        <v>-209436.55893654312</v>
      </c>
      <c r="W77" s="278">
        <v>-418873.11787308613</v>
      </c>
      <c r="X77" s="278">
        <v>-628309.67680962896</v>
      </c>
      <c r="Y77" s="278">
        <v>-837746.23574617202</v>
      </c>
      <c r="Z77" s="279">
        <v>-1047182.7946827149</v>
      </c>
      <c r="AB77" s="282" t="str">
        <f t="shared" si="23"/>
        <v>25Y</v>
      </c>
      <c r="AC77" s="278">
        <f ca="1">IF(ABS(P77-C77)&gt;SnapshotTolerance,1,0)</f>
        <v>0</v>
      </c>
      <c r="AD77" s="278">
        <f ca="1">IF(ABS(Q77-D77)&gt;SnapshotTolerance,1,0)</f>
        <v>0</v>
      </c>
      <c r="AE77" s="278">
        <f ca="1">IF(ABS(R77-E77)&gt;SnapshotTolerance,1,0)</f>
        <v>0</v>
      </c>
      <c r="AF77" s="278">
        <f ca="1">IF(ABS(S77-F77)&gt;SnapshotTolerance,1,0)</f>
        <v>0</v>
      </c>
      <c r="AG77" s="278">
        <f ca="1">IF(ABS(T77-G77)&gt;SnapshotTolerance,1,0)</f>
        <v>0</v>
      </c>
      <c r="AH77" s="278">
        <f ca="1">IF(ABS(U77-H77)&gt;SnapshotTolerance,1,0)</f>
        <v>0</v>
      </c>
      <c r="AI77" s="278">
        <f ca="1">IF(ABS(V77-I77)&gt;SnapshotTolerance,1,0)</f>
        <v>0</v>
      </c>
      <c r="AJ77" s="278">
        <f ca="1">IF(ABS(W77-J77)&gt;SnapshotTolerance,1,0)</f>
        <v>0</v>
      </c>
      <c r="AK77" s="278">
        <f ca="1">IF(ABS(X77-K77)&gt;SnapshotTolerance,1,0)</f>
        <v>0</v>
      </c>
      <c r="AL77" s="278">
        <f ca="1">IF(ABS(Y77-L77)&gt;SnapshotTolerance,1,0)</f>
        <v>0</v>
      </c>
      <c r="AM77" s="279">
        <f ca="1">IF(ABS(Z77-M77)&gt;SnapshotTolerance,1,0)</f>
        <v>0</v>
      </c>
    </row>
    <row r="78" spans="2:39">
      <c r="B78" s="282" t="str">
        <f>'EUR Swap PVs'!AG18</f>
        <v>30Y</v>
      </c>
      <c r="C78" s="278">
        <f ca="1">'EUR Swap PVs'!AH18</f>
        <v>1200253.8604142829</v>
      </c>
      <c r="D78" s="278">
        <f ca="1">'EUR Swap PVs'!AI18</f>
        <v>960203.08833142626</v>
      </c>
      <c r="E78" s="278">
        <f ca="1">'EUR Swap PVs'!AJ18</f>
        <v>720152.31624856952</v>
      </c>
      <c r="F78" s="278">
        <f ca="1">'EUR Swap PVs'!AK18</f>
        <v>480101.54416571296</v>
      </c>
      <c r="G78" s="278">
        <f ca="1">'EUR Swap PVs'!AL18</f>
        <v>240050.77208285636</v>
      </c>
      <c r="H78" s="278">
        <f ca="1">'EUR Swap PVs'!AM18</f>
        <v>-1.6653345369377348E-10</v>
      </c>
      <c r="I78" s="278">
        <f ca="1">'EUR Swap PVs'!AN18</f>
        <v>-240050.7720828568</v>
      </c>
      <c r="J78" s="278">
        <f ca="1">'EUR Swap PVs'!AO18</f>
        <v>-480101.54416571342</v>
      </c>
      <c r="K78" s="278">
        <f ca="1">'EUR Swap PVs'!AP18</f>
        <v>-720152.31624856987</v>
      </c>
      <c r="L78" s="278">
        <f ca="1">'EUR Swap PVs'!AQ18</f>
        <v>-960203.08833142649</v>
      </c>
      <c r="M78" s="279">
        <f ca="1">'EUR Swap PVs'!AR18</f>
        <v>-1200253.8604142831</v>
      </c>
      <c r="O78" s="282" t="s">
        <v>17</v>
      </c>
      <c r="P78" s="278">
        <v>1200253.8604142829</v>
      </c>
      <c r="Q78" s="278">
        <v>960203.08833142626</v>
      </c>
      <c r="R78" s="278">
        <v>720152.31624856952</v>
      </c>
      <c r="S78" s="278">
        <v>480101.54416571296</v>
      </c>
      <c r="T78" s="278">
        <v>240050.77208285636</v>
      </c>
      <c r="U78" s="278">
        <v>-1.6653345369377348E-10</v>
      </c>
      <c r="V78" s="278">
        <v>-240050.7720828568</v>
      </c>
      <c r="W78" s="278">
        <v>-480101.54416571342</v>
      </c>
      <c r="X78" s="278">
        <v>-720152.31624856987</v>
      </c>
      <c r="Y78" s="278">
        <v>-960203.08833142649</v>
      </c>
      <c r="Z78" s="279">
        <v>-1200253.8604142831</v>
      </c>
      <c r="AB78" s="282" t="str">
        <f t="shared" si="23"/>
        <v>30Y</v>
      </c>
      <c r="AC78" s="278">
        <f ca="1">IF(ABS(P78-C78)&gt;SnapshotTolerance,1,0)</f>
        <v>0</v>
      </c>
      <c r="AD78" s="278">
        <f ca="1">IF(ABS(Q78-D78)&gt;SnapshotTolerance,1,0)</f>
        <v>0</v>
      </c>
      <c r="AE78" s="278">
        <f ca="1">IF(ABS(R78-E78)&gt;SnapshotTolerance,1,0)</f>
        <v>0</v>
      </c>
      <c r="AF78" s="278">
        <f ca="1">IF(ABS(S78-F78)&gt;SnapshotTolerance,1,0)</f>
        <v>0</v>
      </c>
      <c r="AG78" s="278">
        <f ca="1">IF(ABS(T78-G78)&gt;SnapshotTolerance,1,0)</f>
        <v>0</v>
      </c>
      <c r="AH78" s="278">
        <f ca="1">IF(ABS(U78-H78)&gt;SnapshotTolerance,1,0)</f>
        <v>0</v>
      </c>
      <c r="AI78" s="278">
        <f ca="1">IF(ABS(V78-I78)&gt;SnapshotTolerance,1,0)</f>
        <v>0</v>
      </c>
      <c r="AJ78" s="278">
        <f ca="1">IF(ABS(W78-J78)&gt;SnapshotTolerance,1,0)</f>
        <v>0</v>
      </c>
      <c r="AK78" s="278">
        <f ca="1">IF(ABS(X78-K78)&gt;SnapshotTolerance,1,0)</f>
        <v>0</v>
      </c>
      <c r="AL78" s="278">
        <f ca="1">IF(ABS(Y78-L78)&gt;SnapshotTolerance,1,0)</f>
        <v>0</v>
      </c>
      <c r="AM78" s="279">
        <f ca="1">IF(ABS(Z78-M78)&gt;SnapshotTolerance,1,0)</f>
        <v>0</v>
      </c>
    </row>
    <row r="79" spans="2:39">
      <c r="B79" s="282" t="str">
        <f>'EUR Swap PVs'!AG19</f>
        <v>35Y</v>
      </c>
      <c r="C79" s="278">
        <f ca="1">'EUR Swap PVs'!AH19</f>
        <v>1341179.2700771401</v>
      </c>
      <c r="D79" s="278">
        <f ca="1">'EUR Swap PVs'!AI19</f>
        <v>1072943.416061712</v>
      </c>
      <c r="E79" s="278">
        <f ca="1">'EUR Swap PVs'!AJ19</f>
        <v>804707.56204628374</v>
      </c>
      <c r="F79" s="278">
        <f ca="1">'EUR Swap PVs'!AK19</f>
        <v>536471.70803085575</v>
      </c>
      <c r="G79" s="278">
        <f ca="1">'EUR Swap PVs'!AL19</f>
        <v>268235.8540154277</v>
      </c>
      <c r="H79" s="278">
        <f ca="1">'EUR Swap PVs'!AM19</f>
        <v>-2.2204460492503131E-10</v>
      </c>
      <c r="I79" s="278">
        <f ca="1">'EUR Swap PVs'!AN19</f>
        <v>-268235.85401542822</v>
      </c>
      <c r="J79" s="278">
        <f ca="1">'EUR Swap PVs'!AO19</f>
        <v>-536471.70803085633</v>
      </c>
      <c r="K79" s="278">
        <f ca="1">'EUR Swap PVs'!AP19</f>
        <v>-804707.56204628421</v>
      </c>
      <c r="L79" s="278">
        <f ca="1">'EUR Swap PVs'!AQ19</f>
        <v>-1072943.4160617124</v>
      </c>
      <c r="M79" s="279">
        <f ca="1">'EUR Swap PVs'!AR19</f>
        <v>-1341179.2700771403</v>
      </c>
      <c r="O79" s="282" t="s">
        <v>16</v>
      </c>
      <c r="P79" s="278">
        <v>1341179.2700771401</v>
      </c>
      <c r="Q79" s="278">
        <v>1072943.416061712</v>
      </c>
      <c r="R79" s="278">
        <v>804707.56204628374</v>
      </c>
      <c r="S79" s="278">
        <v>536471.70803085575</v>
      </c>
      <c r="T79" s="278">
        <v>268235.8540154277</v>
      </c>
      <c r="U79" s="278">
        <v>-2.2204460492503131E-10</v>
      </c>
      <c r="V79" s="278">
        <v>-268235.85401542822</v>
      </c>
      <c r="W79" s="278">
        <v>-536471.70803085633</v>
      </c>
      <c r="X79" s="278">
        <v>-804707.56204628421</v>
      </c>
      <c r="Y79" s="278">
        <v>-1072943.4160617124</v>
      </c>
      <c r="Z79" s="279">
        <v>-1341179.2700771403</v>
      </c>
      <c r="AB79" s="282" t="str">
        <f t="shared" si="23"/>
        <v>35Y</v>
      </c>
      <c r="AC79" s="278">
        <f ca="1">IF(ABS(P79-C79)&gt;SnapshotTolerance,1,0)</f>
        <v>0</v>
      </c>
      <c r="AD79" s="278">
        <f ca="1">IF(ABS(Q79-D79)&gt;SnapshotTolerance,1,0)</f>
        <v>0</v>
      </c>
      <c r="AE79" s="278">
        <f ca="1">IF(ABS(R79-E79)&gt;SnapshotTolerance,1,0)</f>
        <v>0</v>
      </c>
      <c r="AF79" s="278">
        <f ca="1">IF(ABS(S79-F79)&gt;SnapshotTolerance,1,0)</f>
        <v>0</v>
      </c>
      <c r="AG79" s="278">
        <f ca="1">IF(ABS(T79-G79)&gt;SnapshotTolerance,1,0)</f>
        <v>0</v>
      </c>
      <c r="AH79" s="278">
        <f ca="1">IF(ABS(U79-H79)&gt;SnapshotTolerance,1,0)</f>
        <v>0</v>
      </c>
      <c r="AI79" s="278">
        <f ca="1">IF(ABS(V79-I79)&gt;SnapshotTolerance,1,0)</f>
        <v>0</v>
      </c>
      <c r="AJ79" s="278">
        <f ca="1">IF(ABS(W79-J79)&gt;SnapshotTolerance,1,0)</f>
        <v>0</v>
      </c>
      <c r="AK79" s="278">
        <f ca="1">IF(ABS(X79-K79)&gt;SnapshotTolerance,1,0)</f>
        <v>0</v>
      </c>
      <c r="AL79" s="278">
        <f ca="1">IF(ABS(Y79-L79)&gt;SnapshotTolerance,1,0)</f>
        <v>0</v>
      </c>
      <c r="AM79" s="279">
        <f ca="1">IF(ABS(Z79-M79)&gt;SnapshotTolerance,1,0)</f>
        <v>0</v>
      </c>
    </row>
    <row r="80" spans="2:39">
      <c r="B80" s="282" t="str">
        <f>'EUR Swap PVs'!AG20</f>
        <v>40Y</v>
      </c>
      <c r="C80" s="278">
        <f ca="1">'EUR Swap PVs'!AH20</f>
        <v>1471307.5991774681</v>
      </c>
      <c r="D80" s="278">
        <f ca="1">'EUR Swap PVs'!AI20</f>
        <v>1177046.0793419746</v>
      </c>
      <c r="E80" s="278">
        <f ca="1">'EUR Swap PVs'!AJ20</f>
        <v>882784.55950648093</v>
      </c>
      <c r="F80" s="278">
        <f ca="1">'EUR Swap PVs'!AK20</f>
        <v>588523.0396709874</v>
      </c>
      <c r="G80" s="278">
        <f ca="1">'EUR Swap PVs'!AL20</f>
        <v>294261.51983549382</v>
      </c>
      <c r="H80" s="278">
        <f ca="1">'EUR Swap PVs'!AM20</f>
        <v>3.3306690738754696E-10</v>
      </c>
      <c r="I80" s="278">
        <f ca="1">'EUR Swap PVs'!AN20</f>
        <v>-294261.51983549318</v>
      </c>
      <c r="J80" s="278">
        <f ca="1">'EUR Swap PVs'!AO20</f>
        <v>-588523.03967098659</v>
      </c>
      <c r="K80" s="278">
        <f ca="1">'EUR Swap PVs'!AP20</f>
        <v>-882784.55950648023</v>
      </c>
      <c r="L80" s="278">
        <f ca="1">'EUR Swap PVs'!AQ20</f>
        <v>-1177046.0793419736</v>
      </c>
      <c r="M80" s="279">
        <f ca="1">'EUR Swap PVs'!AR20</f>
        <v>-1471307.5991774676</v>
      </c>
      <c r="O80" s="282" t="s">
        <v>15</v>
      </c>
      <c r="P80" s="278">
        <v>1471307.5991774681</v>
      </c>
      <c r="Q80" s="278">
        <v>1177046.0793419746</v>
      </c>
      <c r="R80" s="278">
        <v>882784.55950648093</v>
      </c>
      <c r="S80" s="278">
        <v>588523.0396709874</v>
      </c>
      <c r="T80" s="278">
        <v>294261.51983549382</v>
      </c>
      <c r="U80" s="278">
        <v>3.3306690738754696E-10</v>
      </c>
      <c r="V80" s="278">
        <v>-294261.51983549318</v>
      </c>
      <c r="W80" s="278">
        <v>-588523.03967098659</v>
      </c>
      <c r="X80" s="278">
        <v>-882784.55950648023</v>
      </c>
      <c r="Y80" s="278">
        <v>-1177046.0793419736</v>
      </c>
      <c r="Z80" s="279">
        <v>-1471307.5991774676</v>
      </c>
      <c r="AB80" s="282" t="str">
        <f t="shared" si="23"/>
        <v>40Y</v>
      </c>
      <c r="AC80" s="278">
        <f ca="1">IF(ABS(P80-C80)&gt;SnapshotTolerance,1,0)</f>
        <v>0</v>
      </c>
      <c r="AD80" s="278">
        <f ca="1">IF(ABS(Q80-D80)&gt;SnapshotTolerance,1,0)</f>
        <v>0</v>
      </c>
      <c r="AE80" s="278">
        <f ca="1">IF(ABS(R80-E80)&gt;SnapshotTolerance,1,0)</f>
        <v>0</v>
      </c>
      <c r="AF80" s="278">
        <f ca="1">IF(ABS(S80-F80)&gt;SnapshotTolerance,1,0)</f>
        <v>0</v>
      </c>
      <c r="AG80" s="278">
        <f ca="1">IF(ABS(T80-G80)&gt;SnapshotTolerance,1,0)</f>
        <v>0</v>
      </c>
      <c r="AH80" s="278">
        <f ca="1">IF(ABS(U80-H80)&gt;SnapshotTolerance,1,0)</f>
        <v>0</v>
      </c>
      <c r="AI80" s="278">
        <f ca="1">IF(ABS(V80-I80)&gt;SnapshotTolerance,1,0)</f>
        <v>0</v>
      </c>
      <c r="AJ80" s="278">
        <f ca="1">IF(ABS(W80-J80)&gt;SnapshotTolerance,1,0)</f>
        <v>0</v>
      </c>
      <c r="AK80" s="278">
        <f ca="1">IF(ABS(X80-K80)&gt;SnapshotTolerance,1,0)</f>
        <v>0</v>
      </c>
      <c r="AL80" s="278">
        <f ca="1">IF(ABS(Y80-L80)&gt;SnapshotTolerance,1,0)</f>
        <v>0</v>
      </c>
      <c r="AM80" s="279">
        <f ca="1">IF(ABS(Z80-M80)&gt;SnapshotTolerance,1,0)</f>
        <v>0</v>
      </c>
    </row>
    <row r="81" spans="2:39">
      <c r="B81" s="282" t="str">
        <f>'EUR Swap PVs'!AG21</f>
        <v>45Y</v>
      </c>
      <c r="C81" s="278">
        <f ca="1">'EUR Swap PVs'!AH21</f>
        <v>1589983.8927858982</v>
      </c>
      <c r="D81" s="278">
        <f ca="1">'EUR Swap PVs'!AI21</f>
        <v>1271987.1142287184</v>
      </c>
      <c r="E81" s="278">
        <f ca="1">'EUR Swap PVs'!AJ21</f>
        <v>953990.33567153895</v>
      </c>
      <c r="F81" s="278">
        <f ca="1">'EUR Swap PVs'!AK21</f>
        <v>635993.55711435934</v>
      </c>
      <c r="G81" s="278">
        <f ca="1">'EUR Swap PVs'!AL21</f>
        <v>317996.77855717984</v>
      </c>
      <c r="H81" s="278">
        <f ca="1">'EUR Swap PVs'!AM21</f>
        <v>4.4408920985006262E-10</v>
      </c>
      <c r="I81" s="278">
        <f ca="1">'EUR Swap PVs'!AN21</f>
        <v>-317996.77855717903</v>
      </c>
      <c r="J81" s="278">
        <f ca="1">'EUR Swap PVs'!AO21</f>
        <v>-635993.55711435853</v>
      </c>
      <c r="K81" s="278">
        <f ca="1">'EUR Swap PVs'!AP21</f>
        <v>-953990.33567153791</v>
      </c>
      <c r="L81" s="278">
        <f ca="1">'EUR Swap PVs'!AQ21</f>
        <v>-1271987.1142287177</v>
      </c>
      <c r="M81" s="279">
        <f ca="1">'EUR Swap PVs'!AR21</f>
        <v>-1589983.892785897</v>
      </c>
      <c r="O81" s="282" t="s">
        <v>368</v>
      </c>
      <c r="P81" s="278">
        <v>1589983.8927858982</v>
      </c>
      <c r="Q81" s="278">
        <v>1271987.1142287184</v>
      </c>
      <c r="R81" s="278">
        <v>953990.33567153895</v>
      </c>
      <c r="S81" s="278">
        <v>635993.55711435934</v>
      </c>
      <c r="T81" s="278">
        <v>317996.77855717984</v>
      </c>
      <c r="U81" s="278">
        <v>4.4408920985006262E-10</v>
      </c>
      <c r="V81" s="278">
        <v>-317996.77855717903</v>
      </c>
      <c r="W81" s="278">
        <v>-635993.55711435853</v>
      </c>
      <c r="X81" s="278">
        <v>-953990.33567153791</v>
      </c>
      <c r="Y81" s="278">
        <v>-1271987.1142287177</v>
      </c>
      <c r="Z81" s="279">
        <v>-1589983.892785897</v>
      </c>
      <c r="AB81" s="282" t="str">
        <f t="shared" si="23"/>
        <v>45Y</v>
      </c>
      <c r="AC81" s="278">
        <f ca="1">IF(ABS(P81-C81)&gt;SnapshotTolerance,1,0)</f>
        <v>0</v>
      </c>
      <c r="AD81" s="278">
        <f ca="1">IF(ABS(Q81-D81)&gt;SnapshotTolerance,1,0)</f>
        <v>0</v>
      </c>
      <c r="AE81" s="278">
        <f ca="1">IF(ABS(R81-E81)&gt;SnapshotTolerance,1,0)</f>
        <v>0</v>
      </c>
      <c r="AF81" s="278">
        <f ca="1">IF(ABS(S81-F81)&gt;SnapshotTolerance,1,0)</f>
        <v>0</v>
      </c>
      <c r="AG81" s="278">
        <f ca="1">IF(ABS(T81-G81)&gt;SnapshotTolerance,1,0)</f>
        <v>0</v>
      </c>
      <c r="AH81" s="278">
        <f ca="1">IF(ABS(U81-H81)&gt;SnapshotTolerance,1,0)</f>
        <v>0</v>
      </c>
      <c r="AI81" s="278">
        <f ca="1">IF(ABS(V81-I81)&gt;SnapshotTolerance,1,0)</f>
        <v>0</v>
      </c>
      <c r="AJ81" s="278">
        <f ca="1">IF(ABS(W81-J81)&gt;SnapshotTolerance,1,0)</f>
        <v>0</v>
      </c>
      <c r="AK81" s="278">
        <f ca="1">IF(ABS(X81-K81)&gt;SnapshotTolerance,1,0)</f>
        <v>0</v>
      </c>
      <c r="AL81" s="278">
        <f ca="1">IF(ABS(Y81-L81)&gt;SnapshotTolerance,1,0)</f>
        <v>0</v>
      </c>
      <c r="AM81" s="279">
        <f ca="1">IF(ABS(Z81-M81)&gt;SnapshotTolerance,1,0)</f>
        <v>0</v>
      </c>
    </row>
    <row r="82" spans="2:39">
      <c r="B82" s="283" t="str">
        <f>'EUR Swap PVs'!AG22</f>
        <v>50Y</v>
      </c>
      <c r="C82" s="280">
        <f ca="1">'EUR Swap PVs'!AH22</f>
        <v>1698516.6839658318</v>
      </c>
      <c r="D82" s="280">
        <f ca="1">'EUR Swap PVs'!AI22</f>
        <v>1358813.3471726654</v>
      </c>
      <c r="E82" s="280">
        <f ca="1">'EUR Swap PVs'!AJ22</f>
        <v>1019110.0103794989</v>
      </c>
      <c r="F82" s="280">
        <f ca="1">'EUR Swap PVs'!AK22</f>
        <v>679406.67358633282</v>
      </c>
      <c r="G82" s="280">
        <f ca="1">'EUR Swap PVs'!AL22</f>
        <v>339703.33679316653</v>
      </c>
      <c r="H82" s="280">
        <f ca="1">'EUR Swap PVs'!AM22</f>
        <v>3.3306690738754696E-10</v>
      </c>
      <c r="I82" s="280">
        <f ca="1">'EUR Swap PVs'!AN22</f>
        <v>-339703.336793166</v>
      </c>
      <c r="J82" s="280">
        <f ca="1">'EUR Swap PVs'!AO22</f>
        <v>-679406.67358633224</v>
      </c>
      <c r="K82" s="280">
        <f ca="1">'EUR Swap PVs'!AP22</f>
        <v>-1019110.0103794984</v>
      </c>
      <c r="L82" s="280">
        <f ca="1">'EUR Swap PVs'!AQ22</f>
        <v>-1358813.3471726647</v>
      </c>
      <c r="M82" s="281">
        <f ca="1">'EUR Swap PVs'!AR22</f>
        <v>-1698516.6839658308</v>
      </c>
      <c r="O82" s="283" t="s">
        <v>14</v>
      </c>
      <c r="P82" s="280">
        <v>1698516.6839658318</v>
      </c>
      <c r="Q82" s="280">
        <v>1358813.3471726654</v>
      </c>
      <c r="R82" s="280">
        <v>1019110.0103794989</v>
      </c>
      <c r="S82" s="280">
        <v>679406.67358633282</v>
      </c>
      <c r="T82" s="280">
        <v>339703.33679316653</v>
      </c>
      <c r="U82" s="280">
        <v>3.3306690738754696E-10</v>
      </c>
      <c r="V82" s="280">
        <v>-339703.336793166</v>
      </c>
      <c r="W82" s="280">
        <v>-679406.67358633224</v>
      </c>
      <c r="X82" s="280">
        <v>-1019110.0103794984</v>
      </c>
      <c r="Y82" s="280">
        <v>-1358813.3471726647</v>
      </c>
      <c r="Z82" s="281">
        <v>-1698516.6839658308</v>
      </c>
      <c r="AB82" s="283" t="str">
        <f t="shared" si="23"/>
        <v>50Y</v>
      </c>
      <c r="AC82" s="280">
        <f ca="1">IF(ABS(P82-C82)&gt;SnapshotTolerance,1,0)</f>
        <v>0</v>
      </c>
      <c r="AD82" s="280">
        <f ca="1">IF(ABS(Q82-D82)&gt;SnapshotTolerance,1,0)</f>
        <v>0</v>
      </c>
      <c r="AE82" s="280">
        <f ca="1">IF(ABS(R82-E82)&gt;SnapshotTolerance,1,0)</f>
        <v>0</v>
      </c>
      <c r="AF82" s="280">
        <f ca="1">IF(ABS(S82-F82)&gt;SnapshotTolerance,1,0)</f>
        <v>0</v>
      </c>
      <c r="AG82" s="280">
        <f ca="1">IF(ABS(T82-G82)&gt;SnapshotTolerance,1,0)</f>
        <v>0</v>
      </c>
      <c r="AH82" s="280">
        <f ca="1">IF(ABS(U82-H82)&gt;SnapshotTolerance,1,0)</f>
        <v>0</v>
      </c>
      <c r="AI82" s="280">
        <f ca="1">IF(ABS(V82-I82)&gt;SnapshotTolerance,1,0)</f>
        <v>0</v>
      </c>
      <c r="AJ82" s="280">
        <f ca="1">IF(ABS(W82-J82)&gt;SnapshotTolerance,1,0)</f>
        <v>0</v>
      </c>
      <c r="AK82" s="280">
        <f ca="1">IF(ABS(X82-K82)&gt;SnapshotTolerance,1,0)</f>
        <v>0</v>
      </c>
      <c r="AL82" s="280">
        <f ca="1">IF(ABS(Y82-L82)&gt;SnapshotTolerance,1,0)</f>
        <v>0</v>
      </c>
      <c r="AM82" s="281">
        <f ca="1">IF(ABS(Z82-M82)&gt;SnapshotTolerance,1,0)</f>
        <v>0</v>
      </c>
    </row>
    <row r="85" spans="2:39">
      <c r="B85" t="s">
        <v>527</v>
      </c>
      <c r="E85" t="s">
        <v>472</v>
      </c>
    </row>
    <row r="86" spans="2:39">
      <c r="B86" t="s">
        <v>530</v>
      </c>
      <c r="E86" s="252">
        <f ca="1">SUM(AC91:AM109)</f>
        <v>0</v>
      </c>
    </row>
    <row r="87" spans="2:39">
      <c r="B87" t="s">
        <v>532</v>
      </c>
    </row>
    <row r="89" spans="2:39">
      <c r="B89" t="s">
        <v>510</v>
      </c>
      <c r="O89" t="s">
        <v>470</v>
      </c>
      <c r="AB89" t="s">
        <v>511</v>
      </c>
    </row>
    <row r="90" spans="2:39">
      <c r="B90" s="254" t="str">
        <f>'EUR Swap PVs'!AG28</f>
        <v>Term</v>
      </c>
      <c r="C90" s="287">
        <f>'EUR Swap PVs'!AH28</f>
        <v>500</v>
      </c>
      <c r="D90" s="287">
        <f>'EUR Swap PVs'!AI28</f>
        <v>400</v>
      </c>
      <c r="E90" s="287">
        <f>'EUR Swap PVs'!AJ28</f>
        <v>300</v>
      </c>
      <c r="F90" s="287">
        <f>'EUR Swap PVs'!AK28</f>
        <v>200</v>
      </c>
      <c r="G90" s="287">
        <f>'EUR Swap PVs'!AL28</f>
        <v>100</v>
      </c>
      <c r="H90" s="287">
        <f>'EUR Swap PVs'!AM28</f>
        <v>0</v>
      </c>
      <c r="I90" s="287">
        <f>'EUR Swap PVs'!AN28</f>
        <v>-100</v>
      </c>
      <c r="J90" s="287">
        <f>'EUR Swap PVs'!AO28</f>
        <v>-200</v>
      </c>
      <c r="K90" s="287">
        <f>'EUR Swap PVs'!AP28</f>
        <v>-300</v>
      </c>
      <c r="L90" s="287">
        <f>'EUR Swap PVs'!AQ28</f>
        <v>-400</v>
      </c>
      <c r="M90" s="288">
        <f>'EUR Swap PVs'!AR28</f>
        <v>-500</v>
      </c>
      <c r="O90" s="254" t="s">
        <v>76</v>
      </c>
      <c r="P90" s="287">
        <v>500</v>
      </c>
      <c r="Q90" s="287">
        <v>400</v>
      </c>
      <c r="R90" s="287">
        <v>300</v>
      </c>
      <c r="S90" s="287">
        <v>200</v>
      </c>
      <c r="T90" s="287">
        <v>100</v>
      </c>
      <c r="U90" s="287">
        <v>0</v>
      </c>
      <c r="V90" s="287">
        <v>-100</v>
      </c>
      <c r="W90" s="287">
        <v>-200</v>
      </c>
      <c r="X90" s="287">
        <v>-300</v>
      </c>
      <c r="Y90" s="287">
        <v>-400</v>
      </c>
      <c r="Z90" s="288">
        <v>-500</v>
      </c>
      <c r="AB90" s="254" t="str">
        <f>O90</f>
        <v>Term</v>
      </c>
      <c r="AC90" s="287">
        <f>P90</f>
        <v>500</v>
      </c>
      <c r="AD90" s="287">
        <f t="shared" ref="AD90" si="24">Q90</f>
        <v>400</v>
      </c>
      <c r="AE90" s="287">
        <f t="shared" ref="AE90" si="25">R90</f>
        <v>300</v>
      </c>
      <c r="AF90" s="287">
        <f t="shared" ref="AF90" si="26">S90</f>
        <v>200</v>
      </c>
      <c r="AG90" s="287">
        <f t="shared" ref="AG90" si="27">T90</f>
        <v>100</v>
      </c>
      <c r="AH90" s="287">
        <f t="shared" ref="AH90" si="28">U90</f>
        <v>0</v>
      </c>
      <c r="AI90" s="287">
        <f t="shared" ref="AI90" si="29">V90</f>
        <v>-100</v>
      </c>
      <c r="AJ90" s="287">
        <f t="shared" ref="AJ90" si="30">W90</f>
        <v>-200</v>
      </c>
      <c r="AK90" s="287">
        <f t="shared" ref="AK90" si="31">X90</f>
        <v>-300</v>
      </c>
      <c r="AL90" s="287">
        <f t="shared" ref="AL90" si="32">Y90</f>
        <v>-400</v>
      </c>
      <c r="AM90" s="288">
        <f t="shared" ref="AM90" si="33">Z90</f>
        <v>-500</v>
      </c>
    </row>
    <row r="91" spans="2:39">
      <c r="B91" s="282" t="str">
        <f>'EUR Swap PVs'!AG29</f>
        <v>2Y</v>
      </c>
      <c r="C91" s="278">
        <f ca="1">'EUR Swap PVs'!AH29</f>
        <v>101953.21509841587</v>
      </c>
      <c r="D91" s="278">
        <f ca="1">'EUR Swap PVs'!AI29</f>
        <v>81562.572078732686</v>
      </c>
      <c r="E91" s="278">
        <f ca="1">'EUR Swap PVs'!AJ29</f>
        <v>61171.929059049537</v>
      </c>
      <c r="F91" s="278">
        <f ca="1">'EUR Swap PVs'!AK29</f>
        <v>40781.28603936635</v>
      </c>
      <c r="G91" s="278">
        <f ca="1">'EUR Swap PVs'!AL29</f>
        <v>20390.643019683175</v>
      </c>
      <c r="H91" s="278">
        <f ca="1">'EUR Swap PVs'!AM29</f>
        <v>0</v>
      </c>
      <c r="I91" s="278">
        <f ca="1">'EUR Swap PVs'!AN29</f>
        <v>-20390.643019683175</v>
      </c>
      <c r="J91" s="278">
        <f ca="1">'EUR Swap PVs'!AO29</f>
        <v>-40781.28603936635</v>
      </c>
      <c r="K91" s="278">
        <f ca="1">'EUR Swap PVs'!AP29</f>
        <v>-61171.929059049529</v>
      </c>
      <c r="L91" s="278">
        <f ca="1">'EUR Swap PVs'!AQ29</f>
        <v>-81562.572078732715</v>
      </c>
      <c r="M91" s="279">
        <f ca="1">'EUR Swap PVs'!AR29</f>
        <v>-101953.21509841588</v>
      </c>
      <c r="O91" s="282" t="s">
        <v>42</v>
      </c>
      <c r="P91" s="278">
        <v>101953.21509841587</v>
      </c>
      <c r="Q91" s="278">
        <v>81562.572078732686</v>
      </c>
      <c r="R91" s="278">
        <v>61171.929059049537</v>
      </c>
      <c r="S91" s="278">
        <v>40781.28603936635</v>
      </c>
      <c r="T91" s="278">
        <v>20390.643019683175</v>
      </c>
      <c r="U91" s="278">
        <v>0</v>
      </c>
      <c r="V91" s="278">
        <v>-20390.643019683175</v>
      </c>
      <c r="W91" s="278">
        <v>-40781.28603936635</v>
      </c>
      <c r="X91" s="278">
        <v>-61171.929059049529</v>
      </c>
      <c r="Y91" s="278">
        <v>-81562.572078732715</v>
      </c>
      <c r="Z91" s="279">
        <v>-101953.21509841588</v>
      </c>
      <c r="AB91" s="282" t="str">
        <f t="shared" ref="AB91:AB109" si="34">O91</f>
        <v>2Y</v>
      </c>
      <c r="AC91" s="278">
        <f ca="1">IF(ABS(P91-C91)&gt;SnapshotTolerance,1,0)</f>
        <v>0</v>
      </c>
      <c r="AD91" s="278">
        <f ca="1">IF(ABS(Q91-D91)&gt;SnapshotTolerance,1,0)</f>
        <v>0</v>
      </c>
      <c r="AE91" s="278">
        <f ca="1">IF(ABS(R91-E91)&gt;SnapshotTolerance,1,0)</f>
        <v>0</v>
      </c>
      <c r="AF91" s="278">
        <f ca="1">IF(ABS(S91-F91)&gt;SnapshotTolerance,1,0)</f>
        <v>0</v>
      </c>
      <c r="AG91" s="278">
        <f ca="1">IF(ABS(T91-G91)&gt;SnapshotTolerance,1,0)</f>
        <v>0</v>
      </c>
      <c r="AH91" s="278">
        <f ca="1">IF(ABS(U91-H91)&gt;SnapshotTolerance,1,0)</f>
        <v>0</v>
      </c>
      <c r="AI91" s="278">
        <f ca="1">IF(ABS(V91-I91)&gt;SnapshotTolerance,1,0)</f>
        <v>0</v>
      </c>
      <c r="AJ91" s="278">
        <f ca="1">IF(ABS(W91-J91)&gt;SnapshotTolerance,1,0)</f>
        <v>0</v>
      </c>
      <c r="AK91" s="278">
        <f ca="1">IF(ABS(X91-K91)&gt;SnapshotTolerance,1,0)</f>
        <v>0</v>
      </c>
      <c r="AL91" s="278">
        <f ca="1">IF(ABS(Y91-L91)&gt;SnapshotTolerance,1,0)</f>
        <v>0</v>
      </c>
      <c r="AM91" s="279">
        <f ca="1">IF(ABS(Z91-M91)&gt;SnapshotTolerance,1,0)</f>
        <v>0</v>
      </c>
    </row>
    <row r="92" spans="2:39">
      <c r="B92" s="282" t="str">
        <f>'EUR Swap PVs'!AG30</f>
        <v>3Y</v>
      </c>
      <c r="C92" s="278">
        <f ca="1">'EUR Swap PVs'!AH30</f>
        <v>152542.46364885769</v>
      </c>
      <c r="D92" s="278">
        <f ca="1">'EUR Swap PVs'!AI30</f>
        <v>122033.97091908618</v>
      </c>
      <c r="E92" s="278">
        <f ca="1">'EUR Swap PVs'!AJ30</f>
        <v>91525.478189314643</v>
      </c>
      <c r="F92" s="278">
        <f ca="1">'EUR Swap PVs'!AK30</f>
        <v>61016.985459543081</v>
      </c>
      <c r="G92" s="278">
        <f ca="1">'EUR Swap PVs'!AL30</f>
        <v>30508.492729771537</v>
      </c>
      <c r="H92" s="278">
        <f ca="1">'EUR Swap PVs'!AM30</f>
        <v>0</v>
      </c>
      <c r="I92" s="278">
        <f ca="1">'EUR Swap PVs'!AN30</f>
        <v>-30508.492729771544</v>
      </c>
      <c r="J92" s="278">
        <f ca="1">'EUR Swap PVs'!AO30</f>
        <v>-61016.985459543081</v>
      </c>
      <c r="K92" s="278">
        <f ca="1">'EUR Swap PVs'!AP30</f>
        <v>-91525.478189314628</v>
      </c>
      <c r="L92" s="278">
        <f ca="1">'EUR Swap PVs'!AQ30</f>
        <v>-122033.97091908618</v>
      </c>
      <c r="M92" s="279">
        <f ca="1">'EUR Swap PVs'!AR30</f>
        <v>-152542.46364885769</v>
      </c>
      <c r="O92" s="282" t="s">
        <v>39</v>
      </c>
      <c r="P92" s="278">
        <v>152542.46364885769</v>
      </c>
      <c r="Q92" s="278">
        <v>122033.97091908618</v>
      </c>
      <c r="R92" s="278">
        <v>91525.478189314643</v>
      </c>
      <c r="S92" s="278">
        <v>61016.985459543081</v>
      </c>
      <c r="T92" s="278">
        <v>30508.492729771537</v>
      </c>
      <c r="U92" s="278">
        <v>0</v>
      </c>
      <c r="V92" s="278">
        <v>-30508.492729771544</v>
      </c>
      <c r="W92" s="278">
        <v>-61016.985459543081</v>
      </c>
      <c r="X92" s="278">
        <v>-91525.478189314628</v>
      </c>
      <c r="Y92" s="278">
        <v>-122033.97091908618</v>
      </c>
      <c r="Z92" s="279">
        <v>-152542.46364885769</v>
      </c>
      <c r="AB92" s="282" t="str">
        <f t="shared" si="34"/>
        <v>3Y</v>
      </c>
      <c r="AC92" s="278">
        <f ca="1">IF(ABS(P92-C92)&gt;SnapshotTolerance,1,0)</f>
        <v>0</v>
      </c>
      <c r="AD92" s="278">
        <f ca="1">IF(ABS(Q92-D92)&gt;SnapshotTolerance,1,0)</f>
        <v>0</v>
      </c>
      <c r="AE92" s="278">
        <f ca="1">IF(ABS(R92-E92)&gt;SnapshotTolerance,1,0)</f>
        <v>0</v>
      </c>
      <c r="AF92" s="278">
        <f ca="1">IF(ABS(S92-F92)&gt;SnapshotTolerance,1,0)</f>
        <v>0</v>
      </c>
      <c r="AG92" s="278">
        <f ca="1">IF(ABS(T92-G92)&gt;SnapshotTolerance,1,0)</f>
        <v>0</v>
      </c>
      <c r="AH92" s="278">
        <f ca="1">IF(ABS(U92-H92)&gt;SnapshotTolerance,1,0)</f>
        <v>0</v>
      </c>
      <c r="AI92" s="278">
        <f ca="1">IF(ABS(V92-I92)&gt;SnapshotTolerance,1,0)</f>
        <v>0</v>
      </c>
      <c r="AJ92" s="278">
        <f ca="1">IF(ABS(W92-J92)&gt;SnapshotTolerance,1,0)</f>
        <v>0</v>
      </c>
      <c r="AK92" s="278">
        <f ca="1">IF(ABS(X92-K92)&gt;SnapshotTolerance,1,0)</f>
        <v>0</v>
      </c>
      <c r="AL92" s="278">
        <f ca="1">IF(ABS(Y92-L92)&gt;SnapshotTolerance,1,0)</f>
        <v>0</v>
      </c>
      <c r="AM92" s="279">
        <f ca="1">IF(ABS(Z92-M92)&gt;SnapshotTolerance,1,0)</f>
        <v>0</v>
      </c>
    </row>
    <row r="93" spans="2:39">
      <c r="B93" s="282" t="str">
        <f>'EUR Swap PVs'!AG31</f>
        <v>4Y</v>
      </c>
      <c r="C93" s="278">
        <f ca="1">'EUR Swap PVs'!AH31</f>
        <v>202890.72538400179</v>
      </c>
      <c r="D93" s="278">
        <f ca="1">'EUR Swap PVs'!AI31</f>
        <v>162312.58030720142</v>
      </c>
      <c r="E93" s="278">
        <f ca="1">'EUR Swap PVs'!AJ31</f>
        <v>121734.4352304011</v>
      </c>
      <c r="F93" s="278">
        <f ca="1">'EUR Swap PVs'!AK31</f>
        <v>81156.290153600712</v>
      </c>
      <c r="G93" s="278">
        <f ca="1">'EUR Swap PVs'!AL31</f>
        <v>40578.145076800356</v>
      </c>
      <c r="H93" s="278">
        <f ca="1">'EUR Swap PVs'!AM31</f>
        <v>0</v>
      </c>
      <c r="I93" s="278">
        <f ca="1">'EUR Swap PVs'!AN31</f>
        <v>-40578.145076800363</v>
      </c>
      <c r="J93" s="278">
        <f ca="1">'EUR Swap PVs'!AO31</f>
        <v>-81156.290153600727</v>
      </c>
      <c r="K93" s="278">
        <f ca="1">'EUR Swap PVs'!AP31</f>
        <v>-121734.43523040107</v>
      </c>
      <c r="L93" s="278">
        <f ca="1">'EUR Swap PVs'!AQ31</f>
        <v>-162312.58030720145</v>
      </c>
      <c r="M93" s="279">
        <f ca="1">'EUR Swap PVs'!AR31</f>
        <v>-202890.72538400179</v>
      </c>
      <c r="O93" s="282" t="s">
        <v>35</v>
      </c>
      <c r="P93" s="278">
        <v>202890.72538400179</v>
      </c>
      <c r="Q93" s="278">
        <v>162312.58030720142</v>
      </c>
      <c r="R93" s="278">
        <v>121734.4352304011</v>
      </c>
      <c r="S93" s="278">
        <v>81156.290153600712</v>
      </c>
      <c r="T93" s="278">
        <v>40578.145076800356</v>
      </c>
      <c r="U93" s="278">
        <v>0</v>
      </c>
      <c r="V93" s="278">
        <v>-40578.145076800363</v>
      </c>
      <c r="W93" s="278">
        <v>-81156.290153600727</v>
      </c>
      <c r="X93" s="278">
        <v>-121734.43523040107</v>
      </c>
      <c r="Y93" s="278">
        <v>-162312.58030720145</v>
      </c>
      <c r="Z93" s="279">
        <v>-202890.72538400179</v>
      </c>
      <c r="AB93" s="282" t="str">
        <f t="shared" si="34"/>
        <v>4Y</v>
      </c>
      <c r="AC93" s="278">
        <f ca="1">IF(ABS(P93-C93)&gt;SnapshotTolerance,1,0)</f>
        <v>0</v>
      </c>
      <c r="AD93" s="278">
        <f ca="1">IF(ABS(Q93-D93)&gt;SnapshotTolerance,1,0)</f>
        <v>0</v>
      </c>
      <c r="AE93" s="278">
        <f ca="1">IF(ABS(R93-E93)&gt;SnapshotTolerance,1,0)</f>
        <v>0</v>
      </c>
      <c r="AF93" s="278">
        <f ca="1">IF(ABS(S93-F93)&gt;SnapshotTolerance,1,0)</f>
        <v>0</v>
      </c>
      <c r="AG93" s="278">
        <f ca="1">IF(ABS(T93-G93)&gt;SnapshotTolerance,1,0)</f>
        <v>0</v>
      </c>
      <c r="AH93" s="278">
        <f ca="1">IF(ABS(U93-H93)&gt;SnapshotTolerance,1,0)</f>
        <v>0</v>
      </c>
      <c r="AI93" s="278">
        <f ca="1">IF(ABS(V93-I93)&gt;SnapshotTolerance,1,0)</f>
        <v>0</v>
      </c>
      <c r="AJ93" s="278">
        <f ca="1">IF(ABS(W93-J93)&gt;SnapshotTolerance,1,0)</f>
        <v>0</v>
      </c>
      <c r="AK93" s="278">
        <f ca="1">IF(ABS(X93-K93)&gt;SnapshotTolerance,1,0)</f>
        <v>0</v>
      </c>
      <c r="AL93" s="278">
        <f ca="1">IF(ABS(Y93-L93)&gt;SnapshotTolerance,1,0)</f>
        <v>0</v>
      </c>
      <c r="AM93" s="279">
        <f ca="1">IF(ABS(Z93-M93)&gt;SnapshotTolerance,1,0)</f>
        <v>0</v>
      </c>
    </row>
    <row r="94" spans="2:39">
      <c r="B94" s="282" t="str">
        <f>'EUR Swap PVs'!AG32</f>
        <v>5Y</v>
      </c>
      <c r="C94" s="278">
        <f ca="1">'EUR Swap PVs'!AH32</f>
        <v>253069.5285075022</v>
      </c>
      <c r="D94" s="278">
        <f ca="1">'EUR Swap PVs'!AI32</f>
        <v>202455.62280600177</v>
      </c>
      <c r="E94" s="278">
        <f ca="1">'EUR Swap PVs'!AJ32</f>
        <v>151841.71710450135</v>
      </c>
      <c r="F94" s="278">
        <f ca="1">'EUR Swap PVs'!AK32</f>
        <v>101227.81140300087</v>
      </c>
      <c r="G94" s="278">
        <f ca="1">'EUR Swap PVs'!AL32</f>
        <v>50613.905701500429</v>
      </c>
      <c r="H94" s="278">
        <f ca="1">'EUR Swap PVs'!AM32</f>
        <v>0</v>
      </c>
      <c r="I94" s="278">
        <f ca="1">'EUR Swap PVs'!AN32</f>
        <v>-50613.905701500444</v>
      </c>
      <c r="J94" s="278">
        <f ca="1">'EUR Swap PVs'!AO32</f>
        <v>-101227.8114030009</v>
      </c>
      <c r="K94" s="278">
        <f ca="1">'EUR Swap PVs'!AP32</f>
        <v>-151841.71710450135</v>
      </c>
      <c r="L94" s="278">
        <f ca="1">'EUR Swap PVs'!AQ32</f>
        <v>-202455.62280600177</v>
      </c>
      <c r="M94" s="279">
        <f ca="1">'EUR Swap PVs'!AR32</f>
        <v>-253069.5285075022</v>
      </c>
      <c r="O94" s="282" t="s">
        <v>33</v>
      </c>
      <c r="P94" s="278">
        <v>253069.5285075022</v>
      </c>
      <c r="Q94" s="278">
        <v>202455.62280600177</v>
      </c>
      <c r="R94" s="278">
        <v>151841.71710450135</v>
      </c>
      <c r="S94" s="278">
        <v>101227.81140300087</v>
      </c>
      <c r="T94" s="278">
        <v>50613.905701500429</v>
      </c>
      <c r="U94" s="278">
        <v>0</v>
      </c>
      <c r="V94" s="278">
        <v>-50613.905701500444</v>
      </c>
      <c r="W94" s="278">
        <v>-101227.8114030009</v>
      </c>
      <c r="X94" s="278">
        <v>-151841.71710450135</v>
      </c>
      <c r="Y94" s="278">
        <v>-202455.62280600177</v>
      </c>
      <c r="Z94" s="279">
        <v>-253069.5285075022</v>
      </c>
      <c r="AB94" s="282" t="str">
        <f t="shared" si="34"/>
        <v>5Y</v>
      </c>
      <c r="AC94" s="278">
        <f ca="1">IF(ABS(P94-C94)&gt;SnapshotTolerance,1,0)</f>
        <v>0</v>
      </c>
      <c r="AD94" s="278">
        <f ca="1">IF(ABS(Q94-D94)&gt;SnapshotTolerance,1,0)</f>
        <v>0</v>
      </c>
      <c r="AE94" s="278">
        <f ca="1">IF(ABS(R94-E94)&gt;SnapshotTolerance,1,0)</f>
        <v>0</v>
      </c>
      <c r="AF94" s="278">
        <f ca="1">IF(ABS(S94-F94)&gt;SnapshotTolerance,1,0)</f>
        <v>0</v>
      </c>
      <c r="AG94" s="278">
        <f ca="1">IF(ABS(T94-G94)&gt;SnapshotTolerance,1,0)</f>
        <v>0</v>
      </c>
      <c r="AH94" s="278">
        <f ca="1">IF(ABS(U94-H94)&gt;SnapshotTolerance,1,0)</f>
        <v>0</v>
      </c>
      <c r="AI94" s="278">
        <f ca="1">IF(ABS(V94-I94)&gt;SnapshotTolerance,1,0)</f>
        <v>0</v>
      </c>
      <c r="AJ94" s="278">
        <f ca="1">IF(ABS(W94-J94)&gt;SnapshotTolerance,1,0)</f>
        <v>0</v>
      </c>
      <c r="AK94" s="278">
        <f ca="1">IF(ABS(X94-K94)&gt;SnapshotTolerance,1,0)</f>
        <v>0</v>
      </c>
      <c r="AL94" s="278">
        <f ca="1">IF(ABS(Y94-L94)&gt;SnapshotTolerance,1,0)</f>
        <v>0</v>
      </c>
      <c r="AM94" s="279">
        <f ca="1">IF(ABS(Z94-M94)&gt;SnapshotTolerance,1,0)</f>
        <v>0</v>
      </c>
    </row>
    <row r="95" spans="2:39">
      <c r="B95" s="282" t="str">
        <f>'EUR Swap PVs'!AG33</f>
        <v>6Y</v>
      </c>
      <c r="C95" s="278">
        <f ca="1">'EUR Swap PVs'!AH33</f>
        <v>302490.71297204384</v>
      </c>
      <c r="D95" s="278">
        <f ca="1">'EUR Swap PVs'!AI33</f>
        <v>241992.57037763507</v>
      </c>
      <c r="E95" s="278">
        <f ca="1">'EUR Swap PVs'!AJ33</f>
        <v>181494.42778322636</v>
      </c>
      <c r="F95" s="278">
        <f ca="1">'EUR Swap PVs'!AK33</f>
        <v>120996.28518881752</v>
      </c>
      <c r="G95" s="278">
        <f ca="1">'EUR Swap PVs'!AL33</f>
        <v>60498.142594408739</v>
      </c>
      <c r="H95" s="278">
        <f ca="1">'EUR Swap PVs'!AM33</f>
        <v>0</v>
      </c>
      <c r="I95" s="278">
        <f ca="1">'EUR Swap PVs'!AN33</f>
        <v>-60498.142594408775</v>
      </c>
      <c r="J95" s="278">
        <f ca="1">'EUR Swap PVs'!AO33</f>
        <v>-120996.28518881755</v>
      </c>
      <c r="K95" s="278">
        <f ca="1">'EUR Swap PVs'!AP33</f>
        <v>-181494.42778322633</v>
      </c>
      <c r="L95" s="278">
        <f ca="1">'EUR Swap PVs'!AQ33</f>
        <v>-241992.5703776351</v>
      </c>
      <c r="M95" s="279">
        <f ca="1">'EUR Swap PVs'!AR33</f>
        <v>-302490.7129720439</v>
      </c>
      <c r="O95" s="282" t="s">
        <v>131</v>
      </c>
      <c r="P95" s="278">
        <v>302490.71297204384</v>
      </c>
      <c r="Q95" s="278">
        <v>241992.57037763507</v>
      </c>
      <c r="R95" s="278">
        <v>181494.42778322636</v>
      </c>
      <c r="S95" s="278">
        <v>120996.28518881752</v>
      </c>
      <c r="T95" s="278">
        <v>60498.142594408739</v>
      </c>
      <c r="U95" s="278">
        <v>0</v>
      </c>
      <c r="V95" s="278">
        <v>-60498.142594408775</v>
      </c>
      <c r="W95" s="278">
        <v>-120996.28518881755</v>
      </c>
      <c r="X95" s="278">
        <v>-181494.42778322633</v>
      </c>
      <c r="Y95" s="278">
        <v>-241992.5703776351</v>
      </c>
      <c r="Z95" s="279">
        <v>-302490.7129720439</v>
      </c>
      <c r="AB95" s="282" t="str">
        <f t="shared" si="34"/>
        <v>6Y</v>
      </c>
      <c r="AC95" s="278">
        <f ca="1">IF(ABS(P95-C95)&gt;SnapshotTolerance,1,0)</f>
        <v>0</v>
      </c>
      <c r="AD95" s="278">
        <f ca="1">IF(ABS(Q95-D95)&gt;SnapshotTolerance,1,0)</f>
        <v>0</v>
      </c>
      <c r="AE95" s="278">
        <f ca="1">IF(ABS(R95-E95)&gt;SnapshotTolerance,1,0)</f>
        <v>0</v>
      </c>
      <c r="AF95" s="278">
        <f ca="1">IF(ABS(S95-F95)&gt;SnapshotTolerance,1,0)</f>
        <v>0</v>
      </c>
      <c r="AG95" s="278">
        <f ca="1">IF(ABS(T95-G95)&gt;SnapshotTolerance,1,0)</f>
        <v>0</v>
      </c>
      <c r="AH95" s="278">
        <f ca="1">IF(ABS(U95-H95)&gt;SnapshotTolerance,1,0)</f>
        <v>0</v>
      </c>
      <c r="AI95" s="278">
        <f ca="1">IF(ABS(V95-I95)&gt;SnapshotTolerance,1,0)</f>
        <v>0</v>
      </c>
      <c r="AJ95" s="278">
        <f ca="1">IF(ABS(W95-J95)&gt;SnapshotTolerance,1,0)</f>
        <v>0</v>
      </c>
      <c r="AK95" s="278">
        <f ca="1">IF(ABS(X95-K95)&gt;SnapshotTolerance,1,0)</f>
        <v>0</v>
      </c>
      <c r="AL95" s="278">
        <f ca="1">IF(ABS(Y95-L95)&gt;SnapshotTolerance,1,0)</f>
        <v>0</v>
      </c>
      <c r="AM95" s="279">
        <f ca="1">IF(ABS(Z95-M95)&gt;SnapshotTolerance,1,0)</f>
        <v>0</v>
      </c>
    </row>
    <row r="96" spans="2:39">
      <c r="B96" s="282" t="str">
        <f>'EUR Swap PVs'!AG34</f>
        <v>7Y</v>
      </c>
      <c r="C96" s="278">
        <f ca="1">'EUR Swap PVs'!AH34</f>
        <v>351141.27427565056</v>
      </c>
      <c r="D96" s="278">
        <f ca="1">'EUR Swap PVs'!AI34</f>
        <v>280913.0194205204</v>
      </c>
      <c r="E96" s="278">
        <f ca="1">'EUR Swap PVs'!AJ34</f>
        <v>210684.76456539039</v>
      </c>
      <c r="F96" s="278">
        <f ca="1">'EUR Swap PVs'!AK34</f>
        <v>140456.5097102602</v>
      </c>
      <c r="G96" s="278">
        <f ca="1">'EUR Swap PVs'!AL34</f>
        <v>70228.254855130101</v>
      </c>
      <c r="H96" s="278">
        <f ca="1">'EUR Swap PVs'!AM34</f>
        <v>0</v>
      </c>
      <c r="I96" s="278">
        <f ca="1">'EUR Swap PVs'!AN34</f>
        <v>-70228.25485513013</v>
      </c>
      <c r="J96" s="278">
        <f ca="1">'EUR Swap PVs'!AO34</f>
        <v>-140456.50971026026</v>
      </c>
      <c r="K96" s="278">
        <f ca="1">'EUR Swap PVs'!AP34</f>
        <v>-210684.76456539036</v>
      </c>
      <c r="L96" s="278">
        <f ca="1">'EUR Swap PVs'!AQ34</f>
        <v>-280913.01942052052</v>
      </c>
      <c r="M96" s="279">
        <f ca="1">'EUR Swap PVs'!AR34</f>
        <v>-351141.27427565056</v>
      </c>
      <c r="O96" s="282" t="s">
        <v>31</v>
      </c>
      <c r="P96" s="278">
        <v>351141.27427565056</v>
      </c>
      <c r="Q96" s="278">
        <v>280913.0194205204</v>
      </c>
      <c r="R96" s="278">
        <v>210684.76456539039</v>
      </c>
      <c r="S96" s="278">
        <v>140456.5097102602</v>
      </c>
      <c r="T96" s="278">
        <v>70228.254855130101</v>
      </c>
      <c r="U96" s="278">
        <v>0</v>
      </c>
      <c r="V96" s="278">
        <v>-70228.25485513013</v>
      </c>
      <c r="W96" s="278">
        <v>-140456.50971026026</v>
      </c>
      <c r="X96" s="278">
        <v>-210684.76456539036</v>
      </c>
      <c r="Y96" s="278">
        <v>-280913.01942052052</v>
      </c>
      <c r="Z96" s="279">
        <v>-351141.27427565056</v>
      </c>
      <c r="AB96" s="282" t="str">
        <f t="shared" si="34"/>
        <v>7Y</v>
      </c>
      <c r="AC96" s="278">
        <f ca="1">IF(ABS(P96-C96)&gt;SnapshotTolerance,1,0)</f>
        <v>0</v>
      </c>
      <c r="AD96" s="278">
        <f ca="1">IF(ABS(Q96-D96)&gt;SnapshotTolerance,1,0)</f>
        <v>0</v>
      </c>
      <c r="AE96" s="278">
        <f ca="1">IF(ABS(R96-E96)&gt;SnapshotTolerance,1,0)</f>
        <v>0</v>
      </c>
      <c r="AF96" s="278">
        <f ca="1">IF(ABS(S96-F96)&gt;SnapshotTolerance,1,0)</f>
        <v>0</v>
      </c>
      <c r="AG96" s="278">
        <f ca="1">IF(ABS(T96-G96)&gt;SnapshotTolerance,1,0)</f>
        <v>0</v>
      </c>
      <c r="AH96" s="278">
        <f ca="1">IF(ABS(U96-H96)&gt;SnapshotTolerance,1,0)</f>
        <v>0</v>
      </c>
      <c r="AI96" s="278">
        <f ca="1">IF(ABS(V96-I96)&gt;SnapshotTolerance,1,0)</f>
        <v>0</v>
      </c>
      <c r="AJ96" s="278">
        <f ca="1">IF(ABS(W96-J96)&gt;SnapshotTolerance,1,0)</f>
        <v>0</v>
      </c>
      <c r="AK96" s="278">
        <f ca="1">IF(ABS(X96-K96)&gt;SnapshotTolerance,1,0)</f>
        <v>0</v>
      </c>
      <c r="AL96" s="278">
        <f ca="1">IF(ABS(Y96-L96)&gt;SnapshotTolerance,1,0)</f>
        <v>0</v>
      </c>
      <c r="AM96" s="279">
        <f ca="1">IF(ABS(Z96-M96)&gt;SnapshotTolerance,1,0)</f>
        <v>0</v>
      </c>
    </row>
    <row r="97" spans="2:39">
      <c r="B97" s="282" t="str">
        <f>'EUR Swap PVs'!AG35</f>
        <v>8Y</v>
      </c>
      <c r="C97" s="278">
        <f ca="1">'EUR Swap PVs'!AH35</f>
        <v>399166.62011515</v>
      </c>
      <c r="D97" s="278">
        <f ca="1">'EUR Swap PVs'!AI35</f>
        <v>319333.29609212</v>
      </c>
      <c r="E97" s="278">
        <f ca="1">'EUR Swap PVs'!AJ35</f>
        <v>239499.97206909009</v>
      </c>
      <c r="F97" s="278">
        <f ca="1">'EUR Swap PVs'!AK35</f>
        <v>159666.64804605997</v>
      </c>
      <c r="G97" s="278">
        <f ca="1">'EUR Swap PVs'!AL35</f>
        <v>79833.324023029971</v>
      </c>
      <c r="H97" s="278">
        <f ca="1">'EUR Swap PVs'!AM35</f>
        <v>0</v>
      </c>
      <c r="I97" s="278">
        <f ca="1">'EUR Swap PVs'!AN35</f>
        <v>-79833.324023030014</v>
      </c>
      <c r="J97" s="278">
        <f ca="1">'EUR Swap PVs'!AO35</f>
        <v>-159666.64804606</v>
      </c>
      <c r="K97" s="278">
        <f ca="1">'EUR Swap PVs'!AP35</f>
        <v>-239499.97206909009</v>
      </c>
      <c r="L97" s="278">
        <f ca="1">'EUR Swap PVs'!AQ35</f>
        <v>-319333.29609212</v>
      </c>
      <c r="M97" s="279">
        <f ca="1">'EUR Swap PVs'!AR35</f>
        <v>-399166.62011515006</v>
      </c>
      <c r="O97" s="282" t="s">
        <v>119</v>
      </c>
      <c r="P97" s="278">
        <v>399166.62011515</v>
      </c>
      <c r="Q97" s="278">
        <v>319333.29609212</v>
      </c>
      <c r="R97" s="278">
        <v>239499.97206909009</v>
      </c>
      <c r="S97" s="278">
        <v>159666.64804605997</v>
      </c>
      <c r="T97" s="278">
        <v>79833.324023029971</v>
      </c>
      <c r="U97" s="278">
        <v>0</v>
      </c>
      <c r="V97" s="278">
        <v>-79833.324023030014</v>
      </c>
      <c r="W97" s="278">
        <v>-159666.64804606</v>
      </c>
      <c r="X97" s="278">
        <v>-239499.97206909009</v>
      </c>
      <c r="Y97" s="278">
        <v>-319333.29609212</v>
      </c>
      <c r="Z97" s="279">
        <v>-399166.62011515006</v>
      </c>
      <c r="AB97" s="282" t="str">
        <f t="shared" si="34"/>
        <v>8Y</v>
      </c>
      <c r="AC97" s="278">
        <f ca="1">IF(ABS(P97-C97)&gt;SnapshotTolerance,1,0)</f>
        <v>0</v>
      </c>
      <c r="AD97" s="278">
        <f ca="1">IF(ABS(Q97-D97)&gt;SnapshotTolerance,1,0)</f>
        <v>0</v>
      </c>
      <c r="AE97" s="278">
        <f ca="1">IF(ABS(R97-E97)&gt;SnapshotTolerance,1,0)</f>
        <v>0</v>
      </c>
      <c r="AF97" s="278">
        <f ca="1">IF(ABS(S97-F97)&gt;SnapshotTolerance,1,0)</f>
        <v>0</v>
      </c>
      <c r="AG97" s="278">
        <f ca="1">IF(ABS(T97-G97)&gt;SnapshotTolerance,1,0)</f>
        <v>0</v>
      </c>
      <c r="AH97" s="278">
        <f ca="1">IF(ABS(U97-H97)&gt;SnapshotTolerance,1,0)</f>
        <v>0</v>
      </c>
      <c r="AI97" s="278">
        <f ca="1">IF(ABS(V97-I97)&gt;SnapshotTolerance,1,0)</f>
        <v>0</v>
      </c>
      <c r="AJ97" s="278">
        <f ca="1">IF(ABS(W97-J97)&gt;SnapshotTolerance,1,0)</f>
        <v>0</v>
      </c>
      <c r="AK97" s="278">
        <f ca="1">IF(ABS(X97-K97)&gt;SnapshotTolerance,1,0)</f>
        <v>0</v>
      </c>
      <c r="AL97" s="278">
        <f ca="1">IF(ABS(Y97-L97)&gt;SnapshotTolerance,1,0)</f>
        <v>0</v>
      </c>
      <c r="AM97" s="279">
        <f ca="1">IF(ABS(Z97-M97)&gt;SnapshotTolerance,1,0)</f>
        <v>0</v>
      </c>
    </row>
    <row r="98" spans="2:39">
      <c r="B98" s="282" t="str">
        <f>'EUR Swap PVs'!AG36</f>
        <v>9Y</v>
      </c>
      <c r="C98" s="278">
        <f ca="1">'EUR Swap PVs'!AH36</f>
        <v>445844.23518302286</v>
      </c>
      <c r="D98" s="278">
        <f ca="1">'EUR Swap PVs'!AI36</f>
        <v>356675.38814641832</v>
      </c>
      <c r="E98" s="278">
        <f ca="1">'EUR Swap PVs'!AJ36</f>
        <v>267506.54110981378</v>
      </c>
      <c r="F98" s="278">
        <f ca="1">'EUR Swap PVs'!AK36</f>
        <v>178337.6940732091</v>
      </c>
      <c r="G98" s="278">
        <f ca="1">'EUR Swap PVs'!AL36</f>
        <v>89168.847036604537</v>
      </c>
      <c r="H98" s="278">
        <f ca="1">'EUR Swap PVs'!AM36</f>
        <v>0</v>
      </c>
      <c r="I98" s="278">
        <f ca="1">'EUR Swap PVs'!AN36</f>
        <v>-89168.847036604624</v>
      </c>
      <c r="J98" s="278">
        <f ca="1">'EUR Swap PVs'!AO36</f>
        <v>-178337.69407320922</v>
      </c>
      <c r="K98" s="278">
        <f ca="1">'EUR Swap PVs'!AP36</f>
        <v>-267506.54110981378</v>
      </c>
      <c r="L98" s="278">
        <f ca="1">'EUR Swap PVs'!AQ36</f>
        <v>-356675.38814641844</v>
      </c>
      <c r="M98" s="279">
        <f ca="1">'EUR Swap PVs'!AR36</f>
        <v>-445844.23518302303</v>
      </c>
      <c r="O98" s="282" t="s">
        <v>113</v>
      </c>
      <c r="P98" s="278">
        <v>445844.23518302286</v>
      </c>
      <c r="Q98" s="278">
        <v>356675.38814641832</v>
      </c>
      <c r="R98" s="278">
        <v>267506.54110981378</v>
      </c>
      <c r="S98" s="278">
        <v>178337.6940732091</v>
      </c>
      <c r="T98" s="278">
        <v>89168.847036604537</v>
      </c>
      <c r="U98" s="278">
        <v>0</v>
      </c>
      <c r="V98" s="278">
        <v>-89168.847036604624</v>
      </c>
      <c r="W98" s="278">
        <v>-178337.69407320922</v>
      </c>
      <c r="X98" s="278">
        <v>-267506.54110981378</v>
      </c>
      <c r="Y98" s="278">
        <v>-356675.38814641844</v>
      </c>
      <c r="Z98" s="279">
        <v>-445844.23518302303</v>
      </c>
      <c r="AB98" s="282" t="str">
        <f t="shared" si="34"/>
        <v>9Y</v>
      </c>
      <c r="AC98" s="278">
        <f ca="1">IF(ABS(P98-C98)&gt;SnapshotTolerance,1,0)</f>
        <v>0</v>
      </c>
      <c r="AD98" s="278">
        <f ca="1">IF(ABS(Q98-D98)&gt;SnapshotTolerance,1,0)</f>
        <v>0</v>
      </c>
      <c r="AE98" s="278">
        <f ca="1">IF(ABS(R98-E98)&gt;SnapshotTolerance,1,0)</f>
        <v>0</v>
      </c>
      <c r="AF98" s="278">
        <f ca="1">IF(ABS(S98-F98)&gt;SnapshotTolerance,1,0)</f>
        <v>0</v>
      </c>
      <c r="AG98" s="278">
        <f ca="1">IF(ABS(T98-G98)&gt;SnapshotTolerance,1,0)</f>
        <v>0</v>
      </c>
      <c r="AH98" s="278">
        <f ca="1">IF(ABS(U98-H98)&gt;SnapshotTolerance,1,0)</f>
        <v>0</v>
      </c>
      <c r="AI98" s="278">
        <f ca="1">IF(ABS(V98-I98)&gt;SnapshotTolerance,1,0)</f>
        <v>0</v>
      </c>
      <c r="AJ98" s="278">
        <f ca="1">IF(ABS(W98-J98)&gt;SnapshotTolerance,1,0)</f>
        <v>0</v>
      </c>
      <c r="AK98" s="278">
        <f ca="1">IF(ABS(X98-K98)&gt;SnapshotTolerance,1,0)</f>
        <v>0</v>
      </c>
      <c r="AL98" s="278">
        <f ca="1">IF(ABS(Y98-L98)&gt;SnapshotTolerance,1,0)</f>
        <v>0</v>
      </c>
      <c r="AM98" s="279">
        <f ca="1">IF(ABS(Z98-M98)&gt;SnapshotTolerance,1,0)</f>
        <v>0</v>
      </c>
    </row>
    <row r="99" spans="2:39">
      <c r="B99" s="282" t="str">
        <f>'EUR Swap PVs'!AG37</f>
        <v>10Y</v>
      </c>
      <c r="C99" s="278">
        <f ca="1">'EUR Swap PVs'!AH37</f>
        <v>491641.46924409911</v>
      </c>
      <c r="D99" s="278">
        <f ca="1">'EUR Swap PVs'!AI37</f>
        <v>393313.17539527931</v>
      </c>
      <c r="E99" s="278">
        <f ca="1">'EUR Swap PVs'!AJ37</f>
        <v>294984.88154645963</v>
      </c>
      <c r="F99" s="278">
        <f ca="1">'EUR Swap PVs'!AK37</f>
        <v>196656.58769763962</v>
      </c>
      <c r="G99" s="278">
        <f ca="1">'EUR Swap PVs'!AL37</f>
        <v>98328.293848819769</v>
      </c>
      <c r="H99" s="278">
        <f ca="1">'EUR Swap PVs'!AM37</f>
        <v>-1.3877787807814457E-11</v>
      </c>
      <c r="I99" s="278">
        <f ca="1">'EUR Swap PVs'!AN37</f>
        <v>-98328.293848819914</v>
      </c>
      <c r="J99" s="278">
        <f ca="1">'EUR Swap PVs'!AO37</f>
        <v>-196656.58769763977</v>
      </c>
      <c r="K99" s="278">
        <f ca="1">'EUR Swap PVs'!AP37</f>
        <v>-294984.88154645963</v>
      </c>
      <c r="L99" s="278">
        <f ca="1">'EUR Swap PVs'!AQ37</f>
        <v>-393313.17539527954</v>
      </c>
      <c r="M99" s="279">
        <f ca="1">'EUR Swap PVs'!AR37</f>
        <v>-491641.46924409934</v>
      </c>
      <c r="O99" s="282" t="s">
        <v>28</v>
      </c>
      <c r="P99" s="278">
        <v>491641.46924409911</v>
      </c>
      <c r="Q99" s="278">
        <v>393313.17539527931</v>
      </c>
      <c r="R99" s="278">
        <v>294984.88154645963</v>
      </c>
      <c r="S99" s="278">
        <v>196656.58769763962</v>
      </c>
      <c r="T99" s="278">
        <v>98328.293848819769</v>
      </c>
      <c r="U99" s="278">
        <v>-1.3877787807814457E-11</v>
      </c>
      <c r="V99" s="278">
        <v>-98328.293848819914</v>
      </c>
      <c r="W99" s="278">
        <v>-196656.58769763977</v>
      </c>
      <c r="X99" s="278">
        <v>-294984.88154645963</v>
      </c>
      <c r="Y99" s="278">
        <v>-393313.17539527954</v>
      </c>
      <c r="Z99" s="279">
        <v>-491641.46924409934</v>
      </c>
      <c r="AB99" s="282" t="str">
        <f t="shared" si="34"/>
        <v>10Y</v>
      </c>
      <c r="AC99" s="278">
        <f ca="1">IF(ABS(P99-C99)&gt;SnapshotTolerance,1,0)</f>
        <v>0</v>
      </c>
      <c r="AD99" s="278">
        <f ca="1">IF(ABS(Q99-D99)&gt;SnapshotTolerance,1,0)</f>
        <v>0</v>
      </c>
      <c r="AE99" s="278">
        <f ca="1">IF(ABS(R99-E99)&gt;SnapshotTolerance,1,0)</f>
        <v>0</v>
      </c>
      <c r="AF99" s="278">
        <f ca="1">IF(ABS(S99-F99)&gt;SnapshotTolerance,1,0)</f>
        <v>0</v>
      </c>
      <c r="AG99" s="278">
        <f ca="1">IF(ABS(T99-G99)&gt;SnapshotTolerance,1,0)</f>
        <v>0</v>
      </c>
      <c r="AH99" s="278">
        <f ca="1">IF(ABS(U99-H99)&gt;SnapshotTolerance,1,0)</f>
        <v>0</v>
      </c>
      <c r="AI99" s="278">
        <f ca="1">IF(ABS(V99-I99)&gt;SnapshotTolerance,1,0)</f>
        <v>0</v>
      </c>
      <c r="AJ99" s="278">
        <f ca="1">IF(ABS(W99-J99)&gt;SnapshotTolerance,1,0)</f>
        <v>0</v>
      </c>
      <c r="AK99" s="278">
        <f ca="1">IF(ABS(X99-K99)&gt;SnapshotTolerance,1,0)</f>
        <v>0</v>
      </c>
      <c r="AL99" s="278">
        <f ca="1">IF(ABS(Y99-L99)&gt;SnapshotTolerance,1,0)</f>
        <v>0</v>
      </c>
      <c r="AM99" s="279">
        <f ca="1">IF(ABS(Z99-M99)&gt;SnapshotTolerance,1,0)</f>
        <v>0</v>
      </c>
    </row>
    <row r="100" spans="2:39">
      <c r="B100" s="282" t="str">
        <f>'EUR Swap PVs'!AG38</f>
        <v>11Y</v>
      </c>
      <c r="C100" s="278">
        <f ca="1">'EUR Swap PVs'!AH38</f>
        <v>536403.62305464619</v>
      </c>
      <c r="D100" s="278">
        <f ca="1">'EUR Swap PVs'!AI38</f>
        <v>429122.89844371699</v>
      </c>
      <c r="E100" s="278">
        <f ca="1">'EUR Swap PVs'!AJ38</f>
        <v>321842.17383278784</v>
      </c>
      <c r="F100" s="278">
        <f ca="1">'EUR Swap PVs'!AK38</f>
        <v>214561.44922185849</v>
      </c>
      <c r="G100" s="278">
        <f ca="1">'EUR Swap PVs'!AL38</f>
        <v>107280.72461092919</v>
      </c>
      <c r="H100" s="278">
        <f ca="1">'EUR Swap PVs'!AM38</f>
        <v>0</v>
      </c>
      <c r="I100" s="278">
        <f ca="1">'EUR Swap PVs'!AN38</f>
        <v>-107280.72461092933</v>
      </c>
      <c r="J100" s="278">
        <f ca="1">'EUR Swap PVs'!AO38</f>
        <v>-214561.44922185861</v>
      </c>
      <c r="K100" s="278">
        <f ca="1">'EUR Swap PVs'!AP38</f>
        <v>-321842.1738327879</v>
      </c>
      <c r="L100" s="278">
        <f ca="1">'EUR Swap PVs'!AQ38</f>
        <v>-429122.89844371722</v>
      </c>
      <c r="M100" s="279">
        <f ca="1">'EUR Swap PVs'!AR38</f>
        <v>-536403.62305464654</v>
      </c>
      <c r="O100" s="282" t="s">
        <v>366</v>
      </c>
      <c r="P100" s="278">
        <v>536403.62305464619</v>
      </c>
      <c r="Q100" s="278">
        <v>429122.89844371699</v>
      </c>
      <c r="R100" s="278">
        <v>321842.17383278784</v>
      </c>
      <c r="S100" s="278">
        <v>214561.44922185849</v>
      </c>
      <c r="T100" s="278">
        <v>107280.72461092919</v>
      </c>
      <c r="U100" s="278">
        <v>0</v>
      </c>
      <c r="V100" s="278">
        <v>-107280.72461092933</v>
      </c>
      <c r="W100" s="278">
        <v>-214561.44922185861</v>
      </c>
      <c r="X100" s="278">
        <v>-321842.1738327879</v>
      </c>
      <c r="Y100" s="278">
        <v>-429122.89844371722</v>
      </c>
      <c r="Z100" s="279">
        <v>-536403.62305464654</v>
      </c>
      <c r="AB100" s="282" t="str">
        <f t="shared" si="34"/>
        <v>11Y</v>
      </c>
      <c r="AC100" s="278">
        <f ca="1">IF(ABS(P100-C100)&gt;SnapshotTolerance,1,0)</f>
        <v>0</v>
      </c>
      <c r="AD100" s="278">
        <f ca="1">IF(ABS(Q100-D100)&gt;SnapshotTolerance,1,0)</f>
        <v>0</v>
      </c>
      <c r="AE100" s="278">
        <f ca="1">IF(ABS(R100-E100)&gt;SnapshotTolerance,1,0)</f>
        <v>0</v>
      </c>
      <c r="AF100" s="278">
        <f ca="1">IF(ABS(S100-F100)&gt;SnapshotTolerance,1,0)</f>
        <v>0</v>
      </c>
      <c r="AG100" s="278">
        <f ca="1">IF(ABS(T100-G100)&gt;SnapshotTolerance,1,0)</f>
        <v>0</v>
      </c>
      <c r="AH100" s="278">
        <f ca="1">IF(ABS(U100-H100)&gt;SnapshotTolerance,1,0)</f>
        <v>0</v>
      </c>
      <c r="AI100" s="278">
        <f ca="1">IF(ABS(V100-I100)&gt;SnapshotTolerance,1,0)</f>
        <v>0</v>
      </c>
      <c r="AJ100" s="278">
        <f ca="1">IF(ABS(W100-J100)&gt;SnapshotTolerance,1,0)</f>
        <v>0</v>
      </c>
      <c r="AK100" s="278">
        <f ca="1">IF(ABS(X100-K100)&gt;SnapshotTolerance,1,0)</f>
        <v>0</v>
      </c>
      <c r="AL100" s="278">
        <f ca="1">IF(ABS(Y100-L100)&gt;SnapshotTolerance,1,0)</f>
        <v>0</v>
      </c>
      <c r="AM100" s="279">
        <f ca="1">IF(ABS(Z100-M100)&gt;SnapshotTolerance,1,0)</f>
        <v>0</v>
      </c>
    </row>
    <row r="101" spans="2:39">
      <c r="B101" s="282" t="str">
        <f>'EUR Swap PVs'!AG39</f>
        <v>12Y</v>
      </c>
      <c r="C101" s="278">
        <f ca="1">'EUR Swap PVs'!AH39</f>
        <v>580132.46295708523</v>
      </c>
      <c r="D101" s="278">
        <f ca="1">'EUR Swap PVs'!AI39</f>
        <v>464105.97036566824</v>
      </c>
      <c r="E101" s="278">
        <f ca="1">'EUR Swap PVs'!AJ39</f>
        <v>348079.47777425131</v>
      </c>
      <c r="F101" s="278">
        <f ca="1">'EUR Swap PVs'!AK39</f>
        <v>232052.98518283406</v>
      </c>
      <c r="G101" s="278">
        <f ca="1">'EUR Swap PVs'!AL39</f>
        <v>116026.49259141696</v>
      </c>
      <c r="H101" s="278">
        <f ca="1">'EUR Swap PVs'!AM39</f>
        <v>0</v>
      </c>
      <c r="I101" s="278">
        <f ca="1">'EUR Swap PVs'!AN39</f>
        <v>-116026.49259141715</v>
      </c>
      <c r="J101" s="278">
        <f ca="1">'EUR Swap PVs'!AO39</f>
        <v>-232052.98518283424</v>
      </c>
      <c r="K101" s="278">
        <f ca="1">'EUR Swap PVs'!AP39</f>
        <v>-348079.47777425137</v>
      </c>
      <c r="L101" s="278">
        <f ca="1">'EUR Swap PVs'!AQ39</f>
        <v>-464105.97036566841</v>
      </c>
      <c r="M101" s="279">
        <f ca="1">'EUR Swap PVs'!AR39</f>
        <v>-580132.46295708546</v>
      </c>
      <c r="O101" s="282" t="s">
        <v>26</v>
      </c>
      <c r="P101" s="278">
        <v>580132.46295708523</v>
      </c>
      <c r="Q101" s="278">
        <v>464105.97036566824</v>
      </c>
      <c r="R101" s="278">
        <v>348079.47777425131</v>
      </c>
      <c r="S101" s="278">
        <v>232052.98518283406</v>
      </c>
      <c r="T101" s="278">
        <v>116026.49259141696</v>
      </c>
      <c r="U101" s="278">
        <v>0</v>
      </c>
      <c r="V101" s="278">
        <v>-116026.49259141715</v>
      </c>
      <c r="W101" s="278">
        <v>-232052.98518283424</v>
      </c>
      <c r="X101" s="278">
        <v>-348079.47777425137</v>
      </c>
      <c r="Y101" s="278">
        <v>-464105.97036566841</v>
      </c>
      <c r="Z101" s="279">
        <v>-580132.46295708546</v>
      </c>
      <c r="AB101" s="282" t="str">
        <f t="shared" si="34"/>
        <v>12Y</v>
      </c>
      <c r="AC101" s="278">
        <f ca="1">IF(ABS(P101-C101)&gt;SnapshotTolerance,1,0)</f>
        <v>0</v>
      </c>
      <c r="AD101" s="278">
        <f ca="1">IF(ABS(Q101-D101)&gt;SnapshotTolerance,1,0)</f>
        <v>0</v>
      </c>
      <c r="AE101" s="278">
        <f ca="1">IF(ABS(R101-E101)&gt;SnapshotTolerance,1,0)</f>
        <v>0</v>
      </c>
      <c r="AF101" s="278">
        <f ca="1">IF(ABS(S101-F101)&gt;SnapshotTolerance,1,0)</f>
        <v>0</v>
      </c>
      <c r="AG101" s="278">
        <f ca="1">IF(ABS(T101-G101)&gt;SnapshotTolerance,1,0)</f>
        <v>0</v>
      </c>
      <c r="AH101" s="278">
        <f ca="1">IF(ABS(U101-H101)&gt;SnapshotTolerance,1,0)</f>
        <v>0</v>
      </c>
      <c r="AI101" s="278">
        <f ca="1">IF(ABS(V101-I101)&gt;SnapshotTolerance,1,0)</f>
        <v>0</v>
      </c>
      <c r="AJ101" s="278">
        <f ca="1">IF(ABS(W101-J101)&gt;SnapshotTolerance,1,0)</f>
        <v>0</v>
      </c>
      <c r="AK101" s="278">
        <f ca="1">IF(ABS(X101-K101)&gt;SnapshotTolerance,1,0)</f>
        <v>0</v>
      </c>
      <c r="AL101" s="278">
        <f ca="1">IF(ABS(Y101-L101)&gt;SnapshotTolerance,1,0)</f>
        <v>0</v>
      </c>
      <c r="AM101" s="279">
        <f ca="1">IF(ABS(Z101-M101)&gt;SnapshotTolerance,1,0)</f>
        <v>0</v>
      </c>
    </row>
    <row r="102" spans="2:39">
      <c r="B102" s="282" t="str">
        <f>'EUR Swap PVs'!AG40</f>
        <v>15Y</v>
      </c>
      <c r="C102" s="278">
        <f ca="1">'EUR Swap PVs'!AH40</f>
        <v>705375.04990592063</v>
      </c>
      <c r="D102" s="278">
        <f ca="1">'EUR Swap PVs'!AI40</f>
        <v>564300.0399247366</v>
      </c>
      <c r="E102" s="278">
        <f ca="1">'EUR Swap PVs'!AJ40</f>
        <v>423225.02994355251</v>
      </c>
      <c r="F102" s="278">
        <f ca="1">'EUR Swap PVs'!AK40</f>
        <v>282150.0199623683</v>
      </c>
      <c r="G102" s="278">
        <f ca="1">'EUR Swap PVs'!AL40</f>
        <v>141075.00998118409</v>
      </c>
      <c r="H102" s="278">
        <f ca="1">'EUR Swap PVs'!AM40</f>
        <v>2.7755575615628914E-11</v>
      </c>
      <c r="I102" s="278">
        <f ca="1">'EUR Swap PVs'!AN40</f>
        <v>-141075.00998118421</v>
      </c>
      <c r="J102" s="278">
        <f ca="1">'EUR Swap PVs'!AO40</f>
        <v>-282150.01996236842</v>
      </c>
      <c r="K102" s="278">
        <f ca="1">'EUR Swap PVs'!AP40</f>
        <v>-423225.02994355268</v>
      </c>
      <c r="L102" s="278">
        <f ca="1">'EUR Swap PVs'!AQ40</f>
        <v>-564300.03992473683</v>
      </c>
      <c r="M102" s="279">
        <f ca="1">'EUR Swap PVs'!AR40</f>
        <v>-705375.04990592098</v>
      </c>
      <c r="O102" s="282" t="s">
        <v>24</v>
      </c>
      <c r="P102" s="278">
        <v>705375.04990592063</v>
      </c>
      <c r="Q102" s="278">
        <v>564300.0399247366</v>
      </c>
      <c r="R102" s="278">
        <v>423225.02994355251</v>
      </c>
      <c r="S102" s="278">
        <v>282150.0199623683</v>
      </c>
      <c r="T102" s="278">
        <v>141075.00998118409</v>
      </c>
      <c r="U102" s="278">
        <v>2.7755575615628914E-11</v>
      </c>
      <c r="V102" s="278">
        <v>-141075.00998118421</v>
      </c>
      <c r="W102" s="278">
        <v>-282150.01996236842</v>
      </c>
      <c r="X102" s="278">
        <v>-423225.02994355268</v>
      </c>
      <c r="Y102" s="278">
        <v>-564300.03992473683</v>
      </c>
      <c r="Z102" s="279">
        <v>-705375.04990592098</v>
      </c>
      <c r="AB102" s="282" t="str">
        <f t="shared" si="34"/>
        <v>15Y</v>
      </c>
      <c r="AC102" s="278">
        <f ca="1">IF(ABS(P102-C102)&gt;SnapshotTolerance,1,0)</f>
        <v>0</v>
      </c>
      <c r="AD102" s="278">
        <f ca="1">IF(ABS(Q102-D102)&gt;SnapshotTolerance,1,0)</f>
        <v>0</v>
      </c>
      <c r="AE102" s="278">
        <f ca="1">IF(ABS(R102-E102)&gt;SnapshotTolerance,1,0)</f>
        <v>0</v>
      </c>
      <c r="AF102" s="278">
        <f ca="1">IF(ABS(S102-F102)&gt;SnapshotTolerance,1,0)</f>
        <v>0</v>
      </c>
      <c r="AG102" s="278">
        <f ca="1">IF(ABS(T102-G102)&gt;SnapshotTolerance,1,0)</f>
        <v>0</v>
      </c>
      <c r="AH102" s="278">
        <f ca="1">IF(ABS(U102-H102)&gt;SnapshotTolerance,1,0)</f>
        <v>0</v>
      </c>
      <c r="AI102" s="278">
        <f ca="1">IF(ABS(V102-I102)&gt;SnapshotTolerance,1,0)</f>
        <v>0</v>
      </c>
      <c r="AJ102" s="278">
        <f ca="1">IF(ABS(W102-J102)&gt;SnapshotTolerance,1,0)</f>
        <v>0</v>
      </c>
      <c r="AK102" s="278">
        <f ca="1">IF(ABS(X102-K102)&gt;SnapshotTolerance,1,0)</f>
        <v>0</v>
      </c>
      <c r="AL102" s="278">
        <f ca="1">IF(ABS(Y102-L102)&gt;SnapshotTolerance,1,0)</f>
        <v>0</v>
      </c>
      <c r="AM102" s="279">
        <f ca="1">IF(ABS(Z102-M102)&gt;SnapshotTolerance,1,0)</f>
        <v>0</v>
      </c>
    </row>
    <row r="103" spans="2:39">
      <c r="B103" s="282" t="str">
        <f>'EUR Swap PVs'!AG41</f>
        <v>20Y</v>
      </c>
      <c r="C103" s="278">
        <f ca="1">'EUR Swap PVs'!AH41</f>
        <v>895612.96666418272</v>
      </c>
      <c r="D103" s="278">
        <f ca="1">'EUR Swap PVs'!AI41</f>
        <v>716490.37333134632</v>
      </c>
      <c r="E103" s="278">
        <f ca="1">'EUR Swap PVs'!AJ41</f>
        <v>537367.77999850968</v>
      </c>
      <c r="F103" s="278">
        <f ca="1">'EUR Swap PVs'!AK41</f>
        <v>358245.18666567298</v>
      </c>
      <c r="G103" s="278">
        <f ca="1">'EUR Swap PVs'!AL41</f>
        <v>179122.59333283638</v>
      </c>
      <c r="H103" s="278">
        <f ca="1">'EUR Swap PVs'!AM41</f>
        <v>0</v>
      </c>
      <c r="I103" s="278">
        <f ca="1">'EUR Swap PVs'!AN41</f>
        <v>-179122.59333283672</v>
      </c>
      <c r="J103" s="278">
        <f ca="1">'EUR Swap PVs'!AO41</f>
        <v>-358245.18666567333</v>
      </c>
      <c r="K103" s="278">
        <f ca="1">'EUR Swap PVs'!AP41</f>
        <v>-537367.77999850991</v>
      </c>
      <c r="L103" s="278">
        <f ca="1">'EUR Swap PVs'!AQ41</f>
        <v>-716490.37333134655</v>
      </c>
      <c r="M103" s="279">
        <f ca="1">'EUR Swap PVs'!AR41</f>
        <v>-895612.96666418319</v>
      </c>
      <c r="O103" s="282" t="s">
        <v>20</v>
      </c>
      <c r="P103" s="278">
        <v>895612.96666418272</v>
      </c>
      <c r="Q103" s="278">
        <v>716490.37333134632</v>
      </c>
      <c r="R103" s="278">
        <v>537367.77999850968</v>
      </c>
      <c r="S103" s="278">
        <v>358245.18666567298</v>
      </c>
      <c r="T103" s="278">
        <v>179122.59333283638</v>
      </c>
      <c r="U103" s="278">
        <v>0</v>
      </c>
      <c r="V103" s="278">
        <v>-179122.59333283672</v>
      </c>
      <c r="W103" s="278">
        <v>-358245.18666567333</v>
      </c>
      <c r="X103" s="278">
        <v>-537367.77999850991</v>
      </c>
      <c r="Y103" s="278">
        <v>-716490.37333134655</v>
      </c>
      <c r="Z103" s="279">
        <v>-895612.96666418319</v>
      </c>
      <c r="AB103" s="282" t="str">
        <f t="shared" si="34"/>
        <v>20Y</v>
      </c>
      <c r="AC103" s="278">
        <f ca="1">IF(ABS(P103-C103)&gt;SnapshotTolerance,1,0)</f>
        <v>0</v>
      </c>
      <c r="AD103" s="278">
        <f ca="1">IF(ABS(Q103-D103)&gt;SnapshotTolerance,1,0)</f>
        <v>0</v>
      </c>
      <c r="AE103" s="278">
        <f ca="1">IF(ABS(R103-E103)&gt;SnapshotTolerance,1,0)</f>
        <v>0</v>
      </c>
      <c r="AF103" s="278">
        <f ca="1">IF(ABS(S103-F103)&gt;SnapshotTolerance,1,0)</f>
        <v>0</v>
      </c>
      <c r="AG103" s="278">
        <f ca="1">IF(ABS(T103-G103)&gt;SnapshotTolerance,1,0)</f>
        <v>0</v>
      </c>
      <c r="AH103" s="278">
        <f ca="1">IF(ABS(U103-H103)&gt;SnapshotTolerance,1,0)</f>
        <v>0</v>
      </c>
      <c r="AI103" s="278">
        <f ca="1">IF(ABS(V103-I103)&gt;SnapshotTolerance,1,0)</f>
        <v>0</v>
      </c>
      <c r="AJ103" s="278">
        <f ca="1">IF(ABS(W103-J103)&gt;SnapshotTolerance,1,0)</f>
        <v>0</v>
      </c>
      <c r="AK103" s="278">
        <f ca="1">IF(ABS(X103-K103)&gt;SnapshotTolerance,1,0)</f>
        <v>0</v>
      </c>
      <c r="AL103" s="278">
        <f ca="1">IF(ABS(Y103-L103)&gt;SnapshotTolerance,1,0)</f>
        <v>0</v>
      </c>
      <c r="AM103" s="279">
        <f ca="1">IF(ABS(Z103-M103)&gt;SnapshotTolerance,1,0)</f>
        <v>0</v>
      </c>
    </row>
    <row r="104" spans="2:39">
      <c r="B104" s="282" t="str">
        <f>'EUR Swap PVs'!AG42</f>
        <v>25Y</v>
      </c>
      <c r="C104" s="278">
        <f ca="1">'EUR Swap PVs'!AH42</f>
        <v>1067055.570911879</v>
      </c>
      <c r="D104" s="278">
        <f ca="1">'EUR Swap PVs'!AI42</f>
        <v>853644.45672950323</v>
      </c>
      <c r="E104" s="278">
        <f ca="1">'EUR Swap PVs'!AJ42</f>
        <v>640233.34254712739</v>
      </c>
      <c r="F104" s="278">
        <f ca="1">'EUR Swap PVs'!AK42</f>
        <v>426822.2283647515</v>
      </c>
      <c r="G104" s="278">
        <f ca="1">'EUR Swap PVs'!AL42</f>
        <v>213411.11418237569</v>
      </c>
      <c r="H104" s="278">
        <f ca="1">'EUR Swap PVs'!AM42</f>
        <v>0</v>
      </c>
      <c r="I104" s="278">
        <f ca="1">'EUR Swap PVs'!AN42</f>
        <v>-213411.11418237587</v>
      </c>
      <c r="J104" s="278">
        <f ca="1">'EUR Swap PVs'!AO42</f>
        <v>-426822.22836475173</v>
      </c>
      <c r="K104" s="278">
        <f ca="1">'EUR Swap PVs'!AP42</f>
        <v>-640233.34254712763</v>
      </c>
      <c r="L104" s="278">
        <f ca="1">'EUR Swap PVs'!AQ42</f>
        <v>-853644.45672950335</v>
      </c>
      <c r="M104" s="279">
        <f ca="1">'EUR Swap PVs'!AR42</f>
        <v>-1067055.5709118794</v>
      </c>
      <c r="O104" s="282" t="s">
        <v>18</v>
      </c>
      <c r="P104" s="278">
        <v>1067055.570911879</v>
      </c>
      <c r="Q104" s="278">
        <v>853644.45672950323</v>
      </c>
      <c r="R104" s="278">
        <v>640233.34254712739</v>
      </c>
      <c r="S104" s="278">
        <v>426822.2283647515</v>
      </c>
      <c r="T104" s="278">
        <v>213411.11418237569</v>
      </c>
      <c r="U104" s="278">
        <v>0</v>
      </c>
      <c r="V104" s="278">
        <v>-213411.11418237587</v>
      </c>
      <c r="W104" s="278">
        <v>-426822.22836475173</v>
      </c>
      <c r="X104" s="278">
        <v>-640233.34254712763</v>
      </c>
      <c r="Y104" s="278">
        <v>-853644.45672950335</v>
      </c>
      <c r="Z104" s="279">
        <v>-1067055.5709118794</v>
      </c>
      <c r="AB104" s="282" t="str">
        <f t="shared" si="34"/>
        <v>25Y</v>
      </c>
      <c r="AC104" s="278">
        <f ca="1">IF(ABS(P104-C104)&gt;SnapshotTolerance,1,0)</f>
        <v>0</v>
      </c>
      <c r="AD104" s="278">
        <f ca="1">IF(ABS(Q104-D104)&gt;SnapshotTolerance,1,0)</f>
        <v>0</v>
      </c>
      <c r="AE104" s="278">
        <f ca="1">IF(ABS(R104-E104)&gt;SnapshotTolerance,1,0)</f>
        <v>0</v>
      </c>
      <c r="AF104" s="278">
        <f ca="1">IF(ABS(S104-F104)&gt;SnapshotTolerance,1,0)</f>
        <v>0</v>
      </c>
      <c r="AG104" s="278">
        <f ca="1">IF(ABS(T104-G104)&gt;SnapshotTolerance,1,0)</f>
        <v>0</v>
      </c>
      <c r="AH104" s="278">
        <f ca="1">IF(ABS(U104-H104)&gt;SnapshotTolerance,1,0)</f>
        <v>0</v>
      </c>
      <c r="AI104" s="278">
        <f ca="1">IF(ABS(V104-I104)&gt;SnapshotTolerance,1,0)</f>
        <v>0</v>
      </c>
      <c r="AJ104" s="278">
        <f ca="1">IF(ABS(W104-J104)&gt;SnapshotTolerance,1,0)</f>
        <v>0</v>
      </c>
      <c r="AK104" s="278">
        <f ca="1">IF(ABS(X104-K104)&gt;SnapshotTolerance,1,0)</f>
        <v>0</v>
      </c>
      <c r="AL104" s="278">
        <f ca="1">IF(ABS(Y104-L104)&gt;SnapshotTolerance,1,0)</f>
        <v>0</v>
      </c>
      <c r="AM104" s="279">
        <f ca="1">IF(ABS(Z104-M104)&gt;SnapshotTolerance,1,0)</f>
        <v>0</v>
      </c>
    </row>
    <row r="105" spans="2:39">
      <c r="B105" s="282" t="str">
        <f>'EUR Swap PVs'!AG43</f>
        <v>30Y</v>
      </c>
      <c r="C105" s="278">
        <f ca="1">'EUR Swap PVs'!AH43</f>
        <v>1223051.9604093435</v>
      </c>
      <c r="D105" s="278">
        <f ca="1">'EUR Swap PVs'!AI43</f>
        <v>978441.56832747499</v>
      </c>
      <c r="E105" s="278">
        <f ca="1">'EUR Swap PVs'!AJ43</f>
        <v>733831.17624560627</v>
      </c>
      <c r="F105" s="278">
        <f ca="1">'EUR Swap PVs'!AK43</f>
        <v>489220.78416373732</v>
      </c>
      <c r="G105" s="278">
        <f ca="1">'EUR Swap PVs'!AL43</f>
        <v>244610.39208186857</v>
      </c>
      <c r="H105" s="278">
        <f ca="1">'EUR Swap PVs'!AM43</f>
        <v>0</v>
      </c>
      <c r="I105" s="278">
        <f ca="1">'EUR Swap PVs'!AN43</f>
        <v>-244610.39208186892</v>
      </c>
      <c r="J105" s="278">
        <f ca="1">'EUR Swap PVs'!AO43</f>
        <v>-489220.78416373779</v>
      </c>
      <c r="K105" s="278">
        <f ca="1">'EUR Swap PVs'!AP43</f>
        <v>-733831.17624560662</v>
      </c>
      <c r="L105" s="278">
        <f ca="1">'EUR Swap PVs'!AQ43</f>
        <v>-978441.56832747522</v>
      </c>
      <c r="M105" s="279">
        <f ca="1">'EUR Swap PVs'!AR43</f>
        <v>-1223051.9604093446</v>
      </c>
      <c r="O105" s="282" t="s">
        <v>17</v>
      </c>
      <c r="P105" s="278">
        <v>1223051.9604093435</v>
      </c>
      <c r="Q105" s="278">
        <v>978441.56832747499</v>
      </c>
      <c r="R105" s="278">
        <v>733831.17624560627</v>
      </c>
      <c r="S105" s="278">
        <v>489220.78416373732</v>
      </c>
      <c r="T105" s="278">
        <v>244610.39208186857</v>
      </c>
      <c r="U105" s="278">
        <v>0</v>
      </c>
      <c r="V105" s="278">
        <v>-244610.39208186892</v>
      </c>
      <c r="W105" s="278">
        <v>-489220.78416373779</v>
      </c>
      <c r="X105" s="278">
        <v>-733831.17624560662</v>
      </c>
      <c r="Y105" s="278">
        <v>-978441.56832747522</v>
      </c>
      <c r="Z105" s="279">
        <v>-1223051.9604093446</v>
      </c>
      <c r="AB105" s="282" t="str">
        <f t="shared" si="34"/>
        <v>30Y</v>
      </c>
      <c r="AC105" s="278">
        <f ca="1">IF(ABS(P105-C105)&gt;SnapshotTolerance,1,0)</f>
        <v>0</v>
      </c>
      <c r="AD105" s="278">
        <f ca="1">IF(ABS(Q105-D105)&gt;SnapshotTolerance,1,0)</f>
        <v>0</v>
      </c>
      <c r="AE105" s="278">
        <f ca="1">IF(ABS(R105-E105)&gt;SnapshotTolerance,1,0)</f>
        <v>0</v>
      </c>
      <c r="AF105" s="278">
        <f ca="1">IF(ABS(S105-F105)&gt;SnapshotTolerance,1,0)</f>
        <v>0</v>
      </c>
      <c r="AG105" s="278">
        <f ca="1">IF(ABS(T105-G105)&gt;SnapshotTolerance,1,0)</f>
        <v>0</v>
      </c>
      <c r="AH105" s="278">
        <f ca="1">IF(ABS(U105-H105)&gt;SnapshotTolerance,1,0)</f>
        <v>0</v>
      </c>
      <c r="AI105" s="278">
        <f ca="1">IF(ABS(V105-I105)&gt;SnapshotTolerance,1,0)</f>
        <v>0</v>
      </c>
      <c r="AJ105" s="278">
        <f ca="1">IF(ABS(W105-J105)&gt;SnapshotTolerance,1,0)</f>
        <v>0</v>
      </c>
      <c r="AK105" s="278">
        <f ca="1">IF(ABS(X105-K105)&gt;SnapshotTolerance,1,0)</f>
        <v>0</v>
      </c>
      <c r="AL105" s="278">
        <f ca="1">IF(ABS(Y105-L105)&gt;SnapshotTolerance,1,0)</f>
        <v>0</v>
      </c>
      <c r="AM105" s="279">
        <f ca="1">IF(ABS(Z105-M105)&gt;SnapshotTolerance,1,0)</f>
        <v>0</v>
      </c>
    </row>
    <row r="106" spans="2:39">
      <c r="B106" s="282" t="str">
        <f>'EUR Swap PVs'!AG44</f>
        <v>35Y</v>
      </c>
      <c r="C106" s="278">
        <f ca="1">'EUR Swap PVs'!AH44</f>
        <v>1366543.064870677</v>
      </c>
      <c r="D106" s="278">
        <f ca="1">'EUR Swap PVs'!AI44</f>
        <v>1093234.4518965418</v>
      </c>
      <c r="E106" s="278">
        <f ca="1">'EUR Swap PVs'!AJ44</f>
        <v>819925.83892240631</v>
      </c>
      <c r="F106" s="278">
        <f ca="1">'EUR Swap PVs'!AK44</f>
        <v>546617.22594827123</v>
      </c>
      <c r="G106" s="278">
        <f ca="1">'EUR Swap PVs'!AL44</f>
        <v>273308.61297413532</v>
      </c>
      <c r="H106" s="278">
        <f ca="1">'EUR Swap PVs'!AM44</f>
        <v>5.5511151231257827E-11</v>
      </c>
      <c r="I106" s="278">
        <f ca="1">'EUR Swap PVs'!AN44</f>
        <v>-273308.61297413555</v>
      </c>
      <c r="J106" s="278">
        <f ca="1">'EUR Swap PVs'!AO44</f>
        <v>-546617.22594827111</v>
      </c>
      <c r="K106" s="278">
        <f ca="1">'EUR Swap PVs'!AP44</f>
        <v>-819925.83892240666</v>
      </c>
      <c r="L106" s="278">
        <f ca="1">'EUR Swap PVs'!AQ44</f>
        <v>-1093234.4518965418</v>
      </c>
      <c r="M106" s="279">
        <f ca="1">'EUR Swap PVs'!AR44</f>
        <v>-1366543.0648706779</v>
      </c>
      <c r="O106" s="282" t="s">
        <v>16</v>
      </c>
      <c r="P106" s="278">
        <v>1366543.064870677</v>
      </c>
      <c r="Q106" s="278">
        <v>1093234.4518965418</v>
      </c>
      <c r="R106" s="278">
        <v>819925.83892240631</v>
      </c>
      <c r="S106" s="278">
        <v>546617.22594827123</v>
      </c>
      <c r="T106" s="278">
        <v>273308.61297413532</v>
      </c>
      <c r="U106" s="278">
        <v>5.5511151231257827E-11</v>
      </c>
      <c r="V106" s="278">
        <v>-273308.61297413555</v>
      </c>
      <c r="W106" s="278">
        <v>-546617.22594827111</v>
      </c>
      <c r="X106" s="278">
        <v>-819925.83892240666</v>
      </c>
      <c r="Y106" s="278">
        <v>-1093234.4518965418</v>
      </c>
      <c r="Z106" s="279">
        <v>-1366543.0648706779</v>
      </c>
      <c r="AB106" s="282" t="str">
        <f t="shared" si="34"/>
        <v>35Y</v>
      </c>
      <c r="AC106" s="278">
        <f ca="1">IF(ABS(P106-C106)&gt;SnapshotTolerance,1,0)</f>
        <v>0</v>
      </c>
      <c r="AD106" s="278">
        <f ca="1">IF(ABS(Q106-D106)&gt;SnapshotTolerance,1,0)</f>
        <v>0</v>
      </c>
      <c r="AE106" s="278">
        <f ca="1">IF(ABS(R106-E106)&gt;SnapshotTolerance,1,0)</f>
        <v>0</v>
      </c>
      <c r="AF106" s="278">
        <f ca="1">IF(ABS(S106-F106)&gt;SnapshotTolerance,1,0)</f>
        <v>0</v>
      </c>
      <c r="AG106" s="278">
        <f ca="1">IF(ABS(T106-G106)&gt;SnapshotTolerance,1,0)</f>
        <v>0</v>
      </c>
      <c r="AH106" s="278">
        <f ca="1">IF(ABS(U106-H106)&gt;SnapshotTolerance,1,0)</f>
        <v>0</v>
      </c>
      <c r="AI106" s="278">
        <f ca="1">IF(ABS(V106-I106)&gt;SnapshotTolerance,1,0)</f>
        <v>0</v>
      </c>
      <c r="AJ106" s="278">
        <f ca="1">IF(ABS(W106-J106)&gt;SnapshotTolerance,1,0)</f>
        <v>0</v>
      </c>
      <c r="AK106" s="278">
        <f ca="1">IF(ABS(X106-K106)&gt;SnapshotTolerance,1,0)</f>
        <v>0</v>
      </c>
      <c r="AL106" s="278">
        <f ca="1">IF(ABS(Y106-L106)&gt;SnapshotTolerance,1,0)</f>
        <v>0</v>
      </c>
      <c r="AM106" s="279">
        <f ca="1">IF(ABS(Z106-M106)&gt;SnapshotTolerance,1,0)</f>
        <v>0</v>
      </c>
    </row>
    <row r="107" spans="2:39">
      <c r="B107" s="282" t="str">
        <f>'EUR Swap PVs'!AG45</f>
        <v>40Y</v>
      </c>
      <c r="C107" s="278">
        <f ca="1">'EUR Swap PVs'!AH45</f>
        <v>1499145.7303461703</v>
      </c>
      <c r="D107" s="278">
        <f ca="1">'EUR Swap PVs'!AI45</f>
        <v>1199316.5842769365</v>
      </c>
      <c r="E107" s="278">
        <f ca="1">'EUR Swap PVs'!AJ45</f>
        <v>899487.43820770248</v>
      </c>
      <c r="F107" s="278">
        <f ca="1">'EUR Swap PVs'!AK45</f>
        <v>599658.29213846859</v>
      </c>
      <c r="G107" s="278">
        <f ca="1">'EUR Swap PVs'!AL45</f>
        <v>299829.14606923383</v>
      </c>
      <c r="H107" s="278">
        <f ca="1">'EUR Swap PVs'!AM45</f>
        <v>0</v>
      </c>
      <c r="I107" s="278">
        <f ca="1">'EUR Swap PVs'!AN45</f>
        <v>-299829.14606923453</v>
      </c>
      <c r="J107" s="278">
        <f ca="1">'EUR Swap PVs'!AO45</f>
        <v>-599658.29213846894</v>
      </c>
      <c r="K107" s="278">
        <f ca="1">'EUR Swap PVs'!AP45</f>
        <v>-899487.43820770318</v>
      </c>
      <c r="L107" s="278">
        <f ca="1">'EUR Swap PVs'!AQ45</f>
        <v>-1199316.5842769372</v>
      </c>
      <c r="M107" s="279">
        <f ca="1">'EUR Swap PVs'!AR45</f>
        <v>-1499145.7303461719</v>
      </c>
      <c r="O107" s="282" t="s">
        <v>15</v>
      </c>
      <c r="P107" s="278">
        <v>1499145.7303461703</v>
      </c>
      <c r="Q107" s="278">
        <v>1199316.5842769365</v>
      </c>
      <c r="R107" s="278">
        <v>899487.43820770248</v>
      </c>
      <c r="S107" s="278">
        <v>599658.29213846859</v>
      </c>
      <c r="T107" s="278">
        <v>299829.14606923383</v>
      </c>
      <c r="U107" s="278">
        <v>0</v>
      </c>
      <c r="V107" s="278">
        <v>-299829.14606923453</v>
      </c>
      <c r="W107" s="278">
        <v>-599658.29213846894</v>
      </c>
      <c r="X107" s="278">
        <v>-899487.43820770318</v>
      </c>
      <c r="Y107" s="278">
        <v>-1199316.5842769372</v>
      </c>
      <c r="Z107" s="279">
        <v>-1499145.7303461719</v>
      </c>
      <c r="AB107" s="282" t="str">
        <f t="shared" si="34"/>
        <v>40Y</v>
      </c>
      <c r="AC107" s="278">
        <f ca="1">IF(ABS(P107-C107)&gt;SnapshotTolerance,1,0)</f>
        <v>0</v>
      </c>
      <c r="AD107" s="278">
        <f ca="1">IF(ABS(Q107-D107)&gt;SnapshotTolerance,1,0)</f>
        <v>0</v>
      </c>
      <c r="AE107" s="278">
        <f ca="1">IF(ABS(R107-E107)&gt;SnapshotTolerance,1,0)</f>
        <v>0</v>
      </c>
      <c r="AF107" s="278">
        <f ca="1">IF(ABS(S107-F107)&gt;SnapshotTolerance,1,0)</f>
        <v>0</v>
      </c>
      <c r="AG107" s="278">
        <f ca="1">IF(ABS(T107-G107)&gt;SnapshotTolerance,1,0)</f>
        <v>0</v>
      </c>
      <c r="AH107" s="278">
        <f ca="1">IF(ABS(U107-H107)&gt;SnapshotTolerance,1,0)</f>
        <v>0</v>
      </c>
      <c r="AI107" s="278">
        <f ca="1">IF(ABS(V107-I107)&gt;SnapshotTolerance,1,0)</f>
        <v>0</v>
      </c>
      <c r="AJ107" s="278">
        <f ca="1">IF(ABS(W107-J107)&gt;SnapshotTolerance,1,0)</f>
        <v>0</v>
      </c>
      <c r="AK107" s="278">
        <f ca="1">IF(ABS(X107-K107)&gt;SnapshotTolerance,1,0)</f>
        <v>0</v>
      </c>
      <c r="AL107" s="278">
        <f ca="1">IF(ABS(Y107-L107)&gt;SnapshotTolerance,1,0)</f>
        <v>0</v>
      </c>
      <c r="AM107" s="279">
        <f ca="1">IF(ABS(Z107-M107)&gt;SnapshotTolerance,1,0)</f>
        <v>0</v>
      </c>
    </row>
    <row r="108" spans="2:39">
      <c r="B108" s="282" t="str">
        <f>'EUR Swap PVs'!AG46</f>
        <v>45Y</v>
      </c>
      <c r="C108" s="278">
        <f ca="1">'EUR Swap PVs'!AH46</f>
        <v>1620154.4699725835</v>
      </c>
      <c r="D108" s="278">
        <f ca="1">'EUR Swap PVs'!AI46</f>
        <v>1296123.5759780672</v>
      </c>
      <c r="E108" s="278">
        <f ca="1">'EUR Swap PVs'!AJ46</f>
        <v>972092.68198355054</v>
      </c>
      <c r="F108" s="278">
        <f ca="1">'EUR Swap PVs'!AK46</f>
        <v>648061.78798903408</v>
      </c>
      <c r="G108" s="278">
        <f ca="1">'EUR Swap PVs'!AL46</f>
        <v>324030.89399451658</v>
      </c>
      <c r="H108" s="278">
        <f ca="1">'EUR Swap PVs'!AM46</f>
        <v>0</v>
      </c>
      <c r="I108" s="278">
        <f ca="1">'EUR Swap PVs'!AN46</f>
        <v>-324030.89399451722</v>
      </c>
      <c r="J108" s="278">
        <f ca="1">'EUR Swap PVs'!AO46</f>
        <v>-648061.78798903432</v>
      </c>
      <c r="K108" s="278">
        <f ca="1">'EUR Swap PVs'!AP46</f>
        <v>-972092.68198355113</v>
      </c>
      <c r="L108" s="278">
        <f ca="1">'EUR Swap PVs'!AQ46</f>
        <v>-1296123.5759780679</v>
      </c>
      <c r="M108" s="279">
        <f ca="1">'EUR Swap PVs'!AR46</f>
        <v>-1620154.4699725856</v>
      </c>
      <c r="O108" s="282" t="s">
        <v>368</v>
      </c>
      <c r="P108" s="278">
        <v>1620154.4699725835</v>
      </c>
      <c r="Q108" s="278">
        <v>1296123.5759780672</v>
      </c>
      <c r="R108" s="278">
        <v>972092.68198355054</v>
      </c>
      <c r="S108" s="278">
        <v>648061.78798903408</v>
      </c>
      <c r="T108" s="278">
        <v>324030.89399451658</v>
      </c>
      <c r="U108" s="278">
        <v>0</v>
      </c>
      <c r="V108" s="278">
        <v>-324030.89399451722</v>
      </c>
      <c r="W108" s="278">
        <v>-648061.78798903432</v>
      </c>
      <c r="X108" s="278">
        <v>-972092.68198355113</v>
      </c>
      <c r="Y108" s="278">
        <v>-1296123.5759780679</v>
      </c>
      <c r="Z108" s="279">
        <v>-1620154.4699725856</v>
      </c>
      <c r="AB108" s="282" t="str">
        <f t="shared" si="34"/>
        <v>45Y</v>
      </c>
      <c r="AC108" s="278">
        <f ca="1">IF(ABS(P108-C108)&gt;SnapshotTolerance,1,0)</f>
        <v>0</v>
      </c>
      <c r="AD108" s="278">
        <f ca="1">IF(ABS(Q108-D108)&gt;SnapshotTolerance,1,0)</f>
        <v>0</v>
      </c>
      <c r="AE108" s="278">
        <f ca="1">IF(ABS(R108-E108)&gt;SnapshotTolerance,1,0)</f>
        <v>0</v>
      </c>
      <c r="AF108" s="278">
        <f ca="1">IF(ABS(S108-F108)&gt;SnapshotTolerance,1,0)</f>
        <v>0</v>
      </c>
      <c r="AG108" s="278">
        <f ca="1">IF(ABS(T108-G108)&gt;SnapshotTolerance,1,0)</f>
        <v>0</v>
      </c>
      <c r="AH108" s="278">
        <f ca="1">IF(ABS(U108-H108)&gt;SnapshotTolerance,1,0)</f>
        <v>0</v>
      </c>
      <c r="AI108" s="278">
        <f ca="1">IF(ABS(V108-I108)&gt;SnapshotTolerance,1,0)</f>
        <v>0</v>
      </c>
      <c r="AJ108" s="278">
        <f ca="1">IF(ABS(W108-J108)&gt;SnapshotTolerance,1,0)</f>
        <v>0</v>
      </c>
      <c r="AK108" s="278">
        <f ca="1">IF(ABS(X108-K108)&gt;SnapshotTolerance,1,0)</f>
        <v>0</v>
      </c>
      <c r="AL108" s="278">
        <f ca="1">IF(ABS(Y108-L108)&gt;SnapshotTolerance,1,0)</f>
        <v>0</v>
      </c>
      <c r="AM108" s="279">
        <f ca="1">IF(ABS(Z108-M108)&gt;SnapshotTolerance,1,0)</f>
        <v>0</v>
      </c>
    </row>
    <row r="109" spans="2:39">
      <c r="B109" s="283" t="str">
        <f>'EUR Swap PVs'!AG47</f>
        <v>50Y</v>
      </c>
      <c r="C109" s="280">
        <f ca="1">'EUR Swap PVs'!AH47</f>
        <v>1730741.4546833574</v>
      </c>
      <c r="D109" s="280">
        <f ca="1">'EUR Swap PVs'!AI47</f>
        <v>1384593.1637466867</v>
      </c>
      <c r="E109" s="280">
        <f ca="1">'EUR Swap PVs'!AJ47</f>
        <v>1038444.8728100153</v>
      </c>
      <c r="F109" s="280">
        <f ca="1">'EUR Swap PVs'!AK47</f>
        <v>692296.58187334402</v>
      </c>
      <c r="G109" s="280">
        <f ca="1">'EUR Swap PVs'!AL47</f>
        <v>346148.29093667143</v>
      </c>
      <c r="H109" s="280">
        <f ca="1">'EUR Swap PVs'!AM47</f>
        <v>0</v>
      </c>
      <c r="I109" s="280">
        <f ca="1">'EUR Swap PVs'!AN47</f>
        <v>-346148.29093667207</v>
      </c>
      <c r="J109" s="280">
        <f ca="1">'EUR Swap PVs'!AO47</f>
        <v>-692296.58187334391</v>
      </c>
      <c r="K109" s="280">
        <f ca="1">'EUR Swap PVs'!AP47</f>
        <v>-1038444.8728100156</v>
      </c>
      <c r="L109" s="280">
        <f ca="1">'EUR Swap PVs'!AQ47</f>
        <v>-1384593.1637466871</v>
      </c>
      <c r="M109" s="281">
        <f ca="1">'EUR Swap PVs'!AR47</f>
        <v>-1730741.4546833595</v>
      </c>
      <c r="O109" s="283" t="s">
        <v>14</v>
      </c>
      <c r="P109" s="280">
        <v>1730741.4546833574</v>
      </c>
      <c r="Q109" s="280">
        <v>1384593.1637466867</v>
      </c>
      <c r="R109" s="280">
        <v>1038444.8728100153</v>
      </c>
      <c r="S109" s="280">
        <v>692296.58187334402</v>
      </c>
      <c r="T109" s="280">
        <v>346148.29093667143</v>
      </c>
      <c r="U109" s="280">
        <v>0</v>
      </c>
      <c r="V109" s="280">
        <v>-346148.29093667207</v>
      </c>
      <c r="W109" s="280">
        <v>-692296.58187334391</v>
      </c>
      <c r="X109" s="280">
        <v>-1038444.8728100156</v>
      </c>
      <c r="Y109" s="280">
        <v>-1384593.1637466871</v>
      </c>
      <c r="Z109" s="281">
        <v>-1730741.4546833595</v>
      </c>
      <c r="AB109" s="283" t="str">
        <f t="shared" si="34"/>
        <v>50Y</v>
      </c>
      <c r="AC109" s="280">
        <f ca="1">IF(ABS(P109-C109)&gt;SnapshotTolerance,1,0)</f>
        <v>0</v>
      </c>
      <c r="AD109" s="280">
        <f ca="1">IF(ABS(Q109-D109)&gt;SnapshotTolerance,1,0)</f>
        <v>0</v>
      </c>
      <c r="AE109" s="280">
        <f ca="1">IF(ABS(R109-E109)&gt;SnapshotTolerance,1,0)</f>
        <v>0</v>
      </c>
      <c r="AF109" s="280">
        <f ca="1">IF(ABS(S109-F109)&gt;SnapshotTolerance,1,0)</f>
        <v>0</v>
      </c>
      <c r="AG109" s="280">
        <f ca="1">IF(ABS(T109-G109)&gt;SnapshotTolerance,1,0)</f>
        <v>0</v>
      </c>
      <c r="AH109" s="280">
        <f ca="1">IF(ABS(U109-H109)&gt;SnapshotTolerance,1,0)</f>
        <v>0</v>
      </c>
      <c r="AI109" s="280">
        <f ca="1">IF(ABS(V109-I109)&gt;SnapshotTolerance,1,0)</f>
        <v>0</v>
      </c>
      <c r="AJ109" s="280">
        <f ca="1">IF(ABS(W109-J109)&gt;SnapshotTolerance,1,0)</f>
        <v>0</v>
      </c>
      <c r="AK109" s="280">
        <f ca="1">IF(ABS(X109-K109)&gt;SnapshotTolerance,1,0)</f>
        <v>0</v>
      </c>
      <c r="AL109" s="280">
        <f ca="1">IF(ABS(Y109-L109)&gt;SnapshotTolerance,1,0)</f>
        <v>0</v>
      </c>
      <c r="AM109" s="281">
        <f ca="1">IF(ABS(Z109-M109)&gt;SnapshotTolerance,1,0)</f>
        <v>0</v>
      </c>
    </row>
    <row r="112" spans="2:39">
      <c r="B112" t="s">
        <v>533</v>
      </c>
      <c r="E112" t="s">
        <v>472</v>
      </c>
    </row>
    <row r="113" spans="2:39">
      <c r="B113" t="s">
        <v>528</v>
      </c>
      <c r="E113" s="252">
        <f ca="1">SUM(AC118:AM136)</f>
        <v>0</v>
      </c>
    </row>
    <row r="114" spans="2:39">
      <c r="B114" t="s">
        <v>529</v>
      </c>
    </row>
    <row r="116" spans="2:39">
      <c r="B116" t="s">
        <v>510</v>
      </c>
      <c r="O116" t="s">
        <v>470</v>
      </c>
      <c r="AB116" t="s">
        <v>511</v>
      </c>
    </row>
    <row r="117" spans="2:39">
      <c r="B117" s="254" t="str">
        <f>'EUR Swap PVs'!M51</f>
        <v>Term</v>
      </c>
      <c r="C117" s="276">
        <f>'EUR Swap PVs'!N51</f>
        <v>-0.05</v>
      </c>
      <c r="D117" s="276">
        <f>'EUR Swap PVs'!O51</f>
        <v>-0.04</v>
      </c>
      <c r="E117" s="276">
        <f>'EUR Swap PVs'!P51</f>
        <v>-0.03</v>
      </c>
      <c r="F117" s="276">
        <f>'EUR Swap PVs'!Q51</f>
        <v>-1.9999999999999997E-2</v>
      </c>
      <c r="G117" s="276">
        <f>'EUR Swap PVs'!R51</f>
        <v>-9.9999999999999967E-3</v>
      </c>
      <c r="H117" s="276">
        <f>'EUR Swap PVs'!S51</f>
        <v>0</v>
      </c>
      <c r="I117" s="276">
        <f>'EUR Swap PVs'!T51</f>
        <v>0.01</v>
      </c>
      <c r="J117" s="276">
        <f>'EUR Swap PVs'!U51</f>
        <v>0.02</v>
      </c>
      <c r="K117" s="276">
        <f>'EUR Swap PVs'!V51</f>
        <v>0.03</v>
      </c>
      <c r="L117" s="276">
        <f>'EUR Swap PVs'!W51</f>
        <v>0.04</v>
      </c>
      <c r="M117" s="277">
        <f>'EUR Swap PVs'!X51</f>
        <v>0.05</v>
      </c>
      <c r="O117" s="254" t="s">
        <v>76</v>
      </c>
      <c r="P117" s="276">
        <v>-0.05</v>
      </c>
      <c r="Q117" s="276">
        <v>-0.04</v>
      </c>
      <c r="R117" s="276">
        <v>-0.03</v>
      </c>
      <c r="S117" s="276">
        <v>-1.9999999999999997E-2</v>
      </c>
      <c r="T117" s="276">
        <v>-9.9999999999999967E-3</v>
      </c>
      <c r="U117" s="276">
        <v>0</v>
      </c>
      <c r="V117" s="276">
        <v>0.01</v>
      </c>
      <c r="W117" s="276">
        <v>0.02</v>
      </c>
      <c r="X117" s="276">
        <v>0.03</v>
      </c>
      <c r="Y117" s="276">
        <v>0.04</v>
      </c>
      <c r="Z117" s="277">
        <v>0.05</v>
      </c>
      <c r="AB117" s="254" t="str">
        <f>O117</f>
        <v>Term</v>
      </c>
      <c r="AC117" s="276">
        <f>P117</f>
        <v>-0.05</v>
      </c>
      <c r="AD117" s="276">
        <f t="shared" ref="AD117" si="35">Q117</f>
        <v>-0.04</v>
      </c>
      <c r="AE117" s="276">
        <f t="shared" ref="AE117" si="36">R117</f>
        <v>-0.03</v>
      </c>
      <c r="AF117" s="276">
        <f t="shared" ref="AF117" si="37">S117</f>
        <v>-1.9999999999999997E-2</v>
      </c>
      <c r="AG117" s="276">
        <f t="shared" ref="AG117" si="38">T117</f>
        <v>-9.9999999999999967E-3</v>
      </c>
      <c r="AH117" s="276">
        <f t="shared" ref="AH117" si="39">U117</f>
        <v>0</v>
      </c>
      <c r="AI117" s="276">
        <f t="shared" ref="AI117" si="40">V117</f>
        <v>0.01</v>
      </c>
      <c r="AJ117" s="276">
        <f t="shared" ref="AJ117" si="41">W117</f>
        <v>0.02</v>
      </c>
      <c r="AK117" s="276">
        <f t="shared" ref="AK117" si="42">X117</f>
        <v>0.03</v>
      </c>
      <c r="AL117" s="276">
        <f t="shared" ref="AL117" si="43">Y117</f>
        <v>0.04</v>
      </c>
      <c r="AM117" s="277">
        <f t="shared" ref="AM117" si="44">Z117</f>
        <v>0.05</v>
      </c>
    </row>
    <row r="118" spans="2:39">
      <c r="B118" s="282" t="str">
        <f>'EUR Swap PVs'!M52</f>
        <v>2Y</v>
      </c>
      <c r="C118" s="278">
        <f ca="1">'EUR Swap PVs'!N52</f>
        <v>-100441.45996346937</v>
      </c>
      <c r="D118" s="278">
        <f ca="1">'EUR Swap PVs'!O52</f>
        <v>-80353.167970775496</v>
      </c>
      <c r="E118" s="278">
        <f ca="1">'EUR Swap PVs'!P52</f>
        <v>-60264.875978081611</v>
      </c>
      <c r="F118" s="278">
        <f ca="1">'EUR Swap PVs'!Q52</f>
        <v>-40176.583985387741</v>
      </c>
      <c r="G118" s="278">
        <f ca="1">'EUR Swap PVs'!R52</f>
        <v>-20088.291992693863</v>
      </c>
      <c r="H118" s="278">
        <f ca="1">'EUR Swap PVs'!S52</f>
        <v>0</v>
      </c>
      <c r="I118" s="278">
        <f ca="1">'EUR Swap PVs'!T52</f>
        <v>20088.291992693874</v>
      </c>
      <c r="J118" s="278">
        <f ca="1">'EUR Swap PVs'!U52</f>
        <v>40176.583985387748</v>
      </c>
      <c r="K118" s="278">
        <f ca="1">'EUR Swap PVs'!V52</f>
        <v>60264.875978081611</v>
      </c>
      <c r="L118" s="278">
        <f ca="1">'EUR Swap PVs'!W52</f>
        <v>80353.167970775481</v>
      </c>
      <c r="M118" s="279">
        <f ca="1">'EUR Swap PVs'!X52</f>
        <v>100441.45996346936</v>
      </c>
      <c r="O118" s="282" t="s">
        <v>42</v>
      </c>
      <c r="P118" s="278">
        <v>-100441.45996346937</v>
      </c>
      <c r="Q118" s="278">
        <v>-80353.167970775496</v>
      </c>
      <c r="R118" s="278">
        <v>-60264.875978081611</v>
      </c>
      <c r="S118" s="278">
        <v>-40176.583985387741</v>
      </c>
      <c r="T118" s="278">
        <v>-20088.291992693863</v>
      </c>
      <c r="U118" s="278">
        <v>0</v>
      </c>
      <c r="V118" s="278">
        <v>20088.291992693874</v>
      </c>
      <c r="W118" s="278">
        <v>40176.583985387748</v>
      </c>
      <c r="X118" s="278">
        <v>60264.875978081611</v>
      </c>
      <c r="Y118" s="278">
        <v>80353.167970775481</v>
      </c>
      <c r="Z118" s="279">
        <v>100441.45996346936</v>
      </c>
      <c r="AB118" s="282" t="str">
        <f t="shared" ref="AB118:AB136" si="45">O118</f>
        <v>2Y</v>
      </c>
      <c r="AC118" s="278">
        <f ca="1">IF(ABS(P118-C118)&gt;SnapshotTolerance,1,0)</f>
        <v>0</v>
      </c>
      <c r="AD118" s="278">
        <f ca="1">IF(ABS(Q118-D118)&gt;SnapshotTolerance,1,0)</f>
        <v>0</v>
      </c>
      <c r="AE118" s="278">
        <f ca="1">IF(ABS(R118-E118)&gt;SnapshotTolerance,1,0)</f>
        <v>0</v>
      </c>
      <c r="AF118" s="278">
        <f ca="1">IF(ABS(S118-F118)&gt;SnapshotTolerance,1,0)</f>
        <v>0</v>
      </c>
      <c r="AG118" s="278">
        <f ca="1">IF(ABS(T118-G118)&gt;SnapshotTolerance,1,0)</f>
        <v>0</v>
      </c>
      <c r="AH118" s="278">
        <f ca="1">IF(ABS(U118-H118)&gt;SnapshotTolerance,1,0)</f>
        <v>0</v>
      </c>
      <c r="AI118" s="278">
        <f ca="1">IF(ABS(V118-I118)&gt;SnapshotTolerance,1,0)</f>
        <v>0</v>
      </c>
      <c r="AJ118" s="278">
        <f ca="1">IF(ABS(W118-J118)&gt;SnapshotTolerance,1,0)</f>
        <v>0</v>
      </c>
      <c r="AK118" s="278">
        <f ca="1">IF(ABS(X118-K118)&gt;SnapshotTolerance,1,0)</f>
        <v>0</v>
      </c>
      <c r="AL118" s="278">
        <f ca="1">IF(ABS(Y118-L118)&gt;SnapshotTolerance,1,0)</f>
        <v>0</v>
      </c>
      <c r="AM118" s="279">
        <f ca="1">IF(ABS(Z118-M118)&gt;SnapshotTolerance,1,0)</f>
        <v>0</v>
      </c>
    </row>
    <row r="119" spans="2:39">
      <c r="B119" s="282" t="str">
        <f>'EUR Swap PVs'!M53</f>
        <v>3Y</v>
      </c>
      <c r="C119" s="278">
        <f ca="1">'EUR Swap PVs'!N53</f>
        <v>-150300.80743458585</v>
      </c>
      <c r="D119" s="278">
        <f ca="1">'EUR Swap PVs'!O53</f>
        <v>-120240.64594766869</v>
      </c>
      <c r="E119" s="278">
        <f ca="1">'EUR Swap PVs'!P53</f>
        <v>-90180.484460751526</v>
      </c>
      <c r="F119" s="278">
        <f ca="1">'EUR Swap PVs'!Q53</f>
        <v>-60120.322973834343</v>
      </c>
      <c r="G119" s="278">
        <f ca="1">'EUR Swap PVs'!R53</f>
        <v>-30060.161486917168</v>
      </c>
      <c r="H119" s="278">
        <f ca="1">'EUR Swap PVs'!S53</f>
        <v>8.6736173798840355E-13</v>
      </c>
      <c r="I119" s="278">
        <f ca="1">'EUR Swap PVs'!T53</f>
        <v>30060.161486917175</v>
      </c>
      <c r="J119" s="278">
        <f ca="1">'EUR Swap PVs'!U53</f>
        <v>60120.322973834351</v>
      </c>
      <c r="K119" s="278">
        <f ca="1">'EUR Swap PVs'!V53</f>
        <v>90180.484460751526</v>
      </c>
      <c r="L119" s="278">
        <f ca="1">'EUR Swap PVs'!W53</f>
        <v>120240.64594766872</v>
      </c>
      <c r="M119" s="279">
        <f ca="1">'EUR Swap PVs'!X53</f>
        <v>150300.80743458591</v>
      </c>
      <c r="O119" s="282" t="s">
        <v>39</v>
      </c>
      <c r="P119" s="278">
        <v>-150300.80743458585</v>
      </c>
      <c r="Q119" s="278">
        <v>-120240.64594766869</v>
      </c>
      <c r="R119" s="278">
        <v>-90180.484460751526</v>
      </c>
      <c r="S119" s="278">
        <v>-60120.322973834343</v>
      </c>
      <c r="T119" s="278">
        <v>-30060.161486917168</v>
      </c>
      <c r="U119" s="278">
        <v>8.6736173798840355E-13</v>
      </c>
      <c r="V119" s="278">
        <v>30060.161486917175</v>
      </c>
      <c r="W119" s="278">
        <v>60120.322973834351</v>
      </c>
      <c r="X119" s="278">
        <v>90180.484460751526</v>
      </c>
      <c r="Y119" s="278">
        <v>120240.64594766872</v>
      </c>
      <c r="Z119" s="279">
        <v>150300.80743458591</v>
      </c>
      <c r="AB119" s="282" t="str">
        <f t="shared" si="45"/>
        <v>3Y</v>
      </c>
      <c r="AC119" s="278">
        <f ca="1">IF(ABS(P119-C119)&gt;SnapshotTolerance,1,0)</f>
        <v>0</v>
      </c>
      <c r="AD119" s="278">
        <f ca="1">IF(ABS(Q119-D119)&gt;SnapshotTolerance,1,0)</f>
        <v>0</v>
      </c>
      <c r="AE119" s="278">
        <f ca="1">IF(ABS(R119-E119)&gt;SnapshotTolerance,1,0)</f>
        <v>0</v>
      </c>
      <c r="AF119" s="278">
        <f ca="1">IF(ABS(S119-F119)&gt;SnapshotTolerance,1,0)</f>
        <v>0</v>
      </c>
      <c r="AG119" s="278">
        <f ca="1">IF(ABS(T119-G119)&gt;SnapshotTolerance,1,0)</f>
        <v>0</v>
      </c>
      <c r="AH119" s="278">
        <f ca="1">IF(ABS(U119-H119)&gt;SnapshotTolerance,1,0)</f>
        <v>0</v>
      </c>
      <c r="AI119" s="278">
        <f ca="1">IF(ABS(V119-I119)&gt;SnapshotTolerance,1,0)</f>
        <v>0</v>
      </c>
      <c r="AJ119" s="278">
        <f ca="1">IF(ABS(W119-J119)&gt;SnapshotTolerance,1,0)</f>
        <v>0</v>
      </c>
      <c r="AK119" s="278">
        <f ca="1">IF(ABS(X119-K119)&gt;SnapshotTolerance,1,0)</f>
        <v>0</v>
      </c>
      <c r="AL119" s="278">
        <f ca="1">IF(ABS(Y119-L119)&gt;SnapshotTolerance,1,0)</f>
        <v>0</v>
      </c>
      <c r="AM119" s="279">
        <f ca="1">IF(ABS(Z119-M119)&gt;SnapshotTolerance,1,0)</f>
        <v>0</v>
      </c>
    </row>
    <row r="120" spans="2:39">
      <c r="B120" s="282" t="str">
        <f>'EUR Swap PVs'!M54</f>
        <v>4Y</v>
      </c>
      <c r="C120" s="278">
        <f ca="1">'EUR Swap PVs'!N54</f>
        <v>-199873.1557084099</v>
      </c>
      <c r="D120" s="278">
        <f ca="1">'EUR Swap PVs'!O54</f>
        <v>-159898.52456672789</v>
      </c>
      <c r="E120" s="278">
        <f ca="1">'EUR Swap PVs'!P54</f>
        <v>-119923.89342504593</v>
      </c>
      <c r="F120" s="278">
        <f ca="1">'EUR Swap PVs'!Q54</f>
        <v>-79949.262283363947</v>
      </c>
      <c r="G120" s="278">
        <f ca="1">'EUR Swap PVs'!R54</f>
        <v>-39974.631141681966</v>
      </c>
      <c r="H120" s="278">
        <f ca="1">'EUR Swap PVs'!S54</f>
        <v>0</v>
      </c>
      <c r="I120" s="278">
        <f ca="1">'EUR Swap PVs'!T54</f>
        <v>39974.631141681981</v>
      </c>
      <c r="J120" s="278">
        <f ca="1">'EUR Swap PVs'!U54</f>
        <v>79949.262283363947</v>
      </c>
      <c r="K120" s="278">
        <f ca="1">'EUR Swap PVs'!V54</f>
        <v>119923.89342504591</v>
      </c>
      <c r="L120" s="278">
        <f ca="1">'EUR Swap PVs'!W54</f>
        <v>159898.52456672792</v>
      </c>
      <c r="M120" s="279">
        <f ca="1">'EUR Swap PVs'!X54</f>
        <v>199873.15570840987</v>
      </c>
      <c r="O120" s="282" t="s">
        <v>35</v>
      </c>
      <c r="P120" s="278">
        <v>-199873.1557084099</v>
      </c>
      <c r="Q120" s="278">
        <v>-159898.52456672789</v>
      </c>
      <c r="R120" s="278">
        <v>-119923.89342504593</v>
      </c>
      <c r="S120" s="278">
        <v>-79949.262283363947</v>
      </c>
      <c r="T120" s="278">
        <v>-39974.631141681966</v>
      </c>
      <c r="U120" s="278">
        <v>0</v>
      </c>
      <c r="V120" s="278">
        <v>39974.631141681981</v>
      </c>
      <c r="W120" s="278">
        <v>79949.262283363947</v>
      </c>
      <c r="X120" s="278">
        <v>119923.89342504591</v>
      </c>
      <c r="Y120" s="278">
        <v>159898.52456672792</v>
      </c>
      <c r="Z120" s="279">
        <v>199873.15570840987</v>
      </c>
      <c r="AB120" s="282" t="str">
        <f t="shared" si="45"/>
        <v>4Y</v>
      </c>
      <c r="AC120" s="278">
        <f ca="1">IF(ABS(P120-C120)&gt;SnapshotTolerance,1,0)</f>
        <v>0</v>
      </c>
      <c r="AD120" s="278">
        <f ca="1">IF(ABS(Q120-D120)&gt;SnapshotTolerance,1,0)</f>
        <v>0</v>
      </c>
      <c r="AE120" s="278">
        <f ca="1">IF(ABS(R120-E120)&gt;SnapshotTolerance,1,0)</f>
        <v>0</v>
      </c>
      <c r="AF120" s="278">
        <f ca="1">IF(ABS(S120-F120)&gt;SnapshotTolerance,1,0)</f>
        <v>0</v>
      </c>
      <c r="AG120" s="278">
        <f ca="1">IF(ABS(T120-G120)&gt;SnapshotTolerance,1,0)</f>
        <v>0</v>
      </c>
      <c r="AH120" s="278">
        <f ca="1">IF(ABS(U120-H120)&gt;SnapshotTolerance,1,0)</f>
        <v>0</v>
      </c>
      <c r="AI120" s="278">
        <f ca="1">IF(ABS(V120-I120)&gt;SnapshotTolerance,1,0)</f>
        <v>0</v>
      </c>
      <c r="AJ120" s="278">
        <f ca="1">IF(ABS(W120-J120)&gt;SnapshotTolerance,1,0)</f>
        <v>0</v>
      </c>
      <c r="AK120" s="278">
        <f ca="1">IF(ABS(X120-K120)&gt;SnapshotTolerance,1,0)</f>
        <v>0</v>
      </c>
      <c r="AL120" s="278">
        <f ca="1">IF(ABS(Y120-L120)&gt;SnapshotTolerance,1,0)</f>
        <v>0</v>
      </c>
      <c r="AM120" s="279">
        <f ca="1">IF(ABS(Z120-M120)&gt;SnapshotTolerance,1,0)</f>
        <v>0</v>
      </c>
    </row>
    <row r="121" spans="2:39">
      <c r="B121" s="282" t="str">
        <f>'EUR Swap PVs'!M55</f>
        <v>5Y</v>
      </c>
      <c r="C121" s="278">
        <f ca="1">'EUR Swap PVs'!N55</f>
        <v>-249096.03223594063</v>
      </c>
      <c r="D121" s="278">
        <f ca="1">'EUR Swap PVs'!O55</f>
        <v>-199276.8257887525</v>
      </c>
      <c r="E121" s="278">
        <f ca="1">'EUR Swap PVs'!P55</f>
        <v>-149457.61934156436</v>
      </c>
      <c r="F121" s="278">
        <f ca="1">'EUR Swap PVs'!Q55</f>
        <v>-99638.412894376233</v>
      </c>
      <c r="G121" s="278">
        <f ca="1">'EUR Swap PVs'!R55</f>
        <v>-49819.206447188102</v>
      </c>
      <c r="H121" s="278">
        <f ca="1">'EUR Swap PVs'!S55</f>
        <v>0</v>
      </c>
      <c r="I121" s="278">
        <f ca="1">'EUR Swap PVs'!T55</f>
        <v>49819.206447188124</v>
      </c>
      <c r="J121" s="278">
        <f ca="1">'EUR Swap PVs'!U55</f>
        <v>99638.412894376248</v>
      </c>
      <c r="K121" s="278">
        <f ca="1">'EUR Swap PVs'!V55</f>
        <v>149457.61934156436</v>
      </c>
      <c r="L121" s="278">
        <f ca="1">'EUR Swap PVs'!W55</f>
        <v>199276.8257887525</v>
      </c>
      <c r="M121" s="279">
        <f ca="1">'EUR Swap PVs'!X55</f>
        <v>249096.03223594066</v>
      </c>
      <c r="O121" s="282" t="s">
        <v>33</v>
      </c>
      <c r="P121" s="278">
        <v>-249096.03223594063</v>
      </c>
      <c r="Q121" s="278">
        <v>-199276.8257887525</v>
      </c>
      <c r="R121" s="278">
        <v>-149457.61934156436</v>
      </c>
      <c r="S121" s="278">
        <v>-99638.412894376233</v>
      </c>
      <c r="T121" s="278">
        <v>-49819.206447188102</v>
      </c>
      <c r="U121" s="278">
        <v>0</v>
      </c>
      <c r="V121" s="278">
        <v>49819.206447188124</v>
      </c>
      <c r="W121" s="278">
        <v>99638.412894376248</v>
      </c>
      <c r="X121" s="278">
        <v>149457.61934156436</v>
      </c>
      <c r="Y121" s="278">
        <v>199276.8257887525</v>
      </c>
      <c r="Z121" s="279">
        <v>249096.03223594066</v>
      </c>
      <c r="AB121" s="282" t="str">
        <f t="shared" si="45"/>
        <v>5Y</v>
      </c>
      <c r="AC121" s="278">
        <f ca="1">IF(ABS(P121-C121)&gt;SnapshotTolerance,1,0)</f>
        <v>0</v>
      </c>
      <c r="AD121" s="278">
        <f ca="1">IF(ABS(Q121-D121)&gt;SnapshotTolerance,1,0)</f>
        <v>0</v>
      </c>
      <c r="AE121" s="278">
        <f ca="1">IF(ABS(R121-E121)&gt;SnapshotTolerance,1,0)</f>
        <v>0</v>
      </c>
      <c r="AF121" s="278">
        <f ca="1">IF(ABS(S121-F121)&gt;SnapshotTolerance,1,0)</f>
        <v>0</v>
      </c>
      <c r="AG121" s="278">
        <f ca="1">IF(ABS(T121-G121)&gt;SnapshotTolerance,1,0)</f>
        <v>0</v>
      </c>
      <c r="AH121" s="278">
        <f ca="1">IF(ABS(U121-H121)&gt;SnapshotTolerance,1,0)</f>
        <v>0</v>
      </c>
      <c r="AI121" s="278">
        <f ca="1">IF(ABS(V121-I121)&gt;SnapshotTolerance,1,0)</f>
        <v>0</v>
      </c>
      <c r="AJ121" s="278">
        <f ca="1">IF(ABS(W121-J121)&gt;SnapshotTolerance,1,0)</f>
        <v>0</v>
      </c>
      <c r="AK121" s="278">
        <f ca="1">IF(ABS(X121-K121)&gt;SnapshotTolerance,1,0)</f>
        <v>0</v>
      </c>
      <c r="AL121" s="278">
        <f ca="1">IF(ABS(Y121-L121)&gt;SnapshotTolerance,1,0)</f>
        <v>0</v>
      </c>
      <c r="AM121" s="279">
        <f ca="1">IF(ABS(Z121-M121)&gt;SnapshotTolerance,1,0)</f>
        <v>0</v>
      </c>
    </row>
    <row r="122" spans="2:39">
      <c r="B122" s="282" t="str">
        <f>'EUR Swap PVs'!M56</f>
        <v>6Y</v>
      </c>
      <c r="C122" s="278">
        <f ca="1">'EUR Swap PVs'!N56</f>
        <v>-297667.53869917651</v>
      </c>
      <c r="D122" s="278">
        <f ca="1">'EUR Swap PVs'!O56</f>
        <v>-238134.03095934118</v>
      </c>
      <c r="E122" s="278">
        <f ca="1">'EUR Swap PVs'!P56</f>
        <v>-178600.52321950591</v>
      </c>
      <c r="F122" s="278">
        <f ca="1">'EUR Swap PVs'!Q56</f>
        <v>-119067.01547967059</v>
      </c>
      <c r="G122" s="278">
        <f ca="1">'EUR Swap PVs'!R56</f>
        <v>-59533.507739835273</v>
      </c>
      <c r="H122" s="278">
        <f ca="1">'EUR Swap PVs'!S56</f>
        <v>0</v>
      </c>
      <c r="I122" s="278">
        <f ca="1">'EUR Swap PVs'!T56</f>
        <v>59533.507739835302</v>
      </c>
      <c r="J122" s="278">
        <f ca="1">'EUR Swap PVs'!U56</f>
        <v>119067.0154796706</v>
      </c>
      <c r="K122" s="278">
        <f ca="1">'EUR Swap PVs'!V56</f>
        <v>178600.52321950594</v>
      </c>
      <c r="L122" s="278">
        <f ca="1">'EUR Swap PVs'!W56</f>
        <v>238134.03095934121</v>
      </c>
      <c r="M122" s="279">
        <f ca="1">'EUR Swap PVs'!X56</f>
        <v>297667.53869917657</v>
      </c>
      <c r="O122" s="282" t="s">
        <v>131</v>
      </c>
      <c r="P122" s="278">
        <v>-297667.53869917651</v>
      </c>
      <c r="Q122" s="278">
        <v>-238134.03095934118</v>
      </c>
      <c r="R122" s="278">
        <v>-178600.52321950591</v>
      </c>
      <c r="S122" s="278">
        <v>-119067.01547967059</v>
      </c>
      <c r="T122" s="278">
        <v>-59533.507739835273</v>
      </c>
      <c r="U122" s="278">
        <v>0</v>
      </c>
      <c r="V122" s="278">
        <v>59533.507739835302</v>
      </c>
      <c r="W122" s="278">
        <v>119067.0154796706</v>
      </c>
      <c r="X122" s="278">
        <v>178600.52321950594</v>
      </c>
      <c r="Y122" s="278">
        <v>238134.03095934121</v>
      </c>
      <c r="Z122" s="279">
        <v>297667.53869917657</v>
      </c>
      <c r="AB122" s="282" t="str">
        <f t="shared" si="45"/>
        <v>6Y</v>
      </c>
      <c r="AC122" s="278">
        <f ca="1">IF(ABS(P122-C122)&gt;SnapshotTolerance,1,0)</f>
        <v>0</v>
      </c>
      <c r="AD122" s="278">
        <f ca="1">IF(ABS(Q122-D122)&gt;SnapshotTolerance,1,0)</f>
        <v>0</v>
      </c>
      <c r="AE122" s="278">
        <f ca="1">IF(ABS(R122-E122)&gt;SnapshotTolerance,1,0)</f>
        <v>0</v>
      </c>
      <c r="AF122" s="278">
        <f ca="1">IF(ABS(S122-F122)&gt;SnapshotTolerance,1,0)</f>
        <v>0</v>
      </c>
      <c r="AG122" s="278">
        <f ca="1">IF(ABS(T122-G122)&gt;SnapshotTolerance,1,0)</f>
        <v>0</v>
      </c>
      <c r="AH122" s="278">
        <f ca="1">IF(ABS(U122-H122)&gt;SnapshotTolerance,1,0)</f>
        <v>0</v>
      </c>
      <c r="AI122" s="278">
        <f ca="1">IF(ABS(V122-I122)&gt;SnapshotTolerance,1,0)</f>
        <v>0</v>
      </c>
      <c r="AJ122" s="278">
        <f ca="1">IF(ABS(W122-J122)&gt;SnapshotTolerance,1,0)</f>
        <v>0</v>
      </c>
      <c r="AK122" s="278">
        <f ca="1">IF(ABS(X122-K122)&gt;SnapshotTolerance,1,0)</f>
        <v>0</v>
      </c>
      <c r="AL122" s="278">
        <f ca="1">IF(ABS(Y122-L122)&gt;SnapshotTolerance,1,0)</f>
        <v>0</v>
      </c>
      <c r="AM122" s="279">
        <f ca="1">IF(ABS(Z122-M122)&gt;SnapshotTolerance,1,0)</f>
        <v>0</v>
      </c>
    </row>
    <row r="123" spans="2:39">
      <c r="B123" s="282" t="str">
        <f>'EUR Swap PVs'!M57</f>
        <v>7Y</v>
      </c>
      <c r="C123" s="278">
        <f ca="1">'EUR Swap PVs'!N57</f>
        <v>-345445.58092836302</v>
      </c>
      <c r="D123" s="278">
        <f ca="1">'EUR Swap PVs'!O57</f>
        <v>-276356.46474269044</v>
      </c>
      <c r="E123" s="278">
        <f ca="1">'EUR Swap PVs'!P57</f>
        <v>-207267.34855701777</v>
      </c>
      <c r="F123" s="278">
        <f ca="1">'EUR Swap PVs'!Q57</f>
        <v>-138178.23237134519</v>
      </c>
      <c r="G123" s="278">
        <f ca="1">'EUR Swap PVs'!R57</f>
        <v>-69089.116185672581</v>
      </c>
      <c r="H123" s="278">
        <f ca="1">'EUR Swap PVs'!S57</f>
        <v>-6.9388939039072284E-12</v>
      </c>
      <c r="I123" s="278">
        <f ca="1">'EUR Swap PVs'!T57</f>
        <v>69089.116185672581</v>
      </c>
      <c r="J123" s="278">
        <f ca="1">'EUR Swap PVs'!U57</f>
        <v>138178.23237134519</v>
      </c>
      <c r="K123" s="278">
        <f ca="1">'EUR Swap PVs'!V57</f>
        <v>207267.34855701777</v>
      </c>
      <c r="L123" s="278">
        <f ca="1">'EUR Swap PVs'!W57</f>
        <v>276356.46474269038</v>
      </c>
      <c r="M123" s="279">
        <f ca="1">'EUR Swap PVs'!X57</f>
        <v>345445.58092836302</v>
      </c>
      <c r="O123" s="282" t="s">
        <v>31</v>
      </c>
      <c r="P123" s="278">
        <v>-345445.58092836302</v>
      </c>
      <c r="Q123" s="278">
        <v>-276356.46474269044</v>
      </c>
      <c r="R123" s="278">
        <v>-207267.34855701777</v>
      </c>
      <c r="S123" s="278">
        <v>-138178.23237134519</v>
      </c>
      <c r="T123" s="278">
        <v>-69089.116185672581</v>
      </c>
      <c r="U123" s="278">
        <v>-6.9388939039072284E-12</v>
      </c>
      <c r="V123" s="278">
        <v>69089.116185672581</v>
      </c>
      <c r="W123" s="278">
        <v>138178.23237134519</v>
      </c>
      <c r="X123" s="278">
        <v>207267.34855701777</v>
      </c>
      <c r="Y123" s="278">
        <v>276356.46474269038</v>
      </c>
      <c r="Z123" s="279">
        <v>345445.58092836302</v>
      </c>
      <c r="AB123" s="282" t="str">
        <f t="shared" si="45"/>
        <v>7Y</v>
      </c>
      <c r="AC123" s="278">
        <f ca="1">IF(ABS(P123-C123)&gt;SnapshotTolerance,1,0)</f>
        <v>0</v>
      </c>
      <c r="AD123" s="278">
        <f ca="1">IF(ABS(Q123-D123)&gt;SnapshotTolerance,1,0)</f>
        <v>0</v>
      </c>
      <c r="AE123" s="278">
        <f ca="1">IF(ABS(R123-E123)&gt;SnapshotTolerance,1,0)</f>
        <v>0</v>
      </c>
      <c r="AF123" s="278">
        <f ca="1">IF(ABS(S123-F123)&gt;SnapshotTolerance,1,0)</f>
        <v>0</v>
      </c>
      <c r="AG123" s="278">
        <f ca="1">IF(ABS(T123-G123)&gt;SnapshotTolerance,1,0)</f>
        <v>0</v>
      </c>
      <c r="AH123" s="278">
        <f ca="1">IF(ABS(U123-H123)&gt;SnapshotTolerance,1,0)</f>
        <v>0</v>
      </c>
      <c r="AI123" s="278">
        <f ca="1">IF(ABS(V123-I123)&gt;SnapshotTolerance,1,0)</f>
        <v>0</v>
      </c>
      <c r="AJ123" s="278">
        <f ca="1">IF(ABS(W123-J123)&gt;SnapshotTolerance,1,0)</f>
        <v>0</v>
      </c>
      <c r="AK123" s="278">
        <f ca="1">IF(ABS(X123-K123)&gt;SnapshotTolerance,1,0)</f>
        <v>0</v>
      </c>
      <c r="AL123" s="278">
        <f ca="1">IF(ABS(Y123-L123)&gt;SnapshotTolerance,1,0)</f>
        <v>0</v>
      </c>
      <c r="AM123" s="279">
        <f ca="1">IF(ABS(Z123-M123)&gt;SnapshotTolerance,1,0)</f>
        <v>0</v>
      </c>
    </row>
    <row r="124" spans="2:39">
      <c r="B124" s="282" t="str">
        <f>'EUR Swap PVs'!M58</f>
        <v>8Y</v>
      </c>
      <c r="C124" s="278">
        <f ca="1">'EUR Swap PVs'!N58</f>
        <v>-392585.59739955037</v>
      </c>
      <c r="D124" s="278">
        <f ca="1">'EUR Swap PVs'!O58</f>
        <v>-314068.47791964019</v>
      </c>
      <c r="E124" s="278">
        <f ca="1">'EUR Swap PVs'!P58</f>
        <v>-235551.35843973019</v>
      </c>
      <c r="F124" s="278">
        <f ca="1">'EUR Swap PVs'!Q58</f>
        <v>-157034.2389598201</v>
      </c>
      <c r="G124" s="278">
        <f ca="1">'EUR Swap PVs'!R58</f>
        <v>-78517.119479910034</v>
      </c>
      <c r="H124" s="278">
        <f ca="1">'EUR Swap PVs'!S58</f>
        <v>0</v>
      </c>
      <c r="I124" s="278">
        <f ca="1">'EUR Swap PVs'!T58</f>
        <v>78517.119479910078</v>
      </c>
      <c r="J124" s="278">
        <f ca="1">'EUR Swap PVs'!U58</f>
        <v>157034.23895982013</v>
      </c>
      <c r="K124" s="278">
        <f ca="1">'EUR Swap PVs'!V58</f>
        <v>235551.35843973019</v>
      </c>
      <c r="L124" s="278">
        <f ca="1">'EUR Swap PVs'!W58</f>
        <v>314068.47791964025</v>
      </c>
      <c r="M124" s="279">
        <f ca="1">'EUR Swap PVs'!X58</f>
        <v>392585.59739955037</v>
      </c>
      <c r="O124" s="282" t="s">
        <v>119</v>
      </c>
      <c r="P124" s="278">
        <v>-392585.59739955037</v>
      </c>
      <c r="Q124" s="278">
        <v>-314068.47791964019</v>
      </c>
      <c r="R124" s="278">
        <v>-235551.35843973019</v>
      </c>
      <c r="S124" s="278">
        <v>-157034.2389598201</v>
      </c>
      <c r="T124" s="278">
        <v>-78517.119479910034</v>
      </c>
      <c r="U124" s="278">
        <v>0</v>
      </c>
      <c r="V124" s="278">
        <v>78517.119479910078</v>
      </c>
      <c r="W124" s="278">
        <v>157034.23895982013</v>
      </c>
      <c r="X124" s="278">
        <v>235551.35843973019</v>
      </c>
      <c r="Y124" s="278">
        <v>314068.47791964025</v>
      </c>
      <c r="Z124" s="279">
        <v>392585.59739955037</v>
      </c>
      <c r="AB124" s="282" t="str">
        <f t="shared" si="45"/>
        <v>8Y</v>
      </c>
      <c r="AC124" s="278">
        <f ca="1">IF(ABS(P124-C124)&gt;SnapshotTolerance,1,0)</f>
        <v>0</v>
      </c>
      <c r="AD124" s="278">
        <f ca="1">IF(ABS(Q124-D124)&gt;SnapshotTolerance,1,0)</f>
        <v>0</v>
      </c>
      <c r="AE124" s="278">
        <f ca="1">IF(ABS(R124-E124)&gt;SnapshotTolerance,1,0)</f>
        <v>0</v>
      </c>
      <c r="AF124" s="278">
        <f ca="1">IF(ABS(S124-F124)&gt;SnapshotTolerance,1,0)</f>
        <v>0</v>
      </c>
      <c r="AG124" s="278">
        <f ca="1">IF(ABS(T124-G124)&gt;SnapshotTolerance,1,0)</f>
        <v>0</v>
      </c>
      <c r="AH124" s="278">
        <f ca="1">IF(ABS(U124-H124)&gt;SnapshotTolerance,1,0)</f>
        <v>0</v>
      </c>
      <c r="AI124" s="278">
        <f ca="1">IF(ABS(V124-I124)&gt;SnapshotTolerance,1,0)</f>
        <v>0</v>
      </c>
      <c r="AJ124" s="278">
        <f ca="1">IF(ABS(W124-J124)&gt;SnapshotTolerance,1,0)</f>
        <v>0</v>
      </c>
      <c r="AK124" s="278">
        <f ca="1">IF(ABS(X124-K124)&gt;SnapshotTolerance,1,0)</f>
        <v>0</v>
      </c>
      <c r="AL124" s="278">
        <f ca="1">IF(ABS(Y124-L124)&gt;SnapshotTolerance,1,0)</f>
        <v>0</v>
      </c>
      <c r="AM124" s="279">
        <f ca="1">IF(ABS(Z124-M124)&gt;SnapshotTolerance,1,0)</f>
        <v>0</v>
      </c>
    </row>
    <row r="125" spans="2:39">
      <c r="B125" s="282" t="str">
        <f>'EUR Swap PVs'!M59</f>
        <v>9Y</v>
      </c>
      <c r="C125" s="278">
        <f ca="1">'EUR Swap PVs'!N59</f>
        <v>-438252.52539896447</v>
      </c>
      <c r="D125" s="278">
        <f ca="1">'EUR Swap PVs'!O59</f>
        <v>-350602.02031917154</v>
      </c>
      <c r="E125" s="278">
        <f ca="1">'EUR Swap PVs'!P59</f>
        <v>-262951.51523937867</v>
      </c>
      <c r="F125" s="278">
        <f ca="1">'EUR Swap PVs'!Q59</f>
        <v>-175301.01015958577</v>
      </c>
      <c r="G125" s="278">
        <f ca="1">'EUR Swap PVs'!R59</f>
        <v>-87650.505079792856</v>
      </c>
      <c r="H125" s="278">
        <f ca="1">'EUR Swap PVs'!S59</f>
        <v>1.3877787807814457E-11</v>
      </c>
      <c r="I125" s="278">
        <f ca="1">'EUR Swap PVs'!T59</f>
        <v>87650.5050797929</v>
      </c>
      <c r="J125" s="278">
        <f ca="1">'EUR Swap PVs'!U59</f>
        <v>175301.01015958577</v>
      </c>
      <c r="K125" s="278">
        <f ca="1">'EUR Swap PVs'!V59</f>
        <v>262951.51523937873</v>
      </c>
      <c r="L125" s="278">
        <f ca="1">'EUR Swap PVs'!W59</f>
        <v>350602.0203191716</v>
      </c>
      <c r="M125" s="279">
        <f ca="1">'EUR Swap PVs'!X59</f>
        <v>438252.52539896447</v>
      </c>
      <c r="O125" s="282" t="s">
        <v>113</v>
      </c>
      <c r="P125" s="278">
        <v>-438252.52539896447</v>
      </c>
      <c r="Q125" s="278">
        <v>-350602.02031917154</v>
      </c>
      <c r="R125" s="278">
        <v>-262951.51523937867</v>
      </c>
      <c r="S125" s="278">
        <v>-175301.01015958577</v>
      </c>
      <c r="T125" s="278">
        <v>-87650.505079792856</v>
      </c>
      <c r="U125" s="278">
        <v>1.3877787807814457E-11</v>
      </c>
      <c r="V125" s="278">
        <v>87650.5050797929</v>
      </c>
      <c r="W125" s="278">
        <v>175301.01015958577</v>
      </c>
      <c r="X125" s="278">
        <v>262951.51523937873</v>
      </c>
      <c r="Y125" s="278">
        <v>350602.0203191716</v>
      </c>
      <c r="Z125" s="279">
        <v>438252.52539896447</v>
      </c>
      <c r="AB125" s="282" t="str">
        <f t="shared" si="45"/>
        <v>9Y</v>
      </c>
      <c r="AC125" s="278">
        <f ca="1">IF(ABS(P125-C125)&gt;SnapshotTolerance,1,0)</f>
        <v>0</v>
      </c>
      <c r="AD125" s="278">
        <f ca="1">IF(ABS(Q125-D125)&gt;SnapshotTolerance,1,0)</f>
        <v>0</v>
      </c>
      <c r="AE125" s="278">
        <f ca="1">IF(ABS(R125-E125)&gt;SnapshotTolerance,1,0)</f>
        <v>0</v>
      </c>
      <c r="AF125" s="278">
        <f ca="1">IF(ABS(S125-F125)&gt;SnapshotTolerance,1,0)</f>
        <v>0</v>
      </c>
      <c r="AG125" s="278">
        <f ca="1">IF(ABS(T125-G125)&gt;SnapshotTolerance,1,0)</f>
        <v>0</v>
      </c>
      <c r="AH125" s="278">
        <f ca="1">IF(ABS(U125-H125)&gt;SnapshotTolerance,1,0)</f>
        <v>0</v>
      </c>
      <c r="AI125" s="278">
        <f ca="1">IF(ABS(V125-I125)&gt;SnapshotTolerance,1,0)</f>
        <v>0</v>
      </c>
      <c r="AJ125" s="278">
        <f ca="1">IF(ABS(W125-J125)&gt;SnapshotTolerance,1,0)</f>
        <v>0</v>
      </c>
      <c r="AK125" s="278">
        <f ca="1">IF(ABS(X125-K125)&gt;SnapshotTolerance,1,0)</f>
        <v>0</v>
      </c>
      <c r="AL125" s="278">
        <f ca="1">IF(ABS(Y125-L125)&gt;SnapshotTolerance,1,0)</f>
        <v>0</v>
      </c>
      <c r="AM125" s="279">
        <f ca="1">IF(ABS(Z125-M125)&gt;SnapshotTolerance,1,0)</f>
        <v>0</v>
      </c>
    </row>
    <row r="126" spans="2:39">
      <c r="B126" s="282" t="str">
        <f>'EUR Swap PVs'!M60</f>
        <v>10Y</v>
      </c>
      <c r="C126" s="278">
        <f ca="1">'EUR Swap PVs'!N60</f>
        <v>-483168.64497448748</v>
      </c>
      <c r="D126" s="278">
        <f ca="1">'EUR Swap PVs'!O60</f>
        <v>-386534.91597958998</v>
      </c>
      <c r="E126" s="278">
        <f ca="1">'EUR Swap PVs'!P60</f>
        <v>-289901.18698469247</v>
      </c>
      <c r="F126" s="278">
        <f ca="1">'EUR Swap PVs'!Q60</f>
        <v>-193267.45798979493</v>
      </c>
      <c r="G126" s="278">
        <f ca="1">'EUR Swap PVs'!R60</f>
        <v>-96633.728994897465</v>
      </c>
      <c r="H126" s="278">
        <f ca="1">'EUR Swap PVs'!S60</f>
        <v>0</v>
      </c>
      <c r="I126" s="278">
        <f ca="1">'EUR Swap PVs'!T60</f>
        <v>96633.728994897479</v>
      </c>
      <c r="J126" s="278">
        <f ca="1">'EUR Swap PVs'!U60</f>
        <v>193267.45798979493</v>
      </c>
      <c r="K126" s="278">
        <f ca="1">'EUR Swap PVs'!V60</f>
        <v>289901.18698469247</v>
      </c>
      <c r="L126" s="278">
        <f ca="1">'EUR Swap PVs'!W60</f>
        <v>386534.91597958998</v>
      </c>
      <c r="M126" s="279">
        <f ca="1">'EUR Swap PVs'!X60</f>
        <v>483168.64497448754</v>
      </c>
      <c r="O126" s="282" t="s">
        <v>28</v>
      </c>
      <c r="P126" s="278">
        <v>-483168.64497448748</v>
      </c>
      <c r="Q126" s="278">
        <v>-386534.91597958998</v>
      </c>
      <c r="R126" s="278">
        <v>-289901.18698469247</v>
      </c>
      <c r="S126" s="278">
        <v>-193267.45798979493</v>
      </c>
      <c r="T126" s="278">
        <v>-96633.728994897465</v>
      </c>
      <c r="U126" s="278">
        <v>0</v>
      </c>
      <c r="V126" s="278">
        <v>96633.728994897479</v>
      </c>
      <c r="W126" s="278">
        <v>193267.45798979493</v>
      </c>
      <c r="X126" s="278">
        <v>289901.18698469247</v>
      </c>
      <c r="Y126" s="278">
        <v>386534.91597958998</v>
      </c>
      <c r="Z126" s="279">
        <v>483168.64497448754</v>
      </c>
      <c r="AB126" s="282" t="str">
        <f t="shared" si="45"/>
        <v>10Y</v>
      </c>
      <c r="AC126" s="278">
        <f ca="1">IF(ABS(P126-C126)&gt;SnapshotTolerance,1,0)</f>
        <v>0</v>
      </c>
      <c r="AD126" s="278">
        <f ca="1">IF(ABS(Q126-D126)&gt;SnapshotTolerance,1,0)</f>
        <v>0</v>
      </c>
      <c r="AE126" s="278">
        <f ca="1">IF(ABS(R126-E126)&gt;SnapshotTolerance,1,0)</f>
        <v>0</v>
      </c>
      <c r="AF126" s="278">
        <f ca="1">IF(ABS(S126-F126)&gt;SnapshotTolerance,1,0)</f>
        <v>0</v>
      </c>
      <c r="AG126" s="278">
        <f ca="1">IF(ABS(T126-G126)&gt;SnapshotTolerance,1,0)</f>
        <v>0</v>
      </c>
      <c r="AH126" s="278">
        <f ca="1">IF(ABS(U126-H126)&gt;SnapshotTolerance,1,0)</f>
        <v>0</v>
      </c>
      <c r="AI126" s="278">
        <f ca="1">IF(ABS(V126-I126)&gt;SnapshotTolerance,1,0)</f>
        <v>0</v>
      </c>
      <c r="AJ126" s="278">
        <f ca="1">IF(ABS(W126-J126)&gt;SnapshotTolerance,1,0)</f>
        <v>0</v>
      </c>
      <c r="AK126" s="278">
        <f ca="1">IF(ABS(X126-K126)&gt;SnapshotTolerance,1,0)</f>
        <v>0</v>
      </c>
      <c r="AL126" s="278">
        <f ca="1">IF(ABS(Y126-L126)&gt;SnapshotTolerance,1,0)</f>
        <v>0</v>
      </c>
      <c r="AM126" s="279">
        <f ca="1">IF(ABS(Z126-M126)&gt;SnapshotTolerance,1,0)</f>
        <v>0</v>
      </c>
    </row>
    <row r="127" spans="2:39">
      <c r="B127" s="282" t="str">
        <f>'EUR Swap PVs'!M61</f>
        <v>11Y</v>
      </c>
      <c r="C127" s="278">
        <f ca="1">'EUR Swap PVs'!N61</f>
        <v>-527061.76365639444</v>
      </c>
      <c r="D127" s="278">
        <f ca="1">'EUR Swap PVs'!O61</f>
        <v>-421649.41092511552</v>
      </c>
      <c r="E127" s="278">
        <f ca="1">'EUR Swap PVs'!P61</f>
        <v>-316237.05819383665</v>
      </c>
      <c r="F127" s="278">
        <f ca="1">'EUR Swap PVs'!Q61</f>
        <v>-210824.70546255773</v>
      </c>
      <c r="G127" s="278">
        <f ca="1">'EUR Swap PVs'!R61</f>
        <v>-105412.35273127886</v>
      </c>
      <c r="H127" s="278">
        <f ca="1">'EUR Swap PVs'!S61</f>
        <v>0</v>
      </c>
      <c r="I127" s="278">
        <f ca="1">'EUR Swap PVs'!T61</f>
        <v>105412.35273127888</v>
      </c>
      <c r="J127" s="278">
        <f ca="1">'EUR Swap PVs'!U61</f>
        <v>210824.70546255773</v>
      </c>
      <c r="K127" s="278">
        <f ca="1">'EUR Swap PVs'!V61</f>
        <v>316237.05819383665</v>
      </c>
      <c r="L127" s="278">
        <f ca="1">'EUR Swap PVs'!W61</f>
        <v>421649.41092511563</v>
      </c>
      <c r="M127" s="279">
        <f ca="1">'EUR Swap PVs'!X61</f>
        <v>527061.76365639444</v>
      </c>
      <c r="O127" s="282" t="s">
        <v>366</v>
      </c>
      <c r="P127" s="278">
        <v>-527061.76365639444</v>
      </c>
      <c r="Q127" s="278">
        <v>-421649.41092511552</v>
      </c>
      <c r="R127" s="278">
        <v>-316237.05819383665</v>
      </c>
      <c r="S127" s="278">
        <v>-210824.70546255773</v>
      </c>
      <c r="T127" s="278">
        <v>-105412.35273127886</v>
      </c>
      <c r="U127" s="278">
        <v>0</v>
      </c>
      <c r="V127" s="278">
        <v>105412.35273127888</v>
      </c>
      <c r="W127" s="278">
        <v>210824.70546255773</v>
      </c>
      <c r="X127" s="278">
        <v>316237.05819383665</v>
      </c>
      <c r="Y127" s="278">
        <v>421649.41092511563</v>
      </c>
      <c r="Z127" s="279">
        <v>527061.76365639444</v>
      </c>
      <c r="AB127" s="282" t="str">
        <f t="shared" si="45"/>
        <v>11Y</v>
      </c>
      <c r="AC127" s="278">
        <f ca="1">IF(ABS(P127-C127)&gt;SnapshotTolerance,1,0)</f>
        <v>0</v>
      </c>
      <c r="AD127" s="278">
        <f ca="1">IF(ABS(Q127-D127)&gt;SnapshotTolerance,1,0)</f>
        <v>0</v>
      </c>
      <c r="AE127" s="278">
        <f ca="1">IF(ABS(R127-E127)&gt;SnapshotTolerance,1,0)</f>
        <v>0</v>
      </c>
      <c r="AF127" s="278">
        <f ca="1">IF(ABS(S127-F127)&gt;SnapshotTolerance,1,0)</f>
        <v>0</v>
      </c>
      <c r="AG127" s="278">
        <f ca="1">IF(ABS(T127-G127)&gt;SnapshotTolerance,1,0)</f>
        <v>0</v>
      </c>
      <c r="AH127" s="278">
        <f ca="1">IF(ABS(U127-H127)&gt;SnapshotTolerance,1,0)</f>
        <v>0</v>
      </c>
      <c r="AI127" s="278">
        <f ca="1">IF(ABS(V127-I127)&gt;SnapshotTolerance,1,0)</f>
        <v>0</v>
      </c>
      <c r="AJ127" s="278">
        <f ca="1">IF(ABS(W127-J127)&gt;SnapshotTolerance,1,0)</f>
        <v>0</v>
      </c>
      <c r="AK127" s="278">
        <f ca="1">IF(ABS(X127-K127)&gt;SnapshotTolerance,1,0)</f>
        <v>0</v>
      </c>
      <c r="AL127" s="278">
        <f ca="1">IF(ABS(Y127-L127)&gt;SnapshotTolerance,1,0)</f>
        <v>0</v>
      </c>
      <c r="AM127" s="279">
        <f ca="1">IF(ABS(Z127-M127)&gt;SnapshotTolerance,1,0)</f>
        <v>0</v>
      </c>
    </row>
    <row r="128" spans="2:39">
      <c r="B128" s="282" t="str">
        <f>'EUR Swap PVs'!M62</f>
        <v>12Y</v>
      </c>
      <c r="C128" s="278">
        <f ca="1">'EUR Swap PVs'!N62</f>
        <v>-569938.0308485931</v>
      </c>
      <c r="D128" s="278">
        <f ca="1">'EUR Swap PVs'!O62</f>
        <v>-455950.42467887449</v>
      </c>
      <c r="E128" s="278">
        <f ca="1">'EUR Swap PVs'!P62</f>
        <v>-341962.81850915583</v>
      </c>
      <c r="F128" s="278">
        <f ca="1">'EUR Swap PVs'!Q62</f>
        <v>-227975.21233943719</v>
      </c>
      <c r="G128" s="278">
        <f ca="1">'EUR Swap PVs'!R62</f>
        <v>-113987.60616971858</v>
      </c>
      <c r="H128" s="278">
        <f ca="1">'EUR Swap PVs'!S62</f>
        <v>0</v>
      </c>
      <c r="I128" s="278">
        <f ca="1">'EUR Swap PVs'!T62</f>
        <v>113987.60616971865</v>
      </c>
      <c r="J128" s="278">
        <f ca="1">'EUR Swap PVs'!U62</f>
        <v>227975.2123394373</v>
      </c>
      <c r="K128" s="278">
        <f ca="1">'EUR Swap PVs'!V62</f>
        <v>341962.81850915577</v>
      </c>
      <c r="L128" s="278">
        <f ca="1">'EUR Swap PVs'!W62</f>
        <v>455950.42467887449</v>
      </c>
      <c r="M128" s="279">
        <f ca="1">'EUR Swap PVs'!X62</f>
        <v>569938.0308485931</v>
      </c>
      <c r="O128" s="282" t="s">
        <v>26</v>
      </c>
      <c r="P128" s="278">
        <v>-569938.0308485931</v>
      </c>
      <c r="Q128" s="278">
        <v>-455950.42467887449</v>
      </c>
      <c r="R128" s="278">
        <v>-341962.81850915583</v>
      </c>
      <c r="S128" s="278">
        <v>-227975.21233943719</v>
      </c>
      <c r="T128" s="278">
        <v>-113987.60616971858</v>
      </c>
      <c r="U128" s="278">
        <v>0</v>
      </c>
      <c r="V128" s="278">
        <v>113987.60616971865</v>
      </c>
      <c r="W128" s="278">
        <v>227975.2123394373</v>
      </c>
      <c r="X128" s="278">
        <v>341962.81850915577</v>
      </c>
      <c r="Y128" s="278">
        <v>455950.42467887449</v>
      </c>
      <c r="Z128" s="279">
        <v>569938.0308485931</v>
      </c>
      <c r="AB128" s="282" t="str">
        <f t="shared" si="45"/>
        <v>12Y</v>
      </c>
      <c r="AC128" s="278">
        <f ca="1">IF(ABS(P128-C128)&gt;SnapshotTolerance,1,0)</f>
        <v>0</v>
      </c>
      <c r="AD128" s="278">
        <f ca="1">IF(ABS(Q128-D128)&gt;SnapshotTolerance,1,0)</f>
        <v>0</v>
      </c>
      <c r="AE128" s="278">
        <f ca="1">IF(ABS(R128-E128)&gt;SnapshotTolerance,1,0)</f>
        <v>0</v>
      </c>
      <c r="AF128" s="278">
        <f ca="1">IF(ABS(S128-F128)&gt;SnapshotTolerance,1,0)</f>
        <v>0</v>
      </c>
      <c r="AG128" s="278">
        <f ca="1">IF(ABS(T128-G128)&gt;SnapshotTolerance,1,0)</f>
        <v>0</v>
      </c>
      <c r="AH128" s="278">
        <f ca="1">IF(ABS(U128-H128)&gt;SnapshotTolerance,1,0)</f>
        <v>0</v>
      </c>
      <c r="AI128" s="278">
        <f ca="1">IF(ABS(V128-I128)&gt;SnapshotTolerance,1,0)</f>
        <v>0</v>
      </c>
      <c r="AJ128" s="278">
        <f ca="1">IF(ABS(W128-J128)&gt;SnapshotTolerance,1,0)</f>
        <v>0</v>
      </c>
      <c r="AK128" s="278">
        <f ca="1">IF(ABS(X128-K128)&gt;SnapshotTolerance,1,0)</f>
        <v>0</v>
      </c>
      <c r="AL128" s="278">
        <f ca="1">IF(ABS(Y128-L128)&gt;SnapshotTolerance,1,0)</f>
        <v>0</v>
      </c>
      <c r="AM128" s="279">
        <f ca="1">IF(ABS(Z128-M128)&gt;SnapshotTolerance,1,0)</f>
        <v>0</v>
      </c>
    </row>
    <row r="129" spans="2:39">
      <c r="B129" s="282" t="str">
        <f>'EUR Swap PVs'!M63</f>
        <v>15Y</v>
      </c>
      <c r="C129" s="278">
        <f ca="1">'EUR Swap PVs'!N63</f>
        <v>-692615.23399544926</v>
      </c>
      <c r="D129" s="278">
        <f ca="1">'EUR Swap PVs'!O63</f>
        <v>-554092.18719635939</v>
      </c>
      <c r="E129" s="278">
        <f ca="1">'EUR Swap PVs'!P63</f>
        <v>-415569.14039726957</v>
      </c>
      <c r="F129" s="278">
        <f ca="1">'EUR Swap PVs'!Q63</f>
        <v>-277046.09359817969</v>
      </c>
      <c r="G129" s="278">
        <f ca="1">'EUR Swap PVs'!R63</f>
        <v>-138523.04679908982</v>
      </c>
      <c r="H129" s="278">
        <f ca="1">'EUR Swap PVs'!S63</f>
        <v>0</v>
      </c>
      <c r="I129" s="278">
        <f ca="1">'EUR Swap PVs'!T63</f>
        <v>138523.04679908988</v>
      </c>
      <c r="J129" s="278">
        <f ca="1">'EUR Swap PVs'!U63</f>
        <v>277046.09359817969</v>
      </c>
      <c r="K129" s="278">
        <f ca="1">'EUR Swap PVs'!V63</f>
        <v>415569.14039726957</v>
      </c>
      <c r="L129" s="278">
        <f ca="1">'EUR Swap PVs'!W63</f>
        <v>554092.18719635939</v>
      </c>
      <c r="M129" s="279">
        <f ca="1">'EUR Swap PVs'!X63</f>
        <v>692615.23399544938</v>
      </c>
      <c r="O129" s="282" t="s">
        <v>24</v>
      </c>
      <c r="P129" s="278">
        <v>-692615.23399544926</v>
      </c>
      <c r="Q129" s="278">
        <v>-554092.18719635939</v>
      </c>
      <c r="R129" s="278">
        <v>-415569.14039726957</v>
      </c>
      <c r="S129" s="278">
        <v>-277046.09359817969</v>
      </c>
      <c r="T129" s="278">
        <v>-138523.04679908982</v>
      </c>
      <c r="U129" s="278">
        <v>0</v>
      </c>
      <c r="V129" s="278">
        <v>138523.04679908988</v>
      </c>
      <c r="W129" s="278">
        <v>277046.09359817969</v>
      </c>
      <c r="X129" s="278">
        <v>415569.14039726957</v>
      </c>
      <c r="Y129" s="278">
        <v>554092.18719635939</v>
      </c>
      <c r="Z129" s="279">
        <v>692615.23399544938</v>
      </c>
      <c r="AB129" s="282" t="str">
        <f t="shared" si="45"/>
        <v>15Y</v>
      </c>
      <c r="AC129" s="278">
        <f ca="1">IF(ABS(P129-C129)&gt;SnapshotTolerance,1,0)</f>
        <v>0</v>
      </c>
      <c r="AD129" s="278">
        <f ca="1">IF(ABS(Q129-D129)&gt;SnapshotTolerance,1,0)</f>
        <v>0</v>
      </c>
      <c r="AE129" s="278">
        <f ca="1">IF(ABS(R129-E129)&gt;SnapshotTolerance,1,0)</f>
        <v>0</v>
      </c>
      <c r="AF129" s="278">
        <f ca="1">IF(ABS(S129-F129)&gt;SnapshotTolerance,1,0)</f>
        <v>0</v>
      </c>
      <c r="AG129" s="278">
        <f ca="1">IF(ABS(T129-G129)&gt;SnapshotTolerance,1,0)</f>
        <v>0</v>
      </c>
      <c r="AH129" s="278">
        <f ca="1">IF(ABS(U129-H129)&gt;SnapshotTolerance,1,0)</f>
        <v>0</v>
      </c>
      <c r="AI129" s="278">
        <f ca="1">IF(ABS(V129-I129)&gt;SnapshotTolerance,1,0)</f>
        <v>0</v>
      </c>
      <c r="AJ129" s="278">
        <f ca="1">IF(ABS(W129-J129)&gt;SnapshotTolerance,1,0)</f>
        <v>0</v>
      </c>
      <c r="AK129" s="278">
        <f ca="1">IF(ABS(X129-K129)&gt;SnapshotTolerance,1,0)</f>
        <v>0</v>
      </c>
      <c r="AL129" s="278">
        <f ca="1">IF(ABS(Y129-L129)&gt;SnapshotTolerance,1,0)</f>
        <v>0</v>
      </c>
      <c r="AM129" s="279">
        <f ca="1">IF(ABS(Z129-M129)&gt;SnapshotTolerance,1,0)</f>
        <v>0</v>
      </c>
    </row>
    <row r="130" spans="2:39">
      <c r="B130" s="282" t="str">
        <f>'EUR Swap PVs'!M64</f>
        <v>20Y</v>
      </c>
      <c r="C130" s="278">
        <f ca="1">'EUR Swap PVs'!N64</f>
        <v>-879086.65850046882</v>
      </c>
      <c r="D130" s="278">
        <f ca="1">'EUR Swap PVs'!O64</f>
        <v>-703269.32680037513</v>
      </c>
      <c r="E130" s="278">
        <f ca="1">'EUR Swap PVs'!P64</f>
        <v>-527451.99510028132</v>
      </c>
      <c r="F130" s="278">
        <f ca="1">'EUR Swap PVs'!Q64</f>
        <v>-351634.66340018745</v>
      </c>
      <c r="G130" s="278">
        <f ca="1">'EUR Swap PVs'!R64</f>
        <v>-175817.33170009372</v>
      </c>
      <c r="H130" s="278">
        <f ca="1">'EUR Swap PVs'!S64</f>
        <v>0</v>
      </c>
      <c r="I130" s="278">
        <f ca="1">'EUR Swap PVs'!T64</f>
        <v>175817.33170009378</v>
      </c>
      <c r="J130" s="278">
        <f ca="1">'EUR Swap PVs'!U64</f>
        <v>351634.66340018756</v>
      </c>
      <c r="K130" s="278">
        <f ca="1">'EUR Swap PVs'!V64</f>
        <v>527451.9951002812</v>
      </c>
      <c r="L130" s="278">
        <f ca="1">'EUR Swap PVs'!W64</f>
        <v>703269.3268003749</v>
      </c>
      <c r="M130" s="279">
        <f ca="1">'EUR Swap PVs'!X64</f>
        <v>879086.65850046882</v>
      </c>
      <c r="O130" s="282" t="s">
        <v>20</v>
      </c>
      <c r="P130" s="278">
        <v>-879086.65850046882</v>
      </c>
      <c r="Q130" s="278">
        <v>-703269.32680037513</v>
      </c>
      <c r="R130" s="278">
        <v>-527451.99510028132</v>
      </c>
      <c r="S130" s="278">
        <v>-351634.66340018745</v>
      </c>
      <c r="T130" s="278">
        <v>-175817.33170009372</v>
      </c>
      <c r="U130" s="278">
        <v>0</v>
      </c>
      <c r="V130" s="278">
        <v>175817.33170009378</v>
      </c>
      <c r="W130" s="278">
        <v>351634.66340018756</v>
      </c>
      <c r="X130" s="278">
        <v>527451.9951002812</v>
      </c>
      <c r="Y130" s="278">
        <v>703269.3268003749</v>
      </c>
      <c r="Z130" s="279">
        <v>879086.65850046882</v>
      </c>
      <c r="AB130" s="282" t="str">
        <f t="shared" si="45"/>
        <v>20Y</v>
      </c>
      <c r="AC130" s="278">
        <f ca="1">IF(ABS(P130-C130)&gt;SnapshotTolerance,1,0)</f>
        <v>0</v>
      </c>
      <c r="AD130" s="278">
        <f ca="1">IF(ABS(Q130-D130)&gt;SnapshotTolerance,1,0)</f>
        <v>0</v>
      </c>
      <c r="AE130" s="278">
        <f ca="1">IF(ABS(R130-E130)&gt;SnapshotTolerance,1,0)</f>
        <v>0</v>
      </c>
      <c r="AF130" s="278">
        <f ca="1">IF(ABS(S130-F130)&gt;SnapshotTolerance,1,0)</f>
        <v>0</v>
      </c>
      <c r="AG130" s="278">
        <f ca="1">IF(ABS(T130-G130)&gt;SnapshotTolerance,1,0)</f>
        <v>0</v>
      </c>
      <c r="AH130" s="278">
        <f ca="1">IF(ABS(U130-H130)&gt;SnapshotTolerance,1,0)</f>
        <v>0</v>
      </c>
      <c r="AI130" s="278">
        <f ca="1">IF(ABS(V130-I130)&gt;SnapshotTolerance,1,0)</f>
        <v>0</v>
      </c>
      <c r="AJ130" s="278">
        <f ca="1">IF(ABS(W130-J130)&gt;SnapshotTolerance,1,0)</f>
        <v>0</v>
      </c>
      <c r="AK130" s="278">
        <f ca="1">IF(ABS(X130-K130)&gt;SnapshotTolerance,1,0)</f>
        <v>0</v>
      </c>
      <c r="AL130" s="278">
        <f ca="1">IF(ABS(Y130-L130)&gt;SnapshotTolerance,1,0)</f>
        <v>0</v>
      </c>
      <c r="AM130" s="279">
        <f ca="1">IF(ABS(Z130-M130)&gt;SnapshotTolerance,1,0)</f>
        <v>0</v>
      </c>
    </row>
    <row r="131" spans="2:39">
      <c r="B131" s="282" t="str">
        <f>'EUR Swap PVs'!M65</f>
        <v>25Y</v>
      </c>
      <c r="C131" s="278">
        <f ca="1">'EUR Swap PVs'!N65</f>
        <v>-1047182.7946827149</v>
      </c>
      <c r="D131" s="278">
        <f ca="1">'EUR Swap PVs'!O65</f>
        <v>-837746.23574617179</v>
      </c>
      <c r="E131" s="278">
        <f ca="1">'EUR Swap PVs'!P65</f>
        <v>-628309.67680962884</v>
      </c>
      <c r="F131" s="278">
        <f ca="1">'EUR Swap PVs'!Q65</f>
        <v>-418873.11787308584</v>
      </c>
      <c r="G131" s="278">
        <f ca="1">'EUR Swap PVs'!R65</f>
        <v>-209436.55893654289</v>
      </c>
      <c r="H131" s="278">
        <f ca="1">'EUR Swap PVs'!S65</f>
        <v>0</v>
      </c>
      <c r="I131" s="278">
        <f ca="1">'EUR Swap PVs'!T65</f>
        <v>209436.55893654301</v>
      </c>
      <c r="J131" s="278">
        <f ca="1">'EUR Swap PVs'!U65</f>
        <v>418873.11787308601</v>
      </c>
      <c r="K131" s="278">
        <f ca="1">'EUR Swap PVs'!V65</f>
        <v>628309.67680962896</v>
      </c>
      <c r="L131" s="278">
        <f ca="1">'EUR Swap PVs'!W65</f>
        <v>837746.23574617191</v>
      </c>
      <c r="M131" s="279">
        <f ca="1">'EUR Swap PVs'!X65</f>
        <v>1047182.7946827146</v>
      </c>
      <c r="O131" s="282" t="s">
        <v>18</v>
      </c>
      <c r="P131" s="278">
        <v>-1047182.7946827149</v>
      </c>
      <c r="Q131" s="278">
        <v>-837746.23574617179</v>
      </c>
      <c r="R131" s="278">
        <v>-628309.67680962884</v>
      </c>
      <c r="S131" s="278">
        <v>-418873.11787308584</v>
      </c>
      <c r="T131" s="278">
        <v>-209436.55893654289</v>
      </c>
      <c r="U131" s="278">
        <v>0</v>
      </c>
      <c r="V131" s="278">
        <v>209436.55893654301</v>
      </c>
      <c r="W131" s="278">
        <v>418873.11787308601</v>
      </c>
      <c r="X131" s="278">
        <v>628309.67680962896</v>
      </c>
      <c r="Y131" s="278">
        <v>837746.23574617191</v>
      </c>
      <c r="Z131" s="279">
        <v>1047182.7946827146</v>
      </c>
      <c r="AB131" s="282" t="str">
        <f t="shared" si="45"/>
        <v>25Y</v>
      </c>
      <c r="AC131" s="278">
        <f ca="1">IF(ABS(P131-C131)&gt;SnapshotTolerance,1,0)</f>
        <v>0</v>
      </c>
      <c r="AD131" s="278">
        <f ca="1">IF(ABS(Q131-D131)&gt;SnapshotTolerance,1,0)</f>
        <v>0</v>
      </c>
      <c r="AE131" s="278">
        <f ca="1">IF(ABS(R131-E131)&gt;SnapshotTolerance,1,0)</f>
        <v>0</v>
      </c>
      <c r="AF131" s="278">
        <f ca="1">IF(ABS(S131-F131)&gt;SnapshotTolerance,1,0)</f>
        <v>0</v>
      </c>
      <c r="AG131" s="278">
        <f ca="1">IF(ABS(T131-G131)&gt;SnapshotTolerance,1,0)</f>
        <v>0</v>
      </c>
      <c r="AH131" s="278">
        <f ca="1">IF(ABS(U131-H131)&gt;SnapshotTolerance,1,0)</f>
        <v>0</v>
      </c>
      <c r="AI131" s="278">
        <f ca="1">IF(ABS(V131-I131)&gt;SnapshotTolerance,1,0)</f>
        <v>0</v>
      </c>
      <c r="AJ131" s="278">
        <f ca="1">IF(ABS(W131-J131)&gt;SnapshotTolerance,1,0)</f>
        <v>0</v>
      </c>
      <c r="AK131" s="278">
        <f ca="1">IF(ABS(X131-K131)&gt;SnapshotTolerance,1,0)</f>
        <v>0</v>
      </c>
      <c r="AL131" s="278">
        <f ca="1">IF(ABS(Y131-L131)&gt;SnapshotTolerance,1,0)</f>
        <v>0</v>
      </c>
      <c r="AM131" s="279">
        <f ca="1">IF(ABS(Z131-M131)&gt;SnapshotTolerance,1,0)</f>
        <v>0</v>
      </c>
    </row>
    <row r="132" spans="2:39">
      <c r="B132" s="282" t="str">
        <f>'EUR Swap PVs'!M66</f>
        <v>30Y</v>
      </c>
      <c r="C132" s="278">
        <f ca="1">'EUR Swap PVs'!N66</f>
        <v>-1200253.8604142829</v>
      </c>
      <c r="D132" s="278">
        <f ca="1">'EUR Swap PVs'!O66</f>
        <v>-960203.08833142626</v>
      </c>
      <c r="E132" s="278">
        <f ca="1">'EUR Swap PVs'!P66</f>
        <v>-720152.31624856964</v>
      </c>
      <c r="F132" s="278">
        <f ca="1">'EUR Swap PVs'!Q66</f>
        <v>-480101.54416571307</v>
      </c>
      <c r="G132" s="278">
        <f ca="1">'EUR Swap PVs'!R66</f>
        <v>-240050.77208285648</v>
      </c>
      <c r="H132" s="278">
        <f ca="1">'EUR Swap PVs'!S66</f>
        <v>5.5511151231257827E-11</v>
      </c>
      <c r="I132" s="278">
        <f ca="1">'EUR Swap PVs'!T66</f>
        <v>240050.77208285668</v>
      </c>
      <c r="J132" s="278">
        <f ca="1">'EUR Swap PVs'!U66</f>
        <v>480101.54416571331</v>
      </c>
      <c r="K132" s="278">
        <f ca="1">'EUR Swap PVs'!V66</f>
        <v>720152.31624856987</v>
      </c>
      <c r="L132" s="278">
        <f ca="1">'EUR Swap PVs'!W66</f>
        <v>960203.08833142649</v>
      </c>
      <c r="M132" s="279">
        <f ca="1">'EUR Swap PVs'!X66</f>
        <v>1200253.8604142831</v>
      </c>
      <c r="O132" s="282" t="s">
        <v>17</v>
      </c>
      <c r="P132" s="278">
        <v>-1200253.8604142829</v>
      </c>
      <c r="Q132" s="278">
        <v>-960203.08833142626</v>
      </c>
      <c r="R132" s="278">
        <v>-720152.31624856964</v>
      </c>
      <c r="S132" s="278">
        <v>-480101.54416571307</v>
      </c>
      <c r="T132" s="278">
        <v>-240050.77208285648</v>
      </c>
      <c r="U132" s="278">
        <v>5.5511151231257827E-11</v>
      </c>
      <c r="V132" s="278">
        <v>240050.77208285668</v>
      </c>
      <c r="W132" s="278">
        <v>480101.54416571331</v>
      </c>
      <c r="X132" s="278">
        <v>720152.31624856987</v>
      </c>
      <c r="Y132" s="278">
        <v>960203.08833142649</v>
      </c>
      <c r="Z132" s="279">
        <v>1200253.8604142831</v>
      </c>
      <c r="AB132" s="282" t="str">
        <f t="shared" si="45"/>
        <v>30Y</v>
      </c>
      <c r="AC132" s="278">
        <f ca="1">IF(ABS(P132-C132)&gt;SnapshotTolerance,1,0)</f>
        <v>0</v>
      </c>
      <c r="AD132" s="278">
        <f ca="1">IF(ABS(Q132-D132)&gt;SnapshotTolerance,1,0)</f>
        <v>0</v>
      </c>
      <c r="AE132" s="278">
        <f ca="1">IF(ABS(R132-E132)&gt;SnapshotTolerance,1,0)</f>
        <v>0</v>
      </c>
      <c r="AF132" s="278">
        <f ca="1">IF(ABS(S132-F132)&gt;SnapshotTolerance,1,0)</f>
        <v>0</v>
      </c>
      <c r="AG132" s="278">
        <f ca="1">IF(ABS(T132-G132)&gt;SnapshotTolerance,1,0)</f>
        <v>0</v>
      </c>
      <c r="AH132" s="278">
        <f ca="1">IF(ABS(U132-H132)&gt;SnapshotTolerance,1,0)</f>
        <v>0</v>
      </c>
      <c r="AI132" s="278">
        <f ca="1">IF(ABS(V132-I132)&gt;SnapshotTolerance,1,0)</f>
        <v>0</v>
      </c>
      <c r="AJ132" s="278">
        <f ca="1">IF(ABS(W132-J132)&gt;SnapshotTolerance,1,0)</f>
        <v>0</v>
      </c>
      <c r="AK132" s="278">
        <f ca="1">IF(ABS(X132-K132)&gt;SnapshotTolerance,1,0)</f>
        <v>0</v>
      </c>
      <c r="AL132" s="278">
        <f ca="1">IF(ABS(Y132-L132)&gt;SnapshotTolerance,1,0)</f>
        <v>0</v>
      </c>
      <c r="AM132" s="279">
        <f ca="1">IF(ABS(Z132-M132)&gt;SnapshotTolerance,1,0)</f>
        <v>0</v>
      </c>
    </row>
    <row r="133" spans="2:39">
      <c r="B133" s="282" t="str">
        <f>'EUR Swap PVs'!M67</f>
        <v>35Y</v>
      </c>
      <c r="C133" s="278">
        <f ca="1">'EUR Swap PVs'!N67</f>
        <v>-1341179.2700771403</v>
      </c>
      <c r="D133" s="278">
        <f ca="1">'EUR Swap PVs'!O67</f>
        <v>-1072943.4160617122</v>
      </c>
      <c r="E133" s="278">
        <f ca="1">'EUR Swap PVs'!P67</f>
        <v>-804707.56204628397</v>
      </c>
      <c r="F133" s="278">
        <f ca="1">'EUR Swap PVs'!Q67</f>
        <v>-536471.70803085598</v>
      </c>
      <c r="G133" s="278">
        <f ca="1">'EUR Swap PVs'!R67</f>
        <v>-268235.85401542793</v>
      </c>
      <c r="H133" s="278">
        <f ca="1">'EUR Swap PVs'!S67</f>
        <v>0</v>
      </c>
      <c r="I133" s="278">
        <f ca="1">'EUR Swap PVs'!T67</f>
        <v>268235.85401542799</v>
      </c>
      <c r="J133" s="278">
        <f ca="1">'EUR Swap PVs'!U67</f>
        <v>536471.7080308561</v>
      </c>
      <c r="K133" s="278">
        <f ca="1">'EUR Swap PVs'!V67</f>
        <v>804707.56204628397</v>
      </c>
      <c r="L133" s="278">
        <f ca="1">'EUR Swap PVs'!W67</f>
        <v>1072943.4160617122</v>
      </c>
      <c r="M133" s="279">
        <f ca="1">'EUR Swap PVs'!X67</f>
        <v>1341179.2700771401</v>
      </c>
      <c r="O133" s="282" t="s">
        <v>16</v>
      </c>
      <c r="P133" s="278">
        <v>-1341179.2700771403</v>
      </c>
      <c r="Q133" s="278">
        <v>-1072943.4160617122</v>
      </c>
      <c r="R133" s="278">
        <v>-804707.56204628397</v>
      </c>
      <c r="S133" s="278">
        <v>-536471.70803085598</v>
      </c>
      <c r="T133" s="278">
        <v>-268235.85401542793</v>
      </c>
      <c r="U133" s="278">
        <v>0</v>
      </c>
      <c r="V133" s="278">
        <v>268235.85401542799</v>
      </c>
      <c r="W133" s="278">
        <v>536471.7080308561</v>
      </c>
      <c r="X133" s="278">
        <v>804707.56204628397</v>
      </c>
      <c r="Y133" s="278">
        <v>1072943.4160617122</v>
      </c>
      <c r="Z133" s="279">
        <v>1341179.2700771401</v>
      </c>
      <c r="AB133" s="282" t="str">
        <f t="shared" si="45"/>
        <v>35Y</v>
      </c>
      <c r="AC133" s="278">
        <f ca="1">IF(ABS(P133-C133)&gt;SnapshotTolerance,1,0)</f>
        <v>0</v>
      </c>
      <c r="AD133" s="278">
        <f ca="1">IF(ABS(Q133-D133)&gt;SnapshotTolerance,1,0)</f>
        <v>0</v>
      </c>
      <c r="AE133" s="278">
        <f ca="1">IF(ABS(R133-E133)&gt;SnapshotTolerance,1,0)</f>
        <v>0</v>
      </c>
      <c r="AF133" s="278">
        <f ca="1">IF(ABS(S133-F133)&gt;SnapshotTolerance,1,0)</f>
        <v>0</v>
      </c>
      <c r="AG133" s="278">
        <f ca="1">IF(ABS(T133-G133)&gt;SnapshotTolerance,1,0)</f>
        <v>0</v>
      </c>
      <c r="AH133" s="278">
        <f ca="1">IF(ABS(U133-H133)&gt;SnapshotTolerance,1,0)</f>
        <v>0</v>
      </c>
      <c r="AI133" s="278">
        <f ca="1">IF(ABS(V133-I133)&gt;SnapshotTolerance,1,0)</f>
        <v>0</v>
      </c>
      <c r="AJ133" s="278">
        <f ca="1">IF(ABS(W133-J133)&gt;SnapshotTolerance,1,0)</f>
        <v>0</v>
      </c>
      <c r="AK133" s="278">
        <f ca="1">IF(ABS(X133-K133)&gt;SnapshotTolerance,1,0)</f>
        <v>0</v>
      </c>
      <c r="AL133" s="278">
        <f ca="1">IF(ABS(Y133-L133)&gt;SnapshotTolerance,1,0)</f>
        <v>0</v>
      </c>
      <c r="AM133" s="279">
        <f ca="1">IF(ABS(Z133-M133)&gt;SnapshotTolerance,1,0)</f>
        <v>0</v>
      </c>
    </row>
    <row r="134" spans="2:39">
      <c r="B134" s="282" t="str">
        <f>'EUR Swap PVs'!M68</f>
        <v>40Y</v>
      </c>
      <c r="C134" s="278">
        <f ca="1">'EUR Swap PVs'!N68</f>
        <v>-1471307.5991774679</v>
      </c>
      <c r="D134" s="278">
        <f ca="1">'EUR Swap PVs'!O68</f>
        <v>-1177046.0793419741</v>
      </c>
      <c r="E134" s="278">
        <f ca="1">'EUR Swap PVs'!P68</f>
        <v>-882784.55950648058</v>
      </c>
      <c r="F134" s="278">
        <f ca="1">'EUR Swap PVs'!Q68</f>
        <v>-588523.03967098705</v>
      </c>
      <c r="G134" s="278">
        <f ca="1">'EUR Swap PVs'!R68</f>
        <v>-294261.51983549347</v>
      </c>
      <c r="H134" s="278">
        <f ca="1">'EUR Swap PVs'!S68</f>
        <v>0</v>
      </c>
      <c r="I134" s="278">
        <f ca="1">'EUR Swap PVs'!T68</f>
        <v>294261.51983549353</v>
      </c>
      <c r="J134" s="278">
        <f ca="1">'EUR Swap PVs'!U68</f>
        <v>588523.03967098694</v>
      </c>
      <c r="K134" s="278">
        <f ca="1">'EUR Swap PVs'!V68</f>
        <v>882784.55950648058</v>
      </c>
      <c r="L134" s="278">
        <f ca="1">'EUR Swap PVs'!W68</f>
        <v>1177046.0793419741</v>
      </c>
      <c r="M134" s="279">
        <f ca="1">'EUR Swap PVs'!X68</f>
        <v>1471307.5991774681</v>
      </c>
      <c r="O134" s="282" t="s">
        <v>15</v>
      </c>
      <c r="P134" s="278">
        <v>-1471307.5991774679</v>
      </c>
      <c r="Q134" s="278">
        <v>-1177046.0793419741</v>
      </c>
      <c r="R134" s="278">
        <v>-882784.55950648058</v>
      </c>
      <c r="S134" s="278">
        <v>-588523.03967098705</v>
      </c>
      <c r="T134" s="278">
        <v>-294261.51983549347</v>
      </c>
      <c r="U134" s="278">
        <v>0</v>
      </c>
      <c r="V134" s="278">
        <v>294261.51983549353</v>
      </c>
      <c r="W134" s="278">
        <v>588523.03967098694</v>
      </c>
      <c r="X134" s="278">
        <v>882784.55950648058</v>
      </c>
      <c r="Y134" s="278">
        <v>1177046.0793419741</v>
      </c>
      <c r="Z134" s="279">
        <v>1471307.5991774681</v>
      </c>
      <c r="AB134" s="282" t="str">
        <f t="shared" si="45"/>
        <v>40Y</v>
      </c>
      <c r="AC134" s="278">
        <f ca="1">IF(ABS(P134-C134)&gt;SnapshotTolerance,1,0)</f>
        <v>0</v>
      </c>
      <c r="AD134" s="278">
        <f ca="1">IF(ABS(Q134-D134)&gt;SnapshotTolerance,1,0)</f>
        <v>0</v>
      </c>
      <c r="AE134" s="278">
        <f ca="1">IF(ABS(R134-E134)&gt;SnapshotTolerance,1,0)</f>
        <v>0</v>
      </c>
      <c r="AF134" s="278">
        <f ca="1">IF(ABS(S134-F134)&gt;SnapshotTolerance,1,0)</f>
        <v>0</v>
      </c>
      <c r="AG134" s="278">
        <f ca="1">IF(ABS(T134-G134)&gt;SnapshotTolerance,1,0)</f>
        <v>0</v>
      </c>
      <c r="AH134" s="278">
        <f ca="1">IF(ABS(U134-H134)&gt;SnapshotTolerance,1,0)</f>
        <v>0</v>
      </c>
      <c r="AI134" s="278">
        <f ca="1">IF(ABS(V134-I134)&gt;SnapshotTolerance,1,0)</f>
        <v>0</v>
      </c>
      <c r="AJ134" s="278">
        <f ca="1">IF(ABS(W134-J134)&gt;SnapshotTolerance,1,0)</f>
        <v>0</v>
      </c>
      <c r="AK134" s="278">
        <f ca="1">IF(ABS(X134-K134)&gt;SnapshotTolerance,1,0)</f>
        <v>0</v>
      </c>
      <c r="AL134" s="278">
        <f ca="1">IF(ABS(Y134-L134)&gt;SnapshotTolerance,1,0)</f>
        <v>0</v>
      </c>
      <c r="AM134" s="279">
        <f ca="1">IF(ABS(Z134-M134)&gt;SnapshotTolerance,1,0)</f>
        <v>0</v>
      </c>
    </row>
    <row r="135" spans="2:39">
      <c r="B135" s="282" t="str">
        <f>'EUR Swap PVs'!M69</f>
        <v>45Y</v>
      </c>
      <c r="C135" s="278">
        <f ca="1">'EUR Swap PVs'!N69</f>
        <v>-1589983.8927858977</v>
      </c>
      <c r="D135" s="278">
        <f ca="1">'EUR Swap PVs'!O69</f>
        <v>-1271987.114228718</v>
      </c>
      <c r="E135" s="278">
        <f ca="1">'EUR Swap PVs'!P69</f>
        <v>-953990.33567153849</v>
      </c>
      <c r="F135" s="278">
        <f ca="1">'EUR Swap PVs'!Q69</f>
        <v>-635993.55711435887</v>
      </c>
      <c r="G135" s="278">
        <f ca="1">'EUR Swap PVs'!R69</f>
        <v>-317996.77855717938</v>
      </c>
      <c r="H135" s="278">
        <f ca="1">'EUR Swap PVs'!S69</f>
        <v>0</v>
      </c>
      <c r="I135" s="278">
        <f ca="1">'EUR Swap PVs'!T69</f>
        <v>317996.77855717944</v>
      </c>
      <c r="J135" s="278">
        <f ca="1">'EUR Swap PVs'!U69</f>
        <v>635993.55711435899</v>
      </c>
      <c r="K135" s="278">
        <f ca="1">'EUR Swap PVs'!V69</f>
        <v>953990.33567153837</v>
      </c>
      <c r="L135" s="278">
        <f ca="1">'EUR Swap PVs'!W69</f>
        <v>1271987.1142287182</v>
      </c>
      <c r="M135" s="279">
        <f ca="1">'EUR Swap PVs'!X69</f>
        <v>1589983.8927858972</v>
      </c>
      <c r="O135" s="282" t="s">
        <v>368</v>
      </c>
      <c r="P135" s="278">
        <v>-1589983.8927858977</v>
      </c>
      <c r="Q135" s="278">
        <v>-1271987.114228718</v>
      </c>
      <c r="R135" s="278">
        <v>-953990.33567153849</v>
      </c>
      <c r="S135" s="278">
        <v>-635993.55711435887</v>
      </c>
      <c r="T135" s="278">
        <v>-317996.77855717938</v>
      </c>
      <c r="U135" s="278">
        <v>0</v>
      </c>
      <c r="V135" s="278">
        <v>317996.77855717944</v>
      </c>
      <c r="W135" s="278">
        <v>635993.55711435899</v>
      </c>
      <c r="X135" s="278">
        <v>953990.33567153837</v>
      </c>
      <c r="Y135" s="278">
        <v>1271987.1142287182</v>
      </c>
      <c r="Z135" s="279">
        <v>1589983.8927858972</v>
      </c>
      <c r="AB135" s="282" t="str">
        <f t="shared" si="45"/>
        <v>45Y</v>
      </c>
      <c r="AC135" s="278">
        <f ca="1">IF(ABS(P135-C135)&gt;SnapshotTolerance,1,0)</f>
        <v>0</v>
      </c>
      <c r="AD135" s="278">
        <f ca="1">IF(ABS(Q135-D135)&gt;SnapshotTolerance,1,0)</f>
        <v>0</v>
      </c>
      <c r="AE135" s="278">
        <f ca="1">IF(ABS(R135-E135)&gt;SnapshotTolerance,1,0)</f>
        <v>0</v>
      </c>
      <c r="AF135" s="278">
        <f ca="1">IF(ABS(S135-F135)&gt;SnapshotTolerance,1,0)</f>
        <v>0</v>
      </c>
      <c r="AG135" s="278">
        <f ca="1">IF(ABS(T135-G135)&gt;SnapshotTolerance,1,0)</f>
        <v>0</v>
      </c>
      <c r="AH135" s="278">
        <f ca="1">IF(ABS(U135-H135)&gt;SnapshotTolerance,1,0)</f>
        <v>0</v>
      </c>
      <c r="AI135" s="278">
        <f ca="1">IF(ABS(V135-I135)&gt;SnapshotTolerance,1,0)</f>
        <v>0</v>
      </c>
      <c r="AJ135" s="278">
        <f ca="1">IF(ABS(W135-J135)&gt;SnapshotTolerance,1,0)</f>
        <v>0</v>
      </c>
      <c r="AK135" s="278">
        <f ca="1">IF(ABS(X135-K135)&gt;SnapshotTolerance,1,0)</f>
        <v>0</v>
      </c>
      <c r="AL135" s="278">
        <f ca="1">IF(ABS(Y135-L135)&gt;SnapshotTolerance,1,0)</f>
        <v>0</v>
      </c>
      <c r="AM135" s="279">
        <f ca="1">IF(ABS(Z135-M135)&gt;SnapshotTolerance,1,0)</f>
        <v>0</v>
      </c>
    </row>
    <row r="136" spans="2:39">
      <c r="B136" s="283" t="str">
        <f>'EUR Swap PVs'!M70</f>
        <v>50Y</v>
      </c>
      <c r="C136" s="280">
        <f ca="1">'EUR Swap PVs'!N70</f>
        <v>-1698516.6839658313</v>
      </c>
      <c r="D136" s="280">
        <f ca="1">'EUR Swap PVs'!O70</f>
        <v>-1358813.3471726649</v>
      </c>
      <c r="E136" s="280">
        <f ca="1">'EUR Swap PVs'!P70</f>
        <v>-1019110.0103794988</v>
      </c>
      <c r="F136" s="280">
        <f ca="1">'EUR Swap PVs'!Q70</f>
        <v>-679406.67358633247</v>
      </c>
      <c r="G136" s="280">
        <f ca="1">'EUR Swap PVs'!R70</f>
        <v>-339703.33679316618</v>
      </c>
      <c r="H136" s="280">
        <f ca="1">'EUR Swap PVs'!S70</f>
        <v>0</v>
      </c>
      <c r="I136" s="280">
        <f ca="1">'EUR Swap PVs'!T70</f>
        <v>339703.33679316635</v>
      </c>
      <c r="J136" s="280">
        <f ca="1">'EUR Swap PVs'!U70</f>
        <v>679406.67358633259</v>
      </c>
      <c r="K136" s="280">
        <f ca="1">'EUR Swap PVs'!V70</f>
        <v>1019110.0103794986</v>
      </c>
      <c r="L136" s="280">
        <f ca="1">'EUR Swap PVs'!W70</f>
        <v>1358813.3471726649</v>
      </c>
      <c r="M136" s="281">
        <f ca="1">'EUR Swap PVs'!X70</f>
        <v>1698516.6839658313</v>
      </c>
      <c r="O136" s="283" t="s">
        <v>14</v>
      </c>
      <c r="P136" s="280">
        <v>-1698516.6839658313</v>
      </c>
      <c r="Q136" s="280">
        <v>-1358813.3471726649</v>
      </c>
      <c r="R136" s="280">
        <v>-1019110.0103794988</v>
      </c>
      <c r="S136" s="280">
        <v>-679406.67358633247</v>
      </c>
      <c r="T136" s="280">
        <v>-339703.33679316618</v>
      </c>
      <c r="U136" s="280">
        <v>0</v>
      </c>
      <c r="V136" s="280">
        <v>339703.33679316635</v>
      </c>
      <c r="W136" s="280">
        <v>679406.67358633259</v>
      </c>
      <c r="X136" s="280">
        <v>1019110.0103794986</v>
      </c>
      <c r="Y136" s="280">
        <v>1358813.3471726649</v>
      </c>
      <c r="Z136" s="281">
        <v>1698516.6839658313</v>
      </c>
      <c r="AB136" s="283" t="str">
        <f t="shared" si="45"/>
        <v>50Y</v>
      </c>
      <c r="AC136" s="280">
        <f ca="1">IF(ABS(P136-C136)&gt;SnapshotTolerance,1,0)</f>
        <v>0</v>
      </c>
      <c r="AD136" s="280">
        <f ca="1">IF(ABS(Q136-D136)&gt;SnapshotTolerance,1,0)</f>
        <v>0</v>
      </c>
      <c r="AE136" s="280">
        <f ca="1">IF(ABS(R136-E136)&gt;SnapshotTolerance,1,0)</f>
        <v>0</v>
      </c>
      <c r="AF136" s="280">
        <f ca="1">IF(ABS(S136-F136)&gt;SnapshotTolerance,1,0)</f>
        <v>0</v>
      </c>
      <c r="AG136" s="280">
        <f ca="1">IF(ABS(T136-G136)&gt;SnapshotTolerance,1,0)</f>
        <v>0</v>
      </c>
      <c r="AH136" s="280">
        <f ca="1">IF(ABS(U136-H136)&gt;SnapshotTolerance,1,0)</f>
        <v>0</v>
      </c>
      <c r="AI136" s="280">
        <f ca="1">IF(ABS(V136-I136)&gt;SnapshotTolerance,1,0)</f>
        <v>0</v>
      </c>
      <c r="AJ136" s="280">
        <f ca="1">IF(ABS(W136-J136)&gt;SnapshotTolerance,1,0)</f>
        <v>0</v>
      </c>
      <c r="AK136" s="280">
        <f ca="1">IF(ABS(X136-K136)&gt;SnapshotTolerance,1,0)</f>
        <v>0</v>
      </c>
      <c r="AL136" s="280">
        <f ca="1">IF(ABS(Y136-L136)&gt;SnapshotTolerance,1,0)</f>
        <v>0</v>
      </c>
      <c r="AM136" s="281">
        <f ca="1">IF(ABS(Z136-M136)&gt;SnapshotTolerance,1,0)</f>
        <v>0</v>
      </c>
    </row>
    <row r="139" spans="2:39">
      <c r="B139" t="s">
        <v>533</v>
      </c>
      <c r="E139" t="s">
        <v>472</v>
      </c>
    </row>
    <row r="140" spans="2:39">
      <c r="B140" t="s">
        <v>530</v>
      </c>
      <c r="E140" s="252">
        <f ca="1">SUM(AC145:AM163)</f>
        <v>0</v>
      </c>
    </row>
    <row r="141" spans="2:39">
      <c r="B141" t="s">
        <v>529</v>
      </c>
    </row>
    <row r="143" spans="2:39">
      <c r="B143" t="s">
        <v>510</v>
      </c>
      <c r="O143" t="s">
        <v>470</v>
      </c>
      <c r="AB143" t="s">
        <v>511</v>
      </c>
    </row>
    <row r="144" spans="2:39">
      <c r="B144" s="254" t="str">
        <f>'EUR Swap PVs'!M76</f>
        <v>Term</v>
      </c>
      <c r="C144" s="287">
        <f>'EUR Swap PVs'!N76</f>
        <v>500</v>
      </c>
      <c r="D144" s="287">
        <f>'EUR Swap PVs'!O76</f>
        <v>400</v>
      </c>
      <c r="E144" s="287">
        <f>'EUR Swap PVs'!P76</f>
        <v>300</v>
      </c>
      <c r="F144" s="287">
        <f>'EUR Swap PVs'!Q76</f>
        <v>200</v>
      </c>
      <c r="G144" s="287">
        <f>'EUR Swap PVs'!R76</f>
        <v>100</v>
      </c>
      <c r="H144" s="287">
        <f>'EUR Swap PVs'!S76</f>
        <v>0</v>
      </c>
      <c r="I144" s="287">
        <f>'EUR Swap PVs'!T76</f>
        <v>-100</v>
      </c>
      <c r="J144" s="287">
        <f>'EUR Swap PVs'!U76</f>
        <v>-200</v>
      </c>
      <c r="K144" s="287">
        <f>'EUR Swap PVs'!V76</f>
        <v>-300</v>
      </c>
      <c r="L144" s="287">
        <f>'EUR Swap PVs'!W76</f>
        <v>-400</v>
      </c>
      <c r="M144" s="288">
        <f>'EUR Swap PVs'!X76</f>
        <v>-500</v>
      </c>
      <c r="O144" s="254" t="s">
        <v>76</v>
      </c>
      <c r="P144" s="287">
        <v>500</v>
      </c>
      <c r="Q144" s="287">
        <v>400</v>
      </c>
      <c r="R144" s="287">
        <v>300</v>
      </c>
      <c r="S144" s="287">
        <v>200</v>
      </c>
      <c r="T144" s="287">
        <v>100</v>
      </c>
      <c r="U144" s="287">
        <v>0</v>
      </c>
      <c r="V144" s="287">
        <v>-100</v>
      </c>
      <c r="W144" s="287">
        <v>-200</v>
      </c>
      <c r="X144" s="287">
        <v>-300</v>
      </c>
      <c r="Y144" s="287">
        <v>-400</v>
      </c>
      <c r="Z144" s="288">
        <v>-500</v>
      </c>
      <c r="AB144" s="254" t="str">
        <f>O144</f>
        <v>Term</v>
      </c>
      <c r="AC144" s="287">
        <f>P144</f>
        <v>500</v>
      </c>
      <c r="AD144" s="287">
        <f t="shared" ref="AD144" si="46">Q144</f>
        <v>400</v>
      </c>
      <c r="AE144" s="287">
        <f t="shared" ref="AE144" si="47">R144</f>
        <v>300</v>
      </c>
      <c r="AF144" s="287">
        <f t="shared" ref="AF144" si="48">S144</f>
        <v>200</v>
      </c>
      <c r="AG144" s="287">
        <f t="shared" ref="AG144" si="49">T144</f>
        <v>100</v>
      </c>
      <c r="AH144" s="287">
        <f t="shared" ref="AH144" si="50">U144</f>
        <v>0</v>
      </c>
      <c r="AI144" s="287">
        <f t="shared" ref="AI144" si="51">V144</f>
        <v>-100</v>
      </c>
      <c r="AJ144" s="287">
        <f t="shared" ref="AJ144" si="52">W144</f>
        <v>-200</v>
      </c>
      <c r="AK144" s="287">
        <f t="shared" ref="AK144" si="53">X144</f>
        <v>-300</v>
      </c>
      <c r="AL144" s="287">
        <f t="shared" ref="AL144" si="54">Y144</f>
        <v>-400</v>
      </c>
      <c r="AM144" s="288">
        <f t="shared" ref="AM144" si="55">Z144</f>
        <v>-500</v>
      </c>
    </row>
    <row r="145" spans="2:39">
      <c r="B145" s="282" t="str">
        <f>'EUR Swap PVs'!M77</f>
        <v>2Y</v>
      </c>
      <c r="C145" s="278">
        <f ca="1">'EUR Swap PVs'!N77</f>
        <v>-101953.21509841588</v>
      </c>
      <c r="D145" s="278">
        <f ca="1">'EUR Swap PVs'!O77</f>
        <v>-81562.572078732701</v>
      </c>
      <c r="E145" s="278">
        <f ca="1">'EUR Swap PVs'!P77</f>
        <v>-61171.929059049529</v>
      </c>
      <c r="F145" s="278">
        <f ca="1">'EUR Swap PVs'!Q77</f>
        <v>-40781.286039366358</v>
      </c>
      <c r="G145" s="278">
        <f ca="1">'EUR Swap PVs'!R77</f>
        <v>-20390.643019683172</v>
      </c>
      <c r="H145" s="278">
        <f ca="1">'EUR Swap PVs'!S77</f>
        <v>0</v>
      </c>
      <c r="I145" s="278">
        <f ca="1">'EUR Swap PVs'!T77</f>
        <v>20390.643019683172</v>
      </c>
      <c r="J145" s="278">
        <f ca="1">'EUR Swap PVs'!U77</f>
        <v>40781.28603936635</v>
      </c>
      <c r="K145" s="278">
        <f ca="1">'EUR Swap PVs'!V77</f>
        <v>61171.929059049529</v>
      </c>
      <c r="L145" s="278">
        <f ca="1">'EUR Swap PVs'!W77</f>
        <v>81562.572078732701</v>
      </c>
      <c r="M145" s="279">
        <f ca="1">'EUR Swap PVs'!X77</f>
        <v>101953.21509841588</v>
      </c>
      <c r="O145" s="282" t="s">
        <v>42</v>
      </c>
      <c r="P145" s="278">
        <v>-101953.21509841588</v>
      </c>
      <c r="Q145" s="278">
        <v>-81562.572078732701</v>
      </c>
      <c r="R145" s="278">
        <v>-61171.929059049529</v>
      </c>
      <c r="S145" s="278">
        <v>-40781.286039366358</v>
      </c>
      <c r="T145" s="278">
        <v>-20390.643019683172</v>
      </c>
      <c r="U145" s="278">
        <v>0</v>
      </c>
      <c r="V145" s="278">
        <v>20390.643019683172</v>
      </c>
      <c r="W145" s="278">
        <v>40781.28603936635</v>
      </c>
      <c r="X145" s="278">
        <v>61171.929059049529</v>
      </c>
      <c r="Y145" s="278">
        <v>81562.572078732701</v>
      </c>
      <c r="Z145" s="279">
        <v>101953.21509841588</v>
      </c>
      <c r="AB145" s="282" t="str">
        <f t="shared" ref="AB145:AB163" si="56">O145</f>
        <v>2Y</v>
      </c>
      <c r="AC145" s="278">
        <f ca="1">IF(ABS(P145-C145)&gt;SnapshotTolerance,1,0)</f>
        <v>0</v>
      </c>
      <c r="AD145" s="278">
        <f ca="1">IF(ABS(Q145-D145)&gt;SnapshotTolerance,1,0)</f>
        <v>0</v>
      </c>
      <c r="AE145" s="278">
        <f ca="1">IF(ABS(R145-E145)&gt;SnapshotTolerance,1,0)</f>
        <v>0</v>
      </c>
      <c r="AF145" s="278">
        <f ca="1">IF(ABS(S145-F145)&gt;SnapshotTolerance,1,0)</f>
        <v>0</v>
      </c>
      <c r="AG145" s="278">
        <f ca="1">IF(ABS(T145-G145)&gt;SnapshotTolerance,1,0)</f>
        <v>0</v>
      </c>
      <c r="AH145" s="278">
        <f ca="1">IF(ABS(U145-H145)&gt;SnapshotTolerance,1,0)</f>
        <v>0</v>
      </c>
      <c r="AI145" s="278">
        <f ca="1">IF(ABS(V145-I145)&gt;SnapshotTolerance,1,0)</f>
        <v>0</v>
      </c>
      <c r="AJ145" s="278">
        <f ca="1">IF(ABS(W145-J145)&gt;SnapshotTolerance,1,0)</f>
        <v>0</v>
      </c>
      <c r="AK145" s="278">
        <f ca="1">IF(ABS(X145-K145)&gt;SnapshotTolerance,1,0)</f>
        <v>0</v>
      </c>
      <c r="AL145" s="278">
        <f ca="1">IF(ABS(Y145-L145)&gt;SnapshotTolerance,1,0)</f>
        <v>0</v>
      </c>
      <c r="AM145" s="279">
        <f ca="1">IF(ABS(Z145-M145)&gt;SnapshotTolerance,1,0)</f>
        <v>0</v>
      </c>
    </row>
    <row r="146" spans="2:39">
      <c r="B146" s="282" t="str">
        <f>'EUR Swap PVs'!M78</f>
        <v>3Y</v>
      </c>
      <c r="C146" s="278">
        <f ca="1">'EUR Swap PVs'!N78</f>
        <v>-152542.46364885772</v>
      </c>
      <c r="D146" s="278">
        <f ca="1">'EUR Swap PVs'!O78</f>
        <v>-122033.97091908618</v>
      </c>
      <c r="E146" s="278">
        <f ca="1">'EUR Swap PVs'!P78</f>
        <v>-91525.478189314628</v>
      </c>
      <c r="F146" s="278">
        <f ca="1">'EUR Swap PVs'!Q78</f>
        <v>-61016.985459543095</v>
      </c>
      <c r="G146" s="278">
        <f ca="1">'EUR Swap PVs'!R78</f>
        <v>-30508.492729771533</v>
      </c>
      <c r="H146" s="278">
        <f ca="1">'EUR Swap PVs'!S78</f>
        <v>8.6736173798840355E-13</v>
      </c>
      <c r="I146" s="278">
        <f ca="1">'EUR Swap PVs'!T78</f>
        <v>30508.49272977154</v>
      </c>
      <c r="J146" s="278">
        <f ca="1">'EUR Swap PVs'!U78</f>
        <v>61016.985459543088</v>
      </c>
      <c r="K146" s="278">
        <f ca="1">'EUR Swap PVs'!V78</f>
        <v>91525.478189314628</v>
      </c>
      <c r="L146" s="278">
        <f ca="1">'EUR Swap PVs'!W78</f>
        <v>122033.97091908618</v>
      </c>
      <c r="M146" s="279">
        <f ca="1">'EUR Swap PVs'!X78</f>
        <v>152542.46364885769</v>
      </c>
      <c r="O146" s="282" t="s">
        <v>39</v>
      </c>
      <c r="P146" s="278">
        <v>-152542.46364885772</v>
      </c>
      <c r="Q146" s="278">
        <v>-122033.97091908618</v>
      </c>
      <c r="R146" s="278">
        <v>-91525.478189314628</v>
      </c>
      <c r="S146" s="278">
        <v>-61016.985459543095</v>
      </c>
      <c r="T146" s="278">
        <v>-30508.492729771533</v>
      </c>
      <c r="U146" s="278">
        <v>8.6736173798840355E-13</v>
      </c>
      <c r="V146" s="278">
        <v>30508.49272977154</v>
      </c>
      <c r="W146" s="278">
        <v>61016.985459543088</v>
      </c>
      <c r="X146" s="278">
        <v>91525.478189314628</v>
      </c>
      <c r="Y146" s="278">
        <v>122033.97091908618</v>
      </c>
      <c r="Z146" s="279">
        <v>152542.46364885769</v>
      </c>
      <c r="AB146" s="282" t="str">
        <f t="shared" si="56"/>
        <v>3Y</v>
      </c>
      <c r="AC146" s="278">
        <f ca="1">IF(ABS(P146-C146)&gt;SnapshotTolerance,1,0)</f>
        <v>0</v>
      </c>
      <c r="AD146" s="278">
        <f ca="1">IF(ABS(Q146-D146)&gt;SnapshotTolerance,1,0)</f>
        <v>0</v>
      </c>
      <c r="AE146" s="278">
        <f ca="1">IF(ABS(R146-E146)&gt;SnapshotTolerance,1,0)</f>
        <v>0</v>
      </c>
      <c r="AF146" s="278">
        <f ca="1">IF(ABS(S146-F146)&gt;SnapshotTolerance,1,0)</f>
        <v>0</v>
      </c>
      <c r="AG146" s="278">
        <f ca="1">IF(ABS(T146-G146)&gt;SnapshotTolerance,1,0)</f>
        <v>0</v>
      </c>
      <c r="AH146" s="278">
        <f ca="1">IF(ABS(U146-H146)&gt;SnapshotTolerance,1,0)</f>
        <v>0</v>
      </c>
      <c r="AI146" s="278">
        <f ca="1">IF(ABS(V146-I146)&gt;SnapshotTolerance,1,0)</f>
        <v>0</v>
      </c>
      <c r="AJ146" s="278">
        <f ca="1">IF(ABS(W146-J146)&gt;SnapshotTolerance,1,0)</f>
        <v>0</v>
      </c>
      <c r="AK146" s="278">
        <f ca="1">IF(ABS(X146-K146)&gt;SnapshotTolerance,1,0)</f>
        <v>0</v>
      </c>
      <c r="AL146" s="278">
        <f ca="1">IF(ABS(Y146-L146)&gt;SnapshotTolerance,1,0)</f>
        <v>0</v>
      </c>
      <c r="AM146" s="279">
        <f ca="1">IF(ABS(Z146-M146)&gt;SnapshotTolerance,1,0)</f>
        <v>0</v>
      </c>
    </row>
    <row r="147" spans="2:39">
      <c r="B147" s="282" t="str">
        <f>'EUR Swap PVs'!M79</f>
        <v>4Y</v>
      </c>
      <c r="C147" s="278">
        <f ca="1">'EUR Swap PVs'!N79</f>
        <v>-202890.72538400179</v>
      </c>
      <c r="D147" s="278">
        <f ca="1">'EUR Swap PVs'!O79</f>
        <v>-162312.58030720145</v>
      </c>
      <c r="E147" s="278">
        <f ca="1">'EUR Swap PVs'!P79</f>
        <v>-121734.43523040108</v>
      </c>
      <c r="F147" s="278">
        <f ca="1">'EUR Swap PVs'!Q79</f>
        <v>-81156.290153600741</v>
      </c>
      <c r="G147" s="278">
        <f ca="1">'EUR Swap PVs'!R79</f>
        <v>-40578.145076800356</v>
      </c>
      <c r="H147" s="278">
        <f ca="1">'EUR Swap PVs'!S79</f>
        <v>0</v>
      </c>
      <c r="I147" s="278">
        <f ca="1">'EUR Swap PVs'!T79</f>
        <v>40578.145076800356</v>
      </c>
      <c r="J147" s="278">
        <f ca="1">'EUR Swap PVs'!U79</f>
        <v>81156.290153600727</v>
      </c>
      <c r="K147" s="278">
        <f ca="1">'EUR Swap PVs'!V79</f>
        <v>121734.43523040108</v>
      </c>
      <c r="L147" s="278">
        <f ca="1">'EUR Swap PVs'!W79</f>
        <v>162312.58030720145</v>
      </c>
      <c r="M147" s="279">
        <f ca="1">'EUR Swap PVs'!X79</f>
        <v>202890.72538400182</v>
      </c>
      <c r="O147" s="282" t="s">
        <v>35</v>
      </c>
      <c r="P147" s="278">
        <v>-202890.72538400179</v>
      </c>
      <c r="Q147" s="278">
        <v>-162312.58030720145</v>
      </c>
      <c r="R147" s="278">
        <v>-121734.43523040108</v>
      </c>
      <c r="S147" s="278">
        <v>-81156.290153600741</v>
      </c>
      <c r="T147" s="278">
        <v>-40578.145076800356</v>
      </c>
      <c r="U147" s="278">
        <v>0</v>
      </c>
      <c r="V147" s="278">
        <v>40578.145076800356</v>
      </c>
      <c r="W147" s="278">
        <v>81156.290153600727</v>
      </c>
      <c r="X147" s="278">
        <v>121734.43523040108</v>
      </c>
      <c r="Y147" s="278">
        <v>162312.58030720145</v>
      </c>
      <c r="Z147" s="279">
        <v>202890.72538400182</v>
      </c>
      <c r="AB147" s="282" t="str">
        <f t="shared" si="56"/>
        <v>4Y</v>
      </c>
      <c r="AC147" s="278">
        <f ca="1">IF(ABS(P147-C147)&gt;SnapshotTolerance,1,0)</f>
        <v>0</v>
      </c>
      <c r="AD147" s="278">
        <f ca="1">IF(ABS(Q147-D147)&gt;SnapshotTolerance,1,0)</f>
        <v>0</v>
      </c>
      <c r="AE147" s="278">
        <f ca="1">IF(ABS(R147-E147)&gt;SnapshotTolerance,1,0)</f>
        <v>0</v>
      </c>
      <c r="AF147" s="278">
        <f ca="1">IF(ABS(S147-F147)&gt;SnapshotTolerance,1,0)</f>
        <v>0</v>
      </c>
      <c r="AG147" s="278">
        <f ca="1">IF(ABS(T147-G147)&gt;SnapshotTolerance,1,0)</f>
        <v>0</v>
      </c>
      <c r="AH147" s="278">
        <f ca="1">IF(ABS(U147-H147)&gt;SnapshotTolerance,1,0)</f>
        <v>0</v>
      </c>
      <c r="AI147" s="278">
        <f ca="1">IF(ABS(V147-I147)&gt;SnapshotTolerance,1,0)</f>
        <v>0</v>
      </c>
      <c r="AJ147" s="278">
        <f ca="1">IF(ABS(W147-J147)&gt;SnapshotTolerance,1,0)</f>
        <v>0</v>
      </c>
      <c r="AK147" s="278">
        <f ca="1">IF(ABS(X147-K147)&gt;SnapshotTolerance,1,0)</f>
        <v>0</v>
      </c>
      <c r="AL147" s="278">
        <f ca="1">IF(ABS(Y147-L147)&gt;SnapshotTolerance,1,0)</f>
        <v>0</v>
      </c>
      <c r="AM147" s="279">
        <f ca="1">IF(ABS(Z147-M147)&gt;SnapshotTolerance,1,0)</f>
        <v>0</v>
      </c>
    </row>
    <row r="148" spans="2:39">
      <c r="B148" s="282" t="str">
        <f>'EUR Swap PVs'!M80</f>
        <v>5Y</v>
      </c>
      <c r="C148" s="278">
        <f ca="1">'EUR Swap PVs'!N80</f>
        <v>-253069.5285075022</v>
      </c>
      <c r="D148" s="278">
        <f ca="1">'EUR Swap PVs'!O80</f>
        <v>-202455.6228060018</v>
      </c>
      <c r="E148" s="278">
        <f ca="1">'EUR Swap PVs'!P80</f>
        <v>-151841.71710450135</v>
      </c>
      <c r="F148" s="278">
        <f ca="1">'EUR Swap PVs'!Q80</f>
        <v>-101227.81140300092</v>
      </c>
      <c r="G148" s="278">
        <f ca="1">'EUR Swap PVs'!R80</f>
        <v>-50613.905701500429</v>
      </c>
      <c r="H148" s="278">
        <f ca="1">'EUR Swap PVs'!S80</f>
        <v>0</v>
      </c>
      <c r="I148" s="278">
        <f ca="1">'EUR Swap PVs'!T80</f>
        <v>50613.905701500444</v>
      </c>
      <c r="J148" s="278">
        <f ca="1">'EUR Swap PVs'!U80</f>
        <v>101227.81140300089</v>
      </c>
      <c r="K148" s="278">
        <f ca="1">'EUR Swap PVs'!V80</f>
        <v>151841.71710450135</v>
      </c>
      <c r="L148" s="278">
        <f ca="1">'EUR Swap PVs'!W80</f>
        <v>202455.62280600177</v>
      </c>
      <c r="M148" s="279">
        <f ca="1">'EUR Swap PVs'!X80</f>
        <v>253069.5285075022</v>
      </c>
      <c r="O148" s="282" t="s">
        <v>33</v>
      </c>
      <c r="P148" s="278">
        <v>-253069.5285075022</v>
      </c>
      <c r="Q148" s="278">
        <v>-202455.6228060018</v>
      </c>
      <c r="R148" s="278">
        <v>-151841.71710450135</v>
      </c>
      <c r="S148" s="278">
        <v>-101227.81140300092</v>
      </c>
      <c r="T148" s="278">
        <v>-50613.905701500429</v>
      </c>
      <c r="U148" s="278">
        <v>0</v>
      </c>
      <c r="V148" s="278">
        <v>50613.905701500444</v>
      </c>
      <c r="W148" s="278">
        <v>101227.81140300089</v>
      </c>
      <c r="X148" s="278">
        <v>151841.71710450135</v>
      </c>
      <c r="Y148" s="278">
        <v>202455.62280600177</v>
      </c>
      <c r="Z148" s="279">
        <v>253069.5285075022</v>
      </c>
      <c r="AB148" s="282" t="str">
        <f t="shared" si="56"/>
        <v>5Y</v>
      </c>
      <c r="AC148" s="278">
        <f ca="1">IF(ABS(P148-C148)&gt;SnapshotTolerance,1,0)</f>
        <v>0</v>
      </c>
      <c r="AD148" s="278">
        <f ca="1">IF(ABS(Q148-D148)&gt;SnapshotTolerance,1,0)</f>
        <v>0</v>
      </c>
      <c r="AE148" s="278">
        <f ca="1">IF(ABS(R148-E148)&gt;SnapshotTolerance,1,0)</f>
        <v>0</v>
      </c>
      <c r="AF148" s="278">
        <f ca="1">IF(ABS(S148-F148)&gt;SnapshotTolerance,1,0)</f>
        <v>0</v>
      </c>
      <c r="AG148" s="278">
        <f ca="1">IF(ABS(T148-G148)&gt;SnapshotTolerance,1,0)</f>
        <v>0</v>
      </c>
      <c r="AH148" s="278">
        <f ca="1">IF(ABS(U148-H148)&gt;SnapshotTolerance,1,0)</f>
        <v>0</v>
      </c>
      <c r="AI148" s="278">
        <f ca="1">IF(ABS(V148-I148)&gt;SnapshotTolerance,1,0)</f>
        <v>0</v>
      </c>
      <c r="AJ148" s="278">
        <f ca="1">IF(ABS(W148-J148)&gt;SnapshotTolerance,1,0)</f>
        <v>0</v>
      </c>
      <c r="AK148" s="278">
        <f ca="1">IF(ABS(X148-K148)&gt;SnapshotTolerance,1,0)</f>
        <v>0</v>
      </c>
      <c r="AL148" s="278">
        <f ca="1">IF(ABS(Y148-L148)&gt;SnapshotTolerance,1,0)</f>
        <v>0</v>
      </c>
      <c r="AM148" s="279">
        <f ca="1">IF(ABS(Z148-M148)&gt;SnapshotTolerance,1,0)</f>
        <v>0</v>
      </c>
    </row>
    <row r="149" spans="2:39">
      <c r="B149" s="282" t="str">
        <f>'EUR Swap PVs'!M81</f>
        <v>6Y</v>
      </c>
      <c r="C149" s="278">
        <f ca="1">'EUR Swap PVs'!N81</f>
        <v>-302490.7129720439</v>
      </c>
      <c r="D149" s="278">
        <f ca="1">'EUR Swap PVs'!O81</f>
        <v>-241992.57037763516</v>
      </c>
      <c r="E149" s="278">
        <f ca="1">'EUR Swap PVs'!P81</f>
        <v>-181494.42778322636</v>
      </c>
      <c r="F149" s="278">
        <f ca="1">'EUR Swap PVs'!Q81</f>
        <v>-120996.28518881758</v>
      </c>
      <c r="G149" s="278">
        <f ca="1">'EUR Swap PVs'!R81</f>
        <v>-60498.142594408746</v>
      </c>
      <c r="H149" s="278">
        <f ca="1">'EUR Swap PVs'!S81</f>
        <v>0</v>
      </c>
      <c r="I149" s="278">
        <f ca="1">'EUR Swap PVs'!T81</f>
        <v>60498.142594408768</v>
      </c>
      <c r="J149" s="278">
        <f ca="1">'EUR Swap PVs'!U81</f>
        <v>120996.28518881754</v>
      </c>
      <c r="K149" s="278">
        <f ca="1">'EUR Swap PVs'!V81</f>
        <v>181494.42778322633</v>
      </c>
      <c r="L149" s="278">
        <f ca="1">'EUR Swap PVs'!W81</f>
        <v>241992.57037763507</v>
      </c>
      <c r="M149" s="279">
        <f ca="1">'EUR Swap PVs'!X81</f>
        <v>302490.7129720439</v>
      </c>
      <c r="O149" s="282" t="s">
        <v>131</v>
      </c>
      <c r="P149" s="278">
        <v>-302490.7129720439</v>
      </c>
      <c r="Q149" s="278">
        <v>-241992.57037763516</v>
      </c>
      <c r="R149" s="278">
        <v>-181494.42778322636</v>
      </c>
      <c r="S149" s="278">
        <v>-120996.28518881758</v>
      </c>
      <c r="T149" s="278">
        <v>-60498.142594408746</v>
      </c>
      <c r="U149" s="278">
        <v>0</v>
      </c>
      <c r="V149" s="278">
        <v>60498.142594408768</v>
      </c>
      <c r="W149" s="278">
        <v>120996.28518881754</v>
      </c>
      <c r="X149" s="278">
        <v>181494.42778322633</v>
      </c>
      <c r="Y149" s="278">
        <v>241992.57037763507</v>
      </c>
      <c r="Z149" s="279">
        <v>302490.7129720439</v>
      </c>
      <c r="AB149" s="282" t="str">
        <f t="shared" si="56"/>
        <v>6Y</v>
      </c>
      <c r="AC149" s="278">
        <f ca="1">IF(ABS(P149-C149)&gt;SnapshotTolerance,1,0)</f>
        <v>0</v>
      </c>
      <c r="AD149" s="278">
        <f ca="1">IF(ABS(Q149-D149)&gt;SnapshotTolerance,1,0)</f>
        <v>0</v>
      </c>
      <c r="AE149" s="278">
        <f ca="1">IF(ABS(R149-E149)&gt;SnapshotTolerance,1,0)</f>
        <v>0</v>
      </c>
      <c r="AF149" s="278">
        <f ca="1">IF(ABS(S149-F149)&gt;SnapshotTolerance,1,0)</f>
        <v>0</v>
      </c>
      <c r="AG149" s="278">
        <f ca="1">IF(ABS(T149-G149)&gt;SnapshotTolerance,1,0)</f>
        <v>0</v>
      </c>
      <c r="AH149" s="278">
        <f ca="1">IF(ABS(U149-H149)&gt;SnapshotTolerance,1,0)</f>
        <v>0</v>
      </c>
      <c r="AI149" s="278">
        <f ca="1">IF(ABS(V149-I149)&gt;SnapshotTolerance,1,0)</f>
        <v>0</v>
      </c>
      <c r="AJ149" s="278">
        <f ca="1">IF(ABS(W149-J149)&gt;SnapshotTolerance,1,0)</f>
        <v>0</v>
      </c>
      <c r="AK149" s="278">
        <f ca="1">IF(ABS(X149-K149)&gt;SnapshotTolerance,1,0)</f>
        <v>0</v>
      </c>
      <c r="AL149" s="278">
        <f ca="1">IF(ABS(Y149-L149)&gt;SnapshotTolerance,1,0)</f>
        <v>0</v>
      </c>
      <c r="AM149" s="279">
        <f ca="1">IF(ABS(Z149-M149)&gt;SnapshotTolerance,1,0)</f>
        <v>0</v>
      </c>
    </row>
    <row r="150" spans="2:39">
      <c r="B150" s="282" t="str">
        <f>'EUR Swap PVs'!M82</f>
        <v>7Y</v>
      </c>
      <c r="C150" s="278">
        <f ca="1">'EUR Swap PVs'!N82</f>
        <v>-351141.27427565056</v>
      </c>
      <c r="D150" s="278">
        <f ca="1">'EUR Swap PVs'!O82</f>
        <v>-280913.01942052058</v>
      </c>
      <c r="E150" s="278">
        <f ca="1">'EUR Swap PVs'!P82</f>
        <v>-210684.76456539039</v>
      </c>
      <c r="F150" s="278">
        <f ca="1">'EUR Swap PVs'!Q82</f>
        <v>-140456.50971026029</v>
      </c>
      <c r="G150" s="278">
        <f ca="1">'EUR Swap PVs'!R82</f>
        <v>-70228.254855130101</v>
      </c>
      <c r="H150" s="278">
        <f ca="1">'EUR Swap PVs'!S82</f>
        <v>-6.9388939039072284E-12</v>
      </c>
      <c r="I150" s="278">
        <f ca="1">'EUR Swap PVs'!T82</f>
        <v>70228.254855130115</v>
      </c>
      <c r="J150" s="278">
        <f ca="1">'EUR Swap PVs'!U82</f>
        <v>140456.50971026023</v>
      </c>
      <c r="K150" s="278">
        <f ca="1">'EUR Swap PVs'!V82</f>
        <v>210684.76456539033</v>
      </c>
      <c r="L150" s="278">
        <f ca="1">'EUR Swap PVs'!W82</f>
        <v>280913.01942052046</v>
      </c>
      <c r="M150" s="279">
        <f ca="1">'EUR Swap PVs'!X82</f>
        <v>351141.27427565062</v>
      </c>
      <c r="O150" s="282" t="s">
        <v>31</v>
      </c>
      <c r="P150" s="278">
        <v>-351141.27427565056</v>
      </c>
      <c r="Q150" s="278">
        <v>-280913.01942052058</v>
      </c>
      <c r="R150" s="278">
        <v>-210684.76456539039</v>
      </c>
      <c r="S150" s="278">
        <v>-140456.50971026029</v>
      </c>
      <c r="T150" s="278">
        <v>-70228.254855130101</v>
      </c>
      <c r="U150" s="278">
        <v>-6.9388939039072284E-12</v>
      </c>
      <c r="V150" s="278">
        <v>70228.254855130115</v>
      </c>
      <c r="W150" s="278">
        <v>140456.50971026023</v>
      </c>
      <c r="X150" s="278">
        <v>210684.76456539033</v>
      </c>
      <c r="Y150" s="278">
        <v>280913.01942052046</v>
      </c>
      <c r="Z150" s="279">
        <v>351141.27427565062</v>
      </c>
      <c r="AB150" s="282" t="str">
        <f t="shared" si="56"/>
        <v>7Y</v>
      </c>
      <c r="AC150" s="278">
        <f ca="1">IF(ABS(P150-C150)&gt;SnapshotTolerance,1,0)</f>
        <v>0</v>
      </c>
      <c r="AD150" s="278">
        <f ca="1">IF(ABS(Q150-D150)&gt;SnapshotTolerance,1,0)</f>
        <v>0</v>
      </c>
      <c r="AE150" s="278">
        <f ca="1">IF(ABS(R150-E150)&gt;SnapshotTolerance,1,0)</f>
        <v>0</v>
      </c>
      <c r="AF150" s="278">
        <f ca="1">IF(ABS(S150-F150)&gt;SnapshotTolerance,1,0)</f>
        <v>0</v>
      </c>
      <c r="AG150" s="278">
        <f ca="1">IF(ABS(T150-G150)&gt;SnapshotTolerance,1,0)</f>
        <v>0</v>
      </c>
      <c r="AH150" s="278">
        <f ca="1">IF(ABS(U150-H150)&gt;SnapshotTolerance,1,0)</f>
        <v>0</v>
      </c>
      <c r="AI150" s="278">
        <f ca="1">IF(ABS(V150-I150)&gt;SnapshotTolerance,1,0)</f>
        <v>0</v>
      </c>
      <c r="AJ150" s="278">
        <f ca="1">IF(ABS(W150-J150)&gt;SnapshotTolerance,1,0)</f>
        <v>0</v>
      </c>
      <c r="AK150" s="278">
        <f ca="1">IF(ABS(X150-K150)&gt;SnapshotTolerance,1,0)</f>
        <v>0</v>
      </c>
      <c r="AL150" s="278">
        <f ca="1">IF(ABS(Y150-L150)&gt;SnapshotTolerance,1,0)</f>
        <v>0</v>
      </c>
      <c r="AM150" s="279">
        <f ca="1">IF(ABS(Z150-M150)&gt;SnapshotTolerance,1,0)</f>
        <v>0</v>
      </c>
    </row>
    <row r="151" spans="2:39">
      <c r="B151" s="282" t="str">
        <f>'EUR Swap PVs'!M83</f>
        <v>8Y</v>
      </c>
      <c r="C151" s="278">
        <f ca="1">'EUR Swap PVs'!N83</f>
        <v>-399166.62011515006</v>
      </c>
      <c r="D151" s="278">
        <f ca="1">'EUR Swap PVs'!O83</f>
        <v>-319333.29609212012</v>
      </c>
      <c r="E151" s="278">
        <f ca="1">'EUR Swap PVs'!P83</f>
        <v>-239499.97206909009</v>
      </c>
      <c r="F151" s="278">
        <f ca="1">'EUR Swap PVs'!Q83</f>
        <v>-159666.64804606006</v>
      </c>
      <c r="G151" s="278">
        <f ca="1">'EUR Swap PVs'!R83</f>
        <v>-79833.324023029971</v>
      </c>
      <c r="H151" s="278">
        <f ca="1">'EUR Swap PVs'!S83</f>
        <v>0</v>
      </c>
      <c r="I151" s="278">
        <f ca="1">'EUR Swap PVs'!T83</f>
        <v>79833.32402303</v>
      </c>
      <c r="J151" s="278">
        <f ca="1">'EUR Swap PVs'!U83</f>
        <v>159666.64804606</v>
      </c>
      <c r="K151" s="278">
        <f ca="1">'EUR Swap PVs'!V83</f>
        <v>239499.97206909006</v>
      </c>
      <c r="L151" s="278">
        <f ca="1">'EUR Swap PVs'!W83</f>
        <v>319333.29609212</v>
      </c>
      <c r="M151" s="279">
        <f ca="1">'EUR Swap PVs'!X83</f>
        <v>399166.62011515006</v>
      </c>
      <c r="O151" s="282" t="s">
        <v>119</v>
      </c>
      <c r="P151" s="278">
        <v>-399166.62011515006</v>
      </c>
      <c r="Q151" s="278">
        <v>-319333.29609212012</v>
      </c>
      <c r="R151" s="278">
        <v>-239499.97206909009</v>
      </c>
      <c r="S151" s="278">
        <v>-159666.64804606006</v>
      </c>
      <c r="T151" s="278">
        <v>-79833.324023029971</v>
      </c>
      <c r="U151" s="278">
        <v>0</v>
      </c>
      <c r="V151" s="278">
        <v>79833.32402303</v>
      </c>
      <c r="W151" s="278">
        <v>159666.64804606</v>
      </c>
      <c r="X151" s="278">
        <v>239499.97206909006</v>
      </c>
      <c r="Y151" s="278">
        <v>319333.29609212</v>
      </c>
      <c r="Z151" s="279">
        <v>399166.62011515006</v>
      </c>
      <c r="AB151" s="282" t="str">
        <f t="shared" si="56"/>
        <v>8Y</v>
      </c>
      <c r="AC151" s="278">
        <f ca="1">IF(ABS(P151-C151)&gt;SnapshotTolerance,1,0)</f>
        <v>0</v>
      </c>
      <c r="AD151" s="278">
        <f ca="1">IF(ABS(Q151-D151)&gt;SnapshotTolerance,1,0)</f>
        <v>0</v>
      </c>
      <c r="AE151" s="278">
        <f ca="1">IF(ABS(R151-E151)&gt;SnapshotTolerance,1,0)</f>
        <v>0</v>
      </c>
      <c r="AF151" s="278">
        <f ca="1">IF(ABS(S151-F151)&gt;SnapshotTolerance,1,0)</f>
        <v>0</v>
      </c>
      <c r="AG151" s="278">
        <f ca="1">IF(ABS(T151-G151)&gt;SnapshotTolerance,1,0)</f>
        <v>0</v>
      </c>
      <c r="AH151" s="278">
        <f ca="1">IF(ABS(U151-H151)&gt;SnapshotTolerance,1,0)</f>
        <v>0</v>
      </c>
      <c r="AI151" s="278">
        <f ca="1">IF(ABS(V151-I151)&gt;SnapshotTolerance,1,0)</f>
        <v>0</v>
      </c>
      <c r="AJ151" s="278">
        <f ca="1">IF(ABS(W151-J151)&gt;SnapshotTolerance,1,0)</f>
        <v>0</v>
      </c>
      <c r="AK151" s="278">
        <f ca="1">IF(ABS(X151-K151)&gt;SnapshotTolerance,1,0)</f>
        <v>0</v>
      </c>
      <c r="AL151" s="278">
        <f ca="1">IF(ABS(Y151-L151)&gt;SnapshotTolerance,1,0)</f>
        <v>0</v>
      </c>
      <c r="AM151" s="279">
        <f ca="1">IF(ABS(Z151-M151)&gt;SnapshotTolerance,1,0)</f>
        <v>0</v>
      </c>
    </row>
    <row r="152" spans="2:39">
      <c r="B152" s="282" t="str">
        <f>'EUR Swap PVs'!M84</f>
        <v>9Y</v>
      </c>
      <c r="C152" s="278">
        <f ca="1">'EUR Swap PVs'!N84</f>
        <v>-445844.23518302286</v>
      </c>
      <c r="D152" s="278">
        <f ca="1">'EUR Swap PVs'!O84</f>
        <v>-356675.38814641844</v>
      </c>
      <c r="E152" s="278">
        <f ca="1">'EUR Swap PVs'!P84</f>
        <v>-267506.54110981378</v>
      </c>
      <c r="F152" s="278">
        <f ca="1">'EUR Swap PVs'!Q84</f>
        <v>-178337.69407320925</v>
      </c>
      <c r="G152" s="278">
        <f ca="1">'EUR Swap PVs'!R84</f>
        <v>-89168.847036604522</v>
      </c>
      <c r="H152" s="278">
        <f ca="1">'EUR Swap PVs'!S84</f>
        <v>1.3877787807814457E-11</v>
      </c>
      <c r="I152" s="278">
        <f ca="1">'EUR Swap PVs'!T84</f>
        <v>89168.847036604609</v>
      </c>
      <c r="J152" s="278">
        <f ca="1">'EUR Swap PVs'!U84</f>
        <v>178337.69407320922</v>
      </c>
      <c r="K152" s="278">
        <f ca="1">'EUR Swap PVs'!V84</f>
        <v>267506.54110981378</v>
      </c>
      <c r="L152" s="278">
        <f ca="1">'EUR Swap PVs'!W84</f>
        <v>356675.38814641844</v>
      </c>
      <c r="M152" s="279">
        <f ca="1">'EUR Swap PVs'!X84</f>
        <v>445844.23518302297</v>
      </c>
      <c r="O152" s="282" t="s">
        <v>113</v>
      </c>
      <c r="P152" s="278">
        <v>-445844.23518302286</v>
      </c>
      <c r="Q152" s="278">
        <v>-356675.38814641844</v>
      </c>
      <c r="R152" s="278">
        <v>-267506.54110981378</v>
      </c>
      <c r="S152" s="278">
        <v>-178337.69407320925</v>
      </c>
      <c r="T152" s="278">
        <v>-89168.847036604522</v>
      </c>
      <c r="U152" s="278">
        <v>1.3877787807814457E-11</v>
      </c>
      <c r="V152" s="278">
        <v>89168.847036604609</v>
      </c>
      <c r="W152" s="278">
        <v>178337.69407320922</v>
      </c>
      <c r="X152" s="278">
        <v>267506.54110981378</v>
      </c>
      <c r="Y152" s="278">
        <v>356675.38814641844</v>
      </c>
      <c r="Z152" s="279">
        <v>445844.23518302297</v>
      </c>
      <c r="AB152" s="282" t="str">
        <f t="shared" si="56"/>
        <v>9Y</v>
      </c>
      <c r="AC152" s="278">
        <f ca="1">IF(ABS(P152-C152)&gt;SnapshotTolerance,1,0)</f>
        <v>0</v>
      </c>
      <c r="AD152" s="278">
        <f ca="1">IF(ABS(Q152-D152)&gt;SnapshotTolerance,1,0)</f>
        <v>0</v>
      </c>
      <c r="AE152" s="278">
        <f ca="1">IF(ABS(R152-E152)&gt;SnapshotTolerance,1,0)</f>
        <v>0</v>
      </c>
      <c r="AF152" s="278">
        <f ca="1">IF(ABS(S152-F152)&gt;SnapshotTolerance,1,0)</f>
        <v>0</v>
      </c>
      <c r="AG152" s="278">
        <f ca="1">IF(ABS(T152-G152)&gt;SnapshotTolerance,1,0)</f>
        <v>0</v>
      </c>
      <c r="AH152" s="278">
        <f ca="1">IF(ABS(U152-H152)&gt;SnapshotTolerance,1,0)</f>
        <v>0</v>
      </c>
      <c r="AI152" s="278">
        <f ca="1">IF(ABS(V152-I152)&gt;SnapshotTolerance,1,0)</f>
        <v>0</v>
      </c>
      <c r="AJ152" s="278">
        <f ca="1">IF(ABS(W152-J152)&gt;SnapshotTolerance,1,0)</f>
        <v>0</v>
      </c>
      <c r="AK152" s="278">
        <f ca="1">IF(ABS(X152-K152)&gt;SnapshotTolerance,1,0)</f>
        <v>0</v>
      </c>
      <c r="AL152" s="278">
        <f ca="1">IF(ABS(Y152-L152)&gt;SnapshotTolerance,1,0)</f>
        <v>0</v>
      </c>
      <c r="AM152" s="279">
        <f ca="1">IF(ABS(Z152-M152)&gt;SnapshotTolerance,1,0)</f>
        <v>0</v>
      </c>
    </row>
    <row r="153" spans="2:39">
      <c r="B153" s="282" t="str">
        <f>'EUR Swap PVs'!M85</f>
        <v>10Y</v>
      </c>
      <c r="C153" s="278">
        <f ca="1">'EUR Swap PVs'!N85</f>
        <v>-491641.46924409922</v>
      </c>
      <c r="D153" s="278">
        <f ca="1">'EUR Swap PVs'!O85</f>
        <v>-393313.17539527954</v>
      </c>
      <c r="E153" s="278">
        <f ca="1">'EUR Swap PVs'!P85</f>
        <v>-294984.88154645957</v>
      </c>
      <c r="F153" s="278">
        <f ca="1">'EUR Swap PVs'!Q85</f>
        <v>-196656.58769763977</v>
      </c>
      <c r="G153" s="278">
        <f ca="1">'EUR Swap PVs'!R85</f>
        <v>-98328.293848819783</v>
      </c>
      <c r="H153" s="278">
        <f ca="1">'EUR Swap PVs'!S85</f>
        <v>0</v>
      </c>
      <c r="I153" s="278">
        <f ca="1">'EUR Swap PVs'!T85</f>
        <v>98328.293848819856</v>
      </c>
      <c r="J153" s="278">
        <f ca="1">'EUR Swap PVs'!U85</f>
        <v>196656.58769763971</v>
      </c>
      <c r="K153" s="278">
        <f ca="1">'EUR Swap PVs'!V85</f>
        <v>294984.88154645963</v>
      </c>
      <c r="L153" s="278">
        <f ca="1">'EUR Swap PVs'!W85</f>
        <v>393313.17539527948</v>
      </c>
      <c r="M153" s="279">
        <f ca="1">'EUR Swap PVs'!X85</f>
        <v>491641.46924409934</v>
      </c>
      <c r="O153" s="282" t="s">
        <v>28</v>
      </c>
      <c r="P153" s="278">
        <v>-491641.46924409922</v>
      </c>
      <c r="Q153" s="278">
        <v>-393313.17539527954</v>
      </c>
      <c r="R153" s="278">
        <v>-294984.88154645957</v>
      </c>
      <c r="S153" s="278">
        <v>-196656.58769763977</v>
      </c>
      <c r="T153" s="278">
        <v>-98328.293848819783</v>
      </c>
      <c r="U153" s="278">
        <v>0</v>
      </c>
      <c r="V153" s="278">
        <v>98328.293848819856</v>
      </c>
      <c r="W153" s="278">
        <v>196656.58769763971</v>
      </c>
      <c r="X153" s="278">
        <v>294984.88154645963</v>
      </c>
      <c r="Y153" s="278">
        <v>393313.17539527948</v>
      </c>
      <c r="Z153" s="279">
        <v>491641.46924409934</v>
      </c>
      <c r="AB153" s="282" t="str">
        <f t="shared" si="56"/>
        <v>10Y</v>
      </c>
      <c r="AC153" s="278">
        <f ca="1">IF(ABS(P153-C153)&gt;SnapshotTolerance,1,0)</f>
        <v>0</v>
      </c>
      <c r="AD153" s="278">
        <f ca="1">IF(ABS(Q153-D153)&gt;SnapshotTolerance,1,0)</f>
        <v>0</v>
      </c>
      <c r="AE153" s="278">
        <f ca="1">IF(ABS(R153-E153)&gt;SnapshotTolerance,1,0)</f>
        <v>0</v>
      </c>
      <c r="AF153" s="278">
        <f ca="1">IF(ABS(S153-F153)&gt;SnapshotTolerance,1,0)</f>
        <v>0</v>
      </c>
      <c r="AG153" s="278">
        <f ca="1">IF(ABS(T153-G153)&gt;SnapshotTolerance,1,0)</f>
        <v>0</v>
      </c>
      <c r="AH153" s="278">
        <f ca="1">IF(ABS(U153-H153)&gt;SnapshotTolerance,1,0)</f>
        <v>0</v>
      </c>
      <c r="AI153" s="278">
        <f ca="1">IF(ABS(V153-I153)&gt;SnapshotTolerance,1,0)</f>
        <v>0</v>
      </c>
      <c r="AJ153" s="278">
        <f ca="1">IF(ABS(W153-J153)&gt;SnapshotTolerance,1,0)</f>
        <v>0</v>
      </c>
      <c r="AK153" s="278">
        <f ca="1">IF(ABS(X153-K153)&gt;SnapshotTolerance,1,0)</f>
        <v>0</v>
      </c>
      <c r="AL153" s="278">
        <f ca="1">IF(ABS(Y153-L153)&gt;SnapshotTolerance,1,0)</f>
        <v>0</v>
      </c>
      <c r="AM153" s="279">
        <f ca="1">IF(ABS(Z153-M153)&gt;SnapshotTolerance,1,0)</f>
        <v>0</v>
      </c>
    </row>
    <row r="154" spans="2:39">
      <c r="B154" s="282" t="str">
        <f>'EUR Swap PVs'!M86</f>
        <v>11Y</v>
      </c>
      <c r="C154" s="278">
        <f ca="1">'EUR Swap PVs'!N86</f>
        <v>-536403.6230546463</v>
      </c>
      <c r="D154" s="278">
        <f ca="1">'EUR Swap PVs'!O86</f>
        <v>-429122.89844371722</v>
      </c>
      <c r="E154" s="278">
        <f ca="1">'EUR Swap PVs'!P86</f>
        <v>-321842.17383278778</v>
      </c>
      <c r="F154" s="278">
        <f ca="1">'EUR Swap PVs'!Q86</f>
        <v>-214561.44922185864</v>
      </c>
      <c r="G154" s="278">
        <f ca="1">'EUR Swap PVs'!R86</f>
        <v>-107280.72461092922</v>
      </c>
      <c r="H154" s="278">
        <f ca="1">'EUR Swap PVs'!S86</f>
        <v>0</v>
      </c>
      <c r="I154" s="278">
        <f ca="1">'EUR Swap PVs'!T86</f>
        <v>107280.72461092929</v>
      </c>
      <c r="J154" s="278">
        <f ca="1">'EUR Swap PVs'!U86</f>
        <v>214561.44922185855</v>
      </c>
      <c r="K154" s="278">
        <f ca="1">'EUR Swap PVs'!V86</f>
        <v>321842.17383278784</v>
      </c>
      <c r="L154" s="278">
        <f ca="1">'EUR Swap PVs'!W86</f>
        <v>429122.8984437171</v>
      </c>
      <c r="M154" s="279">
        <f ca="1">'EUR Swap PVs'!X86</f>
        <v>536403.62305464642</v>
      </c>
      <c r="O154" s="282" t="s">
        <v>366</v>
      </c>
      <c r="P154" s="278">
        <v>-536403.6230546463</v>
      </c>
      <c r="Q154" s="278">
        <v>-429122.89844371722</v>
      </c>
      <c r="R154" s="278">
        <v>-321842.17383278778</v>
      </c>
      <c r="S154" s="278">
        <v>-214561.44922185864</v>
      </c>
      <c r="T154" s="278">
        <v>-107280.72461092922</v>
      </c>
      <c r="U154" s="278">
        <v>0</v>
      </c>
      <c r="V154" s="278">
        <v>107280.72461092929</v>
      </c>
      <c r="W154" s="278">
        <v>214561.44922185855</v>
      </c>
      <c r="X154" s="278">
        <v>321842.17383278784</v>
      </c>
      <c r="Y154" s="278">
        <v>429122.8984437171</v>
      </c>
      <c r="Z154" s="279">
        <v>536403.62305464642</v>
      </c>
      <c r="AB154" s="282" t="str">
        <f t="shared" si="56"/>
        <v>11Y</v>
      </c>
      <c r="AC154" s="278">
        <f ca="1">IF(ABS(P154-C154)&gt;SnapshotTolerance,1,0)</f>
        <v>0</v>
      </c>
      <c r="AD154" s="278">
        <f ca="1">IF(ABS(Q154-D154)&gt;SnapshotTolerance,1,0)</f>
        <v>0</v>
      </c>
      <c r="AE154" s="278">
        <f ca="1">IF(ABS(R154-E154)&gt;SnapshotTolerance,1,0)</f>
        <v>0</v>
      </c>
      <c r="AF154" s="278">
        <f ca="1">IF(ABS(S154-F154)&gt;SnapshotTolerance,1,0)</f>
        <v>0</v>
      </c>
      <c r="AG154" s="278">
        <f ca="1">IF(ABS(T154-G154)&gt;SnapshotTolerance,1,0)</f>
        <v>0</v>
      </c>
      <c r="AH154" s="278">
        <f ca="1">IF(ABS(U154-H154)&gt;SnapshotTolerance,1,0)</f>
        <v>0</v>
      </c>
      <c r="AI154" s="278">
        <f ca="1">IF(ABS(V154-I154)&gt;SnapshotTolerance,1,0)</f>
        <v>0</v>
      </c>
      <c r="AJ154" s="278">
        <f ca="1">IF(ABS(W154-J154)&gt;SnapshotTolerance,1,0)</f>
        <v>0</v>
      </c>
      <c r="AK154" s="278">
        <f ca="1">IF(ABS(X154-K154)&gt;SnapshotTolerance,1,0)</f>
        <v>0</v>
      </c>
      <c r="AL154" s="278">
        <f ca="1">IF(ABS(Y154-L154)&gt;SnapshotTolerance,1,0)</f>
        <v>0</v>
      </c>
      <c r="AM154" s="279">
        <f ca="1">IF(ABS(Z154-M154)&gt;SnapshotTolerance,1,0)</f>
        <v>0</v>
      </c>
    </row>
    <row r="155" spans="2:39">
      <c r="B155" s="282" t="str">
        <f>'EUR Swap PVs'!M87</f>
        <v>12Y</v>
      </c>
      <c r="C155" s="278">
        <f ca="1">'EUR Swap PVs'!N87</f>
        <v>-580132.46295708523</v>
      </c>
      <c r="D155" s="278">
        <f ca="1">'EUR Swap PVs'!O87</f>
        <v>-464105.97036566836</v>
      </c>
      <c r="E155" s="278">
        <f ca="1">'EUR Swap PVs'!P87</f>
        <v>-348079.47777425119</v>
      </c>
      <c r="F155" s="278">
        <f ca="1">'EUR Swap PVs'!Q87</f>
        <v>-232052.98518283424</v>
      </c>
      <c r="G155" s="278">
        <f ca="1">'EUR Swap PVs'!R87</f>
        <v>-116026.49259141706</v>
      </c>
      <c r="H155" s="278">
        <f ca="1">'EUR Swap PVs'!S87</f>
        <v>0</v>
      </c>
      <c r="I155" s="278">
        <f ca="1">'EUR Swap PVs'!T87</f>
        <v>116026.49259141709</v>
      </c>
      <c r="J155" s="278">
        <f ca="1">'EUR Swap PVs'!U87</f>
        <v>232052.98518283418</v>
      </c>
      <c r="K155" s="278">
        <f ca="1">'EUR Swap PVs'!V87</f>
        <v>348079.47777425125</v>
      </c>
      <c r="L155" s="278">
        <f ca="1">'EUR Swap PVs'!W87</f>
        <v>464105.9703656683</v>
      </c>
      <c r="M155" s="279">
        <f ca="1">'EUR Swap PVs'!X87</f>
        <v>580132.46295708546</v>
      </c>
      <c r="O155" s="282" t="s">
        <v>26</v>
      </c>
      <c r="P155" s="278">
        <v>-580132.46295708523</v>
      </c>
      <c r="Q155" s="278">
        <v>-464105.97036566836</v>
      </c>
      <c r="R155" s="278">
        <v>-348079.47777425119</v>
      </c>
      <c r="S155" s="278">
        <v>-232052.98518283424</v>
      </c>
      <c r="T155" s="278">
        <v>-116026.49259141706</v>
      </c>
      <c r="U155" s="278">
        <v>0</v>
      </c>
      <c r="V155" s="278">
        <v>116026.49259141709</v>
      </c>
      <c r="W155" s="278">
        <v>232052.98518283418</v>
      </c>
      <c r="X155" s="278">
        <v>348079.47777425125</v>
      </c>
      <c r="Y155" s="278">
        <v>464105.9703656683</v>
      </c>
      <c r="Z155" s="279">
        <v>580132.46295708546</v>
      </c>
      <c r="AB155" s="282" t="str">
        <f t="shared" si="56"/>
        <v>12Y</v>
      </c>
      <c r="AC155" s="278">
        <f ca="1">IF(ABS(P155-C155)&gt;SnapshotTolerance,1,0)</f>
        <v>0</v>
      </c>
      <c r="AD155" s="278">
        <f ca="1">IF(ABS(Q155-D155)&gt;SnapshotTolerance,1,0)</f>
        <v>0</v>
      </c>
      <c r="AE155" s="278">
        <f ca="1">IF(ABS(R155-E155)&gt;SnapshotTolerance,1,0)</f>
        <v>0</v>
      </c>
      <c r="AF155" s="278">
        <f ca="1">IF(ABS(S155-F155)&gt;SnapshotTolerance,1,0)</f>
        <v>0</v>
      </c>
      <c r="AG155" s="278">
        <f ca="1">IF(ABS(T155-G155)&gt;SnapshotTolerance,1,0)</f>
        <v>0</v>
      </c>
      <c r="AH155" s="278">
        <f ca="1">IF(ABS(U155-H155)&gt;SnapshotTolerance,1,0)</f>
        <v>0</v>
      </c>
      <c r="AI155" s="278">
        <f ca="1">IF(ABS(V155-I155)&gt;SnapshotTolerance,1,0)</f>
        <v>0</v>
      </c>
      <c r="AJ155" s="278">
        <f ca="1">IF(ABS(W155-J155)&gt;SnapshotTolerance,1,0)</f>
        <v>0</v>
      </c>
      <c r="AK155" s="278">
        <f ca="1">IF(ABS(X155-K155)&gt;SnapshotTolerance,1,0)</f>
        <v>0</v>
      </c>
      <c r="AL155" s="278">
        <f ca="1">IF(ABS(Y155-L155)&gt;SnapshotTolerance,1,0)</f>
        <v>0</v>
      </c>
      <c r="AM155" s="279">
        <f ca="1">IF(ABS(Z155-M155)&gt;SnapshotTolerance,1,0)</f>
        <v>0</v>
      </c>
    </row>
    <row r="156" spans="2:39">
      <c r="B156" s="282" t="str">
        <f>'EUR Swap PVs'!M88</f>
        <v>15Y</v>
      </c>
      <c r="C156" s="278">
        <f ca="1">'EUR Swap PVs'!N88</f>
        <v>-705375.04990592063</v>
      </c>
      <c r="D156" s="278">
        <f ca="1">'EUR Swap PVs'!O88</f>
        <v>-564300.03992473683</v>
      </c>
      <c r="E156" s="278">
        <f ca="1">'EUR Swap PVs'!P88</f>
        <v>-423225.02994355239</v>
      </c>
      <c r="F156" s="278">
        <f ca="1">'EUR Swap PVs'!Q88</f>
        <v>-282150.01996236842</v>
      </c>
      <c r="G156" s="278">
        <f ca="1">'EUR Swap PVs'!R88</f>
        <v>-141075.00998118412</v>
      </c>
      <c r="H156" s="278">
        <f ca="1">'EUR Swap PVs'!S88</f>
        <v>0</v>
      </c>
      <c r="I156" s="278">
        <f ca="1">'EUR Swap PVs'!T88</f>
        <v>141075.00998118421</v>
      </c>
      <c r="J156" s="278">
        <f ca="1">'EUR Swap PVs'!U88</f>
        <v>282150.01996236836</v>
      </c>
      <c r="K156" s="278">
        <f ca="1">'EUR Swap PVs'!V88</f>
        <v>423225.02994355262</v>
      </c>
      <c r="L156" s="278">
        <f ca="1">'EUR Swap PVs'!W88</f>
        <v>564300.0399247366</v>
      </c>
      <c r="M156" s="279">
        <f ca="1">'EUR Swap PVs'!X88</f>
        <v>705375.04990592098</v>
      </c>
      <c r="O156" s="282" t="s">
        <v>24</v>
      </c>
      <c r="P156" s="278">
        <v>-705375.04990592063</v>
      </c>
      <c r="Q156" s="278">
        <v>-564300.03992473683</v>
      </c>
      <c r="R156" s="278">
        <v>-423225.02994355239</v>
      </c>
      <c r="S156" s="278">
        <v>-282150.01996236842</v>
      </c>
      <c r="T156" s="278">
        <v>-141075.00998118412</v>
      </c>
      <c r="U156" s="278">
        <v>0</v>
      </c>
      <c r="V156" s="278">
        <v>141075.00998118421</v>
      </c>
      <c r="W156" s="278">
        <v>282150.01996236836</v>
      </c>
      <c r="X156" s="278">
        <v>423225.02994355262</v>
      </c>
      <c r="Y156" s="278">
        <v>564300.0399247366</v>
      </c>
      <c r="Z156" s="279">
        <v>705375.04990592098</v>
      </c>
      <c r="AB156" s="282" t="str">
        <f t="shared" si="56"/>
        <v>15Y</v>
      </c>
      <c r="AC156" s="278">
        <f ca="1">IF(ABS(P156-C156)&gt;SnapshotTolerance,1,0)</f>
        <v>0</v>
      </c>
      <c r="AD156" s="278">
        <f ca="1">IF(ABS(Q156-D156)&gt;SnapshotTolerance,1,0)</f>
        <v>0</v>
      </c>
      <c r="AE156" s="278">
        <f ca="1">IF(ABS(R156-E156)&gt;SnapshotTolerance,1,0)</f>
        <v>0</v>
      </c>
      <c r="AF156" s="278">
        <f ca="1">IF(ABS(S156-F156)&gt;SnapshotTolerance,1,0)</f>
        <v>0</v>
      </c>
      <c r="AG156" s="278">
        <f ca="1">IF(ABS(T156-G156)&gt;SnapshotTolerance,1,0)</f>
        <v>0</v>
      </c>
      <c r="AH156" s="278">
        <f ca="1">IF(ABS(U156-H156)&gt;SnapshotTolerance,1,0)</f>
        <v>0</v>
      </c>
      <c r="AI156" s="278">
        <f ca="1">IF(ABS(V156-I156)&gt;SnapshotTolerance,1,0)</f>
        <v>0</v>
      </c>
      <c r="AJ156" s="278">
        <f ca="1">IF(ABS(W156-J156)&gt;SnapshotTolerance,1,0)</f>
        <v>0</v>
      </c>
      <c r="AK156" s="278">
        <f ca="1">IF(ABS(X156-K156)&gt;SnapshotTolerance,1,0)</f>
        <v>0</v>
      </c>
      <c r="AL156" s="278">
        <f ca="1">IF(ABS(Y156-L156)&gt;SnapshotTolerance,1,0)</f>
        <v>0</v>
      </c>
      <c r="AM156" s="279">
        <f ca="1">IF(ABS(Z156-M156)&gt;SnapshotTolerance,1,0)</f>
        <v>0</v>
      </c>
    </row>
    <row r="157" spans="2:39">
      <c r="B157" s="282" t="str">
        <f>'EUR Swap PVs'!M89</f>
        <v>20Y</v>
      </c>
      <c r="C157" s="278">
        <f ca="1">'EUR Swap PVs'!N89</f>
        <v>-895612.9666641826</v>
      </c>
      <c r="D157" s="278">
        <f ca="1">'EUR Swap PVs'!O89</f>
        <v>-716490.37333134655</v>
      </c>
      <c r="E157" s="278">
        <f ca="1">'EUR Swap PVs'!P89</f>
        <v>-537367.77999850968</v>
      </c>
      <c r="F157" s="278">
        <f ca="1">'EUR Swap PVs'!Q89</f>
        <v>-358245.18666567316</v>
      </c>
      <c r="G157" s="278">
        <f ca="1">'EUR Swap PVs'!R89</f>
        <v>-179122.59333283652</v>
      </c>
      <c r="H157" s="278">
        <f ca="1">'EUR Swap PVs'!S89</f>
        <v>0</v>
      </c>
      <c r="I157" s="278">
        <f ca="1">'EUR Swap PVs'!T89</f>
        <v>179122.5933328367</v>
      </c>
      <c r="J157" s="278">
        <f ca="1">'EUR Swap PVs'!U89</f>
        <v>358245.18666567327</v>
      </c>
      <c r="K157" s="278">
        <f ca="1">'EUR Swap PVs'!V89</f>
        <v>537367.77999850991</v>
      </c>
      <c r="L157" s="278">
        <f ca="1">'EUR Swap PVs'!W89</f>
        <v>716490.37333134632</v>
      </c>
      <c r="M157" s="279">
        <f ca="1">'EUR Swap PVs'!X89</f>
        <v>895612.96666418319</v>
      </c>
      <c r="O157" s="282" t="s">
        <v>20</v>
      </c>
      <c r="P157" s="278">
        <v>-895612.9666641826</v>
      </c>
      <c r="Q157" s="278">
        <v>-716490.37333134655</v>
      </c>
      <c r="R157" s="278">
        <v>-537367.77999850968</v>
      </c>
      <c r="S157" s="278">
        <v>-358245.18666567316</v>
      </c>
      <c r="T157" s="278">
        <v>-179122.59333283652</v>
      </c>
      <c r="U157" s="278">
        <v>0</v>
      </c>
      <c r="V157" s="278">
        <v>179122.5933328367</v>
      </c>
      <c r="W157" s="278">
        <v>358245.18666567327</v>
      </c>
      <c r="X157" s="278">
        <v>537367.77999850991</v>
      </c>
      <c r="Y157" s="278">
        <v>716490.37333134632</v>
      </c>
      <c r="Z157" s="279">
        <v>895612.96666418319</v>
      </c>
      <c r="AB157" s="282" t="str">
        <f t="shared" si="56"/>
        <v>20Y</v>
      </c>
      <c r="AC157" s="278">
        <f ca="1">IF(ABS(P157-C157)&gt;SnapshotTolerance,1,0)</f>
        <v>0</v>
      </c>
      <c r="AD157" s="278">
        <f ca="1">IF(ABS(Q157-D157)&gt;SnapshotTolerance,1,0)</f>
        <v>0</v>
      </c>
      <c r="AE157" s="278">
        <f ca="1">IF(ABS(R157-E157)&gt;SnapshotTolerance,1,0)</f>
        <v>0</v>
      </c>
      <c r="AF157" s="278">
        <f ca="1">IF(ABS(S157-F157)&gt;SnapshotTolerance,1,0)</f>
        <v>0</v>
      </c>
      <c r="AG157" s="278">
        <f ca="1">IF(ABS(T157-G157)&gt;SnapshotTolerance,1,0)</f>
        <v>0</v>
      </c>
      <c r="AH157" s="278">
        <f ca="1">IF(ABS(U157-H157)&gt;SnapshotTolerance,1,0)</f>
        <v>0</v>
      </c>
      <c r="AI157" s="278">
        <f ca="1">IF(ABS(V157-I157)&gt;SnapshotTolerance,1,0)</f>
        <v>0</v>
      </c>
      <c r="AJ157" s="278">
        <f ca="1">IF(ABS(W157-J157)&gt;SnapshotTolerance,1,0)</f>
        <v>0</v>
      </c>
      <c r="AK157" s="278">
        <f ca="1">IF(ABS(X157-K157)&gt;SnapshotTolerance,1,0)</f>
        <v>0</v>
      </c>
      <c r="AL157" s="278">
        <f ca="1">IF(ABS(Y157-L157)&gt;SnapshotTolerance,1,0)</f>
        <v>0</v>
      </c>
      <c r="AM157" s="279">
        <f ca="1">IF(ABS(Z157-M157)&gt;SnapshotTolerance,1,0)</f>
        <v>0</v>
      </c>
    </row>
    <row r="158" spans="2:39">
      <c r="B158" s="282" t="str">
        <f>'EUR Swap PVs'!M90</f>
        <v>25Y</v>
      </c>
      <c r="C158" s="278">
        <f ca="1">'EUR Swap PVs'!N90</f>
        <v>-1067055.5709118785</v>
      </c>
      <c r="D158" s="278">
        <f ca="1">'EUR Swap PVs'!O90</f>
        <v>-853644.45672950312</v>
      </c>
      <c r="E158" s="278">
        <f ca="1">'EUR Swap PVs'!P90</f>
        <v>-640233.34254712728</v>
      </c>
      <c r="F158" s="278">
        <f ca="1">'EUR Swap PVs'!Q90</f>
        <v>-426822.22836475162</v>
      </c>
      <c r="G158" s="278">
        <f ca="1">'EUR Swap PVs'!R90</f>
        <v>-213411.11418237581</v>
      </c>
      <c r="H158" s="278">
        <f ca="1">'EUR Swap PVs'!S90</f>
        <v>0</v>
      </c>
      <c r="I158" s="278">
        <f ca="1">'EUR Swap PVs'!T90</f>
        <v>213411.11418237592</v>
      </c>
      <c r="J158" s="278">
        <f ca="1">'EUR Swap PVs'!U90</f>
        <v>426822.22836475179</v>
      </c>
      <c r="K158" s="278">
        <f ca="1">'EUR Swap PVs'!V90</f>
        <v>640233.34254712763</v>
      </c>
      <c r="L158" s="278">
        <f ca="1">'EUR Swap PVs'!W90</f>
        <v>853644.45672950323</v>
      </c>
      <c r="M158" s="279">
        <f ca="1">'EUR Swap PVs'!X90</f>
        <v>1067055.5709118794</v>
      </c>
      <c r="O158" s="282" t="s">
        <v>18</v>
      </c>
      <c r="P158" s="278">
        <v>-1067055.5709118785</v>
      </c>
      <c r="Q158" s="278">
        <v>-853644.45672950312</v>
      </c>
      <c r="R158" s="278">
        <v>-640233.34254712728</v>
      </c>
      <c r="S158" s="278">
        <v>-426822.22836475162</v>
      </c>
      <c r="T158" s="278">
        <v>-213411.11418237581</v>
      </c>
      <c r="U158" s="278">
        <v>0</v>
      </c>
      <c r="V158" s="278">
        <v>213411.11418237592</v>
      </c>
      <c r="W158" s="278">
        <v>426822.22836475179</v>
      </c>
      <c r="X158" s="278">
        <v>640233.34254712763</v>
      </c>
      <c r="Y158" s="278">
        <v>853644.45672950323</v>
      </c>
      <c r="Z158" s="279">
        <v>1067055.5709118794</v>
      </c>
      <c r="AB158" s="282" t="str">
        <f t="shared" si="56"/>
        <v>25Y</v>
      </c>
      <c r="AC158" s="278">
        <f ca="1">IF(ABS(P158-C158)&gt;SnapshotTolerance,1,0)</f>
        <v>0</v>
      </c>
      <c r="AD158" s="278">
        <f ca="1">IF(ABS(Q158-D158)&gt;SnapshotTolerance,1,0)</f>
        <v>0</v>
      </c>
      <c r="AE158" s="278">
        <f ca="1">IF(ABS(R158-E158)&gt;SnapshotTolerance,1,0)</f>
        <v>0</v>
      </c>
      <c r="AF158" s="278">
        <f ca="1">IF(ABS(S158-F158)&gt;SnapshotTolerance,1,0)</f>
        <v>0</v>
      </c>
      <c r="AG158" s="278">
        <f ca="1">IF(ABS(T158-G158)&gt;SnapshotTolerance,1,0)</f>
        <v>0</v>
      </c>
      <c r="AH158" s="278">
        <f ca="1">IF(ABS(U158-H158)&gt;SnapshotTolerance,1,0)</f>
        <v>0</v>
      </c>
      <c r="AI158" s="278">
        <f ca="1">IF(ABS(V158-I158)&gt;SnapshotTolerance,1,0)</f>
        <v>0</v>
      </c>
      <c r="AJ158" s="278">
        <f ca="1">IF(ABS(W158-J158)&gt;SnapshotTolerance,1,0)</f>
        <v>0</v>
      </c>
      <c r="AK158" s="278">
        <f ca="1">IF(ABS(X158-K158)&gt;SnapshotTolerance,1,0)</f>
        <v>0</v>
      </c>
      <c r="AL158" s="278">
        <f ca="1">IF(ABS(Y158-L158)&gt;SnapshotTolerance,1,0)</f>
        <v>0</v>
      </c>
      <c r="AM158" s="279">
        <f ca="1">IF(ABS(Z158-M158)&gt;SnapshotTolerance,1,0)</f>
        <v>0</v>
      </c>
    </row>
    <row r="159" spans="2:39">
      <c r="B159" s="282" t="str">
        <f>'EUR Swap PVs'!M91</f>
        <v>30Y</v>
      </c>
      <c r="C159" s="278">
        <f ca="1">'EUR Swap PVs'!N91</f>
        <v>-1223051.960409343</v>
      </c>
      <c r="D159" s="278">
        <f ca="1">'EUR Swap PVs'!O91</f>
        <v>-978441.56832747487</v>
      </c>
      <c r="E159" s="278">
        <f ca="1">'EUR Swap PVs'!P91</f>
        <v>-733831.17624560639</v>
      </c>
      <c r="F159" s="278">
        <f ca="1">'EUR Swap PVs'!Q91</f>
        <v>-489220.78416373749</v>
      </c>
      <c r="G159" s="278">
        <f ca="1">'EUR Swap PVs'!R91</f>
        <v>-244610.39208186863</v>
      </c>
      <c r="H159" s="278">
        <f ca="1">'EUR Swap PVs'!S91</f>
        <v>5.5511151231257827E-11</v>
      </c>
      <c r="I159" s="278">
        <f ca="1">'EUR Swap PVs'!T91</f>
        <v>244610.39208186898</v>
      </c>
      <c r="J159" s="278">
        <f ca="1">'EUR Swap PVs'!U91</f>
        <v>489220.78416373784</v>
      </c>
      <c r="K159" s="278">
        <f ca="1">'EUR Swap PVs'!V91</f>
        <v>733831.17624560662</v>
      </c>
      <c r="L159" s="278">
        <f ca="1">'EUR Swap PVs'!W91</f>
        <v>978441.56832747511</v>
      </c>
      <c r="M159" s="279">
        <f ca="1">'EUR Swap PVs'!X91</f>
        <v>1223051.9604093444</v>
      </c>
      <c r="O159" s="282" t="s">
        <v>17</v>
      </c>
      <c r="P159" s="278">
        <v>-1223051.960409343</v>
      </c>
      <c r="Q159" s="278">
        <v>-978441.56832747487</v>
      </c>
      <c r="R159" s="278">
        <v>-733831.17624560639</v>
      </c>
      <c r="S159" s="278">
        <v>-489220.78416373749</v>
      </c>
      <c r="T159" s="278">
        <v>-244610.39208186863</v>
      </c>
      <c r="U159" s="278">
        <v>5.5511151231257827E-11</v>
      </c>
      <c r="V159" s="278">
        <v>244610.39208186898</v>
      </c>
      <c r="W159" s="278">
        <v>489220.78416373784</v>
      </c>
      <c r="X159" s="278">
        <v>733831.17624560662</v>
      </c>
      <c r="Y159" s="278">
        <v>978441.56832747511</v>
      </c>
      <c r="Z159" s="279">
        <v>1223051.9604093444</v>
      </c>
      <c r="AB159" s="282" t="str">
        <f t="shared" si="56"/>
        <v>30Y</v>
      </c>
      <c r="AC159" s="278">
        <f ca="1">IF(ABS(P159-C159)&gt;SnapshotTolerance,1,0)</f>
        <v>0</v>
      </c>
      <c r="AD159" s="278">
        <f ca="1">IF(ABS(Q159-D159)&gt;SnapshotTolerance,1,0)</f>
        <v>0</v>
      </c>
      <c r="AE159" s="278">
        <f ca="1">IF(ABS(R159-E159)&gt;SnapshotTolerance,1,0)</f>
        <v>0</v>
      </c>
      <c r="AF159" s="278">
        <f ca="1">IF(ABS(S159-F159)&gt;SnapshotTolerance,1,0)</f>
        <v>0</v>
      </c>
      <c r="AG159" s="278">
        <f ca="1">IF(ABS(T159-G159)&gt;SnapshotTolerance,1,0)</f>
        <v>0</v>
      </c>
      <c r="AH159" s="278">
        <f ca="1">IF(ABS(U159-H159)&gt;SnapshotTolerance,1,0)</f>
        <v>0</v>
      </c>
      <c r="AI159" s="278">
        <f ca="1">IF(ABS(V159-I159)&gt;SnapshotTolerance,1,0)</f>
        <v>0</v>
      </c>
      <c r="AJ159" s="278">
        <f ca="1">IF(ABS(W159-J159)&gt;SnapshotTolerance,1,0)</f>
        <v>0</v>
      </c>
      <c r="AK159" s="278">
        <f ca="1">IF(ABS(X159-K159)&gt;SnapshotTolerance,1,0)</f>
        <v>0</v>
      </c>
      <c r="AL159" s="278">
        <f ca="1">IF(ABS(Y159-L159)&gt;SnapshotTolerance,1,0)</f>
        <v>0</v>
      </c>
      <c r="AM159" s="279">
        <f ca="1">IF(ABS(Z159-M159)&gt;SnapshotTolerance,1,0)</f>
        <v>0</v>
      </c>
    </row>
    <row r="160" spans="2:39">
      <c r="B160" s="282" t="str">
        <f>'EUR Swap PVs'!M92</f>
        <v>35Y</v>
      </c>
      <c r="C160" s="278">
        <f ca="1">'EUR Swap PVs'!N92</f>
        <v>-1366543.0648706765</v>
      </c>
      <c r="D160" s="278">
        <f ca="1">'EUR Swap PVs'!O92</f>
        <v>-1093234.451896542</v>
      </c>
      <c r="E160" s="278">
        <f ca="1">'EUR Swap PVs'!P92</f>
        <v>-819925.8389224062</v>
      </c>
      <c r="F160" s="278">
        <f ca="1">'EUR Swap PVs'!Q92</f>
        <v>-546617.22594827111</v>
      </c>
      <c r="G160" s="278">
        <f ca="1">'EUR Swap PVs'!R92</f>
        <v>-273308.61297413561</v>
      </c>
      <c r="H160" s="278">
        <f ca="1">'EUR Swap PVs'!S92</f>
        <v>0</v>
      </c>
      <c r="I160" s="278">
        <f ca="1">'EUR Swap PVs'!T92</f>
        <v>273308.61297413555</v>
      </c>
      <c r="J160" s="278">
        <f ca="1">'EUR Swap PVs'!U92</f>
        <v>546617.22594827099</v>
      </c>
      <c r="K160" s="278">
        <f ca="1">'EUR Swap PVs'!V92</f>
        <v>819925.83892240655</v>
      </c>
      <c r="L160" s="278">
        <f ca="1">'EUR Swap PVs'!W92</f>
        <v>1093234.4518965418</v>
      </c>
      <c r="M160" s="279">
        <f ca="1">'EUR Swap PVs'!X92</f>
        <v>1366543.0648706777</v>
      </c>
      <c r="O160" s="282" t="s">
        <v>16</v>
      </c>
      <c r="P160" s="278">
        <v>-1366543.0648706765</v>
      </c>
      <c r="Q160" s="278">
        <v>-1093234.451896542</v>
      </c>
      <c r="R160" s="278">
        <v>-819925.8389224062</v>
      </c>
      <c r="S160" s="278">
        <v>-546617.22594827111</v>
      </c>
      <c r="T160" s="278">
        <v>-273308.61297413561</v>
      </c>
      <c r="U160" s="278">
        <v>0</v>
      </c>
      <c r="V160" s="278">
        <v>273308.61297413555</v>
      </c>
      <c r="W160" s="278">
        <v>546617.22594827099</v>
      </c>
      <c r="X160" s="278">
        <v>819925.83892240655</v>
      </c>
      <c r="Y160" s="278">
        <v>1093234.4518965418</v>
      </c>
      <c r="Z160" s="279">
        <v>1366543.0648706777</v>
      </c>
      <c r="AB160" s="282" t="str">
        <f t="shared" si="56"/>
        <v>35Y</v>
      </c>
      <c r="AC160" s="278">
        <f ca="1">IF(ABS(P160-C160)&gt;SnapshotTolerance,1,0)</f>
        <v>0</v>
      </c>
      <c r="AD160" s="278">
        <f ca="1">IF(ABS(Q160-D160)&gt;SnapshotTolerance,1,0)</f>
        <v>0</v>
      </c>
      <c r="AE160" s="278">
        <f ca="1">IF(ABS(R160-E160)&gt;SnapshotTolerance,1,0)</f>
        <v>0</v>
      </c>
      <c r="AF160" s="278">
        <f ca="1">IF(ABS(S160-F160)&gt;SnapshotTolerance,1,0)</f>
        <v>0</v>
      </c>
      <c r="AG160" s="278">
        <f ca="1">IF(ABS(T160-G160)&gt;SnapshotTolerance,1,0)</f>
        <v>0</v>
      </c>
      <c r="AH160" s="278">
        <f ca="1">IF(ABS(U160-H160)&gt;SnapshotTolerance,1,0)</f>
        <v>0</v>
      </c>
      <c r="AI160" s="278">
        <f ca="1">IF(ABS(V160-I160)&gt;SnapshotTolerance,1,0)</f>
        <v>0</v>
      </c>
      <c r="AJ160" s="278">
        <f ca="1">IF(ABS(W160-J160)&gt;SnapshotTolerance,1,0)</f>
        <v>0</v>
      </c>
      <c r="AK160" s="278">
        <f ca="1">IF(ABS(X160-K160)&gt;SnapshotTolerance,1,0)</f>
        <v>0</v>
      </c>
      <c r="AL160" s="278">
        <f ca="1">IF(ABS(Y160-L160)&gt;SnapshotTolerance,1,0)</f>
        <v>0</v>
      </c>
      <c r="AM160" s="279">
        <f ca="1">IF(ABS(Z160-M160)&gt;SnapshotTolerance,1,0)</f>
        <v>0</v>
      </c>
    </row>
    <row r="161" spans="2:39">
      <c r="B161" s="282" t="str">
        <f>'EUR Swap PVs'!M93</f>
        <v>40Y</v>
      </c>
      <c r="C161" s="278">
        <f ca="1">'EUR Swap PVs'!N93</f>
        <v>-1499145.7303461705</v>
      </c>
      <c r="D161" s="278">
        <f ca="1">'EUR Swap PVs'!O93</f>
        <v>-1199316.5842769372</v>
      </c>
      <c r="E161" s="278">
        <f ca="1">'EUR Swap PVs'!P93</f>
        <v>-899487.43820770283</v>
      </c>
      <c r="F161" s="278">
        <f ca="1">'EUR Swap PVs'!Q93</f>
        <v>-599658.29213846894</v>
      </c>
      <c r="G161" s="278">
        <f ca="1">'EUR Swap PVs'!R93</f>
        <v>-299829.14606923447</v>
      </c>
      <c r="H161" s="278">
        <f ca="1">'EUR Swap PVs'!S93</f>
        <v>0</v>
      </c>
      <c r="I161" s="278">
        <f ca="1">'EUR Swap PVs'!T93</f>
        <v>299829.1460692343</v>
      </c>
      <c r="J161" s="278">
        <f ca="1">'EUR Swap PVs'!U93</f>
        <v>599658.29213846847</v>
      </c>
      <c r="K161" s="278">
        <f ca="1">'EUR Swap PVs'!V93</f>
        <v>899487.43820770271</v>
      </c>
      <c r="L161" s="278">
        <f ca="1">'EUR Swap PVs'!W93</f>
        <v>1199316.5842769367</v>
      </c>
      <c r="M161" s="279">
        <f ca="1">'EUR Swap PVs'!X93</f>
        <v>1499145.7303461712</v>
      </c>
      <c r="O161" s="282" t="s">
        <v>15</v>
      </c>
      <c r="P161" s="278">
        <v>-1499145.7303461705</v>
      </c>
      <c r="Q161" s="278">
        <v>-1199316.5842769372</v>
      </c>
      <c r="R161" s="278">
        <v>-899487.43820770283</v>
      </c>
      <c r="S161" s="278">
        <v>-599658.29213846894</v>
      </c>
      <c r="T161" s="278">
        <v>-299829.14606923447</v>
      </c>
      <c r="U161" s="278">
        <v>0</v>
      </c>
      <c r="V161" s="278">
        <v>299829.1460692343</v>
      </c>
      <c r="W161" s="278">
        <v>599658.29213846847</v>
      </c>
      <c r="X161" s="278">
        <v>899487.43820770271</v>
      </c>
      <c r="Y161" s="278">
        <v>1199316.5842769367</v>
      </c>
      <c r="Z161" s="279">
        <v>1499145.7303461712</v>
      </c>
      <c r="AB161" s="282" t="str">
        <f t="shared" si="56"/>
        <v>40Y</v>
      </c>
      <c r="AC161" s="278">
        <f ca="1">IF(ABS(P161-C161)&gt;SnapshotTolerance,1,0)</f>
        <v>0</v>
      </c>
      <c r="AD161" s="278">
        <f ca="1">IF(ABS(Q161-D161)&gt;SnapshotTolerance,1,0)</f>
        <v>0</v>
      </c>
      <c r="AE161" s="278">
        <f ca="1">IF(ABS(R161-E161)&gt;SnapshotTolerance,1,0)</f>
        <v>0</v>
      </c>
      <c r="AF161" s="278">
        <f ca="1">IF(ABS(S161-F161)&gt;SnapshotTolerance,1,0)</f>
        <v>0</v>
      </c>
      <c r="AG161" s="278">
        <f ca="1">IF(ABS(T161-G161)&gt;SnapshotTolerance,1,0)</f>
        <v>0</v>
      </c>
      <c r="AH161" s="278">
        <f ca="1">IF(ABS(U161-H161)&gt;SnapshotTolerance,1,0)</f>
        <v>0</v>
      </c>
      <c r="AI161" s="278">
        <f ca="1">IF(ABS(V161-I161)&gt;SnapshotTolerance,1,0)</f>
        <v>0</v>
      </c>
      <c r="AJ161" s="278">
        <f ca="1">IF(ABS(W161-J161)&gt;SnapshotTolerance,1,0)</f>
        <v>0</v>
      </c>
      <c r="AK161" s="278">
        <f ca="1">IF(ABS(X161-K161)&gt;SnapshotTolerance,1,0)</f>
        <v>0</v>
      </c>
      <c r="AL161" s="278">
        <f ca="1">IF(ABS(Y161-L161)&gt;SnapshotTolerance,1,0)</f>
        <v>0</v>
      </c>
      <c r="AM161" s="279">
        <f ca="1">IF(ABS(Z161-M161)&gt;SnapshotTolerance,1,0)</f>
        <v>0</v>
      </c>
    </row>
    <row r="162" spans="2:39">
      <c r="B162" s="282" t="str">
        <f>'EUR Swap PVs'!M94</f>
        <v>45Y</v>
      </c>
      <c r="C162" s="278">
        <f ca="1">'EUR Swap PVs'!N94</f>
        <v>-1620154.4699725835</v>
      </c>
      <c r="D162" s="278">
        <f ca="1">'EUR Swap PVs'!O94</f>
        <v>-1296123.5759780677</v>
      </c>
      <c r="E162" s="278">
        <f ca="1">'EUR Swap PVs'!P94</f>
        <v>-972092.68198355101</v>
      </c>
      <c r="F162" s="278">
        <f ca="1">'EUR Swap PVs'!Q94</f>
        <v>-648061.78798903432</v>
      </c>
      <c r="G162" s="278">
        <f ca="1">'EUR Swap PVs'!R94</f>
        <v>-324030.89399451733</v>
      </c>
      <c r="H162" s="278">
        <f ca="1">'EUR Swap PVs'!S94</f>
        <v>0</v>
      </c>
      <c r="I162" s="278">
        <f ca="1">'EUR Swap PVs'!T94</f>
        <v>324030.89399451693</v>
      </c>
      <c r="J162" s="278">
        <f ca="1">'EUR Swap PVs'!U94</f>
        <v>648061.78798903385</v>
      </c>
      <c r="K162" s="278">
        <f ca="1">'EUR Swap PVs'!V94</f>
        <v>972092.68198355066</v>
      </c>
      <c r="L162" s="278">
        <f ca="1">'EUR Swap PVs'!W94</f>
        <v>1296123.5759780677</v>
      </c>
      <c r="M162" s="279">
        <f ca="1">'EUR Swap PVs'!X94</f>
        <v>1620154.4699725846</v>
      </c>
      <c r="O162" s="282" t="s">
        <v>368</v>
      </c>
      <c r="P162" s="278">
        <v>-1620154.4699725835</v>
      </c>
      <c r="Q162" s="278">
        <v>-1296123.5759780677</v>
      </c>
      <c r="R162" s="278">
        <v>-972092.68198355101</v>
      </c>
      <c r="S162" s="278">
        <v>-648061.78798903432</v>
      </c>
      <c r="T162" s="278">
        <v>-324030.89399451733</v>
      </c>
      <c r="U162" s="278">
        <v>0</v>
      </c>
      <c r="V162" s="278">
        <v>324030.89399451693</v>
      </c>
      <c r="W162" s="278">
        <v>648061.78798903385</v>
      </c>
      <c r="X162" s="278">
        <v>972092.68198355066</v>
      </c>
      <c r="Y162" s="278">
        <v>1296123.5759780677</v>
      </c>
      <c r="Z162" s="279">
        <v>1620154.4699725846</v>
      </c>
      <c r="AB162" s="282" t="str">
        <f t="shared" si="56"/>
        <v>45Y</v>
      </c>
      <c r="AC162" s="278">
        <f ca="1">IF(ABS(P162-C162)&gt;SnapshotTolerance,1,0)</f>
        <v>0</v>
      </c>
      <c r="AD162" s="278">
        <f ca="1">IF(ABS(Q162-D162)&gt;SnapshotTolerance,1,0)</f>
        <v>0</v>
      </c>
      <c r="AE162" s="278">
        <f ca="1">IF(ABS(R162-E162)&gt;SnapshotTolerance,1,0)</f>
        <v>0</v>
      </c>
      <c r="AF162" s="278">
        <f ca="1">IF(ABS(S162-F162)&gt;SnapshotTolerance,1,0)</f>
        <v>0</v>
      </c>
      <c r="AG162" s="278">
        <f ca="1">IF(ABS(T162-G162)&gt;SnapshotTolerance,1,0)</f>
        <v>0</v>
      </c>
      <c r="AH162" s="278">
        <f ca="1">IF(ABS(U162-H162)&gt;SnapshotTolerance,1,0)</f>
        <v>0</v>
      </c>
      <c r="AI162" s="278">
        <f ca="1">IF(ABS(V162-I162)&gt;SnapshotTolerance,1,0)</f>
        <v>0</v>
      </c>
      <c r="AJ162" s="278">
        <f ca="1">IF(ABS(W162-J162)&gt;SnapshotTolerance,1,0)</f>
        <v>0</v>
      </c>
      <c r="AK162" s="278">
        <f ca="1">IF(ABS(X162-K162)&gt;SnapshotTolerance,1,0)</f>
        <v>0</v>
      </c>
      <c r="AL162" s="278">
        <f ca="1">IF(ABS(Y162-L162)&gt;SnapshotTolerance,1,0)</f>
        <v>0</v>
      </c>
      <c r="AM162" s="279">
        <f ca="1">IF(ABS(Z162-M162)&gt;SnapshotTolerance,1,0)</f>
        <v>0</v>
      </c>
    </row>
    <row r="163" spans="2:39">
      <c r="B163" s="283" t="str">
        <f>'EUR Swap PVs'!M95</f>
        <v>50Y</v>
      </c>
      <c r="C163" s="280">
        <f ca="1">'EUR Swap PVs'!N95</f>
        <v>-1730741.4546833574</v>
      </c>
      <c r="D163" s="280">
        <f ca="1">'EUR Swap PVs'!O95</f>
        <v>-1384593.1637466867</v>
      </c>
      <c r="E163" s="280">
        <f ca="1">'EUR Swap PVs'!P95</f>
        <v>-1038444.8728100156</v>
      </c>
      <c r="F163" s="280">
        <f ca="1">'EUR Swap PVs'!Q95</f>
        <v>-692296.58187334414</v>
      </c>
      <c r="G163" s="280">
        <f ca="1">'EUR Swap PVs'!R95</f>
        <v>-346148.2909366719</v>
      </c>
      <c r="H163" s="280">
        <f ca="1">'EUR Swap PVs'!S95</f>
        <v>0</v>
      </c>
      <c r="I163" s="280">
        <f ca="1">'EUR Swap PVs'!T95</f>
        <v>346148.29093667178</v>
      </c>
      <c r="J163" s="280">
        <f ca="1">'EUR Swap PVs'!U95</f>
        <v>692296.58187334356</v>
      </c>
      <c r="K163" s="280">
        <f ca="1">'EUR Swap PVs'!V95</f>
        <v>1038444.8728100153</v>
      </c>
      <c r="L163" s="280">
        <f ca="1">'EUR Swap PVs'!W95</f>
        <v>1384593.1637466867</v>
      </c>
      <c r="M163" s="281">
        <f ca="1">'EUR Swap PVs'!X95</f>
        <v>1730741.4546833585</v>
      </c>
      <c r="O163" s="283" t="s">
        <v>14</v>
      </c>
      <c r="P163" s="280">
        <v>-1730741.4546833574</v>
      </c>
      <c r="Q163" s="280">
        <v>-1384593.1637466867</v>
      </c>
      <c r="R163" s="280">
        <v>-1038444.8728100156</v>
      </c>
      <c r="S163" s="280">
        <v>-692296.58187334414</v>
      </c>
      <c r="T163" s="280">
        <v>-346148.2909366719</v>
      </c>
      <c r="U163" s="280">
        <v>0</v>
      </c>
      <c r="V163" s="280">
        <v>346148.29093667178</v>
      </c>
      <c r="W163" s="280">
        <v>692296.58187334356</v>
      </c>
      <c r="X163" s="280">
        <v>1038444.8728100153</v>
      </c>
      <c r="Y163" s="280">
        <v>1384593.1637466867</v>
      </c>
      <c r="Z163" s="281">
        <v>1730741.4546833585</v>
      </c>
      <c r="AB163" s="283" t="str">
        <f t="shared" si="56"/>
        <v>50Y</v>
      </c>
      <c r="AC163" s="280">
        <f ca="1">IF(ABS(P163-C163)&gt;SnapshotTolerance,1,0)</f>
        <v>0</v>
      </c>
      <c r="AD163" s="280">
        <f ca="1">IF(ABS(Q163-D163)&gt;SnapshotTolerance,1,0)</f>
        <v>0</v>
      </c>
      <c r="AE163" s="280">
        <f ca="1">IF(ABS(R163-E163)&gt;SnapshotTolerance,1,0)</f>
        <v>0</v>
      </c>
      <c r="AF163" s="280">
        <f ca="1">IF(ABS(S163-F163)&gt;SnapshotTolerance,1,0)</f>
        <v>0</v>
      </c>
      <c r="AG163" s="280">
        <f ca="1">IF(ABS(T163-G163)&gt;SnapshotTolerance,1,0)</f>
        <v>0</v>
      </c>
      <c r="AH163" s="280">
        <f ca="1">IF(ABS(U163-H163)&gt;SnapshotTolerance,1,0)</f>
        <v>0</v>
      </c>
      <c r="AI163" s="280">
        <f ca="1">IF(ABS(V163-I163)&gt;SnapshotTolerance,1,0)</f>
        <v>0</v>
      </c>
      <c r="AJ163" s="280">
        <f ca="1">IF(ABS(W163-J163)&gt;SnapshotTolerance,1,0)</f>
        <v>0</v>
      </c>
      <c r="AK163" s="280">
        <f ca="1">IF(ABS(X163-K163)&gt;SnapshotTolerance,1,0)</f>
        <v>0</v>
      </c>
      <c r="AL163" s="280">
        <f ca="1">IF(ABS(Y163-L163)&gt;SnapshotTolerance,1,0)</f>
        <v>0</v>
      </c>
      <c r="AM163" s="281">
        <f ca="1">IF(ABS(Z163-M163)&gt;SnapshotTolerance,1,0)</f>
        <v>0</v>
      </c>
    </row>
    <row r="166" spans="2:39">
      <c r="B166" t="s">
        <v>533</v>
      </c>
      <c r="E166" t="s">
        <v>472</v>
      </c>
    </row>
    <row r="167" spans="2:39">
      <c r="B167" t="s">
        <v>528</v>
      </c>
      <c r="E167" s="252">
        <f ca="1">SUM(AC172:AM190)</f>
        <v>0</v>
      </c>
    </row>
    <row r="168" spans="2:39">
      <c r="B168" t="s">
        <v>532</v>
      </c>
    </row>
    <row r="170" spans="2:39">
      <c r="B170" t="s">
        <v>510</v>
      </c>
      <c r="O170" t="s">
        <v>470</v>
      </c>
      <c r="AB170" t="s">
        <v>511</v>
      </c>
    </row>
    <row r="171" spans="2:39">
      <c r="B171" s="254" t="str">
        <f>'EUR Swap PVs'!AG51</f>
        <v>Term</v>
      </c>
      <c r="C171" s="276">
        <f>'EUR Swap PVs'!AH51</f>
        <v>-0.05</v>
      </c>
      <c r="D171" s="276">
        <f>'EUR Swap PVs'!AI51</f>
        <v>-0.04</v>
      </c>
      <c r="E171" s="276">
        <f>'EUR Swap PVs'!AJ51</f>
        <v>-0.03</v>
      </c>
      <c r="F171" s="276">
        <f>'EUR Swap PVs'!AK51</f>
        <v>-1.9999999999999997E-2</v>
      </c>
      <c r="G171" s="276">
        <f>'EUR Swap PVs'!AL51</f>
        <v>-9.9999999999999967E-3</v>
      </c>
      <c r="H171" s="276">
        <f>'EUR Swap PVs'!AM51</f>
        <v>0</v>
      </c>
      <c r="I171" s="276">
        <f>'EUR Swap PVs'!AN51</f>
        <v>0.01</v>
      </c>
      <c r="J171" s="276">
        <f>'EUR Swap PVs'!AO51</f>
        <v>0.02</v>
      </c>
      <c r="K171" s="276">
        <f>'EUR Swap PVs'!AP51</f>
        <v>0.03</v>
      </c>
      <c r="L171" s="276">
        <f>'EUR Swap PVs'!AQ51</f>
        <v>0.04</v>
      </c>
      <c r="M171" s="277">
        <f>'EUR Swap PVs'!AR51</f>
        <v>0.05</v>
      </c>
      <c r="O171" s="254" t="s">
        <v>76</v>
      </c>
      <c r="P171" s="276">
        <v>-0.05</v>
      </c>
      <c r="Q171" s="276">
        <v>-0.04</v>
      </c>
      <c r="R171" s="276">
        <v>-0.03</v>
      </c>
      <c r="S171" s="276">
        <v>-1.9999999999999997E-2</v>
      </c>
      <c r="T171" s="276">
        <v>-9.9999999999999967E-3</v>
      </c>
      <c r="U171" s="276">
        <v>0</v>
      </c>
      <c r="V171" s="276">
        <v>0.01</v>
      </c>
      <c r="W171" s="276">
        <v>0.02</v>
      </c>
      <c r="X171" s="276">
        <v>0.03</v>
      </c>
      <c r="Y171" s="276">
        <v>0.04</v>
      </c>
      <c r="Z171" s="277">
        <v>0.05</v>
      </c>
      <c r="AB171" s="254" t="str">
        <f>O171</f>
        <v>Term</v>
      </c>
      <c r="AC171" s="276">
        <f>P171</f>
        <v>-0.05</v>
      </c>
      <c r="AD171" s="276">
        <f t="shared" ref="AD171" si="57">Q171</f>
        <v>-0.04</v>
      </c>
      <c r="AE171" s="276">
        <f t="shared" ref="AE171" si="58">R171</f>
        <v>-0.03</v>
      </c>
      <c r="AF171" s="276">
        <f t="shared" ref="AF171" si="59">S171</f>
        <v>-1.9999999999999997E-2</v>
      </c>
      <c r="AG171" s="276">
        <f t="shared" ref="AG171" si="60">T171</f>
        <v>-9.9999999999999967E-3</v>
      </c>
      <c r="AH171" s="276">
        <f t="shared" ref="AH171" si="61">U171</f>
        <v>0</v>
      </c>
      <c r="AI171" s="276">
        <f t="shared" ref="AI171" si="62">V171</f>
        <v>0.01</v>
      </c>
      <c r="AJ171" s="276">
        <f t="shared" ref="AJ171" si="63">W171</f>
        <v>0.02</v>
      </c>
      <c r="AK171" s="276">
        <f t="shared" ref="AK171" si="64">X171</f>
        <v>0.03</v>
      </c>
      <c r="AL171" s="276">
        <f t="shared" ref="AL171" si="65">Y171</f>
        <v>0.04</v>
      </c>
      <c r="AM171" s="277">
        <f t="shared" ref="AM171" si="66">Z171</f>
        <v>0.05</v>
      </c>
    </row>
    <row r="172" spans="2:39">
      <c r="B172" s="282" t="str">
        <f>'EUR Swap PVs'!AG52</f>
        <v>2Y</v>
      </c>
      <c r="C172" s="278">
        <f ca="1">'EUR Swap PVs'!AH52</f>
        <v>-100441.45996346937</v>
      </c>
      <c r="D172" s="278">
        <f ca="1">'EUR Swap PVs'!AI52</f>
        <v>-80353.167970775496</v>
      </c>
      <c r="E172" s="278">
        <f ca="1">'EUR Swap PVs'!AJ52</f>
        <v>-60264.875978081611</v>
      </c>
      <c r="F172" s="278">
        <f ca="1">'EUR Swap PVs'!AK52</f>
        <v>-40176.583985387741</v>
      </c>
      <c r="G172" s="278">
        <f ca="1">'EUR Swap PVs'!AL52</f>
        <v>-20088.291992693863</v>
      </c>
      <c r="H172" s="278">
        <f ca="1">'EUR Swap PVs'!AM52</f>
        <v>0</v>
      </c>
      <c r="I172" s="278">
        <f ca="1">'EUR Swap PVs'!AN52</f>
        <v>20088.291992693874</v>
      </c>
      <c r="J172" s="278">
        <f ca="1">'EUR Swap PVs'!AO52</f>
        <v>40176.583985387748</v>
      </c>
      <c r="K172" s="278">
        <f ca="1">'EUR Swap PVs'!AP52</f>
        <v>60264.875978081618</v>
      </c>
      <c r="L172" s="278">
        <f ca="1">'EUR Swap PVs'!AQ52</f>
        <v>80353.167970775481</v>
      </c>
      <c r="M172" s="279">
        <f ca="1">'EUR Swap PVs'!AR52</f>
        <v>100441.45996346936</v>
      </c>
      <c r="O172" s="282" t="s">
        <v>42</v>
      </c>
      <c r="P172" s="278">
        <v>-100441.45996346937</v>
      </c>
      <c r="Q172" s="278">
        <v>-80353.167970775496</v>
      </c>
      <c r="R172" s="278">
        <v>-60264.875978081611</v>
      </c>
      <c r="S172" s="278">
        <v>-40176.583985387741</v>
      </c>
      <c r="T172" s="278">
        <v>-20088.291992693863</v>
      </c>
      <c r="U172" s="278">
        <v>0</v>
      </c>
      <c r="V172" s="278">
        <v>20088.291992693874</v>
      </c>
      <c r="W172" s="278">
        <v>40176.583985387748</v>
      </c>
      <c r="X172" s="278">
        <v>60264.875978081618</v>
      </c>
      <c r="Y172" s="278">
        <v>80353.167970775481</v>
      </c>
      <c r="Z172" s="279">
        <v>100441.45996346936</v>
      </c>
      <c r="AB172" s="282" t="str">
        <f t="shared" ref="AB172:AB190" si="67">O172</f>
        <v>2Y</v>
      </c>
      <c r="AC172" s="278">
        <f ca="1">IF(ABS(P172-C172)&gt;SnapshotTolerance,1,0)</f>
        <v>0</v>
      </c>
      <c r="AD172" s="278">
        <f ca="1">IF(ABS(Q172-D172)&gt;SnapshotTolerance,1,0)</f>
        <v>0</v>
      </c>
      <c r="AE172" s="278">
        <f ca="1">IF(ABS(R172-E172)&gt;SnapshotTolerance,1,0)</f>
        <v>0</v>
      </c>
      <c r="AF172" s="278">
        <f ca="1">IF(ABS(S172-F172)&gt;SnapshotTolerance,1,0)</f>
        <v>0</v>
      </c>
      <c r="AG172" s="278">
        <f ca="1">IF(ABS(T172-G172)&gt;SnapshotTolerance,1,0)</f>
        <v>0</v>
      </c>
      <c r="AH172" s="278">
        <f ca="1">IF(ABS(U172-H172)&gt;SnapshotTolerance,1,0)</f>
        <v>0</v>
      </c>
      <c r="AI172" s="278">
        <f ca="1">IF(ABS(V172-I172)&gt;SnapshotTolerance,1,0)</f>
        <v>0</v>
      </c>
      <c r="AJ172" s="278">
        <f ca="1">IF(ABS(W172-J172)&gt;SnapshotTolerance,1,0)</f>
        <v>0</v>
      </c>
      <c r="AK172" s="278">
        <f ca="1">IF(ABS(X172-K172)&gt;SnapshotTolerance,1,0)</f>
        <v>0</v>
      </c>
      <c r="AL172" s="278">
        <f ca="1">IF(ABS(Y172-L172)&gt;SnapshotTolerance,1,0)</f>
        <v>0</v>
      </c>
      <c r="AM172" s="279">
        <f ca="1">IF(ABS(Z172-M172)&gt;SnapshotTolerance,1,0)</f>
        <v>0</v>
      </c>
    </row>
    <row r="173" spans="2:39">
      <c r="B173" s="282" t="str">
        <f>'EUR Swap PVs'!AG53</f>
        <v>3Y</v>
      </c>
      <c r="C173" s="278">
        <f ca="1">'EUR Swap PVs'!AH53</f>
        <v>-150300.80743458591</v>
      </c>
      <c r="D173" s="278">
        <f ca="1">'EUR Swap PVs'!AI53</f>
        <v>-120240.6459476687</v>
      </c>
      <c r="E173" s="278">
        <f ca="1">'EUR Swap PVs'!AJ53</f>
        <v>-90180.484460751512</v>
      </c>
      <c r="F173" s="278">
        <f ca="1">'EUR Swap PVs'!AK53</f>
        <v>-60120.322973834336</v>
      </c>
      <c r="G173" s="278">
        <f ca="1">'EUR Swap PVs'!AL53</f>
        <v>-30060.161486917164</v>
      </c>
      <c r="H173" s="278">
        <f ca="1">'EUR Swap PVs'!AM53</f>
        <v>0</v>
      </c>
      <c r="I173" s="278">
        <f ca="1">'EUR Swap PVs'!AN53</f>
        <v>30060.161486917179</v>
      </c>
      <c r="J173" s="278">
        <f ca="1">'EUR Swap PVs'!AO53</f>
        <v>60120.322973834351</v>
      </c>
      <c r="K173" s="278">
        <f ca="1">'EUR Swap PVs'!AP53</f>
        <v>90180.484460751512</v>
      </c>
      <c r="L173" s="278">
        <f ca="1">'EUR Swap PVs'!AQ53</f>
        <v>120240.64594766869</v>
      </c>
      <c r="M173" s="279">
        <f ca="1">'EUR Swap PVs'!AR53</f>
        <v>150300.80743458585</v>
      </c>
      <c r="O173" s="282" t="s">
        <v>39</v>
      </c>
      <c r="P173" s="278">
        <v>-150300.80743458591</v>
      </c>
      <c r="Q173" s="278">
        <v>-120240.6459476687</v>
      </c>
      <c r="R173" s="278">
        <v>-90180.484460751512</v>
      </c>
      <c r="S173" s="278">
        <v>-60120.322973834336</v>
      </c>
      <c r="T173" s="278">
        <v>-30060.161486917164</v>
      </c>
      <c r="U173" s="278">
        <v>0</v>
      </c>
      <c r="V173" s="278">
        <v>30060.161486917179</v>
      </c>
      <c r="W173" s="278">
        <v>60120.322973834351</v>
      </c>
      <c r="X173" s="278">
        <v>90180.484460751512</v>
      </c>
      <c r="Y173" s="278">
        <v>120240.64594766869</v>
      </c>
      <c r="Z173" s="279">
        <v>150300.80743458585</v>
      </c>
      <c r="AB173" s="282" t="str">
        <f t="shared" si="67"/>
        <v>3Y</v>
      </c>
      <c r="AC173" s="278">
        <f ca="1">IF(ABS(P173-C173)&gt;SnapshotTolerance,1,0)</f>
        <v>0</v>
      </c>
      <c r="AD173" s="278">
        <f ca="1">IF(ABS(Q173-D173)&gt;SnapshotTolerance,1,0)</f>
        <v>0</v>
      </c>
      <c r="AE173" s="278">
        <f ca="1">IF(ABS(R173-E173)&gt;SnapshotTolerance,1,0)</f>
        <v>0</v>
      </c>
      <c r="AF173" s="278">
        <f ca="1">IF(ABS(S173-F173)&gt;SnapshotTolerance,1,0)</f>
        <v>0</v>
      </c>
      <c r="AG173" s="278">
        <f ca="1">IF(ABS(T173-G173)&gt;SnapshotTolerance,1,0)</f>
        <v>0</v>
      </c>
      <c r="AH173" s="278">
        <f ca="1">IF(ABS(U173-H173)&gt;SnapshotTolerance,1,0)</f>
        <v>0</v>
      </c>
      <c r="AI173" s="278">
        <f ca="1">IF(ABS(V173-I173)&gt;SnapshotTolerance,1,0)</f>
        <v>0</v>
      </c>
      <c r="AJ173" s="278">
        <f ca="1">IF(ABS(W173-J173)&gt;SnapshotTolerance,1,0)</f>
        <v>0</v>
      </c>
      <c r="AK173" s="278">
        <f ca="1">IF(ABS(X173-K173)&gt;SnapshotTolerance,1,0)</f>
        <v>0</v>
      </c>
      <c r="AL173" s="278">
        <f ca="1">IF(ABS(Y173-L173)&gt;SnapshotTolerance,1,0)</f>
        <v>0</v>
      </c>
      <c r="AM173" s="279">
        <f ca="1">IF(ABS(Z173-M173)&gt;SnapshotTolerance,1,0)</f>
        <v>0</v>
      </c>
    </row>
    <row r="174" spans="2:39">
      <c r="B174" s="282" t="str">
        <f>'EUR Swap PVs'!AG54</f>
        <v>4Y</v>
      </c>
      <c r="C174" s="278">
        <f ca="1">'EUR Swap PVs'!AH54</f>
        <v>-199873.1557084099</v>
      </c>
      <c r="D174" s="278">
        <f ca="1">'EUR Swap PVs'!AI54</f>
        <v>-159898.52456672792</v>
      </c>
      <c r="E174" s="278">
        <f ca="1">'EUR Swap PVs'!AJ54</f>
        <v>-119923.89342504593</v>
      </c>
      <c r="F174" s="278">
        <f ca="1">'EUR Swap PVs'!AK54</f>
        <v>-79949.262283363947</v>
      </c>
      <c r="G174" s="278">
        <f ca="1">'EUR Swap PVs'!AL54</f>
        <v>-39974.631141681966</v>
      </c>
      <c r="H174" s="278">
        <f ca="1">'EUR Swap PVs'!AM54</f>
        <v>0</v>
      </c>
      <c r="I174" s="278">
        <f ca="1">'EUR Swap PVs'!AN54</f>
        <v>39974.631141681981</v>
      </c>
      <c r="J174" s="278">
        <f ca="1">'EUR Swap PVs'!AO54</f>
        <v>79949.262283363962</v>
      </c>
      <c r="K174" s="278">
        <f ca="1">'EUR Swap PVs'!AP54</f>
        <v>119923.89342504593</v>
      </c>
      <c r="L174" s="278">
        <f ca="1">'EUR Swap PVs'!AQ54</f>
        <v>159898.52456672789</v>
      </c>
      <c r="M174" s="279">
        <f ca="1">'EUR Swap PVs'!AR54</f>
        <v>199873.15570840987</v>
      </c>
      <c r="O174" s="282" t="s">
        <v>35</v>
      </c>
      <c r="P174" s="278">
        <v>-199873.1557084099</v>
      </c>
      <c r="Q174" s="278">
        <v>-159898.52456672792</v>
      </c>
      <c r="R174" s="278">
        <v>-119923.89342504593</v>
      </c>
      <c r="S174" s="278">
        <v>-79949.262283363947</v>
      </c>
      <c r="T174" s="278">
        <v>-39974.631141681966</v>
      </c>
      <c r="U174" s="278">
        <v>0</v>
      </c>
      <c r="V174" s="278">
        <v>39974.631141681981</v>
      </c>
      <c r="W174" s="278">
        <v>79949.262283363962</v>
      </c>
      <c r="X174" s="278">
        <v>119923.89342504593</v>
      </c>
      <c r="Y174" s="278">
        <v>159898.52456672789</v>
      </c>
      <c r="Z174" s="279">
        <v>199873.15570840987</v>
      </c>
      <c r="AB174" s="282" t="str">
        <f t="shared" si="67"/>
        <v>4Y</v>
      </c>
      <c r="AC174" s="278">
        <f ca="1">IF(ABS(P174-C174)&gt;SnapshotTolerance,1,0)</f>
        <v>0</v>
      </c>
      <c r="AD174" s="278">
        <f ca="1">IF(ABS(Q174-D174)&gt;SnapshotTolerance,1,0)</f>
        <v>0</v>
      </c>
      <c r="AE174" s="278">
        <f ca="1">IF(ABS(R174-E174)&gt;SnapshotTolerance,1,0)</f>
        <v>0</v>
      </c>
      <c r="AF174" s="278">
        <f ca="1">IF(ABS(S174-F174)&gt;SnapshotTolerance,1,0)</f>
        <v>0</v>
      </c>
      <c r="AG174" s="278">
        <f ca="1">IF(ABS(T174-G174)&gt;SnapshotTolerance,1,0)</f>
        <v>0</v>
      </c>
      <c r="AH174" s="278">
        <f ca="1">IF(ABS(U174-H174)&gt;SnapshotTolerance,1,0)</f>
        <v>0</v>
      </c>
      <c r="AI174" s="278">
        <f ca="1">IF(ABS(V174-I174)&gt;SnapshotTolerance,1,0)</f>
        <v>0</v>
      </c>
      <c r="AJ174" s="278">
        <f ca="1">IF(ABS(W174-J174)&gt;SnapshotTolerance,1,0)</f>
        <v>0</v>
      </c>
      <c r="AK174" s="278">
        <f ca="1">IF(ABS(X174-K174)&gt;SnapshotTolerance,1,0)</f>
        <v>0</v>
      </c>
      <c r="AL174" s="278">
        <f ca="1">IF(ABS(Y174-L174)&gt;SnapshotTolerance,1,0)</f>
        <v>0</v>
      </c>
      <c r="AM174" s="279">
        <f ca="1">IF(ABS(Z174-M174)&gt;SnapshotTolerance,1,0)</f>
        <v>0</v>
      </c>
    </row>
    <row r="175" spans="2:39">
      <c r="B175" s="282" t="str">
        <f>'EUR Swap PVs'!AG55</f>
        <v>5Y</v>
      </c>
      <c r="C175" s="278">
        <f ca="1">'EUR Swap PVs'!AH55</f>
        <v>-249096.03223594063</v>
      </c>
      <c r="D175" s="278">
        <f ca="1">'EUR Swap PVs'!AI55</f>
        <v>-199276.8257887525</v>
      </c>
      <c r="E175" s="278">
        <f ca="1">'EUR Swap PVs'!AJ55</f>
        <v>-149457.61934156436</v>
      </c>
      <c r="F175" s="278">
        <f ca="1">'EUR Swap PVs'!AK55</f>
        <v>-99638.412894376219</v>
      </c>
      <c r="G175" s="278">
        <f ca="1">'EUR Swap PVs'!AL55</f>
        <v>-49819.206447188109</v>
      </c>
      <c r="H175" s="278">
        <f ca="1">'EUR Swap PVs'!AM55</f>
        <v>0</v>
      </c>
      <c r="I175" s="278">
        <f ca="1">'EUR Swap PVs'!AN55</f>
        <v>49819.206447188124</v>
      </c>
      <c r="J175" s="278">
        <f ca="1">'EUR Swap PVs'!AO55</f>
        <v>99638.412894376263</v>
      </c>
      <c r="K175" s="278">
        <f ca="1">'EUR Swap PVs'!AP55</f>
        <v>149457.61934156436</v>
      </c>
      <c r="L175" s="278">
        <f ca="1">'EUR Swap PVs'!AQ55</f>
        <v>199276.8257887525</v>
      </c>
      <c r="M175" s="279">
        <f ca="1">'EUR Swap PVs'!AR55</f>
        <v>249096.03223594063</v>
      </c>
      <c r="O175" s="282" t="s">
        <v>33</v>
      </c>
      <c r="P175" s="278">
        <v>-249096.03223594063</v>
      </c>
      <c r="Q175" s="278">
        <v>-199276.8257887525</v>
      </c>
      <c r="R175" s="278">
        <v>-149457.61934156436</v>
      </c>
      <c r="S175" s="278">
        <v>-99638.412894376219</v>
      </c>
      <c r="T175" s="278">
        <v>-49819.206447188109</v>
      </c>
      <c r="U175" s="278">
        <v>0</v>
      </c>
      <c r="V175" s="278">
        <v>49819.206447188124</v>
      </c>
      <c r="W175" s="278">
        <v>99638.412894376263</v>
      </c>
      <c r="X175" s="278">
        <v>149457.61934156436</v>
      </c>
      <c r="Y175" s="278">
        <v>199276.8257887525</v>
      </c>
      <c r="Z175" s="279">
        <v>249096.03223594063</v>
      </c>
      <c r="AB175" s="282" t="str">
        <f t="shared" si="67"/>
        <v>5Y</v>
      </c>
      <c r="AC175" s="278">
        <f ca="1">IF(ABS(P175-C175)&gt;SnapshotTolerance,1,0)</f>
        <v>0</v>
      </c>
      <c r="AD175" s="278">
        <f ca="1">IF(ABS(Q175-D175)&gt;SnapshotTolerance,1,0)</f>
        <v>0</v>
      </c>
      <c r="AE175" s="278">
        <f ca="1">IF(ABS(R175-E175)&gt;SnapshotTolerance,1,0)</f>
        <v>0</v>
      </c>
      <c r="AF175" s="278">
        <f ca="1">IF(ABS(S175-F175)&gt;SnapshotTolerance,1,0)</f>
        <v>0</v>
      </c>
      <c r="AG175" s="278">
        <f ca="1">IF(ABS(T175-G175)&gt;SnapshotTolerance,1,0)</f>
        <v>0</v>
      </c>
      <c r="AH175" s="278">
        <f ca="1">IF(ABS(U175-H175)&gt;SnapshotTolerance,1,0)</f>
        <v>0</v>
      </c>
      <c r="AI175" s="278">
        <f ca="1">IF(ABS(V175-I175)&gt;SnapshotTolerance,1,0)</f>
        <v>0</v>
      </c>
      <c r="AJ175" s="278">
        <f ca="1">IF(ABS(W175-J175)&gt;SnapshotTolerance,1,0)</f>
        <v>0</v>
      </c>
      <c r="AK175" s="278">
        <f ca="1">IF(ABS(X175-K175)&gt;SnapshotTolerance,1,0)</f>
        <v>0</v>
      </c>
      <c r="AL175" s="278">
        <f ca="1">IF(ABS(Y175-L175)&gt;SnapshotTolerance,1,0)</f>
        <v>0</v>
      </c>
      <c r="AM175" s="279">
        <f ca="1">IF(ABS(Z175-M175)&gt;SnapshotTolerance,1,0)</f>
        <v>0</v>
      </c>
    </row>
    <row r="176" spans="2:39">
      <c r="B176" s="282" t="str">
        <f>'EUR Swap PVs'!AG56</f>
        <v>6Y</v>
      </c>
      <c r="C176" s="278">
        <f ca="1">'EUR Swap PVs'!AH56</f>
        <v>-297667.53869917657</v>
      </c>
      <c r="D176" s="278">
        <f ca="1">'EUR Swap PVs'!AI56</f>
        <v>-238134.03095934121</v>
      </c>
      <c r="E176" s="278">
        <f ca="1">'EUR Swap PVs'!AJ56</f>
        <v>-178600.52321950591</v>
      </c>
      <c r="F176" s="278">
        <f ca="1">'EUR Swap PVs'!AK56</f>
        <v>-119067.01547967058</v>
      </c>
      <c r="G176" s="278">
        <f ca="1">'EUR Swap PVs'!AL56</f>
        <v>-59533.507739835281</v>
      </c>
      <c r="H176" s="278">
        <f ca="1">'EUR Swap PVs'!AM56</f>
        <v>0</v>
      </c>
      <c r="I176" s="278">
        <f ca="1">'EUR Swap PVs'!AN56</f>
        <v>59533.507739835295</v>
      </c>
      <c r="J176" s="278">
        <f ca="1">'EUR Swap PVs'!AO56</f>
        <v>119067.0154796706</v>
      </c>
      <c r="K176" s="278">
        <f ca="1">'EUR Swap PVs'!AP56</f>
        <v>178600.52321950591</v>
      </c>
      <c r="L176" s="278">
        <f ca="1">'EUR Swap PVs'!AQ56</f>
        <v>238134.03095934118</v>
      </c>
      <c r="M176" s="279">
        <f ca="1">'EUR Swap PVs'!AR56</f>
        <v>297667.53869917651</v>
      </c>
      <c r="O176" s="282" t="s">
        <v>131</v>
      </c>
      <c r="P176" s="278">
        <v>-297667.53869917657</v>
      </c>
      <c r="Q176" s="278">
        <v>-238134.03095934121</v>
      </c>
      <c r="R176" s="278">
        <v>-178600.52321950591</v>
      </c>
      <c r="S176" s="278">
        <v>-119067.01547967058</v>
      </c>
      <c r="T176" s="278">
        <v>-59533.507739835281</v>
      </c>
      <c r="U176" s="278">
        <v>0</v>
      </c>
      <c r="V176" s="278">
        <v>59533.507739835295</v>
      </c>
      <c r="W176" s="278">
        <v>119067.0154796706</v>
      </c>
      <c r="X176" s="278">
        <v>178600.52321950591</v>
      </c>
      <c r="Y176" s="278">
        <v>238134.03095934118</v>
      </c>
      <c r="Z176" s="279">
        <v>297667.53869917651</v>
      </c>
      <c r="AB176" s="282" t="str">
        <f t="shared" si="67"/>
        <v>6Y</v>
      </c>
      <c r="AC176" s="278">
        <f ca="1">IF(ABS(P176-C176)&gt;SnapshotTolerance,1,0)</f>
        <v>0</v>
      </c>
      <c r="AD176" s="278">
        <f ca="1">IF(ABS(Q176-D176)&gt;SnapshotTolerance,1,0)</f>
        <v>0</v>
      </c>
      <c r="AE176" s="278">
        <f ca="1">IF(ABS(R176-E176)&gt;SnapshotTolerance,1,0)</f>
        <v>0</v>
      </c>
      <c r="AF176" s="278">
        <f ca="1">IF(ABS(S176-F176)&gt;SnapshotTolerance,1,0)</f>
        <v>0</v>
      </c>
      <c r="AG176" s="278">
        <f ca="1">IF(ABS(T176-G176)&gt;SnapshotTolerance,1,0)</f>
        <v>0</v>
      </c>
      <c r="AH176" s="278">
        <f ca="1">IF(ABS(U176-H176)&gt;SnapshotTolerance,1,0)</f>
        <v>0</v>
      </c>
      <c r="AI176" s="278">
        <f ca="1">IF(ABS(V176-I176)&gt;SnapshotTolerance,1,0)</f>
        <v>0</v>
      </c>
      <c r="AJ176" s="278">
        <f ca="1">IF(ABS(W176-J176)&gt;SnapshotTolerance,1,0)</f>
        <v>0</v>
      </c>
      <c r="AK176" s="278">
        <f ca="1">IF(ABS(X176-K176)&gt;SnapshotTolerance,1,0)</f>
        <v>0</v>
      </c>
      <c r="AL176" s="278">
        <f ca="1">IF(ABS(Y176-L176)&gt;SnapshotTolerance,1,0)</f>
        <v>0</v>
      </c>
      <c r="AM176" s="279">
        <f ca="1">IF(ABS(Z176-M176)&gt;SnapshotTolerance,1,0)</f>
        <v>0</v>
      </c>
    </row>
    <row r="177" spans="2:39">
      <c r="B177" s="282" t="str">
        <f>'EUR Swap PVs'!AG57</f>
        <v>7Y</v>
      </c>
      <c r="C177" s="278">
        <f ca="1">'EUR Swap PVs'!AH57</f>
        <v>-345445.58092836308</v>
      </c>
      <c r="D177" s="278">
        <f ca="1">'EUR Swap PVs'!AI57</f>
        <v>-276356.46474269044</v>
      </c>
      <c r="E177" s="278">
        <f ca="1">'EUR Swap PVs'!AJ57</f>
        <v>-207267.3485570178</v>
      </c>
      <c r="F177" s="278">
        <f ca="1">'EUR Swap PVs'!AK57</f>
        <v>-138178.23237134519</v>
      </c>
      <c r="G177" s="278">
        <f ca="1">'EUR Swap PVs'!AL57</f>
        <v>-69089.116185672581</v>
      </c>
      <c r="H177" s="278">
        <f ca="1">'EUR Swap PVs'!AM57</f>
        <v>0</v>
      </c>
      <c r="I177" s="278">
        <f ca="1">'EUR Swap PVs'!AN57</f>
        <v>69089.116185672596</v>
      </c>
      <c r="J177" s="278">
        <f ca="1">'EUR Swap PVs'!AO57</f>
        <v>138178.23237134522</v>
      </c>
      <c r="K177" s="278">
        <f ca="1">'EUR Swap PVs'!AP57</f>
        <v>207267.3485570178</v>
      </c>
      <c r="L177" s="278">
        <f ca="1">'EUR Swap PVs'!AQ57</f>
        <v>276356.46474269038</v>
      </c>
      <c r="M177" s="279">
        <f ca="1">'EUR Swap PVs'!AR57</f>
        <v>345445.58092836296</v>
      </c>
      <c r="O177" s="282" t="s">
        <v>31</v>
      </c>
      <c r="P177" s="278">
        <v>-345445.58092836308</v>
      </c>
      <c r="Q177" s="278">
        <v>-276356.46474269044</v>
      </c>
      <c r="R177" s="278">
        <v>-207267.3485570178</v>
      </c>
      <c r="S177" s="278">
        <v>-138178.23237134519</v>
      </c>
      <c r="T177" s="278">
        <v>-69089.116185672581</v>
      </c>
      <c r="U177" s="278">
        <v>0</v>
      </c>
      <c r="V177" s="278">
        <v>69089.116185672596</v>
      </c>
      <c r="W177" s="278">
        <v>138178.23237134522</v>
      </c>
      <c r="X177" s="278">
        <v>207267.3485570178</v>
      </c>
      <c r="Y177" s="278">
        <v>276356.46474269038</v>
      </c>
      <c r="Z177" s="279">
        <v>345445.58092836296</v>
      </c>
      <c r="AB177" s="282" t="str">
        <f t="shared" si="67"/>
        <v>7Y</v>
      </c>
      <c r="AC177" s="278">
        <f ca="1">IF(ABS(P177-C177)&gt;SnapshotTolerance,1,0)</f>
        <v>0</v>
      </c>
      <c r="AD177" s="278">
        <f ca="1">IF(ABS(Q177-D177)&gt;SnapshotTolerance,1,0)</f>
        <v>0</v>
      </c>
      <c r="AE177" s="278">
        <f ca="1">IF(ABS(R177-E177)&gt;SnapshotTolerance,1,0)</f>
        <v>0</v>
      </c>
      <c r="AF177" s="278">
        <f ca="1">IF(ABS(S177-F177)&gt;SnapshotTolerance,1,0)</f>
        <v>0</v>
      </c>
      <c r="AG177" s="278">
        <f ca="1">IF(ABS(T177-G177)&gt;SnapshotTolerance,1,0)</f>
        <v>0</v>
      </c>
      <c r="AH177" s="278">
        <f ca="1">IF(ABS(U177-H177)&gt;SnapshotTolerance,1,0)</f>
        <v>0</v>
      </c>
      <c r="AI177" s="278">
        <f ca="1">IF(ABS(V177-I177)&gt;SnapshotTolerance,1,0)</f>
        <v>0</v>
      </c>
      <c r="AJ177" s="278">
        <f ca="1">IF(ABS(W177-J177)&gt;SnapshotTolerance,1,0)</f>
        <v>0</v>
      </c>
      <c r="AK177" s="278">
        <f ca="1">IF(ABS(X177-K177)&gt;SnapshotTolerance,1,0)</f>
        <v>0</v>
      </c>
      <c r="AL177" s="278">
        <f ca="1">IF(ABS(Y177-L177)&gt;SnapshotTolerance,1,0)</f>
        <v>0</v>
      </c>
      <c r="AM177" s="279">
        <f ca="1">IF(ABS(Z177-M177)&gt;SnapshotTolerance,1,0)</f>
        <v>0</v>
      </c>
    </row>
    <row r="178" spans="2:39">
      <c r="B178" s="282" t="str">
        <f>'EUR Swap PVs'!AG58</f>
        <v>8Y</v>
      </c>
      <c r="C178" s="278">
        <f ca="1">'EUR Swap PVs'!AH58</f>
        <v>-392585.59739955037</v>
      </c>
      <c r="D178" s="278">
        <f ca="1">'EUR Swap PVs'!AI58</f>
        <v>-314068.47791964025</v>
      </c>
      <c r="E178" s="278">
        <f ca="1">'EUR Swap PVs'!AJ58</f>
        <v>-235551.35843973019</v>
      </c>
      <c r="F178" s="278">
        <f ca="1">'EUR Swap PVs'!AK58</f>
        <v>-157034.2389598201</v>
      </c>
      <c r="G178" s="278">
        <f ca="1">'EUR Swap PVs'!AL58</f>
        <v>-78517.119479910034</v>
      </c>
      <c r="H178" s="278">
        <f ca="1">'EUR Swap PVs'!AM58</f>
        <v>0</v>
      </c>
      <c r="I178" s="278">
        <f ca="1">'EUR Swap PVs'!AN58</f>
        <v>78517.119479910049</v>
      </c>
      <c r="J178" s="278">
        <f ca="1">'EUR Swap PVs'!AO58</f>
        <v>157034.2389598201</v>
      </c>
      <c r="K178" s="278">
        <f ca="1">'EUR Swap PVs'!AP58</f>
        <v>235551.35843973019</v>
      </c>
      <c r="L178" s="278">
        <f ca="1">'EUR Swap PVs'!AQ58</f>
        <v>314068.47791964025</v>
      </c>
      <c r="M178" s="279">
        <f ca="1">'EUR Swap PVs'!AR58</f>
        <v>392585.59739955037</v>
      </c>
      <c r="O178" s="282" t="s">
        <v>119</v>
      </c>
      <c r="P178" s="278">
        <v>-392585.59739955037</v>
      </c>
      <c r="Q178" s="278">
        <v>-314068.47791964025</v>
      </c>
      <c r="R178" s="278">
        <v>-235551.35843973019</v>
      </c>
      <c r="S178" s="278">
        <v>-157034.2389598201</v>
      </c>
      <c r="T178" s="278">
        <v>-78517.119479910034</v>
      </c>
      <c r="U178" s="278">
        <v>0</v>
      </c>
      <c r="V178" s="278">
        <v>78517.119479910049</v>
      </c>
      <c r="W178" s="278">
        <v>157034.2389598201</v>
      </c>
      <c r="X178" s="278">
        <v>235551.35843973019</v>
      </c>
      <c r="Y178" s="278">
        <v>314068.47791964025</v>
      </c>
      <c r="Z178" s="279">
        <v>392585.59739955037</v>
      </c>
      <c r="AB178" s="282" t="str">
        <f t="shared" si="67"/>
        <v>8Y</v>
      </c>
      <c r="AC178" s="278">
        <f ca="1">IF(ABS(P178-C178)&gt;SnapshotTolerance,1,0)</f>
        <v>0</v>
      </c>
      <c r="AD178" s="278">
        <f ca="1">IF(ABS(Q178-D178)&gt;SnapshotTolerance,1,0)</f>
        <v>0</v>
      </c>
      <c r="AE178" s="278">
        <f ca="1">IF(ABS(R178-E178)&gt;SnapshotTolerance,1,0)</f>
        <v>0</v>
      </c>
      <c r="AF178" s="278">
        <f ca="1">IF(ABS(S178-F178)&gt;SnapshotTolerance,1,0)</f>
        <v>0</v>
      </c>
      <c r="AG178" s="278">
        <f ca="1">IF(ABS(T178-G178)&gt;SnapshotTolerance,1,0)</f>
        <v>0</v>
      </c>
      <c r="AH178" s="278">
        <f ca="1">IF(ABS(U178-H178)&gt;SnapshotTolerance,1,0)</f>
        <v>0</v>
      </c>
      <c r="AI178" s="278">
        <f ca="1">IF(ABS(V178-I178)&gt;SnapshotTolerance,1,0)</f>
        <v>0</v>
      </c>
      <c r="AJ178" s="278">
        <f ca="1">IF(ABS(W178-J178)&gt;SnapshotTolerance,1,0)</f>
        <v>0</v>
      </c>
      <c r="AK178" s="278">
        <f ca="1">IF(ABS(X178-K178)&gt;SnapshotTolerance,1,0)</f>
        <v>0</v>
      </c>
      <c r="AL178" s="278">
        <f ca="1">IF(ABS(Y178-L178)&gt;SnapshotTolerance,1,0)</f>
        <v>0</v>
      </c>
      <c r="AM178" s="279">
        <f ca="1">IF(ABS(Z178-M178)&gt;SnapshotTolerance,1,0)</f>
        <v>0</v>
      </c>
    </row>
    <row r="179" spans="2:39">
      <c r="B179" s="282" t="str">
        <f>'EUR Swap PVs'!AG59</f>
        <v>9Y</v>
      </c>
      <c r="C179" s="278">
        <f ca="1">'EUR Swap PVs'!AH59</f>
        <v>-438252.52539896453</v>
      </c>
      <c r="D179" s="278">
        <f ca="1">'EUR Swap PVs'!AI59</f>
        <v>-350602.0203191716</v>
      </c>
      <c r="E179" s="278">
        <f ca="1">'EUR Swap PVs'!AJ59</f>
        <v>-262951.51523937873</v>
      </c>
      <c r="F179" s="278">
        <f ca="1">'EUR Swap PVs'!AK59</f>
        <v>-175301.01015958577</v>
      </c>
      <c r="G179" s="278">
        <f ca="1">'EUR Swap PVs'!AL59</f>
        <v>-87650.505079792871</v>
      </c>
      <c r="H179" s="278">
        <f ca="1">'EUR Swap PVs'!AM59</f>
        <v>0</v>
      </c>
      <c r="I179" s="278">
        <f ca="1">'EUR Swap PVs'!AN59</f>
        <v>87650.5050797929</v>
      </c>
      <c r="J179" s="278">
        <f ca="1">'EUR Swap PVs'!AO59</f>
        <v>175301.01015958577</v>
      </c>
      <c r="K179" s="278">
        <f ca="1">'EUR Swap PVs'!AP59</f>
        <v>262951.51523937867</v>
      </c>
      <c r="L179" s="278">
        <f ca="1">'EUR Swap PVs'!AQ59</f>
        <v>350602.02031917154</v>
      </c>
      <c r="M179" s="279">
        <f ca="1">'EUR Swap PVs'!AR59</f>
        <v>438252.52539896441</v>
      </c>
      <c r="O179" s="282" t="s">
        <v>113</v>
      </c>
      <c r="P179" s="278">
        <v>-438252.52539896453</v>
      </c>
      <c r="Q179" s="278">
        <v>-350602.0203191716</v>
      </c>
      <c r="R179" s="278">
        <v>-262951.51523937873</v>
      </c>
      <c r="S179" s="278">
        <v>-175301.01015958577</v>
      </c>
      <c r="T179" s="278">
        <v>-87650.505079792871</v>
      </c>
      <c r="U179" s="278">
        <v>0</v>
      </c>
      <c r="V179" s="278">
        <v>87650.5050797929</v>
      </c>
      <c r="W179" s="278">
        <v>175301.01015958577</v>
      </c>
      <c r="X179" s="278">
        <v>262951.51523937867</v>
      </c>
      <c r="Y179" s="278">
        <v>350602.02031917154</v>
      </c>
      <c r="Z179" s="279">
        <v>438252.52539896441</v>
      </c>
      <c r="AB179" s="282" t="str">
        <f t="shared" si="67"/>
        <v>9Y</v>
      </c>
      <c r="AC179" s="278">
        <f ca="1">IF(ABS(P179-C179)&gt;SnapshotTolerance,1,0)</f>
        <v>0</v>
      </c>
      <c r="AD179" s="278">
        <f ca="1">IF(ABS(Q179-D179)&gt;SnapshotTolerance,1,0)</f>
        <v>0</v>
      </c>
      <c r="AE179" s="278">
        <f ca="1">IF(ABS(R179-E179)&gt;SnapshotTolerance,1,0)</f>
        <v>0</v>
      </c>
      <c r="AF179" s="278">
        <f ca="1">IF(ABS(S179-F179)&gt;SnapshotTolerance,1,0)</f>
        <v>0</v>
      </c>
      <c r="AG179" s="278">
        <f ca="1">IF(ABS(T179-G179)&gt;SnapshotTolerance,1,0)</f>
        <v>0</v>
      </c>
      <c r="AH179" s="278">
        <f ca="1">IF(ABS(U179-H179)&gt;SnapshotTolerance,1,0)</f>
        <v>0</v>
      </c>
      <c r="AI179" s="278">
        <f ca="1">IF(ABS(V179-I179)&gt;SnapshotTolerance,1,0)</f>
        <v>0</v>
      </c>
      <c r="AJ179" s="278">
        <f ca="1">IF(ABS(W179-J179)&gt;SnapshotTolerance,1,0)</f>
        <v>0</v>
      </c>
      <c r="AK179" s="278">
        <f ca="1">IF(ABS(X179-K179)&gt;SnapshotTolerance,1,0)</f>
        <v>0</v>
      </c>
      <c r="AL179" s="278">
        <f ca="1">IF(ABS(Y179-L179)&gt;SnapshotTolerance,1,0)</f>
        <v>0</v>
      </c>
      <c r="AM179" s="279">
        <f ca="1">IF(ABS(Z179-M179)&gt;SnapshotTolerance,1,0)</f>
        <v>0</v>
      </c>
    </row>
    <row r="180" spans="2:39">
      <c r="B180" s="282" t="str">
        <f>'EUR Swap PVs'!AG60</f>
        <v>10Y</v>
      </c>
      <c r="C180" s="278">
        <f ca="1">'EUR Swap PVs'!AH60</f>
        <v>-483168.64497448748</v>
      </c>
      <c r="D180" s="278">
        <f ca="1">'EUR Swap PVs'!AI60</f>
        <v>-386534.91597958992</v>
      </c>
      <c r="E180" s="278">
        <f ca="1">'EUR Swap PVs'!AJ60</f>
        <v>-289901.18698469247</v>
      </c>
      <c r="F180" s="278">
        <f ca="1">'EUR Swap PVs'!AK60</f>
        <v>-193267.45798979493</v>
      </c>
      <c r="G180" s="278">
        <f ca="1">'EUR Swap PVs'!AL60</f>
        <v>-96633.72899489745</v>
      </c>
      <c r="H180" s="278">
        <f ca="1">'EUR Swap PVs'!AM60</f>
        <v>1.3877787807814457E-11</v>
      </c>
      <c r="I180" s="278">
        <f ca="1">'EUR Swap PVs'!AN60</f>
        <v>96633.728994897509</v>
      </c>
      <c r="J180" s="278">
        <f ca="1">'EUR Swap PVs'!AO60</f>
        <v>193267.45798979505</v>
      </c>
      <c r="K180" s="278">
        <f ca="1">'EUR Swap PVs'!AP60</f>
        <v>289901.18698469247</v>
      </c>
      <c r="L180" s="278">
        <f ca="1">'EUR Swap PVs'!AQ60</f>
        <v>386534.91597958998</v>
      </c>
      <c r="M180" s="279">
        <f ca="1">'EUR Swap PVs'!AR60</f>
        <v>483168.64497448754</v>
      </c>
      <c r="O180" s="282" t="s">
        <v>28</v>
      </c>
      <c r="P180" s="278">
        <v>-483168.64497448748</v>
      </c>
      <c r="Q180" s="278">
        <v>-386534.91597958992</v>
      </c>
      <c r="R180" s="278">
        <v>-289901.18698469247</v>
      </c>
      <c r="S180" s="278">
        <v>-193267.45798979493</v>
      </c>
      <c r="T180" s="278">
        <v>-96633.72899489745</v>
      </c>
      <c r="U180" s="278">
        <v>1.3877787807814457E-11</v>
      </c>
      <c r="V180" s="278">
        <v>96633.728994897509</v>
      </c>
      <c r="W180" s="278">
        <v>193267.45798979505</v>
      </c>
      <c r="X180" s="278">
        <v>289901.18698469247</v>
      </c>
      <c r="Y180" s="278">
        <v>386534.91597958998</v>
      </c>
      <c r="Z180" s="279">
        <v>483168.64497448754</v>
      </c>
      <c r="AB180" s="282" t="str">
        <f t="shared" si="67"/>
        <v>10Y</v>
      </c>
      <c r="AC180" s="278">
        <f ca="1">IF(ABS(P180-C180)&gt;SnapshotTolerance,1,0)</f>
        <v>0</v>
      </c>
      <c r="AD180" s="278">
        <f ca="1">IF(ABS(Q180-D180)&gt;SnapshotTolerance,1,0)</f>
        <v>0</v>
      </c>
      <c r="AE180" s="278">
        <f ca="1">IF(ABS(R180-E180)&gt;SnapshotTolerance,1,0)</f>
        <v>0</v>
      </c>
      <c r="AF180" s="278">
        <f ca="1">IF(ABS(S180-F180)&gt;SnapshotTolerance,1,0)</f>
        <v>0</v>
      </c>
      <c r="AG180" s="278">
        <f ca="1">IF(ABS(T180-G180)&gt;SnapshotTolerance,1,0)</f>
        <v>0</v>
      </c>
      <c r="AH180" s="278">
        <f ca="1">IF(ABS(U180-H180)&gt;SnapshotTolerance,1,0)</f>
        <v>0</v>
      </c>
      <c r="AI180" s="278">
        <f ca="1">IF(ABS(V180-I180)&gt;SnapshotTolerance,1,0)</f>
        <v>0</v>
      </c>
      <c r="AJ180" s="278">
        <f ca="1">IF(ABS(W180-J180)&gt;SnapshotTolerance,1,0)</f>
        <v>0</v>
      </c>
      <c r="AK180" s="278">
        <f ca="1">IF(ABS(X180-K180)&gt;SnapshotTolerance,1,0)</f>
        <v>0</v>
      </c>
      <c r="AL180" s="278">
        <f ca="1">IF(ABS(Y180-L180)&gt;SnapshotTolerance,1,0)</f>
        <v>0</v>
      </c>
      <c r="AM180" s="279">
        <f ca="1">IF(ABS(Z180-M180)&gt;SnapshotTolerance,1,0)</f>
        <v>0</v>
      </c>
    </row>
    <row r="181" spans="2:39">
      <c r="B181" s="282" t="str">
        <f>'EUR Swap PVs'!AG61</f>
        <v>11Y</v>
      </c>
      <c r="C181" s="278">
        <f ca="1">'EUR Swap PVs'!AH61</f>
        <v>-527061.76365639456</v>
      </c>
      <c r="D181" s="278">
        <f ca="1">'EUR Swap PVs'!AI61</f>
        <v>-421649.41092511552</v>
      </c>
      <c r="E181" s="278">
        <f ca="1">'EUR Swap PVs'!AJ61</f>
        <v>-316237.05819383665</v>
      </c>
      <c r="F181" s="278">
        <f ca="1">'EUR Swap PVs'!AK61</f>
        <v>-210824.70546255773</v>
      </c>
      <c r="G181" s="278">
        <f ca="1">'EUR Swap PVs'!AL61</f>
        <v>-105412.35273127885</v>
      </c>
      <c r="H181" s="278">
        <f ca="1">'EUR Swap PVs'!AM61</f>
        <v>0</v>
      </c>
      <c r="I181" s="278">
        <f ca="1">'EUR Swap PVs'!AN61</f>
        <v>105412.35273127886</v>
      </c>
      <c r="J181" s="278">
        <f ca="1">'EUR Swap PVs'!AO61</f>
        <v>210824.70546255776</v>
      </c>
      <c r="K181" s="278">
        <f ca="1">'EUR Swap PVs'!AP61</f>
        <v>316237.05819383665</v>
      </c>
      <c r="L181" s="278">
        <f ca="1">'EUR Swap PVs'!AQ61</f>
        <v>421649.41092511563</v>
      </c>
      <c r="M181" s="279">
        <f ca="1">'EUR Swap PVs'!AR61</f>
        <v>527061.76365639444</v>
      </c>
      <c r="O181" s="282" t="s">
        <v>366</v>
      </c>
      <c r="P181" s="278">
        <v>-527061.76365639456</v>
      </c>
      <c r="Q181" s="278">
        <v>-421649.41092511552</v>
      </c>
      <c r="R181" s="278">
        <v>-316237.05819383665</v>
      </c>
      <c r="S181" s="278">
        <v>-210824.70546255773</v>
      </c>
      <c r="T181" s="278">
        <v>-105412.35273127885</v>
      </c>
      <c r="U181" s="278">
        <v>0</v>
      </c>
      <c r="V181" s="278">
        <v>105412.35273127886</v>
      </c>
      <c r="W181" s="278">
        <v>210824.70546255776</v>
      </c>
      <c r="X181" s="278">
        <v>316237.05819383665</v>
      </c>
      <c r="Y181" s="278">
        <v>421649.41092511563</v>
      </c>
      <c r="Z181" s="279">
        <v>527061.76365639444</v>
      </c>
      <c r="AB181" s="282" t="str">
        <f t="shared" si="67"/>
        <v>11Y</v>
      </c>
      <c r="AC181" s="278">
        <f ca="1">IF(ABS(P181-C181)&gt;SnapshotTolerance,1,0)</f>
        <v>0</v>
      </c>
      <c r="AD181" s="278">
        <f ca="1">IF(ABS(Q181-D181)&gt;SnapshotTolerance,1,0)</f>
        <v>0</v>
      </c>
      <c r="AE181" s="278">
        <f ca="1">IF(ABS(R181-E181)&gt;SnapshotTolerance,1,0)</f>
        <v>0</v>
      </c>
      <c r="AF181" s="278">
        <f ca="1">IF(ABS(S181-F181)&gt;SnapshotTolerance,1,0)</f>
        <v>0</v>
      </c>
      <c r="AG181" s="278">
        <f ca="1">IF(ABS(T181-G181)&gt;SnapshotTolerance,1,0)</f>
        <v>0</v>
      </c>
      <c r="AH181" s="278">
        <f ca="1">IF(ABS(U181-H181)&gt;SnapshotTolerance,1,0)</f>
        <v>0</v>
      </c>
      <c r="AI181" s="278">
        <f ca="1">IF(ABS(V181-I181)&gt;SnapshotTolerance,1,0)</f>
        <v>0</v>
      </c>
      <c r="AJ181" s="278">
        <f ca="1">IF(ABS(W181-J181)&gt;SnapshotTolerance,1,0)</f>
        <v>0</v>
      </c>
      <c r="AK181" s="278">
        <f ca="1">IF(ABS(X181-K181)&gt;SnapshotTolerance,1,0)</f>
        <v>0</v>
      </c>
      <c r="AL181" s="278">
        <f ca="1">IF(ABS(Y181-L181)&gt;SnapshotTolerance,1,0)</f>
        <v>0</v>
      </c>
      <c r="AM181" s="279">
        <f ca="1">IF(ABS(Z181-M181)&gt;SnapshotTolerance,1,0)</f>
        <v>0</v>
      </c>
    </row>
    <row r="182" spans="2:39">
      <c r="B182" s="282" t="str">
        <f>'EUR Swap PVs'!AG62</f>
        <v>12Y</v>
      </c>
      <c r="C182" s="278">
        <f ca="1">'EUR Swap PVs'!AH62</f>
        <v>-569938.0308485931</v>
      </c>
      <c r="D182" s="278">
        <f ca="1">'EUR Swap PVs'!AI62</f>
        <v>-455950.42467887449</v>
      </c>
      <c r="E182" s="278">
        <f ca="1">'EUR Swap PVs'!AJ62</f>
        <v>-341962.81850915583</v>
      </c>
      <c r="F182" s="278">
        <f ca="1">'EUR Swap PVs'!AK62</f>
        <v>-227975.21233943719</v>
      </c>
      <c r="G182" s="278">
        <f ca="1">'EUR Swap PVs'!AL62</f>
        <v>-113987.60616971857</v>
      </c>
      <c r="H182" s="278">
        <f ca="1">'EUR Swap PVs'!AM62</f>
        <v>0</v>
      </c>
      <c r="I182" s="278">
        <f ca="1">'EUR Swap PVs'!AN62</f>
        <v>113987.60616971859</v>
      </c>
      <c r="J182" s="278">
        <f ca="1">'EUR Swap PVs'!AO62</f>
        <v>227975.21233943725</v>
      </c>
      <c r="K182" s="278">
        <f ca="1">'EUR Swap PVs'!AP62</f>
        <v>341962.81850915588</v>
      </c>
      <c r="L182" s="278">
        <f ca="1">'EUR Swap PVs'!AQ62</f>
        <v>455950.42467887449</v>
      </c>
      <c r="M182" s="279">
        <f ca="1">'EUR Swap PVs'!AR62</f>
        <v>569938.03084859322</v>
      </c>
      <c r="O182" s="282" t="s">
        <v>26</v>
      </c>
      <c r="P182" s="278">
        <v>-569938.0308485931</v>
      </c>
      <c r="Q182" s="278">
        <v>-455950.42467887449</v>
      </c>
      <c r="R182" s="278">
        <v>-341962.81850915583</v>
      </c>
      <c r="S182" s="278">
        <v>-227975.21233943719</v>
      </c>
      <c r="T182" s="278">
        <v>-113987.60616971857</v>
      </c>
      <c r="U182" s="278">
        <v>0</v>
      </c>
      <c r="V182" s="278">
        <v>113987.60616971859</v>
      </c>
      <c r="W182" s="278">
        <v>227975.21233943725</v>
      </c>
      <c r="X182" s="278">
        <v>341962.81850915588</v>
      </c>
      <c r="Y182" s="278">
        <v>455950.42467887449</v>
      </c>
      <c r="Z182" s="279">
        <v>569938.03084859322</v>
      </c>
      <c r="AB182" s="282" t="str">
        <f t="shared" si="67"/>
        <v>12Y</v>
      </c>
      <c r="AC182" s="278">
        <f ca="1">IF(ABS(P182-C182)&gt;SnapshotTolerance,1,0)</f>
        <v>0</v>
      </c>
      <c r="AD182" s="278">
        <f ca="1">IF(ABS(Q182-D182)&gt;SnapshotTolerance,1,0)</f>
        <v>0</v>
      </c>
      <c r="AE182" s="278">
        <f ca="1">IF(ABS(R182-E182)&gt;SnapshotTolerance,1,0)</f>
        <v>0</v>
      </c>
      <c r="AF182" s="278">
        <f ca="1">IF(ABS(S182-F182)&gt;SnapshotTolerance,1,0)</f>
        <v>0</v>
      </c>
      <c r="AG182" s="278">
        <f ca="1">IF(ABS(T182-G182)&gt;SnapshotTolerance,1,0)</f>
        <v>0</v>
      </c>
      <c r="AH182" s="278">
        <f ca="1">IF(ABS(U182-H182)&gt;SnapshotTolerance,1,0)</f>
        <v>0</v>
      </c>
      <c r="AI182" s="278">
        <f ca="1">IF(ABS(V182-I182)&gt;SnapshotTolerance,1,0)</f>
        <v>0</v>
      </c>
      <c r="AJ182" s="278">
        <f ca="1">IF(ABS(W182-J182)&gt;SnapshotTolerance,1,0)</f>
        <v>0</v>
      </c>
      <c r="AK182" s="278">
        <f ca="1">IF(ABS(X182-K182)&gt;SnapshotTolerance,1,0)</f>
        <v>0</v>
      </c>
      <c r="AL182" s="278">
        <f ca="1">IF(ABS(Y182-L182)&gt;SnapshotTolerance,1,0)</f>
        <v>0</v>
      </c>
      <c r="AM182" s="279">
        <f ca="1">IF(ABS(Z182-M182)&gt;SnapshotTolerance,1,0)</f>
        <v>0</v>
      </c>
    </row>
    <row r="183" spans="2:39">
      <c r="B183" s="282" t="str">
        <f>'EUR Swap PVs'!AG63</f>
        <v>15Y</v>
      </c>
      <c r="C183" s="278">
        <f ca="1">'EUR Swap PVs'!AH63</f>
        <v>-692615.23399544926</v>
      </c>
      <c r="D183" s="278">
        <f ca="1">'EUR Swap PVs'!AI63</f>
        <v>-554092.18719635939</v>
      </c>
      <c r="E183" s="278">
        <f ca="1">'EUR Swap PVs'!AJ63</f>
        <v>-415569.14039726957</v>
      </c>
      <c r="F183" s="278">
        <f ca="1">'EUR Swap PVs'!AK63</f>
        <v>-277046.09359817969</v>
      </c>
      <c r="G183" s="278">
        <f ca="1">'EUR Swap PVs'!AL63</f>
        <v>-138523.04679908985</v>
      </c>
      <c r="H183" s="278">
        <f ca="1">'EUR Swap PVs'!AM63</f>
        <v>-2.7755575615628914E-11</v>
      </c>
      <c r="I183" s="278">
        <f ca="1">'EUR Swap PVs'!AN63</f>
        <v>138523.04679908985</v>
      </c>
      <c r="J183" s="278">
        <f ca="1">'EUR Swap PVs'!AO63</f>
        <v>277046.09359817975</v>
      </c>
      <c r="K183" s="278">
        <f ca="1">'EUR Swap PVs'!AP63</f>
        <v>415569.14039726945</v>
      </c>
      <c r="L183" s="278">
        <f ca="1">'EUR Swap PVs'!AQ63</f>
        <v>554092.18719635939</v>
      </c>
      <c r="M183" s="279">
        <f ca="1">'EUR Swap PVs'!AR63</f>
        <v>692615.23399544926</v>
      </c>
      <c r="O183" s="282" t="s">
        <v>24</v>
      </c>
      <c r="P183" s="278">
        <v>-692615.23399544926</v>
      </c>
      <c r="Q183" s="278">
        <v>-554092.18719635939</v>
      </c>
      <c r="R183" s="278">
        <v>-415569.14039726957</v>
      </c>
      <c r="S183" s="278">
        <v>-277046.09359817969</v>
      </c>
      <c r="T183" s="278">
        <v>-138523.04679908985</v>
      </c>
      <c r="U183" s="278">
        <v>-2.7755575615628914E-11</v>
      </c>
      <c r="V183" s="278">
        <v>138523.04679908985</v>
      </c>
      <c r="W183" s="278">
        <v>277046.09359817975</v>
      </c>
      <c r="X183" s="278">
        <v>415569.14039726945</v>
      </c>
      <c r="Y183" s="278">
        <v>554092.18719635939</v>
      </c>
      <c r="Z183" s="279">
        <v>692615.23399544926</v>
      </c>
      <c r="AB183" s="282" t="str">
        <f t="shared" si="67"/>
        <v>15Y</v>
      </c>
      <c r="AC183" s="278">
        <f ca="1">IF(ABS(P183-C183)&gt;SnapshotTolerance,1,0)</f>
        <v>0</v>
      </c>
      <c r="AD183" s="278">
        <f ca="1">IF(ABS(Q183-D183)&gt;SnapshotTolerance,1,0)</f>
        <v>0</v>
      </c>
      <c r="AE183" s="278">
        <f ca="1">IF(ABS(R183-E183)&gt;SnapshotTolerance,1,0)</f>
        <v>0</v>
      </c>
      <c r="AF183" s="278">
        <f ca="1">IF(ABS(S183-F183)&gt;SnapshotTolerance,1,0)</f>
        <v>0</v>
      </c>
      <c r="AG183" s="278">
        <f ca="1">IF(ABS(T183-G183)&gt;SnapshotTolerance,1,0)</f>
        <v>0</v>
      </c>
      <c r="AH183" s="278">
        <f ca="1">IF(ABS(U183-H183)&gt;SnapshotTolerance,1,0)</f>
        <v>0</v>
      </c>
      <c r="AI183" s="278">
        <f ca="1">IF(ABS(V183-I183)&gt;SnapshotTolerance,1,0)</f>
        <v>0</v>
      </c>
      <c r="AJ183" s="278">
        <f ca="1">IF(ABS(W183-J183)&gt;SnapshotTolerance,1,0)</f>
        <v>0</v>
      </c>
      <c r="AK183" s="278">
        <f ca="1">IF(ABS(X183-K183)&gt;SnapshotTolerance,1,0)</f>
        <v>0</v>
      </c>
      <c r="AL183" s="278">
        <f ca="1">IF(ABS(Y183-L183)&gt;SnapshotTolerance,1,0)</f>
        <v>0</v>
      </c>
      <c r="AM183" s="279">
        <f ca="1">IF(ABS(Z183-M183)&gt;SnapshotTolerance,1,0)</f>
        <v>0</v>
      </c>
    </row>
    <row r="184" spans="2:39">
      <c r="B184" s="282" t="str">
        <f>'EUR Swap PVs'!AG64</f>
        <v>20Y</v>
      </c>
      <c r="C184" s="278">
        <f ca="1">'EUR Swap PVs'!AH64</f>
        <v>-879086.65850046882</v>
      </c>
      <c r="D184" s="278">
        <f ca="1">'EUR Swap PVs'!AI64</f>
        <v>-703269.32680037501</v>
      </c>
      <c r="E184" s="278">
        <f ca="1">'EUR Swap PVs'!AJ64</f>
        <v>-527451.99510028132</v>
      </c>
      <c r="F184" s="278">
        <f ca="1">'EUR Swap PVs'!AK64</f>
        <v>-351634.66340018745</v>
      </c>
      <c r="G184" s="278">
        <f ca="1">'EUR Swap PVs'!AL64</f>
        <v>-175817.33170009369</v>
      </c>
      <c r="H184" s="278">
        <f ca="1">'EUR Swap PVs'!AM64</f>
        <v>0</v>
      </c>
      <c r="I184" s="278">
        <f ca="1">'EUR Swap PVs'!AN64</f>
        <v>175817.33170009372</v>
      </c>
      <c r="J184" s="278">
        <f ca="1">'EUR Swap PVs'!AO64</f>
        <v>351634.66340018751</v>
      </c>
      <c r="K184" s="278">
        <f ca="1">'EUR Swap PVs'!AP64</f>
        <v>527451.9951002812</v>
      </c>
      <c r="L184" s="278">
        <f ca="1">'EUR Swap PVs'!AQ64</f>
        <v>703269.32680037513</v>
      </c>
      <c r="M184" s="279">
        <f ca="1">'EUR Swap PVs'!AR64</f>
        <v>879086.65850046882</v>
      </c>
      <c r="O184" s="282" t="s">
        <v>20</v>
      </c>
      <c r="P184" s="278">
        <v>-879086.65850046882</v>
      </c>
      <c r="Q184" s="278">
        <v>-703269.32680037501</v>
      </c>
      <c r="R184" s="278">
        <v>-527451.99510028132</v>
      </c>
      <c r="S184" s="278">
        <v>-351634.66340018745</v>
      </c>
      <c r="T184" s="278">
        <v>-175817.33170009369</v>
      </c>
      <c r="U184" s="278">
        <v>0</v>
      </c>
      <c r="V184" s="278">
        <v>175817.33170009372</v>
      </c>
      <c r="W184" s="278">
        <v>351634.66340018751</v>
      </c>
      <c r="X184" s="278">
        <v>527451.9951002812</v>
      </c>
      <c r="Y184" s="278">
        <v>703269.32680037513</v>
      </c>
      <c r="Z184" s="279">
        <v>879086.65850046882</v>
      </c>
      <c r="AB184" s="282" t="str">
        <f t="shared" si="67"/>
        <v>20Y</v>
      </c>
      <c r="AC184" s="278">
        <f ca="1">IF(ABS(P184-C184)&gt;SnapshotTolerance,1,0)</f>
        <v>0</v>
      </c>
      <c r="AD184" s="278">
        <f ca="1">IF(ABS(Q184-D184)&gt;SnapshotTolerance,1,0)</f>
        <v>0</v>
      </c>
      <c r="AE184" s="278">
        <f ca="1">IF(ABS(R184-E184)&gt;SnapshotTolerance,1,0)</f>
        <v>0</v>
      </c>
      <c r="AF184" s="278">
        <f ca="1">IF(ABS(S184-F184)&gt;SnapshotTolerance,1,0)</f>
        <v>0</v>
      </c>
      <c r="AG184" s="278">
        <f ca="1">IF(ABS(T184-G184)&gt;SnapshotTolerance,1,0)</f>
        <v>0</v>
      </c>
      <c r="AH184" s="278">
        <f ca="1">IF(ABS(U184-H184)&gt;SnapshotTolerance,1,0)</f>
        <v>0</v>
      </c>
      <c r="AI184" s="278">
        <f ca="1">IF(ABS(V184-I184)&gt;SnapshotTolerance,1,0)</f>
        <v>0</v>
      </c>
      <c r="AJ184" s="278">
        <f ca="1">IF(ABS(W184-J184)&gt;SnapshotTolerance,1,0)</f>
        <v>0</v>
      </c>
      <c r="AK184" s="278">
        <f ca="1">IF(ABS(X184-K184)&gt;SnapshotTolerance,1,0)</f>
        <v>0</v>
      </c>
      <c r="AL184" s="278">
        <f ca="1">IF(ABS(Y184-L184)&gt;SnapshotTolerance,1,0)</f>
        <v>0</v>
      </c>
      <c r="AM184" s="279">
        <f ca="1">IF(ABS(Z184-M184)&gt;SnapshotTolerance,1,0)</f>
        <v>0</v>
      </c>
    </row>
    <row r="185" spans="2:39">
      <c r="B185" s="282" t="str">
        <f>'EUR Swap PVs'!AG65</f>
        <v>25Y</v>
      </c>
      <c r="C185" s="278">
        <f ca="1">'EUR Swap PVs'!AH65</f>
        <v>-1047182.7946827146</v>
      </c>
      <c r="D185" s="278">
        <f ca="1">'EUR Swap PVs'!AI65</f>
        <v>-837746.23574617179</v>
      </c>
      <c r="E185" s="278">
        <f ca="1">'EUR Swap PVs'!AJ65</f>
        <v>-628309.67680962884</v>
      </c>
      <c r="F185" s="278">
        <f ca="1">'EUR Swap PVs'!AK65</f>
        <v>-418873.11787308578</v>
      </c>
      <c r="G185" s="278">
        <f ca="1">'EUR Swap PVs'!AL65</f>
        <v>-209436.55893654286</v>
      </c>
      <c r="H185" s="278">
        <f ca="1">'EUR Swap PVs'!AM65</f>
        <v>0</v>
      </c>
      <c r="I185" s="278">
        <f ca="1">'EUR Swap PVs'!AN65</f>
        <v>209436.55893654289</v>
      </c>
      <c r="J185" s="278">
        <f ca="1">'EUR Swap PVs'!AO65</f>
        <v>418873.1178730859</v>
      </c>
      <c r="K185" s="278">
        <f ca="1">'EUR Swap PVs'!AP65</f>
        <v>628309.67680962896</v>
      </c>
      <c r="L185" s="278">
        <f ca="1">'EUR Swap PVs'!AQ65</f>
        <v>837746.23574617179</v>
      </c>
      <c r="M185" s="279">
        <f ca="1">'EUR Swap PVs'!AR65</f>
        <v>1047182.7946827149</v>
      </c>
      <c r="O185" s="282" t="s">
        <v>18</v>
      </c>
      <c r="P185" s="278">
        <v>-1047182.7946827146</v>
      </c>
      <c r="Q185" s="278">
        <v>-837746.23574617179</v>
      </c>
      <c r="R185" s="278">
        <v>-628309.67680962884</v>
      </c>
      <c r="S185" s="278">
        <v>-418873.11787308578</v>
      </c>
      <c r="T185" s="278">
        <v>-209436.55893654286</v>
      </c>
      <c r="U185" s="278">
        <v>0</v>
      </c>
      <c r="V185" s="278">
        <v>209436.55893654289</v>
      </c>
      <c r="W185" s="278">
        <v>418873.1178730859</v>
      </c>
      <c r="X185" s="278">
        <v>628309.67680962896</v>
      </c>
      <c r="Y185" s="278">
        <v>837746.23574617179</v>
      </c>
      <c r="Z185" s="279">
        <v>1047182.7946827149</v>
      </c>
      <c r="AB185" s="282" t="str">
        <f t="shared" si="67"/>
        <v>25Y</v>
      </c>
      <c r="AC185" s="278">
        <f ca="1">IF(ABS(P185-C185)&gt;SnapshotTolerance,1,0)</f>
        <v>0</v>
      </c>
      <c r="AD185" s="278">
        <f ca="1">IF(ABS(Q185-D185)&gt;SnapshotTolerance,1,0)</f>
        <v>0</v>
      </c>
      <c r="AE185" s="278">
        <f ca="1">IF(ABS(R185-E185)&gt;SnapshotTolerance,1,0)</f>
        <v>0</v>
      </c>
      <c r="AF185" s="278">
        <f ca="1">IF(ABS(S185-F185)&gt;SnapshotTolerance,1,0)</f>
        <v>0</v>
      </c>
      <c r="AG185" s="278">
        <f ca="1">IF(ABS(T185-G185)&gt;SnapshotTolerance,1,0)</f>
        <v>0</v>
      </c>
      <c r="AH185" s="278">
        <f ca="1">IF(ABS(U185-H185)&gt;SnapshotTolerance,1,0)</f>
        <v>0</v>
      </c>
      <c r="AI185" s="278">
        <f ca="1">IF(ABS(V185-I185)&gt;SnapshotTolerance,1,0)</f>
        <v>0</v>
      </c>
      <c r="AJ185" s="278">
        <f ca="1">IF(ABS(W185-J185)&gt;SnapshotTolerance,1,0)</f>
        <v>0</v>
      </c>
      <c r="AK185" s="278">
        <f ca="1">IF(ABS(X185-K185)&gt;SnapshotTolerance,1,0)</f>
        <v>0</v>
      </c>
      <c r="AL185" s="278">
        <f ca="1">IF(ABS(Y185-L185)&gt;SnapshotTolerance,1,0)</f>
        <v>0</v>
      </c>
      <c r="AM185" s="279">
        <f ca="1">IF(ABS(Z185-M185)&gt;SnapshotTolerance,1,0)</f>
        <v>0</v>
      </c>
    </row>
    <row r="186" spans="2:39">
      <c r="B186" s="282" t="str">
        <f>'EUR Swap PVs'!AG66</f>
        <v>30Y</v>
      </c>
      <c r="C186" s="278">
        <f ca="1">'EUR Swap PVs'!AH66</f>
        <v>-1200253.8604142829</v>
      </c>
      <c r="D186" s="278">
        <f ca="1">'EUR Swap PVs'!AI66</f>
        <v>-960203.08833142626</v>
      </c>
      <c r="E186" s="278">
        <f ca="1">'EUR Swap PVs'!AJ66</f>
        <v>-720152.31624856964</v>
      </c>
      <c r="F186" s="278">
        <f ca="1">'EUR Swap PVs'!AK66</f>
        <v>-480101.54416571307</v>
      </c>
      <c r="G186" s="278">
        <f ca="1">'EUR Swap PVs'!AL66</f>
        <v>-240050.77208285654</v>
      </c>
      <c r="H186" s="278">
        <f ca="1">'EUR Swap PVs'!AM66</f>
        <v>0</v>
      </c>
      <c r="I186" s="278">
        <f ca="1">'EUR Swap PVs'!AN66</f>
        <v>240050.77208285657</v>
      </c>
      <c r="J186" s="278">
        <f ca="1">'EUR Swap PVs'!AO66</f>
        <v>480101.54416571307</v>
      </c>
      <c r="K186" s="278">
        <f ca="1">'EUR Swap PVs'!AP66</f>
        <v>720152.31624856964</v>
      </c>
      <c r="L186" s="278">
        <f ca="1">'EUR Swap PVs'!AQ66</f>
        <v>960203.08833142626</v>
      </c>
      <c r="M186" s="279">
        <f ca="1">'EUR Swap PVs'!AR66</f>
        <v>1200253.8604142831</v>
      </c>
      <c r="O186" s="282" t="s">
        <v>17</v>
      </c>
      <c r="P186" s="278">
        <v>-1200253.8604142829</v>
      </c>
      <c r="Q186" s="278">
        <v>-960203.08833142626</v>
      </c>
      <c r="R186" s="278">
        <v>-720152.31624856964</v>
      </c>
      <c r="S186" s="278">
        <v>-480101.54416571307</v>
      </c>
      <c r="T186" s="278">
        <v>-240050.77208285654</v>
      </c>
      <c r="U186" s="278">
        <v>0</v>
      </c>
      <c r="V186" s="278">
        <v>240050.77208285657</v>
      </c>
      <c r="W186" s="278">
        <v>480101.54416571307</v>
      </c>
      <c r="X186" s="278">
        <v>720152.31624856964</v>
      </c>
      <c r="Y186" s="278">
        <v>960203.08833142626</v>
      </c>
      <c r="Z186" s="279">
        <v>1200253.8604142831</v>
      </c>
      <c r="AB186" s="282" t="str">
        <f t="shared" si="67"/>
        <v>30Y</v>
      </c>
      <c r="AC186" s="278">
        <f ca="1">IF(ABS(P186-C186)&gt;SnapshotTolerance,1,0)</f>
        <v>0</v>
      </c>
      <c r="AD186" s="278">
        <f ca="1">IF(ABS(Q186-D186)&gt;SnapshotTolerance,1,0)</f>
        <v>0</v>
      </c>
      <c r="AE186" s="278">
        <f ca="1">IF(ABS(R186-E186)&gt;SnapshotTolerance,1,0)</f>
        <v>0</v>
      </c>
      <c r="AF186" s="278">
        <f ca="1">IF(ABS(S186-F186)&gt;SnapshotTolerance,1,0)</f>
        <v>0</v>
      </c>
      <c r="AG186" s="278">
        <f ca="1">IF(ABS(T186-G186)&gt;SnapshotTolerance,1,0)</f>
        <v>0</v>
      </c>
      <c r="AH186" s="278">
        <f ca="1">IF(ABS(U186-H186)&gt;SnapshotTolerance,1,0)</f>
        <v>0</v>
      </c>
      <c r="AI186" s="278">
        <f ca="1">IF(ABS(V186-I186)&gt;SnapshotTolerance,1,0)</f>
        <v>0</v>
      </c>
      <c r="AJ186" s="278">
        <f ca="1">IF(ABS(W186-J186)&gt;SnapshotTolerance,1,0)</f>
        <v>0</v>
      </c>
      <c r="AK186" s="278">
        <f ca="1">IF(ABS(X186-K186)&gt;SnapshotTolerance,1,0)</f>
        <v>0</v>
      </c>
      <c r="AL186" s="278">
        <f ca="1">IF(ABS(Y186-L186)&gt;SnapshotTolerance,1,0)</f>
        <v>0</v>
      </c>
      <c r="AM186" s="279">
        <f ca="1">IF(ABS(Z186-M186)&gt;SnapshotTolerance,1,0)</f>
        <v>0</v>
      </c>
    </row>
    <row r="187" spans="2:39">
      <c r="B187" s="282" t="str">
        <f>'EUR Swap PVs'!AG67</f>
        <v>35Y</v>
      </c>
      <c r="C187" s="278">
        <f ca="1">'EUR Swap PVs'!AH67</f>
        <v>-1341179.2700771403</v>
      </c>
      <c r="D187" s="278">
        <f ca="1">'EUR Swap PVs'!AI67</f>
        <v>-1072943.4160617122</v>
      </c>
      <c r="E187" s="278">
        <f ca="1">'EUR Swap PVs'!AJ67</f>
        <v>-804707.56204628409</v>
      </c>
      <c r="F187" s="278">
        <f ca="1">'EUR Swap PVs'!AK67</f>
        <v>-536471.7080308561</v>
      </c>
      <c r="G187" s="278">
        <f ca="1">'EUR Swap PVs'!AL67</f>
        <v>-268235.85401542799</v>
      </c>
      <c r="H187" s="278">
        <f ca="1">'EUR Swap PVs'!AM67</f>
        <v>-5.5511151231257827E-11</v>
      </c>
      <c r="I187" s="278">
        <f ca="1">'EUR Swap PVs'!AN67</f>
        <v>268235.85401542811</v>
      </c>
      <c r="J187" s="278">
        <f ca="1">'EUR Swap PVs'!AO67</f>
        <v>536471.70803085587</v>
      </c>
      <c r="K187" s="278">
        <f ca="1">'EUR Swap PVs'!AP67</f>
        <v>804707.56204628397</v>
      </c>
      <c r="L187" s="278">
        <f ca="1">'EUR Swap PVs'!AQ67</f>
        <v>1072943.4160617122</v>
      </c>
      <c r="M187" s="279">
        <f ca="1">'EUR Swap PVs'!AR67</f>
        <v>1341179.2700771403</v>
      </c>
      <c r="O187" s="282" t="s">
        <v>16</v>
      </c>
      <c r="P187" s="278">
        <v>-1341179.2700771403</v>
      </c>
      <c r="Q187" s="278">
        <v>-1072943.4160617122</v>
      </c>
      <c r="R187" s="278">
        <v>-804707.56204628409</v>
      </c>
      <c r="S187" s="278">
        <v>-536471.7080308561</v>
      </c>
      <c r="T187" s="278">
        <v>-268235.85401542799</v>
      </c>
      <c r="U187" s="278">
        <v>-5.5511151231257827E-11</v>
      </c>
      <c r="V187" s="278">
        <v>268235.85401542811</v>
      </c>
      <c r="W187" s="278">
        <v>536471.70803085587</v>
      </c>
      <c r="X187" s="278">
        <v>804707.56204628397</v>
      </c>
      <c r="Y187" s="278">
        <v>1072943.4160617122</v>
      </c>
      <c r="Z187" s="279">
        <v>1341179.2700771403</v>
      </c>
      <c r="AB187" s="282" t="str">
        <f t="shared" si="67"/>
        <v>35Y</v>
      </c>
      <c r="AC187" s="278">
        <f ca="1">IF(ABS(P187-C187)&gt;SnapshotTolerance,1,0)</f>
        <v>0</v>
      </c>
      <c r="AD187" s="278">
        <f ca="1">IF(ABS(Q187-D187)&gt;SnapshotTolerance,1,0)</f>
        <v>0</v>
      </c>
      <c r="AE187" s="278">
        <f ca="1">IF(ABS(R187-E187)&gt;SnapshotTolerance,1,0)</f>
        <v>0</v>
      </c>
      <c r="AF187" s="278">
        <f ca="1">IF(ABS(S187-F187)&gt;SnapshotTolerance,1,0)</f>
        <v>0</v>
      </c>
      <c r="AG187" s="278">
        <f ca="1">IF(ABS(T187-G187)&gt;SnapshotTolerance,1,0)</f>
        <v>0</v>
      </c>
      <c r="AH187" s="278">
        <f ca="1">IF(ABS(U187-H187)&gt;SnapshotTolerance,1,0)</f>
        <v>0</v>
      </c>
      <c r="AI187" s="278">
        <f ca="1">IF(ABS(V187-I187)&gt;SnapshotTolerance,1,0)</f>
        <v>0</v>
      </c>
      <c r="AJ187" s="278">
        <f ca="1">IF(ABS(W187-J187)&gt;SnapshotTolerance,1,0)</f>
        <v>0</v>
      </c>
      <c r="AK187" s="278">
        <f ca="1">IF(ABS(X187-K187)&gt;SnapshotTolerance,1,0)</f>
        <v>0</v>
      </c>
      <c r="AL187" s="278">
        <f ca="1">IF(ABS(Y187-L187)&gt;SnapshotTolerance,1,0)</f>
        <v>0</v>
      </c>
      <c r="AM187" s="279">
        <f ca="1">IF(ABS(Z187-M187)&gt;SnapshotTolerance,1,0)</f>
        <v>0</v>
      </c>
    </row>
    <row r="188" spans="2:39">
      <c r="B188" s="282" t="str">
        <f>'EUR Swap PVs'!AG68</f>
        <v>40Y</v>
      </c>
      <c r="C188" s="278">
        <f ca="1">'EUR Swap PVs'!AH68</f>
        <v>-1471307.5991774676</v>
      </c>
      <c r="D188" s="278">
        <f ca="1">'EUR Swap PVs'!AI68</f>
        <v>-1177046.0793419741</v>
      </c>
      <c r="E188" s="278">
        <f ca="1">'EUR Swap PVs'!AJ68</f>
        <v>-882784.55950648047</v>
      </c>
      <c r="F188" s="278">
        <f ca="1">'EUR Swap PVs'!AK68</f>
        <v>-588523.03967098694</v>
      </c>
      <c r="G188" s="278">
        <f ca="1">'EUR Swap PVs'!AL68</f>
        <v>-294261.51983549341</v>
      </c>
      <c r="H188" s="278">
        <f ca="1">'EUR Swap PVs'!AM68</f>
        <v>0</v>
      </c>
      <c r="I188" s="278">
        <f ca="1">'EUR Swap PVs'!AN68</f>
        <v>294261.51983549364</v>
      </c>
      <c r="J188" s="278">
        <f ca="1">'EUR Swap PVs'!AO68</f>
        <v>588523.03967098705</v>
      </c>
      <c r="K188" s="278">
        <f ca="1">'EUR Swap PVs'!AP68</f>
        <v>882784.55950648047</v>
      </c>
      <c r="L188" s="278">
        <f ca="1">'EUR Swap PVs'!AQ68</f>
        <v>1177046.0793419741</v>
      </c>
      <c r="M188" s="279">
        <f ca="1">'EUR Swap PVs'!AR68</f>
        <v>1471307.5991774676</v>
      </c>
      <c r="O188" s="282" t="s">
        <v>15</v>
      </c>
      <c r="P188" s="278">
        <v>-1471307.5991774676</v>
      </c>
      <c r="Q188" s="278">
        <v>-1177046.0793419741</v>
      </c>
      <c r="R188" s="278">
        <v>-882784.55950648047</v>
      </c>
      <c r="S188" s="278">
        <v>-588523.03967098694</v>
      </c>
      <c r="T188" s="278">
        <v>-294261.51983549341</v>
      </c>
      <c r="U188" s="278">
        <v>0</v>
      </c>
      <c r="V188" s="278">
        <v>294261.51983549364</v>
      </c>
      <c r="W188" s="278">
        <v>588523.03967098705</v>
      </c>
      <c r="X188" s="278">
        <v>882784.55950648047</v>
      </c>
      <c r="Y188" s="278">
        <v>1177046.0793419741</v>
      </c>
      <c r="Z188" s="279">
        <v>1471307.5991774676</v>
      </c>
      <c r="AB188" s="282" t="str">
        <f t="shared" si="67"/>
        <v>40Y</v>
      </c>
      <c r="AC188" s="278">
        <f ca="1">IF(ABS(P188-C188)&gt;SnapshotTolerance,1,0)</f>
        <v>0</v>
      </c>
      <c r="AD188" s="278">
        <f ca="1">IF(ABS(Q188-D188)&gt;SnapshotTolerance,1,0)</f>
        <v>0</v>
      </c>
      <c r="AE188" s="278">
        <f ca="1">IF(ABS(R188-E188)&gt;SnapshotTolerance,1,0)</f>
        <v>0</v>
      </c>
      <c r="AF188" s="278">
        <f ca="1">IF(ABS(S188-F188)&gt;SnapshotTolerance,1,0)</f>
        <v>0</v>
      </c>
      <c r="AG188" s="278">
        <f ca="1">IF(ABS(T188-G188)&gt;SnapshotTolerance,1,0)</f>
        <v>0</v>
      </c>
      <c r="AH188" s="278">
        <f ca="1">IF(ABS(U188-H188)&gt;SnapshotTolerance,1,0)</f>
        <v>0</v>
      </c>
      <c r="AI188" s="278">
        <f ca="1">IF(ABS(V188-I188)&gt;SnapshotTolerance,1,0)</f>
        <v>0</v>
      </c>
      <c r="AJ188" s="278">
        <f ca="1">IF(ABS(W188-J188)&gt;SnapshotTolerance,1,0)</f>
        <v>0</v>
      </c>
      <c r="AK188" s="278">
        <f ca="1">IF(ABS(X188-K188)&gt;SnapshotTolerance,1,0)</f>
        <v>0</v>
      </c>
      <c r="AL188" s="278">
        <f ca="1">IF(ABS(Y188-L188)&gt;SnapshotTolerance,1,0)</f>
        <v>0</v>
      </c>
      <c r="AM188" s="279">
        <f ca="1">IF(ABS(Z188-M188)&gt;SnapshotTolerance,1,0)</f>
        <v>0</v>
      </c>
    </row>
    <row r="189" spans="2:39">
      <c r="B189" s="282" t="str">
        <f>'EUR Swap PVs'!AG69</f>
        <v>45Y</v>
      </c>
      <c r="C189" s="278">
        <f ca="1">'EUR Swap PVs'!AH69</f>
        <v>-1589983.8927858977</v>
      </c>
      <c r="D189" s="278">
        <f ca="1">'EUR Swap PVs'!AI69</f>
        <v>-1271987.114228718</v>
      </c>
      <c r="E189" s="278">
        <f ca="1">'EUR Swap PVs'!AJ69</f>
        <v>-953990.33567153849</v>
      </c>
      <c r="F189" s="278">
        <f ca="1">'EUR Swap PVs'!AK69</f>
        <v>-635993.55711435887</v>
      </c>
      <c r="G189" s="278">
        <f ca="1">'EUR Swap PVs'!AL69</f>
        <v>-317996.77855717938</v>
      </c>
      <c r="H189" s="278">
        <f ca="1">'EUR Swap PVs'!AM69</f>
        <v>0</v>
      </c>
      <c r="I189" s="278">
        <f ca="1">'EUR Swap PVs'!AN69</f>
        <v>317996.77855717944</v>
      </c>
      <c r="J189" s="278">
        <f ca="1">'EUR Swap PVs'!AO69</f>
        <v>635993.55711435899</v>
      </c>
      <c r="K189" s="278">
        <f ca="1">'EUR Swap PVs'!AP69</f>
        <v>953990.33567153837</v>
      </c>
      <c r="L189" s="278">
        <f ca="1">'EUR Swap PVs'!AQ69</f>
        <v>1271987.1142287182</v>
      </c>
      <c r="M189" s="279">
        <f ca="1">'EUR Swap PVs'!AR69</f>
        <v>1589983.8927858972</v>
      </c>
      <c r="O189" s="282" t="s">
        <v>368</v>
      </c>
      <c r="P189" s="278">
        <v>-1589983.8927858977</v>
      </c>
      <c r="Q189" s="278">
        <v>-1271987.114228718</v>
      </c>
      <c r="R189" s="278">
        <v>-953990.33567153849</v>
      </c>
      <c r="S189" s="278">
        <v>-635993.55711435887</v>
      </c>
      <c r="T189" s="278">
        <v>-317996.77855717938</v>
      </c>
      <c r="U189" s="278">
        <v>0</v>
      </c>
      <c r="V189" s="278">
        <v>317996.77855717944</v>
      </c>
      <c r="W189" s="278">
        <v>635993.55711435899</v>
      </c>
      <c r="X189" s="278">
        <v>953990.33567153837</v>
      </c>
      <c r="Y189" s="278">
        <v>1271987.1142287182</v>
      </c>
      <c r="Z189" s="279">
        <v>1589983.8927858972</v>
      </c>
      <c r="AB189" s="282" t="str">
        <f t="shared" si="67"/>
        <v>45Y</v>
      </c>
      <c r="AC189" s="278">
        <f ca="1">IF(ABS(P189-C189)&gt;SnapshotTolerance,1,0)</f>
        <v>0</v>
      </c>
      <c r="AD189" s="278">
        <f ca="1">IF(ABS(Q189-D189)&gt;SnapshotTolerance,1,0)</f>
        <v>0</v>
      </c>
      <c r="AE189" s="278">
        <f ca="1">IF(ABS(R189-E189)&gt;SnapshotTolerance,1,0)</f>
        <v>0</v>
      </c>
      <c r="AF189" s="278">
        <f ca="1">IF(ABS(S189-F189)&gt;SnapshotTolerance,1,0)</f>
        <v>0</v>
      </c>
      <c r="AG189" s="278">
        <f ca="1">IF(ABS(T189-G189)&gt;SnapshotTolerance,1,0)</f>
        <v>0</v>
      </c>
      <c r="AH189" s="278">
        <f ca="1">IF(ABS(U189-H189)&gt;SnapshotTolerance,1,0)</f>
        <v>0</v>
      </c>
      <c r="AI189" s="278">
        <f ca="1">IF(ABS(V189-I189)&gt;SnapshotTolerance,1,0)</f>
        <v>0</v>
      </c>
      <c r="AJ189" s="278">
        <f ca="1">IF(ABS(W189-J189)&gt;SnapshotTolerance,1,0)</f>
        <v>0</v>
      </c>
      <c r="AK189" s="278">
        <f ca="1">IF(ABS(X189-K189)&gt;SnapshotTolerance,1,0)</f>
        <v>0</v>
      </c>
      <c r="AL189" s="278">
        <f ca="1">IF(ABS(Y189-L189)&gt;SnapshotTolerance,1,0)</f>
        <v>0</v>
      </c>
      <c r="AM189" s="279">
        <f ca="1">IF(ABS(Z189-M189)&gt;SnapshotTolerance,1,0)</f>
        <v>0</v>
      </c>
    </row>
    <row r="190" spans="2:39">
      <c r="B190" s="283" t="str">
        <f>'EUR Swap PVs'!AG70</f>
        <v>50Y</v>
      </c>
      <c r="C190" s="280">
        <f ca="1">'EUR Swap PVs'!AH70</f>
        <v>-1698516.6839658313</v>
      </c>
      <c r="D190" s="280">
        <f ca="1">'EUR Swap PVs'!AI70</f>
        <v>-1358813.3471726649</v>
      </c>
      <c r="E190" s="280">
        <f ca="1">'EUR Swap PVs'!AJ70</f>
        <v>-1019110.0103794986</v>
      </c>
      <c r="F190" s="280">
        <f ca="1">'EUR Swap PVs'!AK70</f>
        <v>-679406.67358633236</v>
      </c>
      <c r="G190" s="280">
        <f ca="1">'EUR Swap PVs'!AL70</f>
        <v>-339703.33679316612</v>
      </c>
      <c r="H190" s="280">
        <f ca="1">'EUR Swap PVs'!AM70</f>
        <v>0</v>
      </c>
      <c r="I190" s="280">
        <f ca="1">'EUR Swap PVs'!AN70</f>
        <v>339703.33679316624</v>
      </c>
      <c r="J190" s="280">
        <f ca="1">'EUR Swap PVs'!AO70</f>
        <v>679406.67358633247</v>
      </c>
      <c r="K190" s="280">
        <f ca="1">'EUR Swap PVs'!AP70</f>
        <v>1019110.0103794988</v>
      </c>
      <c r="L190" s="280">
        <f ca="1">'EUR Swap PVs'!AQ70</f>
        <v>1358813.3471726649</v>
      </c>
      <c r="M190" s="281">
        <f ca="1">'EUR Swap PVs'!AR70</f>
        <v>1698516.6839658313</v>
      </c>
      <c r="O190" s="283" t="s">
        <v>14</v>
      </c>
      <c r="P190" s="280">
        <v>-1698516.6839658313</v>
      </c>
      <c r="Q190" s="280">
        <v>-1358813.3471726649</v>
      </c>
      <c r="R190" s="280">
        <v>-1019110.0103794986</v>
      </c>
      <c r="S190" s="280">
        <v>-679406.67358633236</v>
      </c>
      <c r="T190" s="280">
        <v>-339703.33679316612</v>
      </c>
      <c r="U190" s="280">
        <v>0</v>
      </c>
      <c r="V190" s="280">
        <v>339703.33679316624</v>
      </c>
      <c r="W190" s="280">
        <v>679406.67358633247</v>
      </c>
      <c r="X190" s="280">
        <v>1019110.0103794988</v>
      </c>
      <c r="Y190" s="280">
        <v>1358813.3471726649</v>
      </c>
      <c r="Z190" s="281">
        <v>1698516.6839658313</v>
      </c>
      <c r="AB190" s="283" t="str">
        <f t="shared" si="67"/>
        <v>50Y</v>
      </c>
      <c r="AC190" s="280">
        <f ca="1">IF(ABS(P190-C190)&gt;SnapshotTolerance,1,0)</f>
        <v>0</v>
      </c>
      <c r="AD190" s="280">
        <f ca="1">IF(ABS(Q190-D190)&gt;SnapshotTolerance,1,0)</f>
        <v>0</v>
      </c>
      <c r="AE190" s="280">
        <f ca="1">IF(ABS(R190-E190)&gt;SnapshotTolerance,1,0)</f>
        <v>0</v>
      </c>
      <c r="AF190" s="280">
        <f ca="1">IF(ABS(S190-F190)&gt;SnapshotTolerance,1,0)</f>
        <v>0</v>
      </c>
      <c r="AG190" s="280">
        <f ca="1">IF(ABS(T190-G190)&gt;SnapshotTolerance,1,0)</f>
        <v>0</v>
      </c>
      <c r="AH190" s="280">
        <f ca="1">IF(ABS(U190-H190)&gt;SnapshotTolerance,1,0)</f>
        <v>0</v>
      </c>
      <c r="AI190" s="280">
        <f ca="1">IF(ABS(V190-I190)&gt;SnapshotTolerance,1,0)</f>
        <v>0</v>
      </c>
      <c r="AJ190" s="280">
        <f ca="1">IF(ABS(W190-J190)&gt;SnapshotTolerance,1,0)</f>
        <v>0</v>
      </c>
      <c r="AK190" s="280">
        <f ca="1">IF(ABS(X190-K190)&gt;SnapshotTolerance,1,0)</f>
        <v>0</v>
      </c>
      <c r="AL190" s="280">
        <f ca="1">IF(ABS(Y190-L190)&gt;SnapshotTolerance,1,0)</f>
        <v>0</v>
      </c>
      <c r="AM190" s="281">
        <f ca="1">IF(ABS(Z190-M190)&gt;SnapshotTolerance,1,0)</f>
        <v>0</v>
      </c>
    </row>
    <row r="193" spans="2:39">
      <c r="B193" t="s">
        <v>533</v>
      </c>
      <c r="E193" t="s">
        <v>472</v>
      </c>
    </row>
    <row r="194" spans="2:39">
      <c r="B194" t="s">
        <v>530</v>
      </c>
      <c r="E194" s="252">
        <f ca="1">SUM(AC199:AM217)</f>
        <v>0</v>
      </c>
    </row>
    <row r="195" spans="2:39">
      <c r="B195" t="s">
        <v>532</v>
      </c>
    </row>
    <row r="197" spans="2:39">
      <c r="B197" t="s">
        <v>510</v>
      </c>
      <c r="O197" t="s">
        <v>470</v>
      </c>
      <c r="AB197" t="s">
        <v>511</v>
      </c>
    </row>
    <row r="198" spans="2:39">
      <c r="B198" s="254" t="str">
        <f>'EUR Swap PVs'!AG76</f>
        <v>Term</v>
      </c>
      <c r="C198" s="287">
        <f>'EUR Swap PVs'!AH76</f>
        <v>500</v>
      </c>
      <c r="D198" s="287">
        <f>'EUR Swap PVs'!AI76</f>
        <v>400</v>
      </c>
      <c r="E198" s="287">
        <f>'EUR Swap PVs'!AJ76</f>
        <v>300</v>
      </c>
      <c r="F198" s="287">
        <f>'EUR Swap PVs'!AK76</f>
        <v>200</v>
      </c>
      <c r="G198" s="287">
        <f>'EUR Swap PVs'!AL76</f>
        <v>100</v>
      </c>
      <c r="H198" s="287">
        <f>'EUR Swap PVs'!AM76</f>
        <v>0</v>
      </c>
      <c r="I198" s="287">
        <f>'EUR Swap PVs'!AN76</f>
        <v>-100</v>
      </c>
      <c r="J198" s="287">
        <f>'EUR Swap PVs'!AO76</f>
        <v>-200</v>
      </c>
      <c r="K198" s="287">
        <f>'EUR Swap PVs'!AP76</f>
        <v>-300</v>
      </c>
      <c r="L198" s="287">
        <f>'EUR Swap PVs'!AQ76</f>
        <v>-400</v>
      </c>
      <c r="M198" s="288">
        <f>'EUR Swap PVs'!AR76</f>
        <v>-500</v>
      </c>
      <c r="O198" s="254" t="s">
        <v>76</v>
      </c>
      <c r="P198" s="287">
        <v>500</v>
      </c>
      <c r="Q198" s="287">
        <v>400</v>
      </c>
      <c r="R198" s="287">
        <v>300</v>
      </c>
      <c r="S198" s="287">
        <v>200</v>
      </c>
      <c r="T198" s="287">
        <v>100</v>
      </c>
      <c r="U198" s="287">
        <v>0</v>
      </c>
      <c r="V198" s="287">
        <v>-100</v>
      </c>
      <c r="W198" s="287">
        <v>-200</v>
      </c>
      <c r="X198" s="287">
        <v>-300</v>
      </c>
      <c r="Y198" s="287">
        <v>-400</v>
      </c>
      <c r="Z198" s="288">
        <v>-500</v>
      </c>
      <c r="AB198" s="254" t="str">
        <f>O198</f>
        <v>Term</v>
      </c>
      <c r="AC198" s="287">
        <f>P198</f>
        <v>500</v>
      </c>
      <c r="AD198" s="287">
        <f t="shared" ref="AD198" si="68">Q198</f>
        <v>400</v>
      </c>
      <c r="AE198" s="287">
        <f t="shared" ref="AE198" si="69">R198</f>
        <v>300</v>
      </c>
      <c r="AF198" s="287">
        <f t="shared" ref="AF198" si="70">S198</f>
        <v>200</v>
      </c>
      <c r="AG198" s="287">
        <f t="shared" ref="AG198" si="71">T198</f>
        <v>100</v>
      </c>
      <c r="AH198" s="287">
        <f t="shared" ref="AH198" si="72">U198</f>
        <v>0</v>
      </c>
      <c r="AI198" s="287">
        <f t="shared" ref="AI198" si="73">V198</f>
        <v>-100</v>
      </c>
      <c r="AJ198" s="287">
        <f t="shared" ref="AJ198" si="74">W198</f>
        <v>-200</v>
      </c>
      <c r="AK198" s="287">
        <f t="shared" ref="AK198" si="75">X198</f>
        <v>-300</v>
      </c>
      <c r="AL198" s="287">
        <f t="shared" ref="AL198" si="76">Y198</f>
        <v>-400</v>
      </c>
      <c r="AM198" s="288">
        <f t="shared" ref="AM198" si="77">Z198</f>
        <v>-500</v>
      </c>
    </row>
    <row r="199" spans="2:39">
      <c r="B199" s="282" t="str">
        <f>'EUR Swap PVs'!AG77</f>
        <v>2Y</v>
      </c>
      <c r="C199" s="278">
        <f ca="1">'EUR Swap PVs'!AH77</f>
        <v>-101953.21509841587</v>
      </c>
      <c r="D199" s="278">
        <f ca="1">'EUR Swap PVs'!AI77</f>
        <v>-81562.572078732686</v>
      </c>
      <c r="E199" s="278">
        <f ca="1">'EUR Swap PVs'!AJ77</f>
        <v>-61171.929059049537</v>
      </c>
      <c r="F199" s="278">
        <f ca="1">'EUR Swap PVs'!AK77</f>
        <v>-40781.28603936635</v>
      </c>
      <c r="G199" s="278">
        <f ca="1">'EUR Swap PVs'!AL77</f>
        <v>-20390.643019683175</v>
      </c>
      <c r="H199" s="278">
        <f ca="1">'EUR Swap PVs'!AM77</f>
        <v>0</v>
      </c>
      <c r="I199" s="278">
        <f ca="1">'EUR Swap PVs'!AN77</f>
        <v>20390.643019683175</v>
      </c>
      <c r="J199" s="278">
        <f ca="1">'EUR Swap PVs'!AO77</f>
        <v>40781.28603936635</v>
      </c>
      <c r="K199" s="278">
        <f ca="1">'EUR Swap PVs'!AP77</f>
        <v>61171.929059049529</v>
      </c>
      <c r="L199" s="278">
        <f ca="1">'EUR Swap PVs'!AQ77</f>
        <v>81562.572078732715</v>
      </c>
      <c r="M199" s="279">
        <f ca="1">'EUR Swap PVs'!AR77</f>
        <v>101953.21509841588</v>
      </c>
      <c r="O199" s="282" t="s">
        <v>42</v>
      </c>
      <c r="P199" s="278">
        <v>-101953.21509841587</v>
      </c>
      <c r="Q199" s="278">
        <v>-81562.572078732686</v>
      </c>
      <c r="R199" s="278">
        <v>-61171.929059049537</v>
      </c>
      <c r="S199" s="278">
        <v>-40781.28603936635</v>
      </c>
      <c r="T199" s="278">
        <v>-20390.643019683175</v>
      </c>
      <c r="U199" s="278">
        <v>0</v>
      </c>
      <c r="V199" s="278">
        <v>20390.643019683175</v>
      </c>
      <c r="W199" s="278">
        <v>40781.28603936635</v>
      </c>
      <c r="X199" s="278">
        <v>61171.929059049529</v>
      </c>
      <c r="Y199" s="278">
        <v>81562.572078732715</v>
      </c>
      <c r="Z199" s="279">
        <v>101953.21509841588</v>
      </c>
      <c r="AB199" s="282" t="str">
        <f t="shared" ref="AB199:AB217" si="78">O199</f>
        <v>2Y</v>
      </c>
      <c r="AC199" s="278">
        <f ca="1">IF(ABS(P199-C199)&gt;SnapshotTolerance,1,0)</f>
        <v>0</v>
      </c>
      <c r="AD199" s="278">
        <f ca="1">IF(ABS(Q199-D199)&gt;SnapshotTolerance,1,0)</f>
        <v>0</v>
      </c>
      <c r="AE199" s="278">
        <f ca="1">IF(ABS(R199-E199)&gt;SnapshotTolerance,1,0)</f>
        <v>0</v>
      </c>
      <c r="AF199" s="278">
        <f ca="1">IF(ABS(S199-F199)&gt;SnapshotTolerance,1,0)</f>
        <v>0</v>
      </c>
      <c r="AG199" s="278">
        <f ca="1">IF(ABS(T199-G199)&gt;SnapshotTolerance,1,0)</f>
        <v>0</v>
      </c>
      <c r="AH199" s="278">
        <f ca="1">IF(ABS(U199-H199)&gt;SnapshotTolerance,1,0)</f>
        <v>0</v>
      </c>
      <c r="AI199" s="278">
        <f ca="1">IF(ABS(V199-I199)&gt;SnapshotTolerance,1,0)</f>
        <v>0</v>
      </c>
      <c r="AJ199" s="278">
        <f ca="1">IF(ABS(W199-J199)&gt;SnapshotTolerance,1,0)</f>
        <v>0</v>
      </c>
      <c r="AK199" s="278">
        <f ca="1">IF(ABS(X199-K199)&gt;SnapshotTolerance,1,0)</f>
        <v>0</v>
      </c>
      <c r="AL199" s="278">
        <f ca="1">IF(ABS(Y199-L199)&gt;SnapshotTolerance,1,0)</f>
        <v>0</v>
      </c>
      <c r="AM199" s="279">
        <f ca="1">IF(ABS(Z199-M199)&gt;SnapshotTolerance,1,0)</f>
        <v>0</v>
      </c>
    </row>
    <row r="200" spans="2:39">
      <c r="B200" s="282" t="str">
        <f>'EUR Swap PVs'!AG78</f>
        <v>3Y</v>
      </c>
      <c r="C200" s="278">
        <f ca="1">'EUR Swap PVs'!AH78</f>
        <v>-152542.46364885769</v>
      </c>
      <c r="D200" s="278">
        <f ca="1">'EUR Swap PVs'!AI78</f>
        <v>-122033.97091908618</v>
      </c>
      <c r="E200" s="278">
        <f ca="1">'EUR Swap PVs'!AJ78</f>
        <v>-91525.478189314643</v>
      </c>
      <c r="F200" s="278">
        <f ca="1">'EUR Swap PVs'!AK78</f>
        <v>-61016.985459543081</v>
      </c>
      <c r="G200" s="278">
        <f ca="1">'EUR Swap PVs'!AL78</f>
        <v>-30508.492729771537</v>
      </c>
      <c r="H200" s="278">
        <f ca="1">'EUR Swap PVs'!AM78</f>
        <v>0</v>
      </c>
      <c r="I200" s="278">
        <f ca="1">'EUR Swap PVs'!AN78</f>
        <v>30508.492729771544</v>
      </c>
      <c r="J200" s="278">
        <f ca="1">'EUR Swap PVs'!AO78</f>
        <v>61016.985459543081</v>
      </c>
      <c r="K200" s="278">
        <f ca="1">'EUR Swap PVs'!AP78</f>
        <v>91525.478189314628</v>
      </c>
      <c r="L200" s="278">
        <f ca="1">'EUR Swap PVs'!AQ78</f>
        <v>122033.97091908618</v>
      </c>
      <c r="M200" s="279">
        <f ca="1">'EUR Swap PVs'!AR78</f>
        <v>152542.46364885769</v>
      </c>
      <c r="O200" s="282" t="s">
        <v>39</v>
      </c>
      <c r="P200" s="278">
        <v>-152542.46364885769</v>
      </c>
      <c r="Q200" s="278">
        <v>-122033.97091908618</v>
      </c>
      <c r="R200" s="278">
        <v>-91525.478189314643</v>
      </c>
      <c r="S200" s="278">
        <v>-61016.985459543081</v>
      </c>
      <c r="T200" s="278">
        <v>-30508.492729771537</v>
      </c>
      <c r="U200" s="278">
        <v>0</v>
      </c>
      <c r="V200" s="278">
        <v>30508.492729771544</v>
      </c>
      <c r="W200" s="278">
        <v>61016.985459543081</v>
      </c>
      <c r="X200" s="278">
        <v>91525.478189314628</v>
      </c>
      <c r="Y200" s="278">
        <v>122033.97091908618</v>
      </c>
      <c r="Z200" s="279">
        <v>152542.46364885769</v>
      </c>
      <c r="AB200" s="282" t="str">
        <f t="shared" si="78"/>
        <v>3Y</v>
      </c>
      <c r="AC200" s="278">
        <f ca="1">IF(ABS(P200-C200)&gt;SnapshotTolerance,1,0)</f>
        <v>0</v>
      </c>
      <c r="AD200" s="278">
        <f ca="1">IF(ABS(Q200-D200)&gt;SnapshotTolerance,1,0)</f>
        <v>0</v>
      </c>
      <c r="AE200" s="278">
        <f ca="1">IF(ABS(R200-E200)&gt;SnapshotTolerance,1,0)</f>
        <v>0</v>
      </c>
      <c r="AF200" s="278">
        <f ca="1">IF(ABS(S200-F200)&gt;SnapshotTolerance,1,0)</f>
        <v>0</v>
      </c>
      <c r="AG200" s="278">
        <f ca="1">IF(ABS(T200-G200)&gt;SnapshotTolerance,1,0)</f>
        <v>0</v>
      </c>
      <c r="AH200" s="278">
        <f ca="1">IF(ABS(U200-H200)&gt;SnapshotTolerance,1,0)</f>
        <v>0</v>
      </c>
      <c r="AI200" s="278">
        <f ca="1">IF(ABS(V200-I200)&gt;SnapshotTolerance,1,0)</f>
        <v>0</v>
      </c>
      <c r="AJ200" s="278">
        <f ca="1">IF(ABS(W200-J200)&gt;SnapshotTolerance,1,0)</f>
        <v>0</v>
      </c>
      <c r="AK200" s="278">
        <f ca="1">IF(ABS(X200-K200)&gt;SnapshotTolerance,1,0)</f>
        <v>0</v>
      </c>
      <c r="AL200" s="278">
        <f ca="1">IF(ABS(Y200-L200)&gt;SnapshotTolerance,1,0)</f>
        <v>0</v>
      </c>
      <c r="AM200" s="279">
        <f ca="1">IF(ABS(Z200-M200)&gt;SnapshotTolerance,1,0)</f>
        <v>0</v>
      </c>
    </row>
    <row r="201" spans="2:39">
      <c r="B201" s="282" t="str">
        <f>'EUR Swap PVs'!AG79</f>
        <v>4Y</v>
      </c>
      <c r="C201" s="278">
        <f ca="1">'EUR Swap PVs'!AH79</f>
        <v>-202890.72538400179</v>
      </c>
      <c r="D201" s="278">
        <f ca="1">'EUR Swap PVs'!AI79</f>
        <v>-162312.58030720142</v>
      </c>
      <c r="E201" s="278">
        <f ca="1">'EUR Swap PVs'!AJ79</f>
        <v>-121734.4352304011</v>
      </c>
      <c r="F201" s="278">
        <f ca="1">'EUR Swap PVs'!AK79</f>
        <v>-81156.290153600712</v>
      </c>
      <c r="G201" s="278">
        <f ca="1">'EUR Swap PVs'!AL79</f>
        <v>-40578.145076800356</v>
      </c>
      <c r="H201" s="278">
        <f ca="1">'EUR Swap PVs'!AM79</f>
        <v>0</v>
      </c>
      <c r="I201" s="278">
        <f ca="1">'EUR Swap PVs'!AN79</f>
        <v>40578.145076800363</v>
      </c>
      <c r="J201" s="278">
        <f ca="1">'EUR Swap PVs'!AO79</f>
        <v>81156.290153600727</v>
      </c>
      <c r="K201" s="278">
        <f ca="1">'EUR Swap PVs'!AP79</f>
        <v>121734.43523040107</v>
      </c>
      <c r="L201" s="278">
        <f ca="1">'EUR Swap PVs'!AQ79</f>
        <v>162312.58030720145</v>
      </c>
      <c r="M201" s="279">
        <f ca="1">'EUR Swap PVs'!AR79</f>
        <v>202890.72538400179</v>
      </c>
      <c r="O201" s="282" t="s">
        <v>35</v>
      </c>
      <c r="P201" s="278">
        <v>-202890.72538400179</v>
      </c>
      <c r="Q201" s="278">
        <v>-162312.58030720142</v>
      </c>
      <c r="R201" s="278">
        <v>-121734.4352304011</v>
      </c>
      <c r="S201" s="278">
        <v>-81156.290153600712</v>
      </c>
      <c r="T201" s="278">
        <v>-40578.145076800356</v>
      </c>
      <c r="U201" s="278">
        <v>0</v>
      </c>
      <c r="V201" s="278">
        <v>40578.145076800363</v>
      </c>
      <c r="W201" s="278">
        <v>81156.290153600727</v>
      </c>
      <c r="X201" s="278">
        <v>121734.43523040107</v>
      </c>
      <c r="Y201" s="278">
        <v>162312.58030720145</v>
      </c>
      <c r="Z201" s="279">
        <v>202890.72538400179</v>
      </c>
      <c r="AB201" s="282" t="str">
        <f t="shared" si="78"/>
        <v>4Y</v>
      </c>
      <c r="AC201" s="278">
        <f ca="1">IF(ABS(P201-C201)&gt;SnapshotTolerance,1,0)</f>
        <v>0</v>
      </c>
      <c r="AD201" s="278">
        <f ca="1">IF(ABS(Q201-D201)&gt;SnapshotTolerance,1,0)</f>
        <v>0</v>
      </c>
      <c r="AE201" s="278">
        <f ca="1">IF(ABS(R201-E201)&gt;SnapshotTolerance,1,0)</f>
        <v>0</v>
      </c>
      <c r="AF201" s="278">
        <f ca="1">IF(ABS(S201-F201)&gt;SnapshotTolerance,1,0)</f>
        <v>0</v>
      </c>
      <c r="AG201" s="278">
        <f ca="1">IF(ABS(T201-G201)&gt;SnapshotTolerance,1,0)</f>
        <v>0</v>
      </c>
      <c r="AH201" s="278">
        <f ca="1">IF(ABS(U201-H201)&gt;SnapshotTolerance,1,0)</f>
        <v>0</v>
      </c>
      <c r="AI201" s="278">
        <f ca="1">IF(ABS(V201-I201)&gt;SnapshotTolerance,1,0)</f>
        <v>0</v>
      </c>
      <c r="AJ201" s="278">
        <f ca="1">IF(ABS(W201-J201)&gt;SnapshotTolerance,1,0)</f>
        <v>0</v>
      </c>
      <c r="AK201" s="278">
        <f ca="1">IF(ABS(X201-K201)&gt;SnapshotTolerance,1,0)</f>
        <v>0</v>
      </c>
      <c r="AL201" s="278">
        <f ca="1">IF(ABS(Y201-L201)&gt;SnapshotTolerance,1,0)</f>
        <v>0</v>
      </c>
      <c r="AM201" s="279">
        <f ca="1">IF(ABS(Z201-M201)&gt;SnapshotTolerance,1,0)</f>
        <v>0</v>
      </c>
    </row>
    <row r="202" spans="2:39">
      <c r="B202" s="282" t="str">
        <f>'EUR Swap PVs'!AG80</f>
        <v>5Y</v>
      </c>
      <c r="C202" s="278">
        <f ca="1">'EUR Swap PVs'!AH80</f>
        <v>-253069.5285075022</v>
      </c>
      <c r="D202" s="278">
        <f ca="1">'EUR Swap PVs'!AI80</f>
        <v>-202455.62280600177</v>
      </c>
      <c r="E202" s="278">
        <f ca="1">'EUR Swap PVs'!AJ80</f>
        <v>-151841.71710450135</v>
      </c>
      <c r="F202" s="278">
        <f ca="1">'EUR Swap PVs'!AK80</f>
        <v>-101227.81140300087</v>
      </c>
      <c r="G202" s="278">
        <f ca="1">'EUR Swap PVs'!AL80</f>
        <v>-50613.905701500429</v>
      </c>
      <c r="H202" s="278">
        <f ca="1">'EUR Swap PVs'!AM80</f>
        <v>0</v>
      </c>
      <c r="I202" s="278">
        <f ca="1">'EUR Swap PVs'!AN80</f>
        <v>50613.905701500444</v>
      </c>
      <c r="J202" s="278">
        <f ca="1">'EUR Swap PVs'!AO80</f>
        <v>101227.8114030009</v>
      </c>
      <c r="K202" s="278">
        <f ca="1">'EUR Swap PVs'!AP80</f>
        <v>151841.71710450135</v>
      </c>
      <c r="L202" s="278">
        <f ca="1">'EUR Swap PVs'!AQ80</f>
        <v>202455.62280600177</v>
      </c>
      <c r="M202" s="279">
        <f ca="1">'EUR Swap PVs'!AR80</f>
        <v>253069.5285075022</v>
      </c>
      <c r="O202" s="282" t="s">
        <v>33</v>
      </c>
      <c r="P202" s="278">
        <v>-253069.5285075022</v>
      </c>
      <c r="Q202" s="278">
        <v>-202455.62280600177</v>
      </c>
      <c r="R202" s="278">
        <v>-151841.71710450135</v>
      </c>
      <c r="S202" s="278">
        <v>-101227.81140300087</v>
      </c>
      <c r="T202" s="278">
        <v>-50613.905701500429</v>
      </c>
      <c r="U202" s="278">
        <v>0</v>
      </c>
      <c r="V202" s="278">
        <v>50613.905701500444</v>
      </c>
      <c r="W202" s="278">
        <v>101227.8114030009</v>
      </c>
      <c r="X202" s="278">
        <v>151841.71710450135</v>
      </c>
      <c r="Y202" s="278">
        <v>202455.62280600177</v>
      </c>
      <c r="Z202" s="279">
        <v>253069.5285075022</v>
      </c>
      <c r="AB202" s="282" t="str">
        <f t="shared" si="78"/>
        <v>5Y</v>
      </c>
      <c r="AC202" s="278">
        <f ca="1">IF(ABS(P202-C202)&gt;SnapshotTolerance,1,0)</f>
        <v>0</v>
      </c>
      <c r="AD202" s="278">
        <f ca="1">IF(ABS(Q202-D202)&gt;SnapshotTolerance,1,0)</f>
        <v>0</v>
      </c>
      <c r="AE202" s="278">
        <f ca="1">IF(ABS(R202-E202)&gt;SnapshotTolerance,1,0)</f>
        <v>0</v>
      </c>
      <c r="AF202" s="278">
        <f ca="1">IF(ABS(S202-F202)&gt;SnapshotTolerance,1,0)</f>
        <v>0</v>
      </c>
      <c r="AG202" s="278">
        <f ca="1">IF(ABS(T202-G202)&gt;SnapshotTolerance,1,0)</f>
        <v>0</v>
      </c>
      <c r="AH202" s="278">
        <f ca="1">IF(ABS(U202-H202)&gt;SnapshotTolerance,1,0)</f>
        <v>0</v>
      </c>
      <c r="AI202" s="278">
        <f ca="1">IF(ABS(V202-I202)&gt;SnapshotTolerance,1,0)</f>
        <v>0</v>
      </c>
      <c r="AJ202" s="278">
        <f ca="1">IF(ABS(W202-J202)&gt;SnapshotTolerance,1,0)</f>
        <v>0</v>
      </c>
      <c r="AK202" s="278">
        <f ca="1">IF(ABS(X202-K202)&gt;SnapshotTolerance,1,0)</f>
        <v>0</v>
      </c>
      <c r="AL202" s="278">
        <f ca="1">IF(ABS(Y202-L202)&gt;SnapshotTolerance,1,0)</f>
        <v>0</v>
      </c>
      <c r="AM202" s="279">
        <f ca="1">IF(ABS(Z202-M202)&gt;SnapshotTolerance,1,0)</f>
        <v>0</v>
      </c>
    </row>
    <row r="203" spans="2:39">
      <c r="B203" s="282" t="str">
        <f>'EUR Swap PVs'!AG81</f>
        <v>6Y</v>
      </c>
      <c r="C203" s="278">
        <f ca="1">'EUR Swap PVs'!AH81</f>
        <v>-302490.71297204384</v>
      </c>
      <c r="D203" s="278">
        <f ca="1">'EUR Swap PVs'!AI81</f>
        <v>-241992.57037763507</v>
      </c>
      <c r="E203" s="278">
        <f ca="1">'EUR Swap PVs'!AJ81</f>
        <v>-181494.42778322636</v>
      </c>
      <c r="F203" s="278">
        <f ca="1">'EUR Swap PVs'!AK81</f>
        <v>-120996.28518881752</v>
      </c>
      <c r="G203" s="278">
        <f ca="1">'EUR Swap PVs'!AL81</f>
        <v>-60498.142594408739</v>
      </c>
      <c r="H203" s="278">
        <f ca="1">'EUR Swap PVs'!AM81</f>
        <v>0</v>
      </c>
      <c r="I203" s="278">
        <f ca="1">'EUR Swap PVs'!AN81</f>
        <v>60498.142594408775</v>
      </c>
      <c r="J203" s="278">
        <f ca="1">'EUR Swap PVs'!AO81</f>
        <v>120996.28518881755</v>
      </c>
      <c r="K203" s="278">
        <f ca="1">'EUR Swap PVs'!AP81</f>
        <v>181494.42778322633</v>
      </c>
      <c r="L203" s="278">
        <f ca="1">'EUR Swap PVs'!AQ81</f>
        <v>241992.5703776351</v>
      </c>
      <c r="M203" s="279">
        <f ca="1">'EUR Swap PVs'!AR81</f>
        <v>302490.7129720439</v>
      </c>
      <c r="O203" s="282" t="s">
        <v>131</v>
      </c>
      <c r="P203" s="278">
        <v>-302490.71297204384</v>
      </c>
      <c r="Q203" s="278">
        <v>-241992.57037763507</v>
      </c>
      <c r="R203" s="278">
        <v>-181494.42778322636</v>
      </c>
      <c r="S203" s="278">
        <v>-120996.28518881752</v>
      </c>
      <c r="T203" s="278">
        <v>-60498.142594408739</v>
      </c>
      <c r="U203" s="278">
        <v>0</v>
      </c>
      <c r="V203" s="278">
        <v>60498.142594408775</v>
      </c>
      <c r="W203" s="278">
        <v>120996.28518881755</v>
      </c>
      <c r="X203" s="278">
        <v>181494.42778322633</v>
      </c>
      <c r="Y203" s="278">
        <v>241992.5703776351</v>
      </c>
      <c r="Z203" s="279">
        <v>302490.7129720439</v>
      </c>
      <c r="AB203" s="282" t="str">
        <f t="shared" si="78"/>
        <v>6Y</v>
      </c>
      <c r="AC203" s="278">
        <f ca="1">IF(ABS(P203-C203)&gt;SnapshotTolerance,1,0)</f>
        <v>0</v>
      </c>
      <c r="AD203" s="278">
        <f ca="1">IF(ABS(Q203-D203)&gt;SnapshotTolerance,1,0)</f>
        <v>0</v>
      </c>
      <c r="AE203" s="278">
        <f ca="1">IF(ABS(R203-E203)&gt;SnapshotTolerance,1,0)</f>
        <v>0</v>
      </c>
      <c r="AF203" s="278">
        <f ca="1">IF(ABS(S203-F203)&gt;SnapshotTolerance,1,0)</f>
        <v>0</v>
      </c>
      <c r="AG203" s="278">
        <f ca="1">IF(ABS(T203-G203)&gt;SnapshotTolerance,1,0)</f>
        <v>0</v>
      </c>
      <c r="AH203" s="278">
        <f ca="1">IF(ABS(U203-H203)&gt;SnapshotTolerance,1,0)</f>
        <v>0</v>
      </c>
      <c r="AI203" s="278">
        <f ca="1">IF(ABS(V203-I203)&gt;SnapshotTolerance,1,0)</f>
        <v>0</v>
      </c>
      <c r="AJ203" s="278">
        <f ca="1">IF(ABS(W203-J203)&gt;SnapshotTolerance,1,0)</f>
        <v>0</v>
      </c>
      <c r="AK203" s="278">
        <f ca="1">IF(ABS(X203-K203)&gt;SnapshotTolerance,1,0)</f>
        <v>0</v>
      </c>
      <c r="AL203" s="278">
        <f ca="1">IF(ABS(Y203-L203)&gt;SnapshotTolerance,1,0)</f>
        <v>0</v>
      </c>
      <c r="AM203" s="279">
        <f ca="1">IF(ABS(Z203-M203)&gt;SnapshotTolerance,1,0)</f>
        <v>0</v>
      </c>
    </row>
    <row r="204" spans="2:39">
      <c r="B204" s="282" t="str">
        <f>'EUR Swap PVs'!AG82</f>
        <v>7Y</v>
      </c>
      <c r="C204" s="278">
        <f ca="1">'EUR Swap PVs'!AH82</f>
        <v>-351141.27427565056</v>
      </c>
      <c r="D204" s="278">
        <f ca="1">'EUR Swap PVs'!AI82</f>
        <v>-280913.0194205204</v>
      </c>
      <c r="E204" s="278">
        <f ca="1">'EUR Swap PVs'!AJ82</f>
        <v>-210684.76456539039</v>
      </c>
      <c r="F204" s="278">
        <f ca="1">'EUR Swap PVs'!AK82</f>
        <v>-140456.5097102602</v>
      </c>
      <c r="G204" s="278">
        <f ca="1">'EUR Swap PVs'!AL82</f>
        <v>-70228.254855130101</v>
      </c>
      <c r="H204" s="278">
        <f ca="1">'EUR Swap PVs'!AM82</f>
        <v>0</v>
      </c>
      <c r="I204" s="278">
        <f ca="1">'EUR Swap PVs'!AN82</f>
        <v>70228.25485513013</v>
      </c>
      <c r="J204" s="278">
        <f ca="1">'EUR Swap PVs'!AO82</f>
        <v>140456.50971026026</v>
      </c>
      <c r="K204" s="278">
        <f ca="1">'EUR Swap PVs'!AP82</f>
        <v>210684.76456539036</v>
      </c>
      <c r="L204" s="278">
        <f ca="1">'EUR Swap PVs'!AQ82</f>
        <v>280913.01942052052</v>
      </c>
      <c r="M204" s="279">
        <f ca="1">'EUR Swap PVs'!AR82</f>
        <v>351141.27427565056</v>
      </c>
      <c r="O204" s="282" t="s">
        <v>31</v>
      </c>
      <c r="P204" s="278">
        <v>-351141.27427565056</v>
      </c>
      <c r="Q204" s="278">
        <v>-280913.0194205204</v>
      </c>
      <c r="R204" s="278">
        <v>-210684.76456539039</v>
      </c>
      <c r="S204" s="278">
        <v>-140456.5097102602</v>
      </c>
      <c r="T204" s="278">
        <v>-70228.254855130101</v>
      </c>
      <c r="U204" s="278">
        <v>0</v>
      </c>
      <c r="V204" s="278">
        <v>70228.25485513013</v>
      </c>
      <c r="W204" s="278">
        <v>140456.50971026026</v>
      </c>
      <c r="X204" s="278">
        <v>210684.76456539036</v>
      </c>
      <c r="Y204" s="278">
        <v>280913.01942052052</v>
      </c>
      <c r="Z204" s="279">
        <v>351141.27427565056</v>
      </c>
      <c r="AB204" s="282" t="str">
        <f t="shared" si="78"/>
        <v>7Y</v>
      </c>
      <c r="AC204" s="278">
        <f ca="1">IF(ABS(P204-C204)&gt;SnapshotTolerance,1,0)</f>
        <v>0</v>
      </c>
      <c r="AD204" s="278">
        <f ca="1">IF(ABS(Q204-D204)&gt;SnapshotTolerance,1,0)</f>
        <v>0</v>
      </c>
      <c r="AE204" s="278">
        <f ca="1">IF(ABS(R204-E204)&gt;SnapshotTolerance,1,0)</f>
        <v>0</v>
      </c>
      <c r="AF204" s="278">
        <f ca="1">IF(ABS(S204-F204)&gt;SnapshotTolerance,1,0)</f>
        <v>0</v>
      </c>
      <c r="AG204" s="278">
        <f ca="1">IF(ABS(T204-G204)&gt;SnapshotTolerance,1,0)</f>
        <v>0</v>
      </c>
      <c r="AH204" s="278">
        <f ca="1">IF(ABS(U204-H204)&gt;SnapshotTolerance,1,0)</f>
        <v>0</v>
      </c>
      <c r="AI204" s="278">
        <f ca="1">IF(ABS(V204-I204)&gt;SnapshotTolerance,1,0)</f>
        <v>0</v>
      </c>
      <c r="AJ204" s="278">
        <f ca="1">IF(ABS(W204-J204)&gt;SnapshotTolerance,1,0)</f>
        <v>0</v>
      </c>
      <c r="AK204" s="278">
        <f ca="1">IF(ABS(X204-K204)&gt;SnapshotTolerance,1,0)</f>
        <v>0</v>
      </c>
      <c r="AL204" s="278">
        <f ca="1">IF(ABS(Y204-L204)&gt;SnapshotTolerance,1,0)</f>
        <v>0</v>
      </c>
      <c r="AM204" s="279">
        <f ca="1">IF(ABS(Z204-M204)&gt;SnapshotTolerance,1,0)</f>
        <v>0</v>
      </c>
    </row>
    <row r="205" spans="2:39">
      <c r="B205" s="282" t="str">
        <f>'EUR Swap PVs'!AG83</f>
        <v>8Y</v>
      </c>
      <c r="C205" s="278">
        <f ca="1">'EUR Swap PVs'!AH83</f>
        <v>-399166.62011515</v>
      </c>
      <c r="D205" s="278">
        <f ca="1">'EUR Swap PVs'!AI83</f>
        <v>-319333.29609212</v>
      </c>
      <c r="E205" s="278">
        <f ca="1">'EUR Swap PVs'!AJ83</f>
        <v>-239499.97206909009</v>
      </c>
      <c r="F205" s="278">
        <f ca="1">'EUR Swap PVs'!AK83</f>
        <v>-159666.64804605997</v>
      </c>
      <c r="G205" s="278">
        <f ca="1">'EUR Swap PVs'!AL83</f>
        <v>-79833.324023029971</v>
      </c>
      <c r="H205" s="278">
        <f ca="1">'EUR Swap PVs'!AM83</f>
        <v>0</v>
      </c>
      <c r="I205" s="278">
        <f ca="1">'EUR Swap PVs'!AN83</f>
        <v>79833.324023030014</v>
      </c>
      <c r="J205" s="278">
        <f ca="1">'EUR Swap PVs'!AO83</f>
        <v>159666.64804606</v>
      </c>
      <c r="K205" s="278">
        <f ca="1">'EUR Swap PVs'!AP83</f>
        <v>239499.97206909009</v>
      </c>
      <c r="L205" s="278">
        <f ca="1">'EUR Swap PVs'!AQ83</f>
        <v>319333.29609212</v>
      </c>
      <c r="M205" s="279">
        <f ca="1">'EUR Swap PVs'!AR83</f>
        <v>399166.62011515006</v>
      </c>
      <c r="O205" s="282" t="s">
        <v>119</v>
      </c>
      <c r="P205" s="278">
        <v>-399166.62011515</v>
      </c>
      <c r="Q205" s="278">
        <v>-319333.29609212</v>
      </c>
      <c r="R205" s="278">
        <v>-239499.97206909009</v>
      </c>
      <c r="S205" s="278">
        <v>-159666.64804605997</v>
      </c>
      <c r="T205" s="278">
        <v>-79833.324023029971</v>
      </c>
      <c r="U205" s="278">
        <v>0</v>
      </c>
      <c r="V205" s="278">
        <v>79833.324023030014</v>
      </c>
      <c r="W205" s="278">
        <v>159666.64804606</v>
      </c>
      <c r="X205" s="278">
        <v>239499.97206909009</v>
      </c>
      <c r="Y205" s="278">
        <v>319333.29609212</v>
      </c>
      <c r="Z205" s="279">
        <v>399166.62011515006</v>
      </c>
      <c r="AB205" s="282" t="str">
        <f t="shared" si="78"/>
        <v>8Y</v>
      </c>
      <c r="AC205" s="278">
        <f ca="1">IF(ABS(P205-C205)&gt;SnapshotTolerance,1,0)</f>
        <v>0</v>
      </c>
      <c r="AD205" s="278">
        <f ca="1">IF(ABS(Q205-D205)&gt;SnapshotTolerance,1,0)</f>
        <v>0</v>
      </c>
      <c r="AE205" s="278">
        <f ca="1">IF(ABS(R205-E205)&gt;SnapshotTolerance,1,0)</f>
        <v>0</v>
      </c>
      <c r="AF205" s="278">
        <f ca="1">IF(ABS(S205-F205)&gt;SnapshotTolerance,1,0)</f>
        <v>0</v>
      </c>
      <c r="AG205" s="278">
        <f ca="1">IF(ABS(T205-G205)&gt;SnapshotTolerance,1,0)</f>
        <v>0</v>
      </c>
      <c r="AH205" s="278">
        <f ca="1">IF(ABS(U205-H205)&gt;SnapshotTolerance,1,0)</f>
        <v>0</v>
      </c>
      <c r="AI205" s="278">
        <f ca="1">IF(ABS(V205-I205)&gt;SnapshotTolerance,1,0)</f>
        <v>0</v>
      </c>
      <c r="AJ205" s="278">
        <f ca="1">IF(ABS(W205-J205)&gt;SnapshotTolerance,1,0)</f>
        <v>0</v>
      </c>
      <c r="AK205" s="278">
        <f ca="1">IF(ABS(X205-K205)&gt;SnapshotTolerance,1,0)</f>
        <v>0</v>
      </c>
      <c r="AL205" s="278">
        <f ca="1">IF(ABS(Y205-L205)&gt;SnapshotTolerance,1,0)</f>
        <v>0</v>
      </c>
      <c r="AM205" s="279">
        <f ca="1">IF(ABS(Z205-M205)&gt;SnapshotTolerance,1,0)</f>
        <v>0</v>
      </c>
    </row>
    <row r="206" spans="2:39">
      <c r="B206" s="282" t="str">
        <f>'EUR Swap PVs'!AG84</f>
        <v>9Y</v>
      </c>
      <c r="C206" s="278">
        <f ca="1">'EUR Swap PVs'!AH84</f>
        <v>-445844.23518302286</v>
      </c>
      <c r="D206" s="278">
        <f ca="1">'EUR Swap PVs'!AI84</f>
        <v>-356675.38814641832</v>
      </c>
      <c r="E206" s="278">
        <f ca="1">'EUR Swap PVs'!AJ84</f>
        <v>-267506.54110981378</v>
      </c>
      <c r="F206" s="278">
        <f ca="1">'EUR Swap PVs'!AK84</f>
        <v>-178337.6940732091</v>
      </c>
      <c r="G206" s="278">
        <f ca="1">'EUR Swap PVs'!AL84</f>
        <v>-89168.847036604537</v>
      </c>
      <c r="H206" s="278">
        <f ca="1">'EUR Swap PVs'!AM84</f>
        <v>0</v>
      </c>
      <c r="I206" s="278">
        <f ca="1">'EUR Swap PVs'!AN84</f>
        <v>89168.847036604624</v>
      </c>
      <c r="J206" s="278">
        <f ca="1">'EUR Swap PVs'!AO84</f>
        <v>178337.69407320922</v>
      </c>
      <c r="K206" s="278">
        <f ca="1">'EUR Swap PVs'!AP84</f>
        <v>267506.54110981378</v>
      </c>
      <c r="L206" s="278">
        <f ca="1">'EUR Swap PVs'!AQ84</f>
        <v>356675.38814641844</v>
      </c>
      <c r="M206" s="279">
        <f ca="1">'EUR Swap PVs'!AR84</f>
        <v>445844.23518302303</v>
      </c>
      <c r="O206" s="282" t="s">
        <v>113</v>
      </c>
      <c r="P206" s="278">
        <v>-445844.23518302286</v>
      </c>
      <c r="Q206" s="278">
        <v>-356675.38814641832</v>
      </c>
      <c r="R206" s="278">
        <v>-267506.54110981378</v>
      </c>
      <c r="S206" s="278">
        <v>-178337.6940732091</v>
      </c>
      <c r="T206" s="278">
        <v>-89168.847036604537</v>
      </c>
      <c r="U206" s="278">
        <v>0</v>
      </c>
      <c r="V206" s="278">
        <v>89168.847036604624</v>
      </c>
      <c r="W206" s="278">
        <v>178337.69407320922</v>
      </c>
      <c r="X206" s="278">
        <v>267506.54110981378</v>
      </c>
      <c r="Y206" s="278">
        <v>356675.38814641844</v>
      </c>
      <c r="Z206" s="279">
        <v>445844.23518302303</v>
      </c>
      <c r="AB206" s="282" t="str">
        <f t="shared" si="78"/>
        <v>9Y</v>
      </c>
      <c r="AC206" s="278">
        <f ca="1">IF(ABS(P206-C206)&gt;SnapshotTolerance,1,0)</f>
        <v>0</v>
      </c>
      <c r="AD206" s="278">
        <f ca="1">IF(ABS(Q206-D206)&gt;SnapshotTolerance,1,0)</f>
        <v>0</v>
      </c>
      <c r="AE206" s="278">
        <f ca="1">IF(ABS(R206-E206)&gt;SnapshotTolerance,1,0)</f>
        <v>0</v>
      </c>
      <c r="AF206" s="278">
        <f ca="1">IF(ABS(S206-F206)&gt;SnapshotTolerance,1,0)</f>
        <v>0</v>
      </c>
      <c r="AG206" s="278">
        <f ca="1">IF(ABS(T206-G206)&gt;SnapshotTolerance,1,0)</f>
        <v>0</v>
      </c>
      <c r="AH206" s="278">
        <f ca="1">IF(ABS(U206-H206)&gt;SnapshotTolerance,1,0)</f>
        <v>0</v>
      </c>
      <c r="AI206" s="278">
        <f ca="1">IF(ABS(V206-I206)&gt;SnapshotTolerance,1,0)</f>
        <v>0</v>
      </c>
      <c r="AJ206" s="278">
        <f ca="1">IF(ABS(W206-J206)&gt;SnapshotTolerance,1,0)</f>
        <v>0</v>
      </c>
      <c r="AK206" s="278">
        <f ca="1">IF(ABS(X206-K206)&gt;SnapshotTolerance,1,0)</f>
        <v>0</v>
      </c>
      <c r="AL206" s="278">
        <f ca="1">IF(ABS(Y206-L206)&gt;SnapshotTolerance,1,0)</f>
        <v>0</v>
      </c>
      <c r="AM206" s="279">
        <f ca="1">IF(ABS(Z206-M206)&gt;SnapshotTolerance,1,0)</f>
        <v>0</v>
      </c>
    </row>
    <row r="207" spans="2:39">
      <c r="B207" s="282" t="str">
        <f>'EUR Swap PVs'!AG85</f>
        <v>10Y</v>
      </c>
      <c r="C207" s="278">
        <f ca="1">'EUR Swap PVs'!AH85</f>
        <v>-491641.46924409911</v>
      </c>
      <c r="D207" s="278">
        <f ca="1">'EUR Swap PVs'!AI85</f>
        <v>-393313.17539527931</v>
      </c>
      <c r="E207" s="278">
        <f ca="1">'EUR Swap PVs'!AJ85</f>
        <v>-294984.88154645963</v>
      </c>
      <c r="F207" s="278">
        <f ca="1">'EUR Swap PVs'!AK85</f>
        <v>-196656.58769763962</v>
      </c>
      <c r="G207" s="278">
        <f ca="1">'EUR Swap PVs'!AL85</f>
        <v>-98328.293848819769</v>
      </c>
      <c r="H207" s="278">
        <f ca="1">'EUR Swap PVs'!AM85</f>
        <v>1.3877787807814457E-11</v>
      </c>
      <c r="I207" s="278">
        <f ca="1">'EUR Swap PVs'!AN85</f>
        <v>98328.293848819914</v>
      </c>
      <c r="J207" s="278">
        <f ca="1">'EUR Swap PVs'!AO85</f>
        <v>196656.58769763977</v>
      </c>
      <c r="K207" s="278">
        <f ca="1">'EUR Swap PVs'!AP85</f>
        <v>294984.88154645963</v>
      </c>
      <c r="L207" s="278">
        <f ca="1">'EUR Swap PVs'!AQ85</f>
        <v>393313.17539527954</v>
      </c>
      <c r="M207" s="279">
        <f ca="1">'EUR Swap PVs'!AR85</f>
        <v>491641.46924409934</v>
      </c>
      <c r="O207" s="282" t="s">
        <v>28</v>
      </c>
      <c r="P207" s="278">
        <v>-491641.46924409911</v>
      </c>
      <c r="Q207" s="278">
        <v>-393313.17539527931</v>
      </c>
      <c r="R207" s="278">
        <v>-294984.88154645963</v>
      </c>
      <c r="S207" s="278">
        <v>-196656.58769763962</v>
      </c>
      <c r="T207" s="278">
        <v>-98328.293848819769</v>
      </c>
      <c r="U207" s="278">
        <v>1.3877787807814457E-11</v>
      </c>
      <c r="V207" s="278">
        <v>98328.293848819914</v>
      </c>
      <c r="W207" s="278">
        <v>196656.58769763977</v>
      </c>
      <c r="X207" s="278">
        <v>294984.88154645963</v>
      </c>
      <c r="Y207" s="278">
        <v>393313.17539527954</v>
      </c>
      <c r="Z207" s="279">
        <v>491641.46924409934</v>
      </c>
      <c r="AB207" s="282" t="str">
        <f t="shared" si="78"/>
        <v>10Y</v>
      </c>
      <c r="AC207" s="278">
        <f ca="1">IF(ABS(P207-C207)&gt;SnapshotTolerance,1,0)</f>
        <v>0</v>
      </c>
      <c r="AD207" s="278">
        <f ca="1">IF(ABS(Q207-D207)&gt;SnapshotTolerance,1,0)</f>
        <v>0</v>
      </c>
      <c r="AE207" s="278">
        <f ca="1">IF(ABS(R207-E207)&gt;SnapshotTolerance,1,0)</f>
        <v>0</v>
      </c>
      <c r="AF207" s="278">
        <f ca="1">IF(ABS(S207-F207)&gt;SnapshotTolerance,1,0)</f>
        <v>0</v>
      </c>
      <c r="AG207" s="278">
        <f ca="1">IF(ABS(T207-G207)&gt;SnapshotTolerance,1,0)</f>
        <v>0</v>
      </c>
      <c r="AH207" s="278">
        <f ca="1">IF(ABS(U207-H207)&gt;SnapshotTolerance,1,0)</f>
        <v>0</v>
      </c>
      <c r="AI207" s="278">
        <f ca="1">IF(ABS(V207-I207)&gt;SnapshotTolerance,1,0)</f>
        <v>0</v>
      </c>
      <c r="AJ207" s="278">
        <f ca="1">IF(ABS(W207-J207)&gt;SnapshotTolerance,1,0)</f>
        <v>0</v>
      </c>
      <c r="AK207" s="278">
        <f ca="1">IF(ABS(X207-K207)&gt;SnapshotTolerance,1,0)</f>
        <v>0</v>
      </c>
      <c r="AL207" s="278">
        <f ca="1">IF(ABS(Y207-L207)&gt;SnapshotTolerance,1,0)</f>
        <v>0</v>
      </c>
      <c r="AM207" s="279">
        <f ca="1">IF(ABS(Z207-M207)&gt;SnapshotTolerance,1,0)</f>
        <v>0</v>
      </c>
    </row>
    <row r="208" spans="2:39">
      <c r="B208" s="282" t="str">
        <f>'EUR Swap PVs'!AG86</f>
        <v>11Y</v>
      </c>
      <c r="C208" s="278">
        <f ca="1">'EUR Swap PVs'!AH86</f>
        <v>-536403.62305464619</v>
      </c>
      <c r="D208" s="278">
        <f ca="1">'EUR Swap PVs'!AI86</f>
        <v>-429122.89844371699</v>
      </c>
      <c r="E208" s="278">
        <f ca="1">'EUR Swap PVs'!AJ86</f>
        <v>-321842.17383278784</v>
      </c>
      <c r="F208" s="278">
        <f ca="1">'EUR Swap PVs'!AK86</f>
        <v>-214561.44922185849</v>
      </c>
      <c r="G208" s="278">
        <f ca="1">'EUR Swap PVs'!AL86</f>
        <v>-107280.72461092919</v>
      </c>
      <c r="H208" s="278">
        <f ca="1">'EUR Swap PVs'!AM86</f>
        <v>0</v>
      </c>
      <c r="I208" s="278">
        <f ca="1">'EUR Swap PVs'!AN86</f>
        <v>107280.72461092933</v>
      </c>
      <c r="J208" s="278">
        <f ca="1">'EUR Swap PVs'!AO86</f>
        <v>214561.44922185861</v>
      </c>
      <c r="K208" s="278">
        <f ca="1">'EUR Swap PVs'!AP86</f>
        <v>321842.1738327879</v>
      </c>
      <c r="L208" s="278">
        <f ca="1">'EUR Swap PVs'!AQ86</f>
        <v>429122.89844371722</v>
      </c>
      <c r="M208" s="279">
        <f ca="1">'EUR Swap PVs'!AR86</f>
        <v>536403.62305464654</v>
      </c>
      <c r="O208" s="282" t="s">
        <v>366</v>
      </c>
      <c r="P208" s="278">
        <v>-536403.62305464619</v>
      </c>
      <c r="Q208" s="278">
        <v>-429122.89844371699</v>
      </c>
      <c r="R208" s="278">
        <v>-321842.17383278784</v>
      </c>
      <c r="S208" s="278">
        <v>-214561.44922185849</v>
      </c>
      <c r="T208" s="278">
        <v>-107280.72461092919</v>
      </c>
      <c r="U208" s="278">
        <v>0</v>
      </c>
      <c r="V208" s="278">
        <v>107280.72461092933</v>
      </c>
      <c r="W208" s="278">
        <v>214561.44922185861</v>
      </c>
      <c r="X208" s="278">
        <v>321842.1738327879</v>
      </c>
      <c r="Y208" s="278">
        <v>429122.89844371722</v>
      </c>
      <c r="Z208" s="279">
        <v>536403.62305464654</v>
      </c>
      <c r="AB208" s="282" t="str">
        <f t="shared" si="78"/>
        <v>11Y</v>
      </c>
      <c r="AC208" s="278">
        <f ca="1">IF(ABS(P208-C208)&gt;SnapshotTolerance,1,0)</f>
        <v>0</v>
      </c>
      <c r="AD208" s="278">
        <f ca="1">IF(ABS(Q208-D208)&gt;SnapshotTolerance,1,0)</f>
        <v>0</v>
      </c>
      <c r="AE208" s="278">
        <f ca="1">IF(ABS(R208-E208)&gt;SnapshotTolerance,1,0)</f>
        <v>0</v>
      </c>
      <c r="AF208" s="278">
        <f ca="1">IF(ABS(S208-F208)&gt;SnapshotTolerance,1,0)</f>
        <v>0</v>
      </c>
      <c r="AG208" s="278">
        <f ca="1">IF(ABS(T208-G208)&gt;SnapshotTolerance,1,0)</f>
        <v>0</v>
      </c>
      <c r="AH208" s="278">
        <f ca="1">IF(ABS(U208-H208)&gt;SnapshotTolerance,1,0)</f>
        <v>0</v>
      </c>
      <c r="AI208" s="278">
        <f ca="1">IF(ABS(V208-I208)&gt;SnapshotTolerance,1,0)</f>
        <v>0</v>
      </c>
      <c r="AJ208" s="278">
        <f ca="1">IF(ABS(W208-J208)&gt;SnapshotTolerance,1,0)</f>
        <v>0</v>
      </c>
      <c r="AK208" s="278">
        <f ca="1">IF(ABS(X208-K208)&gt;SnapshotTolerance,1,0)</f>
        <v>0</v>
      </c>
      <c r="AL208" s="278">
        <f ca="1">IF(ABS(Y208-L208)&gt;SnapshotTolerance,1,0)</f>
        <v>0</v>
      </c>
      <c r="AM208" s="279">
        <f ca="1">IF(ABS(Z208-M208)&gt;SnapshotTolerance,1,0)</f>
        <v>0</v>
      </c>
    </row>
    <row r="209" spans="2:39">
      <c r="B209" s="282" t="str">
        <f>'EUR Swap PVs'!AG87</f>
        <v>12Y</v>
      </c>
      <c r="C209" s="278">
        <f ca="1">'EUR Swap PVs'!AH87</f>
        <v>-580132.46295708523</v>
      </c>
      <c r="D209" s="278">
        <f ca="1">'EUR Swap PVs'!AI87</f>
        <v>-464105.97036566824</v>
      </c>
      <c r="E209" s="278">
        <f ca="1">'EUR Swap PVs'!AJ87</f>
        <v>-348079.47777425131</v>
      </c>
      <c r="F209" s="278">
        <f ca="1">'EUR Swap PVs'!AK87</f>
        <v>-232052.98518283406</v>
      </c>
      <c r="G209" s="278">
        <f ca="1">'EUR Swap PVs'!AL87</f>
        <v>-116026.49259141696</v>
      </c>
      <c r="H209" s="278">
        <f ca="1">'EUR Swap PVs'!AM87</f>
        <v>0</v>
      </c>
      <c r="I209" s="278">
        <f ca="1">'EUR Swap PVs'!AN87</f>
        <v>116026.49259141715</v>
      </c>
      <c r="J209" s="278">
        <f ca="1">'EUR Swap PVs'!AO87</f>
        <v>232052.98518283424</v>
      </c>
      <c r="K209" s="278">
        <f ca="1">'EUR Swap PVs'!AP87</f>
        <v>348079.47777425137</v>
      </c>
      <c r="L209" s="278">
        <f ca="1">'EUR Swap PVs'!AQ87</f>
        <v>464105.97036566841</v>
      </c>
      <c r="M209" s="279">
        <f ca="1">'EUR Swap PVs'!AR87</f>
        <v>580132.46295708546</v>
      </c>
      <c r="O209" s="282" t="s">
        <v>26</v>
      </c>
      <c r="P209" s="278">
        <v>-580132.46295708523</v>
      </c>
      <c r="Q209" s="278">
        <v>-464105.97036566824</v>
      </c>
      <c r="R209" s="278">
        <v>-348079.47777425131</v>
      </c>
      <c r="S209" s="278">
        <v>-232052.98518283406</v>
      </c>
      <c r="T209" s="278">
        <v>-116026.49259141696</v>
      </c>
      <c r="U209" s="278">
        <v>0</v>
      </c>
      <c r="V209" s="278">
        <v>116026.49259141715</v>
      </c>
      <c r="W209" s="278">
        <v>232052.98518283424</v>
      </c>
      <c r="X209" s="278">
        <v>348079.47777425137</v>
      </c>
      <c r="Y209" s="278">
        <v>464105.97036566841</v>
      </c>
      <c r="Z209" s="279">
        <v>580132.46295708546</v>
      </c>
      <c r="AB209" s="282" t="str">
        <f t="shared" si="78"/>
        <v>12Y</v>
      </c>
      <c r="AC209" s="278">
        <f ca="1">IF(ABS(P209-C209)&gt;SnapshotTolerance,1,0)</f>
        <v>0</v>
      </c>
      <c r="AD209" s="278">
        <f ca="1">IF(ABS(Q209-D209)&gt;SnapshotTolerance,1,0)</f>
        <v>0</v>
      </c>
      <c r="AE209" s="278">
        <f ca="1">IF(ABS(R209-E209)&gt;SnapshotTolerance,1,0)</f>
        <v>0</v>
      </c>
      <c r="AF209" s="278">
        <f ca="1">IF(ABS(S209-F209)&gt;SnapshotTolerance,1,0)</f>
        <v>0</v>
      </c>
      <c r="AG209" s="278">
        <f ca="1">IF(ABS(T209-G209)&gt;SnapshotTolerance,1,0)</f>
        <v>0</v>
      </c>
      <c r="AH209" s="278">
        <f ca="1">IF(ABS(U209-H209)&gt;SnapshotTolerance,1,0)</f>
        <v>0</v>
      </c>
      <c r="AI209" s="278">
        <f ca="1">IF(ABS(V209-I209)&gt;SnapshotTolerance,1,0)</f>
        <v>0</v>
      </c>
      <c r="AJ209" s="278">
        <f ca="1">IF(ABS(W209-J209)&gt;SnapshotTolerance,1,0)</f>
        <v>0</v>
      </c>
      <c r="AK209" s="278">
        <f ca="1">IF(ABS(X209-K209)&gt;SnapshotTolerance,1,0)</f>
        <v>0</v>
      </c>
      <c r="AL209" s="278">
        <f ca="1">IF(ABS(Y209-L209)&gt;SnapshotTolerance,1,0)</f>
        <v>0</v>
      </c>
      <c r="AM209" s="279">
        <f ca="1">IF(ABS(Z209-M209)&gt;SnapshotTolerance,1,0)</f>
        <v>0</v>
      </c>
    </row>
    <row r="210" spans="2:39">
      <c r="B210" s="282" t="str">
        <f>'EUR Swap PVs'!AG88</f>
        <v>15Y</v>
      </c>
      <c r="C210" s="278">
        <f ca="1">'EUR Swap PVs'!AH88</f>
        <v>-705375.04990592063</v>
      </c>
      <c r="D210" s="278">
        <f ca="1">'EUR Swap PVs'!AI88</f>
        <v>-564300.0399247366</v>
      </c>
      <c r="E210" s="278">
        <f ca="1">'EUR Swap PVs'!AJ88</f>
        <v>-423225.02994355251</v>
      </c>
      <c r="F210" s="278">
        <f ca="1">'EUR Swap PVs'!AK88</f>
        <v>-282150.0199623683</v>
      </c>
      <c r="G210" s="278">
        <f ca="1">'EUR Swap PVs'!AL88</f>
        <v>-141075.00998118409</v>
      </c>
      <c r="H210" s="278">
        <f ca="1">'EUR Swap PVs'!AM88</f>
        <v>-2.7755575615628914E-11</v>
      </c>
      <c r="I210" s="278">
        <f ca="1">'EUR Swap PVs'!AN88</f>
        <v>141075.00998118421</v>
      </c>
      <c r="J210" s="278">
        <f ca="1">'EUR Swap PVs'!AO88</f>
        <v>282150.01996236842</v>
      </c>
      <c r="K210" s="278">
        <f ca="1">'EUR Swap PVs'!AP88</f>
        <v>423225.02994355268</v>
      </c>
      <c r="L210" s="278">
        <f ca="1">'EUR Swap PVs'!AQ88</f>
        <v>564300.03992473683</v>
      </c>
      <c r="M210" s="279">
        <f ca="1">'EUR Swap PVs'!AR88</f>
        <v>705375.04990592098</v>
      </c>
      <c r="O210" s="282" t="s">
        <v>24</v>
      </c>
      <c r="P210" s="278">
        <v>-705375.04990592063</v>
      </c>
      <c r="Q210" s="278">
        <v>-564300.0399247366</v>
      </c>
      <c r="R210" s="278">
        <v>-423225.02994355251</v>
      </c>
      <c r="S210" s="278">
        <v>-282150.0199623683</v>
      </c>
      <c r="T210" s="278">
        <v>-141075.00998118409</v>
      </c>
      <c r="U210" s="278">
        <v>-2.7755575615628914E-11</v>
      </c>
      <c r="V210" s="278">
        <v>141075.00998118421</v>
      </c>
      <c r="W210" s="278">
        <v>282150.01996236842</v>
      </c>
      <c r="X210" s="278">
        <v>423225.02994355268</v>
      </c>
      <c r="Y210" s="278">
        <v>564300.03992473683</v>
      </c>
      <c r="Z210" s="279">
        <v>705375.04990592098</v>
      </c>
      <c r="AB210" s="282" t="str">
        <f t="shared" si="78"/>
        <v>15Y</v>
      </c>
      <c r="AC210" s="278">
        <f ca="1">IF(ABS(P210-C210)&gt;SnapshotTolerance,1,0)</f>
        <v>0</v>
      </c>
      <c r="AD210" s="278">
        <f ca="1">IF(ABS(Q210-D210)&gt;SnapshotTolerance,1,0)</f>
        <v>0</v>
      </c>
      <c r="AE210" s="278">
        <f ca="1">IF(ABS(R210-E210)&gt;SnapshotTolerance,1,0)</f>
        <v>0</v>
      </c>
      <c r="AF210" s="278">
        <f ca="1">IF(ABS(S210-F210)&gt;SnapshotTolerance,1,0)</f>
        <v>0</v>
      </c>
      <c r="AG210" s="278">
        <f ca="1">IF(ABS(T210-G210)&gt;SnapshotTolerance,1,0)</f>
        <v>0</v>
      </c>
      <c r="AH210" s="278">
        <f ca="1">IF(ABS(U210-H210)&gt;SnapshotTolerance,1,0)</f>
        <v>0</v>
      </c>
      <c r="AI210" s="278">
        <f ca="1">IF(ABS(V210-I210)&gt;SnapshotTolerance,1,0)</f>
        <v>0</v>
      </c>
      <c r="AJ210" s="278">
        <f ca="1">IF(ABS(W210-J210)&gt;SnapshotTolerance,1,0)</f>
        <v>0</v>
      </c>
      <c r="AK210" s="278">
        <f ca="1">IF(ABS(X210-K210)&gt;SnapshotTolerance,1,0)</f>
        <v>0</v>
      </c>
      <c r="AL210" s="278">
        <f ca="1">IF(ABS(Y210-L210)&gt;SnapshotTolerance,1,0)</f>
        <v>0</v>
      </c>
      <c r="AM210" s="279">
        <f ca="1">IF(ABS(Z210-M210)&gt;SnapshotTolerance,1,0)</f>
        <v>0</v>
      </c>
    </row>
    <row r="211" spans="2:39">
      <c r="B211" s="282" t="str">
        <f>'EUR Swap PVs'!AG89</f>
        <v>20Y</v>
      </c>
      <c r="C211" s="278">
        <f ca="1">'EUR Swap PVs'!AH89</f>
        <v>-895612.96666418272</v>
      </c>
      <c r="D211" s="278">
        <f ca="1">'EUR Swap PVs'!AI89</f>
        <v>-716490.37333134632</v>
      </c>
      <c r="E211" s="278">
        <f ca="1">'EUR Swap PVs'!AJ89</f>
        <v>-537367.77999850968</v>
      </c>
      <c r="F211" s="278">
        <f ca="1">'EUR Swap PVs'!AK89</f>
        <v>-358245.18666567298</v>
      </c>
      <c r="G211" s="278">
        <f ca="1">'EUR Swap PVs'!AL89</f>
        <v>-179122.59333283638</v>
      </c>
      <c r="H211" s="278">
        <f ca="1">'EUR Swap PVs'!AM89</f>
        <v>0</v>
      </c>
      <c r="I211" s="278">
        <f ca="1">'EUR Swap PVs'!AN89</f>
        <v>179122.59333283672</v>
      </c>
      <c r="J211" s="278">
        <f ca="1">'EUR Swap PVs'!AO89</f>
        <v>358245.18666567333</v>
      </c>
      <c r="K211" s="278">
        <f ca="1">'EUR Swap PVs'!AP89</f>
        <v>537367.77999850991</v>
      </c>
      <c r="L211" s="278">
        <f ca="1">'EUR Swap PVs'!AQ89</f>
        <v>716490.37333134655</v>
      </c>
      <c r="M211" s="279">
        <f ca="1">'EUR Swap PVs'!AR89</f>
        <v>895612.96666418319</v>
      </c>
      <c r="O211" s="282" t="s">
        <v>20</v>
      </c>
      <c r="P211" s="278">
        <v>-895612.96666418272</v>
      </c>
      <c r="Q211" s="278">
        <v>-716490.37333134632</v>
      </c>
      <c r="R211" s="278">
        <v>-537367.77999850968</v>
      </c>
      <c r="S211" s="278">
        <v>-358245.18666567298</v>
      </c>
      <c r="T211" s="278">
        <v>-179122.59333283638</v>
      </c>
      <c r="U211" s="278">
        <v>0</v>
      </c>
      <c r="V211" s="278">
        <v>179122.59333283672</v>
      </c>
      <c r="W211" s="278">
        <v>358245.18666567333</v>
      </c>
      <c r="X211" s="278">
        <v>537367.77999850991</v>
      </c>
      <c r="Y211" s="278">
        <v>716490.37333134655</v>
      </c>
      <c r="Z211" s="279">
        <v>895612.96666418319</v>
      </c>
      <c r="AB211" s="282" t="str">
        <f t="shared" si="78"/>
        <v>20Y</v>
      </c>
      <c r="AC211" s="278">
        <f ca="1">IF(ABS(P211-C211)&gt;SnapshotTolerance,1,0)</f>
        <v>0</v>
      </c>
      <c r="AD211" s="278">
        <f ca="1">IF(ABS(Q211-D211)&gt;SnapshotTolerance,1,0)</f>
        <v>0</v>
      </c>
      <c r="AE211" s="278">
        <f ca="1">IF(ABS(R211-E211)&gt;SnapshotTolerance,1,0)</f>
        <v>0</v>
      </c>
      <c r="AF211" s="278">
        <f ca="1">IF(ABS(S211-F211)&gt;SnapshotTolerance,1,0)</f>
        <v>0</v>
      </c>
      <c r="AG211" s="278">
        <f ca="1">IF(ABS(T211-G211)&gt;SnapshotTolerance,1,0)</f>
        <v>0</v>
      </c>
      <c r="AH211" s="278">
        <f ca="1">IF(ABS(U211-H211)&gt;SnapshotTolerance,1,0)</f>
        <v>0</v>
      </c>
      <c r="AI211" s="278">
        <f ca="1">IF(ABS(V211-I211)&gt;SnapshotTolerance,1,0)</f>
        <v>0</v>
      </c>
      <c r="AJ211" s="278">
        <f ca="1">IF(ABS(W211-J211)&gt;SnapshotTolerance,1,0)</f>
        <v>0</v>
      </c>
      <c r="AK211" s="278">
        <f ca="1">IF(ABS(X211-K211)&gt;SnapshotTolerance,1,0)</f>
        <v>0</v>
      </c>
      <c r="AL211" s="278">
        <f ca="1">IF(ABS(Y211-L211)&gt;SnapshotTolerance,1,0)</f>
        <v>0</v>
      </c>
      <c r="AM211" s="279">
        <f ca="1">IF(ABS(Z211-M211)&gt;SnapshotTolerance,1,0)</f>
        <v>0</v>
      </c>
    </row>
    <row r="212" spans="2:39">
      <c r="B212" s="282" t="str">
        <f>'EUR Swap PVs'!AG90</f>
        <v>25Y</v>
      </c>
      <c r="C212" s="278">
        <f ca="1">'EUR Swap PVs'!AH90</f>
        <v>-1067055.570911879</v>
      </c>
      <c r="D212" s="278">
        <f ca="1">'EUR Swap PVs'!AI90</f>
        <v>-853644.45672950323</v>
      </c>
      <c r="E212" s="278">
        <f ca="1">'EUR Swap PVs'!AJ90</f>
        <v>-640233.34254712739</v>
      </c>
      <c r="F212" s="278">
        <f ca="1">'EUR Swap PVs'!AK90</f>
        <v>-426822.2283647515</v>
      </c>
      <c r="G212" s="278">
        <f ca="1">'EUR Swap PVs'!AL90</f>
        <v>-213411.11418237569</v>
      </c>
      <c r="H212" s="278">
        <f ca="1">'EUR Swap PVs'!AM90</f>
        <v>0</v>
      </c>
      <c r="I212" s="278">
        <f ca="1">'EUR Swap PVs'!AN90</f>
        <v>213411.11418237587</v>
      </c>
      <c r="J212" s="278">
        <f ca="1">'EUR Swap PVs'!AO90</f>
        <v>426822.22836475173</v>
      </c>
      <c r="K212" s="278">
        <f ca="1">'EUR Swap PVs'!AP90</f>
        <v>640233.34254712763</v>
      </c>
      <c r="L212" s="278">
        <f ca="1">'EUR Swap PVs'!AQ90</f>
        <v>853644.45672950335</v>
      </c>
      <c r="M212" s="279">
        <f ca="1">'EUR Swap PVs'!AR90</f>
        <v>1067055.5709118794</v>
      </c>
      <c r="O212" s="282" t="s">
        <v>18</v>
      </c>
      <c r="P212" s="278">
        <v>-1067055.570911879</v>
      </c>
      <c r="Q212" s="278">
        <v>-853644.45672950323</v>
      </c>
      <c r="R212" s="278">
        <v>-640233.34254712739</v>
      </c>
      <c r="S212" s="278">
        <v>-426822.2283647515</v>
      </c>
      <c r="T212" s="278">
        <v>-213411.11418237569</v>
      </c>
      <c r="U212" s="278">
        <v>0</v>
      </c>
      <c r="V212" s="278">
        <v>213411.11418237587</v>
      </c>
      <c r="W212" s="278">
        <v>426822.22836475173</v>
      </c>
      <c r="X212" s="278">
        <v>640233.34254712763</v>
      </c>
      <c r="Y212" s="278">
        <v>853644.45672950335</v>
      </c>
      <c r="Z212" s="279">
        <v>1067055.5709118794</v>
      </c>
      <c r="AB212" s="282" t="str">
        <f t="shared" si="78"/>
        <v>25Y</v>
      </c>
      <c r="AC212" s="278">
        <f ca="1">IF(ABS(P212-C212)&gt;SnapshotTolerance,1,0)</f>
        <v>0</v>
      </c>
      <c r="AD212" s="278">
        <f ca="1">IF(ABS(Q212-D212)&gt;SnapshotTolerance,1,0)</f>
        <v>0</v>
      </c>
      <c r="AE212" s="278">
        <f ca="1">IF(ABS(R212-E212)&gt;SnapshotTolerance,1,0)</f>
        <v>0</v>
      </c>
      <c r="AF212" s="278">
        <f ca="1">IF(ABS(S212-F212)&gt;SnapshotTolerance,1,0)</f>
        <v>0</v>
      </c>
      <c r="AG212" s="278">
        <f ca="1">IF(ABS(T212-G212)&gt;SnapshotTolerance,1,0)</f>
        <v>0</v>
      </c>
      <c r="AH212" s="278">
        <f ca="1">IF(ABS(U212-H212)&gt;SnapshotTolerance,1,0)</f>
        <v>0</v>
      </c>
      <c r="AI212" s="278">
        <f ca="1">IF(ABS(V212-I212)&gt;SnapshotTolerance,1,0)</f>
        <v>0</v>
      </c>
      <c r="AJ212" s="278">
        <f ca="1">IF(ABS(W212-J212)&gt;SnapshotTolerance,1,0)</f>
        <v>0</v>
      </c>
      <c r="AK212" s="278">
        <f ca="1">IF(ABS(X212-K212)&gt;SnapshotTolerance,1,0)</f>
        <v>0</v>
      </c>
      <c r="AL212" s="278">
        <f ca="1">IF(ABS(Y212-L212)&gt;SnapshotTolerance,1,0)</f>
        <v>0</v>
      </c>
      <c r="AM212" s="279">
        <f ca="1">IF(ABS(Z212-M212)&gt;SnapshotTolerance,1,0)</f>
        <v>0</v>
      </c>
    </row>
    <row r="213" spans="2:39">
      <c r="B213" s="282" t="str">
        <f>'EUR Swap PVs'!AG91</f>
        <v>30Y</v>
      </c>
      <c r="C213" s="278">
        <f ca="1">'EUR Swap PVs'!AH91</f>
        <v>-1223051.9604093435</v>
      </c>
      <c r="D213" s="278">
        <f ca="1">'EUR Swap PVs'!AI91</f>
        <v>-978441.56832747499</v>
      </c>
      <c r="E213" s="278">
        <f ca="1">'EUR Swap PVs'!AJ91</f>
        <v>-733831.17624560627</v>
      </c>
      <c r="F213" s="278">
        <f ca="1">'EUR Swap PVs'!AK91</f>
        <v>-489220.78416373732</v>
      </c>
      <c r="G213" s="278">
        <f ca="1">'EUR Swap PVs'!AL91</f>
        <v>-244610.39208186857</v>
      </c>
      <c r="H213" s="278">
        <f ca="1">'EUR Swap PVs'!AM91</f>
        <v>0</v>
      </c>
      <c r="I213" s="278">
        <f ca="1">'EUR Swap PVs'!AN91</f>
        <v>244610.39208186892</v>
      </c>
      <c r="J213" s="278">
        <f ca="1">'EUR Swap PVs'!AO91</f>
        <v>489220.78416373779</v>
      </c>
      <c r="K213" s="278">
        <f ca="1">'EUR Swap PVs'!AP91</f>
        <v>733831.17624560662</v>
      </c>
      <c r="L213" s="278">
        <f ca="1">'EUR Swap PVs'!AQ91</f>
        <v>978441.56832747522</v>
      </c>
      <c r="M213" s="279">
        <f ca="1">'EUR Swap PVs'!AR91</f>
        <v>1223051.9604093446</v>
      </c>
      <c r="O213" s="282" t="s">
        <v>17</v>
      </c>
      <c r="P213" s="278">
        <v>-1223051.9604093435</v>
      </c>
      <c r="Q213" s="278">
        <v>-978441.56832747499</v>
      </c>
      <c r="R213" s="278">
        <v>-733831.17624560627</v>
      </c>
      <c r="S213" s="278">
        <v>-489220.78416373732</v>
      </c>
      <c r="T213" s="278">
        <v>-244610.39208186857</v>
      </c>
      <c r="U213" s="278">
        <v>0</v>
      </c>
      <c r="V213" s="278">
        <v>244610.39208186892</v>
      </c>
      <c r="W213" s="278">
        <v>489220.78416373779</v>
      </c>
      <c r="X213" s="278">
        <v>733831.17624560662</v>
      </c>
      <c r="Y213" s="278">
        <v>978441.56832747522</v>
      </c>
      <c r="Z213" s="279">
        <v>1223051.9604093446</v>
      </c>
      <c r="AB213" s="282" t="str">
        <f t="shared" si="78"/>
        <v>30Y</v>
      </c>
      <c r="AC213" s="278">
        <f ca="1">IF(ABS(P213-C213)&gt;SnapshotTolerance,1,0)</f>
        <v>0</v>
      </c>
      <c r="AD213" s="278">
        <f ca="1">IF(ABS(Q213-D213)&gt;SnapshotTolerance,1,0)</f>
        <v>0</v>
      </c>
      <c r="AE213" s="278">
        <f ca="1">IF(ABS(R213-E213)&gt;SnapshotTolerance,1,0)</f>
        <v>0</v>
      </c>
      <c r="AF213" s="278">
        <f ca="1">IF(ABS(S213-F213)&gt;SnapshotTolerance,1,0)</f>
        <v>0</v>
      </c>
      <c r="AG213" s="278">
        <f ca="1">IF(ABS(T213-G213)&gt;SnapshotTolerance,1,0)</f>
        <v>0</v>
      </c>
      <c r="AH213" s="278">
        <f ca="1">IF(ABS(U213-H213)&gt;SnapshotTolerance,1,0)</f>
        <v>0</v>
      </c>
      <c r="AI213" s="278">
        <f ca="1">IF(ABS(V213-I213)&gt;SnapshotTolerance,1,0)</f>
        <v>0</v>
      </c>
      <c r="AJ213" s="278">
        <f ca="1">IF(ABS(W213-J213)&gt;SnapshotTolerance,1,0)</f>
        <v>0</v>
      </c>
      <c r="AK213" s="278">
        <f ca="1">IF(ABS(X213-K213)&gt;SnapshotTolerance,1,0)</f>
        <v>0</v>
      </c>
      <c r="AL213" s="278">
        <f ca="1">IF(ABS(Y213-L213)&gt;SnapshotTolerance,1,0)</f>
        <v>0</v>
      </c>
      <c r="AM213" s="279">
        <f ca="1">IF(ABS(Z213-M213)&gt;SnapshotTolerance,1,0)</f>
        <v>0</v>
      </c>
    </row>
    <row r="214" spans="2:39">
      <c r="B214" s="282" t="str">
        <f>'EUR Swap PVs'!AG92</f>
        <v>35Y</v>
      </c>
      <c r="C214" s="278">
        <f ca="1">'EUR Swap PVs'!AH92</f>
        <v>-1366543.064870677</v>
      </c>
      <c r="D214" s="278">
        <f ca="1">'EUR Swap PVs'!AI92</f>
        <v>-1093234.4518965418</v>
      </c>
      <c r="E214" s="278">
        <f ca="1">'EUR Swap PVs'!AJ92</f>
        <v>-819925.83892240631</v>
      </c>
      <c r="F214" s="278">
        <f ca="1">'EUR Swap PVs'!AK92</f>
        <v>-546617.22594827123</v>
      </c>
      <c r="G214" s="278">
        <f ca="1">'EUR Swap PVs'!AL92</f>
        <v>-273308.61297413532</v>
      </c>
      <c r="H214" s="278">
        <f ca="1">'EUR Swap PVs'!AM92</f>
        <v>-5.5511151231257827E-11</v>
      </c>
      <c r="I214" s="278">
        <f ca="1">'EUR Swap PVs'!AN92</f>
        <v>273308.61297413555</v>
      </c>
      <c r="J214" s="278">
        <f ca="1">'EUR Swap PVs'!AO92</f>
        <v>546617.22594827111</v>
      </c>
      <c r="K214" s="278">
        <f ca="1">'EUR Swap PVs'!AP92</f>
        <v>819925.83892240666</v>
      </c>
      <c r="L214" s="278">
        <f ca="1">'EUR Swap PVs'!AQ92</f>
        <v>1093234.4518965418</v>
      </c>
      <c r="M214" s="279">
        <f ca="1">'EUR Swap PVs'!AR92</f>
        <v>1366543.0648706779</v>
      </c>
      <c r="O214" s="282" t="s">
        <v>16</v>
      </c>
      <c r="P214" s="278">
        <v>-1366543.064870677</v>
      </c>
      <c r="Q214" s="278">
        <v>-1093234.4518965418</v>
      </c>
      <c r="R214" s="278">
        <v>-819925.83892240631</v>
      </c>
      <c r="S214" s="278">
        <v>-546617.22594827123</v>
      </c>
      <c r="T214" s="278">
        <v>-273308.61297413532</v>
      </c>
      <c r="U214" s="278">
        <v>-5.5511151231257827E-11</v>
      </c>
      <c r="V214" s="278">
        <v>273308.61297413555</v>
      </c>
      <c r="W214" s="278">
        <v>546617.22594827111</v>
      </c>
      <c r="X214" s="278">
        <v>819925.83892240666</v>
      </c>
      <c r="Y214" s="278">
        <v>1093234.4518965418</v>
      </c>
      <c r="Z214" s="279">
        <v>1366543.0648706779</v>
      </c>
      <c r="AB214" s="282" t="str">
        <f t="shared" si="78"/>
        <v>35Y</v>
      </c>
      <c r="AC214" s="278">
        <f ca="1">IF(ABS(P214-C214)&gt;SnapshotTolerance,1,0)</f>
        <v>0</v>
      </c>
      <c r="AD214" s="278">
        <f ca="1">IF(ABS(Q214-D214)&gt;SnapshotTolerance,1,0)</f>
        <v>0</v>
      </c>
      <c r="AE214" s="278">
        <f ca="1">IF(ABS(R214-E214)&gt;SnapshotTolerance,1,0)</f>
        <v>0</v>
      </c>
      <c r="AF214" s="278">
        <f ca="1">IF(ABS(S214-F214)&gt;SnapshotTolerance,1,0)</f>
        <v>0</v>
      </c>
      <c r="AG214" s="278">
        <f ca="1">IF(ABS(T214-G214)&gt;SnapshotTolerance,1,0)</f>
        <v>0</v>
      </c>
      <c r="AH214" s="278">
        <f ca="1">IF(ABS(U214-H214)&gt;SnapshotTolerance,1,0)</f>
        <v>0</v>
      </c>
      <c r="AI214" s="278">
        <f ca="1">IF(ABS(V214-I214)&gt;SnapshotTolerance,1,0)</f>
        <v>0</v>
      </c>
      <c r="AJ214" s="278">
        <f ca="1">IF(ABS(W214-J214)&gt;SnapshotTolerance,1,0)</f>
        <v>0</v>
      </c>
      <c r="AK214" s="278">
        <f ca="1">IF(ABS(X214-K214)&gt;SnapshotTolerance,1,0)</f>
        <v>0</v>
      </c>
      <c r="AL214" s="278">
        <f ca="1">IF(ABS(Y214-L214)&gt;SnapshotTolerance,1,0)</f>
        <v>0</v>
      </c>
      <c r="AM214" s="279">
        <f ca="1">IF(ABS(Z214-M214)&gt;SnapshotTolerance,1,0)</f>
        <v>0</v>
      </c>
    </row>
    <row r="215" spans="2:39">
      <c r="B215" s="282" t="str">
        <f>'EUR Swap PVs'!AG93</f>
        <v>40Y</v>
      </c>
      <c r="C215" s="278">
        <f ca="1">'EUR Swap PVs'!AH93</f>
        <v>-1499145.7303461703</v>
      </c>
      <c r="D215" s="278">
        <f ca="1">'EUR Swap PVs'!AI93</f>
        <v>-1199316.5842769365</v>
      </c>
      <c r="E215" s="278">
        <f ca="1">'EUR Swap PVs'!AJ93</f>
        <v>-899487.43820770248</v>
      </c>
      <c r="F215" s="278">
        <f ca="1">'EUR Swap PVs'!AK93</f>
        <v>-599658.29213846859</v>
      </c>
      <c r="G215" s="278">
        <f ca="1">'EUR Swap PVs'!AL93</f>
        <v>-299829.14606923383</v>
      </c>
      <c r="H215" s="278">
        <f ca="1">'EUR Swap PVs'!AM93</f>
        <v>0</v>
      </c>
      <c r="I215" s="278">
        <f ca="1">'EUR Swap PVs'!AN93</f>
        <v>299829.14606923453</v>
      </c>
      <c r="J215" s="278">
        <f ca="1">'EUR Swap PVs'!AO93</f>
        <v>599658.29213846894</v>
      </c>
      <c r="K215" s="278">
        <f ca="1">'EUR Swap PVs'!AP93</f>
        <v>899487.43820770318</v>
      </c>
      <c r="L215" s="278">
        <f ca="1">'EUR Swap PVs'!AQ93</f>
        <v>1199316.5842769372</v>
      </c>
      <c r="M215" s="279">
        <f ca="1">'EUR Swap PVs'!AR93</f>
        <v>1499145.7303461719</v>
      </c>
      <c r="O215" s="282" t="s">
        <v>15</v>
      </c>
      <c r="P215" s="278">
        <v>-1499145.7303461703</v>
      </c>
      <c r="Q215" s="278">
        <v>-1199316.5842769365</v>
      </c>
      <c r="R215" s="278">
        <v>-899487.43820770248</v>
      </c>
      <c r="S215" s="278">
        <v>-599658.29213846859</v>
      </c>
      <c r="T215" s="278">
        <v>-299829.14606923383</v>
      </c>
      <c r="U215" s="278">
        <v>0</v>
      </c>
      <c r="V215" s="278">
        <v>299829.14606923453</v>
      </c>
      <c r="W215" s="278">
        <v>599658.29213846894</v>
      </c>
      <c r="X215" s="278">
        <v>899487.43820770318</v>
      </c>
      <c r="Y215" s="278">
        <v>1199316.5842769372</v>
      </c>
      <c r="Z215" s="279">
        <v>1499145.7303461719</v>
      </c>
      <c r="AB215" s="282" t="str">
        <f t="shared" si="78"/>
        <v>40Y</v>
      </c>
      <c r="AC215" s="278">
        <f ca="1">IF(ABS(P215-C215)&gt;SnapshotTolerance,1,0)</f>
        <v>0</v>
      </c>
      <c r="AD215" s="278">
        <f ca="1">IF(ABS(Q215-D215)&gt;SnapshotTolerance,1,0)</f>
        <v>0</v>
      </c>
      <c r="AE215" s="278">
        <f ca="1">IF(ABS(R215-E215)&gt;SnapshotTolerance,1,0)</f>
        <v>0</v>
      </c>
      <c r="AF215" s="278">
        <f ca="1">IF(ABS(S215-F215)&gt;SnapshotTolerance,1,0)</f>
        <v>0</v>
      </c>
      <c r="AG215" s="278">
        <f ca="1">IF(ABS(T215-G215)&gt;SnapshotTolerance,1,0)</f>
        <v>0</v>
      </c>
      <c r="AH215" s="278">
        <f ca="1">IF(ABS(U215-H215)&gt;SnapshotTolerance,1,0)</f>
        <v>0</v>
      </c>
      <c r="AI215" s="278">
        <f ca="1">IF(ABS(V215-I215)&gt;SnapshotTolerance,1,0)</f>
        <v>0</v>
      </c>
      <c r="AJ215" s="278">
        <f ca="1">IF(ABS(W215-J215)&gt;SnapshotTolerance,1,0)</f>
        <v>0</v>
      </c>
      <c r="AK215" s="278">
        <f ca="1">IF(ABS(X215-K215)&gt;SnapshotTolerance,1,0)</f>
        <v>0</v>
      </c>
      <c r="AL215" s="278">
        <f ca="1">IF(ABS(Y215-L215)&gt;SnapshotTolerance,1,0)</f>
        <v>0</v>
      </c>
      <c r="AM215" s="279">
        <f ca="1">IF(ABS(Z215-M215)&gt;SnapshotTolerance,1,0)</f>
        <v>0</v>
      </c>
    </row>
    <row r="216" spans="2:39">
      <c r="B216" s="282" t="str">
        <f>'EUR Swap PVs'!AG94</f>
        <v>45Y</v>
      </c>
      <c r="C216" s="278">
        <f ca="1">'EUR Swap PVs'!AH94</f>
        <v>-1620154.4699725835</v>
      </c>
      <c r="D216" s="278">
        <f ca="1">'EUR Swap PVs'!AI94</f>
        <v>-1296123.5759780672</v>
      </c>
      <c r="E216" s="278">
        <f ca="1">'EUR Swap PVs'!AJ94</f>
        <v>-972092.68198355054</v>
      </c>
      <c r="F216" s="278">
        <f ca="1">'EUR Swap PVs'!AK94</f>
        <v>-648061.78798903408</v>
      </c>
      <c r="G216" s="278">
        <f ca="1">'EUR Swap PVs'!AL94</f>
        <v>-324030.89399451658</v>
      </c>
      <c r="H216" s="278">
        <f ca="1">'EUR Swap PVs'!AM94</f>
        <v>0</v>
      </c>
      <c r="I216" s="278">
        <f ca="1">'EUR Swap PVs'!AN94</f>
        <v>324030.89399451722</v>
      </c>
      <c r="J216" s="278">
        <f ca="1">'EUR Swap PVs'!AO94</f>
        <v>648061.78798903432</v>
      </c>
      <c r="K216" s="278">
        <f ca="1">'EUR Swap PVs'!AP94</f>
        <v>972092.68198355113</v>
      </c>
      <c r="L216" s="278">
        <f ca="1">'EUR Swap PVs'!AQ94</f>
        <v>1296123.5759780679</v>
      </c>
      <c r="M216" s="279">
        <f ca="1">'EUR Swap PVs'!AR94</f>
        <v>1620154.4699725856</v>
      </c>
      <c r="O216" s="282" t="s">
        <v>368</v>
      </c>
      <c r="P216" s="278">
        <v>-1620154.4699725835</v>
      </c>
      <c r="Q216" s="278">
        <v>-1296123.5759780672</v>
      </c>
      <c r="R216" s="278">
        <v>-972092.68198355054</v>
      </c>
      <c r="S216" s="278">
        <v>-648061.78798903408</v>
      </c>
      <c r="T216" s="278">
        <v>-324030.89399451658</v>
      </c>
      <c r="U216" s="278">
        <v>0</v>
      </c>
      <c r="V216" s="278">
        <v>324030.89399451722</v>
      </c>
      <c r="W216" s="278">
        <v>648061.78798903432</v>
      </c>
      <c r="X216" s="278">
        <v>972092.68198355113</v>
      </c>
      <c r="Y216" s="278">
        <v>1296123.5759780679</v>
      </c>
      <c r="Z216" s="279">
        <v>1620154.4699725856</v>
      </c>
      <c r="AB216" s="282" t="str">
        <f t="shared" si="78"/>
        <v>45Y</v>
      </c>
      <c r="AC216" s="278">
        <f ca="1">IF(ABS(P216-C216)&gt;SnapshotTolerance,1,0)</f>
        <v>0</v>
      </c>
      <c r="AD216" s="278">
        <f ca="1">IF(ABS(Q216-D216)&gt;SnapshotTolerance,1,0)</f>
        <v>0</v>
      </c>
      <c r="AE216" s="278">
        <f ca="1">IF(ABS(R216-E216)&gt;SnapshotTolerance,1,0)</f>
        <v>0</v>
      </c>
      <c r="AF216" s="278">
        <f ca="1">IF(ABS(S216-F216)&gt;SnapshotTolerance,1,0)</f>
        <v>0</v>
      </c>
      <c r="AG216" s="278">
        <f ca="1">IF(ABS(T216-G216)&gt;SnapshotTolerance,1,0)</f>
        <v>0</v>
      </c>
      <c r="AH216" s="278">
        <f ca="1">IF(ABS(U216-H216)&gt;SnapshotTolerance,1,0)</f>
        <v>0</v>
      </c>
      <c r="AI216" s="278">
        <f ca="1">IF(ABS(V216-I216)&gt;SnapshotTolerance,1,0)</f>
        <v>0</v>
      </c>
      <c r="AJ216" s="278">
        <f ca="1">IF(ABS(W216-J216)&gt;SnapshotTolerance,1,0)</f>
        <v>0</v>
      </c>
      <c r="AK216" s="278">
        <f ca="1">IF(ABS(X216-K216)&gt;SnapshotTolerance,1,0)</f>
        <v>0</v>
      </c>
      <c r="AL216" s="278">
        <f ca="1">IF(ABS(Y216-L216)&gt;SnapshotTolerance,1,0)</f>
        <v>0</v>
      </c>
      <c r="AM216" s="279">
        <f ca="1">IF(ABS(Z216-M216)&gt;SnapshotTolerance,1,0)</f>
        <v>0</v>
      </c>
    </row>
    <row r="217" spans="2:39">
      <c r="B217" s="283" t="str">
        <f>'EUR Swap PVs'!AG95</f>
        <v>50Y</v>
      </c>
      <c r="C217" s="280">
        <f ca="1">'EUR Swap PVs'!AH95</f>
        <v>-1730741.4546833574</v>
      </c>
      <c r="D217" s="280">
        <f ca="1">'EUR Swap PVs'!AI95</f>
        <v>-1384593.1637466867</v>
      </c>
      <c r="E217" s="280">
        <f ca="1">'EUR Swap PVs'!AJ95</f>
        <v>-1038444.8728100153</v>
      </c>
      <c r="F217" s="280">
        <f ca="1">'EUR Swap PVs'!AK95</f>
        <v>-692296.58187334402</v>
      </c>
      <c r="G217" s="280">
        <f ca="1">'EUR Swap PVs'!AL95</f>
        <v>-346148.29093667143</v>
      </c>
      <c r="H217" s="280">
        <f ca="1">'EUR Swap PVs'!AM95</f>
        <v>0</v>
      </c>
      <c r="I217" s="280">
        <f ca="1">'EUR Swap PVs'!AN95</f>
        <v>346148.29093667207</v>
      </c>
      <c r="J217" s="280">
        <f ca="1">'EUR Swap PVs'!AO95</f>
        <v>692296.58187334391</v>
      </c>
      <c r="K217" s="280">
        <f ca="1">'EUR Swap PVs'!AP95</f>
        <v>1038444.8728100156</v>
      </c>
      <c r="L217" s="280">
        <f ca="1">'EUR Swap PVs'!AQ95</f>
        <v>1384593.1637466871</v>
      </c>
      <c r="M217" s="281">
        <f ca="1">'EUR Swap PVs'!AR95</f>
        <v>1730741.4546833595</v>
      </c>
      <c r="O217" s="283" t="s">
        <v>14</v>
      </c>
      <c r="P217" s="280">
        <v>-1730741.4546833574</v>
      </c>
      <c r="Q217" s="280">
        <v>-1384593.1637466867</v>
      </c>
      <c r="R217" s="280">
        <v>-1038444.8728100153</v>
      </c>
      <c r="S217" s="280">
        <v>-692296.58187334402</v>
      </c>
      <c r="T217" s="280">
        <v>-346148.29093667143</v>
      </c>
      <c r="U217" s="280">
        <v>0</v>
      </c>
      <c r="V217" s="280">
        <v>346148.29093667207</v>
      </c>
      <c r="W217" s="280">
        <v>692296.58187334391</v>
      </c>
      <c r="X217" s="280">
        <v>1038444.8728100156</v>
      </c>
      <c r="Y217" s="280">
        <v>1384593.1637466871</v>
      </c>
      <c r="Z217" s="281">
        <v>1730741.4546833595</v>
      </c>
      <c r="AB217" s="283" t="str">
        <f t="shared" si="78"/>
        <v>50Y</v>
      </c>
      <c r="AC217" s="280">
        <f ca="1">IF(ABS(P217-C217)&gt;SnapshotTolerance,1,0)</f>
        <v>0</v>
      </c>
      <c r="AD217" s="280">
        <f ca="1">IF(ABS(Q217-D217)&gt;SnapshotTolerance,1,0)</f>
        <v>0</v>
      </c>
      <c r="AE217" s="280">
        <f ca="1">IF(ABS(R217-E217)&gt;SnapshotTolerance,1,0)</f>
        <v>0</v>
      </c>
      <c r="AF217" s="280">
        <f ca="1">IF(ABS(S217-F217)&gt;SnapshotTolerance,1,0)</f>
        <v>0</v>
      </c>
      <c r="AG217" s="280">
        <f ca="1">IF(ABS(T217-G217)&gt;SnapshotTolerance,1,0)</f>
        <v>0</v>
      </c>
      <c r="AH217" s="280">
        <f ca="1">IF(ABS(U217-H217)&gt;SnapshotTolerance,1,0)</f>
        <v>0</v>
      </c>
      <c r="AI217" s="280">
        <f ca="1">IF(ABS(V217-I217)&gt;SnapshotTolerance,1,0)</f>
        <v>0</v>
      </c>
      <c r="AJ217" s="280">
        <f ca="1">IF(ABS(W217-J217)&gt;SnapshotTolerance,1,0)</f>
        <v>0</v>
      </c>
      <c r="AK217" s="280">
        <f ca="1">IF(ABS(X217-K217)&gt;SnapshotTolerance,1,0)</f>
        <v>0</v>
      </c>
      <c r="AL217" s="280">
        <f ca="1">IF(ABS(Y217-L217)&gt;SnapshotTolerance,1,0)</f>
        <v>0</v>
      </c>
      <c r="AM217" s="281">
        <f ca="1">IF(ABS(Z217-M217)&gt;SnapshotTolerance,1,0)</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B2:AM217"/>
  <sheetViews>
    <sheetView showGridLines="0" zoomScaleNormal="100" workbookViewId="0"/>
  </sheetViews>
  <sheetFormatPr defaultRowHeight="15"/>
  <cols>
    <col min="2" max="32" width="10.7109375" customWidth="1"/>
  </cols>
  <sheetData>
    <row r="2" spans="2:39">
      <c r="B2" t="s">
        <v>534</v>
      </c>
    </row>
    <row r="4" spans="2:39">
      <c r="B4" t="s">
        <v>527</v>
      </c>
      <c r="E4" t="s">
        <v>472</v>
      </c>
    </row>
    <row r="5" spans="2:39">
      <c r="B5" t="s">
        <v>528</v>
      </c>
      <c r="E5" s="252">
        <f ca="1">SUM(AC10:AM28)</f>
        <v>0</v>
      </c>
    </row>
    <row r="6" spans="2:39">
      <c r="B6" t="s">
        <v>529</v>
      </c>
    </row>
    <row r="8" spans="2:39">
      <c r="B8" t="s">
        <v>510</v>
      </c>
      <c r="O8" t="s">
        <v>470</v>
      </c>
      <c r="AB8" t="s">
        <v>511</v>
      </c>
    </row>
    <row r="9" spans="2:39">
      <c r="B9" s="254" t="str">
        <f>'USD Swap PVs'!M3</f>
        <v>Term</v>
      </c>
      <c r="C9" s="276">
        <f>'USD Swap PVs'!N3</f>
        <v>-0.05</v>
      </c>
      <c r="D9" s="276">
        <f>'USD Swap PVs'!O3</f>
        <v>-0.04</v>
      </c>
      <c r="E9" s="276">
        <f>'USD Swap PVs'!P3</f>
        <v>-0.03</v>
      </c>
      <c r="F9" s="276">
        <f>'USD Swap PVs'!Q3</f>
        <v>-1.9999999999999997E-2</v>
      </c>
      <c r="G9" s="276">
        <f>'USD Swap PVs'!R3</f>
        <v>-9.9999999999999967E-3</v>
      </c>
      <c r="H9" s="276">
        <f>'USD Swap PVs'!S3</f>
        <v>0</v>
      </c>
      <c r="I9" s="276">
        <f>'USD Swap PVs'!T3</f>
        <v>0.01</v>
      </c>
      <c r="J9" s="276">
        <f>'USD Swap PVs'!U3</f>
        <v>0.02</v>
      </c>
      <c r="K9" s="276">
        <f>'USD Swap PVs'!V3</f>
        <v>0.03</v>
      </c>
      <c r="L9" s="276">
        <f>'USD Swap PVs'!W3</f>
        <v>0.04</v>
      </c>
      <c r="M9" s="277">
        <f>'USD Swap PVs'!X3</f>
        <v>0.05</v>
      </c>
      <c r="O9" s="254" t="s">
        <v>76</v>
      </c>
      <c r="P9" s="276">
        <v>-0.05</v>
      </c>
      <c r="Q9" s="276">
        <v>-0.04</v>
      </c>
      <c r="R9" s="276">
        <v>-0.03</v>
      </c>
      <c r="S9" s="276">
        <v>-1.9999999999999997E-2</v>
      </c>
      <c r="T9" s="276">
        <v>-9.9999999999999967E-3</v>
      </c>
      <c r="U9" s="276">
        <v>0</v>
      </c>
      <c r="V9" s="276">
        <v>0.01</v>
      </c>
      <c r="W9" s="276">
        <v>0.02</v>
      </c>
      <c r="X9" s="276">
        <v>0.03</v>
      </c>
      <c r="Y9" s="276">
        <v>0.04</v>
      </c>
      <c r="Z9" s="277">
        <v>0.05</v>
      </c>
      <c r="AB9" s="254" t="str">
        <f>O9</f>
        <v>Term</v>
      </c>
      <c r="AC9" s="276">
        <f>P9</f>
        <v>-0.05</v>
      </c>
      <c r="AD9" s="276">
        <f t="shared" ref="AD9:AM9" si="0">Q9</f>
        <v>-0.04</v>
      </c>
      <c r="AE9" s="276">
        <f t="shared" si="0"/>
        <v>-0.03</v>
      </c>
      <c r="AF9" s="276">
        <f t="shared" si="0"/>
        <v>-1.9999999999999997E-2</v>
      </c>
      <c r="AG9" s="276">
        <f t="shared" si="0"/>
        <v>-9.9999999999999967E-3</v>
      </c>
      <c r="AH9" s="276">
        <f t="shared" si="0"/>
        <v>0</v>
      </c>
      <c r="AI9" s="276">
        <f t="shared" si="0"/>
        <v>0.01</v>
      </c>
      <c r="AJ9" s="276">
        <f t="shared" si="0"/>
        <v>0.02</v>
      </c>
      <c r="AK9" s="276">
        <f t="shared" si="0"/>
        <v>0.03</v>
      </c>
      <c r="AL9" s="276">
        <f t="shared" si="0"/>
        <v>0.04</v>
      </c>
      <c r="AM9" s="277">
        <f t="shared" si="0"/>
        <v>0.05</v>
      </c>
    </row>
    <row r="10" spans="2:39">
      <c r="B10" s="282" t="str">
        <f>'USD Swap PVs'!M4</f>
        <v>4Y</v>
      </c>
      <c r="C10" s="278">
        <f ca="1">'USD Swap PVs'!N4</f>
        <v>195562.52171450306</v>
      </c>
      <c r="D10" s="278">
        <f ca="1">'USD Swap PVs'!O4</f>
        <v>156450.01737160247</v>
      </c>
      <c r="E10" s="278">
        <f ca="1">'USD Swap PVs'!P4</f>
        <v>117337.51302870184</v>
      </c>
      <c r="F10" s="278">
        <f ca="1">'USD Swap PVs'!Q4</f>
        <v>78225.008685801222</v>
      </c>
      <c r="G10" s="278">
        <f ca="1">'USD Swap PVs'!R4</f>
        <v>39112.504342900604</v>
      </c>
      <c r="H10" s="278">
        <f ca="1">'USD Swap PVs'!S4</f>
        <v>6.9388939039072284E-12</v>
      </c>
      <c r="I10" s="278">
        <f ca="1">'USD Swap PVs'!T4</f>
        <v>-39112.504342900611</v>
      </c>
      <c r="J10" s="278">
        <f ca="1">'USD Swap PVs'!U4</f>
        <v>-78225.008685801207</v>
      </c>
      <c r="K10" s="278">
        <f ca="1">'USD Swap PVs'!V4</f>
        <v>-117337.51302870183</v>
      </c>
      <c r="L10" s="278">
        <f ca="1">'USD Swap PVs'!W4</f>
        <v>-156450.01737160244</v>
      </c>
      <c r="M10" s="279">
        <f ca="1">'USD Swap PVs'!X4</f>
        <v>-195562.52171450303</v>
      </c>
      <c r="O10" s="282" t="s">
        <v>35</v>
      </c>
      <c r="P10" s="278">
        <v>195562.52171450306</v>
      </c>
      <c r="Q10" s="278">
        <v>156450.01737160247</v>
      </c>
      <c r="R10" s="278">
        <v>117337.51302870184</v>
      </c>
      <c r="S10" s="278">
        <v>78225.008685801222</v>
      </c>
      <c r="T10" s="278">
        <v>39112.504342900604</v>
      </c>
      <c r="U10" s="278">
        <v>6.9388939039072284E-12</v>
      </c>
      <c r="V10" s="278">
        <v>-39112.504342900611</v>
      </c>
      <c r="W10" s="278">
        <v>-78225.008685801207</v>
      </c>
      <c r="X10" s="278">
        <v>-117337.51302870183</v>
      </c>
      <c r="Y10" s="278">
        <v>-156450.01737160244</v>
      </c>
      <c r="Z10" s="279">
        <v>-195562.52171450303</v>
      </c>
      <c r="AB10" s="282" t="str">
        <f t="shared" ref="AB10:AB28" si="1">O10</f>
        <v>4Y</v>
      </c>
      <c r="AC10" s="278">
        <f ca="1">IF(ABS(P10-C10)&gt;SnapshotTolerance,1,0)</f>
        <v>0</v>
      </c>
      <c r="AD10" s="278">
        <f ca="1">IF(ABS(Q10-D10)&gt;SnapshotTolerance,1,0)</f>
        <v>0</v>
      </c>
      <c r="AE10" s="278">
        <f ca="1">IF(ABS(R10-E10)&gt;SnapshotTolerance,1,0)</f>
        <v>0</v>
      </c>
      <c r="AF10" s="278">
        <f ca="1">IF(ABS(S10-F10)&gt;SnapshotTolerance,1,0)</f>
        <v>0</v>
      </c>
      <c r="AG10" s="278">
        <f ca="1">IF(ABS(T10-G10)&gt;SnapshotTolerance,1,0)</f>
        <v>0</v>
      </c>
      <c r="AH10" s="278">
        <f ca="1">IF(ABS(U10-H10)&gt;SnapshotTolerance,1,0)</f>
        <v>0</v>
      </c>
      <c r="AI10" s="278">
        <f ca="1">IF(ABS(V10-I10)&gt;SnapshotTolerance,1,0)</f>
        <v>0</v>
      </c>
      <c r="AJ10" s="278">
        <f ca="1">IF(ABS(W10-J10)&gt;SnapshotTolerance,1,0)</f>
        <v>0</v>
      </c>
      <c r="AK10" s="278">
        <f ca="1">IF(ABS(X10-K10)&gt;SnapshotTolerance,1,0)</f>
        <v>0</v>
      </c>
      <c r="AL10" s="278">
        <f ca="1">IF(ABS(Y10-L10)&gt;SnapshotTolerance,1,0)</f>
        <v>0</v>
      </c>
      <c r="AM10" s="279">
        <f ca="1">IF(ABS(Z10-M10)&gt;SnapshotTolerance,1,0)</f>
        <v>0</v>
      </c>
    </row>
    <row r="11" spans="2:39">
      <c r="B11" s="282" t="str">
        <f>'USD Swap PVs'!M5</f>
        <v>5Y</v>
      </c>
      <c r="C11" s="278">
        <f ca="1">'USD Swap PVs'!N5</f>
        <v>241983.52432274871</v>
      </c>
      <c r="D11" s="278">
        <f ca="1">'USD Swap PVs'!O5</f>
        <v>193586.819458199</v>
      </c>
      <c r="E11" s="278">
        <f ca="1">'USD Swap PVs'!P5</f>
        <v>145190.11459364922</v>
      </c>
      <c r="F11" s="278">
        <f ca="1">'USD Swap PVs'!Q5</f>
        <v>96793.409729099469</v>
      </c>
      <c r="G11" s="278">
        <f ca="1">'USD Swap PVs'!R5</f>
        <v>48396.70486454972</v>
      </c>
      <c r="H11" s="278">
        <f ca="1">'USD Swap PVs'!S5</f>
        <v>-1.3877787807814457E-11</v>
      </c>
      <c r="I11" s="278">
        <f ca="1">'USD Swap PVs'!T5</f>
        <v>-48396.704864549749</v>
      </c>
      <c r="J11" s="278">
        <f ca="1">'USD Swap PVs'!U5</f>
        <v>-96793.409729099498</v>
      </c>
      <c r="K11" s="278">
        <f ca="1">'USD Swap PVs'!V5</f>
        <v>-145190.11459364928</v>
      </c>
      <c r="L11" s="278">
        <f ca="1">'USD Swap PVs'!W5</f>
        <v>-193586.81945819897</v>
      </c>
      <c r="M11" s="279">
        <f ca="1">'USD Swap PVs'!X5</f>
        <v>-241983.5243227488</v>
      </c>
      <c r="O11" s="282" t="s">
        <v>33</v>
      </c>
      <c r="P11" s="278">
        <v>241983.52432274871</v>
      </c>
      <c r="Q11" s="278">
        <v>193586.819458199</v>
      </c>
      <c r="R11" s="278">
        <v>145190.11459364922</v>
      </c>
      <c r="S11" s="278">
        <v>96793.409729099469</v>
      </c>
      <c r="T11" s="278">
        <v>48396.70486454972</v>
      </c>
      <c r="U11" s="278">
        <v>-1.3877787807814457E-11</v>
      </c>
      <c r="V11" s="278">
        <v>-48396.704864549749</v>
      </c>
      <c r="W11" s="278">
        <v>-96793.409729099498</v>
      </c>
      <c r="X11" s="278">
        <v>-145190.11459364928</v>
      </c>
      <c r="Y11" s="278">
        <v>-193586.81945819897</v>
      </c>
      <c r="Z11" s="279">
        <v>-241983.5243227488</v>
      </c>
      <c r="AB11" s="282" t="str">
        <f t="shared" si="1"/>
        <v>5Y</v>
      </c>
      <c r="AC11" s="278">
        <f ca="1">IF(ABS(P11-C11)&gt;SnapshotTolerance,1,0)</f>
        <v>0</v>
      </c>
      <c r="AD11" s="278">
        <f ca="1">IF(ABS(Q11-D11)&gt;SnapshotTolerance,1,0)</f>
        <v>0</v>
      </c>
      <c r="AE11" s="278">
        <f ca="1">IF(ABS(R11-E11)&gt;SnapshotTolerance,1,0)</f>
        <v>0</v>
      </c>
      <c r="AF11" s="278">
        <f ca="1">IF(ABS(S11-F11)&gt;SnapshotTolerance,1,0)</f>
        <v>0</v>
      </c>
      <c r="AG11" s="278">
        <f ca="1">IF(ABS(T11-G11)&gt;SnapshotTolerance,1,0)</f>
        <v>0</v>
      </c>
      <c r="AH11" s="278">
        <f ca="1">IF(ABS(U11-H11)&gt;SnapshotTolerance,1,0)</f>
        <v>0</v>
      </c>
      <c r="AI11" s="278">
        <f ca="1">IF(ABS(V11-I11)&gt;SnapshotTolerance,1,0)</f>
        <v>0</v>
      </c>
      <c r="AJ11" s="278">
        <f ca="1">IF(ABS(W11-J11)&gt;SnapshotTolerance,1,0)</f>
        <v>0</v>
      </c>
      <c r="AK11" s="278">
        <f ca="1">IF(ABS(X11-K11)&gt;SnapshotTolerance,1,0)</f>
        <v>0</v>
      </c>
      <c r="AL11" s="278">
        <f ca="1">IF(ABS(Y11-L11)&gt;SnapshotTolerance,1,0)</f>
        <v>0</v>
      </c>
      <c r="AM11" s="279">
        <f ca="1">IF(ABS(Z11-M11)&gt;SnapshotTolerance,1,0)</f>
        <v>0</v>
      </c>
    </row>
    <row r="12" spans="2:39">
      <c r="B12" s="282" t="str">
        <f>'USD Swap PVs'!M6</f>
        <v>6Y</v>
      </c>
      <c r="C12" s="278">
        <f ca="1">'USD Swap PVs'!N6</f>
        <v>287114.0853050882</v>
      </c>
      <c r="D12" s="278">
        <f ca="1">'USD Swap PVs'!O6</f>
        <v>229691.26824407058</v>
      </c>
      <c r="E12" s="278">
        <f ca="1">'USD Swap PVs'!P6</f>
        <v>172268.45118305294</v>
      </c>
      <c r="F12" s="278">
        <f ca="1">'USD Swap PVs'!Q6</f>
        <v>114845.63412203528</v>
      </c>
      <c r="G12" s="278">
        <f ca="1">'USD Swap PVs'!R6</f>
        <v>57422.817061017631</v>
      </c>
      <c r="H12" s="278">
        <f ca="1">'USD Swap PVs'!S6</f>
        <v>1.3877787807814457E-11</v>
      </c>
      <c r="I12" s="278">
        <f ca="1">'USD Swap PVs'!T6</f>
        <v>-57422.817061017638</v>
      </c>
      <c r="J12" s="278">
        <f ca="1">'USD Swap PVs'!U6</f>
        <v>-114845.63412203529</v>
      </c>
      <c r="K12" s="278">
        <f ca="1">'USD Swap PVs'!V6</f>
        <v>-172268.45118305291</v>
      </c>
      <c r="L12" s="278">
        <f ca="1">'USD Swap PVs'!W6</f>
        <v>-229691.26824407055</v>
      </c>
      <c r="M12" s="279">
        <f ca="1">'USD Swap PVs'!X6</f>
        <v>-287114.0853050882</v>
      </c>
      <c r="O12" s="282" t="s">
        <v>131</v>
      </c>
      <c r="P12" s="278">
        <v>287114.0853050882</v>
      </c>
      <c r="Q12" s="278">
        <v>229691.26824407058</v>
      </c>
      <c r="R12" s="278">
        <v>172268.45118305294</v>
      </c>
      <c r="S12" s="278">
        <v>114845.63412203528</v>
      </c>
      <c r="T12" s="278">
        <v>57422.817061017631</v>
      </c>
      <c r="U12" s="278">
        <v>1.3877787807814457E-11</v>
      </c>
      <c r="V12" s="278">
        <v>-57422.817061017638</v>
      </c>
      <c r="W12" s="278">
        <v>-114845.63412203529</v>
      </c>
      <c r="X12" s="278">
        <v>-172268.45118305291</v>
      </c>
      <c r="Y12" s="278">
        <v>-229691.26824407055</v>
      </c>
      <c r="Z12" s="279">
        <v>-287114.0853050882</v>
      </c>
      <c r="AB12" s="282" t="str">
        <f t="shared" si="1"/>
        <v>6Y</v>
      </c>
      <c r="AC12" s="278">
        <f ca="1">IF(ABS(P12-C12)&gt;SnapshotTolerance,1,0)</f>
        <v>0</v>
      </c>
      <c r="AD12" s="278">
        <f ca="1">IF(ABS(Q12-D12)&gt;SnapshotTolerance,1,0)</f>
        <v>0</v>
      </c>
      <c r="AE12" s="278">
        <f ca="1">IF(ABS(R12-E12)&gt;SnapshotTolerance,1,0)</f>
        <v>0</v>
      </c>
      <c r="AF12" s="278">
        <f ca="1">IF(ABS(S12-F12)&gt;SnapshotTolerance,1,0)</f>
        <v>0</v>
      </c>
      <c r="AG12" s="278">
        <f ca="1">IF(ABS(T12-G12)&gt;SnapshotTolerance,1,0)</f>
        <v>0</v>
      </c>
      <c r="AH12" s="278">
        <f ca="1">IF(ABS(U12-H12)&gt;SnapshotTolerance,1,0)</f>
        <v>0</v>
      </c>
      <c r="AI12" s="278">
        <f ca="1">IF(ABS(V12-I12)&gt;SnapshotTolerance,1,0)</f>
        <v>0</v>
      </c>
      <c r="AJ12" s="278">
        <f ca="1">IF(ABS(W12-J12)&gt;SnapshotTolerance,1,0)</f>
        <v>0</v>
      </c>
      <c r="AK12" s="278">
        <f ca="1">IF(ABS(X12-K12)&gt;SnapshotTolerance,1,0)</f>
        <v>0</v>
      </c>
      <c r="AL12" s="278">
        <f ca="1">IF(ABS(Y12-L12)&gt;SnapshotTolerance,1,0)</f>
        <v>0</v>
      </c>
      <c r="AM12" s="279">
        <f ca="1">IF(ABS(Z12-M12)&gt;SnapshotTolerance,1,0)</f>
        <v>0</v>
      </c>
    </row>
    <row r="13" spans="2:39">
      <c r="B13" s="282" t="str">
        <f>'USD Swap PVs'!M7</f>
        <v>7Y</v>
      </c>
      <c r="C13" s="278">
        <f ca="1">'USD Swap PVs'!N7</f>
        <v>330911.35818384035</v>
      </c>
      <c r="D13" s="278">
        <f ca="1">'USD Swap PVs'!O7</f>
        <v>264729.08654707228</v>
      </c>
      <c r="E13" s="278">
        <f ca="1">'USD Swap PVs'!P7</f>
        <v>198546.81491030421</v>
      </c>
      <c r="F13" s="278">
        <f ca="1">'USD Swap PVs'!Q7</f>
        <v>132364.54327353611</v>
      </c>
      <c r="G13" s="278">
        <f ca="1">'USD Swap PVs'!R7</f>
        <v>66182.27163676804</v>
      </c>
      <c r="H13" s="278">
        <f ca="1">'USD Swap PVs'!S7</f>
        <v>0</v>
      </c>
      <c r="I13" s="278">
        <f ca="1">'USD Swap PVs'!T7</f>
        <v>-66182.27163676807</v>
      </c>
      <c r="J13" s="278">
        <f ca="1">'USD Swap PVs'!U7</f>
        <v>-132364.54327353617</v>
      </c>
      <c r="K13" s="278">
        <f ca="1">'USD Swap PVs'!V7</f>
        <v>-198546.81491030427</v>
      </c>
      <c r="L13" s="278">
        <f ca="1">'USD Swap PVs'!W7</f>
        <v>-264729.08654707228</v>
      </c>
      <c r="M13" s="279">
        <f ca="1">'USD Swap PVs'!X7</f>
        <v>-330911.35818384041</v>
      </c>
      <c r="O13" s="282" t="s">
        <v>31</v>
      </c>
      <c r="P13" s="278">
        <v>330911.35818384035</v>
      </c>
      <c r="Q13" s="278">
        <v>264729.08654707228</v>
      </c>
      <c r="R13" s="278">
        <v>198546.81491030421</v>
      </c>
      <c r="S13" s="278">
        <v>132364.54327353611</v>
      </c>
      <c r="T13" s="278">
        <v>66182.27163676804</v>
      </c>
      <c r="U13" s="278">
        <v>0</v>
      </c>
      <c r="V13" s="278">
        <v>-66182.27163676807</v>
      </c>
      <c r="W13" s="278">
        <v>-132364.54327353617</v>
      </c>
      <c r="X13" s="278">
        <v>-198546.81491030427</v>
      </c>
      <c r="Y13" s="278">
        <v>-264729.08654707228</v>
      </c>
      <c r="Z13" s="279">
        <v>-330911.35818384041</v>
      </c>
      <c r="AB13" s="282" t="str">
        <f t="shared" si="1"/>
        <v>7Y</v>
      </c>
      <c r="AC13" s="278">
        <f ca="1">IF(ABS(P13-C13)&gt;SnapshotTolerance,1,0)</f>
        <v>0</v>
      </c>
      <c r="AD13" s="278">
        <f ca="1">IF(ABS(Q13-D13)&gt;SnapshotTolerance,1,0)</f>
        <v>0</v>
      </c>
      <c r="AE13" s="278">
        <f ca="1">IF(ABS(R13-E13)&gt;SnapshotTolerance,1,0)</f>
        <v>0</v>
      </c>
      <c r="AF13" s="278">
        <f ca="1">IF(ABS(S13-F13)&gt;SnapshotTolerance,1,0)</f>
        <v>0</v>
      </c>
      <c r="AG13" s="278">
        <f ca="1">IF(ABS(T13-G13)&gt;SnapshotTolerance,1,0)</f>
        <v>0</v>
      </c>
      <c r="AH13" s="278">
        <f ca="1">IF(ABS(U13-H13)&gt;SnapshotTolerance,1,0)</f>
        <v>0</v>
      </c>
      <c r="AI13" s="278">
        <f ca="1">IF(ABS(V13-I13)&gt;SnapshotTolerance,1,0)</f>
        <v>0</v>
      </c>
      <c r="AJ13" s="278">
        <f ca="1">IF(ABS(W13-J13)&gt;SnapshotTolerance,1,0)</f>
        <v>0</v>
      </c>
      <c r="AK13" s="278">
        <f ca="1">IF(ABS(X13-K13)&gt;SnapshotTolerance,1,0)</f>
        <v>0</v>
      </c>
      <c r="AL13" s="278">
        <f ca="1">IF(ABS(Y13-L13)&gt;SnapshotTolerance,1,0)</f>
        <v>0</v>
      </c>
      <c r="AM13" s="279">
        <f ca="1">IF(ABS(Z13-M13)&gt;SnapshotTolerance,1,0)</f>
        <v>0</v>
      </c>
    </row>
    <row r="14" spans="2:39">
      <c r="B14" s="282" t="str">
        <f>'USD Swap PVs'!M8</f>
        <v>8Y</v>
      </c>
      <c r="C14" s="278">
        <f ca="1">'USD Swap PVs'!N8</f>
        <v>373597.61650791444</v>
      </c>
      <c r="D14" s="278">
        <f ca="1">'USD Swap PVs'!O8</f>
        <v>298878.09320633154</v>
      </c>
      <c r="E14" s="278">
        <f ca="1">'USD Swap PVs'!P8</f>
        <v>224158.56990474864</v>
      </c>
      <c r="F14" s="278">
        <f ca="1">'USD Swap PVs'!Q8</f>
        <v>149439.04660316577</v>
      </c>
      <c r="G14" s="278">
        <f ca="1">'USD Swap PVs'!R8</f>
        <v>74719.523301582871</v>
      </c>
      <c r="H14" s="278">
        <f ca="1">'USD Swap PVs'!S8</f>
        <v>0</v>
      </c>
      <c r="I14" s="278">
        <f ca="1">'USD Swap PVs'!T8</f>
        <v>-74719.523301582885</v>
      </c>
      <c r="J14" s="278">
        <f ca="1">'USD Swap PVs'!U8</f>
        <v>-149439.0466031658</v>
      </c>
      <c r="K14" s="278">
        <f ca="1">'USD Swap PVs'!V8</f>
        <v>-224158.56990474867</v>
      </c>
      <c r="L14" s="278">
        <f ca="1">'USD Swap PVs'!W8</f>
        <v>-298878.09320633154</v>
      </c>
      <c r="M14" s="279">
        <f ca="1">'USD Swap PVs'!X8</f>
        <v>-373597.61650791444</v>
      </c>
      <c r="O14" s="282" t="s">
        <v>119</v>
      </c>
      <c r="P14" s="278">
        <v>373597.61650791444</v>
      </c>
      <c r="Q14" s="278">
        <v>298878.09320633154</v>
      </c>
      <c r="R14" s="278">
        <v>224158.56990474864</v>
      </c>
      <c r="S14" s="278">
        <v>149439.04660316577</v>
      </c>
      <c r="T14" s="278">
        <v>74719.523301582871</v>
      </c>
      <c r="U14" s="278">
        <v>0</v>
      </c>
      <c r="V14" s="278">
        <v>-74719.523301582885</v>
      </c>
      <c r="W14" s="278">
        <v>-149439.0466031658</v>
      </c>
      <c r="X14" s="278">
        <v>-224158.56990474867</v>
      </c>
      <c r="Y14" s="278">
        <v>-298878.09320633154</v>
      </c>
      <c r="Z14" s="279">
        <v>-373597.61650791444</v>
      </c>
      <c r="AB14" s="282" t="str">
        <f t="shared" si="1"/>
        <v>8Y</v>
      </c>
      <c r="AC14" s="278">
        <f ca="1">IF(ABS(P14-C14)&gt;SnapshotTolerance,1,0)</f>
        <v>0</v>
      </c>
      <c r="AD14" s="278">
        <f ca="1">IF(ABS(Q14-D14)&gt;SnapshotTolerance,1,0)</f>
        <v>0</v>
      </c>
      <c r="AE14" s="278">
        <f ca="1">IF(ABS(R14-E14)&gt;SnapshotTolerance,1,0)</f>
        <v>0</v>
      </c>
      <c r="AF14" s="278">
        <f ca="1">IF(ABS(S14-F14)&gt;SnapshotTolerance,1,0)</f>
        <v>0</v>
      </c>
      <c r="AG14" s="278">
        <f ca="1">IF(ABS(T14-G14)&gt;SnapshotTolerance,1,0)</f>
        <v>0</v>
      </c>
      <c r="AH14" s="278">
        <f ca="1">IF(ABS(U14-H14)&gt;SnapshotTolerance,1,0)</f>
        <v>0</v>
      </c>
      <c r="AI14" s="278">
        <f ca="1">IF(ABS(V14-I14)&gt;SnapshotTolerance,1,0)</f>
        <v>0</v>
      </c>
      <c r="AJ14" s="278">
        <f ca="1">IF(ABS(W14-J14)&gt;SnapshotTolerance,1,0)</f>
        <v>0</v>
      </c>
      <c r="AK14" s="278">
        <f ca="1">IF(ABS(X14-K14)&gt;SnapshotTolerance,1,0)</f>
        <v>0</v>
      </c>
      <c r="AL14" s="278">
        <f ca="1">IF(ABS(Y14-L14)&gt;SnapshotTolerance,1,0)</f>
        <v>0</v>
      </c>
      <c r="AM14" s="279">
        <f ca="1">IF(ABS(Z14-M14)&gt;SnapshotTolerance,1,0)</f>
        <v>0</v>
      </c>
    </row>
    <row r="15" spans="2:39">
      <c r="B15" s="282" t="str">
        <f>'USD Swap PVs'!M9</f>
        <v>9Y</v>
      </c>
      <c r="C15" s="278">
        <f ca="1">'USD Swap PVs'!N9</f>
        <v>414495.955924846</v>
      </c>
      <c r="D15" s="278">
        <f ca="1">'USD Swap PVs'!O9</f>
        <v>331596.76473987679</v>
      </c>
      <c r="E15" s="278">
        <f ca="1">'USD Swap PVs'!P9</f>
        <v>248697.57355490761</v>
      </c>
      <c r="F15" s="278">
        <f ca="1">'USD Swap PVs'!Q9</f>
        <v>165798.38236993839</v>
      </c>
      <c r="G15" s="278">
        <f ca="1">'USD Swap PVs'!R9</f>
        <v>82899.191184969182</v>
      </c>
      <c r="H15" s="278">
        <f ca="1">'USD Swap PVs'!S9</f>
        <v>0</v>
      </c>
      <c r="I15" s="278">
        <f ca="1">'USD Swap PVs'!T9</f>
        <v>-82899.191184969197</v>
      </c>
      <c r="J15" s="278">
        <f ca="1">'USD Swap PVs'!U9</f>
        <v>-165798.38236993839</v>
      </c>
      <c r="K15" s="278">
        <f ca="1">'USD Swap PVs'!V9</f>
        <v>-248697.57355490758</v>
      </c>
      <c r="L15" s="278">
        <f ca="1">'USD Swap PVs'!W9</f>
        <v>-331596.76473987685</v>
      </c>
      <c r="M15" s="279">
        <f ca="1">'USD Swap PVs'!X9</f>
        <v>-414495.955924846</v>
      </c>
      <c r="O15" s="282" t="s">
        <v>113</v>
      </c>
      <c r="P15" s="278">
        <v>414495.955924846</v>
      </c>
      <c r="Q15" s="278">
        <v>331596.76473987679</v>
      </c>
      <c r="R15" s="278">
        <v>248697.57355490761</v>
      </c>
      <c r="S15" s="278">
        <v>165798.38236993839</v>
      </c>
      <c r="T15" s="278">
        <v>82899.191184969182</v>
      </c>
      <c r="U15" s="278">
        <v>0</v>
      </c>
      <c r="V15" s="278">
        <v>-82899.191184969197</v>
      </c>
      <c r="W15" s="278">
        <v>-165798.38236993839</v>
      </c>
      <c r="X15" s="278">
        <v>-248697.57355490758</v>
      </c>
      <c r="Y15" s="278">
        <v>-331596.76473987685</v>
      </c>
      <c r="Z15" s="279">
        <v>-414495.955924846</v>
      </c>
      <c r="AB15" s="282" t="str">
        <f t="shared" si="1"/>
        <v>9Y</v>
      </c>
      <c r="AC15" s="278">
        <f ca="1">IF(ABS(P15-C15)&gt;SnapshotTolerance,1,0)</f>
        <v>0</v>
      </c>
      <c r="AD15" s="278">
        <f ca="1">IF(ABS(Q15-D15)&gt;SnapshotTolerance,1,0)</f>
        <v>0</v>
      </c>
      <c r="AE15" s="278">
        <f ca="1">IF(ABS(R15-E15)&gt;SnapshotTolerance,1,0)</f>
        <v>0</v>
      </c>
      <c r="AF15" s="278">
        <f ca="1">IF(ABS(S15-F15)&gt;SnapshotTolerance,1,0)</f>
        <v>0</v>
      </c>
      <c r="AG15" s="278">
        <f ca="1">IF(ABS(T15-G15)&gt;SnapshotTolerance,1,0)</f>
        <v>0</v>
      </c>
      <c r="AH15" s="278">
        <f ca="1">IF(ABS(U15-H15)&gt;SnapshotTolerance,1,0)</f>
        <v>0</v>
      </c>
      <c r="AI15" s="278">
        <f ca="1">IF(ABS(V15-I15)&gt;SnapshotTolerance,1,0)</f>
        <v>0</v>
      </c>
      <c r="AJ15" s="278">
        <f ca="1">IF(ABS(W15-J15)&gt;SnapshotTolerance,1,0)</f>
        <v>0</v>
      </c>
      <c r="AK15" s="278">
        <f ca="1">IF(ABS(X15-K15)&gt;SnapshotTolerance,1,0)</f>
        <v>0</v>
      </c>
      <c r="AL15" s="278">
        <f ca="1">IF(ABS(Y15-L15)&gt;SnapshotTolerance,1,0)</f>
        <v>0</v>
      </c>
      <c r="AM15" s="279">
        <f ca="1">IF(ABS(Z15-M15)&gt;SnapshotTolerance,1,0)</f>
        <v>0</v>
      </c>
    </row>
    <row r="16" spans="2:39">
      <c r="B16" s="282" t="str">
        <f>'USD Swap PVs'!M10</f>
        <v>10Y</v>
      </c>
      <c r="C16" s="278">
        <f ca="1">'USD Swap PVs'!N10</f>
        <v>454327.72847923241</v>
      </c>
      <c r="D16" s="278">
        <f ca="1">'USD Swap PVs'!O10</f>
        <v>363462.18278338591</v>
      </c>
      <c r="E16" s="278">
        <f ca="1">'USD Swap PVs'!P10</f>
        <v>272596.63708753942</v>
      </c>
      <c r="F16" s="278">
        <f ca="1">'USD Swap PVs'!Q10</f>
        <v>181731.0913916929</v>
      </c>
      <c r="G16" s="278">
        <f ca="1">'USD Swap PVs'!R10</f>
        <v>90865.545695846449</v>
      </c>
      <c r="H16" s="278">
        <f ca="1">'USD Swap PVs'!S10</f>
        <v>0</v>
      </c>
      <c r="I16" s="278">
        <f ca="1">'USD Swap PVs'!T10</f>
        <v>-90865.545695846507</v>
      </c>
      <c r="J16" s="278">
        <f ca="1">'USD Swap PVs'!U10</f>
        <v>-181731.09139169299</v>
      </c>
      <c r="K16" s="278">
        <f ca="1">'USD Swap PVs'!V10</f>
        <v>-272596.63708753936</v>
      </c>
      <c r="L16" s="278">
        <f ca="1">'USD Swap PVs'!W10</f>
        <v>-363462.1827833858</v>
      </c>
      <c r="M16" s="279">
        <f ca="1">'USD Swap PVs'!X10</f>
        <v>-454327.72847923241</v>
      </c>
      <c r="O16" s="282" t="s">
        <v>28</v>
      </c>
      <c r="P16" s="278">
        <v>454327.72847923241</v>
      </c>
      <c r="Q16" s="278">
        <v>363462.18278338591</v>
      </c>
      <c r="R16" s="278">
        <v>272596.63708753942</v>
      </c>
      <c r="S16" s="278">
        <v>181731.0913916929</v>
      </c>
      <c r="T16" s="278">
        <v>90865.545695846449</v>
      </c>
      <c r="U16" s="278">
        <v>0</v>
      </c>
      <c r="V16" s="278">
        <v>-90865.545695846507</v>
      </c>
      <c r="W16" s="278">
        <v>-181731.09139169299</v>
      </c>
      <c r="X16" s="278">
        <v>-272596.63708753936</v>
      </c>
      <c r="Y16" s="278">
        <v>-363462.1827833858</v>
      </c>
      <c r="Z16" s="279">
        <v>-454327.72847923241</v>
      </c>
      <c r="AB16" s="282" t="str">
        <f t="shared" si="1"/>
        <v>10Y</v>
      </c>
      <c r="AC16" s="278">
        <f ca="1">IF(ABS(P16-C16)&gt;SnapshotTolerance,1,0)</f>
        <v>0</v>
      </c>
      <c r="AD16" s="278">
        <f ca="1">IF(ABS(Q16-D16)&gt;SnapshotTolerance,1,0)</f>
        <v>0</v>
      </c>
      <c r="AE16" s="278">
        <f ca="1">IF(ABS(R16-E16)&gt;SnapshotTolerance,1,0)</f>
        <v>0</v>
      </c>
      <c r="AF16" s="278">
        <f ca="1">IF(ABS(S16-F16)&gt;SnapshotTolerance,1,0)</f>
        <v>0</v>
      </c>
      <c r="AG16" s="278">
        <f ca="1">IF(ABS(T16-G16)&gt;SnapshotTolerance,1,0)</f>
        <v>0</v>
      </c>
      <c r="AH16" s="278">
        <f ca="1">IF(ABS(U16-H16)&gt;SnapshotTolerance,1,0)</f>
        <v>0</v>
      </c>
      <c r="AI16" s="278">
        <f ca="1">IF(ABS(V16-I16)&gt;SnapshotTolerance,1,0)</f>
        <v>0</v>
      </c>
      <c r="AJ16" s="278">
        <f ca="1">IF(ABS(W16-J16)&gt;SnapshotTolerance,1,0)</f>
        <v>0</v>
      </c>
      <c r="AK16" s="278">
        <f ca="1">IF(ABS(X16-K16)&gt;SnapshotTolerance,1,0)</f>
        <v>0</v>
      </c>
      <c r="AL16" s="278">
        <f ca="1">IF(ABS(Y16-L16)&gt;SnapshotTolerance,1,0)</f>
        <v>0</v>
      </c>
      <c r="AM16" s="279">
        <f ca="1">IF(ABS(Z16-M16)&gt;SnapshotTolerance,1,0)</f>
        <v>0</v>
      </c>
    </row>
    <row r="17" spans="2:39">
      <c r="B17" s="282" t="str">
        <f>'USD Swap PVs'!M11</f>
        <v>11Y</v>
      </c>
      <c r="C17" s="278">
        <f ca="1">'USD Swap PVs'!N11</f>
        <v>492896.57612352073</v>
      </c>
      <c r="D17" s="278">
        <f ca="1">'USD Swap PVs'!O11</f>
        <v>394317.26089881657</v>
      </c>
      <c r="E17" s="278">
        <f ca="1">'USD Swap PVs'!P11</f>
        <v>295737.94567411236</v>
      </c>
      <c r="F17" s="278">
        <f ca="1">'USD Swap PVs'!Q11</f>
        <v>197158.63044940823</v>
      </c>
      <c r="G17" s="278">
        <f ca="1">'USD Swap PVs'!R11</f>
        <v>98579.315224704114</v>
      </c>
      <c r="H17" s="278">
        <f ca="1">'USD Swap PVs'!S11</f>
        <v>0</v>
      </c>
      <c r="I17" s="278">
        <f ca="1">'USD Swap PVs'!T11</f>
        <v>-98579.315224704143</v>
      </c>
      <c r="J17" s="278">
        <f ca="1">'USD Swap PVs'!U11</f>
        <v>-197158.63044940829</v>
      </c>
      <c r="K17" s="278">
        <f ca="1">'USD Swap PVs'!V11</f>
        <v>-295737.94567411242</v>
      </c>
      <c r="L17" s="278">
        <f ca="1">'USD Swap PVs'!W11</f>
        <v>-394317.26089881652</v>
      </c>
      <c r="M17" s="279">
        <f ca="1">'USD Swap PVs'!X11</f>
        <v>-492896.57612352085</v>
      </c>
      <c r="O17" s="282" t="s">
        <v>366</v>
      </c>
      <c r="P17" s="278">
        <v>492896.57612352073</v>
      </c>
      <c r="Q17" s="278">
        <v>394317.26089881657</v>
      </c>
      <c r="R17" s="278">
        <v>295737.94567411236</v>
      </c>
      <c r="S17" s="278">
        <v>197158.63044940823</v>
      </c>
      <c r="T17" s="278">
        <v>98579.315224704114</v>
      </c>
      <c r="U17" s="278">
        <v>0</v>
      </c>
      <c r="V17" s="278">
        <v>-98579.315224704143</v>
      </c>
      <c r="W17" s="278">
        <v>-197158.63044940829</v>
      </c>
      <c r="X17" s="278">
        <v>-295737.94567411242</v>
      </c>
      <c r="Y17" s="278">
        <v>-394317.26089881652</v>
      </c>
      <c r="Z17" s="279">
        <v>-492896.57612352085</v>
      </c>
      <c r="AB17" s="282" t="str">
        <f t="shared" si="1"/>
        <v>11Y</v>
      </c>
      <c r="AC17" s="278">
        <f ca="1">IF(ABS(P17-C17)&gt;SnapshotTolerance,1,0)</f>
        <v>0</v>
      </c>
      <c r="AD17" s="278">
        <f ca="1">IF(ABS(Q17-D17)&gt;SnapshotTolerance,1,0)</f>
        <v>0</v>
      </c>
      <c r="AE17" s="278">
        <f ca="1">IF(ABS(R17-E17)&gt;SnapshotTolerance,1,0)</f>
        <v>0</v>
      </c>
      <c r="AF17" s="278">
        <f ca="1">IF(ABS(S17-F17)&gt;SnapshotTolerance,1,0)</f>
        <v>0</v>
      </c>
      <c r="AG17" s="278">
        <f ca="1">IF(ABS(T17-G17)&gt;SnapshotTolerance,1,0)</f>
        <v>0</v>
      </c>
      <c r="AH17" s="278">
        <f ca="1">IF(ABS(U17-H17)&gt;SnapshotTolerance,1,0)</f>
        <v>0</v>
      </c>
      <c r="AI17" s="278">
        <f ca="1">IF(ABS(V17-I17)&gt;SnapshotTolerance,1,0)</f>
        <v>0</v>
      </c>
      <c r="AJ17" s="278">
        <f ca="1">IF(ABS(W17-J17)&gt;SnapshotTolerance,1,0)</f>
        <v>0</v>
      </c>
      <c r="AK17" s="278">
        <f ca="1">IF(ABS(X17-K17)&gt;SnapshotTolerance,1,0)</f>
        <v>0</v>
      </c>
      <c r="AL17" s="278">
        <f ca="1">IF(ABS(Y17-L17)&gt;SnapshotTolerance,1,0)</f>
        <v>0</v>
      </c>
      <c r="AM17" s="279">
        <f ca="1">IF(ABS(Z17-M17)&gt;SnapshotTolerance,1,0)</f>
        <v>0</v>
      </c>
    </row>
    <row r="18" spans="2:39">
      <c r="B18" s="282" t="str">
        <f>'USD Swap PVs'!M12</f>
        <v>12Y</v>
      </c>
      <c r="C18" s="278">
        <f ca="1">'USD Swap PVs'!N12</f>
        <v>530241.07095762773</v>
      </c>
      <c r="D18" s="278">
        <f ca="1">'USD Swap PVs'!O12</f>
        <v>424192.8567661022</v>
      </c>
      <c r="E18" s="278">
        <f ca="1">'USD Swap PVs'!P12</f>
        <v>318144.64257457666</v>
      </c>
      <c r="F18" s="278">
        <f ca="1">'USD Swap PVs'!Q12</f>
        <v>212096.42838305104</v>
      </c>
      <c r="G18" s="278">
        <f ca="1">'USD Swap PVs'!R12</f>
        <v>106048.21419152555</v>
      </c>
      <c r="H18" s="278">
        <f ca="1">'USD Swap PVs'!S12</f>
        <v>0</v>
      </c>
      <c r="I18" s="278">
        <f ca="1">'USD Swap PVs'!T12</f>
        <v>-106048.21419152549</v>
      </c>
      <c r="J18" s="278">
        <f ca="1">'USD Swap PVs'!U12</f>
        <v>-212096.42838305104</v>
      </c>
      <c r="K18" s="278">
        <f ca="1">'USD Swap PVs'!V12</f>
        <v>-318144.6425745766</v>
      </c>
      <c r="L18" s="278">
        <f ca="1">'USD Swap PVs'!W12</f>
        <v>-424192.85676610214</v>
      </c>
      <c r="M18" s="279">
        <f ca="1">'USD Swap PVs'!X12</f>
        <v>-530241.07095762773</v>
      </c>
      <c r="O18" s="282" t="s">
        <v>26</v>
      </c>
      <c r="P18" s="278">
        <v>530241.07095762773</v>
      </c>
      <c r="Q18" s="278">
        <v>424192.8567661022</v>
      </c>
      <c r="R18" s="278">
        <v>318144.64257457666</v>
      </c>
      <c r="S18" s="278">
        <v>212096.42838305104</v>
      </c>
      <c r="T18" s="278">
        <v>106048.21419152555</v>
      </c>
      <c r="U18" s="278">
        <v>0</v>
      </c>
      <c r="V18" s="278">
        <v>-106048.21419152549</v>
      </c>
      <c r="W18" s="278">
        <v>-212096.42838305104</v>
      </c>
      <c r="X18" s="278">
        <v>-318144.6425745766</v>
      </c>
      <c r="Y18" s="278">
        <v>-424192.85676610214</v>
      </c>
      <c r="Z18" s="279">
        <v>-530241.07095762773</v>
      </c>
      <c r="AB18" s="282" t="str">
        <f t="shared" si="1"/>
        <v>12Y</v>
      </c>
      <c r="AC18" s="278">
        <f ca="1">IF(ABS(P18-C18)&gt;SnapshotTolerance,1,0)</f>
        <v>0</v>
      </c>
      <c r="AD18" s="278">
        <f ca="1">IF(ABS(Q18-D18)&gt;SnapshotTolerance,1,0)</f>
        <v>0</v>
      </c>
      <c r="AE18" s="278">
        <f ca="1">IF(ABS(R18-E18)&gt;SnapshotTolerance,1,0)</f>
        <v>0</v>
      </c>
      <c r="AF18" s="278">
        <f ca="1">IF(ABS(S18-F18)&gt;SnapshotTolerance,1,0)</f>
        <v>0</v>
      </c>
      <c r="AG18" s="278">
        <f ca="1">IF(ABS(T18-G18)&gt;SnapshotTolerance,1,0)</f>
        <v>0</v>
      </c>
      <c r="AH18" s="278">
        <f ca="1">IF(ABS(U18-H18)&gt;SnapshotTolerance,1,0)</f>
        <v>0</v>
      </c>
      <c r="AI18" s="278">
        <f ca="1">IF(ABS(V18-I18)&gt;SnapshotTolerance,1,0)</f>
        <v>0</v>
      </c>
      <c r="AJ18" s="278">
        <f ca="1">IF(ABS(W18-J18)&gt;SnapshotTolerance,1,0)</f>
        <v>0</v>
      </c>
      <c r="AK18" s="278">
        <f ca="1">IF(ABS(X18-K18)&gt;SnapshotTolerance,1,0)</f>
        <v>0</v>
      </c>
      <c r="AL18" s="278">
        <f ca="1">IF(ABS(Y18-L18)&gt;SnapshotTolerance,1,0)</f>
        <v>0</v>
      </c>
      <c r="AM18" s="279">
        <f ca="1">IF(ABS(Z18-M18)&gt;SnapshotTolerance,1,0)</f>
        <v>0</v>
      </c>
    </row>
    <row r="19" spans="2:39">
      <c r="B19" s="282" t="str">
        <f>'USD Swap PVs'!M13</f>
        <v>15Y</v>
      </c>
      <c r="C19" s="278">
        <f ca="1">'USD Swap PVs'!N13</f>
        <v>635336.21014256671</v>
      </c>
      <c r="D19" s="278">
        <f ca="1">'USD Swap PVs'!O13</f>
        <v>508268.96811405331</v>
      </c>
      <c r="E19" s="278">
        <f ca="1">'USD Swap PVs'!P13</f>
        <v>381201.72608553997</v>
      </c>
      <c r="F19" s="278">
        <f ca="1">'USD Swap PVs'!Q13</f>
        <v>254134.4840570266</v>
      </c>
      <c r="G19" s="278">
        <f ca="1">'USD Swap PVs'!R13</f>
        <v>127067.2420285133</v>
      </c>
      <c r="H19" s="278">
        <f ca="1">'USD Swap PVs'!S13</f>
        <v>0</v>
      </c>
      <c r="I19" s="278">
        <f ca="1">'USD Swap PVs'!T13</f>
        <v>-127067.24202851333</v>
      </c>
      <c r="J19" s="278">
        <f ca="1">'USD Swap PVs'!U13</f>
        <v>-254134.48405702665</v>
      </c>
      <c r="K19" s="278">
        <f ca="1">'USD Swap PVs'!V13</f>
        <v>-381201.72608554002</v>
      </c>
      <c r="L19" s="278">
        <f ca="1">'USD Swap PVs'!W13</f>
        <v>-508268.96811405331</v>
      </c>
      <c r="M19" s="279">
        <f ca="1">'USD Swap PVs'!X13</f>
        <v>-635336.21014256682</v>
      </c>
      <c r="O19" s="282" t="s">
        <v>24</v>
      </c>
      <c r="P19" s="278">
        <v>635336.21014256671</v>
      </c>
      <c r="Q19" s="278">
        <v>508268.96811405331</v>
      </c>
      <c r="R19" s="278">
        <v>381201.72608553997</v>
      </c>
      <c r="S19" s="278">
        <v>254134.4840570266</v>
      </c>
      <c r="T19" s="278">
        <v>127067.2420285133</v>
      </c>
      <c r="U19" s="278">
        <v>0</v>
      </c>
      <c r="V19" s="278">
        <v>-127067.24202851333</v>
      </c>
      <c r="W19" s="278">
        <v>-254134.48405702665</v>
      </c>
      <c r="X19" s="278">
        <v>-381201.72608554002</v>
      </c>
      <c r="Y19" s="278">
        <v>-508268.96811405331</v>
      </c>
      <c r="Z19" s="279">
        <v>-635336.21014256682</v>
      </c>
      <c r="AB19" s="282" t="str">
        <f t="shared" si="1"/>
        <v>15Y</v>
      </c>
      <c r="AC19" s="278">
        <f ca="1">IF(ABS(P19-C19)&gt;SnapshotTolerance,1,0)</f>
        <v>0</v>
      </c>
      <c r="AD19" s="278">
        <f ca="1">IF(ABS(Q19-D19)&gt;SnapshotTolerance,1,0)</f>
        <v>0</v>
      </c>
      <c r="AE19" s="278">
        <f ca="1">IF(ABS(R19-E19)&gt;SnapshotTolerance,1,0)</f>
        <v>0</v>
      </c>
      <c r="AF19" s="278">
        <f ca="1">IF(ABS(S19-F19)&gt;SnapshotTolerance,1,0)</f>
        <v>0</v>
      </c>
      <c r="AG19" s="278">
        <f ca="1">IF(ABS(T19-G19)&gt;SnapshotTolerance,1,0)</f>
        <v>0</v>
      </c>
      <c r="AH19" s="278">
        <f ca="1">IF(ABS(U19-H19)&gt;SnapshotTolerance,1,0)</f>
        <v>0</v>
      </c>
      <c r="AI19" s="278">
        <f ca="1">IF(ABS(V19-I19)&gt;SnapshotTolerance,1,0)</f>
        <v>0</v>
      </c>
      <c r="AJ19" s="278">
        <f ca="1">IF(ABS(W19-J19)&gt;SnapshotTolerance,1,0)</f>
        <v>0</v>
      </c>
      <c r="AK19" s="278">
        <f ca="1">IF(ABS(X19-K19)&gt;SnapshotTolerance,1,0)</f>
        <v>0</v>
      </c>
      <c r="AL19" s="278">
        <f ca="1">IF(ABS(Y19-L19)&gt;SnapshotTolerance,1,0)</f>
        <v>0</v>
      </c>
      <c r="AM19" s="279">
        <f ca="1">IF(ABS(Z19-M19)&gt;SnapshotTolerance,1,0)</f>
        <v>0</v>
      </c>
    </row>
    <row r="20" spans="2:39">
      <c r="B20" s="282" t="str">
        <f>'USD Swap PVs'!M14</f>
        <v>20Y</v>
      </c>
      <c r="C20" s="278">
        <f ca="1">'USD Swap PVs'!N14</f>
        <v>789748.5521188787</v>
      </c>
      <c r="D20" s="278">
        <f ca="1">'USD Swap PVs'!O14</f>
        <v>631798.84169510298</v>
      </c>
      <c r="E20" s="278">
        <f ca="1">'USD Swap PVs'!P14</f>
        <v>473849.13127132721</v>
      </c>
      <c r="F20" s="278">
        <f ca="1">'USD Swap PVs'!Q14</f>
        <v>315899.42084755143</v>
      </c>
      <c r="G20" s="278">
        <f ca="1">'USD Swap PVs'!R14</f>
        <v>157949.71042377566</v>
      </c>
      <c r="H20" s="278">
        <f ca="1">'USD Swap PVs'!S14</f>
        <v>0</v>
      </c>
      <c r="I20" s="278">
        <f ca="1">'USD Swap PVs'!T14</f>
        <v>-157949.71042377574</v>
      </c>
      <c r="J20" s="278">
        <f ca="1">'USD Swap PVs'!U14</f>
        <v>-315899.42084755143</v>
      </c>
      <c r="K20" s="278">
        <f ca="1">'USD Swap PVs'!V14</f>
        <v>-473849.13127132726</v>
      </c>
      <c r="L20" s="278">
        <f ca="1">'USD Swap PVs'!W14</f>
        <v>-631798.84169510298</v>
      </c>
      <c r="M20" s="279">
        <f ca="1">'USD Swap PVs'!X14</f>
        <v>-789748.55211887893</v>
      </c>
      <c r="O20" s="282" t="s">
        <v>20</v>
      </c>
      <c r="P20" s="278">
        <v>789748.5521188787</v>
      </c>
      <c r="Q20" s="278">
        <v>631798.84169510298</v>
      </c>
      <c r="R20" s="278">
        <v>473849.13127132721</v>
      </c>
      <c r="S20" s="278">
        <v>315899.42084755143</v>
      </c>
      <c r="T20" s="278">
        <v>157949.71042377566</v>
      </c>
      <c r="U20" s="278">
        <v>0</v>
      </c>
      <c r="V20" s="278">
        <v>-157949.71042377574</v>
      </c>
      <c r="W20" s="278">
        <v>-315899.42084755143</v>
      </c>
      <c r="X20" s="278">
        <v>-473849.13127132726</v>
      </c>
      <c r="Y20" s="278">
        <v>-631798.84169510298</v>
      </c>
      <c r="Z20" s="279">
        <v>-789748.55211887893</v>
      </c>
      <c r="AB20" s="282" t="str">
        <f t="shared" si="1"/>
        <v>20Y</v>
      </c>
      <c r="AC20" s="278">
        <f ca="1">IF(ABS(P20-C20)&gt;SnapshotTolerance,1,0)</f>
        <v>0</v>
      </c>
      <c r="AD20" s="278">
        <f ca="1">IF(ABS(Q20-D20)&gt;SnapshotTolerance,1,0)</f>
        <v>0</v>
      </c>
      <c r="AE20" s="278">
        <f ca="1">IF(ABS(R20-E20)&gt;SnapshotTolerance,1,0)</f>
        <v>0</v>
      </c>
      <c r="AF20" s="278">
        <f ca="1">IF(ABS(S20-F20)&gt;SnapshotTolerance,1,0)</f>
        <v>0</v>
      </c>
      <c r="AG20" s="278">
        <f ca="1">IF(ABS(T20-G20)&gt;SnapshotTolerance,1,0)</f>
        <v>0</v>
      </c>
      <c r="AH20" s="278">
        <f ca="1">IF(ABS(U20-H20)&gt;SnapshotTolerance,1,0)</f>
        <v>0</v>
      </c>
      <c r="AI20" s="278">
        <f ca="1">IF(ABS(V20-I20)&gt;SnapshotTolerance,1,0)</f>
        <v>0</v>
      </c>
      <c r="AJ20" s="278">
        <f ca="1">IF(ABS(W20-J20)&gt;SnapshotTolerance,1,0)</f>
        <v>0</v>
      </c>
      <c r="AK20" s="278">
        <f ca="1">IF(ABS(X20-K20)&gt;SnapshotTolerance,1,0)</f>
        <v>0</v>
      </c>
      <c r="AL20" s="278">
        <f ca="1">IF(ABS(Y20-L20)&gt;SnapshotTolerance,1,0)</f>
        <v>0</v>
      </c>
      <c r="AM20" s="279">
        <f ca="1">IF(ABS(Z20-M20)&gt;SnapshotTolerance,1,0)</f>
        <v>0</v>
      </c>
    </row>
    <row r="21" spans="2:39">
      <c r="B21" s="282" t="str">
        <f>'USD Swap PVs'!M15</f>
        <v>25Y</v>
      </c>
      <c r="C21" s="278">
        <f ca="1">'USD Swap PVs'!N15</f>
        <v>921873.98517284018</v>
      </c>
      <c r="D21" s="278">
        <f ca="1">'USD Swap PVs'!O15</f>
        <v>737499.18813827203</v>
      </c>
      <c r="E21" s="278">
        <f ca="1">'USD Swap PVs'!P15</f>
        <v>553124.39110370399</v>
      </c>
      <c r="F21" s="278">
        <f ca="1">'USD Swap PVs'!Q15</f>
        <v>368749.59406913602</v>
      </c>
      <c r="G21" s="278">
        <f ca="1">'USD Swap PVs'!R15</f>
        <v>184374.79703456795</v>
      </c>
      <c r="H21" s="278">
        <f ca="1">'USD Swap PVs'!S15</f>
        <v>0</v>
      </c>
      <c r="I21" s="278">
        <f ca="1">'USD Swap PVs'!T15</f>
        <v>-184374.79703456804</v>
      </c>
      <c r="J21" s="278">
        <f ca="1">'USD Swap PVs'!U15</f>
        <v>-368749.59406913602</v>
      </c>
      <c r="K21" s="278">
        <f ca="1">'USD Swap PVs'!V15</f>
        <v>-553124.39110370411</v>
      </c>
      <c r="L21" s="278">
        <f ca="1">'USD Swap PVs'!W15</f>
        <v>-737499.18813827203</v>
      </c>
      <c r="M21" s="279">
        <f ca="1">'USD Swap PVs'!X15</f>
        <v>-921873.9851728403</v>
      </c>
      <c r="O21" s="282" t="s">
        <v>18</v>
      </c>
      <c r="P21" s="278">
        <v>921873.98517284018</v>
      </c>
      <c r="Q21" s="278">
        <v>737499.18813827203</v>
      </c>
      <c r="R21" s="278">
        <v>553124.39110370399</v>
      </c>
      <c r="S21" s="278">
        <v>368749.59406913602</v>
      </c>
      <c r="T21" s="278">
        <v>184374.79703456795</v>
      </c>
      <c r="U21" s="278">
        <v>0</v>
      </c>
      <c r="V21" s="278">
        <v>-184374.79703456804</v>
      </c>
      <c r="W21" s="278">
        <v>-368749.59406913602</v>
      </c>
      <c r="X21" s="278">
        <v>-553124.39110370411</v>
      </c>
      <c r="Y21" s="278">
        <v>-737499.18813827203</v>
      </c>
      <c r="Z21" s="279">
        <v>-921873.9851728403</v>
      </c>
      <c r="AB21" s="282" t="str">
        <f t="shared" si="1"/>
        <v>25Y</v>
      </c>
      <c r="AC21" s="278">
        <f ca="1">IF(ABS(P21-C21)&gt;SnapshotTolerance,1,0)</f>
        <v>0</v>
      </c>
      <c r="AD21" s="278">
        <f ca="1">IF(ABS(Q21-D21)&gt;SnapshotTolerance,1,0)</f>
        <v>0</v>
      </c>
      <c r="AE21" s="278">
        <f ca="1">IF(ABS(R21-E21)&gt;SnapshotTolerance,1,0)</f>
        <v>0</v>
      </c>
      <c r="AF21" s="278">
        <f ca="1">IF(ABS(S21-F21)&gt;SnapshotTolerance,1,0)</f>
        <v>0</v>
      </c>
      <c r="AG21" s="278">
        <f ca="1">IF(ABS(T21-G21)&gt;SnapshotTolerance,1,0)</f>
        <v>0</v>
      </c>
      <c r="AH21" s="278">
        <f ca="1">IF(ABS(U21-H21)&gt;SnapshotTolerance,1,0)</f>
        <v>0</v>
      </c>
      <c r="AI21" s="278">
        <f ca="1">IF(ABS(V21-I21)&gt;SnapshotTolerance,1,0)</f>
        <v>0</v>
      </c>
      <c r="AJ21" s="278">
        <f ca="1">IF(ABS(W21-J21)&gt;SnapshotTolerance,1,0)</f>
        <v>0</v>
      </c>
      <c r="AK21" s="278">
        <f ca="1">IF(ABS(X21-K21)&gt;SnapshotTolerance,1,0)</f>
        <v>0</v>
      </c>
      <c r="AL21" s="278">
        <f ca="1">IF(ABS(Y21-L21)&gt;SnapshotTolerance,1,0)</f>
        <v>0</v>
      </c>
      <c r="AM21" s="279">
        <f ca="1">IF(ABS(Z21-M21)&gt;SnapshotTolerance,1,0)</f>
        <v>0</v>
      </c>
    </row>
    <row r="22" spans="2:39">
      <c r="B22" s="282" t="str">
        <f>'USD Swap PVs'!M16</f>
        <v>30Y</v>
      </c>
      <c r="C22" s="278">
        <f ca="1">'USD Swap PVs'!N16</f>
        <v>1035401.1460912416</v>
      </c>
      <c r="D22" s="278">
        <f ca="1">'USD Swap PVs'!O16</f>
        <v>828320.91687299323</v>
      </c>
      <c r="E22" s="278">
        <f ca="1">'USD Swap PVs'!P16</f>
        <v>621240.68765474495</v>
      </c>
      <c r="F22" s="278">
        <f ca="1">'USD Swap PVs'!Q16</f>
        <v>414160.45843649656</v>
      </c>
      <c r="G22" s="278">
        <f ca="1">'USD Swap PVs'!R16</f>
        <v>207080.22921824819</v>
      </c>
      <c r="H22" s="278">
        <f ca="1">'USD Swap PVs'!S16</f>
        <v>0</v>
      </c>
      <c r="I22" s="278">
        <f ca="1">'USD Swap PVs'!T16</f>
        <v>-207080.22921824831</v>
      </c>
      <c r="J22" s="278">
        <f ca="1">'USD Swap PVs'!U16</f>
        <v>-414160.45843649661</v>
      </c>
      <c r="K22" s="278">
        <f ca="1">'USD Swap PVs'!V16</f>
        <v>-621240.68765474495</v>
      </c>
      <c r="L22" s="278">
        <f ca="1">'USD Swap PVs'!W16</f>
        <v>-828320.91687299323</v>
      </c>
      <c r="M22" s="279">
        <f ca="1">'USD Swap PVs'!X16</f>
        <v>-1035401.1460912416</v>
      </c>
      <c r="O22" s="282" t="s">
        <v>17</v>
      </c>
      <c r="P22" s="278">
        <v>1035401.1460912416</v>
      </c>
      <c r="Q22" s="278">
        <v>828320.91687299323</v>
      </c>
      <c r="R22" s="278">
        <v>621240.68765474495</v>
      </c>
      <c r="S22" s="278">
        <v>414160.45843649656</v>
      </c>
      <c r="T22" s="278">
        <v>207080.22921824819</v>
      </c>
      <c r="U22" s="278">
        <v>0</v>
      </c>
      <c r="V22" s="278">
        <v>-207080.22921824831</v>
      </c>
      <c r="W22" s="278">
        <v>-414160.45843649661</v>
      </c>
      <c r="X22" s="278">
        <v>-621240.68765474495</v>
      </c>
      <c r="Y22" s="278">
        <v>-828320.91687299323</v>
      </c>
      <c r="Z22" s="279">
        <v>-1035401.1460912416</v>
      </c>
      <c r="AB22" s="282" t="str">
        <f t="shared" si="1"/>
        <v>30Y</v>
      </c>
      <c r="AC22" s="278">
        <f ca="1">IF(ABS(P22-C22)&gt;SnapshotTolerance,1,0)</f>
        <v>0</v>
      </c>
      <c r="AD22" s="278">
        <f ca="1">IF(ABS(Q22-D22)&gt;SnapshotTolerance,1,0)</f>
        <v>0</v>
      </c>
      <c r="AE22" s="278">
        <f ca="1">IF(ABS(R22-E22)&gt;SnapshotTolerance,1,0)</f>
        <v>0</v>
      </c>
      <c r="AF22" s="278">
        <f ca="1">IF(ABS(S22-F22)&gt;SnapshotTolerance,1,0)</f>
        <v>0</v>
      </c>
      <c r="AG22" s="278">
        <f ca="1">IF(ABS(T22-G22)&gt;SnapshotTolerance,1,0)</f>
        <v>0</v>
      </c>
      <c r="AH22" s="278">
        <f ca="1">IF(ABS(U22-H22)&gt;SnapshotTolerance,1,0)</f>
        <v>0</v>
      </c>
      <c r="AI22" s="278">
        <f ca="1">IF(ABS(V22-I22)&gt;SnapshotTolerance,1,0)</f>
        <v>0</v>
      </c>
      <c r="AJ22" s="278">
        <f ca="1">IF(ABS(W22-J22)&gt;SnapshotTolerance,1,0)</f>
        <v>0</v>
      </c>
      <c r="AK22" s="278">
        <f ca="1">IF(ABS(X22-K22)&gt;SnapshotTolerance,1,0)</f>
        <v>0</v>
      </c>
      <c r="AL22" s="278">
        <f ca="1">IF(ABS(Y22-L22)&gt;SnapshotTolerance,1,0)</f>
        <v>0</v>
      </c>
      <c r="AM22" s="279">
        <f ca="1">IF(ABS(Z22-M22)&gt;SnapshotTolerance,1,0)</f>
        <v>0</v>
      </c>
    </row>
    <row r="23" spans="2:39">
      <c r="B23" s="282" t="str">
        <f>'USD Swap PVs'!M17</f>
        <v>40Y</v>
      </c>
      <c r="C23" s="278">
        <f ca="1">'USD Swap PVs'!N17</f>
        <v>1217652.1488595277</v>
      </c>
      <c r="D23" s="278">
        <f ca="1">'USD Swap PVs'!O17</f>
        <v>974121.71908762213</v>
      </c>
      <c r="E23" s="278">
        <f ca="1">'USD Swap PVs'!P17</f>
        <v>730591.28931571648</v>
      </c>
      <c r="F23" s="278">
        <f ca="1">'USD Swap PVs'!Q17</f>
        <v>487060.85954381095</v>
      </c>
      <c r="G23" s="278">
        <f ca="1">'USD Swap PVs'!R17</f>
        <v>243530.42977190542</v>
      </c>
      <c r="H23" s="278">
        <f ca="1">'USD Swap PVs'!S17</f>
        <v>0</v>
      </c>
      <c r="I23" s="278">
        <f ca="1">'USD Swap PVs'!T17</f>
        <v>-243530.42977190553</v>
      </c>
      <c r="J23" s="278">
        <f ca="1">'USD Swap PVs'!U17</f>
        <v>-487060.85954381083</v>
      </c>
      <c r="K23" s="278">
        <f ca="1">'USD Swap PVs'!V17</f>
        <v>-730591.28931571648</v>
      </c>
      <c r="L23" s="278">
        <f ca="1">'USD Swap PVs'!W17</f>
        <v>-974121.71908762213</v>
      </c>
      <c r="M23" s="279">
        <f ca="1">'USD Swap PVs'!X17</f>
        <v>-1217652.1488595277</v>
      </c>
      <c r="O23" s="282" t="s">
        <v>15</v>
      </c>
      <c r="P23" s="278">
        <v>1217652.1488595277</v>
      </c>
      <c r="Q23" s="278">
        <v>974121.71908762213</v>
      </c>
      <c r="R23" s="278">
        <v>730591.28931571648</v>
      </c>
      <c r="S23" s="278">
        <v>487060.85954381095</v>
      </c>
      <c r="T23" s="278">
        <v>243530.42977190542</v>
      </c>
      <c r="U23" s="278">
        <v>0</v>
      </c>
      <c r="V23" s="278">
        <v>-243530.42977190553</v>
      </c>
      <c r="W23" s="278">
        <v>-487060.85954381083</v>
      </c>
      <c r="X23" s="278">
        <v>-730591.28931571648</v>
      </c>
      <c r="Y23" s="278">
        <v>-974121.71908762213</v>
      </c>
      <c r="Z23" s="279">
        <v>-1217652.1488595277</v>
      </c>
      <c r="AB23" s="282" t="str">
        <f t="shared" si="1"/>
        <v>40Y</v>
      </c>
      <c r="AC23" s="278">
        <f ca="1">IF(ABS(P23-C23)&gt;SnapshotTolerance,1,0)</f>
        <v>0</v>
      </c>
      <c r="AD23" s="278">
        <f ca="1">IF(ABS(Q23-D23)&gt;SnapshotTolerance,1,0)</f>
        <v>0</v>
      </c>
      <c r="AE23" s="278">
        <f ca="1">IF(ABS(R23-E23)&gt;SnapshotTolerance,1,0)</f>
        <v>0</v>
      </c>
      <c r="AF23" s="278">
        <f ca="1">IF(ABS(S23-F23)&gt;SnapshotTolerance,1,0)</f>
        <v>0</v>
      </c>
      <c r="AG23" s="278">
        <f ca="1">IF(ABS(T23-G23)&gt;SnapshotTolerance,1,0)</f>
        <v>0</v>
      </c>
      <c r="AH23" s="278">
        <f ca="1">IF(ABS(U23-H23)&gt;SnapshotTolerance,1,0)</f>
        <v>0</v>
      </c>
      <c r="AI23" s="278">
        <f ca="1">IF(ABS(V23-I23)&gt;SnapshotTolerance,1,0)</f>
        <v>0</v>
      </c>
      <c r="AJ23" s="278">
        <f ca="1">IF(ABS(W23-J23)&gt;SnapshotTolerance,1,0)</f>
        <v>0</v>
      </c>
      <c r="AK23" s="278">
        <f ca="1">IF(ABS(X23-K23)&gt;SnapshotTolerance,1,0)</f>
        <v>0</v>
      </c>
      <c r="AL23" s="278">
        <f ca="1">IF(ABS(Y23-L23)&gt;SnapshotTolerance,1,0)</f>
        <v>0</v>
      </c>
      <c r="AM23" s="279">
        <f ca="1">IF(ABS(Z23-M23)&gt;SnapshotTolerance,1,0)</f>
        <v>0</v>
      </c>
    </row>
    <row r="24" spans="2:39">
      <c r="B24" s="282" t="str">
        <f>'USD Swap PVs'!M18</f>
        <v>50Y</v>
      </c>
      <c r="C24" s="278">
        <f ca="1">'USD Swap PVs'!N18</f>
        <v>1356303.3835327972</v>
      </c>
      <c r="D24" s="278">
        <f ca="1">'USD Swap PVs'!O18</f>
        <v>1085042.7068262377</v>
      </c>
      <c r="E24" s="278">
        <f ca="1">'USD Swap PVs'!P18</f>
        <v>813782.03011967847</v>
      </c>
      <c r="F24" s="278">
        <f ca="1">'USD Swap PVs'!Q18</f>
        <v>542521.35341311875</v>
      </c>
      <c r="G24" s="278">
        <f ca="1">'USD Swap PVs'!R18</f>
        <v>271260.67670655937</v>
      </c>
      <c r="H24" s="278">
        <f ca="1">'USD Swap PVs'!S18</f>
        <v>0</v>
      </c>
      <c r="I24" s="278">
        <f ca="1">'USD Swap PVs'!T18</f>
        <v>-271260.67670655949</v>
      </c>
      <c r="J24" s="278">
        <f ca="1">'USD Swap PVs'!U18</f>
        <v>-542521.35341311898</v>
      </c>
      <c r="K24" s="278">
        <f ca="1">'USD Swap PVs'!V18</f>
        <v>-813782.03011967835</v>
      </c>
      <c r="L24" s="278">
        <f ca="1">'USD Swap PVs'!W18</f>
        <v>-1085042.7068262375</v>
      </c>
      <c r="M24" s="279">
        <f ca="1">'USD Swap PVs'!X18</f>
        <v>-1356303.3835327972</v>
      </c>
      <c r="O24" s="282" t="s">
        <v>14</v>
      </c>
      <c r="P24" s="278">
        <v>1356303.3835327972</v>
      </c>
      <c r="Q24" s="278">
        <v>1085042.7068262377</v>
      </c>
      <c r="R24" s="278">
        <v>813782.03011967847</v>
      </c>
      <c r="S24" s="278">
        <v>542521.35341311875</v>
      </c>
      <c r="T24" s="278">
        <v>271260.67670655937</v>
      </c>
      <c r="U24" s="278">
        <v>0</v>
      </c>
      <c r="V24" s="278">
        <v>-271260.67670655949</v>
      </c>
      <c r="W24" s="278">
        <v>-542521.35341311898</v>
      </c>
      <c r="X24" s="278">
        <v>-813782.03011967835</v>
      </c>
      <c r="Y24" s="278">
        <v>-1085042.7068262375</v>
      </c>
      <c r="Z24" s="279">
        <v>-1356303.3835327972</v>
      </c>
      <c r="AB24" s="282" t="str">
        <f t="shared" si="1"/>
        <v>50Y</v>
      </c>
      <c r="AC24" s="278">
        <f ca="1">IF(ABS(P24-C24)&gt;SnapshotTolerance,1,0)</f>
        <v>0</v>
      </c>
      <c r="AD24" s="278">
        <f ca="1">IF(ABS(Q24-D24)&gt;SnapshotTolerance,1,0)</f>
        <v>0</v>
      </c>
      <c r="AE24" s="278">
        <f ca="1">IF(ABS(R24-E24)&gt;SnapshotTolerance,1,0)</f>
        <v>0</v>
      </c>
      <c r="AF24" s="278">
        <f ca="1">IF(ABS(S24-F24)&gt;SnapshotTolerance,1,0)</f>
        <v>0</v>
      </c>
      <c r="AG24" s="278">
        <f ca="1">IF(ABS(T24-G24)&gt;SnapshotTolerance,1,0)</f>
        <v>0</v>
      </c>
      <c r="AH24" s="278">
        <f ca="1">IF(ABS(U24-H24)&gt;SnapshotTolerance,1,0)</f>
        <v>0</v>
      </c>
      <c r="AI24" s="278">
        <f ca="1">IF(ABS(V24-I24)&gt;SnapshotTolerance,1,0)</f>
        <v>0</v>
      </c>
      <c r="AJ24" s="278">
        <f ca="1">IF(ABS(W24-J24)&gt;SnapshotTolerance,1,0)</f>
        <v>0</v>
      </c>
      <c r="AK24" s="278">
        <f ca="1">IF(ABS(X24-K24)&gt;SnapshotTolerance,1,0)</f>
        <v>0</v>
      </c>
      <c r="AL24" s="278">
        <f ca="1">IF(ABS(Y24-L24)&gt;SnapshotTolerance,1,0)</f>
        <v>0</v>
      </c>
      <c r="AM24" s="279">
        <f ca="1">IF(ABS(Z24-M24)&gt;SnapshotTolerance,1,0)</f>
        <v>0</v>
      </c>
    </row>
    <row r="25" spans="2:39">
      <c r="B25" s="282"/>
      <c r="C25" s="278"/>
      <c r="D25" s="278"/>
      <c r="E25" s="278"/>
      <c r="F25" s="278"/>
      <c r="G25" s="278"/>
      <c r="H25" s="278"/>
      <c r="I25" s="278"/>
      <c r="J25" s="278"/>
      <c r="K25" s="278"/>
      <c r="L25" s="278"/>
      <c r="M25" s="279"/>
      <c r="O25" s="282"/>
      <c r="P25" s="278"/>
      <c r="Q25" s="278"/>
      <c r="R25" s="278"/>
      <c r="S25" s="278"/>
      <c r="T25" s="278"/>
      <c r="U25" s="278"/>
      <c r="V25" s="278"/>
      <c r="W25" s="278"/>
      <c r="X25" s="278"/>
      <c r="Y25" s="278"/>
      <c r="Z25" s="279"/>
      <c r="AB25" s="282"/>
      <c r="AC25" s="278"/>
      <c r="AD25" s="278"/>
      <c r="AE25" s="278"/>
      <c r="AF25" s="278"/>
      <c r="AG25" s="278"/>
      <c r="AH25" s="278"/>
      <c r="AI25" s="278"/>
      <c r="AJ25" s="278"/>
      <c r="AK25" s="278"/>
      <c r="AL25" s="278"/>
      <c r="AM25" s="279"/>
    </row>
    <row r="26" spans="2:39">
      <c r="B26" s="282"/>
      <c r="C26" s="278"/>
      <c r="D26" s="278"/>
      <c r="E26" s="278"/>
      <c r="F26" s="278"/>
      <c r="G26" s="278"/>
      <c r="H26" s="278"/>
      <c r="I26" s="278"/>
      <c r="J26" s="278"/>
      <c r="K26" s="278"/>
      <c r="L26" s="278"/>
      <c r="M26" s="279"/>
      <c r="O26" s="282"/>
      <c r="P26" s="278"/>
      <c r="Q26" s="278"/>
      <c r="R26" s="278"/>
      <c r="S26" s="278"/>
      <c r="T26" s="278"/>
      <c r="U26" s="278"/>
      <c r="V26" s="278"/>
      <c r="W26" s="278"/>
      <c r="X26" s="278"/>
      <c r="Y26" s="278"/>
      <c r="Z26" s="279"/>
      <c r="AB26" s="282"/>
      <c r="AC26" s="278"/>
      <c r="AD26" s="278"/>
      <c r="AE26" s="278"/>
      <c r="AF26" s="278"/>
      <c r="AG26" s="278"/>
      <c r="AH26" s="278"/>
      <c r="AI26" s="278"/>
      <c r="AJ26" s="278"/>
      <c r="AK26" s="278"/>
      <c r="AL26" s="278"/>
      <c r="AM26" s="279"/>
    </row>
    <row r="27" spans="2:39">
      <c r="B27" s="282"/>
      <c r="C27" s="278"/>
      <c r="D27" s="278"/>
      <c r="E27" s="278"/>
      <c r="F27" s="278"/>
      <c r="G27" s="278"/>
      <c r="H27" s="278"/>
      <c r="I27" s="278"/>
      <c r="J27" s="278"/>
      <c r="K27" s="278"/>
      <c r="L27" s="278"/>
      <c r="M27" s="279"/>
      <c r="O27" s="282"/>
      <c r="P27" s="278"/>
      <c r="Q27" s="278"/>
      <c r="R27" s="278"/>
      <c r="S27" s="278"/>
      <c r="T27" s="278"/>
      <c r="U27" s="278"/>
      <c r="V27" s="278"/>
      <c r="W27" s="278"/>
      <c r="X27" s="278"/>
      <c r="Y27" s="278"/>
      <c r="Z27" s="279"/>
      <c r="AB27" s="282"/>
      <c r="AC27" s="278"/>
      <c r="AD27" s="278"/>
      <c r="AE27" s="278"/>
      <c r="AF27" s="278"/>
      <c r="AG27" s="278"/>
      <c r="AH27" s="278"/>
      <c r="AI27" s="278"/>
      <c r="AJ27" s="278"/>
      <c r="AK27" s="278"/>
      <c r="AL27" s="278"/>
      <c r="AM27" s="279"/>
    </row>
    <row r="28" spans="2:39">
      <c r="B28" s="283"/>
      <c r="C28" s="280"/>
      <c r="D28" s="280"/>
      <c r="E28" s="280"/>
      <c r="F28" s="280"/>
      <c r="G28" s="280"/>
      <c r="H28" s="280"/>
      <c r="I28" s="280"/>
      <c r="J28" s="280"/>
      <c r="K28" s="280"/>
      <c r="L28" s="280"/>
      <c r="M28" s="281"/>
      <c r="O28" s="283"/>
      <c r="P28" s="280"/>
      <c r="Q28" s="280"/>
      <c r="R28" s="280"/>
      <c r="S28" s="280"/>
      <c r="T28" s="280"/>
      <c r="U28" s="280"/>
      <c r="V28" s="280"/>
      <c r="W28" s="280"/>
      <c r="X28" s="280"/>
      <c r="Y28" s="280"/>
      <c r="Z28" s="281"/>
      <c r="AB28" s="283"/>
      <c r="AC28" s="280"/>
      <c r="AD28" s="280"/>
      <c r="AE28" s="280"/>
      <c r="AF28" s="280"/>
      <c r="AG28" s="280"/>
      <c r="AH28" s="280"/>
      <c r="AI28" s="280"/>
      <c r="AJ28" s="280"/>
      <c r="AK28" s="280"/>
      <c r="AL28" s="280"/>
      <c r="AM28" s="281"/>
    </row>
    <row r="31" spans="2:39">
      <c r="B31" t="s">
        <v>527</v>
      </c>
      <c r="E31" t="s">
        <v>472</v>
      </c>
    </row>
    <row r="32" spans="2:39">
      <c r="B32" t="s">
        <v>530</v>
      </c>
      <c r="E32" s="252">
        <f ca="1">SUM(AC37:AM55)</f>
        <v>0</v>
      </c>
    </row>
    <row r="33" spans="2:39">
      <c r="B33" t="s">
        <v>529</v>
      </c>
    </row>
    <row r="35" spans="2:39">
      <c r="B35" t="s">
        <v>510</v>
      </c>
      <c r="O35" t="s">
        <v>470</v>
      </c>
      <c r="AB35" t="s">
        <v>511</v>
      </c>
    </row>
    <row r="36" spans="2:39">
      <c r="B36" s="254" t="str">
        <f>'USD Swap PVs'!M28</f>
        <v>Term</v>
      </c>
      <c r="C36" s="287">
        <f>'USD Swap PVs'!N28</f>
        <v>500</v>
      </c>
      <c r="D36" s="287">
        <f>'USD Swap PVs'!O28</f>
        <v>400</v>
      </c>
      <c r="E36" s="287">
        <f>'USD Swap PVs'!P28</f>
        <v>300</v>
      </c>
      <c r="F36" s="287">
        <f>'USD Swap PVs'!Q28</f>
        <v>200</v>
      </c>
      <c r="G36" s="287">
        <f>'USD Swap PVs'!R28</f>
        <v>100</v>
      </c>
      <c r="H36" s="287">
        <f>'USD Swap PVs'!S28</f>
        <v>0</v>
      </c>
      <c r="I36" s="287">
        <f>'USD Swap PVs'!T28</f>
        <v>-100</v>
      </c>
      <c r="J36" s="287">
        <f>'USD Swap PVs'!U28</f>
        <v>-200</v>
      </c>
      <c r="K36" s="287">
        <f>'USD Swap PVs'!V28</f>
        <v>-300</v>
      </c>
      <c r="L36" s="287">
        <f>'USD Swap PVs'!W28</f>
        <v>-400</v>
      </c>
      <c r="M36" s="288">
        <f>'USD Swap PVs'!X28</f>
        <v>-500</v>
      </c>
      <c r="O36" s="254" t="s">
        <v>76</v>
      </c>
      <c r="P36" s="287">
        <v>500</v>
      </c>
      <c r="Q36" s="287">
        <v>400</v>
      </c>
      <c r="R36" s="287">
        <v>300</v>
      </c>
      <c r="S36" s="287">
        <v>200</v>
      </c>
      <c r="T36" s="287">
        <v>100</v>
      </c>
      <c r="U36" s="287">
        <v>0</v>
      </c>
      <c r="V36" s="287">
        <v>-100</v>
      </c>
      <c r="W36" s="287">
        <v>-200</v>
      </c>
      <c r="X36" s="287">
        <v>-300</v>
      </c>
      <c r="Y36" s="287">
        <v>-400</v>
      </c>
      <c r="Z36" s="288">
        <v>-500</v>
      </c>
      <c r="AB36" s="254" t="str">
        <f>O36</f>
        <v>Term</v>
      </c>
      <c r="AC36" s="287">
        <f>P36</f>
        <v>500</v>
      </c>
      <c r="AD36" s="287">
        <f t="shared" ref="AD36:AM36" si="2">Q36</f>
        <v>400</v>
      </c>
      <c r="AE36" s="287">
        <f t="shared" si="2"/>
        <v>300</v>
      </c>
      <c r="AF36" s="287">
        <f t="shared" si="2"/>
        <v>200</v>
      </c>
      <c r="AG36" s="287">
        <f t="shared" si="2"/>
        <v>100</v>
      </c>
      <c r="AH36" s="287">
        <f t="shared" si="2"/>
        <v>0</v>
      </c>
      <c r="AI36" s="287">
        <f t="shared" si="2"/>
        <v>-100</v>
      </c>
      <c r="AJ36" s="287">
        <f t="shared" si="2"/>
        <v>-200</v>
      </c>
      <c r="AK36" s="287">
        <f t="shared" si="2"/>
        <v>-300</v>
      </c>
      <c r="AL36" s="287">
        <f t="shared" si="2"/>
        <v>-400</v>
      </c>
      <c r="AM36" s="288">
        <f t="shared" si="2"/>
        <v>-500</v>
      </c>
    </row>
    <row r="37" spans="2:39">
      <c r="B37" s="282" t="str">
        <f>'USD Swap PVs'!M29</f>
        <v>4Y</v>
      </c>
      <c r="C37" s="278">
        <f ca="1">'USD Swap PVs'!N29</f>
        <v>198777.426464966</v>
      </c>
      <c r="D37" s="278">
        <f ca="1">'USD Swap PVs'!O29</f>
        <v>159021.94117197287</v>
      </c>
      <c r="E37" s="278">
        <f ca="1">'USD Swap PVs'!P29</f>
        <v>119266.45587897966</v>
      </c>
      <c r="F37" s="278">
        <f ca="1">'USD Swap PVs'!Q29</f>
        <v>79510.970585986419</v>
      </c>
      <c r="G37" s="278">
        <f ca="1">'USD Swap PVs'!R29</f>
        <v>39755.485292993217</v>
      </c>
      <c r="H37" s="278">
        <f ca="1">'USD Swap PVs'!S29</f>
        <v>6.9388939039072284E-12</v>
      </c>
      <c r="I37" s="278">
        <f ca="1">'USD Swap PVs'!T29</f>
        <v>-39755.485292993202</v>
      </c>
      <c r="J37" s="278">
        <f ca="1">'USD Swap PVs'!U29</f>
        <v>-79510.970585986404</v>
      </c>
      <c r="K37" s="278">
        <f ca="1">'USD Swap PVs'!V29</f>
        <v>-119266.45587897963</v>
      </c>
      <c r="L37" s="278">
        <f ca="1">'USD Swap PVs'!W29</f>
        <v>-159021.94117197284</v>
      </c>
      <c r="M37" s="279">
        <f ca="1">'USD Swap PVs'!X29</f>
        <v>-198777.42646496603</v>
      </c>
      <c r="O37" s="282" t="s">
        <v>35</v>
      </c>
      <c r="P37" s="278">
        <v>198777.426464966</v>
      </c>
      <c r="Q37" s="278">
        <v>159021.94117197287</v>
      </c>
      <c r="R37" s="278">
        <v>119266.45587897966</v>
      </c>
      <c r="S37" s="278">
        <v>79510.970585986419</v>
      </c>
      <c r="T37" s="278">
        <v>39755.485292993217</v>
      </c>
      <c r="U37" s="278">
        <v>6.9388939039072284E-12</v>
      </c>
      <c r="V37" s="278">
        <v>-39755.485292993202</v>
      </c>
      <c r="W37" s="278">
        <v>-79510.970585986404</v>
      </c>
      <c r="X37" s="278">
        <v>-119266.45587897963</v>
      </c>
      <c r="Y37" s="278">
        <v>-159021.94117197284</v>
      </c>
      <c r="Z37" s="279">
        <v>-198777.42646496603</v>
      </c>
      <c r="AB37" s="282" t="str">
        <f t="shared" ref="AB37:AB55" si="3">O37</f>
        <v>4Y</v>
      </c>
      <c r="AC37" s="278">
        <f ca="1">IF(ABS(P37-C37)&gt;SnapshotTolerance,1,0)</f>
        <v>0</v>
      </c>
      <c r="AD37" s="278">
        <f ca="1">IF(ABS(Q37-D37)&gt;SnapshotTolerance,1,0)</f>
        <v>0</v>
      </c>
      <c r="AE37" s="278">
        <f ca="1">IF(ABS(R37-E37)&gt;SnapshotTolerance,1,0)</f>
        <v>0</v>
      </c>
      <c r="AF37" s="278">
        <f ca="1">IF(ABS(S37-F37)&gt;SnapshotTolerance,1,0)</f>
        <v>0</v>
      </c>
      <c r="AG37" s="278">
        <f ca="1">IF(ABS(T37-G37)&gt;SnapshotTolerance,1,0)</f>
        <v>0</v>
      </c>
      <c r="AH37" s="278">
        <f ca="1">IF(ABS(U37-H37)&gt;SnapshotTolerance,1,0)</f>
        <v>0</v>
      </c>
      <c r="AI37" s="278">
        <f ca="1">IF(ABS(V37-I37)&gt;SnapshotTolerance,1,0)</f>
        <v>0</v>
      </c>
      <c r="AJ37" s="278">
        <f ca="1">IF(ABS(W37-J37)&gt;SnapshotTolerance,1,0)</f>
        <v>0</v>
      </c>
      <c r="AK37" s="278">
        <f ca="1">IF(ABS(X37-K37)&gt;SnapshotTolerance,1,0)</f>
        <v>0</v>
      </c>
      <c r="AL37" s="278">
        <f ca="1">IF(ABS(Y37-L37)&gt;SnapshotTolerance,1,0)</f>
        <v>0</v>
      </c>
      <c r="AM37" s="279">
        <f ca="1">IF(ABS(Z37-M37)&gt;SnapshotTolerance,1,0)</f>
        <v>0</v>
      </c>
    </row>
    <row r="38" spans="2:39">
      <c r="B38" s="282" t="str">
        <f>'USD Swap PVs'!M30</f>
        <v>5Y</v>
      </c>
      <c r="C38" s="278">
        <f ca="1">'USD Swap PVs'!N30</f>
        <v>246131.73696146879</v>
      </c>
      <c r="D38" s="278">
        <f ca="1">'USD Swap PVs'!O30</f>
        <v>196905.38956917502</v>
      </c>
      <c r="E38" s="278">
        <f ca="1">'USD Swap PVs'!P30</f>
        <v>147679.04217688134</v>
      </c>
      <c r="F38" s="278">
        <f ca="1">'USD Swap PVs'!Q30</f>
        <v>98452.694784587467</v>
      </c>
      <c r="G38" s="278">
        <f ca="1">'USD Swap PVs'!R30</f>
        <v>49226.347392293741</v>
      </c>
      <c r="H38" s="278">
        <f ca="1">'USD Swap PVs'!S30</f>
        <v>-1.3877787807814457E-11</v>
      </c>
      <c r="I38" s="278">
        <f ca="1">'USD Swap PVs'!T30</f>
        <v>-49226.347392293777</v>
      </c>
      <c r="J38" s="278">
        <f ca="1">'USD Swap PVs'!U30</f>
        <v>-98452.69478458754</v>
      </c>
      <c r="K38" s="278">
        <f ca="1">'USD Swap PVs'!V30</f>
        <v>-147679.04217688134</v>
      </c>
      <c r="L38" s="278">
        <f ca="1">'USD Swap PVs'!W30</f>
        <v>-196905.38956917508</v>
      </c>
      <c r="M38" s="279">
        <f ca="1">'USD Swap PVs'!X30</f>
        <v>-246131.73696146885</v>
      </c>
      <c r="O38" s="282" t="s">
        <v>33</v>
      </c>
      <c r="P38" s="278">
        <v>246131.73696146879</v>
      </c>
      <c r="Q38" s="278">
        <v>196905.38956917502</v>
      </c>
      <c r="R38" s="278">
        <v>147679.04217688134</v>
      </c>
      <c r="S38" s="278">
        <v>98452.694784587467</v>
      </c>
      <c r="T38" s="278">
        <v>49226.347392293741</v>
      </c>
      <c r="U38" s="278">
        <v>-1.3877787807814457E-11</v>
      </c>
      <c r="V38" s="278">
        <v>-49226.347392293777</v>
      </c>
      <c r="W38" s="278">
        <v>-98452.69478458754</v>
      </c>
      <c r="X38" s="278">
        <v>-147679.04217688134</v>
      </c>
      <c r="Y38" s="278">
        <v>-196905.38956917508</v>
      </c>
      <c r="Z38" s="279">
        <v>-246131.73696146885</v>
      </c>
      <c r="AB38" s="282" t="str">
        <f t="shared" si="3"/>
        <v>5Y</v>
      </c>
      <c r="AC38" s="278">
        <f ca="1">IF(ABS(P38-C38)&gt;SnapshotTolerance,1,0)</f>
        <v>0</v>
      </c>
      <c r="AD38" s="278">
        <f ca="1">IF(ABS(Q38-D38)&gt;SnapshotTolerance,1,0)</f>
        <v>0</v>
      </c>
      <c r="AE38" s="278">
        <f ca="1">IF(ABS(R38-E38)&gt;SnapshotTolerance,1,0)</f>
        <v>0</v>
      </c>
      <c r="AF38" s="278">
        <f ca="1">IF(ABS(S38-F38)&gt;SnapshotTolerance,1,0)</f>
        <v>0</v>
      </c>
      <c r="AG38" s="278">
        <f ca="1">IF(ABS(T38-G38)&gt;SnapshotTolerance,1,0)</f>
        <v>0</v>
      </c>
      <c r="AH38" s="278">
        <f ca="1">IF(ABS(U38-H38)&gt;SnapshotTolerance,1,0)</f>
        <v>0</v>
      </c>
      <c r="AI38" s="278">
        <f ca="1">IF(ABS(V38-I38)&gt;SnapshotTolerance,1,0)</f>
        <v>0</v>
      </c>
      <c r="AJ38" s="278">
        <f ca="1">IF(ABS(W38-J38)&gt;SnapshotTolerance,1,0)</f>
        <v>0</v>
      </c>
      <c r="AK38" s="278">
        <f ca="1">IF(ABS(X38-K38)&gt;SnapshotTolerance,1,0)</f>
        <v>0</v>
      </c>
      <c r="AL38" s="278">
        <f ca="1">IF(ABS(Y38-L38)&gt;SnapshotTolerance,1,0)</f>
        <v>0</v>
      </c>
      <c r="AM38" s="279">
        <f ca="1">IF(ABS(Z38-M38)&gt;SnapshotTolerance,1,0)</f>
        <v>0</v>
      </c>
    </row>
    <row r="39" spans="2:39">
      <c r="B39" s="282" t="str">
        <f>'USD Swap PVs'!M31</f>
        <v>6Y</v>
      </c>
      <c r="C39" s="278">
        <f ca="1">'USD Swap PVs'!N31</f>
        <v>292058.13024354144</v>
      </c>
      <c r="D39" s="278">
        <f ca="1">'USD Swap PVs'!O31</f>
        <v>233646.50419483325</v>
      </c>
      <c r="E39" s="278">
        <f ca="1">'USD Swap PVs'!P31</f>
        <v>175234.87814612495</v>
      </c>
      <c r="F39" s="278">
        <f ca="1">'USD Swap PVs'!Q31</f>
        <v>116823.2520974166</v>
      </c>
      <c r="G39" s="278">
        <f ca="1">'USD Swap PVs'!R31</f>
        <v>58411.626048708313</v>
      </c>
      <c r="H39" s="278">
        <f ca="1">'USD Swap PVs'!S31</f>
        <v>1.3877787807814457E-11</v>
      </c>
      <c r="I39" s="278">
        <f ca="1">'USD Swap PVs'!T31</f>
        <v>-58411.626048708284</v>
      </c>
      <c r="J39" s="278">
        <f ca="1">'USD Swap PVs'!U31</f>
        <v>-116823.25209741658</v>
      </c>
      <c r="K39" s="278">
        <f ca="1">'USD Swap PVs'!V31</f>
        <v>-175234.87814612489</v>
      </c>
      <c r="L39" s="278">
        <f ca="1">'USD Swap PVs'!W31</f>
        <v>-233646.50419483319</v>
      </c>
      <c r="M39" s="279">
        <f ca="1">'USD Swap PVs'!X31</f>
        <v>-292058.13024354156</v>
      </c>
      <c r="O39" s="282" t="s">
        <v>131</v>
      </c>
      <c r="P39" s="278">
        <v>292058.13024354144</v>
      </c>
      <c r="Q39" s="278">
        <v>233646.50419483325</v>
      </c>
      <c r="R39" s="278">
        <v>175234.87814612495</v>
      </c>
      <c r="S39" s="278">
        <v>116823.2520974166</v>
      </c>
      <c r="T39" s="278">
        <v>58411.626048708313</v>
      </c>
      <c r="U39" s="278">
        <v>1.3877787807814457E-11</v>
      </c>
      <c r="V39" s="278">
        <v>-58411.626048708284</v>
      </c>
      <c r="W39" s="278">
        <v>-116823.25209741658</v>
      </c>
      <c r="X39" s="278">
        <v>-175234.87814612489</v>
      </c>
      <c r="Y39" s="278">
        <v>-233646.50419483319</v>
      </c>
      <c r="Z39" s="279">
        <v>-292058.13024354156</v>
      </c>
      <c r="AB39" s="282" t="str">
        <f t="shared" si="3"/>
        <v>6Y</v>
      </c>
      <c r="AC39" s="278">
        <f ca="1">IF(ABS(P39-C39)&gt;SnapshotTolerance,1,0)</f>
        <v>0</v>
      </c>
      <c r="AD39" s="278">
        <f ca="1">IF(ABS(Q39-D39)&gt;SnapshotTolerance,1,0)</f>
        <v>0</v>
      </c>
      <c r="AE39" s="278">
        <f ca="1">IF(ABS(R39-E39)&gt;SnapshotTolerance,1,0)</f>
        <v>0</v>
      </c>
      <c r="AF39" s="278">
        <f ca="1">IF(ABS(S39-F39)&gt;SnapshotTolerance,1,0)</f>
        <v>0</v>
      </c>
      <c r="AG39" s="278">
        <f ca="1">IF(ABS(T39-G39)&gt;SnapshotTolerance,1,0)</f>
        <v>0</v>
      </c>
      <c r="AH39" s="278">
        <f ca="1">IF(ABS(U39-H39)&gt;SnapshotTolerance,1,0)</f>
        <v>0</v>
      </c>
      <c r="AI39" s="278">
        <f ca="1">IF(ABS(V39-I39)&gt;SnapshotTolerance,1,0)</f>
        <v>0</v>
      </c>
      <c r="AJ39" s="278">
        <f ca="1">IF(ABS(W39-J39)&gt;SnapshotTolerance,1,0)</f>
        <v>0</v>
      </c>
      <c r="AK39" s="278">
        <f ca="1">IF(ABS(X39-K39)&gt;SnapshotTolerance,1,0)</f>
        <v>0</v>
      </c>
      <c r="AL39" s="278">
        <f ca="1">IF(ABS(Y39-L39)&gt;SnapshotTolerance,1,0)</f>
        <v>0</v>
      </c>
      <c r="AM39" s="279">
        <f ca="1">IF(ABS(Z39-M39)&gt;SnapshotTolerance,1,0)</f>
        <v>0</v>
      </c>
    </row>
    <row r="40" spans="2:39">
      <c r="B40" s="282" t="str">
        <f>'USD Swap PVs'!M32</f>
        <v>7Y</v>
      </c>
      <c r="C40" s="278">
        <f ca="1">'USD Swap PVs'!N32</f>
        <v>336636.27902883606</v>
      </c>
      <c r="D40" s="278">
        <f ca="1">'USD Swap PVs'!O32</f>
        <v>269309.02322306891</v>
      </c>
      <c r="E40" s="278">
        <f ca="1">'USD Swap PVs'!P32</f>
        <v>201981.76741730174</v>
      </c>
      <c r="F40" s="278">
        <f ca="1">'USD Swap PVs'!Q32</f>
        <v>134654.51161153449</v>
      </c>
      <c r="G40" s="278">
        <f ca="1">'USD Swap PVs'!R32</f>
        <v>67327.255805767229</v>
      </c>
      <c r="H40" s="278">
        <f ca="1">'USD Swap PVs'!S32</f>
        <v>0</v>
      </c>
      <c r="I40" s="278">
        <f ca="1">'USD Swap PVs'!T32</f>
        <v>-67327.255805767243</v>
      </c>
      <c r="J40" s="278">
        <f ca="1">'USD Swap PVs'!U32</f>
        <v>-134654.51161153449</v>
      </c>
      <c r="K40" s="278">
        <f ca="1">'USD Swap PVs'!V32</f>
        <v>-201981.76741730174</v>
      </c>
      <c r="L40" s="278">
        <f ca="1">'USD Swap PVs'!W32</f>
        <v>-269309.02322306897</v>
      </c>
      <c r="M40" s="279">
        <f ca="1">'USD Swap PVs'!X32</f>
        <v>-336636.27902883629</v>
      </c>
      <c r="O40" s="282" t="s">
        <v>31</v>
      </c>
      <c r="P40" s="278">
        <v>336636.27902883606</v>
      </c>
      <c r="Q40" s="278">
        <v>269309.02322306891</v>
      </c>
      <c r="R40" s="278">
        <v>201981.76741730174</v>
      </c>
      <c r="S40" s="278">
        <v>134654.51161153449</v>
      </c>
      <c r="T40" s="278">
        <v>67327.255805767229</v>
      </c>
      <c r="U40" s="278">
        <v>0</v>
      </c>
      <c r="V40" s="278">
        <v>-67327.255805767243</v>
      </c>
      <c r="W40" s="278">
        <v>-134654.51161153449</v>
      </c>
      <c r="X40" s="278">
        <v>-201981.76741730174</v>
      </c>
      <c r="Y40" s="278">
        <v>-269309.02322306897</v>
      </c>
      <c r="Z40" s="279">
        <v>-336636.27902883629</v>
      </c>
      <c r="AB40" s="282" t="str">
        <f t="shared" si="3"/>
        <v>7Y</v>
      </c>
      <c r="AC40" s="278">
        <f ca="1">IF(ABS(P40-C40)&gt;SnapshotTolerance,1,0)</f>
        <v>0</v>
      </c>
      <c r="AD40" s="278">
        <f ca="1">IF(ABS(Q40-D40)&gt;SnapshotTolerance,1,0)</f>
        <v>0</v>
      </c>
      <c r="AE40" s="278">
        <f ca="1">IF(ABS(R40-E40)&gt;SnapshotTolerance,1,0)</f>
        <v>0</v>
      </c>
      <c r="AF40" s="278">
        <f ca="1">IF(ABS(S40-F40)&gt;SnapshotTolerance,1,0)</f>
        <v>0</v>
      </c>
      <c r="AG40" s="278">
        <f ca="1">IF(ABS(T40-G40)&gt;SnapshotTolerance,1,0)</f>
        <v>0</v>
      </c>
      <c r="AH40" s="278">
        <f ca="1">IF(ABS(U40-H40)&gt;SnapshotTolerance,1,0)</f>
        <v>0</v>
      </c>
      <c r="AI40" s="278">
        <f ca="1">IF(ABS(V40-I40)&gt;SnapshotTolerance,1,0)</f>
        <v>0</v>
      </c>
      <c r="AJ40" s="278">
        <f ca="1">IF(ABS(W40-J40)&gt;SnapshotTolerance,1,0)</f>
        <v>0</v>
      </c>
      <c r="AK40" s="278">
        <f ca="1">IF(ABS(X40-K40)&gt;SnapshotTolerance,1,0)</f>
        <v>0</v>
      </c>
      <c r="AL40" s="278">
        <f ca="1">IF(ABS(Y40-L40)&gt;SnapshotTolerance,1,0)</f>
        <v>0</v>
      </c>
      <c r="AM40" s="279">
        <f ca="1">IF(ABS(Z40-M40)&gt;SnapshotTolerance,1,0)</f>
        <v>0</v>
      </c>
    </row>
    <row r="41" spans="2:39">
      <c r="B41" s="282" t="str">
        <f>'USD Swap PVs'!M33</f>
        <v>8Y</v>
      </c>
      <c r="C41" s="278">
        <f ca="1">'USD Swap PVs'!N33</f>
        <v>380086.43747963931</v>
      </c>
      <c r="D41" s="278">
        <f ca="1">'USD Swap PVs'!O33</f>
        <v>304069.14998371148</v>
      </c>
      <c r="E41" s="278">
        <f ca="1">'USD Swap PVs'!P33</f>
        <v>228051.86248778363</v>
      </c>
      <c r="F41" s="278">
        <f ca="1">'USD Swap PVs'!Q33</f>
        <v>152034.57499185577</v>
      </c>
      <c r="G41" s="278">
        <f ca="1">'USD Swap PVs'!R33</f>
        <v>76017.287495927871</v>
      </c>
      <c r="H41" s="278">
        <f ca="1">'USD Swap PVs'!S33</f>
        <v>0</v>
      </c>
      <c r="I41" s="278">
        <f ca="1">'USD Swap PVs'!T33</f>
        <v>-76017.287495927871</v>
      </c>
      <c r="J41" s="278">
        <f ca="1">'USD Swap PVs'!U33</f>
        <v>-152034.57499185571</v>
      </c>
      <c r="K41" s="278">
        <f ca="1">'USD Swap PVs'!V33</f>
        <v>-228051.86248778363</v>
      </c>
      <c r="L41" s="278">
        <f ca="1">'USD Swap PVs'!W33</f>
        <v>-304069.14998371148</v>
      </c>
      <c r="M41" s="279">
        <f ca="1">'USD Swap PVs'!X33</f>
        <v>-380086.43747963931</v>
      </c>
      <c r="O41" s="282" t="s">
        <v>119</v>
      </c>
      <c r="P41" s="278">
        <v>380086.43747963931</v>
      </c>
      <c r="Q41" s="278">
        <v>304069.14998371148</v>
      </c>
      <c r="R41" s="278">
        <v>228051.86248778363</v>
      </c>
      <c r="S41" s="278">
        <v>152034.57499185577</v>
      </c>
      <c r="T41" s="278">
        <v>76017.287495927871</v>
      </c>
      <c r="U41" s="278">
        <v>0</v>
      </c>
      <c r="V41" s="278">
        <v>-76017.287495927871</v>
      </c>
      <c r="W41" s="278">
        <v>-152034.57499185571</v>
      </c>
      <c r="X41" s="278">
        <v>-228051.86248778363</v>
      </c>
      <c r="Y41" s="278">
        <v>-304069.14998371148</v>
      </c>
      <c r="Z41" s="279">
        <v>-380086.43747963931</v>
      </c>
      <c r="AB41" s="282" t="str">
        <f t="shared" si="3"/>
        <v>8Y</v>
      </c>
      <c r="AC41" s="278">
        <f ca="1">IF(ABS(P41-C41)&gt;SnapshotTolerance,1,0)</f>
        <v>0</v>
      </c>
      <c r="AD41" s="278">
        <f ca="1">IF(ABS(Q41-D41)&gt;SnapshotTolerance,1,0)</f>
        <v>0</v>
      </c>
      <c r="AE41" s="278">
        <f ca="1">IF(ABS(R41-E41)&gt;SnapshotTolerance,1,0)</f>
        <v>0</v>
      </c>
      <c r="AF41" s="278">
        <f ca="1">IF(ABS(S41-F41)&gt;SnapshotTolerance,1,0)</f>
        <v>0</v>
      </c>
      <c r="AG41" s="278">
        <f ca="1">IF(ABS(T41-G41)&gt;SnapshotTolerance,1,0)</f>
        <v>0</v>
      </c>
      <c r="AH41" s="278">
        <f ca="1">IF(ABS(U41-H41)&gt;SnapshotTolerance,1,0)</f>
        <v>0</v>
      </c>
      <c r="AI41" s="278">
        <f ca="1">IF(ABS(V41-I41)&gt;SnapshotTolerance,1,0)</f>
        <v>0</v>
      </c>
      <c r="AJ41" s="278">
        <f ca="1">IF(ABS(W41-J41)&gt;SnapshotTolerance,1,0)</f>
        <v>0</v>
      </c>
      <c r="AK41" s="278">
        <f ca="1">IF(ABS(X41-K41)&gt;SnapshotTolerance,1,0)</f>
        <v>0</v>
      </c>
      <c r="AL41" s="278">
        <f ca="1">IF(ABS(Y41-L41)&gt;SnapshotTolerance,1,0)</f>
        <v>0</v>
      </c>
      <c r="AM41" s="279">
        <f ca="1">IF(ABS(Z41-M41)&gt;SnapshotTolerance,1,0)</f>
        <v>0</v>
      </c>
    </row>
    <row r="42" spans="2:39">
      <c r="B42" s="282" t="str">
        <f>'USD Swap PVs'!M34</f>
        <v>9Y</v>
      </c>
      <c r="C42" s="278">
        <f ca="1">'USD Swap PVs'!N34</f>
        <v>421837.79507817933</v>
      </c>
      <c r="D42" s="278">
        <f ca="1">'USD Swap PVs'!O34</f>
        <v>337470.23606254335</v>
      </c>
      <c r="E42" s="278">
        <f ca="1">'USD Swap PVs'!P34</f>
        <v>253102.67704690754</v>
      </c>
      <c r="F42" s="278">
        <f ca="1">'USD Swap PVs'!Q34</f>
        <v>168735.11803127173</v>
      </c>
      <c r="G42" s="278">
        <f ca="1">'USD Swap PVs'!R34</f>
        <v>84367.559015635808</v>
      </c>
      <c r="H42" s="278">
        <f ca="1">'USD Swap PVs'!S34</f>
        <v>0</v>
      </c>
      <c r="I42" s="278">
        <f ca="1">'USD Swap PVs'!T34</f>
        <v>-84367.55901563591</v>
      </c>
      <c r="J42" s="278">
        <f ca="1">'USD Swap PVs'!U34</f>
        <v>-168735.11803127173</v>
      </c>
      <c r="K42" s="278">
        <f ca="1">'USD Swap PVs'!V34</f>
        <v>-253102.6770469076</v>
      </c>
      <c r="L42" s="278">
        <f ca="1">'USD Swap PVs'!W34</f>
        <v>-337470.23606254347</v>
      </c>
      <c r="M42" s="279">
        <f ca="1">'USD Swap PVs'!X34</f>
        <v>-421837.79507817933</v>
      </c>
      <c r="O42" s="282" t="s">
        <v>113</v>
      </c>
      <c r="P42" s="278">
        <v>421837.79507817933</v>
      </c>
      <c r="Q42" s="278">
        <v>337470.23606254335</v>
      </c>
      <c r="R42" s="278">
        <v>253102.67704690754</v>
      </c>
      <c r="S42" s="278">
        <v>168735.11803127173</v>
      </c>
      <c r="T42" s="278">
        <v>84367.559015635808</v>
      </c>
      <c r="U42" s="278">
        <v>0</v>
      </c>
      <c r="V42" s="278">
        <v>-84367.55901563591</v>
      </c>
      <c r="W42" s="278">
        <v>-168735.11803127173</v>
      </c>
      <c r="X42" s="278">
        <v>-253102.6770469076</v>
      </c>
      <c r="Y42" s="278">
        <v>-337470.23606254347</v>
      </c>
      <c r="Z42" s="279">
        <v>-421837.79507817933</v>
      </c>
      <c r="AB42" s="282" t="str">
        <f t="shared" si="3"/>
        <v>9Y</v>
      </c>
      <c r="AC42" s="278">
        <f ca="1">IF(ABS(P42-C42)&gt;SnapshotTolerance,1,0)</f>
        <v>0</v>
      </c>
      <c r="AD42" s="278">
        <f ca="1">IF(ABS(Q42-D42)&gt;SnapshotTolerance,1,0)</f>
        <v>0</v>
      </c>
      <c r="AE42" s="278">
        <f ca="1">IF(ABS(R42-E42)&gt;SnapshotTolerance,1,0)</f>
        <v>0</v>
      </c>
      <c r="AF42" s="278">
        <f ca="1">IF(ABS(S42-F42)&gt;SnapshotTolerance,1,0)</f>
        <v>0</v>
      </c>
      <c r="AG42" s="278">
        <f ca="1">IF(ABS(T42-G42)&gt;SnapshotTolerance,1,0)</f>
        <v>0</v>
      </c>
      <c r="AH42" s="278">
        <f ca="1">IF(ABS(U42-H42)&gt;SnapshotTolerance,1,0)</f>
        <v>0</v>
      </c>
      <c r="AI42" s="278">
        <f ca="1">IF(ABS(V42-I42)&gt;SnapshotTolerance,1,0)</f>
        <v>0</v>
      </c>
      <c r="AJ42" s="278">
        <f ca="1">IF(ABS(W42-J42)&gt;SnapshotTolerance,1,0)</f>
        <v>0</v>
      </c>
      <c r="AK42" s="278">
        <f ca="1">IF(ABS(X42-K42)&gt;SnapshotTolerance,1,0)</f>
        <v>0</v>
      </c>
      <c r="AL42" s="278">
        <f ca="1">IF(ABS(Y42-L42)&gt;SnapshotTolerance,1,0)</f>
        <v>0</v>
      </c>
      <c r="AM42" s="279">
        <f ca="1">IF(ABS(Z42-M42)&gt;SnapshotTolerance,1,0)</f>
        <v>0</v>
      </c>
    </row>
    <row r="43" spans="2:39">
      <c r="B43" s="282" t="str">
        <f>'USD Swap PVs'!M35</f>
        <v>10Y</v>
      </c>
      <c r="C43" s="278">
        <f ca="1">'USD Swap PVs'!N35</f>
        <v>462388.14162659738</v>
      </c>
      <c r="D43" s="278">
        <f ca="1">'USD Swap PVs'!O35</f>
        <v>369910.51330127788</v>
      </c>
      <c r="E43" s="278">
        <f ca="1">'USD Swap PVs'!P35</f>
        <v>277432.88497595844</v>
      </c>
      <c r="F43" s="278">
        <f ca="1">'USD Swap PVs'!Q35</f>
        <v>184955.25665063897</v>
      </c>
      <c r="G43" s="278">
        <f ca="1">'USD Swap PVs'!R35</f>
        <v>92477.628325319442</v>
      </c>
      <c r="H43" s="278">
        <f ca="1">'USD Swap PVs'!S35</f>
        <v>0</v>
      </c>
      <c r="I43" s="278">
        <f ca="1">'USD Swap PVs'!T35</f>
        <v>-92477.628325319558</v>
      </c>
      <c r="J43" s="278">
        <f ca="1">'USD Swap PVs'!U35</f>
        <v>-184955.25665063897</v>
      </c>
      <c r="K43" s="278">
        <f ca="1">'USD Swap PVs'!V35</f>
        <v>-277432.8849759585</v>
      </c>
      <c r="L43" s="278">
        <f ca="1">'USD Swap PVs'!W35</f>
        <v>-369910.51330127788</v>
      </c>
      <c r="M43" s="279">
        <f ca="1">'USD Swap PVs'!X35</f>
        <v>-462388.1416265975</v>
      </c>
      <c r="O43" s="282" t="s">
        <v>28</v>
      </c>
      <c r="P43" s="278">
        <v>462388.14162659738</v>
      </c>
      <c r="Q43" s="278">
        <v>369910.51330127788</v>
      </c>
      <c r="R43" s="278">
        <v>277432.88497595844</v>
      </c>
      <c r="S43" s="278">
        <v>184955.25665063897</v>
      </c>
      <c r="T43" s="278">
        <v>92477.628325319442</v>
      </c>
      <c r="U43" s="278">
        <v>0</v>
      </c>
      <c r="V43" s="278">
        <v>-92477.628325319558</v>
      </c>
      <c r="W43" s="278">
        <v>-184955.25665063897</v>
      </c>
      <c r="X43" s="278">
        <v>-277432.8849759585</v>
      </c>
      <c r="Y43" s="278">
        <v>-369910.51330127788</v>
      </c>
      <c r="Z43" s="279">
        <v>-462388.1416265975</v>
      </c>
      <c r="AB43" s="282" t="str">
        <f t="shared" si="3"/>
        <v>10Y</v>
      </c>
      <c r="AC43" s="278">
        <f ca="1">IF(ABS(P43-C43)&gt;SnapshotTolerance,1,0)</f>
        <v>0</v>
      </c>
      <c r="AD43" s="278">
        <f ca="1">IF(ABS(Q43-D43)&gt;SnapshotTolerance,1,0)</f>
        <v>0</v>
      </c>
      <c r="AE43" s="278">
        <f ca="1">IF(ABS(R43-E43)&gt;SnapshotTolerance,1,0)</f>
        <v>0</v>
      </c>
      <c r="AF43" s="278">
        <f ca="1">IF(ABS(S43-F43)&gt;SnapshotTolerance,1,0)</f>
        <v>0</v>
      </c>
      <c r="AG43" s="278">
        <f ca="1">IF(ABS(T43-G43)&gt;SnapshotTolerance,1,0)</f>
        <v>0</v>
      </c>
      <c r="AH43" s="278">
        <f ca="1">IF(ABS(U43-H43)&gt;SnapshotTolerance,1,0)</f>
        <v>0</v>
      </c>
      <c r="AI43" s="278">
        <f ca="1">IF(ABS(V43-I43)&gt;SnapshotTolerance,1,0)</f>
        <v>0</v>
      </c>
      <c r="AJ43" s="278">
        <f ca="1">IF(ABS(W43-J43)&gt;SnapshotTolerance,1,0)</f>
        <v>0</v>
      </c>
      <c r="AK43" s="278">
        <f ca="1">IF(ABS(X43-K43)&gt;SnapshotTolerance,1,0)</f>
        <v>0</v>
      </c>
      <c r="AL43" s="278">
        <f ca="1">IF(ABS(Y43-L43)&gt;SnapshotTolerance,1,0)</f>
        <v>0</v>
      </c>
      <c r="AM43" s="279">
        <f ca="1">IF(ABS(Z43-M43)&gt;SnapshotTolerance,1,0)</f>
        <v>0</v>
      </c>
    </row>
    <row r="44" spans="2:39">
      <c r="B44" s="282" t="str">
        <f>'USD Swap PVs'!M36</f>
        <v>11Y</v>
      </c>
      <c r="C44" s="278">
        <f ca="1">'USD Swap PVs'!N36</f>
        <v>501653.57340943185</v>
      </c>
      <c r="D44" s="278">
        <f ca="1">'USD Swap PVs'!O36</f>
        <v>401322.85872754542</v>
      </c>
      <c r="E44" s="278">
        <f ca="1">'USD Swap PVs'!P36</f>
        <v>300992.14404565905</v>
      </c>
      <c r="F44" s="278">
        <f ca="1">'USD Swap PVs'!Q36</f>
        <v>200661.42936377268</v>
      </c>
      <c r="G44" s="278">
        <f ca="1">'USD Swap PVs'!R36</f>
        <v>100330.71468188631</v>
      </c>
      <c r="H44" s="278">
        <f ca="1">'USD Swap PVs'!S36</f>
        <v>0</v>
      </c>
      <c r="I44" s="278">
        <f ca="1">'USD Swap PVs'!T36</f>
        <v>-100330.71468188649</v>
      </c>
      <c r="J44" s="278">
        <f ca="1">'USD Swap PVs'!U36</f>
        <v>-200661.42936377277</v>
      </c>
      <c r="K44" s="278">
        <f ca="1">'USD Swap PVs'!V36</f>
        <v>-300992.14404565917</v>
      </c>
      <c r="L44" s="278">
        <f ca="1">'USD Swap PVs'!W36</f>
        <v>-401322.85872754548</v>
      </c>
      <c r="M44" s="279">
        <f ca="1">'USD Swap PVs'!X36</f>
        <v>-501653.57340943196</v>
      </c>
      <c r="O44" s="282" t="s">
        <v>366</v>
      </c>
      <c r="P44" s="278">
        <v>501653.57340943185</v>
      </c>
      <c r="Q44" s="278">
        <v>401322.85872754542</v>
      </c>
      <c r="R44" s="278">
        <v>300992.14404565905</v>
      </c>
      <c r="S44" s="278">
        <v>200661.42936377268</v>
      </c>
      <c r="T44" s="278">
        <v>100330.71468188631</v>
      </c>
      <c r="U44" s="278">
        <v>0</v>
      </c>
      <c r="V44" s="278">
        <v>-100330.71468188649</v>
      </c>
      <c r="W44" s="278">
        <v>-200661.42936377277</v>
      </c>
      <c r="X44" s="278">
        <v>-300992.14404565917</v>
      </c>
      <c r="Y44" s="278">
        <v>-401322.85872754548</v>
      </c>
      <c r="Z44" s="279">
        <v>-501653.57340943196</v>
      </c>
      <c r="AB44" s="282" t="str">
        <f t="shared" si="3"/>
        <v>11Y</v>
      </c>
      <c r="AC44" s="278">
        <f ca="1">IF(ABS(P44-C44)&gt;SnapshotTolerance,1,0)</f>
        <v>0</v>
      </c>
      <c r="AD44" s="278">
        <f ca="1">IF(ABS(Q44-D44)&gt;SnapshotTolerance,1,0)</f>
        <v>0</v>
      </c>
      <c r="AE44" s="278">
        <f ca="1">IF(ABS(R44-E44)&gt;SnapshotTolerance,1,0)</f>
        <v>0</v>
      </c>
      <c r="AF44" s="278">
        <f ca="1">IF(ABS(S44-F44)&gt;SnapshotTolerance,1,0)</f>
        <v>0</v>
      </c>
      <c r="AG44" s="278">
        <f ca="1">IF(ABS(T44-G44)&gt;SnapshotTolerance,1,0)</f>
        <v>0</v>
      </c>
      <c r="AH44" s="278">
        <f ca="1">IF(ABS(U44-H44)&gt;SnapshotTolerance,1,0)</f>
        <v>0</v>
      </c>
      <c r="AI44" s="278">
        <f ca="1">IF(ABS(V44-I44)&gt;SnapshotTolerance,1,0)</f>
        <v>0</v>
      </c>
      <c r="AJ44" s="278">
        <f ca="1">IF(ABS(W44-J44)&gt;SnapshotTolerance,1,0)</f>
        <v>0</v>
      </c>
      <c r="AK44" s="278">
        <f ca="1">IF(ABS(X44-K44)&gt;SnapshotTolerance,1,0)</f>
        <v>0</v>
      </c>
      <c r="AL44" s="278">
        <f ca="1">IF(ABS(Y44-L44)&gt;SnapshotTolerance,1,0)</f>
        <v>0</v>
      </c>
      <c r="AM44" s="279">
        <f ca="1">IF(ABS(Z44-M44)&gt;SnapshotTolerance,1,0)</f>
        <v>0</v>
      </c>
    </row>
    <row r="45" spans="2:39">
      <c r="B45" s="282" t="str">
        <f>'USD Swap PVs'!M37</f>
        <v>12Y</v>
      </c>
      <c r="C45" s="278">
        <f ca="1">'USD Swap PVs'!N37</f>
        <v>539672.51174194494</v>
      </c>
      <c r="D45" s="278">
        <f ca="1">'USD Swap PVs'!O37</f>
        <v>431738.00939355604</v>
      </c>
      <c r="E45" s="278">
        <f ca="1">'USD Swap PVs'!P37</f>
        <v>323803.50704516686</v>
      </c>
      <c r="F45" s="278">
        <f ca="1">'USD Swap PVs'!Q37</f>
        <v>215869.00469677793</v>
      </c>
      <c r="G45" s="278">
        <f ca="1">'USD Swap PVs'!R37</f>
        <v>107934.50234838892</v>
      </c>
      <c r="H45" s="278">
        <f ca="1">'USD Swap PVs'!S37</f>
        <v>0</v>
      </c>
      <c r="I45" s="278">
        <f ca="1">'USD Swap PVs'!T37</f>
        <v>-107934.50234838908</v>
      </c>
      <c r="J45" s="278">
        <f ca="1">'USD Swap PVs'!U37</f>
        <v>-215869.00469677799</v>
      </c>
      <c r="K45" s="278">
        <f ca="1">'USD Swap PVs'!V37</f>
        <v>-323803.50704516703</v>
      </c>
      <c r="L45" s="278">
        <f ca="1">'USD Swap PVs'!W37</f>
        <v>-431738.00939355599</v>
      </c>
      <c r="M45" s="279">
        <f ca="1">'USD Swap PVs'!X37</f>
        <v>-539672.51174194494</v>
      </c>
      <c r="O45" s="282" t="s">
        <v>26</v>
      </c>
      <c r="P45" s="278">
        <v>539672.51174194494</v>
      </c>
      <c r="Q45" s="278">
        <v>431738.00939355604</v>
      </c>
      <c r="R45" s="278">
        <v>323803.50704516686</v>
      </c>
      <c r="S45" s="278">
        <v>215869.00469677793</v>
      </c>
      <c r="T45" s="278">
        <v>107934.50234838892</v>
      </c>
      <c r="U45" s="278">
        <v>0</v>
      </c>
      <c r="V45" s="278">
        <v>-107934.50234838908</v>
      </c>
      <c r="W45" s="278">
        <v>-215869.00469677799</v>
      </c>
      <c r="X45" s="278">
        <v>-323803.50704516703</v>
      </c>
      <c r="Y45" s="278">
        <v>-431738.00939355599</v>
      </c>
      <c r="Z45" s="279">
        <v>-539672.51174194494</v>
      </c>
      <c r="AB45" s="282" t="str">
        <f t="shared" si="3"/>
        <v>12Y</v>
      </c>
      <c r="AC45" s="278">
        <f ca="1">IF(ABS(P45-C45)&gt;SnapshotTolerance,1,0)</f>
        <v>0</v>
      </c>
      <c r="AD45" s="278">
        <f ca="1">IF(ABS(Q45-D45)&gt;SnapshotTolerance,1,0)</f>
        <v>0</v>
      </c>
      <c r="AE45" s="278">
        <f ca="1">IF(ABS(R45-E45)&gt;SnapshotTolerance,1,0)</f>
        <v>0</v>
      </c>
      <c r="AF45" s="278">
        <f ca="1">IF(ABS(S45-F45)&gt;SnapshotTolerance,1,0)</f>
        <v>0</v>
      </c>
      <c r="AG45" s="278">
        <f ca="1">IF(ABS(T45-G45)&gt;SnapshotTolerance,1,0)</f>
        <v>0</v>
      </c>
      <c r="AH45" s="278">
        <f ca="1">IF(ABS(U45-H45)&gt;SnapshotTolerance,1,0)</f>
        <v>0</v>
      </c>
      <c r="AI45" s="278">
        <f ca="1">IF(ABS(V45-I45)&gt;SnapshotTolerance,1,0)</f>
        <v>0</v>
      </c>
      <c r="AJ45" s="278">
        <f ca="1">IF(ABS(W45-J45)&gt;SnapshotTolerance,1,0)</f>
        <v>0</v>
      </c>
      <c r="AK45" s="278">
        <f ca="1">IF(ABS(X45-K45)&gt;SnapshotTolerance,1,0)</f>
        <v>0</v>
      </c>
      <c r="AL45" s="278">
        <f ca="1">IF(ABS(Y45-L45)&gt;SnapshotTolerance,1,0)</f>
        <v>0</v>
      </c>
      <c r="AM45" s="279">
        <f ca="1">IF(ABS(Z45-M45)&gt;SnapshotTolerance,1,0)</f>
        <v>0</v>
      </c>
    </row>
    <row r="46" spans="2:39">
      <c r="B46" s="282" t="str">
        <f>'USD Swap PVs'!M38</f>
        <v>15Y</v>
      </c>
      <c r="C46" s="278">
        <f ca="1">'USD Swap PVs'!N38</f>
        <v>646763.03135862527</v>
      </c>
      <c r="D46" s="278">
        <f ca="1">'USD Swap PVs'!O38</f>
        <v>517410.42508689995</v>
      </c>
      <c r="E46" s="278">
        <f ca="1">'USD Swap PVs'!P38</f>
        <v>388057.81881517486</v>
      </c>
      <c r="F46" s="278">
        <f ca="1">'USD Swap PVs'!Q38</f>
        <v>258705.2125434498</v>
      </c>
      <c r="G46" s="278">
        <f ca="1">'USD Swap PVs'!R38</f>
        <v>129352.60627172496</v>
      </c>
      <c r="H46" s="278">
        <f ca="1">'USD Swap PVs'!S38</f>
        <v>0</v>
      </c>
      <c r="I46" s="278">
        <f ca="1">'USD Swap PVs'!T38</f>
        <v>-129352.60627172512</v>
      </c>
      <c r="J46" s="278">
        <f ca="1">'USD Swap PVs'!U38</f>
        <v>-258705.21254345015</v>
      </c>
      <c r="K46" s="278">
        <f ca="1">'USD Swap PVs'!V38</f>
        <v>-388057.81881517515</v>
      </c>
      <c r="L46" s="278">
        <f ca="1">'USD Swap PVs'!W38</f>
        <v>-517410.42508690018</v>
      </c>
      <c r="M46" s="279">
        <f ca="1">'USD Swap PVs'!X38</f>
        <v>-646763.03135862527</v>
      </c>
      <c r="O46" s="282" t="s">
        <v>24</v>
      </c>
      <c r="P46" s="278">
        <v>646763.03135862527</v>
      </c>
      <c r="Q46" s="278">
        <v>517410.42508689995</v>
      </c>
      <c r="R46" s="278">
        <v>388057.81881517486</v>
      </c>
      <c r="S46" s="278">
        <v>258705.2125434498</v>
      </c>
      <c r="T46" s="278">
        <v>129352.60627172496</v>
      </c>
      <c r="U46" s="278">
        <v>0</v>
      </c>
      <c r="V46" s="278">
        <v>-129352.60627172512</v>
      </c>
      <c r="W46" s="278">
        <v>-258705.21254345015</v>
      </c>
      <c r="X46" s="278">
        <v>-388057.81881517515</v>
      </c>
      <c r="Y46" s="278">
        <v>-517410.42508690018</v>
      </c>
      <c r="Z46" s="279">
        <v>-646763.03135862527</v>
      </c>
      <c r="AB46" s="282" t="str">
        <f t="shared" si="3"/>
        <v>15Y</v>
      </c>
      <c r="AC46" s="278">
        <f ca="1">IF(ABS(P46-C46)&gt;SnapshotTolerance,1,0)</f>
        <v>0</v>
      </c>
      <c r="AD46" s="278">
        <f ca="1">IF(ABS(Q46-D46)&gt;SnapshotTolerance,1,0)</f>
        <v>0</v>
      </c>
      <c r="AE46" s="278">
        <f ca="1">IF(ABS(R46-E46)&gt;SnapshotTolerance,1,0)</f>
        <v>0</v>
      </c>
      <c r="AF46" s="278">
        <f ca="1">IF(ABS(S46-F46)&gt;SnapshotTolerance,1,0)</f>
        <v>0</v>
      </c>
      <c r="AG46" s="278">
        <f ca="1">IF(ABS(T46-G46)&gt;SnapshotTolerance,1,0)</f>
        <v>0</v>
      </c>
      <c r="AH46" s="278">
        <f ca="1">IF(ABS(U46-H46)&gt;SnapshotTolerance,1,0)</f>
        <v>0</v>
      </c>
      <c r="AI46" s="278">
        <f ca="1">IF(ABS(V46-I46)&gt;SnapshotTolerance,1,0)</f>
        <v>0</v>
      </c>
      <c r="AJ46" s="278">
        <f ca="1">IF(ABS(W46-J46)&gt;SnapshotTolerance,1,0)</f>
        <v>0</v>
      </c>
      <c r="AK46" s="278">
        <f ca="1">IF(ABS(X46-K46)&gt;SnapshotTolerance,1,0)</f>
        <v>0</v>
      </c>
      <c r="AL46" s="278">
        <f ca="1">IF(ABS(Y46-L46)&gt;SnapshotTolerance,1,0)</f>
        <v>0</v>
      </c>
      <c r="AM46" s="279">
        <f ca="1">IF(ABS(Z46-M46)&gt;SnapshotTolerance,1,0)</f>
        <v>0</v>
      </c>
    </row>
    <row r="47" spans="2:39">
      <c r="B47" s="282" t="str">
        <f>'USD Swap PVs'!M39</f>
        <v>20Y</v>
      </c>
      <c r="C47" s="278">
        <f ca="1">'USD Swap PVs'!N39</f>
        <v>804037.65725514793</v>
      </c>
      <c r="D47" s="278">
        <f ca="1">'USD Swap PVs'!O39</f>
        <v>643230.12580411846</v>
      </c>
      <c r="E47" s="278">
        <f ca="1">'USD Swap PVs'!P39</f>
        <v>482422.59435308882</v>
      </c>
      <c r="F47" s="278">
        <f ca="1">'USD Swap PVs'!Q39</f>
        <v>321615.06290205906</v>
      </c>
      <c r="G47" s="278">
        <f ca="1">'USD Swap PVs'!R39</f>
        <v>160807.5314510297</v>
      </c>
      <c r="H47" s="278">
        <f ca="1">'USD Swap PVs'!S39</f>
        <v>0</v>
      </c>
      <c r="I47" s="278">
        <f ca="1">'USD Swap PVs'!T39</f>
        <v>-160807.53145102976</v>
      </c>
      <c r="J47" s="278">
        <f ca="1">'USD Swap PVs'!U39</f>
        <v>-321615.06290205941</v>
      </c>
      <c r="K47" s="278">
        <f ca="1">'USD Swap PVs'!V39</f>
        <v>-482422.59435308911</v>
      </c>
      <c r="L47" s="278">
        <f ca="1">'USD Swap PVs'!W39</f>
        <v>-643230.12580411881</v>
      </c>
      <c r="M47" s="279">
        <f ca="1">'USD Swap PVs'!X39</f>
        <v>-804037.6572551484</v>
      </c>
      <c r="O47" s="282" t="s">
        <v>20</v>
      </c>
      <c r="P47" s="278">
        <v>804037.65725514793</v>
      </c>
      <c r="Q47" s="278">
        <v>643230.12580411846</v>
      </c>
      <c r="R47" s="278">
        <v>482422.59435308882</v>
      </c>
      <c r="S47" s="278">
        <v>321615.06290205906</v>
      </c>
      <c r="T47" s="278">
        <v>160807.5314510297</v>
      </c>
      <c r="U47" s="278">
        <v>0</v>
      </c>
      <c r="V47" s="278">
        <v>-160807.53145102976</v>
      </c>
      <c r="W47" s="278">
        <v>-321615.06290205941</v>
      </c>
      <c r="X47" s="278">
        <v>-482422.59435308911</v>
      </c>
      <c r="Y47" s="278">
        <v>-643230.12580411881</v>
      </c>
      <c r="Z47" s="279">
        <v>-804037.6572551484</v>
      </c>
      <c r="AB47" s="282" t="str">
        <f t="shared" si="3"/>
        <v>20Y</v>
      </c>
      <c r="AC47" s="278">
        <f ca="1">IF(ABS(P47-C47)&gt;SnapshotTolerance,1,0)</f>
        <v>0</v>
      </c>
      <c r="AD47" s="278">
        <f ca="1">IF(ABS(Q47-D47)&gt;SnapshotTolerance,1,0)</f>
        <v>0</v>
      </c>
      <c r="AE47" s="278">
        <f ca="1">IF(ABS(R47-E47)&gt;SnapshotTolerance,1,0)</f>
        <v>0</v>
      </c>
      <c r="AF47" s="278">
        <f ca="1">IF(ABS(S47-F47)&gt;SnapshotTolerance,1,0)</f>
        <v>0</v>
      </c>
      <c r="AG47" s="278">
        <f ca="1">IF(ABS(T47-G47)&gt;SnapshotTolerance,1,0)</f>
        <v>0</v>
      </c>
      <c r="AH47" s="278">
        <f ca="1">IF(ABS(U47-H47)&gt;SnapshotTolerance,1,0)</f>
        <v>0</v>
      </c>
      <c r="AI47" s="278">
        <f ca="1">IF(ABS(V47-I47)&gt;SnapshotTolerance,1,0)</f>
        <v>0</v>
      </c>
      <c r="AJ47" s="278">
        <f ca="1">IF(ABS(W47-J47)&gt;SnapshotTolerance,1,0)</f>
        <v>0</v>
      </c>
      <c r="AK47" s="278">
        <f ca="1">IF(ABS(X47-K47)&gt;SnapshotTolerance,1,0)</f>
        <v>0</v>
      </c>
      <c r="AL47" s="278">
        <f ca="1">IF(ABS(Y47-L47)&gt;SnapshotTolerance,1,0)</f>
        <v>0</v>
      </c>
      <c r="AM47" s="279">
        <f ca="1">IF(ABS(Z47-M47)&gt;SnapshotTolerance,1,0)</f>
        <v>0</v>
      </c>
    </row>
    <row r="48" spans="2:39">
      <c r="B48" s="282" t="str">
        <f>'USD Swap PVs'!M40</f>
        <v>25Y</v>
      </c>
      <c r="C48" s="278">
        <f ca="1">'USD Swap PVs'!N40</f>
        <v>938667.92003639555</v>
      </c>
      <c r="D48" s="278">
        <f ca="1">'USD Swap PVs'!O40</f>
        <v>750934.33602911618</v>
      </c>
      <c r="E48" s="278">
        <f ca="1">'USD Swap PVs'!P40</f>
        <v>563200.75202183705</v>
      </c>
      <c r="F48" s="278">
        <f ca="1">'USD Swap PVs'!Q40</f>
        <v>375467.16801455768</v>
      </c>
      <c r="G48" s="278">
        <f ca="1">'USD Swap PVs'!R40</f>
        <v>187733.58400727945</v>
      </c>
      <c r="H48" s="278">
        <f ca="1">'USD Swap PVs'!S40</f>
        <v>0</v>
      </c>
      <c r="I48" s="278">
        <f ca="1">'USD Swap PVs'!T40</f>
        <v>-187733.58400727937</v>
      </c>
      <c r="J48" s="278">
        <f ca="1">'USD Swap PVs'!U40</f>
        <v>-375467.16801455838</v>
      </c>
      <c r="K48" s="278">
        <f ca="1">'USD Swap PVs'!V40</f>
        <v>-563200.75202183763</v>
      </c>
      <c r="L48" s="278">
        <f ca="1">'USD Swap PVs'!W40</f>
        <v>-750934.33602911676</v>
      </c>
      <c r="M48" s="279">
        <f ca="1">'USD Swap PVs'!X40</f>
        <v>-938667.9200363959</v>
      </c>
      <c r="O48" s="282" t="s">
        <v>18</v>
      </c>
      <c r="P48" s="278">
        <v>938667.92003639555</v>
      </c>
      <c r="Q48" s="278">
        <v>750934.33602911618</v>
      </c>
      <c r="R48" s="278">
        <v>563200.75202183705</v>
      </c>
      <c r="S48" s="278">
        <v>375467.16801455768</v>
      </c>
      <c r="T48" s="278">
        <v>187733.58400727945</v>
      </c>
      <c r="U48" s="278">
        <v>0</v>
      </c>
      <c r="V48" s="278">
        <v>-187733.58400727937</v>
      </c>
      <c r="W48" s="278">
        <v>-375467.16801455838</v>
      </c>
      <c r="X48" s="278">
        <v>-563200.75202183763</v>
      </c>
      <c r="Y48" s="278">
        <v>-750934.33602911676</v>
      </c>
      <c r="Z48" s="279">
        <v>-938667.9200363959</v>
      </c>
      <c r="AB48" s="282" t="str">
        <f t="shared" si="3"/>
        <v>25Y</v>
      </c>
      <c r="AC48" s="278">
        <f ca="1">IF(ABS(P48-C48)&gt;SnapshotTolerance,1,0)</f>
        <v>0</v>
      </c>
      <c r="AD48" s="278">
        <f ca="1">IF(ABS(Q48-D48)&gt;SnapshotTolerance,1,0)</f>
        <v>0</v>
      </c>
      <c r="AE48" s="278">
        <f ca="1">IF(ABS(R48-E48)&gt;SnapshotTolerance,1,0)</f>
        <v>0</v>
      </c>
      <c r="AF48" s="278">
        <f ca="1">IF(ABS(S48-F48)&gt;SnapshotTolerance,1,0)</f>
        <v>0</v>
      </c>
      <c r="AG48" s="278">
        <f ca="1">IF(ABS(T48-G48)&gt;SnapshotTolerance,1,0)</f>
        <v>0</v>
      </c>
      <c r="AH48" s="278">
        <f ca="1">IF(ABS(U48-H48)&gt;SnapshotTolerance,1,0)</f>
        <v>0</v>
      </c>
      <c r="AI48" s="278">
        <f ca="1">IF(ABS(V48-I48)&gt;SnapshotTolerance,1,0)</f>
        <v>0</v>
      </c>
      <c r="AJ48" s="278">
        <f ca="1">IF(ABS(W48-J48)&gt;SnapshotTolerance,1,0)</f>
        <v>0</v>
      </c>
      <c r="AK48" s="278">
        <f ca="1">IF(ABS(X48-K48)&gt;SnapshotTolerance,1,0)</f>
        <v>0</v>
      </c>
      <c r="AL48" s="278">
        <f ca="1">IF(ABS(Y48-L48)&gt;SnapshotTolerance,1,0)</f>
        <v>0</v>
      </c>
      <c r="AM48" s="279">
        <f ca="1">IF(ABS(Z48-M48)&gt;SnapshotTolerance,1,0)</f>
        <v>0</v>
      </c>
    </row>
    <row r="49" spans="2:39">
      <c r="B49" s="282" t="str">
        <f>'USD Swap PVs'!M41</f>
        <v>30Y</v>
      </c>
      <c r="C49" s="278">
        <f ca="1">'USD Swap PVs'!N41</f>
        <v>1054277.2388134073</v>
      </c>
      <c r="D49" s="278">
        <f ca="1">'USD Swap PVs'!O41</f>
        <v>843421.79105072538</v>
      </c>
      <c r="E49" s="278">
        <f ca="1">'USD Swap PVs'!P41</f>
        <v>632566.34328804398</v>
      </c>
      <c r="F49" s="278">
        <f ca="1">'USD Swap PVs'!Q41</f>
        <v>421710.89552536234</v>
      </c>
      <c r="G49" s="278">
        <f ca="1">'USD Swap PVs'!R41</f>
        <v>210855.44776268172</v>
      </c>
      <c r="H49" s="278">
        <f ca="1">'USD Swap PVs'!S41</f>
        <v>0</v>
      </c>
      <c r="I49" s="278">
        <f ca="1">'USD Swap PVs'!T41</f>
        <v>-210855.44776268172</v>
      </c>
      <c r="J49" s="278">
        <f ca="1">'USD Swap PVs'!U41</f>
        <v>-421710.8955253631</v>
      </c>
      <c r="K49" s="278">
        <f ca="1">'USD Swap PVs'!V41</f>
        <v>-632566.34328804479</v>
      </c>
      <c r="L49" s="278">
        <f ca="1">'USD Swap PVs'!W41</f>
        <v>-843421.7910507262</v>
      </c>
      <c r="M49" s="279">
        <f ca="1">'USD Swap PVs'!X41</f>
        <v>-1054277.2388134082</v>
      </c>
      <c r="O49" s="282" t="s">
        <v>17</v>
      </c>
      <c r="P49" s="278">
        <v>1054277.2388134073</v>
      </c>
      <c r="Q49" s="278">
        <v>843421.79105072538</v>
      </c>
      <c r="R49" s="278">
        <v>632566.34328804398</v>
      </c>
      <c r="S49" s="278">
        <v>421710.89552536234</v>
      </c>
      <c r="T49" s="278">
        <v>210855.44776268172</v>
      </c>
      <c r="U49" s="278">
        <v>0</v>
      </c>
      <c r="V49" s="278">
        <v>-210855.44776268172</v>
      </c>
      <c r="W49" s="278">
        <v>-421710.8955253631</v>
      </c>
      <c r="X49" s="278">
        <v>-632566.34328804479</v>
      </c>
      <c r="Y49" s="278">
        <v>-843421.7910507262</v>
      </c>
      <c r="Z49" s="279">
        <v>-1054277.2388134082</v>
      </c>
      <c r="AB49" s="282" t="str">
        <f t="shared" si="3"/>
        <v>30Y</v>
      </c>
      <c r="AC49" s="278">
        <f ca="1">IF(ABS(P49-C49)&gt;SnapshotTolerance,1,0)</f>
        <v>0</v>
      </c>
      <c r="AD49" s="278">
        <f ca="1">IF(ABS(Q49-D49)&gt;SnapshotTolerance,1,0)</f>
        <v>0</v>
      </c>
      <c r="AE49" s="278">
        <f ca="1">IF(ABS(R49-E49)&gt;SnapshotTolerance,1,0)</f>
        <v>0</v>
      </c>
      <c r="AF49" s="278">
        <f ca="1">IF(ABS(S49-F49)&gt;SnapshotTolerance,1,0)</f>
        <v>0</v>
      </c>
      <c r="AG49" s="278">
        <f ca="1">IF(ABS(T49-G49)&gt;SnapshotTolerance,1,0)</f>
        <v>0</v>
      </c>
      <c r="AH49" s="278">
        <f ca="1">IF(ABS(U49-H49)&gt;SnapshotTolerance,1,0)</f>
        <v>0</v>
      </c>
      <c r="AI49" s="278">
        <f ca="1">IF(ABS(V49-I49)&gt;SnapshotTolerance,1,0)</f>
        <v>0</v>
      </c>
      <c r="AJ49" s="278">
        <f ca="1">IF(ABS(W49-J49)&gt;SnapshotTolerance,1,0)</f>
        <v>0</v>
      </c>
      <c r="AK49" s="278">
        <f ca="1">IF(ABS(X49-K49)&gt;SnapshotTolerance,1,0)</f>
        <v>0</v>
      </c>
      <c r="AL49" s="278">
        <f ca="1">IF(ABS(Y49-L49)&gt;SnapshotTolerance,1,0)</f>
        <v>0</v>
      </c>
      <c r="AM49" s="279">
        <f ca="1">IF(ABS(Z49-M49)&gt;SnapshotTolerance,1,0)</f>
        <v>0</v>
      </c>
    </row>
    <row r="50" spans="2:39">
      <c r="B50" s="282" t="str">
        <f>'USD Swap PVs'!M42</f>
        <v>40Y</v>
      </c>
      <c r="C50" s="278">
        <f ca="1">'USD Swap PVs'!N42</f>
        <v>1239840.6415149069</v>
      </c>
      <c r="D50" s="278">
        <f ca="1">'USD Swap PVs'!O42</f>
        <v>991872.51321192528</v>
      </c>
      <c r="E50" s="278">
        <f ca="1">'USD Swap PVs'!P42</f>
        <v>743904.38490894309</v>
      </c>
      <c r="F50" s="278">
        <f ca="1">'USD Swap PVs'!Q42</f>
        <v>495936.25660596177</v>
      </c>
      <c r="G50" s="278">
        <f ca="1">'USD Swap PVs'!R42</f>
        <v>247968.12830298155</v>
      </c>
      <c r="H50" s="278">
        <f ca="1">'USD Swap PVs'!S42</f>
        <v>0</v>
      </c>
      <c r="I50" s="278">
        <f ca="1">'USD Swap PVs'!T42</f>
        <v>-247968.12830298214</v>
      </c>
      <c r="J50" s="278">
        <f ca="1">'USD Swap PVs'!U42</f>
        <v>-495936.2566059634</v>
      </c>
      <c r="K50" s="278">
        <f ca="1">'USD Swap PVs'!V42</f>
        <v>-743904.38490894507</v>
      </c>
      <c r="L50" s="278">
        <f ca="1">'USD Swap PVs'!W42</f>
        <v>-991872.51321192645</v>
      </c>
      <c r="M50" s="279">
        <f ca="1">'USD Swap PVs'!X42</f>
        <v>-1239840.6415149078</v>
      </c>
      <c r="O50" s="282" t="s">
        <v>15</v>
      </c>
      <c r="P50" s="278">
        <v>1239840.6415149069</v>
      </c>
      <c r="Q50" s="278">
        <v>991872.51321192528</v>
      </c>
      <c r="R50" s="278">
        <v>743904.38490894309</v>
      </c>
      <c r="S50" s="278">
        <v>495936.25660596177</v>
      </c>
      <c r="T50" s="278">
        <v>247968.12830298155</v>
      </c>
      <c r="U50" s="278">
        <v>0</v>
      </c>
      <c r="V50" s="278">
        <v>-247968.12830298214</v>
      </c>
      <c r="W50" s="278">
        <v>-495936.2566059634</v>
      </c>
      <c r="X50" s="278">
        <v>-743904.38490894507</v>
      </c>
      <c r="Y50" s="278">
        <v>-991872.51321192645</v>
      </c>
      <c r="Z50" s="279">
        <v>-1239840.6415149078</v>
      </c>
      <c r="AB50" s="282" t="str">
        <f t="shared" si="3"/>
        <v>40Y</v>
      </c>
      <c r="AC50" s="278">
        <f ca="1">IF(ABS(P50-C50)&gt;SnapshotTolerance,1,0)</f>
        <v>0</v>
      </c>
      <c r="AD50" s="278">
        <f ca="1">IF(ABS(Q50-D50)&gt;SnapshotTolerance,1,0)</f>
        <v>0</v>
      </c>
      <c r="AE50" s="278">
        <f ca="1">IF(ABS(R50-E50)&gt;SnapshotTolerance,1,0)</f>
        <v>0</v>
      </c>
      <c r="AF50" s="278">
        <f ca="1">IF(ABS(S50-F50)&gt;SnapshotTolerance,1,0)</f>
        <v>0</v>
      </c>
      <c r="AG50" s="278">
        <f ca="1">IF(ABS(T50-G50)&gt;SnapshotTolerance,1,0)</f>
        <v>0</v>
      </c>
      <c r="AH50" s="278">
        <f ca="1">IF(ABS(U50-H50)&gt;SnapshotTolerance,1,0)</f>
        <v>0</v>
      </c>
      <c r="AI50" s="278">
        <f ca="1">IF(ABS(V50-I50)&gt;SnapshotTolerance,1,0)</f>
        <v>0</v>
      </c>
      <c r="AJ50" s="278">
        <f ca="1">IF(ABS(W50-J50)&gt;SnapshotTolerance,1,0)</f>
        <v>0</v>
      </c>
      <c r="AK50" s="278">
        <f ca="1">IF(ABS(X50-K50)&gt;SnapshotTolerance,1,0)</f>
        <v>0</v>
      </c>
      <c r="AL50" s="278">
        <f ca="1">IF(ABS(Y50-L50)&gt;SnapshotTolerance,1,0)</f>
        <v>0</v>
      </c>
      <c r="AM50" s="279">
        <f ca="1">IF(ABS(Z50-M50)&gt;SnapshotTolerance,1,0)</f>
        <v>0</v>
      </c>
    </row>
    <row r="51" spans="2:39">
      <c r="B51" s="282" t="str">
        <f>'USD Swap PVs'!M43</f>
        <v>50Y</v>
      </c>
      <c r="C51" s="278">
        <f ca="1">'USD Swap PVs'!N43</f>
        <v>1381003.7389991134</v>
      </c>
      <c r="D51" s="278">
        <f ca="1">'USD Swap PVs'!O43</f>
        <v>1104802.9911992906</v>
      </c>
      <c r="E51" s="278">
        <f ca="1">'USD Swap PVs'!P43</f>
        <v>828602.24339946732</v>
      </c>
      <c r="F51" s="278">
        <f ca="1">'USD Swap PVs'!Q43</f>
        <v>552401.49559964368</v>
      </c>
      <c r="G51" s="278">
        <f ca="1">'USD Swap PVs'!R43</f>
        <v>276200.7477998223</v>
      </c>
      <c r="H51" s="278">
        <f ca="1">'USD Swap PVs'!S43</f>
        <v>0</v>
      </c>
      <c r="I51" s="278">
        <f ca="1">'USD Swap PVs'!T43</f>
        <v>-276200.74779982376</v>
      </c>
      <c r="J51" s="278">
        <f ca="1">'USD Swap PVs'!U43</f>
        <v>-552401.49559964647</v>
      </c>
      <c r="K51" s="278">
        <f ca="1">'USD Swap PVs'!V43</f>
        <v>-828602.24339946965</v>
      </c>
      <c r="L51" s="278">
        <f ca="1">'USD Swap PVs'!W43</f>
        <v>-1104802.9911992927</v>
      </c>
      <c r="M51" s="279">
        <f ca="1">'USD Swap PVs'!X43</f>
        <v>-1381003.7389991158</v>
      </c>
      <c r="O51" s="282" t="s">
        <v>14</v>
      </c>
      <c r="P51" s="278">
        <v>1381003.7389991134</v>
      </c>
      <c r="Q51" s="278">
        <v>1104802.9911992906</v>
      </c>
      <c r="R51" s="278">
        <v>828602.24339946732</v>
      </c>
      <c r="S51" s="278">
        <v>552401.49559964368</v>
      </c>
      <c r="T51" s="278">
        <v>276200.7477998223</v>
      </c>
      <c r="U51" s="278">
        <v>0</v>
      </c>
      <c r="V51" s="278">
        <v>-276200.74779982376</v>
      </c>
      <c r="W51" s="278">
        <v>-552401.49559964647</v>
      </c>
      <c r="X51" s="278">
        <v>-828602.24339946965</v>
      </c>
      <c r="Y51" s="278">
        <v>-1104802.9911992927</v>
      </c>
      <c r="Z51" s="279">
        <v>-1381003.7389991158</v>
      </c>
      <c r="AB51" s="282" t="str">
        <f t="shared" si="3"/>
        <v>50Y</v>
      </c>
      <c r="AC51" s="278">
        <f ca="1">IF(ABS(P51-C51)&gt;SnapshotTolerance,1,0)</f>
        <v>0</v>
      </c>
      <c r="AD51" s="278">
        <f ca="1">IF(ABS(Q51-D51)&gt;SnapshotTolerance,1,0)</f>
        <v>0</v>
      </c>
      <c r="AE51" s="278">
        <f ca="1">IF(ABS(R51-E51)&gt;SnapshotTolerance,1,0)</f>
        <v>0</v>
      </c>
      <c r="AF51" s="278">
        <f ca="1">IF(ABS(S51-F51)&gt;SnapshotTolerance,1,0)</f>
        <v>0</v>
      </c>
      <c r="AG51" s="278">
        <f ca="1">IF(ABS(T51-G51)&gt;SnapshotTolerance,1,0)</f>
        <v>0</v>
      </c>
      <c r="AH51" s="278">
        <f ca="1">IF(ABS(U51-H51)&gt;SnapshotTolerance,1,0)</f>
        <v>0</v>
      </c>
      <c r="AI51" s="278">
        <f ca="1">IF(ABS(V51-I51)&gt;SnapshotTolerance,1,0)</f>
        <v>0</v>
      </c>
      <c r="AJ51" s="278">
        <f ca="1">IF(ABS(W51-J51)&gt;SnapshotTolerance,1,0)</f>
        <v>0</v>
      </c>
      <c r="AK51" s="278">
        <f ca="1">IF(ABS(X51-K51)&gt;SnapshotTolerance,1,0)</f>
        <v>0</v>
      </c>
      <c r="AL51" s="278">
        <f ca="1">IF(ABS(Y51-L51)&gt;SnapshotTolerance,1,0)</f>
        <v>0</v>
      </c>
      <c r="AM51" s="279">
        <f ca="1">IF(ABS(Z51-M51)&gt;SnapshotTolerance,1,0)</f>
        <v>0</v>
      </c>
    </row>
    <row r="52" spans="2:39">
      <c r="B52" s="282"/>
      <c r="C52" s="278"/>
      <c r="D52" s="278"/>
      <c r="E52" s="278"/>
      <c r="F52" s="278"/>
      <c r="G52" s="278"/>
      <c r="H52" s="278"/>
      <c r="I52" s="278"/>
      <c r="J52" s="278"/>
      <c r="K52" s="278"/>
      <c r="L52" s="278"/>
      <c r="M52" s="279"/>
      <c r="O52" s="282"/>
      <c r="P52" s="278"/>
      <c r="Q52" s="278"/>
      <c r="R52" s="278"/>
      <c r="S52" s="278"/>
      <c r="T52" s="278"/>
      <c r="U52" s="278"/>
      <c r="V52" s="278"/>
      <c r="W52" s="278"/>
      <c r="X52" s="278"/>
      <c r="Y52" s="278"/>
      <c r="Z52" s="279"/>
      <c r="AB52" s="282"/>
      <c r="AC52" s="278"/>
      <c r="AD52" s="278"/>
      <c r="AE52" s="278"/>
      <c r="AF52" s="278"/>
      <c r="AG52" s="278"/>
      <c r="AH52" s="278"/>
      <c r="AI52" s="278"/>
      <c r="AJ52" s="278"/>
      <c r="AK52" s="278"/>
      <c r="AL52" s="278"/>
      <c r="AM52" s="279"/>
    </row>
    <row r="53" spans="2:39">
      <c r="B53" s="282"/>
      <c r="C53" s="278"/>
      <c r="D53" s="278"/>
      <c r="E53" s="278"/>
      <c r="F53" s="278"/>
      <c r="G53" s="278"/>
      <c r="H53" s="278"/>
      <c r="I53" s="278"/>
      <c r="J53" s="278"/>
      <c r="K53" s="278"/>
      <c r="L53" s="278"/>
      <c r="M53" s="279"/>
      <c r="O53" s="282"/>
      <c r="P53" s="278"/>
      <c r="Q53" s="278"/>
      <c r="R53" s="278"/>
      <c r="S53" s="278"/>
      <c r="T53" s="278"/>
      <c r="U53" s="278"/>
      <c r="V53" s="278"/>
      <c r="W53" s="278"/>
      <c r="X53" s="278"/>
      <c r="Y53" s="278"/>
      <c r="Z53" s="279"/>
      <c r="AB53" s="282"/>
      <c r="AC53" s="278"/>
      <c r="AD53" s="278"/>
      <c r="AE53" s="278"/>
      <c r="AF53" s="278"/>
      <c r="AG53" s="278"/>
      <c r="AH53" s="278"/>
      <c r="AI53" s="278"/>
      <c r="AJ53" s="278"/>
      <c r="AK53" s="278"/>
      <c r="AL53" s="278"/>
      <c r="AM53" s="279"/>
    </row>
    <row r="54" spans="2:39">
      <c r="B54" s="282"/>
      <c r="C54" s="278"/>
      <c r="D54" s="278"/>
      <c r="E54" s="278"/>
      <c r="F54" s="278"/>
      <c r="G54" s="278"/>
      <c r="H54" s="278"/>
      <c r="I54" s="278"/>
      <c r="J54" s="278"/>
      <c r="K54" s="278"/>
      <c r="L54" s="278"/>
      <c r="M54" s="279"/>
      <c r="O54" s="282"/>
      <c r="P54" s="278"/>
      <c r="Q54" s="278"/>
      <c r="R54" s="278"/>
      <c r="S54" s="278"/>
      <c r="T54" s="278"/>
      <c r="U54" s="278"/>
      <c r="V54" s="278"/>
      <c r="W54" s="278"/>
      <c r="X54" s="278"/>
      <c r="Y54" s="278"/>
      <c r="Z54" s="279"/>
      <c r="AB54" s="282"/>
      <c r="AC54" s="278"/>
      <c r="AD54" s="278"/>
      <c r="AE54" s="278"/>
      <c r="AF54" s="278"/>
      <c r="AG54" s="278"/>
      <c r="AH54" s="278"/>
      <c r="AI54" s="278"/>
      <c r="AJ54" s="278"/>
      <c r="AK54" s="278"/>
      <c r="AL54" s="278"/>
      <c r="AM54" s="279"/>
    </row>
    <row r="55" spans="2:39">
      <c r="B55" s="283"/>
      <c r="C55" s="280"/>
      <c r="D55" s="280"/>
      <c r="E55" s="280"/>
      <c r="F55" s="280"/>
      <c r="G55" s="280"/>
      <c r="H55" s="280"/>
      <c r="I55" s="280"/>
      <c r="J55" s="280"/>
      <c r="K55" s="280"/>
      <c r="L55" s="280"/>
      <c r="M55" s="281"/>
      <c r="O55" s="283"/>
      <c r="P55" s="280"/>
      <c r="Q55" s="280"/>
      <c r="R55" s="280"/>
      <c r="S55" s="280"/>
      <c r="T55" s="280"/>
      <c r="U55" s="280"/>
      <c r="V55" s="280"/>
      <c r="W55" s="280"/>
      <c r="X55" s="280"/>
      <c r="Y55" s="280"/>
      <c r="Z55" s="281"/>
      <c r="AB55" s="283"/>
      <c r="AC55" s="280"/>
      <c r="AD55" s="280"/>
      <c r="AE55" s="280"/>
      <c r="AF55" s="280"/>
      <c r="AG55" s="280"/>
      <c r="AH55" s="280"/>
      <c r="AI55" s="280"/>
      <c r="AJ55" s="280"/>
      <c r="AK55" s="280"/>
      <c r="AL55" s="280"/>
      <c r="AM55" s="281"/>
    </row>
    <row r="58" spans="2:39">
      <c r="B58" t="s">
        <v>527</v>
      </c>
      <c r="E58" t="s">
        <v>472</v>
      </c>
    </row>
    <row r="59" spans="2:39">
      <c r="B59" t="s">
        <v>528</v>
      </c>
      <c r="E59" s="252">
        <f ca="1">SUM(AC64:AM82)</f>
        <v>0</v>
      </c>
    </row>
    <row r="60" spans="2:39">
      <c r="B60" t="s">
        <v>532</v>
      </c>
    </row>
    <row r="62" spans="2:39">
      <c r="B62" t="s">
        <v>510</v>
      </c>
      <c r="O62" t="s">
        <v>470</v>
      </c>
      <c r="AB62" t="s">
        <v>511</v>
      </c>
    </row>
    <row r="63" spans="2:39">
      <c r="B63" s="254" t="str">
        <f>'USD Swap PVs'!AG3</f>
        <v>Term</v>
      </c>
      <c r="C63" s="276">
        <f>'USD Swap PVs'!AH3</f>
        <v>-0.05</v>
      </c>
      <c r="D63" s="276">
        <f>'USD Swap PVs'!AI3</f>
        <v>-0.04</v>
      </c>
      <c r="E63" s="276">
        <f>'USD Swap PVs'!AJ3</f>
        <v>-0.03</v>
      </c>
      <c r="F63" s="276">
        <f>'USD Swap PVs'!AK3</f>
        <v>-1.9999999999999997E-2</v>
      </c>
      <c r="G63" s="276">
        <f>'USD Swap PVs'!AL3</f>
        <v>-9.9999999999999967E-3</v>
      </c>
      <c r="H63" s="276">
        <f>'USD Swap PVs'!AM3</f>
        <v>0</v>
      </c>
      <c r="I63" s="276">
        <f>'USD Swap PVs'!AN3</f>
        <v>0.01</v>
      </c>
      <c r="J63" s="276">
        <f>'USD Swap PVs'!AO3</f>
        <v>0.02</v>
      </c>
      <c r="K63" s="276">
        <f>'USD Swap PVs'!AP3</f>
        <v>0.03</v>
      </c>
      <c r="L63" s="276">
        <f>'USD Swap PVs'!AQ3</f>
        <v>0.04</v>
      </c>
      <c r="M63" s="277">
        <f>'USD Swap PVs'!AR3</f>
        <v>0.05</v>
      </c>
      <c r="O63" s="254" t="s">
        <v>76</v>
      </c>
      <c r="P63" s="276">
        <v>-0.05</v>
      </c>
      <c r="Q63" s="276">
        <v>-0.04</v>
      </c>
      <c r="R63" s="276">
        <v>-0.03</v>
      </c>
      <c r="S63" s="276">
        <v>-1.9999999999999997E-2</v>
      </c>
      <c r="T63" s="276">
        <v>-9.9999999999999967E-3</v>
      </c>
      <c r="U63" s="276">
        <v>0</v>
      </c>
      <c r="V63" s="276">
        <v>0.01</v>
      </c>
      <c r="W63" s="276">
        <v>0.02</v>
      </c>
      <c r="X63" s="276">
        <v>0.03</v>
      </c>
      <c r="Y63" s="276">
        <v>0.04</v>
      </c>
      <c r="Z63" s="277">
        <v>0.05</v>
      </c>
      <c r="AB63" s="254" t="str">
        <f>O63</f>
        <v>Term</v>
      </c>
      <c r="AC63" s="276">
        <f>P63</f>
        <v>-0.05</v>
      </c>
      <c r="AD63" s="276">
        <f t="shared" ref="AD63:AM63" si="4">Q63</f>
        <v>-0.04</v>
      </c>
      <c r="AE63" s="276">
        <f t="shared" si="4"/>
        <v>-0.03</v>
      </c>
      <c r="AF63" s="276">
        <f t="shared" si="4"/>
        <v>-1.9999999999999997E-2</v>
      </c>
      <c r="AG63" s="276">
        <f t="shared" si="4"/>
        <v>-9.9999999999999967E-3</v>
      </c>
      <c r="AH63" s="276">
        <f t="shared" si="4"/>
        <v>0</v>
      </c>
      <c r="AI63" s="276">
        <f t="shared" si="4"/>
        <v>0.01</v>
      </c>
      <c r="AJ63" s="276">
        <f t="shared" si="4"/>
        <v>0.02</v>
      </c>
      <c r="AK63" s="276">
        <f t="shared" si="4"/>
        <v>0.03</v>
      </c>
      <c r="AL63" s="276">
        <f t="shared" si="4"/>
        <v>0.04</v>
      </c>
      <c r="AM63" s="277">
        <f t="shared" si="4"/>
        <v>0.05</v>
      </c>
    </row>
    <row r="64" spans="2:39">
      <c r="B64" s="282" t="str">
        <f>'USD Swap PVs'!AG4</f>
        <v>4Y</v>
      </c>
      <c r="C64" s="278">
        <f ca="1">'USD Swap PVs'!AH4</f>
        <v>195562.52171450312</v>
      </c>
      <c r="D64" s="278">
        <f ca="1">'USD Swap PVs'!AI4</f>
        <v>156450.0173716025</v>
      </c>
      <c r="E64" s="278">
        <f ca="1">'USD Swap PVs'!AJ4</f>
        <v>117337.51302870188</v>
      </c>
      <c r="F64" s="278">
        <f ca="1">'USD Swap PVs'!AK4</f>
        <v>78225.008685801251</v>
      </c>
      <c r="G64" s="278">
        <f ca="1">'USD Swap PVs'!AL4</f>
        <v>39112.50434290064</v>
      </c>
      <c r="H64" s="278">
        <f ca="1">'USD Swap PVs'!AM4</f>
        <v>4.163336342344337E-11</v>
      </c>
      <c r="I64" s="278">
        <f ca="1">'USD Swap PVs'!AN4</f>
        <v>-39112.504342900575</v>
      </c>
      <c r="J64" s="278">
        <f ca="1">'USD Swap PVs'!AO4</f>
        <v>-78225.008685801164</v>
      </c>
      <c r="K64" s="278">
        <f ca="1">'USD Swap PVs'!AP4</f>
        <v>-117337.51302870178</v>
      </c>
      <c r="L64" s="278">
        <f ca="1">'USD Swap PVs'!AQ4</f>
        <v>-156450.01737160241</v>
      </c>
      <c r="M64" s="279">
        <f ca="1">'USD Swap PVs'!AR4</f>
        <v>-195562.521714503</v>
      </c>
      <c r="O64" s="282" t="s">
        <v>35</v>
      </c>
      <c r="P64" s="278">
        <v>195562.52171450312</v>
      </c>
      <c r="Q64" s="278">
        <v>156450.0173716025</v>
      </c>
      <c r="R64" s="278">
        <v>117337.51302870188</v>
      </c>
      <c r="S64" s="278">
        <v>78225.008685801251</v>
      </c>
      <c r="T64" s="278">
        <v>39112.50434290064</v>
      </c>
      <c r="U64" s="278">
        <v>4.163336342344337E-11</v>
      </c>
      <c r="V64" s="278">
        <v>-39112.504342900575</v>
      </c>
      <c r="W64" s="278">
        <v>-78225.008685801164</v>
      </c>
      <c r="X64" s="278">
        <v>-117337.51302870178</v>
      </c>
      <c r="Y64" s="278">
        <v>-156450.01737160241</v>
      </c>
      <c r="Z64" s="279">
        <v>-195562.521714503</v>
      </c>
      <c r="AB64" s="282" t="str">
        <f t="shared" ref="AB64:AB82" si="5">O64</f>
        <v>4Y</v>
      </c>
      <c r="AC64" s="278">
        <f ca="1">IF(ABS(P64-C64)&gt;SnapshotTolerance,1,0)</f>
        <v>0</v>
      </c>
      <c r="AD64" s="278">
        <f ca="1">IF(ABS(Q64-D64)&gt;SnapshotTolerance,1,0)</f>
        <v>0</v>
      </c>
      <c r="AE64" s="278">
        <f ca="1">IF(ABS(R64-E64)&gt;SnapshotTolerance,1,0)</f>
        <v>0</v>
      </c>
      <c r="AF64" s="278">
        <f ca="1">IF(ABS(S64-F64)&gt;SnapshotTolerance,1,0)</f>
        <v>0</v>
      </c>
      <c r="AG64" s="278">
        <f ca="1">IF(ABS(T64-G64)&gt;SnapshotTolerance,1,0)</f>
        <v>0</v>
      </c>
      <c r="AH64" s="278">
        <f ca="1">IF(ABS(U64-H64)&gt;SnapshotTolerance,1,0)</f>
        <v>0</v>
      </c>
      <c r="AI64" s="278">
        <f ca="1">IF(ABS(V64-I64)&gt;SnapshotTolerance,1,0)</f>
        <v>0</v>
      </c>
      <c r="AJ64" s="278">
        <f ca="1">IF(ABS(W64-J64)&gt;SnapshotTolerance,1,0)</f>
        <v>0</v>
      </c>
      <c r="AK64" s="278">
        <f ca="1">IF(ABS(X64-K64)&gt;SnapshotTolerance,1,0)</f>
        <v>0</v>
      </c>
      <c r="AL64" s="278">
        <f ca="1">IF(ABS(Y64-L64)&gt;SnapshotTolerance,1,0)</f>
        <v>0</v>
      </c>
      <c r="AM64" s="279">
        <f ca="1">IF(ABS(Z64-M64)&gt;SnapshotTolerance,1,0)</f>
        <v>0</v>
      </c>
    </row>
    <row r="65" spans="2:39">
      <c r="B65" s="282" t="str">
        <f>'USD Swap PVs'!AG5</f>
        <v>5Y</v>
      </c>
      <c r="C65" s="278">
        <f ca="1">'USD Swap PVs'!AH5</f>
        <v>241983.52432274862</v>
      </c>
      <c r="D65" s="278">
        <f ca="1">'USD Swap PVs'!AI5</f>
        <v>193586.81945819888</v>
      </c>
      <c r="E65" s="278">
        <f ca="1">'USD Swap PVs'!AJ5</f>
        <v>145190.11459364914</v>
      </c>
      <c r="F65" s="278">
        <f ca="1">'USD Swap PVs'!AK5</f>
        <v>96793.409729099381</v>
      </c>
      <c r="G65" s="278">
        <f ca="1">'USD Swap PVs'!AL5</f>
        <v>48396.704864549625</v>
      </c>
      <c r="H65" s="278">
        <f ca="1">'USD Swap PVs'!AM5</f>
        <v>-1.1102230246251565E-10</v>
      </c>
      <c r="I65" s="278">
        <f ca="1">'USD Swap PVs'!AN5</f>
        <v>-48396.704864549843</v>
      </c>
      <c r="J65" s="278">
        <f ca="1">'USD Swap PVs'!AO5</f>
        <v>-96793.4097290996</v>
      </c>
      <c r="K65" s="278">
        <f ca="1">'USD Swap PVs'!AP5</f>
        <v>-145190.1145936494</v>
      </c>
      <c r="L65" s="278">
        <f ca="1">'USD Swap PVs'!AQ5</f>
        <v>-193586.81945819905</v>
      </c>
      <c r="M65" s="279">
        <f ca="1">'USD Swap PVs'!AR5</f>
        <v>-241983.52432274888</v>
      </c>
      <c r="O65" s="282" t="s">
        <v>33</v>
      </c>
      <c r="P65" s="278">
        <v>241983.52432274862</v>
      </c>
      <c r="Q65" s="278">
        <v>193586.81945819888</v>
      </c>
      <c r="R65" s="278">
        <v>145190.11459364914</v>
      </c>
      <c r="S65" s="278">
        <v>96793.409729099381</v>
      </c>
      <c r="T65" s="278">
        <v>48396.704864549625</v>
      </c>
      <c r="U65" s="278">
        <v>-1.1102230246251565E-10</v>
      </c>
      <c r="V65" s="278">
        <v>-48396.704864549843</v>
      </c>
      <c r="W65" s="278">
        <v>-96793.4097290996</v>
      </c>
      <c r="X65" s="278">
        <v>-145190.1145936494</v>
      </c>
      <c r="Y65" s="278">
        <v>-193586.81945819905</v>
      </c>
      <c r="Z65" s="279">
        <v>-241983.52432274888</v>
      </c>
      <c r="AB65" s="282" t="str">
        <f t="shared" si="5"/>
        <v>5Y</v>
      </c>
      <c r="AC65" s="278">
        <f ca="1">IF(ABS(P65-C65)&gt;SnapshotTolerance,1,0)</f>
        <v>0</v>
      </c>
      <c r="AD65" s="278">
        <f ca="1">IF(ABS(Q65-D65)&gt;SnapshotTolerance,1,0)</f>
        <v>0</v>
      </c>
      <c r="AE65" s="278">
        <f ca="1">IF(ABS(R65-E65)&gt;SnapshotTolerance,1,0)</f>
        <v>0</v>
      </c>
      <c r="AF65" s="278">
        <f ca="1">IF(ABS(S65-F65)&gt;SnapshotTolerance,1,0)</f>
        <v>0</v>
      </c>
      <c r="AG65" s="278">
        <f ca="1">IF(ABS(T65-G65)&gt;SnapshotTolerance,1,0)</f>
        <v>0</v>
      </c>
      <c r="AH65" s="278">
        <f ca="1">IF(ABS(U65-H65)&gt;SnapshotTolerance,1,0)</f>
        <v>0</v>
      </c>
      <c r="AI65" s="278">
        <f ca="1">IF(ABS(V65-I65)&gt;SnapshotTolerance,1,0)</f>
        <v>0</v>
      </c>
      <c r="AJ65" s="278">
        <f ca="1">IF(ABS(W65-J65)&gt;SnapshotTolerance,1,0)</f>
        <v>0</v>
      </c>
      <c r="AK65" s="278">
        <f ca="1">IF(ABS(X65-K65)&gt;SnapshotTolerance,1,0)</f>
        <v>0</v>
      </c>
      <c r="AL65" s="278">
        <f ca="1">IF(ABS(Y65-L65)&gt;SnapshotTolerance,1,0)</f>
        <v>0</v>
      </c>
      <c r="AM65" s="279">
        <f ca="1">IF(ABS(Z65-M65)&gt;SnapshotTolerance,1,0)</f>
        <v>0</v>
      </c>
    </row>
    <row r="66" spans="2:39">
      <c r="B66" s="282" t="str">
        <f>'USD Swap PVs'!AG6</f>
        <v>6Y</v>
      </c>
      <c r="C66" s="278">
        <f ca="1">'USD Swap PVs'!AH6</f>
        <v>287114.08530508803</v>
      </c>
      <c r="D66" s="278">
        <f ca="1">'USD Swap PVs'!AI6</f>
        <v>229691.26824407041</v>
      </c>
      <c r="E66" s="278">
        <f ca="1">'USD Swap PVs'!AJ6</f>
        <v>172268.45118305276</v>
      </c>
      <c r="F66" s="278">
        <f ca="1">'USD Swap PVs'!AK6</f>
        <v>114845.6341220351</v>
      </c>
      <c r="G66" s="278">
        <f ca="1">'USD Swap PVs'!AL6</f>
        <v>57422.817061017464</v>
      </c>
      <c r="H66" s="278">
        <f ca="1">'USD Swap PVs'!AM6</f>
        <v>-1.5265566588595902E-10</v>
      </c>
      <c r="I66" s="278">
        <f ca="1">'USD Swap PVs'!AN6</f>
        <v>-57422.817061017806</v>
      </c>
      <c r="J66" s="278">
        <f ca="1">'USD Swap PVs'!AO6</f>
        <v>-114845.63412203545</v>
      </c>
      <c r="K66" s="278">
        <f ca="1">'USD Swap PVs'!AP6</f>
        <v>-172268.45118305305</v>
      </c>
      <c r="L66" s="278">
        <f ca="1">'USD Swap PVs'!AQ6</f>
        <v>-229691.2682440707</v>
      </c>
      <c r="M66" s="279">
        <f ca="1">'USD Swap PVs'!AR6</f>
        <v>-287114.08530508837</v>
      </c>
      <c r="O66" s="282" t="s">
        <v>131</v>
      </c>
      <c r="P66" s="278">
        <v>287114.08530508803</v>
      </c>
      <c r="Q66" s="278">
        <v>229691.26824407041</v>
      </c>
      <c r="R66" s="278">
        <v>172268.45118305276</v>
      </c>
      <c r="S66" s="278">
        <v>114845.6341220351</v>
      </c>
      <c r="T66" s="278">
        <v>57422.817061017464</v>
      </c>
      <c r="U66" s="278">
        <v>-1.5265566588595902E-10</v>
      </c>
      <c r="V66" s="278">
        <v>-57422.817061017806</v>
      </c>
      <c r="W66" s="278">
        <v>-114845.63412203545</v>
      </c>
      <c r="X66" s="278">
        <v>-172268.45118305305</v>
      </c>
      <c r="Y66" s="278">
        <v>-229691.2682440707</v>
      </c>
      <c r="Z66" s="279">
        <v>-287114.08530508837</v>
      </c>
      <c r="AB66" s="282" t="str">
        <f t="shared" si="5"/>
        <v>6Y</v>
      </c>
      <c r="AC66" s="278">
        <f ca="1">IF(ABS(P66-C66)&gt;SnapshotTolerance,1,0)</f>
        <v>0</v>
      </c>
      <c r="AD66" s="278">
        <f ca="1">IF(ABS(Q66-D66)&gt;SnapshotTolerance,1,0)</f>
        <v>0</v>
      </c>
      <c r="AE66" s="278">
        <f ca="1">IF(ABS(R66-E66)&gt;SnapshotTolerance,1,0)</f>
        <v>0</v>
      </c>
      <c r="AF66" s="278">
        <f ca="1">IF(ABS(S66-F66)&gt;SnapshotTolerance,1,0)</f>
        <v>0</v>
      </c>
      <c r="AG66" s="278">
        <f ca="1">IF(ABS(T66-G66)&gt;SnapshotTolerance,1,0)</f>
        <v>0</v>
      </c>
      <c r="AH66" s="278">
        <f ca="1">IF(ABS(U66-H66)&gt;SnapshotTolerance,1,0)</f>
        <v>0</v>
      </c>
      <c r="AI66" s="278">
        <f ca="1">IF(ABS(V66-I66)&gt;SnapshotTolerance,1,0)</f>
        <v>0</v>
      </c>
      <c r="AJ66" s="278">
        <f ca="1">IF(ABS(W66-J66)&gt;SnapshotTolerance,1,0)</f>
        <v>0</v>
      </c>
      <c r="AK66" s="278">
        <f ca="1">IF(ABS(X66-K66)&gt;SnapshotTolerance,1,0)</f>
        <v>0</v>
      </c>
      <c r="AL66" s="278">
        <f ca="1">IF(ABS(Y66-L66)&gt;SnapshotTolerance,1,0)</f>
        <v>0</v>
      </c>
      <c r="AM66" s="279">
        <f ca="1">IF(ABS(Z66-M66)&gt;SnapshotTolerance,1,0)</f>
        <v>0</v>
      </c>
    </row>
    <row r="67" spans="2:39">
      <c r="B67" s="282" t="str">
        <f>'USD Swap PVs'!AG7</f>
        <v>7Y</v>
      </c>
      <c r="C67" s="278">
        <f ca="1">'USD Swap PVs'!AH7</f>
        <v>330911.35818384023</v>
      </c>
      <c r="D67" s="278">
        <f ca="1">'USD Swap PVs'!AI7</f>
        <v>264729.08654707216</v>
      </c>
      <c r="E67" s="278">
        <f ca="1">'USD Swap PVs'!AJ7</f>
        <v>198546.81491030406</v>
      </c>
      <c r="F67" s="278">
        <f ca="1">'USD Swap PVs'!AK7</f>
        <v>132364.54327353596</v>
      </c>
      <c r="G67" s="278">
        <f ca="1">'USD Swap PVs'!AL7</f>
        <v>66182.27163676791</v>
      </c>
      <c r="H67" s="278">
        <f ca="1">'USD Swap PVs'!AM7</f>
        <v>-1.3877787807814457E-10</v>
      </c>
      <c r="I67" s="278">
        <f ca="1">'USD Swap PVs'!AN7</f>
        <v>-66182.271636768215</v>
      </c>
      <c r="J67" s="278">
        <f ca="1">'USD Swap PVs'!AO7</f>
        <v>-132364.54327353631</v>
      </c>
      <c r="K67" s="278">
        <f ca="1">'USD Swap PVs'!AP7</f>
        <v>-198546.81491030441</v>
      </c>
      <c r="L67" s="278">
        <f ca="1">'USD Swap PVs'!AQ7</f>
        <v>-264729.08654707245</v>
      </c>
      <c r="M67" s="279">
        <f ca="1">'USD Swap PVs'!AR7</f>
        <v>-330911.35818384052</v>
      </c>
      <c r="O67" s="282" t="s">
        <v>31</v>
      </c>
      <c r="P67" s="278">
        <v>330911.35818384023</v>
      </c>
      <c r="Q67" s="278">
        <v>264729.08654707216</v>
      </c>
      <c r="R67" s="278">
        <v>198546.81491030406</v>
      </c>
      <c r="S67" s="278">
        <v>132364.54327353596</v>
      </c>
      <c r="T67" s="278">
        <v>66182.27163676791</v>
      </c>
      <c r="U67" s="278">
        <v>-1.3877787807814457E-10</v>
      </c>
      <c r="V67" s="278">
        <v>-66182.271636768215</v>
      </c>
      <c r="W67" s="278">
        <v>-132364.54327353631</v>
      </c>
      <c r="X67" s="278">
        <v>-198546.81491030441</v>
      </c>
      <c r="Y67" s="278">
        <v>-264729.08654707245</v>
      </c>
      <c r="Z67" s="279">
        <v>-330911.35818384052</v>
      </c>
      <c r="AB67" s="282" t="str">
        <f t="shared" si="5"/>
        <v>7Y</v>
      </c>
      <c r="AC67" s="278">
        <f ca="1">IF(ABS(P67-C67)&gt;SnapshotTolerance,1,0)</f>
        <v>0</v>
      </c>
      <c r="AD67" s="278">
        <f ca="1">IF(ABS(Q67-D67)&gt;SnapshotTolerance,1,0)</f>
        <v>0</v>
      </c>
      <c r="AE67" s="278">
        <f ca="1">IF(ABS(R67-E67)&gt;SnapshotTolerance,1,0)</f>
        <v>0</v>
      </c>
      <c r="AF67" s="278">
        <f ca="1">IF(ABS(S67-F67)&gt;SnapshotTolerance,1,0)</f>
        <v>0</v>
      </c>
      <c r="AG67" s="278">
        <f ca="1">IF(ABS(T67-G67)&gt;SnapshotTolerance,1,0)</f>
        <v>0</v>
      </c>
      <c r="AH67" s="278">
        <f ca="1">IF(ABS(U67-H67)&gt;SnapshotTolerance,1,0)</f>
        <v>0</v>
      </c>
      <c r="AI67" s="278">
        <f ca="1">IF(ABS(V67-I67)&gt;SnapshotTolerance,1,0)</f>
        <v>0</v>
      </c>
      <c r="AJ67" s="278">
        <f ca="1">IF(ABS(W67-J67)&gt;SnapshotTolerance,1,0)</f>
        <v>0</v>
      </c>
      <c r="AK67" s="278">
        <f ca="1">IF(ABS(X67-K67)&gt;SnapshotTolerance,1,0)</f>
        <v>0</v>
      </c>
      <c r="AL67" s="278">
        <f ca="1">IF(ABS(Y67-L67)&gt;SnapshotTolerance,1,0)</f>
        <v>0</v>
      </c>
      <c r="AM67" s="279">
        <f ca="1">IF(ABS(Z67-M67)&gt;SnapshotTolerance,1,0)</f>
        <v>0</v>
      </c>
    </row>
    <row r="68" spans="2:39">
      <c r="B68" s="282" t="str">
        <f>'USD Swap PVs'!AG8</f>
        <v>8Y</v>
      </c>
      <c r="C68" s="278">
        <f ca="1">'USD Swap PVs'!AH8</f>
        <v>373597.61650791427</v>
      </c>
      <c r="D68" s="278">
        <f ca="1">'USD Swap PVs'!AI8</f>
        <v>298878.09320633142</v>
      </c>
      <c r="E68" s="278">
        <f ca="1">'USD Swap PVs'!AJ8</f>
        <v>224158.5699047485</v>
      </c>
      <c r="F68" s="278">
        <f ca="1">'USD Swap PVs'!AK8</f>
        <v>149439.0466031656</v>
      </c>
      <c r="G68" s="278">
        <f ca="1">'USD Swap PVs'!AL8</f>
        <v>74719.523301582725</v>
      </c>
      <c r="H68" s="278">
        <f ca="1">'USD Swap PVs'!AM8</f>
        <v>-1.3877787807814457E-10</v>
      </c>
      <c r="I68" s="278">
        <f ca="1">'USD Swap PVs'!AN8</f>
        <v>-74719.523301583016</v>
      </c>
      <c r="J68" s="278">
        <f ca="1">'USD Swap PVs'!AO8</f>
        <v>-149439.04660316592</v>
      </c>
      <c r="K68" s="278">
        <f ca="1">'USD Swap PVs'!AP8</f>
        <v>-224158.56990474882</v>
      </c>
      <c r="L68" s="278">
        <f ca="1">'USD Swap PVs'!AQ8</f>
        <v>-298878.09320633166</v>
      </c>
      <c r="M68" s="279">
        <f ca="1">'USD Swap PVs'!AR8</f>
        <v>-373597.61650791462</v>
      </c>
      <c r="O68" s="282" t="s">
        <v>119</v>
      </c>
      <c r="P68" s="278">
        <v>373597.61650791427</v>
      </c>
      <c r="Q68" s="278">
        <v>298878.09320633142</v>
      </c>
      <c r="R68" s="278">
        <v>224158.5699047485</v>
      </c>
      <c r="S68" s="278">
        <v>149439.0466031656</v>
      </c>
      <c r="T68" s="278">
        <v>74719.523301582725</v>
      </c>
      <c r="U68" s="278">
        <v>-1.3877787807814457E-10</v>
      </c>
      <c r="V68" s="278">
        <v>-74719.523301583016</v>
      </c>
      <c r="W68" s="278">
        <v>-149439.04660316592</v>
      </c>
      <c r="X68" s="278">
        <v>-224158.56990474882</v>
      </c>
      <c r="Y68" s="278">
        <v>-298878.09320633166</v>
      </c>
      <c r="Z68" s="279">
        <v>-373597.61650791462</v>
      </c>
      <c r="AB68" s="282" t="str">
        <f t="shared" si="5"/>
        <v>8Y</v>
      </c>
      <c r="AC68" s="278">
        <f ca="1">IF(ABS(P68-C68)&gt;SnapshotTolerance,1,0)</f>
        <v>0</v>
      </c>
      <c r="AD68" s="278">
        <f ca="1">IF(ABS(Q68-D68)&gt;SnapshotTolerance,1,0)</f>
        <v>0</v>
      </c>
      <c r="AE68" s="278">
        <f ca="1">IF(ABS(R68-E68)&gt;SnapshotTolerance,1,0)</f>
        <v>0</v>
      </c>
      <c r="AF68" s="278">
        <f ca="1">IF(ABS(S68-F68)&gt;SnapshotTolerance,1,0)</f>
        <v>0</v>
      </c>
      <c r="AG68" s="278">
        <f ca="1">IF(ABS(T68-G68)&gt;SnapshotTolerance,1,0)</f>
        <v>0</v>
      </c>
      <c r="AH68" s="278">
        <f ca="1">IF(ABS(U68-H68)&gt;SnapshotTolerance,1,0)</f>
        <v>0</v>
      </c>
      <c r="AI68" s="278">
        <f ca="1">IF(ABS(V68-I68)&gt;SnapshotTolerance,1,0)</f>
        <v>0</v>
      </c>
      <c r="AJ68" s="278">
        <f ca="1">IF(ABS(W68-J68)&gt;SnapshotTolerance,1,0)</f>
        <v>0</v>
      </c>
      <c r="AK68" s="278">
        <f ca="1">IF(ABS(X68-K68)&gt;SnapshotTolerance,1,0)</f>
        <v>0</v>
      </c>
      <c r="AL68" s="278">
        <f ca="1">IF(ABS(Y68-L68)&gt;SnapshotTolerance,1,0)</f>
        <v>0</v>
      </c>
      <c r="AM68" s="279">
        <f ca="1">IF(ABS(Z68-M68)&gt;SnapshotTolerance,1,0)</f>
        <v>0</v>
      </c>
    </row>
    <row r="69" spans="2:39">
      <c r="B69" s="282" t="str">
        <f>'USD Swap PVs'!AG9</f>
        <v>9Y</v>
      </c>
      <c r="C69" s="278">
        <f ca="1">'USD Swap PVs'!AH9</f>
        <v>414495.955924846</v>
      </c>
      <c r="D69" s="278">
        <f ca="1">'USD Swap PVs'!AI9</f>
        <v>331596.76473987679</v>
      </c>
      <c r="E69" s="278">
        <f ca="1">'USD Swap PVs'!AJ9</f>
        <v>248697.57355490758</v>
      </c>
      <c r="F69" s="278">
        <f ca="1">'USD Swap PVs'!AK9</f>
        <v>165798.38236993836</v>
      </c>
      <c r="G69" s="278">
        <f ca="1">'USD Swap PVs'!AL9</f>
        <v>82899.191184969153</v>
      </c>
      <c r="H69" s="278">
        <f ca="1">'USD Swap PVs'!AM9</f>
        <v>-2.7755575615628914E-11</v>
      </c>
      <c r="I69" s="278">
        <f ca="1">'USD Swap PVs'!AN9</f>
        <v>-82899.191184969211</v>
      </c>
      <c r="J69" s="278">
        <f ca="1">'USD Swap PVs'!AO9</f>
        <v>-165798.38236993839</v>
      </c>
      <c r="K69" s="278">
        <f ca="1">'USD Swap PVs'!AP9</f>
        <v>-248697.57355490761</v>
      </c>
      <c r="L69" s="278">
        <f ca="1">'USD Swap PVs'!AQ9</f>
        <v>-331596.76473987685</v>
      </c>
      <c r="M69" s="279">
        <f ca="1">'USD Swap PVs'!AR9</f>
        <v>-414495.955924846</v>
      </c>
      <c r="O69" s="282" t="s">
        <v>113</v>
      </c>
      <c r="P69" s="278">
        <v>414495.955924846</v>
      </c>
      <c r="Q69" s="278">
        <v>331596.76473987679</v>
      </c>
      <c r="R69" s="278">
        <v>248697.57355490758</v>
      </c>
      <c r="S69" s="278">
        <v>165798.38236993836</v>
      </c>
      <c r="T69" s="278">
        <v>82899.191184969153</v>
      </c>
      <c r="U69" s="278">
        <v>-2.7755575615628914E-11</v>
      </c>
      <c r="V69" s="278">
        <v>-82899.191184969211</v>
      </c>
      <c r="W69" s="278">
        <v>-165798.38236993839</v>
      </c>
      <c r="X69" s="278">
        <v>-248697.57355490761</v>
      </c>
      <c r="Y69" s="278">
        <v>-331596.76473987685</v>
      </c>
      <c r="Z69" s="279">
        <v>-414495.955924846</v>
      </c>
      <c r="AB69" s="282" t="str">
        <f t="shared" si="5"/>
        <v>9Y</v>
      </c>
      <c r="AC69" s="278">
        <f ca="1">IF(ABS(P69-C69)&gt;SnapshotTolerance,1,0)</f>
        <v>0</v>
      </c>
      <c r="AD69" s="278">
        <f ca="1">IF(ABS(Q69-D69)&gt;SnapshotTolerance,1,0)</f>
        <v>0</v>
      </c>
      <c r="AE69" s="278">
        <f ca="1">IF(ABS(R69-E69)&gt;SnapshotTolerance,1,0)</f>
        <v>0</v>
      </c>
      <c r="AF69" s="278">
        <f ca="1">IF(ABS(S69-F69)&gt;SnapshotTolerance,1,0)</f>
        <v>0</v>
      </c>
      <c r="AG69" s="278">
        <f ca="1">IF(ABS(T69-G69)&gt;SnapshotTolerance,1,0)</f>
        <v>0</v>
      </c>
      <c r="AH69" s="278">
        <f ca="1">IF(ABS(U69-H69)&gt;SnapshotTolerance,1,0)</f>
        <v>0</v>
      </c>
      <c r="AI69" s="278">
        <f ca="1">IF(ABS(V69-I69)&gt;SnapshotTolerance,1,0)</f>
        <v>0</v>
      </c>
      <c r="AJ69" s="278">
        <f ca="1">IF(ABS(W69-J69)&gt;SnapshotTolerance,1,0)</f>
        <v>0</v>
      </c>
      <c r="AK69" s="278">
        <f ca="1">IF(ABS(X69-K69)&gt;SnapshotTolerance,1,0)</f>
        <v>0</v>
      </c>
      <c r="AL69" s="278">
        <f ca="1">IF(ABS(Y69-L69)&gt;SnapshotTolerance,1,0)</f>
        <v>0</v>
      </c>
      <c r="AM69" s="279">
        <f ca="1">IF(ABS(Z69-M69)&gt;SnapshotTolerance,1,0)</f>
        <v>0</v>
      </c>
    </row>
    <row r="70" spans="2:39">
      <c r="B70" s="282" t="str">
        <f>'USD Swap PVs'!AG10</f>
        <v>10Y</v>
      </c>
      <c r="C70" s="278">
        <f ca="1">'USD Swap PVs'!AH10</f>
        <v>454327.72847923223</v>
      </c>
      <c r="D70" s="278">
        <f ca="1">'USD Swap PVs'!AI10</f>
        <v>363462.18278338574</v>
      </c>
      <c r="E70" s="278">
        <f ca="1">'USD Swap PVs'!AJ10</f>
        <v>272596.6370875393</v>
      </c>
      <c r="F70" s="278">
        <f ca="1">'USD Swap PVs'!AK10</f>
        <v>181731.09139169278</v>
      </c>
      <c r="G70" s="278">
        <f ca="1">'USD Swap PVs'!AL10</f>
        <v>90865.545695846318</v>
      </c>
      <c r="H70" s="278">
        <f ca="1">'USD Swap PVs'!AM10</f>
        <v>-1.3877787807814457E-10</v>
      </c>
      <c r="I70" s="278">
        <f ca="1">'USD Swap PVs'!AN10</f>
        <v>-90865.545695846653</v>
      </c>
      <c r="J70" s="278">
        <f ca="1">'USD Swap PVs'!AO10</f>
        <v>-181731.09139169313</v>
      </c>
      <c r="K70" s="278">
        <f ca="1">'USD Swap PVs'!AP10</f>
        <v>-272596.63708753948</v>
      </c>
      <c r="L70" s="278">
        <f ca="1">'USD Swap PVs'!AQ10</f>
        <v>-363462.18278338597</v>
      </c>
      <c r="M70" s="279">
        <f ca="1">'USD Swap PVs'!AR10</f>
        <v>-454327.72847923258</v>
      </c>
      <c r="O70" s="282" t="s">
        <v>28</v>
      </c>
      <c r="P70" s="278">
        <v>454327.72847923223</v>
      </c>
      <c r="Q70" s="278">
        <v>363462.18278338574</v>
      </c>
      <c r="R70" s="278">
        <v>272596.6370875393</v>
      </c>
      <c r="S70" s="278">
        <v>181731.09139169278</v>
      </c>
      <c r="T70" s="278">
        <v>90865.545695846318</v>
      </c>
      <c r="U70" s="278">
        <v>-1.3877787807814457E-10</v>
      </c>
      <c r="V70" s="278">
        <v>-90865.545695846653</v>
      </c>
      <c r="W70" s="278">
        <v>-181731.09139169313</v>
      </c>
      <c r="X70" s="278">
        <v>-272596.63708753948</v>
      </c>
      <c r="Y70" s="278">
        <v>-363462.18278338597</v>
      </c>
      <c r="Z70" s="279">
        <v>-454327.72847923258</v>
      </c>
      <c r="AB70" s="282" t="str">
        <f t="shared" si="5"/>
        <v>10Y</v>
      </c>
      <c r="AC70" s="278">
        <f ca="1">IF(ABS(P70-C70)&gt;SnapshotTolerance,1,0)</f>
        <v>0</v>
      </c>
      <c r="AD70" s="278">
        <f ca="1">IF(ABS(Q70-D70)&gt;SnapshotTolerance,1,0)</f>
        <v>0</v>
      </c>
      <c r="AE70" s="278">
        <f ca="1">IF(ABS(R70-E70)&gt;SnapshotTolerance,1,0)</f>
        <v>0</v>
      </c>
      <c r="AF70" s="278">
        <f ca="1">IF(ABS(S70-F70)&gt;SnapshotTolerance,1,0)</f>
        <v>0</v>
      </c>
      <c r="AG70" s="278">
        <f ca="1">IF(ABS(T70-G70)&gt;SnapshotTolerance,1,0)</f>
        <v>0</v>
      </c>
      <c r="AH70" s="278">
        <f ca="1">IF(ABS(U70-H70)&gt;SnapshotTolerance,1,0)</f>
        <v>0</v>
      </c>
      <c r="AI70" s="278">
        <f ca="1">IF(ABS(V70-I70)&gt;SnapshotTolerance,1,0)</f>
        <v>0</v>
      </c>
      <c r="AJ70" s="278">
        <f ca="1">IF(ABS(W70-J70)&gt;SnapshotTolerance,1,0)</f>
        <v>0</v>
      </c>
      <c r="AK70" s="278">
        <f ca="1">IF(ABS(X70-K70)&gt;SnapshotTolerance,1,0)</f>
        <v>0</v>
      </c>
      <c r="AL70" s="278">
        <f ca="1">IF(ABS(Y70-L70)&gt;SnapshotTolerance,1,0)</f>
        <v>0</v>
      </c>
      <c r="AM70" s="279">
        <f ca="1">IF(ABS(Z70-M70)&gt;SnapshotTolerance,1,0)</f>
        <v>0</v>
      </c>
    </row>
    <row r="71" spans="2:39">
      <c r="B71" s="282" t="str">
        <f>'USD Swap PVs'!AG11</f>
        <v>11Y</v>
      </c>
      <c r="C71" s="278">
        <f ca="1">'USD Swap PVs'!AH11</f>
        <v>492896.57612352067</v>
      </c>
      <c r="D71" s="278">
        <f ca="1">'USD Swap PVs'!AI11</f>
        <v>394317.26089881646</v>
      </c>
      <c r="E71" s="278">
        <f ca="1">'USD Swap PVs'!AJ11</f>
        <v>295737.9456741123</v>
      </c>
      <c r="F71" s="278">
        <f ca="1">'USD Swap PVs'!AK11</f>
        <v>197158.63044940817</v>
      </c>
      <c r="G71" s="278">
        <f ca="1">'USD Swap PVs'!AL11</f>
        <v>98579.315224704056</v>
      </c>
      <c r="H71" s="278">
        <f ca="1">'USD Swap PVs'!AM11</f>
        <v>-5.5511151231257827E-11</v>
      </c>
      <c r="I71" s="278">
        <f ca="1">'USD Swap PVs'!AN11</f>
        <v>-98579.315224704202</v>
      </c>
      <c r="J71" s="278">
        <f ca="1">'USD Swap PVs'!AO11</f>
        <v>-197158.63044940835</v>
      </c>
      <c r="K71" s="278">
        <f ca="1">'USD Swap PVs'!AP11</f>
        <v>-295737.94567411247</v>
      </c>
      <c r="L71" s="278">
        <f ca="1">'USD Swap PVs'!AQ11</f>
        <v>-394317.26089881657</v>
      </c>
      <c r="M71" s="279">
        <f ca="1">'USD Swap PVs'!AR11</f>
        <v>-492896.57612352091</v>
      </c>
      <c r="O71" s="282" t="s">
        <v>366</v>
      </c>
      <c r="P71" s="278">
        <v>492896.57612352067</v>
      </c>
      <c r="Q71" s="278">
        <v>394317.26089881646</v>
      </c>
      <c r="R71" s="278">
        <v>295737.9456741123</v>
      </c>
      <c r="S71" s="278">
        <v>197158.63044940817</v>
      </c>
      <c r="T71" s="278">
        <v>98579.315224704056</v>
      </c>
      <c r="U71" s="278">
        <v>-5.5511151231257827E-11</v>
      </c>
      <c r="V71" s="278">
        <v>-98579.315224704202</v>
      </c>
      <c r="W71" s="278">
        <v>-197158.63044940835</v>
      </c>
      <c r="X71" s="278">
        <v>-295737.94567411247</v>
      </c>
      <c r="Y71" s="278">
        <v>-394317.26089881657</v>
      </c>
      <c r="Z71" s="279">
        <v>-492896.57612352091</v>
      </c>
      <c r="AB71" s="282" t="str">
        <f t="shared" si="5"/>
        <v>11Y</v>
      </c>
      <c r="AC71" s="278">
        <f ca="1">IF(ABS(P71-C71)&gt;SnapshotTolerance,1,0)</f>
        <v>0</v>
      </c>
      <c r="AD71" s="278">
        <f ca="1">IF(ABS(Q71-D71)&gt;SnapshotTolerance,1,0)</f>
        <v>0</v>
      </c>
      <c r="AE71" s="278">
        <f ca="1">IF(ABS(R71-E71)&gt;SnapshotTolerance,1,0)</f>
        <v>0</v>
      </c>
      <c r="AF71" s="278">
        <f ca="1">IF(ABS(S71-F71)&gt;SnapshotTolerance,1,0)</f>
        <v>0</v>
      </c>
      <c r="AG71" s="278">
        <f ca="1">IF(ABS(T71-G71)&gt;SnapshotTolerance,1,0)</f>
        <v>0</v>
      </c>
      <c r="AH71" s="278">
        <f ca="1">IF(ABS(U71-H71)&gt;SnapshotTolerance,1,0)</f>
        <v>0</v>
      </c>
      <c r="AI71" s="278">
        <f ca="1">IF(ABS(V71-I71)&gt;SnapshotTolerance,1,0)</f>
        <v>0</v>
      </c>
      <c r="AJ71" s="278">
        <f ca="1">IF(ABS(W71-J71)&gt;SnapshotTolerance,1,0)</f>
        <v>0</v>
      </c>
      <c r="AK71" s="278">
        <f ca="1">IF(ABS(X71-K71)&gt;SnapshotTolerance,1,0)</f>
        <v>0</v>
      </c>
      <c r="AL71" s="278">
        <f ca="1">IF(ABS(Y71-L71)&gt;SnapshotTolerance,1,0)</f>
        <v>0</v>
      </c>
      <c r="AM71" s="279">
        <f ca="1">IF(ABS(Z71-M71)&gt;SnapshotTolerance,1,0)</f>
        <v>0</v>
      </c>
    </row>
    <row r="72" spans="2:39">
      <c r="B72" s="282" t="str">
        <f>'USD Swap PVs'!AG12</f>
        <v>12Y</v>
      </c>
      <c r="C72" s="278">
        <f ca="1">'USD Swap PVs'!AH12</f>
        <v>530241.07095762761</v>
      </c>
      <c r="D72" s="278">
        <f ca="1">'USD Swap PVs'!AI12</f>
        <v>424192.85676610208</v>
      </c>
      <c r="E72" s="278">
        <f ca="1">'USD Swap PVs'!AJ12</f>
        <v>318144.64257457654</v>
      </c>
      <c r="F72" s="278">
        <f ca="1">'USD Swap PVs'!AK12</f>
        <v>212096.42838305092</v>
      </c>
      <c r="G72" s="278">
        <f ca="1">'USD Swap PVs'!AL12</f>
        <v>106048.21419152543</v>
      </c>
      <c r="H72" s="278">
        <f ca="1">'USD Swap PVs'!AM12</f>
        <v>-1.1102230246251565E-10</v>
      </c>
      <c r="I72" s="278">
        <f ca="1">'USD Swap PVs'!AN12</f>
        <v>-106048.21419152561</v>
      </c>
      <c r="J72" s="278">
        <f ca="1">'USD Swap PVs'!AO12</f>
        <v>-212096.42838305116</v>
      </c>
      <c r="K72" s="278">
        <f ca="1">'USD Swap PVs'!AP12</f>
        <v>-318144.64257457672</v>
      </c>
      <c r="L72" s="278">
        <f ca="1">'USD Swap PVs'!AQ12</f>
        <v>-424192.85676610225</v>
      </c>
      <c r="M72" s="279">
        <f ca="1">'USD Swap PVs'!AR12</f>
        <v>-530241.07095762773</v>
      </c>
      <c r="O72" s="282" t="s">
        <v>26</v>
      </c>
      <c r="P72" s="278">
        <v>530241.07095762761</v>
      </c>
      <c r="Q72" s="278">
        <v>424192.85676610208</v>
      </c>
      <c r="R72" s="278">
        <v>318144.64257457654</v>
      </c>
      <c r="S72" s="278">
        <v>212096.42838305092</v>
      </c>
      <c r="T72" s="278">
        <v>106048.21419152543</v>
      </c>
      <c r="U72" s="278">
        <v>-1.1102230246251565E-10</v>
      </c>
      <c r="V72" s="278">
        <v>-106048.21419152561</v>
      </c>
      <c r="W72" s="278">
        <v>-212096.42838305116</v>
      </c>
      <c r="X72" s="278">
        <v>-318144.64257457672</v>
      </c>
      <c r="Y72" s="278">
        <v>-424192.85676610225</v>
      </c>
      <c r="Z72" s="279">
        <v>-530241.07095762773</v>
      </c>
      <c r="AB72" s="282" t="str">
        <f t="shared" si="5"/>
        <v>12Y</v>
      </c>
      <c r="AC72" s="278">
        <f ca="1">IF(ABS(P72-C72)&gt;SnapshotTolerance,1,0)</f>
        <v>0</v>
      </c>
      <c r="AD72" s="278">
        <f ca="1">IF(ABS(Q72-D72)&gt;SnapshotTolerance,1,0)</f>
        <v>0</v>
      </c>
      <c r="AE72" s="278">
        <f ca="1">IF(ABS(R72-E72)&gt;SnapshotTolerance,1,0)</f>
        <v>0</v>
      </c>
      <c r="AF72" s="278">
        <f ca="1">IF(ABS(S72-F72)&gt;SnapshotTolerance,1,0)</f>
        <v>0</v>
      </c>
      <c r="AG72" s="278">
        <f ca="1">IF(ABS(T72-G72)&gt;SnapshotTolerance,1,0)</f>
        <v>0</v>
      </c>
      <c r="AH72" s="278">
        <f ca="1">IF(ABS(U72-H72)&gt;SnapshotTolerance,1,0)</f>
        <v>0</v>
      </c>
      <c r="AI72" s="278">
        <f ca="1">IF(ABS(V72-I72)&gt;SnapshotTolerance,1,0)</f>
        <v>0</v>
      </c>
      <c r="AJ72" s="278">
        <f ca="1">IF(ABS(W72-J72)&gt;SnapshotTolerance,1,0)</f>
        <v>0</v>
      </c>
      <c r="AK72" s="278">
        <f ca="1">IF(ABS(X72-K72)&gt;SnapshotTolerance,1,0)</f>
        <v>0</v>
      </c>
      <c r="AL72" s="278">
        <f ca="1">IF(ABS(Y72-L72)&gt;SnapshotTolerance,1,0)</f>
        <v>0</v>
      </c>
      <c r="AM72" s="279">
        <f ca="1">IF(ABS(Z72-M72)&gt;SnapshotTolerance,1,0)</f>
        <v>0</v>
      </c>
    </row>
    <row r="73" spans="2:39">
      <c r="B73" s="282" t="str">
        <f>'USD Swap PVs'!AG13</f>
        <v>15Y</v>
      </c>
      <c r="C73" s="278">
        <f ca="1">'USD Swap PVs'!AH13</f>
        <v>635336.21014256659</v>
      </c>
      <c r="D73" s="278">
        <f ca="1">'USD Swap PVs'!AI13</f>
        <v>508268.96811405331</v>
      </c>
      <c r="E73" s="278">
        <f ca="1">'USD Swap PVs'!AJ13</f>
        <v>381201.72608553991</v>
      </c>
      <c r="F73" s="278">
        <f ca="1">'USD Swap PVs'!AK13</f>
        <v>254134.48405702654</v>
      </c>
      <c r="G73" s="278">
        <f ca="1">'USD Swap PVs'!AL13</f>
        <v>127067.24202851324</v>
      </c>
      <c r="H73" s="278">
        <f ca="1">'USD Swap PVs'!AM13</f>
        <v>-5.5511151231257827E-11</v>
      </c>
      <c r="I73" s="278">
        <f ca="1">'USD Swap PVs'!AN13</f>
        <v>-127067.24202851338</v>
      </c>
      <c r="J73" s="278">
        <f ca="1">'USD Swap PVs'!AO13</f>
        <v>-254134.48405702671</v>
      </c>
      <c r="K73" s="278">
        <f ca="1">'USD Swap PVs'!AP13</f>
        <v>-381201.72608554008</v>
      </c>
      <c r="L73" s="278">
        <f ca="1">'USD Swap PVs'!AQ13</f>
        <v>-508268.96811405331</v>
      </c>
      <c r="M73" s="279">
        <f ca="1">'USD Swap PVs'!AR13</f>
        <v>-635336.21014256682</v>
      </c>
      <c r="O73" s="282" t="s">
        <v>24</v>
      </c>
      <c r="P73" s="278">
        <v>635336.21014256659</v>
      </c>
      <c r="Q73" s="278">
        <v>508268.96811405331</v>
      </c>
      <c r="R73" s="278">
        <v>381201.72608553991</v>
      </c>
      <c r="S73" s="278">
        <v>254134.48405702654</v>
      </c>
      <c r="T73" s="278">
        <v>127067.24202851324</v>
      </c>
      <c r="U73" s="278">
        <v>-5.5511151231257827E-11</v>
      </c>
      <c r="V73" s="278">
        <v>-127067.24202851338</v>
      </c>
      <c r="W73" s="278">
        <v>-254134.48405702671</v>
      </c>
      <c r="X73" s="278">
        <v>-381201.72608554008</v>
      </c>
      <c r="Y73" s="278">
        <v>-508268.96811405331</v>
      </c>
      <c r="Z73" s="279">
        <v>-635336.21014256682</v>
      </c>
      <c r="AB73" s="282" t="str">
        <f t="shared" si="5"/>
        <v>15Y</v>
      </c>
      <c r="AC73" s="278">
        <f ca="1">IF(ABS(P73-C73)&gt;SnapshotTolerance,1,0)</f>
        <v>0</v>
      </c>
      <c r="AD73" s="278">
        <f ca="1">IF(ABS(Q73-D73)&gt;SnapshotTolerance,1,0)</f>
        <v>0</v>
      </c>
      <c r="AE73" s="278">
        <f ca="1">IF(ABS(R73-E73)&gt;SnapshotTolerance,1,0)</f>
        <v>0</v>
      </c>
      <c r="AF73" s="278">
        <f ca="1">IF(ABS(S73-F73)&gt;SnapshotTolerance,1,0)</f>
        <v>0</v>
      </c>
      <c r="AG73" s="278">
        <f ca="1">IF(ABS(T73-G73)&gt;SnapshotTolerance,1,0)</f>
        <v>0</v>
      </c>
      <c r="AH73" s="278">
        <f ca="1">IF(ABS(U73-H73)&gt;SnapshotTolerance,1,0)</f>
        <v>0</v>
      </c>
      <c r="AI73" s="278">
        <f ca="1">IF(ABS(V73-I73)&gt;SnapshotTolerance,1,0)</f>
        <v>0</v>
      </c>
      <c r="AJ73" s="278">
        <f ca="1">IF(ABS(W73-J73)&gt;SnapshotTolerance,1,0)</f>
        <v>0</v>
      </c>
      <c r="AK73" s="278">
        <f ca="1">IF(ABS(X73-K73)&gt;SnapshotTolerance,1,0)</f>
        <v>0</v>
      </c>
      <c r="AL73" s="278">
        <f ca="1">IF(ABS(Y73-L73)&gt;SnapshotTolerance,1,0)</f>
        <v>0</v>
      </c>
      <c r="AM73" s="279">
        <f ca="1">IF(ABS(Z73-M73)&gt;SnapshotTolerance,1,0)</f>
        <v>0</v>
      </c>
    </row>
    <row r="74" spans="2:39">
      <c r="B74" s="282" t="str">
        <f>'USD Swap PVs'!AG14</f>
        <v>20Y</v>
      </c>
      <c r="C74" s="278">
        <f ca="1">'USD Swap PVs'!AH14</f>
        <v>789748.5521188787</v>
      </c>
      <c r="D74" s="278">
        <f ca="1">'USD Swap PVs'!AI14</f>
        <v>631798.84169510298</v>
      </c>
      <c r="E74" s="278">
        <f ca="1">'USD Swap PVs'!AJ14</f>
        <v>473849.13127132721</v>
      </c>
      <c r="F74" s="278">
        <f ca="1">'USD Swap PVs'!AK14</f>
        <v>315899.42084755143</v>
      </c>
      <c r="G74" s="278">
        <f ca="1">'USD Swap PVs'!AL14</f>
        <v>157949.71042377566</v>
      </c>
      <c r="H74" s="278">
        <f ca="1">'USD Swap PVs'!AM14</f>
        <v>0</v>
      </c>
      <c r="I74" s="278">
        <f ca="1">'USD Swap PVs'!AN14</f>
        <v>-157949.71042377574</v>
      </c>
      <c r="J74" s="278">
        <f ca="1">'USD Swap PVs'!AO14</f>
        <v>-315899.42084755143</v>
      </c>
      <c r="K74" s="278">
        <f ca="1">'USD Swap PVs'!AP14</f>
        <v>-473849.13127132726</v>
      </c>
      <c r="L74" s="278">
        <f ca="1">'USD Swap PVs'!AQ14</f>
        <v>-631798.84169510298</v>
      </c>
      <c r="M74" s="279">
        <f ca="1">'USD Swap PVs'!AR14</f>
        <v>-789748.55211887893</v>
      </c>
      <c r="O74" s="282" t="s">
        <v>20</v>
      </c>
      <c r="P74" s="278">
        <v>789748.5521188787</v>
      </c>
      <c r="Q74" s="278">
        <v>631798.84169510298</v>
      </c>
      <c r="R74" s="278">
        <v>473849.13127132721</v>
      </c>
      <c r="S74" s="278">
        <v>315899.42084755143</v>
      </c>
      <c r="T74" s="278">
        <v>157949.71042377566</v>
      </c>
      <c r="U74" s="278">
        <v>0</v>
      </c>
      <c r="V74" s="278">
        <v>-157949.71042377574</v>
      </c>
      <c r="W74" s="278">
        <v>-315899.42084755143</v>
      </c>
      <c r="X74" s="278">
        <v>-473849.13127132726</v>
      </c>
      <c r="Y74" s="278">
        <v>-631798.84169510298</v>
      </c>
      <c r="Z74" s="279">
        <v>-789748.55211887893</v>
      </c>
      <c r="AB74" s="282" t="str">
        <f t="shared" si="5"/>
        <v>20Y</v>
      </c>
      <c r="AC74" s="278">
        <f ca="1">IF(ABS(P74-C74)&gt;SnapshotTolerance,1,0)</f>
        <v>0</v>
      </c>
      <c r="AD74" s="278">
        <f ca="1">IF(ABS(Q74-D74)&gt;SnapshotTolerance,1,0)</f>
        <v>0</v>
      </c>
      <c r="AE74" s="278">
        <f ca="1">IF(ABS(R74-E74)&gt;SnapshotTolerance,1,0)</f>
        <v>0</v>
      </c>
      <c r="AF74" s="278">
        <f ca="1">IF(ABS(S74-F74)&gt;SnapshotTolerance,1,0)</f>
        <v>0</v>
      </c>
      <c r="AG74" s="278">
        <f ca="1">IF(ABS(T74-G74)&gt;SnapshotTolerance,1,0)</f>
        <v>0</v>
      </c>
      <c r="AH74" s="278">
        <f ca="1">IF(ABS(U74-H74)&gt;SnapshotTolerance,1,0)</f>
        <v>0</v>
      </c>
      <c r="AI74" s="278">
        <f ca="1">IF(ABS(V74-I74)&gt;SnapshotTolerance,1,0)</f>
        <v>0</v>
      </c>
      <c r="AJ74" s="278">
        <f ca="1">IF(ABS(W74-J74)&gt;SnapshotTolerance,1,0)</f>
        <v>0</v>
      </c>
      <c r="AK74" s="278">
        <f ca="1">IF(ABS(X74-K74)&gt;SnapshotTolerance,1,0)</f>
        <v>0</v>
      </c>
      <c r="AL74" s="278">
        <f ca="1">IF(ABS(Y74-L74)&gt;SnapshotTolerance,1,0)</f>
        <v>0</v>
      </c>
      <c r="AM74" s="279">
        <f ca="1">IF(ABS(Z74-M74)&gt;SnapshotTolerance,1,0)</f>
        <v>0</v>
      </c>
    </row>
    <row r="75" spans="2:39">
      <c r="B75" s="282" t="str">
        <f>'USD Swap PVs'!AG15</f>
        <v>25Y</v>
      </c>
      <c r="C75" s="278">
        <f ca="1">'USD Swap PVs'!AH15</f>
        <v>921873.9851728396</v>
      </c>
      <c r="D75" s="278">
        <f ca="1">'USD Swap PVs'!AI15</f>
        <v>737499.18813827157</v>
      </c>
      <c r="E75" s="278">
        <f ca="1">'USD Swap PVs'!AJ15</f>
        <v>553124.39110370353</v>
      </c>
      <c r="F75" s="278">
        <f ca="1">'USD Swap PVs'!AK15</f>
        <v>368749.59406913543</v>
      </c>
      <c r="G75" s="278">
        <f ca="1">'USD Swap PVs'!AL15</f>
        <v>184374.7970345674</v>
      </c>
      <c r="H75" s="278">
        <f ca="1">'USD Swap PVs'!AM15</f>
        <v>-5.5511151231257827E-10</v>
      </c>
      <c r="I75" s="278">
        <f ca="1">'USD Swap PVs'!AN15</f>
        <v>-184374.79703456862</v>
      </c>
      <c r="J75" s="278">
        <f ca="1">'USD Swap PVs'!AO15</f>
        <v>-368749.59406913654</v>
      </c>
      <c r="K75" s="278">
        <f ca="1">'USD Swap PVs'!AP15</f>
        <v>-553124.39110370469</v>
      </c>
      <c r="L75" s="278">
        <f ca="1">'USD Swap PVs'!AQ15</f>
        <v>-737499.18813827261</v>
      </c>
      <c r="M75" s="279">
        <f ca="1">'USD Swap PVs'!AR15</f>
        <v>-921873.98517284077</v>
      </c>
      <c r="O75" s="282" t="s">
        <v>18</v>
      </c>
      <c r="P75" s="278">
        <v>921873.9851728396</v>
      </c>
      <c r="Q75" s="278">
        <v>737499.18813827157</v>
      </c>
      <c r="R75" s="278">
        <v>553124.39110370353</v>
      </c>
      <c r="S75" s="278">
        <v>368749.59406913543</v>
      </c>
      <c r="T75" s="278">
        <v>184374.7970345674</v>
      </c>
      <c r="U75" s="278">
        <v>-5.5511151231257827E-10</v>
      </c>
      <c r="V75" s="278">
        <v>-184374.79703456862</v>
      </c>
      <c r="W75" s="278">
        <v>-368749.59406913654</v>
      </c>
      <c r="X75" s="278">
        <v>-553124.39110370469</v>
      </c>
      <c r="Y75" s="278">
        <v>-737499.18813827261</v>
      </c>
      <c r="Z75" s="279">
        <v>-921873.98517284077</v>
      </c>
      <c r="AB75" s="282" t="str">
        <f t="shared" si="5"/>
        <v>25Y</v>
      </c>
      <c r="AC75" s="278">
        <f ca="1">IF(ABS(P75-C75)&gt;SnapshotTolerance,1,0)</f>
        <v>0</v>
      </c>
      <c r="AD75" s="278">
        <f ca="1">IF(ABS(Q75-D75)&gt;SnapshotTolerance,1,0)</f>
        <v>0</v>
      </c>
      <c r="AE75" s="278">
        <f ca="1">IF(ABS(R75-E75)&gt;SnapshotTolerance,1,0)</f>
        <v>0</v>
      </c>
      <c r="AF75" s="278">
        <f ca="1">IF(ABS(S75-F75)&gt;SnapshotTolerance,1,0)</f>
        <v>0</v>
      </c>
      <c r="AG75" s="278">
        <f ca="1">IF(ABS(T75-G75)&gt;SnapshotTolerance,1,0)</f>
        <v>0</v>
      </c>
      <c r="AH75" s="278">
        <f ca="1">IF(ABS(U75-H75)&gt;SnapshotTolerance,1,0)</f>
        <v>0</v>
      </c>
      <c r="AI75" s="278">
        <f ca="1">IF(ABS(V75-I75)&gt;SnapshotTolerance,1,0)</f>
        <v>0</v>
      </c>
      <c r="AJ75" s="278">
        <f ca="1">IF(ABS(W75-J75)&gt;SnapshotTolerance,1,0)</f>
        <v>0</v>
      </c>
      <c r="AK75" s="278">
        <f ca="1">IF(ABS(X75-K75)&gt;SnapshotTolerance,1,0)</f>
        <v>0</v>
      </c>
      <c r="AL75" s="278">
        <f ca="1">IF(ABS(Y75-L75)&gt;SnapshotTolerance,1,0)</f>
        <v>0</v>
      </c>
      <c r="AM75" s="279">
        <f ca="1">IF(ABS(Z75-M75)&gt;SnapshotTolerance,1,0)</f>
        <v>0</v>
      </c>
    </row>
    <row r="76" spans="2:39">
      <c r="B76" s="282" t="str">
        <f>'USD Swap PVs'!AG16</f>
        <v>30Y</v>
      </c>
      <c r="C76" s="278">
        <f ca="1">'USD Swap PVs'!AH16</f>
        <v>1035401.1460912407</v>
      </c>
      <c r="D76" s="278">
        <f ca="1">'USD Swap PVs'!AI16</f>
        <v>828320.91687299241</v>
      </c>
      <c r="E76" s="278">
        <f ca="1">'USD Swap PVs'!AJ16</f>
        <v>621240.68765474402</v>
      </c>
      <c r="F76" s="278">
        <f ca="1">'USD Swap PVs'!AK16</f>
        <v>414160.45843649568</v>
      </c>
      <c r="G76" s="278">
        <f ca="1">'USD Swap PVs'!AL16</f>
        <v>207080.22921824732</v>
      </c>
      <c r="H76" s="278">
        <f ca="1">'USD Swap PVs'!AM16</f>
        <v>-8.8817841970012523E-10</v>
      </c>
      <c r="I76" s="278">
        <f ca="1">'USD Swap PVs'!AN16</f>
        <v>-207080.22921824921</v>
      </c>
      <c r="J76" s="278">
        <f ca="1">'USD Swap PVs'!AO16</f>
        <v>-414160.45843649749</v>
      </c>
      <c r="K76" s="278">
        <f ca="1">'USD Swap PVs'!AP16</f>
        <v>-621240.68765474588</v>
      </c>
      <c r="L76" s="278">
        <f ca="1">'USD Swap PVs'!AQ16</f>
        <v>-828320.91687299416</v>
      </c>
      <c r="M76" s="279">
        <f ca="1">'USD Swap PVs'!AR16</f>
        <v>-1035401.1460912424</v>
      </c>
      <c r="O76" s="282" t="s">
        <v>17</v>
      </c>
      <c r="P76" s="278">
        <v>1035401.1460912407</v>
      </c>
      <c r="Q76" s="278">
        <v>828320.91687299241</v>
      </c>
      <c r="R76" s="278">
        <v>621240.68765474402</v>
      </c>
      <c r="S76" s="278">
        <v>414160.45843649568</v>
      </c>
      <c r="T76" s="278">
        <v>207080.22921824732</v>
      </c>
      <c r="U76" s="278">
        <v>-8.8817841970012523E-10</v>
      </c>
      <c r="V76" s="278">
        <v>-207080.22921824921</v>
      </c>
      <c r="W76" s="278">
        <v>-414160.45843649749</v>
      </c>
      <c r="X76" s="278">
        <v>-621240.68765474588</v>
      </c>
      <c r="Y76" s="278">
        <v>-828320.91687299416</v>
      </c>
      <c r="Z76" s="279">
        <v>-1035401.1460912424</v>
      </c>
      <c r="AB76" s="282" t="str">
        <f t="shared" si="5"/>
        <v>30Y</v>
      </c>
      <c r="AC76" s="278">
        <f ca="1">IF(ABS(P76-C76)&gt;SnapshotTolerance,1,0)</f>
        <v>0</v>
      </c>
      <c r="AD76" s="278">
        <f ca="1">IF(ABS(Q76-D76)&gt;SnapshotTolerance,1,0)</f>
        <v>0</v>
      </c>
      <c r="AE76" s="278">
        <f ca="1">IF(ABS(R76-E76)&gt;SnapshotTolerance,1,0)</f>
        <v>0</v>
      </c>
      <c r="AF76" s="278">
        <f ca="1">IF(ABS(S76-F76)&gt;SnapshotTolerance,1,0)</f>
        <v>0</v>
      </c>
      <c r="AG76" s="278">
        <f ca="1">IF(ABS(T76-G76)&gt;SnapshotTolerance,1,0)</f>
        <v>0</v>
      </c>
      <c r="AH76" s="278">
        <f ca="1">IF(ABS(U76-H76)&gt;SnapshotTolerance,1,0)</f>
        <v>0</v>
      </c>
      <c r="AI76" s="278">
        <f ca="1">IF(ABS(V76-I76)&gt;SnapshotTolerance,1,0)</f>
        <v>0</v>
      </c>
      <c r="AJ76" s="278">
        <f ca="1">IF(ABS(W76-J76)&gt;SnapshotTolerance,1,0)</f>
        <v>0</v>
      </c>
      <c r="AK76" s="278">
        <f ca="1">IF(ABS(X76-K76)&gt;SnapshotTolerance,1,0)</f>
        <v>0</v>
      </c>
      <c r="AL76" s="278">
        <f ca="1">IF(ABS(Y76-L76)&gt;SnapshotTolerance,1,0)</f>
        <v>0</v>
      </c>
      <c r="AM76" s="279">
        <f ca="1">IF(ABS(Z76-M76)&gt;SnapshotTolerance,1,0)</f>
        <v>0</v>
      </c>
    </row>
    <row r="77" spans="2:39">
      <c r="B77" s="282" t="str">
        <f>'USD Swap PVs'!AG17</f>
        <v>40Y</v>
      </c>
      <c r="C77" s="278">
        <f ca="1">'USD Swap PVs'!AH17</f>
        <v>1217652.1488595265</v>
      </c>
      <c r="D77" s="278">
        <f ca="1">'USD Swap PVs'!AI17</f>
        <v>974121.71908762096</v>
      </c>
      <c r="E77" s="278">
        <f ca="1">'USD Swap PVs'!AJ17</f>
        <v>730591.28931571543</v>
      </c>
      <c r="F77" s="278">
        <f ca="1">'USD Swap PVs'!AK17</f>
        <v>487060.85954380984</v>
      </c>
      <c r="G77" s="278">
        <f ca="1">'USD Swap PVs'!AL17</f>
        <v>243530.42977190431</v>
      </c>
      <c r="H77" s="278">
        <f ca="1">'USD Swap PVs'!AM17</f>
        <v>-1.1102230246251565E-9</v>
      </c>
      <c r="I77" s="278">
        <f ca="1">'USD Swap PVs'!AN17</f>
        <v>-243530.42977190664</v>
      </c>
      <c r="J77" s="278">
        <f ca="1">'USD Swap PVs'!AO17</f>
        <v>-487060.85954381194</v>
      </c>
      <c r="K77" s="278">
        <f ca="1">'USD Swap PVs'!AP17</f>
        <v>-730591.28931571764</v>
      </c>
      <c r="L77" s="278">
        <f ca="1">'USD Swap PVs'!AQ17</f>
        <v>-974121.71908762329</v>
      </c>
      <c r="M77" s="279">
        <f ca="1">'USD Swap PVs'!AR17</f>
        <v>-1217652.1488595288</v>
      </c>
      <c r="O77" s="282" t="s">
        <v>15</v>
      </c>
      <c r="P77" s="278">
        <v>1217652.1488595265</v>
      </c>
      <c r="Q77" s="278">
        <v>974121.71908762096</v>
      </c>
      <c r="R77" s="278">
        <v>730591.28931571543</v>
      </c>
      <c r="S77" s="278">
        <v>487060.85954380984</v>
      </c>
      <c r="T77" s="278">
        <v>243530.42977190431</v>
      </c>
      <c r="U77" s="278">
        <v>-1.1102230246251565E-9</v>
      </c>
      <c r="V77" s="278">
        <v>-243530.42977190664</v>
      </c>
      <c r="W77" s="278">
        <v>-487060.85954381194</v>
      </c>
      <c r="X77" s="278">
        <v>-730591.28931571764</v>
      </c>
      <c r="Y77" s="278">
        <v>-974121.71908762329</v>
      </c>
      <c r="Z77" s="279">
        <v>-1217652.1488595288</v>
      </c>
      <c r="AB77" s="282" t="str">
        <f t="shared" si="5"/>
        <v>40Y</v>
      </c>
      <c r="AC77" s="278">
        <f ca="1">IF(ABS(P77-C77)&gt;SnapshotTolerance,1,0)</f>
        <v>0</v>
      </c>
      <c r="AD77" s="278">
        <f ca="1">IF(ABS(Q77-D77)&gt;SnapshotTolerance,1,0)</f>
        <v>0</v>
      </c>
      <c r="AE77" s="278">
        <f ca="1">IF(ABS(R77-E77)&gt;SnapshotTolerance,1,0)</f>
        <v>0</v>
      </c>
      <c r="AF77" s="278">
        <f ca="1">IF(ABS(S77-F77)&gt;SnapshotTolerance,1,0)</f>
        <v>0</v>
      </c>
      <c r="AG77" s="278">
        <f ca="1">IF(ABS(T77-G77)&gt;SnapshotTolerance,1,0)</f>
        <v>0</v>
      </c>
      <c r="AH77" s="278">
        <f ca="1">IF(ABS(U77-H77)&gt;SnapshotTolerance,1,0)</f>
        <v>0</v>
      </c>
      <c r="AI77" s="278">
        <f ca="1">IF(ABS(V77-I77)&gt;SnapshotTolerance,1,0)</f>
        <v>0</v>
      </c>
      <c r="AJ77" s="278">
        <f ca="1">IF(ABS(W77-J77)&gt;SnapshotTolerance,1,0)</f>
        <v>0</v>
      </c>
      <c r="AK77" s="278">
        <f ca="1">IF(ABS(X77-K77)&gt;SnapshotTolerance,1,0)</f>
        <v>0</v>
      </c>
      <c r="AL77" s="278">
        <f ca="1">IF(ABS(Y77-L77)&gt;SnapshotTolerance,1,0)</f>
        <v>0</v>
      </c>
      <c r="AM77" s="279">
        <f ca="1">IF(ABS(Z77-M77)&gt;SnapshotTolerance,1,0)</f>
        <v>0</v>
      </c>
    </row>
    <row r="78" spans="2:39">
      <c r="B78" s="282" t="str">
        <f>'USD Swap PVs'!AG18</f>
        <v>50Y</v>
      </c>
      <c r="C78" s="278">
        <f ca="1">'USD Swap PVs'!AH18</f>
        <v>1356303.3835327958</v>
      </c>
      <c r="D78" s="278">
        <f ca="1">'USD Swap PVs'!AI18</f>
        <v>1085042.7068262366</v>
      </c>
      <c r="E78" s="278">
        <f ca="1">'USD Swap PVs'!AJ18</f>
        <v>813782.03011967696</v>
      </c>
      <c r="F78" s="278">
        <f ca="1">'USD Swap PVs'!AK18</f>
        <v>542521.35341311747</v>
      </c>
      <c r="G78" s="278">
        <f ca="1">'USD Swap PVs'!AL18</f>
        <v>271260.67670655798</v>
      </c>
      <c r="H78" s="278">
        <f ca="1">'USD Swap PVs'!AM18</f>
        <v>-1.4432899320127035E-9</v>
      </c>
      <c r="I78" s="278">
        <f ca="1">'USD Swap PVs'!AN18</f>
        <v>-271260.67670656095</v>
      </c>
      <c r="J78" s="278">
        <f ca="1">'USD Swap PVs'!AO18</f>
        <v>-542521.35341312049</v>
      </c>
      <c r="K78" s="278">
        <f ca="1">'USD Swap PVs'!AP18</f>
        <v>-813782.03011967975</v>
      </c>
      <c r="L78" s="278">
        <f ca="1">'USD Swap PVs'!AQ18</f>
        <v>-1085042.7068262389</v>
      </c>
      <c r="M78" s="279">
        <f ca="1">'USD Swap PVs'!AR18</f>
        <v>-1356303.3835327988</v>
      </c>
      <c r="O78" s="282" t="s">
        <v>14</v>
      </c>
      <c r="P78" s="278">
        <v>1356303.3835327958</v>
      </c>
      <c r="Q78" s="278">
        <v>1085042.7068262366</v>
      </c>
      <c r="R78" s="278">
        <v>813782.03011967696</v>
      </c>
      <c r="S78" s="278">
        <v>542521.35341311747</v>
      </c>
      <c r="T78" s="278">
        <v>271260.67670655798</v>
      </c>
      <c r="U78" s="278">
        <v>-1.4432899320127035E-9</v>
      </c>
      <c r="V78" s="278">
        <v>-271260.67670656095</v>
      </c>
      <c r="W78" s="278">
        <v>-542521.35341312049</v>
      </c>
      <c r="X78" s="278">
        <v>-813782.03011967975</v>
      </c>
      <c r="Y78" s="278">
        <v>-1085042.7068262389</v>
      </c>
      <c r="Z78" s="279">
        <v>-1356303.3835327988</v>
      </c>
      <c r="AB78" s="282" t="str">
        <f t="shared" si="5"/>
        <v>50Y</v>
      </c>
      <c r="AC78" s="278">
        <f ca="1">IF(ABS(P78-C78)&gt;SnapshotTolerance,1,0)</f>
        <v>0</v>
      </c>
      <c r="AD78" s="278">
        <f ca="1">IF(ABS(Q78-D78)&gt;SnapshotTolerance,1,0)</f>
        <v>0</v>
      </c>
      <c r="AE78" s="278">
        <f ca="1">IF(ABS(R78-E78)&gt;SnapshotTolerance,1,0)</f>
        <v>0</v>
      </c>
      <c r="AF78" s="278">
        <f ca="1">IF(ABS(S78-F78)&gt;SnapshotTolerance,1,0)</f>
        <v>0</v>
      </c>
      <c r="AG78" s="278">
        <f ca="1">IF(ABS(T78-G78)&gt;SnapshotTolerance,1,0)</f>
        <v>0</v>
      </c>
      <c r="AH78" s="278">
        <f ca="1">IF(ABS(U78-H78)&gt;SnapshotTolerance,1,0)</f>
        <v>0</v>
      </c>
      <c r="AI78" s="278">
        <f ca="1">IF(ABS(V78-I78)&gt;SnapshotTolerance,1,0)</f>
        <v>0</v>
      </c>
      <c r="AJ78" s="278">
        <f ca="1">IF(ABS(W78-J78)&gt;SnapshotTolerance,1,0)</f>
        <v>0</v>
      </c>
      <c r="AK78" s="278">
        <f ca="1">IF(ABS(X78-K78)&gt;SnapshotTolerance,1,0)</f>
        <v>0</v>
      </c>
      <c r="AL78" s="278">
        <f ca="1">IF(ABS(Y78-L78)&gt;SnapshotTolerance,1,0)</f>
        <v>0</v>
      </c>
      <c r="AM78" s="279">
        <f ca="1">IF(ABS(Z78-M78)&gt;SnapshotTolerance,1,0)</f>
        <v>0</v>
      </c>
    </row>
    <row r="79" spans="2:39">
      <c r="B79" s="282"/>
      <c r="C79" s="278"/>
      <c r="D79" s="278"/>
      <c r="E79" s="278"/>
      <c r="F79" s="278"/>
      <c r="G79" s="278"/>
      <c r="H79" s="278"/>
      <c r="I79" s="278"/>
      <c r="J79" s="278"/>
      <c r="K79" s="278"/>
      <c r="L79" s="278"/>
      <c r="M79" s="279"/>
      <c r="O79" s="282"/>
      <c r="P79" s="278"/>
      <c r="Q79" s="278"/>
      <c r="R79" s="278"/>
      <c r="S79" s="278"/>
      <c r="T79" s="278"/>
      <c r="U79" s="278"/>
      <c r="V79" s="278"/>
      <c r="W79" s="278"/>
      <c r="X79" s="278"/>
      <c r="Y79" s="278"/>
      <c r="Z79" s="279"/>
      <c r="AB79" s="282"/>
      <c r="AC79" s="278"/>
      <c r="AD79" s="278"/>
      <c r="AE79" s="278"/>
      <c r="AF79" s="278"/>
      <c r="AG79" s="278"/>
      <c r="AH79" s="278"/>
      <c r="AI79" s="278"/>
      <c r="AJ79" s="278"/>
      <c r="AK79" s="278"/>
      <c r="AL79" s="278"/>
      <c r="AM79" s="279"/>
    </row>
    <row r="80" spans="2:39">
      <c r="B80" s="282"/>
      <c r="C80" s="278"/>
      <c r="D80" s="278"/>
      <c r="E80" s="278"/>
      <c r="F80" s="278"/>
      <c r="G80" s="278"/>
      <c r="H80" s="278"/>
      <c r="I80" s="278"/>
      <c r="J80" s="278"/>
      <c r="K80" s="278"/>
      <c r="L80" s="278"/>
      <c r="M80" s="279"/>
      <c r="O80" s="282"/>
      <c r="P80" s="278"/>
      <c r="Q80" s="278"/>
      <c r="R80" s="278"/>
      <c r="S80" s="278"/>
      <c r="T80" s="278"/>
      <c r="U80" s="278"/>
      <c r="V80" s="278"/>
      <c r="W80" s="278"/>
      <c r="X80" s="278"/>
      <c r="Y80" s="278"/>
      <c r="Z80" s="279"/>
      <c r="AB80" s="282"/>
      <c r="AC80" s="278"/>
      <c r="AD80" s="278"/>
      <c r="AE80" s="278"/>
      <c r="AF80" s="278"/>
      <c r="AG80" s="278"/>
      <c r="AH80" s="278"/>
      <c r="AI80" s="278"/>
      <c r="AJ80" s="278"/>
      <c r="AK80" s="278"/>
      <c r="AL80" s="278"/>
      <c r="AM80" s="279"/>
    </row>
    <row r="81" spans="2:39">
      <c r="B81" s="282"/>
      <c r="C81" s="278"/>
      <c r="D81" s="278"/>
      <c r="E81" s="278"/>
      <c r="F81" s="278"/>
      <c r="G81" s="278"/>
      <c r="H81" s="278"/>
      <c r="I81" s="278"/>
      <c r="J81" s="278"/>
      <c r="K81" s="278"/>
      <c r="L81" s="278"/>
      <c r="M81" s="279"/>
      <c r="O81" s="282"/>
      <c r="P81" s="278"/>
      <c r="Q81" s="278"/>
      <c r="R81" s="278"/>
      <c r="S81" s="278"/>
      <c r="T81" s="278"/>
      <c r="U81" s="278"/>
      <c r="V81" s="278"/>
      <c r="W81" s="278"/>
      <c r="X81" s="278"/>
      <c r="Y81" s="278"/>
      <c r="Z81" s="279"/>
      <c r="AB81" s="282"/>
      <c r="AC81" s="278"/>
      <c r="AD81" s="278"/>
      <c r="AE81" s="278"/>
      <c r="AF81" s="278"/>
      <c r="AG81" s="278"/>
      <c r="AH81" s="278"/>
      <c r="AI81" s="278"/>
      <c r="AJ81" s="278"/>
      <c r="AK81" s="278"/>
      <c r="AL81" s="278"/>
      <c r="AM81" s="279"/>
    </row>
    <row r="82" spans="2:39">
      <c r="B82" s="283"/>
      <c r="C82" s="280"/>
      <c r="D82" s="280"/>
      <c r="E82" s="280"/>
      <c r="F82" s="280"/>
      <c r="G82" s="280"/>
      <c r="H82" s="280"/>
      <c r="I82" s="280"/>
      <c r="J82" s="280"/>
      <c r="K82" s="280"/>
      <c r="L82" s="280"/>
      <c r="M82" s="281"/>
      <c r="O82" s="283"/>
      <c r="P82" s="280"/>
      <c r="Q82" s="280"/>
      <c r="R82" s="280"/>
      <c r="S82" s="280"/>
      <c r="T82" s="280"/>
      <c r="U82" s="280"/>
      <c r="V82" s="280"/>
      <c r="W82" s="280"/>
      <c r="X82" s="280"/>
      <c r="Y82" s="280"/>
      <c r="Z82" s="281"/>
      <c r="AB82" s="283"/>
      <c r="AC82" s="280"/>
      <c r="AD82" s="280"/>
      <c r="AE82" s="280"/>
      <c r="AF82" s="280"/>
      <c r="AG82" s="280"/>
      <c r="AH82" s="280"/>
      <c r="AI82" s="280"/>
      <c r="AJ82" s="280"/>
      <c r="AK82" s="280"/>
      <c r="AL82" s="280"/>
      <c r="AM82" s="281"/>
    </row>
    <row r="85" spans="2:39">
      <c r="B85" t="s">
        <v>527</v>
      </c>
      <c r="E85" t="s">
        <v>472</v>
      </c>
    </row>
    <row r="86" spans="2:39">
      <c r="B86" t="s">
        <v>530</v>
      </c>
      <c r="E86" s="252">
        <f ca="1">SUM(AC91:AM109)</f>
        <v>0</v>
      </c>
    </row>
    <row r="87" spans="2:39">
      <c r="B87" t="s">
        <v>532</v>
      </c>
    </row>
    <row r="89" spans="2:39">
      <c r="B89" t="s">
        <v>510</v>
      </c>
      <c r="O89" t="s">
        <v>470</v>
      </c>
      <c r="AB89" t="s">
        <v>511</v>
      </c>
    </row>
    <row r="90" spans="2:39">
      <c r="B90" s="254" t="str">
        <f>'USD Swap PVs'!AG28</f>
        <v>Term</v>
      </c>
      <c r="C90" s="287">
        <f>'USD Swap PVs'!AH28</f>
        <v>500</v>
      </c>
      <c r="D90" s="287">
        <f>'USD Swap PVs'!AI28</f>
        <v>400</v>
      </c>
      <c r="E90" s="287">
        <f>'USD Swap PVs'!AJ28</f>
        <v>300</v>
      </c>
      <c r="F90" s="287">
        <f>'USD Swap PVs'!AK28</f>
        <v>200</v>
      </c>
      <c r="G90" s="287">
        <f>'USD Swap PVs'!AL28</f>
        <v>100</v>
      </c>
      <c r="H90" s="287">
        <f>'USD Swap PVs'!AM28</f>
        <v>0</v>
      </c>
      <c r="I90" s="287">
        <f>'USD Swap PVs'!AN28</f>
        <v>-100</v>
      </c>
      <c r="J90" s="287">
        <f>'USD Swap PVs'!AO28</f>
        <v>-200</v>
      </c>
      <c r="K90" s="287">
        <f>'USD Swap PVs'!AP28</f>
        <v>-300</v>
      </c>
      <c r="L90" s="287">
        <f>'USD Swap PVs'!AQ28</f>
        <v>-400</v>
      </c>
      <c r="M90" s="288">
        <f>'USD Swap PVs'!AR28</f>
        <v>-500</v>
      </c>
      <c r="O90" s="254" t="s">
        <v>76</v>
      </c>
      <c r="P90" s="287">
        <v>500</v>
      </c>
      <c r="Q90" s="287">
        <v>400</v>
      </c>
      <c r="R90" s="287">
        <v>300</v>
      </c>
      <c r="S90" s="287">
        <v>200</v>
      </c>
      <c r="T90" s="287">
        <v>100</v>
      </c>
      <c r="U90" s="287">
        <v>0</v>
      </c>
      <c r="V90" s="287">
        <v>-100</v>
      </c>
      <c r="W90" s="287">
        <v>-200</v>
      </c>
      <c r="X90" s="287">
        <v>-300</v>
      </c>
      <c r="Y90" s="287">
        <v>-400</v>
      </c>
      <c r="Z90" s="288">
        <v>-500</v>
      </c>
      <c r="AB90" s="254" t="str">
        <f>O90</f>
        <v>Term</v>
      </c>
      <c r="AC90" s="287">
        <f>P90</f>
        <v>500</v>
      </c>
      <c r="AD90" s="287">
        <f t="shared" ref="AD90:AM90" si="6">Q90</f>
        <v>400</v>
      </c>
      <c r="AE90" s="287">
        <f t="shared" si="6"/>
        <v>300</v>
      </c>
      <c r="AF90" s="287">
        <f t="shared" si="6"/>
        <v>200</v>
      </c>
      <c r="AG90" s="287">
        <f t="shared" si="6"/>
        <v>100</v>
      </c>
      <c r="AH90" s="287">
        <f t="shared" si="6"/>
        <v>0</v>
      </c>
      <c r="AI90" s="287">
        <f t="shared" si="6"/>
        <v>-100</v>
      </c>
      <c r="AJ90" s="287">
        <f t="shared" si="6"/>
        <v>-200</v>
      </c>
      <c r="AK90" s="287">
        <f t="shared" si="6"/>
        <v>-300</v>
      </c>
      <c r="AL90" s="287">
        <f t="shared" si="6"/>
        <v>-400</v>
      </c>
      <c r="AM90" s="288">
        <f t="shared" si="6"/>
        <v>-500</v>
      </c>
    </row>
    <row r="91" spans="2:39">
      <c r="B91" s="282" t="str">
        <f>'USD Swap PVs'!AG29</f>
        <v>4Y</v>
      </c>
      <c r="C91" s="278">
        <f ca="1">'USD Swap PVs'!AH29</f>
        <v>198777.42646496603</v>
      </c>
      <c r="D91" s="278">
        <f ca="1">'USD Swap PVs'!AI29</f>
        <v>159021.94117197284</v>
      </c>
      <c r="E91" s="278">
        <f ca="1">'USD Swap PVs'!AJ29</f>
        <v>119266.45587897961</v>
      </c>
      <c r="F91" s="278">
        <f ca="1">'USD Swap PVs'!AK29</f>
        <v>79510.970585986433</v>
      </c>
      <c r="G91" s="278">
        <f ca="1">'USD Swap PVs'!AL29</f>
        <v>39755.485292993209</v>
      </c>
      <c r="H91" s="278">
        <f ca="1">'USD Swap PVs'!AM29</f>
        <v>0</v>
      </c>
      <c r="I91" s="278">
        <f ca="1">'USD Swap PVs'!AN29</f>
        <v>-39755.485292993209</v>
      </c>
      <c r="J91" s="278">
        <f ca="1">'USD Swap PVs'!AO29</f>
        <v>-79510.970585986433</v>
      </c>
      <c r="K91" s="278">
        <f ca="1">'USD Swap PVs'!AP29</f>
        <v>-119266.45587897963</v>
      </c>
      <c r="L91" s="278">
        <f ca="1">'USD Swap PVs'!AQ29</f>
        <v>-159021.94117197284</v>
      </c>
      <c r="M91" s="279">
        <f ca="1">'USD Swap PVs'!AR29</f>
        <v>-198777.42646496603</v>
      </c>
      <c r="O91" s="282" t="s">
        <v>35</v>
      </c>
      <c r="P91" s="278">
        <v>198777.42646496603</v>
      </c>
      <c r="Q91" s="278">
        <v>159021.94117197284</v>
      </c>
      <c r="R91" s="278">
        <v>119266.45587897961</v>
      </c>
      <c r="S91" s="278">
        <v>79510.970585986433</v>
      </c>
      <c r="T91" s="278">
        <v>39755.485292993209</v>
      </c>
      <c r="U91" s="278">
        <v>0</v>
      </c>
      <c r="V91" s="278">
        <v>-39755.485292993209</v>
      </c>
      <c r="W91" s="278">
        <v>-79510.970585986433</v>
      </c>
      <c r="X91" s="278">
        <v>-119266.45587897963</v>
      </c>
      <c r="Y91" s="278">
        <v>-159021.94117197284</v>
      </c>
      <c r="Z91" s="279">
        <v>-198777.42646496603</v>
      </c>
      <c r="AB91" s="282" t="str">
        <f t="shared" ref="AB91:AB109" si="7">O91</f>
        <v>4Y</v>
      </c>
      <c r="AC91" s="278">
        <f ca="1">IF(ABS(P91-C91)&gt;SnapshotTolerance,1,0)</f>
        <v>0</v>
      </c>
      <c r="AD91" s="278">
        <f ca="1">IF(ABS(Q91-D91)&gt;SnapshotTolerance,1,0)</f>
        <v>0</v>
      </c>
      <c r="AE91" s="278">
        <f ca="1">IF(ABS(R91-E91)&gt;SnapshotTolerance,1,0)</f>
        <v>0</v>
      </c>
      <c r="AF91" s="278">
        <f ca="1">IF(ABS(S91-F91)&gt;SnapshotTolerance,1,0)</f>
        <v>0</v>
      </c>
      <c r="AG91" s="278">
        <f ca="1">IF(ABS(T91-G91)&gt;SnapshotTolerance,1,0)</f>
        <v>0</v>
      </c>
      <c r="AH91" s="278">
        <f ca="1">IF(ABS(U91-H91)&gt;SnapshotTolerance,1,0)</f>
        <v>0</v>
      </c>
      <c r="AI91" s="278">
        <f ca="1">IF(ABS(V91-I91)&gt;SnapshotTolerance,1,0)</f>
        <v>0</v>
      </c>
      <c r="AJ91" s="278">
        <f ca="1">IF(ABS(W91-J91)&gt;SnapshotTolerance,1,0)</f>
        <v>0</v>
      </c>
      <c r="AK91" s="278">
        <f ca="1">IF(ABS(X91-K91)&gt;SnapshotTolerance,1,0)</f>
        <v>0</v>
      </c>
      <c r="AL91" s="278">
        <f ca="1">IF(ABS(Y91-L91)&gt;SnapshotTolerance,1,0)</f>
        <v>0</v>
      </c>
      <c r="AM91" s="279">
        <f ca="1">IF(ABS(Z91-M91)&gt;SnapshotTolerance,1,0)</f>
        <v>0</v>
      </c>
    </row>
    <row r="92" spans="2:39">
      <c r="B92" s="282" t="str">
        <f>'USD Swap PVs'!AG30</f>
        <v>5Y</v>
      </c>
      <c r="C92" s="278">
        <f ca="1">'USD Swap PVs'!AH30</f>
        <v>246131.73696146879</v>
      </c>
      <c r="D92" s="278">
        <f ca="1">'USD Swap PVs'!AI30</f>
        <v>196905.38956917508</v>
      </c>
      <c r="E92" s="278">
        <f ca="1">'USD Swap PVs'!AJ30</f>
        <v>147679.04217688134</v>
      </c>
      <c r="F92" s="278">
        <f ca="1">'USD Swap PVs'!AK30</f>
        <v>98452.694784587526</v>
      </c>
      <c r="G92" s="278">
        <f ca="1">'USD Swap PVs'!AL30</f>
        <v>49226.34739229377</v>
      </c>
      <c r="H92" s="278">
        <f ca="1">'USD Swap PVs'!AM30</f>
        <v>0</v>
      </c>
      <c r="I92" s="278">
        <f ca="1">'USD Swap PVs'!AN30</f>
        <v>-49226.347392293763</v>
      </c>
      <c r="J92" s="278">
        <f ca="1">'USD Swap PVs'!AO30</f>
        <v>-98452.694784587526</v>
      </c>
      <c r="K92" s="278">
        <f ca="1">'USD Swap PVs'!AP30</f>
        <v>-147679.04217688128</v>
      </c>
      <c r="L92" s="278">
        <f ca="1">'USD Swap PVs'!AQ30</f>
        <v>-196905.38956917502</v>
      </c>
      <c r="M92" s="279">
        <f ca="1">'USD Swap PVs'!AR30</f>
        <v>-246131.73696146885</v>
      </c>
      <c r="O92" s="282" t="s">
        <v>33</v>
      </c>
      <c r="P92" s="278">
        <v>246131.73696146879</v>
      </c>
      <c r="Q92" s="278">
        <v>196905.38956917508</v>
      </c>
      <c r="R92" s="278">
        <v>147679.04217688134</v>
      </c>
      <c r="S92" s="278">
        <v>98452.694784587526</v>
      </c>
      <c r="T92" s="278">
        <v>49226.34739229377</v>
      </c>
      <c r="U92" s="278">
        <v>0</v>
      </c>
      <c r="V92" s="278">
        <v>-49226.347392293763</v>
      </c>
      <c r="W92" s="278">
        <v>-98452.694784587526</v>
      </c>
      <c r="X92" s="278">
        <v>-147679.04217688128</v>
      </c>
      <c r="Y92" s="278">
        <v>-196905.38956917502</v>
      </c>
      <c r="Z92" s="279">
        <v>-246131.73696146885</v>
      </c>
      <c r="AB92" s="282" t="str">
        <f t="shared" si="7"/>
        <v>5Y</v>
      </c>
      <c r="AC92" s="278">
        <f ca="1">IF(ABS(P92-C92)&gt;SnapshotTolerance,1,0)</f>
        <v>0</v>
      </c>
      <c r="AD92" s="278">
        <f ca="1">IF(ABS(Q92-D92)&gt;SnapshotTolerance,1,0)</f>
        <v>0</v>
      </c>
      <c r="AE92" s="278">
        <f ca="1">IF(ABS(R92-E92)&gt;SnapshotTolerance,1,0)</f>
        <v>0</v>
      </c>
      <c r="AF92" s="278">
        <f ca="1">IF(ABS(S92-F92)&gt;SnapshotTolerance,1,0)</f>
        <v>0</v>
      </c>
      <c r="AG92" s="278">
        <f ca="1">IF(ABS(T92-G92)&gt;SnapshotTolerance,1,0)</f>
        <v>0</v>
      </c>
      <c r="AH92" s="278">
        <f ca="1">IF(ABS(U92-H92)&gt;SnapshotTolerance,1,0)</f>
        <v>0</v>
      </c>
      <c r="AI92" s="278">
        <f ca="1">IF(ABS(V92-I92)&gt;SnapshotTolerance,1,0)</f>
        <v>0</v>
      </c>
      <c r="AJ92" s="278">
        <f ca="1">IF(ABS(W92-J92)&gt;SnapshotTolerance,1,0)</f>
        <v>0</v>
      </c>
      <c r="AK92" s="278">
        <f ca="1">IF(ABS(X92-K92)&gt;SnapshotTolerance,1,0)</f>
        <v>0</v>
      </c>
      <c r="AL92" s="278">
        <f ca="1">IF(ABS(Y92-L92)&gt;SnapshotTolerance,1,0)</f>
        <v>0</v>
      </c>
      <c r="AM92" s="279">
        <f ca="1">IF(ABS(Z92-M92)&gt;SnapshotTolerance,1,0)</f>
        <v>0</v>
      </c>
    </row>
    <row r="93" spans="2:39">
      <c r="B93" s="282" t="str">
        <f>'USD Swap PVs'!AG31</f>
        <v>6Y</v>
      </c>
      <c r="C93" s="278">
        <f ca="1">'USD Swap PVs'!AH31</f>
        <v>292058.13024354144</v>
      </c>
      <c r="D93" s="278">
        <f ca="1">'USD Swap PVs'!AI31</f>
        <v>233646.50419483319</v>
      </c>
      <c r="E93" s="278">
        <f ca="1">'USD Swap PVs'!AJ31</f>
        <v>175234.87814612489</v>
      </c>
      <c r="F93" s="278">
        <f ca="1">'USD Swap PVs'!AK31</f>
        <v>116823.25209741658</v>
      </c>
      <c r="G93" s="278">
        <f ca="1">'USD Swap PVs'!AL31</f>
        <v>58411.626048708298</v>
      </c>
      <c r="H93" s="278">
        <f ca="1">'USD Swap PVs'!AM31</f>
        <v>0</v>
      </c>
      <c r="I93" s="278">
        <f ca="1">'USD Swap PVs'!AN31</f>
        <v>-58411.626048708298</v>
      </c>
      <c r="J93" s="278">
        <f ca="1">'USD Swap PVs'!AO31</f>
        <v>-116823.2520974166</v>
      </c>
      <c r="K93" s="278">
        <f ca="1">'USD Swap PVs'!AP31</f>
        <v>-175234.87814612489</v>
      </c>
      <c r="L93" s="278">
        <f ca="1">'USD Swap PVs'!AQ31</f>
        <v>-233646.50419483319</v>
      </c>
      <c r="M93" s="279">
        <f ca="1">'USD Swap PVs'!AR31</f>
        <v>-292058.1302435415</v>
      </c>
      <c r="O93" s="282" t="s">
        <v>131</v>
      </c>
      <c r="P93" s="278">
        <v>292058.13024354144</v>
      </c>
      <c r="Q93" s="278">
        <v>233646.50419483319</v>
      </c>
      <c r="R93" s="278">
        <v>175234.87814612489</v>
      </c>
      <c r="S93" s="278">
        <v>116823.25209741658</v>
      </c>
      <c r="T93" s="278">
        <v>58411.626048708298</v>
      </c>
      <c r="U93" s="278">
        <v>0</v>
      </c>
      <c r="V93" s="278">
        <v>-58411.626048708298</v>
      </c>
      <c r="W93" s="278">
        <v>-116823.2520974166</v>
      </c>
      <c r="X93" s="278">
        <v>-175234.87814612489</v>
      </c>
      <c r="Y93" s="278">
        <v>-233646.50419483319</v>
      </c>
      <c r="Z93" s="279">
        <v>-292058.1302435415</v>
      </c>
      <c r="AB93" s="282" t="str">
        <f t="shared" si="7"/>
        <v>6Y</v>
      </c>
      <c r="AC93" s="278">
        <f ca="1">IF(ABS(P93-C93)&gt;SnapshotTolerance,1,0)</f>
        <v>0</v>
      </c>
      <c r="AD93" s="278">
        <f ca="1">IF(ABS(Q93-D93)&gt;SnapshotTolerance,1,0)</f>
        <v>0</v>
      </c>
      <c r="AE93" s="278">
        <f ca="1">IF(ABS(R93-E93)&gt;SnapshotTolerance,1,0)</f>
        <v>0</v>
      </c>
      <c r="AF93" s="278">
        <f ca="1">IF(ABS(S93-F93)&gt;SnapshotTolerance,1,0)</f>
        <v>0</v>
      </c>
      <c r="AG93" s="278">
        <f ca="1">IF(ABS(T93-G93)&gt;SnapshotTolerance,1,0)</f>
        <v>0</v>
      </c>
      <c r="AH93" s="278">
        <f ca="1">IF(ABS(U93-H93)&gt;SnapshotTolerance,1,0)</f>
        <v>0</v>
      </c>
      <c r="AI93" s="278">
        <f ca="1">IF(ABS(V93-I93)&gt;SnapshotTolerance,1,0)</f>
        <v>0</v>
      </c>
      <c r="AJ93" s="278">
        <f ca="1">IF(ABS(W93-J93)&gt;SnapshotTolerance,1,0)</f>
        <v>0</v>
      </c>
      <c r="AK93" s="278">
        <f ca="1">IF(ABS(X93-K93)&gt;SnapshotTolerance,1,0)</f>
        <v>0</v>
      </c>
      <c r="AL93" s="278">
        <f ca="1">IF(ABS(Y93-L93)&gt;SnapshotTolerance,1,0)</f>
        <v>0</v>
      </c>
      <c r="AM93" s="279">
        <f ca="1">IF(ABS(Z93-M93)&gt;SnapshotTolerance,1,0)</f>
        <v>0</v>
      </c>
    </row>
    <row r="94" spans="2:39">
      <c r="B94" s="282" t="str">
        <f>'USD Swap PVs'!AG32</f>
        <v>7Y</v>
      </c>
      <c r="C94" s="278">
        <f ca="1">'USD Swap PVs'!AH32</f>
        <v>336636.27902883617</v>
      </c>
      <c r="D94" s="278">
        <f ca="1">'USD Swap PVs'!AI32</f>
        <v>269309.02322306897</v>
      </c>
      <c r="E94" s="278">
        <f ca="1">'USD Swap PVs'!AJ32</f>
        <v>201981.76741730169</v>
      </c>
      <c r="F94" s="278">
        <f ca="1">'USD Swap PVs'!AK32</f>
        <v>134654.5116115344</v>
      </c>
      <c r="G94" s="278">
        <f ca="1">'USD Swap PVs'!AL32</f>
        <v>67327.255805767229</v>
      </c>
      <c r="H94" s="278">
        <f ca="1">'USD Swap PVs'!AM32</f>
        <v>0</v>
      </c>
      <c r="I94" s="278">
        <f ca="1">'USD Swap PVs'!AN32</f>
        <v>-67327.255805767258</v>
      </c>
      <c r="J94" s="278">
        <f ca="1">'USD Swap PVs'!AO32</f>
        <v>-134654.51161153449</v>
      </c>
      <c r="K94" s="278">
        <f ca="1">'USD Swap PVs'!AP32</f>
        <v>-201981.76741730171</v>
      </c>
      <c r="L94" s="278">
        <f ca="1">'USD Swap PVs'!AQ32</f>
        <v>-269309.02322306891</v>
      </c>
      <c r="M94" s="279">
        <f ca="1">'USD Swap PVs'!AR32</f>
        <v>-336636.27902883617</v>
      </c>
      <c r="O94" s="282" t="s">
        <v>31</v>
      </c>
      <c r="P94" s="278">
        <v>336636.27902883617</v>
      </c>
      <c r="Q94" s="278">
        <v>269309.02322306897</v>
      </c>
      <c r="R94" s="278">
        <v>201981.76741730169</v>
      </c>
      <c r="S94" s="278">
        <v>134654.5116115344</v>
      </c>
      <c r="T94" s="278">
        <v>67327.255805767229</v>
      </c>
      <c r="U94" s="278">
        <v>0</v>
      </c>
      <c r="V94" s="278">
        <v>-67327.255805767258</v>
      </c>
      <c r="W94" s="278">
        <v>-134654.51161153449</v>
      </c>
      <c r="X94" s="278">
        <v>-201981.76741730171</v>
      </c>
      <c r="Y94" s="278">
        <v>-269309.02322306891</v>
      </c>
      <c r="Z94" s="279">
        <v>-336636.27902883617</v>
      </c>
      <c r="AB94" s="282" t="str">
        <f t="shared" si="7"/>
        <v>7Y</v>
      </c>
      <c r="AC94" s="278">
        <f ca="1">IF(ABS(P94-C94)&gt;SnapshotTolerance,1,0)</f>
        <v>0</v>
      </c>
      <c r="AD94" s="278">
        <f ca="1">IF(ABS(Q94-D94)&gt;SnapshotTolerance,1,0)</f>
        <v>0</v>
      </c>
      <c r="AE94" s="278">
        <f ca="1">IF(ABS(R94-E94)&gt;SnapshotTolerance,1,0)</f>
        <v>0</v>
      </c>
      <c r="AF94" s="278">
        <f ca="1">IF(ABS(S94-F94)&gt;SnapshotTolerance,1,0)</f>
        <v>0</v>
      </c>
      <c r="AG94" s="278">
        <f ca="1">IF(ABS(T94-G94)&gt;SnapshotTolerance,1,0)</f>
        <v>0</v>
      </c>
      <c r="AH94" s="278">
        <f ca="1">IF(ABS(U94-H94)&gt;SnapshotTolerance,1,0)</f>
        <v>0</v>
      </c>
      <c r="AI94" s="278">
        <f ca="1">IF(ABS(V94-I94)&gt;SnapshotTolerance,1,0)</f>
        <v>0</v>
      </c>
      <c r="AJ94" s="278">
        <f ca="1">IF(ABS(W94-J94)&gt;SnapshotTolerance,1,0)</f>
        <v>0</v>
      </c>
      <c r="AK94" s="278">
        <f ca="1">IF(ABS(X94-K94)&gt;SnapshotTolerance,1,0)</f>
        <v>0</v>
      </c>
      <c r="AL94" s="278">
        <f ca="1">IF(ABS(Y94-L94)&gt;SnapshotTolerance,1,0)</f>
        <v>0</v>
      </c>
      <c r="AM94" s="279">
        <f ca="1">IF(ABS(Z94-M94)&gt;SnapshotTolerance,1,0)</f>
        <v>0</v>
      </c>
    </row>
    <row r="95" spans="2:39">
      <c r="B95" s="282" t="str">
        <f>'USD Swap PVs'!AG33</f>
        <v>8Y</v>
      </c>
      <c r="C95" s="278">
        <f ca="1">'USD Swap PVs'!AH33</f>
        <v>380086.43747963925</v>
      </c>
      <c r="D95" s="278">
        <f ca="1">'USD Swap PVs'!AI33</f>
        <v>304069.14998371142</v>
      </c>
      <c r="E95" s="278">
        <f ca="1">'USD Swap PVs'!AJ33</f>
        <v>228051.86248778354</v>
      </c>
      <c r="F95" s="278">
        <f ca="1">'USD Swap PVs'!AK33</f>
        <v>152034.57499185568</v>
      </c>
      <c r="G95" s="278">
        <f ca="1">'USD Swap PVs'!AL33</f>
        <v>76017.287495927842</v>
      </c>
      <c r="H95" s="278">
        <f ca="1">'USD Swap PVs'!AM33</f>
        <v>0</v>
      </c>
      <c r="I95" s="278">
        <f ca="1">'USD Swap PVs'!AN33</f>
        <v>-76017.287495927885</v>
      </c>
      <c r="J95" s="278">
        <f ca="1">'USD Swap PVs'!AO33</f>
        <v>-152034.57499185574</v>
      </c>
      <c r="K95" s="278">
        <f ca="1">'USD Swap PVs'!AP33</f>
        <v>-228051.8624877836</v>
      </c>
      <c r="L95" s="278">
        <f ca="1">'USD Swap PVs'!AQ33</f>
        <v>-304069.14998371142</v>
      </c>
      <c r="M95" s="279">
        <f ca="1">'USD Swap PVs'!AR33</f>
        <v>-380086.43747963931</v>
      </c>
      <c r="O95" s="282" t="s">
        <v>119</v>
      </c>
      <c r="P95" s="278">
        <v>380086.43747963925</v>
      </c>
      <c r="Q95" s="278">
        <v>304069.14998371142</v>
      </c>
      <c r="R95" s="278">
        <v>228051.86248778354</v>
      </c>
      <c r="S95" s="278">
        <v>152034.57499185568</v>
      </c>
      <c r="T95" s="278">
        <v>76017.287495927842</v>
      </c>
      <c r="U95" s="278">
        <v>0</v>
      </c>
      <c r="V95" s="278">
        <v>-76017.287495927885</v>
      </c>
      <c r="W95" s="278">
        <v>-152034.57499185574</v>
      </c>
      <c r="X95" s="278">
        <v>-228051.8624877836</v>
      </c>
      <c r="Y95" s="278">
        <v>-304069.14998371142</v>
      </c>
      <c r="Z95" s="279">
        <v>-380086.43747963931</v>
      </c>
      <c r="AB95" s="282" t="str">
        <f t="shared" si="7"/>
        <v>8Y</v>
      </c>
      <c r="AC95" s="278">
        <f ca="1">IF(ABS(P95-C95)&gt;SnapshotTolerance,1,0)</f>
        <v>0</v>
      </c>
      <c r="AD95" s="278">
        <f ca="1">IF(ABS(Q95-D95)&gt;SnapshotTolerance,1,0)</f>
        <v>0</v>
      </c>
      <c r="AE95" s="278">
        <f ca="1">IF(ABS(R95-E95)&gt;SnapshotTolerance,1,0)</f>
        <v>0</v>
      </c>
      <c r="AF95" s="278">
        <f ca="1">IF(ABS(S95-F95)&gt;SnapshotTolerance,1,0)</f>
        <v>0</v>
      </c>
      <c r="AG95" s="278">
        <f ca="1">IF(ABS(T95-G95)&gt;SnapshotTolerance,1,0)</f>
        <v>0</v>
      </c>
      <c r="AH95" s="278">
        <f ca="1">IF(ABS(U95-H95)&gt;SnapshotTolerance,1,0)</f>
        <v>0</v>
      </c>
      <c r="AI95" s="278">
        <f ca="1">IF(ABS(V95-I95)&gt;SnapshotTolerance,1,0)</f>
        <v>0</v>
      </c>
      <c r="AJ95" s="278">
        <f ca="1">IF(ABS(W95-J95)&gt;SnapshotTolerance,1,0)</f>
        <v>0</v>
      </c>
      <c r="AK95" s="278">
        <f ca="1">IF(ABS(X95-K95)&gt;SnapshotTolerance,1,0)</f>
        <v>0</v>
      </c>
      <c r="AL95" s="278">
        <f ca="1">IF(ABS(Y95-L95)&gt;SnapshotTolerance,1,0)</f>
        <v>0</v>
      </c>
      <c r="AM95" s="279">
        <f ca="1">IF(ABS(Z95-M95)&gt;SnapshotTolerance,1,0)</f>
        <v>0</v>
      </c>
    </row>
    <row r="96" spans="2:39">
      <c r="B96" s="282" t="str">
        <f>'USD Swap PVs'!AG34</f>
        <v>9Y</v>
      </c>
      <c r="C96" s="278">
        <f ca="1">'USD Swap PVs'!AH34</f>
        <v>421837.7950781791</v>
      </c>
      <c r="D96" s="278">
        <f ca="1">'USD Swap PVs'!AI34</f>
        <v>337470.23606254335</v>
      </c>
      <c r="E96" s="278">
        <f ca="1">'USD Swap PVs'!AJ34</f>
        <v>253102.67704690748</v>
      </c>
      <c r="F96" s="278">
        <f ca="1">'USD Swap PVs'!AK34</f>
        <v>168735.11803127159</v>
      </c>
      <c r="G96" s="278">
        <f ca="1">'USD Swap PVs'!AL34</f>
        <v>84367.559015635838</v>
      </c>
      <c r="H96" s="278">
        <f ca="1">'USD Swap PVs'!AM34</f>
        <v>0</v>
      </c>
      <c r="I96" s="278">
        <f ca="1">'USD Swap PVs'!AN34</f>
        <v>-84367.559015635896</v>
      </c>
      <c r="J96" s="278">
        <f ca="1">'USD Swap PVs'!AO34</f>
        <v>-168735.11803127173</v>
      </c>
      <c r="K96" s="278">
        <f ca="1">'USD Swap PVs'!AP34</f>
        <v>-253102.6770469076</v>
      </c>
      <c r="L96" s="278">
        <f ca="1">'USD Swap PVs'!AQ34</f>
        <v>-337470.23606254341</v>
      </c>
      <c r="M96" s="279">
        <f ca="1">'USD Swap PVs'!AR34</f>
        <v>-421837.79507817933</v>
      </c>
      <c r="O96" s="282" t="s">
        <v>113</v>
      </c>
      <c r="P96" s="278">
        <v>421837.7950781791</v>
      </c>
      <c r="Q96" s="278">
        <v>337470.23606254335</v>
      </c>
      <c r="R96" s="278">
        <v>253102.67704690748</v>
      </c>
      <c r="S96" s="278">
        <v>168735.11803127159</v>
      </c>
      <c r="T96" s="278">
        <v>84367.559015635838</v>
      </c>
      <c r="U96" s="278">
        <v>0</v>
      </c>
      <c r="V96" s="278">
        <v>-84367.559015635896</v>
      </c>
      <c r="W96" s="278">
        <v>-168735.11803127173</v>
      </c>
      <c r="X96" s="278">
        <v>-253102.6770469076</v>
      </c>
      <c r="Y96" s="278">
        <v>-337470.23606254341</v>
      </c>
      <c r="Z96" s="279">
        <v>-421837.79507817933</v>
      </c>
      <c r="AB96" s="282" t="str">
        <f t="shared" si="7"/>
        <v>9Y</v>
      </c>
      <c r="AC96" s="278">
        <f ca="1">IF(ABS(P96-C96)&gt;SnapshotTolerance,1,0)</f>
        <v>0</v>
      </c>
      <c r="AD96" s="278">
        <f ca="1">IF(ABS(Q96-D96)&gt;SnapshotTolerance,1,0)</f>
        <v>0</v>
      </c>
      <c r="AE96" s="278">
        <f ca="1">IF(ABS(R96-E96)&gt;SnapshotTolerance,1,0)</f>
        <v>0</v>
      </c>
      <c r="AF96" s="278">
        <f ca="1">IF(ABS(S96-F96)&gt;SnapshotTolerance,1,0)</f>
        <v>0</v>
      </c>
      <c r="AG96" s="278">
        <f ca="1">IF(ABS(T96-G96)&gt;SnapshotTolerance,1,0)</f>
        <v>0</v>
      </c>
      <c r="AH96" s="278">
        <f ca="1">IF(ABS(U96-H96)&gt;SnapshotTolerance,1,0)</f>
        <v>0</v>
      </c>
      <c r="AI96" s="278">
        <f ca="1">IF(ABS(V96-I96)&gt;SnapshotTolerance,1,0)</f>
        <v>0</v>
      </c>
      <c r="AJ96" s="278">
        <f ca="1">IF(ABS(W96-J96)&gt;SnapshotTolerance,1,0)</f>
        <v>0</v>
      </c>
      <c r="AK96" s="278">
        <f ca="1">IF(ABS(X96-K96)&gt;SnapshotTolerance,1,0)</f>
        <v>0</v>
      </c>
      <c r="AL96" s="278">
        <f ca="1">IF(ABS(Y96-L96)&gt;SnapshotTolerance,1,0)</f>
        <v>0</v>
      </c>
      <c r="AM96" s="279">
        <f ca="1">IF(ABS(Z96-M96)&gt;SnapshotTolerance,1,0)</f>
        <v>0</v>
      </c>
    </row>
    <row r="97" spans="2:39">
      <c r="B97" s="282" t="str">
        <f>'USD Swap PVs'!AG35</f>
        <v>10Y</v>
      </c>
      <c r="C97" s="278">
        <f ca="1">'USD Swap PVs'!AH35</f>
        <v>462388.14162659715</v>
      </c>
      <c r="D97" s="278">
        <f ca="1">'USD Swap PVs'!AI35</f>
        <v>369910.51330127788</v>
      </c>
      <c r="E97" s="278">
        <f ca="1">'USD Swap PVs'!AJ35</f>
        <v>277432.88497595832</v>
      </c>
      <c r="F97" s="278">
        <f ca="1">'USD Swap PVs'!AK35</f>
        <v>184955.25665063885</v>
      </c>
      <c r="G97" s="278">
        <f ca="1">'USD Swap PVs'!AL35</f>
        <v>92477.628325319383</v>
      </c>
      <c r="H97" s="278">
        <f ca="1">'USD Swap PVs'!AM35</f>
        <v>-2.7755575615628914E-11</v>
      </c>
      <c r="I97" s="278">
        <f ca="1">'USD Swap PVs'!AN35</f>
        <v>-92477.628325319558</v>
      </c>
      <c r="J97" s="278">
        <f ca="1">'USD Swap PVs'!AO35</f>
        <v>-184955.25665063903</v>
      </c>
      <c r="K97" s="278">
        <f ca="1">'USD Swap PVs'!AP35</f>
        <v>-277432.8849759585</v>
      </c>
      <c r="L97" s="278">
        <f ca="1">'USD Swap PVs'!AQ35</f>
        <v>-369910.51330127788</v>
      </c>
      <c r="M97" s="279">
        <f ca="1">'USD Swap PVs'!AR35</f>
        <v>-462388.1416265975</v>
      </c>
      <c r="O97" s="282" t="s">
        <v>28</v>
      </c>
      <c r="P97" s="278">
        <v>462388.14162659715</v>
      </c>
      <c r="Q97" s="278">
        <v>369910.51330127788</v>
      </c>
      <c r="R97" s="278">
        <v>277432.88497595832</v>
      </c>
      <c r="S97" s="278">
        <v>184955.25665063885</v>
      </c>
      <c r="T97" s="278">
        <v>92477.628325319383</v>
      </c>
      <c r="U97" s="278">
        <v>-2.7755575615628914E-11</v>
      </c>
      <c r="V97" s="278">
        <v>-92477.628325319558</v>
      </c>
      <c r="W97" s="278">
        <v>-184955.25665063903</v>
      </c>
      <c r="X97" s="278">
        <v>-277432.8849759585</v>
      </c>
      <c r="Y97" s="278">
        <v>-369910.51330127788</v>
      </c>
      <c r="Z97" s="279">
        <v>-462388.1416265975</v>
      </c>
      <c r="AB97" s="282" t="str">
        <f t="shared" si="7"/>
        <v>10Y</v>
      </c>
      <c r="AC97" s="278">
        <f ca="1">IF(ABS(P97-C97)&gt;SnapshotTolerance,1,0)</f>
        <v>0</v>
      </c>
      <c r="AD97" s="278">
        <f ca="1">IF(ABS(Q97-D97)&gt;SnapshotTolerance,1,0)</f>
        <v>0</v>
      </c>
      <c r="AE97" s="278">
        <f ca="1">IF(ABS(R97-E97)&gt;SnapshotTolerance,1,0)</f>
        <v>0</v>
      </c>
      <c r="AF97" s="278">
        <f ca="1">IF(ABS(S97-F97)&gt;SnapshotTolerance,1,0)</f>
        <v>0</v>
      </c>
      <c r="AG97" s="278">
        <f ca="1">IF(ABS(T97-G97)&gt;SnapshotTolerance,1,0)</f>
        <v>0</v>
      </c>
      <c r="AH97" s="278">
        <f ca="1">IF(ABS(U97-H97)&gt;SnapshotTolerance,1,0)</f>
        <v>0</v>
      </c>
      <c r="AI97" s="278">
        <f ca="1">IF(ABS(V97-I97)&gt;SnapshotTolerance,1,0)</f>
        <v>0</v>
      </c>
      <c r="AJ97" s="278">
        <f ca="1">IF(ABS(W97-J97)&gt;SnapshotTolerance,1,0)</f>
        <v>0</v>
      </c>
      <c r="AK97" s="278">
        <f ca="1">IF(ABS(X97-K97)&gt;SnapshotTolerance,1,0)</f>
        <v>0</v>
      </c>
      <c r="AL97" s="278">
        <f ca="1">IF(ABS(Y97-L97)&gt;SnapshotTolerance,1,0)</f>
        <v>0</v>
      </c>
      <c r="AM97" s="279">
        <f ca="1">IF(ABS(Z97-M97)&gt;SnapshotTolerance,1,0)</f>
        <v>0</v>
      </c>
    </row>
    <row r="98" spans="2:39">
      <c r="B98" s="282" t="str">
        <f>'USD Swap PVs'!AG36</f>
        <v>11Y</v>
      </c>
      <c r="C98" s="278">
        <f ca="1">'USD Swap PVs'!AH36</f>
        <v>501653.5734094315</v>
      </c>
      <c r="D98" s="278">
        <f ca="1">'USD Swap PVs'!AI36</f>
        <v>401322.85872754548</v>
      </c>
      <c r="E98" s="278">
        <f ca="1">'USD Swap PVs'!AJ36</f>
        <v>300992.14404565899</v>
      </c>
      <c r="F98" s="278">
        <f ca="1">'USD Swap PVs'!AK36</f>
        <v>200661.42936377268</v>
      </c>
      <c r="G98" s="278">
        <f ca="1">'USD Swap PVs'!AL36</f>
        <v>100330.71468188631</v>
      </c>
      <c r="H98" s="278">
        <f ca="1">'USD Swap PVs'!AM36</f>
        <v>0</v>
      </c>
      <c r="I98" s="278">
        <f ca="1">'USD Swap PVs'!AN36</f>
        <v>-100330.71468188643</v>
      </c>
      <c r="J98" s="278">
        <f ca="1">'USD Swap PVs'!AO36</f>
        <v>-200661.4293637728</v>
      </c>
      <c r="K98" s="278">
        <f ca="1">'USD Swap PVs'!AP36</f>
        <v>-300992.14404565917</v>
      </c>
      <c r="L98" s="278">
        <f ca="1">'USD Swap PVs'!AQ36</f>
        <v>-401322.85872754548</v>
      </c>
      <c r="M98" s="279">
        <f ca="1">'USD Swap PVs'!AR36</f>
        <v>-501653.57340943185</v>
      </c>
      <c r="O98" s="282" t="s">
        <v>366</v>
      </c>
      <c r="P98" s="278">
        <v>501653.5734094315</v>
      </c>
      <c r="Q98" s="278">
        <v>401322.85872754548</v>
      </c>
      <c r="R98" s="278">
        <v>300992.14404565899</v>
      </c>
      <c r="S98" s="278">
        <v>200661.42936377268</v>
      </c>
      <c r="T98" s="278">
        <v>100330.71468188631</v>
      </c>
      <c r="U98" s="278">
        <v>0</v>
      </c>
      <c r="V98" s="278">
        <v>-100330.71468188643</v>
      </c>
      <c r="W98" s="278">
        <v>-200661.4293637728</v>
      </c>
      <c r="X98" s="278">
        <v>-300992.14404565917</v>
      </c>
      <c r="Y98" s="278">
        <v>-401322.85872754548</v>
      </c>
      <c r="Z98" s="279">
        <v>-501653.57340943185</v>
      </c>
      <c r="AB98" s="282" t="str">
        <f t="shared" si="7"/>
        <v>11Y</v>
      </c>
      <c r="AC98" s="278">
        <f ca="1">IF(ABS(P98-C98)&gt;SnapshotTolerance,1,0)</f>
        <v>0</v>
      </c>
      <c r="AD98" s="278">
        <f ca="1">IF(ABS(Q98-D98)&gt;SnapshotTolerance,1,0)</f>
        <v>0</v>
      </c>
      <c r="AE98" s="278">
        <f ca="1">IF(ABS(R98-E98)&gt;SnapshotTolerance,1,0)</f>
        <v>0</v>
      </c>
      <c r="AF98" s="278">
        <f ca="1">IF(ABS(S98-F98)&gt;SnapshotTolerance,1,0)</f>
        <v>0</v>
      </c>
      <c r="AG98" s="278">
        <f ca="1">IF(ABS(T98-G98)&gt;SnapshotTolerance,1,0)</f>
        <v>0</v>
      </c>
      <c r="AH98" s="278">
        <f ca="1">IF(ABS(U98-H98)&gt;SnapshotTolerance,1,0)</f>
        <v>0</v>
      </c>
      <c r="AI98" s="278">
        <f ca="1">IF(ABS(V98-I98)&gt;SnapshotTolerance,1,0)</f>
        <v>0</v>
      </c>
      <c r="AJ98" s="278">
        <f ca="1">IF(ABS(W98-J98)&gt;SnapshotTolerance,1,0)</f>
        <v>0</v>
      </c>
      <c r="AK98" s="278">
        <f ca="1">IF(ABS(X98-K98)&gt;SnapshotTolerance,1,0)</f>
        <v>0</v>
      </c>
      <c r="AL98" s="278">
        <f ca="1">IF(ABS(Y98-L98)&gt;SnapshotTolerance,1,0)</f>
        <v>0</v>
      </c>
      <c r="AM98" s="279">
        <f ca="1">IF(ABS(Z98-M98)&gt;SnapshotTolerance,1,0)</f>
        <v>0</v>
      </c>
    </row>
    <row r="99" spans="2:39">
      <c r="B99" s="282" t="str">
        <f>'USD Swap PVs'!AG37</f>
        <v>12Y</v>
      </c>
      <c r="C99" s="278">
        <f ca="1">'USD Swap PVs'!AH37</f>
        <v>539672.51174194447</v>
      </c>
      <c r="D99" s="278">
        <f ca="1">'USD Swap PVs'!AI37</f>
        <v>431738.00939355581</v>
      </c>
      <c r="E99" s="278">
        <f ca="1">'USD Swap PVs'!AJ37</f>
        <v>323803.50704516686</v>
      </c>
      <c r="F99" s="278">
        <f ca="1">'USD Swap PVs'!AK37</f>
        <v>215869.00469677785</v>
      </c>
      <c r="G99" s="278">
        <f ca="1">'USD Swap PVs'!AL37</f>
        <v>107934.50234838887</v>
      </c>
      <c r="H99" s="278">
        <f ca="1">'USD Swap PVs'!AM37</f>
        <v>0</v>
      </c>
      <c r="I99" s="278">
        <f ca="1">'USD Swap PVs'!AN37</f>
        <v>-107934.50234838911</v>
      </c>
      <c r="J99" s="278">
        <f ca="1">'USD Swap PVs'!AO37</f>
        <v>-215869.00469677811</v>
      </c>
      <c r="K99" s="278">
        <f ca="1">'USD Swap PVs'!AP37</f>
        <v>-323803.50704516709</v>
      </c>
      <c r="L99" s="278">
        <f ca="1">'USD Swap PVs'!AQ37</f>
        <v>-431738.00939355599</v>
      </c>
      <c r="M99" s="279">
        <f ca="1">'USD Swap PVs'!AR37</f>
        <v>-539672.51174194494</v>
      </c>
      <c r="O99" s="282" t="s">
        <v>26</v>
      </c>
      <c r="P99" s="278">
        <v>539672.51174194447</v>
      </c>
      <c r="Q99" s="278">
        <v>431738.00939355581</v>
      </c>
      <c r="R99" s="278">
        <v>323803.50704516686</v>
      </c>
      <c r="S99" s="278">
        <v>215869.00469677785</v>
      </c>
      <c r="T99" s="278">
        <v>107934.50234838887</v>
      </c>
      <c r="U99" s="278">
        <v>0</v>
      </c>
      <c r="V99" s="278">
        <v>-107934.50234838911</v>
      </c>
      <c r="W99" s="278">
        <v>-215869.00469677811</v>
      </c>
      <c r="X99" s="278">
        <v>-323803.50704516709</v>
      </c>
      <c r="Y99" s="278">
        <v>-431738.00939355599</v>
      </c>
      <c r="Z99" s="279">
        <v>-539672.51174194494</v>
      </c>
      <c r="AB99" s="282" t="str">
        <f t="shared" si="7"/>
        <v>12Y</v>
      </c>
      <c r="AC99" s="278">
        <f ca="1">IF(ABS(P99-C99)&gt;SnapshotTolerance,1,0)</f>
        <v>0</v>
      </c>
      <c r="AD99" s="278">
        <f ca="1">IF(ABS(Q99-D99)&gt;SnapshotTolerance,1,0)</f>
        <v>0</v>
      </c>
      <c r="AE99" s="278">
        <f ca="1">IF(ABS(R99-E99)&gt;SnapshotTolerance,1,0)</f>
        <v>0</v>
      </c>
      <c r="AF99" s="278">
        <f ca="1">IF(ABS(S99-F99)&gt;SnapshotTolerance,1,0)</f>
        <v>0</v>
      </c>
      <c r="AG99" s="278">
        <f ca="1">IF(ABS(T99-G99)&gt;SnapshotTolerance,1,0)</f>
        <v>0</v>
      </c>
      <c r="AH99" s="278">
        <f ca="1">IF(ABS(U99-H99)&gt;SnapshotTolerance,1,0)</f>
        <v>0</v>
      </c>
      <c r="AI99" s="278">
        <f ca="1">IF(ABS(V99-I99)&gt;SnapshotTolerance,1,0)</f>
        <v>0</v>
      </c>
      <c r="AJ99" s="278">
        <f ca="1">IF(ABS(W99-J99)&gt;SnapshotTolerance,1,0)</f>
        <v>0</v>
      </c>
      <c r="AK99" s="278">
        <f ca="1">IF(ABS(X99-K99)&gt;SnapshotTolerance,1,0)</f>
        <v>0</v>
      </c>
      <c r="AL99" s="278">
        <f ca="1">IF(ABS(Y99-L99)&gt;SnapshotTolerance,1,0)</f>
        <v>0</v>
      </c>
      <c r="AM99" s="279">
        <f ca="1">IF(ABS(Z99-M99)&gt;SnapshotTolerance,1,0)</f>
        <v>0</v>
      </c>
    </row>
    <row r="100" spans="2:39">
      <c r="B100" s="282" t="str">
        <f>'USD Swap PVs'!AG38</f>
        <v>15Y</v>
      </c>
      <c r="C100" s="278">
        <f ca="1">'USD Swap PVs'!AH38</f>
        <v>646763.03135862458</v>
      </c>
      <c r="D100" s="278">
        <f ca="1">'USD Swap PVs'!AI38</f>
        <v>517410.42508690007</v>
      </c>
      <c r="E100" s="278">
        <f ca="1">'USD Swap PVs'!AJ38</f>
        <v>388057.81881517492</v>
      </c>
      <c r="F100" s="278">
        <f ca="1">'USD Swap PVs'!AK38</f>
        <v>258705.21254345009</v>
      </c>
      <c r="G100" s="278">
        <f ca="1">'USD Swap PVs'!AL38</f>
        <v>129352.60627172496</v>
      </c>
      <c r="H100" s="278">
        <f ca="1">'USD Swap PVs'!AM38</f>
        <v>0</v>
      </c>
      <c r="I100" s="278">
        <f ca="1">'USD Swap PVs'!AN38</f>
        <v>-129352.60627172515</v>
      </c>
      <c r="J100" s="278">
        <f ca="1">'USD Swap PVs'!AO38</f>
        <v>-258705.21254345018</v>
      </c>
      <c r="K100" s="278">
        <f ca="1">'USD Swap PVs'!AP38</f>
        <v>-388057.81881517521</v>
      </c>
      <c r="L100" s="278">
        <f ca="1">'USD Swap PVs'!AQ38</f>
        <v>-517410.42508690018</v>
      </c>
      <c r="M100" s="279">
        <f ca="1">'USD Swap PVs'!AR38</f>
        <v>-646763.03135862527</v>
      </c>
      <c r="O100" s="282" t="s">
        <v>24</v>
      </c>
      <c r="P100" s="278">
        <v>646763.03135862458</v>
      </c>
      <c r="Q100" s="278">
        <v>517410.42508690007</v>
      </c>
      <c r="R100" s="278">
        <v>388057.81881517492</v>
      </c>
      <c r="S100" s="278">
        <v>258705.21254345009</v>
      </c>
      <c r="T100" s="278">
        <v>129352.60627172496</v>
      </c>
      <c r="U100" s="278">
        <v>0</v>
      </c>
      <c r="V100" s="278">
        <v>-129352.60627172515</v>
      </c>
      <c r="W100" s="278">
        <v>-258705.21254345018</v>
      </c>
      <c r="X100" s="278">
        <v>-388057.81881517521</v>
      </c>
      <c r="Y100" s="278">
        <v>-517410.42508690018</v>
      </c>
      <c r="Z100" s="279">
        <v>-646763.03135862527</v>
      </c>
      <c r="AB100" s="282" t="str">
        <f t="shared" si="7"/>
        <v>15Y</v>
      </c>
      <c r="AC100" s="278">
        <f ca="1">IF(ABS(P100-C100)&gt;SnapshotTolerance,1,0)</f>
        <v>0</v>
      </c>
      <c r="AD100" s="278">
        <f ca="1">IF(ABS(Q100-D100)&gt;SnapshotTolerance,1,0)</f>
        <v>0</v>
      </c>
      <c r="AE100" s="278">
        <f ca="1">IF(ABS(R100-E100)&gt;SnapshotTolerance,1,0)</f>
        <v>0</v>
      </c>
      <c r="AF100" s="278">
        <f ca="1">IF(ABS(S100-F100)&gt;SnapshotTolerance,1,0)</f>
        <v>0</v>
      </c>
      <c r="AG100" s="278">
        <f ca="1">IF(ABS(T100-G100)&gt;SnapshotTolerance,1,0)</f>
        <v>0</v>
      </c>
      <c r="AH100" s="278">
        <f ca="1">IF(ABS(U100-H100)&gt;SnapshotTolerance,1,0)</f>
        <v>0</v>
      </c>
      <c r="AI100" s="278">
        <f ca="1">IF(ABS(V100-I100)&gt;SnapshotTolerance,1,0)</f>
        <v>0</v>
      </c>
      <c r="AJ100" s="278">
        <f ca="1">IF(ABS(W100-J100)&gt;SnapshotTolerance,1,0)</f>
        <v>0</v>
      </c>
      <c r="AK100" s="278">
        <f ca="1">IF(ABS(X100-K100)&gt;SnapshotTolerance,1,0)</f>
        <v>0</v>
      </c>
      <c r="AL100" s="278">
        <f ca="1">IF(ABS(Y100-L100)&gt;SnapshotTolerance,1,0)</f>
        <v>0</v>
      </c>
      <c r="AM100" s="279">
        <f ca="1">IF(ABS(Z100-M100)&gt;SnapshotTolerance,1,0)</f>
        <v>0</v>
      </c>
    </row>
    <row r="101" spans="2:39">
      <c r="B101" s="282" t="str">
        <f>'USD Swap PVs'!AG39</f>
        <v>20Y</v>
      </c>
      <c r="C101" s="278">
        <f ca="1">'USD Swap PVs'!AH39</f>
        <v>804037.6572551477</v>
      </c>
      <c r="D101" s="278">
        <f ca="1">'USD Swap PVs'!AI39</f>
        <v>643230.1258041187</v>
      </c>
      <c r="E101" s="278">
        <f ca="1">'USD Swap PVs'!AJ39</f>
        <v>482422.59435308882</v>
      </c>
      <c r="F101" s="278">
        <f ca="1">'USD Swap PVs'!AK39</f>
        <v>321615.06290205917</v>
      </c>
      <c r="G101" s="278">
        <f ca="1">'USD Swap PVs'!AL39</f>
        <v>160807.53145102982</v>
      </c>
      <c r="H101" s="278">
        <f ca="1">'USD Swap PVs'!AM39</f>
        <v>0</v>
      </c>
      <c r="I101" s="278">
        <f ca="1">'USD Swap PVs'!AN39</f>
        <v>-160807.53145102988</v>
      </c>
      <c r="J101" s="278">
        <f ca="1">'USD Swap PVs'!AO39</f>
        <v>-321615.06290205941</v>
      </c>
      <c r="K101" s="278">
        <f ca="1">'USD Swap PVs'!AP39</f>
        <v>-482422.59435308917</v>
      </c>
      <c r="L101" s="278">
        <f ca="1">'USD Swap PVs'!AQ39</f>
        <v>-643230.1258041187</v>
      </c>
      <c r="M101" s="279">
        <f ca="1">'USD Swap PVs'!AR39</f>
        <v>-804037.6572551484</v>
      </c>
      <c r="O101" s="282" t="s">
        <v>20</v>
      </c>
      <c r="P101" s="278">
        <v>804037.6572551477</v>
      </c>
      <c r="Q101" s="278">
        <v>643230.1258041187</v>
      </c>
      <c r="R101" s="278">
        <v>482422.59435308882</v>
      </c>
      <c r="S101" s="278">
        <v>321615.06290205917</v>
      </c>
      <c r="T101" s="278">
        <v>160807.53145102982</v>
      </c>
      <c r="U101" s="278">
        <v>0</v>
      </c>
      <c r="V101" s="278">
        <v>-160807.53145102988</v>
      </c>
      <c r="W101" s="278">
        <v>-321615.06290205941</v>
      </c>
      <c r="X101" s="278">
        <v>-482422.59435308917</v>
      </c>
      <c r="Y101" s="278">
        <v>-643230.1258041187</v>
      </c>
      <c r="Z101" s="279">
        <v>-804037.6572551484</v>
      </c>
      <c r="AB101" s="282" t="str">
        <f t="shared" si="7"/>
        <v>20Y</v>
      </c>
      <c r="AC101" s="278">
        <f ca="1">IF(ABS(P101-C101)&gt;SnapshotTolerance,1,0)</f>
        <v>0</v>
      </c>
      <c r="AD101" s="278">
        <f ca="1">IF(ABS(Q101-D101)&gt;SnapshotTolerance,1,0)</f>
        <v>0</v>
      </c>
      <c r="AE101" s="278">
        <f ca="1">IF(ABS(R101-E101)&gt;SnapshotTolerance,1,0)</f>
        <v>0</v>
      </c>
      <c r="AF101" s="278">
        <f ca="1">IF(ABS(S101-F101)&gt;SnapshotTolerance,1,0)</f>
        <v>0</v>
      </c>
      <c r="AG101" s="278">
        <f ca="1">IF(ABS(T101-G101)&gt;SnapshotTolerance,1,0)</f>
        <v>0</v>
      </c>
      <c r="AH101" s="278">
        <f ca="1">IF(ABS(U101-H101)&gt;SnapshotTolerance,1,0)</f>
        <v>0</v>
      </c>
      <c r="AI101" s="278">
        <f ca="1">IF(ABS(V101-I101)&gt;SnapshotTolerance,1,0)</f>
        <v>0</v>
      </c>
      <c r="AJ101" s="278">
        <f ca="1">IF(ABS(W101-J101)&gt;SnapshotTolerance,1,0)</f>
        <v>0</v>
      </c>
      <c r="AK101" s="278">
        <f ca="1">IF(ABS(X101-K101)&gt;SnapshotTolerance,1,0)</f>
        <v>0</v>
      </c>
      <c r="AL101" s="278">
        <f ca="1">IF(ABS(Y101-L101)&gt;SnapshotTolerance,1,0)</f>
        <v>0</v>
      </c>
      <c r="AM101" s="279">
        <f ca="1">IF(ABS(Z101-M101)&gt;SnapshotTolerance,1,0)</f>
        <v>0</v>
      </c>
    </row>
    <row r="102" spans="2:39">
      <c r="B102" s="282" t="str">
        <f>'USD Swap PVs'!AG40</f>
        <v>25Y</v>
      </c>
      <c r="C102" s="278">
        <f ca="1">'USD Swap PVs'!AH40</f>
        <v>938667.9200363959</v>
      </c>
      <c r="D102" s="278">
        <f ca="1">'USD Swap PVs'!AI40</f>
        <v>750934.3360291163</v>
      </c>
      <c r="E102" s="278">
        <f ca="1">'USD Swap PVs'!AJ40</f>
        <v>563200.75202183786</v>
      </c>
      <c r="F102" s="278">
        <f ca="1">'USD Swap PVs'!AK40</f>
        <v>375467.1680145585</v>
      </c>
      <c r="G102" s="278">
        <f ca="1">'USD Swap PVs'!AL40</f>
        <v>187733.5840072798</v>
      </c>
      <c r="H102" s="278">
        <f ca="1">'USD Swap PVs'!AM40</f>
        <v>0</v>
      </c>
      <c r="I102" s="278">
        <f ca="1">'USD Swap PVs'!AN40</f>
        <v>-187733.58400727931</v>
      </c>
      <c r="J102" s="278">
        <f ca="1">'USD Swap PVs'!AO40</f>
        <v>-375467.16801455821</v>
      </c>
      <c r="K102" s="278">
        <f ca="1">'USD Swap PVs'!AP40</f>
        <v>-563200.7520218374</v>
      </c>
      <c r="L102" s="278">
        <f ca="1">'USD Swap PVs'!AQ40</f>
        <v>-750934.33602911641</v>
      </c>
      <c r="M102" s="279">
        <f ca="1">'USD Swap PVs'!AR40</f>
        <v>-938667.92003639566</v>
      </c>
      <c r="O102" s="282" t="s">
        <v>18</v>
      </c>
      <c r="P102" s="278">
        <v>938667.9200363959</v>
      </c>
      <c r="Q102" s="278">
        <v>750934.3360291163</v>
      </c>
      <c r="R102" s="278">
        <v>563200.75202183786</v>
      </c>
      <c r="S102" s="278">
        <v>375467.1680145585</v>
      </c>
      <c r="T102" s="278">
        <v>187733.5840072798</v>
      </c>
      <c r="U102" s="278">
        <v>0</v>
      </c>
      <c r="V102" s="278">
        <v>-187733.58400727931</v>
      </c>
      <c r="W102" s="278">
        <v>-375467.16801455821</v>
      </c>
      <c r="X102" s="278">
        <v>-563200.7520218374</v>
      </c>
      <c r="Y102" s="278">
        <v>-750934.33602911641</v>
      </c>
      <c r="Z102" s="279">
        <v>-938667.92003639566</v>
      </c>
      <c r="AB102" s="282" t="str">
        <f t="shared" si="7"/>
        <v>25Y</v>
      </c>
      <c r="AC102" s="278">
        <f ca="1">IF(ABS(P102-C102)&gt;SnapshotTolerance,1,0)</f>
        <v>0</v>
      </c>
      <c r="AD102" s="278">
        <f ca="1">IF(ABS(Q102-D102)&gt;SnapshotTolerance,1,0)</f>
        <v>0</v>
      </c>
      <c r="AE102" s="278">
        <f ca="1">IF(ABS(R102-E102)&gt;SnapshotTolerance,1,0)</f>
        <v>0</v>
      </c>
      <c r="AF102" s="278">
        <f ca="1">IF(ABS(S102-F102)&gt;SnapshotTolerance,1,0)</f>
        <v>0</v>
      </c>
      <c r="AG102" s="278">
        <f ca="1">IF(ABS(T102-G102)&gt;SnapshotTolerance,1,0)</f>
        <v>0</v>
      </c>
      <c r="AH102" s="278">
        <f ca="1">IF(ABS(U102-H102)&gt;SnapshotTolerance,1,0)</f>
        <v>0</v>
      </c>
      <c r="AI102" s="278">
        <f ca="1">IF(ABS(V102-I102)&gt;SnapshotTolerance,1,0)</f>
        <v>0</v>
      </c>
      <c r="AJ102" s="278">
        <f ca="1">IF(ABS(W102-J102)&gt;SnapshotTolerance,1,0)</f>
        <v>0</v>
      </c>
      <c r="AK102" s="278">
        <f ca="1">IF(ABS(X102-K102)&gt;SnapshotTolerance,1,0)</f>
        <v>0</v>
      </c>
      <c r="AL102" s="278">
        <f ca="1">IF(ABS(Y102-L102)&gt;SnapshotTolerance,1,0)</f>
        <v>0</v>
      </c>
      <c r="AM102" s="279">
        <f ca="1">IF(ABS(Z102-M102)&gt;SnapshotTolerance,1,0)</f>
        <v>0</v>
      </c>
    </row>
    <row r="103" spans="2:39">
      <c r="B103" s="282" t="str">
        <f>'USD Swap PVs'!AG41</f>
        <v>30Y</v>
      </c>
      <c r="C103" s="278">
        <f ca="1">'USD Swap PVs'!AH41</f>
        <v>1054277.238813408</v>
      </c>
      <c r="D103" s="278">
        <f ca="1">'USD Swap PVs'!AI41</f>
        <v>843421.79105072562</v>
      </c>
      <c r="E103" s="278">
        <f ca="1">'USD Swap PVs'!AJ41</f>
        <v>632566.34328804526</v>
      </c>
      <c r="F103" s="278">
        <f ca="1">'USD Swap PVs'!AK41</f>
        <v>421710.89552536298</v>
      </c>
      <c r="G103" s="278">
        <f ca="1">'USD Swap PVs'!AL41</f>
        <v>210855.44776268251</v>
      </c>
      <c r="H103" s="278">
        <f ca="1">'USD Swap PVs'!AM41</f>
        <v>0</v>
      </c>
      <c r="I103" s="278">
        <f ca="1">'USD Swap PVs'!AN41</f>
        <v>-210855.44776268149</v>
      </c>
      <c r="J103" s="278">
        <f ca="1">'USD Swap PVs'!AO41</f>
        <v>-421710.89552536281</v>
      </c>
      <c r="K103" s="278">
        <f ca="1">'USD Swap PVs'!AP41</f>
        <v>-632566.34328804445</v>
      </c>
      <c r="L103" s="278">
        <f ca="1">'USD Swap PVs'!AQ41</f>
        <v>-843421.79105072573</v>
      </c>
      <c r="M103" s="279">
        <f ca="1">'USD Swap PVs'!AR41</f>
        <v>-1054277.2388134075</v>
      </c>
      <c r="O103" s="282" t="s">
        <v>17</v>
      </c>
      <c r="P103" s="278">
        <v>1054277.238813408</v>
      </c>
      <c r="Q103" s="278">
        <v>843421.79105072562</v>
      </c>
      <c r="R103" s="278">
        <v>632566.34328804526</v>
      </c>
      <c r="S103" s="278">
        <v>421710.89552536298</v>
      </c>
      <c r="T103" s="278">
        <v>210855.44776268251</v>
      </c>
      <c r="U103" s="278">
        <v>0</v>
      </c>
      <c r="V103" s="278">
        <v>-210855.44776268149</v>
      </c>
      <c r="W103" s="278">
        <v>-421710.89552536281</v>
      </c>
      <c r="X103" s="278">
        <v>-632566.34328804445</v>
      </c>
      <c r="Y103" s="278">
        <v>-843421.79105072573</v>
      </c>
      <c r="Z103" s="279">
        <v>-1054277.2388134075</v>
      </c>
      <c r="AB103" s="282" t="str">
        <f t="shared" si="7"/>
        <v>30Y</v>
      </c>
      <c r="AC103" s="278">
        <f ca="1">IF(ABS(P103-C103)&gt;SnapshotTolerance,1,0)</f>
        <v>0</v>
      </c>
      <c r="AD103" s="278">
        <f ca="1">IF(ABS(Q103-D103)&gt;SnapshotTolerance,1,0)</f>
        <v>0</v>
      </c>
      <c r="AE103" s="278">
        <f ca="1">IF(ABS(R103-E103)&gt;SnapshotTolerance,1,0)</f>
        <v>0</v>
      </c>
      <c r="AF103" s="278">
        <f ca="1">IF(ABS(S103-F103)&gt;SnapshotTolerance,1,0)</f>
        <v>0</v>
      </c>
      <c r="AG103" s="278">
        <f ca="1">IF(ABS(T103-G103)&gt;SnapshotTolerance,1,0)</f>
        <v>0</v>
      </c>
      <c r="AH103" s="278">
        <f ca="1">IF(ABS(U103-H103)&gt;SnapshotTolerance,1,0)</f>
        <v>0</v>
      </c>
      <c r="AI103" s="278">
        <f ca="1">IF(ABS(V103-I103)&gt;SnapshotTolerance,1,0)</f>
        <v>0</v>
      </c>
      <c r="AJ103" s="278">
        <f ca="1">IF(ABS(W103-J103)&gt;SnapshotTolerance,1,0)</f>
        <v>0</v>
      </c>
      <c r="AK103" s="278">
        <f ca="1">IF(ABS(X103-K103)&gt;SnapshotTolerance,1,0)</f>
        <v>0</v>
      </c>
      <c r="AL103" s="278">
        <f ca="1">IF(ABS(Y103-L103)&gt;SnapshotTolerance,1,0)</f>
        <v>0</v>
      </c>
      <c r="AM103" s="279">
        <f ca="1">IF(ABS(Z103-M103)&gt;SnapshotTolerance,1,0)</f>
        <v>0</v>
      </c>
    </row>
    <row r="104" spans="2:39">
      <c r="B104" s="282" t="str">
        <f>'USD Swap PVs'!AG42</f>
        <v>40Y</v>
      </c>
      <c r="C104" s="278">
        <f ca="1">'USD Swap PVs'!AH42</f>
        <v>1239840.6415149074</v>
      </c>
      <c r="D104" s="278">
        <f ca="1">'USD Swap PVs'!AI42</f>
        <v>991872.51321192575</v>
      </c>
      <c r="E104" s="278">
        <f ca="1">'USD Swap PVs'!AJ42</f>
        <v>743904.38490894553</v>
      </c>
      <c r="F104" s="278">
        <f ca="1">'USD Swap PVs'!AK42</f>
        <v>495936.25660596328</v>
      </c>
      <c r="G104" s="278">
        <f ca="1">'USD Swap PVs'!AL42</f>
        <v>247968.12830298286</v>
      </c>
      <c r="H104" s="278">
        <f ca="1">'USD Swap PVs'!AM42</f>
        <v>0</v>
      </c>
      <c r="I104" s="278">
        <f ca="1">'USD Swap PVs'!AN42</f>
        <v>-247968.12830298138</v>
      </c>
      <c r="J104" s="278">
        <f ca="1">'USD Swap PVs'!AO42</f>
        <v>-495936.25660596264</v>
      </c>
      <c r="K104" s="278">
        <f ca="1">'USD Swap PVs'!AP42</f>
        <v>-743904.38490894414</v>
      </c>
      <c r="L104" s="278">
        <f ca="1">'USD Swap PVs'!AQ42</f>
        <v>-991872.51321192551</v>
      </c>
      <c r="M104" s="279">
        <f ca="1">'USD Swap PVs'!AR42</f>
        <v>-1239840.6415149071</v>
      </c>
      <c r="O104" s="282" t="s">
        <v>15</v>
      </c>
      <c r="P104" s="278">
        <v>1239840.6415149074</v>
      </c>
      <c r="Q104" s="278">
        <v>991872.51321192575</v>
      </c>
      <c r="R104" s="278">
        <v>743904.38490894553</v>
      </c>
      <c r="S104" s="278">
        <v>495936.25660596328</v>
      </c>
      <c r="T104" s="278">
        <v>247968.12830298286</v>
      </c>
      <c r="U104" s="278">
        <v>0</v>
      </c>
      <c r="V104" s="278">
        <v>-247968.12830298138</v>
      </c>
      <c r="W104" s="278">
        <v>-495936.25660596264</v>
      </c>
      <c r="X104" s="278">
        <v>-743904.38490894414</v>
      </c>
      <c r="Y104" s="278">
        <v>-991872.51321192551</v>
      </c>
      <c r="Z104" s="279">
        <v>-1239840.6415149071</v>
      </c>
      <c r="AB104" s="282" t="str">
        <f t="shared" si="7"/>
        <v>40Y</v>
      </c>
      <c r="AC104" s="278">
        <f ca="1">IF(ABS(P104-C104)&gt;SnapshotTolerance,1,0)</f>
        <v>0</v>
      </c>
      <c r="AD104" s="278">
        <f ca="1">IF(ABS(Q104-D104)&gt;SnapshotTolerance,1,0)</f>
        <v>0</v>
      </c>
      <c r="AE104" s="278">
        <f ca="1">IF(ABS(R104-E104)&gt;SnapshotTolerance,1,0)</f>
        <v>0</v>
      </c>
      <c r="AF104" s="278">
        <f ca="1">IF(ABS(S104-F104)&gt;SnapshotTolerance,1,0)</f>
        <v>0</v>
      </c>
      <c r="AG104" s="278">
        <f ca="1">IF(ABS(T104-G104)&gt;SnapshotTolerance,1,0)</f>
        <v>0</v>
      </c>
      <c r="AH104" s="278">
        <f ca="1">IF(ABS(U104-H104)&gt;SnapshotTolerance,1,0)</f>
        <v>0</v>
      </c>
      <c r="AI104" s="278">
        <f ca="1">IF(ABS(V104-I104)&gt;SnapshotTolerance,1,0)</f>
        <v>0</v>
      </c>
      <c r="AJ104" s="278">
        <f ca="1">IF(ABS(W104-J104)&gt;SnapshotTolerance,1,0)</f>
        <v>0</v>
      </c>
      <c r="AK104" s="278">
        <f ca="1">IF(ABS(X104-K104)&gt;SnapshotTolerance,1,0)</f>
        <v>0</v>
      </c>
      <c r="AL104" s="278">
        <f ca="1">IF(ABS(Y104-L104)&gt;SnapshotTolerance,1,0)</f>
        <v>0</v>
      </c>
      <c r="AM104" s="279">
        <f ca="1">IF(ABS(Z104-M104)&gt;SnapshotTolerance,1,0)</f>
        <v>0</v>
      </c>
    </row>
    <row r="105" spans="2:39">
      <c r="B105" s="282" t="str">
        <f>'USD Swap PVs'!AG43</f>
        <v>50Y</v>
      </c>
      <c r="C105" s="278">
        <f ca="1">'USD Swap PVs'!AH43</f>
        <v>1381003.7389991141</v>
      </c>
      <c r="D105" s="278">
        <f ca="1">'USD Swap PVs'!AI43</f>
        <v>1104802.9911992913</v>
      </c>
      <c r="E105" s="278">
        <f ca="1">'USD Swap PVs'!AJ43</f>
        <v>828602.24339946965</v>
      </c>
      <c r="F105" s="278">
        <f ca="1">'USD Swap PVs'!AK43</f>
        <v>552401.49559964647</v>
      </c>
      <c r="G105" s="278">
        <f ca="1">'USD Swap PVs'!AL43</f>
        <v>276200.74779982487</v>
      </c>
      <c r="H105" s="278">
        <f ca="1">'USD Swap PVs'!AM43</f>
        <v>0</v>
      </c>
      <c r="I105" s="278">
        <f ca="1">'USD Swap PVs'!AN43</f>
        <v>-276200.74779982283</v>
      </c>
      <c r="J105" s="278">
        <f ca="1">'USD Swap PVs'!AO43</f>
        <v>-552401.49559964542</v>
      </c>
      <c r="K105" s="278">
        <f ca="1">'USD Swap PVs'!AP43</f>
        <v>-828602.24339946848</v>
      </c>
      <c r="L105" s="278">
        <f ca="1">'USD Swap PVs'!AQ43</f>
        <v>-1104802.9911992911</v>
      </c>
      <c r="M105" s="279">
        <f ca="1">'USD Swap PVs'!AR43</f>
        <v>-1381003.7389991141</v>
      </c>
      <c r="O105" s="282" t="s">
        <v>14</v>
      </c>
      <c r="P105" s="278">
        <v>1381003.7389991141</v>
      </c>
      <c r="Q105" s="278">
        <v>1104802.9911992913</v>
      </c>
      <c r="R105" s="278">
        <v>828602.24339946965</v>
      </c>
      <c r="S105" s="278">
        <v>552401.49559964647</v>
      </c>
      <c r="T105" s="278">
        <v>276200.74779982487</v>
      </c>
      <c r="U105" s="278">
        <v>0</v>
      </c>
      <c r="V105" s="278">
        <v>-276200.74779982283</v>
      </c>
      <c r="W105" s="278">
        <v>-552401.49559964542</v>
      </c>
      <c r="X105" s="278">
        <v>-828602.24339946848</v>
      </c>
      <c r="Y105" s="278">
        <v>-1104802.9911992911</v>
      </c>
      <c r="Z105" s="279">
        <v>-1381003.7389991141</v>
      </c>
      <c r="AB105" s="282" t="str">
        <f t="shared" si="7"/>
        <v>50Y</v>
      </c>
      <c r="AC105" s="278">
        <f ca="1">IF(ABS(P105-C105)&gt;SnapshotTolerance,1,0)</f>
        <v>0</v>
      </c>
      <c r="AD105" s="278">
        <f ca="1">IF(ABS(Q105-D105)&gt;SnapshotTolerance,1,0)</f>
        <v>0</v>
      </c>
      <c r="AE105" s="278">
        <f ca="1">IF(ABS(R105-E105)&gt;SnapshotTolerance,1,0)</f>
        <v>0</v>
      </c>
      <c r="AF105" s="278">
        <f ca="1">IF(ABS(S105-F105)&gt;SnapshotTolerance,1,0)</f>
        <v>0</v>
      </c>
      <c r="AG105" s="278">
        <f ca="1">IF(ABS(T105-G105)&gt;SnapshotTolerance,1,0)</f>
        <v>0</v>
      </c>
      <c r="AH105" s="278">
        <f ca="1">IF(ABS(U105-H105)&gt;SnapshotTolerance,1,0)</f>
        <v>0</v>
      </c>
      <c r="AI105" s="278">
        <f ca="1">IF(ABS(V105-I105)&gt;SnapshotTolerance,1,0)</f>
        <v>0</v>
      </c>
      <c r="AJ105" s="278">
        <f ca="1">IF(ABS(W105-J105)&gt;SnapshotTolerance,1,0)</f>
        <v>0</v>
      </c>
      <c r="AK105" s="278">
        <f ca="1">IF(ABS(X105-K105)&gt;SnapshotTolerance,1,0)</f>
        <v>0</v>
      </c>
      <c r="AL105" s="278">
        <f ca="1">IF(ABS(Y105-L105)&gt;SnapshotTolerance,1,0)</f>
        <v>0</v>
      </c>
      <c r="AM105" s="279">
        <f ca="1">IF(ABS(Z105-M105)&gt;SnapshotTolerance,1,0)</f>
        <v>0</v>
      </c>
    </row>
    <row r="106" spans="2:39">
      <c r="B106" s="282"/>
      <c r="C106" s="278"/>
      <c r="D106" s="278"/>
      <c r="E106" s="278"/>
      <c r="F106" s="278"/>
      <c r="G106" s="278"/>
      <c r="H106" s="278"/>
      <c r="I106" s="278"/>
      <c r="J106" s="278"/>
      <c r="K106" s="278"/>
      <c r="L106" s="278"/>
      <c r="M106" s="279"/>
      <c r="O106" s="282"/>
      <c r="P106" s="278"/>
      <c r="Q106" s="278"/>
      <c r="R106" s="278"/>
      <c r="S106" s="278"/>
      <c r="T106" s="278"/>
      <c r="U106" s="278"/>
      <c r="V106" s="278"/>
      <c r="W106" s="278"/>
      <c r="X106" s="278"/>
      <c r="Y106" s="278"/>
      <c r="Z106" s="279"/>
      <c r="AB106" s="282"/>
      <c r="AC106" s="278"/>
      <c r="AD106" s="278"/>
      <c r="AE106" s="278"/>
      <c r="AF106" s="278"/>
      <c r="AG106" s="278"/>
      <c r="AH106" s="278"/>
      <c r="AI106" s="278"/>
      <c r="AJ106" s="278"/>
      <c r="AK106" s="278"/>
      <c r="AL106" s="278"/>
      <c r="AM106" s="279"/>
    </row>
    <row r="107" spans="2:39">
      <c r="B107" s="282"/>
      <c r="C107" s="278"/>
      <c r="D107" s="278"/>
      <c r="E107" s="278"/>
      <c r="F107" s="278"/>
      <c r="G107" s="278"/>
      <c r="H107" s="278"/>
      <c r="I107" s="278"/>
      <c r="J107" s="278"/>
      <c r="K107" s="278"/>
      <c r="L107" s="278"/>
      <c r="M107" s="279"/>
      <c r="O107" s="282"/>
      <c r="P107" s="278"/>
      <c r="Q107" s="278"/>
      <c r="R107" s="278"/>
      <c r="S107" s="278"/>
      <c r="T107" s="278"/>
      <c r="U107" s="278"/>
      <c r="V107" s="278"/>
      <c r="W107" s="278"/>
      <c r="X107" s="278"/>
      <c r="Y107" s="278"/>
      <c r="Z107" s="279"/>
      <c r="AB107" s="282"/>
      <c r="AC107" s="278"/>
      <c r="AD107" s="278"/>
      <c r="AE107" s="278"/>
      <c r="AF107" s="278"/>
      <c r="AG107" s="278"/>
      <c r="AH107" s="278"/>
      <c r="AI107" s="278"/>
      <c r="AJ107" s="278"/>
      <c r="AK107" s="278"/>
      <c r="AL107" s="278"/>
      <c r="AM107" s="279"/>
    </row>
    <row r="108" spans="2:39">
      <c r="B108" s="282"/>
      <c r="C108" s="278"/>
      <c r="D108" s="278"/>
      <c r="E108" s="278"/>
      <c r="F108" s="278"/>
      <c r="G108" s="278"/>
      <c r="H108" s="278"/>
      <c r="I108" s="278"/>
      <c r="J108" s="278"/>
      <c r="K108" s="278"/>
      <c r="L108" s="278"/>
      <c r="M108" s="279"/>
      <c r="O108" s="282"/>
      <c r="P108" s="278"/>
      <c r="Q108" s="278"/>
      <c r="R108" s="278"/>
      <c r="S108" s="278"/>
      <c r="T108" s="278"/>
      <c r="U108" s="278"/>
      <c r="V108" s="278"/>
      <c r="W108" s="278"/>
      <c r="X108" s="278"/>
      <c r="Y108" s="278"/>
      <c r="Z108" s="279"/>
      <c r="AB108" s="282"/>
      <c r="AC108" s="278"/>
      <c r="AD108" s="278"/>
      <c r="AE108" s="278"/>
      <c r="AF108" s="278"/>
      <c r="AG108" s="278"/>
      <c r="AH108" s="278"/>
      <c r="AI108" s="278"/>
      <c r="AJ108" s="278"/>
      <c r="AK108" s="278"/>
      <c r="AL108" s="278"/>
      <c r="AM108" s="279"/>
    </row>
    <row r="109" spans="2:39">
      <c r="B109" s="283"/>
      <c r="C109" s="280"/>
      <c r="D109" s="280"/>
      <c r="E109" s="280"/>
      <c r="F109" s="280"/>
      <c r="G109" s="280"/>
      <c r="H109" s="280"/>
      <c r="I109" s="280"/>
      <c r="J109" s="280"/>
      <c r="K109" s="280"/>
      <c r="L109" s="280"/>
      <c r="M109" s="281"/>
      <c r="O109" s="283"/>
      <c r="P109" s="280"/>
      <c r="Q109" s="280"/>
      <c r="R109" s="280"/>
      <c r="S109" s="280"/>
      <c r="T109" s="280"/>
      <c r="U109" s="280"/>
      <c r="V109" s="280"/>
      <c r="W109" s="280"/>
      <c r="X109" s="280"/>
      <c r="Y109" s="280"/>
      <c r="Z109" s="281"/>
      <c r="AB109" s="283"/>
      <c r="AC109" s="280"/>
      <c r="AD109" s="280"/>
      <c r="AE109" s="280"/>
      <c r="AF109" s="280"/>
      <c r="AG109" s="280"/>
      <c r="AH109" s="280"/>
      <c r="AI109" s="280"/>
      <c r="AJ109" s="280"/>
      <c r="AK109" s="280"/>
      <c r="AL109" s="280"/>
      <c r="AM109" s="281"/>
    </row>
    <row r="112" spans="2:39">
      <c r="B112" t="s">
        <v>533</v>
      </c>
      <c r="E112" t="s">
        <v>472</v>
      </c>
    </row>
    <row r="113" spans="2:39">
      <c r="B113" t="s">
        <v>528</v>
      </c>
      <c r="E113" s="252">
        <f ca="1">SUM(AC118:AM136)</f>
        <v>0</v>
      </c>
    </row>
    <row r="114" spans="2:39">
      <c r="B114" t="s">
        <v>529</v>
      </c>
    </row>
    <row r="116" spans="2:39">
      <c r="B116" t="s">
        <v>510</v>
      </c>
      <c r="O116" t="s">
        <v>470</v>
      </c>
      <c r="AB116" t="s">
        <v>511</v>
      </c>
    </row>
    <row r="117" spans="2:39">
      <c r="B117" s="254" t="str">
        <f>'USD Swap PVs'!M51</f>
        <v>Term</v>
      </c>
      <c r="C117" s="276">
        <f>'USD Swap PVs'!N51</f>
        <v>-0.05</v>
      </c>
      <c r="D117" s="276">
        <f>'USD Swap PVs'!O51</f>
        <v>-0.04</v>
      </c>
      <c r="E117" s="276">
        <f>'USD Swap PVs'!P51</f>
        <v>-0.03</v>
      </c>
      <c r="F117" s="276">
        <f>'USD Swap PVs'!Q51</f>
        <v>-1.9999999999999997E-2</v>
      </c>
      <c r="G117" s="276">
        <f>'USD Swap PVs'!R51</f>
        <v>-9.9999999999999967E-3</v>
      </c>
      <c r="H117" s="276">
        <f>'USD Swap PVs'!S51</f>
        <v>0</v>
      </c>
      <c r="I117" s="276">
        <f>'USD Swap PVs'!T51</f>
        <v>0.01</v>
      </c>
      <c r="J117" s="276">
        <f>'USD Swap PVs'!U51</f>
        <v>0.02</v>
      </c>
      <c r="K117" s="276">
        <f>'USD Swap PVs'!V51</f>
        <v>0.03</v>
      </c>
      <c r="L117" s="276">
        <f>'USD Swap PVs'!W51</f>
        <v>0.04</v>
      </c>
      <c r="M117" s="277">
        <f>'USD Swap PVs'!X51</f>
        <v>0.05</v>
      </c>
      <c r="O117" s="254" t="s">
        <v>76</v>
      </c>
      <c r="P117" s="276">
        <v>-0.05</v>
      </c>
      <c r="Q117" s="276">
        <v>-0.04</v>
      </c>
      <c r="R117" s="276">
        <v>-0.03</v>
      </c>
      <c r="S117" s="276">
        <v>-1.9999999999999997E-2</v>
      </c>
      <c r="T117" s="276">
        <v>-9.9999999999999967E-3</v>
      </c>
      <c r="U117" s="276">
        <v>0</v>
      </c>
      <c r="V117" s="276">
        <v>0.01</v>
      </c>
      <c r="W117" s="276">
        <v>0.02</v>
      </c>
      <c r="X117" s="276">
        <v>0.03</v>
      </c>
      <c r="Y117" s="276">
        <v>0.04</v>
      </c>
      <c r="Z117" s="277">
        <v>0.05</v>
      </c>
      <c r="AB117" s="254" t="str">
        <f>O117</f>
        <v>Term</v>
      </c>
      <c r="AC117" s="276">
        <f>P117</f>
        <v>-0.05</v>
      </c>
      <c r="AD117" s="276">
        <f t="shared" ref="AD117:AM117" si="8">Q117</f>
        <v>-0.04</v>
      </c>
      <c r="AE117" s="276">
        <f t="shared" si="8"/>
        <v>-0.03</v>
      </c>
      <c r="AF117" s="276">
        <f t="shared" si="8"/>
        <v>-1.9999999999999997E-2</v>
      </c>
      <c r="AG117" s="276">
        <f t="shared" si="8"/>
        <v>-9.9999999999999967E-3</v>
      </c>
      <c r="AH117" s="276">
        <f t="shared" si="8"/>
        <v>0</v>
      </c>
      <c r="AI117" s="276">
        <f t="shared" si="8"/>
        <v>0.01</v>
      </c>
      <c r="AJ117" s="276">
        <f t="shared" si="8"/>
        <v>0.02</v>
      </c>
      <c r="AK117" s="276">
        <f t="shared" si="8"/>
        <v>0.03</v>
      </c>
      <c r="AL117" s="276">
        <f t="shared" si="8"/>
        <v>0.04</v>
      </c>
      <c r="AM117" s="277">
        <f t="shared" si="8"/>
        <v>0.05</v>
      </c>
    </row>
    <row r="118" spans="2:39">
      <c r="B118" s="282" t="str">
        <f>'USD Swap PVs'!M52</f>
        <v>4Y</v>
      </c>
      <c r="C118" s="278">
        <f ca="1">'USD Swap PVs'!N52</f>
        <v>-195562.52171450306</v>
      </c>
      <c r="D118" s="278">
        <f ca="1">'USD Swap PVs'!O52</f>
        <v>-156450.01737160247</v>
      </c>
      <c r="E118" s="278">
        <f ca="1">'USD Swap PVs'!P52</f>
        <v>-117337.51302870184</v>
      </c>
      <c r="F118" s="278">
        <f ca="1">'USD Swap PVs'!Q52</f>
        <v>-78225.008685801222</v>
      </c>
      <c r="G118" s="278">
        <f ca="1">'USD Swap PVs'!R52</f>
        <v>-39112.504342900604</v>
      </c>
      <c r="H118" s="278">
        <f ca="1">'USD Swap PVs'!S52</f>
        <v>-6.9388939039072284E-12</v>
      </c>
      <c r="I118" s="278">
        <f ca="1">'USD Swap PVs'!T52</f>
        <v>39112.504342900611</v>
      </c>
      <c r="J118" s="278">
        <f ca="1">'USD Swap PVs'!U52</f>
        <v>78225.008685801207</v>
      </c>
      <c r="K118" s="278">
        <f ca="1">'USD Swap PVs'!V52</f>
        <v>117337.51302870183</v>
      </c>
      <c r="L118" s="278">
        <f ca="1">'USD Swap PVs'!W52</f>
        <v>156450.01737160244</v>
      </c>
      <c r="M118" s="279">
        <f ca="1">'USD Swap PVs'!X52</f>
        <v>195562.52171450303</v>
      </c>
      <c r="O118" s="282" t="s">
        <v>35</v>
      </c>
      <c r="P118" s="278">
        <v>-195562.52171450306</v>
      </c>
      <c r="Q118" s="278">
        <v>-156450.01737160247</v>
      </c>
      <c r="R118" s="278">
        <v>-117337.51302870184</v>
      </c>
      <c r="S118" s="278">
        <v>-78225.008685801222</v>
      </c>
      <c r="T118" s="278">
        <v>-39112.504342900604</v>
      </c>
      <c r="U118" s="278">
        <v>-6.9388939039072284E-12</v>
      </c>
      <c r="V118" s="278">
        <v>39112.504342900611</v>
      </c>
      <c r="W118" s="278">
        <v>78225.008685801207</v>
      </c>
      <c r="X118" s="278">
        <v>117337.51302870183</v>
      </c>
      <c r="Y118" s="278">
        <v>156450.01737160244</v>
      </c>
      <c r="Z118" s="279">
        <v>195562.52171450303</v>
      </c>
      <c r="AB118" s="282" t="str">
        <f t="shared" ref="AB118:AB136" si="9">O118</f>
        <v>4Y</v>
      </c>
      <c r="AC118" s="278">
        <f ca="1">IF(ABS(P118-C118)&gt;SnapshotTolerance,1,0)</f>
        <v>0</v>
      </c>
      <c r="AD118" s="278">
        <f ca="1">IF(ABS(Q118-D118)&gt;SnapshotTolerance,1,0)</f>
        <v>0</v>
      </c>
      <c r="AE118" s="278">
        <f ca="1">IF(ABS(R118-E118)&gt;SnapshotTolerance,1,0)</f>
        <v>0</v>
      </c>
      <c r="AF118" s="278">
        <f ca="1">IF(ABS(S118-F118)&gt;SnapshotTolerance,1,0)</f>
        <v>0</v>
      </c>
      <c r="AG118" s="278">
        <f ca="1">IF(ABS(T118-G118)&gt;SnapshotTolerance,1,0)</f>
        <v>0</v>
      </c>
      <c r="AH118" s="278">
        <f ca="1">IF(ABS(U118-H118)&gt;SnapshotTolerance,1,0)</f>
        <v>0</v>
      </c>
      <c r="AI118" s="278">
        <f ca="1">IF(ABS(V118-I118)&gt;SnapshotTolerance,1,0)</f>
        <v>0</v>
      </c>
      <c r="AJ118" s="278">
        <f ca="1">IF(ABS(W118-J118)&gt;SnapshotTolerance,1,0)</f>
        <v>0</v>
      </c>
      <c r="AK118" s="278">
        <f ca="1">IF(ABS(X118-K118)&gt;SnapshotTolerance,1,0)</f>
        <v>0</v>
      </c>
      <c r="AL118" s="278">
        <f ca="1">IF(ABS(Y118-L118)&gt;SnapshotTolerance,1,0)</f>
        <v>0</v>
      </c>
      <c r="AM118" s="279">
        <f ca="1">IF(ABS(Z118-M118)&gt;SnapshotTolerance,1,0)</f>
        <v>0</v>
      </c>
    </row>
    <row r="119" spans="2:39">
      <c r="B119" s="282" t="str">
        <f>'USD Swap PVs'!M53</f>
        <v>5Y</v>
      </c>
      <c r="C119" s="278">
        <f ca="1">'USD Swap PVs'!N53</f>
        <v>-241983.52432274871</v>
      </c>
      <c r="D119" s="278">
        <f ca="1">'USD Swap PVs'!O53</f>
        <v>-193586.819458199</v>
      </c>
      <c r="E119" s="278">
        <f ca="1">'USD Swap PVs'!P53</f>
        <v>-145190.11459364922</v>
      </c>
      <c r="F119" s="278">
        <f ca="1">'USD Swap PVs'!Q53</f>
        <v>-96793.409729099469</v>
      </c>
      <c r="G119" s="278">
        <f ca="1">'USD Swap PVs'!R53</f>
        <v>-48396.70486454972</v>
      </c>
      <c r="H119" s="278">
        <f ca="1">'USD Swap PVs'!S53</f>
        <v>1.3877787807814457E-11</v>
      </c>
      <c r="I119" s="278">
        <f ca="1">'USD Swap PVs'!T53</f>
        <v>48396.704864549749</v>
      </c>
      <c r="J119" s="278">
        <f ca="1">'USD Swap PVs'!U53</f>
        <v>96793.409729099498</v>
      </c>
      <c r="K119" s="278">
        <f ca="1">'USD Swap PVs'!V53</f>
        <v>145190.11459364928</v>
      </c>
      <c r="L119" s="278">
        <f ca="1">'USD Swap PVs'!W53</f>
        <v>193586.81945819897</v>
      </c>
      <c r="M119" s="279">
        <f ca="1">'USD Swap PVs'!X53</f>
        <v>241983.5243227488</v>
      </c>
      <c r="O119" s="282" t="s">
        <v>33</v>
      </c>
      <c r="P119" s="278">
        <v>-241983.52432274871</v>
      </c>
      <c r="Q119" s="278">
        <v>-193586.819458199</v>
      </c>
      <c r="R119" s="278">
        <v>-145190.11459364922</v>
      </c>
      <c r="S119" s="278">
        <v>-96793.409729099469</v>
      </c>
      <c r="T119" s="278">
        <v>-48396.70486454972</v>
      </c>
      <c r="U119" s="278">
        <v>1.3877787807814457E-11</v>
      </c>
      <c r="V119" s="278">
        <v>48396.704864549749</v>
      </c>
      <c r="W119" s="278">
        <v>96793.409729099498</v>
      </c>
      <c r="X119" s="278">
        <v>145190.11459364928</v>
      </c>
      <c r="Y119" s="278">
        <v>193586.81945819897</v>
      </c>
      <c r="Z119" s="279">
        <v>241983.5243227488</v>
      </c>
      <c r="AB119" s="282" t="str">
        <f t="shared" si="9"/>
        <v>5Y</v>
      </c>
      <c r="AC119" s="278">
        <f ca="1">IF(ABS(P119-C119)&gt;SnapshotTolerance,1,0)</f>
        <v>0</v>
      </c>
      <c r="AD119" s="278">
        <f ca="1">IF(ABS(Q119-D119)&gt;SnapshotTolerance,1,0)</f>
        <v>0</v>
      </c>
      <c r="AE119" s="278">
        <f ca="1">IF(ABS(R119-E119)&gt;SnapshotTolerance,1,0)</f>
        <v>0</v>
      </c>
      <c r="AF119" s="278">
        <f ca="1">IF(ABS(S119-F119)&gt;SnapshotTolerance,1,0)</f>
        <v>0</v>
      </c>
      <c r="AG119" s="278">
        <f ca="1">IF(ABS(T119-G119)&gt;SnapshotTolerance,1,0)</f>
        <v>0</v>
      </c>
      <c r="AH119" s="278">
        <f ca="1">IF(ABS(U119-H119)&gt;SnapshotTolerance,1,0)</f>
        <v>0</v>
      </c>
      <c r="AI119" s="278">
        <f ca="1">IF(ABS(V119-I119)&gt;SnapshotTolerance,1,0)</f>
        <v>0</v>
      </c>
      <c r="AJ119" s="278">
        <f ca="1">IF(ABS(W119-J119)&gt;SnapshotTolerance,1,0)</f>
        <v>0</v>
      </c>
      <c r="AK119" s="278">
        <f ca="1">IF(ABS(X119-K119)&gt;SnapshotTolerance,1,0)</f>
        <v>0</v>
      </c>
      <c r="AL119" s="278">
        <f ca="1">IF(ABS(Y119-L119)&gt;SnapshotTolerance,1,0)</f>
        <v>0</v>
      </c>
      <c r="AM119" s="279">
        <f ca="1">IF(ABS(Z119-M119)&gt;SnapshotTolerance,1,0)</f>
        <v>0</v>
      </c>
    </row>
    <row r="120" spans="2:39">
      <c r="B120" s="282" t="str">
        <f>'USD Swap PVs'!M54</f>
        <v>6Y</v>
      </c>
      <c r="C120" s="278">
        <f ca="1">'USD Swap PVs'!N54</f>
        <v>-287114.0853050882</v>
      </c>
      <c r="D120" s="278">
        <f ca="1">'USD Swap PVs'!O54</f>
        <v>-229691.26824407058</v>
      </c>
      <c r="E120" s="278">
        <f ca="1">'USD Swap PVs'!P54</f>
        <v>-172268.45118305294</v>
      </c>
      <c r="F120" s="278">
        <f ca="1">'USD Swap PVs'!Q54</f>
        <v>-114845.63412203528</v>
      </c>
      <c r="G120" s="278">
        <f ca="1">'USD Swap PVs'!R54</f>
        <v>-57422.817061017631</v>
      </c>
      <c r="H120" s="278">
        <f ca="1">'USD Swap PVs'!S54</f>
        <v>-1.3877787807814457E-11</v>
      </c>
      <c r="I120" s="278">
        <f ca="1">'USD Swap PVs'!T54</f>
        <v>57422.817061017638</v>
      </c>
      <c r="J120" s="278">
        <f ca="1">'USD Swap PVs'!U54</f>
        <v>114845.63412203529</v>
      </c>
      <c r="K120" s="278">
        <f ca="1">'USD Swap PVs'!V54</f>
        <v>172268.45118305291</v>
      </c>
      <c r="L120" s="278">
        <f ca="1">'USD Swap PVs'!W54</f>
        <v>229691.26824407055</v>
      </c>
      <c r="M120" s="279">
        <f ca="1">'USD Swap PVs'!X54</f>
        <v>287114.0853050882</v>
      </c>
      <c r="O120" s="282" t="s">
        <v>131</v>
      </c>
      <c r="P120" s="278">
        <v>-287114.0853050882</v>
      </c>
      <c r="Q120" s="278">
        <v>-229691.26824407058</v>
      </c>
      <c r="R120" s="278">
        <v>-172268.45118305294</v>
      </c>
      <c r="S120" s="278">
        <v>-114845.63412203528</v>
      </c>
      <c r="T120" s="278">
        <v>-57422.817061017631</v>
      </c>
      <c r="U120" s="278">
        <v>-1.3877787807814457E-11</v>
      </c>
      <c r="V120" s="278">
        <v>57422.817061017638</v>
      </c>
      <c r="W120" s="278">
        <v>114845.63412203529</v>
      </c>
      <c r="X120" s="278">
        <v>172268.45118305291</v>
      </c>
      <c r="Y120" s="278">
        <v>229691.26824407055</v>
      </c>
      <c r="Z120" s="279">
        <v>287114.0853050882</v>
      </c>
      <c r="AB120" s="282" t="str">
        <f t="shared" si="9"/>
        <v>6Y</v>
      </c>
      <c r="AC120" s="278">
        <f ca="1">IF(ABS(P120-C120)&gt;SnapshotTolerance,1,0)</f>
        <v>0</v>
      </c>
      <c r="AD120" s="278">
        <f ca="1">IF(ABS(Q120-D120)&gt;SnapshotTolerance,1,0)</f>
        <v>0</v>
      </c>
      <c r="AE120" s="278">
        <f ca="1">IF(ABS(R120-E120)&gt;SnapshotTolerance,1,0)</f>
        <v>0</v>
      </c>
      <c r="AF120" s="278">
        <f ca="1">IF(ABS(S120-F120)&gt;SnapshotTolerance,1,0)</f>
        <v>0</v>
      </c>
      <c r="AG120" s="278">
        <f ca="1">IF(ABS(T120-G120)&gt;SnapshotTolerance,1,0)</f>
        <v>0</v>
      </c>
      <c r="AH120" s="278">
        <f ca="1">IF(ABS(U120-H120)&gt;SnapshotTolerance,1,0)</f>
        <v>0</v>
      </c>
      <c r="AI120" s="278">
        <f ca="1">IF(ABS(V120-I120)&gt;SnapshotTolerance,1,0)</f>
        <v>0</v>
      </c>
      <c r="AJ120" s="278">
        <f ca="1">IF(ABS(W120-J120)&gt;SnapshotTolerance,1,0)</f>
        <v>0</v>
      </c>
      <c r="AK120" s="278">
        <f ca="1">IF(ABS(X120-K120)&gt;SnapshotTolerance,1,0)</f>
        <v>0</v>
      </c>
      <c r="AL120" s="278">
        <f ca="1">IF(ABS(Y120-L120)&gt;SnapshotTolerance,1,0)</f>
        <v>0</v>
      </c>
      <c r="AM120" s="279">
        <f ca="1">IF(ABS(Z120-M120)&gt;SnapshotTolerance,1,0)</f>
        <v>0</v>
      </c>
    </row>
    <row r="121" spans="2:39">
      <c r="B121" s="282" t="str">
        <f>'USD Swap PVs'!M55</f>
        <v>7Y</v>
      </c>
      <c r="C121" s="278">
        <f ca="1">'USD Swap PVs'!N55</f>
        <v>-330911.35818384035</v>
      </c>
      <c r="D121" s="278">
        <f ca="1">'USD Swap PVs'!O55</f>
        <v>-264729.08654707228</v>
      </c>
      <c r="E121" s="278">
        <f ca="1">'USD Swap PVs'!P55</f>
        <v>-198546.81491030421</v>
      </c>
      <c r="F121" s="278">
        <f ca="1">'USD Swap PVs'!Q55</f>
        <v>-132364.54327353611</v>
      </c>
      <c r="G121" s="278">
        <f ca="1">'USD Swap PVs'!R55</f>
        <v>-66182.27163676804</v>
      </c>
      <c r="H121" s="278">
        <f ca="1">'USD Swap PVs'!S55</f>
        <v>0</v>
      </c>
      <c r="I121" s="278">
        <f ca="1">'USD Swap PVs'!T55</f>
        <v>66182.27163676807</v>
      </c>
      <c r="J121" s="278">
        <f ca="1">'USD Swap PVs'!U55</f>
        <v>132364.54327353617</v>
      </c>
      <c r="K121" s="278">
        <f ca="1">'USD Swap PVs'!V55</f>
        <v>198546.81491030427</v>
      </c>
      <c r="L121" s="278">
        <f ca="1">'USD Swap PVs'!W55</f>
        <v>264729.08654707228</v>
      </c>
      <c r="M121" s="279">
        <f ca="1">'USD Swap PVs'!X55</f>
        <v>330911.35818384041</v>
      </c>
      <c r="O121" s="282" t="s">
        <v>31</v>
      </c>
      <c r="P121" s="278">
        <v>-330911.35818384035</v>
      </c>
      <c r="Q121" s="278">
        <v>-264729.08654707228</v>
      </c>
      <c r="R121" s="278">
        <v>-198546.81491030421</v>
      </c>
      <c r="S121" s="278">
        <v>-132364.54327353611</v>
      </c>
      <c r="T121" s="278">
        <v>-66182.27163676804</v>
      </c>
      <c r="U121" s="278">
        <v>0</v>
      </c>
      <c r="V121" s="278">
        <v>66182.27163676807</v>
      </c>
      <c r="W121" s="278">
        <v>132364.54327353617</v>
      </c>
      <c r="X121" s="278">
        <v>198546.81491030427</v>
      </c>
      <c r="Y121" s="278">
        <v>264729.08654707228</v>
      </c>
      <c r="Z121" s="279">
        <v>330911.35818384041</v>
      </c>
      <c r="AB121" s="282" t="str">
        <f t="shared" si="9"/>
        <v>7Y</v>
      </c>
      <c r="AC121" s="278">
        <f ca="1">IF(ABS(P121-C121)&gt;SnapshotTolerance,1,0)</f>
        <v>0</v>
      </c>
      <c r="AD121" s="278">
        <f ca="1">IF(ABS(Q121-D121)&gt;SnapshotTolerance,1,0)</f>
        <v>0</v>
      </c>
      <c r="AE121" s="278">
        <f ca="1">IF(ABS(R121-E121)&gt;SnapshotTolerance,1,0)</f>
        <v>0</v>
      </c>
      <c r="AF121" s="278">
        <f ca="1">IF(ABS(S121-F121)&gt;SnapshotTolerance,1,0)</f>
        <v>0</v>
      </c>
      <c r="AG121" s="278">
        <f ca="1">IF(ABS(T121-G121)&gt;SnapshotTolerance,1,0)</f>
        <v>0</v>
      </c>
      <c r="AH121" s="278">
        <f ca="1">IF(ABS(U121-H121)&gt;SnapshotTolerance,1,0)</f>
        <v>0</v>
      </c>
      <c r="AI121" s="278">
        <f ca="1">IF(ABS(V121-I121)&gt;SnapshotTolerance,1,0)</f>
        <v>0</v>
      </c>
      <c r="AJ121" s="278">
        <f ca="1">IF(ABS(W121-J121)&gt;SnapshotTolerance,1,0)</f>
        <v>0</v>
      </c>
      <c r="AK121" s="278">
        <f ca="1">IF(ABS(X121-K121)&gt;SnapshotTolerance,1,0)</f>
        <v>0</v>
      </c>
      <c r="AL121" s="278">
        <f ca="1">IF(ABS(Y121-L121)&gt;SnapshotTolerance,1,0)</f>
        <v>0</v>
      </c>
      <c r="AM121" s="279">
        <f ca="1">IF(ABS(Z121-M121)&gt;SnapshotTolerance,1,0)</f>
        <v>0</v>
      </c>
    </row>
    <row r="122" spans="2:39">
      <c r="B122" s="282" t="str">
        <f>'USD Swap PVs'!M56</f>
        <v>8Y</v>
      </c>
      <c r="C122" s="278">
        <f ca="1">'USD Swap PVs'!N56</f>
        <v>-373597.61650791444</v>
      </c>
      <c r="D122" s="278">
        <f ca="1">'USD Swap PVs'!O56</f>
        <v>-298878.09320633154</v>
      </c>
      <c r="E122" s="278">
        <f ca="1">'USD Swap PVs'!P56</f>
        <v>-224158.56990474864</v>
      </c>
      <c r="F122" s="278">
        <f ca="1">'USD Swap PVs'!Q56</f>
        <v>-149439.04660316577</v>
      </c>
      <c r="G122" s="278">
        <f ca="1">'USD Swap PVs'!R56</f>
        <v>-74719.523301582871</v>
      </c>
      <c r="H122" s="278">
        <f ca="1">'USD Swap PVs'!S56</f>
        <v>0</v>
      </c>
      <c r="I122" s="278">
        <f ca="1">'USD Swap PVs'!T56</f>
        <v>74719.523301582885</v>
      </c>
      <c r="J122" s="278">
        <f ca="1">'USD Swap PVs'!U56</f>
        <v>149439.0466031658</v>
      </c>
      <c r="K122" s="278">
        <f ca="1">'USD Swap PVs'!V56</f>
        <v>224158.56990474867</v>
      </c>
      <c r="L122" s="278">
        <f ca="1">'USD Swap PVs'!W56</f>
        <v>298878.09320633154</v>
      </c>
      <c r="M122" s="279">
        <f ca="1">'USD Swap PVs'!X56</f>
        <v>373597.61650791444</v>
      </c>
      <c r="O122" s="282" t="s">
        <v>119</v>
      </c>
      <c r="P122" s="278">
        <v>-373597.61650791444</v>
      </c>
      <c r="Q122" s="278">
        <v>-298878.09320633154</v>
      </c>
      <c r="R122" s="278">
        <v>-224158.56990474864</v>
      </c>
      <c r="S122" s="278">
        <v>-149439.04660316577</v>
      </c>
      <c r="T122" s="278">
        <v>-74719.523301582871</v>
      </c>
      <c r="U122" s="278">
        <v>0</v>
      </c>
      <c r="V122" s="278">
        <v>74719.523301582885</v>
      </c>
      <c r="W122" s="278">
        <v>149439.0466031658</v>
      </c>
      <c r="X122" s="278">
        <v>224158.56990474867</v>
      </c>
      <c r="Y122" s="278">
        <v>298878.09320633154</v>
      </c>
      <c r="Z122" s="279">
        <v>373597.61650791444</v>
      </c>
      <c r="AB122" s="282" t="str">
        <f t="shared" si="9"/>
        <v>8Y</v>
      </c>
      <c r="AC122" s="278">
        <f ca="1">IF(ABS(P122-C122)&gt;SnapshotTolerance,1,0)</f>
        <v>0</v>
      </c>
      <c r="AD122" s="278">
        <f ca="1">IF(ABS(Q122-D122)&gt;SnapshotTolerance,1,0)</f>
        <v>0</v>
      </c>
      <c r="AE122" s="278">
        <f ca="1">IF(ABS(R122-E122)&gt;SnapshotTolerance,1,0)</f>
        <v>0</v>
      </c>
      <c r="AF122" s="278">
        <f ca="1">IF(ABS(S122-F122)&gt;SnapshotTolerance,1,0)</f>
        <v>0</v>
      </c>
      <c r="AG122" s="278">
        <f ca="1">IF(ABS(T122-G122)&gt;SnapshotTolerance,1,0)</f>
        <v>0</v>
      </c>
      <c r="AH122" s="278">
        <f ca="1">IF(ABS(U122-H122)&gt;SnapshotTolerance,1,0)</f>
        <v>0</v>
      </c>
      <c r="AI122" s="278">
        <f ca="1">IF(ABS(V122-I122)&gt;SnapshotTolerance,1,0)</f>
        <v>0</v>
      </c>
      <c r="AJ122" s="278">
        <f ca="1">IF(ABS(W122-J122)&gt;SnapshotTolerance,1,0)</f>
        <v>0</v>
      </c>
      <c r="AK122" s="278">
        <f ca="1">IF(ABS(X122-K122)&gt;SnapshotTolerance,1,0)</f>
        <v>0</v>
      </c>
      <c r="AL122" s="278">
        <f ca="1">IF(ABS(Y122-L122)&gt;SnapshotTolerance,1,0)</f>
        <v>0</v>
      </c>
      <c r="AM122" s="279">
        <f ca="1">IF(ABS(Z122-M122)&gt;SnapshotTolerance,1,0)</f>
        <v>0</v>
      </c>
    </row>
    <row r="123" spans="2:39">
      <c r="B123" s="282" t="str">
        <f>'USD Swap PVs'!M57</f>
        <v>9Y</v>
      </c>
      <c r="C123" s="278">
        <f ca="1">'USD Swap PVs'!N57</f>
        <v>-414495.955924846</v>
      </c>
      <c r="D123" s="278">
        <f ca="1">'USD Swap PVs'!O57</f>
        <v>-331596.76473987679</v>
      </c>
      <c r="E123" s="278">
        <f ca="1">'USD Swap PVs'!P57</f>
        <v>-248697.57355490761</v>
      </c>
      <c r="F123" s="278">
        <f ca="1">'USD Swap PVs'!Q57</f>
        <v>-165798.38236993839</v>
      </c>
      <c r="G123" s="278">
        <f ca="1">'USD Swap PVs'!R57</f>
        <v>-82899.191184969182</v>
      </c>
      <c r="H123" s="278">
        <f ca="1">'USD Swap PVs'!S57</f>
        <v>0</v>
      </c>
      <c r="I123" s="278">
        <f ca="1">'USD Swap PVs'!T57</f>
        <v>82899.191184969197</v>
      </c>
      <c r="J123" s="278">
        <f ca="1">'USD Swap PVs'!U57</f>
        <v>165798.38236993839</v>
      </c>
      <c r="K123" s="278">
        <f ca="1">'USD Swap PVs'!V57</f>
        <v>248697.57355490758</v>
      </c>
      <c r="L123" s="278">
        <f ca="1">'USD Swap PVs'!W57</f>
        <v>331596.76473987685</v>
      </c>
      <c r="M123" s="279">
        <f ca="1">'USD Swap PVs'!X57</f>
        <v>414495.955924846</v>
      </c>
      <c r="O123" s="282" t="s">
        <v>113</v>
      </c>
      <c r="P123" s="278">
        <v>-414495.955924846</v>
      </c>
      <c r="Q123" s="278">
        <v>-331596.76473987679</v>
      </c>
      <c r="R123" s="278">
        <v>-248697.57355490761</v>
      </c>
      <c r="S123" s="278">
        <v>-165798.38236993839</v>
      </c>
      <c r="T123" s="278">
        <v>-82899.191184969182</v>
      </c>
      <c r="U123" s="278">
        <v>0</v>
      </c>
      <c r="V123" s="278">
        <v>82899.191184969197</v>
      </c>
      <c r="W123" s="278">
        <v>165798.38236993839</v>
      </c>
      <c r="X123" s="278">
        <v>248697.57355490758</v>
      </c>
      <c r="Y123" s="278">
        <v>331596.76473987685</v>
      </c>
      <c r="Z123" s="279">
        <v>414495.955924846</v>
      </c>
      <c r="AB123" s="282" t="str">
        <f t="shared" si="9"/>
        <v>9Y</v>
      </c>
      <c r="AC123" s="278">
        <f ca="1">IF(ABS(P123-C123)&gt;SnapshotTolerance,1,0)</f>
        <v>0</v>
      </c>
      <c r="AD123" s="278">
        <f ca="1">IF(ABS(Q123-D123)&gt;SnapshotTolerance,1,0)</f>
        <v>0</v>
      </c>
      <c r="AE123" s="278">
        <f ca="1">IF(ABS(R123-E123)&gt;SnapshotTolerance,1,0)</f>
        <v>0</v>
      </c>
      <c r="AF123" s="278">
        <f ca="1">IF(ABS(S123-F123)&gt;SnapshotTolerance,1,0)</f>
        <v>0</v>
      </c>
      <c r="AG123" s="278">
        <f ca="1">IF(ABS(T123-G123)&gt;SnapshotTolerance,1,0)</f>
        <v>0</v>
      </c>
      <c r="AH123" s="278">
        <f ca="1">IF(ABS(U123-H123)&gt;SnapshotTolerance,1,0)</f>
        <v>0</v>
      </c>
      <c r="AI123" s="278">
        <f ca="1">IF(ABS(V123-I123)&gt;SnapshotTolerance,1,0)</f>
        <v>0</v>
      </c>
      <c r="AJ123" s="278">
        <f ca="1">IF(ABS(W123-J123)&gt;SnapshotTolerance,1,0)</f>
        <v>0</v>
      </c>
      <c r="AK123" s="278">
        <f ca="1">IF(ABS(X123-K123)&gt;SnapshotTolerance,1,0)</f>
        <v>0</v>
      </c>
      <c r="AL123" s="278">
        <f ca="1">IF(ABS(Y123-L123)&gt;SnapshotTolerance,1,0)</f>
        <v>0</v>
      </c>
      <c r="AM123" s="279">
        <f ca="1">IF(ABS(Z123-M123)&gt;SnapshotTolerance,1,0)</f>
        <v>0</v>
      </c>
    </row>
    <row r="124" spans="2:39">
      <c r="B124" s="282" t="str">
        <f>'USD Swap PVs'!M58</f>
        <v>10Y</v>
      </c>
      <c r="C124" s="278">
        <f ca="1">'USD Swap PVs'!N58</f>
        <v>-454327.72847923241</v>
      </c>
      <c r="D124" s="278">
        <f ca="1">'USD Swap PVs'!O58</f>
        <v>-363462.18278338591</v>
      </c>
      <c r="E124" s="278">
        <f ca="1">'USD Swap PVs'!P58</f>
        <v>-272596.63708753942</v>
      </c>
      <c r="F124" s="278">
        <f ca="1">'USD Swap PVs'!Q58</f>
        <v>-181731.0913916929</v>
      </c>
      <c r="G124" s="278">
        <f ca="1">'USD Swap PVs'!R58</f>
        <v>-90865.545695846449</v>
      </c>
      <c r="H124" s="278">
        <f ca="1">'USD Swap PVs'!S58</f>
        <v>0</v>
      </c>
      <c r="I124" s="278">
        <f ca="1">'USD Swap PVs'!T58</f>
        <v>90865.545695846507</v>
      </c>
      <c r="J124" s="278">
        <f ca="1">'USD Swap PVs'!U58</f>
        <v>181731.09139169299</v>
      </c>
      <c r="K124" s="278">
        <f ca="1">'USD Swap PVs'!V58</f>
        <v>272596.63708753936</v>
      </c>
      <c r="L124" s="278">
        <f ca="1">'USD Swap PVs'!W58</f>
        <v>363462.1827833858</v>
      </c>
      <c r="M124" s="279">
        <f ca="1">'USD Swap PVs'!X58</f>
        <v>454327.72847923241</v>
      </c>
      <c r="O124" s="282" t="s">
        <v>28</v>
      </c>
      <c r="P124" s="278">
        <v>-454327.72847923241</v>
      </c>
      <c r="Q124" s="278">
        <v>-363462.18278338591</v>
      </c>
      <c r="R124" s="278">
        <v>-272596.63708753942</v>
      </c>
      <c r="S124" s="278">
        <v>-181731.0913916929</v>
      </c>
      <c r="T124" s="278">
        <v>-90865.545695846449</v>
      </c>
      <c r="U124" s="278">
        <v>0</v>
      </c>
      <c r="V124" s="278">
        <v>90865.545695846507</v>
      </c>
      <c r="W124" s="278">
        <v>181731.09139169299</v>
      </c>
      <c r="X124" s="278">
        <v>272596.63708753936</v>
      </c>
      <c r="Y124" s="278">
        <v>363462.1827833858</v>
      </c>
      <c r="Z124" s="279">
        <v>454327.72847923241</v>
      </c>
      <c r="AB124" s="282" t="str">
        <f t="shared" si="9"/>
        <v>10Y</v>
      </c>
      <c r="AC124" s="278">
        <f ca="1">IF(ABS(P124-C124)&gt;SnapshotTolerance,1,0)</f>
        <v>0</v>
      </c>
      <c r="AD124" s="278">
        <f ca="1">IF(ABS(Q124-D124)&gt;SnapshotTolerance,1,0)</f>
        <v>0</v>
      </c>
      <c r="AE124" s="278">
        <f ca="1">IF(ABS(R124-E124)&gt;SnapshotTolerance,1,0)</f>
        <v>0</v>
      </c>
      <c r="AF124" s="278">
        <f ca="1">IF(ABS(S124-F124)&gt;SnapshotTolerance,1,0)</f>
        <v>0</v>
      </c>
      <c r="AG124" s="278">
        <f ca="1">IF(ABS(T124-G124)&gt;SnapshotTolerance,1,0)</f>
        <v>0</v>
      </c>
      <c r="AH124" s="278">
        <f ca="1">IF(ABS(U124-H124)&gt;SnapshotTolerance,1,0)</f>
        <v>0</v>
      </c>
      <c r="AI124" s="278">
        <f ca="1">IF(ABS(V124-I124)&gt;SnapshotTolerance,1,0)</f>
        <v>0</v>
      </c>
      <c r="AJ124" s="278">
        <f ca="1">IF(ABS(W124-J124)&gt;SnapshotTolerance,1,0)</f>
        <v>0</v>
      </c>
      <c r="AK124" s="278">
        <f ca="1">IF(ABS(X124-K124)&gt;SnapshotTolerance,1,0)</f>
        <v>0</v>
      </c>
      <c r="AL124" s="278">
        <f ca="1">IF(ABS(Y124-L124)&gt;SnapshotTolerance,1,0)</f>
        <v>0</v>
      </c>
      <c r="AM124" s="279">
        <f ca="1">IF(ABS(Z124-M124)&gt;SnapshotTolerance,1,0)</f>
        <v>0</v>
      </c>
    </row>
    <row r="125" spans="2:39">
      <c r="B125" s="282" t="str">
        <f>'USD Swap PVs'!M59</f>
        <v>11Y</v>
      </c>
      <c r="C125" s="278">
        <f ca="1">'USD Swap PVs'!N59</f>
        <v>-492896.57612352073</v>
      </c>
      <c r="D125" s="278">
        <f ca="1">'USD Swap PVs'!O59</f>
        <v>-394317.26089881657</v>
      </c>
      <c r="E125" s="278">
        <f ca="1">'USD Swap PVs'!P59</f>
        <v>-295737.94567411236</v>
      </c>
      <c r="F125" s="278">
        <f ca="1">'USD Swap PVs'!Q59</f>
        <v>-197158.63044940823</v>
      </c>
      <c r="G125" s="278">
        <f ca="1">'USD Swap PVs'!R59</f>
        <v>-98579.315224704114</v>
      </c>
      <c r="H125" s="278">
        <f ca="1">'USD Swap PVs'!S59</f>
        <v>0</v>
      </c>
      <c r="I125" s="278">
        <f ca="1">'USD Swap PVs'!T59</f>
        <v>98579.315224704143</v>
      </c>
      <c r="J125" s="278">
        <f ca="1">'USD Swap PVs'!U59</f>
        <v>197158.63044940829</v>
      </c>
      <c r="K125" s="278">
        <f ca="1">'USD Swap PVs'!V59</f>
        <v>295737.94567411242</v>
      </c>
      <c r="L125" s="278">
        <f ca="1">'USD Swap PVs'!W59</f>
        <v>394317.26089881652</v>
      </c>
      <c r="M125" s="279">
        <f ca="1">'USD Swap PVs'!X59</f>
        <v>492896.57612352085</v>
      </c>
      <c r="O125" s="282" t="s">
        <v>366</v>
      </c>
      <c r="P125" s="278">
        <v>-492896.57612352073</v>
      </c>
      <c r="Q125" s="278">
        <v>-394317.26089881657</v>
      </c>
      <c r="R125" s="278">
        <v>-295737.94567411236</v>
      </c>
      <c r="S125" s="278">
        <v>-197158.63044940823</v>
      </c>
      <c r="T125" s="278">
        <v>-98579.315224704114</v>
      </c>
      <c r="U125" s="278">
        <v>0</v>
      </c>
      <c r="V125" s="278">
        <v>98579.315224704143</v>
      </c>
      <c r="W125" s="278">
        <v>197158.63044940829</v>
      </c>
      <c r="X125" s="278">
        <v>295737.94567411242</v>
      </c>
      <c r="Y125" s="278">
        <v>394317.26089881652</v>
      </c>
      <c r="Z125" s="279">
        <v>492896.57612352085</v>
      </c>
      <c r="AB125" s="282" t="str">
        <f t="shared" si="9"/>
        <v>11Y</v>
      </c>
      <c r="AC125" s="278">
        <f ca="1">IF(ABS(P125-C125)&gt;SnapshotTolerance,1,0)</f>
        <v>0</v>
      </c>
      <c r="AD125" s="278">
        <f ca="1">IF(ABS(Q125-D125)&gt;SnapshotTolerance,1,0)</f>
        <v>0</v>
      </c>
      <c r="AE125" s="278">
        <f ca="1">IF(ABS(R125-E125)&gt;SnapshotTolerance,1,0)</f>
        <v>0</v>
      </c>
      <c r="AF125" s="278">
        <f ca="1">IF(ABS(S125-F125)&gt;SnapshotTolerance,1,0)</f>
        <v>0</v>
      </c>
      <c r="AG125" s="278">
        <f ca="1">IF(ABS(T125-G125)&gt;SnapshotTolerance,1,0)</f>
        <v>0</v>
      </c>
      <c r="AH125" s="278">
        <f ca="1">IF(ABS(U125-H125)&gt;SnapshotTolerance,1,0)</f>
        <v>0</v>
      </c>
      <c r="AI125" s="278">
        <f ca="1">IF(ABS(V125-I125)&gt;SnapshotTolerance,1,0)</f>
        <v>0</v>
      </c>
      <c r="AJ125" s="278">
        <f ca="1">IF(ABS(W125-J125)&gt;SnapshotTolerance,1,0)</f>
        <v>0</v>
      </c>
      <c r="AK125" s="278">
        <f ca="1">IF(ABS(X125-K125)&gt;SnapshotTolerance,1,0)</f>
        <v>0</v>
      </c>
      <c r="AL125" s="278">
        <f ca="1">IF(ABS(Y125-L125)&gt;SnapshotTolerance,1,0)</f>
        <v>0</v>
      </c>
      <c r="AM125" s="279">
        <f ca="1">IF(ABS(Z125-M125)&gt;SnapshotTolerance,1,0)</f>
        <v>0</v>
      </c>
    </row>
    <row r="126" spans="2:39">
      <c r="B126" s="282" t="str">
        <f>'USD Swap PVs'!M60</f>
        <v>12Y</v>
      </c>
      <c r="C126" s="278">
        <f ca="1">'USD Swap PVs'!N60</f>
        <v>-530241.07095762773</v>
      </c>
      <c r="D126" s="278">
        <f ca="1">'USD Swap PVs'!O60</f>
        <v>-424192.8567661022</v>
      </c>
      <c r="E126" s="278">
        <f ca="1">'USD Swap PVs'!P60</f>
        <v>-318144.64257457666</v>
      </c>
      <c r="F126" s="278">
        <f ca="1">'USD Swap PVs'!Q60</f>
        <v>-212096.42838305104</v>
      </c>
      <c r="G126" s="278">
        <f ca="1">'USD Swap PVs'!R60</f>
        <v>-106048.21419152555</v>
      </c>
      <c r="H126" s="278">
        <f ca="1">'USD Swap PVs'!S60</f>
        <v>0</v>
      </c>
      <c r="I126" s="278">
        <f ca="1">'USD Swap PVs'!T60</f>
        <v>106048.21419152549</v>
      </c>
      <c r="J126" s="278">
        <f ca="1">'USD Swap PVs'!U60</f>
        <v>212096.42838305104</v>
      </c>
      <c r="K126" s="278">
        <f ca="1">'USD Swap PVs'!V60</f>
        <v>318144.6425745766</v>
      </c>
      <c r="L126" s="278">
        <f ca="1">'USD Swap PVs'!W60</f>
        <v>424192.85676610214</v>
      </c>
      <c r="M126" s="279">
        <f ca="1">'USD Swap PVs'!X60</f>
        <v>530241.07095762773</v>
      </c>
      <c r="O126" s="282" t="s">
        <v>26</v>
      </c>
      <c r="P126" s="278">
        <v>-530241.07095762773</v>
      </c>
      <c r="Q126" s="278">
        <v>-424192.8567661022</v>
      </c>
      <c r="R126" s="278">
        <v>-318144.64257457666</v>
      </c>
      <c r="S126" s="278">
        <v>-212096.42838305104</v>
      </c>
      <c r="T126" s="278">
        <v>-106048.21419152555</v>
      </c>
      <c r="U126" s="278">
        <v>0</v>
      </c>
      <c r="V126" s="278">
        <v>106048.21419152549</v>
      </c>
      <c r="W126" s="278">
        <v>212096.42838305104</v>
      </c>
      <c r="X126" s="278">
        <v>318144.6425745766</v>
      </c>
      <c r="Y126" s="278">
        <v>424192.85676610214</v>
      </c>
      <c r="Z126" s="279">
        <v>530241.07095762773</v>
      </c>
      <c r="AB126" s="282" t="str">
        <f t="shared" si="9"/>
        <v>12Y</v>
      </c>
      <c r="AC126" s="278">
        <f ca="1">IF(ABS(P126-C126)&gt;SnapshotTolerance,1,0)</f>
        <v>0</v>
      </c>
      <c r="AD126" s="278">
        <f ca="1">IF(ABS(Q126-D126)&gt;SnapshotTolerance,1,0)</f>
        <v>0</v>
      </c>
      <c r="AE126" s="278">
        <f ca="1">IF(ABS(R126-E126)&gt;SnapshotTolerance,1,0)</f>
        <v>0</v>
      </c>
      <c r="AF126" s="278">
        <f ca="1">IF(ABS(S126-F126)&gt;SnapshotTolerance,1,0)</f>
        <v>0</v>
      </c>
      <c r="AG126" s="278">
        <f ca="1">IF(ABS(T126-G126)&gt;SnapshotTolerance,1,0)</f>
        <v>0</v>
      </c>
      <c r="AH126" s="278">
        <f ca="1">IF(ABS(U126-H126)&gt;SnapshotTolerance,1,0)</f>
        <v>0</v>
      </c>
      <c r="AI126" s="278">
        <f ca="1">IF(ABS(V126-I126)&gt;SnapshotTolerance,1,0)</f>
        <v>0</v>
      </c>
      <c r="AJ126" s="278">
        <f ca="1">IF(ABS(W126-J126)&gt;SnapshotTolerance,1,0)</f>
        <v>0</v>
      </c>
      <c r="AK126" s="278">
        <f ca="1">IF(ABS(X126-K126)&gt;SnapshotTolerance,1,0)</f>
        <v>0</v>
      </c>
      <c r="AL126" s="278">
        <f ca="1">IF(ABS(Y126-L126)&gt;SnapshotTolerance,1,0)</f>
        <v>0</v>
      </c>
      <c r="AM126" s="279">
        <f ca="1">IF(ABS(Z126-M126)&gt;SnapshotTolerance,1,0)</f>
        <v>0</v>
      </c>
    </row>
    <row r="127" spans="2:39">
      <c r="B127" s="282" t="str">
        <f>'USD Swap PVs'!M61</f>
        <v>15Y</v>
      </c>
      <c r="C127" s="278">
        <f ca="1">'USD Swap PVs'!N61</f>
        <v>-635336.21014256671</v>
      </c>
      <c r="D127" s="278">
        <f ca="1">'USD Swap PVs'!O61</f>
        <v>-508268.96811405331</v>
      </c>
      <c r="E127" s="278">
        <f ca="1">'USD Swap PVs'!P61</f>
        <v>-381201.72608553997</v>
      </c>
      <c r="F127" s="278">
        <f ca="1">'USD Swap PVs'!Q61</f>
        <v>-254134.4840570266</v>
      </c>
      <c r="G127" s="278">
        <f ca="1">'USD Swap PVs'!R61</f>
        <v>-127067.2420285133</v>
      </c>
      <c r="H127" s="278">
        <f ca="1">'USD Swap PVs'!S61</f>
        <v>0</v>
      </c>
      <c r="I127" s="278">
        <f ca="1">'USD Swap PVs'!T61</f>
        <v>127067.24202851333</v>
      </c>
      <c r="J127" s="278">
        <f ca="1">'USD Swap PVs'!U61</f>
        <v>254134.48405702665</v>
      </c>
      <c r="K127" s="278">
        <f ca="1">'USD Swap PVs'!V61</f>
        <v>381201.72608554002</v>
      </c>
      <c r="L127" s="278">
        <f ca="1">'USD Swap PVs'!W61</f>
        <v>508268.96811405331</v>
      </c>
      <c r="M127" s="279">
        <f ca="1">'USD Swap PVs'!X61</f>
        <v>635336.21014256682</v>
      </c>
      <c r="O127" s="282" t="s">
        <v>24</v>
      </c>
      <c r="P127" s="278">
        <v>-635336.21014256671</v>
      </c>
      <c r="Q127" s="278">
        <v>-508268.96811405331</v>
      </c>
      <c r="R127" s="278">
        <v>-381201.72608553997</v>
      </c>
      <c r="S127" s="278">
        <v>-254134.4840570266</v>
      </c>
      <c r="T127" s="278">
        <v>-127067.2420285133</v>
      </c>
      <c r="U127" s="278">
        <v>0</v>
      </c>
      <c r="V127" s="278">
        <v>127067.24202851333</v>
      </c>
      <c r="W127" s="278">
        <v>254134.48405702665</v>
      </c>
      <c r="X127" s="278">
        <v>381201.72608554002</v>
      </c>
      <c r="Y127" s="278">
        <v>508268.96811405331</v>
      </c>
      <c r="Z127" s="279">
        <v>635336.21014256682</v>
      </c>
      <c r="AB127" s="282" t="str">
        <f t="shared" si="9"/>
        <v>15Y</v>
      </c>
      <c r="AC127" s="278">
        <f ca="1">IF(ABS(P127-C127)&gt;SnapshotTolerance,1,0)</f>
        <v>0</v>
      </c>
      <c r="AD127" s="278">
        <f ca="1">IF(ABS(Q127-D127)&gt;SnapshotTolerance,1,0)</f>
        <v>0</v>
      </c>
      <c r="AE127" s="278">
        <f ca="1">IF(ABS(R127-E127)&gt;SnapshotTolerance,1,0)</f>
        <v>0</v>
      </c>
      <c r="AF127" s="278">
        <f ca="1">IF(ABS(S127-F127)&gt;SnapshotTolerance,1,0)</f>
        <v>0</v>
      </c>
      <c r="AG127" s="278">
        <f ca="1">IF(ABS(T127-G127)&gt;SnapshotTolerance,1,0)</f>
        <v>0</v>
      </c>
      <c r="AH127" s="278">
        <f ca="1">IF(ABS(U127-H127)&gt;SnapshotTolerance,1,0)</f>
        <v>0</v>
      </c>
      <c r="AI127" s="278">
        <f ca="1">IF(ABS(V127-I127)&gt;SnapshotTolerance,1,0)</f>
        <v>0</v>
      </c>
      <c r="AJ127" s="278">
        <f ca="1">IF(ABS(W127-J127)&gt;SnapshotTolerance,1,0)</f>
        <v>0</v>
      </c>
      <c r="AK127" s="278">
        <f ca="1">IF(ABS(X127-K127)&gt;SnapshotTolerance,1,0)</f>
        <v>0</v>
      </c>
      <c r="AL127" s="278">
        <f ca="1">IF(ABS(Y127-L127)&gt;SnapshotTolerance,1,0)</f>
        <v>0</v>
      </c>
      <c r="AM127" s="279">
        <f ca="1">IF(ABS(Z127-M127)&gt;SnapshotTolerance,1,0)</f>
        <v>0</v>
      </c>
    </row>
    <row r="128" spans="2:39">
      <c r="B128" s="282" t="str">
        <f>'USD Swap PVs'!M62</f>
        <v>20Y</v>
      </c>
      <c r="C128" s="278">
        <f ca="1">'USD Swap PVs'!N62</f>
        <v>-789748.5521188787</v>
      </c>
      <c r="D128" s="278">
        <f ca="1">'USD Swap PVs'!O62</f>
        <v>-631798.84169510298</v>
      </c>
      <c r="E128" s="278">
        <f ca="1">'USD Swap PVs'!P62</f>
        <v>-473849.13127132721</v>
      </c>
      <c r="F128" s="278">
        <f ca="1">'USD Swap PVs'!Q62</f>
        <v>-315899.42084755143</v>
      </c>
      <c r="G128" s="278">
        <f ca="1">'USD Swap PVs'!R62</f>
        <v>-157949.71042377566</v>
      </c>
      <c r="H128" s="278">
        <f ca="1">'USD Swap PVs'!S62</f>
        <v>0</v>
      </c>
      <c r="I128" s="278">
        <f ca="1">'USD Swap PVs'!T62</f>
        <v>157949.71042377574</v>
      </c>
      <c r="J128" s="278">
        <f ca="1">'USD Swap PVs'!U62</f>
        <v>315899.42084755143</v>
      </c>
      <c r="K128" s="278">
        <f ca="1">'USD Swap PVs'!V62</f>
        <v>473849.13127132726</v>
      </c>
      <c r="L128" s="278">
        <f ca="1">'USD Swap PVs'!W62</f>
        <v>631798.84169510298</v>
      </c>
      <c r="M128" s="279">
        <f ca="1">'USD Swap PVs'!X62</f>
        <v>789748.55211887893</v>
      </c>
      <c r="O128" s="282" t="s">
        <v>20</v>
      </c>
      <c r="P128" s="278">
        <v>-789748.5521188787</v>
      </c>
      <c r="Q128" s="278">
        <v>-631798.84169510298</v>
      </c>
      <c r="R128" s="278">
        <v>-473849.13127132721</v>
      </c>
      <c r="S128" s="278">
        <v>-315899.42084755143</v>
      </c>
      <c r="T128" s="278">
        <v>-157949.71042377566</v>
      </c>
      <c r="U128" s="278">
        <v>0</v>
      </c>
      <c r="V128" s="278">
        <v>157949.71042377574</v>
      </c>
      <c r="W128" s="278">
        <v>315899.42084755143</v>
      </c>
      <c r="X128" s="278">
        <v>473849.13127132726</v>
      </c>
      <c r="Y128" s="278">
        <v>631798.84169510298</v>
      </c>
      <c r="Z128" s="279">
        <v>789748.55211887893</v>
      </c>
      <c r="AB128" s="282" t="str">
        <f t="shared" si="9"/>
        <v>20Y</v>
      </c>
      <c r="AC128" s="278">
        <f ca="1">IF(ABS(P128-C128)&gt;SnapshotTolerance,1,0)</f>
        <v>0</v>
      </c>
      <c r="AD128" s="278">
        <f ca="1">IF(ABS(Q128-D128)&gt;SnapshotTolerance,1,0)</f>
        <v>0</v>
      </c>
      <c r="AE128" s="278">
        <f ca="1">IF(ABS(R128-E128)&gt;SnapshotTolerance,1,0)</f>
        <v>0</v>
      </c>
      <c r="AF128" s="278">
        <f ca="1">IF(ABS(S128-F128)&gt;SnapshotTolerance,1,0)</f>
        <v>0</v>
      </c>
      <c r="AG128" s="278">
        <f ca="1">IF(ABS(T128-G128)&gt;SnapshotTolerance,1,0)</f>
        <v>0</v>
      </c>
      <c r="AH128" s="278">
        <f ca="1">IF(ABS(U128-H128)&gt;SnapshotTolerance,1,0)</f>
        <v>0</v>
      </c>
      <c r="AI128" s="278">
        <f ca="1">IF(ABS(V128-I128)&gt;SnapshotTolerance,1,0)</f>
        <v>0</v>
      </c>
      <c r="AJ128" s="278">
        <f ca="1">IF(ABS(W128-J128)&gt;SnapshotTolerance,1,0)</f>
        <v>0</v>
      </c>
      <c r="AK128" s="278">
        <f ca="1">IF(ABS(X128-K128)&gt;SnapshotTolerance,1,0)</f>
        <v>0</v>
      </c>
      <c r="AL128" s="278">
        <f ca="1">IF(ABS(Y128-L128)&gt;SnapshotTolerance,1,0)</f>
        <v>0</v>
      </c>
      <c r="AM128" s="279">
        <f ca="1">IF(ABS(Z128-M128)&gt;SnapshotTolerance,1,0)</f>
        <v>0</v>
      </c>
    </row>
    <row r="129" spans="2:39">
      <c r="B129" s="282" t="str">
        <f>'USD Swap PVs'!M63</f>
        <v>25Y</v>
      </c>
      <c r="C129" s="278">
        <f ca="1">'USD Swap PVs'!N63</f>
        <v>-921873.98517284018</v>
      </c>
      <c r="D129" s="278">
        <f ca="1">'USD Swap PVs'!O63</f>
        <v>-737499.18813827203</v>
      </c>
      <c r="E129" s="278">
        <f ca="1">'USD Swap PVs'!P63</f>
        <v>-553124.39110370399</v>
      </c>
      <c r="F129" s="278">
        <f ca="1">'USD Swap PVs'!Q63</f>
        <v>-368749.59406913602</v>
      </c>
      <c r="G129" s="278">
        <f ca="1">'USD Swap PVs'!R63</f>
        <v>-184374.79703456795</v>
      </c>
      <c r="H129" s="278">
        <f ca="1">'USD Swap PVs'!S63</f>
        <v>0</v>
      </c>
      <c r="I129" s="278">
        <f ca="1">'USD Swap PVs'!T63</f>
        <v>184374.79703456804</v>
      </c>
      <c r="J129" s="278">
        <f ca="1">'USD Swap PVs'!U63</f>
        <v>368749.59406913602</v>
      </c>
      <c r="K129" s="278">
        <f ca="1">'USD Swap PVs'!V63</f>
        <v>553124.39110370411</v>
      </c>
      <c r="L129" s="278">
        <f ca="1">'USD Swap PVs'!W63</f>
        <v>737499.18813827203</v>
      </c>
      <c r="M129" s="279">
        <f ca="1">'USD Swap PVs'!X63</f>
        <v>921873.9851728403</v>
      </c>
      <c r="O129" s="282" t="s">
        <v>18</v>
      </c>
      <c r="P129" s="278">
        <v>-921873.98517284018</v>
      </c>
      <c r="Q129" s="278">
        <v>-737499.18813827203</v>
      </c>
      <c r="R129" s="278">
        <v>-553124.39110370399</v>
      </c>
      <c r="S129" s="278">
        <v>-368749.59406913602</v>
      </c>
      <c r="T129" s="278">
        <v>-184374.79703456795</v>
      </c>
      <c r="U129" s="278">
        <v>0</v>
      </c>
      <c r="V129" s="278">
        <v>184374.79703456804</v>
      </c>
      <c r="W129" s="278">
        <v>368749.59406913602</v>
      </c>
      <c r="X129" s="278">
        <v>553124.39110370411</v>
      </c>
      <c r="Y129" s="278">
        <v>737499.18813827203</v>
      </c>
      <c r="Z129" s="279">
        <v>921873.9851728403</v>
      </c>
      <c r="AB129" s="282" t="str">
        <f t="shared" si="9"/>
        <v>25Y</v>
      </c>
      <c r="AC129" s="278">
        <f ca="1">IF(ABS(P129-C129)&gt;SnapshotTolerance,1,0)</f>
        <v>0</v>
      </c>
      <c r="AD129" s="278">
        <f ca="1">IF(ABS(Q129-D129)&gt;SnapshotTolerance,1,0)</f>
        <v>0</v>
      </c>
      <c r="AE129" s="278">
        <f ca="1">IF(ABS(R129-E129)&gt;SnapshotTolerance,1,0)</f>
        <v>0</v>
      </c>
      <c r="AF129" s="278">
        <f ca="1">IF(ABS(S129-F129)&gt;SnapshotTolerance,1,0)</f>
        <v>0</v>
      </c>
      <c r="AG129" s="278">
        <f ca="1">IF(ABS(T129-G129)&gt;SnapshotTolerance,1,0)</f>
        <v>0</v>
      </c>
      <c r="AH129" s="278">
        <f ca="1">IF(ABS(U129-H129)&gt;SnapshotTolerance,1,0)</f>
        <v>0</v>
      </c>
      <c r="AI129" s="278">
        <f ca="1">IF(ABS(V129-I129)&gt;SnapshotTolerance,1,0)</f>
        <v>0</v>
      </c>
      <c r="AJ129" s="278">
        <f ca="1">IF(ABS(W129-J129)&gt;SnapshotTolerance,1,0)</f>
        <v>0</v>
      </c>
      <c r="AK129" s="278">
        <f ca="1">IF(ABS(X129-K129)&gt;SnapshotTolerance,1,0)</f>
        <v>0</v>
      </c>
      <c r="AL129" s="278">
        <f ca="1">IF(ABS(Y129-L129)&gt;SnapshotTolerance,1,0)</f>
        <v>0</v>
      </c>
      <c r="AM129" s="279">
        <f ca="1">IF(ABS(Z129-M129)&gt;SnapshotTolerance,1,0)</f>
        <v>0</v>
      </c>
    </row>
    <row r="130" spans="2:39">
      <c r="B130" s="282" t="str">
        <f>'USD Swap PVs'!M64</f>
        <v>30Y</v>
      </c>
      <c r="C130" s="278">
        <f ca="1">'USD Swap PVs'!N64</f>
        <v>-1035401.1460912416</v>
      </c>
      <c r="D130" s="278">
        <f ca="1">'USD Swap PVs'!O64</f>
        <v>-828320.91687299323</v>
      </c>
      <c r="E130" s="278">
        <f ca="1">'USD Swap PVs'!P64</f>
        <v>-621240.68765474495</v>
      </c>
      <c r="F130" s="278">
        <f ca="1">'USD Swap PVs'!Q64</f>
        <v>-414160.45843649656</v>
      </c>
      <c r="G130" s="278">
        <f ca="1">'USD Swap PVs'!R64</f>
        <v>-207080.22921824819</v>
      </c>
      <c r="H130" s="278">
        <f ca="1">'USD Swap PVs'!S64</f>
        <v>0</v>
      </c>
      <c r="I130" s="278">
        <f ca="1">'USD Swap PVs'!T64</f>
        <v>207080.22921824831</v>
      </c>
      <c r="J130" s="278">
        <f ca="1">'USD Swap PVs'!U64</f>
        <v>414160.45843649661</v>
      </c>
      <c r="K130" s="278">
        <f ca="1">'USD Swap PVs'!V64</f>
        <v>621240.68765474495</v>
      </c>
      <c r="L130" s="278">
        <f ca="1">'USD Swap PVs'!W64</f>
        <v>828320.91687299323</v>
      </c>
      <c r="M130" s="279">
        <f ca="1">'USD Swap PVs'!X64</f>
        <v>1035401.1460912416</v>
      </c>
      <c r="O130" s="282" t="s">
        <v>17</v>
      </c>
      <c r="P130" s="278">
        <v>-1035401.1460912416</v>
      </c>
      <c r="Q130" s="278">
        <v>-828320.91687299323</v>
      </c>
      <c r="R130" s="278">
        <v>-621240.68765474495</v>
      </c>
      <c r="S130" s="278">
        <v>-414160.45843649656</v>
      </c>
      <c r="T130" s="278">
        <v>-207080.22921824819</v>
      </c>
      <c r="U130" s="278">
        <v>0</v>
      </c>
      <c r="V130" s="278">
        <v>207080.22921824831</v>
      </c>
      <c r="W130" s="278">
        <v>414160.45843649661</v>
      </c>
      <c r="X130" s="278">
        <v>621240.68765474495</v>
      </c>
      <c r="Y130" s="278">
        <v>828320.91687299323</v>
      </c>
      <c r="Z130" s="279">
        <v>1035401.1460912416</v>
      </c>
      <c r="AB130" s="282" t="str">
        <f t="shared" si="9"/>
        <v>30Y</v>
      </c>
      <c r="AC130" s="278">
        <f ca="1">IF(ABS(P130-C130)&gt;SnapshotTolerance,1,0)</f>
        <v>0</v>
      </c>
      <c r="AD130" s="278">
        <f ca="1">IF(ABS(Q130-D130)&gt;SnapshotTolerance,1,0)</f>
        <v>0</v>
      </c>
      <c r="AE130" s="278">
        <f ca="1">IF(ABS(R130-E130)&gt;SnapshotTolerance,1,0)</f>
        <v>0</v>
      </c>
      <c r="AF130" s="278">
        <f ca="1">IF(ABS(S130-F130)&gt;SnapshotTolerance,1,0)</f>
        <v>0</v>
      </c>
      <c r="AG130" s="278">
        <f ca="1">IF(ABS(T130-G130)&gt;SnapshotTolerance,1,0)</f>
        <v>0</v>
      </c>
      <c r="AH130" s="278">
        <f ca="1">IF(ABS(U130-H130)&gt;SnapshotTolerance,1,0)</f>
        <v>0</v>
      </c>
      <c r="AI130" s="278">
        <f ca="1">IF(ABS(V130-I130)&gt;SnapshotTolerance,1,0)</f>
        <v>0</v>
      </c>
      <c r="AJ130" s="278">
        <f ca="1">IF(ABS(W130-J130)&gt;SnapshotTolerance,1,0)</f>
        <v>0</v>
      </c>
      <c r="AK130" s="278">
        <f ca="1">IF(ABS(X130-K130)&gt;SnapshotTolerance,1,0)</f>
        <v>0</v>
      </c>
      <c r="AL130" s="278">
        <f ca="1">IF(ABS(Y130-L130)&gt;SnapshotTolerance,1,0)</f>
        <v>0</v>
      </c>
      <c r="AM130" s="279">
        <f ca="1">IF(ABS(Z130-M130)&gt;SnapshotTolerance,1,0)</f>
        <v>0</v>
      </c>
    </row>
    <row r="131" spans="2:39">
      <c r="B131" s="282" t="str">
        <f>'USD Swap PVs'!M65</f>
        <v>40Y</v>
      </c>
      <c r="C131" s="278">
        <f ca="1">'USD Swap PVs'!N65</f>
        <v>-1217652.1488595277</v>
      </c>
      <c r="D131" s="278">
        <f ca="1">'USD Swap PVs'!O65</f>
        <v>-974121.71908762213</v>
      </c>
      <c r="E131" s="278">
        <f ca="1">'USD Swap PVs'!P65</f>
        <v>-730591.28931571648</v>
      </c>
      <c r="F131" s="278">
        <f ca="1">'USD Swap PVs'!Q65</f>
        <v>-487060.85954381095</v>
      </c>
      <c r="G131" s="278">
        <f ca="1">'USD Swap PVs'!R65</f>
        <v>-243530.42977190542</v>
      </c>
      <c r="H131" s="278">
        <f ca="1">'USD Swap PVs'!S65</f>
        <v>0</v>
      </c>
      <c r="I131" s="278">
        <f ca="1">'USD Swap PVs'!T65</f>
        <v>243530.42977190553</v>
      </c>
      <c r="J131" s="278">
        <f ca="1">'USD Swap PVs'!U65</f>
        <v>487060.85954381083</v>
      </c>
      <c r="K131" s="278">
        <f ca="1">'USD Swap PVs'!V65</f>
        <v>730591.28931571648</v>
      </c>
      <c r="L131" s="278">
        <f ca="1">'USD Swap PVs'!W65</f>
        <v>974121.71908762213</v>
      </c>
      <c r="M131" s="279">
        <f ca="1">'USD Swap PVs'!X65</f>
        <v>1217652.1488595277</v>
      </c>
      <c r="O131" s="282" t="s">
        <v>15</v>
      </c>
      <c r="P131" s="278">
        <v>-1217652.1488595277</v>
      </c>
      <c r="Q131" s="278">
        <v>-974121.71908762213</v>
      </c>
      <c r="R131" s="278">
        <v>-730591.28931571648</v>
      </c>
      <c r="S131" s="278">
        <v>-487060.85954381095</v>
      </c>
      <c r="T131" s="278">
        <v>-243530.42977190542</v>
      </c>
      <c r="U131" s="278">
        <v>0</v>
      </c>
      <c r="V131" s="278">
        <v>243530.42977190553</v>
      </c>
      <c r="W131" s="278">
        <v>487060.85954381083</v>
      </c>
      <c r="X131" s="278">
        <v>730591.28931571648</v>
      </c>
      <c r="Y131" s="278">
        <v>974121.71908762213</v>
      </c>
      <c r="Z131" s="279">
        <v>1217652.1488595277</v>
      </c>
      <c r="AB131" s="282" t="str">
        <f t="shared" si="9"/>
        <v>40Y</v>
      </c>
      <c r="AC131" s="278">
        <f ca="1">IF(ABS(P131-C131)&gt;SnapshotTolerance,1,0)</f>
        <v>0</v>
      </c>
      <c r="AD131" s="278">
        <f ca="1">IF(ABS(Q131-D131)&gt;SnapshotTolerance,1,0)</f>
        <v>0</v>
      </c>
      <c r="AE131" s="278">
        <f ca="1">IF(ABS(R131-E131)&gt;SnapshotTolerance,1,0)</f>
        <v>0</v>
      </c>
      <c r="AF131" s="278">
        <f ca="1">IF(ABS(S131-F131)&gt;SnapshotTolerance,1,0)</f>
        <v>0</v>
      </c>
      <c r="AG131" s="278">
        <f ca="1">IF(ABS(T131-G131)&gt;SnapshotTolerance,1,0)</f>
        <v>0</v>
      </c>
      <c r="AH131" s="278">
        <f ca="1">IF(ABS(U131-H131)&gt;SnapshotTolerance,1,0)</f>
        <v>0</v>
      </c>
      <c r="AI131" s="278">
        <f ca="1">IF(ABS(V131-I131)&gt;SnapshotTolerance,1,0)</f>
        <v>0</v>
      </c>
      <c r="AJ131" s="278">
        <f ca="1">IF(ABS(W131-J131)&gt;SnapshotTolerance,1,0)</f>
        <v>0</v>
      </c>
      <c r="AK131" s="278">
        <f ca="1">IF(ABS(X131-K131)&gt;SnapshotTolerance,1,0)</f>
        <v>0</v>
      </c>
      <c r="AL131" s="278">
        <f ca="1">IF(ABS(Y131-L131)&gt;SnapshotTolerance,1,0)</f>
        <v>0</v>
      </c>
      <c r="AM131" s="279">
        <f ca="1">IF(ABS(Z131-M131)&gt;SnapshotTolerance,1,0)</f>
        <v>0</v>
      </c>
    </row>
    <row r="132" spans="2:39">
      <c r="B132" s="282" t="str">
        <f>'USD Swap PVs'!M66</f>
        <v>50Y</v>
      </c>
      <c r="C132" s="278">
        <f ca="1">'USD Swap PVs'!N66</f>
        <v>-1356303.3835327972</v>
      </c>
      <c r="D132" s="278">
        <f ca="1">'USD Swap PVs'!O66</f>
        <v>-1085042.7068262377</v>
      </c>
      <c r="E132" s="278">
        <f ca="1">'USD Swap PVs'!P66</f>
        <v>-813782.03011967847</v>
      </c>
      <c r="F132" s="278">
        <f ca="1">'USD Swap PVs'!Q66</f>
        <v>-542521.35341311875</v>
      </c>
      <c r="G132" s="278">
        <f ca="1">'USD Swap PVs'!R66</f>
        <v>-271260.67670655937</v>
      </c>
      <c r="H132" s="278">
        <f ca="1">'USD Swap PVs'!S66</f>
        <v>0</v>
      </c>
      <c r="I132" s="278">
        <f ca="1">'USD Swap PVs'!T66</f>
        <v>271260.67670655949</v>
      </c>
      <c r="J132" s="278">
        <f ca="1">'USD Swap PVs'!U66</f>
        <v>542521.35341311898</v>
      </c>
      <c r="K132" s="278">
        <f ca="1">'USD Swap PVs'!V66</f>
        <v>813782.03011967835</v>
      </c>
      <c r="L132" s="278">
        <f ca="1">'USD Swap PVs'!W66</f>
        <v>1085042.7068262375</v>
      </c>
      <c r="M132" s="279">
        <f ca="1">'USD Swap PVs'!X66</f>
        <v>1356303.3835327972</v>
      </c>
      <c r="O132" s="282" t="s">
        <v>14</v>
      </c>
      <c r="P132" s="278">
        <v>-1356303.3835327972</v>
      </c>
      <c r="Q132" s="278">
        <v>-1085042.7068262377</v>
      </c>
      <c r="R132" s="278">
        <v>-813782.03011967847</v>
      </c>
      <c r="S132" s="278">
        <v>-542521.35341311875</v>
      </c>
      <c r="T132" s="278">
        <v>-271260.67670655937</v>
      </c>
      <c r="U132" s="278">
        <v>0</v>
      </c>
      <c r="V132" s="278">
        <v>271260.67670655949</v>
      </c>
      <c r="W132" s="278">
        <v>542521.35341311898</v>
      </c>
      <c r="X132" s="278">
        <v>813782.03011967835</v>
      </c>
      <c r="Y132" s="278">
        <v>1085042.7068262375</v>
      </c>
      <c r="Z132" s="279">
        <v>1356303.3835327972</v>
      </c>
      <c r="AB132" s="282" t="str">
        <f t="shared" si="9"/>
        <v>50Y</v>
      </c>
      <c r="AC132" s="278">
        <f ca="1">IF(ABS(P132-C132)&gt;SnapshotTolerance,1,0)</f>
        <v>0</v>
      </c>
      <c r="AD132" s="278">
        <f ca="1">IF(ABS(Q132-D132)&gt;SnapshotTolerance,1,0)</f>
        <v>0</v>
      </c>
      <c r="AE132" s="278">
        <f ca="1">IF(ABS(R132-E132)&gt;SnapshotTolerance,1,0)</f>
        <v>0</v>
      </c>
      <c r="AF132" s="278">
        <f ca="1">IF(ABS(S132-F132)&gt;SnapshotTolerance,1,0)</f>
        <v>0</v>
      </c>
      <c r="AG132" s="278">
        <f ca="1">IF(ABS(T132-G132)&gt;SnapshotTolerance,1,0)</f>
        <v>0</v>
      </c>
      <c r="AH132" s="278">
        <f ca="1">IF(ABS(U132-H132)&gt;SnapshotTolerance,1,0)</f>
        <v>0</v>
      </c>
      <c r="AI132" s="278">
        <f ca="1">IF(ABS(V132-I132)&gt;SnapshotTolerance,1,0)</f>
        <v>0</v>
      </c>
      <c r="AJ132" s="278">
        <f ca="1">IF(ABS(W132-J132)&gt;SnapshotTolerance,1,0)</f>
        <v>0</v>
      </c>
      <c r="AK132" s="278">
        <f ca="1">IF(ABS(X132-K132)&gt;SnapshotTolerance,1,0)</f>
        <v>0</v>
      </c>
      <c r="AL132" s="278">
        <f ca="1">IF(ABS(Y132-L132)&gt;SnapshotTolerance,1,0)</f>
        <v>0</v>
      </c>
      <c r="AM132" s="279">
        <f ca="1">IF(ABS(Z132-M132)&gt;SnapshotTolerance,1,0)</f>
        <v>0</v>
      </c>
    </row>
    <row r="133" spans="2:39">
      <c r="B133" s="282"/>
      <c r="C133" s="278"/>
      <c r="D133" s="278"/>
      <c r="E133" s="278"/>
      <c r="F133" s="278"/>
      <c r="G133" s="278"/>
      <c r="H133" s="278"/>
      <c r="I133" s="278"/>
      <c r="J133" s="278"/>
      <c r="K133" s="278"/>
      <c r="L133" s="278"/>
      <c r="M133" s="279"/>
      <c r="O133" s="282"/>
      <c r="P133" s="278"/>
      <c r="Q133" s="278"/>
      <c r="R133" s="278"/>
      <c r="S133" s="278"/>
      <c r="T133" s="278"/>
      <c r="U133" s="278"/>
      <c r="V133" s="278"/>
      <c r="W133" s="278"/>
      <c r="X133" s="278"/>
      <c r="Y133" s="278"/>
      <c r="Z133" s="279"/>
      <c r="AB133" s="282"/>
      <c r="AC133" s="278"/>
      <c r="AD133" s="278"/>
      <c r="AE133" s="278"/>
      <c r="AF133" s="278"/>
      <c r="AG133" s="278"/>
      <c r="AH133" s="278"/>
      <c r="AI133" s="278"/>
      <c r="AJ133" s="278"/>
      <c r="AK133" s="278"/>
      <c r="AL133" s="278"/>
      <c r="AM133" s="279"/>
    </row>
    <row r="134" spans="2:39">
      <c r="B134" s="282"/>
      <c r="C134" s="278"/>
      <c r="D134" s="278"/>
      <c r="E134" s="278"/>
      <c r="F134" s="278"/>
      <c r="G134" s="278"/>
      <c r="H134" s="278"/>
      <c r="I134" s="278"/>
      <c r="J134" s="278"/>
      <c r="K134" s="278"/>
      <c r="L134" s="278"/>
      <c r="M134" s="279"/>
      <c r="O134" s="282"/>
      <c r="P134" s="278"/>
      <c r="Q134" s="278"/>
      <c r="R134" s="278"/>
      <c r="S134" s="278"/>
      <c r="T134" s="278"/>
      <c r="U134" s="278"/>
      <c r="V134" s="278"/>
      <c r="W134" s="278"/>
      <c r="X134" s="278"/>
      <c r="Y134" s="278"/>
      <c r="Z134" s="279"/>
      <c r="AB134" s="282"/>
      <c r="AC134" s="278"/>
      <c r="AD134" s="278"/>
      <c r="AE134" s="278"/>
      <c r="AF134" s="278"/>
      <c r="AG134" s="278"/>
      <c r="AH134" s="278"/>
      <c r="AI134" s="278"/>
      <c r="AJ134" s="278"/>
      <c r="AK134" s="278"/>
      <c r="AL134" s="278"/>
      <c r="AM134" s="279"/>
    </row>
    <row r="135" spans="2:39">
      <c r="B135" s="282"/>
      <c r="C135" s="278"/>
      <c r="D135" s="278"/>
      <c r="E135" s="278"/>
      <c r="F135" s="278"/>
      <c r="G135" s="278"/>
      <c r="H135" s="278"/>
      <c r="I135" s="278"/>
      <c r="J135" s="278"/>
      <c r="K135" s="278"/>
      <c r="L135" s="278"/>
      <c r="M135" s="279"/>
      <c r="O135" s="282"/>
      <c r="P135" s="278"/>
      <c r="Q135" s="278"/>
      <c r="R135" s="278"/>
      <c r="S135" s="278"/>
      <c r="T135" s="278"/>
      <c r="U135" s="278"/>
      <c r="V135" s="278"/>
      <c r="W135" s="278"/>
      <c r="X135" s="278"/>
      <c r="Y135" s="278"/>
      <c r="Z135" s="279"/>
      <c r="AB135" s="282"/>
      <c r="AC135" s="278"/>
      <c r="AD135" s="278"/>
      <c r="AE135" s="278"/>
      <c r="AF135" s="278"/>
      <c r="AG135" s="278"/>
      <c r="AH135" s="278"/>
      <c r="AI135" s="278"/>
      <c r="AJ135" s="278"/>
      <c r="AK135" s="278"/>
      <c r="AL135" s="278"/>
      <c r="AM135" s="279"/>
    </row>
    <row r="136" spans="2:39">
      <c r="B136" s="283"/>
      <c r="C136" s="280"/>
      <c r="D136" s="280"/>
      <c r="E136" s="280"/>
      <c r="F136" s="280"/>
      <c r="G136" s="280"/>
      <c r="H136" s="280"/>
      <c r="I136" s="280"/>
      <c r="J136" s="280"/>
      <c r="K136" s="280"/>
      <c r="L136" s="280"/>
      <c r="M136" s="281"/>
      <c r="O136" s="283"/>
      <c r="P136" s="280"/>
      <c r="Q136" s="280"/>
      <c r="R136" s="280"/>
      <c r="S136" s="280"/>
      <c r="T136" s="280"/>
      <c r="U136" s="280"/>
      <c r="V136" s="280"/>
      <c r="W136" s="280"/>
      <c r="X136" s="280"/>
      <c r="Y136" s="280"/>
      <c r="Z136" s="281"/>
      <c r="AB136" s="283"/>
      <c r="AC136" s="280"/>
      <c r="AD136" s="280"/>
      <c r="AE136" s="280"/>
      <c r="AF136" s="280"/>
      <c r="AG136" s="280"/>
      <c r="AH136" s="280"/>
      <c r="AI136" s="280"/>
      <c r="AJ136" s="280"/>
      <c r="AK136" s="280"/>
      <c r="AL136" s="280"/>
      <c r="AM136" s="281"/>
    </row>
    <row r="139" spans="2:39">
      <c r="B139" t="s">
        <v>533</v>
      </c>
      <c r="E139" t="s">
        <v>472</v>
      </c>
    </row>
    <row r="140" spans="2:39">
      <c r="B140" t="s">
        <v>530</v>
      </c>
      <c r="E140" s="252">
        <f ca="1">SUM(AC145:AM163)</f>
        <v>0</v>
      </c>
    </row>
    <row r="141" spans="2:39">
      <c r="B141" t="s">
        <v>529</v>
      </c>
    </row>
    <row r="143" spans="2:39">
      <c r="B143" t="s">
        <v>510</v>
      </c>
      <c r="O143" t="s">
        <v>470</v>
      </c>
      <c r="AB143" t="s">
        <v>511</v>
      </c>
    </row>
    <row r="144" spans="2:39">
      <c r="B144" s="254" t="str">
        <f>'USD Swap PVs'!M76</f>
        <v>Term</v>
      </c>
      <c r="C144" s="287">
        <f>'USD Swap PVs'!N76</f>
        <v>500</v>
      </c>
      <c r="D144" s="287">
        <f>'USD Swap PVs'!O76</f>
        <v>400</v>
      </c>
      <c r="E144" s="287">
        <f>'USD Swap PVs'!P76</f>
        <v>300</v>
      </c>
      <c r="F144" s="287">
        <f>'USD Swap PVs'!Q76</f>
        <v>200</v>
      </c>
      <c r="G144" s="287">
        <f>'USD Swap PVs'!R76</f>
        <v>100</v>
      </c>
      <c r="H144" s="287">
        <f>'USD Swap PVs'!S76</f>
        <v>0</v>
      </c>
      <c r="I144" s="287">
        <f>'USD Swap PVs'!T76</f>
        <v>-100</v>
      </c>
      <c r="J144" s="287">
        <f>'USD Swap PVs'!U76</f>
        <v>-200</v>
      </c>
      <c r="K144" s="287">
        <f>'USD Swap PVs'!V76</f>
        <v>-300</v>
      </c>
      <c r="L144" s="287">
        <f>'USD Swap PVs'!W76</f>
        <v>-400</v>
      </c>
      <c r="M144" s="288">
        <f>'USD Swap PVs'!X76</f>
        <v>-500</v>
      </c>
      <c r="O144" s="254" t="s">
        <v>76</v>
      </c>
      <c r="P144" s="287">
        <v>500</v>
      </c>
      <c r="Q144" s="287">
        <v>400</v>
      </c>
      <c r="R144" s="287">
        <v>300</v>
      </c>
      <c r="S144" s="287">
        <v>200</v>
      </c>
      <c r="T144" s="287">
        <v>100</v>
      </c>
      <c r="U144" s="287">
        <v>0</v>
      </c>
      <c r="V144" s="287">
        <v>-100</v>
      </c>
      <c r="W144" s="287">
        <v>-200</v>
      </c>
      <c r="X144" s="287">
        <v>-300</v>
      </c>
      <c r="Y144" s="287">
        <v>-400</v>
      </c>
      <c r="Z144" s="288">
        <v>-500</v>
      </c>
      <c r="AB144" s="254" t="str">
        <f>O144</f>
        <v>Term</v>
      </c>
      <c r="AC144" s="287">
        <f>P144</f>
        <v>500</v>
      </c>
      <c r="AD144" s="287">
        <f t="shared" ref="AD144:AM144" si="10">Q144</f>
        <v>400</v>
      </c>
      <c r="AE144" s="287">
        <f t="shared" si="10"/>
        <v>300</v>
      </c>
      <c r="AF144" s="287">
        <f t="shared" si="10"/>
        <v>200</v>
      </c>
      <c r="AG144" s="287">
        <f t="shared" si="10"/>
        <v>100</v>
      </c>
      <c r="AH144" s="287">
        <f t="shared" si="10"/>
        <v>0</v>
      </c>
      <c r="AI144" s="287">
        <f t="shared" si="10"/>
        <v>-100</v>
      </c>
      <c r="AJ144" s="287">
        <f t="shared" si="10"/>
        <v>-200</v>
      </c>
      <c r="AK144" s="287">
        <f t="shared" si="10"/>
        <v>-300</v>
      </c>
      <c r="AL144" s="287">
        <f t="shared" si="10"/>
        <v>-400</v>
      </c>
      <c r="AM144" s="288">
        <f t="shared" si="10"/>
        <v>-500</v>
      </c>
    </row>
    <row r="145" spans="2:39">
      <c r="B145" s="282" t="str">
        <f>'USD Swap PVs'!M77</f>
        <v>4Y</v>
      </c>
      <c r="C145" s="278">
        <f ca="1">'USD Swap PVs'!N77</f>
        <v>-198777.426464966</v>
      </c>
      <c r="D145" s="278">
        <f ca="1">'USD Swap PVs'!O77</f>
        <v>-159021.94117197287</v>
      </c>
      <c r="E145" s="278">
        <f ca="1">'USD Swap PVs'!P77</f>
        <v>-119266.45587897966</v>
      </c>
      <c r="F145" s="278">
        <f ca="1">'USD Swap PVs'!Q77</f>
        <v>-79510.970585986419</v>
      </c>
      <c r="G145" s="278">
        <f ca="1">'USD Swap PVs'!R77</f>
        <v>-39755.485292993217</v>
      </c>
      <c r="H145" s="278">
        <f ca="1">'USD Swap PVs'!S77</f>
        <v>-6.9388939039072284E-12</v>
      </c>
      <c r="I145" s="278">
        <f ca="1">'USD Swap PVs'!T77</f>
        <v>39755.485292993202</v>
      </c>
      <c r="J145" s="278">
        <f ca="1">'USD Swap PVs'!U77</f>
        <v>79510.970585986404</v>
      </c>
      <c r="K145" s="278">
        <f ca="1">'USD Swap PVs'!V77</f>
        <v>119266.45587897963</v>
      </c>
      <c r="L145" s="278">
        <f ca="1">'USD Swap PVs'!W77</f>
        <v>159021.94117197284</v>
      </c>
      <c r="M145" s="279">
        <f ca="1">'USD Swap PVs'!X77</f>
        <v>198777.42646496603</v>
      </c>
      <c r="O145" s="282" t="s">
        <v>35</v>
      </c>
      <c r="P145" s="278">
        <v>-198777.426464966</v>
      </c>
      <c r="Q145" s="278">
        <v>-159021.94117197287</v>
      </c>
      <c r="R145" s="278">
        <v>-119266.45587897966</v>
      </c>
      <c r="S145" s="278">
        <v>-79510.970585986419</v>
      </c>
      <c r="T145" s="278">
        <v>-39755.485292993217</v>
      </c>
      <c r="U145" s="278">
        <v>-6.9388939039072284E-12</v>
      </c>
      <c r="V145" s="278">
        <v>39755.485292993202</v>
      </c>
      <c r="W145" s="278">
        <v>79510.970585986404</v>
      </c>
      <c r="X145" s="278">
        <v>119266.45587897963</v>
      </c>
      <c r="Y145" s="278">
        <v>159021.94117197284</v>
      </c>
      <c r="Z145" s="279">
        <v>198777.42646496603</v>
      </c>
      <c r="AB145" s="282" t="str">
        <f t="shared" ref="AB145:AB163" si="11">O145</f>
        <v>4Y</v>
      </c>
      <c r="AC145" s="278">
        <f ca="1">IF(ABS(P145-C145)&gt;SnapshotTolerance,1,0)</f>
        <v>0</v>
      </c>
      <c r="AD145" s="278">
        <f ca="1">IF(ABS(Q145-D145)&gt;SnapshotTolerance,1,0)</f>
        <v>0</v>
      </c>
      <c r="AE145" s="278">
        <f ca="1">IF(ABS(R145-E145)&gt;SnapshotTolerance,1,0)</f>
        <v>0</v>
      </c>
      <c r="AF145" s="278">
        <f ca="1">IF(ABS(S145-F145)&gt;SnapshotTolerance,1,0)</f>
        <v>0</v>
      </c>
      <c r="AG145" s="278">
        <f ca="1">IF(ABS(T145-G145)&gt;SnapshotTolerance,1,0)</f>
        <v>0</v>
      </c>
      <c r="AH145" s="278">
        <f ca="1">IF(ABS(U145-H145)&gt;SnapshotTolerance,1,0)</f>
        <v>0</v>
      </c>
      <c r="AI145" s="278">
        <f ca="1">IF(ABS(V145-I145)&gt;SnapshotTolerance,1,0)</f>
        <v>0</v>
      </c>
      <c r="AJ145" s="278">
        <f ca="1">IF(ABS(W145-J145)&gt;SnapshotTolerance,1,0)</f>
        <v>0</v>
      </c>
      <c r="AK145" s="278">
        <f ca="1">IF(ABS(X145-K145)&gt;SnapshotTolerance,1,0)</f>
        <v>0</v>
      </c>
      <c r="AL145" s="278">
        <f ca="1">IF(ABS(Y145-L145)&gt;SnapshotTolerance,1,0)</f>
        <v>0</v>
      </c>
      <c r="AM145" s="279">
        <f ca="1">IF(ABS(Z145-M145)&gt;SnapshotTolerance,1,0)</f>
        <v>0</v>
      </c>
    </row>
    <row r="146" spans="2:39">
      <c r="B146" s="282" t="str">
        <f>'USD Swap PVs'!M78</f>
        <v>5Y</v>
      </c>
      <c r="C146" s="278">
        <f ca="1">'USD Swap PVs'!N78</f>
        <v>-246131.73696146879</v>
      </c>
      <c r="D146" s="278">
        <f ca="1">'USD Swap PVs'!O78</f>
        <v>-196905.38956917502</v>
      </c>
      <c r="E146" s="278">
        <f ca="1">'USD Swap PVs'!P78</f>
        <v>-147679.04217688134</v>
      </c>
      <c r="F146" s="278">
        <f ca="1">'USD Swap PVs'!Q78</f>
        <v>-98452.694784587467</v>
      </c>
      <c r="G146" s="278">
        <f ca="1">'USD Swap PVs'!R78</f>
        <v>-49226.347392293741</v>
      </c>
      <c r="H146" s="278">
        <f ca="1">'USD Swap PVs'!S78</f>
        <v>1.3877787807814457E-11</v>
      </c>
      <c r="I146" s="278">
        <f ca="1">'USD Swap PVs'!T78</f>
        <v>49226.347392293777</v>
      </c>
      <c r="J146" s="278">
        <f ca="1">'USD Swap PVs'!U78</f>
        <v>98452.69478458754</v>
      </c>
      <c r="K146" s="278">
        <f ca="1">'USD Swap PVs'!V78</f>
        <v>147679.04217688134</v>
      </c>
      <c r="L146" s="278">
        <f ca="1">'USD Swap PVs'!W78</f>
        <v>196905.38956917508</v>
      </c>
      <c r="M146" s="279">
        <f ca="1">'USD Swap PVs'!X78</f>
        <v>246131.73696146885</v>
      </c>
      <c r="O146" s="282" t="s">
        <v>33</v>
      </c>
      <c r="P146" s="278">
        <v>-246131.73696146879</v>
      </c>
      <c r="Q146" s="278">
        <v>-196905.38956917502</v>
      </c>
      <c r="R146" s="278">
        <v>-147679.04217688134</v>
      </c>
      <c r="S146" s="278">
        <v>-98452.694784587467</v>
      </c>
      <c r="T146" s="278">
        <v>-49226.347392293741</v>
      </c>
      <c r="U146" s="278">
        <v>1.3877787807814457E-11</v>
      </c>
      <c r="V146" s="278">
        <v>49226.347392293777</v>
      </c>
      <c r="W146" s="278">
        <v>98452.69478458754</v>
      </c>
      <c r="X146" s="278">
        <v>147679.04217688134</v>
      </c>
      <c r="Y146" s="278">
        <v>196905.38956917508</v>
      </c>
      <c r="Z146" s="279">
        <v>246131.73696146885</v>
      </c>
      <c r="AB146" s="282" t="str">
        <f t="shared" si="11"/>
        <v>5Y</v>
      </c>
      <c r="AC146" s="278">
        <f ca="1">IF(ABS(P146-C146)&gt;SnapshotTolerance,1,0)</f>
        <v>0</v>
      </c>
      <c r="AD146" s="278">
        <f ca="1">IF(ABS(Q146-D146)&gt;SnapshotTolerance,1,0)</f>
        <v>0</v>
      </c>
      <c r="AE146" s="278">
        <f ca="1">IF(ABS(R146-E146)&gt;SnapshotTolerance,1,0)</f>
        <v>0</v>
      </c>
      <c r="AF146" s="278">
        <f ca="1">IF(ABS(S146-F146)&gt;SnapshotTolerance,1,0)</f>
        <v>0</v>
      </c>
      <c r="AG146" s="278">
        <f ca="1">IF(ABS(T146-G146)&gt;SnapshotTolerance,1,0)</f>
        <v>0</v>
      </c>
      <c r="AH146" s="278">
        <f ca="1">IF(ABS(U146-H146)&gt;SnapshotTolerance,1,0)</f>
        <v>0</v>
      </c>
      <c r="AI146" s="278">
        <f ca="1">IF(ABS(V146-I146)&gt;SnapshotTolerance,1,0)</f>
        <v>0</v>
      </c>
      <c r="AJ146" s="278">
        <f ca="1">IF(ABS(W146-J146)&gt;SnapshotTolerance,1,0)</f>
        <v>0</v>
      </c>
      <c r="AK146" s="278">
        <f ca="1">IF(ABS(X146-K146)&gt;SnapshotTolerance,1,0)</f>
        <v>0</v>
      </c>
      <c r="AL146" s="278">
        <f ca="1">IF(ABS(Y146-L146)&gt;SnapshotTolerance,1,0)</f>
        <v>0</v>
      </c>
      <c r="AM146" s="279">
        <f ca="1">IF(ABS(Z146-M146)&gt;SnapshotTolerance,1,0)</f>
        <v>0</v>
      </c>
    </row>
    <row r="147" spans="2:39">
      <c r="B147" s="282" t="str">
        <f>'USD Swap PVs'!M79</f>
        <v>6Y</v>
      </c>
      <c r="C147" s="278">
        <f ca="1">'USD Swap PVs'!N79</f>
        <v>-292058.13024354144</v>
      </c>
      <c r="D147" s="278">
        <f ca="1">'USD Swap PVs'!O79</f>
        <v>-233646.50419483325</v>
      </c>
      <c r="E147" s="278">
        <f ca="1">'USD Swap PVs'!P79</f>
        <v>-175234.87814612495</v>
      </c>
      <c r="F147" s="278">
        <f ca="1">'USD Swap PVs'!Q79</f>
        <v>-116823.2520974166</v>
      </c>
      <c r="G147" s="278">
        <f ca="1">'USD Swap PVs'!R79</f>
        <v>-58411.626048708313</v>
      </c>
      <c r="H147" s="278">
        <f ca="1">'USD Swap PVs'!S79</f>
        <v>-1.3877787807814457E-11</v>
      </c>
      <c r="I147" s="278">
        <f ca="1">'USD Swap PVs'!T79</f>
        <v>58411.626048708284</v>
      </c>
      <c r="J147" s="278">
        <f ca="1">'USD Swap PVs'!U79</f>
        <v>116823.25209741658</v>
      </c>
      <c r="K147" s="278">
        <f ca="1">'USD Swap PVs'!V79</f>
        <v>175234.87814612489</v>
      </c>
      <c r="L147" s="278">
        <f ca="1">'USD Swap PVs'!W79</f>
        <v>233646.50419483319</v>
      </c>
      <c r="M147" s="279">
        <f ca="1">'USD Swap PVs'!X79</f>
        <v>292058.13024354156</v>
      </c>
      <c r="O147" s="282" t="s">
        <v>131</v>
      </c>
      <c r="P147" s="278">
        <v>-292058.13024354144</v>
      </c>
      <c r="Q147" s="278">
        <v>-233646.50419483325</v>
      </c>
      <c r="R147" s="278">
        <v>-175234.87814612495</v>
      </c>
      <c r="S147" s="278">
        <v>-116823.2520974166</v>
      </c>
      <c r="T147" s="278">
        <v>-58411.626048708313</v>
      </c>
      <c r="U147" s="278">
        <v>-1.3877787807814457E-11</v>
      </c>
      <c r="V147" s="278">
        <v>58411.626048708284</v>
      </c>
      <c r="W147" s="278">
        <v>116823.25209741658</v>
      </c>
      <c r="X147" s="278">
        <v>175234.87814612489</v>
      </c>
      <c r="Y147" s="278">
        <v>233646.50419483319</v>
      </c>
      <c r="Z147" s="279">
        <v>292058.13024354156</v>
      </c>
      <c r="AB147" s="282" t="str">
        <f t="shared" si="11"/>
        <v>6Y</v>
      </c>
      <c r="AC147" s="278">
        <f ca="1">IF(ABS(P147-C147)&gt;SnapshotTolerance,1,0)</f>
        <v>0</v>
      </c>
      <c r="AD147" s="278">
        <f ca="1">IF(ABS(Q147-D147)&gt;SnapshotTolerance,1,0)</f>
        <v>0</v>
      </c>
      <c r="AE147" s="278">
        <f ca="1">IF(ABS(R147-E147)&gt;SnapshotTolerance,1,0)</f>
        <v>0</v>
      </c>
      <c r="AF147" s="278">
        <f ca="1">IF(ABS(S147-F147)&gt;SnapshotTolerance,1,0)</f>
        <v>0</v>
      </c>
      <c r="AG147" s="278">
        <f ca="1">IF(ABS(T147-G147)&gt;SnapshotTolerance,1,0)</f>
        <v>0</v>
      </c>
      <c r="AH147" s="278">
        <f ca="1">IF(ABS(U147-H147)&gt;SnapshotTolerance,1,0)</f>
        <v>0</v>
      </c>
      <c r="AI147" s="278">
        <f ca="1">IF(ABS(V147-I147)&gt;SnapshotTolerance,1,0)</f>
        <v>0</v>
      </c>
      <c r="AJ147" s="278">
        <f ca="1">IF(ABS(W147-J147)&gt;SnapshotTolerance,1,0)</f>
        <v>0</v>
      </c>
      <c r="AK147" s="278">
        <f ca="1">IF(ABS(X147-K147)&gt;SnapshotTolerance,1,0)</f>
        <v>0</v>
      </c>
      <c r="AL147" s="278">
        <f ca="1">IF(ABS(Y147-L147)&gt;SnapshotTolerance,1,0)</f>
        <v>0</v>
      </c>
      <c r="AM147" s="279">
        <f ca="1">IF(ABS(Z147-M147)&gt;SnapshotTolerance,1,0)</f>
        <v>0</v>
      </c>
    </row>
    <row r="148" spans="2:39">
      <c r="B148" s="282" t="str">
        <f>'USD Swap PVs'!M80</f>
        <v>7Y</v>
      </c>
      <c r="C148" s="278">
        <f ca="1">'USD Swap PVs'!N80</f>
        <v>-336636.27902883606</v>
      </c>
      <c r="D148" s="278">
        <f ca="1">'USD Swap PVs'!O80</f>
        <v>-269309.02322306891</v>
      </c>
      <c r="E148" s="278">
        <f ca="1">'USD Swap PVs'!P80</f>
        <v>-201981.76741730174</v>
      </c>
      <c r="F148" s="278">
        <f ca="1">'USD Swap PVs'!Q80</f>
        <v>-134654.51161153449</v>
      </c>
      <c r="G148" s="278">
        <f ca="1">'USD Swap PVs'!R80</f>
        <v>-67327.255805767229</v>
      </c>
      <c r="H148" s="278">
        <f ca="1">'USD Swap PVs'!S80</f>
        <v>0</v>
      </c>
      <c r="I148" s="278">
        <f ca="1">'USD Swap PVs'!T80</f>
        <v>67327.255805767243</v>
      </c>
      <c r="J148" s="278">
        <f ca="1">'USD Swap PVs'!U80</f>
        <v>134654.51161153449</v>
      </c>
      <c r="K148" s="278">
        <f ca="1">'USD Swap PVs'!V80</f>
        <v>201981.76741730174</v>
      </c>
      <c r="L148" s="278">
        <f ca="1">'USD Swap PVs'!W80</f>
        <v>269309.02322306897</v>
      </c>
      <c r="M148" s="279">
        <f ca="1">'USD Swap PVs'!X80</f>
        <v>336636.27902883629</v>
      </c>
      <c r="O148" s="282" t="s">
        <v>31</v>
      </c>
      <c r="P148" s="278">
        <v>-336636.27902883606</v>
      </c>
      <c r="Q148" s="278">
        <v>-269309.02322306891</v>
      </c>
      <c r="R148" s="278">
        <v>-201981.76741730174</v>
      </c>
      <c r="S148" s="278">
        <v>-134654.51161153449</v>
      </c>
      <c r="T148" s="278">
        <v>-67327.255805767229</v>
      </c>
      <c r="U148" s="278">
        <v>0</v>
      </c>
      <c r="V148" s="278">
        <v>67327.255805767243</v>
      </c>
      <c r="W148" s="278">
        <v>134654.51161153449</v>
      </c>
      <c r="X148" s="278">
        <v>201981.76741730174</v>
      </c>
      <c r="Y148" s="278">
        <v>269309.02322306897</v>
      </c>
      <c r="Z148" s="279">
        <v>336636.27902883629</v>
      </c>
      <c r="AB148" s="282" t="str">
        <f t="shared" si="11"/>
        <v>7Y</v>
      </c>
      <c r="AC148" s="278">
        <f ca="1">IF(ABS(P148-C148)&gt;SnapshotTolerance,1,0)</f>
        <v>0</v>
      </c>
      <c r="AD148" s="278">
        <f ca="1">IF(ABS(Q148-D148)&gt;SnapshotTolerance,1,0)</f>
        <v>0</v>
      </c>
      <c r="AE148" s="278">
        <f ca="1">IF(ABS(R148-E148)&gt;SnapshotTolerance,1,0)</f>
        <v>0</v>
      </c>
      <c r="AF148" s="278">
        <f ca="1">IF(ABS(S148-F148)&gt;SnapshotTolerance,1,0)</f>
        <v>0</v>
      </c>
      <c r="AG148" s="278">
        <f ca="1">IF(ABS(T148-G148)&gt;SnapshotTolerance,1,0)</f>
        <v>0</v>
      </c>
      <c r="AH148" s="278">
        <f ca="1">IF(ABS(U148-H148)&gt;SnapshotTolerance,1,0)</f>
        <v>0</v>
      </c>
      <c r="AI148" s="278">
        <f ca="1">IF(ABS(V148-I148)&gt;SnapshotTolerance,1,0)</f>
        <v>0</v>
      </c>
      <c r="AJ148" s="278">
        <f ca="1">IF(ABS(W148-J148)&gt;SnapshotTolerance,1,0)</f>
        <v>0</v>
      </c>
      <c r="AK148" s="278">
        <f ca="1">IF(ABS(X148-K148)&gt;SnapshotTolerance,1,0)</f>
        <v>0</v>
      </c>
      <c r="AL148" s="278">
        <f ca="1">IF(ABS(Y148-L148)&gt;SnapshotTolerance,1,0)</f>
        <v>0</v>
      </c>
      <c r="AM148" s="279">
        <f ca="1">IF(ABS(Z148-M148)&gt;SnapshotTolerance,1,0)</f>
        <v>0</v>
      </c>
    </row>
    <row r="149" spans="2:39">
      <c r="B149" s="282" t="str">
        <f>'USD Swap PVs'!M81</f>
        <v>8Y</v>
      </c>
      <c r="C149" s="278">
        <f ca="1">'USD Swap PVs'!N81</f>
        <v>-380086.43747963931</v>
      </c>
      <c r="D149" s="278">
        <f ca="1">'USD Swap PVs'!O81</f>
        <v>-304069.14998371148</v>
      </c>
      <c r="E149" s="278">
        <f ca="1">'USD Swap PVs'!P81</f>
        <v>-228051.86248778363</v>
      </c>
      <c r="F149" s="278">
        <f ca="1">'USD Swap PVs'!Q81</f>
        <v>-152034.57499185577</v>
      </c>
      <c r="G149" s="278">
        <f ca="1">'USD Swap PVs'!R81</f>
        <v>-76017.287495927871</v>
      </c>
      <c r="H149" s="278">
        <f ca="1">'USD Swap PVs'!S81</f>
        <v>0</v>
      </c>
      <c r="I149" s="278">
        <f ca="1">'USD Swap PVs'!T81</f>
        <v>76017.287495927871</v>
      </c>
      <c r="J149" s="278">
        <f ca="1">'USD Swap PVs'!U81</f>
        <v>152034.57499185571</v>
      </c>
      <c r="K149" s="278">
        <f ca="1">'USD Swap PVs'!V81</f>
        <v>228051.86248778363</v>
      </c>
      <c r="L149" s="278">
        <f ca="1">'USD Swap PVs'!W81</f>
        <v>304069.14998371148</v>
      </c>
      <c r="M149" s="279">
        <f ca="1">'USD Swap PVs'!X81</f>
        <v>380086.43747963931</v>
      </c>
      <c r="O149" s="282" t="s">
        <v>119</v>
      </c>
      <c r="P149" s="278">
        <v>-380086.43747963931</v>
      </c>
      <c r="Q149" s="278">
        <v>-304069.14998371148</v>
      </c>
      <c r="R149" s="278">
        <v>-228051.86248778363</v>
      </c>
      <c r="S149" s="278">
        <v>-152034.57499185577</v>
      </c>
      <c r="T149" s="278">
        <v>-76017.287495927871</v>
      </c>
      <c r="U149" s="278">
        <v>0</v>
      </c>
      <c r="V149" s="278">
        <v>76017.287495927871</v>
      </c>
      <c r="W149" s="278">
        <v>152034.57499185571</v>
      </c>
      <c r="X149" s="278">
        <v>228051.86248778363</v>
      </c>
      <c r="Y149" s="278">
        <v>304069.14998371148</v>
      </c>
      <c r="Z149" s="279">
        <v>380086.43747963931</v>
      </c>
      <c r="AB149" s="282" t="str">
        <f t="shared" si="11"/>
        <v>8Y</v>
      </c>
      <c r="AC149" s="278">
        <f ca="1">IF(ABS(P149-C149)&gt;SnapshotTolerance,1,0)</f>
        <v>0</v>
      </c>
      <c r="AD149" s="278">
        <f ca="1">IF(ABS(Q149-D149)&gt;SnapshotTolerance,1,0)</f>
        <v>0</v>
      </c>
      <c r="AE149" s="278">
        <f ca="1">IF(ABS(R149-E149)&gt;SnapshotTolerance,1,0)</f>
        <v>0</v>
      </c>
      <c r="AF149" s="278">
        <f ca="1">IF(ABS(S149-F149)&gt;SnapshotTolerance,1,0)</f>
        <v>0</v>
      </c>
      <c r="AG149" s="278">
        <f ca="1">IF(ABS(T149-G149)&gt;SnapshotTolerance,1,0)</f>
        <v>0</v>
      </c>
      <c r="AH149" s="278">
        <f ca="1">IF(ABS(U149-H149)&gt;SnapshotTolerance,1,0)</f>
        <v>0</v>
      </c>
      <c r="AI149" s="278">
        <f ca="1">IF(ABS(V149-I149)&gt;SnapshotTolerance,1,0)</f>
        <v>0</v>
      </c>
      <c r="AJ149" s="278">
        <f ca="1">IF(ABS(W149-J149)&gt;SnapshotTolerance,1,0)</f>
        <v>0</v>
      </c>
      <c r="AK149" s="278">
        <f ca="1">IF(ABS(X149-K149)&gt;SnapshotTolerance,1,0)</f>
        <v>0</v>
      </c>
      <c r="AL149" s="278">
        <f ca="1">IF(ABS(Y149-L149)&gt;SnapshotTolerance,1,0)</f>
        <v>0</v>
      </c>
      <c r="AM149" s="279">
        <f ca="1">IF(ABS(Z149-M149)&gt;SnapshotTolerance,1,0)</f>
        <v>0</v>
      </c>
    </row>
    <row r="150" spans="2:39">
      <c r="B150" s="282" t="str">
        <f>'USD Swap PVs'!M82</f>
        <v>9Y</v>
      </c>
      <c r="C150" s="278">
        <f ca="1">'USD Swap PVs'!N82</f>
        <v>-421837.79507817933</v>
      </c>
      <c r="D150" s="278">
        <f ca="1">'USD Swap PVs'!O82</f>
        <v>-337470.23606254335</v>
      </c>
      <c r="E150" s="278">
        <f ca="1">'USD Swap PVs'!P82</f>
        <v>-253102.67704690754</v>
      </c>
      <c r="F150" s="278">
        <f ca="1">'USD Swap PVs'!Q82</f>
        <v>-168735.11803127173</v>
      </c>
      <c r="G150" s="278">
        <f ca="1">'USD Swap PVs'!R82</f>
        <v>-84367.559015635808</v>
      </c>
      <c r="H150" s="278">
        <f ca="1">'USD Swap PVs'!S82</f>
        <v>0</v>
      </c>
      <c r="I150" s="278">
        <f ca="1">'USD Swap PVs'!T82</f>
        <v>84367.55901563591</v>
      </c>
      <c r="J150" s="278">
        <f ca="1">'USD Swap PVs'!U82</f>
        <v>168735.11803127173</v>
      </c>
      <c r="K150" s="278">
        <f ca="1">'USD Swap PVs'!V82</f>
        <v>253102.6770469076</v>
      </c>
      <c r="L150" s="278">
        <f ca="1">'USD Swap PVs'!W82</f>
        <v>337470.23606254347</v>
      </c>
      <c r="M150" s="279">
        <f ca="1">'USD Swap PVs'!X82</f>
        <v>421837.79507817933</v>
      </c>
      <c r="O150" s="282" t="s">
        <v>113</v>
      </c>
      <c r="P150" s="278">
        <v>-421837.79507817933</v>
      </c>
      <c r="Q150" s="278">
        <v>-337470.23606254335</v>
      </c>
      <c r="R150" s="278">
        <v>-253102.67704690754</v>
      </c>
      <c r="S150" s="278">
        <v>-168735.11803127173</v>
      </c>
      <c r="T150" s="278">
        <v>-84367.559015635808</v>
      </c>
      <c r="U150" s="278">
        <v>0</v>
      </c>
      <c r="V150" s="278">
        <v>84367.55901563591</v>
      </c>
      <c r="W150" s="278">
        <v>168735.11803127173</v>
      </c>
      <c r="X150" s="278">
        <v>253102.6770469076</v>
      </c>
      <c r="Y150" s="278">
        <v>337470.23606254347</v>
      </c>
      <c r="Z150" s="279">
        <v>421837.79507817933</v>
      </c>
      <c r="AB150" s="282" t="str">
        <f t="shared" si="11"/>
        <v>9Y</v>
      </c>
      <c r="AC150" s="278">
        <f ca="1">IF(ABS(P150-C150)&gt;SnapshotTolerance,1,0)</f>
        <v>0</v>
      </c>
      <c r="AD150" s="278">
        <f ca="1">IF(ABS(Q150-D150)&gt;SnapshotTolerance,1,0)</f>
        <v>0</v>
      </c>
      <c r="AE150" s="278">
        <f ca="1">IF(ABS(R150-E150)&gt;SnapshotTolerance,1,0)</f>
        <v>0</v>
      </c>
      <c r="AF150" s="278">
        <f ca="1">IF(ABS(S150-F150)&gt;SnapshotTolerance,1,0)</f>
        <v>0</v>
      </c>
      <c r="AG150" s="278">
        <f ca="1">IF(ABS(T150-G150)&gt;SnapshotTolerance,1,0)</f>
        <v>0</v>
      </c>
      <c r="AH150" s="278">
        <f ca="1">IF(ABS(U150-H150)&gt;SnapshotTolerance,1,0)</f>
        <v>0</v>
      </c>
      <c r="AI150" s="278">
        <f ca="1">IF(ABS(V150-I150)&gt;SnapshotTolerance,1,0)</f>
        <v>0</v>
      </c>
      <c r="AJ150" s="278">
        <f ca="1">IF(ABS(W150-J150)&gt;SnapshotTolerance,1,0)</f>
        <v>0</v>
      </c>
      <c r="AK150" s="278">
        <f ca="1">IF(ABS(X150-K150)&gt;SnapshotTolerance,1,0)</f>
        <v>0</v>
      </c>
      <c r="AL150" s="278">
        <f ca="1">IF(ABS(Y150-L150)&gt;SnapshotTolerance,1,0)</f>
        <v>0</v>
      </c>
      <c r="AM150" s="279">
        <f ca="1">IF(ABS(Z150-M150)&gt;SnapshotTolerance,1,0)</f>
        <v>0</v>
      </c>
    </row>
    <row r="151" spans="2:39">
      <c r="B151" s="282" t="str">
        <f>'USD Swap PVs'!M83</f>
        <v>10Y</v>
      </c>
      <c r="C151" s="278">
        <f ca="1">'USD Swap PVs'!N83</f>
        <v>-462388.14162659738</v>
      </c>
      <c r="D151" s="278">
        <f ca="1">'USD Swap PVs'!O83</f>
        <v>-369910.51330127788</v>
      </c>
      <c r="E151" s="278">
        <f ca="1">'USD Swap PVs'!P83</f>
        <v>-277432.88497595844</v>
      </c>
      <c r="F151" s="278">
        <f ca="1">'USD Swap PVs'!Q83</f>
        <v>-184955.25665063897</v>
      </c>
      <c r="G151" s="278">
        <f ca="1">'USD Swap PVs'!R83</f>
        <v>-92477.628325319442</v>
      </c>
      <c r="H151" s="278">
        <f ca="1">'USD Swap PVs'!S83</f>
        <v>0</v>
      </c>
      <c r="I151" s="278">
        <f ca="1">'USD Swap PVs'!T83</f>
        <v>92477.628325319558</v>
      </c>
      <c r="J151" s="278">
        <f ca="1">'USD Swap PVs'!U83</f>
        <v>184955.25665063897</v>
      </c>
      <c r="K151" s="278">
        <f ca="1">'USD Swap PVs'!V83</f>
        <v>277432.8849759585</v>
      </c>
      <c r="L151" s="278">
        <f ca="1">'USD Swap PVs'!W83</f>
        <v>369910.51330127788</v>
      </c>
      <c r="M151" s="279">
        <f ca="1">'USD Swap PVs'!X83</f>
        <v>462388.1416265975</v>
      </c>
      <c r="O151" s="282" t="s">
        <v>28</v>
      </c>
      <c r="P151" s="278">
        <v>-462388.14162659738</v>
      </c>
      <c r="Q151" s="278">
        <v>-369910.51330127788</v>
      </c>
      <c r="R151" s="278">
        <v>-277432.88497595844</v>
      </c>
      <c r="S151" s="278">
        <v>-184955.25665063897</v>
      </c>
      <c r="T151" s="278">
        <v>-92477.628325319442</v>
      </c>
      <c r="U151" s="278">
        <v>0</v>
      </c>
      <c r="V151" s="278">
        <v>92477.628325319558</v>
      </c>
      <c r="W151" s="278">
        <v>184955.25665063897</v>
      </c>
      <c r="X151" s="278">
        <v>277432.8849759585</v>
      </c>
      <c r="Y151" s="278">
        <v>369910.51330127788</v>
      </c>
      <c r="Z151" s="279">
        <v>462388.1416265975</v>
      </c>
      <c r="AB151" s="282" t="str">
        <f t="shared" si="11"/>
        <v>10Y</v>
      </c>
      <c r="AC151" s="278">
        <f ca="1">IF(ABS(P151-C151)&gt;SnapshotTolerance,1,0)</f>
        <v>0</v>
      </c>
      <c r="AD151" s="278">
        <f ca="1">IF(ABS(Q151-D151)&gt;SnapshotTolerance,1,0)</f>
        <v>0</v>
      </c>
      <c r="AE151" s="278">
        <f ca="1">IF(ABS(R151-E151)&gt;SnapshotTolerance,1,0)</f>
        <v>0</v>
      </c>
      <c r="AF151" s="278">
        <f ca="1">IF(ABS(S151-F151)&gt;SnapshotTolerance,1,0)</f>
        <v>0</v>
      </c>
      <c r="AG151" s="278">
        <f ca="1">IF(ABS(T151-G151)&gt;SnapshotTolerance,1,0)</f>
        <v>0</v>
      </c>
      <c r="AH151" s="278">
        <f ca="1">IF(ABS(U151-H151)&gt;SnapshotTolerance,1,0)</f>
        <v>0</v>
      </c>
      <c r="AI151" s="278">
        <f ca="1">IF(ABS(V151-I151)&gt;SnapshotTolerance,1,0)</f>
        <v>0</v>
      </c>
      <c r="AJ151" s="278">
        <f ca="1">IF(ABS(W151-J151)&gt;SnapshotTolerance,1,0)</f>
        <v>0</v>
      </c>
      <c r="AK151" s="278">
        <f ca="1">IF(ABS(X151-K151)&gt;SnapshotTolerance,1,0)</f>
        <v>0</v>
      </c>
      <c r="AL151" s="278">
        <f ca="1">IF(ABS(Y151-L151)&gt;SnapshotTolerance,1,0)</f>
        <v>0</v>
      </c>
      <c r="AM151" s="279">
        <f ca="1">IF(ABS(Z151-M151)&gt;SnapshotTolerance,1,0)</f>
        <v>0</v>
      </c>
    </row>
    <row r="152" spans="2:39">
      <c r="B152" s="282" t="str">
        <f>'USD Swap PVs'!M84</f>
        <v>11Y</v>
      </c>
      <c r="C152" s="278">
        <f ca="1">'USD Swap PVs'!N84</f>
        <v>-501653.57340943185</v>
      </c>
      <c r="D152" s="278">
        <f ca="1">'USD Swap PVs'!O84</f>
        <v>-401322.85872754542</v>
      </c>
      <c r="E152" s="278">
        <f ca="1">'USD Swap PVs'!P84</f>
        <v>-300992.14404565905</v>
      </c>
      <c r="F152" s="278">
        <f ca="1">'USD Swap PVs'!Q84</f>
        <v>-200661.42936377268</v>
      </c>
      <c r="G152" s="278">
        <f ca="1">'USD Swap PVs'!R84</f>
        <v>-100330.71468188631</v>
      </c>
      <c r="H152" s="278">
        <f ca="1">'USD Swap PVs'!S84</f>
        <v>0</v>
      </c>
      <c r="I152" s="278">
        <f ca="1">'USD Swap PVs'!T84</f>
        <v>100330.71468188649</v>
      </c>
      <c r="J152" s="278">
        <f ca="1">'USD Swap PVs'!U84</f>
        <v>200661.42936377277</v>
      </c>
      <c r="K152" s="278">
        <f ca="1">'USD Swap PVs'!V84</f>
        <v>300992.14404565917</v>
      </c>
      <c r="L152" s="278">
        <f ca="1">'USD Swap PVs'!W84</f>
        <v>401322.85872754548</v>
      </c>
      <c r="M152" s="279">
        <f ca="1">'USD Swap PVs'!X84</f>
        <v>501653.57340943196</v>
      </c>
      <c r="O152" s="282" t="s">
        <v>366</v>
      </c>
      <c r="P152" s="278">
        <v>-501653.57340943185</v>
      </c>
      <c r="Q152" s="278">
        <v>-401322.85872754542</v>
      </c>
      <c r="R152" s="278">
        <v>-300992.14404565905</v>
      </c>
      <c r="S152" s="278">
        <v>-200661.42936377268</v>
      </c>
      <c r="T152" s="278">
        <v>-100330.71468188631</v>
      </c>
      <c r="U152" s="278">
        <v>0</v>
      </c>
      <c r="V152" s="278">
        <v>100330.71468188649</v>
      </c>
      <c r="W152" s="278">
        <v>200661.42936377277</v>
      </c>
      <c r="X152" s="278">
        <v>300992.14404565917</v>
      </c>
      <c r="Y152" s="278">
        <v>401322.85872754548</v>
      </c>
      <c r="Z152" s="279">
        <v>501653.57340943196</v>
      </c>
      <c r="AB152" s="282" t="str">
        <f t="shared" si="11"/>
        <v>11Y</v>
      </c>
      <c r="AC152" s="278">
        <f ca="1">IF(ABS(P152-C152)&gt;SnapshotTolerance,1,0)</f>
        <v>0</v>
      </c>
      <c r="AD152" s="278">
        <f ca="1">IF(ABS(Q152-D152)&gt;SnapshotTolerance,1,0)</f>
        <v>0</v>
      </c>
      <c r="AE152" s="278">
        <f ca="1">IF(ABS(R152-E152)&gt;SnapshotTolerance,1,0)</f>
        <v>0</v>
      </c>
      <c r="AF152" s="278">
        <f ca="1">IF(ABS(S152-F152)&gt;SnapshotTolerance,1,0)</f>
        <v>0</v>
      </c>
      <c r="AG152" s="278">
        <f ca="1">IF(ABS(T152-G152)&gt;SnapshotTolerance,1,0)</f>
        <v>0</v>
      </c>
      <c r="AH152" s="278">
        <f ca="1">IF(ABS(U152-H152)&gt;SnapshotTolerance,1,0)</f>
        <v>0</v>
      </c>
      <c r="AI152" s="278">
        <f ca="1">IF(ABS(V152-I152)&gt;SnapshotTolerance,1,0)</f>
        <v>0</v>
      </c>
      <c r="AJ152" s="278">
        <f ca="1">IF(ABS(W152-J152)&gt;SnapshotTolerance,1,0)</f>
        <v>0</v>
      </c>
      <c r="AK152" s="278">
        <f ca="1">IF(ABS(X152-K152)&gt;SnapshotTolerance,1,0)</f>
        <v>0</v>
      </c>
      <c r="AL152" s="278">
        <f ca="1">IF(ABS(Y152-L152)&gt;SnapshotTolerance,1,0)</f>
        <v>0</v>
      </c>
      <c r="AM152" s="279">
        <f ca="1">IF(ABS(Z152-M152)&gt;SnapshotTolerance,1,0)</f>
        <v>0</v>
      </c>
    </row>
    <row r="153" spans="2:39">
      <c r="B153" s="282" t="str">
        <f>'USD Swap PVs'!M85</f>
        <v>12Y</v>
      </c>
      <c r="C153" s="278">
        <f ca="1">'USD Swap PVs'!N85</f>
        <v>-539672.51174194494</v>
      </c>
      <c r="D153" s="278">
        <f ca="1">'USD Swap PVs'!O85</f>
        <v>-431738.00939355604</v>
      </c>
      <c r="E153" s="278">
        <f ca="1">'USD Swap PVs'!P85</f>
        <v>-323803.50704516686</v>
      </c>
      <c r="F153" s="278">
        <f ca="1">'USD Swap PVs'!Q85</f>
        <v>-215869.00469677793</v>
      </c>
      <c r="G153" s="278">
        <f ca="1">'USD Swap PVs'!R85</f>
        <v>-107934.50234838892</v>
      </c>
      <c r="H153" s="278">
        <f ca="1">'USD Swap PVs'!S85</f>
        <v>0</v>
      </c>
      <c r="I153" s="278">
        <f ca="1">'USD Swap PVs'!T85</f>
        <v>107934.50234838908</v>
      </c>
      <c r="J153" s="278">
        <f ca="1">'USD Swap PVs'!U85</f>
        <v>215869.00469677799</v>
      </c>
      <c r="K153" s="278">
        <f ca="1">'USD Swap PVs'!V85</f>
        <v>323803.50704516703</v>
      </c>
      <c r="L153" s="278">
        <f ca="1">'USD Swap PVs'!W85</f>
        <v>431738.00939355599</v>
      </c>
      <c r="M153" s="279">
        <f ca="1">'USD Swap PVs'!X85</f>
        <v>539672.51174194494</v>
      </c>
      <c r="O153" s="282" t="s">
        <v>26</v>
      </c>
      <c r="P153" s="278">
        <v>-539672.51174194494</v>
      </c>
      <c r="Q153" s="278">
        <v>-431738.00939355604</v>
      </c>
      <c r="R153" s="278">
        <v>-323803.50704516686</v>
      </c>
      <c r="S153" s="278">
        <v>-215869.00469677793</v>
      </c>
      <c r="T153" s="278">
        <v>-107934.50234838892</v>
      </c>
      <c r="U153" s="278">
        <v>0</v>
      </c>
      <c r="V153" s="278">
        <v>107934.50234838908</v>
      </c>
      <c r="W153" s="278">
        <v>215869.00469677799</v>
      </c>
      <c r="X153" s="278">
        <v>323803.50704516703</v>
      </c>
      <c r="Y153" s="278">
        <v>431738.00939355599</v>
      </c>
      <c r="Z153" s="279">
        <v>539672.51174194494</v>
      </c>
      <c r="AB153" s="282" t="str">
        <f t="shared" si="11"/>
        <v>12Y</v>
      </c>
      <c r="AC153" s="278">
        <f ca="1">IF(ABS(P153-C153)&gt;SnapshotTolerance,1,0)</f>
        <v>0</v>
      </c>
      <c r="AD153" s="278">
        <f ca="1">IF(ABS(Q153-D153)&gt;SnapshotTolerance,1,0)</f>
        <v>0</v>
      </c>
      <c r="AE153" s="278">
        <f ca="1">IF(ABS(R153-E153)&gt;SnapshotTolerance,1,0)</f>
        <v>0</v>
      </c>
      <c r="AF153" s="278">
        <f ca="1">IF(ABS(S153-F153)&gt;SnapshotTolerance,1,0)</f>
        <v>0</v>
      </c>
      <c r="AG153" s="278">
        <f ca="1">IF(ABS(T153-G153)&gt;SnapshotTolerance,1,0)</f>
        <v>0</v>
      </c>
      <c r="AH153" s="278">
        <f ca="1">IF(ABS(U153-H153)&gt;SnapshotTolerance,1,0)</f>
        <v>0</v>
      </c>
      <c r="AI153" s="278">
        <f ca="1">IF(ABS(V153-I153)&gt;SnapshotTolerance,1,0)</f>
        <v>0</v>
      </c>
      <c r="AJ153" s="278">
        <f ca="1">IF(ABS(W153-J153)&gt;SnapshotTolerance,1,0)</f>
        <v>0</v>
      </c>
      <c r="AK153" s="278">
        <f ca="1">IF(ABS(X153-K153)&gt;SnapshotTolerance,1,0)</f>
        <v>0</v>
      </c>
      <c r="AL153" s="278">
        <f ca="1">IF(ABS(Y153-L153)&gt;SnapshotTolerance,1,0)</f>
        <v>0</v>
      </c>
      <c r="AM153" s="279">
        <f ca="1">IF(ABS(Z153-M153)&gt;SnapshotTolerance,1,0)</f>
        <v>0</v>
      </c>
    </row>
    <row r="154" spans="2:39">
      <c r="B154" s="282" t="str">
        <f>'USD Swap PVs'!M86</f>
        <v>15Y</v>
      </c>
      <c r="C154" s="278">
        <f ca="1">'USD Swap PVs'!N86</f>
        <v>-646763.03135862527</v>
      </c>
      <c r="D154" s="278">
        <f ca="1">'USD Swap PVs'!O86</f>
        <v>-517410.42508689995</v>
      </c>
      <c r="E154" s="278">
        <f ca="1">'USD Swap PVs'!P86</f>
        <v>-388057.81881517486</v>
      </c>
      <c r="F154" s="278">
        <f ca="1">'USD Swap PVs'!Q86</f>
        <v>-258705.2125434498</v>
      </c>
      <c r="G154" s="278">
        <f ca="1">'USD Swap PVs'!R86</f>
        <v>-129352.60627172496</v>
      </c>
      <c r="H154" s="278">
        <f ca="1">'USD Swap PVs'!S86</f>
        <v>0</v>
      </c>
      <c r="I154" s="278">
        <f ca="1">'USD Swap PVs'!T86</f>
        <v>129352.60627172512</v>
      </c>
      <c r="J154" s="278">
        <f ca="1">'USD Swap PVs'!U86</f>
        <v>258705.21254345015</v>
      </c>
      <c r="K154" s="278">
        <f ca="1">'USD Swap PVs'!V86</f>
        <v>388057.81881517515</v>
      </c>
      <c r="L154" s="278">
        <f ca="1">'USD Swap PVs'!W86</f>
        <v>517410.42508690018</v>
      </c>
      <c r="M154" s="279">
        <f ca="1">'USD Swap PVs'!X86</f>
        <v>646763.03135862527</v>
      </c>
      <c r="O154" s="282" t="s">
        <v>24</v>
      </c>
      <c r="P154" s="278">
        <v>-646763.03135862527</v>
      </c>
      <c r="Q154" s="278">
        <v>-517410.42508689995</v>
      </c>
      <c r="R154" s="278">
        <v>-388057.81881517486</v>
      </c>
      <c r="S154" s="278">
        <v>-258705.2125434498</v>
      </c>
      <c r="T154" s="278">
        <v>-129352.60627172496</v>
      </c>
      <c r="U154" s="278">
        <v>0</v>
      </c>
      <c r="V154" s="278">
        <v>129352.60627172512</v>
      </c>
      <c r="W154" s="278">
        <v>258705.21254345015</v>
      </c>
      <c r="X154" s="278">
        <v>388057.81881517515</v>
      </c>
      <c r="Y154" s="278">
        <v>517410.42508690018</v>
      </c>
      <c r="Z154" s="279">
        <v>646763.03135862527</v>
      </c>
      <c r="AB154" s="282" t="str">
        <f t="shared" si="11"/>
        <v>15Y</v>
      </c>
      <c r="AC154" s="278">
        <f ca="1">IF(ABS(P154-C154)&gt;SnapshotTolerance,1,0)</f>
        <v>0</v>
      </c>
      <c r="AD154" s="278">
        <f ca="1">IF(ABS(Q154-D154)&gt;SnapshotTolerance,1,0)</f>
        <v>0</v>
      </c>
      <c r="AE154" s="278">
        <f ca="1">IF(ABS(R154-E154)&gt;SnapshotTolerance,1,0)</f>
        <v>0</v>
      </c>
      <c r="AF154" s="278">
        <f ca="1">IF(ABS(S154-F154)&gt;SnapshotTolerance,1,0)</f>
        <v>0</v>
      </c>
      <c r="AG154" s="278">
        <f ca="1">IF(ABS(T154-G154)&gt;SnapshotTolerance,1,0)</f>
        <v>0</v>
      </c>
      <c r="AH154" s="278">
        <f ca="1">IF(ABS(U154-H154)&gt;SnapshotTolerance,1,0)</f>
        <v>0</v>
      </c>
      <c r="AI154" s="278">
        <f ca="1">IF(ABS(V154-I154)&gt;SnapshotTolerance,1,0)</f>
        <v>0</v>
      </c>
      <c r="AJ154" s="278">
        <f ca="1">IF(ABS(W154-J154)&gt;SnapshotTolerance,1,0)</f>
        <v>0</v>
      </c>
      <c r="AK154" s="278">
        <f ca="1">IF(ABS(X154-K154)&gt;SnapshotTolerance,1,0)</f>
        <v>0</v>
      </c>
      <c r="AL154" s="278">
        <f ca="1">IF(ABS(Y154-L154)&gt;SnapshotTolerance,1,0)</f>
        <v>0</v>
      </c>
      <c r="AM154" s="279">
        <f ca="1">IF(ABS(Z154-M154)&gt;SnapshotTolerance,1,0)</f>
        <v>0</v>
      </c>
    </row>
    <row r="155" spans="2:39">
      <c r="B155" s="282" t="str">
        <f>'USD Swap PVs'!M87</f>
        <v>20Y</v>
      </c>
      <c r="C155" s="278">
        <f ca="1">'USD Swap PVs'!N87</f>
        <v>-804037.65725514793</v>
      </c>
      <c r="D155" s="278">
        <f ca="1">'USD Swap PVs'!O87</f>
        <v>-643230.12580411846</v>
      </c>
      <c r="E155" s="278">
        <f ca="1">'USD Swap PVs'!P87</f>
        <v>-482422.59435308882</v>
      </c>
      <c r="F155" s="278">
        <f ca="1">'USD Swap PVs'!Q87</f>
        <v>-321615.06290205906</v>
      </c>
      <c r="G155" s="278">
        <f ca="1">'USD Swap PVs'!R87</f>
        <v>-160807.5314510297</v>
      </c>
      <c r="H155" s="278">
        <f ca="1">'USD Swap PVs'!S87</f>
        <v>0</v>
      </c>
      <c r="I155" s="278">
        <f ca="1">'USD Swap PVs'!T87</f>
        <v>160807.53145102976</v>
      </c>
      <c r="J155" s="278">
        <f ca="1">'USD Swap PVs'!U87</f>
        <v>321615.06290205941</v>
      </c>
      <c r="K155" s="278">
        <f ca="1">'USD Swap PVs'!V87</f>
        <v>482422.59435308911</v>
      </c>
      <c r="L155" s="278">
        <f ca="1">'USD Swap PVs'!W87</f>
        <v>643230.12580411881</v>
      </c>
      <c r="M155" s="279">
        <f ca="1">'USD Swap PVs'!X87</f>
        <v>804037.6572551484</v>
      </c>
      <c r="O155" s="282" t="s">
        <v>20</v>
      </c>
      <c r="P155" s="278">
        <v>-804037.65725514793</v>
      </c>
      <c r="Q155" s="278">
        <v>-643230.12580411846</v>
      </c>
      <c r="R155" s="278">
        <v>-482422.59435308882</v>
      </c>
      <c r="S155" s="278">
        <v>-321615.06290205906</v>
      </c>
      <c r="T155" s="278">
        <v>-160807.5314510297</v>
      </c>
      <c r="U155" s="278">
        <v>0</v>
      </c>
      <c r="V155" s="278">
        <v>160807.53145102976</v>
      </c>
      <c r="W155" s="278">
        <v>321615.06290205941</v>
      </c>
      <c r="X155" s="278">
        <v>482422.59435308911</v>
      </c>
      <c r="Y155" s="278">
        <v>643230.12580411881</v>
      </c>
      <c r="Z155" s="279">
        <v>804037.6572551484</v>
      </c>
      <c r="AB155" s="282" t="str">
        <f t="shared" si="11"/>
        <v>20Y</v>
      </c>
      <c r="AC155" s="278">
        <f ca="1">IF(ABS(P155-C155)&gt;SnapshotTolerance,1,0)</f>
        <v>0</v>
      </c>
      <c r="AD155" s="278">
        <f ca="1">IF(ABS(Q155-D155)&gt;SnapshotTolerance,1,0)</f>
        <v>0</v>
      </c>
      <c r="AE155" s="278">
        <f ca="1">IF(ABS(R155-E155)&gt;SnapshotTolerance,1,0)</f>
        <v>0</v>
      </c>
      <c r="AF155" s="278">
        <f ca="1">IF(ABS(S155-F155)&gt;SnapshotTolerance,1,0)</f>
        <v>0</v>
      </c>
      <c r="AG155" s="278">
        <f ca="1">IF(ABS(T155-G155)&gt;SnapshotTolerance,1,0)</f>
        <v>0</v>
      </c>
      <c r="AH155" s="278">
        <f ca="1">IF(ABS(U155-H155)&gt;SnapshotTolerance,1,0)</f>
        <v>0</v>
      </c>
      <c r="AI155" s="278">
        <f ca="1">IF(ABS(V155-I155)&gt;SnapshotTolerance,1,0)</f>
        <v>0</v>
      </c>
      <c r="AJ155" s="278">
        <f ca="1">IF(ABS(W155-J155)&gt;SnapshotTolerance,1,0)</f>
        <v>0</v>
      </c>
      <c r="AK155" s="278">
        <f ca="1">IF(ABS(X155-K155)&gt;SnapshotTolerance,1,0)</f>
        <v>0</v>
      </c>
      <c r="AL155" s="278">
        <f ca="1">IF(ABS(Y155-L155)&gt;SnapshotTolerance,1,0)</f>
        <v>0</v>
      </c>
      <c r="AM155" s="279">
        <f ca="1">IF(ABS(Z155-M155)&gt;SnapshotTolerance,1,0)</f>
        <v>0</v>
      </c>
    </row>
    <row r="156" spans="2:39">
      <c r="B156" s="282" t="str">
        <f>'USD Swap PVs'!M88</f>
        <v>25Y</v>
      </c>
      <c r="C156" s="278">
        <f ca="1">'USD Swap PVs'!N88</f>
        <v>-938667.92003639555</v>
      </c>
      <c r="D156" s="278">
        <f ca="1">'USD Swap PVs'!O88</f>
        <v>-750934.33602911618</v>
      </c>
      <c r="E156" s="278">
        <f ca="1">'USD Swap PVs'!P88</f>
        <v>-563200.75202183705</v>
      </c>
      <c r="F156" s="278">
        <f ca="1">'USD Swap PVs'!Q88</f>
        <v>-375467.16801455768</v>
      </c>
      <c r="G156" s="278">
        <f ca="1">'USD Swap PVs'!R88</f>
        <v>-187733.58400727945</v>
      </c>
      <c r="H156" s="278">
        <f ca="1">'USD Swap PVs'!S88</f>
        <v>0</v>
      </c>
      <c r="I156" s="278">
        <f ca="1">'USD Swap PVs'!T88</f>
        <v>187733.58400727937</v>
      </c>
      <c r="J156" s="278">
        <f ca="1">'USD Swap PVs'!U88</f>
        <v>375467.16801455838</v>
      </c>
      <c r="K156" s="278">
        <f ca="1">'USD Swap PVs'!V88</f>
        <v>563200.75202183763</v>
      </c>
      <c r="L156" s="278">
        <f ca="1">'USD Swap PVs'!W88</f>
        <v>750934.33602911676</v>
      </c>
      <c r="M156" s="279">
        <f ca="1">'USD Swap PVs'!X88</f>
        <v>938667.9200363959</v>
      </c>
      <c r="O156" s="282" t="s">
        <v>18</v>
      </c>
      <c r="P156" s="278">
        <v>-938667.92003639555</v>
      </c>
      <c r="Q156" s="278">
        <v>-750934.33602911618</v>
      </c>
      <c r="R156" s="278">
        <v>-563200.75202183705</v>
      </c>
      <c r="S156" s="278">
        <v>-375467.16801455768</v>
      </c>
      <c r="T156" s="278">
        <v>-187733.58400727945</v>
      </c>
      <c r="U156" s="278">
        <v>0</v>
      </c>
      <c r="V156" s="278">
        <v>187733.58400727937</v>
      </c>
      <c r="W156" s="278">
        <v>375467.16801455838</v>
      </c>
      <c r="X156" s="278">
        <v>563200.75202183763</v>
      </c>
      <c r="Y156" s="278">
        <v>750934.33602911676</v>
      </c>
      <c r="Z156" s="279">
        <v>938667.9200363959</v>
      </c>
      <c r="AB156" s="282" t="str">
        <f t="shared" si="11"/>
        <v>25Y</v>
      </c>
      <c r="AC156" s="278">
        <f ca="1">IF(ABS(P156-C156)&gt;SnapshotTolerance,1,0)</f>
        <v>0</v>
      </c>
      <c r="AD156" s="278">
        <f ca="1">IF(ABS(Q156-D156)&gt;SnapshotTolerance,1,0)</f>
        <v>0</v>
      </c>
      <c r="AE156" s="278">
        <f ca="1">IF(ABS(R156-E156)&gt;SnapshotTolerance,1,0)</f>
        <v>0</v>
      </c>
      <c r="AF156" s="278">
        <f ca="1">IF(ABS(S156-F156)&gt;SnapshotTolerance,1,0)</f>
        <v>0</v>
      </c>
      <c r="AG156" s="278">
        <f ca="1">IF(ABS(T156-G156)&gt;SnapshotTolerance,1,0)</f>
        <v>0</v>
      </c>
      <c r="AH156" s="278">
        <f ca="1">IF(ABS(U156-H156)&gt;SnapshotTolerance,1,0)</f>
        <v>0</v>
      </c>
      <c r="AI156" s="278">
        <f ca="1">IF(ABS(V156-I156)&gt;SnapshotTolerance,1,0)</f>
        <v>0</v>
      </c>
      <c r="AJ156" s="278">
        <f ca="1">IF(ABS(W156-J156)&gt;SnapshotTolerance,1,0)</f>
        <v>0</v>
      </c>
      <c r="AK156" s="278">
        <f ca="1">IF(ABS(X156-K156)&gt;SnapshotTolerance,1,0)</f>
        <v>0</v>
      </c>
      <c r="AL156" s="278">
        <f ca="1">IF(ABS(Y156-L156)&gt;SnapshotTolerance,1,0)</f>
        <v>0</v>
      </c>
      <c r="AM156" s="279">
        <f ca="1">IF(ABS(Z156-M156)&gt;SnapshotTolerance,1,0)</f>
        <v>0</v>
      </c>
    </row>
    <row r="157" spans="2:39">
      <c r="B157" s="282" t="str">
        <f>'USD Swap PVs'!M89</f>
        <v>30Y</v>
      </c>
      <c r="C157" s="278">
        <f ca="1">'USD Swap PVs'!N89</f>
        <v>-1054277.2388134073</v>
      </c>
      <c r="D157" s="278">
        <f ca="1">'USD Swap PVs'!O89</f>
        <v>-843421.79105072538</v>
      </c>
      <c r="E157" s="278">
        <f ca="1">'USD Swap PVs'!P89</f>
        <v>-632566.34328804398</v>
      </c>
      <c r="F157" s="278">
        <f ca="1">'USD Swap PVs'!Q89</f>
        <v>-421710.89552536234</v>
      </c>
      <c r="G157" s="278">
        <f ca="1">'USD Swap PVs'!R89</f>
        <v>-210855.44776268172</v>
      </c>
      <c r="H157" s="278">
        <f ca="1">'USD Swap PVs'!S89</f>
        <v>0</v>
      </c>
      <c r="I157" s="278">
        <f ca="1">'USD Swap PVs'!T89</f>
        <v>210855.44776268172</v>
      </c>
      <c r="J157" s="278">
        <f ca="1">'USD Swap PVs'!U89</f>
        <v>421710.8955253631</v>
      </c>
      <c r="K157" s="278">
        <f ca="1">'USD Swap PVs'!V89</f>
        <v>632566.34328804479</v>
      </c>
      <c r="L157" s="278">
        <f ca="1">'USD Swap PVs'!W89</f>
        <v>843421.7910507262</v>
      </c>
      <c r="M157" s="279">
        <f ca="1">'USD Swap PVs'!X89</f>
        <v>1054277.2388134082</v>
      </c>
      <c r="O157" s="282" t="s">
        <v>17</v>
      </c>
      <c r="P157" s="278">
        <v>-1054277.2388134073</v>
      </c>
      <c r="Q157" s="278">
        <v>-843421.79105072538</v>
      </c>
      <c r="R157" s="278">
        <v>-632566.34328804398</v>
      </c>
      <c r="S157" s="278">
        <v>-421710.89552536234</v>
      </c>
      <c r="T157" s="278">
        <v>-210855.44776268172</v>
      </c>
      <c r="U157" s="278">
        <v>0</v>
      </c>
      <c r="V157" s="278">
        <v>210855.44776268172</v>
      </c>
      <c r="W157" s="278">
        <v>421710.8955253631</v>
      </c>
      <c r="X157" s="278">
        <v>632566.34328804479</v>
      </c>
      <c r="Y157" s="278">
        <v>843421.7910507262</v>
      </c>
      <c r="Z157" s="279">
        <v>1054277.2388134082</v>
      </c>
      <c r="AB157" s="282" t="str">
        <f t="shared" si="11"/>
        <v>30Y</v>
      </c>
      <c r="AC157" s="278">
        <f ca="1">IF(ABS(P157-C157)&gt;SnapshotTolerance,1,0)</f>
        <v>0</v>
      </c>
      <c r="AD157" s="278">
        <f ca="1">IF(ABS(Q157-D157)&gt;SnapshotTolerance,1,0)</f>
        <v>0</v>
      </c>
      <c r="AE157" s="278">
        <f ca="1">IF(ABS(R157-E157)&gt;SnapshotTolerance,1,0)</f>
        <v>0</v>
      </c>
      <c r="AF157" s="278">
        <f ca="1">IF(ABS(S157-F157)&gt;SnapshotTolerance,1,0)</f>
        <v>0</v>
      </c>
      <c r="AG157" s="278">
        <f ca="1">IF(ABS(T157-G157)&gt;SnapshotTolerance,1,0)</f>
        <v>0</v>
      </c>
      <c r="AH157" s="278">
        <f ca="1">IF(ABS(U157-H157)&gt;SnapshotTolerance,1,0)</f>
        <v>0</v>
      </c>
      <c r="AI157" s="278">
        <f ca="1">IF(ABS(V157-I157)&gt;SnapshotTolerance,1,0)</f>
        <v>0</v>
      </c>
      <c r="AJ157" s="278">
        <f ca="1">IF(ABS(W157-J157)&gt;SnapshotTolerance,1,0)</f>
        <v>0</v>
      </c>
      <c r="AK157" s="278">
        <f ca="1">IF(ABS(X157-K157)&gt;SnapshotTolerance,1,0)</f>
        <v>0</v>
      </c>
      <c r="AL157" s="278">
        <f ca="1">IF(ABS(Y157-L157)&gt;SnapshotTolerance,1,0)</f>
        <v>0</v>
      </c>
      <c r="AM157" s="279">
        <f ca="1">IF(ABS(Z157-M157)&gt;SnapshotTolerance,1,0)</f>
        <v>0</v>
      </c>
    </row>
    <row r="158" spans="2:39">
      <c r="B158" s="282" t="str">
        <f>'USD Swap PVs'!M90</f>
        <v>40Y</v>
      </c>
      <c r="C158" s="278">
        <f ca="1">'USD Swap PVs'!N90</f>
        <v>-1239840.6415149069</v>
      </c>
      <c r="D158" s="278">
        <f ca="1">'USD Swap PVs'!O90</f>
        <v>-991872.51321192528</v>
      </c>
      <c r="E158" s="278">
        <f ca="1">'USD Swap PVs'!P90</f>
        <v>-743904.38490894309</v>
      </c>
      <c r="F158" s="278">
        <f ca="1">'USD Swap PVs'!Q90</f>
        <v>-495936.25660596177</v>
      </c>
      <c r="G158" s="278">
        <f ca="1">'USD Swap PVs'!R90</f>
        <v>-247968.12830298155</v>
      </c>
      <c r="H158" s="278">
        <f ca="1">'USD Swap PVs'!S90</f>
        <v>0</v>
      </c>
      <c r="I158" s="278">
        <f ca="1">'USD Swap PVs'!T90</f>
        <v>247968.12830298214</v>
      </c>
      <c r="J158" s="278">
        <f ca="1">'USD Swap PVs'!U90</f>
        <v>495936.2566059634</v>
      </c>
      <c r="K158" s="278">
        <f ca="1">'USD Swap PVs'!V90</f>
        <v>743904.38490894507</v>
      </c>
      <c r="L158" s="278">
        <f ca="1">'USD Swap PVs'!W90</f>
        <v>991872.51321192645</v>
      </c>
      <c r="M158" s="279">
        <f ca="1">'USD Swap PVs'!X90</f>
        <v>1239840.6415149078</v>
      </c>
      <c r="O158" s="282" t="s">
        <v>15</v>
      </c>
      <c r="P158" s="278">
        <v>-1239840.6415149069</v>
      </c>
      <c r="Q158" s="278">
        <v>-991872.51321192528</v>
      </c>
      <c r="R158" s="278">
        <v>-743904.38490894309</v>
      </c>
      <c r="S158" s="278">
        <v>-495936.25660596177</v>
      </c>
      <c r="T158" s="278">
        <v>-247968.12830298155</v>
      </c>
      <c r="U158" s="278">
        <v>0</v>
      </c>
      <c r="V158" s="278">
        <v>247968.12830298214</v>
      </c>
      <c r="W158" s="278">
        <v>495936.2566059634</v>
      </c>
      <c r="X158" s="278">
        <v>743904.38490894507</v>
      </c>
      <c r="Y158" s="278">
        <v>991872.51321192645</v>
      </c>
      <c r="Z158" s="279">
        <v>1239840.6415149078</v>
      </c>
      <c r="AB158" s="282" t="str">
        <f t="shared" si="11"/>
        <v>40Y</v>
      </c>
      <c r="AC158" s="278">
        <f ca="1">IF(ABS(P158-C158)&gt;SnapshotTolerance,1,0)</f>
        <v>0</v>
      </c>
      <c r="AD158" s="278">
        <f ca="1">IF(ABS(Q158-D158)&gt;SnapshotTolerance,1,0)</f>
        <v>0</v>
      </c>
      <c r="AE158" s="278">
        <f ca="1">IF(ABS(R158-E158)&gt;SnapshotTolerance,1,0)</f>
        <v>0</v>
      </c>
      <c r="AF158" s="278">
        <f ca="1">IF(ABS(S158-F158)&gt;SnapshotTolerance,1,0)</f>
        <v>0</v>
      </c>
      <c r="AG158" s="278">
        <f ca="1">IF(ABS(T158-G158)&gt;SnapshotTolerance,1,0)</f>
        <v>0</v>
      </c>
      <c r="AH158" s="278">
        <f ca="1">IF(ABS(U158-H158)&gt;SnapshotTolerance,1,0)</f>
        <v>0</v>
      </c>
      <c r="AI158" s="278">
        <f ca="1">IF(ABS(V158-I158)&gt;SnapshotTolerance,1,0)</f>
        <v>0</v>
      </c>
      <c r="AJ158" s="278">
        <f ca="1">IF(ABS(W158-J158)&gt;SnapshotTolerance,1,0)</f>
        <v>0</v>
      </c>
      <c r="AK158" s="278">
        <f ca="1">IF(ABS(X158-K158)&gt;SnapshotTolerance,1,0)</f>
        <v>0</v>
      </c>
      <c r="AL158" s="278">
        <f ca="1">IF(ABS(Y158-L158)&gt;SnapshotTolerance,1,0)</f>
        <v>0</v>
      </c>
      <c r="AM158" s="279">
        <f ca="1">IF(ABS(Z158-M158)&gt;SnapshotTolerance,1,0)</f>
        <v>0</v>
      </c>
    </row>
    <row r="159" spans="2:39">
      <c r="B159" s="282" t="str">
        <f>'USD Swap PVs'!M91</f>
        <v>50Y</v>
      </c>
      <c r="C159" s="278">
        <f ca="1">'USD Swap PVs'!N91</f>
        <v>-1381003.7389991134</v>
      </c>
      <c r="D159" s="278">
        <f ca="1">'USD Swap PVs'!O91</f>
        <v>-1104802.9911992906</v>
      </c>
      <c r="E159" s="278">
        <f ca="1">'USD Swap PVs'!P91</f>
        <v>-828602.24339946732</v>
      </c>
      <c r="F159" s="278">
        <f ca="1">'USD Swap PVs'!Q91</f>
        <v>-552401.49559964368</v>
      </c>
      <c r="G159" s="278">
        <f ca="1">'USD Swap PVs'!R91</f>
        <v>-276200.7477998223</v>
      </c>
      <c r="H159" s="278">
        <f ca="1">'USD Swap PVs'!S91</f>
        <v>0</v>
      </c>
      <c r="I159" s="278">
        <f ca="1">'USD Swap PVs'!T91</f>
        <v>276200.74779982376</v>
      </c>
      <c r="J159" s="278">
        <f ca="1">'USD Swap PVs'!U91</f>
        <v>552401.49559964647</v>
      </c>
      <c r="K159" s="278">
        <f ca="1">'USD Swap PVs'!V91</f>
        <v>828602.24339946965</v>
      </c>
      <c r="L159" s="278">
        <f ca="1">'USD Swap PVs'!W91</f>
        <v>1104802.9911992927</v>
      </c>
      <c r="M159" s="279">
        <f ca="1">'USD Swap PVs'!X91</f>
        <v>1381003.7389991158</v>
      </c>
      <c r="O159" s="282" t="s">
        <v>14</v>
      </c>
      <c r="P159" s="278">
        <v>-1381003.7389991134</v>
      </c>
      <c r="Q159" s="278">
        <v>-1104802.9911992906</v>
      </c>
      <c r="R159" s="278">
        <v>-828602.24339946732</v>
      </c>
      <c r="S159" s="278">
        <v>-552401.49559964368</v>
      </c>
      <c r="T159" s="278">
        <v>-276200.7477998223</v>
      </c>
      <c r="U159" s="278">
        <v>0</v>
      </c>
      <c r="V159" s="278">
        <v>276200.74779982376</v>
      </c>
      <c r="W159" s="278">
        <v>552401.49559964647</v>
      </c>
      <c r="X159" s="278">
        <v>828602.24339946965</v>
      </c>
      <c r="Y159" s="278">
        <v>1104802.9911992927</v>
      </c>
      <c r="Z159" s="279">
        <v>1381003.7389991158</v>
      </c>
      <c r="AB159" s="282" t="str">
        <f t="shared" si="11"/>
        <v>50Y</v>
      </c>
      <c r="AC159" s="278">
        <f ca="1">IF(ABS(P159-C159)&gt;SnapshotTolerance,1,0)</f>
        <v>0</v>
      </c>
      <c r="AD159" s="278">
        <f ca="1">IF(ABS(Q159-D159)&gt;SnapshotTolerance,1,0)</f>
        <v>0</v>
      </c>
      <c r="AE159" s="278">
        <f ca="1">IF(ABS(R159-E159)&gt;SnapshotTolerance,1,0)</f>
        <v>0</v>
      </c>
      <c r="AF159" s="278">
        <f ca="1">IF(ABS(S159-F159)&gt;SnapshotTolerance,1,0)</f>
        <v>0</v>
      </c>
      <c r="AG159" s="278">
        <f ca="1">IF(ABS(T159-G159)&gt;SnapshotTolerance,1,0)</f>
        <v>0</v>
      </c>
      <c r="AH159" s="278">
        <f ca="1">IF(ABS(U159-H159)&gt;SnapshotTolerance,1,0)</f>
        <v>0</v>
      </c>
      <c r="AI159" s="278">
        <f ca="1">IF(ABS(V159-I159)&gt;SnapshotTolerance,1,0)</f>
        <v>0</v>
      </c>
      <c r="AJ159" s="278">
        <f ca="1">IF(ABS(W159-J159)&gt;SnapshotTolerance,1,0)</f>
        <v>0</v>
      </c>
      <c r="AK159" s="278">
        <f ca="1">IF(ABS(X159-K159)&gt;SnapshotTolerance,1,0)</f>
        <v>0</v>
      </c>
      <c r="AL159" s="278">
        <f ca="1">IF(ABS(Y159-L159)&gt;SnapshotTolerance,1,0)</f>
        <v>0</v>
      </c>
      <c r="AM159" s="279">
        <f ca="1">IF(ABS(Z159-M159)&gt;SnapshotTolerance,1,0)</f>
        <v>0</v>
      </c>
    </row>
    <row r="160" spans="2:39">
      <c r="B160" s="282"/>
      <c r="C160" s="278"/>
      <c r="D160" s="278"/>
      <c r="E160" s="278"/>
      <c r="F160" s="278"/>
      <c r="G160" s="278"/>
      <c r="H160" s="278"/>
      <c r="I160" s="278"/>
      <c r="J160" s="278"/>
      <c r="K160" s="278"/>
      <c r="L160" s="278"/>
      <c r="M160" s="279"/>
      <c r="O160" s="282"/>
      <c r="P160" s="278"/>
      <c r="Q160" s="278"/>
      <c r="R160" s="278"/>
      <c r="S160" s="278"/>
      <c r="T160" s="278"/>
      <c r="U160" s="278"/>
      <c r="V160" s="278"/>
      <c r="W160" s="278"/>
      <c r="X160" s="278"/>
      <c r="Y160" s="278"/>
      <c r="Z160" s="279"/>
      <c r="AB160" s="282"/>
      <c r="AC160" s="278"/>
      <c r="AD160" s="278"/>
      <c r="AE160" s="278"/>
      <c r="AF160" s="278"/>
      <c r="AG160" s="278"/>
      <c r="AH160" s="278"/>
      <c r="AI160" s="278"/>
      <c r="AJ160" s="278"/>
      <c r="AK160" s="278"/>
      <c r="AL160" s="278"/>
      <c r="AM160" s="279"/>
    </row>
    <row r="161" spans="2:39">
      <c r="B161" s="282"/>
      <c r="C161" s="278"/>
      <c r="D161" s="278"/>
      <c r="E161" s="278"/>
      <c r="F161" s="278"/>
      <c r="G161" s="278"/>
      <c r="H161" s="278"/>
      <c r="I161" s="278"/>
      <c r="J161" s="278"/>
      <c r="K161" s="278"/>
      <c r="L161" s="278"/>
      <c r="M161" s="279"/>
      <c r="O161" s="282"/>
      <c r="P161" s="278"/>
      <c r="Q161" s="278"/>
      <c r="R161" s="278"/>
      <c r="S161" s="278"/>
      <c r="T161" s="278"/>
      <c r="U161" s="278"/>
      <c r="V161" s="278"/>
      <c r="W161" s="278"/>
      <c r="X161" s="278"/>
      <c r="Y161" s="278"/>
      <c r="Z161" s="279"/>
      <c r="AB161" s="282"/>
      <c r="AC161" s="278"/>
      <c r="AD161" s="278"/>
      <c r="AE161" s="278"/>
      <c r="AF161" s="278"/>
      <c r="AG161" s="278"/>
      <c r="AH161" s="278"/>
      <c r="AI161" s="278"/>
      <c r="AJ161" s="278"/>
      <c r="AK161" s="278"/>
      <c r="AL161" s="278"/>
      <c r="AM161" s="279"/>
    </row>
    <row r="162" spans="2:39">
      <c r="B162" s="282"/>
      <c r="C162" s="278"/>
      <c r="D162" s="278"/>
      <c r="E162" s="278"/>
      <c r="F162" s="278"/>
      <c r="G162" s="278"/>
      <c r="H162" s="278"/>
      <c r="I162" s="278"/>
      <c r="J162" s="278"/>
      <c r="K162" s="278"/>
      <c r="L162" s="278"/>
      <c r="M162" s="279"/>
      <c r="O162" s="282"/>
      <c r="P162" s="278"/>
      <c r="Q162" s="278"/>
      <c r="R162" s="278"/>
      <c r="S162" s="278"/>
      <c r="T162" s="278"/>
      <c r="U162" s="278"/>
      <c r="V162" s="278"/>
      <c r="W162" s="278"/>
      <c r="X162" s="278"/>
      <c r="Y162" s="278"/>
      <c r="Z162" s="279"/>
      <c r="AB162" s="282"/>
      <c r="AC162" s="278"/>
      <c r="AD162" s="278"/>
      <c r="AE162" s="278"/>
      <c r="AF162" s="278"/>
      <c r="AG162" s="278"/>
      <c r="AH162" s="278"/>
      <c r="AI162" s="278"/>
      <c r="AJ162" s="278"/>
      <c r="AK162" s="278"/>
      <c r="AL162" s="278"/>
      <c r="AM162" s="279"/>
    </row>
    <row r="163" spans="2:39">
      <c r="B163" s="283"/>
      <c r="C163" s="280"/>
      <c r="D163" s="280"/>
      <c r="E163" s="280"/>
      <c r="F163" s="280"/>
      <c r="G163" s="280"/>
      <c r="H163" s="280"/>
      <c r="I163" s="280"/>
      <c r="J163" s="280"/>
      <c r="K163" s="280"/>
      <c r="L163" s="280"/>
      <c r="M163" s="281"/>
      <c r="O163" s="283"/>
      <c r="P163" s="280"/>
      <c r="Q163" s="280"/>
      <c r="R163" s="280"/>
      <c r="S163" s="280"/>
      <c r="T163" s="280"/>
      <c r="U163" s="280"/>
      <c r="V163" s="280"/>
      <c r="W163" s="280"/>
      <c r="X163" s="280"/>
      <c r="Y163" s="280"/>
      <c r="Z163" s="281"/>
      <c r="AB163" s="283"/>
      <c r="AC163" s="280"/>
      <c r="AD163" s="280"/>
      <c r="AE163" s="280"/>
      <c r="AF163" s="280"/>
      <c r="AG163" s="280"/>
      <c r="AH163" s="280"/>
      <c r="AI163" s="280"/>
      <c r="AJ163" s="280"/>
      <c r="AK163" s="280"/>
      <c r="AL163" s="280"/>
      <c r="AM163" s="281"/>
    </row>
    <row r="166" spans="2:39">
      <c r="B166" t="s">
        <v>533</v>
      </c>
      <c r="E166" t="s">
        <v>472</v>
      </c>
    </row>
    <row r="167" spans="2:39">
      <c r="B167" t="s">
        <v>528</v>
      </c>
      <c r="E167" s="252">
        <f ca="1">SUM(AC172:AM190)</f>
        <v>0</v>
      </c>
    </row>
    <row r="168" spans="2:39">
      <c r="B168" t="s">
        <v>532</v>
      </c>
    </row>
    <row r="170" spans="2:39">
      <c r="B170" t="s">
        <v>510</v>
      </c>
      <c r="O170" t="s">
        <v>470</v>
      </c>
      <c r="AB170" t="s">
        <v>511</v>
      </c>
    </row>
    <row r="171" spans="2:39">
      <c r="B171" s="254" t="str">
        <f>'USD Swap PVs'!AG51</f>
        <v>Term</v>
      </c>
      <c r="C171" s="276">
        <f>'USD Swap PVs'!AH51</f>
        <v>-0.05</v>
      </c>
      <c r="D171" s="276">
        <f>'USD Swap PVs'!AI51</f>
        <v>-0.04</v>
      </c>
      <c r="E171" s="276">
        <f>'USD Swap PVs'!AJ51</f>
        <v>-0.03</v>
      </c>
      <c r="F171" s="276">
        <f>'USD Swap PVs'!AK51</f>
        <v>-1.9999999999999997E-2</v>
      </c>
      <c r="G171" s="276">
        <f>'USD Swap PVs'!AL51</f>
        <v>-9.9999999999999967E-3</v>
      </c>
      <c r="H171" s="276">
        <f>'USD Swap PVs'!AM51</f>
        <v>0</v>
      </c>
      <c r="I171" s="276">
        <f>'USD Swap PVs'!AN51</f>
        <v>0.01</v>
      </c>
      <c r="J171" s="276">
        <f>'USD Swap PVs'!AO51</f>
        <v>0.02</v>
      </c>
      <c r="K171" s="276">
        <f>'USD Swap PVs'!AP51</f>
        <v>0.03</v>
      </c>
      <c r="L171" s="276">
        <f>'USD Swap PVs'!AQ51</f>
        <v>0.04</v>
      </c>
      <c r="M171" s="277">
        <f>'USD Swap PVs'!AR51</f>
        <v>0.05</v>
      </c>
      <c r="O171" s="254" t="s">
        <v>76</v>
      </c>
      <c r="P171" s="276">
        <v>-0.05</v>
      </c>
      <c r="Q171" s="276">
        <v>-0.04</v>
      </c>
      <c r="R171" s="276">
        <v>-0.03</v>
      </c>
      <c r="S171" s="276">
        <v>-1.9999999999999997E-2</v>
      </c>
      <c r="T171" s="276">
        <v>-9.9999999999999967E-3</v>
      </c>
      <c r="U171" s="276">
        <v>0</v>
      </c>
      <c r="V171" s="276">
        <v>0.01</v>
      </c>
      <c r="W171" s="276">
        <v>0.02</v>
      </c>
      <c r="X171" s="276">
        <v>0.03</v>
      </c>
      <c r="Y171" s="276">
        <v>0.04</v>
      </c>
      <c r="Z171" s="277">
        <v>0.05</v>
      </c>
      <c r="AB171" s="254" t="str">
        <f>O171</f>
        <v>Term</v>
      </c>
      <c r="AC171" s="276">
        <f>P171</f>
        <v>-0.05</v>
      </c>
      <c r="AD171" s="276">
        <f t="shared" ref="AD171:AM171" si="12">Q171</f>
        <v>-0.04</v>
      </c>
      <c r="AE171" s="276">
        <f t="shared" si="12"/>
        <v>-0.03</v>
      </c>
      <c r="AF171" s="276">
        <f t="shared" si="12"/>
        <v>-1.9999999999999997E-2</v>
      </c>
      <c r="AG171" s="276">
        <f t="shared" si="12"/>
        <v>-9.9999999999999967E-3</v>
      </c>
      <c r="AH171" s="276">
        <f t="shared" si="12"/>
        <v>0</v>
      </c>
      <c r="AI171" s="276">
        <f t="shared" si="12"/>
        <v>0.01</v>
      </c>
      <c r="AJ171" s="276">
        <f t="shared" si="12"/>
        <v>0.02</v>
      </c>
      <c r="AK171" s="276">
        <f t="shared" si="12"/>
        <v>0.03</v>
      </c>
      <c r="AL171" s="276">
        <f t="shared" si="12"/>
        <v>0.04</v>
      </c>
      <c r="AM171" s="277">
        <f t="shared" si="12"/>
        <v>0.05</v>
      </c>
    </row>
    <row r="172" spans="2:39">
      <c r="B172" s="282" t="str">
        <f>'USD Swap PVs'!AG52</f>
        <v>4Y</v>
      </c>
      <c r="C172" s="278">
        <f ca="1">'USD Swap PVs'!AH52</f>
        <v>-195562.52171450306</v>
      </c>
      <c r="D172" s="278">
        <f ca="1">'USD Swap PVs'!AI52</f>
        <v>-156450.01737160247</v>
      </c>
      <c r="E172" s="278">
        <f ca="1">'USD Swap PVs'!AJ52</f>
        <v>-117337.51302870183</v>
      </c>
      <c r="F172" s="278">
        <f ca="1">'USD Swap PVs'!AK52</f>
        <v>-78225.008685801207</v>
      </c>
      <c r="G172" s="278">
        <f ca="1">'USD Swap PVs'!AL52</f>
        <v>-39112.504342900604</v>
      </c>
      <c r="H172" s="278">
        <f ca="1">'USD Swap PVs'!AM52</f>
        <v>0</v>
      </c>
      <c r="I172" s="278">
        <f ca="1">'USD Swap PVs'!AN52</f>
        <v>39112.504342900604</v>
      </c>
      <c r="J172" s="278">
        <f ca="1">'USD Swap PVs'!AO52</f>
        <v>78225.008685801222</v>
      </c>
      <c r="K172" s="278">
        <f ca="1">'USD Swap PVs'!AP52</f>
        <v>117337.51302870181</v>
      </c>
      <c r="L172" s="278">
        <f ca="1">'USD Swap PVs'!AQ52</f>
        <v>156450.01737160247</v>
      </c>
      <c r="M172" s="279">
        <f ca="1">'USD Swap PVs'!AR52</f>
        <v>195562.52171450306</v>
      </c>
      <c r="O172" s="282" t="s">
        <v>35</v>
      </c>
      <c r="P172" s="278">
        <v>-195562.52171450306</v>
      </c>
      <c r="Q172" s="278">
        <v>-156450.01737160247</v>
      </c>
      <c r="R172" s="278">
        <v>-117337.51302870183</v>
      </c>
      <c r="S172" s="278">
        <v>-78225.008685801207</v>
      </c>
      <c r="T172" s="278">
        <v>-39112.504342900604</v>
      </c>
      <c r="U172" s="278">
        <v>0</v>
      </c>
      <c r="V172" s="278">
        <v>39112.504342900604</v>
      </c>
      <c r="W172" s="278">
        <v>78225.008685801222</v>
      </c>
      <c r="X172" s="278">
        <v>117337.51302870181</v>
      </c>
      <c r="Y172" s="278">
        <v>156450.01737160247</v>
      </c>
      <c r="Z172" s="279">
        <v>195562.52171450306</v>
      </c>
      <c r="AB172" s="282" t="str">
        <f t="shared" ref="AB172:AB190" si="13">O172</f>
        <v>4Y</v>
      </c>
      <c r="AC172" s="278">
        <f ca="1">IF(ABS(P172-C172)&gt;SnapshotTolerance,1,0)</f>
        <v>0</v>
      </c>
      <c r="AD172" s="278">
        <f ca="1">IF(ABS(Q172-D172)&gt;SnapshotTolerance,1,0)</f>
        <v>0</v>
      </c>
      <c r="AE172" s="278">
        <f ca="1">IF(ABS(R172-E172)&gt;SnapshotTolerance,1,0)</f>
        <v>0</v>
      </c>
      <c r="AF172" s="278">
        <f ca="1">IF(ABS(S172-F172)&gt;SnapshotTolerance,1,0)</f>
        <v>0</v>
      </c>
      <c r="AG172" s="278">
        <f ca="1">IF(ABS(T172-G172)&gt;SnapshotTolerance,1,0)</f>
        <v>0</v>
      </c>
      <c r="AH172" s="278">
        <f ca="1">IF(ABS(U172-H172)&gt;SnapshotTolerance,1,0)</f>
        <v>0</v>
      </c>
      <c r="AI172" s="278">
        <f ca="1">IF(ABS(V172-I172)&gt;SnapshotTolerance,1,0)</f>
        <v>0</v>
      </c>
      <c r="AJ172" s="278">
        <f ca="1">IF(ABS(W172-J172)&gt;SnapshotTolerance,1,0)</f>
        <v>0</v>
      </c>
      <c r="AK172" s="278">
        <f ca="1">IF(ABS(X172-K172)&gt;SnapshotTolerance,1,0)</f>
        <v>0</v>
      </c>
      <c r="AL172" s="278">
        <f ca="1">IF(ABS(Y172-L172)&gt;SnapshotTolerance,1,0)</f>
        <v>0</v>
      </c>
      <c r="AM172" s="279">
        <f ca="1">IF(ABS(Z172-M172)&gt;SnapshotTolerance,1,0)</f>
        <v>0</v>
      </c>
    </row>
    <row r="173" spans="2:39">
      <c r="B173" s="282" t="str">
        <f>'USD Swap PVs'!AG53</f>
        <v>5Y</v>
      </c>
      <c r="C173" s="278">
        <f ca="1">'USD Swap PVs'!AH53</f>
        <v>-241983.52432274877</v>
      </c>
      <c r="D173" s="278">
        <f ca="1">'USD Swap PVs'!AI53</f>
        <v>-193586.819458199</v>
      </c>
      <c r="E173" s="278">
        <f ca="1">'USD Swap PVs'!AJ53</f>
        <v>-145190.11459364922</v>
      </c>
      <c r="F173" s="278">
        <f ca="1">'USD Swap PVs'!AK53</f>
        <v>-96793.409729099469</v>
      </c>
      <c r="G173" s="278">
        <f ca="1">'USD Swap PVs'!AL53</f>
        <v>-48396.704864549727</v>
      </c>
      <c r="H173" s="278">
        <f ca="1">'USD Swap PVs'!AM53</f>
        <v>0</v>
      </c>
      <c r="I173" s="278">
        <f ca="1">'USD Swap PVs'!AN53</f>
        <v>48396.704864549734</v>
      </c>
      <c r="J173" s="278">
        <f ca="1">'USD Swap PVs'!AO53</f>
        <v>96793.409729099512</v>
      </c>
      <c r="K173" s="278">
        <f ca="1">'USD Swap PVs'!AP53</f>
        <v>145190.11459364922</v>
      </c>
      <c r="L173" s="278">
        <f ca="1">'USD Swap PVs'!AQ53</f>
        <v>193586.819458199</v>
      </c>
      <c r="M173" s="279">
        <f ca="1">'USD Swap PVs'!AR53</f>
        <v>241983.52432274871</v>
      </c>
      <c r="O173" s="282" t="s">
        <v>33</v>
      </c>
      <c r="P173" s="278">
        <v>-241983.52432274877</v>
      </c>
      <c r="Q173" s="278">
        <v>-193586.819458199</v>
      </c>
      <c r="R173" s="278">
        <v>-145190.11459364922</v>
      </c>
      <c r="S173" s="278">
        <v>-96793.409729099469</v>
      </c>
      <c r="T173" s="278">
        <v>-48396.704864549727</v>
      </c>
      <c r="U173" s="278">
        <v>0</v>
      </c>
      <c r="V173" s="278">
        <v>48396.704864549734</v>
      </c>
      <c r="W173" s="278">
        <v>96793.409729099512</v>
      </c>
      <c r="X173" s="278">
        <v>145190.11459364922</v>
      </c>
      <c r="Y173" s="278">
        <v>193586.819458199</v>
      </c>
      <c r="Z173" s="279">
        <v>241983.52432274871</v>
      </c>
      <c r="AB173" s="282" t="str">
        <f t="shared" si="13"/>
        <v>5Y</v>
      </c>
      <c r="AC173" s="278">
        <f ca="1">IF(ABS(P173-C173)&gt;SnapshotTolerance,1,0)</f>
        <v>0</v>
      </c>
      <c r="AD173" s="278">
        <f ca="1">IF(ABS(Q173-D173)&gt;SnapshotTolerance,1,0)</f>
        <v>0</v>
      </c>
      <c r="AE173" s="278">
        <f ca="1">IF(ABS(R173-E173)&gt;SnapshotTolerance,1,0)</f>
        <v>0</v>
      </c>
      <c r="AF173" s="278">
        <f ca="1">IF(ABS(S173-F173)&gt;SnapshotTolerance,1,0)</f>
        <v>0</v>
      </c>
      <c r="AG173" s="278">
        <f ca="1">IF(ABS(T173-G173)&gt;SnapshotTolerance,1,0)</f>
        <v>0</v>
      </c>
      <c r="AH173" s="278">
        <f ca="1">IF(ABS(U173-H173)&gt;SnapshotTolerance,1,0)</f>
        <v>0</v>
      </c>
      <c r="AI173" s="278">
        <f ca="1">IF(ABS(V173-I173)&gt;SnapshotTolerance,1,0)</f>
        <v>0</v>
      </c>
      <c r="AJ173" s="278">
        <f ca="1">IF(ABS(W173-J173)&gt;SnapshotTolerance,1,0)</f>
        <v>0</v>
      </c>
      <c r="AK173" s="278">
        <f ca="1">IF(ABS(X173-K173)&gt;SnapshotTolerance,1,0)</f>
        <v>0</v>
      </c>
      <c r="AL173" s="278">
        <f ca="1">IF(ABS(Y173-L173)&gt;SnapshotTolerance,1,0)</f>
        <v>0</v>
      </c>
      <c r="AM173" s="279">
        <f ca="1">IF(ABS(Z173-M173)&gt;SnapshotTolerance,1,0)</f>
        <v>0</v>
      </c>
    </row>
    <row r="174" spans="2:39">
      <c r="B174" s="282" t="str">
        <f>'USD Swap PVs'!AG54</f>
        <v>6Y</v>
      </c>
      <c r="C174" s="278">
        <f ca="1">'USD Swap PVs'!AH54</f>
        <v>-287114.0853050882</v>
      </c>
      <c r="D174" s="278">
        <f ca="1">'USD Swap PVs'!AI54</f>
        <v>-229691.26824407055</v>
      </c>
      <c r="E174" s="278">
        <f ca="1">'USD Swap PVs'!AJ54</f>
        <v>-172268.45118305294</v>
      </c>
      <c r="F174" s="278">
        <f ca="1">'USD Swap PVs'!AK54</f>
        <v>-114845.63412203526</v>
      </c>
      <c r="G174" s="278">
        <f ca="1">'USD Swap PVs'!AL54</f>
        <v>-57422.817061017624</v>
      </c>
      <c r="H174" s="278">
        <f ca="1">'USD Swap PVs'!AM54</f>
        <v>0</v>
      </c>
      <c r="I174" s="278">
        <f ca="1">'USD Swap PVs'!AN54</f>
        <v>57422.817061017638</v>
      </c>
      <c r="J174" s="278">
        <f ca="1">'USD Swap PVs'!AO54</f>
        <v>114845.63412203529</v>
      </c>
      <c r="K174" s="278">
        <f ca="1">'USD Swap PVs'!AP54</f>
        <v>172268.45118305291</v>
      </c>
      <c r="L174" s="278">
        <f ca="1">'USD Swap PVs'!AQ54</f>
        <v>229691.26824407055</v>
      </c>
      <c r="M174" s="279">
        <f ca="1">'USD Swap PVs'!AR54</f>
        <v>287114.0853050882</v>
      </c>
      <c r="O174" s="282" t="s">
        <v>131</v>
      </c>
      <c r="P174" s="278">
        <v>-287114.0853050882</v>
      </c>
      <c r="Q174" s="278">
        <v>-229691.26824407055</v>
      </c>
      <c r="R174" s="278">
        <v>-172268.45118305294</v>
      </c>
      <c r="S174" s="278">
        <v>-114845.63412203526</v>
      </c>
      <c r="T174" s="278">
        <v>-57422.817061017624</v>
      </c>
      <c r="U174" s="278">
        <v>0</v>
      </c>
      <c r="V174" s="278">
        <v>57422.817061017638</v>
      </c>
      <c r="W174" s="278">
        <v>114845.63412203529</v>
      </c>
      <c r="X174" s="278">
        <v>172268.45118305291</v>
      </c>
      <c r="Y174" s="278">
        <v>229691.26824407055</v>
      </c>
      <c r="Z174" s="279">
        <v>287114.0853050882</v>
      </c>
      <c r="AB174" s="282" t="str">
        <f t="shared" si="13"/>
        <v>6Y</v>
      </c>
      <c r="AC174" s="278">
        <f ca="1">IF(ABS(P174-C174)&gt;SnapshotTolerance,1,0)</f>
        <v>0</v>
      </c>
      <c r="AD174" s="278">
        <f ca="1">IF(ABS(Q174-D174)&gt;SnapshotTolerance,1,0)</f>
        <v>0</v>
      </c>
      <c r="AE174" s="278">
        <f ca="1">IF(ABS(R174-E174)&gt;SnapshotTolerance,1,0)</f>
        <v>0</v>
      </c>
      <c r="AF174" s="278">
        <f ca="1">IF(ABS(S174-F174)&gt;SnapshotTolerance,1,0)</f>
        <v>0</v>
      </c>
      <c r="AG174" s="278">
        <f ca="1">IF(ABS(T174-G174)&gt;SnapshotTolerance,1,0)</f>
        <v>0</v>
      </c>
      <c r="AH174" s="278">
        <f ca="1">IF(ABS(U174-H174)&gt;SnapshotTolerance,1,0)</f>
        <v>0</v>
      </c>
      <c r="AI174" s="278">
        <f ca="1">IF(ABS(V174-I174)&gt;SnapshotTolerance,1,0)</f>
        <v>0</v>
      </c>
      <c r="AJ174" s="278">
        <f ca="1">IF(ABS(W174-J174)&gt;SnapshotTolerance,1,0)</f>
        <v>0</v>
      </c>
      <c r="AK174" s="278">
        <f ca="1">IF(ABS(X174-K174)&gt;SnapshotTolerance,1,0)</f>
        <v>0</v>
      </c>
      <c r="AL174" s="278">
        <f ca="1">IF(ABS(Y174-L174)&gt;SnapshotTolerance,1,0)</f>
        <v>0</v>
      </c>
      <c r="AM174" s="279">
        <f ca="1">IF(ABS(Z174-M174)&gt;SnapshotTolerance,1,0)</f>
        <v>0</v>
      </c>
    </row>
    <row r="175" spans="2:39">
      <c r="B175" s="282" t="str">
        <f>'USD Swap PVs'!AG55</f>
        <v>7Y</v>
      </c>
      <c r="C175" s="278">
        <f ca="1">'USD Swap PVs'!AH55</f>
        <v>-330911.35818384035</v>
      </c>
      <c r="D175" s="278">
        <f ca="1">'USD Swap PVs'!AI55</f>
        <v>-264729.08654707228</v>
      </c>
      <c r="E175" s="278">
        <f ca="1">'USD Swap PVs'!AJ55</f>
        <v>-198546.81491030421</v>
      </c>
      <c r="F175" s="278">
        <f ca="1">'USD Swap PVs'!AK55</f>
        <v>-132364.54327353611</v>
      </c>
      <c r="G175" s="278">
        <f ca="1">'USD Swap PVs'!AL55</f>
        <v>-66182.27163676804</v>
      </c>
      <c r="H175" s="278">
        <f ca="1">'USD Swap PVs'!AM55</f>
        <v>0</v>
      </c>
      <c r="I175" s="278">
        <f ca="1">'USD Swap PVs'!AN55</f>
        <v>66182.27163676807</v>
      </c>
      <c r="J175" s="278">
        <f ca="1">'USD Swap PVs'!AO55</f>
        <v>132364.54327353614</v>
      </c>
      <c r="K175" s="278">
        <f ca="1">'USD Swap PVs'!AP55</f>
        <v>198546.81491030418</v>
      </c>
      <c r="L175" s="278">
        <f ca="1">'USD Swap PVs'!AQ55</f>
        <v>264729.08654707234</v>
      </c>
      <c r="M175" s="279">
        <f ca="1">'USD Swap PVs'!AR55</f>
        <v>330911.35818384035</v>
      </c>
      <c r="O175" s="282" t="s">
        <v>31</v>
      </c>
      <c r="P175" s="278">
        <v>-330911.35818384035</v>
      </c>
      <c r="Q175" s="278">
        <v>-264729.08654707228</v>
      </c>
      <c r="R175" s="278">
        <v>-198546.81491030421</v>
      </c>
      <c r="S175" s="278">
        <v>-132364.54327353611</v>
      </c>
      <c r="T175" s="278">
        <v>-66182.27163676804</v>
      </c>
      <c r="U175" s="278">
        <v>0</v>
      </c>
      <c r="V175" s="278">
        <v>66182.27163676807</v>
      </c>
      <c r="W175" s="278">
        <v>132364.54327353614</v>
      </c>
      <c r="X175" s="278">
        <v>198546.81491030418</v>
      </c>
      <c r="Y175" s="278">
        <v>264729.08654707234</v>
      </c>
      <c r="Z175" s="279">
        <v>330911.35818384035</v>
      </c>
      <c r="AB175" s="282" t="str">
        <f t="shared" si="13"/>
        <v>7Y</v>
      </c>
      <c r="AC175" s="278">
        <f ca="1">IF(ABS(P175-C175)&gt;SnapshotTolerance,1,0)</f>
        <v>0</v>
      </c>
      <c r="AD175" s="278">
        <f ca="1">IF(ABS(Q175-D175)&gt;SnapshotTolerance,1,0)</f>
        <v>0</v>
      </c>
      <c r="AE175" s="278">
        <f ca="1">IF(ABS(R175-E175)&gt;SnapshotTolerance,1,0)</f>
        <v>0</v>
      </c>
      <c r="AF175" s="278">
        <f ca="1">IF(ABS(S175-F175)&gt;SnapshotTolerance,1,0)</f>
        <v>0</v>
      </c>
      <c r="AG175" s="278">
        <f ca="1">IF(ABS(T175-G175)&gt;SnapshotTolerance,1,0)</f>
        <v>0</v>
      </c>
      <c r="AH175" s="278">
        <f ca="1">IF(ABS(U175-H175)&gt;SnapshotTolerance,1,0)</f>
        <v>0</v>
      </c>
      <c r="AI175" s="278">
        <f ca="1">IF(ABS(V175-I175)&gt;SnapshotTolerance,1,0)</f>
        <v>0</v>
      </c>
      <c r="AJ175" s="278">
        <f ca="1">IF(ABS(W175-J175)&gt;SnapshotTolerance,1,0)</f>
        <v>0</v>
      </c>
      <c r="AK175" s="278">
        <f ca="1">IF(ABS(X175-K175)&gt;SnapshotTolerance,1,0)</f>
        <v>0</v>
      </c>
      <c r="AL175" s="278">
        <f ca="1">IF(ABS(Y175-L175)&gt;SnapshotTolerance,1,0)</f>
        <v>0</v>
      </c>
      <c r="AM175" s="279">
        <f ca="1">IF(ABS(Z175-M175)&gt;SnapshotTolerance,1,0)</f>
        <v>0</v>
      </c>
    </row>
    <row r="176" spans="2:39">
      <c r="B176" s="282" t="str">
        <f>'USD Swap PVs'!AG56</f>
        <v>8Y</v>
      </c>
      <c r="C176" s="278">
        <f ca="1">'USD Swap PVs'!AH56</f>
        <v>-373597.61650791444</v>
      </c>
      <c r="D176" s="278">
        <f ca="1">'USD Swap PVs'!AI56</f>
        <v>-298878.09320633154</v>
      </c>
      <c r="E176" s="278">
        <f ca="1">'USD Swap PVs'!AJ56</f>
        <v>-224158.56990474864</v>
      </c>
      <c r="F176" s="278">
        <f ca="1">'USD Swap PVs'!AK56</f>
        <v>-149439.04660316574</v>
      </c>
      <c r="G176" s="278">
        <f ca="1">'USD Swap PVs'!AL56</f>
        <v>-74719.523301582856</v>
      </c>
      <c r="H176" s="278">
        <f ca="1">'USD Swap PVs'!AM56</f>
        <v>0</v>
      </c>
      <c r="I176" s="278">
        <f ca="1">'USD Swap PVs'!AN56</f>
        <v>74719.523301582914</v>
      </c>
      <c r="J176" s="278">
        <f ca="1">'USD Swap PVs'!AO56</f>
        <v>149439.04660316577</v>
      </c>
      <c r="K176" s="278">
        <f ca="1">'USD Swap PVs'!AP56</f>
        <v>224158.56990474864</v>
      </c>
      <c r="L176" s="278">
        <f ca="1">'USD Swap PVs'!AQ56</f>
        <v>298878.09320633154</v>
      </c>
      <c r="M176" s="279">
        <f ca="1">'USD Swap PVs'!AR56</f>
        <v>373597.6165079145</v>
      </c>
      <c r="O176" s="282" t="s">
        <v>119</v>
      </c>
      <c r="P176" s="278">
        <v>-373597.61650791444</v>
      </c>
      <c r="Q176" s="278">
        <v>-298878.09320633154</v>
      </c>
      <c r="R176" s="278">
        <v>-224158.56990474864</v>
      </c>
      <c r="S176" s="278">
        <v>-149439.04660316574</v>
      </c>
      <c r="T176" s="278">
        <v>-74719.523301582856</v>
      </c>
      <c r="U176" s="278">
        <v>0</v>
      </c>
      <c r="V176" s="278">
        <v>74719.523301582914</v>
      </c>
      <c r="W176" s="278">
        <v>149439.04660316577</v>
      </c>
      <c r="X176" s="278">
        <v>224158.56990474864</v>
      </c>
      <c r="Y176" s="278">
        <v>298878.09320633154</v>
      </c>
      <c r="Z176" s="279">
        <v>373597.6165079145</v>
      </c>
      <c r="AB176" s="282" t="str">
        <f t="shared" si="13"/>
        <v>8Y</v>
      </c>
      <c r="AC176" s="278">
        <f ca="1">IF(ABS(P176-C176)&gt;SnapshotTolerance,1,0)</f>
        <v>0</v>
      </c>
      <c r="AD176" s="278">
        <f ca="1">IF(ABS(Q176-D176)&gt;SnapshotTolerance,1,0)</f>
        <v>0</v>
      </c>
      <c r="AE176" s="278">
        <f ca="1">IF(ABS(R176-E176)&gt;SnapshotTolerance,1,0)</f>
        <v>0</v>
      </c>
      <c r="AF176" s="278">
        <f ca="1">IF(ABS(S176-F176)&gt;SnapshotTolerance,1,0)</f>
        <v>0</v>
      </c>
      <c r="AG176" s="278">
        <f ca="1">IF(ABS(T176-G176)&gt;SnapshotTolerance,1,0)</f>
        <v>0</v>
      </c>
      <c r="AH176" s="278">
        <f ca="1">IF(ABS(U176-H176)&gt;SnapshotTolerance,1,0)</f>
        <v>0</v>
      </c>
      <c r="AI176" s="278">
        <f ca="1">IF(ABS(V176-I176)&gt;SnapshotTolerance,1,0)</f>
        <v>0</v>
      </c>
      <c r="AJ176" s="278">
        <f ca="1">IF(ABS(W176-J176)&gt;SnapshotTolerance,1,0)</f>
        <v>0</v>
      </c>
      <c r="AK176" s="278">
        <f ca="1">IF(ABS(X176-K176)&gt;SnapshotTolerance,1,0)</f>
        <v>0</v>
      </c>
      <c r="AL176" s="278">
        <f ca="1">IF(ABS(Y176-L176)&gt;SnapshotTolerance,1,0)</f>
        <v>0</v>
      </c>
      <c r="AM176" s="279">
        <f ca="1">IF(ABS(Z176-M176)&gt;SnapshotTolerance,1,0)</f>
        <v>0</v>
      </c>
    </row>
    <row r="177" spans="2:39">
      <c r="B177" s="282" t="str">
        <f>'USD Swap PVs'!AG57</f>
        <v>9Y</v>
      </c>
      <c r="C177" s="278">
        <f ca="1">'USD Swap PVs'!AH57</f>
        <v>-414495.955924846</v>
      </c>
      <c r="D177" s="278">
        <f ca="1">'USD Swap PVs'!AI57</f>
        <v>-331596.76473987679</v>
      </c>
      <c r="E177" s="278">
        <f ca="1">'USD Swap PVs'!AJ57</f>
        <v>-248697.57355490761</v>
      </c>
      <c r="F177" s="278">
        <f ca="1">'USD Swap PVs'!AK57</f>
        <v>-165798.38236993839</v>
      </c>
      <c r="G177" s="278">
        <f ca="1">'USD Swap PVs'!AL57</f>
        <v>-82899.191184969197</v>
      </c>
      <c r="H177" s="278">
        <f ca="1">'USD Swap PVs'!AM57</f>
        <v>0</v>
      </c>
      <c r="I177" s="278">
        <f ca="1">'USD Swap PVs'!AN57</f>
        <v>82899.191184969211</v>
      </c>
      <c r="J177" s="278">
        <f ca="1">'USD Swap PVs'!AO57</f>
        <v>165798.38236993839</v>
      </c>
      <c r="K177" s="278">
        <f ca="1">'USD Swap PVs'!AP57</f>
        <v>248697.57355490761</v>
      </c>
      <c r="L177" s="278">
        <f ca="1">'USD Swap PVs'!AQ57</f>
        <v>331596.76473987679</v>
      </c>
      <c r="M177" s="279">
        <f ca="1">'USD Swap PVs'!AR57</f>
        <v>414495.955924846</v>
      </c>
      <c r="O177" s="282" t="s">
        <v>113</v>
      </c>
      <c r="P177" s="278">
        <v>-414495.955924846</v>
      </c>
      <c r="Q177" s="278">
        <v>-331596.76473987679</v>
      </c>
      <c r="R177" s="278">
        <v>-248697.57355490761</v>
      </c>
      <c r="S177" s="278">
        <v>-165798.38236993839</v>
      </c>
      <c r="T177" s="278">
        <v>-82899.191184969197</v>
      </c>
      <c r="U177" s="278">
        <v>0</v>
      </c>
      <c r="V177" s="278">
        <v>82899.191184969211</v>
      </c>
      <c r="W177" s="278">
        <v>165798.38236993839</v>
      </c>
      <c r="X177" s="278">
        <v>248697.57355490761</v>
      </c>
      <c r="Y177" s="278">
        <v>331596.76473987679</v>
      </c>
      <c r="Z177" s="279">
        <v>414495.955924846</v>
      </c>
      <c r="AB177" s="282" t="str">
        <f t="shared" si="13"/>
        <v>9Y</v>
      </c>
      <c r="AC177" s="278">
        <f ca="1">IF(ABS(P177-C177)&gt;SnapshotTolerance,1,0)</f>
        <v>0</v>
      </c>
      <c r="AD177" s="278">
        <f ca="1">IF(ABS(Q177-D177)&gt;SnapshotTolerance,1,0)</f>
        <v>0</v>
      </c>
      <c r="AE177" s="278">
        <f ca="1">IF(ABS(R177-E177)&gt;SnapshotTolerance,1,0)</f>
        <v>0</v>
      </c>
      <c r="AF177" s="278">
        <f ca="1">IF(ABS(S177-F177)&gt;SnapshotTolerance,1,0)</f>
        <v>0</v>
      </c>
      <c r="AG177" s="278">
        <f ca="1">IF(ABS(T177-G177)&gt;SnapshotTolerance,1,0)</f>
        <v>0</v>
      </c>
      <c r="AH177" s="278">
        <f ca="1">IF(ABS(U177-H177)&gt;SnapshotTolerance,1,0)</f>
        <v>0</v>
      </c>
      <c r="AI177" s="278">
        <f ca="1">IF(ABS(V177-I177)&gt;SnapshotTolerance,1,0)</f>
        <v>0</v>
      </c>
      <c r="AJ177" s="278">
        <f ca="1">IF(ABS(W177-J177)&gt;SnapshotTolerance,1,0)</f>
        <v>0</v>
      </c>
      <c r="AK177" s="278">
        <f ca="1">IF(ABS(X177-K177)&gt;SnapshotTolerance,1,0)</f>
        <v>0</v>
      </c>
      <c r="AL177" s="278">
        <f ca="1">IF(ABS(Y177-L177)&gt;SnapshotTolerance,1,0)</f>
        <v>0</v>
      </c>
      <c r="AM177" s="279">
        <f ca="1">IF(ABS(Z177-M177)&gt;SnapshotTolerance,1,0)</f>
        <v>0</v>
      </c>
    </row>
    <row r="178" spans="2:39">
      <c r="B178" s="282" t="str">
        <f>'USD Swap PVs'!AG58</f>
        <v>10Y</v>
      </c>
      <c r="C178" s="278">
        <f ca="1">'USD Swap PVs'!AH58</f>
        <v>-454327.72847923241</v>
      </c>
      <c r="D178" s="278">
        <f ca="1">'USD Swap PVs'!AI58</f>
        <v>-363462.18278338586</v>
      </c>
      <c r="E178" s="278">
        <f ca="1">'USD Swap PVs'!AJ58</f>
        <v>-272596.63708753942</v>
      </c>
      <c r="F178" s="278">
        <f ca="1">'USD Swap PVs'!AK58</f>
        <v>-181731.0913916929</v>
      </c>
      <c r="G178" s="278">
        <f ca="1">'USD Swap PVs'!AL58</f>
        <v>-90865.545695846435</v>
      </c>
      <c r="H178" s="278">
        <f ca="1">'USD Swap PVs'!AM58</f>
        <v>2.7755575615628914E-11</v>
      </c>
      <c r="I178" s="278">
        <f ca="1">'USD Swap PVs'!AN58</f>
        <v>90865.545695846478</v>
      </c>
      <c r="J178" s="278">
        <f ca="1">'USD Swap PVs'!AO58</f>
        <v>181731.09139169301</v>
      </c>
      <c r="K178" s="278">
        <f ca="1">'USD Swap PVs'!AP58</f>
        <v>272596.63708753942</v>
      </c>
      <c r="L178" s="278">
        <f ca="1">'USD Swap PVs'!AQ58</f>
        <v>363462.18278338597</v>
      </c>
      <c r="M178" s="279">
        <f ca="1">'USD Swap PVs'!AR58</f>
        <v>454327.72847923235</v>
      </c>
      <c r="O178" s="282" t="s">
        <v>28</v>
      </c>
      <c r="P178" s="278">
        <v>-454327.72847923241</v>
      </c>
      <c r="Q178" s="278">
        <v>-363462.18278338586</v>
      </c>
      <c r="R178" s="278">
        <v>-272596.63708753942</v>
      </c>
      <c r="S178" s="278">
        <v>-181731.0913916929</v>
      </c>
      <c r="T178" s="278">
        <v>-90865.545695846435</v>
      </c>
      <c r="U178" s="278">
        <v>2.7755575615628914E-11</v>
      </c>
      <c r="V178" s="278">
        <v>90865.545695846478</v>
      </c>
      <c r="W178" s="278">
        <v>181731.09139169301</v>
      </c>
      <c r="X178" s="278">
        <v>272596.63708753942</v>
      </c>
      <c r="Y178" s="278">
        <v>363462.18278338597</v>
      </c>
      <c r="Z178" s="279">
        <v>454327.72847923235</v>
      </c>
      <c r="AB178" s="282" t="str">
        <f t="shared" si="13"/>
        <v>10Y</v>
      </c>
      <c r="AC178" s="278">
        <f ca="1">IF(ABS(P178-C178)&gt;SnapshotTolerance,1,0)</f>
        <v>0</v>
      </c>
      <c r="AD178" s="278">
        <f ca="1">IF(ABS(Q178-D178)&gt;SnapshotTolerance,1,0)</f>
        <v>0</v>
      </c>
      <c r="AE178" s="278">
        <f ca="1">IF(ABS(R178-E178)&gt;SnapshotTolerance,1,0)</f>
        <v>0</v>
      </c>
      <c r="AF178" s="278">
        <f ca="1">IF(ABS(S178-F178)&gt;SnapshotTolerance,1,0)</f>
        <v>0</v>
      </c>
      <c r="AG178" s="278">
        <f ca="1">IF(ABS(T178-G178)&gt;SnapshotTolerance,1,0)</f>
        <v>0</v>
      </c>
      <c r="AH178" s="278">
        <f ca="1">IF(ABS(U178-H178)&gt;SnapshotTolerance,1,0)</f>
        <v>0</v>
      </c>
      <c r="AI178" s="278">
        <f ca="1">IF(ABS(V178-I178)&gt;SnapshotTolerance,1,0)</f>
        <v>0</v>
      </c>
      <c r="AJ178" s="278">
        <f ca="1">IF(ABS(W178-J178)&gt;SnapshotTolerance,1,0)</f>
        <v>0</v>
      </c>
      <c r="AK178" s="278">
        <f ca="1">IF(ABS(X178-K178)&gt;SnapshotTolerance,1,0)</f>
        <v>0</v>
      </c>
      <c r="AL178" s="278">
        <f ca="1">IF(ABS(Y178-L178)&gt;SnapshotTolerance,1,0)</f>
        <v>0</v>
      </c>
      <c r="AM178" s="279">
        <f ca="1">IF(ABS(Z178-M178)&gt;SnapshotTolerance,1,0)</f>
        <v>0</v>
      </c>
    </row>
    <row r="179" spans="2:39">
      <c r="B179" s="282" t="str">
        <f>'USD Swap PVs'!AG59</f>
        <v>11Y</v>
      </c>
      <c r="C179" s="278">
        <f ca="1">'USD Swap PVs'!AH59</f>
        <v>-492896.57612352079</v>
      </c>
      <c r="D179" s="278">
        <f ca="1">'USD Swap PVs'!AI59</f>
        <v>-394317.26089881657</v>
      </c>
      <c r="E179" s="278">
        <f ca="1">'USD Swap PVs'!AJ59</f>
        <v>-295737.94567411242</v>
      </c>
      <c r="F179" s="278">
        <f ca="1">'USD Swap PVs'!AK59</f>
        <v>-197158.63044940826</v>
      </c>
      <c r="G179" s="278">
        <f ca="1">'USD Swap PVs'!AL59</f>
        <v>-98579.315224704114</v>
      </c>
      <c r="H179" s="278">
        <f ca="1">'USD Swap PVs'!AM59</f>
        <v>0</v>
      </c>
      <c r="I179" s="278">
        <f ca="1">'USD Swap PVs'!AN59</f>
        <v>98579.315224704143</v>
      </c>
      <c r="J179" s="278">
        <f ca="1">'USD Swap PVs'!AO59</f>
        <v>197158.63044940829</v>
      </c>
      <c r="K179" s="278">
        <f ca="1">'USD Swap PVs'!AP59</f>
        <v>295737.94567411236</v>
      </c>
      <c r="L179" s="278">
        <f ca="1">'USD Swap PVs'!AQ59</f>
        <v>394317.26089881657</v>
      </c>
      <c r="M179" s="279">
        <f ca="1">'USD Swap PVs'!AR59</f>
        <v>492896.57612352067</v>
      </c>
      <c r="O179" s="282" t="s">
        <v>366</v>
      </c>
      <c r="P179" s="278">
        <v>-492896.57612352079</v>
      </c>
      <c r="Q179" s="278">
        <v>-394317.26089881657</v>
      </c>
      <c r="R179" s="278">
        <v>-295737.94567411242</v>
      </c>
      <c r="S179" s="278">
        <v>-197158.63044940826</v>
      </c>
      <c r="T179" s="278">
        <v>-98579.315224704114</v>
      </c>
      <c r="U179" s="278">
        <v>0</v>
      </c>
      <c r="V179" s="278">
        <v>98579.315224704143</v>
      </c>
      <c r="W179" s="278">
        <v>197158.63044940829</v>
      </c>
      <c r="X179" s="278">
        <v>295737.94567411236</v>
      </c>
      <c r="Y179" s="278">
        <v>394317.26089881657</v>
      </c>
      <c r="Z179" s="279">
        <v>492896.57612352067</v>
      </c>
      <c r="AB179" s="282" t="str">
        <f t="shared" si="13"/>
        <v>11Y</v>
      </c>
      <c r="AC179" s="278">
        <f ca="1">IF(ABS(P179-C179)&gt;SnapshotTolerance,1,0)</f>
        <v>0</v>
      </c>
      <c r="AD179" s="278">
        <f ca="1">IF(ABS(Q179-D179)&gt;SnapshotTolerance,1,0)</f>
        <v>0</v>
      </c>
      <c r="AE179" s="278">
        <f ca="1">IF(ABS(R179-E179)&gt;SnapshotTolerance,1,0)</f>
        <v>0</v>
      </c>
      <c r="AF179" s="278">
        <f ca="1">IF(ABS(S179-F179)&gt;SnapshotTolerance,1,0)</f>
        <v>0</v>
      </c>
      <c r="AG179" s="278">
        <f ca="1">IF(ABS(T179-G179)&gt;SnapshotTolerance,1,0)</f>
        <v>0</v>
      </c>
      <c r="AH179" s="278">
        <f ca="1">IF(ABS(U179-H179)&gt;SnapshotTolerance,1,0)</f>
        <v>0</v>
      </c>
      <c r="AI179" s="278">
        <f ca="1">IF(ABS(V179-I179)&gt;SnapshotTolerance,1,0)</f>
        <v>0</v>
      </c>
      <c r="AJ179" s="278">
        <f ca="1">IF(ABS(W179-J179)&gt;SnapshotTolerance,1,0)</f>
        <v>0</v>
      </c>
      <c r="AK179" s="278">
        <f ca="1">IF(ABS(X179-K179)&gt;SnapshotTolerance,1,0)</f>
        <v>0</v>
      </c>
      <c r="AL179" s="278">
        <f ca="1">IF(ABS(Y179-L179)&gt;SnapshotTolerance,1,0)</f>
        <v>0</v>
      </c>
      <c r="AM179" s="279">
        <f ca="1">IF(ABS(Z179-M179)&gt;SnapshotTolerance,1,0)</f>
        <v>0</v>
      </c>
    </row>
    <row r="180" spans="2:39">
      <c r="B180" s="282" t="str">
        <f>'USD Swap PVs'!AG60</f>
        <v>12Y</v>
      </c>
      <c r="C180" s="278">
        <f ca="1">'USD Swap PVs'!AH60</f>
        <v>-530241.07095762773</v>
      </c>
      <c r="D180" s="278">
        <f ca="1">'USD Swap PVs'!AI60</f>
        <v>-424192.8567661022</v>
      </c>
      <c r="E180" s="278">
        <f ca="1">'USD Swap PVs'!AJ60</f>
        <v>-318144.64257457666</v>
      </c>
      <c r="F180" s="278">
        <f ca="1">'USD Swap PVs'!AK60</f>
        <v>-212096.42838305104</v>
      </c>
      <c r="G180" s="278">
        <f ca="1">'USD Swap PVs'!AL60</f>
        <v>-106048.21419152549</v>
      </c>
      <c r="H180" s="278">
        <f ca="1">'USD Swap PVs'!AM60</f>
        <v>0</v>
      </c>
      <c r="I180" s="278">
        <f ca="1">'USD Swap PVs'!AN60</f>
        <v>106048.21419152555</v>
      </c>
      <c r="J180" s="278">
        <f ca="1">'USD Swap PVs'!AO60</f>
        <v>212096.42838305104</v>
      </c>
      <c r="K180" s="278">
        <f ca="1">'USD Swap PVs'!AP60</f>
        <v>318144.6425745766</v>
      </c>
      <c r="L180" s="278">
        <f ca="1">'USD Swap PVs'!AQ60</f>
        <v>424192.85676610214</v>
      </c>
      <c r="M180" s="279">
        <f ca="1">'USD Swap PVs'!AR60</f>
        <v>530241.07095762773</v>
      </c>
      <c r="O180" s="282" t="s">
        <v>26</v>
      </c>
      <c r="P180" s="278">
        <v>-530241.07095762773</v>
      </c>
      <c r="Q180" s="278">
        <v>-424192.8567661022</v>
      </c>
      <c r="R180" s="278">
        <v>-318144.64257457666</v>
      </c>
      <c r="S180" s="278">
        <v>-212096.42838305104</v>
      </c>
      <c r="T180" s="278">
        <v>-106048.21419152549</v>
      </c>
      <c r="U180" s="278">
        <v>0</v>
      </c>
      <c r="V180" s="278">
        <v>106048.21419152555</v>
      </c>
      <c r="W180" s="278">
        <v>212096.42838305104</v>
      </c>
      <c r="X180" s="278">
        <v>318144.6425745766</v>
      </c>
      <c r="Y180" s="278">
        <v>424192.85676610214</v>
      </c>
      <c r="Z180" s="279">
        <v>530241.07095762773</v>
      </c>
      <c r="AB180" s="282" t="str">
        <f t="shared" si="13"/>
        <v>12Y</v>
      </c>
      <c r="AC180" s="278">
        <f ca="1">IF(ABS(P180-C180)&gt;SnapshotTolerance,1,0)</f>
        <v>0</v>
      </c>
      <c r="AD180" s="278">
        <f ca="1">IF(ABS(Q180-D180)&gt;SnapshotTolerance,1,0)</f>
        <v>0</v>
      </c>
      <c r="AE180" s="278">
        <f ca="1">IF(ABS(R180-E180)&gt;SnapshotTolerance,1,0)</f>
        <v>0</v>
      </c>
      <c r="AF180" s="278">
        <f ca="1">IF(ABS(S180-F180)&gt;SnapshotTolerance,1,0)</f>
        <v>0</v>
      </c>
      <c r="AG180" s="278">
        <f ca="1">IF(ABS(T180-G180)&gt;SnapshotTolerance,1,0)</f>
        <v>0</v>
      </c>
      <c r="AH180" s="278">
        <f ca="1">IF(ABS(U180-H180)&gt;SnapshotTolerance,1,0)</f>
        <v>0</v>
      </c>
      <c r="AI180" s="278">
        <f ca="1">IF(ABS(V180-I180)&gt;SnapshotTolerance,1,0)</f>
        <v>0</v>
      </c>
      <c r="AJ180" s="278">
        <f ca="1">IF(ABS(W180-J180)&gt;SnapshotTolerance,1,0)</f>
        <v>0</v>
      </c>
      <c r="AK180" s="278">
        <f ca="1">IF(ABS(X180-K180)&gt;SnapshotTolerance,1,0)</f>
        <v>0</v>
      </c>
      <c r="AL180" s="278">
        <f ca="1">IF(ABS(Y180-L180)&gt;SnapshotTolerance,1,0)</f>
        <v>0</v>
      </c>
      <c r="AM180" s="279">
        <f ca="1">IF(ABS(Z180-M180)&gt;SnapshotTolerance,1,0)</f>
        <v>0</v>
      </c>
    </row>
    <row r="181" spans="2:39">
      <c r="B181" s="282" t="str">
        <f>'USD Swap PVs'!AG61</f>
        <v>15Y</v>
      </c>
      <c r="C181" s="278">
        <f ca="1">'USD Swap PVs'!AH61</f>
        <v>-635336.21014256682</v>
      </c>
      <c r="D181" s="278">
        <f ca="1">'USD Swap PVs'!AI61</f>
        <v>-508268.96811405331</v>
      </c>
      <c r="E181" s="278">
        <f ca="1">'USD Swap PVs'!AJ61</f>
        <v>-381201.72608554002</v>
      </c>
      <c r="F181" s="278">
        <f ca="1">'USD Swap PVs'!AK61</f>
        <v>-254134.48405702665</v>
      </c>
      <c r="G181" s="278">
        <f ca="1">'USD Swap PVs'!AL61</f>
        <v>-127067.24202851333</v>
      </c>
      <c r="H181" s="278">
        <f ca="1">'USD Swap PVs'!AM61</f>
        <v>0</v>
      </c>
      <c r="I181" s="278">
        <f ca="1">'USD Swap PVs'!AN61</f>
        <v>127067.24202851327</v>
      </c>
      <c r="J181" s="278">
        <f ca="1">'USD Swap PVs'!AO61</f>
        <v>254134.4840570266</v>
      </c>
      <c r="K181" s="278">
        <f ca="1">'USD Swap PVs'!AP61</f>
        <v>381201.72608553985</v>
      </c>
      <c r="L181" s="278">
        <f ca="1">'USD Swap PVs'!AQ61</f>
        <v>508268.96811405331</v>
      </c>
      <c r="M181" s="279">
        <f ca="1">'USD Swap PVs'!AR61</f>
        <v>635336.21014256659</v>
      </c>
      <c r="O181" s="282" t="s">
        <v>24</v>
      </c>
      <c r="P181" s="278">
        <v>-635336.21014256682</v>
      </c>
      <c r="Q181" s="278">
        <v>-508268.96811405331</v>
      </c>
      <c r="R181" s="278">
        <v>-381201.72608554002</v>
      </c>
      <c r="S181" s="278">
        <v>-254134.48405702665</v>
      </c>
      <c r="T181" s="278">
        <v>-127067.24202851333</v>
      </c>
      <c r="U181" s="278">
        <v>0</v>
      </c>
      <c r="V181" s="278">
        <v>127067.24202851327</v>
      </c>
      <c r="W181" s="278">
        <v>254134.4840570266</v>
      </c>
      <c r="X181" s="278">
        <v>381201.72608553985</v>
      </c>
      <c r="Y181" s="278">
        <v>508268.96811405331</v>
      </c>
      <c r="Z181" s="279">
        <v>635336.21014256659</v>
      </c>
      <c r="AB181" s="282" t="str">
        <f t="shared" si="13"/>
        <v>15Y</v>
      </c>
      <c r="AC181" s="278">
        <f ca="1">IF(ABS(P181-C181)&gt;SnapshotTolerance,1,0)</f>
        <v>0</v>
      </c>
      <c r="AD181" s="278">
        <f ca="1">IF(ABS(Q181-D181)&gt;SnapshotTolerance,1,0)</f>
        <v>0</v>
      </c>
      <c r="AE181" s="278">
        <f ca="1">IF(ABS(R181-E181)&gt;SnapshotTolerance,1,0)</f>
        <v>0</v>
      </c>
      <c r="AF181" s="278">
        <f ca="1">IF(ABS(S181-F181)&gt;SnapshotTolerance,1,0)</f>
        <v>0</v>
      </c>
      <c r="AG181" s="278">
        <f ca="1">IF(ABS(T181-G181)&gt;SnapshotTolerance,1,0)</f>
        <v>0</v>
      </c>
      <c r="AH181" s="278">
        <f ca="1">IF(ABS(U181-H181)&gt;SnapshotTolerance,1,0)</f>
        <v>0</v>
      </c>
      <c r="AI181" s="278">
        <f ca="1">IF(ABS(V181-I181)&gt;SnapshotTolerance,1,0)</f>
        <v>0</v>
      </c>
      <c r="AJ181" s="278">
        <f ca="1">IF(ABS(W181-J181)&gt;SnapshotTolerance,1,0)</f>
        <v>0</v>
      </c>
      <c r="AK181" s="278">
        <f ca="1">IF(ABS(X181-K181)&gt;SnapshotTolerance,1,0)</f>
        <v>0</v>
      </c>
      <c r="AL181" s="278">
        <f ca="1">IF(ABS(Y181-L181)&gt;SnapshotTolerance,1,0)</f>
        <v>0</v>
      </c>
      <c r="AM181" s="279">
        <f ca="1">IF(ABS(Z181-M181)&gt;SnapshotTolerance,1,0)</f>
        <v>0</v>
      </c>
    </row>
    <row r="182" spans="2:39">
      <c r="B182" s="282" t="str">
        <f>'USD Swap PVs'!AG62</f>
        <v>20Y</v>
      </c>
      <c r="C182" s="278">
        <f ca="1">'USD Swap PVs'!AH62</f>
        <v>-789748.5521188787</v>
      </c>
      <c r="D182" s="278">
        <f ca="1">'USD Swap PVs'!AI62</f>
        <v>-631798.84169510298</v>
      </c>
      <c r="E182" s="278">
        <f ca="1">'USD Swap PVs'!AJ62</f>
        <v>-473849.13127132721</v>
      </c>
      <c r="F182" s="278">
        <f ca="1">'USD Swap PVs'!AK62</f>
        <v>-315899.42084755143</v>
      </c>
      <c r="G182" s="278">
        <f ca="1">'USD Swap PVs'!AL62</f>
        <v>-157949.71042377566</v>
      </c>
      <c r="H182" s="278">
        <f ca="1">'USD Swap PVs'!AM62</f>
        <v>0</v>
      </c>
      <c r="I182" s="278">
        <f ca="1">'USD Swap PVs'!AN62</f>
        <v>157949.71042377574</v>
      </c>
      <c r="J182" s="278">
        <f ca="1">'USD Swap PVs'!AO62</f>
        <v>315899.42084755143</v>
      </c>
      <c r="K182" s="278">
        <f ca="1">'USD Swap PVs'!AP62</f>
        <v>473849.13127132726</v>
      </c>
      <c r="L182" s="278">
        <f ca="1">'USD Swap PVs'!AQ62</f>
        <v>631798.84169510298</v>
      </c>
      <c r="M182" s="279">
        <f ca="1">'USD Swap PVs'!AR62</f>
        <v>789748.55211887893</v>
      </c>
      <c r="O182" s="282" t="s">
        <v>20</v>
      </c>
      <c r="P182" s="278">
        <v>-789748.5521188787</v>
      </c>
      <c r="Q182" s="278">
        <v>-631798.84169510298</v>
      </c>
      <c r="R182" s="278">
        <v>-473849.13127132721</v>
      </c>
      <c r="S182" s="278">
        <v>-315899.42084755143</v>
      </c>
      <c r="T182" s="278">
        <v>-157949.71042377566</v>
      </c>
      <c r="U182" s="278">
        <v>0</v>
      </c>
      <c r="V182" s="278">
        <v>157949.71042377574</v>
      </c>
      <c r="W182" s="278">
        <v>315899.42084755143</v>
      </c>
      <c r="X182" s="278">
        <v>473849.13127132726</v>
      </c>
      <c r="Y182" s="278">
        <v>631798.84169510298</v>
      </c>
      <c r="Z182" s="279">
        <v>789748.55211887893</v>
      </c>
      <c r="AB182" s="282" t="str">
        <f t="shared" si="13"/>
        <v>20Y</v>
      </c>
      <c r="AC182" s="278">
        <f ca="1">IF(ABS(P182-C182)&gt;SnapshotTolerance,1,0)</f>
        <v>0</v>
      </c>
      <c r="AD182" s="278">
        <f ca="1">IF(ABS(Q182-D182)&gt;SnapshotTolerance,1,0)</f>
        <v>0</v>
      </c>
      <c r="AE182" s="278">
        <f ca="1">IF(ABS(R182-E182)&gt;SnapshotTolerance,1,0)</f>
        <v>0</v>
      </c>
      <c r="AF182" s="278">
        <f ca="1">IF(ABS(S182-F182)&gt;SnapshotTolerance,1,0)</f>
        <v>0</v>
      </c>
      <c r="AG182" s="278">
        <f ca="1">IF(ABS(T182-G182)&gt;SnapshotTolerance,1,0)</f>
        <v>0</v>
      </c>
      <c r="AH182" s="278">
        <f ca="1">IF(ABS(U182-H182)&gt;SnapshotTolerance,1,0)</f>
        <v>0</v>
      </c>
      <c r="AI182" s="278">
        <f ca="1">IF(ABS(V182-I182)&gt;SnapshotTolerance,1,0)</f>
        <v>0</v>
      </c>
      <c r="AJ182" s="278">
        <f ca="1">IF(ABS(W182-J182)&gt;SnapshotTolerance,1,0)</f>
        <v>0</v>
      </c>
      <c r="AK182" s="278">
        <f ca="1">IF(ABS(X182-K182)&gt;SnapshotTolerance,1,0)</f>
        <v>0</v>
      </c>
      <c r="AL182" s="278">
        <f ca="1">IF(ABS(Y182-L182)&gt;SnapshotTolerance,1,0)</f>
        <v>0</v>
      </c>
      <c r="AM182" s="279">
        <f ca="1">IF(ABS(Z182-M182)&gt;SnapshotTolerance,1,0)</f>
        <v>0</v>
      </c>
    </row>
    <row r="183" spans="2:39">
      <c r="B183" s="282" t="str">
        <f>'USD Swap PVs'!AG63</f>
        <v>25Y</v>
      </c>
      <c r="C183" s="278">
        <f ca="1">'USD Swap PVs'!AH63</f>
        <v>-921873.98517284018</v>
      </c>
      <c r="D183" s="278">
        <f ca="1">'USD Swap PVs'!AI63</f>
        <v>-737499.18813827203</v>
      </c>
      <c r="E183" s="278">
        <f ca="1">'USD Swap PVs'!AJ63</f>
        <v>-553124.39110370399</v>
      </c>
      <c r="F183" s="278">
        <f ca="1">'USD Swap PVs'!AK63</f>
        <v>-368749.59406913602</v>
      </c>
      <c r="G183" s="278">
        <f ca="1">'USD Swap PVs'!AL63</f>
        <v>-184374.79703456801</v>
      </c>
      <c r="H183" s="278">
        <f ca="1">'USD Swap PVs'!AM63</f>
        <v>0</v>
      </c>
      <c r="I183" s="278">
        <f ca="1">'USD Swap PVs'!AN63</f>
        <v>184374.79703456795</v>
      </c>
      <c r="J183" s="278">
        <f ca="1">'USD Swap PVs'!AO63</f>
        <v>368749.59406913602</v>
      </c>
      <c r="K183" s="278">
        <f ca="1">'USD Swap PVs'!AP63</f>
        <v>553124.39110370399</v>
      </c>
      <c r="L183" s="278">
        <f ca="1">'USD Swap PVs'!AQ63</f>
        <v>737499.18813827215</v>
      </c>
      <c r="M183" s="279">
        <f ca="1">'USD Swap PVs'!AR63</f>
        <v>921873.98517284018</v>
      </c>
      <c r="O183" s="282" t="s">
        <v>18</v>
      </c>
      <c r="P183" s="278">
        <v>-921873.98517284018</v>
      </c>
      <c r="Q183" s="278">
        <v>-737499.18813827203</v>
      </c>
      <c r="R183" s="278">
        <v>-553124.39110370399</v>
      </c>
      <c r="S183" s="278">
        <v>-368749.59406913602</v>
      </c>
      <c r="T183" s="278">
        <v>-184374.79703456801</v>
      </c>
      <c r="U183" s="278">
        <v>0</v>
      </c>
      <c r="V183" s="278">
        <v>184374.79703456795</v>
      </c>
      <c r="W183" s="278">
        <v>368749.59406913602</v>
      </c>
      <c r="X183" s="278">
        <v>553124.39110370399</v>
      </c>
      <c r="Y183" s="278">
        <v>737499.18813827215</v>
      </c>
      <c r="Z183" s="279">
        <v>921873.98517284018</v>
      </c>
      <c r="AB183" s="282" t="str">
        <f t="shared" si="13"/>
        <v>25Y</v>
      </c>
      <c r="AC183" s="278">
        <f ca="1">IF(ABS(P183-C183)&gt;SnapshotTolerance,1,0)</f>
        <v>0</v>
      </c>
      <c r="AD183" s="278">
        <f ca="1">IF(ABS(Q183-D183)&gt;SnapshotTolerance,1,0)</f>
        <v>0</v>
      </c>
      <c r="AE183" s="278">
        <f ca="1">IF(ABS(R183-E183)&gt;SnapshotTolerance,1,0)</f>
        <v>0</v>
      </c>
      <c r="AF183" s="278">
        <f ca="1">IF(ABS(S183-F183)&gt;SnapshotTolerance,1,0)</f>
        <v>0</v>
      </c>
      <c r="AG183" s="278">
        <f ca="1">IF(ABS(T183-G183)&gt;SnapshotTolerance,1,0)</f>
        <v>0</v>
      </c>
      <c r="AH183" s="278">
        <f ca="1">IF(ABS(U183-H183)&gt;SnapshotTolerance,1,0)</f>
        <v>0</v>
      </c>
      <c r="AI183" s="278">
        <f ca="1">IF(ABS(V183-I183)&gt;SnapshotTolerance,1,0)</f>
        <v>0</v>
      </c>
      <c r="AJ183" s="278">
        <f ca="1">IF(ABS(W183-J183)&gt;SnapshotTolerance,1,0)</f>
        <v>0</v>
      </c>
      <c r="AK183" s="278">
        <f ca="1">IF(ABS(X183-K183)&gt;SnapshotTolerance,1,0)</f>
        <v>0</v>
      </c>
      <c r="AL183" s="278">
        <f ca="1">IF(ABS(Y183-L183)&gt;SnapshotTolerance,1,0)</f>
        <v>0</v>
      </c>
      <c r="AM183" s="279">
        <f ca="1">IF(ABS(Z183-M183)&gt;SnapshotTolerance,1,0)</f>
        <v>0</v>
      </c>
    </row>
    <row r="184" spans="2:39">
      <c r="B184" s="282" t="str">
        <f>'USD Swap PVs'!AG64</f>
        <v>30Y</v>
      </c>
      <c r="C184" s="278">
        <f ca="1">'USD Swap PVs'!AH64</f>
        <v>-1035401.1460912416</v>
      </c>
      <c r="D184" s="278">
        <f ca="1">'USD Swap PVs'!AI64</f>
        <v>-828320.91687299323</v>
      </c>
      <c r="E184" s="278">
        <f ca="1">'USD Swap PVs'!AJ64</f>
        <v>-621240.68765474495</v>
      </c>
      <c r="F184" s="278">
        <f ca="1">'USD Swap PVs'!AK64</f>
        <v>-414160.4584364965</v>
      </c>
      <c r="G184" s="278">
        <f ca="1">'USD Swap PVs'!AL64</f>
        <v>-207080.22921824819</v>
      </c>
      <c r="H184" s="278">
        <f ca="1">'USD Swap PVs'!AM64</f>
        <v>0</v>
      </c>
      <c r="I184" s="278">
        <f ca="1">'USD Swap PVs'!AN64</f>
        <v>207080.22921824842</v>
      </c>
      <c r="J184" s="278">
        <f ca="1">'USD Swap PVs'!AO64</f>
        <v>414160.45843649661</v>
      </c>
      <c r="K184" s="278">
        <f ca="1">'USD Swap PVs'!AP64</f>
        <v>621240.68765474495</v>
      </c>
      <c r="L184" s="278">
        <f ca="1">'USD Swap PVs'!AQ64</f>
        <v>828320.91687299323</v>
      </c>
      <c r="M184" s="279">
        <f ca="1">'USD Swap PVs'!AR64</f>
        <v>1035401.1460912417</v>
      </c>
      <c r="O184" s="282" t="s">
        <v>17</v>
      </c>
      <c r="P184" s="278">
        <v>-1035401.1460912416</v>
      </c>
      <c r="Q184" s="278">
        <v>-828320.91687299323</v>
      </c>
      <c r="R184" s="278">
        <v>-621240.68765474495</v>
      </c>
      <c r="S184" s="278">
        <v>-414160.4584364965</v>
      </c>
      <c r="T184" s="278">
        <v>-207080.22921824819</v>
      </c>
      <c r="U184" s="278">
        <v>0</v>
      </c>
      <c r="V184" s="278">
        <v>207080.22921824842</v>
      </c>
      <c r="W184" s="278">
        <v>414160.45843649661</v>
      </c>
      <c r="X184" s="278">
        <v>621240.68765474495</v>
      </c>
      <c r="Y184" s="278">
        <v>828320.91687299323</v>
      </c>
      <c r="Z184" s="279">
        <v>1035401.1460912417</v>
      </c>
      <c r="AB184" s="282" t="str">
        <f t="shared" si="13"/>
        <v>30Y</v>
      </c>
      <c r="AC184" s="278">
        <f ca="1">IF(ABS(P184-C184)&gt;SnapshotTolerance,1,0)</f>
        <v>0</v>
      </c>
      <c r="AD184" s="278">
        <f ca="1">IF(ABS(Q184-D184)&gt;SnapshotTolerance,1,0)</f>
        <v>0</v>
      </c>
      <c r="AE184" s="278">
        <f ca="1">IF(ABS(R184-E184)&gt;SnapshotTolerance,1,0)</f>
        <v>0</v>
      </c>
      <c r="AF184" s="278">
        <f ca="1">IF(ABS(S184-F184)&gt;SnapshotTolerance,1,0)</f>
        <v>0</v>
      </c>
      <c r="AG184" s="278">
        <f ca="1">IF(ABS(T184-G184)&gt;SnapshotTolerance,1,0)</f>
        <v>0</v>
      </c>
      <c r="AH184" s="278">
        <f ca="1">IF(ABS(U184-H184)&gt;SnapshotTolerance,1,0)</f>
        <v>0</v>
      </c>
      <c r="AI184" s="278">
        <f ca="1">IF(ABS(V184-I184)&gt;SnapshotTolerance,1,0)</f>
        <v>0</v>
      </c>
      <c r="AJ184" s="278">
        <f ca="1">IF(ABS(W184-J184)&gt;SnapshotTolerance,1,0)</f>
        <v>0</v>
      </c>
      <c r="AK184" s="278">
        <f ca="1">IF(ABS(X184-K184)&gt;SnapshotTolerance,1,0)</f>
        <v>0</v>
      </c>
      <c r="AL184" s="278">
        <f ca="1">IF(ABS(Y184-L184)&gt;SnapshotTolerance,1,0)</f>
        <v>0</v>
      </c>
      <c r="AM184" s="279">
        <f ca="1">IF(ABS(Z184-M184)&gt;SnapshotTolerance,1,0)</f>
        <v>0</v>
      </c>
    </row>
    <row r="185" spans="2:39">
      <c r="B185" s="282" t="str">
        <f>'USD Swap PVs'!AG65</f>
        <v>40Y</v>
      </c>
      <c r="C185" s="278">
        <f ca="1">'USD Swap PVs'!AH65</f>
        <v>-1217652.1488595277</v>
      </c>
      <c r="D185" s="278">
        <f ca="1">'USD Swap PVs'!AI65</f>
        <v>-974121.71908762201</v>
      </c>
      <c r="E185" s="278">
        <f ca="1">'USD Swap PVs'!AJ65</f>
        <v>-730591.28931571648</v>
      </c>
      <c r="F185" s="278">
        <f ca="1">'USD Swap PVs'!AK65</f>
        <v>-487060.85954381095</v>
      </c>
      <c r="G185" s="278">
        <f ca="1">'USD Swap PVs'!AL65</f>
        <v>-243530.42977190547</v>
      </c>
      <c r="H185" s="278">
        <f ca="1">'USD Swap PVs'!AM65</f>
        <v>0</v>
      </c>
      <c r="I185" s="278">
        <f ca="1">'USD Swap PVs'!AN65</f>
        <v>243530.42977190553</v>
      </c>
      <c r="J185" s="278">
        <f ca="1">'USD Swap PVs'!AO65</f>
        <v>487060.85954381106</v>
      </c>
      <c r="K185" s="278">
        <f ca="1">'USD Swap PVs'!AP65</f>
        <v>730591.28931571648</v>
      </c>
      <c r="L185" s="278">
        <f ca="1">'USD Swap PVs'!AQ65</f>
        <v>974121.71908762213</v>
      </c>
      <c r="M185" s="279">
        <f ca="1">'USD Swap PVs'!AR65</f>
        <v>1217652.1488595277</v>
      </c>
      <c r="O185" s="282" t="s">
        <v>15</v>
      </c>
      <c r="P185" s="278">
        <v>-1217652.1488595277</v>
      </c>
      <c r="Q185" s="278">
        <v>-974121.71908762201</v>
      </c>
      <c r="R185" s="278">
        <v>-730591.28931571648</v>
      </c>
      <c r="S185" s="278">
        <v>-487060.85954381095</v>
      </c>
      <c r="T185" s="278">
        <v>-243530.42977190547</v>
      </c>
      <c r="U185" s="278">
        <v>0</v>
      </c>
      <c r="V185" s="278">
        <v>243530.42977190553</v>
      </c>
      <c r="W185" s="278">
        <v>487060.85954381106</v>
      </c>
      <c r="X185" s="278">
        <v>730591.28931571648</v>
      </c>
      <c r="Y185" s="278">
        <v>974121.71908762213</v>
      </c>
      <c r="Z185" s="279">
        <v>1217652.1488595277</v>
      </c>
      <c r="AB185" s="282" t="str">
        <f t="shared" si="13"/>
        <v>40Y</v>
      </c>
      <c r="AC185" s="278">
        <f ca="1">IF(ABS(P185-C185)&gt;SnapshotTolerance,1,0)</f>
        <v>0</v>
      </c>
      <c r="AD185" s="278">
        <f ca="1">IF(ABS(Q185-D185)&gt;SnapshotTolerance,1,0)</f>
        <v>0</v>
      </c>
      <c r="AE185" s="278">
        <f ca="1">IF(ABS(R185-E185)&gt;SnapshotTolerance,1,0)</f>
        <v>0</v>
      </c>
      <c r="AF185" s="278">
        <f ca="1">IF(ABS(S185-F185)&gt;SnapshotTolerance,1,0)</f>
        <v>0</v>
      </c>
      <c r="AG185" s="278">
        <f ca="1">IF(ABS(T185-G185)&gt;SnapshotTolerance,1,0)</f>
        <v>0</v>
      </c>
      <c r="AH185" s="278">
        <f ca="1">IF(ABS(U185-H185)&gt;SnapshotTolerance,1,0)</f>
        <v>0</v>
      </c>
      <c r="AI185" s="278">
        <f ca="1">IF(ABS(V185-I185)&gt;SnapshotTolerance,1,0)</f>
        <v>0</v>
      </c>
      <c r="AJ185" s="278">
        <f ca="1">IF(ABS(W185-J185)&gt;SnapshotTolerance,1,0)</f>
        <v>0</v>
      </c>
      <c r="AK185" s="278">
        <f ca="1">IF(ABS(X185-K185)&gt;SnapshotTolerance,1,0)</f>
        <v>0</v>
      </c>
      <c r="AL185" s="278">
        <f ca="1">IF(ABS(Y185-L185)&gt;SnapshotTolerance,1,0)</f>
        <v>0</v>
      </c>
      <c r="AM185" s="279">
        <f ca="1">IF(ABS(Z185-M185)&gt;SnapshotTolerance,1,0)</f>
        <v>0</v>
      </c>
    </row>
    <row r="186" spans="2:39">
      <c r="B186" s="282" t="str">
        <f>'USD Swap PVs'!AG66</f>
        <v>50Y</v>
      </c>
      <c r="C186" s="278">
        <f ca="1">'USD Swap PVs'!AH66</f>
        <v>-1356303.3835327972</v>
      </c>
      <c r="D186" s="278">
        <f ca="1">'USD Swap PVs'!AI66</f>
        <v>-1085042.7068262377</v>
      </c>
      <c r="E186" s="278">
        <f ca="1">'USD Swap PVs'!AJ66</f>
        <v>-813782.03011967835</v>
      </c>
      <c r="F186" s="278">
        <f ca="1">'USD Swap PVs'!AK66</f>
        <v>-542521.35341311875</v>
      </c>
      <c r="G186" s="278">
        <f ca="1">'USD Swap PVs'!AL66</f>
        <v>-271260.67670655937</v>
      </c>
      <c r="H186" s="278">
        <f ca="1">'USD Swap PVs'!AM66</f>
        <v>0</v>
      </c>
      <c r="I186" s="278">
        <f ca="1">'USD Swap PVs'!AN66</f>
        <v>271260.67670655937</v>
      </c>
      <c r="J186" s="278">
        <f ca="1">'USD Swap PVs'!AO66</f>
        <v>542521.35341311886</v>
      </c>
      <c r="K186" s="278">
        <f ca="1">'USD Swap PVs'!AP66</f>
        <v>813782.03011967824</v>
      </c>
      <c r="L186" s="278">
        <f ca="1">'USD Swap PVs'!AQ66</f>
        <v>1085042.706826238</v>
      </c>
      <c r="M186" s="279">
        <f ca="1">'USD Swap PVs'!AR66</f>
        <v>1356303.3835327975</v>
      </c>
      <c r="O186" s="282" t="s">
        <v>14</v>
      </c>
      <c r="P186" s="278">
        <v>-1356303.3835327972</v>
      </c>
      <c r="Q186" s="278">
        <v>-1085042.7068262377</v>
      </c>
      <c r="R186" s="278">
        <v>-813782.03011967835</v>
      </c>
      <c r="S186" s="278">
        <v>-542521.35341311875</v>
      </c>
      <c r="T186" s="278">
        <v>-271260.67670655937</v>
      </c>
      <c r="U186" s="278">
        <v>0</v>
      </c>
      <c r="V186" s="278">
        <v>271260.67670655937</v>
      </c>
      <c r="W186" s="278">
        <v>542521.35341311886</v>
      </c>
      <c r="X186" s="278">
        <v>813782.03011967824</v>
      </c>
      <c r="Y186" s="278">
        <v>1085042.706826238</v>
      </c>
      <c r="Z186" s="279">
        <v>1356303.3835327975</v>
      </c>
      <c r="AB186" s="282" t="str">
        <f t="shared" si="13"/>
        <v>50Y</v>
      </c>
      <c r="AC186" s="278">
        <f ca="1">IF(ABS(P186-C186)&gt;SnapshotTolerance,1,0)</f>
        <v>0</v>
      </c>
      <c r="AD186" s="278">
        <f ca="1">IF(ABS(Q186-D186)&gt;SnapshotTolerance,1,0)</f>
        <v>0</v>
      </c>
      <c r="AE186" s="278">
        <f ca="1">IF(ABS(R186-E186)&gt;SnapshotTolerance,1,0)</f>
        <v>0</v>
      </c>
      <c r="AF186" s="278">
        <f ca="1">IF(ABS(S186-F186)&gt;SnapshotTolerance,1,0)</f>
        <v>0</v>
      </c>
      <c r="AG186" s="278">
        <f ca="1">IF(ABS(T186-G186)&gt;SnapshotTolerance,1,0)</f>
        <v>0</v>
      </c>
      <c r="AH186" s="278">
        <f ca="1">IF(ABS(U186-H186)&gt;SnapshotTolerance,1,0)</f>
        <v>0</v>
      </c>
      <c r="AI186" s="278">
        <f ca="1">IF(ABS(V186-I186)&gt;SnapshotTolerance,1,0)</f>
        <v>0</v>
      </c>
      <c r="AJ186" s="278">
        <f ca="1">IF(ABS(W186-J186)&gt;SnapshotTolerance,1,0)</f>
        <v>0</v>
      </c>
      <c r="AK186" s="278">
        <f ca="1">IF(ABS(X186-K186)&gt;SnapshotTolerance,1,0)</f>
        <v>0</v>
      </c>
      <c r="AL186" s="278">
        <f ca="1">IF(ABS(Y186-L186)&gt;SnapshotTolerance,1,0)</f>
        <v>0</v>
      </c>
      <c r="AM186" s="279">
        <f ca="1">IF(ABS(Z186-M186)&gt;SnapshotTolerance,1,0)</f>
        <v>0</v>
      </c>
    </row>
    <row r="187" spans="2:39">
      <c r="B187" s="282"/>
      <c r="C187" s="278"/>
      <c r="D187" s="278"/>
      <c r="E187" s="278"/>
      <c r="F187" s="278"/>
      <c r="G187" s="278"/>
      <c r="H187" s="278"/>
      <c r="I187" s="278"/>
      <c r="J187" s="278"/>
      <c r="K187" s="278"/>
      <c r="L187" s="278"/>
      <c r="M187" s="279"/>
      <c r="O187" s="282"/>
      <c r="P187" s="278"/>
      <c r="Q187" s="278"/>
      <c r="R187" s="278"/>
      <c r="S187" s="278"/>
      <c r="T187" s="278"/>
      <c r="U187" s="278"/>
      <c r="V187" s="278"/>
      <c r="W187" s="278"/>
      <c r="X187" s="278"/>
      <c r="Y187" s="278"/>
      <c r="Z187" s="279"/>
      <c r="AB187" s="282"/>
      <c r="AC187" s="278"/>
      <c r="AD187" s="278"/>
      <c r="AE187" s="278"/>
      <c r="AF187" s="278"/>
      <c r="AG187" s="278"/>
      <c r="AH187" s="278"/>
      <c r="AI187" s="278"/>
      <c r="AJ187" s="278"/>
      <c r="AK187" s="278"/>
      <c r="AL187" s="278"/>
      <c r="AM187" s="279"/>
    </row>
    <row r="188" spans="2:39">
      <c r="B188" s="282"/>
      <c r="C188" s="278"/>
      <c r="D188" s="278"/>
      <c r="E188" s="278"/>
      <c r="F188" s="278"/>
      <c r="G188" s="278"/>
      <c r="H188" s="278"/>
      <c r="I188" s="278"/>
      <c r="J188" s="278"/>
      <c r="K188" s="278"/>
      <c r="L188" s="278"/>
      <c r="M188" s="279"/>
      <c r="O188" s="282"/>
      <c r="P188" s="278"/>
      <c r="Q188" s="278"/>
      <c r="R188" s="278"/>
      <c r="S188" s="278"/>
      <c r="T188" s="278"/>
      <c r="U188" s="278"/>
      <c r="V188" s="278"/>
      <c r="W188" s="278"/>
      <c r="X188" s="278"/>
      <c r="Y188" s="278"/>
      <c r="Z188" s="279"/>
      <c r="AB188" s="282"/>
      <c r="AC188" s="278"/>
      <c r="AD188" s="278"/>
      <c r="AE188" s="278"/>
      <c r="AF188" s="278"/>
      <c r="AG188" s="278"/>
      <c r="AH188" s="278"/>
      <c r="AI188" s="278"/>
      <c r="AJ188" s="278"/>
      <c r="AK188" s="278"/>
      <c r="AL188" s="278"/>
      <c r="AM188" s="279"/>
    </row>
    <row r="189" spans="2:39">
      <c r="B189" s="282"/>
      <c r="C189" s="278"/>
      <c r="D189" s="278"/>
      <c r="E189" s="278"/>
      <c r="F189" s="278"/>
      <c r="G189" s="278"/>
      <c r="H189" s="278"/>
      <c r="I189" s="278"/>
      <c r="J189" s="278"/>
      <c r="K189" s="278"/>
      <c r="L189" s="278"/>
      <c r="M189" s="279"/>
      <c r="O189" s="282"/>
      <c r="P189" s="278"/>
      <c r="Q189" s="278"/>
      <c r="R189" s="278"/>
      <c r="S189" s="278"/>
      <c r="T189" s="278"/>
      <c r="U189" s="278"/>
      <c r="V189" s="278"/>
      <c r="W189" s="278"/>
      <c r="X189" s="278"/>
      <c r="Y189" s="278"/>
      <c r="Z189" s="279"/>
      <c r="AB189" s="282"/>
      <c r="AC189" s="278"/>
      <c r="AD189" s="278"/>
      <c r="AE189" s="278"/>
      <c r="AF189" s="278"/>
      <c r="AG189" s="278"/>
      <c r="AH189" s="278"/>
      <c r="AI189" s="278"/>
      <c r="AJ189" s="278"/>
      <c r="AK189" s="278"/>
      <c r="AL189" s="278"/>
      <c r="AM189" s="279"/>
    </row>
    <row r="190" spans="2:39">
      <c r="B190" s="283"/>
      <c r="C190" s="280"/>
      <c r="D190" s="280"/>
      <c r="E190" s="280"/>
      <c r="F190" s="280"/>
      <c r="G190" s="280"/>
      <c r="H190" s="280"/>
      <c r="I190" s="280"/>
      <c r="J190" s="280"/>
      <c r="K190" s="280"/>
      <c r="L190" s="280"/>
      <c r="M190" s="281"/>
      <c r="O190" s="283"/>
      <c r="P190" s="280"/>
      <c r="Q190" s="280"/>
      <c r="R190" s="280"/>
      <c r="S190" s="280"/>
      <c r="T190" s="280"/>
      <c r="U190" s="280"/>
      <c r="V190" s="280"/>
      <c r="W190" s="280"/>
      <c r="X190" s="280"/>
      <c r="Y190" s="280"/>
      <c r="Z190" s="281"/>
      <c r="AB190" s="283"/>
      <c r="AC190" s="280"/>
      <c r="AD190" s="280"/>
      <c r="AE190" s="280"/>
      <c r="AF190" s="280"/>
      <c r="AG190" s="280"/>
      <c r="AH190" s="280"/>
      <c r="AI190" s="280"/>
      <c r="AJ190" s="280"/>
      <c r="AK190" s="280"/>
      <c r="AL190" s="280"/>
      <c r="AM190" s="281"/>
    </row>
    <row r="193" spans="2:39">
      <c r="B193" t="s">
        <v>533</v>
      </c>
      <c r="E193" t="s">
        <v>472</v>
      </c>
    </row>
    <row r="194" spans="2:39">
      <c r="B194" t="s">
        <v>530</v>
      </c>
      <c r="E194" s="252">
        <f ca="1">SUM(AC199:AM217)</f>
        <v>0</v>
      </c>
    </row>
    <row r="195" spans="2:39">
      <c r="B195" t="s">
        <v>532</v>
      </c>
    </row>
    <row r="197" spans="2:39">
      <c r="B197" t="s">
        <v>510</v>
      </c>
      <c r="O197" t="s">
        <v>470</v>
      </c>
      <c r="AB197" t="s">
        <v>511</v>
      </c>
    </row>
    <row r="198" spans="2:39">
      <c r="B198" s="254" t="str">
        <f>'USD Swap PVs'!AG76</f>
        <v>Term</v>
      </c>
      <c r="C198" s="287">
        <f>'USD Swap PVs'!AH76</f>
        <v>500</v>
      </c>
      <c r="D198" s="287">
        <f>'USD Swap PVs'!AI76</f>
        <v>400</v>
      </c>
      <c r="E198" s="287">
        <f>'USD Swap PVs'!AJ76</f>
        <v>300</v>
      </c>
      <c r="F198" s="287">
        <f>'USD Swap PVs'!AK76</f>
        <v>200</v>
      </c>
      <c r="G198" s="287">
        <f>'USD Swap PVs'!AL76</f>
        <v>100</v>
      </c>
      <c r="H198" s="287">
        <f>'USD Swap PVs'!AM76</f>
        <v>0</v>
      </c>
      <c r="I198" s="287">
        <f>'USD Swap PVs'!AN76</f>
        <v>-100</v>
      </c>
      <c r="J198" s="287">
        <f>'USD Swap PVs'!AO76</f>
        <v>-200</v>
      </c>
      <c r="K198" s="287">
        <f>'USD Swap PVs'!AP76</f>
        <v>-300</v>
      </c>
      <c r="L198" s="287">
        <f>'USD Swap PVs'!AQ76</f>
        <v>-400</v>
      </c>
      <c r="M198" s="288">
        <f>'USD Swap PVs'!AR76</f>
        <v>-500</v>
      </c>
      <c r="O198" s="254" t="s">
        <v>76</v>
      </c>
      <c r="P198" s="287">
        <v>500</v>
      </c>
      <c r="Q198" s="287">
        <v>400</v>
      </c>
      <c r="R198" s="287">
        <v>300</v>
      </c>
      <c r="S198" s="287">
        <v>200</v>
      </c>
      <c r="T198" s="287">
        <v>100</v>
      </c>
      <c r="U198" s="287">
        <v>0</v>
      </c>
      <c r="V198" s="287">
        <v>-100</v>
      </c>
      <c r="W198" s="287">
        <v>-200</v>
      </c>
      <c r="X198" s="287">
        <v>-300</v>
      </c>
      <c r="Y198" s="287">
        <v>-400</v>
      </c>
      <c r="Z198" s="288">
        <v>-500</v>
      </c>
      <c r="AB198" s="254" t="str">
        <f>O198</f>
        <v>Term</v>
      </c>
      <c r="AC198" s="287">
        <f>P198</f>
        <v>500</v>
      </c>
      <c r="AD198" s="287">
        <f t="shared" ref="AD198:AM198" si="14">Q198</f>
        <v>400</v>
      </c>
      <c r="AE198" s="287">
        <f t="shared" si="14"/>
        <v>300</v>
      </c>
      <c r="AF198" s="287">
        <f t="shared" si="14"/>
        <v>200</v>
      </c>
      <c r="AG198" s="287">
        <f t="shared" si="14"/>
        <v>100</v>
      </c>
      <c r="AH198" s="287">
        <f t="shared" si="14"/>
        <v>0</v>
      </c>
      <c r="AI198" s="287">
        <f t="shared" si="14"/>
        <v>-100</v>
      </c>
      <c r="AJ198" s="287">
        <f t="shared" si="14"/>
        <v>-200</v>
      </c>
      <c r="AK198" s="287">
        <f t="shared" si="14"/>
        <v>-300</v>
      </c>
      <c r="AL198" s="287">
        <f t="shared" si="14"/>
        <v>-400</v>
      </c>
      <c r="AM198" s="288">
        <f t="shared" si="14"/>
        <v>-500</v>
      </c>
    </row>
    <row r="199" spans="2:39">
      <c r="B199" s="282" t="str">
        <f>'USD Swap PVs'!AG77</f>
        <v>4Y</v>
      </c>
      <c r="C199" s="278">
        <f ca="1">'USD Swap PVs'!AH77</f>
        <v>-198777.42646496603</v>
      </c>
      <c r="D199" s="278">
        <f ca="1">'USD Swap PVs'!AI77</f>
        <v>-159021.94117197284</v>
      </c>
      <c r="E199" s="278">
        <f ca="1">'USD Swap PVs'!AJ77</f>
        <v>-119266.45587897961</v>
      </c>
      <c r="F199" s="278">
        <f ca="1">'USD Swap PVs'!AK77</f>
        <v>-79510.970585986433</v>
      </c>
      <c r="G199" s="278">
        <f ca="1">'USD Swap PVs'!AL77</f>
        <v>-39755.485292993209</v>
      </c>
      <c r="H199" s="278">
        <f ca="1">'USD Swap PVs'!AM77</f>
        <v>0</v>
      </c>
      <c r="I199" s="278">
        <f ca="1">'USD Swap PVs'!AN77</f>
        <v>39755.485292993209</v>
      </c>
      <c r="J199" s="278">
        <f ca="1">'USD Swap PVs'!AO77</f>
        <v>79510.970585986433</v>
      </c>
      <c r="K199" s="278">
        <f ca="1">'USD Swap PVs'!AP77</f>
        <v>119266.45587897963</v>
      </c>
      <c r="L199" s="278">
        <f ca="1">'USD Swap PVs'!AQ77</f>
        <v>159021.94117197284</v>
      </c>
      <c r="M199" s="279">
        <f ca="1">'USD Swap PVs'!AR77</f>
        <v>198777.42646496603</v>
      </c>
      <c r="O199" s="282" t="s">
        <v>35</v>
      </c>
      <c r="P199" s="278">
        <v>-198777.42646496603</v>
      </c>
      <c r="Q199" s="278">
        <v>-159021.94117197284</v>
      </c>
      <c r="R199" s="278">
        <v>-119266.45587897961</v>
      </c>
      <c r="S199" s="278">
        <v>-79510.970585986433</v>
      </c>
      <c r="T199" s="278">
        <v>-39755.485292993209</v>
      </c>
      <c r="U199" s="278">
        <v>0</v>
      </c>
      <c r="V199" s="278">
        <v>39755.485292993209</v>
      </c>
      <c r="W199" s="278">
        <v>79510.970585986433</v>
      </c>
      <c r="X199" s="278">
        <v>119266.45587897963</v>
      </c>
      <c r="Y199" s="278">
        <v>159021.94117197284</v>
      </c>
      <c r="Z199" s="279">
        <v>198777.42646496603</v>
      </c>
      <c r="AB199" s="282" t="str">
        <f t="shared" ref="AB199:AB217" si="15">O199</f>
        <v>4Y</v>
      </c>
      <c r="AC199" s="278">
        <f ca="1">IF(ABS(P199-C199)&gt;SnapshotTolerance,1,0)</f>
        <v>0</v>
      </c>
      <c r="AD199" s="278">
        <f ca="1">IF(ABS(Q199-D199)&gt;SnapshotTolerance,1,0)</f>
        <v>0</v>
      </c>
      <c r="AE199" s="278">
        <f ca="1">IF(ABS(R199-E199)&gt;SnapshotTolerance,1,0)</f>
        <v>0</v>
      </c>
      <c r="AF199" s="278">
        <f ca="1">IF(ABS(S199-F199)&gt;SnapshotTolerance,1,0)</f>
        <v>0</v>
      </c>
      <c r="AG199" s="278">
        <f ca="1">IF(ABS(T199-G199)&gt;SnapshotTolerance,1,0)</f>
        <v>0</v>
      </c>
      <c r="AH199" s="278">
        <f ca="1">IF(ABS(U199-H199)&gt;SnapshotTolerance,1,0)</f>
        <v>0</v>
      </c>
      <c r="AI199" s="278">
        <f ca="1">IF(ABS(V199-I199)&gt;SnapshotTolerance,1,0)</f>
        <v>0</v>
      </c>
      <c r="AJ199" s="278">
        <f ca="1">IF(ABS(W199-J199)&gt;SnapshotTolerance,1,0)</f>
        <v>0</v>
      </c>
      <c r="AK199" s="278">
        <f ca="1">IF(ABS(X199-K199)&gt;SnapshotTolerance,1,0)</f>
        <v>0</v>
      </c>
      <c r="AL199" s="278">
        <f ca="1">IF(ABS(Y199-L199)&gt;SnapshotTolerance,1,0)</f>
        <v>0</v>
      </c>
      <c r="AM199" s="279">
        <f ca="1">IF(ABS(Z199-M199)&gt;SnapshotTolerance,1,0)</f>
        <v>0</v>
      </c>
    </row>
    <row r="200" spans="2:39">
      <c r="B200" s="282" t="str">
        <f>'USD Swap PVs'!AG78</f>
        <v>5Y</v>
      </c>
      <c r="C200" s="278">
        <f ca="1">'USD Swap PVs'!AH78</f>
        <v>-246131.73696146879</v>
      </c>
      <c r="D200" s="278">
        <f ca="1">'USD Swap PVs'!AI78</f>
        <v>-196905.38956917508</v>
      </c>
      <c r="E200" s="278">
        <f ca="1">'USD Swap PVs'!AJ78</f>
        <v>-147679.04217688134</v>
      </c>
      <c r="F200" s="278">
        <f ca="1">'USD Swap PVs'!AK78</f>
        <v>-98452.694784587526</v>
      </c>
      <c r="G200" s="278">
        <f ca="1">'USD Swap PVs'!AL78</f>
        <v>-49226.34739229377</v>
      </c>
      <c r="H200" s="278">
        <f ca="1">'USD Swap PVs'!AM78</f>
        <v>0</v>
      </c>
      <c r="I200" s="278">
        <f ca="1">'USD Swap PVs'!AN78</f>
        <v>49226.347392293763</v>
      </c>
      <c r="J200" s="278">
        <f ca="1">'USD Swap PVs'!AO78</f>
        <v>98452.694784587526</v>
      </c>
      <c r="K200" s="278">
        <f ca="1">'USD Swap PVs'!AP78</f>
        <v>147679.04217688128</v>
      </c>
      <c r="L200" s="278">
        <f ca="1">'USD Swap PVs'!AQ78</f>
        <v>196905.38956917502</v>
      </c>
      <c r="M200" s="279">
        <f ca="1">'USD Swap PVs'!AR78</f>
        <v>246131.73696146885</v>
      </c>
      <c r="O200" s="282" t="s">
        <v>33</v>
      </c>
      <c r="P200" s="278">
        <v>-246131.73696146879</v>
      </c>
      <c r="Q200" s="278">
        <v>-196905.38956917508</v>
      </c>
      <c r="R200" s="278">
        <v>-147679.04217688134</v>
      </c>
      <c r="S200" s="278">
        <v>-98452.694784587526</v>
      </c>
      <c r="T200" s="278">
        <v>-49226.34739229377</v>
      </c>
      <c r="U200" s="278">
        <v>0</v>
      </c>
      <c r="V200" s="278">
        <v>49226.347392293763</v>
      </c>
      <c r="W200" s="278">
        <v>98452.694784587526</v>
      </c>
      <c r="X200" s="278">
        <v>147679.04217688128</v>
      </c>
      <c r="Y200" s="278">
        <v>196905.38956917502</v>
      </c>
      <c r="Z200" s="279">
        <v>246131.73696146885</v>
      </c>
      <c r="AB200" s="282" t="str">
        <f t="shared" si="15"/>
        <v>5Y</v>
      </c>
      <c r="AC200" s="278">
        <f ca="1">IF(ABS(P200-C200)&gt;SnapshotTolerance,1,0)</f>
        <v>0</v>
      </c>
      <c r="AD200" s="278">
        <f ca="1">IF(ABS(Q200-D200)&gt;SnapshotTolerance,1,0)</f>
        <v>0</v>
      </c>
      <c r="AE200" s="278">
        <f ca="1">IF(ABS(R200-E200)&gt;SnapshotTolerance,1,0)</f>
        <v>0</v>
      </c>
      <c r="AF200" s="278">
        <f ca="1">IF(ABS(S200-F200)&gt;SnapshotTolerance,1,0)</f>
        <v>0</v>
      </c>
      <c r="AG200" s="278">
        <f ca="1">IF(ABS(T200-G200)&gt;SnapshotTolerance,1,0)</f>
        <v>0</v>
      </c>
      <c r="AH200" s="278">
        <f ca="1">IF(ABS(U200-H200)&gt;SnapshotTolerance,1,0)</f>
        <v>0</v>
      </c>
      <c r="AI200" s="278">
        <f ca="1">IF(ABS(V200-I200)&gt;SnapshotTolerance,1,0)</f>
        <v>0</v>
      </c>
      <c r="AJ200" s="278">
        <f ca="1">IF(ABS(W200-J200)&gt;SnapshotTolerance,1,0)</f>
        <v>0</v>
      </c>
      <c r="AK200" s="278">
        <f ca="1">IF(ABS(X200-K200)&gt;SnapshotTolerance,1,0)</f>
        <v>0</v>
      </c>
      <c r="AL200" s="278">
        <f ca="1">IF(ABS(Y200-L200)&gt;SnapshotTolerance,1,0)</f>
        <v>0</v>
      </c>
      <c r="AM200" s="279">
        <f ca="1">IF(ABS(Z200-M200)&gt;SnapshotTolerance,1,0)</f>
        <v>0</v>
      </c>
    </row>
    <row r="201" spans="2:39">
      <c r="B201" s="282" t="str">
        <f>'USD Swap PVs'!AG79</f>
        <v>6Y</v>
      </c>
      <c r="C201" s="278">
        <f ca="1">'USD Swap PVs'!AH79</f>
        <v>-292058.13024354144</v>
      </c>
      <c r="D201" s="278">
        <f ca="1">'USD Swap PVs'!AI79</f>
        <v>-233646.50419483319</v>
      </c>
      <c r="E201" s="278">
        <f ca="1">'USD Swap PVs'!AJ79</f>
        <v>-175234.87814612489</v>
      </c>
      <c r="F201" s="278">
        <f ca="1">'USD Swap PVs'!AK79</f>
        <v>-116823.25209741658</v>
      </c>
      <c r="G201" s="278">
        <f ca="1">'USD Swap PVs'!AL79</f>
        <v>-58411.626048708298</v>
      </c>
      <c r="H201" s="278">
        <f ca="1">'USD Swap PVs'!AM79</f>
        <v>0</v>
      </c>
      <c r="I201" s="278">
        <f ca="1">'USD Swap PVs'!AN79</f>
        <v>58411.626048708298</v>
      </c>
      <c r="J201" s="278">
        <f ca="1">'USD Swap PVs'!AO79</f>
        <v>116823.2520974166</v>
      </c>
      <c r="K201" s="278">
        <f ca="1">'USD Swap PVs'!AP79</f>
        <v>175234.87814612489</v>
      </c>
      <c r="L201" s="278">
        <f ca="1">'USD Swap PVs'!AQ79</f>
        <v>233646.50419483319</v>
      </c>
      <c r="M201" s="279">
        <f ca="1">'USD Swap PVs'!AR79</f>
        <v>292058.1302435415</v>
      </c>
      <c r="O201" s="282" t="s">
        <v>131</v>
      </c>
      <c r="P201" s="278">
        <v>-292058.13024354144</v>
      </c>
      <c r="Q201" s="278">
        <v>-233646.50419483319</v>
      </c>
      <c r="R201" s="278">
        <v>-175234.87814612489</v>
      </c>
      <c r="S201" s="278">
        <v>-116823.25209741658</v>
      </c>
      <c r="T201" s="278">
        <v>-58411.626048708298</v>
      </c>
      <c r="U201" s="278">
        <v>0</v>
      </c>
      <c r="V201" s="278">
        <v>58411.626048708298</v>
      </c>
      <c r="W201" s="278">
        <v>116823.2520974166</v>
      </c>
      <c r="X201" s="278">
        <v>175234.87814612489</v>
      </c>
      <c r="Y201" s="278">
        <v>233646.50419483319</v>
      </c>
      <c r="Z201" s="279">
        <v>292058.1302435415</v>
      </c>
      <c r="AB201" s="282" t="str">
        <f t="shared" si="15"/>
        <v>6Y</v>
      </c>
      <c r="AC201" s="278">
        <f ca="1">IF(ABS(P201-C201)&gt;SnapshotTolerance,1,0)</f>
        <v>0</v>
      </c>
      <c r="AD201" s="278">
        <f ca="1">IF(ABS(Q201-D201)&gt;SnapshotTolerance,1,0)</f>
        <v>0</v>
      </c>
      <c r="AE201" s="278">
        <f ca="1">IF(ABS(R201-E201)&gt;SnapshotTolerance,1,0)</f>
        <v>0</v>
      </c>
      <c r="AF201" s="278">
        <f ca="1">IF(ABS(S201-F201)&gt;SnapshotTolerance,1,0)</f>
        <v>0</v>
      </c>
      <c r="AG201" s="278">
        <f ca="1">IF(ABS(T201-G201)&gt;SnapshotTolerance,1,0)</f>
        <v>0</v>
      </c>
      <c r="AH201" s="278">
        <f ca="1">IF(ABS(U201-H201)&gt;SnapshotTolerance,1,0)</f>
        <v>0</v>
      </c>
      <c r="AI201" s="278">
        <f ca="1">IF(ABS(V201-I201)&gt;SnapshotTolerance,1,0)</f>
        <v>0</v>
      </c>
      <c r="AJ201" s="278">
        <f ca="1">IF(ABS(W201-J201)&gt;SnapshotTolerance,1,0)</f>
        <v>0</v>
      </c>
      <c r="AK201" s="278">
        <f ca="1">IF(ABS(X201-K201)&gt;SnapshotTolerance,1,0)</f>
        <v>0</v>
      </c>
      <c r="AL201" s="278">
        <f ca="1">IF(ABS(Y201-L201)&gt;SnapshotTolerance,1,0)</f>
        <v>0</v>
      </c>
      <c r="AM201" s="279">
        <f ca="1">IF(ABS(Z201-M201)&gt;SnapshotTolerance,1,0)</f>
        <v>0</v>
      </c>
    </row>
    <row r="202" spans="2:39">
      <c r="B202" s="282" t="str">
        <f>'USD Swap PVs'!AG80</f>
        <v>7Y</v>
      </c>
      <c r="C202" s="278">
        <f ca="1">'USD Swap PVs'!AH80</f>
        <v>-336636.27902883617</v>
      </c>
      <c r="D202" s="278">
        <f ca="1">'USD Swap PVs'!AI80</f>
        <v>-269309.02322306897</v>
      </c>
      <c r="E202" s="278">
        <f ca="1">'USD Swap PVs'!AJ80</f>
        <v>-201981.76741730169</v>
      </c>
      <c r="F202" s="278">
        <f ca="1">'USD Swap PVs'!AK80</f>
        <v>-134654.5116115344</v>
      </c>
      <c r="G202" s="278">
        <f ca="1">'USD Swap PVs'!AL80</f>
        <v>-67327.255805767229</v>
      </c>
      <c r="H202" s="278">
        <f ca="1">'USD Swap PVs'!AM80</f>
        <v>0</v>
      </c>
      <c r="I202" s="278">
        <f ca="1">'USD Swap PVs'!AN80</f>
        <v>67327.255805767258</v>
      </c>
      <c r="J202" s="278">
        <f ca="1">'USD Swap PVs'!AO80</f>
        <v>134654.51161153449</v>
      </c>
      <c r="K202" s="278">
        <f ca="1">'USD Swap PVs'!AP80</f>
        <v>201981.76741730171</v>
      </c>
      <c r="L202" s="278">
        <f ca="1">'USD Swap PVs'!AQ80</f>
        <v>269309.02322306891</v>
      </c>
      <c r="M202" s="279">
        <f ca="1">'USD Swap PVs'!AR80</f>
        <v>336636.27902883617</v>
      </c>
      <c r="O202" s="282" t="s">
        <v>31</v>
      </c>
      <c r="P202" s="278">
        <v>-336636.27902883617</v>
      </c>
      <c r="Q202" s="278">
        <v>-269309.02322306897</v>
      </c>
      <c r="R202" s="278">
        <v>-201981.76741730169</v>
      </c>
      <c r="S202" s="278">
        <v>-134654.5116115344</v>
      </c>
      <c r="T202" s="278">
        <v>-67327.255805767229</v>
      </c>
      <c r="U202" s="278">
        <v>0</v>
      </c>
      <c r="V202" s="278">
        <v>67327.255805767258</v>
      </c>
      <c r="W202" s="278">
        <v>134654.51161153449</v>
      </c>
      <c r="X202" s="278">
        <v>201981.76741730171</v>
      </c>
      <c r="Y202" s="278">
        <v>269309.02322306891</v>
      </c>
      <c r="Z202" s="279">
        <v>336636.27902883617</v>
      </c>
      <c r="AB202" s="282" t="str">
        <f t="shared" si="15"/>
        <v>7Y</v>
      </c>
      <c r="AC202" s="278">
        <f ca="1">IF(ABS(P202-C202)&gt;SnapshotTolerance,1,0)</f>
        <v>0</v>
      </c>
      <c r="AD202" s="278">
        <f ca="1">IF(ABS(Q202-D202)&gt;SnapshotTolerance,1,0)</f>
        <v>0</v>
      </c>
      <c r="AE202" s="278">
        <f ca="1">IF(ABS(R202-E202)&gt;SnapshotTolerance,1,0)</f>
        <v>0</v>
      </c>
      <c r="AF202" s="278">
        <f ca="1">IF(ABS(S202-F202)&gt;SnapshotTolerance,1,0)</f>
        <v>0</v>
      </c>
      <c r="AG202" s="278">
        <f ca="1">IF(ABS(T202-G202)&gt;SnapshotTolerance,1,0)</f>
        <v>0</v>
      </c>
      <c r="AH202" s="278">
        <f ca="1">IF(ABS(U202-H202)&gt;SnapshotTolerance,1,0)</f>
        <v>0</v>
      </c>
      <c r="AI202" s="278">
        <f ca="1">IF(ABS(V202-I202)&gt;SnapshotTolerance,1,0)</f>
        <v>0</v>
      </c>
      <c r="AJ202" s="278">
        <f ca="1">IF(ABS(W202-J202)&gt;SnapshotTolerance,1,0)</f>
        <v>0</v>
      </c>
      <c r="AK202" s="278">
        <f ca="1">IF(ABS(X202-K202)&gt;SnapshotTolerance,1,0)</f>
        <v>0</v>
      </c>
      <c r="AL202" s="278">
        <f ca="1">IF(ABS(Y202-L202)&gt;SnapshotTolerance,1,0)</f>
        <v>0</v>
      </c>
      <c r="AM202" s="279">
        <f ca="1">IF(ABS(Z202-M202)&gt;SnapshotTolerance,1,0)</f>
        <v>0</v>
      </c>
    </row>
    <row r="203" spans="2:39">
      <c r="B203" s="282" t="str">
        <f>'USD Swap PVs'!AG81</f>
        <v>8Y</v>
      </c>
      <c r="C203" s="278">
        <f ca="1">'USD Swap PVs'!AH81</f>
        <v>-380086.43747963925</v>
      </c>
      <c r="D203" s="278">
        <f ca="1">'USD Swap PVs'!AI81</f>
        <v>-304069.14998371142</v>
      </c>
      <c r="E203" s="278">
        <f ca="1">'USD Swap PVs'!AJ81</f>
        <v>-228051.86248778354</v>
      </c>
      <c r="F203" s="278">
        <f ca="1">'USD Swap PVs'!AK81</f>
        <v>-152034.57499185568</v>
      </c>
      <c r="G203" s="278">
        <f ca="1">'USD Swap PVs'!AL81</f>
        <v>-76017.287495927842</v>
      </c>
      <c r="H203" s="278">
        <f ca="1">'USD Swap PVs'!AM81</f>
        <v>0</v>
      </c>
      <c r="I203" s="278">
        <f ca="1">'USD Swap PVs'!AN81</f>
        <v>76017.287495927885</v>
      </c>
      <c r="J203" s="278">
        <f ca="1">'USD Swap PVs'!AO81</f>
        <v>152034.57499185574</v>
      </c>
      <c r="K203" s="278">
        <f ca="1">'USD Swap PVs'!AP81</f>
        <v>228051.8624877836</v>
      </c>
      <c r="L203" s="278">
        <f ca="1">'USD Swap PVs'!AQ81</f>
        <v>304069.14998371142</v>
      </c>
      <c r="M203" s="279">
        <f ca="1">'USD Swap PVs'!AR81</f>
        <v>380086.43747963931</v>
      </c>
      <c r="O203" s="282" t="s">
        <v>119</v>
      </c>
      <c r="P203" s="278">
        <v>-380086.43747963925</v>
      </c>
      <c r="Q203" s="278">
        <v>-304069.14998371142</v>
      </c>
      <c r="R203" s="278">
        <v>-228051.86248778354</v>
      </c>
      <c r="S203" s="278">
        <v>-152034.57499185568</v>
      </c>
      <c r="T203" s="278">
        <v>-76017.287495927842</v>
      </c>
      <c r="U203" s="278">
        <v>0</v>
      </c>
      <c r="V203" s="278">
        <v>76017.287495927885</v>
      </c>
      <c r="W203" s="278">
        <v>152034.57499185574</v>
      </c>
      <c r="X203" s="278">
        <v>228051.8624877836</v>
      </c>
      <c r="Y203" s="278">
        <v>304069.14998371142</v>
      </c>
      <c r="Z203" s="279">
        <v>380086.43747963931</v>
      </c>
      <c r="AB203" s="282" t="str">
        <f t="shared" si="15"/>
        <v>8Y</v>
      </c>
      <c r="AC203" s="278">
        <f ca="1">IF(ABS(P203-C203)&gt;SnapshotTolerance,1,0)</f>
        <v>0</v>
      </c>
      <c r="AD203" s="278">
        <f ca="1">IF(ABS(Q203-D203)&gt;SnapshotTolerance,1,0)</f>
        <v>0</v>
      </c>
      <c r="AE203" s="278">
        <f ca="1">IF(ABS(R203-E203)&gt;SnapshotTolerance,1,0)</f>
        <v>0</v>
      </c>
      <c r="AF203" s="278">
        <f ca="1">IF(ABS(S203-F203)&gt;SnapshotTolerance,1,0)</f>
        <v>0</v>
      </c>
      <c r="AG203" s="278">
        <f ca="1">IF(ABS(T203-G203)&gt;SnapshotTolerance,1,0)</f>
        <v>0</v>
      </c>
      <c r="AH203" s="278">
        <f ca="1">IF(ABS(U203-H203)&gt;SnapshotTolerance,1,0)</f>
        <v>0</v>
      </c>
      <c r="AI203" s="278">
        <f ca="1">IF(ABS(V203-I203)&gt;SnapshotTolerance,1,0)</f>
        <v>0</v>
      </c>
      <c r="AJ203" s="278">
        <f ca="1">IF(ABS(W203-J203)&gt;SnapshotTolerance,1,0)</f>
        <v>0</v>
      </c>
      <c r="AK203" s="278">
        <f ca="1">IF(ABS(X203-K203)&gt;SnapshotTolerance,1,0)</f>
        <v>0</v>
      </c>
      <c r="AL203" s="278">
        <f ca="1">IF(ABS(Y203-L203)&gt;SnapshotTolerance,1,0)</f>
        <v>0</v>
      </c>
      <c r="AM203" s="279">
        <f ca="1">IF(ABS(Z203-M203)&gt;SnapshotTolerance,1,0)</f>
        <v>0</v>
      </c>
    </row>
    <row r="204" spans="2:39">
      <c r="B204" s="282" t="str">
        <f>'USD Swap PVs'!AG82</f>
        <v>9Y</v>
      </c>
      <c r="C204" s="278">
        <f ca="1">'USD Swap PVs'!AH82</f>
        <v>-421837.7950781791</v>
      </c>
      <c r="D204" s="278">
        <f ca="1">'USD Swap PVs'!AI82</f>
        <v>-337470.23606254335</v>
      </c>
      <c r="E204" s="278">
        <f ca="1">'USD Swap PVs'!AJ82</f>
        <v>-253102.67704690748</v>
      </c>
      <c r="F204" s="278">
        <f ca="1">'USD Swap PVs'!AK82</f>
        <v>-168735.11803127159</v>
      </c>
      <c r="G204" s="278">
        <f ca="1">'USD Swap PVs'!AL82</f>
        <v>-84367.559015635838</v>
      </c>
      <c r="H204" s="278">
        <f ca="1">'USD Swap PVs'!AM82</f>
        <v>0</v>
      </c>
      <c r="I204" s="278">
        <f ca="1">'USD Swap PVs'!AN82</f>
        <v>84367.559015635896</v>
      </c>
      <c r="J204" s="278">
        <f ca="1">'USD Swap PVs'!AO82</f>
        <v>168735.11803127173</v>
      </c>
      <c r="K204" s="278">
        <f ca="1">'USD Swap PVs'!AP82</f>
        <v>253102.6770469076</v>
      </c>
      <c r="L204" s="278">
        <f ca="1">'USD Swap PVs'!AQ82</f>
        <v>337470.23606254341</v>
      </c>
      <c r="M204" s="279">
        <f ca="1">'USD Swap PVs'!AR82</f>
        <v>421837.79507817933</v>
      </c>
      <c r="O204" s="282" t="s">
        <v>113</v>
      </c>
      <c r="P204" s="278">
        <v>-421837.7950781791</v>
      </c>
      <c r="Q204" s="278">
        <v>-337470.23606254335</v>
      </c>
      <c r="R204" s="278">
        <v>-253102.67704690748</v>
      </c>
      <c r="S204" s="278">
        <v>-168735.11803127159</v>
      </c>
      <c r="T204" s="278">
        <v>-84367.559015635838</v>
      </c>
      <c r="U204" s="278">
        <v>0</v>
      </c>
      <c r="V204" s="278">
        <v>84367.559015635896</v>
      </c>
      <c r="W204" s="278">
        <v>168735.11803127173</v>
      </c>
      <c r="X204" s="278">
        <v>253102.6770469076</v>
      </c>
      <c r="Y204" s="278">
        <v>337470.23606254341</v>
      </c>
      <c r="Z204" s="279">
        <v>421837.79507817933</v>
      </c>
      <c r="AB204" s="282" t="str">
        <f t="shared" si="15"/>
        <v>9Y</v>
      </c>
      <c r="AC204" s="278">
        <f ca="1">IF(ABS(P204-C204)&gt;SnapshotTolerance,1,0)</f>
        <v>0</v>
      </c>
      <c r="AD204" s="278">
        <f ca="1">IF(ABS(Q204-D204)&gt;SnapshotTolerance,1,0)</f>
        <v>0</v>
      </c>
      <c r="AE204" s="278">
        <f ca="1">IF(ABS(R204-E204)&gt;SnapshotTolerance,1,0)</f>
        <v>0</v>
      </c>
      <c r="AF204" s="278">
        <f ca="1">IF(ABS(S204-F204)&gt;SnapshotTolerance,1,0)</f>
        <v>0</v>
      </c>
      <c r="AG204" s="278">
        <f ca="1">IF(ABS(T204-G204)&gt;SnapshotTolerance,1,0)</f>
        <v>0</v>
      </c>
      <c r="AH204" s="278">
        <f ca="1">IF(ABS(U204-H204)&gt;SnapshotTolerance,1,0)</f>
        <v>0</v>
      </c>
      <c r="AI204" s="278">
        <f ca="1">IF(ABS(V204-I204)&gt;SnapshotTolerance,1,0)</f>
        <v>0</v>
      </c>
      <c r="AJ204" s="278">
        <f ca="1">IF(ABS(W204-J204)&gt;SnapshotTolerance,1,0)</f>
        <v>0</v>
      </c>
      <c r="AK204" s="278">
        <f ca="1">IF(ABS(X204-K204)&gt;SnapshotTolerance,1,0)</f>
        <v>0</v>
      </c>
      <c r="AL204" s="278">
        <f ca="1">IF(ABS(Y204-L204)&gt;SnapshotTolerance,1,0)</f>
        <v>0</v>
      </c>
      <c r="AM204" s="279">
        <f ca="1">IF(ABS(Z204-M204)&gt;SnapshotTolerance,1,0)</f>
        <v>0</v>
      </c>
    </row>
    <row r="205" spans="2:39">
      <c r="B205" s="282" t="str">
        <f>'USD Swap PVs'!AG83</f>
        <v>10Y</v>
      </c>
      <c r="C205" s="278">
        <f ca="1">'USD Swap PVs'!AH83</f>
        <v>-462388.14162659715</v>
      </c>
      <c r="D205" s="278">
        <f ca="1">'USD Swap PVs'!AI83</f>
        <v>-369910.51330127788</v>
      </c>
      <c r="E205" s="278">
        <f ca="1">'USD Swap PVs'!AJ83</f>
        <v>-277432.88497595832</v>
      </c>
      <c r="F205" s="278">
        <f ca="1">'USD Swap PVs'!AK83</f>
        <v>-184955.25665063885</v>
      </c>
      <c r="G205" s="278">
        <f ca="1">'USD Swap PVs'!AL83</f>
        <v>-92477.628325319383</v>
      </c>
      <c r="H205" s="278">
        <f ca="1">'USD Swap PVs'!AM83</f>
        <v>2.7755575615628914E-11</v>
      </c>
      <c r="I205" s="278">
        <f ca="1">'USD Swap PVs'!AN83</f>
        <v>92477.628325319558</v>
      </c>
      <c r="J205" s="278">
        <f ca="1">'USD Swap PVs'!AO83</f>
        <v>184955.25665063903</v>
      </c>
      <c r="K205" s="278">
        <f ca="1">'USD Swap PVs'!AP83</f>
        <v>277432.8849759585</v>
      </c>
      <c r="L205" s="278">
        <f ca="1">'USD Swap PVs'!AQ83</f>
        <v>369910.51330127788</v>
      </c>
      <c r="M205" s="279">
        <f ca="1">'USD Swap PVs'!AR83</f>
        <v>462388.1416265975</v>
      </c>
      <c r="O205" s="282" t="s">
        <v>28</v>
      </c>
      <c r="P205" s="278">
        <v>-462388.14162659715</v>
      </c>
      <c r="Q205" s="278">
        <v>-369910.51330127788</v>
      </c>
      <c r="R205" s="278">
        <v>-277432.88497595832</v>
      </c>
      <c r="S205" s="278">
        <v>-184955.25665063885</v>
      </c>
      <c r="T205" s="278">
        <v>-92477.628325319383</v>
      </c>
      <c r="U205" s="278">
        <v>2.7755575615628914E-11</v>
      </c>
      <c r="V205" s="278">
        <v>92477.628325319558</v>
      </c>
      <c r="W205" s="278">
        <v>184955.25665063903</v>
      </c>
      <c r="X205" s="278">
        <v>277432.8849759585</v>
      </c>
      <c r="Y205" s="278">
        <v>369910.51330127788</v>
      </c>
      <c r="Z205" s="279">
        <v>462388.1416265975</v>
      </c>
      <c r="AB205" s="282" t="str">
        <f t="shared" si="15"/>
        <v>10Y</v>
      </c>
      <c r="AC205" s="278">
        <f ca="1">IF(ABS(P205-C205)&gt;SnapshotTolerance,1,0)</f>
        <v>0</v>
      </c>
      <c r="AD205" s="278">
        <f ca="1">IF(ABS(Q205-D205)&gt;SnapshotTolerance,1,0)</f>
        <v>0</v>
      </c>
      <c r="AE205" s="278">
        <f ca="1">IF(ABS(R205-E205)&gt;SnapshotTolerance,1,0)</f>
        <v>0</v>
      </c>
      <c r="AF205" s="278">
        <f ca="1">IF(ABS(S205-F205)&gt;SnapshotTolerance,1,0)</f>
        <v>0</v>
      </c>
      <c r="AG205" s="278">
        <f ca="1">IF(ABS(T205-G205)&gt;SnapshotTolerance,1,0)</f>
        <v>0</v>
      </c>
      <c r="AH205" s="278">
        <f ca="1">IF(ABS(U205-H205)&gt;SnapshotTolerance,1,0)</f>
        <v>0</v>
      </c>
      <c r="AI205" s="278">
        <f ca="1">IF(ABS(V205-I205)&gt;SnapshotTolerance,1,0)</f>
        <v>0</v>
      </c>
      <c r="AJ205" s="278">
        <f ca="1">IF(ABS(W205-J205)&gt;SnapshotTolerance,1,0)</f>
        <v>0</v>
      </c>
      <c r="AK205" s="278">
        <f ca="1">IF(ABS(X205-K205)&gt;SnapshotTolerance,1,0)</f>
        <v>0</v>
      </c>
      <c r="AL205" s="278">
        <f ca="1">IF(ABS(Y205-L205)&gt;SnapshotTolerance,1,0)</f>
        <v>0</v>
      </c>
      <c r="AM205" s="279">
        <f ca="1">IF(ABS(Z205-M205)&gt;SnapshotTolerance,1,0)</f>
        <v>0</v>
      </c>
    </row>
    <row r="206" spans="2:39">
      <c r="B206" s="282" t="str">
        <f>'USD Swap PVs'!AG84</f>
        <v>11Y</v>
      </c>
      <c r="C206" s="278">
        <f ca="1">'USD Swap PVs'!AH84</f>
        <v>-501653.5734094315</v>
      </c>
      <c r="D206" s="278">
        <f ca="1">'USD Swap PVs'!AI84</f>
        <v>-401322.85872754548</v>
      </c>
      <c r="E206" s="278">
        <f ca="1">'USD Swap PVs'!AJ84</f>
        <v>-300992.14404565899</v>
      </c>
      <c r="F206" s="278">
        <f ca="1">'USD Swap PVs'!AK84</f>
        <v>-200661.42936377268</v>
      </c>
      <c r="G206" s="278">
        <f ca="1">'USD Swap PVs'!AL84</f>
        <v>-100330.71468188631</v>
      </c>
      <c r="H206" s="278">
        <f ca="1">'USD Swap PVs'!AM84</f>
        <v>0</v>
      </c>
      <c r="I206" s="278">
        <f ca="1">'USD Swap PVs'!AN84</f>
        <v>100330.71468188643</v>
      </c>
      <c r="J206" s="278">
        <f ca="1">'USD Swap PVs'!AO84</f>
        <v>200661.4293637728</v>
      </c>
      <c r="K206" s="278">
        <f ca="1">'USD Swap PVs'!AP84</f>
        <v>300992.14404565917</v>
      </c>
      <c r="L206" s="278">
        <f ca="1">'USD Swap PVs'!AQ84</f>
        <v>401322.85872754548</v>
      </c>
      <c r="M206" s="279">
        <f ca="1">'USD Swap PVs'!AR84</f>
        <v>501653.57340943185</v>
      </c>
      <c r="O206" s="282" t="s">
        <v>366</v>
      </c>
      <c r="P206" s="278">
        <v>-501653.5734094315</v>
      </c>
      <c r="Q206" s="278">
        <v>-401322.85872754548</v>
      </c>
      <c r="R206" s="278">
        <v>-300992.14404565899</v>
      </c>
      <c r="S206" s="278">
        <v>-200661.42936377268</v>
      </c>
      <c r="T206" s="278">
        <v>-100330.71468188631</v>
      </c>
      <c r="U206" s="278">
        <v>0</v>
      </c>
      <c r="V206" s="278">
        <v>100330.71468188643</v>
      </c>
      <c r="W206" s="278">
        <v>200661.4293637728</v>
      </c>
      <c r="X206" s="278">
        <v>300992.14404565917</v>
      </c>
      <c r="Y206" s="278">
        <v>401322.85872754548</v>
      </c>
      <c r="Z206" s="279">
        <v>501653.57340943185</v>
      </c>
      <c r="AB206" s="282" t="str">
        <f t="shared" si="15"/>
        <v>11Y</v>
      </c>
      <c r="AC206" s="278">
        <f ca="1">IF(ABS(P206-C206)&gt;SnapshotTolerance,1,0)</f>
        <v>0</v>
      </c>
      <c r="AD206" s="278">
        <f ca="1">IF(ABS(Q206-D206)&gt;SnapshotTolerance,1,0)</f>
        <v>0</v>
      </c>
      <c r="AE206" s="278">
        <f ca="1">IF(ABS(R206-E206)&gt;SnapshotTolerance,1,0)</f>
        <v>0</v>
      </c>
      <c r="AF206" s="278">
        <f ca="1">IF(ABS(S206-F206)&gt;SnapshotTolerance,1,0)</f>
        <v>0</v>
      </c>
      <c r="AG206" s="278">
        <f ca="1">IF(ABS(T206-G206)&gt;SnapshotTolerance,1,0)</f>
        <v>0</v>
      </c>
      <c r="AH206" s="278">
        <f ca="1">IF(ABS(U206-H206)&gt;SnapshotTolerance,1,0)</f>
        <v>0</v>
      </c>
      <c r="AI206" s="278">
        <f ca="1">IF(ABS(V206-I206)&gt;SnapshotTolerance,1,0)</f>
        <v>0</v>
      </c>
      <c r="AJ206" s="278">
        <f ca="1">IF(ABS(W206-J206)&gt;SnapshotTolerance,1,0)</f>
        <v>0</v>
      </c>
      <c r="AK206" s="278">
        <f ca="1">IF(ABS(X206-K206)&gt;SnapshotTolerance,1,0)</f>
        <v>0</v>
      </c>
      <c r="AL206" s="278">
        <f ca="1">IF(ABS(Y206-L206)&gt;SnapshotTolerance,1,0)</f>
        <v>0</v>
      </c>
      <c r="AM206" s="279">
        <f ca="1">IF(ABS(Z206-M206)&gt;SnapshotTolerance,1,0)</f>
        <v>0</v>
      </c>
    </row>
    <row r="207" spans="2:39">
      <c r="B207" s="282" t="str">
        <f>'USD Swap PVs'!AG85</f>
        <v>12Y</v>
      </c>
      <c r="C207" s="278">
        <f ca="1">'USD Swap PVs'!AH85</f>
        <v>-539672.51174194447</v>
      </c>
      <c r="D207" s="278">
        <f ca="1">'USD Swap PVs'!AI85</f>
        <v>-431738.00939355581</v>
      </c>
      <c r="E207" s="278">
        <f ca="1">'USD Swap PVs'!AJ85</f>
        <v>-323803.50704516686</v>
      </c>
      <c r="F207" s="278">
        <f ca="1">'USD Swap PVs'!AK85</f>
        <v>-215869.00469677785</v>
      </c>
      <c r="G207" s="278">
        <f ca="1">'USD Swap PVs'!AL85</f>
        <v>-107934.50234838887</v>
      </c>
      <c r="H207" s="278">
        <f ca="1">'USD Swap PVs'!AM85</f>
        <v>0</v>
      </c>
      <c r="I207" s="278">
        <f ca="1">'USD Swap PVs'!AN85</f>
        <v>107934.50234838911</v>
      </c>
      <c r="J207" s="278">
        <f ca="1">'USD Swap PVs'!AO85</f>
        <v>215869.00469677811</v>
      </c>
      <c r="K207" s="278">
        <f ca="1">'USD Swap PVs'!AP85</f>
        <v>323803.50704516709</v>
      </c>
      <c r="L207" s="278">
        <f ca="1">'USD Swap PVs'!AQ85</f>
        <v>431738.00939355599</v>
      </c>
      <c r="M207" s="279">
        <f ca="1">'USD Swap PVs'!AR85</f>
        <v>539672.51174194494</v>
      </c>
      <c r="O207" s="282" t="s">
        <v>26</v>
      </c>
      <c r="P207" s="278">
        <v>-539672.51174194447</v>
      </c>
      <c r="Q207" s="278">
        <v>-431738.00939355581</v>
      </c>
      <c r="R207" s="278">
        <v>-323803.50704516686</v>
      </c>
      <c r="S207" s="278">
        <v>-215869.00469677785</v>
      </c>
      <c r="T207" s="278">
        <v>-107934.50234838887</v>
      </c>
      <c r="U207" s="278">
        <v>0</v>
      </c>
      <c r="V207" s="278">
        <v>107934.50234838911</v>
      </c>
      <c r="W207" s="278">
        <v>215869.00469677811</v>
      </c>
      <c r="X207" s="278">
        <v>323803.50704516709</v>
      </c>
      <c r="Y207" s="278">
        <v>431738.00939355599</v>
      </c>
      <c r="Z207" s="279">
        <v>539672.51174194494</v>
      </c>
      <c r="AB207" s="282" t="str">
        <f t="shared" si="15"/>
        <v>12Y</v>
      </c>
      <c r="AC207" s="278">
        <f ca="1">IF(ABS(P207-C207)&gt;SnapshotTolerance,1,0)</f>
        <v>0</v>
      </c>
      <c r="AD207" s="278">
        <f ca="1">IF(ABS(Q207-D207)&gt;SnapshotTolerance,1,0)</f>
        <v>0</v>
      </c>
      <c r="AE207" s="278">
        <f ca="1">IF(ABS(R207-E207)&gt;SnapshotTolerance,1,0)</f>
        <v>0</v>
      </c>
      <c r="AF207" s="278">
        <f ca="1">IF(ABS(S207-F207)&gt;SnapshotTolerance,1,0)</f>
        <v>0</v>
      </c>
      <c r="AG207" s="278">
        <f ca="1">IF(ABS(T207-G207)&gt;SnapshotTolerance,1,0)</f>
        <v>0</v>
      </c>
      <c r="AH207" s="278">
        <f ca="1">IF(ABS(U207-H207)&gt;SnapshotTolerance,1,0)</f>
        <v>0</v>
      </c>
      <c r="AI207" s="278">
        <f ca="1">IF(ABS(V207-I207)&gt;SnapshotTolerance,1,0)</f>
        <v>0</v>
      </c>
      <c r="AJ207" s="278">
        <f ca="1">IF(ABS(W207-J207)&gt;SnapshotTolerance,1,0)</f>
        <v>0</v>
      </c>
      <c r="AK207" s="278">
        <f ca="1">IF(ABS(X207-K207)&gt;SnapshotTolerance,1,0)</f>
        <v>0</v>
      </c>
      <c r="AL207" s="278">
        <f ca="1">IF(ABS(Y207-L207)&gt;SnapshotTolerance,1,0)</f>
        <v>0</v>
      </c>
      <c r="AM207" s="279">
        <f ca="1">IF(ABS(Z207-M207)&gt;SnapshotTolerance,1,0)</f>
        <v>0</v>
      </c>
    </row>
    <row r="208" spans="2:39">
      <c r="B208" s="282" t="str">
        <f>'USD Swap PVs'!AG86</f>
        <v>15Y</v>
      </c>
      <c r="C208" s="278">
        <f ca="1">'USD Swap PVs'!AH86</f>
        <v>-646763.03135862458</v>
      </c>
      <c r="D208" s="278">
        <f ca="1">'USD Swap PVs'!AI86</f>
        <v>-517410.42508690007</v>
      </c>
      <c r="E208" s="278">
        <f ca="1">'USD Swap PVs'!AJ86</f>
        <v>-388057.81881517492</v>
      </c>
      <c r="F208" s="278">
        <f ca="1">'USD Swap PVs'!AK86</f>
        <v>-258705.21254345009</v>
      </c>
      <c r="G208" s="278">
        <f ca="1">'USD Swap PVs'!AL86</f>
        <v>-129352.60627172496</v>
      </c>
      <c r="H208" s="278">
        <f ca="1">'USD Swap PVs'!AM86</f>
        <v>0</v>
      </c>
      <c r="I208" s="278">
        <f ca="1">'USD Swap PVs'!AN86</f>
        <v>129352.60627172515</v>
      </c>
      <c r="J208" s="278">
        <f ca="1">'USD Swap PVs'!AO86</f>
        <v>258705.21254345018</v>
      </c>
      <c r="K208" s="278">
        <f ca="1">'USD Swap PVs'!AP86</f>
        <v>388057.81881517521</v>
      </c>
      <c r="L208" s="278">
        <f ca="1">'USD Swap PVs'!AQ86</f>
        <v>517410.42508690018</v>
      </c>
      <c r="M208" s="279">
        <f ca="1">'USD Swap PVs'!AR86</f>
        <v>646763.03135862527</v>
      </c>
      <c r="O208" s="282" t="s">
        <v>24</v>
      </c>
      <c r="P208" s="278">
        <v>-646763.03135862458</v>
      </c>
      <c r="Q208" s="278">
        <v>-517410.42508690007</v>
      </c>
      <c r="R208" s="278">
        <v>-388057.81881517492</v>
      </c>
      <c r="S208" s="278">
        <v>-258705.21254345009</v>
      </c>
      <c r="T208" s="278">
        <v>-129352.60627172496</v>
      </c>
      <c r="U208" s="278">
        <v>0</v>
      </c>
      <c r="V208" s="278">
        <v>129352.60627172515</v>
      </c>
      <c r="W208" s="278">
        <v>258705.21254345018</v>
      </c>
      <c r="X208" s="278">
        <v>388057.81881517521</v>
      </c>
      <c r="Y208" s="278">
        <v>517410.42508690018</v>
      </c>
      <c r="Z208" s="279">
        <v>646763.03135862527</v>
      </c>
      <c r="AB208" s="282" t="str">
        <f t="shared" si="15"/>
        <v>15Y</v>
      </c>
      <c r="AC208" s="278">
        <f ca="1">IF(ABS(P208-C208)&gt;SnapshotTolerance,1,0)</f>
        <v>0</v>
      </c>
      <c r="AD208" s="278">
        <f ca="1">IF(ABS(Q208-D208)&gt;SnapshotTolerance,1,0)</f>
        <v>0</v>
      </c>
      <c r="AE208" s="278">
        <f ca="1">IF(ABS(R208-E208)&gt;SnapshotTolerance,1,0)</f>
        <v>0</v>
      </c>
      <c r="AF208" s="278">
        <f ca="1">IF(ABS(S208-F208)&gt;SnapshotTolerance,1,0)</f>
        <v>0</v>
      </c>
      <c r="AG208" s="278">
        <f ca="1">IF(ABS(T208-G208)&gt;SnapshotTolerance,1,0)</f>
        <v>0</v>
      </c>
      <c r="AH208" s="278">
        <f ca="1">IF(ABS(U208-H208)&gt;SnapshotTolerance,1,0)</f>
        <v>0</v>
      </c>
      <c r="AI208" s="278">
        <f ca="1">IF(ABS(V208-I208)&gt;SnapshotTolerance,1,0)</f>
        <v>0</v>
      </c>
      <c r="AJ208" s="278">
        <f ca="1">IF(ABS(W208-J208)&gt;SnapshotTolerance,1,0)</f>
        <v>0</v>
      </c>
      <c r="AK208" s="278">
        <f ca="1">IF(ABS(X208-K208)&gt;SnapshotTolerance,1,0)</f>
        <v>0</v>
      </c>
      <c r="AL208" s="278">
        <f ca="1">IF(ABS(Y208-L208)&gt;SnapshotTolerance,1,0)</f>
        <v>0</v>
      </c>
      <c r="AM208" s="279">
        <f ca="1">IF(ABS(Z208-M208)&gt;SnapshotTolerance,1,0)</f>
        <v>0</v>
      </c>
    </row>
    <row r="209" spans="2:39">
      <c r="B209" s="282" t="str">
        <f>'USD Swap PVs'!AG87</f>
        <v>20Y</v>
      </c>
      <c r="C209" s="278">
        <f ca="1">'USD Swap PVs'!AH87</f>
        <v>-804037.6572551477</v>
      </c>
      <c r="D209" s="278">
        <f ca="1">'USD Swap PVs'!AI87</f>
        <v>-643230.1258041187</v>
      </c>
      <c r="E209" s="278">
        <f ca="1">'USD Swap PVs'!AJ87</f>
        <v>-482422.59435308882</v>
      </c>
      <c r="F209" s="278">
        <f ca="1">'USD Swap PVs'!AK87</f>
        <v>-321615.06290205917</v>
      </c>
      <c r="G209" s="278">
        <f ca="1">'USD Swap PVs'!AL87</f>
        <v>-160807.53145102982</v>
      </c>
      <c r="H209" s="278">
        <f ca="1">'USD Swap PVs'!AM87</f>
        <v>0</v>
      </c>
      <c r="I209" s="278">
        <f ca="1">'USD Swap PVs'!AN87</f>
        <v>160807.53145102988</v>
      </c>
      <c r="J209" s="278">
        <f ca="1">'USD Swap PVs'!AO87</f>
        <v>321615.06290205941</v>
      </c>
      <c r="K209" s="278">
        <f ca="1">'USD Swap PVs'!AP87</f>
        <v>482422.59435308917</v>
      </c>
      <c r="L209" s="278">
        <f ca="1">'USD Swap PVs'!AQ87</f>
        <v>643230.1258041187</v>
      </c>
      <c r="M209" s="279">
        <f ca="1">'USD Swap PVs'!AR87</f>
        <v>804037.6572551484</v>
      </c>
      <c r="O209" s="282" t="s">
        <v>20</v>
      </c>
      <c r="P209" s="278">
        <v>-804037.6572551477</v>
      </c>
      <c r="Q209" s="278">
        <v>-643230.1258041187</v>
      </c>
      <c r="R209" s="278">
        <v>-482422.59435308882</v>
      </c>
      <c r="S209" s="278">
        <v>-321615.06290205917</v>
      </c>
      <c r="T209" s="278">
        <v>-160807.53145102982</v>
      </c>
      <c r="U209" s="278">
        <v>0</v>
      </c>
      <c r="V209" s="278">
        <v>160807.53145102988</v>
      </c>
      <c r="W209" s="278">
        <v>321615.06290205941</v>
      </c>
      <c r="X209" s="278">
        <v>482422.59435308917</v>
      </c>
      <c r="Y209" s="278">
        <v>643230.1258041187</v>
      </c>
      <c r="Z209" s="279">
        <v>804037.6572551484</v>
      </c>
      <c r="AB209" s="282" t="str">
        <f t="shared" si="15"/>
        <v>20Y</v>
      </c>
      <c r="AC209" s="278">
        <f ca="1">IF(ABS(P209-C209)&gt;SnapshotTolerance,1,0)</f>
        <v>0</v>
      </c>
      <c r="AD209" s="278">
        <f ca="1">IF(ABS(Q209-D209)&gt;SnapshotTolerance,1,0)</f>
        <v>0</v>
      </c>
      <c r="AE209" s="278">
        <f ca="1">IF(ABS(R209-E209)&gt;SnapshotTolerance,1,0)</f>
        <v>0</v>
      </c>
      <c r="AF209" s="278">
        <f ca="1">IF(ABS(S209-F209)&gt;SnapshotTolerance,1,0)</f>
        <v>0</v>
      </c>
      <c r="AG209" s="278">
        <f ca="1">IF(ABS(T209-G209)&gt;SnapshotTolerance,1,0)</f>
        <v>0</v>
      </c>
      <c r="AH209" s="278">
        <f ca="1">IF(ABS(U209-H209)&gt;SnapshotTolerance,1,0)</f>
        <v>0</v>
      </c>
      <c r="AI209" s="278">
        <f ca="1">IF(ABS(V209-I209)&gt;SnapshotTolerance,1,0)</f>
        <v>0</v>
      </c>
      <c r="AJ209" s="278">
        <f ca="1">IF(ABS(W209-J209)&gt;SnapshotTolerance,1,0)</f>
        <v>0</v>
      </c>
      <c r="AK209" s="278">
        <f ca="1">IF(ABS(X209-K209)&gt;SnapshotTolerance,1,0)</f>
        <v>0</v>
      </c>
      <c r="AL209" s="278">
        <f ca="1">IF(ABS(Y209-L209)&gt;SnapshotTolerance,1,0)</f>
        <v>0</v>
      </c>
      <c r="AM209" s="279">
        <f ca="1">IF(ABS(Z209-M209)&gt;SnapshotTolerance,1,0)</f>
        <v>0</v>
      </c>
    </row>
    <row r="210" spans="2:39">
      <c r="B210" s="282" t="str">
        <f>'USD Swap PVs'!AG88</f>
        <v>25Y</v>
      </c>
      <c r="C210" s="278">
        <f ca="1">'USD Swap PVs'!AH88</f>
        <v>-938667.9200363959</v>
      </c>
      <c r="D210" s="278">
        <f ca="1">'USD Swap PVs'!AI88</f>
        <v>-750934.3360291163</v>
      </c>
      <c r="E210" s="278">
        <f ca="1">'USD Swap PVs'!AJ88</f>
        <v>-563200.75202183786</v>
      </c>
      <c r="F210" s="278">
        <f ca="1">'USD Swap PVs'!AK88</f>
        <v>-375467.1680145585</v>
      </c>
      <c r="G210" s="278">
        <f ca="1">'USD Swap PVs'!AL88</f>
        <v>-187733.5840072798</v>
      </c>
      <c r="H210" s="278">
        <f ca="1">'USD Swap PVs'!AM88</f>
        <v>0</v>
      </c>
      <c r="I210" s="278">
        <f ca="1">'USD Swap PVs'!AN88</f>
        <v>187733.58400727931</v>
      </c>
      <c r="J210" s="278">
        <f ca="1">'USD Swap PVs'!AO88</f>
        <v>375467.16801455821</v>
      </c>
      <c r="K210" s="278">
        <f ca="1">'USD Swap PVs'!AP88</f>
        <v>563200.7520218374</v>
      </c>
      <c r="L210" s="278">
        <f ca="1">'USD Swap PVs'!AQ88</f>
        <v>750934.33602911641</v>
      </c>
      <c r="M210" s="279">
        <f ca="1">'USD Swap PVs'!AR88</f>
        <v>938667.92003639566</v>
      </c>
      <c r="O210" s="282" t="s">
        <v>18</v>
      </c>
      <c r="P210" s="278">
        <v>-938667.9200363959</v>
      </c>
      <c r="Q210" s="278">
        <v>-750934.3360291163</v>
      </c>
      <c r="R210" s="278">
        <v>-563200.75202183786</v>
      </c>
      <c r="S210" s="278">
        <v>-375467.1680145585</v>
      </c>
      <c r="T210" s="278">
        <v>-187733.5840072798</v>
      </c>
      <c r="U210" s="278">
        <v>0</v>
      </c>
      <c r="V210" s="278">
        <v>187733.58400727931</v>
      </c>
      <c r="W210" s="278">
        <v>375467.16801455821</v>
      </c>
      <c r="X210" s="278">
        <v>563200.7520218374</v>
      </c>
      <c r="Y210" s="278">
        <v>750934.33602911641</v>
      </c>
      <c r="Z210" s="279">
        <v>938667.92003639566</v>
      </c>
      <c r="AB210" s="282" t="str">
        <f t="shared" si="15"/>
        <v>25Y</v>
      </c>
      <c r="AC210" s="278">
        <f ca="1">IF(ABS(P210-C210)&gt;SnapshotTolerance,1,0)</f>
        <v>0</v>
      </c>
      <c r="AD210" s="278">
        <f ca="1">IF(ABS(Q210-D210)&gt;SnapshotTolerance,1,0)</f>
        <v>0</v>
      </c>
      <c r="AE210" s="278">
        <f ca="1">IF(ABS(R210-E210)&gt;SnapshotTolerance,1,0)</f>
        <v>0</v>
      </c>
      <c r="AF210" s="278">
        <f ca="1">IF(ABS(S210-F210)&gt;SnapshotTolerance,1,0)</f>
        <v>0</v>
      </c>
      <c r="AG210" s="278">
        <f ca="1">IF(ABS(T210-G210)&gt;SnapshotTolerance,1,0)</f>
        <v>0</v>
      </c>
      <c r="AH210" s="278">
        <f ca="1">IF(ABS(U210-H210)&gt;SnapshotTolerance,1,0)</f>
        <v>0</v>
      </c>
      <c r="AI210" s="278">
        <f ca="1">IF(ABS(V210-I210)&gt;SnapshotTolerance,1,0)</f>
        <v>0</v>
      </c>
      <c r="AJ210" s="278">
        <f ca="1">IF(ABS(W210-J210)&gt;SnapshotTolerance,1,0)</f>
        <v>0</v>
      </c>
      <c r="AK210" s="278">
        <f ca="1">IF(ABS(X210-K210)&gt;SnapshotTolerance,1,0)</f>
        <v>0</v>
      </c>
      <c r="AL210" s="278">
        <f ca="1">IF(ABS(Y210-L210)&gt;SnapshotTolerance,1,0)</f>
        <v>0</v>
      </c>
      <c r="AM210" s="279">
        <f ca="1">IF(ABS(Z210-M210)&gt;SnapshotTolerance,1,0)</f>
        <v>0</v>
      </c>
    </row>
    <row r="211" spans="2:39">
      <c r="B211" s="282" t="str">
        <f>'USD Swap PVs'!AG89</f>
        <v>30Y</v>
      </c>
      <c r="C211" s="278">
        <f ca="1">'USD Swap PVs'!AH89</f>
        <v>-1054277.238813408</v>
      </c>
      <c r="D211" s="278">
        <f ca="1">'USD Swap PVs'!AI89</f>
        <v>-843421.79105072562</v>
      </c>
      <c r="E211" s="278">
        <f ca="1">'USD Swap PVs'!AJ89</f>
        <v>-632566.34328804526</v>
      </c>
      <c r="F211" s="278">
        <f ca="1">'USD Swap PVs'!AK89</f>
        <v>-421710.89552536298</v>
      </c>
      <c r="G211" s="278">
        <f ca="1">'USD Swap PVs'!AL89</f>
        <v>-210855.44776268251</v>
      </c>
      <c r="H211" s="278">
        <f ca="1">'USD Swap PVs'!AM89</f>
        <v>0</v>
      </c>
      <c r="I211" s="278">
        <f ca="1">'USD Swap PVs'!AN89</f>
        <v>210855.44776268149</v>
      </c>
      <c r="J211" s="278">
        <f ca="1">'USD Swap PVs'!AO89</f>
        <v>421710.89552536281</v>
      </c>
      <c r="K211" s="278">
        <f ca="1">'USD Swap PVs'!AP89</f>
        <v>632566.34328804445</v>
      </c>
      <c r="L211" s="278">
        <f ca="1">'USD Swap PVs'!AQ89</f>
        <v>843421.79105072573</v>
      </c>
      <c r="M211" s="279">
        <f ca="1">'USD Swap PVs'!AR89</f>
        <v>1054277.2388134075</v>
      </c>
      <c r="O211" s="282" t="s">
        <v>17</v>
      </c>
      <c r="P211" s="278">
        <v>-1054277.238813408</v>
      </c>
      <c r="Q211" s="278">
        <v>-843421.79105072562</v>
      </c>
      <c r="R211" s="278">
        <v>-632566.34328804526</v>
      </c>
      <c r="S211" s="278">
        <v>-421710.89552536298</v>
      </c>
      <c r="T211" s="278">
        <v>-210855.44776268251</v>
      </c>
      <c r="U211" s="278">
        <v>0</v>
      </c>
      <c r="V211" s="278">
        <v>210855.44776268149</v>
      </c>
      <c r="W211" s="278">
        <v>421710.89552536281</v>
      </c>
      <c r="X211" s="278">
        <v>632566.34328804445</v>
      </c>
      <c r="Y211" s="278">
        <v>843421.79105072573</v>
      </c>
      <c r="Z211" s="279">
        <v>1054277.2388134075</v>
      </c>
      <c r="AB211" s="282" t="str">
        <f t="shared" si="15"/>
        <v>30Y</v>
      </c>
      <c r="AC211" s="278">
        <f ca="1">IF(ABS(P211-C211)&gt;SnapshotTolerance,1,0)</f>
        <v>0</v>
      </c>
      <c r="AD211" s="278">
        <f ca="1">IF(ABS(Q211-D211)&gt;SnapshotTolerance,1,0)</f>
        <v>0</v>
      </c>
      <c r="AE211" s="278">
        <f ca="1">IF(ABS(R211-E211)&gt;SnapshotTolerance,1,0)</f>
        <v>0</v>
      </c>
      <c r="AF211" s="278">
        <f ca="1">IF(ABS(S211-F211)&gt;SnapshotTolerance,1,0)</f>
        <v>0</v>
      </c>
      <c r="AG211" s="278">
        <f ca="1">IF(ABS(T211-G211)&gt;SnapshotTolerance,1,0)</f>
        <v>0</v>
      </c>
      <c r="AH211" s="278">
        <f ca="1">IF(ABS(U211-H211)&gt;SnapshotTolerance,1,0)</f>
        <v>0</v>
      </c>
      <c r="AI211" s="278">
        <f ca="1">IF(ABS(V211-I211)&gt;SnapshotTolerance,1,0)</f>
        <v>0</v>
      </c>
      <c r="AJ211" s="278">
        <f ca="1">IF(ABS(W211-J211)&gt;SnapshotTolerance,1,0)</f>
        <v>0</v>
      </c>
      <c r="AK211" s="278">
        <f ca="1">IF(ABS(X211-K211)&gt;SnapshotTolerance,1,0)</f>
        <v>0</v>
      </c>
      <c r="AL211" s="278">
        <f ca="1">IF(ABS(Y211-L211)&gt;SnapshotTolerance,1,0)</f>
        <v>0</v>
      </c>
      <c r="AM211" s="279">
        <f ca="1">IF(ABS(Z211-M211)&gt;SnapshotTolerance,1,0)</f>
        <v>0</v>
      </c>
    </row>
    <row r="212" spans="2:39">
      <c r="B212" s="282" t="str">
        <f>'USD Swap PVs'!AG90</f>
        <v>40Y</v>
      </c>
      <c r="C212" s="278">
        <f ca="1">'USD Swap PVs'!AH90</f>
        <v>-1239840.6415149074</v>
      </c>
      <c r="D212" s="278">
        <f ca="1">'USD Swap PVs'!AI90</f>
        <v>-991872.51321192575</v>
      </c>
      <c r="E212" s="278">
        <f ca="1">'USD Swap PVs'!AJ90</f>
        <v>-743904.38490894553</v>
      </c>
      <c r="F212" s="278">
        <f ca="1">'USD Swap PVs'!AK90</f>
        <v>-495936.25660596328</v>
      </c>
      <c r="G212" s="278">
        <f ca="1">'USD Swap PVs'!AL90</f>
        <v>-247968.12830298286</v>
      </c>
      <c r="H212" s="278">
        <f ca="1">'USD Swap PVs'!AM90</f>
        <v>0</v>
      </c>
      <c r="I212" s="278">
        <f ca="1">'USD Swap PVs'!AN90</f>
        <v>247968.12830298138</v>
      </c>
      <c r="J212" s="278">
        <f ca="1">'USD Swap PVs'!AO90</f>
        <v>495936.25660596264</v>
      </c>
      <c r="K212" s="278">
        <f ca="1">'USD Swap PVs'!AP90</f>
        <v>743904.38490894414</v>
      </c>
      <c r="L212" s="278">
        <f ca="1">'USD Swap PVs'!AQ90</f>
        <v>991872.51321192551</v>
      </c>
      <c r="M212" s="279">
        <f ca="1">'USD Swap PVs'!AR90</f>
        <v>1239840.6415149071</v>
      </c>
      <c r="O212" s="282" t="s">
        <v>15</v>
      </c>
      <c r="P212" s="278">
        <v>-1239840.6415149074</v>
      </c>
      <c r="Q212" s="278">
        <v>-991872.51321192575</v>
      </c>
      <c r="R212" s="278">
        <v>-743904.38490894553</v>
      </c>
      <c r="S212" s="278">
        <v>-495936.25660596328</v>
      </c>
      <c r="T212" s="278">
        <v>-247968.12830298286</v>
      </c>
      <c r="U212" s="278">
        <v>0</v>
      </c>
      <c r="V212" s="278">
        <v>247968.12830298138</v>
      </c>
      <c r="W212" s="278">
        <v>495936.25660596264</v>
      </c>
      <c r="X212" s="278">
        <v>743904.38490894414</v>
      </c>
      <c r="Y212" s="278">
        <v>991872.51321192551</v>
      </c>
      <c r="Z212" s="279">
        <v>1239840.6415149071</v>
      </c>
      <c r="AB212" s="282" t="str">
        <f t="shared" si="15"/>
        <v>40Y</v>
      </c>
      <c r="AC212" s="278">
        <f ca="1">IF(ABS(P212-C212)&gt;SnapshotTolerance,1,0)</f>
        <v>0</v>
      </c>
      <c r="AD212" s="278">
        <f ca="1">IF(ABS(Q212-D212)&gt;SnapshotTolerance,1,0)</f>
        <v>0</v>
      </c>
      <c r="AE212" s="278">
        <f ca="1">IF(ABS(R212-E212)&gt;SnapshotTolerance,1,0)</f>
        <v>0</v>
      </c>
      <c r="AF212" s="278">
        <f ca="1">IF(ABS(S212-F212)&gt;SnapshotTolerance,1,0)</f>
        <v>0</v>
      </c>
      <c r="AG212" s="278">
        <f ca="1">IF(ABS(T212-G212)&gt;SnapshotTolerance,1,0)</f>
        <v>0</v>
      </c>
      <c r="AH212" s="278">
        <f ca="1">IF(ABS(U212-H212)&gt;SnapshotTolerance,1,0)</f>
        <v>0</v>
      </c>
      <c r="AI212" s="278">
        <f ca="1">IF(ABS(V212-I212)&gt;SnapshotTolerance,1,0)</f>
        <v>0</v>
      </c>
      <c r="AJ212" s="278">
        <f ca="1">IF(ABS(W212-J212)&gt;SnapshotTolerance,1,0)</f>
        <v>0</v>
      </c>
      <c r="AK212" s="278">
        <f ca="1">IF(ABS(X212-K212)&gt;SnapshotTolerance,1,0)</f>
        <v>0</v>
      </c>
      <c r="AL212" s="278">
        <f ca="1">IF(ABS(Y212-L212)&gt;SnapshotTolerance,1,0)</f>
        <v>0</v>
      </c>
      <c r="AM212" s="279">
        <f ca="1">IF(ABS(Z212-M212)&gt;SnapshotTolerance,1,0)</f>
        <v>0</v>
      </c>
    </row>
    <row r="213" spans="2:39">
      <c r="B213" s="282" t="str">
        <f>'USD Swap PVs'!AG91</f>
        <v>50Y</v>
      </c>
      <c r="C213" s="278">
        <f ca="1">'USD Swap PVs'!AH91</f>
        <v>-1381003.7389991141</v>
      </c>
      <c r="D213" s="278">
        <f ca="1">'USD Swap PVs'!AI91</f>
        <v>-1104802.9911992913</v>
      </c>
      <c r="E213" s="278">
        <f ca="1">'USD Swap PVs'!AJ91</f>
        <v>-828602.24339946965</v>
      </c>
      <c r="F213" s="278">
        <f ca="1">'USD Swap PVs'!AK91</f>
        <v>-552401.49559964647</v>
      </c>
      <c r="G213" s="278">
        <f ca="1">'USD Swap PVs'!AL91</f>
        <v>-276200.74779982487</v>
      </c>
      <c r="H213" s="278">
        <f ca="1">'USD Swap PVs'!AM91</f>
        <v>0</v>
      </c>
      <c r="I213" s="278">
        <f ca="1">'USD Swap PVs'!AN91</f>
        <v>276200.74779982283</v>
      </c>
      <c r="J213" s="278">
        <f ca="1">'USD Swap PVs'!AO91</f>
        <v>552401.49559964542</v>
      </c>
      <c r="K213" s="278">
        <f ca="1">'USD Swap PVs'!AP91</f>
        <v>828602.24339946848</v>
      </c>
      <c r="L213" s="278">
        <f ca="1">'USD Swap PVs'!AQ91</f>
        <v>1104802.9911992911</v>
      </c>
      <c r="M213" s="279">
        <f ca="1">'USD Swap PVs'!AR91</f>
        <v>1381003.7389991141</v>
      </c>
      <c r="O213" s="282" t="s">
        <v>14</v>
      </c>
      <c r="P213" s="278">
        <v>-1381003.7389991141</v>
      </c>
      <c r="Q213" s="278">
        <v>-1104802.9911992913</v>
      </c>
      <c r="R213" s="278">
        <v>-828602.24339946965</v>
      </c>
      <c r="S213" s="278">
        <v>-552401.49559964647</v>
      </c>
      <c r="T213" s="278">
        <v>-276200.74779982487</v>
      </c>
      <c r="U213" s="278">
        <v>0</v>
      </c>
      <c r="V213" s="278">
        <v>276200.74779982283</v>
      </c>
      <c r="W213" s="278">
        <v>552401.49559964542</v>
      </c>
      <c r="X213" s="278">
        <v>828602.24339946848</v>
      </c>
      <c r="Y213" s="278">
        <v>1104802.9911992911</v>
      </c>
      <c r="Z213" s="279">
        <v>1381003.7389991141</v>
      </c>
      <c r="AB213" s="282" t="str">
        <f t="shared" si="15"/>
        <v>50Y</v>
      </c>
      <c r="AC213" s="278">
        <f ca="1">IF(ABS(P213-C213)&gt;SnapshotTolerance,1,0)</f>
        <v>0</v>
      </c>
      <c r="AD213" s="278">
        <f ca="1">IF(ABS(Q213-D213)&gt;SnapshotTolerance,1,0)</f>
        <v>0</v>
      </c>
      <c r="AE213" s="278">
        <f ca="1">IF(ABS(R213-E213)&gt;SnapshotTolerance,1,0)</f>
        <v>0</v>
      </c>
      <c r="AF213" s="278">
        <f ca="1">IF(ABS(S213-F213)&gt;SnapshotTolerance,1,0)</f>
        <v>0</v>
      </c>
      <c r="AG213" s="278">
        <f ca="1">IF(ABS(T213-G213)&gt;SnapshotTolerance,1,0)</f>
        <v>0</v>
      </c>
      <c r="AH213" s="278">
        <f ca="1">IF(ABS(U213-H213)&gt;SnapshotTolerance,1,0)</f>
        <v>0</v>
      </c>
      <c r="AI213" s="278">
        <f ca="1">IF(ABS(V213-I213)&gt;SnapshotTolerance,1,0)</f>
        <v>0</v>
      </c>
      <c r="AJ213" s="278">
        <f ca="1">IF(ABS(W213-J213)&gt;SnapshotTolerance,1,0)</f>
        <v>0</v>
      </c>
      <c r="AK213" s="278">
        <f ca="1">IF(ABS(X213-K213)&gt;SnapshotTolerance,1,0)</f>
        <v>0</v>
      </c>
      <c r="AL213" s="278">
        <f ca="1">IF(ABS(Y213-L213)&gt;SnapshotTolerance,1,0)</f>
        <v>0</v>
      </c>
      <c r="AM213" s="279">
        <f ca="1">IF(ABS(Z213-M213)&gt;SnapshotTolerance,1,0)</f>
        <v>0</v>
      </c>
    </row>
    <row r="214" spans="2:39">
      <c r="B214" s="282"/>
      <c r="C214" s="278"/>
      <c r="D214" s="278"/>
      <c r="E214" s="278"/>
      <c r="F214" s="278"/>
      <c r="G214" s="278"/>
      <c r="H214" s="278"/>
      <c r="I214" s="278"/>
      <c r="J214" s="278"/>
      <c r="K214" s="278"/>
      <c r="L214" s="278"/>
      <c r="M214" s="279"/>
      <c r="O214" s="282"/>
      <c r="P214" s="278"/>
      <c r="Q214" s="278"/>
      <c r="R214" s="278"/>
      <c r="S214" s="278"/>
      <c r="T214" s="278"/>
      <c r="U214" s="278"/>
      <c r="V214" s="278"/>
      <c r="W214" s="278"/>
      <c r="X214" s="278"/>
      <c r="Y214" s="278"/>
      <c r="Z214" s="279"/>
      <c r="AB214" s="282"/>
      <c r="AC214" s="278"/>
      <c r="AD214" s="278"/>
      <c r="AE214" s="278"/>
      <c r="AF214" s="278"/>
      <c r="AG214" s="278"/>
      <c r="AH214" s="278"/>
      <c r="AI214" s="278"/>
      <c r="AJ214" s="278"/>
      <c r="AK214" s="278"/>
      <c r="AL214" s="278"/>
      <c r="AM214" s="279"/>
    </row>
    <row r="215" spans="2:39">
      <c r="B215" s="282"/>
      <c r="C215" s="278"/>
      <c r="D215" s="278"/>
      <c r="E215" s="278"/>
      <c r="F215" s="278"/>
      <c r="G215" s="278"/>
      <c r="H215" s="278"/>
      <c r="I215" s="278"/>
      <c r="J215" s="278"/>
      <c r="K215" s="278"/>
      <c r="L215" s="278"/>
      <c r="M215" s="279"/>
      <c r="O215" s="282"/>
      <c r="P215" s="278"/>
      <c r="Q215" s="278"/>
      <c r="R215" s="278"/>
      <c r="S215" s="278"/>
      <c r="T215" s="278"/>
      <c r="U215" s="278"/>
      <c r="V215" s="278"/>
      <c r="W215" s="278"/>
      <c r="X215" s="278"/>
      <c r="Y215" s="278"/>
      <c r="Z215" s="279"/>
      <c r="AB215" s="282"/>
      <c r="AC215" s="278"/>
      <c r="AD215" s="278"/>
      <c r="AE215" s="278"/>
      <c r="AF215" s="278"/>
      <c r="AG215" s="278"/>
      <c r="AH215" s="278"/>
      <c r="AI215" s="278"/>
      <c r="AJ215" s="278"/>
      <c r="AK215" s="278"/>
      <c r="AL215" s="278"/>
      <c r="AM215" s="279"/>
    </row>
    <row r="216" spans="2:39">
      <c r="B216" s="282"/>
      <c r="C216" s="278"/>
      <c r="D216" s="278"/>
      <c r="E216" s="278"/>
      <c r="F216" s="278"/>
      <c r="G216" s="278"/>
      <c r="H216" s="278"/>
      <c r="I216" s="278"/>
      <c r="J216" s="278"/>
      <c r="K216" s="278"/>
      <c r="L216" s="278"/>
      <c r="M216" s="279"/>
      <c r="O216" s="282"/>
      <c r="P216" s="278"/>
      <c r="Q216" s="278"/>
      <c r="R216" s="278"/>
      <c r="S216" s="278"/>
      <c r="T216" s="278"/>
      <c r="U216" s="278"/>
      <c r="V216" s="278"/>
      <c r="W216" s="278"/>
      <c r="X216" s="278"/>
      <c r="Y216" s="278"/>
      <c r="Z216" s="279"/>
      <c r="AB216" s="282"/>
      <c r="AC216" s="278"/>
      <c r="AD216" s="278"/>
      <c r="AE216" s="278"/>
      <c r="AF216" s="278"/>
      <c r="AG216" s="278"/>
      <c r="AH216" s="278"/>
      <c r="AI216" s="278"/>
      <c r="AJ216" s="278"/>
      <c r="AK216" s="278"/>
      <c r="AL216" s="278"/>
      <c r="AM216" s="279"/>
    </row>
    <row r="217" spans="2:39">
      <c r="B217" s="283"/>
      <c r="C217" s="280"/>
      <c r="D217" s="280"/>
      <c r="E217" s="280"/>
      <c r="F217" s="280"/>
      <c r="G217" s="280"/>
      <c r="H217" s="280"/>
      <c r="I217" s="280"/>
      <c r="J217" s="280"/>
      <c r="K217" s="280"/>
      <c r="L217" s="280"/>
      <c r="M217" s="281"/>
      <c r="O217" s="283"/>
      <c r="P217" s="280"/>
      <c r="Q217" s="280"/>
      <c r="R217" s="280"/>
      <c r="S217" s="280"/>
      <c r="T217" s="280"/>
      <c r="U217" s="280"/>
      <c r="V217" s="280"/>
      <c r="W217" s="280"/>
      <c r="X217" s="280"/>
      <c r="Y217" s="280"/>
      <c r="Z217" s="281"/>
      <c r="AB217" s="283"/>
      <c r="AC217" s="280"/>
      <c r="AD217" s="280"/>
      <c r="AE217" s="280"/>
      <c r="AF217" s="280"/>
      <c r="AG217" s="280"/>
      <c r="AH217" s="280"/>
      <c r="AI217" s="280"/>
      <c r="AJ217" s="280"/>
      <c r="AK217" s="280"/>
      <c r="AL217" s="280"/>
      <c r="AM217" s="28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B2:AM217"/>
  <sheetViews>
    <sheetView showGridLines="0" zoomScaleNormal="100" workbookViewId="0"/>
  </sheetViews>
  <sheetFormatPr defaultRowHeight="15"/>
  <cols>
    <col min="2" max="32" width="10.7109375" customWidth="1"/>
  </cols>
  <sheetData>
    <row r="2" spans="2:39">
      <c r="B2" t="s">
        <v>535</v>
      </c>
    </row>
    <row r="4" spans="2:39">
      <c r="B4" t="s">
        <v>527</v>
      </c>
      <c r="E4" t="s">
        <v>472</v>
      </c>
    </row>
    <row r="5" spans="2:39">
      <c r="B5" t="s">
        <v>528</v>
      </c>
      <c r="E5" s="252">
        <f ca="1">SUM(AC10:AM28)</f>
        <v>0</v>
      </c>
    </row>
    <row r="6" spans="2:39">
      <c r="B6" t="s">
        <v>529</v>
      </c>
    </row>
    <row r="8" spans="2:39">
      <c r="B8" t="s">
        <v>510</v>
      </c>
      <c r="O8" t="s">
        <v>470</v>
      </c>
      <c r="AB8" t="s">
        <v>511</v>
      </c>
    </row>
    <row r="9" spans="2:39">
      <c r="B9" s="254" t="str">
        <f>'GBP Swap PVs'!M3</f>
        <v>Term</v>
      </c>
      <c r="C9" s="276">
        <f>'GBP Swap PVs'!N3</f>
        <v>-0.05</v>
      </c>
      <c r="D9" s="276">
        <f>'GBP Swap PVs'!O3</f>
        <v>-0.04</v>
      </c>
      <c r="E9" s="276">
        <f>'GBP Swap PVs'!P3</f>
        <v>-0.03</v>
      </c>
      <c r="F9" s="276">
        <f>'GBP Swap PVs'!Q3</f>
        <v>-1.9999999999999997E-2</v>
      </c>
      <c r="G9" s="276">
        <f>'GBP Swap PVs'!R3</f>
        <v>-9.9999999999999967E-3</v>
      </c>
      <c r="H9" s="276">
        <f>'GBP Swap PVs'!S3</f>
        <v>0</v>
      </c>
      <c r="I9" s="276">
        <f>'GBP Swap PVs'!T3</f>
        <v>0.01</v>
      </c>
      <c r="J9" s="276">
        <f>'GBP Swap PVs'!U3</f>
        <v>0.02</v>
      </c>
      <c r="K9" s="276">
        <f>'GBP Swap PVs'!V3</f>
        <v>0.03</v>
      </c>
      <c r="L9" s="276">
        <f>'GBP Swap PVs'!W3</f>
        <v>0.04</v>
      </c>
      <c r="M9" s="277">
        <f>'GBP Swap PVs'!X3</f>
        <v>0.05</v>
      </c>
      <c r="O9" s="254" t="s">
        <v>76</v>
      </c>
      <c r="P9" s="276">
        <v>-0.05</v>
      </c>
      <c r="Q9" s="276">
        <v>-0.04</v>
      </c>
      <c r="R9" s="276">
        <v>-0.03</v>
      </c>
      <c r="S9" s="276">
        <v>-1.9999999999999997E-2</v>
      </c>
      <c r="T9" s="276">
        <v>-9.9999999999999967E-3</v>
      </c>
      <c r="U9" s="276">
        <v>0</v>
      </c>
      <c r="V9" s="276">
        <v>0.01</v>
      </c>
      <c r="W9" s="276">
        <v>0.02</v>
      </c>
      <c r="X9" s="276">
        <v>0.03</v>
      </c>
      <c r="Y9" s="276">
        <v>0.04</v>
      </c>
      <c r="Z9" s="277">
        <v>0.05</v>
      </c>
      <c r="AB9" s="254" t="str">
        <f>O9</f>
        <v>Term</v>
      </c>
      <c r="AC9" s="276">
        <f>P9</f>
        <v>-0.05</v>
      </c>
      <c r="AD9" s="276">
        <f t="shared" ref="AD9:AM9" si="0">Q9</f>
        <v>-0.04</v>
      </c>
      <c r="AE9" s="276">
        <f t="shared" si="0"/>
        <v>-0.03</v>
      </c>
      <c r="AF9" s="276">
        <f t="shared" si="0"/>
        <v>-1.9999999999999997E-2</v>
      </c>
      <c r="AG9" s="276">
        <f t="shared" si="0"/>
        <v>-9.9999999999999967E-3</v>
      </c>
      <c r="AH9" s="276">
        <f t="shared" si="0"/>
        <v>0</v>
      </c>
      <c r="AI9" s="276">
        <f t="shared" si="0"/>
        <v>0.01</v>
      </c>
      <c r="AJ9" s="276">
        <f t="shared" si="0"/>
        <v>0.02</v>
      </c>
      <c r="AK9" s="276">
        <f t="shared" si="0"/>
        <v>0.03</v>
      </c>
      <c r="AL9" s="276">
        <f t="shared" si="0"/>
        <v>0.04</v>
      </c>
      <c r="AM9" s="277">
        <f t="shared" si="0"/>
        <v>0.05</v>
      </c>
    </row>
    <row r="10" spans="2:39">
      <c r="B10" s="282" t="str">
        <f>'GBP Swap PVs'!M4</f>
        <v>2Y</v>
      </c>
      <c r="C10" s="278">
        <f ca="1">'GBP Swap PVs'!N4</f>
        <v>99258.437527978211</v>
      </c>
      <c r="D10" s="278">
        <f ca="1">'GBP Swap PVs'!O4</f>
        <v>79406.750022382563</v>
      </c>
      <c r="E10" s="278">
        <f ca="1">'GBP Swap PVs'!P4</f>
        <v>59555.062516786915</v>
      </c>
      <c r="F10" s="278">
        <f ca="1">'GBP Swap PVs'!Q4</f>
        <v>39703.375011191274</v>
      </c>
      <c r="G10" s="278">
        <f ca="1">'GBP Swap PVs'!R4</f>
        <v>19851.687505595633</v>
      </c>
      <c r="H10" s="278">
        <f ca="1">'GBP Swap PVs'!S4</f>
        <v>0</v>
      </c>
      <c r="I10" s="278">
        <f ca="1">'GBP Swap PVs'!T4</f>
        <v>-19851.687505595641</v>
      </c>
      <c r="J10" s="278">
        <f ca="1">'GBP Swap PVs'!U4</f>
        <v>-39703.375011191274</v>
      </c>
      <c r="K10" s="278">
        <f ca="1">'GBP Swap PVs'!V4</f>
        <v>-59555.062516786922</v>
      </c>
      <c r="L10" s="278">
        <f ca="1">'GBP Swap PVs'!W4</f>
        <v>-79406.750022382563</v>
      </c>
      <c r="M10" s="279">
        <f ca="1">'GBP Swap PVs'!X4</f>
        <v>-99258.437527978211</v>
      </c>
      <c r="O10" s="282" t="s">
        <v>42</v>
      </c>
      <c r="P10" s="278">
        <v>99258.437527978211</v>
      </c>
      <c r="Q10" s="278">
        <v>79406.750022382563</v>
      </c>
      <c r="R10" s="278">
        <v>59555.062516786915</v>
      </c>
      <c r="S10" s="278">
        <v>39703.375011191274</v>
      </c>
      <c r="T10" s="278">
        <v>19851.687505595633</v>
      </c>
      <c r="U10" s="278">
        <v>0</v>
      </c>
      <c r="V10" s="278">
        <v>-19851.687505595641</v>
      </c>
      <c r="W10" s="278">
        <v>-39703.375011191274</v>
      </c>
      <c r="X10" s="278">
        <v>-59555.062516786922</v>
      </c>
      <c r="Y10" s="278">
        <v>-79406.750022382563</v>
      </c>
      <c r="Z10" s="279">
        <v>-99258.437527978211</v>
      </c>
      <c r="AB10" s="282" t="str">
        <f t="shared" ref="AB10:AB28" si="1">O10</f>
        <v>2Y</v>
      </c>
      <c r="AC10" s="278">
        <f ca="1">IF(ABS(P10-C10)&gt;SnapshotTolerance,1,0)</f>
        <v>0</v>
      </c>
      <c r="AD10" s="278">
        <f ca="1">IF(ABS(Q10-D10)&gt;SnapshotTolerance,1,0)</f>
        <v>0</v>
      </c>
      <c r="AE10" s="278">
        <f ca="1">IF(ABS(R10-E10)&gt;SnapshotTolerance,1,0)</f>
        <v>0</v>
      </c>
      <c r="AF10" s="278">
        <f ca="1">IF(ABS(S10-F10)&gt;SnapshotTolerance,1,0)</f>
        <v>0</v>
      </c>
      <c r="AG10" s="278">
        <f ca="1">IF(ABS(T10-G10)&gt;SnapshotTolerance,1,0)</f>
        <v>0</v>
      </c>
      <c r="AH10" s="278">
        <f ca="1">IF(ABS(U10-H10)&gt;SnapshotTolerance,1,0)</f>
        <v>0</v>
      </c>
      <c r="AI10" s="278">
        <f ca="1">IF(ABS(V10-I10)&gt;SnapshotTolerance,1,0)</f>
        <v>0</v>
      </c>
      <c r="AJ10" s="278">
        <f ca="1">IF(ABS(W10-J10)&gt;SnapshotTolerance,1,0)</f>
        <v>0</v>
      </c>
      <c r="AK10" s="278">
        <f ca="1">IF(ABS(X10-K10)&gt;SnapshotTolerance,1,0)</f>
        <v>0</v>
      </c>
      <c r="AL10" s="278">
        <f ca="1">IF(ABS(Y10-L10)&gt;SnapshotTolerance,1,0)</f>
        <v>0</v>
      </c>
      <c r="AM10" s="279">
        <f ca="1">IF(ABS(Z10-M10)&gt;SnapshotTolerance,1,0)</f>
        <v>0</v>
      </c>
    </row>
    <row r="11" spans="2:39">
      <c r="B11" s="282" t="str">
        <f>'GBP Swap PVs'!M5</f>
        <v>3Y</v>
      </c>
      <c r="C11" s="278">
        <f ca="1">'GBP Swap PVs'!N5</f>
        <v>147865.36992561395</v>
      </c>
      <c r="D11" s="278">
        <f ca="1">'GBP Swap PVs'!O5</f>
        <v>118292.29594049114</v>
      </c>
      <c r="E11" s="278">
        <f ca="1">'GBP Swap PVs'!P5</f>
        <v>88719.221955368354</v>
      </c>
      <c r="F11" s="278">
        <f ca="1">'GBP Swap PVs'!Q5</f>
        <v>59146.147970245562</v>
      </c>
      <c r="G11" s="278">
        <f ca="1">'GBP Swap PVs'!R5</f>
        <v>29573.073985122774</v>
      </c>
      <c r="H11" s="278">
        <f ca="1">'GBP Swap PVs'!S5</f>
        <v>0</v>
      </c>
      <c r="I11" s="278">
        <f ca="1">'GBP Swap PVs'!T5</f>
        <v>-29573.073985122795</v>
      </c>
      <c r="J11" s="278">
        <f ca="1">'GBP Swap PVs'!U5</f>
        <v>-59146.147970245576</v>
      </c>
      <c r="K11" s="278">
        <f ca="1">'GBP Swap PVs'!V5</f>
        <v>-88719.221955368354</v>
      </c>
      <c r="L11" s="278">
        <f ca="1">'GBP Swap PVs'!W5</f>
        <v>-118292.29594049115</v>
      </c>
      <c r="M11" s="279">
        <f ca="1">'GBP Swap PVs'!X5</f>
        <v>-147865.36992561395</v>
      </c>
      <c r="O11" s="282" t="s">
        <v>39</v>
      </c>
      <c r="P11" s="278">
        <v>147865.36992561395</v>
      </c>
      <c r="Q11" s="278">
        <v>118292.29594049114</v>
      </c>
      <c r="R11" s="278">
        <v>88719.221955368354</v>
      </c>
      <c r="S11" s="278">
        <v>59146.147970245562</v>
      </c>
      <c r="T11" s="278">
        <v>29573.073985122774</v>
      </c>
      <c r="U11" s="278">
        <v>0</v>
      </c>
      <c r="V11" s="278">
        <v>-29573.073985122795</v>
      </c>
      <c r="W11" s="278">
        <v>-59146.147970245576</v>
      </c>
      <c r="X11" s="278">
        <v>-88719.221955368354</v>
      </c>
      <c r="Y11" s="278">
        <v>-118292.29594049115</v>
      </c>
      <c r="Z11" s="279">
        <v>-147865.36992561395</v>
      </c>
      <c r="AB11" s="282" t="str">
        <f t="shared" si="1"/>
        <v>3Y</v>
      </c>
      <c r="AC11" s="278">
        <f ca="1">IF(ABS(P11-C11)&gt;SnapshotTolerance,1,0)</f>
        <v>0</v>
      </c>
      <c r="AD11" s="278">
        <f ca="1">IF(ABS(Q11-D11)&gt;SnapshotTolerance,1,0)</f>
        <v>0</v>
      </c>
      <c r="AE11" s="278">
        <f ca="1">IF(ABS(R11-E11)&gt;SnapshotTolerance,1,0)</f>
        <v>0</v>
      </c>
      <c r="AF11" s="278">
        <f ca="1">IF(ABS(S11-F11)&gt;SnapshotTolerance,1,0)</f>
        <v>0</v>
      </c>
      <c r="AG11" s="278">
        <f ca="1">IF(ABS(T11-G11)&gt;SnapshotTolerance,1,0)</f>
        <v>0</v>
      </c>
      <c r="AH11" s="278">
        <f ca="1">IF(ABS(U11-H11)&gt;SnapshotTolerance,1,0)</f>
        <v>0</v>
      </c>
      <c r="AI11" s="278">
        <f ca="1">IF(ABS(V11-I11)&gt;SnapshotTolerance,1,0)</f>
        <v>0</v>
      </c>
      <c r="AJ11" s="278">
        <f ca="1">IF(ABS(W11-J11)&gt;SnapshotTolerance,1,0)</f>
        <v>0</v>
      </c>
      <c r="AK11" s="278">
        <f ca="1">IF(ABS(X11-K11)&gt;SnapshotTolerance,1,0)</f>
        <v>0</v>
      </c>
      <c r="AL11" s="278">
        <f ca="1">IF(ABS(Y11-L11)&gt;SnapshotTolerance,1,0)</f>
        <v>0</v>
      </c>
      <c r="AM11" s="279">
        <f ca="1">IF(ABS(Z11-M11)&gt;SnapshotTolerance,1,0)</f>
        <v>0</v>
      </c>
    </row>
    <row r="12" spans="2:39">
      <c r="B12" s="282" t="str">
        <f>'GBP Swap PVs'!M6</f>
        <v>4Y</v>
      </c>
      <c r="C12" s="278">
        <f ca="1">'GBP Swap PVs'!N6</f>
        <v>195848.7564848233</v>
      </c>
      <c r="D12" s="278">
        <f ca="1">'GBP Swap PVs'!O6</f>
        <v>156679.00518785865</v>
      </c>
      <c r="E12" s="278">
        <f ca="1">'GBP Swap PVs'!P6</f>
        <v>117509.25389089398</v>
      </c>
      <c r="F12" s="278">
        <f ca="1">'GBP Swap PVs'!Q6</f>
        <v>78339.502593929312</v>
      </c>
      <c r="G12" s="278">
        <f ca="1">'GBP Swap PVs'!R6</f>
        <v>39169.751296964649</v>
      </c>
      <c r="H12" s="278">
        <f ca="1">'GBP Swap PVs'!S6</f>
        <v>0</v>
      </c>
      <c r="I12" s="278">
        <f ca="1">'GBP Swap PVs'!T6</f>
        <v>-39169.751296964649</v>
      </c>
      <c r="J12" s="278">
        <f ca="1">'GBP Swap PVs'!U6</f>
        <v>-78339.502593929326</v>
      </c>
      <c r="K12" s="278">
        <f ca="1">'GBP Swap PVs'!V6</f>
        <v>-117509.25389089398</v>
      </c>
      <c r="L12" s="278">
        <f ca="1">'GBP Swap PVs'!W6</f>
        <v>-156679.00518785862</v>
      </c>
      <c r="M12" s="279">
        <f ca="1">'GBP Swap PVs'!X6</f>
        <v>-195848.7564848233</v>
      </c>
      <c r="O12" s="282" t="s">
        <v>35</v>
      </c>
      <c r="P12" s="278">
        <v>195848.7564848233</v>
      </c>
      <c r="Q12" s="278">
        <v>156679.00518785865</v>
      </c>
      <c r="R12" s="278">
        <v>117509.25389089398</v>
      </c>
      <c r="S12" s="278">
        <v>78339.502593929312</v>
      </c>
      <c r="T12" s="278">
        <v>39169.751296964649</v>
      </c>
      <c r="U12" s="278">
        <v>0</v>
      </c>
      <c r="V12" s="278">
        <v>-39169.751296964649</v>
      </c>
      <c r="W12" s="278">
        <v>-78339.502593929326</v>
      </c>
      <c r="X12" s="278">
        <v>-117509.25389089398</v>
      </c>
      <c r="Y12" s="278">
        <v>-156679.00518785862</v>
      </c>
      <c r="Z12" s="279">
        <v>-195848.7564848233</v>
      </c>
      <c r="AB12" s="282" t="str">
        <f t="shared" si="1"/>
        <v>4Y</v>
      </c>
      <c r="AC12" s="278">
        <f ca="1">IF(ABS(P12-C12)&gt;SnapshotTolerance,1,0)</f>
        <v>0</v>
      </c>
      <c r="AD12" s="278">
        <f ca="1">IF(ABS(Q12-D12)&gt;SnapshotTolerance,1,0)</f>
        <v>0</v>
      </c>
      <c r="AE12" s="278">
        <f ca="1">IF(ABS(R12-E12)&gt;SnapshotTolerance,1,0)</f>
        <v>0</v>
      </c>
      <c r="AF12" s="278">
        <f ca="1">IF(ABS(S12-F12)&gt;SnapshotTolerance,1,0)</f>
        <v>0</v>
      </c>
      <c r="AG12" s="278">
        <f ca="1">IF(ABS(T12-G12)&gt;SnapshotTolerance,1,0)</f>
        <v>0</v>
      </c>
      <c r="AH12" s="278">
        <f ca="1">IF(ABS(U12-H12)&gt;SnapshotTolerance,1,0)</f>
        <v>0</v>
      </c>
      <c r="AI12" s="278">
        <f ca="1">IF(ABS(V12-I12)&gt;SnapshotTolerance,1,0)</f>
        <v>0</v>
      </c>
      <c r="AJ12" s="278">
        <f ca="1">IF(ABS(W12-J12)&gt;SnapshotTolerance,1,0)</f>
        <v>0</v>
      </c>
      <c r="AK12" s="278">
        <f ca="1">IF(ABS(X12-K12)&gt;SnapshotTolerance,1,0)</f>
        <v>0</v>
      </c>
      <c r="AL12" s="278">
        <f ca="1">IF(ABS(Y12-L12)&gt;SnapshotTolerance,1,0)</f>
        <v>0</v>
      </c>
      <c r="AM12" s="279">
        <f ca="1">IF(ABS(Z12-M12)&gt;SnapshotTolerance,1,0)</f>
        <v>0</v>
      </c>
    </row>
    <row r="13" spans="2:39">
      <c r="B13" s="282" t="str">
        <f>'GBP Swap PVs'!M7</f>
        <v>5Y</v>
      </c>
      <c r="C13" s="278">
        <f ca="1">'GBP Swap PVs'!N7</f>
        <v>242457.13075464792</v>
      </c>
      <c r="D13" s="278">
        <f ca="1">'GBP Swap PVs'!O7</f>
        <v>193965.70460371833</v>
      </c>
      <c r="E13" s="278">
        <f ca="1">'GBP Swap PVs'!P7</f>
        <v>145474.27845278874</v>
      </c>
      <c r="F13" s="278">
        <f ca="1">'GBP Swap PVs'!Q7</f>
        <v>96982.852301859137</v>
      </c>
      <c r="G13" s="278">
        <f ca="1">'GBP Swap PVs'!R7</f>
        <v>48491.426150929561</v>
      </c>
      <c r="H13" s="278">
        <f ca="1">'GBP Swap PVs'!S7</f>
        <v>0</v>
      </c>
      <c r="I13" s="278">
        <f ca="1">'GBP Swap PVs'!T7</f>
        <v>-48491.42615092959</v>
      </c>
      <c r="J13" s="278">
        <f ca="1">'GBP Swap PVs'!U7</f>
        <v>-96982.852301859166</v>
      </c>
      <c r="K13" s="278">
        <f ca="1">'GBP Swap PVs'!V7</f>
        <v>-145474.27845278877</v>
      </c>
      <c r="L13" s="278">
        <f ca="1">'GBP Swap PVs'!W7</f>
        <v>-193965.7046037183</v>
      </c>
      <c r="M13" s="279">
        <f ca="1">'GBP Swap PVs'!X7</f>
        <v>-242457.13075464792</v>
      </c>
      <c r="O13" s="282" t="s">
        <v>33</v>
      </c>
      <c r="P13" s="278">
        <v>242457.13075464792</v>
      </c>
      <c r="Q13" s="278">
        <v>193965.70460371833</v>
      </c>
      <c r="R13" s="278">
        <v>145474.27845278874</v>
      </c>
      <c r="S13" s="278">
        <v>96982.852301859137</v>
      </c>
      <c r="T13" s="278">
        <v>48491.426150929561</v>
      </c>
      <c r="U13" s="278">
        <v>0</v>
      </c>
      <c r="V13" s="278">
        <v>-48491.42615092959</v>
      </c>
      <c r="W13" s="278">
        <v>-96982.852301859166</v>
      </c>
      <c r="X13" s="278">
        <v>-145474.27845278877</v>
      </c>
      <c r="Y13" s="278">
        <v>-193965.7046037183</v>
      </c>
      <c r="Z13" s="279">
        <v>-242457.13075464792</v>
      </c>
      <c r="AB13" s="282" t="str">
        <f t="shared" si="1"/>
        <v>5Y</v>
      </c>
      <c r="AC13" s="278">
        <f ca="1">IF(ABS(P13-C13)&gt;SnapshotTolerance,1,0)</f>
        <v>0</v>
      </c>
      <c r="AD13" s="278">
        <f ca="1">IF(ABS(Q13-D13)&gt;SnapshotTolerance,1,0)</f>
        <v>0</v>
      </c>
      <c r="AE13" s="278">
        <f ca="1">IF(ABS(R13-E13)&gt;SnapshotTolerance,1,0)</f>
        <v>0</v>
      </c>
      <c r="AF13" s="278">
        <f ca="1">IF(ABS(S13-F13)&gt;SnapshotTolerance,1,0)</f>
        <v>0</v>
      </c>
      <c r="AG13" s="278">
        <f ca="1">IF(ABS(T13-G13)&gt;SnapshotTolerance,1,0)</f>
        <v>0</v>
      </c>
      <c r="AH13" s="278">
        <f ca="1">IF(ABS(U13-H13)&gt;SnapshotTolerance,1,0)</f>
        <v>0</v>
      </c>
      <c r="AI13" s="278">
        <f ca="1">IF(ABS(V13-I13)&gt;SnapshotTolerance,1,0)</f>
        <v>0</v>
      </c>
      <c r="AJ13" s="278">
        <f ca="1">IF(ABS(W13-J13)&gt;SnapshotTolerance,1,0)</f>
        <v>0</v>
      </c>
      <c r="AK13" s="278">
        <f ca="1">IF(ABS(X13-K13)&gt;SnapshotTolerance,1,0)</f>
        <v>0</v>
      </c>
      <c r="AL13" s="278">
        <f ca="1">IF(ABS(Y13-L13)&gt;SnapshotTolerance,1,0)</f>
        <v>0</v>
      </c>
      <c r="AM13" s="279">
        <f ca="1">IF(ABS(Z13-M13)&gt;SnapshotTolerance,1,0)</f>
        <v>0</v>
      </c>
    </row>
    <row r="14" spans="2:39">
      <c r="B14" s="282" t="str">
        <f>'GBP Swap PVs'!M8</f>
        <v>6Y</v>
      </c>
      <c r="C14" s="278">
        <f ca="1">'GBP Swap PVs'!N8</f>
        <v>288154.79235869751</v>
      </c>
      <c r="D14" s="278">
        <f ca="1">'GBP Swap PVs'!O8</f>
        <v>230523.83388695802</v>
      </c>
      <c r="E14" s="278">
        <f ca="1">'GBP Swap PVs'!P8</f>
        <v>172892.8754152185</v>
      </c>
      <c r="F14" s="278">
        <f ca="1">'GBP Swap PVs'!Q8</f>
        <v>115261.91694347899</v>
      </c>
      <c r="G14" s="278">
        <f ca="1">'GBP Swap PVs'!R8</f>
        <v>57630.958471739483</v>
      </c>
      <c r="H14" s="278">
        <f ca="1">'GBP Swap PVs'!S8</f>
        <v>0</v>
      </c>
      <c r="I14" s="278">
        <f ca="1">'GBP Swap PVs'!T8</f>
        <v>-57630.958471739505</v>
      </c>
      <c r="J14" s="278">
        <f ca="1">'GBP Swap PVs'!U8</f>
        <v>-115261.91694347902</v>
      </c>
      <c r="K14" s="278">
        <f ca="1">'GBP Swap PVs'!V8</f>
        <v>-172892.87541521847</v>
      </c>
      <c r="L14" s="278">
        <f ca="1">'GBP Swap PVs'!W8</f>
        <v>-230523.83388695802</v>
      </c>
      <c r="M14" s="279">
        <f ca="1">'GBP Swap PVs'!X8</f>
        <v>-288154.79235869751</v>
      </c>
      <c r="O14" s="282" t="s">
        <v>131</v>
      </c>
      <c r="P14" s="278">
        <v>288154.79235869751</v>
      </c>
      <c r="Q14" s="278">
        <v>230523.83388695802</v>
      </c>
      <c r="R14" s="278">
        <v>172892.8754152185</v>
      </c>
      <c r="S14" s="278">
        <v>115261.91694347899</v>
      </c>
      <c r="T14" s="278">
        <v>57630.958471739483</v>
      </c>
      <c r="U14" s="278">
        <v>0</v>
      </c>
      <c r="V14" s="278">
        <v>-57630.958471739505</v>
      </c>
      <c r="W14" s="278">
        <v>-115261.91694347902</v>
      </c>
      <c r="X14" s="278">
        <v>-172892.87541521847</v>
      </c>
      <c r="Y14" s="278">
        <v>-230523.83388695802</v>
      </c>
      <c r="Z14" s="279">
        <v>-288154.79235869751</v>
      </c>
      <c r="AB14" s="282" t="str">
        <f t="shared" si="1"/>
        <v>6Y</v>
      </c>
      <c r="AC14" s="278">
        <f ca="1">IF(ABS(P14-C14)&gt;SnapshotTolerance,1,0)</f>
        <v>0</v>
      </c>
      <c r="AD14" s="278">
        <f ca="1">IF(ABS(Q14-D14)&gt;SnapshotTolerance,1,0)</f>
        <v>0</v>
      </c>
      <c r="AE14" s="278">
        <f ca="1">IF(ABS(R14-E14)&gt;SnapshotTolerance,1,0)</f>
        <v>0</v>
      </c>
      <c r="AF14" s="278">
        <f ca="1">IF(ABS(S14-F14)&gt;SnapshotTolerance,1,0)</f>
        <v>0</v>
      </c>
      <c r="AG14" s="278">
        <f ca="1">IF(ABS(T14-G14)&gt;SnapshotTolerance,1,0)</f>
        <v>0</v>
      </c>
      <c r="AH14" s="278">
        <f ca="1">IF(ABS(U14-H14)&gt;SnapshotTolerance,1,0)</f>
        <v>0</v>
      </c>
      <c r="AI14" s="278">
        <f ca="1">IF(ABS(V14-I14)&gt;SnapshotTolerance,1,0)</f>
        <v>0</v>
      </c>
      <c r="AJ14" s="278">
        <f ca="1">IF(ABS(W14-J14)&gt;SnapshotTolerance,1,0)</f>
        <v>0</v>
      </c>
      <c r="AK14" s="278">
        <f ca="1">IF(ABS(X14-K14)&gt;SnapshotTolerance,1,0)</f>
        <v>0</v>
      </c>
      <c r="AL14" s="278">
        <f ca="1">IF(ABS(Y14-L14)&gt;SnapshotTolerance,1,0)</f>
        <v>0</v>
      </c>
      <c r="AM14" s="279">
        <f ca="1">IF(ABS(Z14-M14)&gt;SnapshotTolerance,1,0)</f>
        <v>0</v>
      </c>
    </row>
    <row r="15" spans="2:39">
      <c r="B15" s="282" t="str">
        <f>'GBP Swap PVs'!M9</f>
        <v>7Y</v>
      </c>
      <c r="C15" s="278">
        <f ca="1">'GBP Swap PVs'!N9</f>
        <v>332777.29112241004</v>
      </c>
      <c r="D15" s="278">
        <f ca="1">'GBP Swap PVs'!O9</f>
        <v>266221.83289792808</v>
      </c>
      <c r="E15" s="278">
        <f ca="1">'GBP Swap PVs'!P9</f>
        <v>199666.37467344603</v>
      </c>
      <c r="F15" s="278">
        <f ca="1">'GBP Swap PVs'!Q9</f>
        <v>133110.91644896401</v>
      </c>
      <c r="G15" s="278">
        <f ca="1">'GBP Swap PVs'!R9</f>
        <v>66555.45822448199</v>
      </c>
      <c r="H15" s="278">
        <f ca="1">'GBP Swap PVs'!S9</f>
        <v>0</v>
      </c>
      <c r="I15" s="278">
        <f ca="1">'GBP Swap PVs'!T9</f>
        <v>-66555.458224482005</v>
      </c>
      <c r="J15" s="278">
        <f ca="1">'GBP Swap PVs'!U9</f>
        <v>-133110.91644896407</v>
      </c>
      <c r="K15" s="278">
        <f ca="1">'GBP Swap PVs'!V9</f>
        <v>-199666.37467344606</v>
      </c>
      <c r="L15" s="278">
        <f ca="1">'GBP Swap PVs'!W9</f>
        <v>-266221.83289792808</v>
      </c>
      <c r="M15" s="279">
        <f ca="1">'GBP Swap PVs'!X9</f>
        <v>-332777.2911224101</v>
      </c>
      <c r="O15" s="282" t="s">
        <v>31</v>
      </c>
      <c r="P15" s="278">
        <v>332777.29112241004</v>
      </c>
      <c r="Q15" s="278">
        <v>266221.83289792808</v>
      </c>
      <c r="R15" s="278">
        <v>199666.37467344603</v>
      </c>
      <c r="S15" s="278">
        <v>133110.91644896401</v>
      </c>
      <c r="T15" s="278">
        <v>66555.45822448199</v>
      </c>
      <c r="U15" s="278">
        <v>0</v>
      </c>
      <c r="V15" s="278">
        <v>-66555.458224482005</v>
      </c>
      <c r="W15" s="278">
        <v>-133110.91644896407</v>
      </c>
      <c r="X15" s="278">
        <v>-199666.37467344606</v>
      </c>
      <c r="Y15" s="278">
        <v>-266221.83289792808</v>
      </c>
      <c r="Z15" s="279">
        <v>-332777.2911224101</v>
      </c>
      <c r="AB15" s="282" t="str">
        <f t="shared" si="1"/>
        <v>7Y</v>
      </c>
      <c r="AC15" s="278">
        <f ca="1">IF(ABS(P15-C15)&gt;SnapshotTolerance,1,0)</f>
        <v>0</v>
      </c>
      <c r="AD15" s="278">
        <f ca="1">IF(ABS(Q15-D15)&gt;SnapshotTolerance,1,0)</f>
        <v>0</v>
      </c>
      <c r="AE15" s="278">
        <f ca="1">IF(ABS(R15-E15)&gt;SnapshotTolerance,1,0)</f>
        <v>0</v>
      </c>
      <c r="AF15" s="278">
        <f ca="1">IF(ABS(S15-F15)&gt;SnapshotTolerance,1,0)</f>
        <v>0</v>
      </c>
      <c r="AG15" s="278">
        <f ca="1">IF(ABS(T15-G15)&gt;SnapshotTolerance,1,0)</f>
        <v>0</v>
      </c>
      <c r="AH15" s="278">
        <f ca="1">IF(ABS(U15-H15)&gt;SnapshotTolerance,1,0)</f>
        <v>0</v>
      </c>
      <c r="AI15" s="278">
        <f ca="1">IF(ABS(V15-I15)&gt;SnapshotTolerance,1,0)</f>
        <v>0</v>
      </c>
      <c r="AJ15" s="278">
        <f ca="1">IF(ABS(W15-J15)&gt;SnapshotTolerance,1,0)</f>
        <v>0</v>
      </c>
      <c r="AK15" s="278">
        <f ca="1">IF(ABS(X15-K15)&gt;SnapshotTolerance,1,0)</f>
        <v>0</v>
      </c>
      <c r="AL15" s="278">
        <f ca="1">IF(ABS(Y15-L15)&gt;SnapshotTolerance,1,0)</f>
        <v>0</v>
      </c>
      <c r="AM15" s="279">
        <f ca="1">IF(ABS(Z15-M15)&gt;SnapshotTolerance,1,0)</f>
        <v>0</v>
      </c>
    </row>
    <row r="16" spans="2:39">
      <c r="B16" s="282" t="str">
        <f>'GBP Swap PVs'!M10</f>
        <v>8Y</v>
      </c>
      <c r="C16" s="278">
        <f ca="1">'GBP Swap PVs'!N10</f>
        <v>376308.72409313201</v>
      </c>
      <c r="D16" s="278">
        <f ca="1">'GBP Swap PVs'!O10</f>
        <v>301046.97927450557</v>
      </c>
      <c r="E16" s="278">
        <f ca="1">'GBP Swap PVs'!P10</f>
        <v>225785.23445587917</v>
      </c>
      <c r="F16" s="278">
        <f ca="1">'GBP Swap PVs'!Q10</f>
        <v>150523.48963725276</v>
      </c>
      <c r="G16" s="278">
        <f ca="1">'GBP Swap PVs'!R10</f>
        <v>75261.744818626365</v>
      </c>
      <c r="H16" s="278">
        <f ca="1">'GBP Swap PVs'!S10</f>
        <v>0</v>
      </c>
      <c r="I16" s="278">
        <f ca="1">'GBP Swap PVs'!T10</f>
        <v>-75261.744818626408</v>
      </c>
      <c r="J16" s="278">
        <f ca="1">'GBP Swap PVs'!U10</f>
        <v>-150523.48963725282</v>
      </c>
      <c r="K16" s="278">
        <f ca="1">'GBP Swap PVs'!V10</f>
        <v>-225785.23445587917</v>
      </c>
      <c r="L16" s="278">
        <f ca="1">'GBP Swap PVs'!W10</f>
        <v>-301046.97927450563</v>
      </c>
      <c r="M16" s="279">
        <f ca="1">'GBP Swap PVs'!X10</f>
        <v>-376308.72409313201</v>
      </c>
      <c r="O16" s="282" t="s">
        <v>119</v>
      </c>
      <c r="P16" s="278">
        <v>376308.72409313201</v>
      </c>
      <c r="Q16" s="278">
        <v>301046.97927450557</v>
      </c>
      <c r="R16" s="278">
        <v>225785.23445587917</v>
      </c>
      <c r="S16" s="278">
        <v>150523.48963725276</v>
      </c>
      <c r="T16" s="278">
        <v>75261.744818626365</v>
      </c>
      <c r="U16" s="278">
        <v>0</v>
      </c>
      <c r="V16" s="278">
        <v>-75261.744818626408</v>
      </c>
      <c r="W16" s="278">
        <v>-150523.48963725282</v>
      </c>
      <c r="X16" s="278">
        <v>-225785.23445587917</v>
      </c>
      <c r="Y16" s="278">
        <v>-301046.97927450563</v>
      </c>
      <c r="Z16" s="279">
        <v>-376308.72409313201</v>
      </c>
      <c r="AB16" s="282" t="str">
        <f t="shared" si="1"/>
        <v>8Y</v>
      </c>
      <c r="AC16" s="278">
        <f ca="1">IF(ABS(P16-C16)&gt;SnapshotTolerance,1,0)</f>
        <v>0</v>
      </c>
      <c r="AD16" s="278">
        <f ca="1">IF(ABS(Q16-D16)&gt;SnapshotTolerance,1,0)</f>
        <v>0</v>
      </c>
      <c r="AE16" s="278">
        <f ca="1">IF(ABS(R16-E16)&gt;SnapshotTolerance,1,0)</f>
        <v>0</v>
      </c>
      <c r="AF16" s="278">
        <f ca="1">IF(ABS(S16-F16)&gt;SnapshotTolerance,1,0)</f>
        <v>0</v>
      </c>
      <c r="AG16" s="278">
        <f ca="1">IF(ABS(T16-G16)&gt;SnapshotTolerance,1,0)</f>
        <v>0</v>
      </c>
      <c r="AH16" s="278">
        <f ca="1">IF(ABS(U16-H16)&gt;SnapshotTolerance,1,0)</f>
        <v>0</v>
      </c>
      <c r="AI16" s="278">
        <f ca="1">IF(ABS(V16-I16)&gt;SnapshotTolerance,1,0)</f>
        <v>0</v>
      </c>
      <c r="AJ16" s="278">
        <f ca="1">IF(ABS(W16-J16)&gt;SnapshotTolerance,1,0)</f>
        <v>0</v>
      </c>
      <c r="AK16" s="278">
        <f ca="1">IF(ABS(X16-K16)&gt;SnapshotTolerance,1,0)</f>
        <v>0</v>
      </c>
      <c r="AL16" s="278">
        <f ca="1">IF(ABS(Y16-L16)&gt;SnapshotTolerance,1,0)</f>
        <v>0</v>
      </c>
      <c r="AM16" s="279">
        <f ca="1">IF(ABS(Z16-M16)&gt;SnapshotTolerance,1,0)</f>
        <v>0</v>
      </c>
    </row>
    <row r="17" spans="2:39">
      <c r="B17" s="282" t="str">
        <f>'GBP Swap PVs'!M11</f>
        <v>9Y</v>
      </c>
      <c r="C17" s="278">
        <f ca="1">'GBP Swap PVs'!N11</f>
        <v>419096.32897531765</v>
      </c>
      <c r="D17" s="278">
        <f ca="1">'GBP Swap PVs'!O11</f>
        <v>335277.06318025407</v>
      </c>
      <c r="E17" s="278">
        <f ca="1">'GBP Swap PVs'!P11</f>
        <v>251457.79738519058</v>
      </c>
      <c r="F17" s="278">
        <f ca="1">'GBP Swap PVs'!Q11</f>
        <v>167638.53159012704</v>
      </c>
      <c r="G17" s="278">
        <f ca="1">'GBP Swap PVs'!R11</f>
        <v>83819.265795063504</v>
      </c>
      <c r="H17" s="278">
        <f ca="1">'GBP Swap PVs'!S11</f>
        <v>0</v>
      </c>
      <c r="I17" s="278">
        <f ca="1">'GBP Swap PVs'!T11</f>
        <v>-83819.265795063489</v>
      </c>
      <c r="J17" s="278">
        <f ca="1">'GBP Swap PVs'!U11</f>
        <v>-167638.53159012704</v>
      </c>
      <c r="K17" s="278">
        <f ca="1">'GBP Swap PVs'!V11</f>
        <v>-251457.79738519053</v>
      </c>
      <c r="L17" s="278">
        <f ca="1">'GBP Swap PVs'!W11</f>
        <v>-335277.06318025407</v>
      </c>
      <c r="M17" s="279">
        <f ca="1">'GBP Swap PVs'!X11</f>
        <v>-419096.32897531759</v>
      </c>
      <c r="O17" s="282" t="s">
        <v>113</v>
      </c>
      <c r="P17" s="278">
        <v>419096.32897531765</v>
      </c>
      <c r="Q17" s="278">
        <v>335277.06318025407</v>
      </c>
      <c r="R17" s="278">
        <v>251457.79738519058</v>
      </c>
      <c r="S17" s="278">
        <v>167638.53159012704</v>
      </c>
      <c r="T17" s="278">
        <v>83819.265795063504</v>
      </c>
      <c r="U17" s="278">
        <v>0</v>
      </c>
      <c r="V17" s="278">
        <v>-83819.265795063489</v>
      </c>
      <c r="W17" s="278">
        <v>-167638.53159012704</v>
      </c>
      <c r="X17" s="278">
        <v>-251457.79738519053</v>
      </c>
      <c r="Y17" s="278">
        <v>-335277.06318025407</v>
      </c>
      <c r="Z17" s="279">
        <v>-419096.32897531759</v>
      </c>
      <c r="AB17" s="282" t="str">
        <f t="shared" si="1"/>
        <v>9Y</v>
      </c>
      <c r="AC17" s="278">
        <f ca="1">IF(ABS(P17-C17)&gt;SnapshotTolerance,1,0)</f>
        <v>0</v>
      </c>
      <c r="AD17" s="278">
        <f ca="1">IF(ABS(Q17-D17)&gt;SnapshotTolerance,1,0)</f>
        <v>0</v>
      </c>
      <c r="AE17" s="278">
        <f ca="1">IF(ABS(R17-E17)&gt;SnapshotTolerance,1,0)</f>
        <v>0</v>
      </c>
      <c r="AF17" s="278">
        <f ca="1">IF(ABS(S17-F17)&gt;SnapshotTolerance,1,0)</f>
        <v>0</v>
      </c>
      <c r="AG17" s="278">
        <f ca="1">IF(ABS(T17-G17)&gt;SnapshotTolerance,1,0)</f>
        <v>0</v>
      </c>
      <c r="AH17" s="278">
        <f ca="1">IF(ABS(U17-H17)&gt;SnapshotTolerance,1,0)</f>
        <v>0</v>
      </c>
      <c r="AI17" s="278">
        <f ca="1">IF(ABS(V17-I17)&gt;SnapshotTolerance,1,0)</f>
        <v>0</v>
      </c>
      <c r="AJ17" s="278">
        <f ca="1">IF(ABS(W17-J17)&gt;SnapshotTolerance,1,0)</f>
        <v>0</v>
      </c>
      <c r="AK17" s="278">
        <f ca="1">IF(ABS(X17-K17)&gt;SnapshotTolerance,1,0)</f>
        <v>0</v>
      </c>
      <c r="AL17" s="278">
        <f ca="1">IF(ABS(Y17-L17)&gt;SnapshotTolerance,1,0)</f>
        <v>0</v>
      </c>
      <c r="AM17" s="279">
        <f ca="1">IF(ABS(Z17-M17)&gt;SnapshotTolerance,1,0)</f>
        <v>0</v>
      </c>
    </row>
    <row r="18" spans="2:39">
      <c r="B18" s="282" t="str">
        <f>'GBP Swap PVs'!M12</f>
        <v>10Y</v>
      </c>
      <c r="C18" s="278">
        <f ca="1">'GBP Swap PVs'!N12</f>
        <v>460336.45975731342</v>
      </c>
      <c r="D18" s="278">
        <f ca="1">'GBP Swap PVs'!O12</f>
        <v>368269.16780585074</v>
      </c>
      <c r="E18" s="278">
        <f ca="1">'GBP Swap PVs'!P12</f>
        <v>276201.87585438805</v>
      </c>
      <c r="F18" s="278">
        <f ca="1">'GBP Swap PVs'!Q12</f>
        <v>184134.58390292534</v>
      </c>
      <c r="G18" s="278">
        <f ca="1">'GBP Swap PVs'!R12</f>
        <v>92067.291951462641</v>
      </c>
      <c r="H18" s="278">
        <f ca="1">'GBP Swap PVs'!S12</f>
        <v>0</v>
      </c>
      <c r="I18" s="278">
        <f ca="1">'GBP Swap PVs'!T12</f>
        <v>-92067.291951462685</v>
      </c>
      <c r="J18" s="278">
        <f ca="1">'GBP Swap PVs'!U12</f>
        <v>-184134.58390292537</v>
      </c>
      <c r="K18" s="278">
        <f ca="1">'GBP Swap PVs'!V12</f>
        <v>-276201.87585438805</v>
      </c>
      <c r="L18" s="278">
        <f ca="1">'GBP Swap PVs'!W12</f>
        <v>-368269.16780585074</v>
      </c>
      <c r="M18" s="279">
        <f ca="1">'GBP Swap PVs'!X12</f>
        <v>-460336.45975731354</v>
      </c>
      <c r="O18" s="282" t="s">
        <v>28</v>
      </c>
      <c r="P18" s="278">
        <v>460336.45975731342</v>
      </c>
      <c r="Q18" s="278">
        <v>368269.16780585074</v>
      </c>
      <c r="R18" s="278">
        <v>276201.87585438805</v>
      </c>
      <c r="S18" s="278">
        <v>184134.58390292534</v>
      </c>
      <c r="T18" s="278">
        <v>92067.291951462641</v>
      </c>
      <c r="U18" s="278">
        <v>0</v>
      </c>
      <c r="V18" s="278">
        <v>-92067.291951462685</v>
      </c>
      <c r="W18" s="278">
        <v>-184134.58390292537</v>
      </c>
      <c r="X18" s="278">
        <v>-276201.87585438805</v>
      </c>
      <c r="Y18" s="278">
        <v>-368269.16780585074</v>
      </c>
      <c r="Z18" s="279">
        <v>-460336.45975731354</v>
      </c>
      <c r="AB18" s="282" t="str">
        <f t="shared" si="1"/>
        <v>10Y</v>
      </c>
      <c r="AC18" s="278">
        <f ca="1">IF(ABS(P18-C18)&gt;SnapshotTolerance,1,0)</f>
        <v>0</v>
      </c>
      <c r="AD18" s="278">
        <f ca="1">IF(ABS(Q18-D18)&gt;SnapshotTolerance,1,0)</f>
        <v>0</v>
      </c>
      <c r="AE18" s="278">
        <f ca="1">IF(ABS(R18-E18)&gt;SnapshotTolerance,1,0)</f>
        <v>0</v>
      </c>
      <c r="AF18" s="278">
        <f ca="1">IF(ABS(S18-F18)&gt;SnapshotTolerance,1,0)</f>
        <v>0</v>
      </c>
      <c r="AG18" s="278">
        <f ca="1">IF(ABS(T18-G18)&gt;SnapshotTolerance,1,0)</f>
        <v>0</v>
      </c>
      <c r="AH18" s="278">
        <f ca="1">IF(ABS(U18-H18)&gt;SnapshotTolerance,1,0)</f>
        <v>0</v>
      </c>
      <c r="AI18" s="278">
        <f ca="1">IF(ABS(V18-I18)&gt;SnapshotTolerance,1,0)</f>
        <v>0</v>
      </c>
      <c r="AJ18" s="278">
        <f ca="1">IF(ABS(W18-J18)&gt;SnapshotTolerance,1,0)</f>
        <v>0</v>
      </c>
      <c r="AK18" s="278">
        <f ca="1">IF(ABS(X18-K18)&gt;SnapshotTolerance,1,0)</f>
        <v>0</v>
      </c>
      <c r="AL18" s="278">
        <f ca="1">IF(ABS(Y18-L18)&gt;SnapshotTolerance,1,0)</f>
        <v>0</v>
      </c>
      <c r="AM18" s="279">
        <f ca="1">IF(ABS(Z18-M18)&gt;SnapshotTolerance,1,0)</f>
        <v>0</v>
      </c>
    </row>
    <row r="19" spans="2:39">
      <c r="B19" s="282" t="str">
        <f>'GBP Swap PVs'!M13</f>
        <v>12Y</v>
      </c>
      <c r="C19" s="278">
        <f ca="1">'GBP Swap PVs'!N13</f>
        <v>539672.60962191247</v>
      </c>
      <c r="D19" s="278">
        <f ca="1">'GBP Swap PVs'!O13</f>
        <v>431738.08769752987</v>
      </c>
      <c r="E19" s="278">
        <f ca="1">'GBP Swap PVs'!P13</f>
        <v>323803.56577314739</v>
      </c>
      <c r="F19" s="278">
        <f ca="1">'GBP Swap PVs'!Q13</f>
        <v>215869.04384876491</v>
      </c>
      <c r="G19" s="278">
        <f ca="1">'GBP Swap PVs'!R13</f>
        <v>107934.52192438244</v>
      </c>
      <c r="H19" s="278">
        <f ca="1">'GBP Swap PVs'!S13</f>
        <v>0</v>
      </c>
      <c r="I19" s="278">
        <f ca="1">'GBP Swap PVs'!T13</f>
        <v>-107934.52192438247</v>
      </c>
      <c r="J19" s="278">
        <f ca="1">'GBP Swap PVs'!U13</f>
        <v>-215869.04384876488</v>
      </c>
      <c r="K19" s="278">
        <f ca="1">'GBP Swap PVs'!V13</f>
        <v>-323803.56577314739</v>
      </c>
      <c r="L19" s="278">
        <f ca="1">'GBP Swap PVs'!W13</f>
        <v>-431738.08769752987</v>
      </c>
      <c r="M19" s="279">
        <f ca="1">'GBP Swap PVs'!X13</f>
        <v>-539672.60962191236</v>
      </c>
      <c r="O19" s="282" t="s">
        <v>26</v>
      </c>
      <c r="P19" s="278">
        <v>539672.60962191247</v>
      </c>
      <c r="Q19" s="278">
        <v>431738.08769752987</v>
      </c>
      <c r="R19" s="278">
        <v>323803.56577314739</v>
      </c>
      <c r="S19" s="278">
        <v>215869.04384876491</v>
      </c>
      <c r="T19" s="278">
        <v>107934.52192438244</v>
      </c>
      <c r="U19" s="278">
        <v>0</v>
      </c>
      <c r="V19" s="278">
        <v>-107934.52192438247</v>
      </c>
      <c r="W19" s="278">
        <v>-215869.04384876488</v>
      </c>
      <c r="X19" s="278">
        <v>-323803.56577314739</v>
      </c>
      <c r="Y19" s="278">
        <v>-431738.08769752987</v>
      </c>
      <c r="Z19" s="279">
        <v>-539672.60962191236</v>
      </c>
      <c r="AB19" s="282" t="str">
        <f t="shared" si="1"/>
        <v>12Y</v>
      </c>
      <c r="AC19" s="278">
        <f ca="1">IF(ABS(P19-C19)&gt;SnapshotTolerance,1,0)</f>
        <v>0</v>
      </c>
      <c r="AD19" s="278">
        <f ca="1">IF(ABS(Q19-D19)&gt;SnapshotTolerance,1,0)</f>
        <v>0</v>
      </c>
      <c r="AE19" s="278">
        <f ca="1">IF(ABS(R19-E19)&gt;SnapshotTolerance,1,0)</f>
        <v>0</v>
      </c>
      <c r="AF19" s="278">
        <f ca="1">IF(ABS(S19-F19)&gt;SnapshotTolerance,1,0)</f>
        <v>0</v>
      </c>
      <c r="AG19" s="278">
        <f ca="1">IF(ABS(T19-G19)&gt;SnapshotTolerance,1,0)</f>
        <v>0</v>
      </c>
      <c r="AH19" s="278">
        <f ca="1">IF(ABS(U19-H19)&gt;SnapshotTolerance,1,0)</f>
        <v>0</v>
      </c>
      <c r="AI19" s="278">
        <f ca="1">IF(ABS(V19-I19)&gt;SnapshotTolerance,1,0)</f>
        <v>0</v>
      </c>
      <c r="AJ19" s="278">
        <f ca="1">IF(ABS(W19-J19)&gt;SnapshotTolerance,1,0)</f>
        <v>0</v>
      </c>
      <c r="AK19" s="278">
        <f ca="1">IF(ABS(X19-K19)&gt;SnapshotTolerance,1,0)</f>
        <v>0</v>
      </c>
      <c r="AL19" s="278">
        <f ca="1">IF(ABS(Y19-L19)&gt;SnapshotTolerance,1,0)</f>
        <v>0</v>
      </c>
      <c r="AM19" s="279">
        <f ca="1">IF(ABS(Z19-M19)&gt;SnapshotTolerance,1,0)</f>
        <v>0</v>
      </c>
    </row>
    <row r="20" spans="2:39">
      <c r="B20" s="282" t="str">
        <f>'GBP Swap PVs'!M14</f>
        <v>15Y</v>
      </c>
      <c r="C20" s="278">
        <f ca="1">'GBP Swap PVs'!N14</f>
        <v>651221.71456541598</v>
      </c>
      <c r="D20" s="278">
        <f ca="1">'GBP Swap PVs'!O14</f>
        <v>520977.37165233272</v>
      </c>
      <c r="E20" s="278">
        <f ca="1">'GBP Swap PVs'!P14</f>
        <v>390733.02873924951</v>
      </c>
      <c r="F20" s="278">
        <f ca="1">'GBP Swap PVs'!Q14</f>
        <v>260488.68582616636</v>
      </c>
      <c r="G20" s="278">
        <f ca="1">'GBP Swap PVs'!R14</f>
        <v>130244.34291308315</v>
      </c>
      <c r="H20" s="278">
        <f ca="1">'GBP Swap PVs'!S14</f>
        <v>0</v>
      </c>
      <c r="I20" s="278">
        <f ca="1">'GBP Swap PVs'!T14</f>
        <v>-130244.34291308318</v>
      </c>
      <c r="J20" s="278">
        <f ca="1">'GBP Swap PVs'!U14</f>
        <v>-260488.68582616642</v>
      </c>
      <c r="K20" s="278">
        <f ca="1">'GBP Swap PVs'!V14</f>
        <v>-390733.02873924945</v>
      </c>
      <c r="L20" s="278">
        <f ca="1">'GBP Swap PVs'!W14</f>
        <v>-520977.37165233248</v>
      </c>
      <c r="M20" s="279">
        <f ca="1">'GBP Swap PVs'!X14</f>
        <v>-651221.71456541575</v>
      </c>
      <c r="O20" s="282" t="s">
        <v>24</v>
      </c>
      <c r="P20" s="278">
        <v>651221.71456541598</v>
      </c>
      <c r="Q20" s="278">
        <v>520977.37165233272</v>
      </c>
      <c r="R20" s="278">
        <v>390733.02873924951</v>
      </c>
      <c r="S20" s="278">
        <v>260488.68582616636</v>
      </c>
      <c r="T20" s="278">
        <v>130244.34291308315</v>
      </c>
      <c r="U20" s="278">
        <v>0</v>
      </c>
      <c r="V20" s="278">
        <v>-130244.34291308318</v>
      </c>
      <c r="W20" s="278">
        <v>-260488.68582616642</v>
      </c>
      <c r="X20" s="278">
        <v>-390733.02873924945</v>
      </c>
      <c r="Y20" s="278">
        <v>-520977.37165233248</v>
      </c>
      <c r="Z20" s="279">
        <v>-651221.71456541575</v>
      </c>
      <c r="AB20" s="282" t="str">
        <f t="shared" si="1"/>
        <v>15Y</v>
      </c>
      <c r="AC20" s="278">
        <f ca="1">IF(ABS(P20-C20)&gt;SnapshotTolerance,1,0)</f>
        <v>0</v>
      </c>
      <c r="AD20" s="278">
        <f ca="1">IF(ABS(Q20-D20)&gt;SnapshotTolerance,1,0)</f>
        <v>0</v>
      </c>
      <c r="AE20" s="278">
        <f ca="1">IF(ABS(R20-E20)&gt;SnapshotTolerance,1,0)</f>
        <v>0</v>
      </c>
      <c r="AF20" s="278">
        <f ca="1">IF(ABS(S20-F20)&gt;SnapshotTolerance,1,0)</f>
        <v>0</v>
      </c>
      <c r="AG20" s="278">
        <f ca="1">IF(ABS(T20-G20)&gt;SnapshotTolerance,1,0)</f>
        <v>0</v>
      </c>
      <c r="AH20" s="278">
        <f ca="1">IF(ABS(U20-H20)&gt;SnapshotTolerance,1,0)</f>
        <v>0</v>
      </c>
      <c r="AI20" s="278">
        <f ca="1">IF(ABS(V20-I20)&gt;SnapshotTolerance,1,0)</f>
        <v>0</v>
      </c>
      <c r="AJ20" s="278">
        <f ca="1">IF(ABS(W20-J20)&gt;SnapshotTolerance,1,0)</f>
        <v>0</v>
      </c>
      <c r="AK20" s="278">
        <f ca="1">IF(ABS(X20-K20)&gt;SnapshotTolerance,1,0)</f>
        <v>0</v>
      </c>
      <c r="AL20" s="278">
        <f ca="1">IF(ABS(Y20-L20)&gt;SnapshotTolerance,1,0)</f>
        <v>0</v>
      </c>
      <c r="AM20" s="279">
        <f ca="1">IF(ABS(Z20-M20)&gt;SnapshotTolerance,1,0)</f>
        <v>0</v>
      </c>
    </row>
    <row r="21" spans="2:39">
      <c r="B21" s="282" t="str">
        <f>'GBP Swap PVs'!M15</f>
        <v>20Y</v>
      </c>
      <c r="C21" s="278">
        <f ca="1">'GBP Swap PVs'!N15</f>
        <v>817694.6631231932</v>
      </c>
      <c r="D21" s="278">
        <f ca="1">'GBP Swap PVs'!O15</f>
        <v>654155.73049855453</v>
      </c>
      <c r="E21" s="278">
        <f ca="1">'GBP Swap PVs'!P15</f>
        <v>490616.79787391587</v>
      </c>
      <c r="F21" s="278">
        <f ca="1">'GBP Swap PVs'!Q15</f>
        <v>327077.86524927715</v>
      </c>
      <c r="G21" s="278">
        <f ca="1">'GBP Swap PVs'!R15</f>
        <v>163538.93262463858</v>
      </c>
      <c r="H21" s="278">
        <f ca="1">'GBP Swap PVs'!S15</f>
        <v>0</v>
      </c>
      <c r="I21" s="278">
        <f ca="1">'GBP Swap PVs'!T15</f>
        <v>-163538.93262463863</v>
      </c>
      <c r="J21" s="278">
        <f ca="1">'GBP Swap PVs'!U15</f>
        <v>-327077.86524927733</v>
      </c>
      <c r="K21" s="278">
        <f ca="1">'GBP Swap PVs'!V15</f>
        <v>-490616.79787391593</v>
      </c>
      <c r="L21" s="278">
        <f ca="1">'GBP Swap PVs'!W15</f>
        <v>-654155.73049855453</v>
      </c>
      <c r="M21" s="279">
        <f ca="1">'GBP Swap PVs'!X15</f>
        <v>-817694.66312319343</v>
      </c>
      <c r="O21" s="282" t="s">
        <v>20</v>
      </c>
      <c r="P21" s="278">
        <v>817694.6631231932</v>
      </c>
      <c r="Q21" s="278">
        <v>654155.73049855453</v>
      </c>
      <c r="R21" s="278">
        <v>490616.79787391587</v>
      </c>
      <c r="S21" s="278">
        <v>327077.86524927715</v>
      </c>
      <c r="T21" s="278">
        <v>163538.93262463858</v>
      </c>
      <c r="U21" s="278">
        <v>0</v>
      </c>
      <c r="V21" s="278">
        <v>-163538.93262463863</v>
      </c>
      <c r="W21" s="278">
        <v>-327077.86524927733</v>
      </c>
      <c r="X21" s="278">
        <v>-490616.79787391593</v>
      </c>
      <c r="Y21" s="278">
        <v>-654155.73049855453</v>
      </c>
      <c r="Z21" s="279">
        <v>-817694.66312319343</v>
      </c>
      <c r="AB21" s="282" t="str">
        <f t="shared" si="1"/>
        <v>20Y</v>
      </c>
      <c r="AC21" s="278">
        <f ca="1">IF(ABS(P21-C21)&gt;SnapshotTolerance,1,0)</f>
        <v>0</v>
      </c>
      <c r="AD21" s="278">
        <f ca="1">IF(ABS(Q21-D21)&gt;SnapshotTolerance,1,0)</f>
        <v>0</v>
      </c>
      <c r="AE21" s="278">
        <f ca="1">IF(ABS(R21-E21)&gt;SnapshotTolerance,1,0)</f>
        <v>0</v>
      </c>
      <c r="AF21" s="278">
        <f ca="1">IF(ABS(S21-F21)&gt;SnapshotTolerance,1,0)</f>
        <v>0</v>
      </c>
      <c r="AG21" s="278">
        <f ca="1">IF(ABS(T21-G21)&gt;SnapshotTolerance,1,0)</f>
        <v>0</v>
      </c>
      <c r="AH21" s="278">
        <f ca="1">IF(ABS(U21-H21)&gt;SnapshotTolerance,1,0)</f>
        <v>0</v>
      </c>
      <c r="AI21" s="278">
        <f ca="1">IF(ABS(V21-I21)&gt;SnapshotTolerance,1,0)</f>
        <v>0</v>
      </c>
      <c r="AJ21" s="278">
        <f ca="1">IF(ABS(W21-J21)&gt;SnapshotTolerance,1,0)</f>
        <v>0</v>
      </c>
      <c r="AK21" s="278">
        <f ca="1">IF(ABS(X21-K21)&gt;SnapshotTolerance,1,0)</f>
        <v>0</v>
      </c>
      <c r="AL21" s="278">
        <f ca="1">IF(ABS(Y21-L21)&gt;SnapshotTolerance,1,0)</f>
        <v>0</v>
      </c>
      <c r="AM21" s="279">
        <f ca="1">IF(ABS(Z21-M21)&gt;SnapshotTolerance,1,0)</f>
        <v>0</v>
      </c>
    </row>
    <row r="22" spans="2:39">
      <c r="B22" s="282" t="str">
        <f>'GBP Swap PVs'!M16</f>
        <v>25Y</v>
      </c>
      <c r="C22" s="278">
        <f ca="1">'GBP Swap PVs'!N16</f>
        <v>964946.47158325405</v>
      </c>
      <c r="D22" s="278">
        <f ca="1">'GBP Swap PVs'!O16</f>
        <v>771957.17726660322</v>
      </c>
      <c r="E22" s="278">
        <f ca="1">'GBP Swap PVs'!P16</f>
        <v>578967.88294995239</v>
      </c>
      <c r="F22" s="278">
        <f ca="1">'GBP Swap PVs'!Q16</f>
        <v>385978.58863330155</v>
      </c>
      <c r="G22" s="278">
        <f ca="1">'GBP Swap PVs'!R16</f>
        <v>192989.29431665075</v>
      </c>
      <c r="H22" s="278">
        <f ca="1">'GBP Swap PVs'!S16</f>
        <v>0</v>
      </c>
      <c r="I22" s="278">
        <f ca="1">'GBP Swap PVs'!T16</f>
        <v>-192989.29431665075</v>
      </c>
      <c r="J22" s="278">
        <f ca="1">'GBP Swap PVs'!U16</f>
        <v>-385978.58863330167</v>
      </c>
      <c r="K22" s="278">
        <f ca="1">'GBP Swap PVs'!V16</f>
        <v>-578967.8829499525</v>
      </c>
      <c r="L22" s="278">
        <f ca="1">'GBP Swap PVs'!W16</f>
        <v>-771957.17726660322</v>
      </c>
      <c r="M22" s="279">
        <f ca="1">'GBP Swap PVs'!X16</f>
        <v>-964946.47158325405</v>
      </c>
      <c r="O22" s="282" t="s">
        <v>18</v>
      </c>
      <c r="P22" s="278">
        <v>964946.47158325405</v>
      </c>
      <c r="Q22" s="278">
        <v>771957.17726660322</v>
      </c>
      <c r="R22" s="278">
        <v>578967.88294995239</v>
      </c>
      <c r="S22" s="278">
        <v>385978.58863330155</v>
      </c>
      <c r="T22" s="278">
        <v>192989.29431665075</v>
      </c>
      <c r="U22" s="278">
        <v>0</v>
      </c>
      <c r="V22" s="278">
        <v>-192989.29431665075</v>
      </c>
      <c r="W22" s="278">
        <v>-385978.58863330167</v>
      </c>
      <c r="X22" s="278">
        <v>-578967.8829499525</v>
      </c>
      <c r="Y22" s="278">
        <v>-771957.17726660322</v>
      </c>
      <c r="Z22" s="279">
        <v>-964946.47158325405</v>
      </c>
      <c r="AB22" s="282" t="str">
        <f t="shared" si="1"/>
        <v>25Y</v>
      </c>
      <c r="AC22" s="278">
        <f ca="1">IF(ABS(P22-C22)&gt;SnapshotTolerance,1,0)</f>
        <v>0</v>
      </c>
      <c r="AD22" s="278">
        <f ca="1">IF(ABS(Q22-D22)&gt;SnapshotTolerance,1,0)</f>
        <v>0</v>
      </c>
      <c r="AE22" s="278">
        <f ca="1">IF(ABS(R22-E22)&gt;SnapshotTolerance,1,0)</f>
        <v>0</v>
      </c>
      <c r="AF22" s="278">
        <f ca="1">IF(ABS(S22-F22)&gt;SnapshotTolerance,1,0)</f>
        <v>0</v>
      </c>
      <c r="AG22" s="278">
        <f ca="1">IF(ABS(T22-G22)&gt;SnapshotTolerance,1,0)</f>
        <v>0</v>
      </c>
      <c r="AH22" s="278">
        <f ca="1">IF(ABS(U22-H22)&gt;SnapshotTolerance,1,0)</f>
        <v>0</v>
      </c>
      <c r="AI22" s="278">
        <f ca="1">IF(ABS(V22-I22)&gt;SnapshotTolerance,1,0)</f>
        <v>0</v>
      </c>
      <c r="AJ22" s="278">
        <f ca="1">IF(ABS(W22-J22)&gt;SnapshotTolerance,1,0)</f>
        <v>0</v>
      </c>
      <c r="AK22" s="278">
        <f ca="1">IF(ABS(X22-K22)&gt;SnapshotTolerance,1,0)</f>
        <v>0</v>
      </c>
      <c r="AL22" s="278">
        <f ca="1">IF(ABS(Y22-L22)&gt;SnapshotTolerance,1,0)</f>
        <v>0</v>
      </c>
      <c r="AM22" s="279">
        <f ca="1">IF(ABS(Z22-M22)&gt;SnapshotTolerance,1,0)</f>
        <v>0</v>
      </c>
    </row>
    <row r="23" spans="2:39">
      <c r="B23" s="282" t="str">
        <f>'GBP Swap PVs'!M17</f>
        <v>30Y</v>
      </c>
      <c r="C23" s="278">
        <f ca="1">'GBP Swap PVs'!N17</f>
        <v>1095875.5704726891</v>
      </c>
      <c r="D23" s="278">
        <f ca="1">'GBP Swap PVs'!O17</f>
        <v>876700.45637815108</v>
      </c>
      <c r="E23" s="278">
        <f ca="1">'GBP Swap PVs'!P17</f>
        <v>657525.34228361328</v>
      </c>
      <c r="F23" s="278">
        <f ca="1">'GBP Swap PVs'!Q17</f>
        <v>438350.22818907542</v>
      </c>
      <c r="G23" s="278">
        <f ca="1">'GBP Swap PVs'!R17</f>
        <v>219175.11409453765</v>
      </c>
      <c r="H23" s="278">
        <f ca="1">'GBP Swap PVs'!S17</f>
        <v>0</v>
      </c>
      <c r="I23" s="278">
        <f ca="1">'GBP Swap PVs'!T17</f>
        <v>-219175.11409453771</v>
      </c>
      <c r="J23" s="278">
        <f ca="1">'GBP Swap PVs'!U17</f>
        <v>-438350.22818907554</v>
      </c>
      <c r="K23" s="278">
        <f ca="1">'GBP Swap PVs'!V17</f>
        <v>-657525.34228361351</v>
      </c>
      <c r="L23" s="278">
        <f ca="1">'GBP Swap PVs'!W17</f>
        <v>-876700.45637815096</v>
      </c>
      <c r="M23" s="279">
        <f ca="1">'GBP Swap PVs'!X17</f>
        <v>-1095875.5704726891</v>
      </c>
      <c r="O23" s="282" t="s">
        <v>17</v>
      </c>
      <c r="P23" s="278">
        <v>1095875.5704726891</v>
      </c>
      <c r="Q23" s="278">
        <v>876700.45637815108</v>
      </c>
      <c r="R23" s="278">
        <v>657525.34228361328</v>
      </c>
      <c r="S23" s="278">
        <v>438350.22818907542</v>
      </c>
      <c r="T23" s="278">
        <v>219175.11409453765</v>
      </c>
      <c r="U23" s="278">
        <v>0</v>
      </c>
      <c r="V23" s="278">
        <v>-219175.11409453771</v>
      </c>
      <c r="W23" s="278">
        <v>-438350.22818907554</v>
      </c>
      <c r="X23" s="278">
        <v>-657525.34228361351</v>
      </c>
      <c r="Y23" s="278">
        <v>-876700.45637815096</v>
      </c>
      <c r="Z23" s="279">
        <v>-1095875.5704726891</v>
      </c>
      <c r="AB23" s="282" t="str">
        <f t="shared" si="1"/>
        <v>30Y</v>
      </c>
      <c r="AC23" s="278">
        <f ca="1">IF(ABS(P23-C23)&gt;SnapshotTolerance,1,0)</f>
        <v>0</v>
      </c>
      <c r="AD23" s="278">
        <f ca="1">IF(ABS(Q23-D23)&gt;SnapshotTolerance,1,0)</f>
        <v>0</v>
      </c>
      <c r="AE23" s="278">
        <f ca="1">IF(ABS(R23-E23)&gt;SnapshotTolerance,1,0)</f>
        <v>0</v>
      </c>
      <c r="AF23" s="278">
        <f ca="1">IF(ABS(S23-F23)&gt;SnapshotTolerance,1,0)</f>
        <v>0</v>
      </c>
      <c r="AG23" s="278">
        <f ca="1">IF(ABS(T23-G23)&gt;SnapshotTolerance,1,0)</f>
        <v>0</v>
      </c>
      <c r="AH23" s="278">
        <f ca="1">IF(ABS(U23-H23)&gt;SnapshotTolerance,1,0)</f>
        <v>0</v>
      </c>
      <c r="AI23" s="278">
        <f ca="1">IF(ABS(V23-I23)&gt;SnapshotTolerance,1,0)</f>
        <v>0</v>
      </c>
      <c r="AJ23" s="278">
        <f ca="1">IF(ABS(W23-J23)&gt;SnapshotTolerance,1,0)</f>
        <v>0</v>
      </c>
      <c r="AK23" s="278">
        <f ca="1">IF(ABS(X23-K23)&gt;SnapshotTolerance,1,0)</f>
        <v>0</v>
      </c>
      <c r="AL23" s="278">
        <f ca="1">IF(ABS(Y23-L23)&gt;SnapshotTolerance,1,0)</f>
        <v>0</v>
      </c>
      <c r="AM23" s="279">
        <f ca="1">IF(ABS(Z23-M23)&gt;SnapshotTolerance,1,0)</f>
        <v>0</v>
      </c>
    </row>
    <row r="24" spans="2:39">
      <c r="B24" s="282" t="str">
        <f>'GBP Swap PVs'!M18</f>
        <v>40Y</v>
      </c>
      <c r="C24" s="278">
        <f ca="1">'GBP Swap PVs'!N18</f>
        <v>1318174.9079456276</v>
      </c>
      <c r="D24" s="278">
        <f ca="1">'GBP Swap PVs'!O18</f>
        <v>1054539.9263565021</v>
      </c>
      <c r="E24" s="278">
        <f ca="1">'GBP Swap PVs'!P18</f>
        <v>790904.94476737652</v>
      </c>
      <c r="F24" s="278">
        <f ca="1">'GBP Swap PVs'!Q18</f>
        <v>527269.96317825094</v>
      </c>
      <c r="G24" s="278">
        <f ca="1">'GBP Swap PVs'!R18</f>
        <v>263634.98158912541</v>
      </c>
      <c r="H24" s="278">
        <f ca="1">'GBP Swap PVs'!S18</f>
        <v>0</v>
      </c>
      <c r="I24" s="278">
        <f ca="1">'GBP Swap PVs'!T18</f>
        <v>-263634.98158912547</v>
      </c>
      <c r="J24" s="278">
        <f ca="1">'GBP Swap PVs'!U18</f>
        <v>-527269.96317825106</v>
      </c>
      <c r="K24" s="278">
        <f ca="1">'GBP Swap PVs'!V18</f>
        <v>-790904.94476737629</v>
      </c>
      <c r="L24" s="278">
        <f ca="1">'GBP Swap PVs'!W18</f>
        <v>-1054539.9263565019</v>
      </c>
      <c r="M24" s="279">
        <f ca="1">'GBP Swap PVs'!X18</f>
        <v>-1318174.9079456276</v>
      </c>
      <c r="O24" s="282" t="s">
        <v>15</v>
      </c>
      <c r="P24" s="278">
        <v>1318174.9079456276</v>
      </c>
      <c r="Q24" s="278">
        <v>1054539.9263565021</v>
      </c>
      <c r="R24" s="278">
        <v>790904.94476737652</v>
      </c>
      <c r="S24" s="278">
        <v>527269.96317825094</v>
      </c>
      <c r="T24" s="278">
        <v>263634.98158912541</v>
      </c>
      <c r="U24" s="278">
        <v>0</v>
      </c>
      <c r="V24" s="278">
        <v>-263634.98158912547</v>
      </c>
      <c r="W24" s="278">
        <v>-527269.96317825106</v>
      </c>
      <c r="X24" s="278">
        <v>-790904.94476737629</v>
      </c>
      <c r="Y24" s="278">
        <v>-1054539.9263565019</v>
      </c>
      <c r="Z24" s="279">
        <v>-1318174.9079456276</v>
      </c>
      <c r="AB24" s="282" t="str">
        <f t="shared" si="1"/>
        <v>40Y</v>
      </c>
      <c r="AC24" s="278">
        <f ca="1">IF(ABS(P24-C24)&gt;SnapshotTolerance,1,0)</f>
        <v>0</v>
      </c>
      <c r="AD24" s="278">
        <f ca="1">IF(ABS(Q24-D24)&gt;SnapshotTolerance,1,0)</f>
        <v>0</v>
      </c>
      <c r="AE24" s="278">
        <f ca="1">IF(ABS(R24-E24)&gt;SnapshotTolerance,1,0)</f>
        <v>0</v>
      </c>
      <c r="AF24" s="278">
        <f ca="1">IF(ABS(S24-F24)&gt;SnapshotTolerance,1,0)</f>
        <v>0</v>
      </c>
      <c r="AG24" s="278">
        <f ca="1">IF(ABS(T24-G24)&gt;SnapshotTolerance,1,0)</f>
        <v>0</v>
      </c>
      <c r="AH24" s="278">
        <f ca="1">IF(ABS(U24-H24)&gt;SnapshotTolerance,1,0)</f>
        <v>0</v>
      </c>
      <c r="AI24" s="278">
        <f ca="1">IF(ABS(V24-I24)&gt;SnapshotTolerance,1,0)</f>
        <v>0</v>
      </c>
      <c r="AJ24" s="278">
        <f ca="1">IF(ABS(W24-J24)&gt;SnapshotTolerance,1,0)</f>
        <v>0</v>
      </c>
      <c r="AK24" s="278">
        <f ca="1">IF(ABS(X24-K24)&gt;SnapshotTolerance,1,0)</f>
        <v>0</v>
      </c>
      <c r="AL24" s="278">
        <f ca="1">IF(ABS(Y24-L24)&gt;SnapshotTolerance,1,0)</f>
        <v>0</v>
      </c>
      <c r="AM24" s="279">
        <f ca="1">IF(ABS(Z24-M24)&gt;SnapshotTolerance,1,0)</f>
        <v>0</v>
      </c>
    </row>
    <row r="25" spans="2:39">
      <c r="B25" s="282" t="str">
        <f>'GBP Swap PVs'!M19</f>
        <v>50Y</v>
      </c>
      <c r="C25" s="278">
        <f ca="1">'GBP Swap PVs'!N19</f>
        <v>1498623.2347463313</v>
      </c>
      <c r="D25" s="278">
        <f ca="1">'GBP Swap PVs'!O19</f>
        <v>1198898.587797065</v>
      </c>
      <c r="E25" s="278">
        <f ca="1">'GBP Swap PVs'!P19</f>
        <v>899173.94084779872</v>
      </c>
      <c r="F25" s="278">
        <f ca="1">'GBP Swap PVs'!Q19</f>
        <v>599449.2938985324</v>
      </c>
      <c r="G25" s="278">
        <f ca="1">'GBP Swap PVs'!R19</f>
        <v>299724.64694926614</v>
      </c>
      <c r="H25" s="278">
        <f ca="1">'GBP Swap PVs'!S19</f>
        <v>0</v>
      </c>
      <c r="I25" s="278">
        <f ca="1">'GBP Swap PVs'!T19</f>
        <v>-299724.64694926626</v>
      </c>
      <c r="J25" s="278">
        <f ca="1">'GBP Swap PVs'!U19</f>
        <v>-599449.29389853252</v>
      </c>
      <c r="K25" s="278">
        <f ca="1">'GBP Swap PVs'!V19</f>
        <v>-899173.94084779883</v>
      </c>
      <c r="L25" s="278">
        <f ca="1">'GBP Swap PVs'!W19</f>
        <v>-1198898.587797065</v>
      </c>
      <c r="M25" s="279">
        <f ca="1">'GBP Swap PVs'!X19</f>
        <v>-1498623.2347463313</v>
      </c>
      <c r="O25" s="282" t="s">
        <v>14</v>
      </c>
      <c r="P25" s="278">
        <v>1498623.2347463313</v>
      </c>
      <c r="Q25" s="278">
        <v>1198898.587797065</v>
      </c>
      <c r="R25" s="278">
        <v>899173.94084779872</v>
      </c>
      <c r="S25" s="278">
        <v>599449.2938985324</v>
      </c>
      <c r="T25" s="278">
        <v>299724.64694926614</v>
      </c>
      <c r="U25" s="278">
        <v>0</v>
      </c>
      <c r="V25" s="278">
        <v>-299724.64694926626</v>
      </c>
      <c r="W25" s="278">
        <v>-599449.29389853252</v>
      </c>
      <c r="X25" s="278">
        <v>-899173.94084779883</v>
      </c>
      <c r="Y25" s="278">
        <v>-1198898.587797065</v>
      </c>
      <c r="Z25" s="279">
        <v>-1498623.2347463313</v>
      </c>
      <c r="AB25" s="282" t="str">
        <f t="shared" si="1"/>
        <v>50Y</v>
      </c>
      <c r="AC25" s="278">
        <f ca="1">IF(ABS(P25-C25)&gt;SnapshotTolerance,1,0)</f>
        <v>0</v>
      </c>
      <c r="AD25" s="278">
        <f ca="1">IF(ABS(Q25-D25)&gt;SnapshotTolerance,1,0)</f>
        <v>0</v>
      </c>
      <c r="AE25" s="278">
        <f ca="1">IF(ABS(R25-E25)&gt;SnapshotTolerance,1,0)</f>
        <v>0</v>
      </c>
      <c r="AF25" s="278">
        <f ca="1">IF(ABS(S25-F25)&gt;SnapshotTolerance,1,0)</f>
        <v>0</v>
      </c>
      <c r="AG25" s="278">
        <f ca="1">IF(ABS(T25-G25)&gt;SnapshotTolerance,1,0)</f>
        <v>0</v>
      </c>
      <c r="AH25" s="278">
        <f ca="1">IF(ABS(U25-H25)&gt;SnapshotTolerance,1,0)</f>
        <v>0</v>
      </c>
      <c r="AI25" s="278">
        <f ca="1">IF(ABS(V25-I25)&gt;SnapshotTolerance,1,0)</f>
        <v>0</v>
      </c>
      <c r="AJ25" s="278">
        <f ca="1">IF(ABS(W25-J25)&gt;SnapshotTolerance,1,0)</f>
        <v>0</v>
      </c>
      <c r="AK25" s="278">
        <f ca="1">IF(ABS(X25-K25)&gt;SnapshotTolerance,1,0)</f>
        <v>0</v>
      </c>
      <c r="AL25" s="278">
        <f ca="1">IF(ABS(Y25-L25)&gt;SnapshotTolerance,1,0)</f>
        <v>0</v>
      </c>
      <c r="AM25" s="279">
        <f ca="1">IF(ABS(Z25-M25)&gt;SnapshotTolerance,1,0)</f>
        <v>0</v>
      </c>
    </row>
    <row r="26" spans="2:39">
      <c r="B26" s="282"/>
      <c r="C26" s="278"/>
      <c r="D26" s="278"/>
      <c r="E26" s="278"/>
      <c r="F26" s="278"/>
      <c r="G26" s="278"/>
      <c r="H26" s="278"/>
      <c r="I26" s="278"/>
      <c r="J26" s="278"/>
      <c r="K26" s="278"/>
      <c r="L26" s="278"/>
      <c r="M26" s="279"/>
      <c r="O26" s="282"/>
      <c r="P26" s="278"/>
      <c r="Q26" s="278"/>
      <c r="R26" s="278"/>
      <c r="S26" s="278"/>
      <c r="T26" s="278"/>
      <c r="U26" s="278"/>
      <c r="V26" s="278"/>
      <c r="W26" s="278"/>
      <c r="X26" s="278"/>
      <c r="Y26" s="278"/>
      <c r="Z26" s="279"/>
      <c r="AB26" s="282"/>
      <c r="AC26" s="278"/>
      <c r="AD26" s="278"/>
      <c r="AE26" s="278"/>
      <c r="AF26" s="278"/>
      <c r="AG26" s="278"/>
      <c r="AH26" s="278"/>
      <c r="AI26" s="278"/>
      <c r="AJ26" s="278"/>
      <c r="AK26" s="278"/>
      <c r="AL26" s="278"/>
      <c r="AM26" s="279"/>
    </row>
    <row r="27" spans="2:39">
      <c r="B27" s="282"/>
      <c r="C27" s="278"/>
      <c r="D27" s="278"/>
      <c r="E27" s="278"/>
      <c r="F27" s="278"/>
      <c r="G27" s="278"/>
      <c r="H27" s="278"/>
      <c r="I27" s="278"/>
      <c r="J27" s="278"/>
      <c r="K27" s="278"/>
      <c r="L27" s="278"/>
      <c r="M27" s="279"/>
      <c r="O27" s="282"/>
      <c r="P27" s="278"/>
      <c r="Q27" s="278"/>
      <c r="R27" s="278"/>
      <c r="S27" s="278"/>
      <c r="T27" s="278"/>
      <c r="U27" s="278"/>
      <c r="V27" s="278"/>
      <c r="W27" s="278"/>
      <c r="X27" s="278"/>
      <c r="Y27" s="278"/>
      <c r="Z27" s="279"/>
      <c r="AB27" s="282"/>
      <c r="AC27" s="278"/>
      <c r="AD27" s="278"/>
      <c r="AE27" s="278"/>
      <c r="AF27" s="278"/>
      <c r="AG27" s="278"/>
      <c r="AH27" s="278"/>
      <c r="AI27" s="278"/>
      <c r="AJ27" s="278"/>
      <c r="AK27" s="278"/>
      <c r="AL27" s="278"/>
      <c r="AM27" s="279"/>
    </row>
    <row r="28" spans="2:39">
      <c r="B28" s="283"/>
      <c r="C28" s="280"/>
      <c r="D28" s="280"/>
      <c r="E28" s="280"/>
      <c r="F28" s="280"/>
      <c r="G28" s="280"/>
      <c r="H28" s="280"/>
      <c r="I28" s="280"/>
      <c r="J28" s="280"/>
      <c r="K28" s="280"/>
      <c r="L28" s="280"/>
      <c r="M28" s="281"/>
      <c r="O28" s="283"/>
      <c r="P28" s="280"/>
      <c r="Q28" s="280"/>
      <c r="R28" s="280"/>
      <c r="S28" s="280"/>
      <c r="T28" s="280"/>
      <c r="U28" s="280"/>
      <c r="V28" s="280"/>
      <c r="W28" s="280"/>
      <c r="X28" s="280"/>
      <c r="Y28" s="280"/>
      <c r="Z28" s="281"/>
      <c r="AB28" s="283"/>
      <c r="AC28" s="280"/>
      <c r="AD28" s="280"/>
      <c r="AE28" s="280"/>
      <c r="AF28" s="280"/>
      <c r="AG28" s="280"/>
      <c r="AH28" s="280"/>
      <c r="AI28" s="280"/>
      <c r="AJ28" s="280"/>
      <c r="AK28" s="280"/>
      <c r="AL28" s="280"/>
      <c r="AM28" s="281"/>
    </row>
    <row r="31" spans="2:39">
      <c r="B31" t="s">
        <v>527</v>
      </c>
      <c r="E31" t="s">
        <v>472</v>
      </c>
    </row>
    <row r="32" spans="2:39">
      <c r="B32" t="s">
        <v>530</v>
      </c>
      <c r="E32" s="252">
        <f ca="1">SUM(AC37:AM55)</f>
        <v>0</v>
      </c>
    </row>
    <row r="33" spans="2:39">
      <c r="B33" t="s">
        <v>529</v>
      </c>
    </row>
    <row r="35" spans="2:39">
      <c r="B35" t="s">
        <v>510</v>
      </c>
      <c r="O35" t="s">
        <v>470</v>
      </c>
      <c r="AB35" t="s">
        <v>511</v>
      </c>
    </row>
    <row r="36" spans="2:39">
      <c r="B36" s="254" t="str">
        <f>'GBP Swap PVs'!M28</f>
        <v>Term</v>
      </c>
      <c r="C36" s="287">
        <f>'GBP Swap PVs'!N28</f>
        <v>500</v>
      </c>
      <c r="D36" s="287">
        <f>'GBP Swap PVs'!O28</f>
        <v>400</v>
      </c>
      <c r="E36" s="287">
        <f>'GBP Swap PVs'!P28</f>
        <v>300</v>
      </c>
      <c r="F36" s="287">
        <f>'GBP Swap PVs'!Q28</f>
        <v>200</v>
      </c>
      <c r="G36" s="287">
        <f>'GBP Swap PVs'!R28</f>
        <v>100</v>
      </c>
      <c r="H36" s="287">
        <f>'GBP Swap PVs'!S28</f>
        <v>0</v>
      </c>
      <c r="I36" s="287">
        <f>'GBP Swap PVs'!T28</f>
        <v>-100</v>
      </c>
      <c r="J36" s="287">
        <f>'GBP Swap PVs'!U28</f>
        <v>-200</v>
      </c>
      <c r="K36" s="287">
        <f>'GBP Swap PVs'!V28</f>
        <v>-300</v>
      </c>
      <c r="L36" s="287">
        <f>'GBP Swap PVs'!W28</f>
        <v>-400</v>
      </c>
      <c r="M36" s="288">
        <f>'GBP Swap PVs'!X28</f>
        <v>-500</v>
      </c>
      <c r="O36" s="254" t="s">
        <v>76</v>
      </c>
      <c r="P36" s="287">
        <v>500</v>
      </c>
      <c r="Q36" s="287">
        <v>400</v>
      </c>
      <c r="R36" s="287">
        <v>300</v>
      </c>
      <c r="S36" s="287">
        <v>200</v>
      </c>
      <c r="T36" s="287">
        <v>100</v>
      </c>
      <c r="U36" s="287">
        <v>0</v>
      </c>
      <c r="V36" s="287">
        <v>-100</v>
      </c>
      <c r="W36" s="287">
        <v>-200</v>
      </c>
      <c r="X36" s="287">
        <v>-300</v>
      </c>
      <c r="Y36" s="287">
        <v>-400</v>
      </c>
      <c r="Z36" s="288">
        <v>-500</v>
      </c>
      <c r="AB36" s="254" t="str">
        <f>O36</f>
        <v>Term</v>
      </c>
      <c r="AC36" s="287">
        <f>P36</f>
        <v>500</v>
      </c>
      <c r="AD36" s="287">
        <f t="shared" ref="AD36:AM36" si="2">Q36</f>
        <v>400</v>
      </c>
      <c r="AE36" s="287">
        <f t="shared" si="2"/>
        <v>300</v>
      </c>
      <c r="AF36" s="287">
        <f t="shared" si="2"/>
        <v>200</v>
      </c>
      <c r="AG36" s="287">
        <f t="shared" si="2"/>
        <v>100</v>
      </c>
      <c r="AH36" s="287">
        <f t="shared" si="2"/>
        <v>0</v>
      </c>
      <c r="AI36" s="287">
        <f t="shared" si="2"/>
        <v>-100</v>
      </c>
      <c r="AJ36" s="287">
        <f t="shared" si="2"/>
        <v>-200</v>
      </c>
      <c r="AK36" s="287">
        <f t="shared" si="2"/>
        <v>-300</v>
      </c>
      <c r="AL36" s="287">
        <f t="shared" si="2"/>
        <v>-400</v>
      </c>
      <c r="AM36" s="288">
        <f t="shared" si="2"/>
        <v>-500</v>
      </c>
    </row>
    <row r="37" spans="2:39">
      <c r="B37" s="282" t="str">
        <f>'GBP Swap PVs'!M29</f>
        <v>2Y</v>
      </c>
      <c r="C37" s="278">
        <f ca="1">'GBP Swap PVs'!N29</f>
        <v>99258.437527978225</v>
      </c>
      <c r="D37" s="278">
        <f ca="1">'GBP Swap PVs'!O29</f>
        <v>79406.750022382563</v>
      </c>
      <c r="E37" s="278">
        <f ca="1">'GBP Swap PVs'!P29</f>
        <v>59555.062516786937</v>
      </c>
      <c r="F37" s="278">
        <f ca="1">'GBP Swap PVs'!Q29</f>
        <v>39703.375011191281</v>
      </c>
      <c r="G37" s="278">
        <f ca="1">'GBP Swap PVs'!R29</f>
        <v>19851.687505595641</v>
      </c>
      <c r="H37" s="278">
        <f ca="1">'GBP Swap PVs'!S29</f>
        <v>0</v>
      </c>
      <c r="I37" s="278">
        <f ca="1">'GBP Swap PVs'!T29</f>
        <v>-19851.687505595641</v>
      </c>
      <c r="J37" s="278">
        <f ca="1">'GBP Swap PVs'!U29</f>
        <v>-39703.375011191281</v>
      </c>
      <c r="K37" s="278">
        <f ca="1">'GBP Swap PVs'!V29</f>
        <v>-59555.062516786929</v>
      </c>
      <c r="L37" s="278">
        <f ca="1">'GBP Swap PVs'!W29</f>
        <v>-79406.750022382563</v>
      </c>
      <c r="M37" s="279">
        <f ca="1">'GBP Swap PVs'!X29</f>
        <v>-99258.437527978225</v>
      </c>
      <c r="O37" s="282" t="s">
        <v>42</v>
      </c>
      <c r="P37" s="278">
        <v>99258.437527978225</v>
      </c>
      <c r="Q37" s="278">
        <v>79406.750022382563</v>
      </c>
      <c r="R37" s="278">
        <v>59555.062516786937</v>
      </c>
      <c r="S37" s="278">
        <v>39703.375011191281</v>
      </c>
      <c r="T37" s="278">
        <v>19851.687505595641</v>
      </c>
      <c r="U37" s="278">
        <v>0</v>
      </c>
      <c r="V37" s="278">
        <v>-19851.687505595641</v>
      </c>
      <c r="W37" s="278">
        <v>-39703.375011191281</v>
      </c>
      <c r="X37" s="278">
        <v>-59555.062516786929</v>
      </c>
      <c r="Y37" s="278">
        <v>-79406.750022382563</v>
      </c>
      <c r="Z37" s="279">
        <v>-99258.437527978225</v>
      </c>
      <c r="AB37" s="282" t="str">
        <f t="shared" ref="AB37:AB55" si="3">O37</f>
        <v>2Y</v>
      </c>
      <c r="AC37" s="278">
        <f ca="1">IF(ABS(P37-C37)&gt;SnapshotTolerance,1,0)</f>
        <v>0</v>
      </c>
      <c r="AD37" s="278">
        <f ca="1">IF(ABS(Q37-D37)&gt;SnapshotTolerance,1,0)</f>
        <v>0</v>
      </c>
      <c r="AE37" s="278">
        <f ca="1">IF(ABS(R37-E37)&gt;SnapshotTolerance,1,0)</f>
        <v>0</v>
      </c>
      <c r="AF37" s="278">
        <f ca="1">IF(ABS(S37-F37)&gt;SnapshotTolerance,1,0)</f>
        <v>0</v>
      </c>
      <c r="AG37" s="278">
        <f ca="1">IF(ABS(T37-G37)&gt;SnapshotTolerance,1,0)</f>
        <v>0</v>
      </c>
      <c r="AH37" s="278">
        <f ca="1">IF(ABS(U37-H37)&gt;SnapshotTolerance,1,0)</f>
        <v>0</v>
      </c>
      <c r="AI37" s="278">
        <f ca="1">IF(ABS(V37-I37)&gt;SnapshotTolerance,1,0)</f>
        <v>0</v>
      </c>
      <c r="AJ37" s="278">
        <f ca="1">IF(ABS(W37-J37)&gt;SnapshotTolerance,1,0)</f>
        <v>0</v>
      </c>
      <c r="AK37" s="278">
        <f ca="1">IF(ABS(X37-K37)&gt;SnapshotTolerance,1,0)</f>
        <v>0</v>
      </c>
      <c r="AL37" s="278">
        <f ca="1">IF(ABS(Y37-L37)&gt;SnapshotTolerance,1,0)</f>
        <v>0</v>
      </c>
      <c r="AM37" s="279">
        <f ca="1">IF(ABS(Z37-M37)&gt;SnapshotTolerance,1,0)</f>
        <v>0</v>
      </c>
    </row>
    <row r="38" spans="2:39">
      <c r="B38" s="282" t="str">
        <f>'GBP Swap PVs'!M30</f>
        <v>3Y</v>
      </c>
      <c r="C38" s="278">
        <f ca="1">'GBP Swap PVs'!N30</f>
        <v>147865.36992561392</v>
      </c>
      <c r="D38" s="278">
        <f ca="1">'GBP Swap PVs'!O30</f>
        <v>118292.29594049112</v>
      </c>
      <c r="E38" s="278">
        <f ca="1">'GBP Swap PVs'!P30</f>
        <v>88719.221955368354</v>
      </c>
      <c r="F38" s="278">
        <f ca="1">'GBP Swap PVs'!Q30</f>
        <v>59146.147970245562</v>
      </c>
      <c r="G38" s="278">
        <f ca="1">'GBP Swap PVs'!R30</f>
        <v>29573.073985122781</v>
      </c>
      <c r="H38" s="278">
        <f ca="1">'GBP Swap PVs'!S30</f>
        <v>0</v>
      </c>
      <c r="I38" s="278">
        <f ca="1">'GBP Swap PVs'!T30</f>
        <v>-29573.073985122788</v>
      </c>
      <c r="J38" s="278">
        <f ca="1">'GBP Swap PVs'!U30</f>
        <v>-59146.147970245576</v>
      </c>
      <c r="K38" s="278">
        <f ca="1">'GBP Swap PVs'!V30</f>
        <v>-88719.221955368354</v>
      </c>
      <c r="L38" s="278">
        <f ca="1">'GBP Swap PVs'!W30</f>
        <v>-118292.29594049114</v>
      </c>
      <c r="M38" s="279">
        <f ca="1">'GBP Swap PVs'!X30</f>
        <v>-147865.36992561395</v>
      </c>
      <c r="O38" s="282" t="s">
        <v>39</v>
      </c>
      <c r="P38" s="278">
        <v>147865.36992561392</v>
      </c>
      <c r="Q38" s="278">
        <v>118292.29594049112</v>
      </c>
      <c r="R38" s="278">
        <v>88719.221955368354</v>
      </c>
      <c r="S38" s="278">
        <v>59146.147970245562</v>
      </c>
      <c r="T38" s="278">
        <v>29573.073985122781</v>
      </c>
      <c r="U38" s="278">
        <v>0</v>
      </c>
      <c r="V38" s="278">
        <v>-29573.073985122788</v>
      </c>
      <c r="W38" s="278">
        <v>-59146.147970245576</v>
      </c>
      <c r="X38" s="278">
        <v>-88719.221955368354</v>
      </c>
      <c r="Y38" s="278">
        <v>-118292.29594049114</v>
      </c>
      <c r="Z38" s="279">
        <v>-147865.36992561395</v>
      </c>
      <c r="AB38" s="282" t="str">
        <f t="shared" si="3"/>
        <v>3Y</v>
      </c>
      <c r="AC38" s="278">
        <f ca="1">IF(ABS(P38-C38)&gt;SnapshotTolerance,1,0)</f>
        <v>0</v>
      </c>
      <c r="AD38" s="278">
        <f ca="1">IF(ABS(Q38-D38)&gt;SnapshotTolerance,1,0)</f>
        <v>0</v>
      </c>
      <c r="AE38" s="278">
        <f ca="1">IF(ABS(R38-E38)&gt;SnapshotTolerance,1,0)</f>
        <v>0</v>
      </c>
      <c r="AF38" s="278">
        <f ca="1">IF(ABS(S38-F38)&gt;SnapshotTolerance,1,0)</f>
        <v>0</v>
      </c>
      <c r="AG38" s="278">
        <f ca="1">IF(ABS(T38-G38)&gt;SnapshotTolerance,1,0)</f>
        <v>0</v>
      </c>
      <c r="AH38" s="278">
        <f ca="1">IF(ABS(U38-H38)&gt;SnapshotTolerance,1,0)</f>
        <v>0</v>
      </c>
      <c r="AI38" s="278">
        <f ca="1">IF(ABS(V38-I38)&gt;SnapshotTolerance,1,0)</f>
        <v>0</v>
      </c>
      <c r="AJ38" s="278">
        <f ca="1">IF(ABS(W38-J38)&gt;SnapshotTolerance,1,0)</f>
        <v>0</v>
      </c>
      <c r="AK38" s="278">
        <f ca="1">IF(ABS(X38-K38)&gt;SnapshotTolerance,1,0)</f>
        <v>0</v>
      </c>
      <c r="AL38" s="278">
        <f ca="1">IF(ABS(Y38-L38)&gt;SnapshotTolerance,1,0)</f>
        <v>0</v>
      </c>
      <c r="AM38" s="279">
        <f ca="1">IF(ABS(Z38-M38)&gt;SnapshotTolerance,1,0)</f>
        <v>0</v>
      </c>
    </row>
    <row r="39" spans="2:39">
      <c r="B39" s="282" t="str">
        <f>'GBP Swap PVs'!M31</f>
        <v>4Y</v>
      </c>
      <c r="C39" s="278">
        <f ca="1">'GBP Swap PVs'!N31</f>
        <v>195848.7564848233</v>
      </c>
      <c r="D39" s="278">
        <f ca="1">'GBP Swap PVs'!O31</f>
        <v>156679.00518785859</v>
      </c>
      <c r="E39" s="278">
        <f ca="1">'GBP Swap PVs'!P31</f>
        <v>117509.253890894</v>
      </c>
      <c r="F39" s="278">
        <f ca="1">'GBP Swap PVs'!Q31</f>
        <v>78339.502593929326</v>
      </c>
      <c r="G39" s="278">
        <f ca="1">'GBP Swap PVs'!R31</f>
        <v>39169.751296964649</v>
      </c>
      <c r="H39" s="278">
        <f ca="1">'GBP Swap PVs'!S31</f>
        <v>0</v>
      </c>
      <c r="I39" s="278">
        <f ca="1">'GBP Swap PVs'!T31</f>
        <v>-39169.751296964656</v>
      </c>
      <c r="J39" s="278">
        <f ca="1">'GBP Swap PVs'!U31</f>
        <v>-78339.502593929312</v>
      </c>
      <c r="K39" s="278">
        <f ca="1">'GBP Swap PVs'!V31</f>
        <v>-117509.25389089398</v>
      </c>
      <c r="L39" s="278">
        <f ca="1">'GBP Swap PVs'!W31</f>
        <v>-156679.00518785859</v>
      </c>
      <c r="M39" s="279">
        <f ca="1">'GBP Swap PVs'!X31</f>
        <v>-195848.7564848233</v>
      </c>
      <c r="O39" s="282" t="s">
        <v>35</v>
      </c>
      <c r="P39" s="278">
        <v>195848.7564848233</v>
      </c>
      <c r="Q39" s="278">
        <v>156679.00518785859</v>
      </c>
      <c r="R39" s="278">
        <v>117509.253890894</v>
      </c>
      <c r="S39" s="278">
        <v>78339.502593929326</v>
      </c>
      <c r="T39" s="278">
        <v>39169.751296964649</v>
      </c>
      <c r="U39" s="278">
        <v>0</v>
      </c>
      <c r="V39" s="278">
        <v>-39169.751296964656</v>
      </c>
      <c r="W39" s="278">
        <v>-78339.502593929312</v>
      </c>
      <c r="X39" s="278">
        <v>-117509.25389089398</v>
      </c>
      <c r="Y39" s="278">
        <v>-156679.00518785859</v>
      </c>
      <c r="Z39" s="279">
        <v>-195848.7564848233</v>
      </c>
      <c r="AB39" s="282" t="str">
        <f t="shared" si="3"/>
        <v>4Y</v>
      </c>
      <c r="AC39" s="278">
        <f ca="1">IF(ABS(P39-C39)&gt;SnapshotTolerance,1,0)</f>
        <v>0</v>
      </c>
      <c r="AD39" s="278">
        <f ca="1">IF(ABS(Q39-D39)&gt;SnapshotTolerance,1,0)</f>
        <v>0</v>
      </c>
      <c r="AE39" s="278">
        <f ca="1">IF(ABS(R39-E39)&gt;SnapshotTolerance,1,0)</f>
        <v>0</v>
      </c>
      <c r="AF39" s="278">
        <f ca="1">IF(ABS(S39-F39)&gt;SnapshotTolerance,1,0)</f>
        <v>0</v>
      </c>
      <c r="AG39" s="278">
        <f ca="1">IF(ABS(T39-G39)&gt;SnapshotTolerance,1,0)</f>
        <v>0</v>
      </c>
      <c r="AH39" s="278">
        <f ca="1">IF(ABS(U39-H39)&gt;SnapshotTolerance,1,0)</f>
        <v>0</v>
      </c>
      <c r="AI39" s="278">
        <f ca="1">IF(ABS(V39-I39)&gt;SnapshotTolerance,1,0)</f>
        <v>0</v>
      </c>
      <c r="AJ39" s="278">
        <f ca="1">IF(ABS(W39-J39)&gt;SnapshotTolerance,1,0)</f>
        <v>0</v>
      </c>
      <c r="AK39" s="278">
        <f ca="1">IF(ABS(X39-K39)&gt;SnapshotTolerance,1,0)</f>
        <v>0</v>
      </c>
      <c r="AL39" s="278">
        <f ca="1">IF(ABS(Y39-L39)&gt;SnapshotTolerance,1,0)</f>
        <v>0</v>
      </c>
      <c r="AM39" s="279">
        <f ca="1">IF(ABS(Z39-M39)&gt;SnapshotTolerance,1,0)</f>
        <v>0</v>
      </c>
    </row>
    <row r="40" spans="2:39">
      <c r="B40" s="282" t="str">
        <f>'GBP Swap PVs'!M32</f>
        <v>5Y</v>
      </c>
      <c r="C40" s="278">
        <f ca="1">'GBP Swap PVs'!N32</f>
        <v>242457.13075464786</v>
      </c>
      <c r="D40" s="278">
        <f ca="1">'GBP Swap PVs'!O32</f>
        <v>193965.70460371824</v>
      </c>
      <c r="E40" s="278">
        <f ca="1">'GBP Swap PVs'!P32</f>
        <v>145474.27845278877</v>
      </c>
      <c r="F40" s="278">
        <f ca="1">'GBP Swap PVs'!Q32</f>
        <v>96982.852301859166</v>
      </c>
      <c r="G40" s="278">
        <f ca="1">'GBP Swap PVs'!R32</f>
        <v>48491.426150929561</v>
      </c>
      <c r="H40" s="278">
        <f ca="1">'GBP Swap PVs'!S32</f>
        <v>0</v>
      </c>
      <c r="I40" s="278">
        <f ca="1">'GBP Swap PVs'!T32</f>
        <v>-48491.426150929576</v>
      </c>
      <c r="J40" s="278">
        <f ca="1">'GBP Swap PVs'!U32</f>
        <v>-96982.852301859151</v>
      </c>
      <c r="K40" s="278">
        <f ca="1">'GBP Swap PVs'!V32</f>
        <v>-145474.27845278874</v>
      </c>
      <c r="L40" s="278">
        <f ca="1">'GBP Swap PVs'!W32</f>
        <v>-193965.70460371827</v>
      </c>
      <c r="M40" s="279">
        <f ca="1">'GBP Swap PVs'!X32</f>
        <v>-242457.13075464792</v>
      </c>
      <c r="O40" s="282" t="s">
        <v>33</v>
      </c>
      <c r="P40" s="278">
        <v>242457.13075464786</v>
      </c>
      <c r="Q40" s="278">
        <v>193965.70460371824</v>
      </c>
      <c r="R40" s="278">
        <v>145474.27845278877</v>
      </c>
      <c r="S40" s="278">
        <v>96982.852301859166</v>
      </c>
      <c r="T40" s="278">
        <v>48491.426150929561</v>
      </c>
      <c r="U40" s="278">
        <v>0</v>
      </c>
      <c r="V40" s="278">
        <v>-48491.426150929576</v>
      </c>
      <c r="W40" s="278">
        <v>-96982.852301859151</v>
      </c>
      <c r="X40" s="278">
        <v>-145474.27845278874</v>
      </c>
      <c r="Y40" s="278">
        <v>-193965.70460371827</v>
      </c>
      <c r="Z40" s="279">
        <v>-242457.13075464792</v>
      </c>
      <c r="AB40" s="282" t="str">
        <f t="shared" si="3"/>
        <v>5Y</v>
      </c>
      <c r="AC40" s="278">
        <f ca="1">IF(ABS(P40-C40)&gt;SnapshotTolerance,1,0)</f>
        <v>0</v>
      </c>
      <c r="AD40" s="278">
        <f ca="1">IF(ABS(Q40-D40)&gt;SnapshotTolerance,1,0)</f>
        <v>0</v>
      </c>
      <c r="AE40" s="278">
        <f ca="1">IF(ABS(R40-E40)&gt;SnapshotTolerance,1,0)</f>
        <v>0</v>
      </c>
      <c r="AF40" s="278">
        <f ca="1">IF(ABS(S40-F40)&gt;SnapshotTolerance,1,0)</f>
        <v>0</v>
      </c>
      <c r="AG40" s="278">
        <f ca="1">IF(ABS(T40-G40)&gt;SnapshotTolerance,1,0)</f>
        <v>0</v>
      </c>
      <c r="AH40" s="278">
        <f ca="1">IF(ABS(U40-H40)&gt;SnapshotTolerance,1,0)</f>
        <v>0</v>
      </c>
      <c r="AI40" s="278">
        <f ca="1">IF(ABS(V40-I40)&gt;SnapshotTolerance,1,0)</f>
        <v>0</v>
      </c>
      <c r="AJ40" s="278">
        <f ca="1">IF(ABS(W40-J40)&gt;SnapshotTolerance,1,0)</f>
        <v>0</v>
      </c>
      <c r="AK40" s="278">
        <f ca="1">IF(ABS(X40-K40)&gt;SnapshotTolerance,1,0)</f>
        <v>0</v>
      </c>
      <c r="AL40" s="278">
        <f ca="1">IF(ABS(Y40-L40)&gt;SnapshotTolerance,1,0)</f>
        <v>0</v>
      </c>
      <c r="AM40" s="279">
        <f ca="1">IF(ABS(Z40-M40)&gt;SnapshotTolerance,1,0)</f>
        <v>0</v>
      </c>
    </row>
    <row r="41" spans="2:39">
      <c r="B41" s="282" t="str">
        <f>'GBP Swap PVs'!M33</f>
        <v>6Y</v>
      </c>
      <c r="C41" s="278">
        <f ca="1">'GBP Swap PVs'!N33</f>
        <v>288154.79235869745</v>
      </c>
      <c r="D41" s="278">
        <f ca="1">'GBP Swap PVs'!O33</f>
        <v>230523.8338869579</v>
      </c>
      <c r="E41" s="278">
        <f ca="1">'GBP Swap PVs'!P33</f>
        <v>172892.87541521853</v>
      </c>
      <c r="F41" s="278">
        <f ca="1">'GBP Swap PVs'!Q33</f>
        <v>115261.91694347902</v>
      </c>
      <c r="G41" s="278">
        <f ca="1">'GBP Swap PVs'!R33</f>
        <v>57630.958471739475</v>
      </c>
      <c r="H41" s="278">
        <f ca="1">'GBP Swap PVs'!S33</f>
        <v>0</v>
      </c>
      <c r="I41" s="278">
        <f ca="1">'GBP Swap PVs'!T33</f>
        <v>-57630.958471739483</v>
      </c>
      <c r="J41" s="278">
        <f ca="1">'GBP Swap PVs'!U33</f>
        <v>-115261.91694347898</v>
      </c>
      <c r="K41" s="278">
        <f ca="1">'GBP Swap PVs'!V33</f>
        <v>-172892.87541521847</v>
      </c>
      <c r="L41" s="278">
        <f ca="1">'GBP Swap PVs'!W33</f>
        <v>-230523.83388695796</v>
      </c>
      <c r="M41" s="279">
        <f ca="1">'GBP Swap PVs'!X33</f>
        <v>-288154.79235869751</v>
      </c>
      <c r="O41" s="282" t="s">
        <v>131</v>
      </c>
      <c r="P41" s="278">
        <v>288154.79235869745</v>
      </c>
      <c r="Q41" s="278">
        <v>230523.8338869579</v>
      </c>
      <c r="R41" s="278">
        <v>172892.87541521853</v>
      </c>
      <c r="S41" s="278">
        <v>115261.91694347902</v>
      </c>
      <c r="T41" s="278">
        <v>57630.958471739475</v>
      </c>
      <c r="U41" s="278">
        <v>0</v>
      </c>
      <c r="V41" s="278">
        <v>-57630.958471739483</v>
      </c>
      <c r="W41" s="278">
        <v>-115261.91694347898</v>
      </c>
      <c r="X41" s="278">
        <v>-172892.87541521847</v>
      </c>
      <c r="Y41" s="278">
        <v>-230523.83388695796</v>
      </c>
      <c r="Z41" s="279">
        <v>-288154.79235869751</v>
      </c>
      <c r="AB41" s="282" t="str">
        <f t="shared" si="3"/>
        <v>6Y</v>
      </c>
      <c r="AC41" s="278">
        <f ca="1">IF(ABS(P41-C41)&gt;SnapshotTolerance,1,0)</f>
        <v>0</v>
      </c>
      <c r="AD41" s="278">
        <f ca="1">IF(ABS(Q41-D41)&gt;SnapshotTolerance,1,0)</f>
        <v>0</v>
      </c>
      <c r="AE41" s="278">
        <f ca="1">IF(ABS(R41-E41)&gt;SnapshotTolerance,1,0)</f>
        <v>0</v>
      </c>
      <c r="AF41" s="278">
        <f ca="1">IF(ABS(S41-F41)&gt;SnapshotTolerance,1,0)</f>
        <v>0</v>
      </c>
      <c r="AG41" s="278">
        <f ca="1">IF(ABS(T41-G41)&gt;SnapshotTolerance,1,0)</f>
        <v>0</v>
      </c>
      <c r="AH41" s="278">
        <f ca="1">IF(ABS(U41-H41)&gt;SnapshotTolerance,1,0)</f>
        <v>0</v>
      </c>
      <c r="AI41" s="278">
        <f ca="1">IF(ABS(V41-I41)&gt;SnapshotTolerance,1,0)</f>
        <v>0</v>
      </c>
      <c r="AJ41" s="278">
        <f ca="1">IF(ABS(W41-J41)&gt;SnapshotTolerance,1,0)</f>
        <v>0</v>
      </c>
      <c r="AK41" s="278">
        <f ca="1">IF(ABS(X41-K41)&gt;SnapshotTolerance,1,0)</f>
        <v>0</v>
      </c>
      <c r="AL41" s="278">
        <f ca="1">IF(ABS(Y41-L41)&gt;SnapshotTolerance,1,0)</f>
        <v>0</v>
      </c>
      <c r="AM41" s="279">
        <f ca="1">IF(ABS(Z41-M41)&gt;SnapshotTolerance,1,0)</f>
        <v>0</v>
      </c>
    </row>
    <row r="42" spans="2:39">
      <c r="B42" s="282" t="str">
        <f>'GBP Swap PVs'!M34</f>
        <v>7Y</v>
      </c>
      <c r="C42" s="278">
        <f ca="1">'GBP Swap PVs'!N34</f>
        <v>332777.29112241004</v>
      </c>
      <c r="D42" s="278">
        <f ca="1">'GBP Swap PVs'!O34</f>
        <v>266221.83289792796</v>
      </c>
      <c r="E42" s="278">
        <f ca="1">'GBP Swap PVs'!P34</f>
        <v>199666.37467344612</v>
      </c>
      <c r="F42" s="278">
        <f ca="1">'GBP Swap PVs'!Q34</f>
        <v>133110.91644896407</v>
      </c>
      <c r="G42" s="278">
        <f ca="1">'GBP Swap PVs'!R34</f>
        <v>66555.458224482005</v>
      </c>
      <c r="H42" s="278">
        <f ca="1">'GBP Swap PVs'!S34</f>
        <v>0</v>
      </c>
      <c r="I42" s="278">
        <f ca="1">'GBP Swap PVs'!T34</f>
        <v>-66555.45822448199</v>
      </c>
      <c r="J42" s="278">
        <f ca="1">'GBP Swap PVs'!U34</f>
        <v>-133110.91644896401</v>
      </c>
      <c r="K42" s="278">
        <f ca="1">'GBP Swap PVs'!V34</f>
        <v>-199666.374673446</v>
      </c>
      <c r="L42" s="278">
        <f ca="1">'GBP Swap PVs'!W34</f>
        <v>-266221.83289792802</v>
      </c>
      <c r="M42" s="279">
        <f ca="1">'GBP Swap PVs'!X34</f>
        <v>-332777.29112241004</v>
      </c>
      <c r="O42" s="282" t="s">
        <v>31</v>
      </c>
      <c r="P42" s="278">
        <v>332777.29112241004</v>
      </c>
      <c r="Q42" s="278">
        <v>266221.83289792796</v>
      </c>
      <c r="R42" s="278">
        <v>199666.37467344612</v>
      </c>
      <c r="S42" s="278">
        <v>133110.91644896407</v>
      </c>
      <c r="T42" s="278">
        <v>66555.458224482005</v>
      </c>
      <c r="U42" s="278">
        <v>0</v>
      </c>
      <c r="V42" s="278">
        <v>-66555.45822448199</v>
      </c>
      <c r="W42" s="278">
        <v>-133110.91644896401</v>
      </c>
      <c r="X42" s="278">
        <v>-199666.374673446</v>
      </c>
      <c r="Y42" s="278">
        <v>-266221.83289792802</v>
      </c>
      <c r="Z42" s="279">
        <v>-332777.29112241004</v>
      </c>
      <c r="AB42" s="282" t="str">
        <f t="shared" si="3"/>
        <v>7Y</v>
      </c>
      <c r="AC42" s="278">
        <f ca="1">IF(ABS(P42-C42)&gt;SnapshotTolerance,1,0)</f>
        <v>0</v>
      </c>
      <c r="AD42" s="278">
        <f ca="1">IF(ABS(Q42-D42)&gt;SnapshotTolerance,1,0)</f>
        <v>0</v>
      </c>
      <c r="AE42" s="278">
        <f ca="1">IF(ABS(R42-E42)&gt;SnapshotTolerance,1,0)</f>
        <v>0</v>
      </c>
      <c r="AF42" s="278">
        <f ca="1">IF(ABS(S42-F42)&gt;SnapshotTolerance,1,0)</f>
        <v>0</v>
      </c>
      <c r="AG42" s="278">
        <f ca="1">IF(ABS(T42-G42)&gt;SnapshotTolerance,1,0)</f>
        <v>0</v>
      </c>
      <c r="AH42" s="278">
        <f ca="1">IF(ABS(U42-H42)&gt;SnapshotTolerance,1,0)</f>
        <v>0</v>
      </c>
      <c r="AI42" s="278">
        <f ca="1">IF(ABS(V42-I42)&gt;SnapshotTolerance,1,0)</f>
        <v>0</v>
      </c>
      <c r="AJ42" s="278">
        <f ca="1">IF(ABS(W42-J42)&gt;SnapshotTolerance,1,0)</f>
        <v>0</v>
      </c>
      <c r="AK42" s="278">
        <f ca="1">IF(ABS(X42-K42)&gt;SnapshotTolerance,1,0)</f>
        <v>0</v>
      </c>
      <c r="AL42" s="278">
        <f ca="1">IF(ABS(Y42-L42)&gt;SnapshotTolerance,1,0)</f>
        <v>0</v>
      </c>
      <c r="AM42" s="279">
        <f ca="1">IF(ABS(Z42-M42)&gt;SnapshotTolerance,1,0)</f>
        <v>0</v>
      </c>
    </row>
    <row r="43" spans="2:39">
      <c r="B43" s="282" t="str">
        <f>'GBP Swap PVs'!M35</f>
        <v>8Y</v>
      </c>
      <c r="C43" s="278">
        <f ca="1">'GBP Swap PVs'!N35</f>
        <v>376308.72409313201</v>
      </c>
      <c r="D43" s="278">
        <f ca="1">'GBP Swap PVs'!O35</f>
        <v>301046.97927450552</v>
      </c>
      <c r="E43" s="278">
        <f ca="1">'GBP Swap PVs'!P35</f>
        <v>225785.23445587928</v>
      </c>
      <c r="F43" s="278">
        <f ca="1">'GBP Swap PVs'!Q35</f>
        <v>150523.48963725287</v>
      </c>
      <c r="G43" s="278">
        <f ca="1">'GBP Swap PVs'!R35</f>
        <v>75261.744818626408</v>
      </c>
      <c r="H43" s="278">
        <f ca="1">'GBP Swap PVs'!S35</f>
        <v>0</v>
      </c>
      <c r="I43" s="278">
        <f ca="1">'GBP Swap PVs'!T35</f>
        <v>-75261.744818626365</v>
      </c>
      <c r="J43" s="278">
        <f ca="1">'GBP Swap PVs'!U35</f>
        <v>-150523.48963725276</v>
      </c>
      <c r="K43" s="278">
        <f ca="1">'GBP Swap PVs'!V35</f>
        <v>-225785.23445587917</v>
      </c>
      <c r="L43" s="278">
        <f ca="1">'GBP Swap PVs'!W35</f>
        <v>-301046.97927450552</v>
      </c>
      <c r="M43" s="279">
        <f ca="1">'GBP Swap PVs'!X35</f>
        <v>-376308.72409313201</v>
      </c>
      <c r="O43" s="282" t="s">
        <v>119</v>
      </c>
      <c r="P43" s="278">
        <v>376308.72409313201</v>
      </c>
      <c r="Q43" s="278">
        <v>301046.97927450552</v>
      </c>
      <c r="R43" s="278">
        <v>225785.23445587928</v>
      </c>
      <c r="S43" s="278">
        <v>150523.48963725287</v>
      </c>
      <c r="T43" s="278">
        <v>75261.744818626408</v>
      </c>
      <c r="U43" s="278">
        <v>0</v>
      </c>
      <c r="V43" s="278">
        <v>-75261.744818626365</v>
      </c>
      <c r="W43" s="278">
        <v>-150523.48963725276</v>
      </c>
      <c r="X43" s="278">
        <v>-225785.23445587917</v>
      </c>
      <c r="Y43" s="278">
        <v>-301046.97927450552</v>
      </c>
      <c r="Z43" s="279">
        <v>-376308.72409313201</v>
      </c>
      <c r="AB43" s="282" t="str">
        <f t="shared" si="3"/>
        <v>8Y</v>
      </c>
      <c r="AC43" s="278">
        <f ca="1">IF(ABS(P43-C43)&gt;SnapshotTolerance,1,0)</f>
        <v>0</v>
      </c>
      <c r="AD43" s="278">
        <f ca="1">IF(ABS(Q43-D43)&gt;SnapshotTolerance,1,0)</f>
        <v>0</v>
      </c>
      <c r="AE43" s="278">
        <f ca="1">IF(ABS(R43-E43)&gt;SnapshotTolerance,1,0)</f>
        <v>0</v>
      </c>
      <c r="AF43" s="278">
        <f ca="1">IF(ABS(S43-F43)&gt;SnapshotTolerance,1,0)</f>
        <v>0</v>
      </c>
      <c r="AG43" s="278">
        <f ca="1">IF(ABS(T43-G43)&gt;SnapshotTolerance,1,0)</f>
        <v>0</v>
      </c>
      <c r="AH43" s="278">
        <f ca="1">IF(ABS(U43-H43)&gt;SnapshotTolerance,1,0)</f>
        <v>0</v>
      </c>
      <c r="AI43" s="278">
        <f ca="1">IF(ABS(V43-I43)&gt;SnapshotTolerance,1,0)</f>
        <v>0</v>
      </c>
      <c r="AJ43" s="278">
        <f ca="1">IF(ABS(W43-J43)&gt;SnapshotTolerance,1,0)</f>
        <v>0</v>
      </c>
      <c r="AK43" s="278">
        <f ca="1">IF(ABS(X43-K43)&gt;SnapshotTolerance,1,0)</f>
        <v>0</v>
      </c>
      <c r="AL43" s="278">
        <f ca="1">IF(ABS(Y43-L43)&gt;SnapshotTolerance,1,0)</f>
        <v>0</v>
      </c>
      <c r="AM43" s="279">
        <f ca="1">IF(ABS(Z43-M43)&gt;SnapshotTolerance,1,0)</f>
        <v>0</v>
      </c>
    </row>
    <row r="44" spans="2:39">
      <c r="B44" s="282" t="str">
        <f>'GBP Swap PVs'!M36</f>
        <v>9Y</v>
      </c>
      <c r="C44" s="278">
        <f ca="1">'GBP Swap PVs'!N36</f>
        <v>419096.32897531765</v>
      </c>
      <c r="D44" s="278">
        <f ca="1">'GBP Swap PVs'!O36</f>
        <v>335277.06318025396</v>
      </c>
      <c r="E44" s="278">
        <f ca="1">'GBP Swap PVs'!P36</f>
        <v>251457.79738519064</v>
      </c>
      <c r="F44" s="278">
        <f ca="1">'GBP Swap PVs'!Q36</f>
        <v>167638.53159012715</v>
      </c>
      <c r="G44" s="278">
        <f ca="1">'GBP Swap PVs'!R36</f>
        <v>83819.265795063548</v>
      </c>
      <c r="H44" s="278">
        <f ca="1">'GBP Swap PVs'!S36</f>
        <v>0</v>
      </c>
      <c r="I44" s="278">
        <f ca="1">'GBP Swap PVs'!T36</f>
        <v>-83819.265795063475</v>
      </c>
      <c r="J44" s="278">
        <f ca="1">'GBP Swap PVs'!U36</f>
        <v>-167638.53159012698</v>
      </c>
      <c r="K44" s="278">
        <f ca="1">'GBP Swap PVs'!V36</f>
        <v>-251457.79738519053</v>
      </c>
      <c r="L44" s="278">
        <f ca="1">'GBP Swap PVs'!W36</f>
        <v>-335277.06318025402</v>
      </c>
      <c r="M44" s="279">
        <f ca="1">'GBP Swap PVs'!X36</f>
        <v>-419096.32897531759</v>
      </c>
      <c r="O44" s="282" t="s">
        <v>113</v>
      </c>
      <c r="P44" s="278">
        <v>419096.32897531765</v>
      </c>
      <c r="Q44" s="278">
        <v>335277.06318025396</v>
      </c>
      <c r="R44" s="278">
        <v>251457.79738519064</v>
      </c>
      <c r="S44" s="278">
        <v>167638.53159012715</v>
      </c>
      <c r="T44" s="278">
        <v>83819.265795063548</v>
      </c>
      <c r="U44" s="278">
        <v>0</v>
      </c>
      <c r="V44" s="278">
        <v>-83819.265795063475</v>
      </c>
      <c r="W44" s="278">
        <v>-167638.53159012698</v>
      </c>
      <c r="X44" s="278">
        <v>-251457.79738519053</v>
      </c>
      <c r="Y44" s="278">
        <v>-335277.06318025402</v>
      </c>
      <c r="Z44" s="279">
        <v>-419096.32897531759</v>
      </c>
      <c r="AB44" s="282" t="str">
        <f t="shared" si="3"/>
        <v>9Y</v>
      </c>
      <c r="AC44" s="278">
        <f ca="1">IF(ABS(P44-C44)&gt;SnapshotTolerance,1,0)</f>
        <v>0</v>
      </c>
      <c r="AD44" s="278">
        <f ca="1">IF(ABS(Q44-D44)&gt;SnapshotTolerance,1,0)</f>
        <v>0</v>
      </c>
      <c r="AE44" s="278">
        <f ca="1">IF(ABS(R44-E44)&gt;SnapshotTolerance,1,0)</f>
        <v>0</v>
      </c>
      <c r="AF44" s="278">
        <f ca="1">IF(ABS(S44-F44)&gt;SnapshotTolerance,1,0)</f>
        <v>0</v>
      </c>
      <c r="AG44" s="278">
        <f ca="1">IF(ABS(T44-G44)&gt;SnapshotTolerance,1,0)</f>
        <v>0</v>
      </c>
      <c r="AH44" s="278">
        <f ca="1">IF(ABS(U44-H44)&gt;SnapshotTolerance,1,0)</f>
        <v>0</v>
      </c>
      <c r="AI44" s="278">
        <f ca="1">IF(ABS(V44-I44)&gt;SnapshotTolerance,1,0)</f>
        <v>0</v>
      </c>
      <c r="AJ44" s="278">
        <f ca="1">IF(ABS(W44-J44)&gt;SnapshotTolerance,1,0)</f>
        <v>0</v>
      </c>
      <c r="AK44" s="278">
        <f ca="1">IF(ABS(X44-K44)&gt;SnapshotTolerance,1,0)</f>
        <v>0</v>
      </c>
      <c r="AL44" s="278">
        <f ca="1">IF(ABS(Y44-L44)&gt;SnapshotTolerance,1,0)</f>
        <v>0</v>
      </c>
      <c r="AM44" s="279">
        <f ca="1">IF(ABS(Z44-M44)&gt;SnapshotTolerance,1,0)</f>
        <v>0</v>
      </c>
    </row>
    <row r="45" spans="2:39">
      <c r="B45" s="282" t="str">
        <f>'GBP Swap PVs'!M37</f>
        <v>10Y</v>
      </c>
      <c r="C45" s="278">
        <f ca="1">'GBP Swap PVs'!N37</f>
        <v>460336.45975731354</v>
      </c>
      <c r="D45" s="278">
        <f ca="1">'GBP Swap PVs'!O37</f>
        <v>368269.16780585062</v>
      </c>
      <c r="E45" s="278">
        <f ca="1">'GBP Swap PVs'!P37</f>
        <v>276201.87585438817</v>
      </c>
      <c r="F45" s="278">
        <f ca="1">'GBP Swap PVs'!Q37</f>
        <v>184134.58390292549</v>
      </c>
      <c r="G45" s="278">
        <f ca="1">'GBP Swap PVs'!R37</f>
        <v>92067.291951462685</v>
      </c>
      <c r="H45" s="278">
        <f ca="1">'GBP Swap PVs'!S37</f>
        <v>0</v>
      </c>
      <c r="I45" s="278">
        <f ca="1">'GBP Swap PVs'!T37</f>
        <v>-92067.29195146267</v>
      </c>
      <c r="J45" s="278">
        <f ca="1">'GBP Swap PVs'!U37</f>
        <v>-184134.58390292537</v>
      </c>
      <c r="K45" s="278">
        <f ca="1">'GBP Swap PVs'!V37</f>
        <v>-276201.87585438805</v>
      </c>
      <c r="L45" s="278">
        <f ca="1">'GBP Swap PVs'!W37</f>
        <v>-368269.16780585074</v>
      </c>
      <c r="M45" s="279">
        <f ca="1">'GBP Swap PVs'!X37</f>
        <v>-460336.45975731348</v>
      </c>
      <c r="O45" s="282" t="s">
        <v>28</v>
      </c>
      <c r="P45" s="278">
        <v>460336.45975731354</v>
      </c>
      <c r="Q45" s="278">
        <v>368269.16780585062</v>
      </c>
      <c r="R45" s="278">
        <v>276201.87585438817</v>
      </c>
      <c r="S45" s="278">
        <v>184134.58390292549</v>
      </c>
      <c r="T45" s="278">
        <v>92067.291951462685</v>
      </c>
      <c r="U45" s="278">
        <v>0</v>
      </c>
      <c r="V45" s="278">
        <v>-92067.29195146267</v>
      </c>
      <c r="W45" s="278">
        <v>-184134.58390292537</v>
      </c>
      <c r="X45" s="278">
        <v>-276201.87585438805</v>
      </c>
      <c r="Y45" s="278">
        <v>-368269.16780585074</v>
      </c>
      <c r="Z45" s="279">
        <v>-460336.45975731348</v>
      </c>
      <c r="AB45" s="282" t="str">
        <f t="shared" si="3"/>
        <v>10Y</v>
      </c>
      <c r="AC45" s="278">
        <f ca="1">IF(ABS(P45-C45)&gt;SnapshotTolerance,1,0)</f>
        <v>0</v>
      </c>
      <c r="AD45" s="278">
        <f ca="1">IF(ABS(Q45-D45)&gt;SnapshotTolerance,1,0)</f>
        <v>0</v>
      </c>
      <c r="AE45" s="278">
        <f ca="1">IF(ABS(R45-E45)&gt;SnapshotTolerance,1,0)</f>
        <v>0</v>
      </c>
      <c r="AF45" s="278">
        <f ca="1">IF(ABS(S45-F45)&gt;SnapshotTolerance,1,0)</f>
        <v>0</v>
      </c>
      <c r="AG45" s="278">
        <f ca="1">IF(ABS(T45-G45)&gt;SnapshotTolerance,1,0)</f>
        <v>0</v>
      </c>
      <c r="AH45" s="278">
        <f ca="1">IF(ABS(U45-H45)&gt;SnapshotTolerance,1,0)</f>
        <v>0</v>
      </c>
      <c r="AI45" s="278">
        <f ca="1">IF(ABS(V45-I45)&gt;SnapshotTolerance,1,0)</f>
        <v>0</v>
      </c>
      <c r="AJ45" s="278">
        <f ca="1">IF(ABS(W45-J45)&gt;SnapshotTolerance,1,0)</f>
        <v>0</v>
      </c>
      <c r="AK45" s="278">
        <f ca="1">IF(ABS(X45-K45)&gt;SnapshotTolerance,1,0)</f>
        <v>0</v>
      </c>
      <c r="AL45" s="278">
        <f ca="1">IF(ABS(Y45-L45)&gt;SnapshotTolerance,1,0)</f>
        <v>0</v>
      </c>
      <c r="AM45" s="279">
        <f ca="1">IF(ABS(Z45-M45)&gt;SnapshotTolerance,1,0)</f>
        <v>0</v>
      </c>
    </row>
    <row r="46" spans="2:39">
      <c r="B46" s="282" t="str">
        <f>'GBP Swap PVs'!M38</f>
        <v>12Y</v>
      </c>
      <c r="C46" s="278">
        <f ca="1">'GBP Swap PVs'!N38</f>
        <v>539672.60962191247</v>
      </c>
      <c r="D46" s="278">
        <f ca="1">'GBP Swap PVs'!O38</f>
        <v>431738.08769752976</v>
      </c>
      <c r="E46" s="278">
        <f ca="1">'GBP Swap PVs'!P38</f>
        <v>323803.56577314751</v>
      </c>
      <c r="F46" s="278">
        <f ca="1">'GBP Swap PVs'!Q38</f>
        <v>215869.04384876505</v>
      </c>
      <c r="G46" s="278">
        <f ca="1">'GBP Swap PVs'!R38</f>
        <v>107934.52192438247</v>
      </c>
      <c r="H46" s="278">
        <f ca="1">'GBP Swap PVs'!S38</f>
        <v>0</v>
      </c>
      <c r="I46" s="278">
        <f ca="1">'GBP Swap PVs'!T38</f>
        <v>-107934.5219243825</v>
      </c>
      <c r="J46" s="278">
        <f ca="1">'GBP Swap PVs'!U38</f>
        <v>-215869.04384876497</v>
      </c>
      <c r="K46" s="278">
        <f ca="1">'GBP Swap PVs'!V38</f>
        <v>-323803.56577314751</v>
      </c>
      <c r="L46" s="278">
        <f ca="1">'GBP Swap PVs'!W38</f>
        <v>-431738.08769752993</v>
      </c>
      <c r="M46" s="279">
        <f ca="1">'GBP Swap PVs'!X38</f>
        <v>-539672.60962191247</v>
      </c>
      <c r="O46" s="282" t="s">
        <v>26</v>
      </c>
      <c r="P46" s="278">
        <v>539672.60962191247</v>
      </c>
      <c r="Q46" s="278">
        <v>431738.08769752976</v>
      </c>
      <c r="R46" s="278">
        <v>323803.56577314751</v>
      </c>
      <c r="S46" s="278">
        <v>215869.04384876505</v>
      </c>
      <c r="T46" s="278">
        <v>107934.52192438247</v>
      </c>
      <c r="U46" s="278">
        <v>0</v>
      </c>
      <c r="V46" s="278">
        <v>-107934.5219243825</v>
      </c>
      <c r="W46" s="278">
        <v>-215869.04384876497</v>
      </c>
      <c r="X46" s="278">
        <v>-323803.56577314751</v>
      </c>
      <c r="Y46" s="278">
        <v>-431738.08769752993</v>
      </c>
      <c r="Z46" s="279">
        <v>-539672.60962191247</v>
      </c>
      <c r="AB46" s="282" t="str">
        <f t="shared" si="3"/>
        <v>12Y</v>
      </c>
      <c r="AC46" s="278">
        <f ca="1">IF(ABS(P46-C46)&gt;SnapshotTolerance,1,0)</f>
        <v>0</v>
      </c>
      <c r="AD46" s="278">
        <f ca="1">IF(ABS(Q46-D46)&gt;SnapshotTolerance,1,0)</f>
        <v>0</v>
      </c>
      <c r="AE46" s="278">
        <f ca="1">IF(ABS(R46-E46)&gt;SnapshotTolerance,1,0)</f>
        <v>0</v>
      </c>
      <c r="AF46" s="278">
        <f ca="1">IF(ABS(S46-F46)&gt;SnapshotTolerance,1,0)</f>
        <v>0</v>
      </c>
      <c r="AG46" s="278">
        <f ca="1">IF(ABS(T46-G46)&gt;SnapshotTolerance,1,0)</f>
        <v>0</v>
      </c>
      <c r="AH46" s="278">
        <f ca="1">IF(ABS(U46-H46)&gt;SnapshotTolerance,1,0)</f>
        <v>0</v>
      </c>
      <c r="AI46" s="278">
        <f ca="1">IF(ABS(V46-I46)&gt;SnapshotTolerance,1,0)</f>
        <v>0</v>
      </c>
      <c r="AJ46" s="278">
        <f ca="1">IF(ABS(W46-J46)&gt;SnapshotTolerance,1,0)</f>
        <v>0</v>
      </c>
      <c r="AK46" s="278">
        <f ca="1">IF(ABS(X46-K46)&gt;SnapshotTolerance,1,0)</f>
        <v>0</v>
      </c>
      <c r="AL46" s="278">
        <f ca="1">IF(ABS(Y46-L46)&gt;SnapshotTolerance,1,0)</f>
        <v>0</v>
      </c>
      <c r="AM46" s="279">
        <f ca="1">IF(ABS(Z46-M46)&gt;SnapshotTolerance,1,0)</f>
        <v>0</v>
      </c>
    </row>
    <row r="47" spans="2:39">
      <c r="B47" s="282" t="str">
        <f>'GBP Swap PVs'!M39</f>
        <v>15Y</v>
      </c>
      <c r="C47" s="278">
        <f ca="1">'GBP Swap PVs'!N39</f>
        <v>651221.71456541598</v>
      </c>
      <c r="D47" s="278">
        <f ca="1">'GBP Swap PVs'!O39</f>
        <v>520977.37165233248</v>
      </c>
      <c r="E47" s="278">
        <f ca="1">'GBP Swap PVs'!P39</f>
        <v>390733.02873924957</v>
      </c>
      <c r="F47" s="278">
        <f ca="1">'GBP Swap PVs'!Q39</f>
        <v>260488.68582616653</v>
      </c>
      <c r="G47" s="278">
        <f ca="1">'GBP Swap PVs'!R39</f>
        <v>130244.34291308312</v>
      </c>
      <c r="H47" s="278">
        <f ca="1">'GBP Swap PVs'!S39</f>
        <v>0</v>
      </c>
      <c r="I47" s="278">
        <f ca="1">'GBP Swap PVs'!T39</f>
        <v>-130244.34291308318</v>
      </c>
      <c r="J47" s="278">
        <f ca="1">'GBP Swap PVs'!U39</f>
        <v>-260488.68582616636</v>
      </c>
      <c r="K47" s="278">
        <f ca="1">'GBP Swap PVs'!V39</f>
        <v>-390733.02873924951</v>
      </c>
      <c r="L47" s="278">
        <f ca="1">'GBP Swap PVs'!W39</f>
        <v>-520977.37165233272</v>
      </c>
      <c r="M47" s="279">
        <f ca="1">'GBP Swap PVs'!X39</f>
        <v>-651221.71456541587</v>
      </c>
      <c r="O47" s="282" t="s">
        <v>24</v>
      </c>
      <c r="P47" s="278">
        <v>651221.71456541598</v>
      </c>
      <c r="Q47" s="278">
        <v>520977.37165233248</v>
      </c>
      <c r="R47" s="278">
        <v>390733.02873924957</v>
      </c>
      <c r="S47" s="278">
        <v>260488.68582616653</v>
      </c>
      <c r="T47" s="278">
        <v>130244.34291308312</v>
      </c>
      <c r="U47" s="278">
        <v>0</v>
      </c>
      <c r="V47" s="278">
        <v>-130244.34291308318</v>
      </c>
      <c r="W47" s="278">
        <v>-260488.68582616636</v>
      </c>
      <c r="X47" s="278">
        <v>-390733.02873924951</v>
      </c>
      <c r="Y47" s="278">
        <v>-520977.37165233272</v>
      </c>
      <c r="Z47" s="279">
        <v>-651221.71456541587</v>
      </c>
      <c r="AB47" s="282" t="str">
        <f t="shared" si="3"/>
        <v>15Y</v>
      </c>
      <c r="AC47" s="278">
        <f ca="1">IF(ABS(P47-C47)&gt;SnapshotTolerance,1,0)</f>
        <v>0</v>
      </c>
      <c r="AD47" s="278">
        <f ca="1">IF(ABS(Q47-D47)&gt;SnapshotTolerance,1,0)</f>
        <v>0</v>
      </c>
      <c r="AE47" s="278">
        <f ca="1">IF(ABS(R47-E47)&gt;SnapshotTolerance,1,0)</f>
        <v>0</v>
      </c>
      <c r="AF47" s="278">
        <f ca="1">IF(ABS(S47-F47)&gt;SnapshotTolerance,1,0)</f>
        <v>0</v>
      </c>
      <c r="AG47" s="278">
        <f ca="1">IF(ABS(T47-G47)&gt;SnapshotTolerance,1,0)</f>
        <v>0</v>
      </c>
      <c r="AH47" s="278">
        <f ca="1">IF(ABS(U47-H47)&gt;SnapshotTolerance,1,0)</f>
        <v>0</v>
      </c>
      <c r="AI47" s="278">
        <f ca="1">IF(ABS(V47-I47)&gt;SnapshotTolerance,1,0)</f>
        <v>0</v>
      </c>
      <c r="AJ47" s="278">
        <f ca="1">IF(ABS(W47-J47)&gt;SnapshotTolerance,1,0)</f>
        <v>0</v>
      </c>
      <c r="AK47" s="278">
        <f ca="1">IF(ABS(X47-K47)&gt;SnapshotTolerance,1,0)</f>
        <v>0</v>
      </c>
      <c r="AL47" s="278">
        <f ca="1">IF(ABS(Y47-L47)&gt;SnapshotTolerance,1,0)</f>
        <v>0</v>
      </c>
      <c r="AM47" s="279">
        <f ca="1">IF(ABS(Z47-M47)&gt;SnapshotTolerance,1,0)</f>
        <v>0</v>
      </c>
    </row>
    <row r="48" spans="2:39">
      <c r="B48" s="282" t="str">
        <f>'GBP Swap PVs'!M40</f>
        <v>20Y</v>
      </c>
      <c r="C48" s="278">
        <f ca="1">'GBP Swap PVs'!N40</f>
        <v>817694.66312319343</v>
      </c>
      <c r="D48" s="278">
        <f ca="1">'GBP Swap PVs'!O40</f>
        <v>654155.73049855419</v>
      </c>
      <c r="E48" s="278">
        <f ca="1">'GBP Swap PVs'!P40</f>
        <v>490616.79787391581</v>
      </c>
      <c r="F48" s="278">
        <f ca="1">'GBP Swap PVs'!Q40</f>
        <v>327077.86524927733</v>
      </c>
      <c r="G48" s="278">
        <f ca="1">'GBP Swap PVs'!R40</f>
        <v>163538.93262463843</v>
      </c>
      <c r="H48" s="278">
        <f ca="1">'GBP Swap PVs'!S40</f>
        <v>0</v>
      </c>
      <c r="I48" s="278">
        <f ca="1">'GBP Swap PVs'!T40</f>
        <v>-163538.9326246386</v>
      </c>
      <c r="J48" s="278">
        <f ca="1">'GBP Swap PVs'!U40</f>
        <v>-327077.86524927715</v>
      </c>
      <c r="K48" s="278">
        <f ca="1">'GBP Swap PVs'!V40</f>
        <v>-490616.79787391587</v>
      </c>
      <c r="L48" s="278">
        <f ca="1">'GBP Swap PVs'!W40</f>
        <v>-654155.73049855442</v>
      </c>
      <c r="M48" s="279">
        <f ca="1">'GBP Swap PVs'!X40</f>
        <v>-817694.66312319308</v>
      </c>
      <c r="O48" s="282" t="s">
        <v>20</v>
      </c>
      <c r="P48" s="278">
        <v>817694.66312319343</v>
      </c>
      <c r="Q48" s="278">
        <v>654155.73049855419</v>
      </c>
      <c r="R48" s="278">
        <v>490616.79787391581</v>
      </c>
      <c r="S48" s="278">
        <v>327077.86524927733</v>
      </c>
      <c r="T48" s="278">
        <v>163538.93262463843</v>
      </c>
      <c r="U48" s="278">
        <v>0</v>
      </c>
      <c r="V48" s="278">
        <v>-163538.9326246386</v>
      </c>
      <c r="W48" s="278">
        <v>-327077.86524927715</v>
      </c>
      <c r="X48" s="278">
        <v>-490616.79787391587</v>
      </c>
      <c r="Y48" s="278">
        <v>-654155.73049855442</v>
      </c>
      <c r="Z48" s="279">
        <v>-817694.66312319308</v>
      </c>
      <c r="AB48" s="282" t="str">
        <f t="shared" si="3"/>
        <v>20Y</v>
      </c>
      <c r="AC48" s="278">
        <f ca="1">IF(ABS(P48-C48)&gt;SnapshotTolerance,1,0)</f>
        <v>0</v>
      </c>
      <c r="AD48" s="278">
        <f ca="1">IF(ABS(Q48-D48)&gt;SnapshotTolerance,1,0)</f>
        <v>0</v>
      </c>
      <c r="AE48" s="278">
        <f ca="1">IF(ABS(R48-E48)&gt;SnapshotTolerance,1,0)</f>
        <v>0</v>
      </c>
      <c r="AF48" s="278">
        <f ca="1">IF(ABS(S48-F48)&gt;SnapshotTolerance,1,0)</f>
        <v>0</v>
      </c>
      <c r="AG48" s="278">
        <f ca="1">IF(ABS(T48-G48)&gt;SnapshotTolerance,1,0)</f>
        <v>0</v>
      </c>
      <c r="AH48" s="278">
        <f ca="1">IF(ABS(U48-H48)&gt;SnapshotTolerance,1,0)</f>
        <v>0</v>
      </c>
      <c r="AI48" s="278">
        <f ca="1">IF(ABS(V48-I48)&gt;SnapshotTolerance,1,0)</f>
        <v>0</v>
      </c>
      <c r="AJ48" s="278">
        <f ca="1">IF(ABS(W48-J48)&gt;SnapshotTolerance,1,0)</f>
        <v>0</v>
      </c>
      <c r="AK48" s="278">
        <f ca="1">IF(ABS(X48-K48)&gt;SnapshotTolerance,1,0)</f>
        <v>0</v>
      </c>
      <c r="AL48" s="278">
        <f ca="1">IF(ABS(Y48-L48)&gt;SnapshotTolerance,1,0)</f>
        <v>0</v>
      </c>
      <c r="AM48" s="279">
        <f ca="1">IF(ABS(Z48-M48)&gt;SnapshotTolerance,1,0)</f>
        <v>0</v>
      </c>
    </row>
    <row r="49" spans="2:39">
      <c r="B49" s="282" t="str">
        <f>'GBP Swap PVs'!M41</f>
        <v>25Y</v>
      </c>
      <c r="C49" s="278">
        <f ca="1">'GBP Swap PVs'!N41</f>
        <v>964946.47158325405</v>
      </c>
      <c r="D49" s="278">
        <f ca="1">'GBP Swap PVs'!O41</f>
        <v>771957.17726660275</v>
      </c>
      <c r="E49" s="278">
        <f ca="1">'GBP Swap PVs'!P41</f>
        <v>578967.88294995227</v>
      </c>
      <c r="F49" s="278">
        <f ca="1">'GBP Swap PVs'!Q41</f>
        <v>385978.58863330167</v>
      </c>
      <c r="G49" s="278">
        <f ca="1">'GBP Swap PVs'!R41</f>
        <v>192989.29431665063</v>
      </c>
      <c r="H49" s="278">
        <f ca="1">'GBP Swap PVs'!S41</f>
        <v>0</v>
      </c>
      <c r="I49" s="278">
        <f ca="1">'GBP Swap PVs'!T41</f>
        <v>-192989.29431665089</v>
      </c>
      <c r="J49" s="278">
        <f ca="1">'GBP Swap PVs'!U41</f>
        <v>-385978.58863330167</v>
      </c>
      <c r="K49" s="278">
        <f ca="1">'GBP Swap PVs'!V41</f>
        <v>-578967.8829499525</v>
      </c>
      <c r="L49" s="278">
        <f ca="1">'GBP Swap PVs'!W41</f>
        <v>-771957.17726660334</v>
      </c>
      <c r="M49" s="279">
        <f ca="1">'GBP Swap PVs'!X41</f>
        <v>-964946.47158325405</v>
      </c>
      <c r="O49" s="282" t="s">
        <v>18</v>
      </c>
      <c r="P49" s="278">
        <v>964946.47158325405</v>
      </c>
      <c r="Q49" s="278">
        <v>771957.17726660275</v>
      </c>
      <c r="R49" s="278">
        <v>578967.88294995227</v>
      </c>
      <c r="S49" s="278">
        <v>385978.58863330167</v>
      </c>
      <c r="T49" s="278">
        <v>192989.29431665063</v>
      </c>
      <c r="U49" s="278">
        <v>0</v>
      </c>
      <c r="V49" s="278">
        <v>-192989.29431665089</v>
      </c>
      <c r="W49" s="278">
        <v>-385978.58863330167</v>
      </c>
      <c r="X49" s="278">
        <v>-578967.8829499525</v>
      </c>
      <c r="Y49" s="278">
        <v>-771957.17726660334</v>
      </c>
      <c r="Z49" s="279">
        <v>-964946.47158325405</v>
      </c>
      <c r="AB49" s="282" t="str">
        <f t="shared" si="3"/>
        <v>25Y</v>
      </c>
      <c r="AC49" s="278">
        <f ca="1">IF(ABS(P49-C49)&gt;SnapshotTolerance,1,0)</f>
        <v>0</v>
      </c>
      <c r="AD49" s="278">
        <f ca="1">IF(ABS(Q49-D49)&gt;SnapshotTolerance,1,0)</f>
        <v>0</v>
      </c>
      <c r="AE49" s="278">
        <f ca="1">IF(ABS(R49-E49)&gt;SnapshotTolerance,1,0)</f>
        <v>0</v>
      </c>
      <c r="AF49" s="278">
        <f ca="1">IF(ABS(S49-F49)&gt;SnapshotTolerance,1,0)</f>
        <v>0</v>
      </c>
      <c r="AG49" s="278">
        <f ca="1">IF(ABS(T49-G49)&gt;SnapshotTolerance,1,0)</f>
        <v>0</v>
      </c>
      <c r="AH49" s="278">
        <f ca="1">IF(ABS(U49-H49)&gt;SnapshotTolerance,1,0)</f>
        <v>0</v>
      </c>
      <c r="AI49" s="278">
        <f ca="1">IF(ABS(V49-I49)&gt;SnapshotTolerance,1,0)</f>
        <v>0</v>
      </c>
      <c r="AJ49" s="278">
        <f ca="1">IF(ABS(W49-J49)&gt;SnapshotTolerance,1,0)</f>
        <v>0</v>
      </c>
      <c r="AK49" s="278">
        <f ca="1">IF(ABS(X49-K49)&gt;SnapshotTolerance,1,0)</f>
        <v>0</v>
      </c>
      <c r="AL49" s="278">
        <f ca="1">IF(ABS(Y49-L49)&gt;SnapshotTolerance,1,0)</f>
        <v>0</v>
      </c>
      <c r="AM49" s="279">
        <f ca="1">IF(ABS(Z49-M49)&gt;SnapshotTolerance,1,0)</f>
        <v>0</v>
      </c>
    </row>
    <row r="50" spans="2:39">
      <c r="B50" s="282" t="str">
        <f>'GBP Swap PVs'!M42</f>
        <v>30Y</v>
      </c>
      <c r="C50" s="278">
        <f ca="1">'GBP Swap PVs'!N42</f>
        <v>1095875.5704726886</v>
      </c>
      <c r="D50" s="278">
        <f ca="1">'GBP Swap PVs'!O42</f>
        <v>876700.4563781505</v>
      </c>
      <c r="E50" s="278">
        <f ca="1">'GBP Swap PVs'!P42</f>
        <v>657525.34228361258</v>
      </c>
      <c r="F50" s="278">
        <f ca="1">'GBP Swap PVs'!Q42</f>
        <v>438350.22818907542</v>
      </c>
      <c r="G50" s="278">
        <f ca="1">'GBP Swap PVs'!R42</f>
        <v>219175.11409453748</v>
      </c>
      <c r="H50" s="278">
        <f ca="1">'GBP Swap PVs'!S42</f>
        <v>0</v>
      </c>
      <c r="I50" s="278">
        <f ca="1">'GBP Swap PVs'!T42</f>
        <v>-219175.11409453789</v>
      </c>
      <c r="J50" s="278">
        <f ca="1">'GBP Swap PVs'!U42</f>
        <v>-438350.22818907554</v>
      </c>
      <c r="K50" s="278">
        <f ca="1">'GBP Swap PVs'!V42</f>
        <v>-657525.3422836134</v>
      </c>
      <c r="L50" s="278">
        <f ca="1">'GBP Swap PVs'!W42</f>
        <v>-876700.4563781512</v>
      </c>
      <c r="M50" s="279">
        <f ca="1">'GBP Swap PVs'!X42</f>
        <v>-1095875.5704726889</v>
      </c>
      <c r="O50" s="282" t="s">
        <v>17</v>
      </c>
      <c r="P50" s="278">
        <v>1095875.5704726886</v>
      </c>
      <c r="Q50" s="278">
        <v>876700.4563781505</v>
      </c>
      <c r="R50" s="278">
        <v>657525.34228361258</v>
      </c>
      <c r="S50" s="278">
        <v>438350.22818907542</v>
      </c>
      <c r="T50" s="278">
        <v>219175.11409453748</v>
      </c>
      <c r="U50" s="278">
        <v>0</v>
      </c>
      <c r="V50" s="278">
        <v>-219175.11409453789</v>
      </c>
      <c r="W50" s="278">
        <v>-438350.22818907554</v>
      </c>
      <c r="X50" s="278">
        <v>-657525.3422836134</v>
      </c>
      <c r="Y50" s="278">
        <v>-876700.4563781512</v>
      </c>
      <c r="Z50" s="279">
        <v>-1095875.5704726889</v>
      </c>
      <c r="AB50" s="282" t="str">
        <f t="shared" si="3"/>
        <v>30Y</v>
      </c>
      <c r="AC50" s="278">
        <f ca="1">IF(ABS(P50-C50)&gt;SnapshotTolerance,1,0)</f>
        <v>0</v>
      </c>
      <c r="AD50" s="278">
        <f ca="1">IF(ABS(Q50-D50)&gt;SnapshotTolerance,1,0)</f>
        <v>0</v>
      </c>
      <c r="AE50" s="278">
        <f ca="1">IF(ABS(R50-E50)&gt;SnapshotTolerance,1,0)</f>
        <v>0</v>
      </c>
      <c r="AF50" s="278">
        <f ca="1">IF(ABS(S50-F50)&gt;SnapshotTolerance,1,0)</f>
        <v>0</v>
      </c>
      <c r="AG50" s="278">
        <f ca="1">IF(ABS(T50-G50)&gt;SnapshotTolerance,1,0)</f>
        <v>0</v>
      </c>
      <c r="AH50" s="278">
        <f ca="1">IF(ABS(U50-H50)&gt;SnapshotTolerance,1,0)</f>
        <v>0</v>
      </c>
      <c r="AI50" s="278">
        <f ca="1">IF(ABS(V50-I50)&gt;SnapshotTolerance,1,0)</f>
        <v>0</v>
      </c>
      <c r="AJ50" s="278">
        <f ca="1">IF(ABS(W50-J50)&gt;SnapshotTolerance,1,0)</f>
        <v>0</v>
      </c>
      <c r="AK50" s="278">
        <f ca="1">IF(ABS(X50-K50)&gt;SnapshotTolerance,1,0)</f>
        <v>0</v>
      </c>
      <c r="AL50" s="278">
        <f ca="1">IF(ABS(Y50-L50)&gt;SnapshotTolerance,1,0)</f>
        <v>0</v>
      </c>
      <c r="AM50" s="279">
        <f ca="1">IF(ABS(Z50-M50)&gt;SnapshotTolerance,1,0)</f>
        <v>0</v>
      </c>
    </row>
    <row r="51" spans="2:39">
      <c r="B51" s="282" t="str">
        <f>'GBP Swap PVs'!M43</f>
        <v>40Y</v>
      </c>
      <c r="C51" s="278">
        <f ca="1">'GBP Swap PVs'!N43</f>
        <v>1318174.9079456266</v>
      </c>
      <c r="D51" s="278">
        <f ca="1">'GBP Swap PVs'!O43</f>
        <v>1054539.9263565014</v>
      </c>
      <c r="E51" s="278">
        <f ca="1">'GBP Swap PVs'!P43</f>
        <v>790904.94476737559</v>
      </c>
      <c r="F51" s="278">
        <f ca="1">'GBP Swap PVs'!Q43</f>
        <v>527269.96317825082</v>
      </c>
      <c r="G51" s="278">
        <f ca="1">'GBP Swap PVs'!R43</f>
        <v>263634.98158912512</v>
      </c>
      <c r="H51" s="278">
        <f ca="1">'GBP Swap PVs'!S43</f>
        <v>0</v>
      </c>
      <c r="I51" s="278">
        <f ca="1">'GBP Swap PVs'!T43</f>
        <v>-263634.98158912576</v>
      </c>
      <c r="J51" s="278">
        <f ca="1">'GBP Swap PVs'!U43</f>
        <v>-527269.96317825106</v>
      </c>
      <c r="K51" s="278">
        <f ca="1">'GBP Swap PVs'!V43</f>
        <v>-790904.94476737664</v>
      </c>
      <c r="L51" s="278">
        <f ca="1">'GBP Swap PVs'!W43</f>
        <v>-1054539.9263565021</v>
      </c>
      <c r="M51" s="279">
        <f ca="1">'GBP Swap PVs'!X43</f>
        <v>-1318174.9079456276</v>
      </c>
      <c r="O51" s="282" t="s">
        <v>15</v>
      </c>
      <c r="P51" s="278">
        <v>1318174.9079456266</v>
      </c>
      <c r="Q51" s="278">
        <v>1054539.9263565014</v>
      </c>
      <c r="R51" s="278">
        <v>790904.94476737559</v>
      </c>
      <c r="S51" s="278">
        <v>527269.96317825082</v>
      </c>
      <c r="T51" s="278">
        <v>263634.98158912512</v>
      </c>
      <c r="U51" s="278">
        <v>0</v>
      </c>
      <c r="V51" s="278">
        <v>-263634.98158912576</v>
      </c>
      <c r="W51" s="278">
        <v>-527269.96317825106</v>
      </c>
      <c r="X51" s="278">
        <v>-790904.94476737664</v>
      </c>
      <c r="Y51" s="278">
        <v>-1054539.9263565021</v>
      </c>
      <c r="Z51" s="279">
        <v>-1318174.9079456276</v>
      </c>
      <c r="AB51" s="282" t="str">
        <f t="shared" si="3"/>
        <v>40Y</v>
      </c>
      <c r="AC51" s="278">
        <f ca="1">IF(ABS(P51-C51)&gt;SnapshotTolerance,1,0)</f>
        <v>0</v>
      </c>
      <c r="AD51" s="278">
        <f ca="1">IF(ABS(Q51-D51)&gt;SnapshotTolerance,1,0)</f>
        <v>0</v>
      </c>
      <c r="AE51" s="278">
        <f ca="1">IF(ABS(R51-E51)&gt;SnapshotTolerance,1,0)</f>
        <v>0</v>
      </c>
      <c r="AF51" s="278">
        <f ca="1">IF(ABS(S51-F51)&gt;SnapshotTolerance,1,0)</f>
        <v>0</v>
      </c>
      <c r="AG51" s="278">
        <f ca="1">IF(ABS(T51-G51)&gt;SnapshotTolerance,1,0)</f>
        <v>0</v>
      </c>
      <c r="AH51" s="278">
        <f ca="1">IF(ABS(U51-H51)&gt;SnapshotTolerance,1,0)</f>
        <v>0</v>
      </c>
      <c r="AI51" s="278">
        <f ca="1">IF(ABS(V51-I51)&gt;SnapshotTolerance,1,0)</f>
        <v>0</v>
      </c>
      <c r="AJ51" s="278">
        <f ca="1">IF(ABS(W51-J51)&gt;SnapshotTolerance,1,0)</f>
        <v>0</v>
      </c>
      <c r="AK51" s="278">
        <f ca="1">IF(ABS(X51-K51)&gt;SnapshotTolerance,1,0)</f>
        <v>0</v>
      </c>
      <c r="AL51" s="278">
        <f ca="1">IF(ABS(Y51-L51)&gt;SnapshotTolerance,1,0)</f>
        <v>0</v>
      </c>
      <c r="AM51" s="279">
        <f ca="1">IF(ABS(Z51-M51)&gt;SnapshotTolerance,1,0)</f>
        <v>0</v>
      </c>
    </row>
    <row r="52" spans="2:39">
      <c r="B52" s="282" t="str">
        <f>'GBP Swap PVs'!M44</f>
        <v>50Y</v>
      </c>
      <c r="C52" s="278">
        <f ca="1">'GBP Swap PVs'!N44</f>
        <v>1498623.2347463313</v>
      </c>
      <c r="D52" s="278">
        <f ca="1">'GBP Swap PVs'!O44</f>
        <v>1198898.5877970648</v>
      </c>
      <c r="E52" s="278">
        <f ca="1">'GBP Swap PVs'!P44</f>
        <v>899173.9408477979</v>
      </c>
      <c r="F52" s="278">
        <f ca="1">'GBP Swap PVs'!Q44</f>
        <v>599449.29389853252</v>
      </c>
      <c r="G52" s="278">
        <f ca="1">'GBP Swap PVs'!R44</f>
        <v>299724.64694926603</v>
      </c>
      <c r="H52" s="278">
        <f ca="1">'GBP Swap PVs'!S44</f>
        <v>0</v>
      </c>
      <c r="I52" s="278">
        <f ca="1">'GBP Swap PVs'!T44</f>
        <v>-299724.64694926655</v>
      </c>
      <c r="J52" s="278">
        <f ca="1">'GBP Swap PVs'!U44</f>
        <v>-599449.29389853263</v>
      </c>
      <c r="K52" s="278">
        <f ca="1">'GBP Swap PVs'!V44</f>
        <v>-899173.94084779895</v>
      </c>
      <c r="L52" s="278">
        <f ca="1">'GBP Swap PVs'!W44</f>
        <v>-1198898.5877970655</v>
      </c>
      <c r="M52" s="279">
        <f ca="1">'GBP Swap PVs'!X44</f>
        <v>-1498623.2347463316</v>
      </c>
      <c r="O52" s="282" t="s">
        <v>14</v>
      </c>
      <c r="P52" s="278">
        <v>1498623.2347463313</v>
      </c>
      <c r="Q52" s="278">
        <v>1198898.5877970648</v>
      </c>
      <c r="R52" s="278">
        <v>899173.9408477979</v>
      </c>
      <c r="S52" s="278">
        <v>599449.29389853252</v>
      </c>
      <c r="T52" s="278">
        <v>299724.64694926603</v>
      </c>
      <c r="U52" s="278">
        <v>0</v>
      </c>
      <c r="V52" s="278">
        <v>-299724.64694926655</v>
      </c>
      <c r="W52" s="278">
        <v>-599449.29389853263</v>
      </c>
      <c r="X52" s="278">
        <v>-899173.94084779895</v>
      </c>
      <c r="Y52" s="278">
        <v>-1198898.5877970655</v>
      </c>
      <c r="Z52" s="279">
        <v>-1498623.2347463316</v>
      </c>
      <c r="AB52" s="282" t="str">
        <f t="shared" si="3"/>
        <v>50Y</v>
      </c>
      <c r="AC52" s="278">
        <f ca="1">IF(ABS(P52-C52)&gt;SnapshotTolerance,1,0)</f>
        <v>0</v>
      </c>
      <c r="AD52" s="278">
        <f ca="1">IF(ABS(Q52-D52)&gt;SnapshotTolerance,1,0)</f>
        <v>0</v>
      </c>
      <c r="AE52" s="278">
        <f ca="1">IF(ABS(R52-E52)&gt;SnapshotTolerance,1,0)</f>
        <v>0</v>
      </c>
      <c r="AF52" s="278">
        <f ca="1">IF(ABS(S52-F52)&gt;SnapshotTolerance,1,0)</f>
        <v>0</v>
      </c>
      <c r="AG52" s="278">
        <f ca="1">IF(ABS(T52-G52)&gt;SnapshotTolerance,1,0)</f>
        <v>0</v>
      </c>
      <c r="AH52" s="278">
        <f ca="1">IF(ABS(U52-H52)&gt;SnapshotTolerance,1,0)</f>
        <v>0</v>
      </c>
      <c r="AI52" s="278">
        <f ca="1">IF(ABS(V52-I52)&gt;SnapshotTolerance,1,0)</f>
        <v>0</v>
      </c>
      <c r="AJ52" s="278">
        <f ca="1">IF(ABS(W52-J52)&gt;SnapshotTolerance,1,0)</f>
        <v>0</v>
      </c>
      <c r="AK52" s="278">
        <f ca="1">IF(ABS(X52-K52)&gt;SnapshotTolerance,1,0)</f>
        <v>0</v>
      </c>
      <c r="AL52" s="278">
        <f ca="1">IF(ABS(Y52-L52)&gt;SnapshotTolerance,1,0)</f>
        <v>0</v>
      </c>
      <c r="AM52" s="279">
        <f ca="1">IF(ABS(Z52-M52)&gt;SnapshotTolerance,1,0)</f>
        <v>0</v>
      </c>
    </row>
    <row r="53" spans="2:39">
      <c r="B53" s="282"/>
      <c r="C53" s="278"/>
      <c r="D53" s="278"/>
      <c r="E53" s="278"/>
      <c r="F53" s="278"/>
      <c r="G53" s="278"/>
      <c r="H53" s="278"/>
      <c r="I53" s="278"/>
      <c r="J53" s="278"/>
      <c r="K53" s="278"/>
      <c r="L53" s="278"/>
      <c r="M53" s="279"/>
      <c r="O53" s="282"/>
      <c r="P53" s="278"/>
      <c r="Q53" s="278"/>
      <c r="R53" s="278"/>
      <c r="S53" s="278"/>
      <c r="T53" s="278"/>
      <c r="U53" s="278"/>
      <c r="V53" s="278"/>
      <c r="W53" s="278"/>
      <c r="X53" s="278"/>
      <c r="Y53" s="278"/>
      <c r="Z53" s="279"/>
      <c r="AB53" s="282"/>
      <c r="AC53" s="278"/>
      <c r="AD53" s="278"/>
      <c r="AE53" s="278"/>
      <c r="AF53" s="278"/>
      <c r="AG53" s="278"/>
      <c r="AH53" s="278"/>
      <c r="AI53" s="278"/>
      <c r="AJ53" s="278"/>
      <c r="AK53" s="278"/>
      <c r="AL53" s="278"/>
      <c r="AM53" s="279"/>
    </row>
    <row r="54" spans="2:39">
      <c r="B54" s="282"/>
      <c r="C54" s="278"/>
      <c r="D54" s="278"/>
      <c r="E54" s="278"/>
      <c r="F54" s="278"/>
      <c r="G54" s="278"/>
      <c r="H54" s="278"/>
      <c r="I54" s="278"/>
      <c r="J54" s="278"/>
      <c r="K54" s="278"/>
      <c r="L54" s="278"/>
      <c r="M54" s="279"/>
      <c r="O54" s="282"/>
      <c r="P54" s="278"/>
      <c r="Q54" s="278"/>
      <c r="R54" s="278"/>
      <c r="S54" s="278"/>
      <c r="T54" s="278"/>
      <c r="U54" s="278"/>
      <c r="V54" s="278"/>
      <c r="W54" s="278"/>
      <c r="X54" s="278"/>
      <c r="Y54" s="278"/>
      <c r="Z54" s="279"/>
      <c r="AB54" s="282"/>
      <c r="AC54" s="278"/>
      <c r="AD54" s="278"/>
      <c r="AE54" s="278"/>
      <c r="AF54" s="278"/>
      <c r="AG54" s="278"/>
      <c r="AH54" s="278"/>
      <c r="AI54" s="278"/>
      <c r="AJ54" s="278"/>
      <c r="AK54" s="278"/>
      <c r="AL54" s="278"/>
      <c r="AM54" s="279"/>
    </row>
    <row r="55" spans="2:39">
      <c r="B55" s="283"/>
      <c r="C55" s="280"/>
      <c r="D55" s="280"/>
      <c r="E55" s="280"/>
      <c r="F55" s="280"/>
      <c r="G55" s="280"/>
      <c r="H55" s="280"/>
      <c r="I55" s="280"/>
      <c r="J55" s="280"/>
      <c r="K55" s="280"/>
      <c r="L55" s="280"/>
      <c r="M55" s="281"/>
      <c r="O55" s="283"/>
      <c r="P55" s="280"/>
      <c r="Q55" s="280"/>
      <c r="R55" s="280"/>
      <c r="S55" s="280"/>
      <c r="T55" s="280"/>
      <c r="U55" s="280"/>
      <c r="V55" s="280"/>
      <c r="W55" s="280"/>
      <c r="X55" s="280"/>
      <c r="Y55" s="280"/>
      <c r="Z55" s="281"/>
      <c r="AB55" s="283"/>
      <c r="AC55" s="280"/>
      <c r="AD55" s="280"/>
      <c r="AE55" s="280"/>
      <c r="AF55" s="280"/>
      <c r="AG55" s="280"/>
      <c r="AH55" s="280"/>
      <c r="AI55" s="280"/>
      <c r="AJ55" s="280"/>
      <c r="AK55" s="280"/>
      <c r="AL55" s="280"/>
      <c r="AM55" s="281"/>
    </row>
    <row r="58" spans="2:39">
      <c r="B58" t="s">
        <v>527</v>
      </c>
      <c r="E58" t="s">
        <v>472</v>
      </c>
    </row>
    <row r="59" spans="2:39">
      <c r="B59" t="s">
        <v>528</v>
      </c>
      <c r="E59" s="252">
        <f ca="1">SUM(AC64:AM82)</f>
        <v>0</v>
      </c>
    </row>
    <row r="60" spans="2:39">
      <c r="B60" t="s">
        <v>532</v>
      </c>
    </row>
    <row r="62" spans="2:39">
      <c r="B62" t="s">
        <v>510</v>
      </c>
      <c r="O62" t="s">
        <v>470</v>
      </c>
      <c r="AB62" t="s">
        <v>511</v>
      </c>
    </row>
    <row r="63" spans="2:39">
      <c r="B63" s="254" t="str">
        <f>'GBP Swap PVs'!AG3</f>
        <v>Term</v>
      </c>
      <c r="C63" s="276">
        <f>'GBP Swap PVs'!AH3</f>
        <v>-0.05</v>
      </c>
      <c r="D63" s="276">
        <f>'GBP Swap PVs'!AI3</f>
        <v>-0.04</v>
      </c>
      <c r="E63" s="276">
        <f>'GBP Swap PVs'!AJ3</f>
        <v>-0.03</v>
      </c>
      <c r="F63" s="276">
        <f>'GBP Swap PVs'!AK3</f>
        <v>-1.9999999999999997E-2</v>
      </c>
      <c r="G63" s="276">
        <f>'GBP Swap PVs'!AL3</f>
        <v>-9.9999999999999967E-3</v>
      </c>
      <c r="H63" s="276">
        <f>'GBP Swap PVs'!AM3</f>
        <v>0</v>
      </c>
      <c r="I63" s="276">
        <f>'GBP Swap PVs'!AN3</f>
        <v>0.01</v>
      </c>
      <c r="J63" s="276">
        <f>'GBP Swap PVs'!AO3</f>
        <v>0.02</v>
      </c>
      <c r="K63" s="276">
        <f>'GBP Swap PVs'!AP3</f>
        <v>0.03</v>
      </c>
      <c r="L63" s="276">
        <f>'GBP Swap PVs'!AQ3</f>
        <v>0.04</v>
      </c>
      <c r="M63" s="277">
        <f>'GBP Swap PVs'!AR3</f>
        <v>0.05</v>
      </c>
      <c r="O63" s="254" t="s">
        <v>76</v>
      </c>
      <c r="P63" s="276">
        <v>-0.05</v>
      </c>
      <c r="Q63" s="276">
        <v>-0.04</v>
      </c>
      <c r="R63" s="276">
        <v>-0.03</v>
      </c>
      <c r="S63" s="276">
        <v>-1.9999999999999997E-2</v>
      </c>
      <c r="T63" s="276">
        <v>-9.9999999999999967E-3</v>
      </c>
      <c r="U63" s="276">
        <v>0</v>
      </c>
      <c r="V63" s="276">
        <v>0.01</v>
      </c>
      <c r="W63" s="276">
        <v>0.02</v>
      </c>
      <c r="X63" s="276">
        <v>0.03</v>
      </c>
      <c r="Y63" s="276">
        <v>0.04</v>
      </c>
      <c r="Z63" s="277">
        <v>0.05</v>
      </c>
      <c r="AB63" s="254" t="str">
        <f>O63</f>
        <v>Term</v>
      </c>
      <c r="AC63" s="276">
        <f>P63</f>
        <v>-0.05</v>
      </c>
      <c r="AD63" s="276">
        <f t="shared" ref="AD63:AM63" si="4">Q63</f>
        <v>-0.04</v>
      </c>
      <c r="AE63" s="276">
        <f t="shared" si="4"/>
        <v>-0.03</v>
      </c>
      <c r="AF63" s="276">
        <f t="shared" si="4"/>
        <v>-1.9999999999999997E-2</v>
      </c>
      <c r="AG63" s="276">
        <f t="shared" si="4"/>
        <v>-9.9999999999999967E-3</v>
      </c>
      <c r="AH63" s="276">
        <f t="shared" si="4"/>
        <v>0</v>
      </c>
      <c r="AI63" s="276">
        <f t="shared" si="4"/>
        <v>0.01</v>
      </c>
      <c r="AJ63" s="276">
        <f t="shared" si="4"/>
        <v>0.02</v>
      </c>
      <c r="AK63" s="276">
        <f t="shared" si="4"/>
        <v>0.03</v>
      </c>
      <c r="AL63" s="276">
        <f t="shared" si="4"/>
        <v>0.04</v>
      </c>
      <c r="AM63" s="277">
        <f t="shared" si="4"/>
        <v>0.05</v>
      </c>
    </row>
    <row r="64" spans="2:39">
      <c r="B64" s="282" t="str">
        <f>'GBP Swap PVs'!AG4</f>
        <v>2Y</v>
      </c>
      <c r="C64" s="278">
        <f ca="1">'GBP Swap PVs'!AH4</f>
        <v>99258.437527978211</v>
      </c>
      <c r="D64" s="278">
        <f ca="1">'GBP Swap PVs'!AI4</f>
        <v>79406.750022382563</v>
      </c>
      <c r="E64" s="278">
        <f ca="1">'GBP Swap PVs'!AJ4</f>
        <v>59555.062516786908</v>
      </c>
      <c r="F64" s="278">
        <f ca="1">'GBP Swap PVs'!AK4</f>
        <v>39703.375011191267</v>
      </c>
      <c r="G64" s="278">
        <f ca="1">'GBP Swap PVs'!AL4</f>
        <v>19851.68750559563</v>
      </c>
      <c r="H64" s="278">
        <f ca="1">'GBP Swap PVs'!AM4</f>
        <v>-3.4694469519536142E-12</v>
      </c>
      <c r="I64" s="278">
        <f ca="1">'GBP Swap PVs'!AN4</f>
        <v>-19851.687505595644</v>
      </c>
      <c r="J64" s="278">
        <f ca="1">'GBP Swap PVs'!AO4</f>
        <v>-39703.375011191281</v>
      </c>
      <c r="K64" s="278">
        <f ca="1">'GBP Swap PVs'!AP4</f>
        <v>-59555.062516786922</v>
      </c>
      <c r="L64" s="278">
        <f ca="1">'GBP Swap PVs'!AQ4</f>
        <v>-79406.750022382563</v>
      </c>
      <c r="M64" s="279">
        <f ca="1">'GBP Swap PVs'!AR4</f>
        <v>-99258.437527978211</v>
      </c>
      <c r="O64" s="282" t="s">
        <v>42</v>
      </c>
      <c r="P64" s="278">
        <v>99258.437527978211</v>
      </c>
      <c r="Q64" s="278">
        <v>79406.750022382563</v>
      </c>
      <c r="R64" s="278">
        <v>59555.062516786908</v>
      </c>
      <c r="S64" s="278">
        <v>39703.375011191267</v>
      </c>
      <c r="T64" s="278">
        <v>19851.68750559563</v>
      </c>
      <c r="U64" s="278">
        <v>-3.4694469519536142E-12</v>
      </c>
      <c r="V64" s="278">
        <v>-19851.687505595644</v>
      </c>
      <c r="W64" s="278">
        <v>-39703.375011191281</v>
      </c>
      <c r="X64" s="278">
        <v>-59555.062516786922</v>
      </c>
      <c r="Y64" s="278">
        <v>-79406.750022382563</v>
      </c>
      <c r="Z64" s="279">
        <v>-99258.437527978211</v>
      </c>
      <c r="AB64" s="282" t="str">
        <f t="shared" ref="AB64:AB82" si="5">O64</f>
        <v>2Y</v>
      </c>
      <c r="AC64" s="278">
        <f ca="1">IF(ABS(P64-C64)&gt;SnapshotTolerance,1,0)</f>
        <v>0</v>
      </c>
      <c r="AD64" s="278">
        <f ca="1">IF(ABS(Q64-D64)&gt;SnapshotTolerance,1,0)</f>
        <v>0</v>
      </c>
      <c r="AE64" s="278">
        <f ca="1">IF(ABS(R64-E64)&gt;SnapshotTolerance,1,0)</f>
        <v>0</v>
      </c>
      <c r="AF64" s="278">
        <f ca="1">IF(ABS(S64-F64)&gt;SnapshotTolerance,1,0)</f>
        <v>0</v>
      </c>
      <c r="AG64" s="278">
        <f ca="1">IF(ABS(T64-G64)&gt;SnapshotTolerance,1,0)</f>
        <v>0</v>
      </c>
      <c r="AH64" s="278">
        <f ca="1">IF(ABS(U64-H64)&gt;SnapshotTolerance,1,0)</f>
        <v>0</v>
      </c>
      <c r="AI64" s="278">
        <f ca="1">IF(ABS(V64-I64)&gt;SnapshotTolerance,1,0)</f>
        <v>0</v>
      </c>
      <c r="AJ64" s="278">
        <f ca="1">IF(ABS(W64-J64)&gt;SnapshotTolerance,1,0)</f>
        <v>0</v>
      </c>
      <c r="AK64" s="278">
        <f ca="1">IF(ABS(X64-K64)&gt;SnapshotTolerance,1,0)</f>
        <v>0</v>
      </c>
      <c r="AL64" s="278">
        <f ca="1">IF(ABS(Y64-L64)&gt;SnapshotTolerance,1,0)</f>
        <v>0</v>
      </c>
      <c r="AM64" s="279">
        <f ca="1">IF(ABS(Z64-M64)&gt;SnapshotTolerance,1,0)</f>
        <v>0</v>
      </c>
    </row>
    <row r="65" spans="2:39">
      <c r="B65" s="282" t="str">
        <f>'GBP Swap PVs'!AG5</f>
        <v>3Y</v>
      </c>
      <c r="C65" s="278">
        <f ca="1">'GBP Swap PVs'!AH5</f>
        <v>147865.36992561398</v>
      </c>
      <c r="D65" s="278">
        <f ca="1">'GBP Swap PVs'!AI5</f>
        <v>118292.29594049118</v>
      </c>
      <c r="E65" s="278">
        <f ca="1">'GBP Swap PVs'!AJ5</f>
        <v>88719.221955368397</v>
      </c>
      <c r="F65" s="278">
        <f ca="1">'GBP Swap PVs'!AK5</f>
        <v>59146.147970245605</v>
      </c>
      <c r="G65" s="278">
        <f ca="1">'GBP Swap PVs'!AL5</f>
        <v>29573.073985122814</v>
      </c>
      <c r="H65" s="278">
        <f ca="1">'GBP Swap PVs'!AM5</f>
        <v>4.163336342344337E-11</v>
      </c>
      <c r="I65" s="278">
        <f ca="1">'GBP Swap PVs'!AN5</f>
        <v>-29573.073985122752</v>
      </c>
      <c r="J65" s="278">
        <f ca="1">'GBP Swap PVs'!AO5</f>
        <v>-59146.147970245533</v>
      </c>
      <c r="K65" s="278">
        <f ca="1">'GBP Swap PVs'!AP5</f>
        <v>-88719.22195536831</v>
      </c>
      <c r="L65" s="278">
        <f ca="1">'GBP Swap PVs'!AQ5</f>
        <v>-118292.29594049111</v>
      </c>
      <c r="M65" s="279">
        <f ca="1">'GBP Swap PVs'!AR5</f>
        <v>-147865.36992561389</v>
      </c>
      <c r="O65" s="282" t="s">
        <v>39</v>
      </c>
      <c r="P65" s="278">
        <v>147865.36992561398</v>
      </c>
      <c r="Q65" s="278">
        <v>118292.29594049118</v>
      </c>
      <c r="R65" s="278">
        <v>88719.221955368397</v>
      </c>
      <c r="S65" s="278">
        <v>59146.147970245605</v>
      </c>
      <c r="T65" s="278">
        <v>29573.073985122814</v>
      </c>
      <c r="U65" s="278">
        <v>4.163336342344337E-11</v>
      </c>
      <c r="V65" s="278">
        <v>-29573.073985122752</v>
      </c>
      <c r="W65" s="278">
        <v>-59146.147970245533</v>
      </c>
      <c r="X65" s="278">
        <v>-88719.22195536831</v>
      </c>
      <c r="Y65" s="278">
        <v>-118292.29594049111</v>
      </c>
      <c r="Z65" s="279">
        <v>-147865.36992561389</v>
      </c>
      <c r="AB65" s="282" t="str">
        <f t="shared" si="5"/>
        <v>3Y</v>
      </c>
      <c r="AC65" s="278">
        <f ca="1">IF(ABS(P65-C65)&gt;SnapshotTolerance,1,0)</f>
        <v>0</v>
      </c>
      <c r="AD65" s="278">
        <f ca="1">IF(ABS(Q65-D65)&gt;SnapshotTolerance,1,0)</f>
        <v>0</v>
      </c>
      <c r="AE65" s="278">
        <f ca="1">IF(ABS(R65-E65)&gt;SnapshotTolerance,1,0)</f>
        <v>0</v>
      </c>
      <c r="AF65" s="278">
        <f ca="1">IF(ABS(S65-F65)&gt;SnapshotTolerance,1,0)</f>
        <v>0</v>
      </c>
      <c r="AG65" s="278">
        <f ca="1">IF(ABS(T65-G65)&gt;SnapshotTolerance,1,0)</f>
        <v>0</v>
      </c>
      <c r="AH65" s="278">
        <f ca="1">IF(ABS(U65-H65)&gt;SnapshotTolerance,1,0)</f>
        <v>0</v>
      </c>
      <c r="AI65" s="278">
        <f ca="1">IF(ABS(V65-I65)&gt;SnapshotTolerance,1,0)</f>
        <v>0</v>
      </c>
      <c r="AJ65" s="278">
        <f ca="1">IF(ABS(W65-J65)&gt;SnapshotTolerance,1,0)</f>
        <v>0</v>
      </c>
      <c r="AK65" s="278">
        <f ca="1">IF(ABS(X65-K65)&gt;SnapshotTolerance,1,0)</f>
        <v>0</v>
      </c>
      <c r="AL65" s="278">
        <f ca="1">IF(ABS(Y65-L65)&gt;SnapshotTolerance,1,0)</f>
        <v>0</v>
      </c>
      <c r="AM65" s="279">
        <f ca="1">IF(ABS(Z65-M65)&gt;SnapshotTolerance,1,0)</f>
        <v>0</v>
      </c>
    </row>
    <row r="66" spans="2:39">
      <c r="B66" s="282" t="str">
        <f>'GBP Swap PVs'!AG6</f>
        <v>4Y</v>
      </c>
      <c r="C66" s="278">
        <f ca="1">'GBP Swap PVs'!AH6</f>
        <v>195848.7564848233</v>
      </c>
      <c r="D66" s="278">
        <f ca="1">'GBP Swap PVs'!AI6</f>
        <v>156679.00518785865</v>
      </c>
      <c r="E66" s="278">
        <f ca="1">'GBP Swap PVs'!AJ6</f>
        <v>117509.25389089398</v>
      </c>
      <c r="F66" s="278">
        <f ca="1">'GBP Swap PVs'!AK6</f>
        <v>78339.502593929312</v>
      </c>
      <c r="G66" s="278">
        <f ca="1">'GBP Swap PVs'!AL6</f>
        <v>39169.751296964649</v>
      </c>
      <c r="H66" s="278">
        <f ca="1">'GBP Swap PVs'!AM6</f>
        <v>0</v>
      </c>
      <c r="I66" s="278">
        <f ca="1">'GBP Swap PVs'!AN6</f>
        <v>-39169.751296964649</v>
      </c>
      <c r="J66" s="278">
        <f ca="1">'GBP Swap PVs'!AO6</f>
        <v>-78339.502593929326</v>
      </c>
      <c r="K66" s="278">
        <f ca="1">'GBP Swap PVs'!AP6</f>
        <v>-117509.25389089398</v>
      </c>
      <c r="L66" s="278">
        <f ca="1">'GBP Swap PVs'!AQ6</f>
        <v>-156679.00518785862</v>
      </c>
      <c r="M66" s="279">
        <f ca="1">'GBP Swap PVs'!AR6</f>
        <v>-195848.7564848233</v>
      </c>
      <c r="O66" s="282" t="s">
        <v>35</v>
      </c>
      <c r="P66" s="278">
        <v>195848.7564848233</v>
      </c>
      <c r="Q66" s="278">
        <v>156679.00518785865</v>
      </c>
      <c r="R66" s="278">
        <v>117509.25389089398</v>
      </c>
      <c r="S66" s="278">
        <v>78339.502593929312</v>
      </c>
      <c r="T66" s="278">
        <v>39169.751296964649</v>
      </c>
      <c r="U66" s="278">
        <v>0</v>
      </c>
      <c r="V66" s="278">
        <v>-39169.751296964649</v>
      </c>
      <c r="W66" s="278">
        <v>-78339.502593929326</v>
      </c>
      <c r="X66" s="278">
        <v>-117509.25389089398</v>
      </c>
      <c r="Y66" s="278">
        <v>-156679.00518785862</v>
      </c>
      <c r="Z66" s="279">
        <v>-195848.7564848233</v>
      </c>
      <c r="AB66" s="282" t="str">
        <f t="shared" si="5"/>
        <v>4Y</v>
      </c>
      <c r="AC66" s="278">
        <f ca="1">IF(ABS(P66-C66)&gt;SnapshotTolerance,1,0)</f>
        <v>0</v>
      </c>
      <c r="AD66" s="278">
        <f ca="1">IF(ABS(Q66-D66)&gt;SnapshotTolerance,1,0)</f>
        <v>0</v>
      </c>
      <c r="AE66" s="278">
        <f ca="1">IF(ABS(R66-E66)&gt;SnapshotTolerance,1,0)</f>
        <v>0</v>
      </c>
      <c r="AF66" s="278">
        <f ca="1">IF(ABS(S66-F66)&gt;SnapshotTolerance,1,0)</f>
        <v>0</v>
      </c>
      <c r="AG66" s="278">
        <f ca="1">IF(ABS(T66-G66)&gt;SnapshotTolerance,1,0)</f>
        <v>0</v>
      </c>
      <c r="AH66" s="278">
        <f ca="1">IF(ABS(U66-H66)&gt;SnapshotTolerance,1,0)</f>
        <v>0</v>
      </c>
      <c r="AI66" s="278">
        <f ca="1">IF(ABS(V66-I66)&gt;SnapshotTolerance,1,0)</f>
        <v>0</v>
      </c>
      <c r="AJ66" s="278">
        <f ca="1">IF(ABS(W66-J66)&gt;SnapshotTolerance,1,0)</f>
        <v>0</v>
      </c>
      <c r="AK66" s="278">
        <f ca="1">IF(ABS(X66-K66)&gt;SnapshotTolerance,1,0)</f>
        <v>0</v>
      </c>
      <c r="AL66" s="278">
        <f ca="1">IF(ABS(Y66-L66)&gt;SnapshotTolerance,1,0)</f>
        <v>0</v>
      </c>
      <c r="AM66" s="279">
        <f ca="1">IF(ABS(Z66-M66)&gt;SnapshotTolerance,1,0)</f>
        <v>0</v>
      </c>
    </row>
    <row r="67" spans="2:39">
      <c r="B67" s="282" t="str">
        <f>'GBP Swap PVs'!AG7</f>
        <v>5Y</v>
      </c>
      <c r="C67" s="278">
        <f ca="1">'GBP Swap PVs'!AH7</f>
        <v>242457.13075464804</v>
      </c>
      <c r="D67" s="278">
        <f ca="1">'GBP Swap PVs'!AI7</f>
        <v>193965.70460371845</v>
      </c>
      <c r="E67" s="278">
        <f ca="1">'GBP Swap PVs'!AJ7</f>
        <v>145474.27845278886</v>
      </c>
      <c r="F67" s="278">
        <f ca="1">'GBP Swap PVs'!AK7</f>
        <v>96982.852301859253</v>
      </c>
      <c r="G67" s="278">
        <f ca="1">'GBP Swap PVs'!AL7</f>
        <v>48491.426150929678</v>
      </c>
      <c r="H67" s="278">
        <f ca="1">'GBP Swap PVs'!AM7</f>
        <v>1.1102230246251565E-10</v>
      </c>
      <c r="I67" s="278">
        <f ca="1">'GBP Swap PVs'!AN7</f>
        <v>-48491.426150929481</v>
      </c>
      <c r="J67" s="278">
        <f ca="1">'GBP Swap PVs'!AO7</f>
        <v>-96982.852301859064</v>
      </c>
      <c r="K67" s="278">
        <f ca="1">'GBP Swap PVs'!AP7</f>
        <v>-145474.27845278865</v>
      </c>
      <c r="L67" s="278">
        <f ca="1">'GBP Swap PVs'!AQ7</f>
        <v>-193965.70460371822</v>
      </c>
      <c r="M67" s="279">
        <f ca="1">'GBP Swap PVs'!AR7</f>
        <v>-242457.13075464781</v>
      </c>
      <c r="O67" s="282" t="s">
        <v>33</v>
      </c>
      <c r="P67" s="278">
        <v>242457.13075464804</v>
      </c>
      <c r="Q67" s="278">
        <v>193965.70460371845</v>
      </c>
      <c r="R67" s="278">
        <v>145474.27845278886</v>
      </c>
      <c r="S67" s="278">
        <v>96982.852301859253</v>
      </c>
      <c r="T67" s="278">
        <v>48491.426150929678</v>
      </c>
      <c r="U67" s="278">
        <v>1.1102230246251565E-10</v>
      </c>
      <c r="V67" s="278">
        <v>-48491.426150929481</v>
      </c>
      <c r="W67" s="278">
        <v>-96982.852301859064</v>
      </c>
      <c r="X67" s="278">
        <v>-145474.27845278865</v>
      </c>
      <c r="Y67" s="278">
        <v>-193965.70460371822</v>
      </c>
      <c r="Z67" s="279">
        <v>-242457.13075464781</v>
      </c>
      <c r="AB67" s="282" t="str">
        <f t="shared" si="5"/>
        <v>5Y</v>
      </c>
      <c r="AC67" s="278">
        <f ca="1">IF(ABS(P67-C67)&gt;SnapshotTolerance,1,0)</f>
        <v>0</v>
      </c>
      <c r="AD67" s="278">
        <f ca="1">IF(ABS(Q67-D67)&gt;SnapshotTolerance,1,0)</f>
        <v>0</v>
      </c>
      <c r="AE67" s="278">
        <f ca="1">IF(ABS(R67-E67)&gt;SnapshotTolerance,1,0)</f>
        <v>0</v>
      </c>
      <c r="AF67" s="278">
        <f ca="1">IF(ABS(S67-F67)&gt;SnapshotTolerance,1,0)</f>
        <v>0</v>
      </c>
      <c r="AG67" s="278">
        <f ca="1">IF(ABS(T67-G67)&gt;SnapshotTolerance,1,0)</f>
        <v>0</v>
      </c>
      <c r="AH67" s="278">
        <f ca="1">IF(ABS(U67-H67)&gt;SnapshotTolerance,1,0)</f>
        <v>0</v>
      </c>
      <c r="AI67" s="278">
        <f ca="1">IF(ABS(V67-I67)&gt;SnapshotTolerance,1,0)</f>
        <v>0</v>
      </c>
      <c r="AJ67" s="278">
        <f ca="1">IF(ABS(W67-J67)&gt;SnapshotTolerance,1,0)</f>
        <v>0</v>
      </c>
      <c r="AK67" s="278">
        <f ca="1">IF(ABS(X67-K67)&gt;SnapshotTolerance,1,0)</f>
        <v>0</v>
      </c>
      <c r="AL67" s="278">
        <f ca="1">IF(ABS(Y67-L67)&gt;SnapshotTolerance,1,0)</f>
        <v>0</v>
      </c>
      <c r="AM67" s="279">
        <f ca="1">IF(ABS(Z67-M67)&gt;SnapshotTolerance,1,0)</f>
        <v>0</v>
      </c>
    </row>
    <row r="68" spans="2:39">
      <c r="B68" s="282" t="str">
        <f>'GBP Swap PVs'!AG8</f>
        <v>6Y</v>
      </c>
      <c r="C68" s="278">
        <f ca="1">'GBP Swap PVs'!AH8</f>
        <v>288154.79235869757</v>
      </c>
      <c r="D68" s="278">
        <f ca="1">'GBP Swap PVs'!AI8</f>
        <v>230523.83388695808</v>
      </c>
      <c r="E68" s="278">
        <f ca="1">'GBP Swap PVs'!AJ8</f>
        <v>172892.87541521856</v>
      </c>
      <c r="F68" s="278">
        <f ca="1">'GBP Swap PVs'!AK8</f>
        <v>115261.91694347905</v>
      </c>
      <c r="G68" s="278">
        <f ca="1">'GBP Swap PVs'!AL8</f>
        <v>57630.958471739541</v>
      </c>
      <c r="H68" s="278">
        <f ca="1">'GBP Swap PVs'!AM8</f>
        <v>5.5511151231257827E-11</v>
      </c>
      <c r="I68" s="278">
        <f ca="1">'GBP Swap PVs'!AN8</f>
        <v>-57630.958471739446</v>
      </c>
      <c r="J68" s="278">
        <f ca="1">'GBP Swap PVs'!AO8</f>
        <v>-115261.91694347897</v>
      </c>
      <c r="K68" s="278">
        <f ca="1">'GBP Swap PVs'!AP8</f>
        <v>-172892.87541521841</v>
      </c>
      <c r="L68" s="278">
        <f ca="1">'GBP Swap PVs'!AQ8</f>
        <v>-230523.83388695796</v>
      </c>
      <c r="M68" s="279">
        <f ca="1">'GBP Swap PVs'!AR8</f>
        <v>-288154.79235869745</v>
      </c>
      <c r="O68" s="282" t="s">
        <v>131</v>
      </c>
      <c r="P68" s="278">
        <v>288154.79235869757</v>
      </c>
      <c r="Q68" s="278">
        <v>230523.83388695808</v>
      </c>
      <c r="R68" s="278">
        <v>172892.87541521856</v>
      </c>
      <c r="S68" s="278">
        <v>115261.91694347905</v>
      </c>
      <c r="T68" s="278">
        <v>57630.958471739541</v>
      </c>
      <c r="U68" s="278">
        <v>5.5511151231257827E-11</v>
      </c>
      <c r="V68" s="278">
        <v>-57630.958471739446</v>
      </c>
      <c r="W68" s="278">
        <v>-115261.91694347897</v>
      </c>
      <c r="X68" s="278">
        <v>-172892.87541521841</v>
      </c>
      <c r="Y68" s="278">
        <v>-230523.83388695796</v>
      </c>
      <c r="Z68" s="279">
        <v>-288154.79235869745</v>
      </c>
      <c r="AB68" s="282" t="str">
        <f t="shared" si="5"/>
        <v>6Y</v>
      </c>
      <c r="AC68" s="278">
        <f ca="1">IF(ABS(P68-C68)&gt;SnapshotTolerance,1,0)</f>
        <v>0</v>
      </c>
      <c r="AD68" s="278">
        <f ca="1">IF(ABS(Q68-D68)&gt;SnapshotTolerance,1,0)</f>
        <v>0</v>
      </c>
      <c r="AE68" s="278">
        <f ca="1">IF(ABS(R68-E68)&gt;SnapshotTolerance,1,0)</f>
        <v>0</v>
      </c>
      <c r="AF68" s="278">
        <f ca="1">IF(ABS(S68-F68)&gt;SnapshotTolerance,1,0)</f>
        <v>0</v>
      </c>
      <c r="AG68" s="278">
        <f ca="1">IF(ABS(T68-G68)&gt;SnapshotTolerance,1,0)</f>
        <v>0</v>
      </c>
      <c r="AH68" s="278">
        <f ca="1">IF(ABS(U68-H68)&gt;SnapshotTolerance,1,0)</f>
        <v>0</v>
      </c>
      <c r="AI68" s="278">
        <f ca="1">IF(ABS(V68-I68)&gt;SnapshotTolerance,1,0)</f>
        <v>0</v>
      </c>
      <c r="AJ68" s="278">
        <f ca="1">IF(ABS(W68-J68)&gt;SnapshotTolerance,1,0)</f>
        <v>0</v>
      </c>
      <c r="AK68" s="278">
        <f ca="1">IF(ABS(X68-K68)&gt;SnapshotTolerance,1,0)</f>
        <v>0</v>
      </c>
      <c r="AL68" s="278">
        <f ca="1">IF(ABS(Y68-L68)&gt;SnapshotTolerance,1,0)</f>
        <v>0</v>
      </c>
      <c r="AM68" s="279">
        <f ca="1">IF(ABS(Z68-M68)&gt;SnapshotTolerance,1,0)</f>
        <v>0</v>
      </c>
    </row>
    <row r="69" spans="2:39">
      <c r="B69" s="282" t="str">
        <f>'GBP Swap PVs'!AG9</f>
        <v>7Y</v>
      </c>
      <c r="C69" s="278">
        <f ca="1">'GBP Swap PVs'!AH9</f>
        <v>332777.29112241016</v>
      </c>
      <c r="D69" s="278">
        <f ca="1">'GBP Swap PVs'!AI9</f>
        <v>266221.83289792819</v>
      </c>
      <c r="E69" s="278">
        <f ca="1">'GBP Swap PVs'!AJ9</f>
        <v>199666.37467344615</v>
      </c>
      <c r="F69" s="278">
        <f ca="1">'GBP Swap PVs'!AK9</f>
        <v>133110.91644896413</v>
      </c>
      <c r="G69" s="278">
        <f ca="1">'GBP Swap PVs'!AL9</f>
        <v>66555.458224482092</v>
      </c>
      <c r="H69" s="278">
        <f ca="1">'GBP Swap PVs'!AM9</f>
        <v>1.1102230246251565E-10</v>
      </c>
      <c r="I69" s="278">
        <f ca="1">'GBP Swap PVs'!AN9</f>
        <v>-66555.458224481888</v>
      </c>
      <c r="J69" s="278">
        <f ca="1">'GBP Swap PVs'!AO9</f>
        <v>-133110.91644896395</v>
      </c>
      <c r="K69" s="278">
        <f ca="1">'GBP Swap PVs'!AP9</f>
        <v>-199666.37467344594</v>
      </c>
      <c r="L69" s="278">
        <f ca="1">'GBP Swap PVs'!AQ9</f>
        <v>-266221.83289792796</v>
      </c>
      <c r="M69" s="279">
        <f ca="1">'GBP Swap PVs'!AR9</f>
        <v>-332777.29112240998</v>
      </c>
      <c r="O69" s="282" t="s">
        <v>31</v>
      </c>
      <c r="P69" s="278">
        <v>332777.29112241016</v>
      </c>
      <c r="Q69" s="278">
        <v>266221.83289792819</v>
      </c>
      <c r="R69" s="278">
        <v>199666.37467344615</v>
      </c>
      <c r="S69" s="278">
        <v>133110.91644896413</v>
      </c>
      <c r="T69" s="278">
        <v>66555.458224482092</v>
      </c>
      <c r="U69" s="278">
        <v>1.1102230246251565E-10</v>
      </c>
      <c r="V69" s="278">
        <v>-66555.458224481888</v>
      </c>
      <c r="W69" s="278">
        <v>-133110.91644896395</v>
      </c>
      <c r="X69" s="278">
        <v>-199666.37467344594</v>
      </c>
      <c r="Y69" s="278">
        <v>-266221.83289792796</v>
      </c>
      <c r="Z69" s="279">
        <v>-332777.29112240998</v>
      </c>
      <c r="AB69" s="282" t="str">
        <f t="shared" si="5"/>
        <v>7Y</v>
      </c>
      <c r="AC69" s="278">
        <f ca="1">IF(ABS(P69-C69)&gt;SnapshotTolerance,1,0)</f>
        <v>0</v>
      </c>
      <c r="AD69" s="278">
        <f ca="1">IF(ABS(Q69-D69)&gt;SnapshotTolerance,1,0)</f>
        <v>0</v>
      </c>
      <c r="AE69" s="278">
        <f ca="1">IF(ABS(R69-E69)&gt;SnapshotTolerance,1,0)</f>
        <v>0</v>
      </c>
      <c r="AF69" s="278">
        <f ca="1">IF(ABS(S69-F69)&gt;SnapshotTolerance,1,0)</f>
        <v>0</v>
      </c>
      <c r="AG69" s="278">
        <f ca="1">IF(ABS(T69-G69)&gt;SnapshotTolerance,1,0)</f>
        <v>0</v>
      </c>
      <c r="AH69" s="278">
        <f ca="1">IF(ABS(U69-H69)&gt;SnapshotTolerance,1,0)</f>
        <v>0</v>
      </c>
      <c r="AI69" s="278">
        <f ca="1">IF(ABS(V69-I69)&gt;SnapshotTolerance,1,0)</f>
        <v>0</v>
      </c>
      <c r="AJ69" s="278">
        <f ca="1">IF(ABS(W69-J69)&gt;SnapshotTolerance,1,0)</f>
        <v>0</v>
      </c>
      <c r="AK69" s="278">
        <f ca="1">IF(ABS(X69-K69)&gt;SnapshotTolerance,1,0)</f>
        <v>0</v>
      </c>
      <c r="AL69" s="278">
        <f ca="1">IF(ABS(Y69-L69)&gt;SnapshotTolerance,1,0)</f>
        <v>0</v>
      </c>
      <c r="AM69" s="279">
        <f ca="1">IF(ABS(Z69-M69)&gt;SnapshotTolerance,1,0)</f>
        <v>0</v>
      </c>
    </row>
    <row r="70" spans="2:39">
      <c r="B70" s="282" t="str">
        <f>'GBP Swap PVs'!AG10</f>
        <v>8Y</v>
      </c>
      <c r="C70" s="278">
        <f ca="1">'GBP Swap PVs'!AH10</f>
        <v>376308.72409313219</v>
      </c>
      <c r="D70" s="278">
        <f ca="1">'GBP Swap PVs'!AI10</f>
        <v>301046.97927450575</v>
      </c>
      <c r="E70" s="278">
        <f ca="1">'GBP Swap PVs'!AJ10</f>
        <v>225785.23445587937</v>
      </c>
      <c r="F70" s="278">
        <f ca="1">'GBP Swap PVs'!AK10</f>
        <v>150523.48963725296</v>
      </c>
      <c r="G70" s="278">
        <f ca="1">'GBP Swap PVs'!AL10</f>
        <v>75261.744818626554</v>
      </c>
      <c r="H70" s="278">
        <f ca="1">'GBP Swap PVs'!AM10</f>
        <v>1.9428902930940239E-10</v>
      </c>
      <c r="I70" s="278">
        <f ca="1">'GBP Swap PVs'!AN10</f>
        <v>-75261.744818626219</v>
      </c>
      <c r="J70" s="278">
        <f ca="1">'GBP Swap PVs'!AO10</f>
        <v>-150523.48963725261</v>
      </c>
      <c r="K70" s="278">
        <f ca="1">'GBP Swap PVs'!AP10</f>
        <v>-225785.23445587896</v>
      </c>
      <c r="L70" s="278">
        <f ca="1">'GBP Swap PVs'!AQ10</f>
        <v>-301046.9792745054</v>
      </c>
      <c r="M70" s="279">
        <f ca="1">'GBP Swap PVs'!AR10</f>
        <v>-376308.7240931319</v>
      </c>
      <c r="O70" s="282" t="s">
        <v>119</v>
      </c>
      <c r="P70" s="278">
        <v>376308.72409313219</v>
      </c>
      <c r="Q70" s="278">
        <v>301046.97927450575</v>
      </c>
      <c r="R70" s="278">
        <v>225785.23445587937</v>
      </c>
      <c r="S70" s="278">
        <v>150523.48963725296</v>
      </c>
      <c r="T70" s="278">
        <v>75261.744818626554</v>
      </c>
      <c r="U70" s="278">
        <v>1.9428902930940239E-10</v>
      </c>
      <c r="V70" s="278">
        <v>-75261.744818626219</v>
      </c>
      <c r="W70" s="278">
        <v>-150523.48963725261</v>
      </c>
      <c r="X70" s="278">
        <v>-225785.23445587896</v>
      </c>
      <c r="Y70" s="278">
        <v>-301046.9792745054</v>
      </c>
      <c r="Z70" s="279">
        <v>-376308.7240931319</v>
      </c>
      <c r="AB70" s="282" t="str">
        <f t="shared" si="5"/>
        <v>8Y</v>
      </c>
      <c r="AC70" s="278">
        <f ca="1">IF(ABS(P70-C70)&gt;SnapshotTolerance,1,0)</f>
        <v>0</v>
      </c>
      <c r="AD70" s="278">
        <f ca="1">IF(ABS(Q70-D70)&gt;SnapshotTolerance,1,0)</f>
        <v>0</v>
      </c>
      <c r="AE70" s="278">
        <f ca="1">IF(ABS(R70-E70)&gt;SnapshotTolerance,1,0)</f>
        <v>0</v>
      </c>
      <c r="AF70" s="278">
        <f ca="1">IF(ABS(S70-F70)&gt;SnapshotTolerance,1,0)</f>
        <v>0</v>
      </c>
      <c r="AG70" s="278">
        <f ca="1">IF(ABS(T70-G70)&gt;SnapshotTolerance,1,0)</f>
        <v>0</v>
      </c>
      <c r="AH70" s="278">
        <f ca="1">IF(ABS(U70-H70)&gt;SnapshotTolerance,1,0)</f>
        <v>0</v>
      </c>
      <c r="AI70" s="278">
        <f ca="1">IF(ABS(V70-I70)&gt;SnapshotTolerance,1,0)</f>
        <v>0</v>
      </c>
      <c r="AJ70" s="278">
        <f ca="1">IF(ABS(W70-J70)&gt;SnapshotTolerance,1,0)</f>
        <v>0</v>
      </c>
      <c r="AK70" s="278">
        <f ca="1">IF(ABS(X70-K70)&gt;SnapshotTolerance,1,0)</f>
        <v>0</v>
      </c>
      <c r="AL70" s="278">
        <f ca="1">IF(ABS(Y70-L70)&gt;SnapshotTolerance,1,0)</f>
        <v>0</v>
      </c>
      <c r="AM70" s="279">
        <f ca="1">IF(ABS(Z70-M70)&gt;SnapshotTolerance,1,0)</f>
        <v>0</v>
      </c>
    </row>
    <row r="71" spans="2:39">
      <c r="B71" s="282" t="str">
        <f>'GBP Swap PVs'!AG11</f>
        <v>9Y</v>
      </c>
      <c r="C71" s="278">
        <f ca="1">'GBP Swap PVs'!AH11</f>
        <v>419096.32897531783</v>
      </c>
      <c r="D71" s="278">
        <f ca="1">'GBP Swap PVs'!AI11</f>
        <v>335277.06318025431</v>
      </c>
      <c r="E71" s="278">
        <f ca="1">'GBP Swap PVs'!AJ11</f>
        <v>251457.79738519076</v>
      </c>
      <c r="F71" s="278">
        <f ca="1">'GBP Swap PVs'!AK11</f>
        <v>167638.53159012724</v>
      </c>
      <c r="G71" s="278">
        <f ca="1">'GBP Swap PVs'!AL11</f>
        <v>83819.265795063693</v>
      </c>
      <c r="H71" s="278">
        <f ca="1">'GBP Swap PVs'!AM11</f>
        <v>1.9428902930940239E-10</v>
      </c>
      <c r="I71" s="278">
        <f ca="1">'GBP Swap PVs'!AN11</f>
        <v>-83819.2657950633</v>
      </c>
      <c r="J71" s="278">
        <f ca="1">'GBP Swap PVs'!AO11</f>
        <v>-167638.53159012683</v>
      </c>
      <c r="K71" s="278">
        <f ca="1">'GBP Swap PVs'!AP11</f>
        <v>-251457.79738519035</v>
      </c>
      <c r="L71" s="278">
        <f ca="1">'GBP Swap PVs'!AQ11</f>
        <v>-335277.06318025384</v>
      </c>
      <c r="M71" s="279">
        <f ca="1">'GBP Swap PVs'!AR11</f>
        <v>-419096.32897531736</v>
      </c>
      <c r="O71" s="282" t="s">
        <v>113</v>
      </c>
      <c r="P71" s="278">
        <v>419096.32897531783</v>
      </c>
      <c r="Q71" s="278">
        <v>335277.06318025431</v>
      </c>
      <c r="R71" s="278">
        <v>251457.79738519076</v>
      </c>
      <c r="S71" s="278">
        <v>167638.53159012724</v>
      </c>
      <c r="T71" s="278">
        <v>83819.265795063693</v>
      </c>
      <c r="U71" s="278">
        <v>1.9428902930940239E-10</v>
      </c>
      <c r="V71" s="278">
        <v>-83819.2657950633</v>
      </c>
      <c r="W71" s="278">
        <v>-167638.53159012683</v>
      </c>
      <c r="X71" s="278">
        <v>-251457.79738519035</v>
      </c>
      <c r="Y71" s="278">
        <v>-335277.06318025384</v>
      </c>
      <c r="Z71" s="279">
        <v>-419096.32897531736</v>
      </c>
      <c r="AB71" s="282" t="str">
        <f t="shared" si="5"/>
        <v>9Y</v>
      </c>
      <c r="AC71" s="278">
        <f ca="1">IF(ABS(P71-C71)&gt;SnapshotTolerance,1,0)</f>
        <v>0</v>
      </c>
      <c r="AD71" s="278">
        <f ca="1">IF(ABS(Q71-D71)&gt;SnapshotTolerance,1,0)</f>
        <v>0</v>
      </c>
      <c r="AE71" s="278">
        <f ca="1">IF(ABS(R71-E71)&gt;SnapshotTolerance,1,0)</f>
        <v>0</v>
      </c>
      <c r="AF71" s="278">
        <f ca="1">IF(ABS(S71-F71)&gt;SnapshotTolerance,1,0)</f>
        <v>0</v>
      </c>
      <c r="AG71" s="278">
        <f ca="1">IF(ABS(T71-G71)&gt;SnapshotTolerance,1,0)</f>
        <v>0</v>
      </c>
      <c r="AH71" s="278">
        <f ca="1">IF(ABS(U71-H71)&gt;SnapshotTolerance,1,0)</f>
        <v>0</v>
      </c>
      <c r="AI71" s="278">
        <f ca="1">IF(ABS(V71-I71)&gt;SnapshotTolerance,1,0)</f>
        <v>0</v>
      </c>
      <c r="AJ71" s="278">
        <f ca="1">IF(ABS(W71-J71)&gt;SnapshotTolerance,1,0)</f>
        <v>0</v>
      </c>
      <c r="AK71" s="278">
        <f ca="1">IF(ABS(X71-K71)&gt;SnapshotTolerance,1,0)</f>
        <v>0</v>
      </c>
      <c r="AL71" s="278">
        <f ca="1">IF(ABS(Y71-L71)&gt;SnapshotTolerance,1,0)</f>
        <v>0</v>
      </c>
      <c r="AM71" s="279">
        <f ca="1">IF(ABS(Z71-M71)&gt;SnapshotTolerance,1,0)</f>
        <v>0</v>
      </c>
    </row>
    <row r="72" spans="2:39">
      <c r="B72" s="282" t="str">
        <f>'GBP Swap PVs'!AG12</f>
        <v>10Y</v>
      </c>
      <c r="C72" s="278">
        <f ca="1">'GBP Swap PVs'!AH12</f>
        <v>460336.45975731348</v>
      </c>
      <c r="D72" s="278">
        <f ca="1">'GBP Swap PVs'!AI12</f>
        <v>368269.1678058508</v>
      </c>
      <c r="E72" s="278">
        <f ca="1">'GBP Swap PVs'!AJ12</f>
        <v>276201.87585438811</v>
      </c>
      <c r="F72" s="278">
        <f ca="1">'GBP Swap PVs'!AK12</f>
        <v>184134.5839029254</v>
      </c>
      <c r="G72" s="278">
        <f ca="1">'GBP Swap PVs'!AL12</f>
        <v>92067.291951462699</v>
      </c>
      <c r="H72" s="278">
        <f ca="1">'GBP Swap PVs'!AM12</f>
        <v>5.5511151231257827E-11</v>
      </c>
      <c r="I72" s="278">
        <f ca="1">'GBP Swap PVs'!AN12</f>
        <v>-92067.291951462626</v>
      </c>
      <c r="J72" s="278">
        <f ca="1">'GBP Swap PVs'!AO12</f>
        <v>-184134.58390292531</v>
      </c>
      <c r="K72" s="278">
        <f ca="1">'GBP Swap PVs'!AP12</f>
        <v>-276201.875854388</v>
      </c>
      <c r="L72" s="278">
        <f ca="1">'GBP Swap PVs'!AQ12</f>
        <v>-368269.16780585068</v>
      </c>
      <c r="M72" s="279">
        <f ca="1">'GBP Swap PVs'!AR12</f>
        <v>-460336.45975731348</v>
      </c>
      <c r="O72" s="282" t="s">
        <v>28</v>
      </c>
      <c r="P72" s="278">
        <v>460336.45975731348</v>
      </c>
      <c r="Q72" s="278">
        <v>368269.1678058508</v>
      </c>
      <c r="R72" s="278">
        <v>276201.87585438811</v>
      </c>
      <c r="S72" s="278">
        <v>184134.5839029254</v>
      </c>
      <c r="T72" s="278">
        <v>92067.291951462699</v>
      </c>
      <c r="U72" s="278">
        <v>5.5511151231257827E-11</v>
      </c>
      <c r="V72" s="278">
        <v>-92067.291951462626</v>
      </c>
      <c r="W72" s="278">
        <v>-184134.58390292531</v>
      </c>
      <c r="X72" s="278">
        <v>-276201.875854388</v>
      </c>
      <c r="Y72" s="278">
        <v>-368269.16780585068</v>
      </c>
      <c r="Z72" s="279">
        <v>-460336.45975731348</v>
      </c>
      <c r="AB72" s="282" t="str">
        <f t="shared" si="5"/>
        <v>10Y</v>
      </c>
      <c r="AC72" s="278">
        <f ca="1">IF(ABS(P72-C72)&gt;SnapshotTolerance,1,0)</f>
        <v>0</v>
      </c>
      <c r="AD72" s="278">
        <f ca="1">IF(ABS(Q72-D72)&gt;SnapshotTolerance,1,0)</f>
        <v>0</v>
      </c>
      <c r="AE72" s="278">
        <f ca="1">IF(ABS(R72-E72)&gt;SnapshotTolerance,1,0)</f>
        <v>0</v>
      </c>
      <c r="AF72" s="278">
        <f ca="1">IF(ABS(S72-F72)&gt;SnapshotTolerance,1,0)</f>
        <v>0</v>
      </c>
      <c r="AG72" s="278">
        <f ca="1">IF(ABS(T72-G72)&gt;SnapshotTolerance,1,0)</f>
        <v>0</v>
      </c>
      <c r="AH72" s="278">
        <f ca="1">IF(ABS(U72-H72)&gt;SnapshotTolerance,1,0)</f>
        <v>0</v>
      </c>
      <c r="AI72" s="278">
        <f ca="1">IF(ABS(V72-I72)&gt;SnapshotTolerance,1,0)</f>
        <v>0</v>
      </c>
      <c r="AJ72" s="278">
        <f ca="1">IF(ABS(W72-J72)&gt;SnapshotTolerance,1,0)</f>
        <v>0</v>
      </c>
      <c r="AK72" s="278">
        <f ca="1">IF(ABS(X72-K72)&gt;SnapshotTolerance,1,0)</f>
        <v>0</v>
      </c>
      <c r="AL72" s="278">
        <f ca="1">IF(ABS(Y72-L72)&gt;SnapshotTolerance,1,0)</f>
        <v>0</v>
      </c>
      <c r="AM72" s="279">
        <f ca="1">IF(ABS(Z72-M72)&gt;SnapshotTolerance,1,0)</f>
        <v>0</v>
      </c>
    </row>
    <row r="73" spans="2:39">
      <c r="B73" s="282" t="str">
        <f>'GBP Swap PVs'!AG13</f>
        <v>12Y</v>
      </c>
      <c r="C73" s="278">
        <f ca="1">'GBP Swap PVs'!AH13</f>
        <v>539672.60962191247</v>
      </c>
      <c r="D73" s="278">
        <f ca="1">'GBP Swap PVs'!AI13</f>
        <v>431738.08769752999</v>
      </c>
      <c r="E73" s="278">
        <f ca="1">'GBP Swap PVs'!AJ13</f>
        <v>323803.56577314745</v>
      </c>
      <c r="F73" s="278">
        <f ca="1">'GBP Swap PVs'!AK13</f>
        <v>215869.04384876497</v>
      </c>
      <c r="G73" s="278">
        <f ca="1">'GBP Swap PVs'!AL13</f>
        <v>107934.5219243825</v>
      </c>
      <c r="H73" s="278">
        <f ca="1">'GBP Swap PVs'!AM13</f>
        <v>5.5511151231257827E-11</v>
      </c>
      <c r="I73" s="278">
        <f ca="1">'GBP Swap PVs'!AN13</f>
        <v>-107934.52192438241</v>
      </c>
      <c r="J73" s="278">
        <f ca="1">'GBP Swap PVs'!AO13</f>
        <v>-215869.04384876482</v>
      </c>
      <c r="K73" s="278">
        <f ca="1">'GBP Swap PVs'!AP13</f>
        <v>-323803.56577314733</v>
      </c>
      <c r="L73" s="278">
        <f ca="1">'GBP Swap PVs'!AQ13</f>
        <v>-431738.08769752982</v>
      </c>
      <c r="M73" s="279">
        <f ca="1">'GBP Swap PVs'!AR13</f>
        <v>-539672.60962191224</v>
      </c>
      <c r="O73" s="282" t="s">
        <v>26</v>
      </c>
      <c r="P73" s="278">
        <v>539672.60962191247</v>
      </c>
      <c r="Q73" s="278">
        <v>431738.08769752999</v>
      </c>
      <c r="R73" s="278">
        <v>323803.56577314745</v>
      </c>
      <c r="S73" s="278">
        <v>215869.04384876497</v>
      </c>
      <c r="T73" s="278">
        <v>107934.5219243825</v>
      </c>
      <c r="U73" s="278">
        <v>5.5511151231257827E-11</v>
      </c>
      <c r="V73" s="278">
        <v>-107934.52192438241</v>
      </c>
      <c r="W73" s="278">
        <v>-215869.04384876482</v>
      </c>
      <c r="X73" s="278">
        <v>-323803.56577314733</v>
      </c>
      <c r="Y73" s="278">
        <v>-431738.08769752982</v>
      </c>
      <c r="Z73" s="279">
        <v>-539672.60962191224</v>
      </c>
      <c r="AB73" s="282" t="str">
        <f t="shared" si="5"/>
        <v>12Y</v>
      </c>
      <c r="AC73" s="278">
        <f ca="1">IF(ABS(P73-C73)&gt;SnapshotTolerance,1,0)</f>
        <v>0</v>
      </c>
      <c r="AD73" s="278">
        <f ca="1">IF(ABS(Q73-D73)&gt;SnapshotTolerance,1,0)</f>
        <v>0</v>
      </c>
      <c r="AE73" s="278">
        <f ca="1">IF(ABS(R73-E73)&gt;SnapshotTolerance,1,0)</f>
        <v>0</v>
      </c>
      <c r="AF73" s="278">
        <f ca="1">IF(ABS(S73-F73)&gt;SnapshotTolerance,1,0)</f>
        <v>0</v>
      </c>
      <c r="AG73" s="278">
        <f ca="1">IF(ABS(T73-G73)&gt;SnapshotTolerance,1,0)</f>
        <v>0</v>
      </c>
      <c r="AH73" s="278">
        <f ca="1">IF(ABS(U73-H73)&gt;SnapshotTolerance,1,0)</f>
        <v>0</v>
      </c>
      <c r="AI73" s="278">
        <f ca="1">IF(ABS(V73-I73)&gt;SnapshotTolerance,1,0)</f>
        <v>0</v>
      </c>
      <c r="AJ73" s="278">
        <f ca="1">IF(ABS(W73-J73)&gt;SnapshotTolerance,1,0)</f>
        <v>0</v>
      </c>
      <c r="AK73" s="278">
        <f ca="1">IF(ABS(X73-K73)&gt;SnapshotTolerance,1,0)</f>
        <v>0</v>
      </c>
      <c r="AL73" s="278">
        <f ca="1">IF(ABS(Y73-L73)&gt;SnapshotTolerance,1,0)</f>
        <v>0</v>
      </c>
      <c r="AM73" s="279">
        <f ca="1">IF(ABS(Z73-M73)&gt;SnapshotTolerance,1,0)</f>
        <v>0</v>
      </c>
    </row>
    <row r="74" spans="2:39">
      <c r="B74" s="282" t="str">
        <f>'GBP Swap PVs'!AG14</f>
        <v>15Y</v>
      </c>
      <c r="C74" s="278">
        <f ca="1">'GBP Swap PVs'!AH14</f>
        <v>651221.71456541587</v>
      </c>
      <c r="D74" s="278">
        <f ca="1">'GBP Swap PVs'!AI14</f>
        <v>520977.37165233272</v>
      </c>
      <c r="E74" s="278">
        <f ca="1">'GBP Swap PVs'!AJ14</f>
        <v>390733.02873924945</v>
      </c>
      <c r="F74" s="278">
        <f ca="1">'GBP Swap PVs'!AK14</f>
        <v>260488.68582616624</v>
      </c>
      <c r="G74" s="278">
        <f ca="1">'GBP Swap PVs'!AL14</f>
        <v>130244.34291308309</v>
      </c>
      <c r="H74" s="278">
        <f ca="1">'GBP Swap PVs'!AM14</f>
        <v>-5.5511151231257827E-11</v>
      </c>
      <c r="I74" s="278">
        <f ca="1">'GBP Swap PVs'!AN14</f>
        <v>-130244.34291308324</v>
      </c>
      <c r="J74" s="278">
        <f ca="1">'GBP Swap PVs'!AO14</f>
        <v>-260488.68582616647</v>
      </c>
      <c r="K74" s="278">
        <f ca="1">'GBP Swap PVs'!AP14</f>
        <v>-390733.02873924951</v>
      </c>
      <c r="L74" s="278">
        <f ca="1">'GBP Swap PVs'!AQ14</f>
        <v>-520977.3716523326</v>
      </c>
      <c r="M74" s="279">
        <f ca="1">'GBP Swap PVs'!AR14</f>
        <v>-651221.71456541587</v>
      </c>
      <c r="O74" s="282" t="s">
        <v>24</v>
      </c>
      <c r="P74" s="278">
        <v>651221.71456541587</v>
      </c>
      <c r="Q74" s="278">
        <v>520977.37165233272</v>
      </c>
      <c r="R74" s="278">
        <v>390733.02873924945</v>
      </c>
      <c r="S74" s="278">
        <v>260488.68582616624</v>
      </c>
      <c r="T74" s="278">
        <v>130244.34291308309</v>
      </c>
      <c r="U74" s="278">
        <v>-5.5511151231257827E-11</v>
      </c>
      <c r="V74" s="278">
        <v>-130244.34291308324</v>
      </c>
      <c r="W74" s="278">
        <v>-260488.68582616647</v>
      </c>
      <c r="X74" s="278">
        <v>-390733.02873924951</v>
      </c>
      <c r="Y74" s="278">
        <v>-520977.3716523326</v>
      </c>
      <c r="Z74" s="279">
        <v>-651221.71456541587</v>
      </c>
      <c r="AB74" s="282" t="str">
        <f t="shared" si="5"/>
        <v>15Y</v>
      </c>
      <c r="AC74" s="278">
        <f ca="1">IF(ABS(P74-C74)&gt;SnapshotTolerance,1,0)</f>
        <v>0</v>
      </c>
      <c r="AD74" s="278">
        <f ca="1">IF(ABS(Q74-D74)&gt;SnapshotTolerance,1,0)</f>
        <v>0</v>
      </c>
      <c r="AE74" s="278">
        <f ca="1">IF(ABS(R74-E74)&gt;SnapshotTolerance,1,0)</f>
        <v>0</v>
      </c>
      <c r="AF74" s="278">
        <f ca="1">IF(ABS(S74-F74)&gt;SnapshotTolerance,1,0)</f>
        <v>0</v>
      </c>
      <c r="AG74" s="278">
        <f ca="1">IF(ABS(T74-G74)&gt;SnapshotTolerance,1,0)</f>
        <v>0</v>
      </c>
      <c r="AH74" s="278">
        <f ca="1">IF(ABS(U74-H74)&gt;SnapshotTolerance,1,0)</f>
        <v>0</v>
      </c>
      <c r="AI74" s="278">
        <f ca="1">IF(ABS(V74-I74)&gt;SnapshotTolerance,1,0)</f>
        <v>0</v>
      </c>
      <c r="AJ74" s="278">
        <f ca="1">IF(ABS(W74-J74)&gt;SnapshotTolerance,1,0)</f>
        <v>0</v>
      </c>
      <c r="AK74" s="278">
        <f ca="1">IF(ABS(X74-K74)&gt;SnapshotTolerance,1,0)</f>
        <v>0</v>
      </c>
      <c r="AL74" s="278">
        <f ca="1">IF(ABS(Y74-L74)&gt;SnapshotTolerance,1,0)</f>
        <v>0</v>
      </c>
      <c r="AM74" s="279">
        <f ca="1">IF(ABS(Z74-M74)&gt;SnapshotTolerance,1,0)</f>
        <v>0</v>
      </c>
    </row>
    <row r="75" spans="2:39">
      <c r="B75" s="282" t="str">
        <f>'GBP Swap PVs'!AG15</f>
        <v>20Y</v>
      </c>
      <c r="C75" s="278">
        <f ca="1">'GBP Swap PVs'!AH15</f>
        <v>817694.66312319308</v>
      </c>
      <c r="D75" s="278">
        <f ca="1">'GBP Swap PVs'!AI15</f>
        <v>654155.7304985543</v>
      </c>
      <c r="E75" s="278">
        <f ca="1">'GBP Swap PVs'!AJ15</f>
        <v>490616.79787391576</v>
      </c>
      <c r="F75" s="278">
        <f ca="1">'GBP Swap PVs'!AK15</f>
        <v>327077.86524927709</v>
      </c>
      <c r="G75" s="278">
        <f ca="1">'GBP Swap PVs'!AL15</f>
        <v>163538.93262463846</v>
      </c>
      <c r="H75" s="278">
        <f ca="1">'GBP Swap PVs'!AM15</f>
        <v>-1.1102230246251565E-10</v>
      </c>
      <c r="I75" s="278">
        <f ca="1">'GBP Swap PVs'!AN15</f>
        <v>-163538.93262463875</v>
      </c>
      <c r="J75" s="278">
        <f ca="1">'GBP Swap PVs'!AO15</f>
        <v>-327077.86524927744</v>
      </c>
      <c r="K75" s="278">
        <f ca="1">'GBP Swap PVs'!AP15</f>
        <v>-490616.79787391605</v>
      </c>
      <c r="L75" s="278">
        <f ca="1">'GBP Swap PVs'!AQ15</f>
        <v>-654155.73049855453</v>
      </c>
      <c r="M75" s="279">
        <f ca="1">'GBP Swap PVs'!AR15</f>
        <v>-817694.66312319343</v>
      </c>
      <c r="O75" s="282" t="s">
        <v>20</v>
      </c>
      <c r="P75" s="278">
        <v>817694.66312319308</v>
      </c>
      <c r="Q75" s="278">
        <v>654155.7304985543</v>
      </c>
      <c r="R75" s="278">
        <v>490616.79787391576</v>
      </c>
      <c r="S75" s="278">
        <v>327077.86524927709</v>
      </c>
      <c r="T75" s="278">
        <v>163538.93262463846</v>
      </c>
      <c r="U75" s="278">
        <v>-1.1102230246251565E-10</v>
      </c>
      <c r="V75" s="278">
        <v>-163538.93262463875</v>
      </c>
      <c r="W75" s="278">
        <v>-327077.86524927744</v>
      </c>
      <c r="X75" s="278">
        <v>-490616.79787391605</v>
      </c>
      <c r="Y75" s="278">
        <v>-654155.73049855453</v>
      </c>
      <c r="Z75" s="279">
        <v>-817694.66312319343</v>
      </c>
      <c r="AB75" s="282" t="str">
        <f t="shared" si="5"/>
        <v>20Y</v>
      </c>
      <c r="AC75" s="278">
        <f ca="1">IF(ABS(P75-C75)&gt;SnapshotTolerance,1,0)</f>
        <v>0</v>
      </c>
      <c r="AD75" s="278">
        <f ca="1">IF(ABS(Q75-D75)&gt;SnapshotTolerance,1,0)</f>
        <v>0</v>
      </c>
      <c r="AE75" s="278">
        <f ca="1">IF(ABS(R75-E75)&gt;SnapshotTolerance,1,0)</f>
        <v>0</v>
      </c>
      <c r="AF75" s="278">
        <f ca="1">IF(ABS(S75-F75)&gt;SnapshotTolerance,1,0)</f>
        <v>0</v>
      </c>
      <c r="AG75" s="278">
        <f ca="1">IF(ABS(T75-G75)&gt;SnapshotTolerance,1,0)</f>
        <v>0</v>
      </c>
      <c r="AH75" s="278">
        <f ca="1">IF(ABS(U75-H75)&gt;SnapshotTolerance,1,0)</f>
        <v>0</v>
      </c>
      <c r="AI75" s="278">
        <f ca="1">IF(ABS(V75-I75)&gt;SnapshotTolerance,1,0)</f>
        <v>0</v>
      </c>
      <c r="AJ75" s="278">
        <f ca="1">IF(ABS(W75-J75)&gt;SnapshotTolerance,1,0)</f>
        <v>0</v>
      </c>
      <c r="AK75" s="278">
        <f ca="1">IF(ABS(X75-K75)&gt;SnapshotTolerance,1,0)</f>
        <v>0</v>
      </c>
      <c r="AL75" s="278">
        <f ca="1">IF(ABS(Y75-L75)&gt;SnapshotTolerance,1,0)</f>
        <v>0</v>
      </c>
      <c r="AM75" s="279">
        <f ca="1">IF(ABS(Z75-M75)&gt;SnapshotTolerance,1,0)</f>
        <v>0</v>
      </c>
    </row>
    <row r="76" spans="2:39">
      <c r="B76" s="282" t="str">
        <f>'GBP Swap PVs'!AG16</f>
        <v>25Y</v>
      </c>
      <c r="C76" s="278">
        <f ca="1">'GBP Swap PVs'!AH16</f>
        <v>964946.47158325394</v>
      </c>
      <c r="D76" s="278">
        <f ca="1">'GBP Swap PVs'!AI16</f>
        <v>771957.17726660322</v>
      </c>
      <c r="E76" s="278">
        <f ca="1">'GBP Swap PVs'!AJ16</f>
        <v>578967.88294995227</v>
      </c>
      <c r="F76" s="278">
        <f ca="1">'GBP Swap PVs'!AK16</f>
        <v>385978.58863330144</v>
      </c>
      <c r="G76" s="278">
        <f ca="1">'GBP Swap PVs'!AL16</f>
        <v>192989.29431665063</v>
      </c>
      <c r="H76" s="278">
        <f ca="1">'GBP Swap PVs'!AM16</f>
        <v>-1.1102230246251565E-10</v>
      </c>
      <c r="I76" s="278">
        <f ca="1">'GBP Swap PVs'!AN16</f>
        <v>-192989.29431665086</v>
      </c>
      <c r="J76" s="278">
        <f ca="1">'GBP Swap PVs'!AO16</f>
        <v>-385978.58863330178</v>
      </c>
      <c r="K76" s="278">
        <f ca="1">'GBP Swap PVs'!AP16</f>
        <v>-578967.8829499525</v>
      </c>
      <c r="L76" s="278">
        <f ca="1">'GBP Swap PVs'!AQ16</f>
        <v>-771957.17726660322</v>
      </c>
      <c r="M76" s="279">
        <f ca="1">'GBP Swap PVs'!AR16</f>
        <v>-964946.47158325405</v>
      </c>
      <c r="O76" s="282" t="s">
        <v>18</v>
      </c>
      <c r="P76" s="278">
        <v>964946.47158325394</v>
      </c>
      <c r="Q76" s="278">
        <v>771957.17726660322</v>
      </c>
      <c r="R76" s="278">
        <v>578967.88294995227</v>
      </c>
      <c r="S76" s="278">
        <v>385978.58863330144</v>
      </c>
      <c r="T76" s="278">
        <v>192989.29431665063</v>
      </c>
      <c r="U76" s="278">
        <v>-1.1102230246251565E-10</v>
      </c>
      <c r="V76" s="278">
        <v>-192989.29431665086</v>
      </c>
      <c r="W76" s="278">
        <v>-385978.58863330178</v>
      </c>
      <c r="X76" s="278">
        <v>-578967.8829499525</v>
      </c>
      <c r="Y76" s="278">
        <v>-771957.17726660322</v>
      </c>
      <c r="Z76" s="279">
        <v>-964946.47158325405</v>
      </c>
      <c r="AB76" s="282" t="str">
        <f t="shared" si="5"/>
        <v>25Y</v>
      </c>
      <c r="AC76" s="278">
        <f ca="1">IF(ABS(P76-C76)&gt;SnapshotTolerance,1,0)</f>
        <v>0</v>
      </c>
      <c r="AD76" s="278">
        <f ca="1">IF(ABS(Q76-D76)&gt;SnapshotTolerance,1,0)</f>
        <v>0</v>
      </c>
      <c r="AE76" s="278">
        <f ca="1">IF(ABS(R76-E76)&gt;SnapshotTolerance,1,0)</f>
        <v>0</v>
      </c>
      <c r="AF76" s="278">
        <f ca="1">IF(ABS(S76-F76)&gt;SnapshotTolerance,1,0)</f>
        <v>0</v>
      </c>
      <c r="AG76" s="278">
        <f ca="1">IF(ABS(T76-G76)&gt;SnapshotTolerance,1,0)</f>
        <v>0</v>
      </c>
      <c r="AH76" s="278">
        <f ca="1">IF(ABS(U76-H76)&gt;SnapshotTolerance,1,0)</f>
        <v>0</v>
      </c>
      <c r="AI76" s="278">
        <f ca="1">IF(ABS(V76-I76)&gt;SnapshotTolerance,1,0)</f>
        <v>0</v>
      </c>
      <c r="AJ76" s="278">
        <f ca="1">IF(ABS(W76-J76)&gt;SnapshotTolerance,1,0)</f>
        <v>0</v>
      </c>
      <c r="AK76" s="278">
        <f ca="1">IF(ABS(X76-K76)&gt;SnapshotTolerance,1,0)</f>
        <v>0</v>
      </c>
      <c r="AL76" s="278">
        <f ca="1">IF(ABS(Y76-L76)&gt;SnapshotTolerance,1,0)</f>
        <v>0</v>
      </c>
      <c r="AM76" s="279">
        <f ca="1">IF(ABS(Z76-M76)&gt;SnapshotTolerance,1,0)</f>
        <v>0</v>
      </c>
    </row>
    <row r="77" spans="2:39">
      <c r="B77" s="282" t="str">
        <f>'GBP Swap PVs'!AG17</f>
        <v>30Y</v>
      </c>
      <c r="C77" s="278">
        <f ca="1">'GBP Swap PVs'!AH17</f>
        <v>1095875.5704726889</v>
      </c>
      <c r="D77" s="278">
        <f ca="1">'GBP Swap PVs'!AI17</f>
        <v>876700.45637815096</v>
      </c>
      <c r="E77" s="278">
        <f ca="1">'GBP Swap PVs'!AJ17</f>
        <v>657525.34228361316</v>
      </c>
      <c r="F77" s="278">
        <f ca="1">'GBP Swap PVs'!AK17</f>
        <v>438350.22818907531</v>
      </c>
      <c r="G77" s="278">
        <f ca="1">'GBP Swap PVs'!AL17</f>
        <v>219175.11409453754</v>
      </c>
      <c r="H77" s="278">
        <f ca="1">'GBP Swap PVs'!AM17</f>
        <v>-1.1102230246251565E-10</v>
      </c>
      <c r="I77" s="278">
        <f ca="1">'GBP Swap PVs'!AN17</f>
        <v>-219175.11409453783</v>
      </c>
      <c r="J77" s="278">
        <f ca="1">'GBP Swap PVs'!AO17</f>
        <v>-438350.22818907566</v>
      </c>
      <c r="K77" s="278">
        <f ca="1">'GBP Swap PVs'!AP17</f>
        <v>-657525.34228361363</v>
      </c>
      <c r="L77" s="278">
        <f ca="1">'GBP Swap PVs'!AQ17</f>
        <v>-876700.45637815108</v>
      </c>
      <c r="M77" s="279">
        <f ca="1">'GBP Swap PVs'!AR17</f>
        <v>-1095875.5704726891</v>
      </c>
      <c r="O77" s="282" t="s">
        <v>17</v>
      </c>
      <c r="P77" s="278">
        <v>1095875.5704726889</v>
      </c>
      <c r="Q77" s="278">
        <v>876700.45637815096</v>
      </c>
      <c r="R77" s="278">
        <v>657525.34228361316</v>
      </c>
      <c r="S77" s="278">
        <v>438350.22818907531</v>
      </c>
      <c r="T77" s="278">
        <v>219175.11409453754</v>
      </c>
      <c r="U77" s="278">
        <v>-1.1102230246251565E-10</v>
      </c>
      <c r="V77" s="278">
        <v>-219175.11409453783</v>
      </c>
      <c r="W77" s="278">
        <v>-438350.22818907566</v>
      </c>
      <c r="X77" s="278">
        <v>-657525.34228361363</v>
      </c>
      <c r="Y77" s="278">
        <v>-876700.45637815108</v>
      </c>
      <c r="Z77" s="279">
        <v>-1095875.5704726891</v>
      </c>
      <c r="AB77" s="282" t="str">
        <f t="shared" si="5"/>
        <v>30Y</v>
      </c>
      <c r="AC77" s="278">
        <f ca="1">IF(ABS(P77-C77)&gt;SnapshotTolerance,1,0)</f>
        <v>0</v>
      </c>
      <c r="AD77" s="278">
        <f ca="1">IF(ABS(Q77-D77)&gt;SnapshotTolerance,1,0)</f>
        <v>0</v>
      </c>
      <c r="AE77" s="278">
        <f ca="1">IF(ABS(R77-E77)&gt;SnapshotTolerance,1,0)</f>
        <v>0</v>
      </c>
      <c r="AF77" s="278">
        <f ca="1">IF(ABS(S77-F77)&gt;SnapshotTolerance,1,0)</f>
        <v>0</v>
      </c>
      <c r="AG77" s="278">
        <f ca="1">IF(ABS(T77-G77)&gt;SnapshotTolerance,1,0)</f>
        <v>0</v>
      </c>
      <c r="AH77" s="278">
        <f ca="1">IF(ABS(U77-H77)&gt;SnapshotTolerance,1,0)</f>
        <v>0</v>
      </c>
      <c r="AI77" s="278">
        <f ca="1">IF(ABS(V77-I77)&gt;SnapshotTolerance,1,0)</f>
        <v>0</v>
      </c>
      <c r="AJ77" s="278">
        <f ca="1">IF(ABS(W77-J77)&gt;SnapshotTolerance,1,0)</f>
        <v>0</v>
      </c>
      <c r="AK77" s="278">
        <f ca="1">IF(ABS(X77-K77)&gt;SnapshotTolerance,1,0)</f>
        <v>0</v>
      </c>
      <c r="AL77" s="278">
        <f ca="1">IF(ABS(Y77-L77)&gt;SnapshotTolerance,1,0)</f>
        <v>0</v>
      </c>
      <c r="AM77" s="279">
        <f ca="1">IF(ABS(Z77-M77)&gt;SnapshotTolerance,1,0)</f>
        <v>0</v>
      </c>
    </row>
    <row r="78" spans="2:39">
      <c r="B78" s="282" t="str">
        <f>'GBP Swap PVs'!AG18</f>
        <v>40Y</v>
      </c>
      <c r="C78" s="278">
        <f ca="1">'GBP Swap PVs'!AH18</f>
        <v>1318174.9079456276</v>
      </c>
      <c r="D78" s="278">
        <f ca="1">'GBP Swap PVs'!AI18</f>
        <v>1054539.9263565021</v>
      </c>
      <c r="E78" s="278">
        <f ca="1">'GBP Swap PVs'!AJ18</f>
        <v>790904.94476737664</v>
      </c>
      <c r="F78" s="278">
        <f ca="1">'GBP Swap PVs'!AK18</f>
        <v>527269.96317825106</v>
      </c>
      <c r="G78" s="278">
        <f ca="1">'GBP Swap PVs'!AL18</f>
        <v>263634.98158912553</v>
      </c>
      <c r="H78" s="278">
        <f ca="1">'GBP Swap PVs'!AM18</f>
        <v>1.1102230246251565E-10</v>
      </c>
      <c r="I78" s="278">
        <f ca="1">'GBP Swap PVs'!AN18</f>
        <v>-263634.98158912535</v>
      </c>
      <c r="J78" s="278">
        <f ca="1">'GBP Swap PVs'!AO18</f>
        <v>-527269.96317825094</v>
      </c>
      <c r="K78" s="278">
        <f ca="1">'GBP Swap PVs'!AP18</f>
        <v>-790904.94476737618</v>
      </c>
      <c r="L78" s="278">
        <f ca="1">'GBP Swap PVs'!AQ18</f>
        <v>-1054539.9263565019</v>
      </c>
      <c r="M78" s="279">
        <f ca="1">'GBP Swap PVs'!AR18</f>
        <v>-1318174.9079456273</v>
      </c>
      <c r="O78" s="282" t="s">
        <v>15</v>
      </c>
      <c r="P78" s="278">
        <v>1318174.9079456276</v>
      </c>
      <c r="Q78" s="278">
        <v>1054539.9263565021</v>
      </c>
      <c r="R78" s="278">
        <v>790904.94476737664</v>
      </c>
      <c r="S78" s="278">
        <v>527269.96317825106</v>
      </c>
      <c r="T78" s="278">
        <v>263634.98158912553</v>
      </c>
      <c r="U78" s="278">
        <v>1.1102230246251565E-10</v>
      </c>
      <c r="V78" s="278">
        <v>-263634.98158912535</v>
      </c>
      <c r="W78" s="278">
        <v>-527269.96317825094</v>
      </c>
      <c r="X78" s="278">
        <v>-790904.94476737618</v>
      </c>
      <c r="Y78" s="278">
        <v>-1054539.9263565019</v>
      </c>
      <c r="Z78" s="279">
        <v>-1318174.9079456273</v>
      </c>
      <c r="AB78" s="282" t="str">
        <f t="shared" si="5"/>
        <v>40Y</v>
      </c>
      <c r="AC78" s="278">
        <f ca="1">IF(ABS(P78-C78)&gt;SnapshotTolerance,1,0)</f>
        <v>0</v>
      </c>
      <c r="AD78" s="278">
        <f ca="1">IF(ABS(Q78-D78)&gt;SnapshotTolerance,1,0)</f>
        <v>0</v>
      </c>
      <c r="AE78" s="278">
        <f ca="1">IF(ABS(R78-E78)&gt;SnapshotTolerance,1,0)</f>
        <v>0</v>
      </c>
      <c r="AF78" s="278">
        <f ca="1">IF(ABS(S78-F78)&gt;SnapshotTolerance,1,0)</f>
        <v>0</v>
      </c>
      <c r="AG78" s="278">
        <f ca="1">IF(ABS(T78-G78)&gt;SnapshotTolerance,1,0)</f>
        <v>0</v>
      </c>
      <c r="AH78" s="278">
        <f ca="1">IF(ABS(U78-H78)&gt;SnapshotTolerance,1,0)</f>
        <v>0</v>
      </c>
      <c r="AI78" s="278">
        <f ca="1">IF(ABS(V78-I78)&gt;SnapshotTolerance,1,0)</f>
        <v>0</v>
      </c>
      <c r="AJ78" s="278">
        <f ca="1">IF(ABS(W78-J78)&gt;SnapshotTolerance,1,0)</f>
        <v>0</v>
      </c>
      <c r="AK78" s="278">
        <f ca="1">IF(ABS(X78-K78)&gt;SnapshotTolerance,1,0)</f>
        <v>0</v>
      </c>
      <c r="AL78" s="278">
        <f ca="1">IF(ABS(Y78-L78)&gt;SnapshotTolerance,1,0)</f>
        <v>0</v>
      </c>
      <c r="AM78" s="279">
        <f ca="1">IF(ABS(Z78-M78)&gt;SnapshotTolerance,1,0)</f>
        <v>0</v>
      </c>
    </row>
    <row r="79" spans="2:39">
      <c r="B79" s="282" t="str">
        <f>'GBP Swap PVs'!AG19</f>
        <v>50Y</v>
      </c>
      <c r="C79" s="278">
        <f ca="1">'GBP Swap PVs'!AH19</f>
        <v>1498623.2347463311</v>
      </c>
      <c r="D79" s="278">
        <f ca="1">'GBP Swap PVs'!AI19</f>
        <v>1198898.587797065</v>
      </c>
      <c r="E79" s="278">
        <f ca="1">'GBP Swap PVs'!AJ19</f>
        <v>899173.9408477986</v>
      </c>
      <c r="F79" s="278">
        <f ca="1">'GBP Swap PVs'!AK19</f>
        <v>599449.29389853228</v>
      </c>
      <c r="G79" s="278">
        <f ca="1">'GBP Swap PVs'!AL19</f>
        <v>299724.64694926603</v>
      </c>
      <c r="H79" s="278">
        <f ca="1">'GBP Swap PVs'!AM19</f>
        <v>-1.1102230246251565E-10</v>
      </c>
      <c r="I79" s="278">
        <f ca="1">'GBP Swap PVs'!AN19</f>
        <v>-299724.64694926637</v>
      </c>
      <c r="J79" s="278">
        <f ca="1">'GBP Swap PVs'!AO19</f>
        <v>-599449.29389853263</v>
      </c>
      <c r="K79" s="278">
        <f ca="1">'GBP Swap PVs'!AP19</f>
        <v>-899173.94084779895</v>
      </c>
      <c r="L79" s="278">
        <f ca="1">'GBP Swap PVs'!AQ19</f>
        <v>-1198898.587797065</v>
      </c>
      <c r="M79" s="279">
        <f ca="1">'GBP Swap PVs'!AR19</f>
        <v>-1498623.2347463316</v>
      </c>
      <c r="O79" s="282" t="s">
        <v>14</v>
      </c>
      <c r="P79" s="278">
        <v>1498623.2347463311</v>
      </c>
      <c r="Q79" s="278">
        <v>1198898.587797065</v>
      </c>
      <c r="R79" s="278">
        <v>899173.9408477986</v>
      </c>
      <c r="S79" s="278">
        <v>599449.29389853228</v>
      </c>
      <c r="T79" s="278">
        <v>299724.64694926603</v>
      </c>
      <c r="U79" s="278">
        <v>-1.1102230246251565E-10</v>
      </c>
      <c r="V79" s="278">
        <v>-299724.64694926637</v>
      </c>
      <c r="W79" s="278">
        <v>-599449.29389853263</v>
      </c>
      <c r="X79" s="278">
        <v>-899173.94084779895</v>
      </c>
      <c r="Y79" s="278">
        <v>-1198898.587797065</v>
      </c>
      <c r="Z79" s="279">
        <v>-1498623.2347463316</v>
      </c>
      <c r="AB79" s="282" t="str">
        <f t="shared" si="5"/>
        <v>50Y</v>
      </c>
      <c r="AC79" s="278">
        <f ca="1">IF(ABS(P79-C79)&gt;SnapshotTolerance,1,0)</f>
        <v>0</v>
      </c>
      <c r="AD79" s="278">
        <f ca="1">IF(ABS(Q79-D79)&gt;SnapshotTolerance,1,0)</f>
        <v>0</v>
      </c>
      <c r="AE79" s="278">
        <f ca="1">IF(ABS(R79-E79)&gt;SnapshotTolerance,1,0)</f>
        <v>0</v>
      </c>
      <c r="AF79" s="278">
        <f ca="1">IF(ABS(S79-F79)&gt;SnapshotTolerance,1,0)</f>
        <v>0</v>
      </c>
      <c r="AG79" s="278">
        <f ca="1">IF(ABS(T79-G79)&gt;SnapshotTolerance,1,0)</f>
        <v>0</v>
      </c>
      <c r="AH79" s="278">
        <f ca="1">IF(ABS(U79-H79)&gt;SnapshotTolerance,1,0)</f>
        <v>0</v>
      </c>
      <c r="AI79" s="278">
        <f ca="1">IF(ABS(V79-I79)&gt;SnapshotTolerance,1,0)</f>
        <v>0</v>
      </c>
      <c r="AJ79" s="278">
        <f ca="1">IF(ABS(W79-J79)&gt;SnapshotTolerance,1,0)</f>
        <v>0</v>
      </c>
      <c r="AK79" s="278">
        <f ca="1">IF(ABS(X79-K79)&gt;SnapshotTolerance,1,0)</f>
        <v>0</v>
      </c>
      <c r="AL79" s="278">
        <f ca="1">IF(ABS(Y79-L79)&gt;SnapshotTolerance,1,0)</f>
        <v>0</v>
      </c>
      <c r="AM79" s="279">
        <f ca="1">IF(ABS(Z79-M79)&gt;SnapshotTolerance,1,0)</f>
        <v>0</v>
      </c>
    </row>
    <row r="80" spans="2:39">
      <c r="B80" s="282"/>
      <c r="C80" s="278"/>
      <c r="D80" s="278"/>
      <c r="E80" s="278"/>
      <c r="F80" s="278"/>
      <c r="G80" s="278"/>
      <c r="H80" s="278"/>
      <c r="I80" s="278"/>
      <c r="J80" s="278"/>
      <c r="K80" s="278"/>
      <c r="L80" s="278"/>
      <c r="M80" s="279"/>
      <c r="O80" s="282"/>
      <c r="P80" s="278"/>
      <c r="Q80" s="278"/>
      <c r="R80" s="278"/>
      <c r="S80" s="278"/>
      <c r="T80" s="278"/>
      <c r="U80" s="278"/>
      <c r="V80" s="278"/>
      <c r="W80" s="278"/>
      <c r="X80" s="278"/>
      <c r="Y80" s="278"/>
      <c r="Z80" s="279"/>
      <c r="AB80" s="282"/>
      <c r="AC80" s="278"/>
      <c r="AD80" s="278"/>
      <c r="AE80" s="278"/>
      <c r="AF80" s="278"/>
      <c r="AG80" s="278"/>
      <c r="AH80" s="278"/>
      <c r="AI80" s="278"/>
      <c r="AJ80" s="278"/>
      <c r="AK80" s="278"/>
      <c r="AL80" s="278"/>
      <c r="AM80" s="279"/>
    </row>
    <row r="81" spans="2:39">
      <c r="B81" s="282"/>
      <c r="C81" s="278"/>
      <c r="D81" s="278"/>
      <c r="E81" s="278"/>
      <c r="F81" s="278"/>
      <c r="G81" s="278"/>
      <c r="H81" s="278"/>
      <c r="I81" s="278"/>
      <c r="J81" s="278"/>
      <c r="K81" s="278"/>
      <c r="L81" s="278"/>
      <c r="M81" s="279"/>
      <c r="O81" s="282"/>
      <c r="P81" s="278"/>
      <c r="Q81" s="278"/>
      <c r="R81" s="278"/>
      <c r="S81" s="278"/>
      <c r="T81" s="278"/>
      <c r="U81" s="278"/>
      <c r="V81" s="278"/>
      <c r="W81" s="278"/>
      <c r="X81" s="278"/>
      <c r="Y81" s="278"/>
      <c r="Z81" s="279"/>
      <c r="AB81" s="282"/>
      <c r="AC81" s="278"/>
      <c r="AD81" s="278"/>
      <c r="AE81" s="278"/>
      <c r="AF81" s="278"/>
      <c r="AG81" s="278"/>
      <c r="AH81" s="278"/>
      <c r="AI81" s="278"/>
      <c r="AJ81" s="278"/>
      <c r="AK81" s="278"/>
      <c r="AL81" s="278"/>
      <c r="AM81" s="279"/>
    </row>
    <row r="82" spans="2:39">
      <c r="B82" s="283"/>
      <c r="C82" s="280"/>
      <c r="D82" s="280"/>
      <c r="E82" s="280"/>
      <c r="F82" s="280"/>
      <c r="G82" s="280"/>
      <c r="H82" s="280"/>
      <c r="I82" s="280"/>
      <c r="J82" s="280"/>
      <c r="K82" s="280"/>
      <c r="L82" s="280"/>
      <c r="M82" s="281"/>
      <c r="O82" s="283"/>
      <c r="P82" s="280"/>
      <c r="Q82" s="280"/>
      <c r="R82" s="280"/>
      <c r="S82" s="280"/>
      <c r="T82" s="280"/>
      <c r="U82" s="280"/>
      <c r="V82" s="280"/>
      <c r="W82" s="280"/>
      <c r="X82" s="280"/>
      <c r="Y82" s="280"/>
      <c r="Z82" s="281"/>
      <c r="AB82" s="283"/>
      <c r="AC82" s="280"/>
      <c r="AD82" s="280"/>
      <c r="AE82" s="280"/>
      <c r="AF82" s="280"/>
      <c r="AG82" s="280"/>
      <c r="AH82" s="280"/>
      <c r="AI82" s="280"/>
      <c r="AJ82" s="280"/>
      <c r="AK82" s="280"/>
      <c r="AL82" s="280"/>
      <c r="AM82" s="281"/>
    </row>
    <row r="85" spans="2:39">
      <c r="B85" t="s">
        <v>527</v>
      </c>
      <c r="E85" t="s">
        <v>472</v>
      </c>
    </row>
    <row r="86" spans="2:39">
      <c r="B86" t="s">
        <v>530</v>
      </c>
      <c r="E86" s="252">
        <f ca="1">SUM(AC91:AM109)</f>
        <v>0</v>
      </c>
    </row>
    <row r="87" spans="2:39">
      <c r="B87" t="s">
        <v>532</v>
      </c>
    </row>
    <row r="89" spans="2:39">
      <c r="B89" t="s">
        <v>510</v>
      </c>
      <c r="O89" t="s">
        <v>470</v>
      </c>
      <c r="AB89" t="s">
        <v>511</v>
      </c>
    </row>
    <row r="90" spans="2:39">
      <c r="B90" s="254" t="str">
        <f>'GBP Swap PVs'!AG28</f>
        <v>Term</v>
      </c>
      <c r="C90" s="287">
        <f>'GBP Swap PVs'!AH28</f>
        <v>500</v>
      </c>
      <c r="D90" s="287">
        <f>'GBP Swap PVs'!AI28</f>
        <v>400</v>
      </c>
      <c r="E90" s="287">
        <f>'GBP Swap PVs'!AJ28</f>
        <v>300</v>
      </c>
      <c r="F90" s="287">
        <f>'GBP Swap PVs'!AK28</f>
        <v>200</v>
      </c>
      <c r="G90" s="287">
        <f>'GBP Swap PVs'!AL28</f>
        <v>100</v>
      </c>
      <c r="H90" s="287">
        <f>'GBP Swap PVs'!AM28</f>
        <v>0</v>
      </c>
      <c r="I90" s="287">
        <f>'GBP Swap PVs'!AN28</f>
        <v>-100</v>
      </c>
      <c r="J90" s="287">
        <f>'GBP Swap PVs'!AO28</f>
        <v>-200</v>
      </c>
      <c r="K90" s="287">
        <f>'GBP Swap PVs'!AP28</f>
        <v>-300</v>
      </c>
      <c r="L90" s="287">
        <f>'GBP Swap PVs'!AQ28</f>
        <v>-400</v>
      </c>
      <c r="M90" s="288">
        <f>'GBP Swap PVs'!AR28</f>
        <v>-500</v>
      </c>
      <c r="O90" s="254" t="s">
        <v>76</v>
      </c>
      <c r="P90" s="287">
        <v>500</v>
      </c>
      <c r="Q90" s="287">
        <v>400</v>
      </c>
      <c r="R90" s="287">
        <v>300</v>
      </c>
      <c r="S90" s="287">
        <v>200</v>
      </c>
      <c r="T90" s="287">
        <v>100</v>
      </c>
      <c r="U90" s="287">
        <v>0</v>
      </c>
      <c r="V90" s="287">
        <v>-100</v>
      </c>
      <c r="W90" s="287">
        <v>-200</v>
      </c>
      <c r="X90" s="287">
        <v>-300</v>
      </c>
      <c r="Y90" s="287">
        <v>-400</v>
      </c>
      <c r="Z90" s="288">
        <v>-500</v>
      </c>
      <c r="AB90" s="254" t="str">
        <f>O90</f>
        <v>Term</v>
      </c>
      <c r="AC90" s="287">
        <f>P90</f>
        <v>500</v>
      </c>
      <c r="AD90" s="287">
        <f t="shared" ref="AD90:AM90" si="6">Q90</f>
        <v>400</v>
      </c>
      <c r="AE90" s="287">
        <f t="shared" si="6"/>
        <v>300</v>
      </c>
      <c r="AF90" s="287">
        <f t="shared" si="6"/>
        <v>200</v>
      </c>
      <c r="AG90" s="287">
        <f t="shared" si="6"/>
        <v>100</v>
      </c>
      <c r="AH90" s="287">
        <f t="shared" si="6"/>
        <v>0</v>
      </c>
      <c r="AI90" s="287">
        <f t="shared" si="6"/>
        <v>-100</v>
      </c>
      <c r="AJ90" s="287">
        <f t="shared" si="6"/>
        <v>-200</v>
      </c>
      <c r="AK90" s="287">
        <f t="shared" si="6"/>
        <v>-300</v>
      </c>
      <c r="AL90" s="287">
        <f t="shared" si="6"/>
        <v>-400</v>
      </c>
      <c r="AM90" s="288">
        <f t="shared" si="6"/>
        <v>-500</v>
      </c>
    </row>
    <row r="91" spans="2:39">
      <c r="B91" s="282" t="str">
        <f>'GBP Swap PVs'!AG29</f>
        <v>2Y</v>
      </c>
      <c r="C91" s="278">
        <f ca="1">'GBP Swap PVs'!AH29</f>
        <v>99258.437527978211</v>
      </c>
      <c r="D91" s="278">
        <f ca="1">'GBP Swap PVs'!AI29</f>
        <v>79406.750022382577</v>
      </c>
      <c r="E91" s="278">
        <f ca="1">'GBP Swap PVs'!AJ29</f>
        <v>59555.062516786922</v>
      </c>
      <c r="F91" s="278">
        <f ca="1">'GBP Swap PVs'!AK29</f>
        <v>39703.375011191281</v>
      </c>
      <c r="G91" s="278">
        <f ca="1">'GBP Swap PVs'!AL29</f>
        <v>19851.687505595637</v>
      </c>
      <c r="H91" s="278">
        <f ca="1">'GBP Swap PVs'!AM29</f>
        <v>0</v>
      </c>
      <c r="I91" s="278">
        <f ca="1">'GBP Swap PVs'!AN29</f>
        <v>-19851.687505595641</v>
      </c>
      <c r="J91" s="278">
        <f ca="1">'GBP Swap PVs'!AO29</f>
        <v>-39703.375011191281</v>
      </c>
      <c r="K91" s="278">
        <f ca="1">'GBP Swap PVs'!AP29</f>
        <v>-59555.062516786922</v>
      </c>
      <c r="L91" s="278">
        <f ca="1">'GBP Swap PVs'!AQ29</f>
        <v>-79406.750022382563</v>
      </c>
      <c r="M91" s="279">
        <f ca="1">'GBP Swap PVs'!AR29</f>
        <v>-99258.437527978225</v>
      </c>
      <c r="O91" s="282" t="s">
        <v>42</v>
      </c>
      <c r="P91" s="278">
        <v>99258.437527978211</v>
      </c>
      <c r="Q91" s="278">
        <v>79406.750022382577</v>
      </c>
      <c r="R91" s="278">
        <v>59555.062516786922</v>
      </c>
      <c r="S91" s="278">
        <v>39703.375011191281</v>
      </c>
      <c r="T91" s="278">
        <v>19851.687505595637</v>
      </c>
      <c r="U91" s="278">
        <v>0</v>
      </c>
      <c r="V91" s="278">
        <v>-19851.687505595641</v>
      </c>
      <c r="W91" s="278">
        <v>-39703.375011191281</v>
      </c>
      <c r="X91" s="278">
        <v>-59555.062516786922</v>
      </c>
      <c r="Y91" s="278">
        <v>-79406.750022382563</v>
      </c>
      <c r="Z91" s="279">
        <v>-99258.437527978225</v>
      </c>
      <c r="AB91" s="282" t="str">
        <f t="shared" ref="AB91:AB109" si="7">O91</f>
        <v>2Y</v>
      </c>
      <c r="AC91" s="278">
        <f ca="1">IF(ABS(P91-C91)&gt;SnapshotTolerance,1,0)</f>
        <v>0</v>
      </c>
      <c r="AD91" s="278">
        <f ca="1">IF(ABS(Q91-D91)&gt;SnapshotTolerance,1,0)</f>
        <v>0</v>
      </c>
      <c r="AE91" s="278">
        <f ca="1">IF(ABS(R91-E91)&gt;SnapshotTolerance,1,0)</f>
        <v>0</v>
      </c>
      <c r="AF91" s="278">
        <f ca="1">IF(ABS(S91-F91)&gt;SnapshotTolerance,1,0)</f>
        <v>0</v>
      </c>
      <c r="AG91" s="278">
        <f ca="1">IF(ABS(T91-G91)&gt;SnapshotTolerance,1,0)</f>
        <v>0</v>
      </c>
      <c r="AH91" s="278">
        <f ca="1">IF(ABS(U91-H91)&gt;SnapshotTolerance,1,0)</f>
        <v>0</v>
      </c>
      <c r="AI91" s="278">
        <f ca="1">IF(ABS(V91-I91)&gt;SnapshotTolerance,1,0)</f>
        <v>0</v>
      </c>
      <c r="AJ91" s="278">
        <f ca="1">IF(ABS(W91-J91)&gt;SnapshotTolerance,1,0)</f>
        <v>0</v>
      </c>
      <c r="AK91" s="278">
        <f ca="1">IF(ABS(X91-K91)&gt;SnapshotTolerance,1,0)</f>
        <v>0</v>
      </c>
      <c r="AL91" s="278">
        <f ca="1">IF(ABS(Y91-L91)&gt;SnapshotTolerance,1,0)</f>
        <v>0</v>
      </c>
      <c r="AM91" s="279">
        <f ca="1">IF(ABS(Z91-M91)&gt;SnapshotTolerance,1,0)</f>
        <v>0</v>
      </c>
    </row>
    <row r="92" spans="2:39">
      <c r="B92" s="282" t="str">
        <f>'GBP Swap PVs'!AG30</f>
        <v>3Y</v>
      </c>
      <c r="C92" s="278">
        <f ca="1">'GBP Swap PVs'!AH30</f>
        <v>147865.36992561389</v>
      </c>
      <c r="D92" s="278">
        <f ca="1">'GBP Swap PVs'!AI30</f>
        <v>118292.29594049114</v>
      </c>
      <c r="E92" s="278">
        <f ca="1">'GBP Swap PVs'!AJ30</f>
        <v>88719.221955368339</v>
      </c>
      <c r="F92" s="278">
        <f ca="1">'GBP Swap PVs'!AK30</f>
        <v>59146.147970245576</v>
      </c>
      <c r="G92" s="278">
        <f ca="1">'GBP Swap PVs'!AL30</f>
        <v>29573.073985122781</v>
      </c>
      <c r="H92" s="278">
        <f ca="1">'GBP Swap PVs'!AM30</f>
        <v>0</v>
      </c>
      <c r="I92" s="278">
        <f ca="1">'GBP Swap PVs'!AN30</f>
        <v>-29573.073985122785</v>
      </c>
      <c r="J92" s="278">
        <f ca="1">'GBP Swap PVs'!AO30</f>
        <v>-59146.147970245562</v>
      </c>
      <c r="K92" s="278">
        <f ca="1">'GBP Swap PVs'!AP30</f>
        <v>-88719.221955368354</v>
      </c>
      <c r="L92" s="278">
        <f ca="1">'GBP Swap PVs'!AQ30</f>
        <v>-118292.29594049114</v>
      </c>
      <c r="M92" s="279">
        <f ca="1">'GBP Swap PVs'!AR30</f>
        <v>-147865.36992561395</v>
      </c>
      <c r="O92" s="282" t="s">
        <v>39</v>
      </c>
      <c r="P92" s="278">
        <v>147865.36992561389</v>
      </c>
      <c r="Q92" s="278">
        <v>118292.29594049114</v>
      </c>
      <c r="R92" s="278">
        <v>88719.221955368339</v>
      </c>
      <c r="S92" s="278">
        <v>59146.147970245576</v>
      </c>
      <c r="T92" s="278">
        <v>29573.073985122781</v>
      </c>
      <c r="U92" s="278">
        <v>0</v>
      </c>
      <c r="V92" s="278">
        <v>-29573.073985122785</v>
      </c>
      <c r="W92" s="278">
        <v>-59146.147970245562</v>
      </c>
      <c r="X92" s="278">
        <v>-88719.221955368354</v>
      </c>
      <c r="Y92" s="278">
        <v>-118292.29594049114</v>
      </c>
      <c r="Z92" s="279">
        <v>-147865.36992561395</v>
      </c>
      <c r="AB92" s="282" t="str">
        <f t="shared" si="7"/>
        <v>3Y</v>
      </c>
      <c r="AC92" s="278">
        <f ca="1">IF(ABS(P92-C92)&gt;SnapshotTolerance,1,0)</f>
        <v>0</v>
      </c>
      <c r="AD92" s="278">
        <f ca="1">IF(ABS(Q92-D92)&gt;SnapshotTolerance,1,0)</f>
        <v>0</v>
      </c>
      <c r="AE92" s="278">
        <f ca="1">IF(ABS(R92-E92)&gt;SnapshotTolerance,1,0)</f>
        <v>0</v>
      </c>
      <c r="AF92" s="278">
        <f ca="1">IF(ABS(S92-F92)&gt;SnapshotTolerance,1,0)</f>
        <v>0</v>
      </c>
      <c r="AG92" s="278">
        <f ca="1">IF(ABS(T92-G92)&gt;SnapshotTolerance,1,0)</f>
        <v>0</v>
      </c>
      <c r="AH92" s="278">
        <f ca="1">IF(ABS(U92-H92)&gt;SnapshotTolerance,1,0)</f>
        <v>0</v>
      </c>
      <c r="AI92" s="278">
        <f ca="1">IF(ABS(V92-I92)&gt;SnapshotTolerance,1,0)</f>
        <v>0</v>
      </c>
      <c r="AJ92" s="278">
        <f ca="1">IF(ABS(W92-J92)&gt;SnapshotTolerance,1,0)</f>
        <v>0</v>
      </c>
      <c r="AK92" s="278">
        <f ca="1">IF(ABS(X92-K92)&gt;SnapshotTolerance,1,0)</f>
        <v>0</v>
      </c>
      <c r="AL92" s="278">
        <f ca="1">IF(ABS(Y92-L92)&gt;SnapshotTolerance,1,0)</f>
        <v>0</v>
      </c>
      <c r="AM92" s="279">
        <f ca="1">IF(ABS(Z92-M92)&gt;SnapshotTolerance,1,0)</f>
        <v>0</v>
      </c>
    </row>
    <row r="93" spans="2:39">
      <c r="B93" s="282" t="str">
        <f>'GBP Swap PVs'!AG31</f>
        <v>4Y</v>
      </c>
      <c r="C93" s="278">
        <f ca="1">'GBP Swap PVs'!AH31</f>
        <v>195848.75648482324</v>
      </c>
      <c r="D93" s="278">
        <f ca="1">'GBP Swap PVs'!AI31</f>
        <v>156679.00518785862</v>
      </c>
      <c r="E93" s="278">
        <f ca="1">'GBP Swap PVs'!AJ31</f>
        <v>117509.25389089395</v>
      </c>
      <c r="F93" s="278">
        <f ca="1">'GBP Swap PVs'!AK31</f>
        <v>78339.502593929297</v>
      </c>
      <c r="G93" s="278">
        <f ca="1">'GBP Swap PVs'!AL31</f>
        <v>39169.751296964649</v>
      </c>
      <c r="H93" s="278">
        <f ca="1">'GBP Swap PVs'!AM31</f>
        <v>0</v>
      </c>
      <c r="I93" s="278">
        <f ca="1">'GBP Swap PVs'!AN31</f>
        <v>-39169.751296964656</v>
      </c>
      <c r="J93" s="278">
        <f ca="1">'GBP Swap PVs'!AO31</f>
        <v>-78339.502593929312</v>
      </c>
      <c r="K93" s="278">
        <f ca="1">'GBP Swap PVs'!AP31</f>
        <v>-117509.25389089398</v>
      </c>
      <c r="L93" s="278">
        <f ca="1">'GBP Swap PVs'!AQ31</f>
        <v>-156679.00518785862</v>
      </c>
      <c r="M93" s="279">
        <f ca="1">'GBP Swap PVs'!AR31</f>
        <v>-195848.7564848233</v>
      </c>
      <c r="O93" s="282" t="s">
        <v>35</v>
      </c>
      <c r="P93" s="278">
        <v>195848.75648482324</v>
      </c>
      <c r="Q93" s="278">
        <v>156679.00518785862</v>
      </c>
      <c r="R93" s="278">
        <v>117509.25389089395</v>
      </c>
      <c r="S93" s="278">
        <v>78339.502593929297</v>
      </c>
      <c r="T93" s="278">
        <v>39169.751296964649</v>
      </c>
      <c r="U93" s="278">
        <v>0</v>
      </c>
      <c r="V93" s="278">
        <v>-39169.751296964656</v>
      </c>
      <c r="W93" s="278">
        <v>-78339.502593929312</v>
      </c>
      <c r="X93" s="278">
        <v>-117509.25389089398</v>
      </c>
      <c r="Y93" s="278">
        <v>-156679.00518785862</v>
      </c>
      <c r="Z93" s="279">
        <v>-195848.7564848233</v>
      </c>
      <c r="AB93" s="282" t="str">
        <f t="shared" si="7"/>
        <v>4Y</v>
      </c>
      <c r="AC93" s="278">
        <f ca="1">IF(ABS(P93-C93)&gt;SnapshotTolerance,1,0)</f>
        <v>0</v>
      </c>
      <c r="AD93" s="278">
        <f ca="1">IF(ABS(Q93-D93)&gt;SnapshotTolerance,1,0)</f>
        <v>0</v>
      </c>
      <c r="AE93" s="278">
        <f ca="1">IF(ABS(R93-E93)&gt;SnapshotTolerance,1,0)</f>
        <v>0</v>
      </c>
      <c r="AF93" s="278">
        <f ca="1">IF(ABS(S93-F93)&gt;SnapshotTolerance,1,0)</f>
        <v>0</v>
      </c>
      <c r="AG93" s="278">
        <f ca="1">IF(ABS(T93-G93)&gt;SnapshotTolerance,1,0)</f>
        <v>0</v>
      </c>
      <c r="AH93" s="278">
        <f ca="1">IF(ABS(U93-H93)&gt;SnapshotTolerance,1,0)</f>
        <v>0</v>
      </c>
      <c r="AI93" s="278">
        <f ca="1">IF(ABS(V93-I93)&gt;SnapshotTolerance,1,0)</f>
        <v>0</v>
      </c>
      <c r="AJ93" s="278">
        <f ca="1">IF(ABS(W93-J93)&gt;SnapshotTolerance,1,0)</f>
        <v>0</v>
      </c>
      <c r="AK93" s="278">
        <f ca="1">IF(ABS(X93-K93)&gt;SnapshotTolerance,1,0)</f>
        <v>0</v>
      </c>
      <c r="AL93" s="278">
        <f ca="1">IF(ABS(Y93-L93)&gt;SnapshotTolerance,1,0)</f>
        <v>0</v>
      </c>
      <c r="AM93" s="279">
        <f ca="1">IF(ABS(Z93-M93)&gt;SnapshotTolerance,1,0)</f>
        <v>0</v>
      </c>
    </row>
    <row r="94" spans="2:39">
      <c r="B94" s="282" t="str">
        <f>'GBP Swap PVs'!AG32</f>
        <v>5Y</v>
      </c>
      <c r="C94" s="278">
        <f ca="1">'GBP Swap PVs'!AH32</f>
        <v>242457.13075464786</v>
      </c>
      <c r="D94" s="278">
        <f ca="1">'GBP Swap PVs'!AI32</f>
        <v>193965.7046037183</v>
      </c>
      <c r="E94" s="278">
        <f ca="1">'GBP Swap PVs'!AJ32</f>
        <v>145474.27845278871</v>
      </c>
      <c r="F94" s="278">
        <f ca="1">'GBP Swap PVs'!AK32</f>
        <v>96982.852301859137</v>
      </c>
      <c r="G94" s="278">
        <f ca="1">'GBP Swap PVs'!AL32</f>
        <v>48491.426150929561</v>
      </c>
      <c r="H94" s="278">
        <f ca="1">'GBP Swap PVs'!AM32</f>
        <v>0</v>
      </c>
      <c r="I94" s="278">
        <f ca="1">'GBP Swap PVs'!AN32</f>
        <v>-48491.426150929568</v>
      </c>
      <c r="J94" s="278">
        <f ca="1">'GBP Swap PVs'!AO32</f>
        <v>-96982.852301859137</v>
      </c>
      <c r="K94" s="278">
        <f ca="1">'GBP Swap PVs'!AP32</f>
        <v>-145474.27845278874</v>
      </c>
      <c r="L94" s="278">
        <f ca="1">'GBP Swap PVs'!AQ32</f>
        <v>-193965.7046037183</v>
      </c>
      <c r="M94" s="279">
        <f ca="1">'GBP Swap PVs'!AR32</f>
        <v>-242457.13075464786</v>
      </c>
      <c r="O94" s="282" t="s">
        <v>33</v>
      </c>
      <c r="P94" s="278">
        <v>242457.13075464786</v>
      </c>
      <c r="Q94" s="278">
        <v>193965.7046037183</v>
      </c>
      <c r="R94" s="278">
        <v>145474.27845278871</v>
      </c>
      <c r="S94" s="278">
        <v>96982.852301859137</v>
      </c>
      <c r="T94" s="278">
        <v>48491.426150929561</v>
      </c>
      <c r="U94" s="278">
        <v>0</v>
      </c>
      <c r="V94" s="278">
        <v>-48491.426150929568</v>
      </c>
      <c r="W94" s="278">
        <v>-96982.852301859137</v>
      </c>
      <c r="X94" s="278">
        <v>-145474.27845278874</v>
      </c>
      <c r="Y94" s="278">
        <v>-193965.7046037183</v>
      </c>
      <c r="Z94" s="279">
        <v>-242457.13075464786</v>
      </c>
      <c r="AB94" s="282" t="str">
        <f t="shared" si="7"/>
        <v>5Y</v>
      </c>
      <c r="AC94" s="278">
        <f ca="1">IF(ABS(P94-C94)&gt;SnapshotTolerance,1,0)</f>
        <v>0</v>
      </c>
      <c r="AD94" s="278">
        <f ca="1">IF(ABS(Q94-D94)&gt;SnapshotTolerance,1,0)</f>
        <v>0</v>
      </c>
      <c r="AE94" s="278">
        <f ca="1">IF(ABS(R94-E94)&gt;SnapshotTolerance,1,0)</f>
        <v>0</v>
      </c>
      <c r="AF94" s="278">
        <f ca="1">IF(ABS(S94-F94)&gt;SnapshotTolerance,1,0)</f>
        <v>0</v>
      </c>
      <c r="AG94" s="278">
        <f ca="1">IF(ABS(T94-G94)&gt;SnapshotTolerance,1,0)</f>
        <v>0</v>
      </c>
      <c r="AH94" s="278">
        <f ca="1">IF(ABS(U94-H94)&gt;SnapshotTolerance,1,0)</f>
        <v>0</v>
      </c>
      <c r="AI94" s="278">
        <f ca="1">IF(ABS(V94-I94)&gt;SnapshotTolerance,1,0)</f>
        <v>0</v>
      </c>
      <c r="AJ94" s="278">
        <f ca="1">IF(ABS(W94-J94)&gt;SnapshotTolerance,1,0)</f>
        <v>0</v>
      </c>
      <c r="AK94" s="278">
        <f ca="1">IF(ABS(X94-K94)&gt;SnapshotTolerance,1,0)</f>
        <v>0</v>
      </c>
      <c r="AL94" s="278">
        <f ca="1">IF(ABS(Y94-L94)&gt;SnapshotTolerance,1,0)</f>
        <v>0</v>
      </c>
      <c r="AM94" s="279">
        <f ca="1">IF(ABS(Z94-M94)&gt;SnapshotTolerance,1,0)</f>
        <v>0</v>
      </c>
    </row>
    <row r="95" spans="2:39">
      <c r="B95" s="282" t="str">
        <f>'GBP Swap PVs'!AG33</f>
        <v>6Y</v>
      </c>
      <c r="C95" s="278">
        <f ca="1">'GBP Swap PVs'!AH33</f>
        <v>288154.79235869745</v>
      </c>
      <c r="D95" s="278">
        <f ca="1">'GBP Swap PVs'!AI33</f>
        <v>230523.83388695796</v>
      </c>
      <c r="E95" s="278">
        <f ca="1">'GBP Swap PVs'!AJ33</f>
        <v>172892.87541521847</v>
      </c>
      <c r="F95" s="278">
        <f ca="1">'GBP Swap PVs'!AK33</f>
        <v>115261.91694347897</v>
      </c>
      <c r="G95" s="278">
        <f ca="1">'GBP Swap PVs'!AL33</f>
        <v>57630.958471739505</v>
      </c>
      <c r="H95" s="278">
        <f ca="1">'GBP Swap PVs'!AM33</f>
        <v>0</v>
      </c>
      <c r="I95" s="278">
        <f ca="1">'GBP Swap PVs'!AN33</f>
        <v>-57630.958471739483</v>
      </c>
      <c r="J95" s="278">
        <f ca="1">'GBP Swap PVs'!AO33</f>
        <v>-115261.91694347898</v>
      </c>
      <c r="K95" s="278">
        <f ca="1">'GBP Swap PVs'!AP33</f>
        <v>-172892.87541521847</v>
      </c>
      <c r="L95" s="278">
        <f ca="1">'GBP Swap PVs'!AQ33</f>
        <v>-230523.83388695796</v>
      </c>
      <c r="M95" s="279">
        <f ca="1">'GBP Swap PVs'!AR33</f>
        <v>-288154.79235869745</v>
      </c>
      <c r="O95" s="282" t="s">
        <v>131</v>
      </c>
      <c r="P95" s="278">
        <v>288154.79235869745</v>
      </c>
      <c r="Q95" s="278">
        <v>230523.83388695796</v>
      </c>
      <c r="R95" s="278">
        <v>172892.87541521847</v>
      </c>
      <c r="S95" s="278">
        <v>115261.91694347897</v>
      </c>
      <c r="T95" s="278">
        <v>57630.958471739505</v>
      </c>
      <c r="U95" s="278">
        <v>0</v>
      </c>
      <c r="V95" s="278">
        <v>-57630.958471739483</v>
      </c>
      <c r="W95" s="278">
        <v>-115261.91694347898</v>
      </c>
      <c r="X95" s="278">
        <v>-172892.87541521847</v>
      </c>
      <c r="Y95" s="278">
        <v>-230523.83388695796</v>
      </c>
      <c r="Z95" s="279">
        <v>-288154.79235869745</v>
      </c>
      <c r="AB95" s="282" t="str">
        <f t="shared" si="7"/>
        <v>6Y</v>
      </c>
      <c r="AC95" s="278">
        <f ca="1">IF(ABS(P95-C95)&gt;SnapshotTolerance,1,0)</f>
        <v>0</v>
      </c>
      <c r="AD95" s="278">
        <f ca="1">IF(ABS(Q95-D95)&gt;SnapshotTolerance,1,0)</f>
        <v>0</v>
      </c>
      <c r="AE95" s="278">
        <f ca="1">IF(ABS(R95-E95)&gt;SnapshotTolerance,1,0)</f>
        <v>0</v>
      </c>
      <c r="AF95" s="278">
        <f ca="1">IF(ABS(S95-F95)&gt;SnapshotTolerance,1,0)</f>
        <v>0</v>
      </c>
      <c r="AG95" s="278">
        <f ca="1">IF(ABS(T95-G95)&gt;SnapshotTolerance,1,0)</f>
        <v>0</v>
      </c>
      <c r="AH95" s="278">
        <f ca="1">IF(ABS(U95-H95)&gt;SnapshotTolerance,1,0)</f>
        <v>0</v>
      </c>
      <c r="AI95" s="278">
        <f ca="1">IF(ABS(V95-I95)&gt;SnapshotTolerance,1,0)</f>
        <v>0</v>
      </c>
      <c r="AJ95" s="278">
        <f ca="1">IF(ABS(W95-J95)&gt;SnapshotTolerance,1,0)</f>
        <v>0</v>
      </c>
      <c r="AK95" s="278">
        <f ca="1">IF(ABS(X95-K95)&gt;SnapshotTolerance,1,0)</f>
        <v>0</v>
      </c>
      <c r="AL95" s="278">
        <f ca="1">IF(ABS(Y95-L95)&gt;SnapshotTolerance,1,0)</f>
        <v>0</v>
      </c>
      <c r="AM95" s="279">
        <f ca="1">IF(ABS(Z95-M95)&gt;SnapshotTolerance,1,0)</f>
        <v>0</v>
      </c>
    </row>
    <row r="96" spans="2:39">
      <c r="B96" s="282" t="str">
        <f>'GBP Swap PVs'!AG34</f>
        <v>7Y</v>
      </c>
      <c r="C96" s="278">
        <f ca="1">'GBP Swap PVs'!AH34</f>
        <v>332777.29112241004</v>
      </c>
      <c r="D96" s="278">
        <f ca="1">'GBP Swap PVs'!AI34</f>
        <v>266221.83289792808</v>
      </c>
      <c r="E96" s="278">
        <f ca="1">'GBP Swap PVs'!AJ34</f>
        <v>199666.374673446</v>
      </c>
      <c r="F96" s="278">
        <f ca="1">'GBP Swap PVs'!AK34</f>
        <v>133110.91644896401</v>
      </c>
      <c r="G96" s="278">
        <f ca="1">'GBP Swap PVs'!AL34</f>
        <v>66555.458224482034</v>
      </c>
      <c r="H96" s="278">
        <f ca="1">'GBP Swap PVs'!AM34</f>
        <v>0</v>
      </c>
      <c r="I96" s="278">
        <f ca="1">'GBP Swap PVs'!AN34</f>
        <v>-66555.45822448199</v>
      </c>
      <c r="J96" s="278">
        <f ca="1">'GBP Swap PVs'!AO34</f>
        <v>-133110.91644896401</v>
      </c>
      <c r="K96" s="278">
        <f ca="1">'GBP Swap PVs'!AP34</f>
        <v>-199666.374673446</v>
      </c>
      <c r="L96" s="278">
        <f ca="1">'GBP Swap PVs'!AQ34</f>
        <v>-266221.83289792802</v>
      </c>
      <c r="M96" s="279">
        <f ca="1">'GBP Swap PVs'!AR34</f>
        <v>-332777.29112240998</v>
      </c>
      <c r="O96" s="282" t="s">
        <v>31</v>
      </c>
      <c r="P96" s="278">
        <v>332777.29112241004</v>
      </c>
      <c r="Q96" s="278">
        <v>266221.83289792808</v>
      </c>
      <c r="R96" s="278">
        <v>199666.374673446</v>
      </c>
      <c r="S96" s="278">
        <v>133110.91644896401</v>
      </c>
      <c r="T96" s="278">
        <v>66555.458224482034</v>
      </c>
      <c r="U96" s="278">
        <v>0</v>
      </c>
      <c r="V96" s="278">
        <v>-66555.45822448199</v>
      </c>
      <c r="W96" s="278">
        <v>-133110.91644896401</v>
      </c>
      <c r="X96" s="278">
        <v>-199666.374673446</v>
      </c>
      <c r="Y96" s="278">
        <v>-266221.83289792802</v>
      </c>
      <c r="Z96" s="279">
        <v>-332777.29112240998</v>
      </c>
      <c r="AB96" s="282" t="str">
        <f t="shared" si="7"/>
        <v>7Y</v>
      </c>
      <c r="AC96" s="278">
        <f ca="1">IF(ABS(P96-C96)&gt;SnapshotTolerance,1,0)</f>
        <v>0</v>
      </c>
      <c r="AD96" s="278">
        <f ca="1">IF(ABS(Q96-D96)&gt;SnapshotTolerance,1,0)</f>
        <v>0</v>
      </c>
      <c r="AE96" s="278">
        <f ca="1">IF(ABS(R96-E96)&gt;SnapshotTolerance,1,0)</f>
        <v>0</v>
      </c>
      <c r="AF96" s="278">
        <f ca="1">IF(ABS(S96-F96)&gt;SnapshotTolerance,1,0)</f>
        <v>0</v>
      </c>
      <c r="AG96" s="278">
        <f ca="1">IF(ABS(T96-G96)&gt;SnapshotTolerance,1,0)</f>
        <v>0</v>
      </c>
      <c r="AH96" s="278">
        <f ca="1">IF(ABS(U96-H96)&gt;SnapshotTolerance,1,0)</f>
        <v>0</v>
      </c>
      <c r="AI96" s="278">
        <f ca="1">IF(ABS(V96-I96)&gt;SnapshotTolerance,1,0)</f>
        <v>0</v>
      </c>
      <c r="AJ96" s="278">
        <f ca="1">IF(ABS(W96-J96)&gt;SnapshotTolerance,1,0)</f>
        <v>0</v>
      </c>
      <c r="AK96" s="278">
        <f ca="1">IF(ABS(X96-K96)&gt;SnapshotTolerance,1,0)</f>
        <v>0</v>
      </c>
      <c r="AL96" s="278">
        <f ca="1">IF(ABS(Y96-L96)&gt;SnapshotTolerance,1,0)</f>
        <v>0</v>
      </c>
      <c r="AM96" s="279">
        <f ca="1">IF(ABS(Z96-M96)&gt;SnapshotTolerance,1,0)</f>
        <v>0</v>
      </c>
    </row>
    <row r="97" spans="2:39">
      <c r="B97" s="282" t="str">
        <f>'GBP Swap PVs'!AG35</f>
        <v>8Y</v>
      </c>
      <c r="C97" s="278">
        <f ca="1">'GBP Swap PVs'!AH35</f>
        <v>376308.72409313201</v>
      </c>
      <c r="D97" s="278">
        <f ca="1">'GBP Swap PVs'!AI35</f>
        <v>301046.97927450552</v>
      </c>
      <c r="E97" s="278">
        <f ca="1">'GBP Swap PVs'!AJ35</f>
        <v>225785.23445587914</v>
      </c>
      <c r="F97" s="278">
        <f ca="1">'GBP Swap PVs'!AK35</f>
        <v>150523.48963725279</v>
      </c>
      <c r="G97" s="278">
        <f ca="1">'GBP Swap PVs'!AL35</f>
        <v>75261.744818626437</v>
      </c>
      <c r="H97" s="278">
        <f ca="1">'GBP Swap PVs'!AM35</f>
        <v>0</v>
      </c>
      <c r="I97" s="278">
        <f ca="1">'GBP Swap PVs'!AN35</f>
        <v>-75261.744818626379</v>
      </c>
      <c r="J97" s="278">
        <f ca="1">'GBP Swap PVs'!AO35</f>
        <v>-150523.48963725276</v>
      </c>
      <c r="K97" s="278">
        <f ca="1">'GBP Swap PVs'!AP35</f>
        <v>-225785.23445587917</v>
      </c>
      <c r="L97" s="278">
        <f ca="1">'GBP Swap PVs'!AQ35</f>
        <v>-301046.97927450552</v>
      </c>
      <c r="M97" s="279">
        <f ca="1">'GBP Swap PVs'!AR35</f>
        <v>-376308.72409313201</v>
      </c>
      <c r="O97" s="282" t="s">
        <v>119</v>
      </c>
      <c r="P97" s="278">
        <v>376308.72409313201</v>
      </c>
      <c r="Q97" s="278">
        <v>301046.97927450552</v>
      </c>
      <c r="R97" s="278">
        <v>225785.23445587914</v>
      </c>
      <c r="S97" s="278">
        <v>150523.48963725279</v>
      </c>
      <c r="T97" s="278">
        <v>75261.744818626437</v>
      </c>
      <c r="U97" s="278">
        <v>0</v>
      </c>
      <c r="V97" s="278">
        <v>-75261.744818626379</v>
      </c>
      <c r="W97" s="278">
        <v>-150523.48963725276</v>
      </c>
      <c r="X97" s="278">
        <v>-225785.23445587917</v>
      </c>
      <c r="Y97" s="278">
        <v>-301046.97927450552</v>
      </c>
      <c r="Z97" s="279">
        <v>-376308.72409313201</v>
      </c>
      <c r="AB97" s="282" t="str">
        <f t="shared" si="7"/>
        <v>8Y</v>
      </c>
      <c r="AC97" s="278">
        <f ca="1">IF(ABS(P97-C97)&gt;SnapshotTolerance,1,0)</f>
        <v>0</v>
      </c>
      <c r="AD97" s="278">
        <f ca="1">IF(ABS(Q97-D97)&gt;SnapshotTolerance,1,0)</f>
        <v>0</v>
      </c>
      <c r="AE97" s="278">
        <f ca="1">IF(ABS(R97-E97)&gt;SnapshotTolerance,1,0)</f>
        <v>0</v>
      </c>
      <c r="AF97" s="278">
        <f ca="1">IF(ABS(S97-F97)&gt;SnapshotTolerance,1,0)</f>
        <v>0</v>
      </c>
      <c r="AG97" s="278">
        <f ca="1">IF(ABS(T97-G97)&gt;SnapshotTolerance,1,0)</f>
        <v>0</v>
      </c>
      <c r="AH97" s="278">
        <f ca="1">IF(ABS(U97-H97)&gt;SnapshotTolerance,1,0)</f>
        <v>0</v>
      </c>
      <c r="AI97" s="278">
        <f ca="1">IF(ABS(V97-I97)&gt;SnapshotTolerance,1,0)</f>
        <v>0</v>
      </c>
      <c r="AJ97" s="278">
        <f ca="1">IF(ABS(W97-J97)&gt;SnapshotTolerance,1,0)</f>
        <v>0</v>
      </c>
      <c r="AK97" s="278">
        <f ca="1">IF(ABS(X97-K97)&gt;SnapshotTolerance,1,0)</f>
        <v>0</v>
      </c>
      <c r="AL97" s="278">
        <f ca="1">IF(ABS(Y97-L97)&gt;SnapshotTolerance,1,0)</f>
        <v>0</v>
      </c>
      <c r="AM97" s="279">
        <f ca="1">IF(ABS(Z97-M97)&gt;SnapshotTolerance,1,0)</f>
        <v>0</v>
      </c>
    </row>
    <row r="98" spans="2:39">
      <c r="B98" s="282" t="str">
        <f>'GBP Swap PVs'!AG36</f>
        <v>9Y</v>
      </c>
      <c r="C98" s="278">
        <f ca="1">'GBP Swap PVs'!AH36</f>
        <v>419096.32897531759</v>
      </c>
      <c r="D98" s="278">
        <f ca="1">'GBP Swap PVs'!AI36</f>
        <v>335277.06318025407</v>
      </c>
      <c r="E98" s="278">
        <f ca="1">'GBP Swap PVs'!AJ36</f>
        <v>251457.79738519047</v>
      </c>
      <c r="F98" s="278">
        <f ca="1">'GBP Swap PVs'!AK36</f>
        <v>167638.53159012707</v>
      </c>
      <c r="G98" s="278">
        <f ca="1">'GBP Swap PVs'!AL36</f>
        <v>83819.265795063577</v>
      </c>
      <c r="H98" s="278">
        <f ca="1">'GBP Swap PVs'!AM36</f>
        <v>0</v>
      </c>
      <c r="I98" s="278">
        <f ca="1">'GBP Swap PVs'!AN36</f>
        <v>-83819.265795063489</v>
      </c>
      <c r="J98" s="278">
        <f ca="1">'GBP Swap PVs'!AO36</f>
        <v>-167638.53159012701</v>
      </c>
      <c r="K98" s="278">
        <f ca="1">'GBP Swap PVs'!AP36</f>
        <v>-251457.79738519053</v>
      </c>
      <c r="L98" s="278">
        <f ca="1">'GBP Swap PVs'!AQ36</f>
        <v>-335277.06318025402</v>
      </c>
      <c r="M98" s="279">
        <f ca="1">'GBP Swap PVs'!AR36</f>
        <v>-419096.32897531759</v>
      </c>
      <c r="O98" s="282" t="s">
        <v>113</v>
      </c>
      <c r="P98" s="278">
        <v>419096.32897531759</v>
      </c>
      <c r="Q98" s="278">
        <v>335277.06318025407</v>
      </c>
      <c r="R98" s="278">
        <v>251457.79738519047</v>
      </c>
      <c r="S98" s="278">
        <v>167638.53159012707</v>
      </c>
      <c r="T98" s="278">
        <v>83819.265795063577</v>
      </c>
      <c r="U98" s="278">
        <v>0</v>
      </c>
      <c r="V98" s="278">
        <v>-83819.265795063489</v>
      </c>
      <c r="W98" s="278">
        <v>-167638.53159012701</v>
      </c>
      <c r="X98" s="278">
        <v>-251457.79738519053</v>
      </c>
      <c r="Y98" s="278">
        <v>-335277.06318025402</v>
      </c>
      <c r="Z98" s="279">
        <v>-419096.32897531759</v>
      </c>
      <c r="AB98" s="282" t="str">
        <f t="shared" si="7"/>
        <v>9Y</v>
      </c>
      <c r="AC98" s="278">
        <f ca="1">IF(ABS(P98-C98)&gt;SnapshotTolerance,1,0)</f>
        <v>0</v>
      </c>
      <c r="AD98" s="278">
        <f ca="1">IF(ABS(Q98-D98)&gt;SnapshotTolerance,1,0)</f>
        <v>0</v>
      </c>
      <c r="AE98" s="278">
        <f ca="1">IF(ABS(R98-E98)&gt;SnapshotTolerance,1,0)</f>
        <v>0</v>
      </c>
      <c r="AF98" s="278">
        <f ca="1">IF(ABS(S98-F98)&gt;SnapshotTolerance,1,0)</f>
        <v>0</v>
      </c>
      <c r="AG98" s="278">
        <f ca="1">IF(ABS(T98-G98)&gt;SnapshotTolerance,1,0)</f>
        <v>0</v>
      </c>
      <c r="AH98" s="278">
        <f ca="1">IF(ABS(U98-H98)&gt;SnapshotTolerance,1,0)</f>
        <v>0</v>
      </c>
      <c r="AI98" s="278">
        <f ca="1">IF(ABS(V98-I98)&gt;SnapshotTolerance,1,0)</f>
        <v>0</v>
      </c>
      <c r="AJ98" s="278">
        <f ca="1">IF(ABS(W98-J98)&gt;SnapshotTolerance,1,0)</f>
        <v>0</v>
      </c>
      <c r="AK98" s="278">
        <f ca="1">IF(ABS(X98-K98)&gt;SnapshotTolerance,1,0)</f>
        <v>0</v>
      </c>
      <c r="AL98" s="278">
        <f ca="1">IF(ABS(Y98-L98)&gt;SnapshotTolerance,1,0)</f>
        <v>0</v>
      </c>
      <c r="AM98" s="279">
        <f ca="1">IF(ABS(Z98-M98)&gt;SnapshotTolerance,1,0)</f>
        <v>0</v>
      </c>
    </row>
    <row r="99" spans="2:39">
      <c r="B99" s="282" t="str">
        <f>'GBP Swap PVs'!AG37</f>
        <v>10Y</v>
      </c>
      <c r="C99" s="278">
        <f ca="1">'GBP Swap PVs'!AH37</f>
        <v>460336.45975731342</v>
      </c>
      <c r="D99" s="278">
        <f ca="1">'GBP Swap PVs'!AI37</f>
        <v>368269.16780585086</v>
      </c>
      <c r="E99" s="278">
        <f ca="1">'GBP Swap PVs'!AJ37</f>
        <v>276201.87585438794</v>
      </c>
      <c r="F99" s="278">
        <f ca="1">'GBP Swap PVs'!AK37</f>
        <v>184134.5839029254</v>
      </c>
      <c r="G99" s="278">
        <f ca="1">'GBP Swap PVs'!AL37</f>
        <v>92067.291951462714</v>
      </c>
      <c r="H99" s="278">
        <f ca="1">'GBP Swap PVs'!AM37</f>
        <v>-2.7755575615628914E-11</v>
      </c>
      <c r="I99" s="278">
        <f ca="1">'GBP Swap PVs'!AN37</f>
        <v>-92067.291951462685</v>
      </c>
      <c r="J99" s="278">
        <f ca="1">'GBP Swap PVs'!AO37</f>
        <v>-184134.58390292537</v>
      </c>
      <c r="K99" s="278">
        <f ca="1">'GBP Swap PVs'!AP37</f>
        <v>-276201.87585438805</v>
      </c>
      <c r="L99" s="278">
        <f ca="1">'GBP Swap PVs'!AQ37</f>
        <v>-368269.16780585074</v>
      </c>
      <c r="M99" s="279">
        <f ca="1">'GBP Swap PVs'!AR37</f>
        <v>-460336.45975731342</v>
      </c>
      <c r="O99" s="282" t="s">
        <v>28</v>
      </c>
      <c r="P99" s="278">
        <v>460336.45975731342</v>
      </c>
      <c r="Q99" s="278">
        <v>368269.16780585086</v>
      </c>
      <c r="R99" s="278">
        <v>276201.87585438794</v>
      </c>
      <c r="S99" s="278">
        <v>184134.5839029254</v>
      </c>
      <c r="T99" s="278">
        <v>92067.291951462714</v>
      </c>
      <c r="U99" s="278">
        <v>-2.7755575615628914E-11</v>
      </c>
      <c r="V99" s="278">
        <v>-92067.291951462685</v>
      </c>
      <c r="W99" s="278">
        <v>-184134.58390292537</v>
      </c>
      <c r="X99" s="278">
        <v>-276201.87585438805</v>
      </c>
      <c r="Y99" s="278">
        <v>-368269.16780585074</v>
      </c>
      <c r="Z99" s="279">
        <v>-460336.45975731342</v>
      </c>
      <c r="AB99" s="282" t="str">
        <f t="shared" si="7"/>
        <v>10Y</v>
      </c>
      <c r="AC99" s="278">
        <f ca="1">IF(ABS(P99-C99)&gt;SnapshotTolerance,1,0)</f>
        <v>0</v>
      </c>
      <c r="AD99" s="278">
        <f ca="1">IF(ABS(Q99-D99)&gt;SnapshotTolerance,1,0)</f>
        <v>0</v>
      </c>
      <c r="AE99" s="278">
        <f ca="1">IF(ABS(R99-E99)&gt;SnapshotTolerance,1,0)</f>
        <v>0</v>
      </c>
      <c r="AF99" s="278">
        <f ca="1">IF(ABS(S99-F99)&gt;SnapshotTolerance,1,0)</f>
        <v>0</v>
      </c>
      <c r="AG99" s="278">
        <f ca="1">IF(ABS(T99-G99)&gt;SnapshotTolerance,1,0)</f>
        <v>0</v>
      </c>
      <c r="AH99" s="278">
        <f ca="1">IF(ABS(U99-H99)&gt;SnapshotTolerance,1,0)</f>
        <v>0</v>
      </c>
      <c r="AI99" s="278">
        <f ca="1">IF(ABS(V99-I99)&gt;SnapshotTolerance,1,0)</f>
        <v>0</v>
      </c>
      <c r="AJ99" s="278">
        <f ca="1">IF(ABS(W99-J99)&gt;SnapshotTolerance,1,0)</f>
        <v>0</v>
      </c>
      <c r="AK99" s="278">
        <f ca="1">IF(ABS(X99-K99)&gt;SnapshotTolerance,1,0)</f>
        <v>0</v>
      </c>
      <c r="AL99" s="278">
        <f ca="1">IF(ABS(Y99-L99)&gt;SnapshotTolerance,1,0)</f>
        <v>0</v>
      </c>
      <c r="AM99" s="279">
        <f ca="1">IF(ABS(Z99-M99)&gt;SnapshotTolerance,1,0)</f>
        <v>0</v>
      </c>
    </row>
    <row r="100" spans="2:39">
      <c r="B100" s="282" t="str">
        <f>'GBP Swap PVs'!AG38</f>
        <v>12Y</v>
      </c>
      <c r="C100" s="278">
        <f ca="1">'GBP Swap PVs'!AH38</f>
        <v>539672.60962191247</v>
      </c>
      <c r="D100" s="278">
        <f ca="1">'GBP Swap PVs'!AI38</f>
        <v>431738.08769753017</v>
      </c>
      <c r="E100" s="278">
        <f ca="1">'GBP Swap PVs'!AJ38</f>
        <v>323803.56577314722</v>
      </c>
      <c r="F100" s="278">
        <f ca="1">'GBP Swap PVs'!AK38</f>
        <v>215869.04384876505</v>
      </c>
      <c r="G100" s="278">
        <f ca="1">'GBP Swap PVs'!AL38</f>
        <v>107934.52192438257</v>
      </c>
      <c r="H100" s="278">
        <f ca="1">'GBP Swap PVs'!AM38</f>
        <v>0</v>
      </c>
      <c r="I100" s="278">
        <f ca="1">'GBP Swap PVs'!AN38</f>
        <v>-107934.52192438247</v>
      </c>
      <c r="J100" s="278">
        <f ca="1">'GBP Swap PVs'!AO38</f>
        <v>-215869.04384876494</v>
      </c>
      <c r="K100" s="278">
        <f ca="1">'GBP Swap PVs'!AP38</f>
        <v>-323803.56577314739</v>
      </c>
      <c r="L100" s="278">
        <f ca="1">'GBP Swap PVs'!AQ38</f>
        <v>-431738.08769752987</v>
      </c>
      <c r="M100" s="279">
        <f ca="1">'GBP Swap PVs'!AR38</f>
        <v>-539672.60962191247</v>
      </c>
      <c r="O100" s="282" t="s">
        <v>26</v>
      </c>
      <c r="P100" s="278">
        <v>539672.60962191247</v>
      </c>
      <c r="Q100" s="278">
        <v>431738.08769753017</v>
      </c>
      <c r="R100" s="278">
        <v>323803.56577314722</v>
      </c>
      <c r="S100" s="278">
        <v>215869.04384876505</v>
      </c>
      <c r="T100" s="278">
        <v>107934.52192438257</v>
      </c>
      <c r="U100" s="278">
        <v>0</v>
      </c>
      <c r="V100" s="278">
        <v>-107934.52192438247</v>
      </c>
      <c r="W100" s="278">
        <v>-215869.04384876494</v>
      </c>
      <c r="X100" s="278">
        <v>-323803.56577314739</v>
      </c>
      <c r="Y100" s="278">
        <v>-431738.08769752987</v>
      </c>
      <c r="Z100" s="279">
        <v>-539672.60962191247</v>
      </c>
      <c r="AB100" s="282" t="str">
        <f t="shared" si="7"/>
        <v>12Y</v>
      </c>
      <c r="AC100" s="278">
        <f ca="1">IF(ABS(P100-C100)&gt;SnapshotTolerance,1,0)</f>
        <v>0</v>
      </c>
      <c r="AD100" s="278">
        <f ca="1">IF(ABS(Q100-D100)&gt;SnapshotTolerance,1,0)</f>
        <v>0</v>
      </c>
      <c r="AE100" s="278">
        <f ca="1">IF(ABS(R100-E100)&gt;SnapshotTolerance,1,0)</f>
        <v>0</v>
      </c>
      <c r="AF100" s="278">
        <f ca="1">IF(ABS(S100-F100)&gt;SnapshotTolerance,1,0)</f>
        <v>0</v>
      </c>
      <c r="AG100" s="278">
        <f ca="1">IF(ABS(T100-G100)&gt;SnapshotTolerance,1,0)</f>
        <v>0</v>
      </c>
      <c r="AH100" s="278">
        <f ca="1">IF(ABS(U100-H100)&gt;SnapshotTolerance,1,0)</f>
        <v>0</v>
      </c>
      <c r="AI100" s="278">
        <f ca="1">IF(ABS(V100-I100)&gt;SnapshotTolerance,1,0)</f>
        <v>0</v>
      </c>
      <c r="AJ100" s="278">
        <f ca="1">IF(ABS(W100-J100)&gt;SnapshotTolerance,1,0)</f>
        <v>0</v>
      </c>
      <c r="AK100" s="278">
        <f ca="1">IF(ABS(X100-K100)&gt;SnapshotTolerance,1,0)</f>
        <v>0</v>
      </c>
      <c r="AL100" s="278">
        <f ca="1">IF(ABS(Y100-L100)&gt;SnapshotTolerance,1,0)</f>
        <v>0</v>
      </c>
      <c r="AM100" s="279">
        <f ca="1">IF(ABS(Z100-M100)&gt;SnapshotTolerance,1,0)</f>
        <v>0</v>
      </c>
    </row>
    <row r="101" spans="2:39">
      <c r="B101" s="282" t="str">
        <f>'GBP Swap PVs'!AG39</f>
        <v>15Y</v>
      </c>
      <c r="C101" s="278">
        <f ca="1">'GBP Swap PVs'!AH39</f>
        <v>651221.71456541598</v>
      </c>
      <c r="D101" s="278">
        <f ca="1">'GBP Swap PVs'!AI39</f>
        <v>520977.37165233283</v>
      </c>
      <c r="E101" s="278">
        <f ca="1">'GBP Swap PVs'!AJ39</f>
        <v>390733.02873924933</v>
      </c>
      <c r="F101" s="278">
        <f ca="1">'GBP Swap PVs'!AK39</f>
        <v>260488.68582616636</v>
      </c>
      <c r="G101" s="278">
        <f ca="1">'GBP Swap PVs'!AL39</f>
        <v>130244.3429130833</v>
      </c>
      <c r="H101" s="278">
        <f ca="1">'GBP Swap PVs'!AM39</f>
        <v>0</v>
      </c>
      <c r="I101" s="278">
        <f ca="1">'GBP Swap PVs'!AN39</f>
        <v>-130244.34291308318</v>
      </c>
      <c r="J101" s="278">
        <f ca="1">'GBP Swap PVs'!AO39</f>
        <v>-260488.6858261663</v>
      </c>
      <c r="K101" s="278">
        <f ca="1">'GBP Swap PVs'!AP39</f>
        <v>-390733.02873924951</v>
      </c>
      <c r="L101" s="278">
        <f ca="1">'GBP Swap PVs'!AQ39</f>
        <v>-520977.3716523326</v>
      </c>
      <c r="M101" s="279">
        <f ca="1">'GBP Swap PVs'!AR39</f>
        <v>-651221.71456541587</v>
      </c>
      <c r="O101" s="282" t="s">
        <v>24</v>
      </c>
      <c r="P101" s="278">
        <v>651221.71456541598</v>
      </c>
      <c r="Q101" s="278">
        <v>520977.37165233283</v>
      </c>
      <c r="R101" s="278">
        <v>390733.02873924933</v>
      </c>
      <c r="S101" s="278">
        <v>260488.68582616636</v>
      </c>
      <c r="T101" s="278">
        <v>130244.3429130833</v>
      </c>
      <c r="U101" s="278">
        <v>0</v>
      </c>
      <c r="V101" s="278">
        <v>-130244.34291308318</v>
      </c>
      <c r="W101" s="278">
        <v>-260488.6858261663</v>
      </c>
      <c r="X101" s="278">
        <v>-390733.02873924951</v>
      </c>
      <c r="Y101" s="278">
        <v>-520977.3716523326</v>
      </c>
      <c r="Z101" s="279">
        <v>-651221.71456541587</v>
      </c>
      <c r="AB101" s="282" t="str">
        <f t="shared" si="7"/>
        <v>15Y</v>
      </c>
      <c r="AC101" s="278">
        <f ca="1">IF(ABS(P101-C101)&gt;SnapshotTolerance,1,0)</f>
        <v>0</v>
      </c>
      <c r="AD101" s="278">
        <f ca="1">IF(ABS(Q101-D101)&gt;SnapshotTolerance,1,0)</f>
        <v>0</v>
      </c>
      <c r="AE101" s="278">
        <f ca="1">IF(ABS(R101-E101)&gt;SnapshotTolerance,1,0)</f>
        <v>0</v>
      </c>
      <c r="AF101" s="278">
        <f ca="1">IF(ABS(S101-F101)&gt;SnapshotTolerance,1,0)</f>
        <v>0</v>
      </c>
      <c r="AG101" s="278">
        <f ca="1">IF(ABS(T101-G101)&gt;SnapshotTolerance,1,0)</f>
        <v>0</v>
      </c>
      <c r="AH101" s="278">
        <f ca="1">IF(ABS(U101-H101)&gt;SnapshotTolerance,1,0)</f>
        <v>0</v>
      </c>
      <c r="AI101" s="278">
        <f ca="1">IF(ABS(V101-I101)&gt;SnapshotTolerance,1,0)</f>
        <v>0</v>
      </c>
      <c r="AJ101" s="278">
        <f ca="1">IF(ABS(W101-J101)&gt;SnapshotTolerance,1,0)</f>
        <v>0</v>
      </c>
      <c r="AK101" s="278">
        <f ca="1">IF(ABS(X101-K101)&gt;SnapshotTolerance,1,0)</f>
        <v>0</v>
      </c>
      <c r="AL101" s="278">
        <f ca="1">IF(ABS(Y101-L101)&gt;SnapshotTolerance,1,0)</f>
        <v>0</v>
      </c>
      <c r="AM101" s="279">
        <f ca="1">IF(ABS(Z101-M101)&gt;SnapshotTolerance,1,0)</f>
        <v>0</v>
      </c>
    </row>
    <row r="102" spans="2:39">
      <c r="B102" s="282" t="str">
        <f>'GBP Swap PVs'!AG40</f>
        <v>20Y</v>
      </c>
      <c r="C102" s="278">
        <f ca="1">'GBP Swap PVs'!AH40</f>
        <v>817694.6631231932</v>
      </c>
      <c r="D102" s="278">
        <f ca="1">'GBP Swap PVs'!AI40</f>
        <v>654155.73049855453</v>
      </c>
      <c r="E102" s="278">
        <f ca="1">'GBP Swap PVs'!AJ40</f>
        <v>490616.79787391546</v>
      </c>
      <c r="F102" s="278">
        <f ca="1">'GBP Swap PVs'!AK40</f>
        <v>327077.86524927721</v>
      </c>
      <c r="G102" s="278">
        <f ca="1">'GBP Swap PVs'!AL40</f>
        <v>163538.93262463863</v>
      </c>
      <c r="H102" s="278">
        <f ca="1">'GBP Swap PVs'!AM40</f>
        <v>0</v>
      </c>
      <c r="I102" s="278">
        <f ca="1">'GBP Swap PVs'!AN40</f>
        <v>-163538.93262463858</v>
      </c>
      <c r="J102" s="278">
        <f ca="1">'GBP Swap PVs'!AO40</f>
        <v>-327077.86524927715</v>
      </c>
      <c r="K102" s="278">
        <f ca="1">'GBP Swap PVs'!AP40</f>
        <v>-490616.79787391576</v>
      </c>
      <c r="L102" s="278">
        <f ca="1">'GBP Swap PVs'!AQ40</f>
        <v>-654155.7304985543</v>
      </c>
      <c r="M102" s="279">
        <f ca="1">'GBP Swap PVs'!AR40</f>
        <v>-817694.66312319296</v>
      </c>
      <c r="O102" s="282" t="s">
        <v>20</v>
      </c>
      <c r="P102" s="278">
        <v>817694.6631231932</v>
      </c>
      <c r="Q102" s="278">
        <v>654155.73049855453</v>
      </c>
      <c r="R102" s="278">
        <v>490616.79787391546</v>
      </c>
      <c r="S102" s="278">
        <v>327077.86524927721</v>
      </c>
      <c r="T102" s="278">
        <v>163538.93262463863</v>
      </c>
      <c r="U102" s="278">
        <v>0</v>
      </c>
      <c r="V102" s="278">
        <v>-163538.93262463858</v>
      </c>
      <c r="W102" s="278">
        <v>-327077.86524927715</v>
      </c>
      <c r="X102" s="278">
        <v>-490616.79787391576</v>
      </c>
      <c r="Y102" s="278">
        <v>-654155.7304985543</v>
      </c>
      <c r="Z102" s="279">
        <v>-817694.66312319296</v>
      </c>
      <c r="AB102" s="282" t="str">
        <f t="shared" si="7"/>
        <v>20Y</v>
      </c>
      <c r="AC102" s="278">
        <f ca="1">IF(ABS(P102-C102)&gt;SnapshotTolerance,1,0)</f>
        <v>0</v>
      </c>
      <c r="AD102" s="278">
        <f ca="1">IF(ABS(Q102-D102)&gt;SnapshotTolerance,1,0)</f>
        <v>0</v>
      </c>
      <c r="AE102" s="278">
        <f ca="1">IF(ABS(R102-E102)&gt;SnapshotTolerance,1,0)</f>
        <v>0</v>
      </c>
      <c r="AF102" s="278">
        <f ca="1">IF(ABS(S102-F102)&gt;SnapshotTolerance,1,0)</f>
        <v>0</v>
      </c>
      <c r="AG102" s="278">
        <f ca="1">IF(ABS(T102-G102)&gt;SnapshotTolerance,1,0)</f>
        <v>0</v>
      </c>
      <c r="AH102" s="278">
        <f ca="1">IF(ABS(U102-H102)&gt;SnapshotTolerance,1,0)</f>
        <v>0</v>
      </c>
      <c r="AI102" s="278">
        <f ca="1">IF(ABS(V102-I102)&gt;SnapshotTolerance,1,0)</f>
        <v>0</v>
      </c>
      <c r="AJ102" s="278">
        <f ca="1">IF(ABS(W102-J102)&gt;SnapshotTolerance,1,0)</f>
        <v>0</v>
      </c>
      <c r="AK102" s="278">
        <f ca="1">IF(ABS(X102-K102)&gt;SnapshotTolerance,1,0)</f>
        <v>0</v>
      </c>
      <c r="AL102" s="278">
        <f ca="1">IF(ABS(Y102-L102)&gt;SnapshotTolerance,1,0)</f>
        <v>0</v>
      </c>
      <c r="AM102" s="279">
        <f ca="1">IF(ABS(Z102-M102)&gt;SnapshotTolerance,1,0)</f>
        <v>0</v>
      </c>
    </row>
    <row r="103" spans="2:39">
      <c r="B103" s="282" t="str">
        <f>'GBP Swap PVs'!AG41</f>
        <v>25Y</v>
      </c>
      <c r="C103" s="278">
        <f ca="1">'GBP Swap PVs'!AH41</f>
        <v>964946.47158325429</v>
      </c>
      <c r="D103" s="278">
        <f ca="1">'GBP Swap PVs'!AI41</f>
        <v>771957.17726660299</v>
      </c>
      <c r="E103" s="278">
        <f ca="1">'GBP Swap PVs'!AJ41</f>
        <v>578967.8829499518</v>
      </c>
      <c r="F103" s="278">
        <f ca="1">'GBP Swap PVs'!AK41</f>
        <v>385978.58863330149</v>
      </c>
      <c r="G103" s="278">
        <f ca="1">'GBP Swap PVs'!AL41</f>
        <v>192989.2943166508</v>
      </c>
      <c r="H103" s="278">
        <f ca="1">'GBP Swap PVs'!AM41</f>
        <v>-5.5511151231257827E-11</v>
      </c>
      <c r="I103" s="278">
        <f ca="1">'GBP Swap PVs'!AN41</f>
        <v>-192989.29431665089</v>
      </c>
      <c r="J103" s="278">
        <f ca="1">'GBP Swap PVs'!AO41</f>
        <v>-385978.58863330167</v>
      </c>
      <c r="K103" s="278">
        <f ca="1">'GBP Swap PVs'!AP41</f>
        <v>-578967.8829499525</v>
      </c>
      <c r="L103" s="278">
        <f ca="1">'GBP Swap PVs'!AQ41</f>
        <v>-771957.17726660322</v>
      </c>
      <c r="M103" s="279">
        <f ca="1">'GBP Swap PVs'!AR41</f>
        <v>-964946.47158325405</v>
      </c>
      <c r="O103" s="282" t="s">
        <v>18</v>
      </c>
      <c r="P103" s="278">
        <v>964946.47158325429</v>
      </c>
      <c r="Q103" s="278">
        <v>771957.17726660299</v>
      </c>
      <c r="R103" s="278">
        <v>578967.8829499518</v>
      </c>
      <c r="S103" s="278">
        <v>385978.58863330149</v>
      </c>
      <c r="T103" s="278">
        <v>192989.2943166508</v>
      </c>
      <c r="U103" s="278">
        <v>-5.5511151231257827E-11</v>
      </c>
      <c r="V103" s="278">
        <v>-192989.29431665089</v>
      </c>
      <c r="W103" s="278">
        <v>-385978.58863330167</v>
      </c>
      <c r="X103" s="278">
        <v>-578967.8829499525</v>
      </c>
      <c r="Y103" s="278">
        <v>-771957.17726660322</v>
      </c>
      <c r="Z103" s="279">
        <v>-964946.47158325405</v>
      </c>
      <c r="AB103" s="282" t="str">
        <f t="shared" si="7"/>
        <v>25Y</v>
      </c>
      <c r="AC103" s="278">
        <f ca="1">IF(ABS(P103-C103)&gt;SnapshotTolerance,1,0)</f>
        <v>0</v>
      </c>
      <c r="AD103" s="278">
        <f ca="1">IF(ABS(Q103-D103)&gt;SnapshotTolerance,1,0)</f>
        <v>0</v>
      </c>
      <c r="AE103" s="278">
        <f ca="1">IF(ABS(R103-E103)&gt;SnapshotTolerance,1,0)</f>
        <v>0</v>
      </c>
      <c r="AF103" s="278">
        <f ca="1">IF(ABS(S103-F103)&gt;SnapshotTolerance,1,0)</f>
        <v>0</v>
      </c>
      <c r="AG103" s="278">
        <f ca="1">IF(ABS(T103-G103)&gt;SnapshotTolerance,1,0)</f>
        <v>0</v>
      </c>
      <c r="AH103" s="278">
        <f ca="1">IF(ABS(U103-H103)&gt;SnapshotTolerance,1,0)</f>
        <v>0</v>
      </c>
      <c r="AI103" s="278">
        <f ca="1">IF(ABS(V103-I103)&gt;SnapshotTolerance,1,0)</f>
        <v>0</v>
      </c>
      <c r="AJ103" s="278">
        <f ca="1">IF(ABS(W103-J103)&gt;SnapshotTolerance,1,0)</f>
        <v>0</v>
      </c>
      <c r="AK103" s="278">
        <f ca="1">IF(ABS(X103-K103)&gt;SnapshotTolerance,1,0)</f>
        <v>0</v>
      </c>
      <c r="AL103" s="278">
        <f ca="1">IF(ABS(Y103-L103)&gt;SnapshotTolerance,1,0)</f>
        <v>0</v>
      </c>
      <c r="AM103" s="279">
        <f ca="1">IF(ABS(Z103-M103)&gt;SnapshotTolerance,1,0)</f>
        <v>0</v>
      </c>
    </row>
    <row r="104" spans="2:39">
      <c r="B104" s="282" t="str">
        <f>'GBP Swap PVs'!AG42</f>
        <v>30Y</v>
      </c>
      <c r="C104" s="278">
        <f ca="1">'GBP Swap PVs'!AH42</f>
        <v>1095875.5704726891</v>
      </c>
      <c r="D104" s="278">
        <f ca="1">'GBP Swap PVs'!AI42</f>
        <v>876700.45637815085</v>
      </c>
      <c r="E104" s="278">
        <f ca="1">'GBP Swap PVs'!AJ42</f>
        <v>657525.34228361223</v>
      </c>
      <c r="F104" s="278">
        <f ca="1">'GBP Swap PVs'!AK42</f>
        <v>438350.22818907531</v>
      </c>
      <c r="G104" s="278">
        <f ca="1">'GBP Swap PVs'!AL42</f>
        <v>219175.1140945376</v>
      </c>
      <c r="H104" s="278">
        <f ca="1">'GBP Swap PVs'!AM42</f>
        <v>0</v>
      </c>
      <c r="I104" s="278">
        <f ca="1">'GBP Swap PVs'!AN42</f>
        <v>-219175.11409453783</v>
      </c>
      <c r="J104" s="278">
        <f ca="1">'GBP Swap PVs'!AO42</f>
        <v>-438350.22818907548</v>
      </c>
      <c r="K104" s="278">
        <f ca="1">'GBP Swap PVs'!AP42</f>
        <v>-657525.34228361328</v>
      </c>
      <c r="L104" s="278">
        <f ca="1">'GBP Swap PVs'!AQ42</f>
        <v>-876700.45637815096</v>
      </c>
      <c r="M104" s="279">
        <f ca="1">'GBP Swap PVs'!AR42</f>
        <v>-1095875.5704726886</v>
      </c>
      <c r="O104" s="282" t="s">
        <v>17</v>
      </c>
      <c r="P104" s="278">
        <v>1095875.5704726891</v>
      </c>
      <c r="Q104" s="278">
        <v>876700.45637815085</v>
      </c>
      <c r="R104" s="278">
        <v>657525.34228361223</v>
      </c>
      <c r="S104" s="278">
        <v>438350.22818907531</v>
      </c>
      <c r="T104" s="278">
        <v>219175.1140945376</v>
      </c>
      <c r="U104" s="278">
        <v>0</v>
      </c>
      <c r="V104" s="278">
        <v>-219175.11409453783</v>
      </c>
      <c r="W104" s="278">
        <v>-438350.22818907548</v>
      </c>
      <c r="X104" s="278">
        <v>-657525.34228361328</v>
      </c>
      <c r="Y104" s="278">
        <v>-876700.45637815096</v>
      </c>
      <c r="Z104" s="279">
        <v>-1095875.5704726886</v>
      </c>
      <c r="AB104" s="282" t="str">
        <f t="shared" si="7"/>
        <v>30Y</v>
      </c>
      <c r="AC104" s="278">
        <f ca="1">IF(ABS(P104-C104)&gt;SnapshotTolerance,1,0)</f>
        <v>0</v>
      </c>
      <c r="AD104" s="278">
        <f ca="1">IF(ABS(Q104-D104)&gt;SnapshotTolerance,1,0)</f>
        <v>0</v>
      </c>
      <c r="AE104" s="278">
        <f ca="1">IF(ABS(R104-E104)&gt;SnapshotTolerance,1,0)</f>
        <v>0</v>
      </c>
      <c r="AF104" s="278">
        <f ca="1">IF(ABS(S104-F104)&gt;SnapshotTolerance,1,0)</f>
        <v>0</v>
      </c>
      <c r="AG104" s="278">
        <f ca="1">IF(ABS(T104-G104)&gt;SnapshotTolerance,1,0)</f>
        <v>0</v>
      </c>
      <c r="AH104" s="278">
        <f ca="1">IF(ABS(U104-H104)&gt;SnapshotTolerance,1,0)</f>
        <v>0</v>
      </c>
      <c r="AI104" s="278">
        <f ca="1">IF(ABS(V104-I104)&gt;SnapshotTolerance,1,0)</f>
        <v>0</v>
      </c>
      <c r="AJ104" s="278">
        <f ca="1">IF(ABS(W104-J104)&gt;SnapshotTolerance,1,0)</f>
        <v>0</v>
      </c>
      <c r="AK104" s="278">
        <f ca="1">IF(ABS(X104-K104)&gt;SnapshotTolerance,1,0)</f>
        <v>0</v>
      </c>
      <c r="AL104" s="278">
        <f ca="1">IF(ABS(Y104-L104)&gt;SnapshotTolerance,1,0)</f>
        <v>0</v>
      </c>
      <c r="AM104" s="279">
        <f ca="1">IF(ABS(Z104-M104)&gt;SnapshotTolerance,1,0)</f>
        <v>0</v>
      </c>
    </row>
    <row r="105" spans="2:39">
      <c r="B105" s="282" t="str">
        <f>'GBP Swap PVs'!AG43</f>
        <v>40Y</v>
      </c>
      <c r="C105" s="278">
        <f ca="1">'GBP Swap PVs'!AH43</f>
        <v>1318174.9079456271</v>
      </c>
      <c r="D105" s="278">
        <f ca="1">'GBP Swap PVs'!AI43</f>
        <v>1054539.9263565014</v>
      </c>
      <c r="E105" s="278">
        <f ca="1">'GBP Swap PVs'!AJ43</f>
        <v>790904.94476737524</v>
      </c>
      <c r="F105" s="278">
        <f ca="1">'GBP Swap PVs'!AK43</f>
        <v>527269.96317825071</v>
      </c>
      <c r="G105" s="278">
        <f ca="1">'GBP Swap PVs'!AL43</f>
        <v>263634.98158912512</v>
      </c>
      <c r="H105" s="278">
        <f ca="1">'GBP Swap PVs'!AM43</f>
        <v>0</v>
      </c>
      <c r="I105" s="278">
        <f ca="1">'GBP Swap PVs'!AN43</f>
        <v>-263634.98158912588</v>
      </c>
      <c r="J105" s="278">
        <f ca="1">'GBP Swap PVs'!AO43</f>
        <v>-527269.96317825117</v>
      </c>
      <c r="K105" s="278">
        <f ca="1">'GBP Swap PVs'!AP43</f>
        <v>-790904.94476737664</v>
      </c>
      <c r="L105" s="278">
        <f ca="1">'GBP Swap PVs'!AQ43</f>
        <v>-1054539.9263565021</v>
      </c>
      <c r="M105" s="279">
        <f ca="1">'GBP Swap PVs'!AR43</f>
        <v>-1318174.9079456273</v>
      </c>
      <c r="O105" s="282" t="s">
        <v>15</v>
      </c>
      <c r="P105" s="278">
        <v>1318174.9079456271</v>
      </c>
      <c r="Q105" s="278">
        <v>1054539.9263565014</v>
      </c>
      <c r="R105" s="278">
        <v>790904.94476737524</v>
      </c>
      <c r="S105" s="278">
        <v>527269.96317825071</v>
      </c>
      <c r="T105" s="278">
        <v>263634.98158912512</v>
      </c>
      <c r="U105" s="278">
        <v>0</v>
      </c>
      <c r="V105" s="278">
        <v>-263634.98158912588</v>
      </c>
      <c r="W105" s="278">
        <v>-527269.96317825117</v>
      </c>
      <c r="X105" s="278">
        <v>-790904.94476737664</v>
      </c>
      <c r="Y105" s="278">
        <v>-1054539.9263565021</v>
      </c>
      <c r="Z105" s="279">
        <v>-1318174.9079456273</v>
      </c>
      <c r="AB105" s="282" t="str">
        <f t="shared" si="7"/>
        <v>40Y</v>
      </c>
      <c r="AC105" s="278">
        <f ca="1">IF(ABS(P105-C105)&gt;SnapshotTolerance,1,0)</f>
        <v>0</v>
      </c>
      <c r="AD105" s="278">
        <f ca="1">IF(ABS(Q105-D105)&gt;SnapshotTolerance,1,0)</f>
        <v>0</v>
      </c>
      <c r="AE105" s="278">
        <f ca="1">IF(ABS(R105-E105)&gt;SnapshotTolerance,1,0)</f>
        <v>0</v>
      </c>
      <c r="AF105" s="278">
        <f ca="1">IF(ABS(S105-F105)&gt;SnapshotTolerance,1,0)</f>
        <v>0</v>
      </c>
      <c r="AG105" s="278">
        <f ca="1">IF(ABS(T105-G105)&gt;SnapshotTolerance,1,0)</f>
        <v>0</v>
      </c>
      <c r="AH105" s="278">
        <f ca="1">IF(ABS(U105-H105)&gt;SnapshotTolerance,1,0)</f>
        <v>0</v>
      </c>
      <c r="AI105" s="278">
        <f ca="1">IF(ABS(V105-I105)&gt;SnapshotTolerance,1,0)</f>
        <v>0</v>
      </c>
      <c r="AJ105" s="278">
        <f ca="1">IF(ABS(W105-J105)&gt;SnapshotTolerance,1,0)</f>
        <v>0</v>
      </c>
      <c r="AK105" s="278">
        <f ca="1">IF(ABS(X105-K105)&gt;SnapshotTolerance,1,0)</f>
        <v>0</v>
      </c>
      <c r="AL105" s="278">
        <f ca="1">IF(ABS(Y105-L105)&gt;SnapshotTolerance,1,0)</f>
        <v>0</v>
      </c>
      <c r="AM105" s="279">
        <f ca="1">IF(ABS(Z105-M105)&gt;SnapshotTolerance,1,0)</f>
        <v>0</v>
      </c>
    </row>
    <row r="106" spans="2:39">
      <c r="B106" s="282" t="str">
        <f>'GBP Swap PVs'!AG44</f>
        <v>50Y</v>
      </c>
      <c r="C106" s="278">
        <f ca="1">'GBP Swap PVs'!AH44</f>
        <v>1498623.2347463325</v>
      </c>
      <c r="D106" s="278">
        <f ca="1">'GBP Swap PVs'!AI44</f>
        <v>1198898.5877970646</v>
      </c>
      <c r="E106" s="278">
        <f ca="1">'GBP Swap PVs'!AJ44</f>
        <v>899173.94084779778</v>
      </c>
      <c r="F106" s="278">
        <f ca="1">'GBP Swap PVs'!AK44</f>
        <v>599449.29389853217</v>
      </c>
      <c r="G106" s="278">
        <f ca="1">'GBP Swap PVs'!AL44</f>
        <v>299724.64694926614</v>
      </c>
      <c r="H106" s="278">
        <f ca="1">'GBP Swap PVs'!AM44</f>
        <v>0</v>
      </c>
      <c r="I106" s="278">
        <f ca="1">'GBP Swap PVs'!AN44</f>
        <v>-299724.64694926643</v>
      </c>
      <c r="J106" s="278">
        <f ca="1">'GBP Swap PVs'!AO44</f>
        <v>-599449.29389853252</v>
      </c>
      <c r="K106" s="278">
        <f ca="1">'GBP Swap PVs'!AP44</f>
        <v>-899173.94084779872</v>
      </c>
      <c r="L106" s="278">
        <f ca="1">'GBP Swap PVs'!AQ44</f>
        <v>-1198898.5877970648</v>
      </c>
      <c r="M106" s="279">
        <f ca="1">'GBP Swap PVs'!AR44</f>
        <v>-1498623.2347463311</v>
      </c>
      <c r="O106" s="282" t="s">
        <v>14</v>
      </c>
      <c r="P106" s="278">
        <v>1498623.2347463325</v>
      </c>
      <c r="Q106" s="278">
        <v>1198898.5877970646</v>
      </c>
      <c r="R106" s="278">
        <v>899173.94084779778</v>
      </c>
      <c r="S106" s="278">
        <v>599449.29389853217</v>
      </c>
      <c r="T106" s="278">
        <v>299724.64694926614</v>
      </c>
      <c r="U106" s="278">
        <v>0</v>
      </c>
      <c r="V106" s="278">
        <v>-299724.64694926643</v>
      </c>
      <c r="W106" s="278">
        <v>-599449.29389853252</v>
      </c>
      <c r="X106" s="278">
        <v>-899173.94084779872</v>
      </c>
      <c r="Y106" s="278">
        <v>-1198898.5877970648</v>
      </c>
      <c r="Z106" s="279">
        <v>-1498623.2347463311</v>
      </c>
      <c r="AB106" s="282" t="str">
        <f t="shared" si="7"/>
        <v>50Y</v>
      </c>
      <c r="AC106" s="278">
        <f ca="1">IF(ABS(P106-C106)&gt;SnapshotTolerance,1,0)</f>
        <v>0</v>
      </c>
      <c r="AD106" s="278">
        <f ca="1">IF(ABS(Q106-D106)&gt;SnapshotTolerance,1,0)</f>
        <v>0</v>
      </c>
      <c r="AE106" s="278">
        <f ca="1">IF(ABS(R106-E106)&gt;SnapshotTolerance,1,0)</f>
        <v>0</v>
      </c>
      <c r="AF106" s="278">
        <f ca="1">IF(ABS(S106-F106)&gt;SnapshotTolerance,1,0)</f>
        <v>0</v>
      </c>
      <c r="AG106" s="278">
        <f ca="1">IF(ABS(T106-G106)&gt;SnapshotTolerance,1,0)</f>
        <v>0</v>
      </c>
      <c r="AH106" s="278">
        <f ca="1">IF(ABS(U106-H106)&gt;SnapshotTolerance,1,0)</f>
        <v>0</v>
      </c>
      <c r="AI106" s="278">
        <f ca="1">IF(ABS(V106-I106)&gt;SnapshotTolerance,1,0)</f>
        <v>0</v>
      </c>
      <c r="AJ106" s="278">
        <f ca="1">IF(ABS(W106-J106)&gt;SnapshotTolerance,1,0)</f>
        <v>0</v>
      </c>
      <c r="AK106" s="278">
        <f ca="1">IF(ABS(X106-K106)&gt;SnapshotTolerance,1,0)</f>
        <v>0</v>
      </c>
      <c r="AL106" s="278">
        <f ca="1">IF(ABS(Y106-L106)&gt;SnapshotTolerance,1,0)</f>
        <v>0</v>
      </c>
      <c r="AM106" s="279">
        <f ca="1">IF(ABS(Z106-M106)&gt;SnapshotTolerance,1,0)</f>
        <v>0</v>
      </c>
    </row>
    <row r="107" spans="2:39">
      <c r="B107" s="282"/>
      <c r="C107" s="278"/>
      <c r="D107" s="278"/>
      <c r="E107" s="278"/>
      <c r="F107" s="278"/>
      <c r="G107" s="278"/>
      <c r="H107" s="278"/>
      <c r="I107" s="278"/>
      <c r="J107" s="278"/>
      <c r="K107" s="278"/>
      <c r="L107" s="278"/>
      <c r="M107" s="279"/>
      <c r="O107" s="282"/>
      <c r="P107" s="278"/>
      <c r="Q107" s="278"/>
      <c r="R107" s="278"/>
      <c r="S107" s="278"/>
      <c r="T107" s="278"/>
      <c r="U107" s="278"/>
      <c r="V107" s="278"/>
      <c r="W107" s="278"/>
      <c r="X107" s="278"/>
      <c r="Y107" s="278"/>
      <c r="Z107" s="279"/>
      <c r="AB107" s="282"/>
      <c r="AC107" s="278"/>
      <c r="AD107" s="278"/>
      <c r="AE107" s="278"/>
      <c r="AF107" s="278"/>
      <c r="AG107" s="278"/>
      <c r="AH107" s="278"/>
      <c r="AI107" s="278"/>
      <c r="AJ107" s="278"/>
      <c r="AK107" s="278"/>
      <c r="AL107" s="278"/>
      <c r="AM107" s="279"/>
    </row>
    <row r="108" spans="2:39">
      <c r="B108" s="282"/>
      <c r="C108" s="278"/>
      <c r="D108" s="278"/>
      <c r="E108" s="278"/>
      <c r="F108" s="278"/>
      <c r="G108" s="278"/>
      <c r="H108" s="278"/>
      <c r="I108" s="278"/>
      <c r="J108" s="278"/>
      <c r="K108" s="278"/>
      <c r="L108" s="278"/>
      <c r="M108" s="279"/>
      <c r="O108" s="282"/>
      <c r="P108" s="278"/>
      <c r="Q108" s="278"/>
      <c r="R108" s="278"/>
      <c r="S108" s="278"/>
      <c r="T108" s="278"/>
      <c r="U108" s="278"/>
      <c r="V108" s="278"/>
      <c r="W108" s="278"/>
      <c r="X108" s="278"/>
      <c r="Y108" s="278"/>
      <c r="Z108" s="279"/>
      <c r="AB108" s="282"/>
      <c r="AC108" s="278"/>
      <c r="AD108" s="278"/>
      <c r="AE108" s="278"/>
      <c r="AF108" s="278"/>
      <c r="AG108" s="278"/>
      <c r="AH108" s="278"/>
      <c r="AI108" s="278"/>
      <c r="AJ108" s="278"/>
      <c r="AK108" s="278"/>
      <c r="AL108" s="278"/>
      <c r="AM108" s="279"/>
    </row>
    <row r="109" spans="2:39">
      <c r="B109" s="283"/>
      <c r="C109" s="280"/>
      <c r="D109" s="280"/>
      <c r="E109" s="280"/>
      <c r="F109" s="280"/>
      <c r="G109" s="280"/>
      <c r="H109" s="280"/>
      <c r="I109" s="280"/>
      <c r="J109" s="280"/>
      <c r="K109" s="280"/>
      <c r="L109" s="280"/>
      <c r="M109" s="281"/>
      <c r="O109" s="283"/>
      <c r="P109" s="280"/>
      <c r="Q109" s="280"/>
      <c r="R109" s="280"/>
      <c r="S109" s="280"/>
      <c r="T109" s="280"/>
      <c r="U109" s="280"/>
      <c r="V109" s="280"/>
      <c r="W109" s="280"/>
      <c r="X109" s="280"/>
      <c r="Y109" s="280"/>
      <c r="Z109" s="281"/>
      <c r="AB109" s="283"/>
      <c r="AC109" s="280"/>
      <c r="AD109" s="280"/>
      <c r="AE109" s="280"/>
      <c r="AF109" s="280"/>
      <c r="AG109" s="280"/>
      <c r="AH109" s="280"/>
      <c r="AI109" s="280"/>
      <c r="AJ109" s="280"/>
      <c r="AK109" s="280"/>
      <c r="AL109" s="280"/>
      <c r="AM109" s="281"/>
    </row>
    <row r="112" spans="2:39">
      <c r="B112" t="s">
        <v>533</v>
      </c>
      <c r="E112" t="s">
        <v>472</v>
      </c>
    </row>
    <row r="113" spans="2:39">
      <c r="B113" t="s">
        <v>528</v>
      </c>
      <c r="E113" s="252">
        <f ca="1">SUM(AC118:AM136)</f>
        <v>0</v>
      </c>
    </row>
    <row r="114" spans="2:39">
      <c r="B114" t="s">
        <v>529</v>
      </c>
    </row>
    <row r="116" spans="2:39">
      <c r="B116" t="s">
        <v>510</v>
      </c>
      <c r="O116" t="s">
        <v>470</v>
      </c>
      <c r="AB116" t="s">
        <v>511</v>
      </c>
    </row>
    <row r="117" spans="2:39">
      <c r="B117" s="254" t="str">
        <f>'GBP Swap PVs'!M51</f>
        <v>Term</v>
      </c>
      <c r="C117" s="276">
        <f>'GBP Swap PVs'!N51</f>
        <v>-0.05</v>
      </c>
      <c r="D117" s="276">
        <f>'GBP Swap PVs'!O51</f>
        <v>-0.04</v>
      </c>
      <c r="E117" s="276">
        <f>'GBP Swap PVs'!P51</f>
        <v>-0.03</v>
      </c>
      <c r="F117" s="276">
        <f>'GBP Swap PVs'!Q51</f>
        <v>-1.9999999999999997E-2</v>
      </c>
      <c r="G117" s="276">
        <f>'GBP Swap PVs'!R51</f>
        <v>-9.9999999999999967E-3</v>
      </c>
      <c r="H117" s="276">
        <f>'GBP Swap PVs'!S51</f>
        <v>0</v>
      </c>
      <c r="I117" s="276">
        <f>'GBP Swap PVs'!T51</f>
        <v>0.01</v>
      </c>
      <c r="J117" s="276">
        <f>'GBP Swap PVs'!U51</f>
        <v>0.02</v>
      </c>
      <c r="K117" s="276">
        <f>'GBP Swap PVs'!V51</f>
        <v>0.03</v>
      </c>
      <c r="L117" s="276">
        <f>'GBP Swap PVs'!W51</f>
        <v>0.04</v>
      </c>
      <c r="M117" s="277">
        <f>'GBP Swap PVs'!X51</f>
        <v>0.05</v>
      </c>
      <c r="O117" s="254" t="s">
        <v>76</v>
      </c>
      <c r="P117" s="276">
        <v>-0.05</v>
      </c>
      <c r="Q117" s="276">
        <v>-0.04</v>
      </c>
      <c r="R117" s="276">
        <v>-0.03</v>
      </c>
      <c r="S117" s="276">
        <v>-1.9999999999999997E-2</v>
      </c>
      <c r="T117" s="276">
        <v>-9.9999999999999967E-3</v>
      </c>
      <c r="U117" s="276">
        <v>0</v>
      </c>
      <c r="V117" s="276">
        <v>0.01</v>
      </c>
      <c r="W117" s="276">
        <v>0.02</v>
      </c>
      <c r="X117" s="276">
        <v>0.03</v>
      </c>
      <c r="Y117" s="276">
        <v>0.04</v>
      </c>
      <c r="Z117" s="277">
        <v>0.05</v>
      </c>
      <c r="AB117" s="254" t="str">
        <f>O117</f>
        <v>Term</v>
      </c>
      <c r="AC117" s="276">
        <f>P117</f>
        <v>-0.05</v>
      </c>
      <c r="AD117" s="276">
        <f t="shared" ref="AD117:AM117" si="8">Q117</f>
        <v>-0.04</v>
      </c>
      <c r="AE117" s="276">
        <f t="shared" si="8"/>
        <v>-0.03</v>
      </c>
      <c r="AF117" s="276">
        <f t="shared" si="8"/>
        <v>-1.9999999999999997E-2</v>
      </c>
      <c r="AG117" s="276">
        <f t="shared" si="8"/>
        <v>-9.9999999999999967E-3</v>
      </c>
      <c r="AH117" s="276">
        <f t="shared" si="8"/>
        <v>0</v>
      </c>
      <c r="AI117" s="276">
        <f t="shared" si="8"/>
        <v>0.01</v>
      </c>
      <c r="AJ117" s="276">
        <f t="shared" si="8"/>
        <v>0.02</v>
      </c>
      <c r="AK117" s="276">
        <f t="shared" si="8"/>
        <v>0.03</v>
      </c>
      <c r="AL117" s="276">
        <f t="shared" si="8"/>
        <v>0.04</v>
      </c>
      <c r="AM117" s="277">
        <f t="shared" si="8"/>
        <v>0.05</v>
      </c>
    </row>
    <row r="118" spans="2:39">
      <c r="B118" s="282" t="str">
        <f>'GBP Swap PVs'!M52</f>
        <v>2Y</v>
      </c>
      <c r="C118" s="278">
        <f ca="1">'GBP Swap PVs'!N52</f>
        <v>-98985.127372311268</v>
      </c>
      <c r="D118" s="278">
        <f ca="1">'GBP Swap PVs'!O52</f>
        <v>-79188.101897849003</v>
      </c>
      <c r="E118" s="278">
        <f ca="1">'GBP Swap PVs'!P52</f>
        <v>-59391.076423386752</v>
      </c>
      <c r="F118" s="278">
        <f ca="1">'GBP Swap PVs'!Q52</f>
        <v>-39594.050948924501</v>
      </c>
      <c r="G118" s="278">
        <f ca="1">'GBP Swap PVs'!R52</f>
        <v>-19797.025474462243</v>
      </c>
      <c r="H118" s="278">
        <f ca="1">'GBP Swap PVs'!S52</f>
        <v>0</v>
      </c>
      <c r="I118" s="278">
        <f ca="1">'GBP Swap PVs'!T52</f>
        <v>19797.025474462251</v>
      </c>
      <c r="J118" s="278">
        <f ca="1">'GBP Swap PVs'!U52</f>
        <v>39594.050948924501</v>
      </c>
      <c r="K118" s="278">
        <f ca="1">'GBP Swap PVs'!V52</f>
        <v>59391.076423386752</v>
      </c>
      <c r="L118" s="278">
        <f ca="1">'GBP Swap PVs'!W52</f>
        <v>79188.101897849003</v>
      </c>
      <c r="M118" s="279">
        <f ca="1">'GBP Swap PVs'!X52</f>
        <v>98985.127372311239</v>
      </c>
      <c r="O118" s="282" t="s">
        <v>42</v>
      </c>
      <c r="P118" s="278">
        <v>-98985.127372311268</v>
      </c>
      <c r="Q118" s="278">
        <v>-79188.101897849003</v>
      </c>
      <c r="R118" s="278">
        <v>-59391.076423386752</v>
      </c>
      <c r="S118" s="278">
        <v>-39594.050948924501</v>
      </c>
      <c r="T118" s="278">
        <v>-19797.025474462243</v>
      </c>
      <c r="U118" s="278">
        <v>0</v>
      </c>
      <c r="V118" s="278">
        <v>19797.025474462251</v>
      </c>
      <c r="W118" s="278">
        <v>39594.050948924501</v>
      </c>
      <c r="X118" s="278">
        <v>59391.076423386752</v>
      </c>
      <c r="Y118" s="278">
        <v>79188.101897849003</v>
      </c>
      <c r="Z118" s="279">
        <v>98985.127372311239</v>
      </c>
      <c r="AB118" s="282" t="str">
        <f t="shared" ref="AB118:AB136" si="9">O118</f>
        <v>2Y</v>
      </c>
      <c r="AC118" s="278">
        <f ca="1">IF(ABS(P118-C118)&gt;SnapshotTolerance,1,0)</f>
        <v>0</v>
      </c>
      <c r="AD118" s="278">
        <f ca="1">IF(ABS(Q118-D118)&gt;SnapshotTolerance,1,0)</f>
        <v>0</v>
      </c>
      <c r="AE118" s="278">
        <f ca="1">IF(ABS(R118-E118)&gt;SnapshotTolerance,1,0)</f>
        <v>0</v>
      </c>
      <c r="AF118" s="278">
        <f ca="1">IF(ABS(S118-F118)&gt;SnapshotTolerance,1,0)</f>
        <v>0</v>
      </c>
      <c r="AG118" s="278">
        <f ca="1">IF(ABS(T118-G118)&gt;SnapshotTolerance,1,0)</f>
        <v>0</v>
      </c>
      <c r="AH118" s="278">
        <f ca="1">IF(ABS(U118-H118)&gt;SnapshotTolerance,1,0)</f>
        <v>0</v>
      </c>
      <c r="AI118" s="278">
        <f ca="1">IF(ABS(V118-I118)&gt;SnapshotTolerance,1,0)</f>
        <v>0</v>
      </c>
      <c r="AJ118" s="278">
        <f ca="1">IF(ABS(W118-J118)&gt;SnapshotTolerance,1,0)</f>
        <v>0</v>
      </c>
      <c r="AK118" s="278">
        <f ca="1">IF(ABS(X118-K118)&gt;SnapshotTolerance,1,0)</f>
        <v>0</v>
      </c>
      <c r="AL118" s="278">
        <f ca="1">IF(ABS(Y118-L118)&gt;SnapshotTolerance,1,0)</f>
        <v>0</v>
      </c>
      <c r="AM118" s="279">
        <f ca="1">IF(ABS(Z118-M118)&gt;SnapshotTolerance,1,0)</f>
        <v>0</v>
      </c>
    </row>
    <row r="119" spans="2:39">
      <c r="B119" s="282" t="str">
        <f>'GBP Swap PVs'!M53</f>
        <v>3Y</v>
      </c>
      <c r="C119" s="278">
        <f ca="1">'GBP Swap PVs'!N53</f>
        <v>-147592.05976994697</v>
      </c>
      <c r="D119" s="278">
        <f ca="1">'GBP Swap PVs'!O53</f>
        <v>-118073.64781595756</v>
      </c>
      <c r="E119" s="278">
        <f ca="1">'GBP Swap PVs'!P53</f>
        <v>-88555.235861968176</v>
      </c>
      <c r="F119" s="278">
        <f ca="1">'GBP Swap PVs'!Q53</f>
        <v>-59036.823907978775</v>
      </c>
      <c r="G119" s="278">
        <f ca="1">'GBP Swap PVs'!R53</f>
        <v>-29518.411953989384</v>
      </c>
      <c r="H119" s="278">
        <f ca="1">'GBP Swap PVs'!S53</f>
        <v>0</v>
      </c>
      <c r="I119" s="278">
        <f ca="1">'GBP Swap PVs'!T53</f>
        <v>29518.411953989395</v>
      </c>
      <c r="J119" s="278">
        <f ca="1">'GBP Swap PVs'!U53</f>
        <v>59036.823907978789</v>
      </c>
      <c r="K119" s="278">
        <f ca="1">'GBP Swap PVs'!V53</f>
        <v>88555.235861968162</v>
      </c>
      <c r="L119" s="278">
        <f ca="1">'GBP Swap PVs'!W53</f>
        <v>118073.64781595756</v>
      </c>
      <c r="M119" s="279">
        <f ca="1">'GBP Swap PVs'!X53</f>
        <v>147592.05976994699</v>
      </c>
      <c r="O119" s="282" t="s">
        <v>39</v>
      </c>
      <c r="P119" s="278">
        <v>-147592.05976994697</v>
      </c>
      <c r="Q119" s="278">
        <v>-118073.64781595756</v>
      </c>
      <c r="R119" s="278">
        <v>-88555.235861968176</v>
      </c>
      <c r="S119" s="278">
        <v>-59036.823907978775</v>
      </c>
      <c r="T119" s="278">
        <v>-29518.411953989384</v>
      </c>
      <c r="U119" s="278">
        <v>0</v>
      </c>
      <c r="V119" s="278">
        <v>29518.411953989395</v>
      </c>
      <c r="W119" s="278">
        <v>59036.823907978789</v>
      </c>
      <c r="X119" s="278">
        <v>88555.235861968162</v>
      </c>
      <c r="Y119" s="278">
        <v>118073.64781595756</v>
      </c>
      <c r="Z119" s="279">
        <v>147592.05976994699</v>
      </c>
      <c r="AB119" s="282" t="str">
        <f t="shared" si="9"/>
        <v>3Y</v>
      </c>
      <c r="AC119" s="278">
        <f ca="1">IF(ABS(P119-C119)&gt;SnapshotTolerance,1,0)</f>
        <v>0</v>
      </c>
      <c r="AD119" s="278">
        <f ca="1">IF(ABS(Q119-D119)&gt;SnapshotTolerance,1,0)</f>
        <v>0</v>
      </c>
      <c r="AE119" s="278">
        <f ca="1">IF(ABS(R119-E119)&gt;SnapshotTolerance,1,0)</f>
        <v>0</v>
      </c>
      <c r="AF119" s="278">
        <f ca="1">IF(ABS(S119-F119)&gt;SnapshotTolerance,1,0)</f>
        <v>0</v>
      </c>
      <c r="AG119" s="278">
        <f ca="1">IF(ABS(T119-G119)&gt;SnapshotTolerance,1,0)</f>
        <v>0</v>
      </c>
      <c r="AH119" s="278">
        <f ca="1">IF(ABS(U119-H119)&gt;SnapshotTolerance,1,0)</f>
        <v>0</v>
      </c>
      <c r="AI119" s="278">
        <f ca="1">IF(ABS(V119-I119)&gt;SnapshotTolerance,1,0)</f>
        <v>0</v>
      </c>
      <c r="AJ119" s="278">
        <f ca="1">IF(ABS(W119-J119)&gt;SnapshotTolerance,1,0)</f>
        <v>0</v>
      </c>
      <c r="AK119" s="278">
        <f ca="1">IF(ABS(X119-K119)&gt;SnapshotTolerance,1,0)</f>
        <v>0</v>
      </c>
      <c r="AL119" s="278">
        <f ca="1">IF(ABS(Y119-L119)&gt;SnapshotTolerance,1,0)</f>
        <v>0</v>
      </c>
      <c r="AM119" s="279">
        <f ca="1">IF(ABS(Z119-M119)&gt;SnapshotTolerance,1,0)</f>
        <v>0</v>
      </c>
    </row>
    <row r="120" spans="2:39">
      <c r="B120" s="282" t="str">
        <f>'GBP Swap PVs'!M54</f>
        <v>4Y</v>
      </c>
      <c r="C120" s="278">
        <f ca="1">'GBP Swap PVs'!N54</f>
        <v>-195575.44632915634</v>
      </c>
      <c r="D120" s="278">
        <f ca="1">'GBP Swap PVs'!O54</f>
        <v>-156460.35706332506</v>
      </c>
      <c r="E120" s="278">
        <f ca="1">'GBP Swap PVs'!P54</f>
        <v>-117345.2677974938</v>
      </c>
      <c r="F120" s="278">
        <f ca="1">'GBP Swap PVs'!Q54</f>
        <v>-78230.178531662532</v>
      </c>
      <c r="G120" s="278">
        <f ca="1">'GBP Swap PVs'!R54</f>
        <v>-39115.089265831259</v>
      </c>
      <c r="H120" s="278">
        <f ca="1">'GBP Swap PVs'!S54</f>
        <v>0</v>
      </c>
      <c r="I120" s="278">
        <f ca="1">'GBP Swap PVs'!T54</f>
        <v>39115.089265831266</v>
      </c>
      <c r="J120" s="278">
        <f ca="1">'GBP Swap PVs'!U54</f>
        <v>78230.178531662517</v>
      </c>
      <c r="K120" s="278">
        <f ca="1">'GBP Swap PVs'!V54</f>
        <v>117345.26779749378</v>
      </c>
      <c r="L120" s="278">
        <f ca="1">'GBP Swap PVs'!W54</f>
        <v>156460.35706332506</v>
      </c>
      <c r="M120" s="279">
        <f ca="1">'GBP Swap PVs'!X54</f>
        <v>195575.44632915634</v>
      </c>
      <c r="O120" s="282" t="s">
        <v>35</v>
      </c>
      <c r="P120" s="278">
        <v>-195575.44632915634</v>
      </c>
      <c r="Q120" s="278">
        <v>-156460.35706332506</v>
      </c>
      <c r="R120" s="278">
        <v>-117345.2677974938</v>
      </c>
      <c r="S120" s="278">
        <v>-78230.178531662532</v>
      </c>
      <c r="T120" s="278">
        <v>-39115.089265831259</v>
      </c>
      <c r="U120" s="278">
        <v>0</v>
      </c>
      <c r="V120" s="278">
        <v>39115.089265831266</v>
      </c>
      <c r="W120" s="278">
        <v>78230.178531662517</v>
      </c>
      <c r="X120" s="278">
        <v>117345.26779749378</v>
      </c>
      <c r="Y120" s="278">
        <v>156460.35706332506</v>
      </c>
      <c r="Z120" s="279">
        <v>195575.44632915634</v>
      </c>
      <c r="AB120" s="282" t="str">
        <f t="shared" si="9"/>
        <v>4Y</v>
      </c>
      <c r="AC120" s="278">
        <f ca="1">IF(ABS(P120-C120)&gt;SnapshotTolerance,1,0)</f>
        <v>0</v>
      </c>
      <c r="AD120" s="278">
        <f ca="1">IF(ABS(Q120-D120)&gt;SnapshotTolerance,1,0)</f>
        <v>0</v>
      </c>
      <c r="AE120" s="278">
        <f ca="1">IF(ABS(R120-E120)&gt;SnapshotTolerance,1,0)</f>
        <v>0</v>
      </c>
      <c r="AF120" s="278">
        <f ca="1">IF(ABS(S120-F120)&gt;SnapshotTolerance,1,0)</f>
        <v>0</v>
      </c>
      <c r="AG120" s="278">
        <f ca="1">IF(ABS(T120-G120)&gt;SnapshotTolerance,1,0)</f>
        <v>0</v>
      </c>
      <c r="AH120" s="278">
        <f ca="1">IF(ABS(U120-H120)&gt;SnapshotTolerance,1,0)</f>
        <v>0</v>
      </c>
      <c r="AI120" s="278">
        <f ca="1">IF(ABS(V120-I120)&gt;SnapshotTolerance,1,0)</f>
        <v>0</v>
      </c>
      <c r="AJ120" s="278">
        <f ca="1">IF(ABS(W120-J120)&gt;SnapshotTolerance,1,0)</f>
        <v>0</v>
      </c>
      <c r="AK120" s="278">
        <f ca="1">IF(ABS(X120-K120)&gt;SnapshotTolerance,1,0)</f>
        <v>0</v>
      </c>
      <c r="AL120" s="278">
        <f ca="1">IF(ABS(Y120-L120)&gt;SnapshotTolerance,1,0)</f>
        <v>0</v>
      </c>
      <c r="AM120" s="279">
        <f ca="1">IF(ABS(Z120-M120)&gt;SnapshotTolerance,1,0)</f>
        <v>0</v>
      </c>
    </row>
    <row r="121" spans="2:39">
      <c r="B121" s="282" t="str">
        <f>'GBP Swap PVs'!M55</f>
        <v>5Y</v>
      </c>
      <c r="C121" s="278">
        <f ca="1">'GBP Swap PVs'!N55</f>
        <v>-242183.82059898094</v>
      </c>
      <c r="D121" s="278">
        <f ca="1">'GBP Swap PVs'!O55</f>
        <v>-193747.05647918474</v>
      </c>
      <c r="E121" s="278">
        <f ca="1">'GBP Swap PVs'!P55</f>
        <v>-145310.29235938855</v>
      </c>
      <c r="F121" s="278">
        <f ca="1">'GBP Swap PVs'!Q55</f>
        <v>-96873.528239592357</v>
      </c>
      <c r="G121" s="278">
        <f ca="1">'GBP Swap PVs'!R55</f>
        <v>-48436.764119796164</v>
      </c>
      <c r="H121" s="278">
        <f ca="1">'GBP Swap PVs'!S55</f>
        <v>0</v>
      </c>
      <c r="I121" s="278">
        <f ca="1">'GBP Swap PVs'!T55</f>
        <v>48436.764119796193</v>
      </c>
      <c r="J121" s="278">
        <f ca="1">'GBP Swap PVs'!U55</f>
        <v>96873.528239592386</v>
      </c>
      <c r="K121" s="278">
        <f ca="1">'GBP Swap PVs'!V55</f>
        <v>145310.29235938855</v>
      </c>
      <c r="L121" s="278">
        <f ca="1">'GBP Swap PVs'!W55</f>
        <v>193747.05647918477</v>
      </c>
      <c r="M121" s="279">
        <f ca="1">'GBP Swap PVs'!X55</f>
        <v>242183.82059898096</v>
      </c>
      <c r="O121" s="282" t="s">
        <v>33</v>
      </c>
      <c r="P121" s="278">
        <v>-242183.82059898094</v>
      </c>
      <c r="Q121" s="278">
        <v>-193747.05647918474</v>
      </c>
      <c r="R121" s="278">
        <v>-145310.29235938855</v>
      </c>
      <c r="S121" s="278">
        <v>-96873.528239592357</v>
      </c>
      <c r="T121" s="278">
        <v>-48436.764119796164</v>
      </c>
      <c r="U121" s="278">
        <v>0</v>
      </c>
      <c r="V121" s="278">
        <v>48436.764119796193</v>
      </c>
      <c r="W121" s="278">
        <v>96873.528239592386</v>
      </c>
      <c r="X121" s="278">
        <v>145310.29235938855</v>
      </c>
      <c r="Y121" s="278">
        <v>193747.05647918477</v>
      </c>
      <c r="Z121" s="279">
        <v>242183.82059898096</v>
      </c>
      <c r="AB121" s="282" t="str">
        <f t="shared" si="9"/>
        <v>5Y</v>
      </c>
      <c r="AC121" s="278">
        <f ca="1">IF(ABS(P121-C121)&gt;SnapshotTolerance,1,0)</f>
        <v>0</v>
      </c>
      <c r="AD121" s="278">
        <f ca="1">IF(ABS(Q121-D121)&gt;SnapshotTolerance,1,0)</f>
        <v>0</v>
      </c>
      <c r="AE121" s="278">
        <f ca="1">IF(ABS(R121-E121)&gt;SnapshotTolerance,1,0)</f>
        <v>0</v>
      </c>
      <c r="AF121" s="278">
        <f ca="1">IF(ABS(S121-F121)&gt;SnapshotTolerance,1,0)</f>
        <v>0</v>
      </c>
      <c r="AG121" s="278">
        <f ca="1">IF(ABS(T121-G121)&gt;SnapshotTolerance,1,0)</f>
        <v>0</v>
      </c>
      <c r="AH121" s="278">
        <f ca="1">IF(ABS(U121-H121)&gt;SnapshotTolerance,1,0)</f>
        <v>0</v>
      </c>
      <c r="AI121" s="278">
        <f ca="1">IF(ABS(V121-I121)&gt;SnapshotTolerance,1,0)</f>
        <v>0</v>
      </c>
      <c r="AJ121" s="278">
        <f ca="1">IF(ABS(W121-J121)&gt;SnapshotTolerance,1,0)</f>
        <v>0</v>
      </c>
      <c r="AK121" s="278">
        <f ca="1">IF(ABS(X121-K121)&gt;SnapshotTolerance,1,0)</f>
        <v>0</v>
      </c>
      <c r="AL121" s="278">
        <f ca="1">IF(ABS(Y121-L121)&gt;SnapshotTolerance,1,0)</f>
        <v>0</v>
      </c>
      <c r="AM121" s="279">
        <f ca="1">IF(ABS(Z121-M121)&gt;SnapshotTolerance,1,0)</f>
        <v>0</v>
      </c>
    </row>
    <row r="122" spans="2:39">
      <c r="B122" s="282" t="str">
        <f>'GBP Swap PVs'!M56</f>
        <v>6Y</v>
      </c>
      <c r="C122" s="278">
        <f ca="1">'GBP Swap PVs'!N56</f>
        <v>-287881.48220303055</v>
      </c>
      <c r="D122" s="278">
        <f ca="1">'GBP Swap PVs'!O56</f>
        <v>-230305.18576242443</v>
      </c>
      <c r="E122" s="278">
        <f ca="1">'GBP Swap PVs'!P56</f>
        <v>-172728.88932181828</v>
      </c>
      <c r="F122" s="278">
        <f ca="1">'GBP Swap PVs'!Q56</f>
        <v>-115152.5928812122</v>
      </c>
      <c r="G122" s="278">
        <f ca="1">'GBP Swap PVs'!R56</f>
        <v>-57576.296440606086</v>
      </c>
      <c r="H122" s="278">
        <f ca="1">'GBP Swap PVs'!S56</f>
        <v>0</v>
      </c>
      <c r="I122" s="278">
        <f ca="1">'GBP Swap PVs'!T56</f>
        <v>57576.296440606107</v>
      </c>
      <c r="J122" s="278">
        <f ca="1">'GBP Swap PVs'!U56</f>
        <v>115152.59288121221</v>
      </c>
      <c r="K122" s="278">
        <f ca="1">'GBP Swap PVs'!V56</f>
        <v>172728.88932181834</v>
      </c>
      <c r="L122" s="278">
        <f ca="1">'GBP Swap PVs'!W56</f>
        <v>230305.18576242443</v>
      </c>
      <c r="M122" s="279">
        <f ca="1">'GBP Swap PVs'!X56</f>
        <v>287881.48220303055</v>
      </c>
      <c r="O122" s="282" t="s">
        <v>131</v>
      </c>
      <c r="P122" s="278">
        <v>-287881.48220303055</v>
      </c>
      <c r="Q122" s="278">
        <v>-230305.18576242443</v>
      </c>
      <c r="R122" s="278">
        <v>-172728.88932181828</v>
      </c>
      <c r="S122" s="278">
        <v>-115152.5928812122</v>
      </c>
      <c r="T122" s="278">
        <v>-57576.296440606086</v>
      </c>
      <c r="U122" s="278">
        <v>0</v>
      </c>
      <c r="V122" s="278">
        <v>57576.296440606107</v>
      </c>
      <c r="W122" s="278">
        <v>115152.59288121221</v>
      </c>
      <c r="X122" s="278">
        <v>172728.88932181834</v>
      </c>
      <c r="Y122" s="278">
        <v>230305.18576242443</v>
      </c>
      <c r="Z122" s="279">
        <v>287881.48220303055</v>
      </c>
      <c r="AB122" s="282" t="str">
        <f t="shared" si="9"/>
        <v>6Y</v>
      </c>
      <c r="AC122" s="278">
        <f ca="1">IF(ABS(P122-C122)&gt;SnapshotTolerance,1,0)</f>
        <v>0</v>
      </c>
      <c r="AD122" s="278">
        <f ca="1">IF(ABS(Q122-D122)&gt;SnapshotTolerance,1,0)</f>
        <v>0</v>
      </c>
      <c r="AE122" s="278">
        <f ca="1">IF(ABS(R122-E122)&gt;SnapshotTolerance,1,0)</f>
        <v>0</v>
      </c>
      <c r="AF122" s="278">
        <f ca="1">IF(ABS(S122-F122)&gt;SnapshotTolerance,1,0)</f>
        <v>0</v>
      </c>
      <c r="AG122" s="278">
        <f ca="1">IF(ABS(T122-G122)&gt;SnapshotTolerance,1,0)</f>
        <v>0</v>
      </c>
      <c r="AH122" s="278">
        <f ca="1">IF(ABS(U122-H122)&gt;SnapshotTolerance,1,0)</f>
        <v>0</v>
      </c>
      <c r="AI122" s="278">
        <f ca="1">IF(ABS(V122-I122)&gt;SnapshotTolerance,1,0)</f>
        <v>0</v>
      </c>
      <c r="AJ122" s="278">
        <f ca="1">IF(ABS(W122-J122)&gt;SnapshotTolerance,1,0)</f>
        <v>0</v>
      </c>
      <c r="AK122" s="278">
        <f ca="1">IF(ABS(X122-K122)&gt;SnapshotTolerance,1,0)</f>
        <v>0</v>
      </c>
      <c r="AL122" s="278">
        <f ca="1">IF(ABS(Y122-L122)&gt;SnapshotTolerance,1,0)</f>
        <v>0</v>
      </c>
      <c r="AM122" s="279">
        <f ca="1">IF(ABS(Z122-M122)&gt;SnapshotTolerance,1,0)</f>
        <v>0</v>
      </c>
    </row>
    <row r="123" spans="2:39">
      <c r="B123" s="282" t="str">
        <f>'GBP Swap PVs'!M57</f>
        <v>7Y</v>
      </c>
      <c r="C123" s="278">
        <f ca="1">'GBP Swap PVs'!N57</f>
        <v>-332503.98096674308</v>
      </c>
      <c r="D123" s="278">
        <f ca="1">'GBP Swap PVs'!O57</f>
        <v>-266003.18477339449</v>
      </c>
      <c r="E123" s="278">
        <f ca="1">'GBP Swap PVs'!P57</f>
        <v>-199502.38858004584</v>
      </c>
      <c r="F123" s="278">
        <f ca="1">'GBP Swap PVs'!Q57</f>
        <v>-133001.59238669722</v>
      </c>
      <c r="G123" s="278">
        <f ca="1">'GBP Swap PVs'!R57</f>
        <v>-66500.796193348608</v>
      </c>
      <c r="H123" s="278">
        <f ca="1">'GBP Swap PVs'!S57</f>
        <v>0</v>
      </c>
      <c r="I123" s="278">
        <f ca="1">'GBP Swap PVs'!T57</f>
        <v>66500.796193348593</v>
      </c>
      <c r="J123" s="278">
        <f ca="1">'GBP Swap PVs'!U57</f>
        <v>133001.59238669722</v>
      </c>
      <c r="K123" s="278">
        <f ca="1">'GBP Swap PVs'!V57</f>
        <v>199502.38858004584</v>
      </c>
      <c r="L123" s="278">
        <f ca="1">'GBP Swap PVs'!W57</f>
        <v>266003.18477339449</v>
      </c>
      <c r="M123" s="279">
        <f ca="1">'GBP Swap PVs'!X57</f>
        <v>332503.98096674314</v>
      </c>
      <c r="O123" s="282" t="s">
        <v>31</v>
      </c>
      <c r="P123" s="278">
        <v>-332503.98096674308</v>
      </c>
      <c r="Q123" s="278">
        <v>-266003.18477339449</v>
      </c>
      <c r="R123" s="278">
        <v>-199502.38858004584</v>
      </c>
      <c r="S123" s="278">
        <v>-133001.59238669722</v>
      </c>
      <c r="T123" s="278">
        <v>-66500.796193348608</v>
      </c>
      <c r="U123" s="278">
        <v>0</v>
      </c>
      <c r="V123" s="278">
        <v>66500.796193348593</v>
      </c>
      <c r="W123" s="278">
        <v>133001.59238669722</v>
      </c>
      <c r="X123" s="278">
        <v>199502.38858004584</v>
      </c>
      <c r="Y123" s="278">
        <v>266003.18477339449</v>
      </c>
      <c r="Z123" s="279">
        <v>332503.98096674314</v>
      </c>
      <c r="AB123" s="282" t="str">
        <f t="shared" si="9"/>
        <v>7Y</v>
      </c>
      <c r="AC123" s="278">
        <f ca="1">IF(ABS(P123-C123)&gt;SnapshotTolerance,1,0)</f>
        <v>0</v>
      </c>
      <c r="AD123" s="278">
        <f ca="1">IF(ABS(Q123-D123)&gt;SnapshotTolerance,1,0)</f>
        <v>0</v>
      </c>
      <c r="AE123" s="278">
        <f ca="1">IF(ABS(R123-E123)&gt;SnapshotTolerance,1,0)</f>
        <v>0</v>
      </c>
      <c r="AF123" s="278">
        <f ca="1">IF(ABS(S123-F123)&gt;SnapshotTolerance,1,0)</f>
        <v>0</v>
      </c>
      <c r="AG123" s="278">
        <f ca="1">IF(ABS(T123-G123)&gt;SnapshotTolerance,1,0)</f>
        <v>0</v>
      </c>
      <c r="AH123" s="278">
        <f ca="1">IF(ABS(U123-H123)&gt;SnapshotTolerance,1,0)</f>
        <v>0</v>
      </c>
      <c r="AI123" s="278">
        <f ca="1">IF(ABS(V123-I123)&gt;SnapshotTolerance,1,0)</f>
        <v>0</v>
      </c>
      <c r="AJ123" s="278">
        <f ca="1">IF(ABS(W123-J123)&gt;SnapshotTolerance,1,0)</f>
        <v>0</v>
      </c>
      <c r="AK123" s="278">
        <f ca="1">IF(ABS(X123-K123)&gt;SnapshotTolerance,1,0)</f>
        <v>0</v>
      </c>
      <c r="AL123" s="278">
        <f ca="1">IF(ABS(Y123-L123)&gt;SnapshotTolerance,1,0)</f>
        <v>0</v>
      </c>
      <c r="AM123" s="279">
        <f ca="1">IF(ABS(Z123-M123)&gt;SnapshotTolerance,1,0)</f>
        <v>0</v>
      </c>
    </row>
    <row r="124" spans="2:39">
      <c r="B124" s="282" t="str">
        <f>'GBP Swap PVs'!M58</f>
        <v>8Y</v>
      </c>
      <c r="C124" s="278">
        <f ca="1">'GBP Swap PVs'!N58</f>
        <v>-376035.41393746505</v>
      </c>
      <c r="D124" s="278">
        <f ca="1">'GBP Swap PVs'!O58</f>
        <v>-300828.33114997199</v>
      </c>
      <c r="E124" s="278">
        <f ca="1">'GBP Swap PVs'!P58</f>
        <v>-225621.24836247897</v>
      </c>
      <c r="F124" s="278">
        <f ca="1">'GBP Swap PVs'!Q58</f>
        <v>-150414.16557498599</v>
      </c>
      <c r="G124" s="278">
        <f ca="1">'GBP Swap PVs'!R58</f>
        <v>-75207.082787492982</v>
      </c>
      <c r="H124" s="278">
        <f ca="1">'GBP Swap PVs'!S58</f>
        <v>0</v>
      </c>
      <c r="I124" s="278">
        <f ca="1">'GBP Swap PVs'!T58</f>
        <v>75207.082787492967</v>
      </c>
      <c r="J124" s="278">
        <f ca="1">'GBP Swap PVs'!U58</f>
        <v>150414.16557498599</v>
      </c>
      <c r="K124" s="278">
        <f ca="1">'GBP Swap PVs'!V58</f>
        <v>225621.24836247895</v>
      </c>
      <c r="L124" s="278">
        <f ca="1">'GBP Swap PVs'!W58</f>
        <v>300828.33114997204</v>
      </c>
      <c r="M124" s="279">
        <f ca="1">'GBP Swap PVs'!X58</f>
        <v>376035.413937465</v>
      </c>
      <c r="O124" s="282" t="s">
        <v>119</v>
      </c>
      <c r="P124" s="278">
        <v>-376035.41393746505</v>
      </c>
      <c r="Q124" s="278">
        <v>-300828.33114997199</v>
      </c>
      <c r="R124" s="278">
        <v>-225621.24836247897</v>
      </c>
      <c r="S124" s="278">
        <v>-150414.16557498599</v>
      </c>
      <c r="T124" s="278">
        <v>-75207.082787492982</v>
      </c>
      <c r="U124" s="278">
        <v>0</v>
      </c>
      <c r="V124" s="278">
        <v>75207.082787492967</v>
      </c>
      <c r="W124" s="278">
        <v>150414.16557498599</v>
      </c>
      <c r="X124" s="278">
        <v>225621.24836247895</v>
      </c>
      <c r="Y124" s="278">
        <v>300828.33114997204</v>
      </c>
      <c r="Z124" s="279">
        <v>376035.413937465</v>
      </c>
      <c r="AB124" s="282" t="str">
        <f t="shared" si="9"/>
        <v>8Y</v>
      </c>
      <c r="AC124" s="278">
        <f ca="1">IF(ABS(P124-C124)&gt;SnapshotTolerance,1,0)</f>
        <v>0</v>
      </c>
      <c r="AD124" s="278">
        <f ca="1">IF(ABS(Q124-D124)&gt;SnapshotTolerance,1,0)</f>
        <v>0</v>
      </c>
      <c r="AE124" s="278">
        <f ca="1">IF(ABS(R124-E124)&gt;SnapshotTolerance,1,0)</f>
        <v>0</v>
      </c>
      <c r="AF124" s="278">
        <f ca="1">IF(ABS(S124-F124)&gt;SnapshotTolerance,1,0)</f>
        <v>0</v>
      </c>
      <c r="AG124" s="278">
        <f ca="1">IF(ABS(T124-G124)&gt;SnapshotTolerance,1,0)</f>
        <v>0</v>
      </c>
      <c r="AH124" s="278">
        <f ca="1">IF(ABS(U124-H124)&gt;SnapshotTolerance,1,0)</f>
        <v>0</v>
      </c>
      <c r="AI124" s="278">
        <f ca="1">IF(ABS(V124-I124)&gt;SnapshotTolerance,1,0)</f>
        <v>0</v>
      </c>
      <c r="AJ124" s="278">
        <f ca="1">IF(ABS(W124-J124)&gt;SnapshotTolerance,1,0)</f>
        <v>0</v>
      </c>
      <c r="AK124" s="278">
        <f ca="1">IF(ABS(X124-K124)&gt;SnapshotTolerance,1,0)</f>
        <v>0</v>
      </c>
      <c r="AL124" s="278">
        <f ca="1">IF(ABS(Y124-L124)&gt;SnapshotTolerance,1,0)</f>
        <v>0</v>
      </c>
      <c r="AM124" s="279">
        <f ca="1">IF(ABS(Z124-M124)&gt;SnapshotTolerance,1,0)</f>
        <v>0</v>
      </c>
    </row>
    <row r="125" spans="2:39">
      <c r="B125" s="282" t="str">
        <f>'GBP Swap PVs'!M59</f>
        <v>9Y</v>
      </c>
      <c r="C125" s="278">
        <f ca="1">'GBP Swap PVs'!N59</f>
        <v>-418823.01881965069</v>
      </c>
      <c r="D125" s="278">
        <f ca="1">'GBP Swap PVs'!O59</f>
        <v>-335058.41505572054</v>
      </c>
      <c r="E125" s="278">
        <f ca="1">'GBP Swap PVs'!P59</f>
        <v>-251293.81129179033</v>
      </c>
      <c r="F125" s="278">
        <f ca="1">'GBP Swap PVs'!Q59</f>
        <v>-167529.20752786021</v>
      </c>
      <c r="G125" s="278">
        <f ca="1">'GBP Swap PVs'!R59</f>
        <v>-83764.603763930092</v>
      </c>
      <c r="H125" s="278">
        <f ca="1">'GBP Swap PVs'!S59</f>
        <v>0</v>
      </c>
      <c r="I125" s="278">
        <f ca="1">'GBP Swap PVs'!T59</f>
        <v>83764.603763930136</v>
      </c>
      <c r="J125" s="278">
        <f ca="1">'GBP Swap PVs'!U59</f>
        <v>167529.20752786027</v>
      </c>
      <c r="K125" s="278">
        <f ca="1">'GBP Swap PVs'!V59</f>
        <v>251293.81129179039</v>
      </c>
      <c r="L125" s="278">
        <f ca="1">'GBP Swap PVs'!W59</f>
        <v>335058.41505572048</v>
      </c>
      <c r="M125" s="279">
        <f ca="1">'GBP Swap PVs'!X59</f>
        <v>418823.01881965064</v>
      </c>
      <c r="O125" s="282" t="s">
        <v>113</v>
      </c>
      <c r="P125" s="278">
        <v>-418823.01881965069</v>
      </c>
      <c r="Q125" s="278">
        <v>-335058.41505572054</v>
      </c>
      <c r="R125" s="278">
        <v>-251293.81129179033</v>
      </c>
      <c r="S125" s="278">
        <v>-167529.20752786021</v>
      </c>
      <c r="T125" s="278">
        <v>-83764.603763930092</v>
      </c>
      <c r="U125" s="278">
        <v>0</v>
      </c>
      <c r="V125" s="278">
        <v>83764.603763930136</v>
      </c>
      <c r="W125" s="278">
        <v>167529.20752786027</v>
      </c>
      <c r="X125" s="278">
        <v>251293.81129179039</v>
      </c>
      <c r="Y125" s="278">
        <v>335058.41505572048</v>
      </c>
      <c r="Z125" s="279">
        <v>418823.01881965064</v>
      </c>
      <c r="AB125" s="282" t="str">
        <f t="shared" si="9"/>
        <v>9Y</v>
      </c>
      <c r="AC125" s="278">
        <f ca="1">IF(ABS(P125-C125)&gt;SnapshotTolerance,1,0)</f>
        <v>0</v>
      </c>
      <c r="AD125" s="278">
        <f ca="1">IF(ABS(Q125-D125)&gt;SnapshotTolerance,1,0)</f>
        <v>0</v>
      </c>
      <c r="AE125" s="278">
        <f ca="1">IF(ABS(R125-E125)&gt;SnapshotTolerance,1,0)</f>
        <v>0</v>
      </c>
      <c r="AF125" s="278">
        <f ca="1">IF(ABS(S125-F125)&gt;SnapshotTolerance,1,0)</f>
        <v>0</v>
      </c>
      <c r="AG125" s="278">
        <f ca="1">IF(ABS(T125-G125)&gt;SnapshotTolerance,1,0)</f>
        <v>0</v>
      </c>
      <c r="AH125" s="278">
        <f ca="1">IF(ABS(U125-H125)&gt;SnapshotTolerance,1,0)</f>
        <v>0</v>
      </c>
      <c r="AI125" s="278">
        <f ca="1">IF(ABS(V125-I125)&gt;SnapshotTolerance,1,0)</f>
        <v>0</v>
      </c>
      <c r="AJ125" s="278">
        <f ca="1">IF(ABS(W125-J125)&gt;SnapshotTolerance,1,0)</f>
        <v>0</v>
      </c>
      <c r="AK125" s="278">
        <f ca="1">IF(ABS(X125-K125)&gt;SnapshotTolerance,1,0)</f>
        <v>0</v>
      </c>
      <c r="AL125" s="278">
        <f ca="1">IF(ABS(Y125-L125)&gt;SnapshotTolerance,1,0)</f>
        <v>0</v>
      </c>
      <c r="AM125" s="279">
        <f ca="1">IF(ABS(Z125-M125)&gt;SnapshotTolerance,1,0)</f>
        <v>0</v>
      </c>
    </row>
    <row r="126" spans="2:39">
      <c r="B126" s="282" t="str">
        <f>'GBP Swap PVs'!M60</f>
        <v>10Y</v>
      </c>
      <c r="C126" s="278">
        <f ca="1">'GBP Swap PVs'!N60</f>
        <v>-460063.14960164647</v>
      </c>
      <c r="D126" s="278">
        <f ca="1">'GBP Swap PVs'!O60</f>
        <v>-368050.51968131715</v>
      </c>
      <c r="E126" s="278">
        <f ca="1">'GBP Swap PVs'!P60</f>
        <v>-276037.88976098789</v>
      </c>
      <c r="F126" s="278">
        <f ca="1">'GBP Swap PVs'!Q60</f>
        <v>-184025.25984065855</v>
      </c>
      <c r="G126" s="278">
        <f ca="1">'GBP Swap PVs'!R60</f>
        <v>-92012.629920329244</v>
      </c>
      <c r="H126" s="278">
        <f ca="1">'GBP Swap PVs'!S60</f>
        <v>0</v>
      </c>
      <c r="I126" s="278">
        <f ca="1">'GBP Swap PVs'!T60</f>
        <v>92012.629920329273</v>
      </c>
      <c r="J126" s="278">
        <f ca="1">'GBP Swap PVs'!U60</f>
        <v>184025.2598406586</v>
      </c>
      <c r="K126" s="278">
        <f ca="1">'GBP Swap PVs'!V60</f>
        <v>276037.88976098789</v>
      </c>
      <c r="L126" s="278">
        <f ca="1">'GBP Swap PVs'!W60</f>
        <v>368050.51968131715</v>
      </c>
      <c r="M126" s="279">
        <f ca="1">'GBP Swap PVs'!X60</f>
        <v>460063.14960164647</v>
      </c>
      <c r="O126" s="282" t="s">
        <v>28</v>
      </c>
      <c r="P126" s="278">
        <v>-460063.14960164647</v>
      </c>
      <c r="Q126" s="278">
        <v>-368050.51968131715</v>
      </c>
      <c r="R126" s="278">
        <v>-276037.88976098789</v>
      </c>
      <c r="S126" s="278">
        <v>-184025.25984065855</v>
      </c>
      <c r="T126" s="278">
        <v>-92012.629920329244</v>
      </c>
      <c r="U126" s="278">
        <v>0</v>
      </c>
      <c r="V126" s="278">
        <v>92012.629920329273</v>
      </c>
      <c r="W126" s="278">
        <v>184025.2598406586</v>
      </c>
      <c r="X126" s="278">
        <v>276037.88976098789</v>
      </c>
      <c r="Y126" s="278">
        <v>368050.51968131715</v>
      </c>
      <c r="Z126" s="279">
        <v>460063.14960164647</v>
      </c>
      <c r="AB126" s="282" t="str">
        <f t="shared" si="9"/>
        <v>10Y</v>
      </c>
      <c r="AC126" s="278">
        <f ca="1">IF(ABS(P126-C126)&gt;SnapshotTolerance,1,0)</f>
        <v>0</v>
      </c>
      <c r="AD126" s="278">
        <f ca="1">IF(ABS(Q126-D126)&gt;SnapshotTolerance,1,0)</f>
        <v>0</v>
      </c>
      <c r="AE126" s="278">
        <f ca="1">IF(ABS(R126-E126)&gt;SnapshotTolerance,1,0)</f>
        <v>0</v>
      </c>
      <c r="AF126" s="278">
        <f ca="1">IF(ABS(S126-F126)&gt;SnapshotTolerance,1,0)</f>
        <v>0</v>
      </c>
      <c r="AG126" s="278">
        <f ca="1">IF(ABS(T126-G126)&gt;SnapshotTolerance,1,0)</f>
        <v>0</v>
      </c>
      <c r="AH126" s="278">
        <f ca="1">IF(ABS(U126-H126)&gt;SnapshotTolerance,1,0)</f>
        <v>0</v>
      </c>
      <c r="AI126" s="278">
        <f ca="1">IF(ABS(V126-I126)&gt;SnapshotTolerance,1,0)</f>
        <v>0</v>
      </c>
      <c r="AJ126" s="278">
        <f ca="1">IF(ABS(W126-J126)&gt;SnapshotTolerance,1,0)</f>
        <v>0</v>
      </c>
      <c r="AK126" s="278">
        <f ca="1">IF(ABS(X126-K126)&gt;SnapshotTolerance,1,0)</f>
        <v>0</v>
      </c>
      <c r="AL126" s="278">
        <f ca="1">IF(ABS(Y126-L126)&gt;SnapshotTolerance,1,0)</f>
        <v>0</v>
      </c>
      <c r="AM126" s="279">
        <f ca="1">IF(ABS(Z126-M126)&gt;SnapshotTolerance,1,0)</f>
        <v>0</v>
      </c>
    </row>
    <row r="127" spans="2:39">
      <c r="B127" s="282" t="str">
        <f>'GBP Swap PVs'!M61</f>
        <v>12Y</v>
      </c>
      <c r="C127" s="278">
        <f ca="1">'GBP Swap PVs'!N61</f>
        <v>-539399.29946624546</v>
      </c>
      <c r="D127" s="278">
        <f ca="1">'GBP Swap PVs'!O61</f>
        <v>-431519.43957299634</v>
      </c>
      <c r="E127" s="278">
        <f ca="1">'GBP Swap PVs'!P61</f>
        <v>-323639.57967974723</v>
      </c>
      <c r="F127" s="278">
        <f ca="1">'GBP Swap PVs'!Q61</f>
        <v>-215759.71978649814</v>
      </c>
      <c r="G127" s="278">
        <f ca="1">'GBP Swap PVs'!R61</f>
        <v>-107879.85989324906</v>
      </c>
      <c r="H127" s="278">
        <f ca="1">'GBP Swap PVs'!S61</f>
        <v>0</v>
      </c>
      <c r="I127" s="278">
        <f ca="1">'GBP Swap PVs'!T61</f>
        <v>107879.85989324906</v>
      </c>
      <c r="J127" s="278">
        <f ca="1">'GBP Swap PVs'!U61</f>
        <v>215759.71978649817</v>
      </c>
      <c r="K127" s="278">
        <f ca="1">'GBP Swap PVs'!V61</f>
        <v>323639.57967974729</v>
      </c>
      <c r="L127" s="278">
        <f ca="1">'GBP Swap PVs'!W61</f>
        <v>431519.43957299629</v>
      </c>
      <c r="M127" s="279">
        <f ca="1">'GBP Swap PVs'!X61</f>
        <v>539399.29946624534</v>
      </c>
      <c r="O127" s="282" t="s">
        <v>26</v>
      </c>
      <c r="P127" s="278">
        <v>-539399.29946624546</v>
      </c>
      <c r="Q127" s="278">
        <v>-431519.43957299634</v>
      </c>
      <c r="R127" s="278">
        <v>-323639.57967974723</v>
      </c>
      <c r="S127" s="278">
        <v>-215759.71978649814</v>
      </c>
      <c r="T127" s="278">
        <v>-107879.85989324906</v>
      </c>
      <c r="U127" s="278">
        <v>0</v>
      </c>
      <c r="V127" s="278">
        <v>107879.85989324906</v>
      </c>
      <c r="W127" s="278">
        <v>215759.71978649817</v>
      </c>
      <c r="X127" s="278">
        <v>323639.57967974729</v>
      </c>
      <c r="Y127" s="278">
        <v>431519.43957299629</v>
      </c>
      <c r="Z127" s="279">
        <v>539399.29946624534</v>
      </c>
      <c r="AB127" s="282" t="str">
        <f t="shared" si="9"/>
        <v>12Y</v>
      </c>
      <c r="AC127" s="278">
        <f ca="1">IF(ABS(P127-C127)&gt;SnapshotTolerance,1,0)</f>
        <v>0</v>
      </c>
      <c r="AD127" s="278">
        <f ca="1">IF(ABS(Q127-D127)&gt;SnapshotTolerance,1,0)</f>
        <v>0</v>
      </c>
      <c r="AE127" s="278">
        <f ca="1">IF(ABS(R127-E127)&gt;SnapshotTolerance,1,0)</f>
        <v>0</v>
      </c>
      <c r="AF127" s="278">
        <f ca="1">IF(ABS(S127-F127)&gt;SnapshotTolerance,1,0)</f>
        <v>0</v>
      </c>
      <c r="AG127" s="278">
        <f ca="1">IF(ABS(T127-G127)&gt;SnapshotTolerance,1,0)</f>
        <v>0</v>
      </c>
      <c r="AH127" s="278">
        <f ca="1">IF(ABS(U127-H127)&gt;SnapshotTolerance,1,0)</f>
        <v>0</v>
      </c>
      <c r="AI127" s="278">
        <f ca="1">IF(ABS(V127-I127)&gt;SnapshotTolerance,1,0)</f>
        <v>0</v>
      </c>
      <c r="AJ127" s="278">
        <f ca="1">IF(ABS(W127-J127)&gt;SnapshotTolerance,1,0)</f>
        <v>0</v>
      </c>
      <c r="AK127" s="278">
        <f ca="1">IF(ABS(X127-K127)&gt;SnapshotTolerance,1,0)</f>
        <v>0</v>
      </c>
      <c r="AL127" s="278">
        <f ca="1">IF(ABS(Y127-L127)&gt;SnapshotTolerance,1,0)</f>
        <v>0</v>
      </c>
      <c r="AM127" s="279">
        <f ca="1">IF(ABS(Z127-M127)&gt;SnapshotTolerance,1,0)</f>
        <v>0</v>
      </c>
    </row>
    <row r="128" spans="2:39">
      <c r="B128" s="282" t="str">
        <f>'GBP Swap PVs'!M62</f>
        <v>15Y</v>
      </c>
      <c r="C128" s="278">
        <f ca="1">'GBP Swap PVs'!N62</f>
        <v>-650948.40440974885</v>
      </c>
      <c r="D128" s="278">
        <f ca="1">'GBP Swap PVs'!O62</f>
        <v>-520758.72352779919</v>
      </c>
      <c r="E128" s="278">
        <f ca="1">'GBP Swap PVs'!P62</f>
        <v>-390569.04264584935</v>
      </c>
      <c r="F128" s="278">
        <f ca="1">'GBP Swap PVs'!Q62</f>
        <v>-260379.36176389953</v>
      </c>
      <c r="G128" s="278">
        <f ca="1">'GBP Swap PVs'!R62</f>
        <v>-130189.68088194974</v>
      </c>
      <c r="H128" s="278">
        <f ca="1">'GBP Swap PVs'!S62</f>
        <v>0</v>
      </c>
      <c r="I128" s="278">
        <f ca="1">'GBP Swap PVs'!T62</f>
        <v>130189.68088194977</v>
      </c>
      <c r="J128" s="278">
        <f ca="1">'GBP Swap PVs'!U62</f>
        <v>260379.36176389953</v>
      </c>
      <c r="K128" s="278">
        <f ca="1">'GBP Swap PVs'!V62</f>
        <v>390569.04264584923</v>
      </c>
      <c r="L128" s="278">
        <f ca="1">'GBP Swap PVs'!W62</f>
        <v>520758.72352779919</v>
      </c>
      <c r="M128" s="279">
        <f ca="1">'GBP Swap PVs'!X62</f>
        <v>650948.40440974885</v>
      </c>
      <c r="O128" s="282" t="s">
        <v>24</v>
      </c>
      <c r="P128" s="278">
        <v>-650948.40440974885</v>
      </c>
      <c r="Q128" s="278">
        <v>-520758.72352779919</v>
      </c>
      <c r="R128" s="278">
        <v>-390569.04264584935</v>
      </c>
      <c r="S128" s="278">
        <v>-260379.36176389953</v>
      </c>
      <c r="T128" s="278">
        <v>-130189.68088194974</v>
      </c>
      <c r="U128" s="278">
        <v>0</v>
      </c>
      <c r="V128" s="278">
        <v>130189.68088194977</v>
      </c>
      <c r="W128" s="278">
        <v>260379.36176389953</v>
      </c>
      <c r="X128" s="278">
        <v>390569.04264584923</v>
      </c>
      <c r="Y128" s="278">
        <v>520758.72352779919</v>
      </c>
      <c r="Z128" s="279">
        <v>650948.40440974885</v>
      </c>
      <c r="AB128" s="282" t="str">
        <f t="shared" si="9"/>
        <v>15Y</v>
      </c>
      <c r="AC128" s="278">
        <f ca="1">IF(ABS(P128-C128)&gt;SnapshotTolerance,1,0)</f>
        <v>0</v>
      </c>
      <c r="AD128" s="278">
        <f ca="1">IF(ABS(Q128-D128)&gt;SnapshotTolerance,1,0)</f>
        <v>0</v>
      </c>
      <c r="AE128" s="278">
        <f ca="1">IF(ABS(R128-E128)&gt;SnapshotTolerance,1,0)</f>
        <v>0</v>
      </c>
      <c r="AF128" s="278">
        <f ca="1">IF(ABS(S128-F128)&gt;SnapshotTolerance,1,0)</f>
        <v>0</v>
      </c>
      <c r="AG128" s="278">
        <f ca="1">IF(ABS(T128-G128)&gt;SnapshotTolerance,1,0)</f>
        <v>0</v>
      </c>
      <c r="AH128" s="278">
        <f ca="1">IF(ABS(U128-H128)&gt;SnapshotTolerance,1,0)</f>
        <v>0</v>
      </c>
      <c r="AI128" s="278">
        <f ca="1">IF(ABS(V128-I128)&gt;SnapshotTolerance,1,0)</f>
        <v>0</v>
      </c>
      <c r="AJ128" s="278">
        <f ca="1">IF(ABS(W128-J128)&gt;SnapshotTolerance,1,0)</f>
        <v>0</v>
      </c>
      <c r="AK128" s="278">
        <f ca="1">IF(ABS(X128-K128)&gt;SnapshotTolerance,1,0)</f>
        <v>0</v>
      </c>
      <c r="AL128" s="278">
        <f ca="1">IF(ABS(Y128-L128)&gt;SnapshotTolerance,1,0)</f>
        <v>0</v>
      </c>
      <c r="AM128" s="279">
        <f ca="1">IF(ABS(Z128-M128)&gt;SnapshotTolerance,1,0)</f>
        <v>0</v>
      </c>
    </row>
    <row r="129" spans="2:39">
      <c r="B129" s="282" t="str">
        <f>'GBP Swap PVs'!M63</f>
        <v>20Y</v>
      </c>
      <c r="C129" s="278">
        <f ca="1">'GBP Swap PVs'!N63</f>
        <v>-817421.3529675263</v>
      </c>
      <c r="D129" s="278">
        <f ca="1">'GBP Swap PVs'!O63</f>
        <v>-653937.08237402095</v>
      </c>
      <c r="E129" s="278">
        <f ca="1">'GBP Swap PVs'!P63</f>
        <v>-490452.81178051571</v>
      </c>
      <c r="F129" s="278">
        <f ca="1">'GBP Swap PVs'!Q63</f>
        <v>-326968.54118701041</v>
      </c>
      <c r="G129" s="278">
        <f ca="1">'GBP Swap PVs'!R63</f>
        <v>-163484.27059350518</v>
      </c>
      <c r="H129" s="278">
        <f ca="1">'GBP Swap PVs'!S63</f>
        <v>0</v>
      </c>
      <c r="I129" s="278">
        <f ca="1">'GBP Swap PVs'!T63</f>
        <v>163484.27059350524</v>
      </c>
      <c r="J129" s="278">
        <f ca="1">'GBP Swap PVs'!U63</f>
        <v>326968.54118701047</v>
      </c>
      <c r="K129" s="278">
        <f ca="1">'GBP Swap PVs'!V63</f>
        <v>490452.81178051559</v>
      </c>
      <c r="L129" s="278">
        <f ca="1">'GBP Swap PVs'!W63</f>
        <v>653937.08237402095</v>
      </c>
      <c r="M129" s="279">
        <f ca="1">'GBP Swap PVs'!X63</f>
        <v>817421.3529675263</v>
      </c>
      <c r="O129" s="282" t="s">
        <v>20</v>
      </c>
      <c r="P129" s="278">
        <v>-817421.3529675263</v>
      </c>
      <c r="Q129" s="278">
        <v>-653937.08237402095</v>
      </c>
      <c r="R129" s="278">
        <v>-490452.81178051571</v>
      </c>
      <c r="S129" s="278">
        <v>-326968.54118701041</v>
      </c>
      <c r="T129" s="278">
        <v>-163484.27059350518</v>
      </c>
      <c r="U129" s="278">
        <v>0</v>
      </c>
      <c r="V129" s="278">
        <v>163484.27059350524</v>
      </c>
      <c r="W129" s="278">
        <v>326968.54118701047</v>
      </c>
      <c r="X129" s="278">
        <v>490452.81178051559</v>
      </c>
      <c r="Y129" s="278">
        <v>653937.08237402095</v>
      </c>
      <c r="Z129" s="279">
        <v>817421.3529675263</v>
      </c>
      <c r="AB129" s="282" t="str">
        <f t="shared" si="9"/>
        <v>20Y</v>
      </c>
      <c r="AC129" s="278">
        <f ca="1">IF(ABS(P129-C129)&gt;SnapshotTolerance,1,0)</f>
        <v>0</v>
      </c>
      <c r="AD129" s="278">
        <f ca="1">IF(ABS(Q129-D129)&gt;SnapshotTolerance,1,0)</f>
        <v>0</v>
      </c>
      <c r="AE129" s="278">
        <f ca="1">IF(ABS(R129-E129)&gt;SnapshotTolerance,1,0)</f>
        <v>0</v>
      </c>
      <c r="AF129" s="278">
        <f ca="1">IF(ABS(S129-F129)&gt;SnapshotTolerance,1,0)</f>
        <v>0</v>
      </c>
      <c r="AG129" s="278">
        <f ca="1">IF(ABS(T129-G129)&gt;SnapshotTolerance,1,0)</f>
        <v>0</v>
      </c>
      <c r="AH129" s="278">
        <f ca="1">IF(ABS(U129-H129)&gt;SnapshotTolerance,1,0)</f>
        <v>0</v>
      </c>
      <c r="AI129" s="278">
        <f ca="1">IF(ABS(V129-I129)&gt;SnapshotTolerance,1,0)</f>
        <v>0</v>
      </c>
      <c r="AJ129" s="278">
        <f ca="1">IF(ABS(W129-J129)&gt;SnapshotTolerance,1,0)</f>
        <v>0</v>
      </c>
      <c r="AK129" s="278">
        <f ca="1">IF(ABS(X129-K129)&gt;SnapshotTolerance,1,0)</f>
        <v>0</v>
      </c>
      <c r="AL129" s="278">
        <f ca="1">IF(ABS(Y129-L129)&gt;SnapshotTolerance,1,0)</f>
        <v>0</v>
      </c>
      <c r="AM129" s="279">
        <f ca="1">IF(ABS(Z129-M129)&gt;SnapshotTolerance,1,0)</f>
        <v>0</v>
      </c>
    </row>
    <row r="130" spans="2:39">
      <c r="B130" s="282" t="str">
        <f>'GBP Swap PVs'!M64</f>
        <v>25Y</v>
      </c>
      <c r="C130" s="278">
        <f ca="1">'GBP Swap PVs'!N64</f>
        <v>-964673.16142758704</v>
      </c>
      <c r="D130" s="278">
        <f ca="1">'GBP Swap PVs'!O64</f>
        <v>-771738.52914206963</v>
      </c>
      <c r="E130" s="278">
        <f ca="1">'GBP Swap PVs'!P64</f>
        <v>-578803.89685655222</v>
      </c>
      <c r="F130" s="278">
        <f ca="1">'GBP Swap PVs'!Q64</f>
        <v>-385869.26457103476</v>
      </c>
      <c r="G130" s="278">
        <f ca="1">'GBP Swap PVs'!R64</f>
        <v>-192934.63228551732</v>
      </c>
      <c r="H130" s="278">
        <f ca="1">'GBP Swap PVs'!S64</f>
        <v>0</v>
      </c>
      <c r="I130" s="278">
        <f ca="1">'GBP Swap PVs'!T64</f>
        <v>192934.63228551744</v>
      </c>
      <c r="J130" s="278">
        <f ca="1">'GBP Swap PVs'!U64</f>
        <v>385869.26457103476</v>
      </c>
      <c r="K130" s="278">
        <f ca="1">'GBP Swap PVs'!V64</f>
        <v>578803.89685655211</v>
      </c>
      <c r="L130" s="278">
        <f ca="1">'GBP Swap PVs'!W64</f>
        <v>771738.52914206951</v>
      </c>
      <c r="M130" s="279">
        <f ca="1">'GBP Swap PVs'!X64</f>
        <v>964673.16142758692</v>
      </c>
      <c r="O130" s="282" t="s">
        <v>18</v>
      </c>
      <c r="P130" s="278">
        <v>-964673.16142758704</v>
      </c>
      <c r="Q130" s="278">
        <v>-771738.52914206963</v>
      </c>
      <c r="R130" s="278">
        <v>-578803.89685655222</v>
      </c>
      <c r="S130" s="278">
        <v>-385869.26457103476</v>
      </c>
      <c r="T130" s="278">
        <v>-192934.63228551732</v>
      </c>
      <c r="U130" s="278">
        <v>0</v>
      </c>
      <c r="V130" s="278">
        <v>192934.63228551744</v>
      </c>
      <c r="W130" s="278">
        <v>385869.26457103476</v>
      </c>
      <c r="X130" s="278">
        <v>578803.89685655211</v>
      </c>
      <c r="Y130" s="278">
        <v>771738.52914206951</v>
      </c>
      <c r="Z130" s="279">
        <v>964673.16142758692</v>
      </c>
      <c r="AB130" s="282" t="str">
        <f t="shared" si="9"/>
        <v>25Y</v>
      </c>
      <c r="AC130" s="278">
        <f ca="1">IF(ABS(P130-C130)&gt;SnapshotTolerance,1,0)</f>
        <v>0</v>
      </c>
      <c r="AD130" s="278">
        <f ca="1">IF(ABS(Q130-D130)&gt;SnapshotTolerance,1,0)</f>
        <v>0</v>
      </c>
      <c r="AE130" s="278">
        <f ca="1">IF(ABS(R130-E130)&gt;SnapshotTolerance,1,0)</f>
        <v>0</v>
      </c>
      <c r="AF130" s="278">
        <f ca="1">IF(ABS(S130-F130)&gt;SnapshotTolerance,1,0)</f>
        <v>0</v>
      </c>
      <c r="AG130" s="278">
        <f ca="1">IF(ABS(T130-G130)&gt;SnapshotTolerance,1,0)</f>
        <v>0</v>
      </c>
      <c r="AH130" s="278">
        <f ca="1">IF(ABS(U130-H130)&gt;SnapshotTolerance,1,0)</f>
        <v>0</v>
      </c>
      <c r="AI130" s="278">
        <f ca="1">IF(ABS(V130-I130)&gt;SnapshotTolerance,1,0)</f>
        <v>0</v>
      </c>
      <c r="AJ130" s="278">
        <f ca="1">IF(ABS(W130-J130)&gt;SnapshotTolerance,1,0)</f>
        <v>0</v>
      </c>
      <c r="AK130" s="278">
        <f ca="1">IF(ABS(X130-K130)&gt;SnapshotTolerance,1,0)</f>
        <v>0</v>
      </c>
      <c r="AL130" s="278">
        <f ca="1">IF(ABS(Y130-L130)&gt;SnapshotTolerance,1,0)</f>
        <v>0</v>
      </c>
      <c r="AM130" s="279">
        <f ca="1">IF(ABS(Z130-M130)&gt;SnapshotTolerance,1,0)</f>
        <v>0</v>
      </c>
    </row>
    <row r="131" spans="2:39">
      <c r="B131" s="282" t="str">
        <f>'GBP Swap PVs'!M65</f>
        <v>30Y</v>
      </c>
      <c r="C131" s="278">
        <f ca="1">'GBP Swap PVs'!N65</f>
        <v>-1095602.260317022</v>
      </c>
      <c r="D131" s="278">
        <f ca="1">'GBP Swap PVs'!O65</f>
        <v>-876481.80825361749</v>
      </c>
      <c r="E131" s="278">
        <f ca="1">'GBP Swap PVs'!P65</f>
        <v>-657361.35619021312</v>
      </c>
      <c r="F131" s="278">
        <f ca="1">'GBP Swap PVs'!Q65</f>
        <v>-438240.90412680875</v>
      </c>
      <c r="G131" s="278">
        <f ca="1">'GBP Swap PVs'!R65</f>
        <v>-219120.45206340431</v>
      </c>
      <c r="H131" s="278">
        <f ca="1">'GBP Swap PVs'!S65</f>
        <v>0</v>
      </c>
      <c r="I131" s="278">
        <f ca="1">'GBP Swap PVs'!T65</f>
        <v>219120.45206340437</v>
      </c>
      <c r="J131" s="278">
        <f ca="1">'GBP Swap PVs'!U65</f>
        <v>438240.90412680875</v>
      </c>
      <c r="K131" s="278">
        <f ca="1">'GBP Swap PVs'!V65</f>
        <v>657361.356190213</v>
      </c>
      <c r="L131" s="278">
        <f ca="1">'GBP Swap PVs'!W65</f>
        <v>876481.80825361761</v>
      </c>
      <c r="M131" s="279">
        <f ca="1">'GBP Swap PVs'!X65</f>
        <v>1095602.260317022</v>
      </c>
      <c r="O131" s="282" t="s">
        <v>17</v>
      </c>
      <c r="P131" s="278">
        <v>-1095602.260317022</v>
      </c>
      <c r="Q131" s="278">
        <v>-876481.80825361749</v>
      </c>
      <c r="R131" s="278">
        <v>-657361.35619021312</v>
      </c>
      <c r="S131" s="278">
        <v>-438240.90412680875</v>
      </c>
      <c r="T131" s="278">
        <v>-219120.45206340431</v>
      </c>
      <c r="U131" s="278">
        <v>0</v>
      </c>
      <c r="V131" s="278">
        <v>219120.45206340437</v>
      </c>
      <c r="W131" s="278">
        <v>438240.90412680875</v>
      </c>
      <c r="X131" s="278">
        <v>657361.356190213</v>
      </c>
      <c r="Y131" s="278">
        <v>876481.80825361761</v>
      </c>
      <c r="Z131" s="279">
        <v>1095602.260317022</v>
      </c>
      <c r="AB131" s="282" t="str">
        <f t="shared" si="9"/>
        <v>30Y</v>
      </c>
      <c r="AC131" s="278">
        <f ca="1">IF(ABS(P131-C131)&gt;SnapshotTolerance,1,0)</f>
        <v>0</v>
      </c>
      <c r="AD131" s="278">
        <f ca="1">IF(ABS(Q131-D131)&gt;SnapshotTolerance,1,0)</f>
        <v>0</v>
      </c>
      <c r="AE131" s="278">
        <f ca="1">IF(ABS(R131-E131)&gt;SnapshotTolerance,1,0)</f>
        <v>0</v>
      </c>
      <c r="AF131" s="278">
        <f ca="1">IF(ABS(S131-F131)&gt;SnapshotTolerance,1,0)</f>
        <v>0</v>
      </c>
      <c r="AG131" s="278">
        <f ca="1">IF(ABS(T131-G131)&gt;SnapshotTolerance,1,0)</f>
        <v>0</v>
      </c>
      <c r="AH131" s="278">
        <f ca="1">IF(ABS(U131-H131)&gt;SnapshotTolerance,1,0)</f>
        <v>0</v>
      </c>
      <c r="AI131" s="278">
        <f ca="1">IF(ABS(V131-I131)&gt;SnapshotTolerance,1,0)</f>
        <v>0</v>
      </c>
      <c r="AJ131" s="278">
        <f ca="1">IF(ABS(W131-J131)&gt;SnapshotTolerance,1,0)</f>
        <v>0</v>
      </c>
      <c r="AK131" s="278">
        <f ca="1">IF(ABS(X131-K131)&gt;SnapshotTolerance,1,0)</f>
        <v>0</v>
      </c>
      <c r="AL131" s="278">
        <f ca="1">IF(ABS(Y131-L131)&gt;SnapshotTolerance,1,0)</f>
        <v>0</v>
      </c>
      <c r="AM131" s="279">
        <f ca="1">IF(ABS(Z131-M131)&gt;SnapshotTolerance,1,0)</f>
        <v>0</v>
      </c>
    </row>
    <row r="132" spans="2:39">
      <c r="B132" s="282" t="str">
        <f>'GBP Swap PVs'!M66</f>
        <v>40Y</v>
      </c>
      <c r="C132" s="278">
        <f ca="1">'GBP Swap PVs'!N66</f>
        <v>-1317901.5977899607</v>
      </c>
      <c r="D132" s="278">
        <f ca="1">'GBP Swap PVs'!O66</f>
        <v>-1054321.2782319684</v>
      </c>
      <c r="E132" s="278">
        <f ca="1">'GBP Swap PVs'!P66</f>
        <v>-790740.95867397625</v>
      </c>
      <c r="F132" s="278">
        <f ca="1">'GBP Swap PVs'!Q66</f>
        <v>-527160.63911598409</v>
      </c>
      <c r="G132" s="278">
        <f ca="1">'GBP Swap PVs'!R66</f>
        <v>-263580.31955799198</v>
      </c>
      <c r="H132" s="278">
        <f ca="1">'GBP Swap PVs'!S66</f>
        <v>0</v>
      </c>
      <c r="I132" s="278">
        <f ca="1">'GBP Swap PVs'!T66</f>
        <v>263580.3195579921</v>
      </c>
      <c r="J132" s="278">
        <f ca="1">'GBP Swap PVs'!U66</f>
        <v>527160.6391159842</v>
      </c>
      <c r="K132" s="278">
        <f ca="1">'GBP Swap PVs'!V66</f>
        <v>790740.95867397625</v>
      </c>
      <c r="L132" s="278">
        <f ca="1">'GBP Swap PVs'!W66</f>
        <v>1054321.2782319684</v>
      </c>
      <c r="M132" s="279">
        <f ca="1">'GBP Swap PVs'!X66</f>
        <v>1317901.5977899604</v>
      </c>
      <c r="O132" s="282" t="s">
        <v>15</v>
      </c>
      <c r="P132" s="278">
        <v>-1317901.5977899607</v>
      </c>
      <c r="Q132" s="278">
        <v>-1054321.2782319684</v>
      </c>
      <c r="R132" s="278">
        <v>-790740.95867397625</v>
      </c>
      <c r="S132" s="278">
        <v>-527160.63911598409</v>
      </c>
      <c r="T132" s="278">
        <v>-263580.31955799198</v>
      </c>
      <c r="U132" s="278">
        <v>0</v>
      </c>
      <c r="V132" s="278">
        <v>263580.3195579921</v>
      </c>
      <c r="W132" s="278">
        <v>527160.6391159842</v>
      </c>
      <c r="X132" s="278">
        <v>790740.95867397625</v>
      </c>
      <c r="Y132" s="278">
        <v>1054321.2782319684</v>
      </c>
      <c r="Z132" s="279">
        <v>1317901.5977899604</v>
      </c>
      <c r="AB132" s="282" t="str">
        <f t="shared" si="9"/>
        <v>40Y</v>
      </c>
      <c r="AC132" s="278">
        <f ca="1">IF(ABS(P132-C132)&gt;SnapshotTolerance,1,0)</f>
        <v>0</v>
      </c>
      <c r="AD132" s="278">
        <f ca="1">IF(ABS(Q132-D132)&gt;SnapshotTolerance,1,0)</f>
        <v>0</v>
      </c>
      <c r="AE132" s="278">
        <f ca="1">IF(ABS(R132-E132)&gt;SnapshotTolerance,1,0)</f>
        <v>0</v>
      </c>
      <c r="AF132" s="278">
        <f ca="1">IF(ABS(S132-F132)&gt;SnapshotTolerance,1,0)</f>
        <v>0</v>
      </c>
      <c r="AG132" s="278">
        <f ca="1">IF(ABS(T132-G132)&gt;SnapshotTolerance,1,0)</f>
        <v>0</v>
      </c>
      <c r="AH132" s="278">
        <f ca="1">IF(ABS(U132-H132)&gt;SnapshotTolerance,1,0)</f>
        <v>0</v>
      </c>
      <c r="AI132" s="278">
        <f ca="1">IF(ABS(V132-I132)&gt;SnapshotTolerance,1,0)</f>
        <v>0</v>
      </c>
      <c r="AJ132" s="278">
        <f ca="1">IF(ABS(W132-J132)&gt;SnapshotTolerance,1,0)</f>
        <v>0</v>
      </c>
      <c r="AK132" s="278">
        <f ca="1">IF(ABS(X132-K132)&gt;SnapshotTolerance,1,0)</f>
        <v>0</v>
      </c>
      <c r="AL132" s="278">
        <f ca="1">IF(ABS(Y132-L132)&gt;SnapshotTolerance,1,0)</f>
        <v>0</v>
      </c>
      <c r="AM132" s="279">
        <f ca="1">IF(ABS(Z132-M132)&gt;SnapshotTolerance,1,0)</f>
        <v>0</v>
      </c>
    </row>
    <row r="133" spans="2:39">
      <c r="B133" s="282" t="str">
        <f>'GBP Swap PVs'!M67</f>
        <v>50Y</v>
      </c>
      <c r="C133" s="278">
        <f ca="1">'GBP Swap PVs'!N67</f>
        <v>-1498349.9245906647</v>
      </c>
      <c r="D133" s="278">
        <f ca="1">'GBP Swap PVs'!O67</f>
        <v>-1198679.9396725316</v>
      </c>
      <c r="E133" s="278">
        <f ca="1">'GBP Swap PVs'!P67</f>
        <v>-899009.95475439855</v>
      </c>
      <c r="F133" s="278">
        <f ca="1">'GBP Swap PVs'!Q67</f>
        <v>-599339.96983626566</v>
      </c>
      <c r="G133" s="278">
        <f ca="1">'GBP Swap PVs'!R67</f>
        <v>-299669.98491813277</v>
      </c>
      <c r="H133" s="278">
        <f ca="1">'GBP Swap PVs'!S67</f>
        <v>0</v>
      </c>
      <c r="I133" s="278">
        <f ca="1">'GBP Swap PVs'!T67</f>
        <v>299669.98491813289</v>
      </c>
      <c r="J133" s="278">
        <f ca="1">'GBP Swap PVs'!U67</f>
        <v>599339.9698362659</v>
      </c>
      <c r="K133" s="278">
        <f ca="1">'GBP Swap PVs'!V67</f>
        <v>899009.95475439867</v>
      </c>
      <c r="L133" s="278">
        <f ca="1">'GBP Swap PVs'!W67</f>
        <v>1198679.9396725316</v>
      </c>
      <c r="M133" s="279">
        <f ca="1">'GBP Swap PVs'!X67</f>
        <v>1498349.9245906647</v>
      </c>
      <c r="O133" s="282" t="s">
        <v>14</v>
      </c>
      <c r="P133" s="278">
        <v>-1498349.9245906647</v>
      </c>
      <c r="Q133" s="278">
        <v>-1198679.9396725316</v>
      </c>
      <c r="R133" s="278">
        <v>-899009.95475439855</v>
      </c>
      <c r="S133" s="278">
        <v>-599339.96983626566</v>
      </c>
      <c r="T133" s="278">
        <v>-299669.98491813277</v>
      </c>
      <c r="U133" s="278">
        <v>0</v>
      </c>
      <c r="V133" s="278">
        <v>299669.98491813289</v>
      </c>
      <c r="W133" s="278">
        <v>599339.9698362659</v>
      </c>
      <c r="X133" s="278">
        <v>899009.95475439867</v>
      </c>
      <c r="Y133" s="278">
        <v>1198679.9396725316</v>
      </c>
      <c r="Z133" s="279">
        <v>1498349.9245906647</v>
      </c>
      <c r="AB133" s="282" t="str">
        <f t="shared" si="9"/>
        <v>50Y</v>
      </c>
      <c r="AC133" s="278">
        <f ca="1">IF(ABS(P133-C133)&gt;SnapshotTolerance,1,0)</f>
        <v>0</v>
      </c>
      <c r="AD133" s="278">
        <f ca="1">IF(ABS(Q133-D133)&gt;SnapshotTolerance,1,0)</f>
        <v>0</v>
      </c>
      <c r="AE133" s="278">
        <f ca="1">IF(ABS(R133-E133)&gt;SnapshotTolerance,1,0)</f>
        <v>0</v>
      </c>
      <c r="AF133" s="278">
        <f ca="1">IF(ABS(S133-F133)&gt;SnapshotTolerance,1,0)</f>
        <v>0</v>
      </c>
      <c r="AG133" s="278">
        <f ca="1">IF(ABS(T133-G133)&gt;SnapshotTolerance,1,0)</f>
        <v>0</v>
      </c>
      <c r="AH133" s="278">
        <f ca="1">IF(ABS(U133-H133)&gt;SnapshotTolerance,1,0)</f>
        <v>0</v>
      </c>
      <c r="AI133" s="278">
        <f ca="1">IF(ABS(V133-I133)&gt;SnapshotTolerance,1,0)</f>
        <v>0</v>
      </c>
      <c r="AJ133" s="278">
        <f ca="1">IF(ABS(W133-J133)&gt;SnapshotTolerance,1,0)</f>
        <v>0</v>
      </c>
      <c r="AK133" s="278">
        <f ca="1">IF(ABS(X133-K133)&gt;SnapshotTolerance,1,0)</f>
        <v>0</v>
      </c>
      <c r="AL133" s="278">
        <f ca="1">IF(ABS(Y133-L133)&gt;SnapshotTolerance,1,0)</f>
        <v>0</v>
      </c>
      <c r="AM133" s="279">
        <f ca="1">IF(ABS(Z133-M133)&gt;SnapshotTolerance,1,0)</f>
        <v>0</v>
      </c>
    </row>
    <row r="134" spans="2:39">
      <c r="B134" s="282"/>
      <c r="C134" s="278"/>
      <c r="D134" s="278"/>
      <c r="E134" s="278"/>
      <c r="F134" s="278"/>
      <c r="G134" s="278"/>
      <c r="H134" s="278"/>
      <c r="I134" s="278"/>
      <c r="J134" s="278"/>
      <c r="K134" s="278"/>
      <c r="L134" s="278"/>
      <c r="M134" s="279"/>
      <c r="O134" s="282"/>
      <c r="P134" s="278"/>
      <c r="Q134" s="278"/>
      <c r="R134" s="278"/>
      <c r="S134" s="278"/>
      <c r="T134" s="278"/>
      <c r="U134" s="278"/>
      <c r="V134" s="278"/>
      <c r="W134" s="278"/>
      <c r="X134" s="278"/>
      <c r="Y134" s="278"/>
      <c r="Z134" s="279"/>
      <c r="AB134" s="282"/>
      <c r="AC134" s="278"/>
      <c r="AD134" s="278"/>
      <c r="AE134" s="278"/>
      <c r="AF134" s="278"/>
      <c r="AG134" s="278"/>
      <c r="AH134" s="278"/>
      <c r="AI134" s="278"/>
      <c r="AJ134" s="278"/>
      <c r="AK134" s="278"/>
      <c r="AL134" s="278"/>
      <c r="AM134" s="279"/>
    </row>
    <row r="135" spans="2:39">
      <c r="B135" s="282"/>
      <c r="C135" s="278"/>
      <c r="D135" s="278"/>
      <c r="E135" s="278"/>
      <c r="F135" s="278"/>
      <c r="G135" s="278"/>
      <c r="H135" s="278"/>
      <c r="I135" s="278"/>
      <c r="J135" s="278"/>
      <c r="K135" s="278"/>
      <c r="L135" s="278"/>
      <c r="M135" s="279"/>
      <c r="O135" s="282"/>
      <c r="P135" s="278"/>
      <c r="Q135" s="278"/>
      <c r="R135" s="278"/>
      <c r="S135" s="278"/>
      <c r="T135" s="278"/>
      <c r="U135" s="278"/>
      <c r="V135" s="278"/>
      <c r="W135" s="278"/>
      <c r="X135" s="278"/>
      <c r="Y135" s="278"/>
      <c r="Z135" s="279"/>
      <c r="AB135" s="282"/>
      <c r="AC135" s="278"/>
      <c r="AD135" s="278"/>
      <c r="AE135" s="278"/>
      <c r="AF135" s="278"/>
      <c r="AG135" s="278"/>
      <c r="AH135" s="278"/>
      <c r="AI135" s="278"/>
      <c r="AJ135" s="278"/>
      <c r="AK135" s="278"/>
      <c r="AL135" s="278"/>
      <c r="AM135" s="279"/>
    </row>
    <row r="136" spans="2:39">
      <c r="B136" s="283"/>
      <c r="C136" s="280"/>
      <c r="D136" s="280"/>
      <c r="E136" s="280"/>
      <c r="F136" s="280"/>
      <c r="G136" s="280"/>
      <c r="H136" s="280"/>
      <c r="I136" s="280"/>
      <c r="J136" s="280"/>
      <c r="K136" s="280"/>
      <c r="L136" s="280"/>
      <c r="M136" s="281"/>
      <c r="O136" s="283"/>
      <c r="P136" s="280"/>
      <c r="Q136" s="280"/>
      <c r="R136" s="280"/>
      <c r="S136" s="280"/>
      <c r="T136" s="280"/>
      <c r="U136" s="280"/>
      <c r="V136" s="280"/>
      <c r="W136" s="280"/>
      <c r="X136" s="280"/>
      <c r="Y136" s="280"/>
      <c r="Z136" s="281"/>
      <c r="AB136" s="283"/>
      <c r="AC136" s="280"/>
      <c r="AD136" s="280"/>
      <c r="AE136" s="280"/>
      <c r="AF136" s="280"/>
      <c r="AG136" s="280"/>
      <c r="AH136" s="280"/>
      <c r="AI136" s="280"/>
      <c r="AJ136" s="280"/>
      <c r="AK136" s="280"/>
      <c r="AL136" s="280"/>
      <c r="AM136" s="281"/>
    </row>
    <row r="139" spans="2:39">
      <c r="B139" t="s">
        <v>533</v>
      </c>
      <c r="E139" t="s">
        <v>472</v>
      </c>
    </row>
    <row r="140" spans="2:39">
      <c r="B140" t="s">
        <v>530</v>
      </c>
      <c r="E140" s="252">
        <f ca="1">SUM(AC145:AM163)</f>
        <v>0</v>
      </c>
    </row>
    <row r="141" spans="2:39">
      <c r="B141" t="s">
        <v>529</v>
      </c>
    </row>
    <row r="143" spans="2:39">
      <c r="B143" t="s">
        <v>510</v>
      </c>
      <c r="O143" t="s">
        <v>470</v>
      </c>
      <c r="AB143" t="s">
        <v>511</v>
      </c>
    </row>
    <row r="144" spans="2:39">
      <c r="B144" s="254" t="str">
        <f>'GBP Swap PVs'!M76</f>
        <v>Term</v>
      </c>
      <c r="C144" s="287">
        <f>'GBP Swap PVs'!N76</f>
        <v>500</v>
      </c>
      <c r="D144" s="287">
        <f>'GBP Swap PVs'!O76</f>
        <v>400</v>
      </c>
      <c r="E144" s="287">
        <f>'GBP Swap PVs'!P76</f>
        <v>300</v>
      </c>
      <c r="F144" s="287">
        <f>'GBP Swap PVs'!Q76</f>
        <v>200</v>
      </c>
      <c r="G144" s="287">
        <f>'GBP Swap PVs'!R76</f>
        <v>100</v>
      </c>
      <c r="H144" s="287">
        <f>'GBP Swap PVs'!S76</f>
        <v>0</v>
      </c>
      <c r="I144" s="287">
        <f>'GBP Swap PVs'!T76</f>
        <v>-100</v>
      </c>
      <c r="J144" s="287">
        <f>'GBP Swap PVs'!U76</f>
        <v>-200</v>
      </c>
      <c r="K144" s="287">
        <f>'GBP Swap PVs'!V76</f>
        <v>-300</v>
      </c>
      <c r="L144" s="287">
        <f>'GBP Swap PVs'!W76</f>
        <v>-400</v>
      </c>
      <c r="M144" s="288">
        <f>'GBP Swap PVs'!X76</f>
        <v>-500</v>
      </c>
      <c r="O144" s="254" t="s">
        <v>76</v>
      </c>
      <c r="P144" s="287">
        <v>500</v>
      </c>
      <c r="Q144" s="287">
        <v>400</v>
      </c>
      <c r="R144" s="287">
        <v>300</v>
      </c>
      <c r="S144" s="287">
        <v>200</v>
      </c>
      <c r="T144" s="287">
        <v>100</v>
      </c>
      <c r="U144" s="287">
        <v>0</v>
      </c>
      <c r="V144" s="287">
        <v>-100</v>
      </c>
      <c r="W144" s="287">
        <v>-200</v>
      </c>
      <c r="X144" s="287">
        <v>-300</v>
      </c>
      <c r="Y144" s="287">
        <v>-400</v>
      </c>
      <c r="Z144" s="288">
        <v>-500</v>
      </c>
      <c r="AB144" s="254" t="str">
        <f>O144</f>
        <v>Term</v>
      </c>
      <c r="AC144" s="287">
        <f>P144</f>
        <v>500</v>
      </c>
      <c r="AD144" s="287">
        <f t="shared" ref="AD144:AM144" si="10">Q144</f>
        <v>400</v>
      </c>
      <c r="AE144" s="287">
        <f t="shared" si="10"/>
        <v>300</v>
      </c>
      <c r="AF144" s="287">
        <f t="shared" si="10"/>
        <v>200</v>
      </c>
      <c r="AG144" s="287">
        <f t="shared" si="10"/>
        <v>100</v>
      </c>
      <c r="AH144" s="287">
        <f t="shared" si="10"/>
        <v>0</v>
      </c>
      <c r="AI144" s="287">
        <f t="shared" si="10"/>
        <v>-100</v>
      </c>
      <c r="AJ144" s="287">
        <f t="shared" si="10"/>
        <v>-200</v>
      </c>
      <c r="AK144" s="287">
        <f t="shared" si="10"/>
        <v>-300</v>
      </c>
      <c r="AL144" s="287">
        <f t="shared" si="10"/>
        <v>-400</v>
      </c>
      <c r="AM144" s="288">
        <f t="shared" si="10"/>
        <v>-500</v>
      </c>
    </row>
    <row r="145" spans="2:39">
      <c r="B145" s="282" t="str">
        <f>'GBP Swap PVs'!M77</f>
        <v>2Y</v>
      </c>
      <c r="C145" s="278">
        <f ca="1">'GBP Swap PVs'!N77</f>
        <v>-98985.127372311268</v>
      </c>
      <c r="D145" s="278">
        <f ca="1">'GBP Swap PVs'!O77</f>
        <v>-79188.101897849032</v>
      </c>
      <c r="E145" s="278">
        <f ca="1">'GBP Swap PVs'!P77</f>
        <v>-59391.076423386767</v>
      </c>
      <c r="F145" s="278">
        <f ca="1">'GBP Swap PVs'!Q77</f>
        <v>-39594.050948924509</v>
      </c>
      <c r="G145" s="278">
        <f ca="1">'GBP Swap PVs'!R77</f>
        <v>-19797.025474462258</v>
      </c>
      <c r="H145" s="278">
        <f ca="1">'GBP Swap PVs'!S77</f>
        <v>0</v>
      </c>
      <c r="I145" s="278">
        <f ca="1">'GBP Swap PVs'!T77</f>
        <v>19797.025474462251</v>
      </c>
      <c r="J145" s="278">
        <f ca="1">'GBP Swap PVs'!U77</f>
        <v>39594.050948924501</v>
      </c>
      <c r="K145" s="278">
        <f ca="1">'GBP Swap PVs'!V77</f>
        <v>59391.076423386767</v>
      </c>
      <c r="L145" s="278">
        <f ca="1">'GBP Swap PVs'!W77</f>
        <v>79188.101897849003</v>
      </c>
      <c r="M145" s="279">
        <f ca="1">'GBP Swap PVs'!X77</f>
        <v>98985.127372311268</v>
      </c>
      <c r="O145" s="282" t="s">
        <v>42</v>
      </c>
      <c r="P145" s="278">
        <v>-98985.127372311268</v>
      </c>
      <c r="Q145" s="278">
        <v>-79188.101897849032</v>
      </c>
      <c r="R145" s="278">
        <v>-59391.076423386767</v>
      </c>
      <c r="S145" s="278">
        <v>-39594.050948924509</v>
      </c>
      <c r="T145" s="278">
        <v>-19797.025474462258</v>
      </c>
      <c r="U145" s="278">
        <v>0</v>
      </c>
      <c r="V145" s="278">
        <v>19797.025474462251</v>
      </c>
      <c r="W145" s="278">
        <v>39594.050948924501</v>
      </c>
      <c r="X145" s="278">
        <v>59391.076423386767</v>
      </c>
      <c r="Y145" s="278">
        <v>79188.101897849003</v>
      </c>
      <c r="Z145" s="279">
        <v>98985.127372311268</v>
      </c>
      <c r="AB145" s="282" t="str">
        <f t="shared" ref="AB145:AB163" si="11">O145</f>
        <v>2Y</v>
      </c>
      <c r="AC145" s="278">
        <f ca="1">IF(ABS(P145-C145)&gt;SnapshotTolerance,1,0)</f>
        <v>0</v>
      </c>
      <c r="AD145" s="278">
        <f ca="1">IF(ABS(Q145-D145)&gt;SnapshotTolerance,1,0)</f>
        <v>0</v>
      </c>
      <c r="AE145" s="278">
        <f ca="1">IF(ABS(R145-E145)&gt;SnapshotTolerance,1,0)</f>
        <v>0</v>
      </c>
      <c r="AF145" s="278">
        <f ca="1">IF(ABS(S145-F145)&gt;SnapshotTolerance,1,0)</f>
        <v>0</v>
      </c>
      <c r="AG145" s="278">
        <f ca="1">IF(ABS(T145-G145)&gt;SnapshotTolerance,1,0)</f>
        <v>0</v>
      </c>
      <c r="AH145" s="278">
        <f ca="1">IF(ABS(U145-H145)&gt;SnapshotTolerance,1,0)</f>
        <v>0</v>
      </c>
      <c r="AI145" s="278">
        <f ca="1">IF(ABS(V145-I145)&gt;SnapshotTolerance,1,0)</f>
        <v>0</v>
      </c>
      <c r="AJ145" s="278">
        <f ca="1">IF(ABS(W145-J145)&gt;SnapshotTolerance,1,0)</f>
        <v>0</v>
      </c>
      <c r="AK145" s="278">
        <f ca="1">IF(ABS(X145-K145)&gt;SnapshotTolerance,1,0)</f>
        <v>0</v>
      </c>
      <c r="AL145" s="278">
        <f ca="1">IF(ABS(Y145-L145)&gt;SnapshotTolerance,1,0)</f>
        <v>0</v>
      </c>
      <c r="AM145" s="279">
        <f ca="1">IF(ABS(Z145-M145)&gt;SnapshotTolerance,1,0)</f>
        <v>0</v>
      </c>
    </row>
    <row r="146" spans="2:39">
      <c r="B146" s="282" t="str">
        <f>'GBP Swap PVs'!M78</f>
        <v>3Y</v>
      </c>
      <c r="C146" s="278">
        <f ca="1">'GBP Swap PVs'!N78</f>
        <v>-147592.05976994699</v>
      </c>
      <c r="D146" s="278">
        <f ca="1">'GBP Swap PVs'!O78</f>
        <v>-118073.64781595759</v>
      </c>
      <c r="E146" s="278">
        <f ca="1">'GBP Swap PVs'!P78</f>
        <v>-88555.235861968191</v>
      </c>
      <c r="F146" s="278">
        <f ca="1">'GBP Swap PVs'!Q78</f>
        <v>-59036.823907978789</v>
      </c>
      <c r="G146" s="278">
        <f ca="1">'GBP Swap PVs'!R78</f>
        <v>-29518.411953989395</v>
      </c>
      <c r="H146" s="278">
        <f ca="1">'GBP Swap PVs'!S78</f>
        <v>0</v>
      </c>
      <c r="I146" s="278">
        <f ca="1">'GBP Swap PVs'!T78</f>
        <v>29518.411953989387</v>
      </c>
      <c r="J146" s="278">
        <f ca="1">'GBP Swap PVs'!U78</f>
        <v>59036.823907978782</v>
      </c>
      <c r="K146" s="278">
        <f ca="1">'GBP Swap PVs'!V78</f>
        <v>88555.235861968191</v>
      </c>
      <c r="L146" s="278">
        <f ca="1">'GBP Swap PVs'!W78</f>
        <v>118073.64781595756</v>
      </c>
      <c r="M146" s="279">
        <f ca="1">'GBP Swap PVs'!X78</f>
        <v>147592.05976994697</v>
      </c>
      <c r="O146" s="282" t="s">
        <v>39</v>
      </c>
      <c r="P146" s="278">
        <v>-147592.05976994699</v>
      </c>
      <c r="Q146" s="278">
        <v>-118073.64781595759</v>
      </c>
      <c r="R146" s="278">
        <v>-88555.235861968191</v>
      </c>
      <c r="S146" s="278">
        <v>-59036.823907978789</v>
      </c>
      <c r="T146" s="278">
        <v>-29518.411953989395</v>
      </c>
      <c r="U146" s="278">
        <v>0</v>
      </c>
      <c r="V146" s="278">
        <v>29518.411953989387</v>
      </c>
      <c r="W146" s="278">
        <v>59036.823907978782</v>
      </c>
      <c r="X146" s="278">
        <v>88555.235861968191</v>
      </c>
      <c r="Y146" s="278">
        <v>118073.64781595756</v>
      </c>
      <c r="Z146" s="279">
        <v>147592.05976994697</v>
      </c>
      <c r="AB146" s="282" t="str">
        <f t="shared" si="11"/>
        <v>3Y</v>
      </c>
      <c r="AC146" s="278">
        <f ca="1">IF(ABS(P146-C146)&gt;SnapshotTolerance,1,0)</f>
        <v>0</v>
      </c>
      <c r="AD146" s="278">
        <f ca="1">IF(ABS(Q146-D146)&gt;SnapshotTolerance,1,0)</f>
        <v>0</v>
      </c>
      <c r="AE146" s="278">
        <f ca="1">IF(ABS(R146-E146)&gt;SnapshotTolerance,1,0)</f>
        <v>0</v>
      </c>
      <c r="AF146" s="278">
        <f ca="1">IF(ABS(S146-F146)&gt;SnapshotTolerance,1,0)</f>
        <v>0</v>
      </c>
      <c r="AG146" s="278">
        <f ca="1">IF(ABS(T146-G146)&gt;SnapshotTolerance,1,0)</f>
        <v>0</v>
      </c>
      <c r="AH146" s="278">
        <f ca="1">IF(ABS(U146-H146)&gt;SnapshotTolerance,1,0)</f>
        <v>0</v>
      </c>
      <c r="AI146" s="278">
        <f ca="1">IF(ABS(V146-I146)&gt;SnapshotTolerance,1,0)</f>
        <v>0</v>
      </c>
      <c r="AJ146" s="278">
        <f ca="1">IF(ABS(W146-J146)&gt;SnapshotTolerance,1,0)</f>
        <v>0</v>
      </c>
      <c r="AK146" s="278">
        <f ca="1">IF(ABS(X146-K146)&gt;SnapshotTolerance,1,0)</f>
        <v>0</v>
      </c>
      <c r="AL146" s="278">
        <f ca="1">IF(ABS(Y146-L146)&gt;SnapshotTolerance,1,0)</f>
        <v>0</v>
      </c>
      <c r="AM146" s="279">
        <f ca="1">IF(ABS(Z146-M146)&gt;SnapshotTolerance,1,0)</f>
        <v>0</v>
      </c>
    </row>
    <row r="147" spans="2:39">
      <c r="B147" s="282" t="str">
        <f>'GBP Swap PVs'!M79</f>
        <v>4Y</v>
      </c>
      <c r="C147" s="278">
        <f ca="1">'GBP Swap PVs'!N79</f>
        <v>-195575.44632915634</v>
      </c>
      <c r="D147" s="278">
        <f ca="1">'GBP Swap PVs'!O79</f>
        <v>-156460.35706332506</v>
      </c>
      <c r="E147" s="278">
        <f ca="1">'GBP Swap PVs'!P79</f>
        <v>-117345.26779749381</v>
      </c>
      <c r="F147" s="278">
        <f ca="1">'GBP Swap PVs'!Q79</f>
        <v>-78230.178531662546</v>
      </c>
      <c r="G147" s="278">
        <f ca="1">'GBP Swap PVs'!R79</f>
        <v>-39115.08926583128</v>
      </c>
      <c r="H147" s="278">
        <f ca="1">'GBP Swap PVs'!S79</f>
        <v>0</v>
      </c>
      <c r="I147" s="278">
        <f ca="1">'GBP Swap PVs'!T79</f>
        <v>39115.089265831251</v>
      </c>
      <c r="J147" s="278">
        <f ca="1">'GBP Swap PVs'!U79</f>
        <v>78230.178531662532</v>
      </c>
      <c r="K147" s="278">
        <f ca="1">'GBP Swap PVs'!V79</f>
        <v>117345.2677974938</v>
      </c>
      <c r="L147" s="278">
        <f ca="1">'GBP Swap PVs'!W79</f>
        <v>156460.35706332506</v>
      </c>
      <c r="M147" s="279">
        <f ca="1">'GBP Swap PVs'!X79</f>
        <v>195575.44632915634</v>
      </c>
      <c r="O147" s="282" t="s">
        <v>35</v>
      </c>
      <c r="P147" s="278">
        <v>-195575.44632915634</v>
      </c>
      <c r="Q147" s="278">
        <v>-156460.35706332506</v>
      </c>
      <c r="R147" s="278">
        <v>-117345.26779749381</v>
      </c>
      <c r="S147" s="278">
        <v>-78230.178531662546</v>
      </c>
      <c r="T147" s="278">
        <v>-39115.08926583128</v>
      </c>
      <c r="U147" s="278">
        <v>0</v>
      </c>
      <c r="V147" s="278">
        <v>39115.089265831251</v>
      </c>
      <c r="W147" s="278">
        <v>78230.178531662532</v>
      </c>
      <c r="X147" s="278">
        <v>117345.2677974938</v>
      </c>
      <c r="Y147" s="278">
        <v>156460.35706332506</v>
      </c>
      <c r="Z147" s="279">
        <v>195575.44632915634</v>
      </c>
      <c r="AB147" s="282" t="str">
        <f t="shared" si="11"/>
        <v>4Y</v>
      </c>
      <c r="AC147" s="278">
        <f ca="1">IF(ABS(P147-C147)&gt;SnapshotTolerance,1,0)</f>
        <v>0</v>
      </c>
      <c r="AD147" s="278">
        <f ca="1">IF(ABS(Q147-D147)&gt;SnapshotTolerance,1,0)</f>
        <v>0</v>
      </c>
      <c r="AE147" s="278">
        <f ca="1">IF(ABS(R147-E147)&gt;SnapshotTolerance,1,0)</f>
        <v>0</v>
      </c>
      <c r="AF147" s="278">
        <f ca="1">IF(ABS(S147-F147)&gt;SnapshotTolerance,1,0)</f>
        <v>0</v>
      </c>
      <c r="AG147" s="278">
        <f ca="1">IF(ABS(T147-G147)&gt;SnapshotTolerance,1,0)</f>
        <v>0</v>
      </c>
      <c r="AH147" s="278">
        <f ca="1">IF(ABS(U147-H147)&gt;SnapshotTolerance,1,0)</f>
        <v>0</v>
      </c>
      <c r="AI147" s="278">
        <f ca="1">IF(ABS(V147-I147)&gt;SnapshotTolerance,1,0)</f>
        <v>0</v>
      </c>
      <c r="AJ147" s="278">
        <f ca="1">IF(ABS(W147-J147)&gt;SnapshotTolerance,1,0)</f>
        <v>0</v>
      </c>
      <c r="AK147" s="278">
        <f ca="1">IF(ABS(X147-K147)&gt;SnapshotTolerance,1,0)</f>
        <v>0</v>
      </c>
      <c r="AL147" s="278">
        <f ca="1">IF(ABS(Y147-L147)&gt;SnapshotTolerance,1,0)</f>
        <v>0</v>
      </c>
      <c r="AM147" s="279">
        <f ca="1">IF(ABS(Z147-M147)&gt;SnapshotTolerance,1,0)</f>
        <v>0</v>
      </c>
    </row>
    <row r="148" spans="2:39">
      <c r="B148" s="282" t="str">
        <f>'GBP Swap PVs'!M80</f>
        <v>5Y</v>
      </c>
      <c r="C148" s="278">
        <f ca="1">'GBP Swap PVs'!N80</f>
        <v>-242183.82059898091</v>
      </c>
      <c r="D148" s="278">
        <f ca="1">'GBP Swap PVs'!O80</f>
        <v>-193747.05647918477</v>
      </c>
      <c r="E148" s="278">
        <f ca="1">'GBP Swap PVs'!P80</f>
        <v>-145310.29235938855</v>
      </c>
      <c r="F148" s="278">
        <f ca="1">'GBP Swap PVs'!Q80</f>
        <v>-96873.528239592386</v>
      </c>
      <c r="G148" s="278">
        <f ca="1">'GBP Swap PVs'!R80</f>
        <v>-48436.764119796193</v>
      </c>
      <c r="H148" s="278">
        <f ca="1">'GBP Swap PVs'!S80</f>
        <v>0</v>
      </c>
      <c r="I148" s="278">
        <f ca="1">'GBP Swap PVs'!T80</f>
        <v>48436.764119796171</v>
      </c>
      <c r="J148" s="278">
        <f ca="1">'GBP Swap PVs'!U80</f>
        <v>96873.528239592357</v>
      </c>
      <c r="K148" s="278">
        <f ca="1">'GBP Swap PVs'!V80</f>
        <v>145310.29235938858</v>
      </c>
      <c r="L148" s="278">
        <f ca="1">'GBP Swap PVs'!W80</f>
        <v>193747.05647918471</v>
      </c>
      <c r="M148" s="279">
        <f ca="1">'GBP Swap PVs'!X80</f>
        <v>242183.82059898094</v>
      </c>
      <c r="O148" s="282" t="s">
        <v>33</v>
      </c>
      <c r="P148" s="278">
        <v>-242183.82059898091</v>
      </c>
      <c r="Q148" s="278">
        <v>-193747.05647918477</v>
      </c>
      <c r="R148" s="278">
        <v>-145310.29235938855</v>
      </c>
      <c r="S148" s="278">
        <v>-96873.528239592386</v>
      </c>
      <c r="T148" s="278">
        <v>-48436.764119796193</v>
      </c>
      <c r="U148" s="278">
        <v>0</v>
      </c>
      <c r="V148" s="278">
        <v>48436.764119796171</v>
      </c>
      <c r="W148" s="278">
        <v>96873.528239592357</v>
      </c>
      <c r="X148" s="278">
        <v>145310.29235938858</v>
      </c>
      <c r="Y148" s="278">
        <v>193747.05647918471</v>
      </c>
      <c r="Z148" s="279">
        <v>242183.82059898094</v>
      </c>
      <c r="AB148" s="282" t="str">
        <f t="shared" si="11"/>
        <v>5Y</v>
      </c>
      <c r="AC148" s="278">
        <f ca="1">IF(ABS(P148-C148)&gt;SnapshotTolerance,1,0)</f>
        <v>0</v>
      </c>
      <c r="AD148" s="278">
        <f ca="1">IF(ABS(Q148-D148)&gt;SnapshotTolerance,1,0)</f>
        <v>0</v>
      </c>
      <c r="AE148" s="278">
        <f ca="1">IF(ABS(R148-E148)&gt;SnapshotTolerance,1,0)</f>
        <v>0</v>
      </c>
      <c r="AF148" s="278">
        <f ca="1">IF(ABS(S148-F148)&gt;SnapshotTolerance,1,0)</f>
        <v>0</v>
      </c>
      <c r="AG148" s="278">
        <f ca="1">IF(ABS(T148-G148)&gt;SnapshotTolerance,1,0)</f>
        <v>0</v>
      </c>
      <c r="AH148" s="278">
        <f ca="1">IF(ABS(U148-H148)&gt;SnapshotTolerance,1,0)</f>
        <v>0</v>
      </c>
      <c r="AI148" s="278">
        <f ca="1">IF(ABS(V148-I148)&gt;SnapshotTolerance,1,0)</f>
        <v>0</v>
      </c>
      <c r="AJ148" s="278">
        <f ca="1">IF(ABS(W148-J148)&gt;SnapshotTolerance,1,0)</f>
        <v>0</v>
      </c>
      <c r="AK148" s="278">
        <f ca="1">IF(ABS(X148-K148)&gt;SnapshotTolerance,1,0)</f>
        <v>0</v>
      </c>
      <c r="AL148" s="278">
        <f ca="1">IF(ABS(Y148-L148)&gt;SnapshotTolerance,1,0)</f>
        <v>0</v>
      </c>
      <c r="AM148" s="279">
        <f ca="1">IF(ABS(Z148-M148)&gt;SnapshotTolerance,1,0)</f>
        <v>0</v>
      </c>
    </row>
    <row r="149" spans="2:39">
      <c r="B149" s="282" t="str">
        <f>'GBP Swap PVs'!M81</f>
        <v>6Y</v>
      </c>
      <c r="C149" s="278">
        <f ca="1">'GBP Swap PVs'!N81</f>
        <v>-287881.48220303049</v>
      </c>
      <c r="D149" s="278">
        <f ca="1">'GBP Swap PVs'!O81</f>
        <v>-230305.18576242443</v>
      </c>
      <c r="E149" s="278">
        <f ca="1">'GBP Swap PVs'!P81</f>
        <v>-172728.88932181834</v>
      </c>
      <c r="F149" s="278">
        <f ca="1">'GBP Swap PVs'!Q81</f>
        <v>-115152.59288121224</v>
      </c>
      <c r="G149" s="278">
        <f ca="1">'GBP Swap PVs'!R81</f>
        <v>-57576.296440606107</v>
      </c>
      <c r="H149" s="278">
        <f ca="1">'GBP Swap PVs'!S81</f>
        <v>0</v>
      </c>
      <c r="I149" s="278">
        <f ca="1">'GBP Swap PVs'!T81</f>
        <v>57576.296440606078</v>
      </c>
      <c r="J149" s="278">
        <f ca="1">'GBP Swap PVs'!U81</f>
        <v>115152.59288121219</v>
      </c>
      <c r="K149" s="278">
        <f ca="1">'GBP Swap PVs'!V81</f>
        <v>172728.88932181828</v>
      </c>
      <c r="L149" s="278">
        <f ca="1">'GBP Swap PVs'!W81</f>
        <v>230305.18576242437</v>
      </c>
      <c r="M149" s="279">
        <f ca="1">'GBP Swap PVs'!X81</f>
        <v>287881.48220303055</v>
      </c>
      <c r="O149" s="282" t="s">
        <v>131</v>
      </c>
      <c r="P149" s="278">
        <v>-287881.48220303049</v>
      </c>
      <c r="Q149" s="278">
        <v>-230305.18576242443</v>
      </c>
      <c r="R149" s="278">
        <v>-172728.88932181834</v>
      </c>
      <c r="S149" s="278">
        <v>-115152.59288121224</v>
      </c>
      <c r="T149" s="278">
        <v>-57576.296440606107</v>
      </c>
      <c r="U149" s="278">
        <v>0</v>
      </c>
      <c r="V149" s="278">
        <v>57576.296440606078</v>
      </c>
      <c r="W149" s="278">
        <v>115152.59288121219</v>
      </c>
      <c r="X149" s="278">
        <v>172728.88932181828</v>
      </c>
      <c r="Y149" s="278">
        <v>230305.18576242437</v>
      </c>
      <c r="Z149" s="279">
        <v>287881.48220303055</v>
      </c>
      <c r="AB149" s="282" t="str">
        <f t="shared" si="11"/>
        <v>6Y</v>
      </c>
      <c r="AC149" s="278">
        <f ca="1">IF(ABS(P149-C149)&gt;SnapshotTolerance,1,0)</f>
        <v>0</v>
      </c>
      <c r="AD149" s="278">
        <f ca="1">IF(ABS(Q149-D149)&gt;SnapshotTolerance,1,0)</f>
        <v>0</v>
      </c>
      <c r="AE149" s="278">
        <f ca="1">IF(ABS(R149-E149)&gt;SnapshotTolerance,1,0)</f>
        <v>0</v>
      </c>
      <c r="AF149" s="278">
        <f ca="1">IF(ABS(S149-F149)&gt;SnapshotTolerance,1,0)</f>
        <v>0</v>
      </c>
      <c r="AG149" s="278">
        <f ca="1">IF(ABS(T149-G149)&gt;SnapshotTolerance,1,0)</f>
        <v>0</v>
      </c>
      <c r="AH149" s="278">
        <f ca="1">IF(ABS(U149-H149)&gt;SnapshotTolerance,1,0)</f>
        <v>0</v>
      </c>
      <c r="AI149" s="278">
        <f ca="1">IF(ABS(V149-I149)&gt;SnapshotTolerance,1,0)</f>
        <v>0</v>
      </c>
      <c r="AJ149" s="278">
        <f ca="1">IF(ABS(W149-J149)&gt;SnapshotTolerance,1,0)</f>
        <v>0</v>
      </c>
      <c r="AK149" s="278">
        <f ca="1">IF(ABS(X149-K149)&gt;SnapshotTolerance,1,0)</f>
        <v>0</v>
      </c>
      <c r="AL149" s="278">
        <f ca="1">IF(ABS(Y149-L149)&gt;SnapshotTolerance,1,0)</f>
        <v>0</v>
      </c>
      <c r="AM149" s="279">
        <f ca="1">IF(ABS(Z149-M149)&gt;SnapshotTolerance,1,0)</f>
        <v>0</v>
      </c>
    </row>
    <row r="150" spans="2:39">
      <c r="B150" s="282" t="str">
        <f>'GBP Swap PVs'!M82</f>
        <v>7Y</v>
      </c>
      <c r="C150" s="278">
        <f ca="1">'GBP Swap PVs'!N82</f>
        <v>-332503.98096674302</v>
      </c>
      <c r="D150" s="278">
        <f ca="1">'GBP Swap PVs'!O82</f>
        <v>-266003.18477339449</v>
      </c>
      <c r="E150" s="278">
        <f ca="1">'GBP Swap PVs'!P82</f>
        <v>-199502.3885800459</v>
      </c>
      <c r="F150" s="278">
        <f ca="1">'GBP Swap PVs'!Q82</f>
        <v>-133001.59238669727</v>
      </c>
      <c r="G150" s="278">
        <f ca="1">'GBP Swap PVs'!R82</f>
        <v>-66500.796193348622</v>
      </c>
      <c r="H150" s="278">
        <f ca="1">'GBP Swap PVs'!S82</f>
        <v>0</v>
      </c>
      <c r="I150" s="278">
        <f ca="1">'GBP Swap PVs'!T82</f>
        <v>66500.796193348593</v>
      </c>
      <c r="J150" s="278">
        <f ca="1">'GBP Swap PVs'!U82</f>
        <v>133001.59238669724</v>
      </c>
      <c r="K150" s="278">
        <f ca="1">'GBP Swap PVs'!V82</f>
        <v>199502.38858004584</v>
      </c>
      <c r="L150" s="278">
        <f ca="1">'GBP Swap PVs'!W82</f>
        <v>266003.18477339449</v>
      </c>
      <c r="M150" s="279">
        <f ca="1">'GBP Swap PVs'!X82</f>
        <v>332503.98096674308</v>
      </c>
      <c r="O150" s="282" t="s">
        <v>31</v>
      </c>
      <c r="P150" s="278">
        <v>-332503.98096674302</v>
      </c>
      <c r="Q150" s="278">
        <v>-266003.18477339449</v>
      </c>
      <c r="R150" s="278">
        <v>-199502.3885800459</v>
      </c>
      <c r="S150" s="278">
        <v>-133001.59238669727</v>
      </c>
      <c r="T150" s="278">
        <v>-66500.796193348622</v>
      </c>
      <c r="U150" s="278">
        <v>0</v>
      </c>
      <c r="V150" s="278">
        <v>66500.796193348593</v>
      </c>
      <c r="W150" s="278">
        <v>133001.59238669724</v>
      </c>
      <c r="X150" s="278">
        <v>199502.38858004584</v>
      </c>
      <c r="Y150" s="278">
        <v>266003.18477339449</v>
      </c>
      <c r="Z150" s="279">
        <v>332503.98096674308</v>
      </c>
      <c r="AB150" s="282" t="str">
        <f t="shared" si="11"/>
        <v>7Y</v>
      </c>
      <c r="AC150" s="278">
        <f ca="1">IF(ABS(P150-C150)&gt;SnapshotTolerance,1,0)</f>
        <v>0</v>
      </c>
      <c r="AD150" s="278">
        <f ca="1">IF(ABS(Q150-D150)&gt;SnapshotTolerance,1,0)</f>
        <v>0</v>
      </c>
      <c r="AE150" s="278">
        <f ca="1">IF(ABS(R150-E150)&gt;SnapshotTolerance,1,0)</f>
        <v>0</v>
      </c>
      <c r="AF150" s="278">
        <f ca="1">IF(ABS(S150-F150)&gt;SnapshotTolerance,1,0)</f>
        <v>0</v>
      </c>
      <c r="AG150" s="278">
        <f ca="1">IF(ABS(T150-G150)&gt;SnapshotTolerance,1,0)</f>
        <v>0</v>
      </c>
      <c r="AH150" s="278">
        <f ca="1">IF(ABS(U150-H150)&gt;SnapshotTolerance,1,0)</f>
        <v>0</v>
      </c>
      <c r="AI150" s="278">
        <f ca="1">IF(ABS(V150-I150)&gt;SnapshotTolerance,1,0)</f>
        <v>0</v>
      </c>
      <c r="AJ150" s="278">
        <f ca="1">IF(ABS(W150-J150)&gt;SnapshotTolerance,1,0)</f>
        <v>0</v>
      </c>
      <c r="AK150" s="278">
        <f ca="1">IF(ABS(X150-K150)&gt;SnapshotTolerance,1,0)</f>
        <v>0</v>
      </c>
      <c r="AL150" s="278">
        <f ca="1">IF(ABS(Y150-L150)&gt;SnapshotTolerance,1,0)</f>
        <v>0</v>
      </c>
      <c r="AM150" s="279">
        <f ca="1">IF(ABS(Z150-M150)&gt;SnapshotTolerance,1,0)</f>
        <v>0</v>
      </c>
    </row>
    <row r="151" spans="2:39">
      <c r="B151" s="282" t="str">
        <f>'GBP Swap PVs'!M83</f>
        <v>8Y</v>
      </c>
      <c r="C151" s="278">
        <f ca="1">'GBP Swap PVs'!N83</f>
        <v>-376035.413937465</v>
      </c>
      <c r="D151" s="278">
        <f ca="1">'GBP Swap PVs'!O83</f>
        <v>-300828.33114997199</v>
      </c>
      <c r="E151" s="278">
        <f ca="1">'GBP Swap PVs'!P83</f>
        <v>-225621.24836247903</v>
      </c>
      <c r="F151" s="278">
        <f ca="1">'GBP Swap PVs'!Q83</f>
        <v>-150414.16557498605</v>
      </c>
      <c r="G151" s="278">
        <f ca="1">'GBP Swap PVs'!R83</f>
        <v>-75207.082787492996</v>
      </c>
      <c r="H151" s="278">
        <f ca="1">'GBP Swap PVs'!S83</f>
        <v>0</v>
      </c>
      <c r="I151" s="278">
        <f ca="1">'GBP Swap PVs'!T83</f>
        <v>75207.082787492996</v>
      </c>
      <c r="J151" s="278">
        <f ca="1">'GBP Swap PVs'!U83</f>
        <v>150414.16557498602</v>
      </c>
      <c r="K151" s="278">
        <f ca="1">'GBP Swap PVs'!V83</f>
        <v>225621.24836247903</v>
      </c>
      <c r="L151" s="278">
        <f ca="1">'GBP Swap PVs'!W83</f>
        <v>300828.33114997199</v>
      </c>
      <c r="M151" s="279">
        <f ca="1">'GBP Swap PVs'!X83</f>
        <v>376035.41393746511</v>
      </c>
      <c r="O151" s="282" t="s">
        <v>119</v>
      </c>
      <c r="P151" s="278">
        <v>-376035.413937465</v>
      </c>
      <c r="Q151" s="278">
        <v>-300828.33114997199</v>
      </c>
      <c r="R151" s="278">
        <v>-225621.24836247903</v>
      </c>
      <c r="S151" s="278">
        <v>-150414.16557498605</v>
      </c>
      <c r="T151" s="278">
        <v>-75207.082787492996</v>
      </c>
      <c r="U151" s="278">
        <v>0</v>
      </c>
      <c r="V151" s="278">
        <v>75207.082787492996</v>
      </c>
      <c r="W151" s="278">
        <v>150414.16557498602</v>
      </c>
      <c r="X151" s="278">
        <v>225621.24836247903</v>
      </c>
      <c r="Y151" s="278">
        <v>300828.33114997199</v>
      </c>
      <c r="Z151" s="279">
        <v>376035.41393746511</v>
      </c>
      <c r="AB151" s="282" t="str">
        <f t="shared" si="11"/>
        <v>8Y</v>
      </c>
      <c r="AC151" s="278">
        <f ca="1">IF(ABS(P151-C151)&gt;SnapshotTolerance,1,0)</f>
        <v>0</v>
      </c>
      <c r="AD151" s="278">
        <f ca="1">IF(ABS(Q151-D151)&gt;SnapshotTolerance,1,0)</f>
        <v>0</v>
      </c>
      <c r="AE151" s="278">
        <f ca="1">IF(ABS(R151-E151)&gt;SnapshotTolerance,1,0)</f>
        <v>0</v>
      </c>
      <c r="AF151" s="278">
        <f ca="1">IF(ABS(S151-F151)&gt;SnapshotTolerance,1,0)</f>
        <v>0</v>
      </c>
      <c r="AG151" s="278">
        <f ca="1">IF(ABS(T151-G151)&gt;SnapshotTolerance,1,0)</f>
        <v>0</v>
      </c>
      <c r="AH151" s="278">
        <f ca="1">IF(ABS(U151-H151)&gt;SnapshotTolerance,1,0)</f>
        <v>0</v>
      </c>
      <c r="AI151" s="278">
        <f ca="1">IF(ABS(V151-I151)&gt;SnapshotTolerance,1,0)</f>
        <v>0</v>
      </c>
      <c r="AJ151" s="278">
        <f ca="1">IF(ABS(W151-J151)&gt;SnapshotTolerance,1,0)</f>
        <v>0</v>
      </c>
      <c r="AK151" s="278">
        <f ca="1">IF(ABS(X151-K151)&gt;SnapshotTolerance,1,0)</f>
        <v>0</v>
      </c>
      <c r="AL151" s="278">
        <f ca="1">IF(ABS(Y151-L151)&gt;SnapshotTolerance,1,0)</f>
        <v>0</v>
      </c>
      <c r="AM151" s="279">
        <f ca="1">IF(ABS(Z151-M151)&gt;SnapshotTolerance,1,0)</f>
        <v>0</v>
      </c>
    </row>
    <row r="152" spans="2:39">
      <c r="B152" s="282" t="str">
        <f>'GBP Swap PVs'!M84</f>
        <v>9Y</v>
      </c>
      <c r="C152" s="278">
        <f ca="1">'GBP Swap PVs'!N84</f>
        <v>-418823.01881965064</v>
      </c>
      <c r="D152" s="278">
        <f ca="1">'GBP Swap PVs'!O84</f>
        <v>-335058.41505572048</v>
      </c>
      <c r="E152" s="278">
        <f ca="1">'GBP Swap PVs'!P84</f>
        <v>-251293.81129179039</v>
      </c>
      <c r="F152" s="278">
        <f ca="1">'GBP Swap PVs'!Q84</f>
        <v>-167529.20752786033</v>
      </c>
      <c r="G152" s="278">
        <f ca="1">'GBP Swap PVs'!R84</f>
        <v>-83764.603763930136</v>
      </c>
      <c r="H152" s="278">
        <f ca="1">'GBP Swap PVs'!S84</f>
        <v>0</v>
      </c>
      <c r="I152" s="278">
        <f ca="1">'GBP Swap PVs'!T84</f>
        <v>83764.603763930107</v>
      </c>
      <c r="J152" s="278">
        <f ca="1">'GBP Swap PVs'!U84</f>
        <v>167529.20752786024</v>
      </c>
      <c r="K152" s="278">
        <f ca="1">'GBP Swap PVs'!V84</f>
        <v>251293.81129179039</v>
      </c>
      <c r="L152" s="278">
        <f ca="1">'GBP Swap PVs'!W84</f>
        <v>335058.41505572048</v>
      </c>
      <c r="M152" s="279">
        <f ca="1">'GBP Swap PVs'!X84</f>
        <v>418823.01881965069</v>
      </c>
      <c r="O152" s="282" t="s">
        <v>113</v>
      </c>
      <c r="P152" s="278">
        <v>-418823.01881965064</v>
      </c>
      <c r="Q152" s="278">
        <v>-335058.41505572048</v>
      </c>
      <c r="R152" s="278">
        <v>-251293.81129179039</v>
      </c>
      <c r="S152" s="278">
        <v>-167529.20752786033</v>
      </c>
      <c r="T152" s="278">
        <v>-83764.603763930136</v>
      </c>
      <c r="U152" s="278">
        <v>0</v>
      </c>
      <c r="V152" s="278">
        <v>83764.603763930107</v>
      </c>
      <c r="W152" s="278">
        <v>167529.20752786024</v>
      </c>
      <c r="X152" s="278">
        <v>251293.81129179039</v>
      </c>
      <c r="Y152" s="278">
        <v>335058.41505572048</v>
      </c>
      <c r="Z152" s="279">
        <v>418823.01881965069</v>
      </c>
      <c r="AB152" s="282" t="str">
        <f t="shared" si="11"/>
        <v>9Y</v>
      </c>
      <c r="AC152" s="278">
        <f ca="1">IF(ABS(P152-C152)&gt;SnapshotTolerance,1,0)</f>
        <v>0</v>
      </c>
      <c r="AD152" s="278">
        <f ca="1">IF(ABS(Q152-D152)&gt;SnapshotTolerance,1,0)</f>
        <v>0</v>
      </c>
      <c r="AE152" s="278">
        <f ca="1">IF(ABS(R152-E152)&gt;SnapshotTolerance,1,0)</f>
        <v>0</v>
      </c>
      <c r="AF152" s="278">
        <f ca="1">IF(ABS(S152-F152)&gt;SnapshotTolerance,1,0)</f>
        <v>0</v>
      </c>
      <c r="AG152" s="278">
        <f ca="1">IF(ABS(T152-G152)&gt;SnapshotTolerance,1,0)</f>
        <v>0</v>
      </c>
      <c r="AH152" s="278">
        <f ca="1">IF(ABS(U152-H152)&gt;SnapshotTolerance,1,0)</f>
        <v>0</v>
      </c>
      <c r="AI152" s="278">
        <f ca="1">IF(ABS(V152-I152)&gt;SnapshotTolerance,1,0)</f>
        <v>0</v>
      </c>
      <c r="AJ152" s="278">
        <f ca="1">IF(ABS(W152-J152)&gt;SnapshotTolerance,1,0)</f>
        <v>0</v>
      </c>
      <c r="AK152" s="278">
        <f ca="1">IF(ABS(X152-K152)&gt;SnapshotTolerance,1,0)</f>
        <v>0</v>
      </c>
      <c r="AL152" s="278">
        <f ca="1">IF(ABS(Y152-L152)&gt;SnapshotTolerance,1,0)</f>
        <v>0</v>
      </c>
      <c r="AM152" s="279">
        <f ca="1">IF(ABS(Z152-M152)&gt;SnapshotTolerance,1,0)</f>
        <v>0</v>
      </c>
    </row>
    <row r="153" spans="2:39">
      <c r="B153" s="282" t="str">
        <f>'GBP Swap PVs'!M85</f>
        <v>10Y</v>
      </c>
      <c r="C153" s="278">
        <f ca="1">'GBP Swap PVs'!N85</f>
        <v>-460063.14960164647</v>
      </c>
      <c r="D153" s="278">
        <f ca="1">'GBP Swap PVs'!O85</f>
        <v>-368050.51968131715</v>
      </c>
      <c r="E153" s="278">
        <f ca="1">'GBP Swap PVs'!P85</f>
        <v>-276037.88976098789</v>
      </c>
      <c r="F153" s="278">
        <f ca="1">'GBP Swap PVs'!Q85</f>
        <v>-184025.25984065866</v>
      </c>
      <c r="G153" s="278">
        <f ca="1">'GBP Swap PVs'!R85</f>
        <v>-92012.629920329273</v>
      </c>
      <c r="H153" s="278">
        <f ca="1">'GBP Swap PVs'!S85</f>
        <v>0</v>
      </c>
      <c r="I153" s="278">
        <f ca="1">'GBP Swap PVs'!T85</f>
        <v>92012.629920329302</v>
      </c>
      <c r="J153" s="278">
        <f ca="1">'GBP Swap PVs'!U85</f>
        <v>184025.2598406586</v>
      </c>
      <c r="K153" s="278">
        <f ca="1">'GBP Swap PVs'!V85</f>
        <v>276037.88976098789</v>
      </c>
      <c r="L153" s="278">
        <f ca="1">'GBP Swap PVs'!W85</f>
        <v>368050.51968131721</v>
      </c>
      <c r="M153" s="279">
        <f ca="1">'GBP Swap PVs'!X85</f>
        <v>460063.14960164658</v>
      </c>
      <c r="O153" s="282" t="s">
        <v>28</v>
      </c>
      <c r="P153" s="278">
        <v>-460063.14960164647</v>
      </c>
      <c r="Q153" s="278">
        <v>-368050.51968131715</v>
      </c>
      <c r="R153" s="278">
        <v>-276037.88976098789</v>
      </c>
      <c r="S153" s="278">
        <v>-184025.25984065866</v>
      </c>
      <c r="T153" s="278">
        <v>-92012.629920329273</v>
      </c>
      <c r="U153" s="278">
        <v>0</v>
      </c>
      <c r="V153" s="278">
        <v>92012.629920329302</v>
      </c>
      <c r="W153" s="278">
        <v>184025.2598406586</v>
      </c>
      <c r="X153" s="278">
        <v>276037.88976098789</v>
      </c>
      <c r="Y153" s="278">
        <v>368050.51968131721</v>
      </c>
      <c r="Z153" s="279">
        <v>460063.14960164658</v>
      </c>
      <c r="AB153" s="282" t="str">
        <f t="shared" si="11"/>
        <v>10Y</v>
      </c>
      <c r="AC153" s="278">
        <f ca="1">IF(ABS(P153-C153)&gt;SnapshotTolerance,1,0)</f>
        <v>0</v>
      </c>
      <c r="AD153" s="278">
        <f ca="1">IF(ABS(Q153-D153)&gt;SnapshotTolerance,1,0)</f>
        <v>0</v>
      </c>
      <c r="AE153" s="278">
        <f ca="1">IF(ABS(R153-E153)&gt;SnapshotTolerance,1,0)</f>
        <v>0</v>
      </c>
      <c r="AF153" s="278">
        <f ca="1">IF(ABS(S153-F153)&gt;SnapshotTolerance,1,0)</f>
        <v>0</v>
      </c>
      <c r="AG153" s="278">
        <f ca="1">IF(ABS(T153-G153)&gt;SnapshotTolerance,1,0)</f>
        <v>0</v>
      </c>
      <c r="AH153" s="278">
        <f ca="1">IF(ABS(U153-H153)&gt;SnapshotTolerance,1,0)</f>
        <v>0</v>
      </c>
      <c r="AI153" s="278">
        <f ca="1">IF(ABS(V153-I153)&gt;SnapshotTolerance,1,0)</f>
        <v>0</v>
      </c>
      <c r="AJ153" s="278">
        <f ca="1">IF(ABS(W153-J153)&gt;SnapshotTolerance,1,0)</f>
        <v>0</v>
      </c>
      <c r="AK153" s="278">
        <f ca="1">IF(ABS(X153-K153)&gt;SnapshotTolerance,1,0)</f>
        <v>0</v>
      </c>
      <c r="AL153" s="278">
        <f ca="1">IF(ABS(Y153-L153)&gt;SnapshotTolerance,1,0)</f>
        <v>0</v>
      </c>
      <c r="AM153" s="279">
        <f ca="1">IF(ABS(Z153-M153)&gt;SnapshotTolerance,1,0)</f>
        <v>0</v>
      </c>
    </row>
    <row r="154" spans="2:39">
      <c r="B154" s="282" t="str">
        <f>'GBP Swap PVs'!M86</f>
        <v>12Y</v>
      </c>
      <c r="C154" s="278">
        <f ca="1">'GBP Swap PVs'!N86</f>
        <v>-539399.29946624534</v>
      </c>
      <c r="D154" s="278">
        <f ca="1">'GBP Swap PVs'!O86</f>
        <v>-431519.43957299629</v>
      </c>
      <c r="E154" s="278">
        <f ca="1">'GBP Swap PVs'!P86</f>
        <v>-323639.57967974729</v>
      </c>
      <c r="F154" s="278">
        <f ca="1">'GBP Swap PVs'!Q86</f>
        <v>-215759.71978649823</v>
      </c>
      <c r="G154" s="278">
        <f ca="1">'GBP Swap PVs'!R86</f>
        <v>-107879.85989324906</v>
      </c>
      <c r="H154" s="278">
        <f ca="1">'GBP Swap PVs'!S86</f>
        <v>0</v>
      </c>
      <c r="I154" s="278">
        <f ca="1">'GBP Swap PVs'!T86</f>
        <v>107879.85989324911</v>
      </c>
      <c r="J154" s="278">
        <f ca="1">'GBP Swap PVs'!U86</f>
        <v>215759.71978649823</v>
      </c>
      <c r="K154" s="278">
        <f ca="1">'GBP Swap PVs'!V86</f>
        <v>323639.57967974734</v>
      </c>
      <c r="L154" s="278">
        <f ca="1">'GBP Swap PVs'!W86</f>
        <v>431519.4395729964</v>
      </c>
      <c r="M154" s="279">
        <f ca="1">'GBP Swap PVs'!X86</f>
        <v>539399.29946624557</v>
      </c>
      <c r="O154" s="282" t="s">
        <v>26</v>
      </c>
      <c r="P154" s="278">
        <v>-539399.29946624534</v>
      </c>
      <c r="Q154" s="278">
        <v>-431519.43957299629</v>
      </c>
      <c r="R154" s="278">
        <v>-323639.57967974729</v>
      </c>
      <c r="S154" s="278">
        <v>-215759.71978649823</v>
      </c>
      <c r="T154" s="278">
        <v>-107879.85989324906</v>
      </c>
      <c r="U154" s="278">
        <v>0</v>
      </c>
      <c r="V154" s="278">
        <v>107879.85989324911</v>
      </c>
      <c r="W154" s="278">
        <v>215759.71978649823</v>
      </c>
      <c r="X154" s="278">
        <v>323639.57967974734</v>
      </c>
      <c r="Y154" s="278">
        <v>431519.4395729964</v>
      </c>
      <c r="Z154" s="279">
        <v>539399.29946624557</v>
      </c>
      <c r="AB154" s="282" t="str">
        <f t="shared" si="11"/>
        <v>12Y</v>
      </c>
      <c r="AC154" s="278">
        <f ca="1">IF(ABS(P154-C154)&gt;SnapshotTolerance,1,0)</f>
        <v>0</v>
      </c>
      <c r="AD154" s="278">
        <f ca="1">IF(ABS(Q154-D154)&gt;SnapshotTolerance,1,0)</f>
        <v>0</v>
      </c>
      <c r="AE154" s="278">
        <f ca="1">IF(ABS(R154-E154)&gt;SnapshotTolerance,1,0)</f>
        <v>0</v>
      </c>
      <c r="AF154" s="278">
        <f ca="1">IF(ABS(S154-F154)&gt;SnapshotTolerance,1,0)</f>
        <v>0</v>
      </c>
      <c r="AG154" s="278">
        <f ca="1">IF(ABS(T154-G154)&gt;SnapshotTolerance,1,0)</f>
        <v>0</v>
      </c>
      <c r="AH154" s="278">
        <f ca="1">IF(ABS(U154-H154)&gt;SnapshotTolerance,1,0)</f>
        <v>0</v>
      </c>
      <c r="AI154" s="278">
        <f ca="1">IF(ABS(V154-I154)&gt;SnapshotTolerance,1,0)</f>
        <v>0</v>
      </c>
      <c r="AJ154" s="278">
        <f ca="1">IF(ABS(W154-J154)&gt;SnapshotTolerance,1,0)</f>
        <v>0</v>
      </c>
      <c r="AK154" s="278">
        <f ca="1">IF(ABS(X154-K154)&gt;SnapshotTolerance,1,0)</f>
        <v>0</v>
      </c>
      <c r="AL154" s="278">
        <f ca="1">IF(ABS(Y154-L154)&gt;SnapshotTolerance,1,0)</f>
        <v>0</v>
      </c>
      <c r="AM154" s="279">
        <f ca="1">IF(ABS(Z154-M154)&gt;SnapshotTolerance,1,0)</f>
        <v>0</v>
      </c>
    </row>
    <row r="155" spans="2:39">
      <c r="B155" s="282" t="str">
        <f>'GBP Swap PVs'!M87</f>
        <v>15Y</v>
      </c>
      <c r="C155" s="278">
        <f ca="1">'GBP Swap PVs'!N87</f>
        <v>-650948.40440974885</v>
      </c>
      <c r="D155" s="278">
        <f ca="1">'GBP Swap PVs'!O87</f>
        <v>-520758.72352779895</v>
      </c>
      <c r="E155" s="278">
        <f ca="1">'GBP Swap PVs'!P87</f>
        <v>-390569.04264584935</v>
      </c>
      <c r="F155" s="278">
        <f ca="1">'GBP Swap PVs'!Q87</f>
        <v>-260379.36176389965</v>
      </c>
      <c r="G155" s="278">
        <f ca="1">'GBP Swap PVs'!R87</f>
        <v>-130189.68088194971</v>
      </c>
      <c r="H155" s="278">
        <f ca="1">'GBP Swap PVs'!S87</f>
        <v>0</v>
      </c>
      <c r="I155" s="278">
        <f ca="1">'GBP Swap PVs'!T87</f>
        <v>130189.6808819498</v>
      </c>
      <c r="J155" s="278">
        <f ca="1">'GBP Swap PVs'!U87</f>
        <v>260379.36176389959</v>
      </c>
      <c r="K155" s="278">
        <f ca="1">'GBP Swap PVs'!V87</f>
        <v>390569.0426458494</v>
      </c>
      <c r="L155" s="278">
        <f ca="1">'GBP Swap PVs'!W87</f>
        <v>520758.72352779919</v>
      </c>
      <c r="M155" s="279">
        <f ca="1">'GBP Swap PVs'!X87</f>
        <v>650948.40440974897</v>
      </c>
      <c r="O155" s="282" t="s">
        <v>24</v>
      </c>
      <c r="P155" s="278">
        <v>-650948.40440974885</v>
      </c>
      <c r="Q155" s="278">
        <v>-520758.72352779895</v>
      </c>
      <c r="R155" s="278">
        <v>-390569.04264584935</v>
      </c>
      <c r="S155" s="278">
        <v>-260379.36176389965</v>
      </c>
      <c r="T155" s="278">
        <v>-130189.68088194971</v>
      </c>
      <c r="U155" s="278">
        <v>0</v>
      </c>
      <c r="V155" s="278">
        <v>130189.6808819498</v>
      </c>
      <c r="W155" s="278">
        <v>260379.36176389959</v>
      </c>
      <c r="X155" s="278">
        <v>390569.0426458494</v>
      </c>
      <c r="Y155" s="278">
        <v>520758.72352779919</v>
      </c>
      <c r="Z155" s="279">
        <v>650948.40440974897</v>
      </c>
      <c r="AB155" s="282" t="str">
        <f t="shared" si="11"/>
        <v>15Y</v>
      </c>
      <c r="AC155" s="278">
        <f ca="1">IF(ABS(P155-C155)&gt;SnapshotTolerance,1,0)</f>
        <v>0</v>
      </c>
      <c r="AD155" s="278">
        <f ca="1">IF(ABS(Q155-D155)&gt;SnapshotTolerance,1,0)</f>
        <v>0</v>
      </c>
      <c r="AE155" s="278">
        <f ca="1">IF(ABS(R155-E155)&gt;SnapshotTolerance,1,0)</f>
        <v>0</v>
      </c>
      <c r="AF155" s="278">
        <f ca="1">IF(ABS(S155-F155)&gt;SnapshotTolerance,1,0)</f>
        <v>0</v>
      </c>
      <c r="AG155" s="278">
        <f ca="1">IF(ABS(T155-G155)&gt;SnapshotTolerance,1,0)</f>
        <v>0</v>
      </c>
      <c r="AH155" s="278">
        <f ca="1">IF(ABS(U155-H155)&gt;SnapshotTolerance,1,0)</f>
        <v>0</v>
      </c>
      <c r="AI155" s="278">
        <f ca="1">IF(ABS(V155-I155)&gt;SnapshotTolerance,1,0)</f>
        <v>0</v>
      </c>
      <c r="AJ155" s="278">
        <f ca="1">IF(ABS(W155-J155)&gt;SnapshotTolerance,1,0)</f>
        <v>0</v>
      </c>
      <c r="AK155" s="278">
        <f ca="1">IF(ABS(X155-K155)&gt;SnapshotTolerance,1,0)</f>
        <v>0</v>
      </c>
      <c r="AL155" s="278">
        <f ca="1">IF(ABS(Y155-L155)&gt;SnapshotTolerance,1,0)</f>
        <v>0</v>
      </c>
      <c r="AM155" s="279">
        <f ca="1">IF(ABS(Z155-M155)&gt;SnapshotTolerance,1,0)</f>
        <v>0</v>
      </c>
    </row>
    <row r="156" spans="2:39">
      <c r="B156" s="282" t="str">
        <f>'GBP Swap PVs'!M88</f>
        <v>20Y</v>
      </c>
      <c r="C156" s="278">
        <f ca="1">'GBP Swap PVs'!N88</f>
        <v>-817421.3529675263</v>
      </c>
      <c r="D156" s="278">
        <f ca="1">'GBP Swap PVs'!O88</f>
        <v>-653937.08237402071</v>
      </c>
      <c r="E156" s="278">
        <f ca="1">'GBP Swap PVs'!P88</f>
        <v>-490452.81178051559</v>
      </c>
      <c r="F156" s="278">
        <f ca="1">'GBP Swap PVs'!Q88</f>
        <v>-326968.54118701047</v>
      </c>
      <c r="G156" s="278">
        <f ca="1">'GBP Swap PVs'!R88</f>
        <v>-163484.270593505</v>
      </c>
      <c r="H156" s="278">
        <f ca="1">'GBP Swap PVs'!S88</f>
        <v>0</v>
      </c>
      <c r="I156" s="278">
        <f ca="1">'GBP Swap PVs'!T88</f>
        <v>163484.27059350524</v>
      </c>
      <c r="J156" s="278">
        <f ca="1">'GBP Swap PVs'!U88</f>
        <v>326968.54118701047</v>
      </c>
      <c r="K156" s="278">
        <f ca="1">'GBP Swap PVs'!V88</f>
        <v>490452.81178051577</v>
      </c>
      <c r="L156" s="278">
        <f ca="1">'GBP Swap PVs'!W88</f>
        <v>653937.08237402095</v>
      </c>
      <c r="M156" s="279">
        <f ca="1">'GBP Swap PVs'!X88</f>
        <v>817421.35296752618</v>
      </c>
      <c r="O156" s="282" t="s">
        <v>20</v>
      </c>
      <c r="P156" s="278">
        <v>-817421.3529675263</v>
      </c>
      <c r="Q156" s="278">
        <v>-653937.08237402071</v>
      </c>
      <c r="R156" s="278">
        <v>-490452.81178051559</v>
      </c>
      <c r="S156" s="278">
        <v>-326968.54118701047</v>
      </c>
      <c r="T156" s="278">
        <v>-163484.270593505</v>
      </c>
      <c r="U156" s="278">
        <v>0</v>
      </c>
      <c r="V156" s="278">
        <v>163484.27059350524</v>
      </c>
      <c r="W156" s="278">
        <v>326968.54118701047</v>
      </c>
      <c r="X156" s="278">
        <v>490452.81178051577</v>
      </c>
      <c r="Y156" s="278">
        <v>653937.08237402095</v>
      </c>
      <c r="Z156" s="279">
        <v>817421.35296752618</v>
      </c>
      <c r="AB156" s="282" t="str">
        <f t="shared" si="11"/>
        <v>20Y</v>
      </c>
      <c r="AC156" s="278">
        <f ca="1">IF(ABS(P156-C156)&gt;SnapshotTolerance,1,0)</f>
        <v>0</v>
      </c>
      <c r="AD156" s="278">
        <f ca="1">IF(ABS(Q156-D156)&gt;SnapshotTolerance,1,0)</f>
        <v>0</v>
      </c>
      <c r="AE156" s="278">
        <f ca="1">IF(ABS(R156-E156)&gt;SnapshotTolerance,1,0)</f>
        <v>0</v>
      </c>
      <c r="AF156" s="278">
        <f ca="1">IF(ABS(S156-F156)&gt;SnapshotTolerance,1,0)</f>
        <v>0</v>
      </c>
      <c r="AG156" s="278">
        <f ca="1">IF(ABS(T156-G156)&gt;SnapshotTolerance,1,0)</f>
        <v>0</v>
      </c>
      <c r="AH156" s="278">
        <f ca="1">IF(ABS(U156-H156)&gt;SnapshotTolerance,1,0)</f>
        <v>0</v>
      </c>
      <c r="AI156" s="278">
        <f ca="1">IF(ABS(V156-I156)&gt;SnapshotTolerance,1,0)</f>
        <v>0</v>
      </c>
      <c r="AJ156" s="278">
        <f ca="1">IF(ABS(W156-J156)&gt;SnapshotTolerance,1,0)</f>
        <v>0</v>
      </c>
      <c r="AK156" s="278">
        <f ca="1">IF(ABS(X156-K156)&gt;SnapshotTolerance,1,0)</f>
        <v>0</v>
      </c>
      <c r="AL156" s="278">
        <f ca="1">IF(ABS(Y156-L156)&gt;SnapshotTolerance,1,0)</f>
        <v>0</v>
      </c>
      <c r="AM156" s="279">
        <f ca="1">IF(ABS(Z156-M156)&gt;SnapshotTolerance,1,0)</f>
        <v>0</v>
      </c>
    </row>
    <row r="157" spans="2:39">
      <c r="B157" s="282" t="str">
        <f>'GBP Swap PVs'!M89</f>
        <v>25Y</v>
      </c>
      <c r="C157" s="278">
        <f ca="1">'GBP Swap PVs'!N89</f>
        <v>-964673.16142758692</v>
      </c>
      <c r="D157" s="278">
        <f ca="1">'GBP Swap PVs'!O89</f>
        <v>-771738.52914206928</v>
      </c>
      <c r="E157" s="278">
        <f ca="1">'GBP Swap PVs'!P89</f>
        <v>-578803.89685655187</v>
      </c>
      <c r="F157" s="278">
        <f ca="1">'GBP Swap PVs'!Q89</f>
        <v>-385869.26457103476</v>
      </c>
      <c r="G157" s="278">
        <f ca="1">'GBP Swap PVs'!R89</f>
        <v>-192934.6322855172</v>
      </c>
      <c r="H157" s="278">
        <f ca="1">'GBP Swap PVs'!S89</f>
        <v>0</v>
      </c>
      <c r="I157" s="278">
        <f ca="1">'GBP Swap PVs'!T89</f>
        <v>192934.63228551755</v>
      </c>
      <c r="J157" s="278">
        <f ca="1">'GBP Swap PVs'!U89</f>
        <v>385869.26457103487</v>
      </c>
      <c r="K157" s="278">
        <f ca="1">'GBP Swap PVs'!V89</f>
        <v>578803.89685655234</v>
      </c>
      <c r="L157" s="278">
        <f ca="1">'GBP Swap PVs'!W89</f>
        <v>771738.52914206975</v>
      </c>
      <c r="M157" s="279">
        <f ca="1">'GBP Swap PVs'!X89</f>
        <v>964673.16142758715</v>
      </c>
      <c r="O157" s="282" t="s">
        <v>18</v>
      </c>
      <c r="P157" s="278">
        <v>-964673.16142758692</v>
      </c>
      <c r="Q157" s="278">
        <v>-771738.52914206928</v>
      </c>
      <c r="R157" s="278">
        <v>-578803.89685655187</v>
      </c>
      <c r="S157" s="278">
        <v>-385869.26457103476</v>
      </c>
      <c r="T157" s="278">
        <v>-192934.6322855172</v>
      </c>
      <c r="U157" s="278">
        <v>0</v>
      </c>
      <c r="V157" s="278">
        <v>192934.63228551755</v>
      </c>
      <c r="W157" s="278">
        <v>385869.26457103487</v>
      </c>
      <c r="X157" s="278">
        <v>578803.89685655234</v>
      </c>
      <c r="Y157" s="278">
        <v>771738.52914206975</v>
      </c>
      <c r="Z157" s="279">
        <v>964673.16142758715</v>
      </c>
      <c r="AB157" s="282" t="str">
        <f t="shared" si="11"/>
        <v>25Y</v>
      </c>
      <c r="AC157" s="278">
        <f ca="1">IF(ABS(P157-C157)&gt;SnapshotTolerance,1,0)</f>
        <v>0</v>
      </c>
      <c r="AD157" s="278">
        <f ca="1">IF(ABS(Q157-D157)&gt;SnapshotTolerance,1,0)</f>
        <v>0</v>
      </c>
      <c r="AE157" s="278">
        <f ca="1">IF(ABS(R157-E157)&gt;SnapshotTolerance,1,0)</f>
        <v>0</v>
      </c>
      <c r="AF157" s="278">
        <f ca="1">IF(ABS(S157-F157)&gt;SnapshotTolerance,1,0)</f>
        <v>0</v>
      </c>
      <c r="AG157" s="278">
        <f ca="1">IF(ABS(T157-G157)&gt;SnapshotTolerance,1,0)</f>
        <v>0</v>
      </c>
      <c r="AH157" s="278">
        <f ca="1">IF(ABS(U157-H157)&gt;SnapshotTolerance,1,0)</f>
        <v>0</v>
      </c>
      <c r="AI157" s="278">
        <f ca="1">IF(ABS(V157-I157)&gt;SnapshotTolerance,1,0)</f>
        <v>0</v>
      </c>
      <c r="AJ157" s="278">
        <f ca="1">IF(ABS(W157-J157)&gt;SnapshotTolerance,1,0)</f>
        <v>0</v>
      </c>
      <c r="AK157" s="278">
        <f ca="1">IF(ABS(X157-K157)&gt;SnapshotTolerance,1,0)</f>
        <v>0</v>
      </c>
      <c r="AL157" s="278">
        <f ca="1">IF(ABS(Y157-L157)&gt;SnapshotTolerance,1,0)</f>
        <v>0</v>
      </c>
      <c r="AM157" s="279">
        <f ca="1">IF(ABS(Z157-M157)&gt;SnapshotTolerance,1,0)</f>
        <v>0</v>
      </c>
    </row>
    <row r="158" spans="2:39">
      <c r="B158" s="282" t="str">
        <f>'GBP Swap PVs'!M90</f>
        <v>30Y</v>
      </c>
      <c r="C158" s="278">
        <f ca="1">'GBP Swap PVs'!N90</f>
        <v>-1095602.2603170215</v>
      </c>
      <c r="D158" s="278">
        <f ca="1">'GBP Swap PVs'!O90</f>
        <v>-876481.80825361726</v>
      </c>
      <c r="E158" s="278">
        <f ca="1">'GBP Swap PVs'!P90</f>
        <v>-657361.3561902123</v>
      </c>
      <c r="F158" s="278">
        <f ca="1">'GBP Swap PVs'!Q90</f>
        <v>-438240.90412680863</v>
      </c>
      <c r="G158" s="278">
        <f ca="1">'GBP Swap PVs'!R90</f>
        <v>-219120.45206340414</v>
      </c>
      <c r="H158" s="278">
        <f ca="1">'GBP Swap PVs'!S90</f>
        <v>0</v>
      </c>
      <c r="I158" s="278">
        <f ca="1">'GBP Swap PVs'!T90</f>
        <v>219120.45206340446</v>
      </c>
      <c r="J158" s="278">
        <f ca="1">'GBP Swap PVs'!U90</f>
        <v>438240.90412680875</v>
      </c>
      <c r="K158" s="278">
        <f ca="1">'GBP Swap PVs'!V90</f>
        <v>657361.35619021324</v>
      </c>
      <c r="L158" s="278">
        <f ca="1">'GBP Swap PVs'!W90</f>
        <v>876481.80825361749</v>
      </c>
      <c r="M158" s="279">
        <f ca="1">'GBP Swap PVs'!X90</f>
        <v>1095602.260317022</v>
      </c>
      <c r="O158" s="282" t="s">
        <v>17</v>
      </c>
      <c r="P158" s="278">
        <v>-1095602.2603170215</v>
      </c>
      <c r="Q158" s="278">
        <v>-876481.80825361726</v>
      </c>
      <c r="R158" s="278">
        <v>-657361.3561902123</v>
      </c>
      <c r="S158" s="278">
        <v>-438240.90412680863</v>
      </c>
      <c r="T158" s="278">
        <v>-219120.45206340414</v>
      </c>
      <c r="U158" s="278">
        <v>0</v>
      </c>
      <c r="V158" s="278">
        <v>219120.45206340446</v>
      </c>
      <c r="W158" s="278">
        <v>438240.90412680875</v>
      </c>
      <c r="X158" s="278">
        <v>657361.35619021324</v>
      </c>
      <c r="Y158" s="278">
        <v>876481.80825361749</v>
      </c>
      <c r="Z158" s="279">
        <v>1095602.260317022</v>
      </c>
      <c r="AB158" s="282" t="str">
        <f t="shared" si="11"/>
        <v>30Y</v>
      </c>
      <c r="AC158" s="278">
        <f ca="1">IF(ABS(P158-C158)&gt;SnapshotTolerance,1,0)</f>
        <v>0</v>
      </c>
      <c r="AD158" s="278">
        <f ca="1">IF(ABS(Q158-D158)&gt;SnapshotTolerance,1,0)</f>
        <v>0</v>
      </c>
      <c r="AE158" s="278">
        <f ca="1">IF(ABS(R158-E158)&gt;SnapshotTolerance,1,0)</f>
        <v>0</v>
      </c>
      <c r="AF158" s="278">
        <f ca="1">IF(ABS(S158-F158)&gt;SnapshotTolerance,1,0)</f>
        <v>0</v>
      </c>
      <c r="AG158" s="278">
        <f ca="1">IF(ABS(T158-G158)&gt;SnapshotTolerance,1,0)</f>
        <v>0</v>
      </c>
      <c r="AH158" s="278">
        <f ca="1">IF(ABS(U158-H158)&gt;SnapshotTolerance,1,0)</f>
        <v>0</v>
      </c>
      <c r="AI158" s="278">
        <f ca="1">IF(ABS(V158-I158)&gt;SnapshotTolerance,1,0)</f>
        <v>0</v>
      </c>
      <c r="AJ158" s="278">
        <f ca="1">IF(ABS(W158-J158)&gt;SnapshotTolerance,1,0)</f>
        <v>0</v>
      </c>
      <c r="AK158" s="278">
        <f ca="1">IF(ABS(X158-K158)&gt;SnapshotTolerance,1,0)</f>
        <v>0</v>
      </c>
      <c r="AL158" s="278">
        <f ca="1">IF(ABS(Y158-L158)&gt;SnapshotTolerance,1,0)</f>
        <v>0</v>
      </c>
      <c r="AM158" s="279">
        <f ca="1">IF(ABS(Z158-M158)&gt;SnapshotTolerance,1,0)</f>
        <v>0</v>
      </c>
    </row>
    <row r="159" spans="2:39">
      <c r="B159" s="282" t="str">
        <f>'GBP Swap PVs'!M91</f>
        <v>40Y</v>
      </c>
      <c r="C159" s="278">
        <f ca="1">'GBP Swap PVs'!N91</f>
        <v>-1317901.5977899595</v>
      </c>
      <c r="D159" s="278">
        <f ca="1">'GBP Swap PVs'!O91</f>
        <v>-1054321.2782319679</v>
      </c>
      <c r="E159" s="278">
        <f ca="1">'GBP Swap PVs'!P91</f>
        <v>-790740.95867397531</v>
      </c>
      <c r="F159" s="278">
        <f ca="1">'GBP Swap PVs'!Q91</f>
        <v>-527160.63911598397</v>
      </c>
      <c r="G159" s="278">
        <f ca="1">'GBP Swap PVs'!R91</f>
        <v>-263580.31955799175</v>
      </c>
      <c r="H159" s="278">
        <f ca="1">'GBP Swap PVs'!S91</f>
        <v>0</v>
      </c>
      <c r="I159" s="278">
        <f ca="1">'GBP Swap PVs'!T91</f>
        <v>263580.31955799233</v>
      </c>
      <c r="J159" s="278">
        <f ca="1">'GBP Swap PVs'!U91</f>
        <v>527160.63911598432</v>
      </c>
      <c r="K159" s="278">
        <f ca="1">'GBP Swap PVs'!V91</f>
        <v>790740.95867397648</v>
      </c>
      <c r="L159" s="278">
        <f ca="1">'GBP Swap PVs'!W91</f>
        <v>1054321.2782319684</v>
      </c>
      <c r="M159" s="279">
        <f ca="1">'GBP Swap PVs'!X91</f>
        <v>1317901.5977899607</v>
      </c>
      <c r="O159" s="282" t="s">
        <v>15</v>
      </c>
      <c r="P159" s="278">
        <v>-1317901.5977899595</v>
      </c>
      <c r="Q159" s="278">
        <v>-1054321.2782319679</v>
      </c>
      <c r="R159" s="278">
        <v>-790740.95867397531</v>
      </c>
      <c r="S159" s="278">
        <v>-527160.63911598397</v>
      </c>
      <c r="T159" s="278">
        <v>-263580.31955799175</v>
      </c>
      <c r="U159" s="278">
        <v>0</v>
      </c>
      <c r="V159" s="278">
        <v>263580.31955799233</v>
      </c>
      <c r="W159" s="278">
        <v>527160.63911598432</v>
      </c>
      <c r="X159" s="278">
        <v>790740.95867397648</v>
      </c>
      <c r="Y159" s="278">
        <v>1054321.2782319684</v>
      </c>
      <c r="Z159" s="279">
        <v>1317901.5977899607</v>
      </c>
      <c r="AB159" s="282" t="str">
        <f t="shared" si="11"/>
        <v>40Y</v>
      </c>
      <c r="AC159" s="278">
        <f ca="1">IF(ABS(P159-C159)&gt;SnapshotTolerance,1,0)</f>
        <v>0</v>
      </c>
      <c r="AD159" s="278">
        <f ca="1">IF(ABS(Q159-D159)&gt;SnapshotTolerance,1,0)</f>
        <v>0</v>
      </c>
      <c r="AE159" s="278">
        <f ca="1">IF(ABS(R159-E159)&gt;SnapshotTolerance,1,0)</f>
        <v>0</v>
      </c>
      <c r="AF159" s="278">
        <f ca="1">IF(ABS(S159-F159)&gt;SnapshotTolerance,1,0)</f>
        <v>0</v>
      </c>
      <c r="AG159" s="278">
        <f ca="1">IF(ABS(T159-G159)&gt;SnapshotTolerance,1,0)</f>
        <v>0</v>
      </c>
      <c r="AH159" s="278">
        <f ca="1">IF(ABS(U159-H159)&gt;SnapshotTolerance,1,0)</f>
        <v>0</v>
      </c>
      <c r="AI159" s="278">
        <f ca="1">IF(ABS(V159-I159)&gt;SnapshotTolerance,1,0)</f>
        <v>0</v>
      </c>
      <c r="AJ159" s="278">
        <f ca="1">IF(ABS(W159-J159)&gt;SnapshotTolerance,1,0)</f>
        <v>0</v>
      </c>
      <c r="AK159" s="278">
        <f ca="1">IF(ABS(X159-K159)&gt;SnapshotTolerance,1,0)</f>
        <v>0</v>
      </c>
      <c r="AL159" s="278">
        <f ca="1">IF(ABS(Y159-L159)&gt;SnapshotTolerance,1,0)</f>
        <v>0</v>
      </c>
      <c r="AM159" s="279">
        <f ca="1">IF(ABS(Z159-M159)&gt;SnapshotTolerance,1,0)</f>
        <v>0</v>
      </c>
    </row>
    <row r="160" spans="2:39">
      <c r="B160" s="282" t="str">
        <f>'GBP Swap PVs'!M92</f>
        <v>50Y</v>
      </c>
      <c r="C160" s="278">
        <f ca="1">'GBP Swap PVs'!N92</f>
        <v>-1498349.9245906642</v>
      </c>
      <c r="D160" s="278">
        <f ca="1">'GBP Swap PVs'!O92</f>
        <v>-1198679.9396725316</v>
      </c>
      <c r="E160" s="278">
        <f ca="1">'GBP Swap PVs'!P92</f>
        <v>-899009.95475439762</v>
      </c>
      <c r="F160" s="278">
        <f ca="1">'GBP Swap PVs'!Q92</f>
        <v>-599339.96983626566</v>
      </c>
      <c r="G160" s="278">
        <f ca="1">'GBP Swap PVs'!R92</f>
        <v>-299669.98491813266</v>
      </c>
      <c r="H160" s="278">
        <f ca="1">'GBP Swap PVs'!S92</f>
        <v>0</v>
      </c>
      <c r="I160" s="278">
        <f ca="1">'GBP Swap PVs'!T92</f>
        <v>299669.98491813318</v>
      </c>
      <c r="J160" s="278">
        <f ca="1">'GBP Swap PVs'!U92</f>
        <v>599339.9698362659</v>
      </c>
      <c r="K160" s="278">
        <f ca="1">'GBP Swap PVs'!V92</f>
        <v>899009.95475439879</v>
      </c>
      <c r="L160" s="278">
        <f ca="1">'GBP Swap PVs'!W92</f>
        <v>1198679.9396725316</v>
      </c>
      <c r="M160" s="279">
        <f ca="1">'GBP Swap PVs'!X92</f>
        <v>1498349.9245906647</v>
      </c>
      <c r="O160" s="282" t="s">
        <v>14</v>
      </c>
      <c r="P160" s="278">
        <v>-1498349.9245906642</v>
      </c>
      <c r="Q160" s="278">
        <v>-1198679.9396725316</v>
      </c>
      <c r="R160" s="278">
        <v>-899009.95475439762</v>
      </c>
      <c r="S160" s="278">
        <v>-599339.96983626566</v>
      </c>
      <c r="T160" s="278">
        <v>-299669.98491813266</v>
      </c>
      <c r="U160" s="278">
        <v>0</v>
      </c>
      <c r="V160" s="278">
        <v>299669.98491813318</v>
      </c>
      <c r="W160" s="278">
        <v>599339.9698362659</v>
      </c>
      <c r="X160" s="278">
        <v>899009.95475439879</v>
      </c>
      <c r="Y160" s="278">
        <v>1198679.9396725316</v>
      </c>
      <c r="Z160" s="279">
        <v>1498349.9245906647</v>
      </c>
      <c r="AB160" s="282" t="str">
        <f t="shared" si="11"/>
        <v>50Y</v>
      </c>
      <c r="AC160" s="278">
        <f ca="1">IF(ABS(P160-C160)&gt;SnapshotTolerance,1,0)</f>
        <v>0</v>
      </c>
      <c r="AD160" s="278">
        <f ca="1">IF(ABS(Q160-D160)&gt;SnapshotTolerance,1,0)</f>
        <v>0</v>
      </c>
      <c r="AE160" s="278">
        <f ca="1">IF(ABS(R160-E160)&gt;SnapshotTolerance,1,0)</f>
        <v>0</v>
      </c>
      <c r="AF160" s="278">
        <f ca="1">IF(ABS(S160-F160)&gt;SnapshotTolerance,1,0)</f>
        <v>0</v>
      </c>
      <c r="AG160" s="278">
        <f ca="1">IF(ABS(T160-G160)&gt;SnapshotTolerance,1,0)</f>
        <v>0</v>
      </c>
      <c r="AH160" s="278">
        <f ca="1">IF(ABS(U160-H160)&gt;SnapshotTolerance,1,0)</f>
        <v>0</v>
      </c>
      <c r="AI160" s="278">
        <f ca="1">IF(ABS(V160-I160)&gt;SnapshotTolerance,1,0)</f>
        <v>0</v>
      </c>
      <c r="AJ160" s="278">
        <f ca="1">IF(ABS(W160-J160)&gt;SnapshotTolerance,1,0)</f>
        <v>0</v>
      </c>
      <c r="AK160" s="278">
        <f ca="1">IF(ABS(X160-K160)&gt;SnapshotTolerance,1,0)</f>
        <v>0</v>
      </c>
      <c r="AL160" s="278">
        <f ca="1">IF(ABS(Y160-L160)&gt;SnapshotTolerance,1,0)</f>
        <v>0</v>
      </c>
      <c r="AM160" s="279">
        <f ca="1">IF(ABS(Z160-M160)&gt;SnapshotTolerance,1,0)</f>
        <v>0</v>
      </c>
    </row>
    <row r="161" spans="2:39">
      <c r="B161" s="282"/>
      <c r="C161" s="278"/>
      <c r="D161" s="278"/>
      <c r="E161" s="278"/>
      <c r="F161" s="278"/>
      <c r="G161" s="278"/>
      <c r="H161" s="278"/>
      <c r="I161" s="278"/>
      <c r="J161" s="278"/>
      <c r="K161" s="278"/>
      <c r="L161" s="278"/>
      <c r="M161" s="279"/>
      <c r="O161" s="282"/>
      <c r="P161" s="278"/>
      <c r="Q161" s="278"/>
      <c r="R161" s="278"/>
      <c r="S161" s="278"/>
      <c r="T161" s="278"/>
      <c r="U161" s="278"/>
      <c r="V161" s="278"/>
      <c r="W161" s="278"/>
      <c r="X161" s="278"/>
      <c r="Y161" s="278"/>
      <c r="Z161" s="279"/>
      <c r="AB161" s="282"/>
      <c r="AC161" s="278"/>
      <c r="AD161" s="278"/>
      <c r="AE161" s="278"/>
      <c r="AF161" s="278"/>
      <c r="AG161" s="278"/>
      <c r="AH161" s="278"/>
      <c r="AI161" s="278"/>
      <c r="AJ161" s="278"/>
      <c r="AK161" s="278"/>
      <c r="AL161" s="278"/>
      <c r="AM161" s="279"/>
    </row>
    <row r="162" spans="2:39">
      <c r="B162" s="282"/>
      <c r="C162" s="278"/>
      <c r="D162" s="278"/>
      <c r="E162" s="278"/>
      <c r="F162" s="278"/>
      <c r="G162" s="278"/>
      <c r="H162" s="278"/>
      <c r="I162" s="278"/>
      <c r="J162" s="278"/>
      <c r="K162" s="278"/>
      <c r="L162" s="278"/>
      <c r="M162" s="279"/>
      <c r="O162" s="282"/>
      <c r="P162" s="278"/>
      <c r="Q162" s="278"/>
      <c r="R162" s="278"/>
      <c r="S162" s="278"/>
      <c r="T162" s="278"/>
      <c r="U162" s="278"/>
      <c r="V162" s="278"/>
      <c r="W162" s="278"/>
      <c r="X162" s="278"/>
      <c r="Y162" s="278"/>
      <c r="Z162" s="279"/>
      <c r="AB162" s="282"/>
      <c r="AC162" s="278"/>
      <c r="AD162" s="278"/>
      <c r="AE162" s="278"/>
      <c r="AF162" s="278"/>
      <c r="AG162" s="278"/>
      <c r="AH162" s="278"/>
      <c r="AI162" s="278"/>
      <c r="AJ162" s="278"/>
      <c r="AK162" s="278"/>
      <c r="AL162" s="278"/>
      <c r="AM162" s="279"/>
    </row>
    <row r="163" spans="2:39">
      <c r="B163" s="283"/>
      <c r="C163" s="280"/>
      <c r="D163" s="280"/>
      <c r="E163" s="280"/>
      <c r="F163" s="280"/>
      <c r="G163" s="280"/>
      <c r="H163" s="280"/>
      <c r="I163" s="280"/>
      <c r="J163" s="280"/>
      <c r="K163" s="280"/>
      <c r="L163" s="280"/>
      <c r="M163" s="281"/>
      <c r="O163" s="283"/>
      <c r="P163" s="280"/>
      <c r="Q163" s="280"/>
      <c r="R163" s="280"/>
      <c r="S163" s="280"/>
      <c r="T163" s="280"/>
      <c r="U163" s="280"/>
      <c r="V163" s="280"/>
      <c r="W163" s="280"/>
      <c r="X163" s="280"/>
      <c r="Y163" s="280"/>
      <c r="Z163" s="281"/>
      <c r="AB163" s="283"/>
      <c r="AC163" s="280"/>
      <c r="AD163" s="280"/>
      <c r="AE163" s="280"/>
      <c r="AF163" s="280"/>
      <c r="AG163" s="280"/>
      <c r="AH163" s="280"/>
      <c r="AI163" s="280"/>
      <c r="AJ163" s="280"/>
      <c r="AK163" s="280"/>
      <c r="AL163" s="280"/>
      <c r="AM163" s="281"/>
    </row>
    <row r="166" spans="2:39">
      <c r="B166" t="s">
        <v>533</v>
      </c>
      <c r="E166" t="s">
        <v>472</v>
      </c>
    </row>
    <row r="167" spans="2:39">
      <c r="B167" t="s">
        <v>528</v>
      </c>
      <c r="E167" s="252">
        <f ca="1">SUM(AC172:AM190)</f>
        <v>0</v>
      </c>
    </row>
    <row r="168" spans="2:39">
      <c r="B168" t="s">
        <v>532</v>
      </c>
    </row>
    <row r="170" spans="2:39">
      <c r="B170" t="s">
        <v>510</v>
      </c>
      <c r="O170" t="s">
        <v>470</v>
      </c>
      <c r="AB170" t="s">
        <v>511</v>
      </c>
    </row>
    <row r="171" spans="2:39">
      <c r="B171" s="254" t="str">
        <f>'GBP Swap PVs'!AG51</f>
        <v>Term</v>
      </c>
      <c r="C171" s="276">
        <f>'GBP Swap PVs'!AH51</f>
        <v>-0.05</v>
      </c>
      <c r="D171" s="276">
        <f>'GBP Swap PVs'!AI51</f>
        <v>-0.04</v>
      </c>
      <c r="E171" s="276">
        <f>'GBP Swap PVs'!AJ51</f>
        <v>-0.03</v>
      </c>
      <c r="F171" s="276">
        <f>'GBP Swap PVs'!AK51</f>
        <v>-1.9999999999999997E-2</v>
      </c>
      <c r="G171" s="276">
        <f>'GBP Swap PVs'!AL51</f>
        <v>-9.9999999999999967E-3</v>
      </c>
      <c r="H171" s="276">
        <f>'GBP Swap PVs'!AM51</f>
        <v>0</v>
      </c>
      <c r="I171" s="276">
        <f>'GBP Swap PVs'!AN51</f>
        <v>0.01</v>
      </c>
      <c r="J171" s="276">
        <f>'GBP Swap PVs'!AO51</f>
        <v>0.02</v>
      </c>
      <c r="K171" s="276">
        <f>'GBP Swap PVs'!AP51</f>
        <v>0.03</v>
      </c>
      <c r="L171" s="276">
        <f>'GBP Swap PVs'!AQ51</f>
        <v>0.04</v>
      </c>
      <c r="M171" s="277">
        <f>'GBP Swap PVs'!AR51</f>
        <v>0.05</v>
      </c>
      <c r="O171" s="254" t="s">
        <v>76</v>
      </c>
      <c r="P171" s="276">
        <v>-0.05</v>
      </c>
      <c r="Q171" s="276">
        <v>-0.04</v>
      </c>
      <c r="R171" s="276">
        <v>-0.03</v>
      </c>
      <c r="S171" s="276">
        <v>-1.9999999999999997E-2</v>
      </c>
      <c r="T171" s="276">
        <v>-9.9999999999999967E-3</v>
      </c>
      <c r="U171" s="276">
        <v>0</v>
      </c>
      <c r="V171" s="276">
        <v>0.01</v>
      </c>
      <c r="W171" s="276">
        <v>0.02</v>
      </c>
      <c r="X171" s="276">
        <v>0.03</v>
      </c>
      <c r="Y171" s="276">
        <v>0.04</v>
      </c>
      <c r="Z171" s="277">
        <v>0.05</v>
      </c>
      <c r="AB171" s="254" t="str">
        <f>O171</f>
        <v>Term</v>
      </c>
      <c r="AC171" s="276">
        <f>P171</f>
        <v>-0.05</v>
      </c>
      <c r="AD171" s="276">
        <f t="shared" ref="AD171:AM171" si="12">Q171</f>
        <v>-0.04</v>
      </c>
      <c r="AE171" s="276">
        <f t="shared" si="12"/>
        <v>-0.03</v>
      </c>
      <c r="AF171" s="276">
        <f t="shared" si="12"/>
        <v>-1.9999999999999997E-2</v>
      </c>
      <c r="AG171" s="276">
        <f t="shared" si="12"/>
        <v>-9.9999999999999967E-3</v>
      </c>
      <c r="AH171" s="276">
        <f t="shared" si="12"/>
        <v>0</v>
      </c>
      <c r="AI171" s="276">
        <f t="shared" si="12"/>
        <v>0.01</v>
      </c>
      <c r="AJ171" s="276">
        <f t="shared" si="12"/>
        <v>0.02</v>
      </c>
      <c r="AK171" s="276">
        <f t="shared" si="12"/>
        <v>0.03</v>
      </c>
      <c r="AL171" s="276">
        <f t="shared" si="12"/>
        <v>0.04</v>
      </c>
      <c r="AM171" s="277">
        <f t="shared" si="12"/>
        <v>0.05</v>
      </c>
    </row>
    <row r="172" spans="2:39">
      <c r="B172" s="282" t="str">
        <f>'GBP Swap PVs'!AG52</f>
        <v>2Y</v>
      </c>
      <c r="C172" s="278">
        <f ca="1">'GBP Swap PVs'!AH52</f>
        <v>-98985.127372311268</v>
      </c>
      <c r="D172" s="278">
        <f ca="1">'GBP Swap PVs'!AI52</f>
        <v>-79188.101897849003</v>
      </c>
      <c r="E172" s="278">
        <f ca="1">'GBP Swap PVs'!AJ52</f>
        <v>-59391.076423386752</v>
      </c>
      <c r="F172" s="278">
        <f ca="1">'GBP Swap PVs'!AK52</f>
        <v>-39594.050948924501</v>
      </c>
      <c r="G172" s="278">
        <f ca="1">'GBP Swap PVs'!AL52</f>
        <v>-19797.025474462243</v>
      </c>
      <c r="H172" s="278">
        <f ca="1">'GBP Swap PVs'!AM52</f>
        <v>0</v>
      </c>
      <c r="I172" s="278">
        <f ca="1">'GBP Swap PVs'!AN52</f>
        <v>19797.025474462251</v>
      </c>
      <c r="J172" s="278">
        <f ca="1">'GBP Swap PVs'!AO52</f>
        <v>39594.050948924501</v>
      </c>
      <c r="K172" s="278">
        <f ca="1">'GBP Swap PVs'!AP52</f>
        <v>59391.076423386752</v>
      </c>
      <c r="L172" s="278">
        <f ca="1">'GBP Swap PVs'!AQ52</f>
        <v>79188.101897849003</v>
      </c>
      <c r="M172" s="279">
        <f ca="1">'GBP Swap PVs'!AR52</f>
        <v>98985.127372311239</v>
      </c>
      <c r="O172" s="282" t="s">
        <v>42</v>
      </c>
      <c r="P172" s="278">
        <v>-98985.127372311268</v>
      </c>
      <c r="Q172" s="278">
        <v>-79188.101897849003</v>
      </c>
      <c r="R172" s="278">
        <v>-59391.076423386752</v>
      </c>
      <c r="S172" s="278">
        <v>-39594.050948924501</v>
      </c>
      <c r="T172" s="278">
        <v>-19797.025474462243</v>
      </c>
      <c r="U172" s="278">
        <v>0</v>
      </c>
      <c r="V172" s="278">
        <v>19797.025474462251</v>
      </c>
      <c r="W172" s="278">
        <v>39594.050948924501</v>
      </c>
      <c r="X172" s="278">
        <v>59391.076423386752</v>
      </c>
      <c r="Y172" s="278">
        <v>79188.101897849003</v>
      </c>
      <c r="Z172" s="279">
        <v>98985.127372311239</v>
      </c>
      <c r="AB172" s="282" t="str">
        <f t="shared" ref="AB172:AB190" si="13">O172</f>
        <v>2Y</v>
      </c>
      <c r="AC172" s="278">
        <f ca="1">IF(ABS(P172-C172)&gt;SnapshotTolerance,1,0)</f>
        <v>0</v>
      </c>
      <c r="AD172" s="278">
        <f ca="1">IF(ABS(Q172-D172)&gt;SnapshotTolerance,1,0)</f>
        <v>0</v>
      </c>
      <c r="AE172" s="278">
        <f ca="1">IF(ABS(R172-E172)&gt;SnapshotTolerance,1,0)</f>
        <v>0</v>
      </c>
      <c r="AF172" s="278">
        <f ca="1">IF(ABS(S172-F172)&gt;SnapshotTolerance,1,0)</f>
        <v>0</v>
      </c>
      <c r="AG172" s="278">
        <f ca="1">IF(ABS(T172-G172)&gt;SnapshotTolerance,1,0)</f>
        <v>0</v>
      </c>
      <c r="AH172" s="278">
        <f ca="1">IF(ABS(U172-H172)&gt;SnapshotTolerance,1,0)</f>
        <v>0</v>
      </c>
      <c r="AI172" s="278">
        <f ca="1">IF(ABS(V172-I172)&gt;SnapshotTolerance,1,0)</f>
        <v>0</v>
      </c>
      <c r="AJ172" s="278">
        <f ca="1">IF(ABS(W172-J172)&gt;SnapshotTolerance,1,0)</f>
        <v>0</v>
      </c>
      <c r="AK172" s="278">
        <f ca="1">IF(ABS(X172-K172)&gt;SnapshotTolerance,1,0)</f>
        <v>0</v>
      </c>
      <c r="AL172" s="278">
        <f ca="1">IF(ABS(Y172-L172)&gt;SnapshotTolerance,1,0)</f>
        <v>0</v>
      </c>
      <c r="AM172" s="279">
        <f ca="1">IF(ABS(Z172-M172)&gt;SnapshotTolerance,1,0)</f>
        <v>0</v>
      </c>
    </row>
    <row r="173" spans="2:39">
      <c r="B173" s="282" t="str">
        <f>'GBP Swap PVs'!AG53</f>
        <v>3Y</v>
      </c>
      <c r="C173" s="278">
        <f ca="1">'GBP Swap PVs'!AH53</f>
        <v>-147592.05976994697</v>
      </c>
      <c r="D173" s="278">
        <f ca="1">'GBP Swap PVs'!AI53</f>
        <v>-118073.64781595756</v>
      </c>
      <c r="E173" s="278">
        <f ca="1">'GBP Swap PVs'!AJ53</f>
        <v>-88555.235861968176</v>
      </c>
      <c r="F173" s="278">
        <f ca="1">'GBP Swap PVs'!AK53</f>
        <v>-59036.823907978775</v>
      </c>
      <c r="G173" s="278">
        <f ca="1">'GBP Swap PVs'!AL53</f>
        <v>-29518.411953989384</v>
      </c>
      <c r="H173" s="278">
        <f ca="1">'GBP Swap PVs'!AM53</f>
        <v>0</v>
      </c>
      <c r="I173" s="278">
        <f ca="1">'GBP Swap PVs'!AN53</f>
        <v>29518.411953989395</v>
      </c>
      <c r="J173" s="278">
        <f ca="1">'GBP Swap PVs'!AO53</f>
        <v>59036.823907978775</v>
      </c>
      <c r="K173" s="278">
        <f ca="1">'GBP Swap PVs'!AP53</f>
        <v>88555.235861968191</v>
      </c>
      <c r="L173" s="278">
        <f ca="1">'GBP Swap PVs'!AQ53</f>
        <v>118073.64781595756</v>
      </c>
      <c r="M173" s="279">
        <f ca="1">'GBP Swap PVs'!AR53</f>
        <v>147592.05976994694</v>
      </c>
      <c r="O173" s="282" t="s">
        <v>39</v>
      </c>
      <c r="P173" s="278">
        <v>-147592.05976994697</v>
      </c>
      <c r="Q173" s="278">
        <v>-118073.64781595756</v>
      </c>
      <c r="R173" s="278">
        <v>-88555.235861968176</v>
      </c>
      <c r="S173" s="278">
        <v>-59036.823907978775</v>
      </c>
      <c r="T173" s="278">
        <v>-29518.411953989384</v>
      </c>
      <c r="U173" s="278">
        <v>0</v>
      </c>
      <c r="V173" s="278">
        <v>29518.411953989395</v>
      </c>
      <c r="W173" s="278">
        <v>59036.823907978775</v>
      </c>
      <c r="X173" s="278">
        <v>88555.235861968191</v>
      </c>
      <c r="Y173" s="278">
        <v>118073.64781595756</v>
      </c>
      <c r="Z173" s="279">
        <v>147592.05976994694</v>
      </c>
      <c r="AB173" s="282" t="str">
        <f t="shared" si="13"/>
        <v>3Y</v>
      </c>
      <c r="AC173" s="278">
        <f ca="1">IF(ABS(P173-C173)&gt;SnapshotTolerance,1,0)</f>
        <v>0</v>
      </c>
      <c r="AD173" s="278">
        <f ca="1">IF(ABS(Q173-D173)&gt;SnapshotTolerance,1,0)</f>
        <v>0</v>
      </c>
      <c r="AE173" s="278">
        <f ca="1">IF(ABS(R173-E173)&gt;SnapshotTolerance,1,0)</f>
        <v>0</v>
      </c>
      <c r="AF173" s="278">
        <f ca="1">IF(ABS(S173-F173)&gt;SnapshotTolerance,1,0)</f>
        <v>0</v>
      </c>
      <c r="AG173" s="278">
        <f ca="1">IF(ABS(T173-G173)&gt;SnapshotTolerance,1,0)</f>
        <v>0</v>
      </c>
      <c r="AH173" s="278">
        <f ca="1">IF(ABS(U173-H173)&gt;SnapshotTolerance,1,0)</f>
        <v>0</v>
      </c>
      <c r="AI173" s="278">
        <f ca="1">IF(ABS(V173-I173)&gt;SnapshotTolerance,1,0)</f>
        <v>0</v>
      </c>
      <c r="AJ173" s="278">
        <f ca="1">IF(ABS(W173-J173)&gt;SnapshotTolerance,1,0)</f>
        <v>0</v>
      </c>
      <c r="AK173" s="278">
        <f ca="1">IF(ABS(X173-K173)&gt;SnapshotTolerance,1,0)</f>
        <v>0</v>
      </c>
      <c r="AL173" s="278">
        <f ca="1">IF(ABS(Y173-L173)&gt;SnapshotTolerance,1,0)</f>
        <v>0</v>
      </c>
      <c r="AM173" s="279">
        <f ca="1">IF(ABS(Z173-M173)&gt;SnapshotTolerance,1,0)</f>
        <v>0</v>
      </c>
    </row>
    <row r="174" spans="2:39">
      <c r="B174" s="282" t="str">
        <f>'GBP Swap PVs'!AG54</f>
        <v>4Y</v>
      </c>
      <c r="C174" s="278">
        <f ca="1">'GBP Swap PVs'!AH54</f>
        <v>-195575.44632915632</v>
      </c>
      <c r="D174" s="278">
        <f ca="1">'GBP Swap PVs'!AI54</f>
        <v>-156460.35706332506</v>
      </c>
      <c r="E174" s="278">
        <f ca="1">'GBP Swap PVs'!AJ54</f>
        <v>-117345.2677974938</v>
      </c>
      <c r="F174" s="278">
        <f ca="1">'GBP Swap PVs'!AK54</f>
        <v>-78230.178531662532</v>
      </c>
      <c r="G174" s="278">
        <f ca="1">'GBP Swap PVs'!AL54</f>
        <v>-39115.089265831259</v>
      </c>
      <c r="H174" s="278">
        <f ca="1">'GBP Swap PVs'!AM54</f>
        <v>0</v>
      </c>
      <c r="I174" s="278">
        <f ca="1">'GBP Swap PVs'!AN54</f>
        <v>39115.089265831251</v>
      </c>
      <c r="J174" s="278">
        <f ca="1">'GBP Swap PVs'!AO54</f>
        <v>78230.178531662532</v>
      </c>
      <c r="K174" s="278">
        <f ca="1">'GBP Swap PVs'!AP54</f>
        <v>117345.2677974938</v>
      </c>
      <c r="L174" s="278">
        <f ca="1">'GBP Swap PVs'!AQ54</f>
        <v>156460.35706332506</v>
      </c>
      <c r="M174" s="279">
        <f ca="1">'GBP Swap PVs'!AR54</f>
        <v>195575.44632915632</v>
      </c>
      <c r="O174" s="282" t="s">
        <v>35</v>
      </c>
      <c r="P174" s="278">
        <v>-195575.44632915632</v>
      </c>
      <c r="Q174" s="278">
        <v>-156460.35706332506</v>
      </c>
      <c r="R174" s="278">
        <v>-117345.2677974938</v>
      </c>
      <c r="S174" s="278">
        <v>-78230.178531662532</v>
      </c>
      <c r="T174" s="278">
        <v>-39115.089265831259</v>
      </c>
      <c r="U174" s="278">
        <v>0</v>
      </c>
      <c r="V174" s="278">
        <v>39115.089265831251</v>
      </c>
      <c r="W174" s="278">
        <v>78230.178531662532</v>
      </c>
      <c r="X174" s="278">
        <v>117345.2677974938</v>
      </c>
      <c r="Y174" s="278">
        <v>156460.35706332506</v>
      </c>
      <c r="Z174" s="279">
        <v>195575.44632915632</v>
      </c>
      <c r="AB174" s="282" t="str">
        <f t="shared" si="13"/>
        <v>4Y</v>
      </c>
      <c r="AC174" s="278">
        <f ca="1">IF(ABS(P174-C174)&gt;SnapshotTolerance,1,0)</f>
        <v>0</v>
      </c>
      <c r="AD174" s="278">
        <f ca="1">IF(ABS(Q174-D174)&gt;SnapshotTolerance,1,0)</f>
        <v>0</v>
      </c>
      <c r="AE174" s="278">
        <f ca="1">IF(ABS(R174-E174)&gt;SnapshotTolerance,1,0)</f>
        <v>0</v>
      </c>
      <c r="AF174" s="278">
        <f ca="1">IF(ABS(S174-F174)&gt;SnapshotTolerance,1,0)</f>
        <v>0</v>
      </c>
      <c r="AG174" s="278">
        <f ca="1">IF(ABS(T174-G174)&gt;SnapshotTolerance,1,0)</f>
        <v>0</v>
      </c>
      <c r="AH174" s="278">
        <f ca="1">IF(ABS(U174-H174)&gt;SnapshotTolerance,1,0)</f>
        <v>0</v>
      </c>
      <c r="AI174" s="278">
        <f ca="1">IF(ABS(V174-I174)&gt;SnapshotTolerance,1,0)</f>
        <v>0</v>
      </c>
      <c r="AJ174" s="278">
        <f ca="1">IF(ABS(W174-J174)&gt;SnapshotTolerance,1,0)</f>
        <v>0</v>
      </c>
      <c r="AK174" s="278">
        <f ca="1">IF(ABS(X174-K174)&gt;SnapshotTolerance,1,0)</f>
        <v>0</v>
      </c>
      <c r="AL174" s="278">
        <f ca="1">IF(ABS(Y174-L174)&gt;SnapshotTolerance,1,0)</f>
        <v>0</v>
      </c>
      <c r="AM174" s="279">
        <f ca="1">IF(ABS(Z174-M174)&gt;SnapshotTolerance,1,0)</f>
        <v>0</v>
      </c>
    </row>
    <row r="175" spans="2:39">
      <c r="B175" s="282" t="str">
        <f>'GBP Swap PVs'!AG55</f>
        <v>5Y</v>
      </c>
      <c r="C175" s="278">
        <f ca="1">'GBP Swap PVs'!AH55</f>
        <v>-242183.82059898091</v>
      </c>
      <c r="D175" s="278">
        <f ca="1">'GBP Swap PVs'!AI55</f>
        <v>-193747.05647918477</v>
      </c>
      <c r="E175" s="278">
        <f ca="1">'GBP Swap PVs'!AJ55</f>
        <v>-145310.29235938855</v>
      </c>
      <c r="F175" s="278">
        <f ca="1">'GBP Swap PVs'!AK55</f>
        <v>-96873.528239592357</v>
      </c>
      <c r="G175" s="278">
        <f ca="1">'GBP Swap PVs'!AL55</f>
        <v>-48436.764119796171</v>
      </c>
      <c r="H175" s="278">
        <f ca="1">'GBP Swap PVs'!AM55</f>
        <v>0</v>
      </c>
      <c r="I175" s="278">
        <f ca="1">'GBP Swap PVs'!AN55</f>
        <v>48436.764119796178</v>
      </c>
      <c r="J175" s="278">
        <f ca="1">'GBP Swap PVs'!AO55</f>
        <v>96873.528239592371</v>
      </c>
      <c r="K175" s="278">
        <f ca="1">'GBP Swap PVs'!AP55</f>
        <v>145310.29235938858</v>
      </c>
      <c r="L175" s="278">
        <f ca="1">'GBP Swap PVs'!AQ55</f>
        <v>193747.05647918471</v>
      </c>
      <c r="M175" s="279">
        <f ca="1">'GBP Swap PVs'!AR55</f>
        <v>242183.82059898096</v>
      </c>
      <c r="O175" s="282" t="s">
        <v>33</v>
      </c>
      <c r="P175" s="278">
        <v>-242183.82059898091</v>
      </c>
      <c r="Q175" s="278">
        <v>-193747.05647918477</v>
      </c>
      <c r="R175" s="278">
        <v>-145310.29235938855</v>
      </c>
      <c r="S175" s="278">
        <v>-96873.528239592357</v>
      </c>
      <c r="T175" s="278">
        <v>-48436.764119796171</v>
      </c>
      <c r="U175" s="278">
        <v>0</v>
      </c>
      <c r="V175" s="278">
        <v>48436.764119796178</v>
      </c>
      <c r="W175" s="278">
        <v>96873.528239592371</v>
      </c>
      <c r="X175" s="278">
        <v>145310.29235938858</v>
      </c>
      <c r="Y175" s="278">
        <v>193747.05647918471</v>
      </c>
      <c r="Z175" s="279">
        <v>242183.82059898096</v>
      </c>
      <c r="AB175" s="282" t="str">
        <f t="shared" si="13"/>
        <v>5Y</v>
      </c>
      <c r="AC175" s="278">
        <f ca="1">IF(ABS(P175-C175)&gt;SnapshotTolerance,1,0)</f>
        <v>0</v>
      </c>
      <c r="AD175" s="278">
        <f ca="1">IF(ABS(Q175-D175)&gt;SnapshotTolerance,1,0)</f>
        <v>0</v>
      </c>
      <c r="AE175" s="278">
        <f ca="1">IF(ABS(R175-E175)&gt;SnapshotTolerance,1,0)</f>
        <v>0</v>
      </c>
      <c r="AF175" s="278">
        <f ca="1">IF(ABS(S175-F175)&gt;SnapshotTolerance,1,0)</f>
        <v>0</v>
      </c>
      <c r="AG175" s="278">
        <f ca="1">IF(ABS(T175-G175)&gt;SnapshotTolerance,1,0)</f>
        <v>0</v>
      </c>
      <c r="AH175" s="278">
        <f ca="1">IF(ABS(U175-H175)&gt;SnapshotTolerance,1,0)</f>
        <v>0</v>
      </c>
      <c r="AI175" s="278">
        <f ca="1">IF(ABS(V175-I175)&gt;SnapshotTolerance,1,0)</f>
        <v>0</v>
      </c>
      <c r="AJ175" s="278">
        <f ca="1">IF(ABS(W175-J175)&gt;SnapshotTolerance,1,0)</f>
        <v>0</v>
      </c>
      <c r="AK175" s="278">
        <f ca="1">IF(ABS(X175-K175)&gt;SnapshotTolerance,1,0)</f>
        <v>0</v>
      </c>
      <c r="AL175" s="278">
        <f ca="1">IF(ABS(Y175-L175)&gt;SnapshotTolerance,1,0)</f>
        <v>0</v>
      </c>
      <c r="AM175" s="279">
        <f ca="1">IF(ABS(Z175-M175)&gt;SnapshotTolerance,1,0)</f>
        <v>0</v>
      </c>
    </row>
    <row r="176" spans="2:39">
      <c r="B176" s="282" t="str">
        <f>'GBP Swap PVs'!AG56</f>
        <v>6Y</v>
      </c>
      <c r="C176" s="278">
        <f ca="1">'GBP Swap PVs'!AH56</f>
        <v>-287881.48220303055</v>
      </c>
      <c r="D176" s="278">
        <f ca="1">'GBP Swap PVs'!AI56</f>
        <v>-230305.18576242443</v>
      </c>
      <c r="E176" s="278">
        <f ca="1">'GBP Swap PVs'!AJ56</f>
        <v>-172728.88932181831</v>
      </c>
      <c r="F176" s="278">
        <f ca="1">'GBP Swap PVs'!AK56</f>
        <v>-115152.5928812122</v>
      </c>
      <c r="G176" s="278">
        <f ca="1">'GBP Swap PVs'!AL56</f>
        <v>-57576.296440606093</v>
      </c>
      <c r="H176" s="278">
        <f ca="1">'GBP Swap PVs'!AM56</f>
        <v>0</v>
      </c>
      <c r="I176" s="278">
        <f ca="1">'GBP Swap PVs'!AN56</f>
        <v>57576.296440606122</v>
      </c>
      <c r="J176" s="278">
        <f ca="1">'GBP Swap PVs'!AO56</f>
        <v>115152.5928812122</v>
      </c>
      <c r="K176" s="278">
        <f ca="1">'GBP Swap PVs'!AP56</f>
        <v>172728.88932181834</v>
      </c>
      <c r="L176" s="278">
        <f ca="1">'GBP Swap PVs'!AQ56</f>
        <v>230305.18576242443</v>
      </c>
      <c r="M176" s="279">
        <f ca="1">'GBP Swap PVs'!AR56</f>
        <v>287881.48220303049</v>
      </c>
      <c r="O176" s="282" t="s">
        <v>131</v>
      </c>
      <c r="P176" s="278">
        <v>-287881.48220303055</v>
      </c>
      <c r="Q176" s="278">
        <v>-230305.18576242443</v>
      </c>
      <c r="R176" s="278">
        <v>-172728.88932181831</v>
      </c>
      <c r="S176" s="278">
        <v>-115152.5928812122</v>
      </c>
      <c r="T176" s="278">
        <v>-57576.296440606093</v>
      </c>
      <c r="U176" s="278">
        <v>0</v>
      </c>
      <c r="V176" s="278">
        <v>57576.296440606122</v>
      </c>
      <c r="W176" s="278">
        <v>115152.5928812122</v>
      </c>
      <c r="X176" s="278">
        <v>172728.88932181834</v>
      </c>
      <c r="Y176" s="278">
        <v>230305.18576242443</v>
      </c>
      <c r="Z176" s="279">
        <v>287881.48220303049</v>
      </c>
      <c r="AB176" s="282" t="str">
        <f t="shared" si="13"/>
        <v>6Y</v>
      </c>
      <c r="AC176" s="278">
        <f ca="1">IF(ABS(P176-C176)&gt;SnapshotTolerance,1,0)</f>
        <v>0</v>
      </c>
      <c r="AD176" s="278">
        <f ca="1">IF(ABS(Q176-D176)&gt;SnapshotTolerance,1,0)</f>
        <v>0</v>
      </c>
      <c r="AE176" s="278">
        <f ca="1">IF(ABS(R176-E176)&gt;SnapshotTolerance,1,0)</f>
        <v>0</v>
      </c>
      <c r="AF176" s="278">
        <f ca="1">IF(ABS(S176-F176)&gt;SnapshotTolerance,1,0)</f>
        <v>0</v>
      </c>
      <c r="AG176" s="278">
        <f ca="1">IF(ABS(T176-G176)&gt;SnapshotTolerance,1,0)</f>
        <v>0</v>
      </c>
      <c r="AH176" s="278">
        <f ca="1">IF(ABS(U176-H176)&gt;SnapshotTolerance,1,0)</f>
        <v>0</v>
      </c>
      <c r="AI176" s="278">
        <f ca="1">IF(ABS(V176-I176)&gt;SnapshotTolerance,1,0)</f>
        <v>0</v>
      </c>
      <c r="AJ176" s="278">
        <f ca="1">IF(ABS(W176-J176)&gt;SnapshotTolerance,1,0)</f>
        <v>0</v>
      </c>
      <c r="AK176" s="278">
        <f ca="1">IF(ABS(X176-K176)&gt;SnapshotTolerance,1,0)</f>
        <v>0</v>
      </c>
      <c r="AL176" s="278">
        <f ca="1">IF(ABS(Y176-L176)&gt;SnapshotTolerance,1,0)</f>
        <v>0</v>
      </c>
      <c r="AM176" s="279">
        <f ca="1">IF(ABS(Z176-M176)&gt;SnapshotTolerance,1,0)</f>
        <v>0</v>
      </c>
    </row>
    <row r="177" spans="2:39">
      <c r="B177" s="282" t="str">
        <f>'GBP Swap PVs'!AG57</f>
        <v>7Y</v>
      </c>
      <c r="C177" s="278">
        <f ca="1">'GBP Swap PVs'!AH57</f>
        <v>-332503.98096674302</v>
      </c>
      <c r="D177" s="278">
        <f ca="1">'GBP Swap PVs'!AI57</f>
        <v>-266003.18477339449</v>
      </c>
      <c r="E177" s="278">
        <f ca="1">'GBP Swap PVs'!AJ57</f>
        <v>-199502.38858004581</v>
      </c>
      <c r="F177" s="278">
        <f ca="1">'GBP Swap PVs'!AK57</f>
        <v>-133001.59238669722</v>
      </c>
      <c r="G177" s="278">
        <f ca="1">'GBP Swap PVs'!AL57</f>
        <v>-66500.796193348593</v>
      </c>
      <c r="H177" s="278">
        <f ca="1">'GBP Swap PVs'!AM57</f>
        <v>0</v>
      </c>
      <c r="I177" s="278">
        <f ca="1">'GBP Swap PVs'!AN57</f>
        <v>66500.796193348622</v>
      </c>
      <c r="J177" s="278">
        <f ca="1">'GBP Swap PVs'!AO57</f>
        <v>133001.59238669727</v>
      </c>
      <c r="K177" s="278">
        <f ca="1">'GBP Swap PVs'!AP57</f>
        <v>199502.38858004584</v>
      </c>
      <c r="L177" s="278">
        <f ca="1">'GBP Swap PVs'!AQ57</f>
        <v>266003.18477339449</v>
      </c>
      <c r="M177" s="279">
        <f ca="1">'GBP Swap PVs'!AR57</f>
        <v>332503.98096674302</v>
      </c>
      <c r="O177" s="282" t="s">
        <v>31</v>
      </c>
      <c r="P177" s="278">
        <v>-332503.98096674302</v>
      </c>
      <c r="Q177" s="278">
        <v>-266003.18477339449</v>
      </c>
      <c r="R177" s="278">
        <v>-199502.38858004581</v>
      </c>
      <c r="S177" s="278">
        <v>-133001.59238669722</v>
      </c>
      <c r="T177" s="278">
        <v>-66500.796193348593</v>
      </c>
      <c r="U177" s="278">
        <v>0</v>
      </c>
      <c r="V177" s="278">
        <v>66500.796193348622</v>
      </c>
      <c r="W177" s="278">
        <v>133001.59238669727</v>
      </c>
      <c r="X177" s="278">
        <v>199502.38858004584</v>
      </c>
      <c r="Y177" s="278">
        <v>266003.18477339449</v>
      </c>
      <c r="Z177" s="279">
        <v>332503.98096674302</v>
      </c>
      <c r="AB177" s="282" t="str">
        <f t="shared" si="13"/>
        <v>7Y</v>
      </c>
      <c r="AC177" s="278">
        <f ca="1">IF(ABS(P177-C177)&gt;SnapshotTolerance,1,0)</f>
        <v>0</v>
      </c>
      <c r="AD177" s="278">
        <f ca="1">IF(ABS(Q177-D177)&gt;SnapshotTolerance,1,0)</f>
        <v>0</v>
      </c>
      <c r="AE177" s="278">
        <f ca="1">IF(ABS(R177-E177)&gt;SnapshotTolerance,1,0)</f>
        <v>0</v>
      </c>
      <c r="AF177" s="278">
        <f ca="1">IF(ABS(S177-F177)&gt;SnapshotTolerance,1,0)</f>
        <v>0</v>
      </c>
      <c r="AG177" s="278">
        <f ca="1">IF(ABS(T177-G177)&gt;SnapshotTolerance,1,0)</f>
        <v>0</v>
      </c>
      <c r="AH177" s="278">
        <f ca="1">IF(ABS(U177-H177)&gt;SnapshotTolerance,1,0)</f>
        <v>0</v>
      </c>
      <c r="AI177" s="278">
        <f ca="1">IF(ABS(V177-I177)&gt;SnapshotTolerance,1,0)</f>
        <v>0</v>
      </c>
      <c r="AJ177" s="278">
        <f ca="1">IF(ABS(W177-J177)&gt;SnapshotTolerance,1,0)</f>
        <v>0</v>
      </c>
      <c r="AK177" s="278">
        <f ca="1">IF(ABS(X177-K177)&gt;SnapshotTolerance,1,0)</f>
        <v>0</v>
      </c>
      <c r="AL177" s="278">
        <f ca="1">IF(ABS(Y177-L177)&gt;SnapshotTolerance,1,0)</f>
        <v>0</v>
      </c>
      <c r="AM177" s="279">
        <f ca="1">IF(ABS(Z177-M177)&gt;SnapshotTolerance,1,0)</f>
        <v>0</v>
      </c>
    </row>
    <row r="178" spans="2:39">
      <c r="B178" s="282" t="str">
        <f>'GBP Swap PVs'!AG58</f>
        <v>8Y</v>
      </c>
      <c r="C178" s="278">
        <f ca="1">'GBP Swap PVs'!AH58</f>
        <v>-376035.413937465</v>
      </c>
      <c r="D178" s="278">
        <f ca="1">'GBP Swap PVs'!AI58</f>
        <v>-300828.33114997199</v>
      </c>
      <c r="E178" s="278">
        <f ca="1">'GBP Swap PVs'!AJ58</f>
        <v>-225621.24836247897</v>
      </c>
      <c r="F178" s="278">
        <f ca="1">'GBP Swap PVs'!AK58</f>
        <v>-150414.16557498596</v>
      </c>
      <c r="G178" s="278">
        <f ca="1">'GBP Swap PVs'!AL58</f>
        <v>-75207.082787492967</v>
      </c>
      <c r="H178" s="278">
        <f ca="1">'GBP Swap PVs'!AM58</f>
        <v>0</v>
      </c>
      <c r="I178" s="278">
        <f ca="1">'GBP Swap PVs'!AN58</f>
        <v>75207.082787493026</v>
      </c>
      <c r="J178" s="278">
        <f ca="1">'GBP Swap PVs'!AO58</f>
        <v>150414.16557498605</v>
      </c>
      <c r="K178" s="278">
        <f ca="1">'GBP Swap PVs'!AP58</f>
        <v>225621.24836247897</v>
      </c>
      <c r="L178" s="278">
        <f ca="1">'GBP Swap PVs'!AQ58</f>
        <v>300828.33114997204</v>
      </c>
      <c r="M178" s="279">
        <f ca="1">'GBP Swap PVs'!AR58</f>
        <v>376035.41393746505</v>
      </c>
      <c r="O178" s="282" t="s">
        <v>119</v>
      </c>
      <c r="P178" s="278">
        <v>-376035.413937465</v>
      </c>
      <c r="Q178" s="278">
        <v>-300828.33114997199</v>
      </c>
      <c r="R178" s="278">
        <v>-225621.24836247897</v>
      </c>
      <c r="S178" s="278">
        <v>-150414.16557498596</v>
      </c>
      <c r="T178" s="278">
        <v>-75207.082787492967</v>
      </c>
      <c r="U178" s="278">
        <v>0</v>
      </c>
      <c r="V178" s="278">
        <v>75207.082787493026</v>
      </c>
      <c r="W178" s="278">
        <v>150414.16557498605</v>
      </c>
      <c r="X178" s="278">
        <v>225621.24836247897</v>
      </c>
      <c r="Y178" s="278">
        <v>300828.33114997204</v>
      </c>
      <c r="Z178" s="279">
        <v>376035.41393746505</v>
      </c>
      <c r="AB178" s="282" t="str">
        <f t="shared" si="13"/>
        <v>8Y</v>
      </c>
      <c r="AC178" s="278">
        <f ca="1">IF(ABS(P178-C178)&gt;SnapshotTolerance,1,0)</f>
        <v>0</v>
      </c>
      <c r="AD178" s="278">
        <f ca="1">IF(ABS(Q178-D178)&gt;SnapshotTolerance,1,0)</f>
        <v>0</v>
      </c>
      <c r="AE178" s="278">
        <f ca="1">IF(ABS(R178-E178)&gt;SnapshotTolerance,1,0)</f>
        <v>0</v>
      </c>
      <c r="AF178" s="278">
        <f ca="1">IF(ABS(S178-F178)&gt;SnapshotTolerance,1,0)</f>
        <v>0</v>
      </c>
      <c r="AG178" s="278">
        <f ca="1">IF(ABS(T178-G178)&gt;SnapshotTolerance,1,0)</f>
        <v>0</v>
      </c>
      <c r="AH178" s="278">
        <f ca="1">IF(ABS(U178-H178)&gt;SnapshotTolerance,1,0)</f>
        <v>0</v>
      </c>
      <c r="AI178" s="278">
        <f ca="1">IF(ABS(V178-I178)&gt;SnapshotTolerance,1,0)</f>
        <v>0</v>
      </c>
      <c r="AJ178" s="278">
        <f ca="1">IF(ABS(W178-J178)&gt;SnapshotTolerance,1,0)</f>
        <v>0</v>
      </c>
      <c r="AK178" s="278">
        <f ca="1">IF(ABS(X178-K178)&gt;SnapshotTolerance,1,0)</f>
        <v>0</v>
      </c>
      <c r="AL178" s="278">
        <f ca="1">IF(ABS(Y178-L178)&gt;SnapshotTolerance,1,0)</f>
        <v>0</v>
      </c>
      <c r="AM178" s="279">
        <f ca="1">IF(ABS(Z178-M178)&gt;SnapshotTolerance,1,0)</f>
        <v>0</v>
      </c>
    </row>
    <row r="179" spans="2:39">
      <c r="B179" s="282" t="str">
        <f>'GBP Swap PVs'!AG59</f>
        <v>9Y</v>
      </c>
      <c r="C179" s="278">
        <f ca="1">'GBP Swap PVs'!AH59</f>
        <v>-418823.01881965069</v>
      </c>
      <c r="D179" s="278">
        <f ca="1">'GBP Swap PVs'!AI59</f>
        <v>-335058.41505572054</v>
      </c>
      <c r="E179" s="278">
        <f ca="1">'GBP Swap PVs'!AJ59</f>
        <v>-251293.81129179039</v>
      </c>
      <c r="F179" s="278">
        <f ca="1">'GBP Swap PVs'!AK59</f>
        <v>-167529.20752786024</v>
      </c>
      <c r="G179" s="278">
        <f ca="1">'GBP Swap PVs'!AL59</f>
        <v>-83764.603763930107</v>
      </c>
      <c r="H179" s="278">
        <f ca="1">'GBP Swap PVs'!AM59</f>
        <v>0</v>
      </c>
      <c r="I179" s="278">
        <f ca="1">'GBP Swap PVs'!AN59</f>
        <v>83764.603763930078</v>
      </c>
      <c r="J179" s="278">
        <f ca="1">'GBP Swap PVs'!AO59</f>
        <v>167529.20752786027</v>
      </c>
      <c r="K179" s="278">
        <f ca="1">'GBP Swap PVs'!AP59</f>
        <v>251293.81129179033</v>
      </c>
      <c r="L179" s="278">
        <f ca="1">'GBP Swap PVs'!AQ59</f>
        <v>335058.41505572054</v>
      </c>
      <c r="M179" s="279">
        <f ca="1">'GBP Swap PVs'!AR59</f>
        <v>418823.01881965058</v>
      </c>
      <c r="O179" s="282" t="s">
        <v>113</v>
      </c>
      <c r="P179" s="278">
        <v>-418823.01881965069</v>
      </c>
      <c r="Q179" s="278">
        <v>-335058.41505572054</v>
      </c>
      <c r="R179" s="278">
        <v>-251293.81129179039</v>
      </c>
      <c r="S179" s="278">
        <v>-167529.20752786024</v>
      </c>
      <c r="T179" s="278">
        <v>-83764.603763930107</v>
      </c>
      <c r="U179" s="278">
        <v>0</v>
      </c>
      <c r="V179" s="278">
        <v>83764.603763930078</v>
      </c>
      <c r="W179" s="278">
        <v>167529.20752786027</v>
      </c>
      <c r="X179" s="278">
        <v>251293.81129179033</v>
      </c>
      <c r="Y179" s="278">
        <v>335058.41505572054</v>
      </c>
      <c r="Z179" s="279">
        <v>418823.01881965058</v>
      </c>
      <c r="AB179" s="282" t="str">
        <f t="shared" si="13"/>
        <v>9Y</v>
      </c>
      <c r="AC179" s="278">
        <f ca="1">IF(ABS(P179-C179)&gt;SnapshotTolerance,1,0)</f>
        <v>0</v>
      </c>
      <c r="AD179" s="278">
        <f ca="1">IF(ABS(Q179-D179)&gt;SnapshotTolerance,1,0)</f>
        <v>0</v>
      </c>
      <c r="AE179" s="278">
        <f ca="1">IF(ABS(R179-E179)&gt;SnapshotTolerance,1,0)</f>
        <v>0</v>
      </c>
      <c r="AF179" s="278">
        <f ca="1">IF(ABS(S179-F179)&gt;SnapshotTolerance,1,0)</f>
        <v>0</v>
      </c>
      <c r="AG179" s="278">
        <f ca="1">IF(ABS(T179-G179)&gt;SnapshotTolerance,1,0)</f>
        <v>0</v>
      </c>
      <c r="AH179" s="278">
        <f ca="1">IF(ABS(U179-H179)&gt;SnapshotTolerance,1,0)</f>
        <v>0</v>
      </c>
      <c r="AI179" s="278">
        <f ca="1">IF(ABS(V179-I179)&gt;SnapshotTolerance,1,0)</f>
        <v>0</v>
      </c>
      <c r="AJ179" s="278">
        <f ca="1">IF(ABS(W179-J179)&gt;SnapshotTolerance,1,0)</f>
        <v>0</v>
      </c>
      <c r="AK179" s="278">
        <f ca="1">IF(ABS(X179-K179)&gt;SnapshotTolerance,1,0)</f>
        <v>0</v>
      </c>
      <c r="AL179" s="278">
        <f ca="1">IF(ABS(Y179-L179)&gt;SnapshotTolerance,1,0)</f>
        <v>0</v>
      </c>
      <c r="AM179" s="279">
        <f ca="1">IF(ABS(Z179-M179)&gt;SnapshotTolerance,1,0)</f>
        <v>0</v>
      </c>
    </row>
    <row r="180" spans="2:39">
      <c r="B180" s="282" t="str">
        <f>'GBP Swap PVs'!AG60</f>
        <v>10Y</v>
      </c>
      <c r="C180" s="278">
        <f ca="1">'GBP Swap PVs'!AH60</f>
        <v>-460063.14960164641</v>
      </c>
      <c r="D180" s="278">
        <f ca="1">'GBP Swap PVs'!AI60</f>
        <v>-368050.51968131715</v>
      </c>
      <c r="E180" s="278">
        <f ca="1">'GBP Swap PVs'!AJ60</f>
        <v>-276037.88976098789</v>
      </c>
      <c r="F180" s="278">
        <f ca="1">'GBP Swap PVs'!AK60</f>
        <v>-184025.25984065855</v>
      </c>
      <c r="G180" s="278">
        <f ca="1">'GBP Swap PVs'!AL60</f>
        <v>-92012.629920329244</v>
      </c>
      <c r="H180" s="278">
        <f ca="1">'GBP Swap PVs'!AM60</f>
        <v>0</v>
      </c>
      <c r="I180" s="278">
        <f ca="1">'GBP Swap PVs'!AN60</f>
        <v>92012.629920329302</v>
      </c>
      <c r="J180" s="278">
        <f ca="1">'GBP Swap PVs'!AO60</f>
        <v>184025.25984065863</v>
      </c>
      <c r="K180" s="278">
        <f ca="1">'GBP Swap PVs'!AP60</f>
        <v>276037.88976098789</v>
      </c>
      <c r="L180" s="278">
        <f ca="1">'GBP Swap PVs'!AQ60</f>
        <v>368050.51968131721</v>
      </c>
      <c r="M180" s="279">
        <f ca="1">'GBP Swap PVs'!AR60</f>
        <v>460063.14960164641</v>
      </c>
      <c r="O180" s="282" t="s">
        <v>28</v>
      </c>
      <c r="P180" s="278">
        <v>-460063.14960164641</v>
      </c>
      <c r="Q180" s="278">
        <v>-368050.51968131715</v>
      </c>
      <c r="R180" s="278">
        <v>-276037.88976098789</v>
      </c>
      <c r="S180" s="278">
        <v>-184025.25984065855</v>
      </c>
      <c r="T180" s="278">
        <v>-92012.629920329244</v>
      </c>
      <c r="U180" s="278">
        <v>0</v>
      </c>
      <c r="V180" s="278">
        <v>92012.629920329302</v>
      </c>
      <c r="W180" s="278">
        <v>184025.25984065863</v>
      </c>
      <c r="X180" s="278">
        <v>276037.88976098789</v>
      </c>
      <c r="Y180" s="278">
        <v>368050.51968131721</v>
      </c>
      <c r="Z180" s="279">
        <v>460063.14960164641</v>
      </c>
      <c r="AB180" s="282" t="str">
        <f t="shared" si="13"/>
        <v>10Y</v>
      </c>
      <c r="AC180" s="278">
        <f ca="1">IF(ABS(P180-C180)&gt;SnapshotTolerance,1,0)</f>
        <v>0</v>
      </c>
      <c r="AD180" s="278">
        <f ca="1">IF(ABS(Q180-D180)&gt;SnapshotTolerance,1,0)</f>
        <v>0</v>
      </c>
      <c r="AE180" s="278">
        <f ca="1">IF(ABS(R180-E180)&gt;SnapshotTolerance,1,0)</f>
        <v>0</v>
      </c>
      <c r="AF180" s="278">
        <f ca="1">IF(ABS(S180-F180)&gt;SnapshotTolerance,1,0)</f>
        <v>0</v>
      </c>
      <c r="AG180" s="278">
        <f ca="1">IF(ABS(T180-G180)&gt;SnapshotTolerance,1,0)</f>
        <v>0</v>
      </c>
      <c r="AH180" s="278">
        <f ca="1">IF(ABS(U180-H180)&gt;SnapshotTolerance,1,0)</f>
        <v>0</v>
      </c>
      <c r="AI180" s="278">
        <f ca="1">IF(ABS(V180-I180)&gt;SnapshotTolerance,1,0)</f>
        <v>0</v>
      </c>
      <c r="AJ180" s="278">
        <f ca="1">IF(ABS(W180-J180)&gt;SnapshotTolerance,1,0)</f>
        <v>0</v>
      </c>
      <c r="AK180" s="278">
        <f ca="1">IF(ABS(X180-K180)&gt;SnapshotTolerance,1,0)</f>
        <v>0</v>
      </c>
      <c r="AL180" s="278">
        <f ca="1">IF(ABS(Y180-L180)&gt;SnapshotTolerance,1,0)</f>
        <v>0</v>
      </c>
      <c r="AM180" s="279">
        <f ca="1">IF(ABS(Z180-M180)&gt;SnapshotTolerance,1,0)</f>
        <v>0</v>
      </c>
    </row>
    <row r="181" spans="2:39">
      <c r="B181" s="282" t="str">
        <f>'GBP Swap PVs'!AG61</f>
        <v>12Y</v>
      </c>
      <c r="C181" s="278">
        <f ca="1">'GBP Swap PVs'!AH61</f>
        <v>-539399.29946624534</v>
      </c>
      <c r="D181" s="278">
        <f ca="1">'GBP Swap PVs'!AI61</f>
        <v>-431519.43957299634</v>
      </c>
      <c r="E181" s="278">
        <f ca="1">'GBP Swap PVs'!AJ61</f>
        <v>-323639.57967974723</v>
      </c>
      <c r="F181" s="278">
        <f ca="1">'GBP Swap PVs'!AK61</f>
        <v>-215759.71978649811</v>
      </c>
      <c r="G181" s="278">
        <f ca="1">'GBP Swap PVs'!AL61</f>
        <v>-107879.85989324903</v>
      </c>
      <c r="H181" s="278">
        <f ca="1">'GBP Swap PVs'!AM61</f>
        <v>0</v>
      </c>
      <c r="I181" s="278">
        <f ca="1">'GBP Swap PVs'!AN61</f>
        <v>107879.85989324906</v>
      </c>
      <c r="J181" s="278">
        <f ca="1">'GBP Swap PVs'!AO61</f>
        <v>215759.71978649817</v>
      </c>
      <c r="K181" s="278">
        <f ca="1">'GBP Swap PVs'!AP61</f>
        <v>323639.57967974723</v>
      </c>
      <c r="L181" s="278">
        <f ca="1">'GBP Swap PVs'!AQ61</f>
        <v>431519.43957299634</v>
      </c>
      <c r="M181" s="279">
        <f ca="1">'GBP Swap PVs'!AR61</f>
        <v>539399.29946624534</v>
      </c>
      <c r="O181" s="282" t="s">
        <v>26</v>
      </c>
      <c r="P181" s="278">
        <v>-539399.29946624534</v>
      </c>
      <c r="Q181" s="278">
        <v>-431519.43957299634</v>
      </c>
      <c r="R181" s="278">
        <v>-323639.57967974723</v>
      </c>
      <c r="S181" s="278">
        <v>-215759.71978649811</v>
      </c>
      <c r="T181" s="278">
        <v>-107879.85989324903</v>
      </c>
      <c r="U181" s="278">
        <v>0</v>
      </c>
      <c r="V181" s="278">
        <v>107879.85989324906</v>
      </c>
      <c r="W181" s="278">
        <v>215759.71978649817</v>
      </c>
      <c r="X181" s="278">
        <v>323639.57967974723</v>
      </c>
      <c r="Y181" s="278">
        <v>431519.43957299634</v>
      </c>
      <c r="Z181" s="279">
        <v>539399.29946624534</v>
      </c>
      <c r="AB181" s="282" t="str">
        <f t="shared" si="13"/>
        <v>12Y</v>
      </c>
      <c r="AC181" s="278">
        <f ca="1">IF(ABS(P181-C181)&gt;SnapshotTolerance,1,0)</f>
        <v>0</v>
      </c>
      <c r="AD181" s="278">
        <f ca="1">IF(ABS(Q181-D181)&gt;SnapshotTolerance,1,0)</f>
        <v>0</v>
      </c>
      <c r="AE181" s="278">
        <f ca="1">IF(ABS(R181-E181)&gt;SnapshotTolerance,1,0)</f>
        <v>0</v>
      </c>
      <c r="AF181" s="278">
        <f ca="1">IF(ABS(S181-F181)&gt;SnapshotTolerance,1,0)</f>
        <v>0</v>
      </c>
      <c r="AG181" s="278">
        <f ca="1">IF(ABS(T181-G181)&gt;SnapshotTolerance,1,0)</f>
        <v>0</v>
      </c>
      <c r="AH181" s="278">
        <f ca="1">IF(ABS(U181-H181)&gt;SnapshotTolerance,1,0)</f>
        <v>0</v>
      </c>
      <c r="AI181" s="278">
        <f ca="1">IF(ABS(V181-I181)&gt;SnapshotTolerance,1,0)</f>
        <v>0</v>
      </c>
      <c r="AJ181" s="278">
        <f ca="1">IF(ABS(W181-J181)&gt;SnapshotTolerance,1,0)</f>
        <v>0</v>
      </c>
      <c r="AK181" s="278">
        <f ca="1">IF(ABS(X181-K181)&gt;SnapshotTolerance,1,0)</f>
        <v>0</v>
      </c>
      <c r="AL181" s="278">
        <f ca="1">IF(ABS(Y181-L181)&gt;SnapshotTolerance,1,0)</f>
        <v>0</v>
      </c>
      <c r="AM181" s="279">
        <f ca="1">IF(ABS(Z181-M181)&gt;SnapshotTolerance,1,0)</f>
        <v>0</v>
      </c>
    </row>
    <row r="182" spans="2:39">
      <c r="B182" s="282" t="str">
        <f>'GBP Swap PVs'!AG62</f>
        <v>15Y</v>
      </c>
      <c r="C182" s="278">
        <f ca="1">'GBP Swap PVs'!AH62</f>
        <v>-650948.40440974885</v>
      </c>
      <c r="D182" s="278">
        <f ca="1">'GBP Swap PVs'!AI62</f>
        <v>-520758.72352779907</v>
      </c>
      <c r="E182" s="278">
        <f ca="1">'GBP Swap PVs'!AJ62</f>
        <v>-390569.04264584935</v>
      </c>
      <c r="F182" s="278">
        <f ca="1">'GBP Swap PVs'!AK62</f>
        <v>-260379.36176389953</v>
      </c>
      <c r="G182" s="278">
        <f ca="1">'GBP Swap PVs'!AL62</f>
        <v>-130189.68088194974</v>
      </c>
      <c r="H182" s="278">
        <f ca="1">'GBP Swap PVs'!AM62</f>
        <v>0</v>
      </c>
      <c r="I182" s="278">
        <f ca="1">'GBP Swap PVs'!AN62</f>
        <v>130189.68088194983</v>
      </c>
      <c r="J182" s="278">
        <f ca="1">'GBP Swap PVs'!AO62</f>
        <v>260379.36176389959</v>
      </c>
      <c r="K182" s="278">
        <f ca="1">'GBP Swap PVs'!AP62</f>
        <v>390569.04264584929</v>
      </c>
      <c r="L182" s="278">
        <f ca="1">'GBP Swap PVs'!AQ62</f>
        <v>520758.7235277993</v>
      </c>
      <c r="M182" s="279">
        <f ca="1">'GBP Swap PVs'!AR62</f>
        <v>650948.40440974885</v>
      </c>
      <c r="O182" s="282" t="s">
        <v>24</v>
      </c>
      <c r="P182" s="278">
        <v>-650948.40440974885</v>
      </c>
      <c r="Q182" s="278">
        <v>-520758.72352779907</v>
      </c>
      <c r="R182" s="278">
        <v>-390569.04264584935</v>
      </c>
      <c r="S182" s="278">
        <v>-260379.36176389953</v>
      </c>
      <c r="T182" s="278">
        <v>-130189.68088194974</v>
      </c>
      <c r="U182" s="278">
        <v>0</v>
      </c>
      <c r="V182" s="278">
        <v>130189.68088194983</v>
      </c>
      <c r="W182" s="278">
        <v>260379.36176389959</v>
      </c>
      <c r="X182" s="278">
        <v>390569.04264584929</v>
      </c>
      <c r="Y182" s="278">
        <v>520758.7235277993</v>
      </c>
      <c r="Z182" s="279">
        <v>650948.40440974885</v>
      </c>
      <c r="AB182" s="282" t="str">
        <f t="shared" si="13"/>
        <v>15Y</v>
      </c>
      <c r="AC182" s="278">
        <f ca="1">IF(ABS(P182-C182)&gt;SnapshotTolerance,1,0)</f>
        <v>0</v>
      </c>
      <c r="AD182" s="278">
        <f ca="1">IF(ABS(Q182-D182)&gt;SnapshotTolerance,1,0)</f>
        <v>0</v>
      </c>
      <c r="AE182" s="278">
        <f ca="1">IF(ABS(R182-E182)&gt;SnapshotTolerance,1,0)</f>
        <v>0</v>
      </c>
      <c r="AF182" s="278">
        <f ca="1">IF(ABS(S182-F182)&gt;SnapshotTolerance,1,0)</f>
        <v>0</v>
      </c>
      <c r="AG182" s="278">
        <f ca="1">IF(ABS(T182-G182)&gt;SnapshotTolerance,1,0)</f>
        <v>0</v>
      </c>
      <c r="AH182" s="278">
        <f ca="1">IF(ABS(U182-H182)&gt;SnapshotTolerance,1,0)</f>
        <v>0</v>
      </c>
      <c r="AI182" s="278">
        <f ca="1">IF(ABS(V182-I182)&gt;SnapshotTolerance,1,0)</f>
        <v>0</v>
      </c>
      <c r="AJ182" s="278">
        <f ca="1">IF(ABS(W182-J182)&gt;SnapshotTolerance,1,0)</f>
        <v>0</v>
      </c>
      <c r="AK182" s="278">
        <f ca="1">IF(ABS(X182-K182)&gt;SnapshotTolerance,1,0)</f>
        <v>0</v>
      </c>
      <c r="AL182" s="278">
        <f ca="1">IF(ABS(Y182-L182)&gt;SnapshotTolerance,1,0)</f>
        <v>0</v>
      </c>
      <c r="AM182" s="279">
        <f ca="1">IF(ABS(Z182-M182)&gt;SnapshotTolerance,1,0)</f>
        <v>0</v>
      </c>
    </row>
    <row r="183" spans="2:39">
      <c r="B183" s="282" t="str">
        <f>'GBP Swap PVs'!AG63</f>
        <v>20Y</v>
      </c>
      <c r="C183" s="278">
        <f ca="1">'GBP Swap PVs'!AH63</f>
        <v>-817421.3529675263</v>
      </c>
      <c r="D183" s="278">
        <f ca="1">'GBP Swap PVs'!AI63</f>
        <v>-653937.08237402095</v>
      </c>
      <c r="E183" s="278">
        <f ca="1">'GBP Swap PVs'!AJ63</f>
        <v>-490452.81178051571</v>
      </c>
      <c r="F183" s="278">
        <f ca="1">'GBP Swap PVs'!AK63</f>
        <v>-326968.54118701041</v>
      </c>
      <c r="G183" s="278">
        <f ca="1">'GBP Swap PVs'!AL63</f>
        <v>-163484.27059350518</v>
      </c>
      <c r="H183" s="278">
        <f ca="1">'GBP Swap PVs'!AM63</f>
        <v>0</v>
      </c>
      <c r="I183" s="278">
        <f ca="1">'GBP Swap PVs'!AN63</f>
        <v>163484.27059350529</v>
      </c>
      <c r="J183" s="278">
        <f ca="1">'GBP Swap PVs'!AO63</f>
        <v>326968.54118701053</v>
      </c>
      <c r="K183" s="278">
        <f ca="1">'GBP Swap PVs'!AP63</f>
        <v>490452.81178051565</v>
      </c>
      <c r="L183" s="278">
        <f ca="1">'GBP Swap PVs'!AQ63</f>
        <v>653937.08237402071</v>
      </c>
      <c r="M183" s="279">
        <f ca="1">'GBP Swap PVs'!AR63</f>
        <v>817421.3529675263</v>
      </c>
      <c r="O183" s="282" t="s">
        <v>20</v>
      </c>
      <c r="P183" s="278">
        <v>-817421.3529675263</v>
      </c>
      <c r="Q183" s="278">
        <v>-653937.08237402095</v>
      </c>
      <c r="R183" s="278">
        <v>-490452.81178051571</v>
      </c>
      <c r="S183" s="278">
        <v>-326968.54118701041</v>
      </c>
      <c r="T183" s="278">
        <v>-163484.27059350518</v>
      </c>
      <c r="U183" s="278">
        <v>0</v>
      </c>
      <c r="V183" s="278">
        <v>163484.27059350529</v>
      </c>
      <c r="W183" s="278">
        <v>326968.54118701053</v>
      </c>
      <c r="X183" s="278">
        <v>490452.81178051565</v>
      </c>
      <c r="Y183" s="278">
        <v>653937.08237402071</v>
      </c>
      <c r="Z183" s="279">
        <v>817421.3529675263</v>
      </c>
      <c r="AB183" s="282" t="str">
        <f t="shared" si="13"/>
        <v>20Y</v>
      </c>
      <c r="AC183" s="278">
        <f ca="1">IF(ABS(P183-C183)&gt;SnapshotTolerance,1,0)</f>
        <v>0</v>
      </c>
      <c r="AD183" s="278">
        <f ca="1">IF(ABS(Q183-D183)&gt;SnapshotTolerance,1,0)</f>
        <v>0</v>
      </c>
      <c r="AE183" s="278">
        <f ca="1">IF(ABS(R183-E183)&gt;SnapshotTolerance,1,0)</f>
        <v>0</v>
      </c>
      <c r="AF183" s="278">
        <f ca="1">IF(ABS(S183-F183)&gt;SnapshotTolerance,1,0)</f>
        <v>0</v>
      </c>
      <c r="AG183" s="278">
        <f ca="1">IF(ABS(T183-G183)&gt;SnapshotTolerance,1,0)</f>
        <v>0</v>
      </c>
      <c r="AH183" s="278">
        <f ca="1">IF(ABS(U183-H183)&gt;SnapshotTolerance,1,0)</f>
        <v>0</v>
      </c>
      <c r="AI183" s="278">
        <f ca="1">IF(ABS(V183-I183)&gt;SnapshotTolerance,1,0)</f>
        <v>0</v>
      </c>
      <c r="AJ183" s="278">
        <f ca="1">IF(ABS(W183-J183)&gt;SnapshotTolerance,1,0)</f>
        <v>0</v>
      </c>
      <c r="AK183" s="278">
        <f ca="1">IF(ABS(X183-K183)&gt;SnapshotTolerance,1,0)</f>
        <v>0</v>
      </c>
      <c r="AL183" s="278">
        <f ca="1">IF(ABS(Y183-L183)&gt;SnapshotTolerance,1,0)</f>
        <v>0</v>
      </c>
      <c r="AM183" s="279">
        <f ca="1">IF(ABS(Z183-M183)&gt;SnapshotTolerance,1,0)</f>
        <v>0</v>
      </c>
    </row>
    <row r="184" spans="2:39">
      <c r="B184" s="282" t="str">
        <f>'GBP Swap PVs'!AG64</f>
        <v>25Y</v>
      </c>
      <c r="C184" s="278">
        <f ca="1">'GBP Swap PVs'!AH64</f>
        <v>-964673.16142758704</v>
      </c>
      <c r="D184" s="278">
        <f ca="1">'GBP Swap PVs'!AI64</f>
        <v>-771738.52914206963</v>
      </c>
      <c r="E184" s="278">
        <f ca="1">'GBP Swap PVs'!AJ64</f>
        <v>-578803.89685655222</v>
      </c>
      <c r="F184" s="278">
        <f ca="1">'GBP Swap PVs'!AK64</f>
        <v>-385869.26457103476</v>
      </c>
      <c r="G184" s="278">
        <f ca="1">'GBP Swap PVs'!AL64</f>
        <v>-192934.63228551732</v>
      </c>
      <c r="H184" s="278">
        <f ca="1">'GBP Swap PVs'!AM64</f>
        <v>0</v>
      </c>
      <c r="I184" s="278">
        <f ca="1">'GBP Swap PVs'!AN64</f>
        <v>192934.63228551738</v>
      </c>
      <c r="J184" s="278">
        <f ca="1">'GBP Swap PVs'!AO64</f>
        <v>385869.26457103482</v>
      </c>
      <c r="K184" s="278">
        <f ca="1">'GBP Swap PVs'!AP64</f>
        <v>578803.89685655211</v>
      </c>
      <c r="L184" s="278">
        <f ca="1">'GBP Swap PVs'!AQ64</f>
        <v>771738.52914206951</v>
      </c>
      <c r="M184" s="279">
        <f ca="1">'GBP Swap PVs'!AR64</f>
        <v>964673.16142758692</v>
      </c>
      <c r="O184" s="282" t="s">
        <v>18</v>
      </c>
      <c r="P184" s="278">
        <v>-964673.16142758704</v>
      </c>
      <c r="Q184" s="278">
        <v>-771738.52914206963</v>
      </c>
      <c r="R184" s="278">
        <v>-578803.89685655222</v>
      </c>
      <c r="S184" s="278">
        <v>-385869.26457103476</v>
      </c>
      <c r="T184" s="278">
        <v>-192934.63228551732</v>
      </c>
      <c r="U184" s="278">
        <v>0</v>
      </c>
      <c r="V184" s="278">
        <v>192934.63228551738</v>
      </c>
      <c r="W184" s="278">
        <v>385869.26457103482</v>
      </c>
      <c r="X184" s="278">
        <v>578803.89685655211</v>
      </c>
      <c r="Y184" s="278">
        <v>771738.52914206951</v>
      </c>
      <c r="Z184" s="279">
        <v>964673.16142758692</v>
      </c>
      <c r="AB184" s="282" t="str">
        <f t="shared" si="13"/>
        <v>25Y</v>
      </c>
      <c r="AC184" s="278">
        <f ca="1">IF(ABS(P184-C184)&gt;SnapshotTolerance,1,0)</f>
        <v>0</v>
      </c>
      <c r="AD184" s="278">
        <f ca="1">IF(ABS(Q184-D184)&gt;SnapshotTolerance,1,0)</f>
        <v>0</v>
      </c>
      <c r="AE184" s="278">
        <f ca="1">IF(ABS(R184-E184)&gt;SnapshotTolerance,1,0)</f>
        <v>0</v>
      </c>
      <c r="AF184" s="278">
        <f ca="1">IF(ABS(S184-F184)&gt;SnapshotTolerance,1,0)</f>
        <v>0</v>
      </c>
      <c r="AG184" s="278">
        <f ca="1">IF(ABS(T184-G184)&gt;SnapshotTolerance,1,0)</f>
        <v>0</v>
      </c>
      <c r="AH184" s="278">
        <f ca="1">IF(ABS(U184-H184)&gt;SnapshotTolerance,1,0)</f>
        <v>0</v>
      </c>
      <c r="AI184" s="278">
        <f ca="1">IF(ABS(V184-I184)&gt;SnapshotTolerance,1,0)</f>
        <v>0</v>
      </c>
      <c r="AJ184" s="278">
        <f ca="1">IF(ABS(W184-J184)&gt;SnapshotTolerance,1,0)</f>
        <v>0</v>
      </c>
      <c r="AK184" s="278">
        <f ca="1">IF(ABS(X184-K184)&gt;SnapshotTolerance,1,0)</f>
        <v>0</v>
      </c>
      <c r="AL184" s="278">
        <f ca="1">IF(ABS(Y184-L184)&gt;SnapshotTolerance,1,0)</f>
        <v>0</v>
      </c>
      <c r="AM184" s="279">
        <f ca="1">IF(ABS(Z184-M184)&gt;SnapshotTolerance,1,0)</f>
        <v>0</v>
      </c>
    </row>
    <row r="185" spans="2:39">
      <c r="B185" s="282" t="str">
        <f>'GBP Swap PVs'!AG65</f>
        <v>30Y</v>
      </c>
      <c r="C185" s="278">
        <f ca="1">'GBP Swap PVs'!AH65</f>
        <v>-1095602.260317022</v>
      </c>
      <c r="D185" s="278">
        <f ca="1">'GBP Swap PVs'!AI65</f>
        <v>-876481.80825361749</v>
      </c>
      <c r="E185" s="278">
        <f ca="1">'GBP Swap PVs'!AJ65</f>
        <v>-657361.35619021312</v>
      </c>
      <c r="F185" s="278">
        <f ca="1">'GBP Swap PVs'!AK65</f>
        <v>-438240.90412680875</v>
      </c>
      <c r="G185" s="278">
        <f ca="1">'GBP Swap PVs'!AL65</f>
        <v>-219120.45206340431</v>
      </c>
      <c r="H185" s="278">
        <f ca="1">'GBP Swap PVs'!AM65</f>
        <v>0</v>
      </c>
      <c r="I185" s="278">
        <f ca="1">'GBP Swap PVs'!AN65</f>
        <v>219120.45206340437</v>
      </c>
      <c r="J185" s="278">
        <f ca="1">'GBP Swap PVs'!AO65</f>
        <v>438240.90412680875</v>
      </c>
      <c r="K185" s="278">
        <f ca="1">'GBP Swap PVs'!AP65</f>
        <v>657361.356190213</v>
      </c>
      <c r="L185" s="278">
        <f ca="1">'GBP Swap PVs'!AQ65</f>
        <v>876481.80825361761</v>
      </c>
      <c r="M185" s="279">
        <f ca="1">'GBP Swap PVs'!AR65</f>
        <v>1095602.260317022</v>
      </c>
      <c r="O185" s="282" t="s">
        <v>17</v>
      </c>
      <c r="P185" s="278">
        <v>-1095602.260317022</v>
      </c>
      <c r="Q185" s="278">
        <v>-876481.80825361749</v>
      </c>
      <c r="R185" s="278">
        <v>-657361.35619021312</v>
      </c>
      <c r="S185" s="278">
        <v>-438240.90412680875</v>
      </c>
      <c r="T185" s="278">
        <v>-219120.45206340431</v>
      </c>
      <c r="U185" s="278">
        <v>0</v>
      </c>
      <c r="V185" s="278">
        <v>219120.45206340437</v>
      </c>
      <c r="W185" s="278">
        <v>438240.90412680875</v>
      </c>
      <c r="X185" s="278">
        <v>657361.356190213</v>
      </c>
      <c r="Y185" s="278">
        <v>876481.80825361761</v>
      </c>
      <c r="Z185" s="279">
        <v>1095602.260317022</v>
      </c>
      <c r="AB185" s="282" t="str">
        <f t="shared" si="13"/>
        <v>30Y</v>
      </c>
      <c r="AC185" s="278">
        <f ca="1">IF(ABS(P185-C185)&gt;SnapshotTolerance,1,0)</f>
        <v>0</v>
      </c>
      <c r="AD185" s="278">
        <f ca="1">IF(ABS(Q185-D185)&gt;SnapshotTolerance,1,0)</f>
        <v>0</v>
      </c>
      <c r="AE185" s="278">
        <f ca="1">IF(ABS(R185-E185)&gt;SnapshotTolerance,1,0)</f>
        <v>0</v>
      </c>
      <c r="AF185" s="278">
        <f ca="1">IF(ABS(S185-F185)&gt;SnapshotTolerance,1,0)</f>
        <v>0</v>
      </c>
      <c r="AG185" s="278">
        <f ca="1">IF(ABS(T185-G185)&gt;SnapshotTolerance,1,0)</f>
        <v>0</v>
      </c>
      <c r="AH185" s="278">
        <f ca="1">IF(ABS(U185-H185)&gt;SnapshotTolerance,1,0)</f>
        <v>0</v>
      </c>
      <c r="AI185" s="278">
        <f ca="1">IF(ABS(V185-I185)&gt;SnapshotTolerance,1,0)</f>
        <v>0</v>
      </c>
      <c r="AJ185" s="278">
        <f ca="1">IF(ABS(W185-J185)&gt;SnapshotTolerance,1,0)</f>
        <v>0</v>
      </c>
      <c r="AK185" s="278">
        <f ca="1">IF(ABS(X185-K185)&gt;SnapshotTolerance,1,0)</f>
        <v>0</v>
      </c>
      <c r="AL185" s="278">
        <f ca="1">IF(ABS(Y185-L185)&gt;SnapshotTolerance,1,0)</f>
        <v>0</v>
      </c>
      <c r="AM185" s="279">
        <f ca="1">IF(ABS(Z185-M185)&gt;SnapshotTolerance,1,0)</f>
        <v>0</v>
      </c>
    </row>
    <row r="186" spans="2:39">
      <c r="B186" s="282" t="str">
        <f>'GBP Swap PVs'!AG66</f>
        <v>40Y</v>
      </c>
      <c r="C186" s="278">
        <f ca="1">'GBP Swap PVs'!AH66</f>
        <v>-1317901.5977899607</v>
      </c>
      <c r="D186" s="278">
        <f ca="1">'GBP Swap PVs'!AI66</f>
        <v>-1054321.2782319684</v>
      </c>
      <c r="E186" s="278">
        <f ca="1">'GBP Swap PVs'!AJ66</f>
        <v>-790740.95867397625</v>
      </c>
      <c r="F186" s="278">
        <f ca="1">'GBP Swap PVs'!AK66</f>
        <v>-527160.63911598409</v>
      </c>
      <c r="G186" s="278">
        <f ca="1">'GBP Swap PVs'!AL66</f>
        <v>-263580.31955799198</v>
      </c>
      <c r="H186" s="278">
        <f ca="1">'GBP Swap PVs'!AM66</f>
        <v>0</v>
      </c>
      <c r="I186" s="278">
        <f ca="1">'GBP Swap PVs'!AN66</f>
        <v>263580.31955799198</v>
      </c>
      <c r="J186" s="278">
        <f ca="1">'GBP Swap PVs'!AO66</f>
        <v>527160.6391159842</v>
      </c>
      <c r="K186" s="278">
        <f ca="1">'GBP Swap PVs'!AP66</f>
        <v>790740.95867397648</v>
      </c>
      <c r="L186" s="278">
        <f ca="1">'GBP Swap PVs'!AQ66</f>
        <v>1054321.2782319682</v>
      </c>
      <c r="M186" s="279">
        <f ca="1">'GBP Swap PVs'!AR66</f>
        <v>1317901.5977899607</v>
      </c>
      <c r="O186" s="282" t="s">
        <v>15</v>
      </c>
      <c r="P186" s="278">
        <v>-1317901.5977899607</v>
      </c>
      <c r="Q186" s="278">
        <v>-1054321.2782319684</v>
      </c>
      <c r="R186" s="278">
        <v>-790740.95867397625</v>
      </c>
      <c r="S186" s="278">
        <v>-527160.63911598409</v>
      </c>
      <c r="T186" s="278">
        <v>-263580.31955799198</v>
      </c>
      <c r="U186" s="278">
        <v>0</v>
      </c>
      <c r="V186" s="278">
        <v>263580.31955799198</v>
      </c>
      <c r="W186" s="278">
        <v>527160.6391159842</v>
      </c>
      <c r="X186" s="278">
        <v>790740.95867397648</v>
      </c>
      <c r="Y186" s="278">
        <v>1054321.2782319682</v>
      </c>
      <c r="Z186" s="279">
        <v>1317901.5977899607</v>
      </c>
      <c r="AB186" s="282" t="str">
        <f t="shared" si="13"/>
        <v>40Y</v>
      </c>
      <c r="AC186" s="278">
        <f ca="1">IF(ABS(P186-C186)&gt;SnapshotTolerance,1,0)</f>
        <v>0</v>
      </c>
      <c r="AD186" s="278">
        <f ca="1">IF(ABS(Q186-D186)&gt;SnapshotTolerance,1,0)</f>
        <v>0</v>
      </c>
      <c r="AE186" s="278">
        <f ca="1">IF(ABS(R186-E186)&gt;SnapshotTolerance,1,0)</f>
        <v>0</v>
      </c>
      <c r="AF186" s="278">
        <f ca="1">IF(ABS(S186-F186)&gt;SnapshotTolerance,1,0)</f>
        <v>0</v>
      </c>
      <c r="AG186" s="278">
        <f ca="1">IF(ABS(T186-G186)&gt;SnapshotTolerance,1,0)</f>
        <v>0</v>
      </c>
      <c r="AH186" s="278">
        <f ca="1">IF(ABS(U186-H186)&gt;SnapshotTolerance,1,0)</f>
        <v>0</v>
      </c>
      <c r="AI186" s="278">
        <f ca="1">IF(ABS(V186-I186)&gt;SnapshotTolerance,1,0)</f>
        <v>0</v>
      </c>
      <c r="AJ186" s="278">
        <f ca="1">IF(ABS(W186-J186)&gt;SnapshotTolerance,1,0)</f>
        <v>0</v>
      </c>
      <c r="AK186" s="278">
        <f ca="1">IF(ABS(X186-K186)&gt;SnapshotTolerance,1,0)</f>
        <v>0</v>
      </c>
      <c r="AL186" s="278">
        <f ca="1">IF(ABS(Y186-L186)&gt;SnapshotTolerance,1,0)</f>
        <v>0</v>
      </c>
      <c r="AM186" s="279">
        <f ca="1">IF(ABS(Z186-M186)&gt;SnapshotTolerance,1,0)</f>
        <v>0</v>
      </c>
    </row>
    <row r="187" spans="2:39">
      <c r="B187" s="282" t="str">
        <f>'GBP Swap PVs'!AG67</f>
        <v>50Y</v>
      </c>
      <c r="C187" s="278">
        <f ca="1">'GBP Swap PVs'!AH67</f>
        <v>-1498349.9245906647</v>
      </c>
      <c r="D187" s="278">
        <f ca="1">'GBP Swap PVs'!AI67</f>
        <v>-1198679.9396725316</v>
      </c>
      <c r="E187" s="278">
        <f ca="1">'GBP Swap PVs'!AJ67</f>
        <v>-899009.95475439855</v>
      </c>
      <c r="F187" s="278">
        <f ca="1">'GBP Swap PVs'!AK67</f>
        <v>-599339.96983626566</v>
      </c>
      <c r="G187" s="278">
        <f ca="1">'GBP Swap PVs'!AL67</f>
        <v>-299669.98491813277</v>
      </c>
      <c r="H187" s="278">
        <f ca="1">'GBP Swap PVs'!AM67</f>
        <v>0</v>
      </c>
      <c r="I187" s="278">
        <f ca="1">'GBP Swap PVs'!AN67</f>
        <v>299669.98491813289</v>
      </c>
      <c r="J187" s="278">
        <f ca="1">'GBP Swap PVs'!AO67</f>
        <v>599339.9698362659</v>
      </c>
      <c r="K187" s="278">
        <f ca="1">'GBP Swap PVs'!AP67</f>
        <v>899009.95475439867</v>
      </c>
      <c r="L187" s="278">
        <f ca="1">'GBP Swap PVs'!AQ67</f>
        <v>1198679.9396725316</v>
      </c>
      <c r="M187" s="279">
        <f ca="1">'GBP Swap PVs'!AR67</f>
        <v>1498349.9245906647</v>
      </c>
      <c r="O187" s="282" t="s">
        <v>14</v>
      </c>
      <c r="P187" s="278">
        <v>-1498349.9245906647</v>
      </c>
      <c r="Q187" s="278">
        <v>-1198679.9396725316</v>
      </c>
      <c r="R187" s="278">
        <v>-899009.95475439855</v>
      </c>
      <c r="S187" s="278">
        <v>-599339.96983626566</v>
      </c>
      <c r="T187" s="278">
        <v>-299669.98491813277</v>
      </c>
      <c r="U187" s="278">
        <v>0</v>
      </c>
      <c r="V187" s="278">
        <v>299669.98491813289</v>
      </c>
      <c r="W187" s="278">
        <v>599339.9698362659</v>
      </c>
      <c r="X187" s="278">
        <v>899009.95475439867</v>
      </c>
      <c r="Y187" s="278">
        <v>1198679.9396725316</v>
      </c>
      <c r="Z187" s="279">
        <v>1498349.9245906647</v>
      </c>
      <c r="AB187" s="282" t="str">
        <f t="shared" si="13"/>
        <v>50Y</v>
      </c>
      <c r="AC187" s="278">
        <f ca="1">IF(ABS(P187-C187)&gt;SnapshotTolerance,1,0)</f>
        <v>0</v>
      </c>
      <c r="AD187" s="278">
        <f ca="1">IF(ABS(Q187-D187)&gt;SnapshotTolerance,1,0)</f>
        <v>0</v>
      </c>
      <c r="AE187" s="278">
        <f ca="1">IF(ABS(R187-E187)&gt;SnapshotTolerance,1,0)</f>
        <v>0</v>
      </c>
      <c r="AF187" s="278">
        <f ca="1">IF(ABS(S187-F187)&gt;SnapshotTolerance,1,0)</f>
        <v>0</v>
      </c>
      <c r="AG187" s="278">
        <f ca="1">IF(ABS(T187-G187)&gt;SnapshotTolerance,1,0)</f>
        <v>0</v>
      </c>
      <c r="AH187" s="278">
        <f ca="1">IF(ABS(U187-H187)&gt;SnapshotTolerance,1,0)</f>
        <v>0</v>
      </c>
      <c r="AI187" s="278">
        <f ca="1">IF(ABS(V187-I187)&gt;SnapshotTolerance,1,0)</f>
        <v>0</v>
      </c>
      <c r="AJ187" s="278">
        <f ca="1">IF(ABS(W187-J187)&gt;SnapshotTolerance,1,0)</f>
        <v>0</v>
      </c>
      <c r="AK187" s="278">
        <f ca="1">IF(ABS(X187-K187)&gt;SnapshotTolerance,1,0)</f>
        <v>0</v>
      </c>
      <c r="AL187" s="278">
        <f ca="1">IF(ABS(Y187-L187)&gt;SnapshotTolerance,1,0)</f>
        <v>0</v>
      </c>
      <c r="AM187" s="279">
        <f ca="1">IF(ABS(Z187-M187)&gt;SnapshotTolerance,1,0)</f>
        <v>0</v>
      </c>
    </row>
    <row r="188" spans="2:39">
      <c r="B188" s="282"/>
      <c r="C188" s="278"/>
      <c r="D188" s="278"/>
      <c r="E188" s="278"/>
      <c r="F188" s="278"/>
      <c r="G188" s="278"/>
      <c r="H188" s="278"/>
      <c r="I188" s="278"/>
      <c r="J188" s="278"/>
      <c r="K188" s="278"/>
      <c r="L188" s="278"/>
      <c r="M188" s="279"/>
      <c r="O188" s="282"/>
      <c r="P188" s="278"/>
      <c r="Q188" s="278"/>
      <c r="R188" s="278"/>
      <c r="S188" s="278"/>
      <c r="T188" s="278"/>
      <c r="U188" s="278"/>
      <c r="V188" s="278"/>
      <c r="W188" s="278"/>
      <c r="X188" s="278"/>
      <c r="Y188" s="278"/>
      <c r="Z188" s="279"/>
      <c r="AB188" s="282"/>
      <c r="AC188" s="278"/>
      <c r="AD188" s="278"/>
      <c r="AE188" s="278"/>
      <c r="AF188" s="278"/>
      <c r="AG188" s="278"/>
      <c r="AH188" s="278"/>
      <c r="AI188" s="278"/>
      <c r="AJ188" s="278"/>
      <c r="AK188" s="278"/>
      <c r="AL188" s="278"/>
      <c r="AM188" s="279"/>
    </row>
    <row r="189" spans="2:39">
      <c r="B189" s="282"/>
      <c r="C189" s="278"/>
      <c r="D189" s="278"/>
      <c r="E189" s="278"/>
      <c r="F189" s="278"/>
      <c r="G189" s="278"/>
      <c r="H189" s="278"/>
      <c r="I189" s="278"/>
      <c r="J189" s="278"/>
      <c r="K189" s="278"/>
      <c r="L189" s="278"/>
      <c r="M189" s="279"/>
      <c r="O189" s="282"/>
      <c r="P189" s="278"/>
      <c r="Q189" s="278"/>
      <c r="R189" s="278"/>
      <c r="S189" s="278"/>
      <c r="T189" s="278"/>
      <c r="U189" s="278"/>
      <c r="V189" s="278"/>
      <c r="W189" s="278"/>
      <c r="X189" s="278"/>
      <c r="Y189" s="278"/>
      <c r="Z189" s="279"/>
      <c r="AB189" s="282"/>
      <c r="AC189" s="278"/>
      <c r="AD189" s="278"/>
      <c r="AE189" s="278"/>
      <c r="AF189" s="278"/>
      <c r="AG189" s="278"/>
      <c r="AH189" s="278"/>
      <c r="AI189" s="278"/>
      <c r="AJ189" s="278"/>
      <c r="AK189" s="278"/>
      <c r="AL189" s="278"/>
      <c r="AM189" s="279"/>
    </row>
    <row r="190" spans="2:39">
      <c r="B190" s="283"/>
      <c r="C190" s="280"/>
      <c r="D190" s="280"/>
      <c r="E190" s="280"/>
      <c r="F190" s="280"/>
      <c r="G190" s="280"/>
      <c r="H190" s="280"/>
      <c r="I190" s="280"/>
      <c r="J190" s="280"/>
      <c r="K190" s="280"/>
      <c r="L190" s="280"/>
      <c r="M190" s="281"/>
      <c r="O190" s="283"/>
      <c r="P190" s="280"/>
      <c r="Q190" s="280"/>
      <c r="R190" s="280"/>
      <c r="S190" s="280"/>
      <c r="T190" s="280"/>
      <c r="U190" s="280"/>
      <c r="V190" s="280"/>
      <c r="W190" s="280"/>
      <c r="X190" s="280"/>
      <c r="Y190" s="280"/>
      <c r="Z190" s="281"/>
      <c r="AB190" s="283"/>
      <c r="AC190" s="280"/>
      <c r="AD190" s="280"/>
      <c r="AE190" s="280"/>
      <c r="AF190" s="280"/>
      <c r="AG190" s="280"/>
      <c r="AH190" s="280"/>
      <c r="AI190" s="280"/>
      <c r="AJ190" s="280"/>
      <c r="AK190" s="280"/>
      <c r="AL190" s="280"/>
      <c r="AM190" s="281"/>
    </row>
    <row r="193" spans="2:39">
      <c r="B193" t="s">
        <v>533</v>
      </c>
      <c r="E193" t="s">
        <v>472</v>
      </c>
    </row>
    <row r="194" spans="2:39">
      <c r="B194" t="s">
        <v>530</v>
      </c>
      <c r="E194" s="252">
        <f ca="1">SUM(AC199:AM217)</f>
        <v>0</v>
      </c>
    </row>
    <row r="195" spans="2:39">
      <c r="B195" t="s">
        <v>532</v>
      </c>
    </row>
    <row r="197" spans="2:39">
      <c r="B197" t="s">
        <v>510</v>
      </c>
      <c r="O197" t="s">
        <v>470</v>
      </c>
      <c r="AB197" t="s">
        <v>511</v>
      </c>
    </row>
    <row r="198" spans="2:39">
      <c r="B198" s="254" t="str">
        <f>'GBP Swap PVs'!AG76</f>
        <v>Term</v>
      </c>
      <c r="C198" s="287">
        <f>'GBP Swap PVs'!AH76</f>
        <v>500</v>
      </c>
      <c r="D198" s="287">
        <f>'GBP Swap PVs'!AI76</f>
        <v>400</v>
      </c>
      <c r="E198" s="287">
        <f>'GBP Swap PVs'!AJ76</f>
        <v>300</v>
      </c>
      <c r="F198" s="287">
        <f>'GBP Swap PVs'!AK76</f>
        <v>200</v>
      </c>
      <c r="G198" s="287">
        <f>'GBP Swap PVs'!AL76</f>
        <v>100</v>
      </c>
      <c r="H198" s="287">
        <f>'GBP Swap PVs'!AM76</f>
        <v>0</v>
      </c>
      <c r="I198" s="287">
        <f>'GBP Swap PVs'!AN76</f>
        <v>-100</v>
      </c>
      <c r="J198" s="287">
        <f>'GBP Swap PVs'!AO76</f>
        <v>-200</v>
      </c>
      <c r="K198" s="287">
        <f>'GBP Swap PVs'!AP76</f>
        <v>-300</v>
      </c>
      <c r="L198" s="287">
        <f>'GBP Swap PVs'!AQ76</f>
        <v>-400</v>
      </c>
      <c r="M198" s="288">
        <f>'GBP Swap PVs'!AR76</f>
        <v>-500</v>
      </c>
      <c r="O198" s="254" t="s">
        <v>76</v>
      </c>
      <c r="P198" s="287">
        <v>500</v>
      </c>
      <c r="Q198" s="287">
        <v>400</v>
      </c>
      <c r="R198" s="287">
        <v>300</v>
      </c>
      <c r="S198" s="287">
        <v>200</v>
      </c>
      <c r="T198" s="287">
        <v>100</v>
      </c>
      <c r="U198" s="287">
        <v>0</v>
      </c>
      <c r="V198" s="287">
        <v>-100</v>
      </c>
      <c r="W198" s="287">
        <v>-200</v>
      </c>
      <c r="X198" s="287">
        <v>-300</v>
      </c>
      <c r="Y198" s="287">
        <v>-400</v>
      </c>
      <c r="Z198" s="288">
        <v>-500</v>
      </c>
      <c r="AB198" s="254" t="str">
        <f>O198</f>
        <v>Term</v>
      </c>
      <c r="AC198" s="287">
        <f>P198</f>
        <v>500</v>
      </c>
      <c r="AD198" s="287">
        <f t="shared" ref="AD198:AM198" si="14">Q198</f>
        <v>400</v>
      </c>
      <c r="AE198" s="287">
        <f t="shared" si="14"/>
        <v>300</v>
      </c>
      <c r="AF198" s="287">
        <f t="shared" si="14"/>
        <v>200</v>
      </c>
      <c r="AG198" s="287">
        <f t="shared" si="14"/>
        <v>100</v>
      </c>
      <c r="AH198" s="287">
        <f t="shared" si="14"/>
        <v>0</v>
      </c>
      <c r="AI198" s="287">
        <f t="shared" si="14"/>
        <v>-100</v>
      </c>
      <c r="AJ198" s="287">
        <f t="shared" si="14"/>
        <v>-200</v>
      </c>
      <c r="AK198" s="287">
        <f t="shared" si="14"/>
        <v>-300</v>
      </c>
      <c r="AL198" s="287">
        <f t="shared" si="14"/>
        <v>-400</v>
      </c>
      <c r="AM198" s="288">
        <f t="shared" si="14"/>
        <v>-500</v>
      </c>
    </row>
    <row r="199" spans="2:39">
      <c r="B199" s="282" t="str">
        <f>'GBP Swap PVs'!AG77</f>
        <v>2Y</v>
      </c>
      <c r="C199" s="278">
        <f ca="1">'GBP Swap PVs'!AH77</f>
        <v>-98985.127372311268</v>
      </c>
      <c r="D199" s="278">
        <f ca="1">'GBP Swap PVs'!AI77</f>
        <v>-79188.101897849032</v>
      </c>
      <c r="E199" s="278">
        <f ca="1">'GBP Swap PVs'!AJ77</f>
        <v>-59391.076423386752</v>
      </c>
      <c r="F199" s="278">
        <f ca="1">'GBP Swap PVs'!AK77</f>
        <v>-39594.050948924501</v>
      </c>
      <c r="G199" s="278">
        <f ca="1">'GBP Swap PVs'!AL77</f>
        <v>-19797.025474462251</v>
      </c>
      <c r="H199" s="278">
        <f ca="1">'GBP Swap PVs'!AM77</f>
        <v>0</v>
      </c>
      <c r="I199" s="278">
        <f ca="1">'GBP Swap PVs'!AN77</f>
        <v>19797.025474462254</v>
      </c>
      <c r="J199" s="278">
        <f ca="1">'GBP Swap PVs'!AO77</f>
        <v>39594.050948924501</v>
      </c>
      <c r="K199" s="278">
        <f ca="1">'GBP Swap PVs'!AP77</f>
        <v>59391.076423386767</v>
      </c>
      <c r="L199" s="278">
        <f ca="1">'GBP Swap PVs'!AQ77</f>
        <v>79188.101897849003</v>
      </c>
      <c r="M199" s="279">
        <f ca="1">'GBP Swap PVs'!AR77</f>
        <v>98985.127372311268</v>
      </c>
      <c r="O199" s="282" t="s">
        <v>42</v>
      </c>
      <c r="P199" s="278">
        <v>-98985.127372311268</v>
      </c>
      <c r="Q199" s="278">
        <v>-79188.101897849032</v>
      </c>
      <c r="R199" s="278">
        <v>-59391.076423386752</v>
      </c>
      <c r="S199" s="278">
        <v>-39594.050948924501</v>
      </c>
      <c r="T199" s="278">
        <v>-19797.025474462251</v>
      </c>
      <c r="U199" s="278">
        <v>0</v>
      </c>
      <c r="V199" s="278">
        <v>19797.025474462254</v>
      </c>
      <c r="W199" s="278">
        <v>39594.050948924501</v>
      </c>
      <c r="X199" s="278">
        <v>59391.076423386767</v>
      </c>
      <c r="Y199" s="278">
        <v>79188.101897849003</v>
      </c>
      <c r="Z199" s="279">
        <v>98985.127372311268</v>
      </c>
      <c r="AB199" s="282" t="str">
        <f t="shared" ref="AB199:AB217" si="15">O199</f>
        <v>2Y</v>
      </c>
      <c r="AC199" s="278">
        <f ca="1">IF(ABS(P199-C199)&gt;SnapshotTolerance,1,0)</f>
        <v>0</v>
      </c>
      <c r="AD199" s="278">
        <f ca="1">IF(ABS(Q199-D199)&gt;SnapshotTolerance,1,0)</f>
        <v>0</v>
      </c>
      <c r="AE199" s="278">
        <f ca="1">IF(ABS(R199-E199)&gt;SnapshotTolerance,1,0)</f>
        <v>0</v>
      </c>
      <c r="AF199" s="278">
        <f ca="1">IF(ABS(S199-F199)&gt;SnapshotTolerance,1,0)</f>
        <v>0</v>
      </c>
      <c r="AG199" s="278">
        <f ca="1">IF(ABS(T199-G199)&gt;SnapshotTolerance,1,0)</f>
        <v>0</v>
      </c>
      <c r="AH199" s="278">
        <f ca="1">IF(ABS(U199-H199)&gt;SnapshotTolerance,1,0)</f>
        <v>0</v>
      </c>
      <c r="AI199" s="278">
        <f ca="1">IF(ABS(V199-I199)&gt;SnapshotTolerance,1,0)</f>
        <v>0</v>
      </c>
      <c r="AJ199" s="278">
        <f ca="1">IF(ABS(W199-J199)&gt;SnapshotTolerance,1,0)</f>
        <v>0</v>
      </c>
      <c r="AK199" s="278">
        <f ca="1">IF(ABS(X199-K199)&gt;SnapshotTolerance,1,0)</f>
        <v>0</v>
      </c>
      <c r="AL199" s="278">
        <f ca="1">IF(ABS(Y199-L199)&gt;SnapshotTolerance,1,0)</f>
        <v>0</v>
      </c>
      <c r="AM199" s="279">
        <f ca="1">IF(ABS(Z199-M199)&gt;SnapshotTolerance,1,0)</f>
        <v>0</v>
      </c>
    </row>
    <row r="200" spans="2:39">
      <c r="B200" s="282" t="str">
        <f>'GBP Swap PVs'!AG78</f>
        <v>3Y</v>
      </c>
      <c r="C200" s="278">
        <f ca="1">'GBP Swap PVs'!AH78</f>
        <v>-147592.05976994699</v>
      </c>
      <c r="D200" s="278">
        <f ca="1">'GBP Swap PVs'!AI78</f>
        <v>-118073.64781595756</v>
      </c>
      <c r="E200" s="278">
        <f ca="1">'GBP Swap PVs'!AJ78</f>
        <v>-88555.235861968162</v>
      </c>
      <c r="F200" s="278">
        <f ca="1">'GBP Swap PVs'!AK78</f>
        <v>-59036.823907978775</v>
      </c>
      <c r="G200" s="278">
        <f ca="1">'GBP Swap PVs'!AL78</f>
        <v>-29518.411953989395</v>
      </c>
      <c r="H200" s="278">
        <f ca="1">'GBP Swap PVs'!AM78</f>
        <v>0</v>
      </c>
      <c r="I200" s="278">
        <f ca="1">'GBP Swap PVs'!AN78</f>
        <v>29518.411953989398</v>
      </c>
      <c r="J200" s="278">
        <f ca="1">'GBP Swap PVs'!AO78</f>
        <v>59036.823907978789</v>
      </c>
      <c r="K200" s="278">
        <f ca="1">'GBP Swap PVs'!AP78</f>
        <v>88555.235861968191</v>
      </c>
      <c r="L200" s="278">
        <f ca="1">'GBP Swap PVs'!AQ78</f>
        <v>118073.64781595756</v>
      </c>
      <c r="M200" s="279">
        <f ca="1">'GBP Swap PVs'!AR78</f>
        <v>147592.05976994699</v>
      </c>
      <c r="O200" s="282" t="s">
        <v>39</v>
      </c>
      <c r="P200" s="278">
        <v>-147592.05976994699</v>
      </c>
      <c r="Q200" s="278">
        <v>-118073.64781595756</v>
      </c>
      <c r="R200" s="278">
        <v>-88555.235861968162</v>
      </c>
      <c r="S200" s="278">
        <v>-59036.823907978775</v>
      </c>
      <c r="T200" s="278">
        <v>-29518.411953989395</v>
      </c>
      <c r="U200" s="278">
        <v>0</v>
      </c>
      <c r="V200" s="278">
        <v>29518.411953989398</v>
      </c>
      <c r="W200" s="278">
        <v>59036.823907978789</v>
      </c>
      <c r="X200" s="278">
        <v>88555.235861968191</v>
      </c>
      <c r="Y200" s="278">
        <v>118073.64781595756</v>
      </c>
      <c r="Z200" s="279">
        <v>147592.05976994699</v>
      </c>
      <c r="AB200" s="282" t="str">
        <f t="shared" si="15"/>
        <v>3Y</v>
      </c>
      <c r="AC200" s="278">
        <f ca="1">IF(ABS(P200-C200)&gt;SnapshotTolerance,1,0)</f>
        <v>0</v>
      </c>
      <c r="AD200" s="278">
        <f ca="1">IF(ABS(Q200-D200)&gt;SnapshotTolerance,1,0)</f>
        <v>0</v>
      </c>
      <c r="AE200" s="278">
        <f ca="1">IF(ABS(R200-E200)&gt;SnapshotTolerance,1,0)</f>
        <v>0</v>
      </c>
      <c r="AF200" s="278">
        <f ca="1">IF(ABS(S200-F200)&gt;SnapshotTolerance,1,0)</f>
        <v>0</v>
      </c>
      <c r="AG200" s="278">
        <f ca="1">IF(ABS(T200-G200)&gt;SnapshotTolerance,1,0)</f>
        <v>0</v>
      </c>
      <c r="AH200" s="278">
        <f ca="1">IF(ABS(U200-H200)&gt;SnapshotTolerance,1,0)</f>
        <v>0</v>
      </c>
      <c r="AI200" s="278">
        <f ca="1">IF(ABS(V200-I200)&gt;SnapshotTolerance,1,0)</f>
        <v>0</v>
      </c>
      <c r="AJ200" s="278">
        <f ca="1">IF(ABS(W200-J200)&gt;SnapshotTolerance,1,0)</f>
        <v>0</v>
      </c>
      <c r="AK200" s="278">
        <f ca="1">IF(ABS(X200-K200)&gt;SnapshotTolerance,1,0)</f>
        <v>0</v>
      </c>
      <c r="AL200" s="278">
        <f ca="1">IF(ABS(Y200-L200)&gt;SnapshotTolerance,1,0)</f>
        <v>0</v>
      </c>
      <c r="AM200" s="279">
        <f ca="1">IF(ABS(Z200-M200)&gt;SnapshotTolerance,1,0)</f>
        <v>0</v>
      </c>
    </row>
    <row r="201" spans="2:39">
      <c r="B201" s="282" t="str">
        <f>'GBP Swap PVs'!AG79</f>
        <v>4Y</v>
      </c>
      <c r="C201" s="278">
        <f ca="1">'GBP Swap PVs'!AH79</f>
        <v>-195575.44632915632</v>
      </c>
      <c r="D201" s="278">
        <f ca="1">'GBP Swap PVs'!AI79</f>
        <v>-156460.35706332506</v>
      </c>
      <c r="E201" s="278">
        <f ca="1">'GBP Swap PVs'!AJ79</f>
        <v>-117345.26779749377</v>
      </c>
      <c r="F201" s="278">
        <f ca="1">'GBP Swap PVs'!AK79</f>
        <v>-78230.178531662503</v>
      </c>
      <c r="G201" s="278">
        <f ca="1">'GBP Swap PVs'!AL79</f>
        <v>-39115.089265831266</v>
      </c>
      <c r="H201" s="278">
        <f ca="1">'GBP Swap PVs'!AM79</f>
        <v>0</v>
      </c>
      <c r="I201" s="278">
        <f ca="1">'GBP Swap PVs'!AN79</f>
        <v>39115.089265831273</v>
      </c>
      <c r="J201" s="278">
        <f ca="1">'GBP Swap PVs'!AO79</f>
        <v>78230.178531662532</v>
      </c>
      <c r="K201" s="278">
        <f ca="1">'GBP Swap PVs'!AP79</f>
        <v>117345.26779749381</v>
      </c>
      <c r="L201" s="278">
        <f ca="1">'GBP Swap PVs'!AQ79</f>
        <v>156460.35706332506</v>
      </c>
      <c r="M201" s="279">
        <f ca="1">'GBP Swap PVs'!AR79</f>
        <v>195575.44632915632</v>
      </c>
      <c r="O201" s="282" t="s">
        <v>35</v>
      </c>
      <c r="P201" s="278">
        <v>-195575.44632915632</v>
      </c>
      <c r="Q201" s="278">
        <v>-156460.35706332506</v>
      </c>
      <c r="R201" s="278">
        <v>-117345.26779749377</v>
      </c>
      <c r="S201" s="278">
        <v>-78230.178531662503</v>
      </c>
      <c r="T201" s="278">
        <v>-39115.089265831266</v>
      </c>
      <c r="U201" s="278">
        <v>0</v>
      </c>
      <c r="V201" s="278">
        <v>39115.089265831273</v>
      </c>
      <c r="W201" s="278">
        <v>78230.178531662532</v>
      </c>
      <c r="X201" s="278">
        <v>117345.26779749381</v>
      </c>
      <c r="Y201" s="278">
        <v>156460.35706332506</v>
      </c>
      <c r="Z201" s="279">
        <v>195575.44632915632</v>
      </c>
      <c r="AB201" s="282" t="str">
        <f t="shared" si="15"/>
        <v>4Y</v>
      </c>
      <c r="AC201" s="278">
        <f ca="1">IF(ABS(P201-C201)&gt;SnapshotTolerance,1,0)</f>
        <v>0</v>
      </c>
      <c r="AD201" s="278">
        <f ca="1">IF(ABS(Q201-D201)&gt;SnapshotTolerance,1,0)</f>
        <v>0</v>
      </c>
      <c r="AE201" s="278">
        <f ca="1">IF(ABS(R201-E201)&gt;SnapshotTolerance,1,0)</f>
        <v>0</v>
      </c>
      <c r="AF201" s="278">
        <f ca="1">IF(ABS(S201-F201)&gt;SnapshotTolerance,1,0)</f>
        <v>0</v>
      </c>
      <c r="AG201" s="278">
        <f ca="1">IF(ABS(T201-G201)&gt;SnapshotTolerance,1,0)</f>
        <v>0</v>
      </c>
      <c r="AH201" s="278">
        <f ca="1">IF(ABS(U201-H201)&gt;SnapshotTolerance,1,0)</f>
        <v>0</v>
      </c>
      <c r="AI201" s="278">
        <f ca="1">IF(ABS(V201-I201)&gt;SnapshotTolerance,1,0)</f>
        <v>0</v>
      </c>
      <c r="AJ201" s="278">
        <f ca="1">IF(ABS(W201-J201)&gt;SnapshotTolerance,1,0)</f>
        <v>0</v>
      </c>
      <c r="AK201" s="278">
        <f ca="1">IF(ABS(X201-K201)&gt;SnapshotTolerance,1,0)</f>
        <v>0</v>
      </c>
      <c r="AL201" s="278">
        <f ca="1">IF(ABS(Y201-L201)&gt;SnapshotTolerance,1,0)</f>
        <v>0</v>
      </c>
      <c r="AM201" s="279">
        <f ca="1">IF(ABS(Z201-M201)&gt;SnapshotTolerance,1,0)</f>
        <v>0</v>
      </c>
    </row>
    <row r="202" spans="2:39">
      <c r="B202" s="282" t="str">
        <f>'GBP Swap PVs'!AG80</f>
        <v>5Y</v>
      </c>
      <c r="C202" s="278">
        <f ca="1">'GBP Swap PVs'!AH80</f>
        <v>-242183.82059898096</v>
      </c>
      <c r="D202" s="278">
        <f ca="1">'GBP Swap PVs'!AI80</f>
        <v>-193747.05647918477</v>
      </c>
      <c r="E202" s="278">
        <f ca="1">'GBP Swap PVs'!AJ80</f>
        <v>-145310.29235938852</v>
      </c>
      <c r="F202" s="278">
        <f ca="1">'GBP Swap PVs'!AK80</f>
        <v>-96873.528239592342</v>
      </c>
      <c r="G202" s="278">
        <f ca="1">'GBP Swap PVs'!AL80</f>
        <v>-48436.764119796178</v>
      </c>
      <c r="H202" s="278">
        <f ca="1">'GBP Swap PVs'!AM80</f>
        <v>0</v>
      </c>
      <c r="I202" s="278">
        <f ca="1">'GBP Swap PVs'!AN80</f>
        <v>48436.764119796186</v>
      </c>
      <c r="J202" s="278">
        <f ca="1">'GBP Swap PVs'!AO80</f>
        <v>96873.528239592371</v>
      </c>
      <c r="K202" s="278">
        <f ca="1">'GBP Swap PVs'!AP80</f>
        <v>145310.29235938858</v>
      </c>
      <c r="L202" s="278">
        <f ca="1">'GBP Swap PVs'!AQ80</f>
        <v>193747.05647918471</v>
      </c>
      <c r="M202" s="279">
        <f ca="1">'GBP Swap PVs'!AR80</f>
        <v>242183.82059898091</v>
      </c>
      <c r="O202" s="282" t="s">
        <v>33</v>
      </c>
      <c r="P202" s="278">
        <v>-242183.82059898096</v>
      </c>
      <c r="Q202" s="278">
        <v>-193747.05647918477</v>
      </c>
      <c r="R202" s="278">
        <v>-145310.29235938852</v>
      </c>
      <c r="S202" s="278">
        <v>-96873.528239592342</v>
      </c>
      <c r="T202" s="278">
        <v>-48436.764119796178</v>
      </c>
      <c r="U202" s="278">
        <v>0</v>
      </c>
      <c r="V202" s="278">
        <v>48436.764119796186</v>
      </c>
      <c r="W202" s="278">
        <v>96873.528239592371</v>
      </c>
      <c r="X202" s="278">
        <v>145310.29235938858</v>
      </c>
      <c r="Y202" s="278">
        <v>193747.05647918471</v>
      </c>
      <c r="Z202" s="279">
        <v>242183.82059898091</v>
      </c>
      <c r="AB202" s="282" t="str">
        <f t="shared" si="15"/>
        <v>5Y</v>
      </c>
      <c r="AC202" s="278">
        <f ca="1">IF(ABS(P202-C202)&gt;SnapshotTolerance,1,0)</f>
        <v>0</v>
      </c>
      <c r="AD202" s="278">
        <f ca="1">IF(ABS(Q202-D202)&gt;SnapshotTolerance,1,0)</f>
        <v>0</v>
      </c>
      <c r="AE202" s="278">
        <f ca="1">IF(ABS(R202-E202)&gt;SnapshotTolerance,1,0)</f>
        <v>0</v>
      </c>
      <c r="AF202" s="278">
        <f ca="1">IF(ABS(S202-F202)&gt;SnapshotTolerance,1,0)</f>
        <v>0</v>
      </c>
      <c r="AG202" s="278">
        <f ca="1">IF(ABS(T202-G202)&gt;SnapshotTolerance,1,0)</f>
        <v>0</v>
      </c>
      <c r="AH202" s="278">
        <f ca="1">IF(ABS(U202-H202)&gt;SnapshotTolerance,1,0)</f>
        <v>0</v>
      </c>
      <c r="AI202" s="278">
        <f ca="1">IF(ABS(V202-I202)&gt;SnapshotTolerance,1,0)</f>
        <v>0</v>
      </c>
      <c r="AJ202" s="278">
        <f ca="1">IF(ABS(W202-J202)&gt;SnapshotTolerance,1,0)</f>
        <v>0</v>
      </c>
      <c r="AK202" s="278">
        <f ca="1">IF(ABS(X202-K202)&gt;SnapshotTolerance,1,0)</f>
        <v>0</v>
      </c>
      <c r="AL202" s="278">
        <f ca="1">IF(ABS(Y202-L202)&gt;SnapshotTolerance,1,0)</f>
        <v>0</v>
      </c>
      <c r="AM202" s="279">
        <f ca="1">IF(ABS(Z202-M202)&gt;SnapshotTolerance,1,0)</f>
        <v>0</v>
      </c>
    </row>
    <row r="203" spans="2:39">
      <c r="B203" s="282" t="str">
        <f>'GBP Swap PVs'!AG81</f>
        <v>6Y</v>
      </c>
      <c r="C203" s="278">
        <f ca="1">'GBP Swap PVs'!AH81</f>
        <v>-287881.48220303055</v>
      </c>
      <c r="D203" s="278">
        <f ca="1">'GBP Swap PVs'!AI81</f>
        <v>-230305.18576242443</v>
      </c>
      <c r="E203" s="278">
        <f ca="1">'GBP Swap PVs'!AJ81</f>
        <v>-172728.88932181828</v>
      </c>
      <c r="F203" s="278">
        <f ca="1">'GBP Swap PVs'!AK81</f>
        <v>-115152.59288121217</v>
      </c>
      <c r="G203" s="278">
        <f ca="1">'GBP Swap PVs'!AL81</f>
        <v>-57576.296440606122</v>
      </c>
      <c r="H203" s="278">
        <f ca="1">'GBP Swap PVs'!AM81</f>
        <v>0</v>
      </c>
      <c r="I203" s="278">
        <f ca="1">'GBP Swap PVs'!AN81</f>
        <v>57576.2964406061</v>
      </c>
      <c r="J203" s="278">
        <f ca="1">'GBP Swap PVs'!AO81</f>
        <v>115152.5928812122</v>
      </c>
      <c r="K203" s="278">
        <f ca="1">'GBP Swap PVs'!AP81</f>
        <v>172728.88932181828</v>
      </c>
      <c r="L203" s="278">
        <f ca="1">'GBP Swap PVs'!AQ81</f>
        <v>230305.1857624244</v>
      </c>
      <c r="M203" s="279">
        <f ca="1">'GBP Swap PVs'!AR81</f>
        <v>287881.48220303043</v>
      </c>
      <c r="O203" s="282" t="s">
        <v>131</v>
      </c>
      <c r="P203" s="278">
        <v>-287881.48220303055</v>
      </c>
      <c r="Q203" s="278">
        <v>-230305.18576242443</v>
      </c>
      <c r="R203" s="278">
        <v>-172728.88932181828</v>
      </c>
      <c r="S203" s="278">
        <v>-115152.59288121217</v>
      </c>
      <c r="T203" s="278">
        <v>-57576.296440606122</v>
      </c>
      <c r="U203" s="278">
        <v>0</v>
      </c>
      <c r="V203" s="278">
        <v>57576.2964406061</v>
      </c>
      <c r="W203" s="278">
        <v>115152.5928812122</v>
      </c>
      <c r="X203" s="278">
        <v>172728.88932181828</v>
      </c>
      <c r="Y203" s="278">
        <v>230305.1857624244</v>
      </c>
      <c r="Z203" s="279">
        <v>287881.48220303043</v>
      </c>
      <c r="AB203" s="282" t="str">
        <f t="shared" si="15"/>
        <v>6Y</v>
      </c>
      <c r="AC203" s="278">
        <f ca="1">IF(ABS(P203-C203)&gt;SnapshotTolerance,1,0)</f>
        <v>0</v>
      </c>
      <c r="AD203" s="278">
        <f ca="1">IF(ABS(Q203-D203)&gt;SnapshotTolerance,1,0)</f>
        <v>0</v>
      </c>
      <c r="AE203" s="278">
        <f ca="1">IF(ABS(R203-E203)&gt;SnapshotTolerance,1,0)</f>
        <v>0</v>
      </c>
      <c r="AF203" s="278">
        <f ca="1">IF(ABS(S203-F203)&gt;SnapshotTolerance,1,0)</f>
        <v>0</v>
      </c>
      <c r="AG203" s="278">
        <f ca="1">IF(ABS(T203-G203)&gt;SnapshotTolerance,1,0)</f>
        <v>0</v>
      </c>
      <c r="AH203" s="278">
        <f ca="1">IF(ABS(U203-H203)&gt;SnapshotTolerance,1,0)</f>
        <v>0</v>
      </c>
      <c r="AI203" s="278">
        <f ca="1">IF(ABS(V203-I203)&gt;SnapshotTolerance,1,0)</f>
        <v>0</v>
      </c>
      <c r="AJ203" s="278">
        <f ca="1">IF(ABS(W203-J203)&gt;SnapshotTolerance,1,0)</f>
        <v>0</v>
      </c>
      <c r="AK203" s="278">
        <f ca="1">IF(ABS(X203-K203)&gt;SnapshotTolerance,1,0)</f>
        <v>0</v>
      </c>
      <c r="AL203" s="278">
        <f ca="1">IF(ABS(Y203-L203)&gt;SnapshotTolerance,1,0)</f>
        <v>0</v>
      </c>
      <c r="AM203" s="279">
        <f ca="1">IF(ABS(Z203-M203)&gt;SnapshotTolerance,1,0)</f>
        <v>0</v>
      </c>
    </row>
    <row r="204" spans="2:39">
      <c r="B204" s="282" t="str">
        <f>'GBP Swap PVs'!AG82</f>
        <v>7Y</v>
      </c>
      <c r="C204" s="278">
        <f ca="1">'GBP Swap PVs'!AH82</f>
        <v>-332503.98096674314</v>
      </c>
      <c r="D204" s="278">
        <f ca="1">'GBP Swap PVs'!AI82</f>
        <v>-266003.18477339449</v>
      </c>
      <c r="E204" s="278">
        <f ca="1">'GBP Swap PVs'!AJ82</f>
        <v>-199502.38858004578</v>
      </c>
      <c r="F204" s="278">
        <f ca="1">'GBP Swap PVs'!AK82</f>
        <v>-133001.59238669722</v>
      </c>
      <c r="G204" s="278">
        <f ca="1">'GBP Swap PVs'!AL82</f>
        <v>-66500.796193348637</v>
      </c>
      <c r="H204" s="278">
        <f ca="1">'GBP Swap PVs'!AM82</f>
        <v>0</v>
      </c>
      <c r="I204" s="278">
        <f ca="1">'GBP Swap PVs'!AN82</f>
        <v>66500.796193348608</v>
      </c>
      <c r="J204" s="278">
        <f ca="1">'GBP Swap PVs'!AO82</f>
        <v>133001.59238669724</v>
      </c>
      <c r="K204" s="278">
        <f ca="1">'GBP Swap PVs'!AP82</f>
        <v>199502.38858004581</v>
      </c>
      <c r="L204" s="278">
        <f ca="1">'GBP Swap PVs'!AQ82</f>
        <v>266003.18477339449</v>
      </c>
      <c r="M204" s="279">
        <f ca="1">'GBP Swap PVs'!AR82</f>
        <v>332503.98096674302</v>
      </c>
      <c r="O204" s="282" t="s">
        <v>31</v>
      </c>
      <c r="P204" s="278">
        <v>-332503.98096674314</v>
      </c>
      <c r="Q204" s="278">
        <v>-266003.18477339449</v>
      </c>
      <c r="R204" s="278">
        <v>-199502.38858004578</v>
      </c>
      <c r="S204" s="278">
        <v>-133001.59238669722</v>
      </c>
      <c r="T204" s="278">
        <v>-66500.796193348637</v>
      </c>
      <c r="U204" s="278">
        <v>0</v>
      </c>
      <c r="V204" s="278">
        <v>66500.796193348608</v>
      </c>
      <c r="W204" s="278">
        <v>133001.59238669724</v>
      </c>
      <c r="X204" s="278">
        <v>199502.38858004581</v>
      </c>
      <c r="Y204" s="278">
        <v>266003.18477339449</v>
      </c>
      <c r="Z204" s="279">
        <v>332503.98096674302</v>
      </c>
      <c r="AB204" s="282" t="str">
        <f t="shared" si="15"/>
        <v>7Y</v>
      </c>
      <c r="AC204" s="278">
        <f ca="1">IF(ABS(P204-C204)&gt;SnapshotTolerance,1,0)</f>
        <v>0</v>
      </c>
      <c r="AD204" s="278">
        <f ca="1">IF(ABS(Q204-D204)&gt;SnapshotTolerance,1,0)</f>
        <v>0</v>
      </c>
      <c r="AE204" s="278">
        <f ca="1">IF(ABS(R204-E204)&gt;SnapshotTolerance,1,0)</f>
        <v>0</v>
      </c>
      <c r="AF204" s="278">
        <f ca="1">IF(ABS(S204-F204)&gt;SnapshotTolerance,1,0)</f>
        <v>0</v>
      </c>
      <c r="AG204" s="278">
        <f ca="1">IF(ABS(T204-G204)&gt;SnapshotTolerance,1,0)</f>
        <v>0</v>
      </c>
      <c r="AH204" s="278">
        <f ca="1">IF(ABS(U204-H204)&gt;SnapshotTolerance,1,0)</f>
        <v>0</v>
      </c>
      <c r="AI204" s="278">
        <f ca="1">IF(ABS(V204-I204)&gt;SnapshotTolerance,1,0)</f>
        <v>0</v>
      </c>
      <c r="AJ204" s="278">
        <f ca="1">IF(ABS(W204-J204)&gt;SnapshotTolerance,1,0)</f>
        <v>0</v>
      </c>
      <c r="AK204" s="278">
        <f ca="1">IF(ABS(X204-K204)&gt;SnapshotTolerance,1,0)</f>
        <v>0</v>
      </c>
      <c r="AL204" s="278">
        <f ca="1">IF(ABS(Y204-L204)&gt;SnapshotTolerance,1,0)</f>
        <v>0</v>
      </c>
      <c r="AM204" s="279">
        <f ca="1">IF(ABS(Z204-M204)&gt;SnapshotTolerance,1,0)</f>
        <v>0</v>
      </c>
    </row>
    <row r="205" spans="2:39">
      <c r="B205" s="282" t="str">
        <f>'GBP Swap PVs'!AG83</f>
        <v>8Y</v>
      </c>
      <c r="C205" s="278">
        <f ca="1">'GBP Swap PVs'!AH83</f>
        <v>-376035.41393746505</v>
      </c>
      <c r="D205" s="278">
        <f ca="1">'GBP Swap PVs'!AI83</f>
        <v>-300828.33114997199</v>
      </c>
      <c r="E205" s="278">
        <f ca="1">'GBP Swap PVs'!AJ83</f>
        <v>-225621.24836247895</v>
      </c>
      <c r="F205" s="278">
        <f ca="1">'GBP Swap PVs'!AK83</f>
        <v>-150414.16557498599</v>
      </c>
      <c r="G205" s="278">
        <f ca="1">'GBP Swap PVs'!AL83</f>
        <v>-75207.082787493055</v>
      </c>
      <c r="H205" s="278">
        <f ca="1">'GBP Swap PVs'!AM83</f>
        <v>0</v>
      </c>
      <c r="I205" s="278">
        <f ca="1">'GBP Swap PVs'!AN83</f>
        <v>75207.082787492996</v>
      </c>
      <c r="J205" s="278">
        <f ca="1">'GBP Swap PVs'!AO83</f>
        <v>150414.16557498599</v>
      </c>
      <c r="K205" s="278">
        <f ca="1">'GBP Swap PVs'!AP83</f>
        <v>225621.24836247897</v>
      </c>
      <c r="L205" s="278">
        <f ca="1">'GBP Swap PVs'!AQ83</f>
        <v>300828.33114997199</v>
      </c>
      <c r="M205" s="279">
        <f ca="1">'GBP Swap PVs'!AR83</f>
        <v>376035.413937465</v>
      </c>
      <c r="O205" s="282" t="s">
        <v>119</v>
      </c>
      <c r="P205" s="278">
        <v>-376035.41393746505</v>
      </c>
      <c r="Q205" s="278">
        <v>-300828.33114997199</v>
      </c>
      <c r="R205" s="278">
        <v>-225621.24836247895</v>
      </c>
      <c r="S205" s="278">
        <v>-150414.16557498599</v>
      </c>
      <c r="T205" s="278">
        <v>-75207.082787493055</v>
      </c>
      <c r="U205" s="278">
        <v>0</v>
      </c>
      <c r="V205" s="278">
        <v>75207.082787492996</v>
      </c>
      <c r="W205" s="278">
        <v>150414.16557498599</v>
      </c>
      <c r="X205" s="278">
        <v>225621.24836247897</v>
      </c>
      <c r="Y205" s="278">
        <v>300828.33114997199</v>
      </c>
      <c r="Z205" s="279">
        <v>376035.413937465</v>
      </c>
      <c r="AB205" s="282" t="str">
        <f t="shared" si="15"/>
        <v>8Y</v>
      </c>
      <c r="AC205" s="278">
        <f ca="1">IF(ABS(P205-C205)&gt;SnapshotTolerance,1,0)</f>
        <v>0</v>
      </c>
      <c r="AD205" s="278">
        <f ca="1">IF(ABS(Q205-D205)&gt;SnapshotTolerance,1,0)</f>
        <v>0</v>
      </c>
      <c r="AE205" s="278">
        <f ca="1">IF(ABS(R205-E205)&gt;SnapshotTolerance,1,0)</f>
        <v>0</v>
      </c>
      <c r="AF205" s="278">
        <f ca="1">IF(ABS(S205-F205)&gt;SnapshotTolerance,1,0)</f>
        <v>0</v>
      </c>
      <c r="AG205" s="278">
        <f ca="1">IF(ABS(T205-G205)&gt;SnapshotTolerance,1,0)</f>
        <v>0</v>
      </c>
      <c r="AH205" s="278">
        <f ca="1">IF(ABS(U205-H205)&gt;SnapshotTolerance,1,0)</f>
        <v>0</v>
      </c>
      <c r="AI205" s="278">
        <f ca="1">IF(ABS(V205-I205)&gt;SnapshotTolerance,1,0)</f>
        <v>0</v>
      </c>
      <c r="AJ205" s="278">
        <f ca="1">IF(ABS(W205-J205)&gt;SnapshotTolerance,1,0)</f>
        <v>0</v>
      </c>
      <c r="AK205" s="278">
        <f ca="1">IF(ABS(X205-K205)&gt;SnapshotTolerance,1,0)</f>
        <v>0</v>
      </c>
      <c r="AL205" s="278">
        <f ca="1">IF(ABS(Y205-L205)&gt;SnapshotTolerance,1,0)</f>
        <v>0</v>
      </c>
      <c r="AM205" s="279">
        <f ca="1">IF(ABS(Z205-M205)&gt;SnapshotTolerance,1,0)</f>
        <v>0</v>
      </c>
    </row>
    <row r="206" spans="2:39">
      <c r="B206" s="282" t="str">
        <f>'GBP Swap PVs'!AG84</f>
        <v>9Y</v>
      </c>
      <c r="C206" s="278">
        <f ca="1">'GBP Swap PVs'!AH84</f>
        <v>-418823.01881965069</v>
      </c>
      <c r="D206" s="278">
        <f ca="1">'GBP Swap PVs'!AI84</f>
        <v>-335058.41505572054</v>
      </c>
      <c r="E206" s="278">
        <f ca="1">'GBP Swap PVs'!AJ84</f>
        <v>-251293.81129179031</v>
      </c>
      <c r="F206" s="278">
        <f ca="1">'GBP Swap PVs'!AK84</f>
        <v>-167529.20752786027</v>
      </c>
      <c r="G206" s="278">
        <f ca="1">'GBP Swap PVs'!AL84</f>
        <v>-83764.603763930194</v>
      </c>
      <c r="H206" s="278">
        <f ca="1">'GBP Swap PVs'!AM84</f>
        <v>0</v>
      </c>
      <c r="I206" s="278">
        <f ca="1">'GBP Swap PVs'!AN84</f>
        <v>83764.603763930107</v>
      </c>
      <c r="J206" s="278">
        <f ca="1">'GBP Swap PVs'!AO84</f>
        <v>167529.20752786021</v>
      </c>
      <c r="K206" s="278">
        <f ca="1">'GBP Swap PVs'!AP84</f>
        <v>251293.81129179033</v>
      </c>
      <c r="L206" s="278">
        <f ca="1">'GBP Swap PVs'!AQ84</f>
        <v>335058.41505572043</v>
      </c>
      <c r="M206" s="279">
        <f ca="1">'GBP Swap PVs'!AR84</f>
        <v>418823.01881965058</v>
      </c>
      <c r="O206" s="282" t="s">
        <v>113</v>
      </c>
      <c r="P206" s="278">
        <v>-418823.01881965069</v>
      </c>
      <c r="Q206" s="278">
        <v>-335058.41505572054</v>
      </c>
      <c r="R206" s="278">
        <v>-251293.81129179031</v>
      </c>
      <c r="S206" s="278">
        <v>-167529.20752786027</v>
      </c>
      <c r="T206" s="278">
        <v>-83764.603763930194</v>
      </c>
      <c r="U206" s="278">
        <v>0</v>
      </c>
      <c r="V206" s="278">
        <v>83764.603763930107</v>
      </c>
      <c r="W206" s="278">
        <v>167529.20752786021</v>
      </c>
      <c r="X206" s="278">
        <v>251293.81129179033</v>
      </c>
      <c r="Y206" s="278">
        <v>335058.41505572043</v>
      </c>
      <c r="Z206" s="279">
        <v>418823.01881965058</v>
      </c>
      <c r="AB206" s="282" t="str">
        <f t="shared" si="15"/>
        <v>9Y</v>
      </c>
      <c r="AC206" s="278">
        <f ca="1">IF(ABS(P206-C206)&gt;SnapshotTolerance,1,0)</f>
        <v>0</v>
      </c>
      <c r="AD206" s="278">
        <f ca="1">IF(ABS(Q206-D206)&gt;SnapshotTolerance,1,0)</f>
        <v>0</v>
      </c>
      <c r="AE206" s="278">
        <f ca="1">IF(ABS(R206-E206)&gt;SnapshotTolerance,1,0)</f>
        <v>0</v>
      </c>
      <c r="AF206" s="278">
        <f ca="1">IF(ABS(S206-F206)&gt;SnapshotTolerance,1,0)</f>
        <v>0</v>
      </c>
      <c r="AG206" s="278">
        <f ca="1">IF(ABS(T206-G206)&gt;SnapshotTolerance,1,0)</f>
        <v>0</v>
      </c>
      <c r="AH206" s="278">
        <f ca="1">IF(ABS(U206-H206)&gt;SnapshotTolerance,1,0)</f>
        <v>0</v>
      </c>
      <c r="AI206" s="278">
        <f ca="1">IF(ABS(V206-I206)&gt;SnapshotTolerance,1,0)</f>
        <v>0</v>
      </c>
      <c r="AJ206" s="278">
        <f ca="1">IF(ABS(W206-J206)&gt;SnapshotTolerance,1,0)</f>
        <v>0</v>
      </c>
      <c r="AK206" s="278">
        <f ca="1">IF(ABS(X206-K206)&gt;SnapshotTolerance,1,0)</f>
        <v>0</v>
      </c>
      <c r="AL206" s="278">
        <f ca="1">IF(ABS(Y206-L206)&gt;SnapshotTolerance,1,0)</f>
        <v>0</v>
      </c>
      <c r="AM206" s="279">
        <f ca="1">IF(ABS(Z206-M206)&gt;SnapshotTolerance,1,0)</f>
        <v>0</v>
      </c>
    </row>
    <row r="207" spans="2:39">
      <c r="B207" s="282" t="str">
        <f>'GBP Swap PVs'!AG85</f>
        <v>10Y</v>
      </c>
      <c r="C207" s="278">
        <f ca="1">'GBP Swap PVs'!AH85</f>
        <v>-460063.14960164652</v>
      </c>
      <c r="D207" s="278">
        <f ca="1">'GBP Swap PVs'!AI85</f>
        <v>-368050.51968131732</v>
      </c>
      <c r="E207" s="278">
        <f ca="1">'GBP Swap PVs'!AJ85</f>
        <v>-276037.88976098777</v>
      </c>
      <c r="F207" s="278">
        <f ca="1">'GBP Swap PVs'!AK85</f>
        <v>-184025.25984065863</v>
      </c>
      <c r="G207" s="278">
        <f ca="1">'GBP Swap PVs'!AL85</f>
        <v>-92012.62992032936</v>
      </c>
      <c r="H207" s="278">
        <f ca="1">'GBP Swap PVs'!AM85</f>
        <v>0</v>
      </c>
      <c r="I207" s="278">
        <f ca="1">'GBP Swap PVs'!AN85</f>
        <v>92012.629920329273</v>
      </c>
      <c r="J207" s="278">
        <f ca="1">'GBP Swap PVs'!AO85</f>
        <v>184025.25984065857</v>
      </c>
      <c r="K207" s="278">
        <f ca="1">'GBP Swap PVs'!AP85</f>
        <v>276037.88976098789</v>
      </c>
      <c r="L207" s="278">
        <f ca="1">'GBP Swap PVs'!AQ85</f>
        <v>368050.51968131715</v>
      </c>
      <c r="M207" s="279">
        <f ca="1">'GBP Swap PVs'!AR85</f>
        <v>460063.14960164641</v>
      </c>
      <c r="O207" s="282" t="s">
        <v>28</v>
      </c>
      <c r="P207" s="278">
        <v>-460063.14960164652</v>
      </c>
      <c r="Q207" s="278">
        <v>-368050.51968131732</v>
      </c>
      <c r="R207" s="278">
        <v>-276037.88976098777</v>
      </c>
      <c r="S207" s="278">
        <v>-184025.25984065863</v>
      </c>
      <c r="T207" s="278">
        <v>-92012.62992032936</v>
      </c>
      <c r="U207" s="278">
        <v>0</v>
      </c>
      <c r="V207" s="278">
        <v>92012.629920329273</v>
      </c>
      <c r="W207" s="278">
        <v>184025.25984065857</v>
      </c>
      <c r="X207" s="278">
        <v>276037.88976098789</v>
      </c>
      <c r="Y207" s="278">
        <v>368050.51968131715</v>
      </c>
      <c r="Z207" s="279">
        <v>460063.14960164641</v>
      </c>
      <c r="AB207" s="282" t="str">
        <f t="shared" si="15"/>
        <v>10Y</v>
      </c>
      <c r="AC207" s="278">
        <f ca="1">IF(ABS(P207-C207)&gt;SnapshotTolerance,1,0)</f>
        <v>0</v>
      </c>
      <c r="AD207" s="278">
        <f ca="1">IF(ABS(Q207-D207)&gt;SnapshotTolerance,1,0)</f>
        <v>0</v>
      </c>
      <c r="AE207" s="278">
        <f ca="1">IF(ABS(R207-E207)&gt;SnapshotTolerance,1,0)</f>
        <v>0</v>
      </c>
      <c r="AF207" s="278">
        <f ca="1">IF(ABS(S207-F207)&gt;SnapshotTolerance,1,0)</f>
        <v>0</v>
      </c>
      <c r="AG207" s="278">
        <f ca="1">IF(ABS(T207-G207)&gt;SnapshotTolerance,1,0)</f>
        <v>0</v>
      </c>
      <c r="AH207" s="278">
        <f ca="1">IF(ABS(U207-H207)&gt;SnapshotTolerance,1,0)</f>
        <v>0</v>
      </c>
      <c r="AI207" s="278">
        <f ca="1">IF(ABS(V207-I207)&gt;SnapshotTolerance,1,0)</f>
        <v>0</v>
      </c>
      <c r="AJ207" s="278">
        <f ca="1">IF(ABS(W207-J207)&gt;SnapshotTolerance,1,0)</f>
        <v>0</v>
      </c>
      <c r="AK207" s="278">
        <f ca="1">IF(ABS(X207-K207)&gt;SnapshotTolerance,1,0)</f>
        <v>0</v>
      </c>
      <c r="AL207" s="278">
        <f ca="1">IF(ABS(Y207-L207)&gt;SnapshotTolerance,1,0)</f>
        <v>0</v>
      </c>
      <c r="AM207" s="279">
        <f ca="1">IF(ABS(Z207-M207)&gt;SnapshotTolerance,1,0)</f>
        <v>0</v>
      </c>
    </row>
    <row r="208" spans="2:39">
      <c r="B208" s="282" t="str">
        <f>'GBP Swap PVs'!AG86</f>
        <v>12Y</v>
      </c>
      <c r="C208" s="278">
        <f ca="1">'GBP Swap PVs'!AH86</f>
        <v>-539399.29946624557</v>
      </c>
      <c r="D208" s="278">
        <f ca="1">'GBP Swap PVs'!AI86</f>
        <v>-431519.43957299652</v>
      </c>
      <c r="E208" s="278">
        <f ca="1">'GBP Swap PVs'!AJ86</f>
        <v>-323639.579679747</v>
      </c>
      <c r="F208" s="278">
        <f ca="1">'GBP Swap PVs'!AK86</f>
        <v>-215759.71978649823</v>
      </c>
      <c r="G208" s="278">
        <f ca="1">'GBP Swap PVs'!AL86</f>
        <v>-107879.85989324916</v>
      </c>
      <c r="H208" s="278">
        <f ca="1">'GBP Swap PVs'!AM86</f>
        <v>0</v>
      </c>
      <c r="I208" s="278">
        <f ca="1">'GBP Swap PVs'!AN86</f>
        <v>107879.85989324911</v>
      </c>
      <c r="J208" s="278">
        <f ca="1">'GBP Swap PVs'!AO86</f>
        <v>215759.7197864982</v>
      </c>
      <c r="K208" s="278">
        <f ca="1">'GBP Swap PVs'!AP86</f>
        <v>323639.57967974729</v>
      </c>
      <c r="L208" s="278">
        <f ca="1">'GBP Swap PVs'!AQ86</f>
        <v>431519.43957299634</v>
      </c>
      <c r="M208" s="279">
        <f ca="1">'GBP Swap PVs'!AR86</f>
        <v>539399.29946624546</v>
      </c>
      <c r="O208" s="282" t="s">
        <v>26</v>
      </c>
      <c r="P208" s="278">
        <v>-539399.29946624557</v>
      </c>
      <c r="Q208" s="278">
        <v>-431519.43957299652</v>
      </c>
      <c r="R208" s="278">
        <v>-323639.579679747</v>
      </c>
      <c r="S208" s="278">
        <v>-215759.71978649823</v>
      </c>
      <c r="T208" s="278">
        <v>-107879.85989324916</v>
      </c>
      <c r="U208" s="278">
        <v>0</v>
      </c>
      <c r="V208" s="278">
        <v>107879.85989324911</v>
      </c>
      <c r="W208" s="278">
        <v>215759.7197864982</v>
      </c>
      <c r="X208" s="278">
        <v>323639.57967974729</v>
      </c>
      <c r="Y208" s="278">
        <v>431519.43957299634</v>
      </c>
      <c r="Z208" s="279">
        <v>539399.29946624546</v>
      </c>
      <c r="AB208" s="282" t="str">
        <f t="shared" si="15"/>
        <v>12Y</v>
      </c>
      <c r="AC208" s="278">
        <f ca="1">IF(ABS(P208-C208)&gt;SnapshotTolerance,1,0)</f>
        <v>0</v>
      </c>
      <c r="AD208" s="278">
        <f ca="1">IF(ABS(Q208-D208)&gt;SnapshotTolerance,1,0)</f>
        <v>0</v>
      </c>
      <c r="AE208" s="278">
        <f ca="1">IF(ABS(R208-E208)&gt;SnapshotTolerance,1,0)</f>
        <v>0</v>
      </c>
      <c r="AF208" s="278">
        <f ca="1">IF(ABS(S208-F208)&gt;SnapshotTolerance,1,0)</f>
        <v>0</v>
      </c>
      <c r="AG208" s="278">
        <f ca="1">IF(ABS(T208-G208)&gt;SnapshotTolerance,1,0)</f>
        <v>0</v>
      </c>
      <c r="AH208" s="278">
        <f ca="1">IF(ABS(U208-H208)&gt;SnapshotTolerance,1,0)</f>
        <v>0</v>
      </c>
      <c r="AI208" s="278">
        <f ca="1">IF(ABS(V208-I208)&gt;SnapshotTolerance,1,0)</f>
        <v>0</v>
      </c>
      <c r="AJ208" s="278">
        <f ca="1">IF(ABS(W208-J208)&gt;SnapshotTolerance,1,0)</f>
        <v>0</v>
      </c>
      <c r="AK208" s="278">
        <f ca="1">IF(ABS(X208-K208)&gt;SnapshotTolerance,1,0)</f>
        <v>0</v>
      </c>
      <c r="AL208" s="278">
        <f ca="1">IF(ABS(Y208-L208)&gt;SnapshotTolerance,1,0)</f>
        <v>0</v>
      </c>
      <c r="AM208" s="279">
        <f ca="1">IF(ABS(Z208-M208)&gt;SnapshotTolerance,1,0)</f>
        <v>0</v>
      </c>
    </row>
    <row r="209" spans="2:39">
      <c r="B209" s="282" t="str">
        <f>'GBP Swap PVs'!AG87</f>
        <v>15Y</v>
      </c>
      <c r="C209" s="278">
        <f ca="1">'GBP Swap PVs'!AH87</f>
        <v>-650948.40440974908</v>
      </c>
      <c r="D209" s="278">
        <f ca="1">'GBP Swap PVs'!AI87</f>
        <v>-520758.7235277993</v>
      </c>
      <c r="E209" s="278">
        <f ca="1">'GBP Swap PVs'!AJ87</f>
        <v>-390569.04264584905</v>
      </c>
      <c r="F209" s="278">
        <f ca="1">'GBP Swap PVs'!AK87</f>
        <v>-260379.36176389959</v>
      </c>
      <c r="G209" s="278">
        <f ca="1">'GBP Swap PVs'!AL87</f>
        <v>-130189.68088194987</v>
      </c>
      <c r="H209" s="278">
        <f ca="1">'GBP Swap PVs'!AM87</f>
        <v>0</v>
      </c>
      <c r="I209" s="278">
        <f ca="1">'GBP Swap PVs'!AN87</f>
        <v>130189.68088194983</v>
      </c>
      <c r="J209" s="278">
        <f ca="1">'GBP Swap PVs'!AO87</f>
        <v>260379.36176389959</v>
      </c>
      <c r="K209" s="278">
        <f ca="1">'GBP Swap PVs'!AP87</f>
        <v>390569.04264584935</v>
      </c>
      <c r="L209" s="278">
        <f ca="1">'GBP Swap PVs'!AQ87</f>
        <v>520758.72352779907</v>
      </c>
      <c r="M209" s="279">
        <f ca="1">'GBP Swap PVs'!AR87</f>
        <v>650948.40440974885</v>
      </c>
      <c r="O209" s="282" t="s">
        <v>24</v>
      </c>
      <c r="P209" s="278">
        <v>-650948.40440974908</v>
      </c>
      <c r="Q209" s="278">
        <v>-520758.7235277993</v>
      </c>
      <c r="R209" s="278">
        <v>-390569.04264584905</v>
      </c>
      <c r="S209" s="278">
        <v>-260379.36176389959</v>
      </c>
      <c r="T209" s="278">
        <v>-130189.68088194987</v>
      </c>
      <c r="U209" s="278">
        <v>0</v>
      </c>
      <c r="V209" s="278">
        <v>130189.68088194983</v>
      </c>
      <c r="W209" s="278">
        <v>260379.36176389959</v>
      </c>
      <c r="X209" s="278">
        <v>390569.04264584935</v>
      </c>
      <c r="Y209" s="278">
        <v>520758.72352779907</v>
      </c>
      <c r="Z209" s="279">
        <v>650948.40440974885</v>
      </c>
      <c r="AB209" s="282" t="str">
        <f t="shared" si="15"/>
        <v>15Y</v>
      </c>
      <c r="AC209" s="278">
        <f ca="1">IF(ABS(P209-C209)&gt;SnapshotTolerance,1,0)</f>
        <v>0</v>
      </c>
      <c r="AD209" s="278">
        <f ca="1">IF(ABS(Q209-D209)&gt;SnapshotTolerance,1,0)</f>
        <v>0</v>
      </c>
      <c r="AE209" s="278">
        <f ca="1">IF(ABS(R209-E209)&gt;SnapshotTolerance,1,0)</f>
        <v>0</v>
      </c>
      <c r="AF209" s="278">
        <f ca="1">IF(ABS(S209-F209)&gt;SnapshotTolerance,1,0)</f>
        <v>0</v>
      </c>
      <c r="AG209" s="278">
        <f ca="1">IF(ABS(T209-G209)&gt;SnapshotTolerance,1,0)</f>
        <v>0</v>
      </c>
      <c r="AH209" s="278">
        <f ca="1">IF(ABS(U209-H209)&gt;SnapshotTolerance,1,0)</f>
        <v>0</v>
      </c>
      <c r="AI209" s="278">
        <f ca="1">IF(ABS(V209-I209)&gt;SnapshotTolerance,1,0)</f>
        <v>0</v>
      </c>
      <c r="AJ209" s="278">
        <f ca="1">IF(ABS(W209-J209)&gt;SnapshotTolerance,1,0)</f>
        <v>0</v>
      </c>
      <c r="AK209" s="278">
        <f ca="1">IF(ABS(X209-K209)&gt;SnapshotTolerance,1,0)</f>
        <v>0</v>
      </c>
      <c r="AL209" s="278">
        <f ca="1">IF(ABS(Y209-L209)&gt;SnapshotTolerance,1,0)</f>
        <v>0</v>
      </c>
      <c r="AM209" s="279">
        <f ca="1">IF(ABS(Z209-M209)&gt;SnapshotTolerance,1,0)</f>
        <v>0</v>
      </c>
    </row>
    <row r="210" spans="2:39">
      <c r="B210" s="282" t="str">
        <f>'GBP Swap PVs'!AG88</f>
        <v>20Y</v>
      </c>
      <c r="C210" s="278">
        <f ca="1">'GBP Swap PVs'!AH88</f>
        <v>-817421.3529675263</v>
      </c>
      <c r="D210" s="278">
        <f ca="1">'GBP Swap PVs'!AI88</f>
        <v>-653937.08237402095</v>
      </c>
      <c r="E210" s="278">
        <f ca="1">'GBP Swap PVs'!AJ88</f>
        <v>-490452.81178051507</v>
      </c>
      <c r="F210" s="278">
        <f ca="1">'GBP Swap PVs'!AK88</f>
        <v>-326968.5411870103</v>
      </c>
      <c r="G210" s="278">
        <f ca="1">'GBP Swap PVs'!AL88</f>
        <v>-163484.27059350518</v>
      </c>
      <c r="H210" s="278">
        <f ca="1">'GBP Swap PVs'!AM88</f>
        <v>0</v>
      </c>
      <c r="I210" s="278">
        <f ca="1">'GBP Swap PVs'!AN88</f>
        <v>163484.27059350529</v>
      </c>
      <c r="J210" s="278">
        <f ca="1">'GBP Swap PVs'!AO88</f>
        <v>326968.54118701047</v>
      </c>
      <c r="K210" s="278">
        <f ca="1">'GBP Swap PVs'!AP88</f>
        <v>490452.81178051571</v>
      </c>
      <c r="L210" s="278">
        <f ca="1">'GBP Swap PVs'!AQ88</f>
        <v>653937.08237402083</v>
      </c>
      <c r="M210" s="279">
        <f ca="1">'GBP Swap PVs'!AR88</f>
        <v>817421.35296752607</v>
      </c>
      <c r="O210" s="282" t="s">
        <v>20</v>
      </c>
      <c r="P210" s="278">
        <v>-817421.3529675263</v>
      </c>
      <c r="Q210" s="278">
        <v>-653937.08237402095</v>
      </c>
      <c r="R210" s="278">
        <v>-490452.81178051507</v>
      </c>
      <c r="S210" s="278">
        <v>-326968.5411870103</v>
      </c>
      <c r="T210" s="278">
        <v>-163484.27059350518</v>
      </c>
      <c r="U210" s="278">
        <v>0</v>
      </c>
      <c r="V210" s="278">
        <v>163484.27059350529</v>
      </c>
      <c r="W210" s="278">
        <v>326968.54118701047</v>
      </c>
      <c r="X210" s="278">
        <v>490452.81178051571</v>
      </c>
      <c r="Y210" s="278">
        <v>653937.08237402083</v>
      </c>
      <c r="Z210" s="279">
        <v>817421.35296752607</v>
      </c>
      <c r="AB210" s="282" t="str">
        <f t="shared" si="15"/>
        <v>20Y</v>
      </c>
      <c r="AC210" s="278">
        <f ca="1">IF(ABS(P210-C210)&gt;SnapshotTolerance,1,0)</f>
        <v>0</v>
      </c>
      <c r="AD210" s="278">
        <f ca="1">IF(ABS(Q210-D210)&gt;SnapshotTolerance,1,0)</f>
        <v>0</v>
      </c>
      <c r="AE210" s="278">
        <f ca="1">IF(ABS(R210-E210)&gt;SnapshotTolerance,1,0)</f>
        <v>0</v>
      </c>
      <c r="AF210" s="278">
        <f ca="1">IF(ABS(S210-F210)&gt;SnapshotTolerance,1,0)</f>
        <v>0</v>
      </c>
      <c r="AG210" s="278">
        <f ca="1">IF(ABS(T210-G210)&gt;SnapshotTolerance,1,0)</f>
        <v>0</v>
      </c>
      <c r="AH210" s="278">
        <f ca="1">IF(ABS(U210-H210)&gt;SnapshotTolerance,1,0)</f>
        <v>0</v>
      </c>
      <c r="AI210" s="278">
        <f ca="1">IF(ABS(V210-I210)&gt;SnapshotTolerance,1,0)</f>
        <v>0</v>
      </c>
      <c r="AJ210" s="278">
        <f ca="1">IF(ABS(W210-J210)&gt;SnapshotTolerance,1,0)</f>
        <v>0</v>
      </c>
      <c r="AK210" s="278">
        <f ca="1">IF(ABS(X210-K210)&gt;SnapshotTolerance,1,0)</f>
        <v>0</v>
      </c>
      <c r="AL210" s="278">
        <f ca="1">IF(ABS(Y210-L210)&gt;SnapshotTolerance,1,0)</f>
        <v>0</v>
      </c>
      <c r="AM210" s="279">
        <f ca="1">IF(ABS(Z210-M210)&gt;SnapshotTolerance,1,0)</f>
        <v>0</v>
      </c>
    </row>
    <row r="211" spans="2:39">
      <c r="B211" s="282" t="str">
        <f>'GBP Swap PVs'!AG89</f>
        <v>25Y</v>
      </c>
      <c r="C211" s="278">
        <f ca="1">'GBP Swap PVs'!AH89</f>
        <v>-964673.16142758739</v>
      </c>
      <c r="D211" s="278">
        <f ca="1">'GBP Swap PVs'!AI89</f>
        <v>-771738.52914206928</v>
      </c>
      <c r="E211" s="278">
        <f ca="1">'GBP Swap PVs'!AJ89</f>
        <v>-578803.89685655141</v>
      </c>
      <c r="F211" s="278">
        <f ca="1">'GBP Swap PVs'!AK89</f>
        <v>-385869.26457103458</v>
      </c>
      <c r="G211" s="278">
        <f ca="1">'GBP Swap PVs'!AL89</f>
        <v>-192934.63228551738</v>
      </c>
      <c r="H211" s="278">
        <f ca="1">'GBP Swap PVs'!AM89</f>
        <v>0</v>
      </c>
      <c r="I211" s="278">
        <f ca="1">'GBP Swap PVs'!AN89</f>
        <v>192934.63228551755</v>
      </c>
      <c r="J211" s="278">
        <f ca="1">'GBP Swap PVs'!AO89</f>
        <v>385869.26457103487</v>
      </c>
      <c r="K211" s="278">
        <f ca="1">'GBP Swap PVs'!AP89</f>
        <v>578803.89685655234</v>
      </c>
      <c r="L211" s="278">
        <f ca="1">'GBP Swap PVs'!AQ89</f>
        <v>771738.52914206951</v>
      </c>
      <c r="M211" s="279">
        <f ca="1">'GBP Swap PVs'!AR89</f>
        <v>964673.16142758715</v>
      </c>
      <c r="O211" s="282" t="s">
        <v>18</v>
      </c>
      <c r="P211" s="278">
        <v>-964673.16142758739</v>
      </c>
      <c r="Q211" s="278">
        <v>-771738.52914206928</v>
      </c>
      <c r="R211" s="278">
        <v>-578803.89685655141</v>
      </c>
      <c r="S211" s="278">
        <v>-385869.26457103458</v>
      </c>
      <c r="T211" s="278">
        <v>-192934.63228551738</v>
      </c>
      <c r="U211" s="278">
        <v>0</v>
      </c>
      <c r="V211" s="278">
        <v>192934.63228551755</v>
      </c>
      <c r="W211" s="278">
        <v>385869.26457103487</v>
      </c>
      <c r="X211" s="278">
        <v>578803.89685655234</v>
      </c>
      <c r="Y211" s="278">
        <v>771738.52914206951</v>
      </c>
      <c r="Z211" s="279">
        <v>964673.16142758715</v>
      </c>
      <c r="AB211" s="282" t="str">
        <f t="shared" si="15"/>
        <v>25Y</v>
      </c>
      <c r="AC211" s="278">
        <f ca="1">IF(ABS(P211-C211)&gt;SnapshotTolerance,1,0)</f>
        <v>0</v>
      </c>
      <c r="AD211" s="278">
        <f ca="1">IF(ABS(Q211-D211)&gt;SnapshotTolerance,1,0)</f>
        <v>0</v>
      </c>
      <c r="AE211" s="278">
        <f ca="1">IF(ABS(R211-E211)&gt;SnapshotTolerance,1,0)</f>
        <v>0</v>
      </c>
      <c r="AF211" s="278">
        <f ca="1">IF(ABS(S211-F211)&gt;SnapshotTolerance,1,0)</f>
        <v>0</v>
      </c>
      <c r="AG211" s="278">
        <f ca="1">IF(ABS(T211-G211)&gt;SnapshotTolerance,1,0)</f>
        <v>0</v>
      </c>
      <c r="AH211" s="278">
        <f ca="1">IF(ABS(U211-H211)&gt;SnapshotTolerance,1,0)</f>
        <v>0</v>
      </c>
      <c r="AI211" s="278">
        <f ca="1">IF(ABS(V211-I211)&gt;SnapshotTolerance,1,0)</f>
        <v>0</v>
      </c>
      <c r="AJ211" s="278">
        <f ca="1">IF(ABS(W211-J211)&gt;SnapshotTolerance,1,0)</f>
        <v>0</v>
      </c>
      <c r="AK211" s="278">
        <f ca="1">IF(ABS(X211-K211)&gt;SnapshotTolerance,1,0)</f>
        <v>0</v>
      </c>
      <c r="AL211" s="278">
        <f ca="1">IF(ABS(Y211-L211)&gt;SnapshotTolerance,1,0)</f>
        <v>0</v>
      </c>
      <c r="AM211" s="279">
        <f ca="1">IF(ABS(Z211-M211)&gt;SnapshotTolerance,1,0)</f>
        <v>0</v>
      </c>
    </row>
    <row r="212" spans="2:39">
      <c r="B212" s="282" t="str">
        <f>'GBP Swap PVs'!AG90</f>
        <v>30Y</v>
      </c>
      <c r="C212" s="278">
        <f ca="1">'GBP Swap PVs'!AH90</f>
        <v>-1095602.2603170222</v>
      </c>
      <c r="D212" s="278">
        <f ca="1">'GBP Swap PVs'!AI90</f>
        <v>-876481.80825361726</v>
      </c>
      <c r="E212" s="278">
        <f ca="1">'GBP Swap PVs'!AJ90</f>
        <v>-657361.35619021184</v>
      </c>
      <c r="F212" s="278">
        <f ca="1">'GBP Swap PVs'!AK90</f>
        <v>-438240.9041268084</v>
      </c>
      <c r="G212" s="278">
        <f ca="1">'GBP Swap PVs'!AL90</f>
        <v>-219120.45206340414</v>
      </c>
      <c r="H212" s="278">
        <f ca="1">'GBP Swap PVs'!AM90</f>
        <v>0</v>
      </c>
      <c r="I212" s="278">
        <f ca="1">'GBP Swap PVs'!AN90</f>
        <v>219120.45206340452</v>
      </c>
      <c r="J212" s="278">
        <f ca="1">'GBP Swap PVs'!AO90</f>
        <v>438240.9041268088</v>
      </c>
      <c r="K212" s="278">
        <f ca="1">'GBP Swap PVs'!AP90</f>
        <v>657361.35619021324</v>
      </c>
      <c r="L212" s="278">
        <f ca="1">'GBP Swap PVs'!AQ90</f>
        <v>876481.80825361749</v>
      </c>
      <c r="M212" s="279">
        <f ca="1">'GBP Swap PVs'!AR90</f>
        <v>1095602.2603170217</v>
      </c>
      <c r="O212" s="282" t="s">
        <v>17</v>
      </c>
      <c r="P212" s="278">
        <v>-1095602.2603170222</v>
      </c>
      <c r="Q212" s="278">
        <v>-876481.80825361726</v>
      </c>
      <c r="R212" s="278">
        <v>-657361.35619021184</v>
      </c>
      <c r="S212" s="278">
        <v>-438240.9041268084</v>
      </c>
      <c r="T212" s="278">
        <v>-219120.45206340414</v>
      </c>
      <c r="U212" s="278">
        <v>0</v>
      </c>
      <c r="V212" s="278">
        <v>219120.45206340452</v>
      </c>
      <c r="W212" s="278">
        <v>438240.9041268088</v>
      </c>
      <c r="X212" s="278">
        <v>657361.35619021324</v>
      </c>
      <c r="Y212" s="278">
        <v>876481.80825361749</v>
      </c>
      <c r="Z212" s="279">
        <v>1095602.2603170217</v>
      </c>
      <c r="AB212" s="282" t="str">
        <f t="shared" si="15"/>
        <v>30Y</v>
      </c>
      <c r="AC212" s="278">
        <f ca="1">IF(ABS(P212-C212)&gt;SnapshotTolerance,1,0)</f>
        <v>0</v>
      </c>
      <c r="AD212" s="278">
        <f ca="1">IF(ABS(Q212-D212)&gt;SnapshotTolerance,1,0)</f>
        <v>0</v>
      </c>
      <c r="AE212" s="278">
        <f ca="1">IF(ABS(R212-E212)&gt;SnapshotTolerance,1,0)</f>
        <v>0</v>
      </c>
      <c r="AF212" s="278">
        <f ca="1">IF(ABS(S212-F212)&gt;SnapshotTolerance,1,0)</f>
        <v>0</v>
      </c>
      <c r="AG212" s="278">
        <f ca="1">IF(ABS(T212-G212)&gt;SnapshotTolerance,1,0)</f>
        <v>0</v>
      </c>
      <c r="AH212" s="278">
        <f ca="1">IF(ABS(U212-H212)&gt;SnapshotTolerance,1,0)</f>
        <v>0</v>
      </c>
      <c r="AI212" s="278">
        <f ca="1">IF(ABS(V212-I212)&gt;SnapshotTolerance,1,0)</f>
        <v>0</v>
      </c>
      <c r="AJ212" s="278">
        <f ca="1">IF(ABS(W212-J212)&gt;SnapshotTolerance,1,0)</f>
        <v>0</v>
      </c>
      <c r="AK212" s="278">
        <f ca="1">IF(ABS(X212-K212)&gt;SnapshotTolerance,1,0)</f>
        <v>0</v>
      </c>
      <c r="AL212" s="278">
        <f ca="1">IF(ABS(Y212-L212)&gt;SnapshotTolerance,1,0)</f>
        <v>0</v>
      </c>
      <c r="AM212" s="279">
        <f ca="1">IF(ABS(Z212-M212)&gt;SnapshotTolerance,1,0)</f>
        <v>0</v>
      </c>
    </row>
    <row r="213" spans="2:39">
      <c r="B213" s="282" t="str">
        <f>'GBP Swap PVs'!AG91</f>
        <v>40Y</v>
      </c>
      <c r="C213" s="278">
        <f ca="1">'GBP Swap PVs'!AH91</f>
        <v>-1317901.5977899602</v>
      </c>
      <c r="D213" s="278">
        <f ca="1">'GBP Swap PVs'!AI91</f>
        <v>-1054321.2782319677</v>
      </c>
      <c r="E213" s="278">
        <f ca="1">'GBP Swap PVs'!AJ91</f>
        <v>-790740.95867397485</v>
      </c>
      <c r="F213" s="278">
        <f ca="1">'GBP Swap PVs'!AK91</f>
        <v>-527160.63911598374</v>
      </c>
      <c r="G213" s="278">
        <f ca="1">'GBP Swap PVs'!AL91</f>
        <v>-263580.31955799164</v>
      </c>
      <c r="H213" s="278">
        <f ca="1">'GBP Swap PVs'!AM91</f>
        <v>0</v>
      </c>
      <c r="I213" s="278">
        <f ca="1">'GBP Swap PVs'!AN91</f>
        <v>263580.31955799257</v>
      </c>
      <c r="J213" s="278">
        <f ca="1">'GBP Swap PVs'!AO91</f>
        <v>527160.63911598444</v>
      </c>
      <c r="K213" s="278">
        <f ca="1">'GBP Swap PVs'!AP91</f>
        <v>790740.95867397648</v>
      </c>
      <c r="L213" s="278">
        <f ca="1">'GBP Swap PVs'!AQ91</f>
        <v>1054321.2782319684</v>
      </c>
      <c r="M213" s="279">
        <f ca="1">'GBP Swap PVs'!AR91</f>
        <v>1317901.5977899604</v>
      </c>
      <c r="O213" s="282" t="s">
        <v>15</v>
      </c>
      <c r="P213" s="278">
        <v>-1317901.5977899602</v>
      </c>
      <c r="Q213" s="278">
        <v>-1054321.2782319677</v>
      </c>
      <c r="R213" s="278">
        <v>-790740.95867397485</v>
      </c>
      <c r="S213" s="278">
        <v>-527160.63911598374</v>
      </c>
      <c r="T213" s="278">
        <v>-263580.31955799164</v>
      </c>
      <c r="U213" s="278">
        <v>0</v>
      </c>
      <c r="V213" s="278">
        <v>263580.31955799257</v>
      </c>
      <c r="W213" s="278">
        <v>527160.63911598444</v>
      </c>
      <c r="X213" s="278">
        <v>790740.95867397648</v>
      </c>
      <c r="Y213" s="278">
        <v>1054321.2782319684</v>
      </c>
      <c r="Z213" s="279">
        <v>1317901.5977899604</v>
      </c>
      <c r="AB213" s="282" t="str">
        <f t="shared" si="15"/>
        <v>40Y</v>
      </c>
      <c r="AC213" s="278">
        <f ca="1">IF(ABS(P213-C213)&gt;SnapshotTolerance,1,0)</f>
        <v>0</v>
      </c>
      <c r="AD213" s="278">
        <f ca="1">IF(ABS(Q213-D213)&gt;SnapshotTolerance,1,0)</f>
        <v>0</v>
      </c>
      <c r="AE213" s="278">
        <f ca="1">IF(ABS(R213-E213)&gt;SnapshotTolerance,1,0)</f>
        <v>0</v>
      </c>
      <c r="AF213" s="278">
        <f ca="1">IF(ABS(S213-F213)&gt;SnapshotTolerance,1,0)</f>
        <v>0</v>
      </c>
      <c r="AG213" s="278">
        <f ca="1">IF(ABS(T213-G213)&gt;SnapshotTolerance,1,0)</f>
        <v>0</v>
      </c>
      <c r="AH213" s="278">
        <f ca="1">IF(ABS(U213-H213)&gt;SnapshotTolerance,1,0)</f>
        <v>0</v>
      </c>
      <c r="AI213" s="278">
        <f ca="1">IF(ABS(V213-I213)&gt;SnapshotTolerance,1,0)</f>
        <v>0</v>
      </c>
      <c r="AJ213" s="278">
        <f ca="1">IF(ABS(W213-J213)&gt;SnapshotTolerance,1,0)</f>
        <v>0</v>
      </c>
      <c r="AK213" s="278">
        <f ca="1">IF(ABS(X213-K213)&gt;SnapshotTolerance,1,0)</f>
        <v>0</v>
      </c>
      <c r="AL213" s="278">
        <f ca="1">IF(ABS(Y213-L213)&gt;SnapshotTolerance,1,0)</f>
        <v>0</v>
      </c>
      <c r="AM213" s="279">
        <f ca="1">IF(ABS(Z213-M213)&gt;SnapshotTolerance,1,0)</f>
        <v>0</v>
      </c>
    </row>
    <row r="214" spans="2:39">
      <c r="B214" s="282" t="str">
        <f>'GBP Swap PVs'!AG92</f>
        <v>50Y</v>
      </c>
      <c r="C214" s="278">
        <f ca="1">'GBP Swap PVs'!AH92</f>
        <v>-1498349.9245906656</v>
      </c>
      <c r="D214" s="278">
        <f ca="1">'GBP Swap PVs'!AI92</f>
        <v>-1198679.9396725311</v>
      </c>
      <c r="E214" s="278">
        <f ca="1">'GBP Swap PVs'!AJ92</f>
        <v>-899009.95475439739</v>
      </c>
      <c r="F214" s="278">
        <f ca="1">'GBP Swap PVs'!AK92</f>
        <v>-599339.9698362652</v>
      </c>
      <c r="G214" s="278">
        <f ca="1">'GBP Swap PVs'!AL92</f>
        <v>-299669.98491813266</v>
      </c>
      <c r="H214" s="278">
        <f ca="1">'GBP Swap PVs'!AM92</f>
        <v>0</v>
      </c>
      <c r="I214" s="278">
        <f ca="1">'GBP Swap PVs'!AN92</f>
        <v>299669.98491813318</v>
      </c>
      <c r="J214" s="278">
        <f ca="1">'GBP Swap PVs'!AO92</f>
        <v>599339.96983626578</v>
      </c>
      <c r="K214" s="278">
        <f ca="1">'GBP Swap PVs'!AP92</f>
        <v>899009.95475439855</v>
      </c>
      <c r="L214" s="278">
        <f ca="1">'GBP Swap PVs'!AQ92</f>
        <v>1198679.9396725311</v>
      </c>
      <c r="M214" s="279">
        <f ca="1">'GBP Swap PVs'!AR92</f>
        <v>1498349.9245906642</v>
      </c>
      <c r="O214" s="282" t="s">
        <v>14</v>
      </c>
      <c r="P214" s="278">
        <v>-1498349.9245906656</v>
      </c>
      <c r="Q214" s="278">
        <v>-1198679.9396725311</v>
      </c>
      <c r="R214" s="278">
        <v>-899009.95475439739</v>
      </c>
      <c r="S214" s="278">
        <v>-599339.9698362652</v>
      </c>
      <c r="T214" s="278">
        <v>-299669.98491813266</v>
      </c>
      <c r="U214" s="278">
        <v>0</v>
      </c>
      <c r="V214" s="278">
        <v>299669.98491813318</v>
      </c>
      <c r="W214" s="278">
        <v>599339.96983626578</v>
      </c>
      <c r="X214" s="278">
        <v>899009.95475439855</v>
      </c>
      <c r="Y214" s="278">
        <v>1198679.9396725311</v>
      </c>
      <c r="Z214" s="279">
        <v>1498349.9245906642</v>
      </c>
      <c r="AB214" s="282" t="str">
        <f t="shared" si="15"/>
        <v>50Y</v>
      </c>
      <c r="AC214" s="278">
        <f ca="1">IF(ABS(P214-C214)&gt;SnapshotTolerance,1,0)</f>
        <v>0</v>
      </c>
      <c r="AD214" s="278">
        <f ca="1">IF(ABS(Q214-D214)&gt;SnapshotTolerance,1,0)</f>
        <v>0</v>
      </c>
      <c r="AE214" s="278">
        <f ca="1">IF(ABS(R214-E214)&gt;SnapshotTolerance,1,0)</f>
        <v>0</v>
      </c>
      <c r="AF214" s="278">
        <f ca="1">IF(ABS(S214-F214)&gt;SnapshotTolerance,1,0)</f>
        <v>0</v>
      </c>
      <c r="AG214" s="278">
        <f ca="1">IF(ABS(T214-G214)&gt;SnapshotTolerance,1,0)</f>
        <v>0</v>
      </c>
      <c r="AH214" s="278">
        <f ca="1">IF(ABS(U214-H214)&gt;SnapshotTolerance,1,0)</f>
        <v>0</v>
      </c>
      <c r="AI214" s="278">
        <f ca="1">IF(ABS(V214-I214)&gt;SnapshotTolerance,1,0)</f>
        <v>0</v>
      </c>
      <c r="AJ214" s="278">
        <f ca="1">IF(ABS(W214-J214)&gt;SnapshotTolerance,1,0)</f>
        <v>0</v>
      </c>
      <c r="AK214" s="278">
        <f ca="1">IF(ABS(X214-K214)&gt;SnapshotTolerance,1,0)</f>
        <v>0</v>
      </c>
      <c r="AL214" s="278">
        <f ca="1">IF(ABS(Y214-L214)&gt;SnapshotTolerance,1,0)</f>
        <v>0</v>
      </c>
      <c r="AM214" s="279">
        <f ca="1">IF(ABS(Z214-M214)&gt;SnapshotTolerance,1,0)</f>
        <v>0</v>
      </c>
    </row>
    <row r="215" spans="2:39">
      <c r="B215" s="282"/>
      <c r="C215" s="278"/>
      <c r="D215" s="278"/>
      <c r="E215" s="278"/>
      <c r="F215" s="278"/>
      <c r="G215" s="278"/>
      <c r="H215" s="278"/>
      <c r="I215" s="278"/>
      <c r="J215" s="278"/>
      <c r="K215" s="278"/>
      <c r="L215" s="278"/>
      <c r="M215" s="279"/>
      <c r="O215" s="282"/>
      <c r="P215" s="278"/>
      <c r="Q215" s="278"/>
      <c r="R215" s="278"/>
      <c r="S215" s="278"/>
      <c r="T215" s="278"/>
      <c r="U215" s="278"/>
      <c r="V215" s="278"/>
      <c r="W215" s="278"/>
      <c r="X215" s="278"/>
      <c r="Y215" s="278"/>
      <c r="Z215" s="279"/>
      <c r="AB215" s="282"/>
      <c r="AC215" s="278"/>
      <c r="AD215" s="278"/>
      <c r="AE215" s="278"/>
      <c r="AF215" s="278"/>
      <c r="AG215" s="278"/>
      <c r="AH215" s="278"/>
      <c r="AI215" s="278"/>
      <c r="AJ215" s="278"/>
      <c r="AK215" s="278"/>
      <c r="AL215" s="278"/>
      <c r="AM215" s="279"/>
    </row>
    <row r="216" spans="2:39">
      <c r="B216" s="282"/>
      <c r="C216" s="278"/>
      <c r="D216" s="278"/>
      <c r="E216" s="278"/>
      <c r="F216" s="278"/>
      <c r="G216" s="278"/>
      <c r="H216" s="278"/>
      <c r="I216" s="278"/>
      <c r="J216" s="278"/>
      <c r="K216" s="278"/>
      <c r="L216" s="278"/>
      <c r="M216" s="279"/>
      <c r="O216" s="282"/>
      <c r="P216" s="278"/>
      <c r="Q216" s="278"/>
      <c r="R216" s="278"/>
      <c r="S216" s="278"/>
      <c r="T216" s="278"/>
      <c r="U216" s="278"/>
      <c r="V216" s="278"/>
      <c r="W216" s="278"/>
      <c r="X216" s="278"/>
      <c r="Y216" s="278"/>
      <c r="Z216" s="279"/>
      <c r="AB216" s="282"/>
      <c r="AC216" s="278"/>
      <c r="AD216" s="278"/>
      <c r="AE216" s="278"/>
      <c r="AF216" s="278"/>
      <c r="AG216" s="278"/>
      <c r="AH216" s="278"/>
      <c r="AI216" s="278"/>
      <c r="AJ216" s="278"/>
      <c r="AK216" s="278"/>
      <c r="AL216" s="278"/>
      <c r="AM216" s="279"/>
    </row>
    <row r="217" spans="2:39">
      <c r="B217" s="283"/>
      <c r="C217" s="280"/>
      <c r="D217" s="280"/>
      <c r="E217" s="280"/>
      <c r="F217" s="280"/>
      <c r="G217" s="280"/>
      <c r="H217" s="280"/>
      <c r="I217" s="280"/>
      <c r="J217" s="280"/>
      <c r="K217" s="280"/>
      <c r="L217" s="280"/>
      <c r="M217" s="281"/>
      <c r="O217" s="283"/>
      <c r="P217" s="280"/>
      <c r="Q217" s="280"/>
      <c r="R217" s="280"/>
      <c r="S217" s="280"/>
      <c r="T217" s="280"/>
      <c r="U217" s="280"/>
      <c r="V217" s="280"/>
      <c r="W217" s="280"/>
      <c r="X217" s="280"/>
      <c r="Y217" s="280"/>
      <c r="Z217" s="281"/>
      <c r="AB217" s="283"/>
      <c r="AC217" s="280"/>
      <c r="AD217" s="280"/>
      <c r="AE217" s="280"/>
      <c r="AF217" s="280"/>
      <c r="AG217" s="280"/>
      <c r="AH217" s="280"/>
      <c r="AI217" s="280"/>
      <c r="AJ217" s="280"/>
      <c r="AK217" s="280"/>
      <c r="AL217" s="280"/>
      <c r="AM217" s="28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2:AM217"/>
  <sheetViews>
    <sheetView showGridLines="0" zoomScaleNormal="100" workbookViewId="0"/>
  </sheetViews>
  <sheetFormatPr defaultRowHeight="15"/>
  <cols>
    <col min="2" max="32" width="10.7109375" customWidth="1"/>
  </cols>
  <sheetData>
    <row r="2" spans="2:39">
      <c r="B2" t="s">
        <v>536</v>
      </c>
    </row>
    <row r="4" spans="2:39">
      <c r="B4" t="s">
        <v>527</v>
      </c>
      <c r="E4" t="s">
        <v>472</v>
      </c>
    </row>
    <row r="5" spans="2:39">
      <c r="B5" t="s">
        <v>528</v>
      </c>
      <c r="E5" s="252">
        <f ca="1">SUM(AC10:AM28)</f>
        <v>0</v>
      </c>
    </row>
    <row r="6" spans="2:39">
      <c r="B6" t="s">
        <v>529</v>
      </c>
    </row>
    <row r="8" spans="2:39">
      <c r="B8" t="s">
        <v>510</v>
      </c>
      <c r="O8" t="s">
        <v>470</v>
      </c>
      <c r="AB8" t="s">
        <v>511</v>
      </c>
    </row>
    <row r="9" spans="2:39">
      <c r="B9" s="254" t="str">
        <f>'JPY Swap PVs'!M3</f>
        <v>Term</v>
      </c>
      <c r="C9" s="276">
        <f>'JPY Swap PVs'!N3</f>
        <v>-0.05</v>
      </c>
      <c r="D9" s="276">
        <f>'JPY Swap PVs'!O3</f>
        <v>-0.04</v>
      </c>
      <c r="E9" s="276">
        <f>'JPY Swap PVs'!P3</f>
        <v>-0.03</v>
      </c>
      <c r="F9" s="276">
        <f>'JPY Swap PVs'!Q3</f>
        <v>-1.9999999999999997E-2</v>
      </c>
      <c r="G9" s="276">
        <f>'JPY Swap PVs'!R3</f>
        <v>-9.9999999999999967E-3</v>
      </c>
      <c r="H9" s="276">
        <f>'JPY Swap PVs'!S3</f>
        <v>0</v>
      </c>
      <c r="I9" s="276">
        <f>'JPY Swap PVs'!T3</f>
        <v>0.01</v>
      </c>
      <c r="J9" s="276">
        <f>'JPY Swap PVs'!U3</f>
        <v>0.02</v>
      </c>
      <c r="K9" s="276">
        <f>'JPY Swap PVs'!V3</f>
        <v>0.03</v>
      </c>
      <c r="L9" s="276">
        <f>'JPY Swap PVs'!W3</f>
        <v>0.04</v>
      </c>
      <c r="M9" s="277">
        <f>'JPY Swap PVs'!X3</f>
        <v>0.05</v>
      </c>
      <c r="O9" s="254" t="s">
        <v>76</v>
      </c>
      <c r="P9" s="276">
        <v>-0.05</v>
      </c>
      <c r="Q9" s="276">
        <v>-0.04</v>
      </c>
      <c r="R9" s="276">
        <v>-0.03</v>
      </c>
      <c r="S9" s="276">
        <v>-1.9999999999999997E-2</v>
      </c>
      <c r="T9" s="276">
        <v>-9.9999999999999967E-3</v>
      </c>
      <c r="U9" s="276">
        <v>0</v>
      </c>
      <c r="V9" s="276">
        <v>0.01</v>
      </c>
      <c r="W9" s="276">
        <v>0.02</v>
      </c>
      <c r="X9" s="276">
        <v>0.03</v>
      </c>
      <c r="Y9" s="276">
        <v>0.04</v>
      </c>
      <c r="Z9" s="277">
        <v>0.05</v>
      </c>
      <c r="AB9" s="254" t="str">
        <f>O9</f>
        <v>Term</v>
      </c>
      <c r="AC9" s="276">
        <f>P9</f>
        <v>-0.05</v>
      </c>
      <c r="AD9" s="276">
        <f t="shared" ref="AD9:AM9" si="0">Q9</f>
        <v>-0.04</v>
      </c>
      <c r="AE9" s="276">
        <f t="shared" si="0"/>
        <v>-0.03</v>
      </c>
      <c r="AF9" s="276">
        <f t="shared" si="0"/>
        <v>-1.9999999999999997E-2</v>
      </c>
      <c r="AG9" s="276">
        <f t="shared" si="0"/>
        <v>-9.9999999999999967E-3</v>
      </c>
      <c r="AH9" s="276">
        <f t="shared" si="0"/>
        <v>0</v>
      </c>
      <c r="AI9" s="276">
        <f t="shared" si="0"/>
        <v>0.01</v>
      </c>
      <c r="AJ9" s="276">
        <f t="shared" si="0"/>
        <v>0.02</v>
      </c>
      <c r="AK9" s="276">
        <f t="shared" si="0"/>
        <v>0.03</v>
      </c>
      <c r="AL9" s="276">
        <f t="shared" si="0"/>
        <v>0.04</v>
      </c>
      <c r="AM9" s="277">
        <f t="shared" si="0"/>
        <v>0.05</v>
      </c>
    </row>
    <row r="10" spans="2:39">
      <c r="B10" s="282" t="str">
        <f>'JPY Swap PVs'!M4</f>
        <v>3Y</v>
      </c>
      <c r="C10" s="278">
        <f ca="1">'JPY Swap PVs'!N4</f>
        <v>150218.91320938815</v>
      </c>
      <c r="D10" s="278">
        <f ca="1">'JPY Swap PVs'!O4</f>
        <v>120175.13056751051</v>
      </c>
      <c r="E10" s="278">
        <f ca="1">'JPY Swap PVs'!P4</f>
        <v>90131.347925632872</v>
      </c>
      <c r="F10" s="278">
        <f ca="1">'JPY Swap PVs'!Q4</f>
        <v>60087.565283755241</v>
      </c>
      <c r="G10" s="278">
        <f ca="1">'JPY Swap PVs'!R4</f>
        <v>30043.78264187762</v>
      </c>
      <c r="H10" s="278">
        <f ca="1">'JPY Swap PVs'!S4</f>
        <v>0</v>
      </c>
      <c r="I10" s="278">
        <f ca="1">'JPY Swap PVs'!T4</f>
        <v>-30043.782641877624</v>
      </c>
      <c r="J10" s="278">
        <f ca="1">'JPY Swap PVs'!U4</f>
        <v>-60087.565283755262</v>
      </c>
      <c r="K10" s="278">
        <f ca="1">'JPY Swap PVs'!V4</f>
        <v>-90131.347925632872</v>
      </c>
      <c r="L10" s="278">
        <f ca="1">'JPY Swap PVs'!W4</f>
        <v>-120175.13056751051</v>
      </c>
      <c r="M10" s="279">
        <f ca="1">'JPY Swap PVs'!X4</f>
        <v>-150218.91320938815</v>
      </c>
      <c r="O10" s="282" t="s">
        <v>39</v>
      </c>
      <c r="P10" s="278">
        <v>150218.91320938815</v>
      </c>
      <c r="Q10" s="278">
        <v>120175.13056751051</v>
      </c>
      <c r="R10" s="278">
        <v>90131.347925632872</v>
      </c>
      <c r="S10" s="278">
        <v>60087.565283755241</v>
      </c>
      <c r="T10" s="278">
        <v>30043.78264187762</v>
      </c>
      <c r="U10" s="278">
        <v>0</v>
      </c>
      <c r="V10" s="278">
        <v>-30043.782641877624</v>
      </c>
      <c r="W10" s="278">
        <v>-60087.565283755262</v>
      </c>
      <c r="X10" s="278">
        <v>-90131.347925632872</v>
      </c>
      <c r="Y10" s="278">
        <v>-120175.13056751051</v>
      </c>
      <c r="Z10" s="279">
        <v>-150218.91320938815</v>
      </c>
      <c r="AB10" s="282" t="str">
        <f t="shared" ref="AB10:AB28" si="1">O10</f>
        <v>3Y</v>
      </c>
      <c r="AC10" s="278">
        <f ca="1">IF(ABS(P10-C10)&gt;SnapshotTolerance,1,0)</f>
        <v>0</v>
      </c>
      <c r="AD10" s="278">
        <f ca="1">IF(ABS(Q10-D10)&gt;SnapshotTolerance,1,0)</f>
        <v>0</v>
      </c>
      <c r="AE10" s="278">
        <f ca="1">IF(ABS(R10-E10)&gt;SnapshotTolerance,1,0)</f>
        <v>0</v>
      </c>
      <c r="AF10" s="278">
        <f ca="1">IF(ABS(S10-F10)&gt;SnapshotTolerance,1,0)</f>
        <v>0</v>
      </c>
      <c r="AG10" s="278">
        <f ca="1">IF(ABS(T10-G10)&gt;SnapshotTolerance,1,0)</f>
        <v>0</v>
      </c>
      <c r="AH10" s="278">
        <f ca="1">IF(ABS(U10-H10)&gt;SnapshotTolerance,1,0)</f>
        <v>0</v>
      </c>
      <c r="AI10" s="278">
        <f ca="1">IF(ABS(V10-I10)&gt;SnapshotTolerance,1,0)</f>
        <v>0</v>
      </c>
      <c r="AJ10" s="278">
        <f ca="1">IF(ABS(W10-J10)&gt;SnapshotTolerance,1,0)</f>
        <v>0</v>
      </c>
      <c r="AK10" s="278">
        <f ca="1">IF(ABS(X10-K10)&gt;SnapshotTolerance,1,0)</f>
        <v>0</v>
      </c>
      <c r="AL10" s="278">
        <f ca="1">IF(ABS(Y10-L10)&gt;SnapshotTolerance,1,0)</f>
        <v>0</v>
      </c>
      <c r="AM10" s="279">
        <f ca="1">IF(ABS(Z10-M10)&gt;SnapshotTolerance,1,0)</f>
        <v>0</v>
      </c>
    </row>
    <row r="11" spans="2:39">
      <c r="B11" s="282" t="str">
        <f>'JPY Swap PVs'!M5</f>
        <v>4Y</v>
      </c>
      <c r="C11" s="278">
        <f ca="1">'JPY Swap PVs'!N5</f>
        <v>199875.20207088441</v>
      </c>
      <c r="D11" s="278">
        <f ca="1">'JPY Swap PVs'!O5</f>
        <v>159900.16165670753</v>
      </c>
      <c r="E11" s="278">
        <f ca="1">'JPY Swap PVs'!P5</f>
        <v>119925.12124253063</v>
      </c>
      <c r="F11" s="278">
        <f ca="1">'JPY Swap PVs'!Q5</f>
        <v>79950.080828353748</v>
      </c>
      <c r="G11" s="278">
        <f ca="1">'JPY Swap PVs'!R5</f>
        <v>39975.040414176867</v>
      </c>
      <c r="H11" s="278">
        <f ca="1">'JPY Swap PVs'!S5</f>
        <v>0</v>
      </c>
      <c r="I11" s="278">
        <f ca="1">'JPY Swap PVs'!T5</f>
        <v>-39975.040414176881</v>
      </c>
      <c r="J11" s="278">
        <f ca="1">'JPY Swap PVs'!U5</f>
        <v>-79950.080828353748</v>
      </c>
      <c r="K11" s="278">
        <f ca="1">'JPY Swap PVs'!V5</f>
        <v>-119925.12124253063</v>
      </c>
      <c r="L11" s="278">
        <f ca="1">'JPY Swap PVs'!W5</f>
        <v>-159900.16165670753</v>
      </c>
      <c r="M11" s="279">
        <f ca="1">'JPY Swap PVs'!X5</f>
        <v>-199875.20207088441</v>
      </c>
      <c r="O11" s="282" t="s">
        <v>35</v>
      </c>
      <c r="P11" s="278">
        <v>199875.20207088441</v>
      </c>
      <c r="Q11" s="278">
        <v>159900.16165670753</v>
      </c>
      <c r="R11" s="278">
        <v>119925.12124253063</v>
      </c>
      <c r="S11" s="278">
        <v>79950.080828353748</v>
      </c>
      <c r="T11" s="278">
        <v>39975.040414176867</v>
      </c>
      <c r="U11" s="278">
        <v>0</v>
      </c>
      <c r="V11" s="278">
        <v>-39975.040414176881</v>
      </c>
      <c r="W11" s="278">
        <v>-79950.080828353748</v>
      </c>
      <c r="X11" s="278">
        <v>-119925.12124253063</v>
      </c>
      <c r="Y11" s="278">
        <v>-159900.16165670753</v>
      </c>
      <c r="Z11" s="279">
        <v>-199875.20207088441</v>
      </c>
      <c r="AB11" s="282" t="str">
        <f t="shared" si="1"/>
        <v>4Y</v>
      </c>
      <c r="AC11" s="278">
        <f ca="1">IF(ABS(P11-C11)&gt;SnapshotTolerance,1,0)</f>
        <v>0</v>
      </c>
      <c r="AD11" s="278">
        <f ca="1">IF(ABS(Q11-D11)&gt;SnapshotTolerance,1,0)</f>
        <v>0</v>
      </c>
      <c r="AE11" s="278">
        <f ca="1">IF(ABS(R11-E11)&gt;SnapshotTolerance,1,0)</f>
        <v>0</v>
      </c>
      <c r="AF11" s="278">
        <f ca="1">IF(ABS(S11-F11)&gt;SnapshotTolerance,1,0)</f>
        <v>0</v>
      </c>
      <c r="AG11" s="278">
        <f ca="1">IF(ABS(T11-G11)&gt;SnapshotTolerance,1,0)</f>
        <v>0</v>
      </c>
      <c r="AH11" s="278">
        <f ca="1">IF(ABS(U11-H11)&gt;SnapshotTolerance,1,0)</f>
        <v>0</v>
      </c>
      <c r="AI11" s="278">
        <f ca="1">IF(ABS(V11-I11)&gt;SnapshotTolerance,1,0)</f>
        <v>0</v>
      </c>
      <c r="AJ11" s="278">
        <f ca="1">IF(ABS(W11-J11)&gt;SnapshotTolerance,1,0)</f>
        <v>0</v>
      </c>
      <c r="AK11" s="278">
        <f ca="1">IF(ABS(X11-K11)&gt;SnapshotTolerance,1,0)</f>
        <v>0</v>
      </c>
      <c r="AL11" s="278">
        <f ca="1">IF(ABS(Y11-L11)&gt;SnapshotTolerance,1,0)</f>
        <v>0</v>
      </c>
      <c r="AM11" s="279">
        <f ca="1">IF(ABS(Z11-M11)&gt;SnapshotTolerance,1,0)</f>
        <v>0</v>
      </c>
    </row>
    <row r="12" spans="2:39">
      <c r="B12" s="282" t="str">
        <f>'JPY Swap PVs'!M6</f>
        <v>5Y</v>
      </c>
      <c r="C12" s="278">
        <f ca="1">'JPY Swap PVs'!N6</f>
        <v>249500.07077146322</v>
      </c>
      <c r="D12" s="278">
        <f ca="1">'JPY Swap PVs'!O6</f>
        <v>199600.05661717057</v>
      </c>
      <c r="E12" s="278">
        <f ca="1">'JPY Swap PVs'!P6</f>
        <v>149700.04246287787</v>
      </c>
      <c r="F12" s="278">
        <f ca="1">'JPY Swap PVs'!Q6</f>
        <v>99800.028308585257</v>
      </c>
      <c r="G12" s="278">
        <f ca="1">'JPY Swap PVs'!R6</f>
        <v>49900.014154292621</v>
      </c>
      <c r="H12" s="278">
        <f ca="1">'JPY Swap PVs'!S6</f>
        <v>0</v>
      </c>
      <c r="I12" s="278">
        <f ca="1">'JPY Swap PVs'!T6</f>
        <v>-49900.014154292643</v>
      </c>
      <c r="J12" s="278">
        <f ca="1">'JPY Swap PVs'!U6</f>
        <v>-99800.028308585286</v>
      </c>
      <c r="K12" s="278">
        <f ca="1">'JPY Swap PVs'!V6</f>
        <v>-149700.0424628779</v>
      </c>
      <c r="L12" s="278">
        <f ca="1">'JPY Swap PVs'!W6</f>
        <v>-199600.05661717057</v>
      </c>
      <c r="M12" s="279">
        <f ca="1">'JPY Swap PVs'!X6</f>
        <v>-249500.07077146322</v>
      </c>
      <c r="O12" s="282" t="s">
        <v>33</v>
      </c>
      <c r="P12" s="278">
        <v>249500.07077146322</v>
      </c>
      <c r="Q12" s="278">
        <v>199600.05661717057</v>
      </c>
      <c r="R12" s="278">
        <v>149700.04246287787</v>
      </c>
      <c r="S12" s="278">
        <v>99800.028308585257</v>
      </c>
      <c r="T12" s="278">
        <v>49900.014154292621</v>
      </c>
      <c r="U12" s="278">
        <v>0</v>
      </c>
      <c r="V12" s="278">
        <v>-49900.014154292643</v>
      </c>
      <c r="W12" s="278">
        <v>-99800.028308585286</v>
      </c>
      <c r="X12" s="278">
        <v>-149700.0424628779</v>
      </c>
      <c r="Y12" s="278">
        <v>-199600.05661717057</v>
      </c>
      <c r="Z12" s="279">
        <v>-249500.07077146322</v>
      </c>
      <c r="AB12" s="282" t="str">
        <f t="shared" si="1"/>
        <v>5Y</v>
      </c>
      <c r="AC12" s="278">
        <f ca="1">IF(ABS(P12-C12)&gt;SnapshotTolerance,1,0)</f>
        <v>0</v>
      </c>
      <c r="AD12" s="278">
        <f ca="1">IF(ABS(Q12-D12)&gt;SnapshotTolerance,1,0)</f>
        <v>0</v>
      </c>
      <c r="AE12" s="278">
        <f ca="1">IF(ABS(R12-E12)&gt;SnapshotTolerance,1,0)</f>
        <v>0</v>
      </c>
      <c r="AF12" s="278">
        <f ca="1">IF(ABS(S12-F12)&gt;SnapshotTolerance,1,0)</f>
        <v>0</v>
      </c>
      <c r="AG12" s="278">
        <f ca="1">IF(ABS(T12-G12)&gt;SnapshotTolerance,1,0)</f>
        <v>0</v>
      </c>
      <c r="AH12" s="278">
        <f ca="1">IF(ABS(U12-H12)&gt;SnapshotTolerance,1,0)</f>
        <v>0</v>
      </c>
      <c r="AI12" s="278">
        <f ca="1">IF(ABS(V12-I12)&gt;SnapshotTolerance,1,0)</f>
        <v>0</v>
      </c>
      <c r="AJ12" s="278">
        <f ca="1">IF(ABS(W12-J12)&gt;SnapshotTolerance,1,0)</f>
        <v>0</v>
      </c>
      <c r="AK12" s="278">
        <f ca="1">IF(ABS(X12-K12)&gt;SnapshotTolerance,1,0)</f>
        <v>0</v>
      </c>
      <c r="AL12" s="278">
        <f ca="1">IF(ABS(Y12-L12)&gt;SnapshotTolerance,1,0)</f>
        <v>0</v>
      </c>
      <c r="AM12" s="279">
        <f ca="1">IF(ABS(Z12-M12)&gt;SnapshotTolerance,1,0)</f>
        <v>0</v>
      </c>
    </row>
    <row r="13" spans="2:39">
      <c r="B13" s="282" t="str">
        <f>'JPY Swap PVs'!M7</f>
        <v>6Y</v>
      </c>
      <c r="C13" s="278">
        <f ca="1">'JPY Swap PVs'!N7</f>
        <v>298872.69664936647</v>
      </c>
      <c r="D13" s="278">
        <f ca="1">'JPY Swap PVs'!O7</f>
        <v>239098.15731949316</v>
      </c>
      <c r="E13" s="278">
        <f ca="1">'JPY Swap PVs'!P7</f>
        <v>179323.61798961987</v>
      </c>
      <c r="F13" s="278">
        <f ca="1">'JPY Swap PVs'!Q7</f>
        <v>119549.07865974656</v>
      </c>
      <c r="G13" s="278">
        <f ca="1">'JPY Swap PVs'!R7</f>
        <v>59774.539329873267</v>
      </c>
      <c r="H13" s="278">
        <f ca="1">'JPY Swap PVs'!S7</f>
        <v>0</v>
      </c>
      <c r="I13" s="278">
        <f ca="1">'JPY Swap PVs'!T7</f>
        <v>-59774.539329873282</v>
      </c>
      <c r="J13" s="278">
        <f ca="1">'JPY Swap PVs'!U7</f>
        <v>-119549.07865974656</v>
      </c>
      <c r="K13" s="278">
        <f ca="1">'JPY Swap PVs'!V7</f>
        <v>-179323.61798961987</v>
      </c>
      <c r="L13" s="278">
        <f ca="1">'JPY Swap PVs'!W7</f>
        <v>-239098.15731949318</v>
      </c>
      <c r="M13" s="279">
        <f ca="1">'JPY Swap PVs'!X7</f>
        <v>-298872.69664936647</v>
      </c>
      <c r="O13" s="282" t="s">
        <v>131</v>
      </c>
      <c r="P13" s="278">
        <v>298872.69664936647</v>
      </c>
      <c r="Q13" s="278">
        <v>239098.15731949316</v>
      </c>
      <c r="R13" s="278">
        <v>179323.61798961987</v>
      </c>
      <c r="S13" s="278">
        <v>119549.07865974656</v>
      </c>
      <c r="T13" s="278">
        <v>59774.539329873267</v>
      </c>
      <c r="U13" s="278">
        <v>0</v>
      </c>
      <c r="V13" s="278">
        <v>-59774.539329873282</v>
      </c>
      <c r="W13" s="278">
        <v>-119549.07865974656</v>
      </c>
      <c r="X13" s="278">
        <v>-179323.61798961987</v>
      </c>
      <c r="Y13" s="278">
        <v>-239098.15731949318</v>
      </c>
      <c r="Z13" s="279">
        <v>-298872.69664936647</v>
      </c>
      <c r="AB13" s="282" t="str">
        <f t="shared" si="1"/>
        <v>6Y</v>
      </c>
      <c r="AC13" s="278">
        <f ca="1">IF(ABS(P13-C13)&gt;SnapshotTolerance,1,0)</f>
        <v>0</v>
      </c>
      <c r="AD13" s="278">
        <f ca="1">IF(ABS(Q13-D13)&gt;SnapshotTolerance,1,0)</f>
        <v>0</v>
      </c>
      <c r="AE13" s="278">
        <f ca="1">IF(ABS(R13-E13)&gt;SnapshotTolerance,1,0)</f>
        <v>0</v>
      </c>
      <c r="AF13" s="278">
        <f ca="1">IF(ABS(S13-F13)&gt;SnapshotTolerance,1,0)</f>
        <v>0</v>
      </c>
      <c r="AG13" s="278">
        <f ca="1">IF(ABS(T13-G13)&gt;SnapshotTolerance,1,0)</f>
        <v>0</v>
      </c>
      <c r="AH13" s="278">
        <f ca="1">IF(ABS(U13-H13)&gt;SnapshotTolerance,1,0)</f>
        <v>0</v>
      </c>
      <c r="AI13" s="278">
        <f ca="1">IF(ABS(V13-I13)&gt;SnapshotTolerance,1,0)</f>
        <v>0</v>
      </c>
      <c r="AJ13" s="278">
        <f ca="1">IF(ABS(W13-J13)&gt;SnapshotTolerance,1,0)</f>
        <v>0</v>
      </c>
      <c r="AK13" s="278">
        <f ca="1">IF(ABS(X13-K13)&gt;SnapshotTolerance,1,0)</f>
        <v>0</v>
      </c>
      <c r="AL13" s="278">
        <f ca="1">IF(ABS(Y13-L13)&gt;SnapshotTolerance,1,0)</f>
        <v>0</v>
      </c>
      <c r="AM13" s="279">
        <f ca="1">IF(ABS(Z13-M13)&gt;SnapshotTolerance,1,0)</f>
        <v>0</v>
      </c>
    </row>
    <row r="14" spans="2:39">
      <c r="B14" s="282" t="str">
        <f>'JPY Swap PVs'!M8</f>
        <v>7Y</v>
      </c>
      <c r="C14" s="278">
        <f ca="1">'JPY Swap PVs'!N8</f>
        <v>347927.2637247782</v>
      </c>
      <c r="D14" s="278">
        <f ca="1">'JPY Swap PVs'!O8</f>
        <v>278341.81097982253</v>
      </c>
      <c r="E14" s="278">
        <f ca="1">'JPY Swap PVs'!P8</f>
        <v>208756.3582348669</v>
      </c>
      <c r="F14" s="278">
        <f ca="1">'JPY Swap PVs'!Q8</f>
        <v>139170.90548991124</v>
      </c>
      <c r="G14" s="278">
        <f ca="1">'JPY Swap PVs'!R8</f>
        <v>69585.452744955604</v>
      </c>
      <c r="H14" s="278">
        <f ca="1">'JPY Swap PVs'!S8</f>
        <v>0</v>
      </c>
      <c r="I14" s="278">
        <f ca="1">'JPY Swap PVs'!T8</f>
        <v>-69585.452744955634</v>
      </c>
      <c r="J14" s="278">
        <f ca="1">'JPY Swap PVs'!U8</f>
        <v>-139170.90548991127</v>
      </c>
      <c r="K14" s="278">
        <f ca="1">'JPY Swap PVs'!V8</f>
        <v>-208756.35823486687</v>
      </c>
      <c r="L14" s="278">
        <f ca="1">'JPY Swap PVs'!W8</f>
        <v>-278341.81097982253</v>
      </c>
      <c r="M14" s="279">
        <f ca="1">'JPY Swap PVs'!X8</f>
        <v>-347927.2637247782</v>
      </c>
      <c r="O14" s="282" t="s">
        <v>31</v>
      </c>
      <c r="P14" s="278">
        <v>347927.2637247782</v>
      </c>
      <c r="Q14" s="278">
        <v>278341.81097982253</v>
      </c>
      <c r="R14" s="278">
        <v>208756.3582348669</v>
      </c>
      <c r="S14" s="278">
        <v>139170.90548991124</v>
      </c>
      <c r="T14" s="278">
        <v>69585.452744955604</v>
      </c>
      <c r="U14" s="278">
        <v>0</v>
      </c>
      <c r="V14" s="278">
        <v>-69585.452744955634</v>
      </c>
      <c r="W14" s="278">
        <v>-139170.90548991127</v>
      </c>
      <c r="X14" s="278">
        <v>-208756.35823486687</v>
      </c>
      <c r="Y14" s="278">
        <v>-278341.81097982253</v>
      </c>
      <c r="Z14" s="279">
        <v>-347927.2637247782</v>
      </c>
      <c r="AB14" s="282" t="str">
        <f t="shared" si="1"/>
        <v>7Y</v>
      </c>
      <c r="AC14" s="278">
        <f ca="1">IF(ABS(P14-C14)&gt;SnapshotTolerance,1,0)</f>
        <v>0</v>
      </c>
      <c r="AD14" s="278">
        <f ca="1">IF(ABS(Q14-D14)&gt;SnapshotTolerance,1,0)</f>
        <v>0</v>
      </c>
      <c r="AE14" s="278">
        <f ca="1">IF(ABS(R14-E14)&gt;SnapshotTolerance,1,0)</f>
        <v>0</v>
      </c>
      <c r="AF14" s="278">
        <f ca="1">IF(ABS(S14-F14)&gt;SnapshotTolerance,1,0)</f>
        <v>0</v>
      </c>
      <c r="AG14" s="278">
        <f ca="1">IF(ABS(T14-G14)&gt;SnapshotTolerance,1,0)</f>
        <v>0</v>
      </c>
      <c r="AH14" s="278">
        <f ca="1">IF(ABS(U14-H14)&gt;SnapshotTolerance,1,0)</f>
        <v>0</v>
      </c>
      <c r="AI14" s="278">
        <f ca="1">IF(ABS(V14-I14)&gt;SnapshotTolerance,1,0)</f>
        <v>0</v>
      </c>
      <c r="AJ14" s="278">
        <f ca="1">IF(ABS(W14-J14)&gt;SnapshotTolerance,1,0)</f>
        <v>0</v>
      </c>
      <c r="AK14" s="278">
        <f ca="1">IF(ABS(X14-K14)&gt;SnapshotTolerance,1,0)</f>
        <v>0</v>
      </c>
      <c r="AL14" s="278">
        <f ca="1">IF(ABS(Y14-L14)&gt;SnapshotTolerance,1,0)</f>
        <v>0</v>
      </c>
      <c r="AM14" s="279">
        <f ca="1">IF(ABS(Z14-M14)&gt;SnapshotTolerance,1,0)</f>
        <v>0</v>
      </c>
    </row>
    <row r="15" spans="2:39">
      <c r="B15" s="282" t="str">
        <f>'JPY Swap PVs'!M9</f>
        <v>8Y</v>
      </c>
      <c r="C15" s="278">
        <f ca="1">'JPY Swap PVs'!N9</f>
        <v>396998.30049385119</v>
      </c>
      <c r="D15" s="278">
        <f ca="1">'JPY Swap PVs'!O9</f>
        <v>317598.64039508096</v>
      </c>
      <c r="E15" s="278">
        <f ca="1">'JPY Swap PVs'!P9</f>
        <v>238198.98029631071</v>
      </c>
      <c r="F15" s="278">
        <f ca="1">'JPY Swap PVs'!Q9</f>
        <v>158799.32019754045</v>
      </c>
      <c r="G15" s="278">
        <f ca="1">'JPY Swap PVs'!R9</f>
        <v>79399.660098770211</v>
      </c>
      <c r="H15" s="278">
        <f ca="1">'JPY Swap PVs'!S9</f>
        <v>0</v>
      </c>
      <c r="I15" s="278">
        <f ca="1">'JPY Swap PVs'!T9</f>
        <v>-79399.660098770226</v>
      </c>
      <c r="J15" s="278">
        <f ca="1">'JPY Swap PVs'!U9</f>
        <v>-158799.32019754051</v>
      </c>
      <c r="K15" s="278">
        <f ca="1">'JPY Swap PVs'!V9</f>
        <v>-238198.98029631071</v>
      </c>
      <c r="L15" s="278">
        <f ca="1">'JPY Swap PVs'!W9</f>
        <v>-317598.64039508096</v>
      </c>
      <c r="M15" s="279">
        <f ca="1">'JPY Swap PVs'!X9</f>
        <v>-396998.30049385119</v>
      </c>
      <c r="O15" s="282" t="s">
        <v>119</v>
      </c>
      <c r="P15" s="278">
        <v>396998.30049385119</v>
      </c>
      <c r="Q15" s="278">
        <v>317598.64039508096</v>
      </c>
      <c r="R15" s="278">
        <v>238198.98029631071</v>
      </c>
      <c r="S15" s="278">
        <v>158799.32019754045</v>
      </c>
      <c r="T15" s="278">
        <v>79399.660098770211</v>
      </c>
      <c r="U15" s="278">
        <v>0</v>
      </c>
      <c r="V15" s="278">
        <v>-79399.660098770226</v>
      </c>
      <c r="W15" s="278">
        <v>-158799.32019754051</v>
      </c>
      <c r="X15" s="278">
        <v>-238198.98029631071</v>
      </c>
      <c r="Y15" s="278">
        <v>-317598.64039508096</v>
      </c>
      <c r="Z15" s="279">
        <v>-396998.30049385119</v>
      </c>
      <c r="AB15" s="282" t="str">
        <f t="shared" si="1"/>
        <v>8Y</v>
      </c>
      <c r="AC15" s="278">
        <f ca="1">IF(ABS(P15-C15)&gt;SnapshotTolerance,1,0)</f>
        <v>0</v>
      </c>
      <c r="AD15" s="278">
        <f ca="1">IF(ABS(Q15-D15)&gt;SnapshotTolerance,1,0)</f>
        <v>0</v>
      </c>
      <c r="AE15" s="278">
        <f ca="1">IF(ABS(R15-E15)&gt;SnapshotTolerance,1,0)</f>
        <v>0</v>
      </c>
      <c r="AF15" s="278">
        <f ca="1">IF(ABS(S15-F15)&gt;SnapshotTolerance,1,0)</f>
        <v>0</v>
      </c>
      <c r="AG15" s="278">
        <f ca="1">IF(ABS(T15-G15)&gt;SnapshotTolerance,1,0)</f>
        <v>0</v>
      </c>
      <c r="AH15" s="278">
        <f ca="1">IF(ABS(U15-H15)&gt;SnapshotTolerance,1,0)</f>
        <v>0</v>
      </c>
      <c r="AI15" s="278">
        <f ca="1">IF(ABS(V15-I15)&gt;SnapshotTolerance,1,0)</f>
        <v>0</v>
      </c>
      <c r="AJ15" s="278">
        <f ca="1">IF(ABS(W15-J15)&gt;SnapshotTolerance,1,0)</f>
        <v>0</v>
      </c>
      <c r="AK15" s="278">
        <f ca="1">IF(ABS(X15-K15)&gt;SnapshotTolerance,1,0)</f>
        <v>0</v>
      </c>
      <c r="AL15" s="278">
        <f ca="1">IF(ABS(Y15-L15)&gt;SnapshotTolerance,1,0)</f>
        <v>0</v>
      </c>
      <c r="AM15" s="279">
        <f ca="1">IF(ABS(Z15-M15)&gt;SnapshotTolerance,1,0)</f>
        <v>0</v>
      </c>
    </row>
    <row r="16" spans="2:39">
      <c r="B16" s="282" t="str">
        <f>'JPY Swap PVs'!M10</f>
        <v>9Y</v>
      </c>
      <c r="C16" s="278">
        <f ca="1">'JPY Swap PVs'!N10</f>
        <v>445100.62572520418</v>
      </c>
      <c r="D16" s="278">
        <f ca="1">'JPY Swap PVs'!O10</f>
        <v>356080.50058016332</v>
      </c>
      <c r="E16" s="278">
        <f ca="1">'JPY Swap PVs'!P10</f>
        <v>267060.37543512246</v>
      </c>
      <c r="F16" s="278">
        <f ca="1">'JPY Swap PVs'!Q10</f>
        <v>178040.25029008163</v>
      </c>
      <c r="G16" s="278">
        <f ca="1">'JPY Swap PVs'!R10</f>
        <v>89020.125145040787</v>
      </c>
      <c r="H16" s="278">
        <f ca="1">'JPY Swap PVs'!S10</f>
        <v>0</v>
      </c>
      <c r="I16" s="278">
        <f ca="1">'JPY Swap PVs'!T10</f>
        <v>-89020.125145040831</v>
      </c>
      <c r="J16" s="278">
        <f ca="1">'JPY Swap PVs'!U10</f>
        <v>-178040.25029008169</v>
      </c>
      <c r="K16" s="278">
        <f ca="1">'JPY Swap PVs'!V10</f>
        <v>-267060.37543512246</v>
      </c>
      <c r="L16" s="278">
        <f ca="1">'JPY Swap PVs'!W10</f>
        <v>-356080.50058016332</v>
      </c>
      <c r="M16" s="279">
        <f ca="1">'JPY Swap PVs'!X10</f>
        <v>-445100.62572520413</v>
      </c>
      <c r="O16" s="282" t="s">
        <v>113</v>
      </c>
      <c r="P16" s="278">
        <v>445100.62572520418</v>
      </c>
      <c r="Q16" s="278">
        <v>356080.50058016332</v>
      </c>
      <c r="R16" s="278">
        <v>267060.37543512246</v>
      </c>
      <c r="S16" s="278">
        <v>178040.25029008163</v>
      </c>
      <c r="T16" s="278">
        <v>89020.125145040787</v>
      </c>
      <c r="U16" s="278">
        <v>0</v>
      </c>
      <c r="V16" s="278">
        <v>-89020.125145040831</v>
      </c>
      <c r="W16" s="278">
        <v>-178040.25029008169</v>
      </c>
      <c r="X16" s="278">
        <v>-267060.37543512246</v>
      </c>
      <c r="Y16" s="278">
        <v>-356080.50058016332</v>
      </c>
      <c r="Z16" s="279">
        <v>-445100.62572520413</v>
      </c>
      <c r="AB16" s="282" t="str">
        <f t="shared" si="1"/>
        <v>9Y</v>
      </c>
      <c r="AC16" s="278">
        <f ca="1">IF(ABS(P16-C16)&gt;SnapshotTolerance,1,0)</f>
        <v>0</v>
      </c>
      <c r="AD16" s="278">
        <f ca="1">IF(ABS(Q16-D16)&gt;SnapshotTolerance,1,0)</f>
        <v>0</v>
      </c>
      <c r="AE16" s="278">
        <f ca="1">IF(ABS(R16-E16)&gt;SnapshotTolerance,1,0)</f>
        <v>0</v>
      </c>
      <c r="AF16" s="278">
        <f ca="1">IF(ABS(S16-F16)&gt;SnapshotTolerance,1,0)</f>
        <v>0</v>
      </c>
      <c r="AG16" s="278">
        <f ca="1">IF(ABS(T16-G16)&gt;SnapshotTolerance,1,0)</f>
        <v>0</v>
      </c>
      <c r="AH16" s="278">
        <f ca="1">IF(ABS(U16-H16)&gt;SnapshotTolerance,1,0)</f>
        <v>0</v>
      </c>
      <c r="AI16" s="278">
        <f ca="1">IF(ABS(V16-I16)&gt;SnapshotTolerance,1,0)</f>
        <v>0</v>
      </c>
      <c r="AJ16" s="278">
        <f ca="1">IF(ABS(W16-J16)&gt;SnapshotTolerance,1,0)</f>
        <v>0</v>
      </c>
      <c r="AK16" s="278">
        <f ca="1">IF(ABS(X16-K16)&gt;SnapshotTolerance,1,0)</f>
        <v>0</v>
      </c>
      <c r="AL16" s="278">
        <f ca="1">IF(ABS(Y16-L16)&gt;SnapshotTolerance,1,0)</f>
        <v>0</v>
      </c>
      <c r="AM16" s="279">
        <f ca="1">IF(ABS(Z16-M16)&gt;SnapshotTolerance,1,0)</f>
        <v>0</v>
      </c>
    </row>
    <row r="17" spans="2:39">
      <c r="B17" s="282" t="str">
        <f>'JPY Swap PVs'!M11</f>
        <v>10Y</v>
      </c>
      <c r="C17" s="278">
        <f ca="1">'JPY Swap PVs'!N11</f>
        <v>492704.81837934424</v>
      </c>
      <c r="D17" s="278">
        <f ca="1">'JPY Swap PVs'!O11</f>
        <v>394163.85470347531</v>
      </c>
      <c r="E17" s="278">
        <f ca="1">'JPY Swap PVs'!P11</f>
        <v>295622.8910276065</v>
      </c>
      <c r="F17" s="278">
        <f ca="1">'JPY Swap PVs'!Q11</f>
        <v>197081.92735173763</v>
      </c>
      <c r="G17" s="278">
        <f ca="1">'JPY Swap PVs'!R11</f>
        <v>98540.963675868814</v>
      </c>
      <c r="H17" s="278">
        <f ca="1">'JPY Swap PVs'!S11</f>
        <v>0</v>
      </c>
      <c r="I17" s="278">
        <f ca="1">'JPY Swap PVs'!T11</f>
        <v>-98540.963675868828</v>
      </c>
      <c r="J17" s="278">
        <f ca="1">'JPY Swap PVs'!U11</f>
        <v>-197081.92735173769</v>
      </c>
      <c r="K17" s="278">
        <f ca="1">'JPY Swap PVs'!V11</f>
        <v>-295622.8910276065</v>
      </c>
      <c r="L17" s="278">
        <f ca="1">'JPY Swap PVs'!W11</f>
        <v>-394163.85470347543</v>
      </c>
      <c r="M17" s="279">
        <f ca="1">'JPY Swap PVs'!X11</f>
        <v>-492704.81837934413</v>
      </c>
      <c r="O17" s="282" t="s">
        <v>28</v>
      </c>
      <c r="P17" s="278">
        <v>492704.81837934424</v>
      </c>
      <c r="Q17" s="278">
        <v>394163.85470347531</v>
      </c>
      <c r="R17" s="278">
        <v>295622.8910276065</v>
      </c>
      <c r="S17" s="278">
        <v>197081.92735173763</v>
      </c>
      <c r="T17" s="278">
        <v>98540.963675868814</v>
      </c>
      <c r="U17" s="278">
        <v>0</v>
      </c>
      <c r="V17" s="278">
        <v>-98540.963675868828</v>
      </c>
      <c r="W17" s="278">
        <v>-197081.92735173769</v>
      </c>
      <c r="X17" s="278">
        <v>-295622.8910276065</v>
      </c>
      <c r="Y17" s="278">
        <v>-394163.85470347543</v>
      </c>
      <c r="Z17" s="279">
        <v>-492704.81837934413</v>
      </c>
      <c r="AB17" s="282" t="str">
        <f t="shared" si="1"/>
        <v>10Y</v>
      </c>
      <c r="AC17" s="278">
        <f ca="1">IF(ABS(P17-C17)&gt;SnapshotTolerance,1,0)</f>
        <v>0</v>
      </c>
      <c r="AD17" s="278">
        <f ca="1">IF(ABS(Q17-D17)&gt;SnapshotTolerance,1,0)</f>
        <v>0</v>
      </c>
      <c r="AE17" s="278">
        <f ca="1">IF(ABS(R17-E17)&gt;SnapshotTolerance,1,0)</f>
        <v>0</v>
      </c>
      <c r="AF17" s="278">
        <f ca="1">IF(ABS(S17-F17)&gt;SnapshotTolerance,1,0)</f>
        <v>0</v>
      </c>
      <c r="AG17" s="278">
        <f ca="1">IF(ABS(T17-G17)&gt;SnapshotTolerance,1,0)</f>
        <v>0</v>
      </c>
      <c r="AH17" s="278">
        <f ca="1">IF(ABS(U17-H17)&gt;SnapshotTolerance,1,0)</f>
        <v>0</v>
      </c>
      <c r="AI17" s="278">
        <f ca="1">IF(ABS(V17-I17)&gt;SnapshotTolerance,1,0)</f>
        <v>0</v>
      </c>
      <c r="AJ17" s="278">
        <f ca="1">IF(ABS(W17-J17)&gt;SnapshotTolerance,1,0)</f>
        <v>0</v>
      </c>
      <c r="AK17" s="278">
        <f ca="1">IF(ABS(X17-K17)&gt;SnapshotTolerance,1,0)</f>
        <v>0</v>
      </c>
      <c r="AL17" s="278">
        <f ca="1">IF(ABS(Y17-L17)&gt;SnapshotTolerance,1,0)</f>
        <v>0</v>
      </c>
      <c r="AM17" s="279">
        <f ca="1">IF(ABS(Z17-M17)&gt;SnapshotTolerance,1,0)</f>
        <v>0</v>
      </c>
    </row>
    <row r="18" spans="2:39">
      <c r="B18" s="282" t="str">
        <f>'JPY Swap PVs'!M12</f>
        <v>12Y</v>
      </c>
      <c r="C18" s="278">
        <f ca="1">'JPY Swap PVs'!N12</f>
        <v>586427.41626273922</v>
      </c>
      <c r="D18" s="278">
        <f ca="1">'JPY Swap PVs'!O12</f>
        <v>469141.93301019131</v>
      </c>
      <c r="E18" s="278">
        <f ca="1">'JPY Swap PVs'!P12</f>
        <v>351856.44975764345</v>
      </c>
      <c r="F18" s="278">
        <f ca="1">'JPY Swap PVs'!Q12</f>
        <v>234570.96650509562</v>
      </c>
      <c r="G18" s="278">
        <f ca="1">'JPY Swap PVs'!R12</f>
        <v>117285.48325254778</v>
      </c>
      <c r="H18" s="278">
        <f ca="1">'JPY Swap PVs'!S12</f>
        <v>0</v>
      </c>
      <c r="I18" s="278">
        <f ca="1">'JPY Swap PVs'!T12</f>
        <v>-117285.48325254784</v>
      </c>
      <c r="J18" s="278">
        <f ca="1">'JPY Swap PVs'!U12</f>
        <v>-234570.96650509568</v>
      </c>
      <c r="K18" s="278">
        <f ca="1">'JPY Swap PVs'!V12</f>
        <v>-351856.44975764351</v>
      </c>
      <c r="L18" s="278">
        <f ca="1">'JPY Swap PVs'!W12</f>
        <v>-469141.93301019131</v>
      </c>
      <c r="M18" s="279">
        <f ca="1">'JPY Swap PVs'!X12</f>
        <v>-586427.41626273922</v>
      </c>
      <c r="O18" s="282" t="s">
        <v>26</v>
      </c>
      <c r="P18" s="278">
        <v>586427.41626273922</v>
      </c>
      <c r="Q18" s="278">
        <v>469141.93301019131</v>
      </c>
      <c r="R18" s="278">
        <v>351856.44975764345</v>
      </c>
      <c r="S18" s="278">
        <v>234570.96650509562</v>
      </c>
      <c r="T18" s="278">
        <v>117285.48325254778</v>
      </c>
      <c r="U18" s="278">
        <v>0</v>
      </c>
      <c r="V18" s="278">
        <v>-117285.48325254784</v>
      </c>
      <c r="W18" s="278">
        <v>-234570.96650509568</v>
      </c>
      <c r="X18" s="278">
        <v>-351856.44975764351</v>
      </c>
      <c r="Y18" s="278">
        <v>-469141.93301019131</v>
      </c>
      <c r="Z18" s="279">
        <v>-586427.41626273922</v>
      </c>
      <c r="AB18" s="282" t="str">
        <f t="shared" si="1"/>
        <v>12Y</v>
      </c>
      <c r="AC18" s="278">
        <f ca="1">IF(ABS(P18-C18)&gt;SnapshotTolerance,1,0)</f>
        <v>0</v>
      </c>
      <c r="AD18" s="278">
        <f ca="1">IF(ABS(Q18-D18)&gt;SnapshotTolerance,1,0)</f>
        <v>0</v>
      </c>
      <c r="AE18" s="278">
        <f ca="1">IF(ABS(R18-E18)&gt;SnapshotTolerance,1,0)</f>
        <v>0</v>
      </c>
      <c r="AF18" s="278">
        <f ca="1">IF(ABS(S18-F18)&gt;SnapshotTolerance,1,0)</f>
        <v>0</v>
      </c>
      <c r="AG18" s="278">
        <f ca="1">IF(ABS(T18-G18)&gt;SnapshotTolerance,1,0)</f>
        <v>0</v>
      </c>
      <c r="AH18" s="278">
        <f ca="1">IF(ABS(U18-H18)&gt;SnapshotTolerance,1,0)</f>
        <v>0</v>
      </c>
      <c r="AI18" s="278">
        <f ca="1">IF(ABS(V18-I18)&gt;SnapshotTolerance,1,0)</f>
        <v>0</v>
      </c>
      <c r="AJ18" s="278">
        <f ca="1">IF(ABS(W18-J18)&gt;SnapshotTolerance,1,0)</f>
        <v>0</v>
      </c>
      <c r="AK18" s="278">
        <f ca="1">IF(ABS(X18-K18)&gt;SnapshotTolerance,1,0)</f>
        <v>0</v>
      </c>
      <c r="AL18" s="278">
        <f ca="1">IF(ABS(Y18-L18)&gt;SnapshotTolerance,1,0)</f>
        <v>0</v>
      </c>
      <c r="AM18" s="279">
        <f ca="1">IF(ABS(Z18-M18)&gt;SnapshotTolerance,1,0)</f>
        <v>0</v>
      </c>
    </row>
    <row r="19" spans="2:39">
      <c r="B19" s="282" t="str">
        <f>'JPY Swap PVs'!M13</f>
        <v>15Y</v>
      </c>
      <c r="C19" s="278">
        <f ca="1">'JPY Swap PVs'!N13</f>
        <v>721861.46365523851</v>
      </c>
      <c r="D19" s="278">
        <f ca="1">'JPY Swap PVs'!O13</f>
        <v>577489.17092419066</v>
      </c>
      <c r="E19" s="278">
        <f ca="1">'JPY Swap PVs'!P13</f>
        <v>433116.87819314306</v>
      </c>
      <c r="F19" s="278">
        <f ca="1">'JPY Swap PVs'!Q13</f>
        <v>288744.58546209533</v>
      </c>
      <c r="G19" s="278">
        <f ca="1">'JPY Swap PVs'!R13</f>
        <v>144372.29273104767</v>
      </c>
      <c r="H19" s="278">
        <f ca="1">'JPY Swap PVs'!S13</f>
        <v>0</v>
      </c>
      <c r="I19" s="278">
        <f ca="1">'JPY Swap PVs'!T13</f>
        <v>-144372.29273104767</v>
      </c>
      <c r="J19" s="278">
        <f ca="1">'JPY Swap PVs'!U13</f>
        <v>-288744.58546209533</v>
      </c>
      <c r="K19" s="278">
        <f ca="1">'JPY Swap PVs'!V13</f>
        <v>-433116.87819314294</v>
      </c>
      <c r="L19" s="278">
        <f ca="1">'JPY Swap PVs'!W13</f>
        <v>-577489.17092419066</v>
      </c>
      <c r="M19" s="279">
        <f ca="1">'JPY Swap PVs'!X13</f>
        <v>-721861.46365523827</v>
      </c>
      <c r="O19" s="282" t="s">
        <v>24</v>
      </c>
      <c r="P19" s="278">
        <v>721861.46365523851</v>
      </c>
      <c r="Q19" s="278">
        <v>577489.17092419066</v>
      </c>
      <c r="R19" s="278">
        <v>433116.87819314306</v>
      </c>
      <c r="S19" s="278">
        <v>288744.58546209533</v>
      </c>
      <c r="T19" s="278">
        <v>144372.29273104767</v>
      </c>
      <c r="U19" s="278">
        <v>0</v>
      </c>
      <c r="V19" s="278">
        <v>-144372.29273104767</v>
      </c>
      <c r="W19" s="278">
        <v>-288744.58546209533</v>
      </c>
      <c r="X19" s="278">
        <v>-433116.87819314294</v>
      </c>
      <c r="Y19" s="278">
        <v>-577489.17092419066</v>
      </c>
      <c r="Z19" s="279">
        <v>-721861.46365523827</v>
      </c>
      <c r="AB19" s="282" t="str">
        <f t="shared" si="1"/>
        <v>15Y</v>
      </c>
      <c r="AC19" s="278">
        <f ca="1">IF(ABS(P19-C19)&gt;SnapshotTolerance,1,0)</f>
        <v>0</v>
      </c>
      <c r="AD19" s="278">
        <f ca="1">IF(ABS(Q19-D19)&gt;SnapshotTolerance,1,0)</f>
        <v>0</v>
      </c>
      <c r="AE19" s="278">
        <f ca="1">IF(ABS(R19-E19)&gt;SnapshotTolerance,1,0)</f>
        <v>0</v>
      </c>
      <c r="AF19" s="278">
        <f ca="1">IF(ABS(S19-F19)&gt;SnapshotTolerance,1,0)</f>
        <v>0</v>
      </c>
      <c r="AG19" s="278">
        <f ca="1">IF(ABS(T19-G19)&gt;SnapshotTolerance,1,0)</f>
        <v>0</v>
      </c>
      <c r="AH19" s="278">
        <f ca="1">IF(ABS(U19-H19)&gt;SnapshotTolerance,1,0)</f>
        <v>0</v>
      </c>
      <c r="AI19" s="278">
        <f ca="1">IF(ABS(V19-I19)&gt;SnapshotTolerance,1,0)</f>
        <v>0</v>
      </c>
      <c r="AJ19" s="278">
        <f ca="1">IF(ABS(W19-J19)&gt;SnapshotTolerance,1,0)</f>
        <v>0</v>
      </c>
      <c r="AK19" s="278">
        <f ca="1">IF(ABS(X19-K19)&gt;SnapshotTolerance,1,0)</f>
        <v>0</v>
      </c>
      <c r="AL19" s="278">
        <f ca="1">IF(ABS(Y19-L19)&gt;SnapshotTolerance,1,0)</f>
        <v>0</v>
      </c>
      <c r="AM19" s="279">
        <f ca="1">IF(ABS(Z19-M19)&gt;SnapshotTolerance,1,0)</f>
        <v>0</v>
      </c>
    </row>
    <row r="20" spans="2:39">
      <c r="B20" s="282" t="str">
        <f>'JPY Swap PVs'!M14</f>
        <v>20Y</v>
      </c>
      <c r="C20" s="278">
        <f ca="1">'JPY Swap PVs'!N14</f>
        <v>930300.79110236035</v>
      </c>
      <c r="D20" s="278">
        <f ca="1">'JPY Swap PVs'!O14</f>
        <v>744240.63288188819</v>
      </c>
      <c r="E20" s="278">
        <f ca="1">'JPY Swap PVs'!P14</f>
        <v>558180.47466141602</v>
      </c>
      <c r="F20" s="278">
        <f ca="1">'JPY Swap PVs'!Q14</f>
        <v>372120.31644094404</v>
      </c>
      <c r="G20" s="278">
        <f ca="1">'JPY Swap PVs'!R14</f>
        <v>186060.15822047199</v>
      </c>
      <c r="H20" s="278">
        <f ca="1">'JPY Swap PVs'!S14</f>
        <v>0</v>
      </c>
      <c r="I20" s="278">
        <f ca="1">'JPY Swap PVs'!T14</f>
        <v>-186060.15822047211</v>
      </c>
      <c r="J20" s="278">
        <f ca="1">'JPY Swap PVs'!U14</f>
        <v>-372120.31644094409</v>
      </c>
      <c r="K20" s="278">
        <f ca="1">'JPY Swap PVs'!V14</f>
        <v>-558180.47466141614</v>
      </c>
      <c r="L20" s="278">
        <f ca="1">'JPY Swap PVs'!W14</f>
        <v>-744240.63288188819</v>
      </c>
      <c r="M20" s="279">
        <f ca="1">'JPY Swap PVs'!X14</f>
        <v>-930300.79110236024</v>
      </c>
      <c r="O20" s="282" t="s">
        <v>20</v>
      </c>
      <c r="P20" s="278">
        <v>930300.79110236035</v>
      </c>
      <c r="Q20" s="278">
        <v>744240.63288188819</v>
      </c>
      <c r="R20" s="278">
        <v>558180.47466141602</v>
      </c>
      <c r="S20" s="278">
        <v>372120.31644094404</v>
      </c>
      <c r="T20" s="278">
        <v>186060.15822047199</v>
      </c>
      <c r="U20" s="278">
        <v>0</v>
      </c>
      <c r="V20" s="278">
        <v>-186060.15822047211</v>
      </c>
      <c r="W20" s="278">
        <v>-372120.31644094409</v>
      </c>
      <c r="X20" s="278">
        <v>-558180.47466141614</v>
      </c>
      <c r="Y20" s="278">
        <v>-744240.63288188819</v>
      </c>
      <c r="Z20" s="279">
        <v>-930300.79110236024</v>
      </c>
      <c r="AB20" s="282" t="str">
        <f t="shared" si="1"/>
        <v>20Y</v>
      </c>
      <c r="AC20" s="278">
        <f ca="1">IF(ABS(P20-C20)&gt;SnapshotTolerance,1,0)</f>
        <v>0</v>
      </c>
      <c r="AD20" s="278">
        <f ca="1">IF(ABS(Q20-D20)&gt;SnapshotTolerance,1,0)</f>
        <v>0</v>
      </c>
      <c r="AE20" s="278">
        <f ca="1">IF(ABS(R20-E20)&gt;SnapshotTolerance,1,0)</f>
        <v>0</v>
      </c>
      <c r="AF20" s="278">
        <f ca="1">IF(ABS(S20-F20)&gt;SnapshotTolerance,1,0)</f>
        <v>0</v>
      </c>
      <c r="AG20" s="278">
        <f ca="1">IF(ABS(T20-G20)&gt;SnapshotTolerance,1,0)</f>
        <v>0</v>
      </c>
      <c r="AH20" s="278">
        <f ca="1">IF(ABS(U20-H20)&gt;SnapshotTolerance,1,0)</f>
        <v>0</v>
      </c>
      <c r="AI20" s="278">
        <f ca="1">IF(ABS(V20-I20)&gt;SnapshotTolerance,1,0)</f>
        <v>0</v>
      </c>
      <c r="AJ20" s="278">
        <f ca="1">IF(ABS(W20-J20)&gt;SnapshotTolerance,1,0)</f>
        <v>0</v>
      </c>
      <c r="AK20" s="278">
        <f ca="1">IF(ABS(X20-K20)&gt;SnapshotTolerance,1,0)</f>
        <v>0</v>
      </c>
      <c r="AL20" s="278">
        <f ca="1">IF(ABS(Y20-L20)&gt;SnapshotTolerance,1,0)</f>
        <v>0</v>
      </c>
      <c r="AM20" s="279">
        <f ca="1">IF(ABS(Z20-M20)&gt;SnapshotTolerance,1,0)</f>
        <v>0</v>
      </c>
    </row>
    <row r="21" spans="2:39">
      <c r="B21" s="282" t="str">
        <f>'JPY Swap PVs'!M15</f>
        <v>25Y</v>
      </c>
      <c r="C21" s="278">
        <f ca="1">'JPY Swap PVs'!N15</f>
        <v>1118749.5923696093</v>
      </c>
      <c r="D21" s="278">
        <f ca="1">'JPY Swap PVs'!O15</f>
        <v>894999.67389568756</v>
      </c>
      <c r="E21" s="278">
        <f ca="1">'JPY Swap PVs'!P15</f>
        <v>671249.75542176561</v>
      </c>
      <c r="F21" s="278">
        <f ca="1">'JPY Swap PVs'!Q15</f>
        <v>447499.83694784367</v>
      </c>
      <c r="G21" s="278">
        <f ca="1">'JPY Swap PVs'!R15</f>
        <v>223749.91847392177</v>
      </c>
      <c r="H21" s="278">
        <f ca="1">'JPY Swap PVs'!S15</f>
        <v>0</v>
      </c>
      <c r="I21" s="278">
        <f ca="1">'JPY Swap PVs'!T15</f>
        <v>-223749.91847392195</v>
      </c>
      <c r="J21" s="278">
        <f ca="1">'JPY Swap PVs'!U15</f>
        <v>-447499.83694784372</v>
      </c>
      <c r="K21" s="278">
        <f ca="1">'JPY Swap PVs'!V15</f>
        <v>-671249.75542176561</v>
      </c>
      <c r="L21" s="278">
        <f ca="1">'JPY Swap PVs'!W15</f>
        <v>-894999.67389568756</v>
      </c>
      <c r="M21" s="279">
        <f ca="1">'JPY Swap PVs'!X15</f>
        <v>-1118749.5923696093</v>
      </c>
      <c r="O21" s="282" t="s">
        <v>18</v>
      </c>
      <c r="P21" s="278">
        <v>1118749.5923696093</v>
      </c>
      <c r="Q21" s="278">
        <v>894999.67389568756</v>
      </c>
      <c r="R21" s="278">
        <v>671249.75542176561</v>
      </c>
      <c r="S21" s="278">
        <v>447499.83694784367</v>
      </c>
      <c r="T21" s="278">
        <v>223749.91847392177</v>
      </c>
      <c r="U21" s="278">
        <v>0</v>
      </c>
      <c r="V21" s="278">
        <v>-223749.91847392195</v>
      </c>
      <c r="W21" s="278">
        <v>-447499.83694784372</v>
      </c>
      <c r="X21" s="278">
        <v>-671249.75542176561</v>
      </c>
      <c r="Y21" s="278">
        <v>-894999.67389568756</v>
      </c>
      <c r="Z21" s="279">
        <v>-1118749.5923696093</v>
      </c>
      <c r="AB21" s="282" t="str">
        <f t="shared" si="1"/>
        <v>25Y</v>
      </c>
      <c r="AC21" s="278">
        <f ca="1">IF(ABS(P21-C21)&gt;SnapshotTolerance,1,0)</f>
        <v>0</v>
      </c>
      <c r="AD21" s="278">
        <f ca="1">IF(ABS(Q21-D21)&gt;SnapshotTolerance,1,0)</f>
        <v>0</v>
      </c>
      <c r="AE21" s="278">
        <f ca="1">IF(ABS(R21-E21)&gt;SnapshotTolerance,1,0)</f>
        <v>0</v>
      </c>
      <c r="AF21" s="278">
        <f ca="1">IF(ABS(S21-F21)&gt;SnapshotTolerance,1,0)</f>
        <v>0</v>
      </c>
      <c r="AG21" s="278">
        <f ca="1">IF(ABS(T21-G21)&gt;SnapshotTolerance,1,0)</f>
        <v>0</v>
      </c>
      <c r="AH21" s="278">
        <f ca="1">IF(ABS(U21-H21)&gt;SnapshotTolerance,1,0)</f>
        <v>0</v>
      </c>
      <c r="AI21" s="278">
        <f ca="1">IF(ABS(V21-I21)&gt;SnapshotTolerance,1,0)</f>
        <v>0</v>
      </c>
      <c r="AJ21" s="278">
        <f ca="1">IF(ABS(W21-J21)&gt;SnapshotTolerance,1,0)</f>
        <v>0</v>
      </c>
      <c r="AK21" s="278">
        <f ca="1">IF(ABS(X21-K21)&gt;SnapshotTolerance,1,0)</f>
        <v>0</v>
      </c>
      <c r="AL21" s="278">
        <f ca="1">IF(ABS(Y21-L21)&gt;SnapshotTolerance,1,0)</f>
        <v>0</v>
      </c>
      <c r="AM21" s="279">
        <f ca="1">IF(ABS(Z21-M21)&gt;SnapshotTolerance,1,0)</f>
        <v>0</v>
      </c>
    </row>
    <row r="22" spans="2:39">
      <c r="B22" s="282" t="str">
        <f>'JPY Swap PVs'!M16</f>
        <v>30Y</v>
      </c>
      <c r="C22" s="278">
        <f ca="1">'JPY Swap PVs'!N16</f>
        <v>1290632.4929388375</v>
      </c>
      <c r="D22" s="278">
        <f ca="1">'JPY Swap PVs'!O16</f>
        <v>1032505.9943510699</v>
      </c>
      <c r="E22" s="278">
        <f ca="1">'JPY Swap PVs'!P16</f>
        <v>774379.49576330232</v>
      </c>
      <c r="F22" s="278">
        <f ca="1">'JPY Swap PVs'!Q16</f>
        <v>516252.99717553484</v>
      </c>
      <c r="G22" s="278">
        <f ca="1">'JPY Swap PVs'!R16</f>
        <v>258126.49858776736</v>
      </c>
      <c r="H22" s="278">
        <f ca="1">'JPY Swap PVs'!S16</f>
        <v>0</v>
      </c>
      <c r="I22" s="278">
        <f ca="1">'JPY Swap PVs'!T16</f>
        <v>-258126.49858776754</v>
      </c>
      <c r="J22" s="278">
        <f ca="1">'JPY Swap PVs'!U16</f>
        <v>-516252.99717553495</v>
      </c>
      <c r="K22" s="278">
        <f ca="1">'JPY Swap PVs'!V16</f>
        <v>-774379.49576330255</v>
      </c>
      <c r="L22" s="278">
        <f ca="1">'JPY Swap PVs'!W16</f>
        <v>-1032505.9943510699</v>
      </c>
      <c r="M22" s="279">
        <f ca="1">'JPY Swap PVs'!X16</f>
        <v>-1290632.4929388377</v>
      </c>
      <c r="O22" s="282" t="s">
        <v>17</v>
      </c>
      <c r="P22" s="278">
        <v>1290632.4929388375</v>
      </c>
      <c r="Q22" s="278">
        <v>1032505.9943510699</v>
      </c>
      <c r="R22" s="278">
        <v>774379.49576330232</v>
      </c>
      <c r="S22" s="278">
        <v>516252.99717553484</v>
      </c>
      <c r="T22" s="278">
        <v>258126.49858776736</v>
      </c>
      <c r="U22" s="278">
        <v>0</v>
      </c>
      <c r="V22" s="278">
        <v>-258126.49858776754</v>
      </c>
      <c r="W22" s="278">
        <v>-516252.99717553495</v>
      </c>
      <c r="X22" s="278">
        <v>-774379.49576330255</v>
      </c>
      <c r="Y22" s="278">
        <v>-1032505.9943510699</v>
      </c>
      <c r="Z22" s="279">
        <v>-1290632.4929388377</v>
      </c>
      <c r="AB22" s="282" t="str">
        <f t="shared" si="1"/>
        <v>30Y</v>
      </c>
      <c r="AC22" s="278">
        <f ca="1">IF(ABS(P22-C22)&gt;SnapshotTolerance,1,0)</f>
        <v>0</v>
      </c>
      <c r="AD22" s="278">
        <f ca="1">IF(ABS(Q22-D22)&gt;SnapshotTolerance,1,0)</f>
        <v>0</v>
      </c>
      <c r="AE22" s="278">
        <f ca="1">IF(ABS(R22-E22)&gt;SnapshotTolerance,1,0)</f>
        <v>0</v>
      </c>
      <c r="AF22" s="278">
        <f ca="1">IF(ABS(S22-F22)&gt;SnapshotTolerance,1,0)</f>
        <v>0</v>
      </c>
      <c r="AG22" s="278">
        <f ca="1">IF(ABS(T22-G22)&gt;SnapshotTolerance,1,0)</f>
        <v>0</v>
      </c>
      <c r="AH22" s="278">
        <f ca="1">IF(ABS(U22-H22)&gt;SnapshotTolerance,1,0)</f>
        <v>0</v>
      </c>
      <c r="AI22" s="278">
        <f ca="1">IF(ABS(V22-I22)&gt;SnapshotTolerance,1,0)</f>
        <v>0</v>
      </c>
      <c r="AJ22" s="278">
        <f ca="1">IF(ABS(W22-J22)&gt;SnapshotTolerance,1,0)</f>
        <v>0</v>
      </c>
      <c r="AK22" s="278">
        <f ca="1">IF(ABS(X22-K22)&gt;SnapshotTolerance,1,0)</f>
        <v>0</v>
      </c>
      <c r="AL22" s="278">
        <f ca="1">IF(ABS(Y22-L22)&gt;SnapshotTolerance,1,0)</f>
        <v>0</v>
      </c>
      <c r="AM22" s="279">
        <f ca="1">IF(ABS(Z22-M22)&gt;SnapshotTolerance,1,0)</f>
        <v>0</v>
      </c>
    </row>
    <row r="23" spans="2:39">
      <c r="B23" s="282" t="str">
        <f>'JPY Swap PVs'!M17</f>
        <v>35Y</v>
      </c>
      <c r="C23" s="278">
        <f ca="1">'JPY Swap PVs'!N17</f>
        <v>1446702.4249023667</v>
      </c>
      <c r="D23" s="278">
        <f ca="1">'JPY Swap PVs'!O17</f>
        <v>1157361.9399218934</v>
      </c>
      <c r="E23" s="278">
        <f ca="1">'JPY Swap PVs'!P17</f>
        <v>868021.45494142</v>
      </c>
      <c r="F23" s="278">
        <f ca="1">'JPY Swap PVs'!Q17</f>
        <v>578680.96996094659</v>
      </c>
      <c r="G23" s="278">
        <f ca="1">'JPY Swap PVs'!R17</f>
        <v>289340.48498047329</v>
      </c>
      <c r="H23" s="278">
        <f ca="1">'JPY Swap PVs'!S17</f>
        <v>0</v>
      </c>
      <c r="I23" s="278">
        <f ca="1">'JPY Swap PVs'!T17</f>
        <v>-289340.48498047335</v>
      </c>
      <c r="J23" s="278">
        <f ca="1">'JPY Swap PVs'!U17</f>
        <v>-578680.96996094659</v>
      </c>
      <c r="K23" s="278">
        <f ca="1">'JPY Swap PVs'!V17</f>
        <v>-868021.45494142</v>
      </c>
      <c r="L23" s="278">
        <f ca="1">'JPY Swap PVs'!W17</f>
        <v>-1157361.9399218934</v>
      </c>
      <c r="M23" s="279">
        <f ca="1">'JPY Swap PVs'!X17</f>
        <v>-1446702.4249023665</v>
      </c>
      <c r="O23" s="282" t="s">
        <v>16</v>
      </c>
      <c r="P23" s="278">
        <v>1446702.4249023667</v>
      </c>
      <c r="Q23" s="278">
        <v>1157361.9399218934</v>
      </c>
      <c r="R23" s="278">
        <v>868021.45494142</v>
      </c>
      <c r="S23" s="278">
        <v>578680.96996094659</v>
      </c>
      <c r="T23" s="278">
        <v>289340.48498047329</v>
      </c>
      <c r="U23" s="278">
        <v>0</v>
      </c>
      <c r="V23" s="278">
        <v>-289340.48498047335</v>
      </c>
      <c r="W23" s="278">
        <v>-578680.96996094659</v>
      </c>
      <c r="X23" s="278">
        <v>-868021.45494142</v>
      </c>
      <c r="Y23" s="278">
        <v>-1157361.9399218934</v>
      </c>
      <c r="Z23" s="279">
        <v>-1446702.4249023665</v>
      </c>
      <c r="AB23" s="282" t="str">
        <f t="shared" si="1"/>
        <v>35Y</v>
      </c>
      <c r="AC23" s="278">
        <f ca="1">IF(ABS(P23-C23)&gt;SnapshotTolerance,1,0)</f>
        <v>0</v>
      </c>
      <c r="AD23" s="278">
        <f ca="1">IF(ABS(Q23-D23)&gt;SnapshotTolerance,1,0)</f>
        <v>0</v>
      </c>
      <c r="AE23" s="278">
        <f ca="1">IF(ABS(R23-E23)&gt;SnapshotTolerance,1,0)</f>
        <v>0</v>
      </c>
      <c r="AF23" s="278">
        <f ca="1">IF(ABS(S23-F23)&gt;SnapshotTolerance,1,0)</f>
        <v>0</v>
      </c>
      <c r="AG23" s="278">
        <f ca="1">IF(ABS(T23-G23)&gt;SnapshotTolerance,1,0)</f>
        <v>0</v>
      </c>
      <c r="AH23" s="278">
        <f ca="1">IF(ABS(U23-H23)&gt;SnapshotTolerance,1,0)</f>
        <v>0</v>
      </c>
      <c r="AI23" s="278">
        <f ca="1">IF(ABS(V23-I23)&gt;SnapshotTolerance,1,0)</f>
        <v>0</v>
      </c>
      <c r="AJ23" s="278">
        <f ca="1">IF(ABS(W23-J23)&gt;SnapshotTolerance,1,0)</f>
        <v>0</v>
      </c>
      <c r="AK23" s="278">
        <f ca="1">IF(ABS(X23-K23)&gt;SnapshotTolerance,1,0)</f>
        <v>0</v>
      </c>
      <c r="AL23" s="278">
        <f ca="1">IF(ABS(Y23-L23)&gt;SnapshotTolerance,1,0)</f>
        <v>0</v>
      </c>
      <c r="AM23" s="279">
        <f ca="1">IF(ABS(Z23-M23)&gt;SnapshotTolerance,1,0)</f>
        <v>0</v>
      </c>
    </row>
    <row r="24" spans="2:39">
      <c r="B24" s="282" t="str">
        <f>'JPY Swap PVs'!M18</f>
        <v>40Y</v>
      </c>
      <c r="C24" s="278">
        <f ca="1">'JPY Swap PVs'!N18</f>
        <v>1588249.3628229061</v>
      </c>
      <c r="D24" s="278">
        <f ca="1">'JPY Swap PVs'!O18</f>
        <v>1270599.4902583249</v>
      </c>
      <c r="E24" s="278">
        <f ca="1">'JPY Swap PVs'!P18</f>
        <v>952949.61769374367</v>
      </c>
      <c r="F24" s="278">
        <f ca="1">'JPY Swap PVs'!Q18</f>
        <v>635299.74512916233</v>
      </c>
      <c r="G24" s="278">
        <f ca="1">'JPY Swap PVs'!R18</f>
        <v>317649.87256458111</v>
      </c>
      <c r="H24" s="278">
        <f ca="1">'JPY Swap PVs'!S18</f>
        <v>0</v>
      </c>
      <c r="I24" s="278">
        <f ca="1">'JPY Swap PVs'!T18</f>
        <v>-317649.87256458134</v>
      </c>
      <c r="J24" s="278">
        <f ca="1">'JPY Swap PVs'!U18</f>
        <v>-635299.74512916245</v>
      </c>
      <c r="K24" s="278">
        <f ca="1">'JPY Swap PVs'!V18</f>
        <v>-952949.61769374378</v>
      </c>
      <c r="L24" s="278">
        <f ca="1">'JPY Swap PVs'!W18</f>
        <v>-1270599.4902583251</v>
      </c>
      <c r="M24" s="279">
        <f ca="1">'JPY Swap PVs'!X18</f>
        <v>-1588249.3628229066</v>
      </c>
      <c r="O24" s="282" t="s">
        <v>15</v>
      </c>
      <c r="P24" s="278">
        <v>1588249.3628229061</v>
      </c>
      <c r="Q24" s="278">
        <v>1270599.4902583249</v>
      </c>
      <c r="R24" s="278">
        <v>952949.61769374367</v>
      </c>
      <c r="S24" s="278">
        <v>635299.74512916233</v>
      </c>
      <c r="T24" s="278">
        <v>317649.87256458111</v>
      </c>
      <c r="U24" s="278">
        <v>0</v>
      </c>
      <c r="V24" s="278">
        <v>-317649.87256458134</v>
      </c>
      <c r="W24" s="278">
        <v>-635299.74512916245</v>
      </c>
      <c r="X24" s="278">
        <v>-952949.61769374378</v>
      </c>
      <c r="Y24" s="278">
        <v>-1270599.4902583251</v>
      </c>
      <c r="Z24" s="279">
        <v>-1588249.3628229066</v>
      </c>
      <c r="AB24" s="282" t="str">
        <f t="shared" si="1"/>
        <v>40Y</v>
      </c>
      <c r="AC24" s="278">
        <f ca="1">IF(ABS(P24-C24)&gt;SnapshotTolerance,1,0)</f>
        <v>0</v>
      </c>
      <c r="AD24" s="278">
        <f ca="1">IF(ABS(Q24-D24)&gt;SnapshotTolerance,1,0)</f>
        <v>0</v>
      </c>
      <c r="AE24" s="278">
        <f ca="1">IF(ABS(R24-E24)&gt;SnapshotTolerance,1,0)</f>
        <v>0</v>
      </c>
      <c r="AF24" s="278">
        <f ca="1">IF(ABS(S24-F24)&gt;SnapshotTolerance,1,0)</f>
        <v>0</v>
      </c>
      <c r="AG24" s="278">
        <f ca="1">IF(ABS(T24-G24)&gt;SnapshotTolerance,1,0)</f>
        <v>0</v>
      </c>
      <c r="AH24" s="278">
        <f ca="1">IF(ABS(U24-H24)&gt;SnapshotTolerance,1,0)</f>
        <v>0</v>
      </c>
      <c r="AI24" s="278">
        <f ca="1">IF(ABS(V24-I24)&gt;SnapshotTolerance,1,0)</f>
        <v>0</v>
      </c>
      <c r="AJ24" s="278">
        <f ca="1">IF(ABS(W24-J24)&gt;SnapshotTolerance,1,0)</f>
        <v>0</v>
      </c>
      <c r="AK24" s="278">
        <f ca="1">IF(ABS(X24-K24)&gt;SnapshotTolerance,1,0)</f>
        <v>0</v>
      </c>
      <c r="AL24" s="278">
        <f ca="1">IF(ABS(Y24-L24)&gt;SnapshotTolerance,1,0)</f>
        <v>0</v>
      </c>
      <c r="AM24" s="279">
        <f ca="1">IF(ABS(Z24-M24)&gt;SnapshotTolerance,1,0)</f>
        <v>0</v>
      </c>
    </row>
    <row r="25" spans="2:39">
      <c r="B25" s="282"/>
      <c r="C25" s="278"/>
      <c r="D25" s="278"/>
      <c r="E25" s="278"/>
      <c r="F25" s="278"/>
      <c r="G25" s="278"/>
      <c r="H25" s="278"/>
      <c r="I25" s="278"/>
      <c r="J25" s="278"/>
      <c r="K25" s="278"/>
      <c r="L25" s="278"/>
      <c r="M25" s="279"/>
      <c r="O25" s="282"/>
      <c r="P25" s="278"/>
      <c r="Q25" s="278"/>
      <c r="R25" s="278"/>
      <c r="S25" s="278"/>
      <c r="T25" s="278"/>
      <c r="U25" s="278"/>
      <c r="V25" s="278"/>
      <c r="W25" s="278"/>
      <c r="X25" s="278"/>
      <c r="Y25" s="278"/>
      <c r="Z25" s="279"/>
      <c r="AB25" s="282"/>
      <c r="AC25" s="278"/>
      <c r="AD25" s="278"/>
      <c r="AE25" s="278"/>
      <c r="AF25" s="278"/>
      <c r="AG25" s="278"/>
      <c r="AH25" s="278"/>
      <c r="AI25" s="278"/>
      <c r="AJ25" s="278"/>
      <c r="AK25" s="278"/>
      <c r="AL25" s="278"/>
      <c r="AM25" s="279"/>
    </row>
    <row r="26" spans="2:39">
      <c r="B26" s="282"/>
      <c r="C26" s="278"/>
      <c r="D26" s="278"/>
      <c r="E26" s="278"/>
      <c r="F26" s="278"/>
      <c r="G26" s="278"/>
      <c r="H26" s="278"/>
      <c r="I26" s="278"/>
      <c r="J26" s="278"/>
      <c r="K26" s="278"/>
      <c r="L26" s="278"/>
      <c r="M26" s="279"/>
      <c r="O26" s="282"/>
      <c r="P26" s="278"/>
      <c r="Q26" s="278"/>
      <c r="R26" s="278"/>
      <c r="S26" s="278"/>
      <c r="T26" s="278"/>
      <c r="U26" s="278"/>
      <c r="V26" s="278"/>
      <c r="W26" s="278"/>
      <c r="X26" s="278"/>
      <c r="Y26" s="278"/>
      <c r="Z26" s="279"/>
      <c r="AB26" s="282"/>
      <c r="AC26" s="278"/>
      <c r="AD26" s="278"/>
      <c r="AE26" s="278"/>
      <c r="AF26" s="278"/>
      <c r="AG26" s="278"/>
      <c r="AH26" s="278"/>
      <c r="AI26" s="278"/>
      <c r="AJ26" s="278"/>
      <c r="AK26" s="278"/>
      <c r="AL26" s="278"/>
      <c r="AM26" s="279"/>
    </row>
    <row r="27" spans="2:39">
      <c r="B27" s="282"/>
      <c r="C27" s="278"/>
      <c r="D27" s="278"/>
      <c r="E27" s="278"/>
      <c r="F27" s="278"/>
      <c r="G27" s="278"/>
      <c r="H27" s="278"/>
      <c r="I27" s="278"/>
      <c r="J27" s="278"/>
      <c r="K27" s="278"/>
      <c r="L27" s="278"/>
      <c r="M27" s="279"/>
      <c r="O27" s="282"/>
      <c r="P27" s="278"/>
      <c r="Q27" s="278"/>
      <c r="R27" s="278"/>
      <c r="S27" s="278"/>
      <c r="T27" s="278"/>
      <c r="U27" s="278"/>
      <c r="V27" s="278"/>
      <c r="W27" s="278"/>
      <c r="X27" s="278"/>
      <c r="Y27" s="278"/>
      <c r="Z27" s="279"/>
      <c r="AB27" s="282"/>
      <c r="AC27" s="278"/>
      <c r="AD27" s="278"/>
      <c r="AE27" s="278"/>
      <c r="AF27" s="278"/>
      <c r="AG27" s="278"/>
      <c r="AH27" s="278"/>
      <c r="AI27" s="278"/>
      <c r="AJ27" s="278"/>
      <c r="AK27" s="278"/>
      <c r="AL27" s="278"/>
      <c r="AM27" s="279"/>
    </row>
    <row r="28" spans="2:39">
      <c r="B28" s="283"/>
      <c r="C28" s="280"/>
      <c r="D28" s="280"/>
      <c r="E28" s="280"/>
      <c r="F28" s="280"/>
      <c r="G28" s="280"/>
      <c r="H28" s="280"/>
      <c r="I28" s="280"/>
      <c r="J28" s="280"/>
      <c r="K28" s="280"/>
      <c r="L28" s="280"/>
      <c r="M28" s="281"/>
      <c r="O28" s="283"/>
      <c r="P28" s="280"/>
      <c r="Q28" s="280"/>
      <c r="R28" s="280"/>
      <c r="S28" s="280"/>
      <c r="T28" s="280"/>
      <c r="U28" s="280"/>
      <c r="V28" s="280"/>
      <c r="W28" s="280"/>
      <c r="X28" s="280"/>
      <c r="Y28" s="280"/>
      <c r="Z28" s="281"/>
      <c r="AB28" s="283"/>
      <c r="AC28" s="280"/>
      <c r="AD28" s="280"/>
      <c r="AE28" s="280"/>
      <c r="AF28" s="280"/>
      <c r="AG28" s="280"/>
      <c r="AH28" s="280"/>
      <c r="AI28" s="280"/>
      <c r="AJ28" s="280"/>
      <c r="AK28" s="280"/>
      <c r="AL28" s="280"/>
      <c r="AM28" s="281"/>
    </row>
    <row r="31" spans="2:39">
      <c r="B31" t="s">
        <v>527</v>
      </c>
      <c r="E31" t="s">
        <v>472</v>
      </c>
    </row>
    <row r="32" spans="2:39">
      <c r="B32" t="s">
        <v>530</v>
      </c>
      <c r="E32" s="252">
        <f ca="1">SUM(AC37:AM55)</f>
        <v>0</v>
      </c>
    </row>
    <row r="33" spans="2:39">
      <c r="B33" t="s">
        <v>529</v>
      </c>
    </row>
    <row r="35" spans="2:39">
      <c r="B35" t="s">
        <v>510</v>
      </c>
      <c r="O35" t="s">
        <v>470</v>
      </c>
      <c r="AB35" t="s">
        <v>511</v>
      </c>
    </row>
    <row r="36" spans="2:39">
      <c r="B36" s="254" t="str">
        <f>'JPY Swap PVs'!M28</f>
        <v>Term</v>
      </c>
      <c r="C36" s="287">
        <f>'JPY Swap PVs'!N28</f>
        <v>500</v>
      </c>
      <c r="D36" s="287">
        <f>'JPY Swap PVs'!O28</f>
        <v>400</v>
      </c>
      <c r="E36" s="287">
        <f>'JPY Swap PVs'!P28</f>
        <v>300</v>
      </c>
      <c r="F36" s="287">
        <f>'JPY Swap PVs'!Q28</f>
        <v>200</v>
      </c>
      <c r="G36" s="287">
        <f>'JPY Swap PVs'!R28</f>
        <v>100</v>
      </c>
      <c r="H36" s="287">
        <f>'JPY Swap PVs'!S28</f>
        <v>0</v>
      </c>
      <c r="I36" s="287">
        <f>'JPY Swap PVs'!T28</f>
        <v>-100</v>
      </c>
      <c r="J36" s="287">
        <f>'JPY Swap PVs'!U28</f>
        <v>-200</v>
      </c>
      <c r="K36" s="287">
        <f>'JPY Swap PVs'!V28</f>
        <v>-300</v>
      </c>
      <c r="L36" s="287">
        <f>'JPY Swap PVs'!W28</f>
        <v>-400</v>
      </c>
      <c r="M36" s="288">
        <f>'JPY Swap PVs'!X28</f>
        <v>-500</v>
      </c>
      <c r="O36" s="254" t="s">
        <v>76</v>
      </c>
      <c r="P36" s="287">
        <v>500</v>
      </c>
      <c r="Q36" s="287">
        <v>400</v>
      </c>
      <c r="R36" s="287">
        <v>300</v>
      </c>
      <c r="S36" s="287">
        <v>200</v>
      </c>
      <c r="T36" s="287">
        <v>100</v>
      </c>
      <c r="U36" s="287">
        <v>0</v>
      </c>
      <c r="V36" s="287">
        <v>-100</v>
      </c>
      <c r="W36" s="287">
        <v>-200</v>
      </c>
      <c r="X36" s="287">
        <v>-300</v>
      </c>
      <c r="Y36" s="287">
        <v>-400</v>
      </c>
      <c r="Z36" s="288">
        <v>-500</v>
      </c>
      <c r="AB36" s="254" t="str">
        <f>O36</f>
        <v>Term</v>
      </c>
      <c r="AC36" s="287">
        <f>P36</f>
        <v>500</v>
      </c>
      <c r="AD36" s="287">
        <f t="shared" ref="AD36:AM36" si="2">Q36</f>
        <v>400</v>
      </c>
      <c r="AE36" s="287">
        <f t="shared" si="2"/>
        <v>300</v>
      </c>
      <c r="AF36" s="287">
        <f t="shared" si="2"/>
        <v>200</v>
      </c>
      <c r="AG36" s="287">
        <f t="shared" si="2"/>
        <v>100</v>
      </c>
      <c r="AH36" s="287">
        <f t="shared" si="2"/>
        <v>0</v>
      </c>
      <c r="AI36" s="287">
        <f t="shared" si="2"/>
        <v>-100</v>
      </c>
      <c r="AJ36" s="287">
        <f t="shared" si="2"/>
        <v>-200</v>
      </c>
      <c r="AK36" s="287">
        <f t="shared" si="2"/>
        <v>-300</v>
      </c>
      <c r="AL36" s="287">
        <f t="shared" si="2"/>
        <v>-400</v>
      </c>
      <c r="AM36" s="288">
        <f t="shared" si="2"/>
        <v>-500</v>
      </c>
    </row>
    <row r="37" spans="2:39">
      <c r="B37" s="282" t="str">
        <f>'JPY Swap PVs'!M29</f>
        <v>3Y</v>
      </c>
      <c r="C37" s="278">
        <f ca="1">'JPY Swap PVs'!N29</f>
        <v>152305.28700396299</v>
      </c>
      <c r="D37" s="278">
        <f ca="1">'JPY Swap PVs'!O29</f>
        <v>121844.22960317036</v>
      </c>
      <c r="E37" s="278">
        <f ca="1">'JPY Swap PVs'!P29</f>
        <v>91383.172202377784</v>
      </c>
      <c r="F37" s="278">
        <f ca="1">'JPY Swap PVs'!Q29</f>
        <v>60922.114801585172</v>
      </c>
      <c r="G37" s="278">
        <f ca="1">'JPY Swap PVs'!R29</f>
        <v>30461.057400792586</v>
      </c>
      <c r="H37" s="278">
        <f ca="1">'JPY Swap PVs'!S29</f>
        <v>0</v>
      </c>
      <c r="I37" s="278">
        <f ca="1">'JPY Swap PVs'!T29</f>
        <v>-30461.057400792597</v>
      </c>
      <c r="J37" s="278">
        <f ca="1">'JPY Swap PVs'!U29</f>
        <v>-60922.114801585172</v>
      </c>
      <c r="K37" s="278">
        <f ca="1">'JPY Swap PVs'!V29</f>
        <v>-91383.172202377784</v>
      </c>
      <c r="L37" s="278">
        <f ca="1">'JPY Swap PVs'!W29</f>
        <v>-121844.22960317036</v>
      </c>
      <c r="M37" s="279">
        <f ca="1">'JPY Swap PVs'!X29</f>
        <v>-152305.28700396296</v>
      </c>
      <c r="O37" s="282" t="s">
        <v>39</v>
      </c>
      <c r="P37" s="278">
        <v>152305.28700396299</v>
      </c>
      <c r="Q37" s="278">
        <v>121844.22960317036</v>
      </c>
      <c r="R37" s="278">
        <v>91383.172202377784</v>
      </c>
      <c r="S37" s="278">
        <v>60922.114801585172</v>
      </c>
      <c r="T37" s="278">
        <v>30461.057400792586</v>
      </c>
      <c r="U37" s="278">
        <v>0</v>
      </c>
      <c r="V37" s="278">
        <v>-30461.057400792597</v>
      </c>
      <c r="W37" s="278">
        <v>-60922.114801585172</v>
      </c>
      <c r="X37" s="278">
        <v>-91383.172202377784</v>
      </c>
      <c r="Y37" s="278">
        <v>-121844.22960317036</v>
      </c>
      <c r="Z37" s="279">
        <v>-152305.28700396296</v>
      </c>
      <c r="AB37" s="282" t="str">
        <f t="shared" ref="AB37:AB55" si="3">O37</f>
        <v>3Y</v>
      </c>
      <c r="AC37" s="278">
        <f ca="1">IF(ABS(P37-C37)&gt;SnapshotTolerance,1,0)</f>
        <v>0</v>
      </c>
      <c r="AD37" s="278">
        <f ca="1">IF(ABS(Q37-D37)&gt;SnapshotTolerance,1,0)</f>
        <v>0</v>
      </c>
      <c r="AE37" s="278">
        <f ca="1">IF(ABS(R37-E37)&gt;SnapshotTolerance,1,0)</f>
        <v>0</v>
      </c>
      <c r="AF37" s="278">
        <f ca="1">IF(ABS(S37-F37)&gt;SnapshotTolerance,1,0)</f>
        <v>0</v>
      </c>
      <c r="AG37" s="278">
        <f ca="1">IF(ABS(T37-G37)&gt;SnapshotTolerance,1,0)</f>
        <v>0</v>
      </c>
      <c r="AH37" s="278">
        <f ca="1">IF(ABS(U37-H37)&gt;SnapshotTolerance,1,0)</f>
        <v>0</v>
      </c>
      <c r="AI37" s="278">
        <f ca="1">IF(ABS(V37-I37)&gt;SnapshotTolerance,1,0)</f>
        <v>0</v>
      </c>
      <c r="AJ37" s="278">
        <f ca="1">IF(ABS(W37-J37)&gt;SnapshotTolerance,1,0)</f>
        <v>0</v>
      </c>
      <c r="AK37" s="278">
        <f ca="1">IF(ABS(X37-K37)&gt;SnapshotTolerance,1,0)</f>
        <v>0</v>
      </c>
      <c r="AL37" s="278">
        <f ca="1">IF(ABS(Y37-L37)&gt;SnapshotTolerance,1,0)</f>
        <v>0</v>
      </c>
      <c r="AM37" s="279">
        <f ca="1">IF(ABS(Z37-M37)&gt;SnapshotTolerance,1,0)</f>
        <v>0</v>
      </c>
    </row>
    <row r="38" spans="2:39">
      <c r="B38" s="282" t="str">
        <f>'JPY Swap PVs'!M30</f>
        <v>4Y</v>
      </c>
      <c r="C38" s="278">
        <f ca="1">'JPY Swap PVs'!N30</f>
        <v>202651.24654409112</v>
      </c>
      <c r="D38" s="278">
        <f ca="1">'JPY Swap PVs'!O30</f>
        <v>162120.99723527287</v>
      </c>
      <c r="E38" s="278">
        <f ca="1">'JPY Swap PVs'!P30</f>
        <v>121590.74792645466</v>
      </c>
      <c r="F38" s="278">
        <f ca="1">'JPY Swap PVs'!Q30</f>
        <v>81060.498617636447</v>
      </c>
      <c r="G38" s="278">
        <f ca="1">'JPY Swap PVs'!R30</f>
        <v>40530.249308818209</v>
      </c>
      <c r="H38" s="278">
        <f ca="1">'JPY Swap PVs'!S30</f>
        <v>0</v>
      </c>
      <c r="I38" s="278">
        <f ca="1">'JPY Swap PVs'!T30</f>
        <v>-40530.249308818224</v>
      </c>
      <c r="J38" s="278">
        <f ca="1">'JPY Swap PVs'!U30</f>
        <v>-81060.498617636418</v>
      </c>
      <c r="K38" s="278">
        <f ca="1">'JPY Swap PVs'!V30</f>
        <v>-121590.74792645466</v>
      </c>
      <c r="L38" s="278">
        <f ca="1">'JPY Swap PVs'!W30</f>
        <v>-162120.99723527289</v>
      </c>
      <c r="M38" s="279">
        <f ca="1">'JPY Swap PVs'!X30</f>
        <v>-202651.24654409112</v>
      </c>
      <c r="O38" s="282" t="s">
        <v>35</v>
      </c>
      <c r="P38" s="278">
        <v>202651.24654409112</v>
      </c>
      <c r="Q38" s="278">
        <v>162120.99723527287</v>
      </c>
      <c r="R38" s="278">
        <v>121590.74792645466</v>
      </c>
      <c r="S38" s="278">
        <v>81060.498617636447</v>
      </c>
      <c r="T38" s="278">
        <v>40530.249308818209</v>
      </c>
      <c r="U38" s="278">
        <v>0</v>
      </c>
      <c r="V38" s="278">
        <v>-40530.249308818224</v>
      </c>
      <c r="W38" s="278">
        <v>-81060.498617636418</v>
      </c>
      <c r="X38" s="278">
        <v>-121590.74792645466</v>
      </c>
      <c r="Y38" s="278">
        <v>-162120.99723527289</v>
      </c>
      <c r="Z38" s="279">
        <v>-202651.24654409112</v>
      </c>
      <c r="AB38" s="282" t="str">
        <f t="shared" si="3"/>
        <v>4Y</v>
      </c>
      <c r="AC38" s="278">
        <f ca="1">IF(ABS(P38-C38)&gt;SnapshotTolerance,1,0)</f>
        <v>0</v>
      </c>
      <c r="AD38" s="278">
        <f ca="1">IF(ABS(Q38-D38)&gt;SnapshotTolerance,1,0)</f>
        <v>0</v>
      </c>
      <c r="AE38" s="278">
        <f ca="1">IF(ABS(R38-E38)&gt;SnapshotTolerance,1,0)</f>
        <v>0</v>
      </c>
      <c r="AF38" s="278">
        <f ca="1">IF(ABS(S38-F38)&gt;SnapshotTolerance,1,0)</f>
        <v>0</v>
      </c>
      <c r="AG38" s="278">
        <f ca="1">IF(ABS(T38-G38)&gt;SnapshotTolerance,1,0)</f>
        <v>0</v>
      </c>
      <c r="AH38" s="278">
        <f ca="1">IF(ABS(U38-H38)&gt;SnapshotTolerance,1,0)</f>
        <v>0</v>
      </c>
      <c r="AI38" s="278">
        <f ca="1">IF(ABS(V38-I38)&gt;SnapshotTolerance,1,0)</f>
        <v>0</v>
      </c>
      <c r="AJ38" s="278">
        <f ca="1">IF(ABS(W38-J38)&gt;SnapshotTolerance,1,0)</f>
        <v>0</v>
      </c>
      <c r="AK38" s="278">
        <f ca="1">IF(ABS(X38-K38)&gt;SnapshotTolerance,1,0)</f>
        <v>0</v>
      </c>
      <c r="AL38" s="278">
        <f ca="1">IF(ABS(Y38-L38)&gt;SnapshotTolerance,1,0)</f>
        <v>0</v>
      </c>
      <c r="AM38" s="279">
        <f ca="1">IF(ABS(Z38-M38)&gt;SnapshotTolerance,1,0)</f>
        <v>0</v>
      </c>
    </row>
    <row r="39" spans="2:39">
      <c r="B39" s="282" t="str">
        <f>'JPY Swap PVs'!M31</f>
        <v>5Y</v>
      </c>
      <c r="C39" s="278">
        <f ca="1">'JPY Swap PVs'!N31</f>
        <v>252965.3495321779</v>
      </c>
      <c r="D39" s="278">
        <f ca="1">'JPY Swap PVs'!O31</f>
        <v>202372.27962574238</v>
      </c>
      <c r="E39" s="278">
        <f ca="1">'JPY Swap PVs'!P31</f>
        <v>151779.20971930679</v>
      </c>
      <c r="F39" s="278">
        <f ca="1">'JPY Swap PVs'!Q31</f>
        <v>101186.13981287117</v>
      </c>
      <c r="G39" s="278">
        <f ca="1">'JPY Swap PVs'!R31</f>
        <v>50593.069906435572</v>
      </c>
      <c r="H39" s="278">
        <f ca="1">'JPY Swap PVs'!S31</f>
        <v>0</v>
      </c>
      <c r="I39" s="278">
        <f ca="1">'JPY Swap PVs'!T31</f>
        <v>-50593.069906435594</v>
      </c>
      <c r="J39" s="278">
        <f ca="1">'JPY Swap PVs'!U31</f>
        <v>-101186.13981287116</v>
      </c>
      <c r="K39" s="278">
        <f ca="1">'JPY Swap PVs'!V31</f>
        <v>-151779.20971930676</v>
      </c>
      <c r="L39" s="278">
        <f ca="1">'JPY Swap PVs'!W31</f>
        <v>-202372.27962574235</v>
      </c>
      <c r="M39" s="279">
        <f ca="1">'JPY Swap PVs'!X31</f>
        <v>-252965.3495321779</v>
      </c>
      <c r="O39" s="282" t="s">
        <v>33</v>
      </c>
      <c r="P39" s="278">
        <v>252965.3495321779</v>
      </c>
      <c r="Q39" s="278">
        <v>202372.27962574238</v>
      </c>
      <c r="R39" s="278">
        <v>151779.20971930679</v>
      </c>
      <c r="S39" s="278">
        <v>101186.13981287117</v>
      </c>
      <c r="T39" s="278">
        <v>50593.069906435572</v>
      </c>
      <c r="U39" s="278">
        <v>0</v>
      </c>
      <c r="V39" s="278">
        <v>-50593.069906435594</v>
      </c>
      <c r="W39" s="278">
        <v>-101186.13981287116</v>
      </c>
      <c r="X39" s="278">
        <v>-151779.20971930676</v>
      </c>
      <c r="Y39" s="278">
        <v>-202372.27962574235</v>
      </c>
      <c r="Z39" s="279">
        <v>-252965.3495321779</v>
      </c>
      <c r="AB39" s="282" t="str">
        <f t="shared" si="3"/>
        <v>5Y</v>
      </c>
      <c r="AC39" s="278">
        <f ca="1">IF(ABS(P39-C39)&gt;SnapshotTolerance,1,0)</f>
        <v>0</v>
      </c>
      <c r="AD39" s="278">
        <f ca="1">IF(ABS(Q39-D39)&gt;SnapshotTolerance,1,0)</f>
        <v>0</v>
      </c>
      <c r="AE39" s="278">
        <f ca="1">IF(ABS(R39-E39)&gt;SnapshotTolerance,1,0)</f>
        <v>0</v>
      </c>
      <c r="AF39" s="278">
        <f ca="1">IF(ABS(S39-F39)&gt;SnapshotTolerance,1,0)</f>
        <v>0</v>
      </c>
      <c r="AG39" s="278">
        <f ca="1">IF(ABS(T39-G39)&gt;SnapshotTolerance,1,0)</f>
        <v>0</v>
      </c>
      <c r="AH39" s="278">
        <f ca="1">IF(ABS(U39-H39)&gt;SnapshotTolerance,1,0)</f>
        <v>0</v>
      </c>
      <c r="AI39" s="278">
        <f ca="1">IF(ABS(V39-I39)&gt;SnapshotTolerance,1,0)</f>
        <v>0</v>
      </c>
      <c r="AJ39" s="278">
        <f ca="1">IF(ABS(W39-J39)&gt;SnapshotTolerance,1,0)</f>
        <v>0</v>
      </c>
      <c r="AK39" s="278">
        <f ca="1">IF(ABS(X39-K39)&gt;SnapshotTolerance,1,0)</f>
        <v>0</v>
      </c>
      <c r="AL39" s="278">
        <f ca="1">IF(ABS(Y39-L39)&gt;SnapshotTolerance,1,0)</f>
        <v>0</v>
      </c>
      <c r="AM39" s="279">
        <f ca="1">IF(ABS(Z39-M39)&gt;SnapshotTolerance,1,0)</f>
        <v>0</v>
      </c>
    </row>
    <row r="40" spans="2:39">
      <c r="B40" s="282" t="str">
        <f>'JPY Swap PVs'!M32</f>
        <v>6Y</v>
      </c>
      <c r="C40" s="278">
        <f ca="1">'JPY Swap PVs'!N32</f>
        <v>303023.70632505207</v>
      </c>
      <c r="D40" s="278">
        <f ca="1">'JPY Swap PVs'!O32</f>
        <v>242418.96506004169</v>
      </c>
      <c r="E40" s="278">
        <f ca="1">'JPY Swap PVs'!P32</f>
        <v>181814.22379503126</v>
      </c>
      <c r="F40" s="278">
        <f ca="1">'JPY Swap PVs'!Q32</f>
        <v>121209.48253002085</v>
      </c>
      <c r="G40" s="278">
        <f ca="1">'JPY Swap PVs'!R32</f>
        <v>60604.741265010394</v>
      </c>
      <c r="H40" s="278">
        <f ca="1">'JPY Swap PVs'!S32</f>
        <v>0</v>
      </c>
      <c r="I40" s="278">
        <f ca="1">'JPY Swap PVs'!T32</f>
        <v>-60604.741265010423</v>
      </c>
      <c r="J40" s="278">
        <f ca="1">'JPY Swap PVs'!U32</f>
        <v>-121209.48253002082</v>
      </c>
      <c r="K40" s="278">
        <f ca="1">'JPY Swap PVs'!V32</f>
        <v>-181814.22379503128</v>
      </c>
      <c r="L40" s="278">
        <f ca="1">'JPY Swap PVs'!W32</f>
        <v>-242418.96506004169</v>
      </c>
      <c r="M40" s="279">
        <f ca="1">'JPY Swap PVs'!X32</f>
        <v>-303023.70632505207</v>
      </c>
      <c r="O40" s="282" t="s">
        <v>131</v>
      </c>
      <c r="P40" s="278">
        <v>303023.70632505207</v>
      </c>
      <c r="Q40" s="278">
        <v>242418.96506004169</v>
      </c>
      <c r="R40" s="278">
        <v>181814.22379503126</v>
      </c>
      <c r="S40" s="278">
        <v>121209.48253002085</v>
      </c>
      <c r="T40" s="278">
        <v>60604.741265010394</v>
      </c>
      <c r="U40" s="278">
        <v>0</v>
      </c>
      <c r="V40" s="278">
        <v>-60604.741265010423</v>
      </c>
      <c r="W40" s="278">
        <v>-121209.48253002082</v>
      </c>
      <c r="X40" s="278">
        <v>-181814.22379503128</v>
      </c>
      <c r="Y40" s="278">
        <v>-242418.96506004169</v>
      </c>
      <c r="Z40" s="279">
        <v>-303023.70632505207</v>
      </c>
      <c r="AB40" s="282" t="str">
        <f t="shared" si="3"/>
        <v>6Y</v>
      </c>
      <c r="AC40" s="278">
        <f ca="1">IF(ABS(P40-C40)&gt;SnapshotTolerance,1,0)</f>
        <v>0</v>
      </c>
      <c r="AD40" s="278">
        <f ca="1">IF(ABS(Q40-D40)&gt;SnapshotTolerance,1,0)</f>
        <v>0</v>
      </c>
      <c r="AE40" s="278">
        <f ca="1">IF(ABS(R40-E40)&gt;SnapshotTolerance,1,0)</f>
        <v>0</v>
      </c>
      <c r="AF40" s="278">
        <f ca="1">IF(ABS(S40-F40)&gt;SnapshotTolerance,1,0)</f>
        <v>0</v>
      </c>
      <c r="AG40" s="278">
        <f ca="1">IF(ABS(T40-G40)&gt;SnapshotTolerance,1,0)</f>
        <v>0</v>
      </c>
      <c r="AH40" s="278">
        <f ca="1">IF(ABS(U40-H40)&gt;SnapshotTolerance,1,0)</f>
        <v>0</v>
      </c>
      <c r="AI40" s="278">
        <f ca="1">IF(ABS(V40-I40)&gt;SnapshotTolerance,1,0)</f>
        <v>0</v>
      </c>
      <c r="AJ40" s="278">
        <f ca="1">IF(ABS(W40-J40)&gt;SnapshotTolerance,1,0)</f>
        <v>0</v>
      </c>
      <c r="AK40" s="278">
        <f ca="1">IF(ABS(X40-K40)&gt;SnapshotTolerance,1,0)</f>
        <v>0</v>
      </c>
      <c r="AL40" s="278">
        <f ca="1">IF(ABS(Y40-L40)&gt;SnapshotTolerance,1,0)</f>
        <v>0</v>
      </c>
      <c r="AM40" s="279">
        <f ca="1">IF(ABS(Z40-M40)&gt;SnapshotTolerance,1,0)</f>
        <v>0</v>
      </c>
    </row>
    <row r="41" spans="2:39">
      <c r="B41" s="282" t="str">
        <f>'JPY Swap PVs'!M33</f>
        <v>7Y</v>
      </c>
      <c r="C41" s="278">
        <f ca="1">'JPY Swap PVs'!N33</f>
        <v>352759.58683206677</v>
      </c>
      <c r="D41" s="278">
        <f ca="1">'JPY Swap PVs'!O33</f>
        <v>282207.66946565348</v>
      </c>
      <c r="E41" s="278">
        <f ca="1">'JPY Swap PVs'!P33</f>
        <v>211655.75209924005</v>
      </c>
      <c r="F41" s="278">
        <f ca="1">'JPY Swap PVs'!Q33</f>
        <v>141103.83473282671</v>
      </c>
      <c r="G41" s="278">
        <f ca="1">'JPY Swap PVs'!R33</f>
        <v>70551.917366413327</v>
      </c>
      <c r="H41" s="278">
        <f ca="1">'JPY Swap PVs'!S33</f>
        <v>0</v>
      </c>
      <c r="I41" s="278">
        <f ca="1">'JPY Swap PVs'!T33</f>
        <v>-70551.917366413356</v>
      </c>
      <c r="J41" s="278">
        <f ca="1">'JPY Swap PVs'!U33</f>
        <v>-141103.83473282668</v>
      </c>
      <c r="K41" s="278">
        <f ca="1">'JPY Swap PVs'!V33</f>
        <v>-211655.75209924005</v>
      </c>
      <c r="L41" s="278">
        <f ca="1">'JPY Swap PVs'!W33</f>
        <v>-282207.66946565337</v>
      </c>
      <c r="M41" s="279">
        <f ca="1">'JPY Swap PVs'!X33</f>
        <v>-352759.58683206671</v>
      </c>
      <c r="O41" s="282" t="s">
        <v>31</v>
      </c>
      <c r="P41" s="278">
        <v>352759.58683206677</v>
      </c>
      <c r="Q41" s="278">
        <v>282207.66946565348</v>
      </c>
      <c r="R41" s="278">
        <v>211655.75209924005</v>
      </c>
      <c r="S41" s="278">
        <v>141103.83473282671</v>
      </c>
      <c r="T41" s="278">
        <v>70551.917366413327</v>
      </c>
      <c r="U41" s="278">
        <v>0</v>
      </c>
      <c r="V41" s="278">
        <v>-70551.917366413356</v>
      </c>
      <c r="W41" s="278">
        <v>-141103.83473282668</v>
      </c>
      <c r="X41" s="278">
        <v>-211655.75209924005</v>
      </c>
      <c r="Y41" s="278">
        <v>-282207.66946565337</v>
      </c>
      <c r="Z41" s="279">
        <v>-352759.58683206671</v>
      </c>
      <c r="AB41" s="282" t="str">
        <f t="shared" si="3"/>
        <v>7Y</v>
      </c>
      <c r="AC41" s="278">
        <f ca="1">IF(ABS(P41-C41)&gt;SnapshotTolerance,1,0)</f>
        <v>0</v>
      </c>
      <c r="AD41" s="278">
        <f ca="1">IF(ABS(Q41-D41)&gt;SnapshotTolerance,1,0)</f>
        <v>0</v>
      </c>
      <c r="AE41" s="278">
        <f ca="1">IF(ABS(R41-E41)&gt;SnapshotTolerance,1,0)</f>
        <v>0</v>
      </c>
      <c r="AF41" s="278">
        <f ca="1">IF(ABS(S41-F41)&gt;SnapshotTolerance,1,0)</f>
        <v>0</v>
      </c>
      <c r="AG41" s="278">
        <f ca="1">IF(ABS(T41-G41)&gt;SnapshotTolerance,1,0)</f>
        <v>0</v>
      </c>
      <c r="AH41" s="278">
        <f ca="1">IF(ABS(U41-H41)&gt;SnapshotTolerance,1,0)</f>
        <v>0</v>
      </c>
      <c r="AI41" s="278">
        <f ca="1">IF(ABS(V41-I41)&gt;SnapshotTolerance,1,0)</f>
        <v>0</v>
      </c>
      <c r="AJ41" s="278">
        <f ca="1">IF(ABS(W41-J41)&gt;SnapshotTolerance,1,0)</f>
        <v>0</v>
      </c>
      <c r="AK41" s="278">
        <f ca="1">IF(ABS(X41-K41)&gt;SnapshotTolerance,1,0)</f>
        <v>0</v>
      </c>
      <c r="AL41" s="278">
        <f ca="1">IF(ABS(Y41-L41)&gt;SnapshotTolerance,1,0)</f>
        <v>0</v>
      </c>
      <c r="AM41" s="279">
        <f ca="1">IF(ABS(Z41-M41)&gt;SnapshotTolerance,1,0)</f>
        <v>0</v>
      </c>
    </row>
    <row r="42" spans="2:39">
      <c r="B42" s="282" t="str">
        <f>'JPY Swap PVs'!M34</f>
        <v>8Y</v>
      </c>
      <c r="C42" s="278">
        <f ca="1">'JPY Swap PVs'!N34</f>
        <v>402512.16577848804</v>
      </c>
      <c r="D42" s="278">
        <f ca="1">'JPY Swap PVs'!O34</f>
        <v>322009.7326227905</v>
      </c>
      <c r="E42" s="278">
        <f ca="1">'JPY Swap PVs'!P34</f>
        <v>241507.29946709282</v>
      </c>
      <c r="F42" s="278">
        <f ca="1">'JPY Swap PVs'!Q34</f>
        <v>161004.86631139525</v>
      </c>
      <c r="G42" s="278">
        <f ca="1">'JPY Swap PVs'!R34</f>
        <v>80502.433155697581</v>
      </c>
      <c r="H42" s="278">
        <f ca="1">'JPY Swap PVs'!S34</f>
        <v>0</v>
      </c>
      <c r="I42" s="278">
        <f ca="1">'JPY Swap PVs'!T34</f>
        <v>-80502.43315569761</v>
      </c>
      <c r="J42" s="278">
        <f ca="1">'JPY Swap PVs'!U34</f>
        <v>-161004.86631139519</v>
      </c>
      <c r="K42" s="278">
        <f ca="1">'JPY Swap PVs'!V34</f>
        <v>-241507.29946709282</v>
      </c>
      <c r="L42" s="278">
        <f ca="1">'JPY Swap PVs'!W34</f>
        <v>-322009.73262279038</v>
      </c>
      <c r="M42" s="279">
        <f ca="1">'JPY Swap PVs'!X34</f>
        <v>-402512.16577848804</v>
      </c>
      <c r="O42" s="282" t="s">
        <v>119</v>
      </c>
      <c r="P42" s="278">
        <v>402512.16577848804</v>
      </c>
      <c r="Q42" s="278">
        <v>322009.7326227905</v>
      </c>
      <c r="R42" s="278">
        <v>241507.29946709282</v>
      </c>
      <c r="S42" s="278">
        <v>161004.86631139525</v>
      </c>
      <c r="T42" s="278">
        <v>80502.433155697581</v>
      </c>
      <c r="U42" s="278">
        <v>0</v>
      </c>
      <c r="V42" s="278">
        <v>-80502.43315569761</v>
      </c>
      <c r="W42" s="278">
        <v>-161004.86631139519</v>
      </c>
      <c r="X42" s="278">
        <v>-241507.29946709282</v>
      </c>
      <c r="Y42" s="278">
        <v>-322009.73262279038</v>
      </c>
      <c r="Z42" s="279">
        <v>-402512.16577848804</v>
      </c>
      <c r="AB42" s="282" t="str">
        <f t="shared" si="3"/>
        <v>8Y</v>
      </c>
      <c r="AC42" s="278">
        <f ca="1">IF(ABS(P42-C42)&gt;SnapshotTolerance,1,0)</f>
        <v>0</v>
      </c>
      <c r="AD42" s="278">
        <f ca="1">IF(ABS(Q42-D42)&gt;SnapshotTolerance,1,0)</f>
        <v>0</v>
      </c>
      <c r="AE42" s="278">
        <f ca="1">IF(ABS(R42-E42)&gt;SnapshotTolerance,1,0)</f>
        <v>0</v>
      </c>
      <c r="AF42" s="278">
        <f ca="1">IF(ABS(S42-F42)&gt;SnapshotTolerance,1,0)</f>
        <v>0</v>
      </c>
      <c r="AG42" s="278">
        <f ca="1">IF(ABS(T42-G42)&gt;SnapshotTolerance,1,0)</f>
        <v>0</v>
      </c>
      <c r="AH42" s="278">
        <f ca="1">IF(ABS(U42-H42)&gt;SnapshotTolerance,1,0)</f>
        <v>0</v>
      </c>
      <c r="AI42" s="278">
        <f ca="1">IF(ABS(V42-I42)&gt;SnapshotTolerance,1,0)</f>
        <v>0</v>
      </c>
      <c r="AJ42" s="278">
        <f ca="1">IF(ABS(W42-J42)&gt;SnapshotTolerance,1,0)</f>
        <v>0</v>
      </c>
      <c r="AK42" s="278">
        <f ca="1">IF(ABS(X42-K42)&gt;SnapshotTolerance,1,0)</f>
        <v>0</v>
      </c>
      <c r="AL42" s="278">
        <f ca="1">IF(ABS(Y42-L42)&gt;SnapshotTolerance,1,0)</f>
        <v>0</v>
      </c>
      <c r="AM42" s="279">
        <f ca="1">IF(ABS(Z42-M42)&gt;SnapshotTolerance,1,0)</f>
        <v>0</v>
      </c>
    </row>
    <row r="43" spans="2:39">
      <c r="B43" s="282" t="str">
        <f>'JPY Swap PVs'!M35</f>
        <v>9Y</v>
      </c>
      <c r="C43" s="278">
        <f ca="1">'JPY Swap PVs'!N35</f>
        <v>451282.57886027644</v>
      </c>
      <c r="D43" s="278">
        <f ca="1">'JPY Swap PVs'!O35</f>
        <v>361026.06308822124</v>
      </c>
      <c r="E43" s="278">
        <f ca="1">'JPY Swap PVs'!P35</f>
        <v>270769.54731616587</v>
      </c>
      <c r="F43" s="278">
        <f ca="1">'JPY Swap PVs'!Q35</f>
        <v>180513.03154411059</v>
      </c>
      <c r="G43" s="278">
        <f ca="1">'JPY Swap PVs'!R35</f>
        <v>90256.515772055282</v>
      </c>
      <c r="H43" s="278">
        <f ca="1">'JPY Swap PVs'!S35</f>
        <v>0</v>
      </c>
      <c r="I43" s="278">
        <f ca="1">'JPY Swap PVs'!T35</f>
        <v>-90256.515772055296</v>
      </c>
      <c r="J43" s="278">
        <f ca="1">'JPY Swap PVs'!U35</f>
        <v>-180513.03154411053</v>
      </c>
      <c r="K43" s="278">
        <f ca="1">'JPY Swap PVs'!V35</f>
        <v>-270769.54731616587</v>
      </c>
      <c r="L43" s="278">
        <f ca="1">'JPY Swap PVs'!W35</f>
        <v>-361026.06308822113</v>
      </c>
      <c r="M43" s="279">
        <f ca="1">'JPY Swap PVs'!X35</f>
        <v>-451282.57886027638</v>
      </c>
      <c r="O43" s="282" t="s">
        <v>113</v>
      </c>
      <c r="P43" s="278">
        <v>451282.57886027644</v>
      </c>
      <c r="Q43" s="278">
        <v>361026.06308822124</v>
      </c>
      <c r="R43" s="278">
        <v>270769.54731616587</v>
      </c>
      <c r="S43" s="278">
        <v>180513.03154411059</v>
      </c>
      <c r="T43" s="278">
        <v>90256.515772055282</v>
      </c>
      <c r="U43" s="278">
        <v>0</v>
      </c>
      <c r="V43" s="278">
        <v>-90256.515772055296</v>
      </c>
      <c r="W43" s="278">
        <v>-180513.03154411053</v>
      </c>
      <c r="X43" s="278">
        <v>-270769.54731616587</v>
      </c>
      <c r="Y43" s="278">
        <v>-361026.06308822113</v>
      </c>
      <c r="Z43" s="279">
        <v>-451282.57886027638</v>
      </c>
      <c r="AB43" s="282" t="str">
        <f t="shared" si="3"/>
        <v>9Y</v>
      </c>
      <c r="AC43" s="278">
        <f ca="1">IF(ABS(P43-C43)&gt;SnapshotTolerance,1,0)</f>
        <v>0</v>
      </c>
      <c r="AD43" s="278">
        <f ca="1">IF(ABS(Q43-D43)&gt;SnapshotTolerance,1,0)</f>
        <v>0</v>
      </c>
      <c r="AE43" s="278">
        <f ca="1">IF(ABS(R43-E43)&gt;SnapshotTolerance,1,0)</f>
        <v>0</v>
      </c>
      <c r="AF43" s="278">
        <f ca="1">IF(ABS(S43-F43)&gt;SnapshotTolerance,1,0)</f>
        <v>0</v>
      </c>
      <c r="AG43" s="278">
        <f ca="1">IF(ABS(T43-G43)&gt;SnapshotTolerance,1,0)</f>
        <v>0</v>
      </c>
      <c r="AH43" s="278">
        <f ca="1">IF(ABS(U43-H43)&gt;SnapshotTolerance,1,0)</f>
        <v>0</v>
      </c>
      <c r="AI43" s="278">
        <f ca="1">IF(ABS(V43-I43)&gt;SnapshotTolerance,1,0)</f>
        <v>0</v>
      </c>
      <c r="AJ43" s="278">
        <f ca="1">IF(ABS(W43-J43)&gt;SnapshotTolerance,1,0)</f>
        <v>0</v>
      </c>
      <c r="AK43" s="278">
        <f ca="1">IF(ABS(X43-K43)&gt;SnapshotTolerance,1,0)</f>
        <v>0</v>
      </c>
      <c r="AL43" s="278">
        <f ca="1">IF(ABS(Y43-L43)&gt;SnapshotTolerance,1,0)</f>
        <v>0</v>
      </c>
      <c r="AM43" s="279">
        <f ca="1">IF(ABS(Z43-M43)&gt;SnapshotTolerance,1,0)</f>
        <v>0</v>
      </c>
    </row>
    <row r="44" spans="2:39">
      <c r="B44" s="282" t="str">
        <f>'JPY Swap PVs'!M36</f>
        <v>10Y</v>
      </c>
      <c r="C44" s="278">
        <f ca="1">'JPY Swap PVs'!N36</f>
        <v>499547.94085683511</v>
      </c>
      <c r="D44" s="278">
        <f ca="1">'JPY Swap PVs'!O36</f>
        <v>399638.3526854681</v>
      </c>
      <c r="E44" s="278">
        <f ca="1">'JPY Swap PVs'!P36</f>
        <v>299728.76451410103</v>
      </c>
      <c r="F44" s="278">
        <f ca="1">'JPY Swap PVs'!Q36</f>
        <v>199819.17634273405</v>
      </c>
      <c r="G44" s="278">
        <f ca="1">'JPY Swap PVs'!R36</f>
        <v>99909.58817136701</v>
      </c>
      <c r="H44" s="278">
        <f ca="1">'JPY Swap PVs'!S36</f>
        <v>0</v>
      </c>
      <c r="I44" s="278">
        <f ca="1">'JPY Swap PVs'!T36</f>
        <v>-99909.588171367024</v>
      </c>
      <c r="J44" s="278">
        <f ca="1">'JPY Swap PVs'!U36</f>
        <v>-199819.17634273399</v>
      </c>
      <c r="K44" s="278">
        <f ca="1">'JPY Swap PVs'!V36</f>
        <v>-299728.76451410103</v>
      </c>
      <c r="L44" s="278">
        <f ca="1">'JPY Swap PVs'!W36</f>
        <v>-399638.35268546798</v>
      </c>
      <c r="M44" s="279">
        <f ca="1">'JPY Swap PVs'!X36</f>
        <v>-499547.94085683499</v>
      </c>
      <c r="O44" s="282" t="s">
        <v>28</v>
      </c>
      <c r="P44" s="278">
        <v>499547.94085683511</v>
      </c>
      <c r="Q44" s="278">
        <v>399638.3526854681</v>
      </c>
      <c r="R44" s="278">
        <v>299728.76451410103</v>
      </c>
      <c r="S44" s="278">
        <v>199819.17634273405</v>
      </c>
      <c r="T44" s="278">
        <v>99909.58817136701</v>
      </c>
      <c r="U44" s="278">
        <v>0</v>
      </c>
      <c r="V44" s="278">
        <v>-99909.588171367024</v>
      </c>
      <c r="W44" s="278">
        <v>-199819.17634273399</v>
      </c>
      <c r="X44" s="278">
        <v>-299728.76451410103</v>
      </c>
      <c r="Y44" s="278">
        <v>-399638.35268546798</v>
      </c>
      <c r="Z44" s="279">
        <v>-499547.94085683499</v>
      </c>
      <c r="AB44" s="282" t="str">
        <f t="shared" si="3"/>
        <v>10Y</v>
      </c>
      <c r="AC44" s="278">
        <f ca="1">IF(ABS(P44-C44)&gt;SnapshotTolerance,1,0)</f>
        <v>0</v>
      </c>
      <c r="AD44" s="278">
        <f ca="1">IF(ABS(Q44-D44)&gt;SnapshotTolerance,1,0)</f>
        <v>0</v>
      </c>
      <c r="AE44" s="278">
        <f ca="1">IF(ABS(R44-E44)&gt;SnapshotTolerance,1,0)</f>
        <v>0</v>
      </c>
      <c r="AF44" s="278">
        <f ca="1">IF(ABS(S44-F44)&gt;SnapshotTolerance,1,0)</f>
        <v>0</v>
      </c>
      <c r="AG44" s="278">
        <f ca="1">IF(ABS(T44-G44)&gt;SnapshotTolerance,1,0)</f>
        <v>0</v>
      </c>
      <c r="AH44" s="278">
        <f ca="1">IF(ABS(U44-H44)&gt;SnapshotTolerance,1,0)</f>
        <v>0</v>
      </c>
      <c r="AI44" s="278">
        <f ca="1">IF(ABS(V44-I44)&gt;SnapshotTolerance,1,0)</f>
        <v>0</v>
      </c>
      <c r="AJ44" s="278">
        <f ca="1">IF(ABS(W44-J44)&gt;SnapshotTolerance,1,0)</f>
        <v>0</v>
      </c>
      <c r="AK44" s="278">
        <f ca="1">IF(ABS(X44-K44)&gt;SnapshotTolerance,1,0)</f>
        <v>0</v>
      </c>
      <c r="AL44" s="278">
        <f ca="1">IF(ABS(Y44-L44)&gt;SnapshotTolerance,1,0)</f>
        <v>0</v>
      </c>
      <c r="AM44" s="279">
        <f ca="1">IF(ABS(Z44-M44)&gt;SnapshotTolerance,1,0)</f>
        <v>0</v>
      </c>
    </row>
    <row r="45" spans="2:39">
      <c r="B45" s="282" t="str">
        <f>'JPY Swap PVs'!M37</f>
        <v>12Y</v>
      </c>
      <c r="C45" s="278">
        <f ca="1">'JPY Swap PVs'!N37</f>
        <v>594572.24148861051</v>
      </c>
      <c r="D45" s="278">
        <f ca="1">'JPY Swap PVs'!O37</f>
        <v>475657.79319088848</v>
      </c>
      <c r="E45" s="278">
        <f ca="1">'JPY Swap PVs'!P37</f>
        <v>356743.34489316633</v>
      </c>
      <c r="F45" s="278">
        <f ca="1">'JPY Swap PVs'!Q37</f>
        <v>237828.89659544421</v>
      </c>
      <c r="G45" s="278">
        <f ca="1">'JPY Swap PVs'!R37</f>
        <v>118914.44829772211</v>
      </c>
      <c r="H45" s="278">
        <f ca="1">'JPY Swap PVs'!S37</f>
        <v>0</v>
      </c>
      <c r="I45" s="278">
        <f ca="1">'JPY Swap PVs'!T37</f>
        <v>-118914.44829772212</v>
      </c>
      <c r="J45" s="278">
        <f ca="1">'JPY Swap PVs'!U37</f>
        <v>-237828.89659544424</v>
      </c>
      <c r="K45" s="278">
        <f ca="1">'JPY Swap PVs'!V37</f>
        <v>-356743.34489316627</v>
      </c>
      <c r="L45" s="278">
        <f ca="1">'JPY Swap PVs'!W37</f>
        <v>-475657.79319088842</v>
      </c>
      <c r="M45" s="279">
        <f ca="1">'JPY Swap PVs'!X37</f>
        <v>-594572.24148861051</v>
      </c>
      <c r="O45" s="282" t="s">
        <v>26</v>
      </c>
      <c r="P45" s="278">
        <v>594572.24148861051</v>
      </c>
      <c r="Q45" s="278">
        <v>475657.79319088848</v>
      </c>
      <c r="R45" s="278">
        <v>356743.34489316633</v>
      </c>
      <c r="S45" s="278">
        <v>237828.89659544421</v>
      </c>
      <c r="T45" s="278">
        <v>118914.44829772211</v>
      </c>
      <c r="U45" s="278">
        <v>0</v>
      </c>
      <c r="V45" s="278">
        <v>-118914.44829772212</v>
      </c>
      <c r="W45" s="278">
        <v>-237828.89659544424</v>
      </c>
      <c r="X45" s="278">
        <v>-356743.34489316627</v>
      </c>
      <c r="Y45" s="278">
        <v>-475657.79319088842</v>
      </c>
      <c r="Z45" s="279">
        <v>-594572.24148861051</v>
      </c>
      <c r="AB45" s="282" t="str">
        <f t="shared" si="3"/>
        <v>12Y</v>
      </c>
      <c r="AC45" s="278">
        <f ca="1">IF(ABS(P45-C45)&gt;SnapshotTolerance,1,0)</f>
        <v>0</v>
      </c>
      <c r="AD45" s="278">
        <f ca="1">IF(ABS(Q45-D45)&gt;SnapshotTolerance,1,0)</f>
        <v>0</v>
      </c>
      <c r="AE45" s="278">
        <f ca="1">IF(ABS(R45-E45)&gt;SnapshotTolerance,1,0)</f>
        <v>0</v>
      </c>
      <c r="AF45" s="278">
        <f ca="1">IF(ABS(S45-F45)&gt;SnapshotTolerance,1,0)</f>
        <v>0</v>
      </c>
      <c r="AG45" s="278">
        <f ca="1">IF(ABS(T45-G45)&gt;SnapshotTolerance,1,0)</f>
        <v>0</v>
      </c>
      <c r="AH45" s="278">
        <f ca="1">IF(ABS(U45-H45)&gt;SnapshotTolerance,1,0)</f>
        <v>0</v>
      </c>
      <c r="AI45" s="278">
        <f ca="1">IF(ABS(V45-I45)&gt;SnapshotTolerance,1,0)</f>
        <v>0</v>
      </c>
      <c r="AJ45" s="278">
        <f ca="1">IF(ABS(W45-J45)&gt;SnapshotTolerance,1,0)</f>
        <v>0</v>
      </c>
      <c r="AK45" s="278">
        <f ca="1">IF(ABS(X45-K45)&gt;SnapshotTolerance,1,0)</f>
        <v>0</v>
      </c>
      <c r="AL45" s="278">
        <f ca="1">IF(ABS(Y45-L45)&gt;SnapshotTolerance,1,0)</f>
        <v>0</v>
      </c>
      <c r="AM45" s="279">
        <f ca="1">IF(ABS(Z45-M45)&gt;SnapshotTolerance,1,0)</f>
        <v>0</v>
      </c>
    </row>
    <row r="46" spans="2:39">
      <c r="B46" s="282" t="str">
        <f>'JPY Swap PVs'!M38</f>
        <v>15Y</v>
      </c>
      <c r="C46" s="278">
        <f ca="1">'JPY Swap PVs'!N38</f>
        <v>731887.31731711689</v>
      </c>
      <c r="D46" s="278">
        <f ca="1">'JPY Swap PVs'!O38</f>
        <v>585509.85385369346</v>
      </c>
      <c r="E46" s="278">
        <f ca="1">'JPY Swap PVs'!P38</f>
        <v>439132.3903902701</v>
      </c>
      <c r="F46" s="278">
        <f ca="1">'JPY Swap PVs'!Q38</f>
        <v>292754.92692684667</v>
      </c>
      <c r="G46" s="278">
        <f ca="1">'JPY Swap PVs'!R38</f>
        <v>146377.46346342337</v>
      </c>
      <c r="H46" s="278">
        <f ca="1">'JPY Swap PVs'!S38</f>
        <v>0</v>
      </c>
      <c r="I46" s="278">
        <f ca="1">'JPY Swap PVs'!T38</f>
        <v>-146377.4634634234</v>
      </c>
      <c r="J46" s="278">
        <f ca="1">'JPY Swap PVs'!U38</f>
        <v>-292754.92692684679</v>
      </c>
      <c r="K46" s="278">
        <f ca="1">'JPY Swap PVs'!V38</f>
        <v>-439132.3903902701</v>
      </c>
      <c r="L46" s="278">
        <f ca="1">'JPY Swap PVs'!W38</f>
        <v>-585509.85385369346</v>
      </c>
      <c r="M46" s="279">
        <f ca="1">'JPY Swap PVs'!X38</f>
        <v>-731887.31731711677</v>
      </c>
      <c r="O46" s="282" t="s">
        <v>24</v>
      </c>
      <c r="P46" s="278">
        <v>731887.31731711689</v>
      </c>
      <c r="Q46" s="278">
        <v>585509.85385369346</v>
      </c>
      <c r="R46" s="278">
        <v>439132.3903902701</v>
      </c>
      <c r="S46" s="278">
        <v>292754.92692684667</v>
      </c>
      <c r="T46" s="278">
        <v>146377.46346342337</v>
      </c>
      <c r="U46" s="278">
        <v>0</v>
      </c>
      <c r="V46" s="278">
        <v>-146377.4634634234</v>
      </c>
      <c r="W46" s="278">
        <v>-292754.92692684679</v>
      </c>
      <c r="X46" s="278">
        <v>-439132.3903902701</v>
      </c>
      <c r="Y46" s="278">
        <v>-585509.85385369346</v>
      </c>
      <c r="Z46" s="279">
        <v>-731887.31731711677</v>
      </c>
      <c r="AB46" s="282" t="str">
        <f t="shared" si="3"/>
        <v>15Y</v>
      </c>
      <c r="AC46" s="278">
        <f ca="1">IF(ABS(P46-C46)&gt;SnapshotTolerance,1,0)</f>
        <v>0</v>
      </c>
      <c r="AD46" s="278">
        <f ca="1">IF(ABS(Q46-D46)&gt;SnapshotTolerance,1,0)</f>
        <v>0</v>
      </c>
      <c r="AE46" s="278">
        <f ca="1">IF(ABS(R46-E46)&gt;SnapshotTolerance,1,0)</f>
        <v>0</v>
      </c>
      <c r="AF46" s="278">
        <f ca="1">IF(ABS(S46-F46)&gt;SnapshotTolerance,1,0)</f>
        <v>0</v>
      </c>
      <c r="AG46" s="278">
        <f ca="1">IF(ABS(T46-G46)&gt;SnapshotTolerance,1,0)</f>
        <v>0</v>
      </c>
      <c r="AH46" s="278">
        <f ca="1">IF(ABS(U46-H46)&gt;SnapshotTolerance,1,0)</f>
        <v>0</v>
      </c>
      <c r="AI46" s="278">
        <f ca="1">IF(ABS(V46-I46)&gt;SnapshotTolerance,1,0)</f>
        <v>0</v>
      </c>
      <c r="AJ46" s="278">
        <f ca="1">IF(ABS(W46-J46)&gt;SnapshotTolerance,1,0)</f>
        <v>0</v>
      </c>
      <c r="AK46" s="278">
        <f ca="1">IF(ABS(X46-K46)&gt;SnapshotTolerance,1,0)</f>
        <v>0</v>
      </c>
      <c r="AL46" s="278">
        <f ca="1">IF(ABS(Y46-L46)&gt;SnapshotTolerance,1,0)</f>
        <v>0</v>
      </c>
      <c r="AM46" s="279">
        <f ca="1">IF(ABS(Z46-M46)&gt;SnapshotTolerance,1,0)</f>
        <v>0</v>
      </c>
    </row>
    <row r="47" spans="2:39">
      <c r="B47" s="282" t="str">
        <f>'JPY Swap PVs'!M39</f>
        <v>20Y</v>
      </c>
      <c r="C47" s="278">
        <f ca="1">'JPY Swap PVs'!N39</f>
        <v>943221.6354232264</v>
      </c>
      <c r="D47" s="278">
        <f ca="1">'JPY Swap PVs'!O39</f>
        <v>754577.30833858089</v>
      </c>
      <c r="E47" s="278">
        <f ca="1">'JPY Swap PVs'!P39</f>
        <v>565932.98125393596</v>
      </c>
      <c r="F47" s="278">
        <f ca="1">'JPY Swap PVs'!Q39</f>
        <v>377288.65416929038</v>
      </c>
      <c r="G47" s="278">
        <f ca="1">'JPY Swap PVs'!R39</f>
        <v>188644.32708464528</v>
      </c>
      <c r="H47" s="278">
        <f ca="1">'JPY Swap PVs'!S39</f>
        <v>0</v>
      </c>
      <c r="I47" s="278">
        <f ca="1">'JPY Swap PVs'!T39</f>
        <v>-188644.32708464528</v>
      </c>
      <c r="J47" s="278">
        <f ca="1">'JPY Swap PVs'!U39</f>
        <v>-377288.65416929056</v>
      </c>
      <c r="K47" s="278">
        <f ca="1">'JPY Swap PVs'!V39</f>
        <v>-565932.98125393561</v>
      </c>
      <c r="L47" s="278">
        <f ca="1">'JPY Swap PVs'!W39</f>
        <v>-754577.308338581</v>
      </c>
      <c r="M47" s="279">
        <f ca="1">'JPY Swap PVs'!X39</f>
        <v>-943221.63542322617</v>
      </c>
      <c r="O47" s="282" t="s">
        <v>20</v>
      </c>
      <c r="P47" s="278">
        <v>943221.6354232264</v>
      </c>
      <c r="Q47" s="278">
        <v>754577.30833858089</v>
      </c>
      <c r="R47" s="278">
        <v>565932.98125393596</v>
      </c>
      <c r="S47" s="278">
        <v>377288.65416929038</v>
      </c>
      <c r="T47" s="278">
        <v>188644.32708464528</v>
      </c>
      <c r="U47" s="278">
        <v>0</v>
      </c>
      <c r="V47" s="278">
        <v>-188644.32708464528</v>
      </c>
      <c r="W47" s="278">
        <v>-377288.65416929056</v>
      </c>
      <c r="X47" s="278">
        <v>-565932.98125393561</v>
      </c>
      <c r="Y47" s="278">
        <v>-754577.308338581</v>
      </c>
      <c r="Z47" s="279">
        <v>-943221.63542322617</v>
      </c>
      <c r="AB47" s="282" t="str">
        <f t="shared" si="3"/>
        <v>20Y</v>
      </c>
      <c r="AC47" s="278">
        <f ca="1">IF(ABS(P47-C47)&gt;SnapshotTolerance,1,0)</f>
        <v>0</v>
      </c>
      <c r="AD47" s="278">
        <f ca="1">IF(ABS(Q47-D47)&gt;SnapshotTolerance,1,0)</f>
        <v>0</v>
      </c>
      <c r="AE47" s="278">
        <f ca="1">IF(ABS(R47-E47)&gt;SnapshotTolerance,1,0)</f>
        <v>0</v>
      </c>
      <c r="AF47" s="278">
        <f ca="1">IF(ABS(S47-F47)&gt;SnapshotTolerance,1,0)</f>
        <v>0</v>
      </c>
      <c r="AG47" s="278">
        <f ca="1">IF(ABS(T47-G47)&gt;SnapshotTolerance,1,0)</f>
        <v>0</v>
      </c>
      <c r="AH47" s="278">
        <f ca="1">IF(ABS(U47-H47)&gt;SnapshotTolerance,1,0)</f>
        <v>0</v>
      </c>
      <c r="AI47" s="278">
        <f ca="1">IF(ABS(V47-I47)&gt;SnapshotTolerance,1,0)</f>
        <v>0</v>
      </c>
      <c r="AJ47" s="278">
        <f ca="1">IF(ABS(W47-J47)&gt;SnapshotTolerance,1,0)</f>
        <v>0</v>
      </c>
      <c r="AK47" s="278">
        <f ca="1">IF(ABS(X47-K47)&gt;SnapshotTolerance,1,0)</f>
        <v>0</v>
      </c>
      <c r="AL47" s="278">
        <f ca="1">IF(ABS(Y47-L47)&gt;SnapshotTolerance,1,0)</f>
        <v>0</v>
      </c>
      <c r="AM47" s="279">
        <f ca="1">IF(ABS(Z47-M47)&gt;SnapshotTolerance,1,0)</f>
        <v>0</v>
      </c>
    </row>
    <row r="48" spans="2:39">
      <c r="B48" s="282" t="str">
        <f>'JPY Swap PVs'!M40</f>
        <v>25Y</v>
      </c>
      <c r="C48" s="278">
        <f ca="1">'JPY Swap PVs'!N40</f>
        <v>1134287.781152521</v>
      </c>
      <c r="D48" s="278">
        <f ca="1">'JPY Swap PVs'!O40</f>
        <v>907430.22492201673</v>
      </c>
      <c r="E48" s="278">
        <f ca="1">'JPY Swap PVs'!P40</f>
        <v>680572.66869151255</v>
      </c>
      <c r="F48" s="278">
        <f ca="1">'JPY Swap PVs'!Q40</f>
        <v>453715.11246100807</v>
      </c>
      <c r="G48" s="278">
        <f ca="1">'JPY Swap PVs'!R40</f>
        <v>226857.55623050412</v>
      </c>
      <c r="H48" s="278">
        <f ca="1">'JPY Swap PVs'!S40</f>
        <v>0</v>
      </c>
      <c r="I48" s="278">
        <f ca="1">'JPY Swap PVs'!T40</f>
        <v>-226857.55623050424</v>
      </c>
      <c r="J48" s="278">
        <f ca="1">'JPY Swap PVs'!U40</f>
        <v>-453715.11246100836</v>
      </c>
      <c r="K48" s="278">
        <f ca="1">'JPY Swap PVs'!V40</f>
        <v>-680572.66869151231</v>
      </c>
      <c r="L48" s="278">
        <f ca="1">'JPY Swap PVs'!W40</f>
        <v>-907430.22492201673</v>
      </c>
      <c r="M48" s="279">
        <f ca="1">'JPY Swap PVs'!X40</f>
        <v>-1134287.7811525206</v>
      </c>
      <c r="O48" s="282" t="s">
        <v>18</v>
      </c>
      <c r="P48" s="278">
        <v>1134287.781152521</v>
      </c>
      <c r="Q48" s="278">
        <v>907430.22492201673</v>
      </c>
      <c r="R48" s="278">
        <v>680572.66869151255</v>
      </c>
      <c r="S48" s="278">
        <v>453715.11246100807</v>
      </c>
      <c r="T48" s="278">
        <v>226857.55623050412</v>
      </c>
      <c r="U48" s="278">
        <v>0</v>
      </c>
      <c r="V48" s="278">
        <v>-226857.55623050424</v>
      </c>
      <c r="W48" s="278">
        <v>-453715.11246100836</v>
      </c>
      <c r="X48" s="278">
        <v>-680572.66869151231</v>
      </c>
      <c r="Y48" s="278">
        <v>-907430.22492201673</v>
      </c>
      <c r="Z48" s="279">
        <v>-1134287.7811525206</v>
      </c>
      <c r="AB48" s="282" t="str">
        <f t="shared" si="3"/>
        <v>25Y</v>
      </c>
      <c r="AC48" s="278">
        <f ca="1">IF(ABS(P48-C48)&gt;SnapshotTolerance,1,0)</f>
        <v>0</v>
      </c>
      <c r="AD48" s="278">
        <f ca="1">IF(ABS(Q48-D48)&gt;SnapshotTolerance,1,0)</f>
        <v>0</v>
      </c>
      <c r="AE48" s="278">
        <f ca="1">IF(ABS(R48-E48)&gt;SnapshotTolerance,1,0)</f>
        <v>0</v>
      </c>
      <c r="AF48" s="278">
        <f ca="1">IF(ABS(S48-F48)&gt;SnapshotTolerance,1,0)</f>
        <v>0</v>
      </c>
      <c r="AG48" s="278">
        <f ca="1">IF(ABS(T48-G48)&gt;SnapshotTolerance,1,0)</f>
        <v>0</v>
      </c>
      <c r="AH48" s="278">
        <f ca="1">IF(ABS(U48-H48)&gt;SnapshotTolerance,1,0)</f>
        <v>0</v>
      </c>
      <c r="AI48" s="278">
        <f ca="1">IF(ABS(V48-I48)&gt;SnapshotTolerance,1,0)</f>
        <v>0</v>
      </c>
      <c r="AJ48" s="278">
        <f ca="1">IF(ABS(W48-J48)&gt;SnapshotTolerance,1,0)</f>
        <v>0</v>
      </c>
      <c r="AK48" s="278">
        <f ca="1">IF(ABS(X48-K48)&gt;SnapshotTolerance,1,0)</f>
        <v>0</v>
      </c>
      <c r="AL48" s="278">
        <f ca="1">IF(ABS(Y48-L48)&gt;SnapshotTolerance,1,0)</f>
        <v>0</v>
      </c>
      <c r="AM48" s="279">
        <f ca="1">IF(ABS(Z48-M48)&gt;SnapshotTolerance,1,0)</f>
        <v>0</v>
      </c>
    </row>
    <row r="49" spans="2:39">
      <c r="B49" s="282" t="str">
        <f>'JPY Swap PVs'!M41</f>
        <v>30Y</v>
      </c>
      <c r="C49" s="278">
        <f ca="1">'JPY Swap PVs'!N41</f>
        <v>1308557.9442296547</v>
      </c>
      <c r="D49" s="278">
        <f ca="1">'JPY Swap PVs'!O41</f>
        <v>1046846.3553837237</v>
      </c>
      <c r="E49" s="278">
        <f ca="1">'JPY Swap PVs'!P41</f>
        <v>785134.76653779252</v>
      </c>
      <c r="F49" s="278">
        <f ca="1">'JPY Swap PVs'!Q41</f>
        <v>523423.17769186164</v>
      </c>
      <c r="G49" s="278">
        <f ca="1">'JPY Swap PVs'!R41</f>
        <v>261711.58884593076</v>
      </c>
      <c r="H49" s="278">
        <f ca="1">'JPY Swap PVs'!S41</f>
        <v>0</v>
      </c>
      <c r="I49" s="278">
        <f ca="1">'JPY Swap PVs'!T41</f>
        <v>-261711.58884593094</v>
      </c>
      <c r="J49" s="278">
        <f ca="1">'JPY Swap PVs'!U41</f>
        <v>-523423.17769186187</v>
      </c>
      <c r="K49" s="278">
        <f ca="1">'JPY Swap PVs'!V41</f>
        <v>-785134.76653779252</v>
      </c>
      <c r="L49" s="278">
        <f ca="1">'JPY Swap PVs'!W41</f>
        <v>-1046846.3553837237</v>
      </c>
      <c r="M49" s="279">
        <f ca="1">'JPY Swap PVs'!X41</f>
        <v>-1308557.9442296545</v>
      </c>
      <c r="O49" s="282" t="s">
        <v>17</v>
      </c>
      <c r="P49" s="278">
        <v>1308557.9442296547</v>
      </c>
      <c r="Q49" s="278">
        <v>1046846.3553837237</v>
      </c>
      <c r="R49" s="278">
        <v>785134.76653779252</v>
      </c>
      <c r="S49" s="278">
        <v>523423.17769186164</v>
      </c>
      <c r="T49" s="278">
        <v>261711.58884593076</v>
      </c>
      <c r="U49" s="278">
        <v>0</v>
      </c>
      <c r="V49" s="278">
        <v>-261711.58884593094</v>
      </c>
      <c r="W49" s="278">
        <v>-523423.17769186187</v>
      </c>
      <c r="X49" s="278">
        <v>-785134.76653779252</v>
      </c>
      <c r="Y49" s="278">
        <v>-1046846.3553837237</v>
      </c>
      <c r="Z49" s="279">
        <v>-1308557.9442296545</v>
      </c>
      <c r="AB49" s="282" t="str">
        <f t="shared" si="3"/>
        <v>30Y</v>
      </c>
      <c r="AC49" s="278">
        <f ca="1">IF(ABS(P49-C49)&gt;SnapshotTolerance,1,0)</f>
        <v>0</v>
      </c>
      <c r="AD49" s="278">
        <f ca="1">IF(ABS(Q49-D49)&gt;SnapshotTolerance,1,0)</f>
        <v>0</v>
      </c>
      <c r="AE49" s="278">
        <f ca="1">IF(ABS(R49-E49)&gt;SnapshotTolerance,1,0)</f>
        <v>0</v>
      </c>
      <c r="AF49" s="278">
        <f ca="1">IF(ABS(S49-F49)&gt;SnapshotTolerance,1,0)</f>
        <v>0</v>
      </c>
      <c r="AG49" s="278">
        <f ca="1">IF(ABS(T49-G49)&gt;SnapshotTolerance,1,0)</f>
        <v>0</v>
      </c>
      <c r="AH49" s="278">
        <f ca="1">IF(ABS(U49-H49)&gt;SnapshotTolerance,1,0)</f>
        <v>0</v>
      </c>
      <c r="AI49" s="278">
        <f ca="1">IF(ABS(V49-I49)&gt;SnapshotTolerance,1,0)</f>
        <v>0</v>
      </c>
      <c r="AJ49" s="278">
        <f ca="1">IF(ABS(W49-J49)&gt;SnapshotTolerance,1,0)</f>
        <v>0</v>
      </c>
      <c r="AK49" s="278">
        <f ca="1">IF(ABS(X49-K49)&gt;SnapshotTolerance,1,0)</f>
        <v>0</v>
      </c>
      <c r="AL49" s="278">
        <f ca="1">IF(ABS(Y49-L49)&gt;SnapshotTolerance,1,0)</f>
        <v>0</v>
      </c>
      <c r="AM49" s="279">
        <f ca="1">IF(ABS(Z49-M49)&gt;SnapshotTolerance,1,0)</f>
        <v>0</v>
      </c>
    </row>
    <row r="50" spans="2:39">
      <c r="B50" s="282" t="str">
        <f>'JPY Swap PVs'!M42</f>
        <v>35Y</v>
      </c>
      <c r="C50" s="278">
        <f ca="1">'JPY Swap PVs'!N42</f>
        <v>1466795.5141371223</v>
      </c>
      <c r="D50" s="278">
        <f ca="1">'JPY Swap PVs'!O42</f>
        <v>1173436.4113096977</v>
      </c>
      <c r="E50" s="278">
        <f ca="1">'JPY Swap PVs'!P42</f>
        <v>880077.30848227302</v>
      </c>
      <c r="F50" s="278">
        <f ca="1">'JPY Swap PVs'!Q42</f>
        <v>586718.20565484883</v>
      </c>
      <c r="G50" s="278">
        <f ca="1">'JPY Swap PVs'!R42</f>
        <v>293359.10282742442</v>
      </c>
      <c r="H50" s="278">
        <f ca="1">'JPY Swap PVs'!S42</f>
        <v>0</v>
      </c>
      <c r="I50" s="278">
        <f ca="1">'JPY Swap PVs'!T42</f>
        <v>-293359.10282742436</v>
      </c>
      <c r="J50" s="278">
        <f ca="1">'JPY Swap PVs'!U42</f>
        <v>-586718.20565484883</v>
      </c>
      <c r="K50" s="278">
        <f ca="1">'JPY Swap PVs'!V42</f>
        <v>-880077.3084822729</v>
      </c>
      <c r="L50" s="278">
        <f ca="1">'JPY Swap PVs'!W42</f>
        <v>-1173436.4113096977</v>
      </c>
      <c r="M50" s="279">
        <f ca="1">'JPY Swap PVs'!X42</f>
        <v>-1466795.5141371218</v>
      </c>
      <c r="O50" s="282" t="s">
        <v>16</v>
      </c>
      <c r="P50" s="278">
        <v>1466795.5141371223</v>
      </c>
      <c r="Q50" s="278">
        <v>1173436.4113096977</v>
      </c>
      <c r="R50" s="278">
        <v>880077.30848227302</v>
      </c>
      <c r="S50" s="278">
        <v>586718.20565484883</v>
      </c>
      <c r="T50" s="278">
        <v>293359.10282742442</v>
      </c>
      <c r="U50" s="278">
        <v>0</v>
      </c>
      <c r="V50" s="278">
        <v>-293359.10282742436</v>
      </c>
      <c r="W50" s="278">
        <v>-586718.20565484883</v>
      </c>
      <c r="X50" s="278">
        <v>-880077.3084822729</v>
      </c>
      <c r="Y50" s="278">
        <v>-1173436.4113096977</v>
      </c>
      <c r="Z50" s="279">
        <v>-1466795.5141371218</v>
      </c>
      <c r="AB50" s="282" t="str">
        <f t="shared" si="3"/>
        <v>35Y</v>
      </c>
      <c r="AC50" s="278">
        <f ca="1">IF(ABS(P50-C50)&gt;SnapshotTolerance,1,0)</f>
        <v>0</v>
      </c>
      <c r="AD50" s="278">
        <f ca="1">IF(ABS(Q50-D50)&gt;SnapshotTolerance,1,0)</f>
        <v>0</v>
      </c>
      <c r="AE50" s="278">
        <f ca="1">IF(ABS(R50-E50)&gt;SnapshotTolerance,1,0)</f>
        <v>0</v>
      </c>
      <c r="AF50" s="278">
        <f ca="1">IF(ABS(S50-F50)&gt;SnapshotTolerance,1,0)</f>
        <v>0</v>
      </c>
      <c r="AG50" s="278">
        <f ca="1">IF(ABS(T50-G50)&gt;SnapshotTolerance,1,0)</f>
        <v>0</v>
      </c>
      <c r="AH50" s="278">
        <f ca="1">IF(ABS(U50-H50)&gt;SnapshotTolerance,1,0)</f>
        <v>0</v>
      </c>
      <c r="AI50" s="278">
        <f ca="1">IF(ABS(V50-I50)&gt;SnapshotTolerance,1,0)</f>
        <v>0</v>
      </c>
      <c r="AJ50" s="278">
        <f ca="1">IF(ABS(W50-J50)&gt;SnapshotTolerance,1,0)</f>
        <v>0</v>
      </c>
      <c r="AK50" s="278">
        <f ca="1">IF(ABS(X50-K50)&gt;SnapshotTolerance,1,0)</f>
        <v>0</v>
      </c>
      <c r="AL50" s="278">
        <f ca="1">IF(ABS(Y50-L50)&gt;SnapshotTolerance,1,0)</f>
        <v>0</v>
      </c>
      <c r="AM50" s="279">
        <f ca="1">IF(ABS(Z50-M50)&gt;SnapshotTolerance,1,0)</f>
        <v>0</v>
      </c>
    </row>
    <row r="51" spans="2:39">
      <c r="B51" s="282" t="str">
        <f>'JPY Swap PVs'!M43</f>
        <v>40Y</v>
      </c>
      <c r="C51" s="278">
        <f ca="1">'JPY Swap PVs'!N43</f>
        <v>1610308.3817510027</v>
      </c>
      <c r="D51" s="278">
        <f ca="1">'JPY Swap PVs'!O43</f>
        <v>1288246.7054008022</v>
      </c>
      <c r="E51" s="278">
        <f ca="1">'JPY Swap PVs'!P43</f>
        <v>966185.0290506013</v>
      </c>
      <c r="F51" s="278">
        <f ca="1">'JPY Swap PVs'!Q43</f>
        <v>644123.35270040063</v>
      </c>
      <c r="G51" s="278">
        <f ca="1">'JPY Swap PVs'!R43</f>
        <v>322061.67635020055</v>
      </c>
      <c r="H51" s="278">
        <f ca="1">'JPY Swap PVs'!S43</f>
        <v>0</v>
      </c>
      <c r="I51" s="278">
        <f ca="1">'JPY Swap PVs'!T43</f>
        <v>-322061.67635020032</v>
      </c>
      <c r="J51" s="278">
        <f ca="1">'JPY Swap PVs'!U43</f>
        <v>-644123.35270040075</v>
      </c>
      <c r="K51" s="278">
        <f ca="1">'JPY Swap PVs'!V43</f>
        <v>-966185.02905060106</v>
      </c>
      <c r="L51" s="278">
        <f ca="1">'JPY Swap PVs'!W43</f>
        <v>-1288246.7054008017</v>
      </c>
      <c r="M51" s="279">
        <f ca="1">'JPY Swap PVs'!X43</f>
        <v>-1610308.3817510018</v>
      </c>
      <c r="O51" s="282" t="s">
        <v>15</v>
      </c>
      <c r="P51" s="278">
        <v>1610308.3817510027</v>
      </c>
      <c r="Q51" s="278">
        <v>1288246.7054008022</v>
      </c>
      <c r="R51" s="278">
        <v>966185.0290506013</v>
      </c>
      <c r="S51" s="278">
        <v>644123.35270040063</v>
      </c>
      <c r="T51" s="278">
        <v>322061.67635020055</v>
      </c>
      <c r="U51" s="278">
        <v>0</v>
      </c>
      <c r="V51" s="278">
        <v>-322061.67635020032</v>
      </c>
      <c r="W51" s="278">
        <v>-644123.35270040075</v>
      </c>
      <c r="X51" s="278">
        <v>-966185.02905060106</v>
      </c>
      <c r="Y51" s="278">
        <v>-1288246.7054008017</v>
      </c>
      <c r="Z51" s="279">
        <v>-1610308.3817510018</v>
      </c>
      <c r="AB51" s="282" t="str">
        <f t="shared" si="3"/>
        <v>40Y</v>
      </c>
      <c r="AC51" s="278">
        <f ca="1">IF(ABS(P51-C51)&gt;SnapshotTolerance,1,0)</f>
        <v>0</v>
      </c>
      <c r="AD51" s="278">
        <f ca="1">IF(ABS(Q51-D51)&gt;SnapshotTolerance,1,0)</f>
        <v>0</v>
      </c>
      <c r="AE51" s="278">
        <f ca="1">IF(ABS(R51-E51)&gt;SnapshotTolerance,1,0)</f>
        <v>0</v>
      </c>
      <c r="AF51" s="278">
        <f ca="1">IF(ABS(S51-F51)&gt;SnapshotTolerance,1,0)</f>
        <v>0</v>
      </c>
      <c r="AG51" s="278">
        <f ca="1">IF(ABS(T51-G51)&gt;SnapshotTolerance,1,0)</f>
        <v>0</v>
      </c>
      <c r="AH51" s="278">
        <f ca="1">IF(ABS(U51-H51)&gt;SnapshotTolerance,1,0)</f>
        <v>0</v>
      </c>
      <c r="AI51" s="278">
        <f ca="1">IF(ABS(V51-I51)&gt;SnapshotTolerance,1,0)</f>
        <v>0</v>
      </c>
      <c r="AJ51" s="278">
        <f ca="1">IF(ABS(W51-J51)&gt;SnapshotTolerance,1,0)</f>
        <v>0</v>
      </c>
      <c r="AK51" s="278">
        <f ca="1">IF(ABS(X51-K51)&gt;SnapshotTolerance,1,0)</f>
        <v>0</v>
      </c>
      <c r="AL51" s="278">
        <f ca="1">IF(ABS(Y51-L51)&gt;SnapshotTolerance,1,0)</f>
        <v>0</v>
      </c>
      <c r="AM51" s="279">
        <f ca="1">IF(ABS(Z51-M51)&gt;SnapshotTolerance,1,0)</f>
        <v>0</v>
      </c>
    </row>
    <row r="52" spans="2:39">
      <c r="B52" s="282"/>
      <c r="C52" s="278"/>
      <c r="D52" s="278"/>
      <c r="E52" s="278"/>
      <c r="F52" s="278"/>
      <c r="G52" s="278"/>
      <c r="H52" s="278"/>
      <c r="I52" s="278"/>
      <c r="J52" s="278"/>
      <c r="K52" s="278"/>
      <c r="L52" s="278"/>
      <c r="M52" s="279"/>
      <c r="O52" s="282"/>
      <c r="P52" s="278"/>
      <c r="Q52" s="278"/>
      <c r="R52" s="278"/>
      <c r="S52" s="278"/>
      <c r="T52" s="278"/>
      <c r="U52" s="278"/>
      <c r="V52" s="278"/>
      <c r="W52" s="278"/>
      <c r="X52" s="278"/>
      <c r="Y52" s="278"/>
      <c r="Z52" s="279"/>
      <c r="AB52" s="282"/>
      <c r="AC52" s="278"/>
      <c r="AD52" s="278"/>
      <c r="AE52" s="278"/>
      <c r="AF52" s="278"/>
      <c r="AG52" s="278"/>
      <c r="AH52" s="278"/>
      <c r="AI52" s="278"/>
      <c r="AJ52" s="278"/>
      <c r="AK52" s="278"/>
      <c r="AL52" s="278"/>
      <c r="AM52" s="279"/>
    </row>
    <row r="53" spans="2:39">
      <c r="B53" s="282"/>
      <c r="C53" s="278"/>
      <c r="D53" s="278"/>
      <c r="E53" s="278"/>
      <c r="F53" s="278"/>
      <c r="G53" s="278"/>
      <c r="H53" s="278"/>
      <c r="I53" s="278"/>
      <c r="J53" s="278"/>
      <c r="K53" s="278"/>
      <c r="L53" s="278"/>
      <c r="M53" s="279"/>
      <c r="O53" s="282"/>
      <c r="P53" s="278"/>
      <c r="Q53" s="278"/>
      <c r="R53" s="278"/>
      <c r="S53" s="278"/>
      <c r="T53" s="278"/>
      <c r="U53" s="278"/>
      <c r="V53" s="278"/>
      <c r="W53" s="278"/>
      <c r="X53" s="278"/>
      <c r="Y53" s="278"/>
      <c r="Z53" s="279"/>
      <c r="AB53" s="282"/>
      <c r="AC53" s="278"/>
      <c r="AD53" s="278"/>
      <c r="AE53" s="278"/>
      <c r="AF53" s="278"/>
      <c r="AG53" s="278"/>
      <c r="AH53" s="278"/>
      <c r="AI53" s="278"/>
      <c r="AJ53" s="278"/>
      <c r="AK53" s="278"/>
      <c r="AL53" s="278"/>
      <c r="AM53" s="279"/>
    </row>
    <row r="54" spans="2:39">
      <c r="B54" s="282"/>
      <c r="C54" s="278"/>
      <c r="D54" s="278"/>
      <c r="E54" s="278"/>
      <c r="F54" s="278"/>
      <c r="G54" s="278"/>
      <c r="H54" s="278"/>
      <c r="I54" s="278"/>
      <c r="J54" s="278"/>
      <c r="K54" s="278"/>
      <c r="L54" s="278"/>
      <c r="M54" s="279"/>
      <c r="O54" s="282"/>
      <c r="P54" s="278"/>
      <c r="Q54" s="278"/>
      <c r="R54" s="278"/>
      <c r="S54" s="278"/>
      <c r="T54" s="278"/>
      <c r="U54" s="278"/>
      <c r="V54" s="278"/>
      <c r="W54" s="278"/>
      <c r="X54" s="278"/>
      <c r="Y54" s="278"/>
      <c r="Z54" s="279"/>
      <c r="AB54" s="282"/>
      <c r="AC54" s="278"/>
      <c r="AD54" s="278"/>
      <c r="AE54" s="278"/>
      <c r="AF54" s="278"/>
      <c r="AG54" s="278"/>
      <c r="AH54" s="278"/>
      <c r="AI54" s="278"/>
      <c r="AJ54" s="278"/>
      <c r="AK54" s="278"/>
      <c r="AL54" s="278"/>
      <c r="AM54" s="279"/>
    </row>
    <row r="55" spans="2:39">
      <c r="B55" s="283"/>
      <c r="C55" s="280"/>
      <c r="D55" s="280"/>
      <c r="E55" s="280"/>
      <c r="F55" s="280"/>
      <c r="G55" s="280"/>
      <c r="H55" s="280"/>
      <c r="I55" s="280"/>
      <c r="J55" s="280"/>
      <c r="K55" s="280"/>
      <c r="L55" s="280"/>
      <c r="M55" s="281"/>
      <c r="O55" s="283"/>
      <c r="P55" s="280"/>
      <c r="Q55" s="280"/>
      <c r="R55" s="280"/>
      <c r="S55" s="280"/>
      <c r="T55" s="280"/>
      <c r="U55" s="280"/>
      <c r="V55" s="280"/>
      <c r="W55" s="280"/>
      <c r="X55" s="280"/>
      <c r="Y55" s="280"/>
      <c r="Z55" s="281"/>
      <c r="AB55" s="283"/>
      <c r="AC55" s="280"/>
      <c r="AD55" s="280"/>
      <c r="AE55" s="280"/>
      <c r="AF55" s="280"/>
      <c r="AG55" s="280"/>
      <c r="AH55" s="280"/>
      <c r="AI55" s="280"/>
      <c r="AJ55" s="280"/>
      <c r="AK55" s="280"/>
      <c r="AL55" s="280"/>
      <c r="AM55" s="281"/>
    </row>
    <row r="58" spans="2:39">
      <c r="B58" t="s">
        <v>527</v>
      </c>
      <c r="E58" t="s">
        <v>472</v>
      </c>
    </row>
    <row r="59" spans="2:39">
      <c r="B59" t="s">
        <v>528</v>
      </c>
      <c r="E59" s="252">
        <f ca="1">SUM(AC64:AM82)</f>
        <v>0</v>
      </c>
    </row>
    <row r="60" spans="2:39">
      <c r="B60" t="s">
        <v>532</v>
      </c>
    </row>
    <row r="62" spans="2:39">
      <c r="B62" t="s">
        <v>510</v>
      </c>
      <c r="O62" t="s">
        <v>470</v>
      </c>
      <c r="AB62" t="s">
        <v>511</v>
      </c>
    </row>
    <row r="63" spans="2:39">
      <c r="B63" s="254" t="str">
        <f>'JPY Swap PVs'!AG3</f>
        <v>Term</v>
      </c>
      <c r="C63" s="276">
        <f>'JPY Swap PVs'!AH3</f>
        <v>-0.05</v>
      </c>
      <c r="D63" s="276">
        <f>'JPY Swap PVs'!AI3</f>
        <v>-0.04</v>
      </c>
      <c r="E63" s="276">
        <f>'JPY Swap PVs'!AJ3</f>
        <v>-0.03</v>
      </c>
      <c r="F63" s="276">
        <f>'JPY Swap PVs'!AK3</f>
        <v>-1.9999999999999997E-2</v>
      </c>
      <c r="G63" s="276">
        <f>'JPY Swap PVs'!AL3</f>
        <v>-9.9999999999999967E-3</v>
      </c>
      <c r="H63" s="276">
        <f>'JPY Swap PVs'!AM3</f>
        <v>0</v>
      </c>
      <c r="I63" s="276">
        <f>'JPY Swap PVs'!AN3</f>
        <v>0.01</v>
      </c>
      <c r="J63" s="276">
        <f>'JPY Swap PVs'!AO3</f>
        <v>0.02</v>
      </c>
      <c r="K63" s="276">
        <f>'JPY Swap PVs'!AP3</f>
        <v>0.03</v>
      </c>
      <c r="L63" s="276">
        <f>'JPY Swap PVs'!AQ3</f>
        <v>0.04</v>
      </c>
      <c r="M63" s="277">
        <f>'JPY Swap PVs'!AR3</f>
        <v>0.05</v>
      </c>
      <c r="O63" s="254" t="s">
        <v>76</v>
      </c>
      <c r="P63" s="276">
        <v>-0.05</v>
      </c>
      <c r="Q63" s="276">
        <v>-0.04</v>
      </c>
      <c r="R63" s="276">
        <v>-0.03</v>
      </c>
      <c r="S63" s="276">
        <v>-1.9999999999999997E-2</v>
      </c>
      <c r="T63" s="276">
        <v>-9.9999999999999967E-3</v>
      </c>
      <c r="U63" s="276">
        <v>0</v>
      </c>
      <c r="V63" s="276">
        <v>0.01</v>
      </c>
      <c r="W63" s="276">
        <v>0.02</v>
      </c>
      <c r="X63" s="276">
        <v>0.03</v>
      </c>
      <c r="Y63" s="276">
        <v>0.04</v>
      </c>
      <c r="Z63" s="277">
        <v>0.05</v>
      </c>
      <c r="AB63" s="254" t="str">
        <f>O63</f>
        <v>Term</v>
      </c>
      <c r="AC63" s="276">
        <f>P63</f>
        <v>-0.05</v>
      </c>
      <c r="AD63" s="276">
        <f t="shared" ref="AD63:AM63" si="4">Q63</f>
        <v>-0.04</v>
      </c>
      <c r="AE63" s="276">
        <f t="shared" si="4"/>
        <v>-0.03</v>
      </c>
      <c r="AF63" s="276">
        <f t="shared" si="4"/>
        <v>-1.9999999999999997E-2</v>
      </c>
      <c r="AG63" s="276">
        <f t="shared" si="4"/>
        <v>-9.9999999999999967E-3</v>
      </c>
      <c r="AH63" s="276">
        <f t="shared" si="4"/>
        <v>0</v>
      </c>
      <c r="AI63" s="276">
        <f t="shared" si="4"/>
        <v>0.01</v>
      </c>
      <c r="AJ63" s="276">
        <f t="shared" si="4"/>
        <v>0.02</v>
      </c>
      <c r="AK63" s="276">
        <f t="shared" si="4"/>
        <v>0.03</v>
      </c>
      <c r="AL63" s="276">
        <f t="shared" si="4"/>
        <v>0.04</v>
      </c>
      <c r="AM63" s="277">
        <f t="shared" si="4"/>
        <v>0.05</v>
      </c>
    </row>
    <row r="64" spans="2:39">
      <c r="B64" s="282" t="str">
        <f>'JPY Swap PVs'!AG4</f>
        <v>3Y</v>
      </c>
      <c r="C64" s="278">
        <f ca="1">'JPY Swap PVs'!AH4</f>
        <v>150218.91320938821</v>
      </c>
      <c r="D64" s="278">
        <f ca="1">'JPY Swap PVs'!AI4</f>
        <v>120175.13056751055</v>
      </c>
      <c r="E64" s="278">
        <f ca="1">'JPY Swap PVs'!AJ4</f>
        <v>90131.347925632916</v>
      </c>
      <c r="F64" s="278">
        <f ca="1">'JPY Swap PVs'!AK4</f>
        <v>60087.565283755284</v>
      </c>
      <c r="G64" s="278">
        <f ca="1">'JPY Swap PVs'!AL4</f>
        <v>30043.782641877668</v>
      </c>
      <c r="H64" s="278">
        <f ca="1">'JPY Swap PVs'!AM4</f>
        <v>4.4235448637408581E-11</v>
      </c>
      <c r="I64" s="278">
        <f ca="1">'JPY Swap PVs'!AN4</f>
        <v>-30043.782641877584</v>
      </c>
      <c r="J64" s="278">
        <f ca="1">'JPY Swap PVs'!AO4</f>
        <v>-60087.565283755226</v>
      </c>
      <c r="K64" s="278">
        <f ca="1">'JPY Swap PVs'!AP4</f>
        <v>-90131.347925632828</v>
      </c>
      <c r="L64" s="278">
        <f ca="1">'JPY Swap PVs'!AQ4</f>
        <v>-120175.13056751048</v>
      </c>
      <c r="M64" s="279">
        <f ca="1">'JPY Swap PVs'!AR4</f>
        <v>-150218.91320938809</v>
      </c>
      <c r="O64" s="282" t="s">
        <v>39</v>
      </c>
      <c r="P64" s="278">
        <v>150218.91320938821</v>
      </c>
      <c r="Q64" s="278">
        <v>120175.13056751055</v>
      </c>
      <c r="R64" s="278">
        <v>90131.347925632916</v>
      </c>
      <c r="S64" s="278">
        <v>60087.565283755284</v>
      </c>
      <c r="T64" s="278">
        <v>30043.782641877668</v>
      </c>
      <c r="U64" s="278">
        <v>4.4235448637408581E-11</v>
      </c>
      <c r="V64" s="278">
        <v>-30043.782641877584</v>
      </c>
      <c r="W64" s="278">
        <v>-60087.565283755226</v>
      </c>
      <c r="X64" s="278">
        <v>-90131.347925632828</v>
      </c>
      <c r="Y64" s="278">
        <v>-120175.13056751048</v>
      </c>
      <c r="Z64" s="279">
        <v>-150218.91320938809</v>
      </c>
      <c r="AB64" s="282" t="str">
        <f t="shared" ref="AB64:AB82" si="5">O64</f>
        <v>3Y</v>
      </c>
      <c r="AC64" s="278">
        <f ca="1">IF(ABS(P64-C64)&gt;SnapshotTolerance,1,0)</f>
        <v>0</v>
      </c>
      <c r="AD64" s="278">
        <f ca="1">IF(ABS(Q64-D64)&gt;SnapshotTolerance,1,0)</f>
        <v>0</v>
      </c>
      <c r="AE64" s="278">
        <f ca="1">IF(ABS(R64-E64)&gt;SnapshotTolerance,1,0)</f>
        <v>0</v>
      </c>
      <c r="AF64" s="278">
        <f ca="1">IF(ABS(S64-F64)&gt;SnapshotTolerance,1,0)</f>
        <v>0</v>
      </c>
      <c r="AG64" s="278">
        <f ca="1">IF(ABS(T64-G64)&gt;SnapshotTolerance,1,0)</f>
        <v>0</v>
      </c>
      <c r="AH64" s="278">
        <f ca="1">IF(ABS(U64-H64)&gt;SnapshotTolerance,1,0)</f>
        <v>0</v>
      </c>
      <c r="AI64" s="278">
        <f ca="1">IF(ABS(V64-I64)&gt;SnapshotTolerance,1,0)</f>
        <v>0</v>
      </c>
      <c r="AJ64" s="278">
        <f ca="1">IF(ABS(W64-J64)&gt;SnapshotTolerance,1,0)</f>
        <v>0</v>
      </c>
      <c r="AK64" s="278">
        <f ca="1">IF(ABS(X64-K64)&gt;SnapshotTolerance,1,0)</f>
        <v>0</v>
      </c>
      <c r="AL64" s="278">
        <f ca="1">IF(ABS(Y64-L64)&gt;SnapshotTolerance,1,0)</f>
        <v>0</v>
      </c>
      <c r="AM64" s="279">
        <f ca="1">IF(ABS(Z64-M64)&gt;SnapshotTolerance,1,0)</f>
        <v>0</v>
      </c>
    </row>
    <row r="65" spans="2:39">
      <c r="B65" s="282" t="str">
        <f>'JPY Swap PVs'!AG5</f>
        <v>4Y</v>
      </c>
      <c r="C65" s="278">
        <f ca="1">'JPY Swap PVs'!AH5</f>
        <v>199875.20207088446</v>
      </c>
      <c r="D65" s="278">
        <f ca="1">'JPY Swap PVs'!AI5</f>
        <v>159900.16165670758</v>
      </c>
      <c r="E65" s="278">
        <f ca="1">'JPY Swap PVs'!AJ5</f>
        <v>119925.1212425307</v>
      </c>
      <c r="F65" s="278">
        <f ca="1">'JPY Swap PVs'!AK5</f>
        <v>79950.080828353821</v>
      </c>
      <c r="G65" s="278">
        <f ca="1">'JPY Swap PVs'!AL5</f>
        <v>39975.040414176932</v>
      </c>
      <c r="H65" s="278">
        <f ca="1">'JPY Swap PVs'!AM5</f>
        <v>5.8980598183211441E-11</v>
      </c>
      <c r="I65" s="278">
        <f ca="1">'JPY Swap PVs'!AN5</f>
        <v>-39975.040414176823</v>
      </c>
      <c r="J65" s="278">
        <f ca="1">'JPY Swap PVs'!AO5</f>
        <v>-79950.080828353704</v>
      </c>
      <c r="K65" s="278">
        <f ca="1">'JPY Swap PVs'!AP5</f>
        <v>-119925.12124253057</v>
      </c>
      <c r="L65" s="278">
        <f ca="1">'JPY Swap PVs'!AQ5</f>
        <v>-159900.16165670747</v>
      </c>
      <c r="M65" s="279">
        <f ca="1">'JPY Swap PVs'!AR5</f>
        <v>-199875.20207088435</v>
      </c>
      <c r="O65" s="282" t="s">
        <v>35</v>
      </c>
      <c r="P65" s="278">
        <v>199875.20207088446</v>
      </c>
      <c r="Q65" s="278">
        <v>159900.16165670758</v>
      </c>
      <c r="R65" s="278">
        <v>119925.1212425307</v>
      </c>
      <c r="S65" s="278">
        <v>79950.080828353821</v>
      </c>
      <c r="T65" s="278">
        <v>39975.040414176932</v>
      </c>
      <c r="U65" s="278">
        <v>5.8980598183211441E-11</v>
      </c>
      <c r="V65" s="278">
        <v>-39975.040414176823</v>
      </c>
      <c r="W65" s="278">
        <v>-79950.080828353704</v>
      </c>
      <c r="X65" s="278">
        <v>-119925.12124253057</v>
      </c>
      <c r="Y65" s="278">
        <v>-159900.16165670747</v>
      </c>
      <c r="Z65" s="279">
        <v>-199875.20207088435</v>
      </c>
      <c r="AB65" s="282" t="str">
        <f t="shared" si="5"/>
        <v>4Y</v>
      </c>
      <c r="AC65" s="278">
        <f ca="1">IF(ABS(P65-C65)&gt;SnapshotTolerance,1,0)</f>
        <v>0</v>
      </c>
      <c r="AD65" s="278">
        <f ca="1">IF(ABS(Q65-D65)&gt;SnapshotTolerance,1,0)</f>
        <v>0</v>
      </c>
      <c r="AE65" s="278">
        <f ca="1">IF(ABS(R65-E65)&gt;SnapshotTolerance,1,0)</f>
        <v>0</v>
      </c>
      <c r="AF65" s="278">
        <f ca="1">IF(ABS(S65-F65)&gt;SnapshotTolerance,1,0)</f>
        <v>0</v>
      </c>
      <c r="AG65" s="278">
        <f ca="1">IF(ABS(T65-G65)&gt;SnapshotTolerance,1,0)</f>
        <v>0</v>
      </c>
      <c r="AH65" s="278">
        <f ca="1">IF(ABS(U65-H65)&gt;SnapshotTolerance,1,0)</f>
        <v>0</v>
      </c>
      <c r="AI65" s="278">
        <f ca="1">IF(ABS(V65-I65)&gt;SnapshotTolerance,1,0)</f>
        <v>0</v>
      </c>
      <c r="AJ65" s="278">
        <f ca="1">IF(ABS(W65-J65)&gt;SnapshotTolerance,1,0)</f>
        <v>0</v>
      </c>
      <c r="AK65" s="278">
        <f ca="1">IF(ABS(X65-K65)&gt;SnapshotTolerance,1,0)</f>
        <v>0</v>
      </c>
      <c r="AL65" s="278">
        <f ca="1">IF(ABS(Y65-L65)&gt;SnapshotTolerance,1,0)</f>
        <v>0</v>
      </c>
      <c r="AM65" s="279">
        <f ca="1">IF(ABS(Z65-M65)&gt;SnapshotTolerance,1,0)</f>
        <v>0</v>
      </c>
    </row>
    <row r="66" spans="2:39">
      <c r="B66" s="282" t="str">
        <f>'JPY Swap PVs'!AG6</f>
        <v>5Y</v>
      </c>
      <c r="C66" s="278">
        <f ca="1">'JPY Swap PVs'!AH6</f>
        <v>249500.07077146342</v>
      </c>
      <c r="D66" s="278">
        <f ca="1">'JPY Swap PVs'!AI6</f>
        <v>199600.05661717075</v>
      </c>
      <c r="E66" s="278">
        <f ca="1">'JPY Swap PVs'!AJ6</f>
        <v>149700.04246287807</v>
      </c>
      <c r="F66" s="278">
        <f ca="1">'JPY Swap PVs'!AK6</f>
        <v>99800.028308585432</v>
      </c>
      <c r="G66" s="278">
        <f ca="1">'JPY Swap PVs'!AL6</f>
        <v>49900.01415429281</v>
      </c>
      <c r="H66" s="278">
        <f ca="1">'JPY Swap PVs'!AM6</f>
        <v>1.8561541192951836E-10</v>
      </c>
      <c r="I66" s="278">
        <f ca="1">'JPY Swap PVs'!AN6</f>
        <v>-49900.014154292461</v>
      </c>
      <c r="J66" s="278">
        <f ca="1">'JPY Swap PVs'!AO6</f>
        <v>-99800.028308585097</v>
      </c>
      <c r="K66" s="278">
        <f ca="1">'JPY Swap PVs'!AP6</f>
        <v>-149700.04246287773</v>
      </c>
      <c r="L66" s="278">
        <f ca="1">'JPY Swap PVs'!AQ6</f>
        <v>-199600.05661717037</v>
      </c>
      <c r="M66" s="279">
        <f ca="1">'JPY Swap PVs'!AR6</f>
        <v>-249500.07077146301</v>
      </c>
      <c r="O66" s="282" t="s">
        <v>33</v>
      </c>
      <c r="P66" s="278">
        <v>249500.07077146342</v>
      </c>
      <c r="Q66" s="278">
        <v>199600.05661717075</v>
      </c>
      <c r="R66" s="278">
        <v>149700.04246287807</v>
      </c>
      <c r="S66" s="278">
        <v>99800.028308585432</v>
      </c>
      <c r="T66" s="278">
        <v>49900.01415429281</v>
      </c>
      <c r="U66" s="278">
        <v>1.8561541192951836E-10</v>
      </c>
      <c r="V66" s="278">
        <v>-49900.014154292461</v>
      </c>
      <c r="W66" s="278">
        <v>-99800.028308585097</v>
      </c>
      <c r="X66" s="278">
        <v>-149700.04246287773</v>
      </c>
      <c r="Y66" s="278">
        <v>-199600.05661717037</v>
      </c>
      <c r="Z66" s="279">
        <v>-249500.07077146301</v>
      </c>
      <c r="AB66" s="282" t="str">
        <f t="shared" si="5"/>
        <v>5Y</v>
      </c>
      <c r="AC66" s="278">
        <f ca="1">IF(ABS(P66-C66)&gt;SnapshotTolerance,1,0)</f>
        <v>0</v>
      </c>
      <c r="AD66" s="278">
        <f ca="1">IF(ABS(Q66-D66)&gt;SnapshotTolerance,1,0)</f>
        <v>0</v>
      </c>
      <c r="AE66" s="278">
        <f ca="1">IF(ABS(R66-E66)&gt;SnapshotTolerance,1,0)</f>
        <v>0</v>
      </c>
      <c r="AF66" s="278">
        <f ca="1">IF(ABS(S66-F66)&gt;SnapshotTolerance,1,0)</f>
        <v>0</v>
      </c>
      <c r="AG66" s="278">
        <f ca="1">IF(ABS(T66-G66)&gt;SnapshotTolerance,1,0)</f>
        <v>0</v>
      </c>
      <c r="AH66" s="278">
        <f ca="1">IF(ABS(U66-H66)&gt;SnapshotTolerance,1,0)</f>
        <v>0</v>
      </c>
      <c r="AI66" s="278">
        <f ca="1">IF(ABS(V66-I66)&gt;SnapshotTolerance,1,0)</f>
        <v>0</v>
      </c>
      <c r="AJ66" s="278">
        <f ca="1">IF(ABS(W66-J66)&gt;SnapshotTolerance,1,0)</f>
        <v>0</v>
      </c>
      <c r="AK66" s="278">
        <f ca="1">IF(ABS(X66-K66)&gt;SnapshotTolerance,1,0)</f>
        <v>0</v>
      </c>
      <c r="AL66" s="278">
        <f ca="1">IF(ABS(Y66-L66)&gt;SnapshotTolerance,1,0)</f>
        <v>0</v>
      </c>
      <c r="AM66" s="279">
        <f ca="1">IF(ABS(Z66-M66)&gt;SnapshotTolerance,1,0)</f>
        <v>0</v>
      </c>
    </row>
    <row r="67" spans="2:39">
      <c r="B67" s="282" t="str">
        <f>'JPY Swap PVs'!AG7</f>
        <v>6Y</v>
      </c>
      <c r="C67" s="278">
        <f ca="1">'JPY Swap PVs'!AH7</f>
        <v>298872.69664936652</v>
      </c>
      <c r="D67" s="278">
        <f ca="1">'JPY Swap PVs'!AI7</f>
        <v>239098.15731949321</v>
      </c>
      <c r="E67" s="278">
        <f ca="1">'JPY Swap PVs'!AJ7</f>
        <v>179323.61798961993</v>
      </c>
      <c r="F67" s="278">
        <f ca="1">'JPY Swap PVs'!AK7</f>
        <v>119549.07865974662</v>
      </c>
      <c r="G67" s="278">
        <f ca="1">'JPY Swap PVs'!AL7</f>
        <v>59774.539329873318</v>
      </c>
      <c r="H67" s="278">
        <f ca="1">'JPY Swap PVs'!AM7</f>
        <v>5.2041704279304213E-11</v>
      </c>
      <c r="I67" s="278">
        <f ca="1">'JPY Swap PVs'!AN7</f>
        <v>-59774.539329873238</v>
      </c>
      <c r="J67" s="278">
        <f ca="1">'JPY Swap PVs'!AO7</f>
        <v>-119549.0786597465</v>
      </c>
      <c r="K67" s="278">
        <f ca="1">'JPY Swap PVs'!AP7</f>
        <v>-179323.61798961982</v>
      </c>
      <c r="L67" s="278">
        <f ca="1">'JPY Swap PVs'!AQ7</f>
        <v>-239098.15731949313</v>
      </c>
      <c r="M67" s="279">
        <f ca="1">'JPY Swap PVs'!AR7</f>
        <v>-298872.69664936641</v>
      </c>
      <c r="O67" s="282" t="s">
        <v>131</v>
      </c>
      <c r="P67" s="278">
        <v>298872.69664936652</v>
      </c>
      <c r="Q67" s="278">
        <v>239098.15731949321</v>
      </c>
      <c r="R67" s="278">
        <v>179323.61798961993</v>
      </c>
      <c r="S67" s="278">
        <v>119549.07865974662</v>
      </c>
      <c r="T67" s="278">
        <v>59774.539329873318</v>
      </c>
      <c r="U67" s="278">
        <v>5.2041704279304213E-11</v>
      </c>
      <c r="V67" s="278">
        <v>-59774.539329873238</v>
      </c>
      <c r="W67" s="278">
        <v>-119549.0786597465</v>
      </c>
      <c r="X67" s="278">
        <v>-179323.61798961982</v>
      </c>
      <c r="Y67" s="278">
        <v>-239098.15731949313</v>
      </c>
      <c r="Z67" s="279">
        <v>-298872.69664936641</v>
      </c>
      <c r="AB67" s="282" t="str">
        <f t="shared" si="5"/>
        <v>6Y</v>
      </c>
      <c r="AC67" s="278">
        <f ca="1">IF(ABS(P67-C67)&gt;SnapshotTolerance,1,0)</f>
        <v>0</v>
      </c>
      <c r="AD67" s="278">
        <f ca="1">IF(ABS(Q67-D67)&gt;SnapshotTolerance,1,0)</f>
        <v>0</v>
      </c>
      <c r="AE67" s="278">
        <f ca="1">IF(ABS(R67-E67)&gt;SnapshotTolerance,1,0)</f>
        <v>0</v>
      </c>
      <c r="AF67" s="278">
        <f ca="1">IF(ABS(S67-F67)&gt;SnapshotTolerance,1,0)</f>
        <v>0</v>
      </c>
      <c r="AG67" s="278">
        <f ca="1">IF(ABS(T67-G67)&gt;SnapshotTolerance,1,0)</f>
        <v>0</v>
      </c>
      <c r="AH67" s="278">
        <f ca="1">IF(ABS(U67-H67)&gt;SnapshotTolerance,1,0)</f>
        <v>0</v>
      </c>
      <c r="AI67" s="278">
        <f ca="1">IF(ABS(V67-I67)&gt;SnapshotTolerance,1,0)</f>
        <v>0</v>
      </c>
      <c r="AJ67" s="278">
        <f ca="1">IF(ABS(W67-J67)&gt;SnapshotTolerance,1,0)</f>
        <v>0</v>
      </c>
      <c r="AK67" s="278">
        <f ca="1">IF(ABS(X67-K67)&gt;SnapshotTolerance,1,0)</f>
        <v>0</v>
      </c>
      <c r="AL67" s="278">
        <f ca="1">IF(ABS(Y67-L67)&gt;SnapshotTolerance,1,0)</f>
        <v>0</v>
      </c>
      <c r="AM67" s="279">
        <f ca="1">IF(ABS(Z67-M67)&gt;SnapshotTolerance,1,0)</f>
        <v>0</v>
      </c>
    </row>
    <row r="68" spans="2:39">
      <c r="B68" s="282" t="str">
        <f>'JPY Swap PVs'!AG8</f>
        <v>7Y</v>
      </c>
      <c r="C68" s="278">
        <f ca="1">'JPY Swap PVs'!AH8</f>
        <v>347927.2637247782</v>
      </c>
      <c r="D68" s="278">
        <f ca="1">'JPY Swap PVs'!AI8</f>
        <v>278341.81097982259</v>
      </c>
      <c r="E68" s="278">
        <f ca="1">'JPY Swap PVs'!AJ8</f>
        <v>208756.35823486693</v>
      </c>
      <c r="F68" s="278">
        <f ca="1">'JPY Swap PVs'!AK8</f>
        <v>139170.9054899113</v>
      </c>
      <c r="G68" s="278">
        <f ca="1">'JPY Swap PVs'!AL8</f>
        <v>69585.452744955648</v>
      </c>
      <c r="H68" s="278">
        <f ca="1">'JPY Swap PVs'!AM8</f>
        <v>3.8163916471489756E-11</v>
      </c>
      <c r="I68" s="278">
        <f ca="1">'JPY Swap PVs'!AN8</f>
        <v>-69585.45274495559</v>
      </c>
      <c r="J68" s="278">
        <f ca="1">'JPY Swap PVs'!AO8</f>
        <v>-139170.90548991124</v>
      </c>
      <c r="K68" s="278">
        <f ca="1">'JPY Swap PVs'!AP8</f>
        <v>-208756.35823486684</v>
      </c>
      <c r="L68" s="278">
        <f ca="1">'JPY Swap PVs'!AQ8</f>
        <v>-278341.81097982248</v>
      </c>
      <c r="M68" s="279">
        <f ca="1">'JPY Swap PVs'!AR8</f>
        <v>-347927.26372477814</v>
      </c>
      <c r="O68" s="282" t="s">
        <v>31</v>
      </c>
      <c r="P68" s="278">
        <v>347927.2637247782</v>
      </c>
      <c r="Q68" s="278">
        <v>278341.81097982259</v>
      </c>
      <c r="R68" s="278">
        <v>208756.35823486693</v>
      </c>
      <c r="S68" s="278">
        <v>139170.9054899113</v>
      </c>
      <c r="T68" s="278">
        <v>69585.452744955648</v>
      </c>
      <c r="U68" s="278">
        <v>3.8163916471489756E-11</v>
      </c>
      <c r="V68" s="278">
        <v>-69585.45274495559</v>
      </c>
      <c r="W68" s="278">
        <v>-139170.90548991124</v>
      </c>
      <c r="X68" s="278">
        <v>-208756.35823486684</v>
      </c>
      <c r="Y68" s="278">
        <v>-278341.81097982248</v>
      </c>
      <c r="Z68" s="279">
        <v>-347927.26372477814</v>
      </c>
      <c r="AB68" s="282" t="str">
        <f t="shared" si="5"/>
        <v>7Y</v>
      </c>
      <c r="AC68" s="278">
        <f ca="1">IF(ABS(P68-C68)&gt;SnapshotTolerance,1,0)</f>
        <v>0</v>
      </c>
      <c r="AD68" s="278">
        <f ca="1">IF(ABS(Q68-D68)&gt;SnapshotTolerance,1,0)</f>
        <v>0</v>
      </c>
      <c r="AE68" s="278">
        <f ca="1">IF(ABS(R68-E68)&gt;SnapshotTolerance,1,0)</f>
        <v>0</v>
      </c>
      <c r="AF68" s="278">
        <f ca="1">IF(ABS(S68-F68)&gt;SnapshotTolerance,1,0)</f>
        <v>0</v>
      </c>
      <c r="AG68" s="278">
        <f ca="1">IF(ABS(T68-G68)&gt;SnapshotTolerance,1,0)</f>
        <v>0</v>
      </c>
      <c r="AH68" s="278">
        <f ca="1">IF(ABS(U68-H68)&gt;SnapshotTolerance,1,0)</f>
        <v>0</v>
      </c>
      <c r="AI68" s="278">
        <f ca="1">IF(ABS(V68-I68)&gt;SnapshotTolerance,1,0)</f>
        <v>0</v>
      </c>
      <c r="AJ68" s="278">
        <f ca="1">IF(ABS(W68-J68)&gt;SnapshotTolerance,1,0)</f>
        <v>0</v>
      </c>
      <c r="AK68" s="278">
        <f ca="1">IF(ABS(X68-K68)&gt;SnapshotTolerance,1,0)</f>
        <v>0</v>
      </c>
      <c r="AL68" s="278">
        <f ca="1">IF(ABS(Y68-L68)&gt;SnapshotTolerance,1,0)</f>
        <v>0</v>
      </c>
      <c r="AM68" s="279">
        <f ca="1">IF(ABS(Z68-M68)&gt;SnapshotTolerance,1,0)</f>
        <v>0</v>
      </c>
    </row>
    <row r="69" spans="2:39">
      <c r="B69" s="282" t="str">
        <f>'JPY Swap PVs'!AG9</f>
        <v>8Y</v>
      </c>
      <c r="C69" s="278">
        <f ca="1">'JPY Swap PVs'!AH9</f>
        <v>396998.30049385119</v>
      </c>
      <c r="D69" s="278">
        <f ca="1">'JPY Swap PVs'!AI9</f>
        <v>317598.6403950809</v>
      </c>
      <c r="E69" s="278">
        <f ca="1">'JPY Swap PVs'!AJ9</f>
        <v>238198.98029631068</v>
      </c>
      <c r="F69" s="278">
        <f ca="1">'JPY Swap PVs'!AK9</f>
        <v>158799.32019754042</v>
      </c>
      <c r="G69" s="278">
        <f ca="1">'JPY Swap PVs'!AL9</f>
        <v>79399.660098770168</v>
      </c>
      <c r="H69" s="278">
        <f ca="1">'JPY Swap PVs'!AM9</f>
        <v>-3.4694469519536142E-11</v>
      </c>
      <c r="I69" s="278">
        <f ca="1">'JPY Swap PVs'!AN9</f>
        <v>-79399.66009877027</v>
      </c>
      <c r="J69" s="278">
        <f ca="1">'JPY Swap PVs'!AO9</f>
        <v>-158799.32019754054</v>
      </c>
      <c r="K69" s="278">
        <f ca="1">'JPY Swap PVs'!AP9</f>
        <v>-238198.98029631074</v>
      </c>
      <c r="L69" s="278">
        <f ca="1">'JPY Swap PVs'!AQ9</f>
        <v>-317598.64039508102</v>
      </c>
      <c r="M69" s="279">
        <f ca="1">'JPY Swap PVs'!AR9</f>
        <v>-396998.30049385119</v>
      </c>
      <c r="O69" s="282" t="s">
        <v>119</v>
      </c>
      <c r="P69" s="278">
        <v>396998.30049385119</v>
      </c>
      <c r="Q69" s="278">
        <v>317598.6403950809</v>
      </c>
      <c r="R69" s="278">
        <v>238198.98029631068</v>
      </c>
      <c r="S69" s="278">
        <v>158799.32019754042</v>
      </c>
      <c r="T69" s="278">
        <v>79399.660098770168</v>
      </c>
      <c r="U69" s="278">
        <v>-3.4694469519536142E-11</v>
      </c>
      <c r="V69" s="278">
        <v>-79399.66009877027</v>
      </c>
      <c r="W69" s="278">
        <v>-158799.32019754054</v>
      </c>
      <c r="X69" s="278">
        <v>-238198.98029631074</v>
      </c>
      <c r="Y69" s="278">
        <v>-317598.64039508102</v>
      </c>
      <c r="Z69" s="279">
        <v>-396998.30049385119</v>
      </c>
      <c r="AB69" s="282" t="str">
        <f t="shared" si="5"/>
        <v>8Y</v>
      </c>
      <c r="AC69" s="278">
        <f ca="1">IF(ABS(P69-C69)&gt;SnapshotTolerance,1,0)</f>
        <v>0</v>
      </c>
      <c r="AD69" s="278">
        <f ca="1">IF(ABS(Q69-D69)&gt;SnapshotTolerance,1,0)</f>
        <v>0</v>
      </c>
      <c r="AE69" s="278">
        <f ca="1">IF(ABS(R69-E69)&gt;SnapshotTolerance,1,0)</f>
        <v>0</v>
      </c>
      <c r="AF69" s="278">
        <f ca="1">IF(ABS(S69-F69)&gt;SnapshotTolerance,1,0)</f>
        <v>0</v>
      </c>
      <c r="AG69" s="278">
        <f ca="1">IF(ABS(T69-G69)&gt;SnapshotTolerance,1,0)</f>
        <v>0</v>
      </c>
      <c r="AH69" s="278">
        <f ca="1">IF(ABS(U69-H69)&gt;SnapshotTolerance,1,0)</f>
        <v>0</v>
      </c>
      <c r="AI69" s="278">
        <f ca="1">IF(ABS(V69-I69)&gt;SnapshotTolerance,1,0)</f>
        <v>0</v>
      </c>
      <c r="AJ69" s="278">
        <f ca="1">IF(ABS(W69-J69)&gt;SnapshotTolerance,1,0)</f>
        <v>0</v>
      </c>
      <c r="AK69" s="278">
        <f ca="1">IF(ABS(X69-K69)&gt;SnapshotTolerance,1,0)</f>
        <v>0</v>
      </c>
      <c r="AL69" s="278">
        <f ca="1">IF(ABS(Y69-L69)&gt;SnapshotTolerance,1,0)</f>
        <v>0</v>
      </c>
      <c r="AM69" s="279">
        <f ca="1">IF(ABS(Z69-M69)&gt;SnapshotTolerance,1,0)</f>
        <v>0</v>
      </c>
    </row>
    <row r="70" spans="2:39">
      <c r="B70" s="282" t="str">
        <f>'JPY Swap PVs'!AG10</f>
        <v>9Y</v>
      </c>
      <c r="C70" s="278">
        <f ca="1">'JPY Swap PVs'!AH10</f>
        <v>445100.62572520424</v>
      </c>
      <c r="D70" s="278">
        <f ca="1">'JPY Swap PVs'!AI10</f>
        <v>356080.50058016338</v>
      </c>
      <c r="E70" s="278">
        <f ca="1">'JPY Swap PVs'!AJ10</f>
        <v>267060.37543512252</v>
      </c>
      <c r="F70" s="278">
        <f ca="1">'JPY Swap PVs'!AK10</f>
        <v>178040.25029008169</v>
      </c>
      <c r="G70" s="278">
        <f ca="1">'JPY Swap PVs'!AL10</f>
        <v>89020.125145040874</v>
      </c>
      <c r="H70" s="278">
        <f ca="1">'JPY Swap PVs'!AM10</f>
        <v>6.9388939039072284E-11</v>
      </c>
      <c r="I70" s="278">
        <f ca="1">'JPY Swap PVs'!AN10</f>
        <v>-89020.125145040758</v>
      </c>
      <c r="J70" s="278">
        <f ca="1">'JPY Swap PVs'!AO10</f>
        <v>-178040.2502900816</v>
      </c>
      <c r="K70" s="278">
        <f ca="1">'JPY Swap PVs'!AP10</f>
        <v>-267060.37543512241</v>
      </c>
      <c r="L70" s="278">
        <f ca="1">'JPY Swap PVs'!AQ10</f>
        <v>-356080.50058016327</v>
      </c>
      <c r="M70" s="279">
        <f ca="1">'JPY Swap PVs'!AR10</f>
        <v>-445100.62572520401</v>
      </c>
      <c r="O70" s="282" t="s">
        <v>113</v>
      </c>
      <c r="P70" s="278">
        <v>445100.62572520424</v>
      </c>
      <c r="Q70" s="278">
        <v>356080.50058016338</v>
      </c>
      <c r="R70" s="278">
        <v>267060.37543512252</v>
      </c>
      <c r="S70" s="278">
        <v>178040.25029008169</v>
      </c>
      <c r="T70" s="278">
        <v>89020.125145040874</v>
      </c>
      <c r="U70" s="278">
        <v>6.9388939039072284E-11</v>
      </c>
      <c r="V70" s="278">
        <v>-89020.125145040758</v>
      </c>
      <c r="W70" s="278">
        <v>-178040.2502900816</v>
      </c>
      <c r="X70" s="278">
        <v>-267060.37543512241</v>
      </c>
      <c r="Y70" s="278">
        <v>-356080.50058016327</v>
      </c>
      <c r="Z70" s="279">
        <v>-445100.62572520401</v>
      </c>
      <c r="AB70" s="282" t="str">
        <f t="shared" si="5"/>
        <v>9Y</v>
      </c>
      <c r="AC70" s="278">
        <f ca="1">IF(ABS(P70-C70)&gt;SnapshotTolerance,1,0)</f>
        <v>0</v>
      </c>
      <c r="AD70" s="278">
        <f ca="1">IF(ABS(Q70-D70)&gt;SnapshotTolerance,1,0)</f>
        <v>0</v>
      </c>
      <c r="AE70" s="278">
        <f ca="1">IF(ABS(R70-E70)&gt;SnapshotTolerance,1,0)</f>
        <v>0</v>
      </c>
      <c r="AF70" s="278">
        <f ca="1">IF(ABS(S70-F70)&gt;SnapshotTolerance,1,0)</f>
        <v>0</v>
      </c>
      <c r="AG70" s="278">
        <f ca="1">IF(ABS(T70-G70)&gt;SnapshotTolerance,1,0)</f>
        <v>0</v>
      </c>
      <c r="AH70" s="278">
        <f ca="1">IF(ABS(U70-H70)&gt;SnapshotTolerance,1,0)</f>
        <v>0</v>
      </c>
      <c r="AI70" s="278">
        <f ca="1">IF(ABS(V70-I70)&gt;SnapshotTolerance,1,0)</f>
        <v>0</v>
      </c>
      <c r="AJ70" s="278">
        <f ca="1">IF(ABS(W70-J70)&gt;SnapshotTolerance,1,0)</f>
        <v>0</v>
      </c>
      <c r="AK70" s="278">
        <f ca="1">IF(ABS(X70-K70)&gt;SnapshotTolerance,1,0)</f>
        <v>0</v>
      </c>
      <c r="AL70" s="278">
        <f ca="1">IF(ABS(Y70-L70)&gt;SnapshotTolerance,1,0)</f>
        <v>0</v>
      </c>
      <c r="AM70" s="279">
        <f ca="1">IF(ABS(Z70-M70)&gt;SnapshotTolerance,1,0)</f>
        <v>0</v>
      </c>
    </row>
    <row r="71" spans="2:39">
      <c r="B71" s="282" t="str">
        <f>'JPY Swap PVs'!AG11</f>
        <v>10Y</v>
      </c>
      <c r="C71" s="278">
        <f ca="1">'JPY Swap PVs'!AH11</f>
        <v>492704.8183793443</v>
      </c>
      <c r="D71" s="278">
        <f ca="1">'JPY Swap PVs'!AI11</f>
        <v>394163.85470347537</v>
      </c>
      <c r="E71" s="278">
        <f ca="1">'JPY Swap PVs'!AJ11</f>
        <v>295622.8910276065</v>
      </c>
      <c r="F71" s="278">
        <f ca="1">'JPY Swap PVs'!AK11</f>
        <v>197081.92735173766</v>
      </c>
      <c r="G71" s="278">
        <f ca="1">'JPY Swap PVs'!AL11</f>
        <v>98540.963675868814</v>
      </c>
      <c r="H71" s="278">
        <f ca="1">'JPY Swap PVs'!AM11</f>
        <v>1.3877787807814457E-11</v>
      </c>
      <c r="I71" s="278">
        <f ca="1">'JPY Swap PVs'!AN11</f>
        <v>-98540.963675868814</v>
      </c>
      <c r="J71" s="278">
        <f ca="1">'JPY Swap PVs'!AO11</f>
        <v>-197081.92735173766</v>
      </c>
      <c r="K71" s="278">
        <f ca="1">'JPY Swap PVs'!AP11</f>
        <v>-295622.89102760644</v>
      </c>
      <c r="L71" s="278">
        <f ca="1">'JPY Swap PVs'!AQ11</f>
        <v>-394163.85470347537</v>
      </c>
      <c r="M71" s="279">
        <f ca="1">'JPY Swap PVs'!AR11</f>
        <v>-492704.81837934413</v>
      </c>
      <c r="O71" s="282" t="s">
        <v>28</v>
      </c>
      <c r="P71" s="278">
        <v>492704.8183793443</v>
      </c>
      <c r="Q71" s="278">
        <v>394163.85470347537</v>
      </c>
      <c r="R71" s="278">
        <v>295622.8910276065</v>
      </c>
      <c r="S71" s="278">
        <v>197081.92735173766</v>
      </c>
      <c r="T71" s="278">
        <v>98540.963675868814</v>
      </c>
      <c r="U71" s="278">
        <v>1.3877787807814457E-11</v>
      </c>
      <c r="V71" s="278">
        <v>-98540.963675868814</v>
      </c>
      <c r="W71" s="278">
        <v>-197081.92735173766</v>
      </c>
      <c r="X71" s="278">
        <v>-295622.89102760644</v>
      </c>
      <c r="Y71" s="278">
        <v>-394163.85470347537</v>
      </c>
      <c r="Z71" s="279">
        <v>-492704.81837934413</v>
      </c>
      <c r="AB71" s="282" t="str">
        <f t="shared" si="5"/>
        <v>10Y</v>
      </c>
      <c r="AC71" s="278">
        <f ca="1">IF(ABS(P71-C71)&gt;SnapshotTolerance,1,0)</f>
        <v>0</v>
      </c>
      <c r="AD71" s="278">
        <f ca="1">IF(ABS(Q71-D71)&gt;SnapshotTolerance,1,0)</f>
        <v>0</v>
      </c>
      <c r="AE71" s="278">
        <f ca="1">IF(ABS(R71-E71)&gt;SnapshotTolerance,1,0)</f>
        <v>0</v>
      </c>
      <c r="AF71" s="278">
        <f ca="1">IF(ABS(S71-F71)&gt;SnapshotTolerance,1,0)</f>
        <v>0</v>
      </c>
      <c r="AG71" s="278">
        <f ca="1">IF(ABS(T71-G71)&gt;SnapshotTolerance,1,0)</f>
        <v>0</v>
      </c>
      <c r="AH71" s="278">
        <f ca="1">IF(ABS(U71-H71)&gt;SnapshotTolerance,1,0)</f>
        <v>0</v>
      </c>
      <c r="AI71" s="278">
        <f ca="1">IF(ABS(V71-I71)&gt;SnapshotTolerance,1,0)</f>
        <v>0</v>
      </c>
      <c r="AJ71" s="278">
        <f ca="1">IF(ABS(W71-J71)&gt;SnapshotTolerance,1,0)</f>
        <v>0</v>
      </c>
      <c r="AK71" s="278">
        <f ca="1">IF(ABS(X71-K71)&gt;SnapshotTolerance,1,0)</f>
        <v>0</v>
      </c>
      <c r="AL71" s="278">
        <f ca="1">IF(ABS(Y71-L71)&gt;SnapshotTolerance,1,0)</f>
        <v>0</v>
      </c>
      <c r="AM71" s="279">
        <f ca="1">IF(ABS(Z71-M71)&gt;SnapshotTolerance,1,0)</f>
        <v>0</v>
      </c>
    </row>
    <row r="72" spans="2:39">
      <c r="B72" s="282" t="str">
        <f>'JPY Swap PVs'!AG12</f>
        <v>12Y</v>
      </c>
      <c r="C72" s="278">
        <f ca="1">'JPY Swap PVs'!AH12</f>
        <v>586427.41626273922</v>
      </c>
      <c r="D72" s="278">
        <f ca="1">'JPY Swap PVs'!AI12</f>
        <v>469141.93301019125</v>
      </c>
      <c r="E72" s="278">
        <f ca="1">'JPY Swap PVs'!AJ12</f>
        <v>351856.44975764339</v>
      </c>
      <c r="F72" s="278">
        <f ca="1">'JPY Swap PVs'!AK12</f>
        <v>234570.96650509557</v>
      </c>
      <c r="G72" s="278">
        <f ca="1">'JPY Swap PVs'!AL12</f>
        <v>117285.48325254772</v>
      </c>
      <c r="H72" s="278">
        <f ca="1">'JPY Swap PVs'!AM12</f>
        <v>-5.5511151231257827E-11</v>
      </c>
      <c r="I72" s="278">
        <f ca="1">'JPY Swap PVs'!AN12</f>
        <v>-117285.4832525479</v>
      </c>
      <c r="J72" s="278">
        <f ca="1">'JPY Swap PVs'!AO12</f>
        <v>-234570.96650509574</v>
      </c>
      <c r="K72" s="278">
        <f ca="1">'JPY Swap PVs'!AP12</f>
        <v>-351856.44975764357</v>
      </c>
      <c r="L72" s="278">
        <f ca="1">'JPY Swap PVs'!AQ12</f>
        <v>-469141.93301019137</v>
      </c>
      <c r="M72" s="279">
        <f ca="1">'JPY Swap PVs'!AR12</f>
        <v>-586427.41626273934</v>
      </c>
      <c r="O72" s="282" t="s">
        <v>26</v>
      </c>
      <c r="P72" s="278">
        <v>586427.41626273922</v>
      </c>
      <c r="Q72" s="278">
        <v>469141.93301019125</v>
      </c>
      <c r="R72" s="278">
        <v>351856.44975764339</v>
      </c>
      <c r="S72" s="278">
        <v>234570.96650509557</v>
      </c>
      <c r="T72" s="278">
        <v>117285.48325254772</v>
      </c>
      <c r="U72" s="278">
        <v>-5.5511151231257827E-11</v>
      </c>
      <c r="V72" s="278">
        <v>-117285.4832525479</v>
      </c>
      <c r="W72" s="278">
        <v>-234570.96650509574</v>
      </c>
      <c r="X72" s="278">
        <v>-351856.44975764357</v>
      </c>
      <c r="Y72" s="278">
        <v>-469141.93301019137</v>
      </c>
      <c r="Z72" s="279">
        <v>-586427.41626273934</v>
      </c>
      <c r="AB72" s="282" t="str">
        <f t="shared" si="5"/>
        <v>12Y</v>
      </c>
      <c r="AC72" s="278">
        <f ca="1">IF(ABS(P72-C72)&gt;SnapshotTolerance,1,0)</f>
        <v>0</v>
      </c>
      <c r="AD72" s="278">
        <f ca="1">IF(ABS(Q72-D72)&gt;SnapshotTolerance,1,0)</f>
        <v>0</v>
      </c>
      <c r="AE72" s="278">
        <f ca="1">IF(ABS(R72-E72)&gt;SnapshotTolerance,1,0)</f>
        <v>0</v>
      </c>
      <c r="AF72" s="278">
        <f ca="1">IF(ABS(S72-F72)&gt;SnapshotTolerance,1,0)</f>
        <v>0</v>
      </c>
      <c r="AG72" s="278">
        <f ca="1">IF(ABS(T72-G72)&gt;SnapshotTolerance,1,0)</f>
        <v>0</v>
      </c>
      <c r="AH72" s="278">
        <f ca="1">IF(ABS(U72-H72)&gt;SnapshotTolerance,1,0)</f>
        <v>0</v>
      </c>
      <c r="AI72" s="278">
        <f ca="1">IF(ABS(V72-I72)&gt;SnapshotTolerance,1,0)</f>
        <v>0</v>
      </c>
      <c r="AJ72" s="278">
        <f ca="1">IF(ABS(W72-J72)&gt;SnapshotTolerance,1,0)</f>
        <v>0</v>
      </c>
      <c r="AK72" s="278">
        <f ca="1">IF(ABS(X72-K72)&gt;SnapshotTolerance,1,0)</f>
        <v>0</v>
      </c>
      <c r="AL72" s="278">
        <f ca="1">IF(ABS(Y72-L72)&gt;SnapshotTolerance,1,0)</f>
        <v>0</v>
      </c>
      <c r="AM72" s="279">
        <f ca="1">IF(ABS(Z72-M72)&gt;SnapshotTolerance,1,0)</f>
        <v>0</v>
      </c>
    </row>
    <row r="73" spans="2:39">
      <c r="B73" s="282" t="str">
        <f>'JPY Swap PVs'!AG13</f>
        <v>15Y</v>
      </c>
      <c r="C73" s="278">
        <f ca="1">'JPY Swap PVs'!AH13</f>
        <v>721861.46365523827</v>
      </c>
      <c r="D73" s="278">
        <f ca="1">'JPY Swap PVs'!AI13</f>
        <v>577489.17092419055</v>
      </c>
      <c r="E73" s="278">
        <f ca="1">'JPY Swap PVs'!AJ13</f>
        <v>433116.87819314282</v>
      </c>
      <c r="F73" s="278">
        <f ca="1">'JPY Swap PVs'!AK13</f>
        <v>288744.5854620951</v>
      </c>
      <c r="G73" s="278">
        <f ca="1">'JPY Swap PVs'!AL13</f>
        <v>144372.29273104743</v>
      </c>
      <c r="H73" s="278">
        <f ca="1">'JPY Swap PVs'!AM13</f>
        <v>-2.2204460492503131E-10</v>
      </c>
      <c r="I73" s="278">
        <f ca="1">'JPY Swap PVs'!AN13</f>
        <v>-144372.29273104787</v>
      </c>
      <c r="J73" s="278">
        <f ca="1">'JPY Swap PVs'!AO13</f>
        <v>-288744.58546209557</v>
      </c>
      <c r="K73" s="278">
        <f ca="1">'JPY Swap PVs'!AP13</f>
        <v>-433116.87819314317</v>
      </c>
      <c r="L73" s="278">
        <f ca="1">'JPY Swap PVs'!AQ13</f>
        <v>-577489.1709241909</v>
      </c>
      <c r="M73" s="279">
        <f ca="1">'JPY Swap PVs'!AR13</f>
        <v>-721861.46365523851</v>
      </c>
      <c r="O73" s="282" t="s">
        <v>24</v>
      </c>
      <c r="P73" s="278">
        <v>721861.46365523827</v>
      </c>
      <c r="Q73" s="278">
        <v>577489.17092419055</v>
      </c>
      <c r="R73" s="278">
        <v>433116.87819314282</v>
      </c>
      <c r="S73" s="278">
        <v>288744.5854620951</v>
      </c>
      <c r="T73" s="278">
        <v>144372.29273104743</v>
      </c>
      <c r="U73" s="278">
        <v>-2.2204460492503131E-10</v>
      </c>
      <c r="V73" s="278">
        <v>-144372.29273104787</v>
      </c>
      <c r="W73" s="278">
        <v>-288744.58546209557</v>
      </c>
      <c r="X73" s="278">
        <v>-433116.87819314317</v>
      </c>
      <c r="Y73" s="278">
        <v>-577489.1709241909</v>
      </c>
      <c r="Z73" s="279">
        <v>-721861.46365523851</v>
      </c>
      <c r="AB73" s="282" t="str">
        <f t="shared" si="5"/>
        <v>15Y</v>
      </c>
      <c r="AC73" s="278">
        <f ca="1">IF(ABS(P73-C73)&gt;SnapshotTolerance,1,0)</f>
        <v>0</v>
      </c>
      <c r="AD73" s="278">
        <f ca="1">IF(ABS(Q73-D73)&gt;SnapshotTolerance,1,0)</f>
        <v>0</v>
      </c>
      <c r="AE73" s="278">
        <f ca="1">IF(ABS(R73-E73)&gt;SnapshotTolerance,1,0)</f>
        <v>0</v>
      </c>
      <c r="AF73" s="278">
        <f ca="1">IF(ABS(S73-F73)&gt;SnapshotTolerance,1,0)</f>
        <v>0</v>
      </c>
      <c r="AG73" s="278">
        <f ca="1">IF(ABS(T73-G73)&gt;SnapshotTolerance,1,0)</f>
        <v>0</v>
      </c>
      <c r="AH73" s="278">
        <f ca="1">IF(ABS(U73-H73)&gt;SnapshotTolerance,1,0)</f>
        <v>0</v>
      </c>
      <c r="AI73" s="278">
        <f ca="1">IF(ABS(V73-I73)&gt;SnapshotTolerance,1,0)</f>
        <v>0</v>
      </c>
      <c r="AJ73" s="278">
        <f ca="1">IF(ABS(W73-J73)&gt;SnapshotTolerance,1,0)</f>
        <v>0</v>
      </c>
      <c r="AK73" s="278">
        <f ca="1">IF(ABS(X73-K73)&gt;SnapshotTolerance,1,0)</f>
        <v>0</v>
      </c>
      <c r="AL73" s="278">
        <f ca="1">IF(ABS(Y73-L73)&gt;SnapshotTolerance,1,0)</f>
        <v>0</v>
      </c>
      <c r="AM73" s="279">
        <f ca="1">IF(ABS(Z73-M73)&gt;SnapshotTolerance,1,0)</f>
        <v>0</v>
      </c>
    </row>
    <row r="74" spans="2:39">
      <c r="B74" s="282" t="str">
        <f>'JPY Swap PVs'!AG14</f>
        <v>20Y</v>
      </c>
      <c r="C74" s="278">
        <f ca="1">'JPY Swap PVs'!AH14</f>
        <v>930300.79110236035</v>
      </c>
      <c r="D74" s="278">
        <f ca="1">'JPY Swap PVs'!AI14</f>
        <v>744240.63288188819</v>
      </c>
      <c r="E74" s="278">
        <f ca="1">'JPY Swap PVs'!AJ14</f>
        <v>558180.47466141614</v>
      </c>
      <c r="F74" s="278">
        <f ca="1">'JPY Swap PVs'!AK14</f>
        <v>372120.31644094409</v>
      </c>
      <c r="G74" s="278">
        <f ca="1">'JPY Swap PVs'!AL14</f>
        <v>186060.15822047202</v>
      </c>
      <c r="H74" s="278">
        <f ca="1">'JPY Swap PVs'!AM14</f>
        <v>2.7755575615628914E-11</v>
      </c>
      <c r="I74" s="278">
        <f ca="1">'JPY Swap PVs'!AN14</f>
        <v>-186060.15822047208</v>
      </c>
      <c r="J74" s="278">
        <f ca="1">'JPY Swap PVs'!AO14</f>
        <v>-372120.31644094409</v>
      </c>
      <c r="K74" s="278">
        <f ca="1">'JPY Swap PVs'!AP14</f>
        <v>-558180.47466141614</v>
      </c>
      <c r="L74" s="278">
        <f ca="1">'JPY Swap PVs'!AQ14</f>
        <v>-744240.63288188819</v>
      </c>
      <c r="M74" s="279">
        <f ca="1">'JPY Swap PVs'!AR14</f>
        <v>-930300.79110236024</v>
      </c>
      <c r="O74" s="282" t="s">
        <v>20</v>
      </c>
      <c r="P74" s="278">
        <v>930300.79110236035</v>
      </c>
      <c r="Q74" s="278">
        <v>744240.63288188819</v>
      </c>
      <c r="R74" s="278">
        <v>558180.47466141614</v>
      </c>
      <c r="S74" s="278">
        <v>372120.31644094409</v>
      </c>
      <c r="T74" s="278">
        <v>186060.15822047202</v>
      </c>
      <c r="U74" s="278">
        <v>2.7755575615628914E-11</v>
      </c>
      <c r="V74" s="278">
        <v>-186060.15822047208</v>
      </c>
      <c r="W74" s="278">
        <v>-372120.31644094409</v>
      </c>
      <c r="X74" s="278">
        <v>-558180.47466141614</v>
      </c>
      <c r="Y74" s="278">
        <v>-744240.63288188819</v>
      </c>
      <c r="Z74" s="279">
        <v>-930300.79110236024</v>
      </c>
      <c r="AB74" s="282" t="str">
        <f t="shared" si="5"/>
        <v>20Y</v>
      </c>
      <c r="AC74" s="278">
        <f ca="1">IF(ABS(P74-C74)&gt;SnapshotTolerance,1,0)</f>
        <v>0</v>
      </c>
      <c r="AD74" s="278">
        <f ca="1">IF(ABS(Q74-D74)&gt;SnapshotTolerance,1,0)</f>
        <v>0</v>
      </c>
      <c r="AE74" s="278">
        <f ca="1">IF(ABS(R74-E74)&gt;SnapshotTolerance,1,0)</f>
        <v>0</v>
      </c>
      <c r="AF74" s="278">
        <f ca="1">IF(ABS(S74-F74)&gt;SnapshotTolerance,1,0)</f>
        <v>0</v>
      </c>
      <c r="AG74" s="278">
        <f ca="1">IF(ABS(T74-G74)&gt;SnapshotTolerance,1,0)</f>
        <v>0</v>
      </c>
      <c r="AH74" s="278">
        <f ca="1">IF(ABS(U74-H74)&gt;SnapshotTolerance,1,0)</f>
        <v>0</v>
      </c>
      <c r="AI74" s="278">
        <f ca="1">IF(ABS(V74-I74)&gt;SnapshotTolerance,1,0)</f>
        <v>0</v>
      </c>
      <c r="AJ74" s="278">
        <f ca="1">IF(ABS(W74-J74)&gt;SnapshotTolerance,1,0)</f>
        <v>0</v>
      </c>
      <c r="AK74" s="278">
        <f ca="1">IF(ABS(X74-K74)&gt;SnapshotTolerance,1,0)</f>
        <v>0</v>
      </c>
      <c r="AL74" s="278">
        <f ca="1">IF(ABS(Y74-L74)&gt;SnapshotTolerance,1,0)</f>
        <v>0</v>
      </c>
      <c r="AM74" s="279">
        <f ca="1">IF(ABS(Z74-M74)&gt;SnapshotTolerance,1,0)</f>
        <v>0</v>
      </c>
    </row>
    <row r="75" spans="2:39">
      <c r="B75" s="282" t="str">
        <f>'JPY Swap PVs'!AG15</f>
        <v>25Y</v>
      </c>
      <c r="C75" s="278">
        <f ca="1">'JPY Swap PVs'!AH15</f>
        <v>1118749.5923696093</v>
      </c>
      <c r="D75" s="278">
        <f ca="1">'JPY Swap PVs'!AI15</f>
        <v>894999.67389568756</v>
      </c>
      <c r="E75" s="278">
        <f ca="1">'JPY Swap PVs'!AJ15</f>
        <v>671249.75542176561</v>
      </c>
      <c r="F75" s="278">
        <f ca="1">'JPY Swap PVs'!AK15</f>
        <v>447499.83694784367</v>
      </c>
      <c r="G75" s="278">
        <f ca="1">'JPY Swap PVs'!AL15</f>
        <v>223749.91847392177</v>
      </c>
      <c r="H75" s="278">
        <f ca="1">'JPY Swap PVs'!AM15</f>
        <v>0</v>
      </c>
      <c r="I75" s="278">
        <f ca="1">'JPY Swap PVs'!AN15</f>
        <v>-223749.91847392195</v>
      </c>
      <c r="J75" s="278">
        <f ca="1">'JPY Swap PVs'!AO15</f>
        <v>-447499.83694784372</v>
      </c>
      <c r="K75" s="278">
        <f ca="1">'JPY Swap PVs'!AP15</f>
        <v>-671249.75542176561</v>
      </c>
      <c r="L75" s="278">
        <f ca="1">'JPY Swap PVs'!AQ15</f>
        <v>-894999.67389568756</v>
      </c>
      <c r="M75" s="279">
        <f ca="1">'JPY Swap PVs'!AR15</f>
        <v>-1118749.5923696093</v>
      </c>
      <c r="O75" s="282" t="s">
        <v>18</v>
      </c>
      <c r="P75" s="278">
        <v>1118749.5923696093</v>
      </c>
      <c r="Q75" s="278">
        <v>894999.67389568756</v>
      </c>
      <c r="R75" s="278">
        <v>671249.75542176561</v>
      </c>
      <c r="S75" s="278">
        <v>447499.83694784367</v>
      </c>
      <c r="T75" s="278">
        <v>223749.91847392177</v>
      </c>
      <c r="U75" s="278">
        <v>0</v>
      </c>
      <c r="V75" s="278">
        <v>-223749.91847392195</v>
      </c>
      <c r="W75" s="278">
        <v>-447499.83694784372</v>
      </c>
      <c r="X75" s="278">
        <v>-671249.75542176561</v>
      </c>
      <c r="Y75" s="278">
        <v>-894999.67389568756</v>
      </c>
      <c r="Z75" s="279">
        <v>-1118749.5923696093</v>
      </c>
      <c r="AB75" s="282" t="str">
        <f t="shared" si="5"/>
        <v>25Y</v>
      </c>
      <c r="AC75" s="278">
        <f ca="1">IF(ABS(P75-C75)&gt;SnapshotTolerance,1,0)</f>
        <v>0</v>
      </c>
      <c r="AD75" s="278">
        <f ca="1">IF(ABS(Q75-D75)&gt;SnapshotTolerance,1,0)</f>
        <v>0</v>
      </c>
      <c r="AE75" s="278">
        <f ca="1">IF(ABS(R75-E75)&gt;SnapshotTolerance,1,0)</f>
        <v>0</v>
      </c>
      <c r="AF75" s="278">
        <f ca="1">IF(ABS(S75-F75)&gt;SnapshotTolerance,1,0)</f>
        <v>0</v>
      </c>
      <c r="AG75" s="278">
        <f ca="1">IF(ABS(T75-G75)&gt;SnapshotTolerance,1,0)</f>
        <v>0</v>
      </c>
      <c r="AH75" s="278">
        <f ca="1">IF(ABS(U75-H75)&gt;SnapshotTolerance,1,0)</f>
        <v>0</v>
      </c>
      <c r="AI75" s="278">
        <f ca="1">IF(ABS(V75-I75)&gt;SnapshotTolerance,1,0)</f>
        <v>0</v>
      </c>
      <c r="AJ75" s="278">
        <f ca="1">IF(ABS(W75-J75)&gt;SnapshotTolerance,1,0)</f>
        <v>0</v>
      </c>
      <c r="AK75" s="278">
        <f ca="1">IF(ABS(X75-K75)&gt;SnapshotTolerance,1,0)</f>
        <v>0</v>
      </c>
      <c r="AL75" s="278">
        <f ca="1">IF(ABS(Y75-L75)&gt;SnapshotTolerance,1,0)</f>
        <v>0</v>
      </c>
      <c r="AM75" s="279">
        <f ca="1">IF(ABS(Z75-M75)&gt;SnapshotTolerance,1,0)</f>
        <v>0</v>
      </c>
    </row>
    <row r="76" spans="2:39">
      <c r="B76" s="282" t="str">
        <f>'JPY Swap PVs'!AG16</f>
        <v>30Y</v>
      </c>
      <c r="C76" s="278">
        <f ca="1">'JPY Swap PVs'!AH16</f>
        <v>1290632.4929388373</v>
      </c>
      <c r="D76" s="278">
        <f ca="1">'JPY Swap PVs'!AI16</f>
        <v>1032505.9943510699</v>
      </c>
      <c r="E76" s="278">
        <f ca="1">'JPY Swap PVs'!AJ16</f>
        <v>774379.49576330232</v>
      </c>
      <c r="F76" s="278">
        <f ca="1">'JPY Swap PVs'!AK16</f>
        <v>516252.99717553472</v>
      </c>
      <c r="G76" s="278">
        <f ca="1">'JPY Swap PVs'!AL16</f>
        <v>258126.49858776727</v>
      </c>
      <c r="H76" s="278">
        <f ca="1">'JPY Swap PVs'!AM16</f>
        <v>-1.1102230246251565E-10</v>
      </c>
      <c r="I76" s="278">
        <f ca="1">'JPY Swap PVs'!AN16</f>
        <v>-258126.49858776765</v>
      </c>
      <c r="J76" s="278">
        <f ca="1">'JPY Swap PVs'!AO16</f>
        <v>-516252.99717553495</v>
      </c>
      <c r="K76" s="278">
        <f ca="1">'JPY Swap PVs'!AP16</f>
        <v>-774379.49576330255</v>
      </c>
      <c r="L76" s="278">
        <f ca="1">'JPY Swap PVs'!AQ16</f>
        <v>-1032505.9943510699</v>
      </c>
      <c r="M76" s="279">
        <f ca="1">'JPY Swap PVs'!AR16</f>
        <v>-1290632.4929388377</v>
      </c>
      <c r="O76" s="282" t="s">
        <v>17</v>
      </c>
      <c r="P76" s="278">
        <v>1290632.4929388373</v>
      </c>
      <c r="Q76" s="278">
        <v>1032505.9943510699</v>
      </c>
      <c r="R76" s="278">
        <v>774379.49576330232</v>
      </c>
      <c r="S76" s="278">
        <v>516252.99717553472</v>
      </c>
      <c r="T76" s="278">
        <v>258126.49858776727</v>
      </c>
      <c r="U76" s="278">
        <v>-1.1102230246251565E-10</v>
      </c>
      <c r="V76" s="278">
        <v>-258126.49858776765</v>
      </c>
      <c r="W76" s="278">
        <v>-516252.99717553495</v>
      </c>
      <c r="X76" s="278">
        <v>-774379.49576330255</v>
      </c>
      <c r="Y76" s="278">
        <v>-1032505.9943510699</v>
      </c>
      <c r="Z76" s="279">
        <v>-1290632.4929388377</v>
      </c>
      <c r="AB76" s="282" t="str">
        <f t="shared" si="5"/>
        <v>30Y</v>
      </c>
      <c r="AC76" s="278">
        <f ca="1">IF(ABS(P76-C76)&gt;SnapshotTolerance,1,0)</f>
        <v>0</v>
      </c>
      <c r="AD76" s="278">
        <f ca="1">IF(ABS(Q76-D76)&gt;SnapshotTolerance,1,0)</f>
        <v>0</v>
      </c>
      <c r="AE76" s="278">
        <f ca="1">IF(ABS(R76-E76)&gt;SnapshotTolerance,1,0)</f>
        <v>0</v>
      </c>
      <c r="AF76" s="278">
        <f ca="1">IF(ABS(S76-F76)&gt;SnapshotTolerance,1,0)</f>
        <v>0</v>
      </c>
      <c r="AG76" s="278">
        <f ca="1">IF(ABS(T76-G76)&gt;SnapshotTolerance,1,0)</f>
        <v>0</v>
      </c>
      <c r="AH76" s="278">
        <f ca="1">IF(ABS(U76-H76)&gt;SnapshotTolerance,1,0)</f>
        <v>0</v>
      </c>
      <c r="AI76" s="278">
        <f ca="1">IF(ABS(V76-I76)&gt;SnapshotTolerance,1,0)</f>
        <v>0</v>
      </c>
      <c r="AJ76" s="278">
        <f ca="1">IF(ABS(W76-J76)&gt;SnapshotTolerance,1,0)</f>
        <v>0</v>
      </c>
      <c r="AK76" s="278">
        <f ca="1">IF(ABS(X76-K76)&gt;SnapshotTolerance,1,0)</f>
        <v>0</v>
      </c>
      <c r="AL76" s="278">
        <f ca="1">IF(ABS(Y76-L76)&gt;SnapshotTolerance,1,0)</f>
        <v>0</v>
      </c>
      <c r="AM76" s="279">
        <f ca="1">IF(ABS(Z76-M76)&gt;SnapshotTolerance,1,0)</f>
        <v>0</v>
      </c>
    </row>
    <row r="77" spans="2:39">
      <c r="B77" s="282" t="str">
        <f>'JPY Swap PVs'!AG17</f>
        <v>35Y</v>
      </c>
      <c r="C77" s="278">
        <f ca="1">'JPY Swap PVs'!AH17</f>
        <v>1446702.4249023669</v>
      </c>
      <c r="D77" s="278">
        <f ca="1">'JPY Swap PVs'!AI17</f>
        <v>1157361.9399218934</v>
      </c>
      <c r="E77" s="278">
        <f ca="1">'JPY Swap PVs'!AJ17</f>
        <v>868021.45494142</v>
      </c>
      <c r="F77" s="278">
        <f ca="1">'JPY Swap PVs'!AK17</f>
        <v>578680.96996094659</v>
      </c>
      <c r="G77" s="278">
        <f ca="1">'JPY Swap PVs'!AL17</f>
        <v>289340.48498047329</v>
      </c>
      <c r="H77" s="278">
        <f ca="1">'JPY Swap PVs'!AM17</f>
        <v>5.5511151231257827E-11</v>
      </c>
      <c r="I77" s="278">
        <f ca="1">'JPY Swap PVs'!AN17</f>
        <v>-289340.48498047329</v>
      </c>
      <c r="J77" s="278">
        <f ca="1">'JPY Swap PVs'!AO17</f>
        <v>-578680.96996094659</v>
      </c>
      <c r="K77" s="278">
        <f ca="1">'JPY Swap PVs'!AP17</f>
        <v>-868021.45494142</v>
      </c>
      <c r="L77" s="278">
        <f ca="1">'JPY Swap PVs'!AQ17</f>
        <v>-1157361.9399218934</v>
      </c>
      <c r="M77" s="279">
        <f ca="1">'JPY Swap PVs'!AR17</f>
        <v>-1446702.4249023665</v>
      </c>
      <c r="O77" s="282" t="s">
        <v>16</v>
      </c>
      <c r="P77" s="278">
        <v>1446702.4249023669</v>
      </c>
      <c r="Q77" s="278">
        <v>1157361.9399218934</v>
      </c>
      <c r="R77" s="278">
        <v>868021.45494142</v>
      </c>
      <c r="S77" s="278">
        <v>578680.96996094659</v>
      </c>
      <c r="T77" s="278">
        <v>289340.48498047329</v>
      </c>
      <c r="U77" s="278">
        <v>5.5511151231257827E-11</v>
      </c>
      <c r="V77" s="278">
        <v>-289340.48498047329</v>
      </c>
      <c r="W77" s="278">
        <v>-578680.96996094659</v>
      </c>
      <c r="X77" s="278">
        <v>-868021.45494142</v>
      </c>
      <c r="Y77" s="278">
        <v>-1157361.9399218934</v>
      </c>
      <c r="Z77" s="279">
        <v>-1446702.4249023665</v>
      </c>
      <c r="AB77" s="282" t="str">
        <f t="shared" si="5"/>
        <v>35Y</v>
      </c>
      <c r="AC77" s="278">
        <f ca="1">IF(ABS(P77-C77)&gt;SnapshotTolerance,1,0)</f>
        <v>0</v>
      </c>
      <c r="AD77" s="278">
        <f ca="1">IF(ABS(Q77-D77)&gt;SnapshotTolerance,1,0)</f>
        <v>0</v>
      </c>
      <c r="AE77" s="278">
        <f ca="1">IF(ABS(R77-E77)&gt;SnapshotTolerance,1,0)</f>
        <v>0</v>
      </c>
      <c r="AF77" s="278">
        <f ca="1">IF(ABS(S77-F77)&gt;SnapshotTolerance,1,0)</f>
        <v>0</v>
      </c>
      <c r="AG77" s="278">
        <f ca="1">IF(ABS(T77-G77)&gt;SnapshotTolerance,1,0)</f>
        <v>0</v>
      </c>
      <c r="AH77" s="278">
        <f ca="1">IF(ABS(U77-H77)&gt;SnapshotTolerance,1,0)</f>
        <v>0</v>
      </c>
      <c r="AI77" s="278">
        <f ca="1">IF(ABS(V77-I77)&gt;SnapshotTolerance,1,0)</f>
        <v>0</v>
      </c>
      <c r="AJ77" s="278">
        <f ca="1">IF(ABS(W77-J77)&gt;SnapshotTolerance,1,0)</f>
        <v>0</v>
      </c>
      <c r="AK77" s="278">
        <f ca="1">IF(ABS(X77-K77)&gt;SnapshotTolerance,1,0)</f>
        <v>0</v>
      </c>
      <c r="AL77" s="278">
        <f ca="1">IF(ABS(Y77-L77)&gt;SnapshotTolerance,1,0)</f>
        <v>0</v>
      </c>
      <c r="AM77" s="279">
        <f ca="1">IF(ABS(Z77-M77)&gt;SnapshotTolerance,1,0)</f>
        <v>0</v>
      </c>
    </row>
    <row r="78" spans="2:39">
      <c r="B78" s="282" t="str">
        <f>'JPY Swap PVs'!AG18</f>
        <v>40Y</v>
      </c>
      <c r="C78" s="278">
        <f ca="1">'JPY Swap PVs'!AH18</f>
        <v>1588249.3628229061</v>
      </c>
      <c r="D78" s="278">
        <f ca="1">'JPY Swap PVs'!AI18</f>
        <v>1270599.4902583249</v>
      </c>
      <c r="E78" s="278">
        <f ca="1">'JPY Swap PVs'!AJ18</f>
        <v>952949.61769374355</v>
      </c>
      <c r="F78" s="278">
        <f ca="1">'JPY Swap PVs'!AK18</f>
        <v>635299.74512916221</v>
      </c>
      <c r="G78" s="278">
        <f ca="1">'JPY Swap PVs'!AL18</f>
        <v>317649.87256458099</v>
      </c>
      <c r="H78" s="278">
        <f ca="1">'JPY Swap PVs'!AM18</f>
        <v>-1.1102230246251565E-10</v>
      </c>
      <c r="I78" s="278">
        <f ca="1">'JPY Swap PVs'!AN18</f>
        <v>-317649.87256458146</v>
      </c>
      <c r="J78" s="278">
        <f ca="1">'JPY Swap PVs'!AO18</f>
        <v>-635299.74512916256</v>
      </c>
      <c r="K78" s="278">
        <f ca="1">'JPY Swap PVs'!AP18</f>
        <v>-952949.6176937439</v>
      </c>
      <c r="L78" s="278">
        <f ca="1">'JPY Swap PVs'!AQ18</f>
        <v>-1270599.4902583254</v>
      </c>
      <c r="M78" s="279">
        <f ca="1">'JPY Swap PVs'!AR18</f>
        <v>-1588249.3628229066</v>
      </c>
      <c r="O78" s="282" t="s">
        <v>15</v>
      </c>
      <c r="P78" s="278">
        <v>1588249.3628229061</v>
      </c>
      <c r="Q78" s="278">
        <v>1270599.4902583249</v>
      </c>
      <c r="R78" s="278">
        <v>952949.61769374355</v>
      </c>
      <c r="S78" s="278">
        <v>635299.74512916221</v>
      </c>
      <c r="T78" s="278">
        <v>317649.87256458099</v>
      </c>
      <c r="U78" s="278">
        <v>-1.1102230246251565E-10</v>
      </c>
      <c r="V78" s="278">
        <v>-317649.87256458146</v>
      </c>
      <c r="W78" s="278">
        <v>-635299.74512916256</v>
      </c>
      <c r="X78" s="278">
        <v>-952949.6176937439</v>
      </c>
      <c r="Y78" s="278">
        <v>-1270599.4902583254</v>
      </c>
      <c r="Z78" s="279">
        <v>-1588249.3628229066</v>
      </c>
      <c r="AB78" s="282" t="str">
        <f t="shared" si="5"/>
        <v>40Y</v>
      </c>
      <c r="AC78" s="278">
        <f ca="1">IF(ABS(P78-C78)&gt;SnapshotTolerance,1,0)</f>
        <v>0</v>
      </c>
      <c r="AD78" s="278">
        <f ca="1">IF(ABS(Q78-D78)&gt;SnapshotTolerance,1,0)</f>
        <v>0</v>
      </c>
      <c r="AE78" s="278">
        <f ca="1">IF(ABS(R78-E78)&gt;SnapshotTolerance,1,0)</f>
        <v>0</v>
      </c>
      <c r="AF78" s="278">
        <f ca="1">IF(ABS(S78-F78)&gt;SnapshotTolerance,1,0)</f>
        <v>0</v>
      </c>
      <c r="AG78" s="278">
        <f ca="1">IF(ABS(T78-G78)&gt;SnapshotTolerance,1,0)</f>
        <v>0</v>
      </c>
      <c r="AH78" s="278">
        <f ca="1">IF(ABS(U78-H78)&gt;SnapshotTolerance,1,0)</f>
        <v>0</v>
      </c>
      <c r="AI78" s="278">
        <f ca="1">IF(ABS(V78-I78)&gt;SnapshotTolerance,1,0)</f>
        <v>0</v>
      </c>
      <c r="AJ78" s="278">
        <f ca="1">IF(ABS(W78-J78)&gt;SnapshotTolerance,1,0)</f>
        <v>0</v>
      </c>
      <c r="AK78" s="278">
        <f ca="1">IF(ABS(X78-K78)&gt;SnapshotTolerance,1,0)</f>
        <v>0</v>
      </c>
      <c r="AL78" s="278">
        <f ca="1">IF(ABS(Y78-L78)&gt;SnapshotTolerance,1,0)</f>
        <v>0</v>
      </c>
      <c r="AM78" s="279">
        <f ca="1">IF(ABS(Z78-M78)&gt;SnapshotTolerance,1,0)</f>
        <v>0</v>
      </c>
    </row>
    <row r="79" spans="2:39">
      <c r="B79" s="282"/>
      <c r="C79" s="278"/>
      <c r="D79" s="278"/>
      <c r="E79" s="278"/>
      <c r="F79" s="278"/>
      <c r="G79" s="278"/>
      <c r="H79" s="278"/>
      <c r="I79" s="278"/>
      <c r="J79" s="278"/>
      <c r="K79" s="278"/>
      <c r="L79" s="278"/>
      <c r="M79" s="279"/>
      <c r="O79" s="282"/>
      <c r="P79" s="278"/>
      <c r="Q79" s="278"/>
      <c r="R79" s="278"/>
      <c r="S79" s="278"/>
      <c r="T79" s="278"/>
      <c r="U79" s="278"/>
      <c r="V79" s="278"/>
      <c r="W79" s="278"/>
      <c r="X79" s="278"/>
      <c r="Y79" s="278"/>
      <c r="Z79" s="279"/>
      <c r="AB79" s="282"/>
      <c r="AC79" s="278"/>
      <c r="AD79" s="278"/>
      <c r="AE79" s="278"/>
      <c r="AF79" s="278"/>
      <c r="AG79" s="278"/>
      <c r="AH79" s="278"/>
      <c r="AI79" s="278"/>
      <c r="AJ79" s="278"/>
      <c r="AK79" s="278"/>
      <c r="AL79" s="278"/>
      <c r="AM79" s="279"/>
    </row>
    <row r="80" spans="2:39">
      <c r="B80" s="282"/>
      <c r="C80" s="278"/>
      <c r="D80" s="278"/>
      <c r="E80" s="278"/>
      <c r="F80" s="278"/>
      <c r="G80" s="278"/>
      <c r="H80" s="278"/>
      <c r="I80" s="278"/>
      <c r="J80" s="278"/>
      <c r="K80" s="278"/>
      <c r="L80" s="278"/>
      <c r="M80" s="279"/>
      <c r="O80" s="282"/>
      <c r="P80" s="278"/>
      <c r="Q80" s="278"/>
      <c r="R80" s="278"/>
      <c r="S80" s="278"/>
      <c r="T80" s="278"/>
      <c r="U80" s="278"/>
      <c r="V80" s="278"/>
      <c r="W80" s="278"/>
      <c r="X80" s="278"/>
      <c r="Y80" s="278"/>
      <c r="Z80" s="279"/>
      <c r="AB80" s="282"/>
      <c r="AC80" s="278"/>
      <c r="AD80" s="278"/>
      <c r="AE80" s="278"/>
      <c r="AF80" s="278"/>
      <c r="AG80" s="278"/>
      <c r="AH80" s="278"/>
      <c r="AI80" s="278"/>
      <c r="AJ80" s="278"/>
      <c r="AK80" s="278"/>
      <c r="AL80" s="278"/>
      <c r="AM80" s="279"/>
    </row>
    <row r="81" spans="2:39">
      <c r="B81" s="282"/>
      <c r="C81" s="278"/>
      <c r="D81" s="278"/>
      <c r="E81" s="278"/>
      <c r="F81" s="278"/>
      <c r="G81" s="278"/>
      <c r="H81" s="278"/>
      <c r="I81" s="278"/>
      <c r="J81" s="278"/>
      <c r="K81" s="278"/>
      <c r="L81" s="278"/>
      <c r="M81" s="279"/>
      <c r="O81" s="282"/>
      <c r="P81" s="278"/>
      <c r="Q81" s="278"/>
      <c r="R81" s="278"/>
      <c r="S81" s="278"/>
      <c r="T81" s="278"/>
      <c r="U81" s="278"/>
      <c r="V81" s="278"/>
      <c r="W81" s="278"/>
      <c r="X81" s="278"/>
      <c r="Y81" s="278"/>
      <c r="Z81" s="279"/>
      <c r="AB81" s="282"/>
      <c r="AC81" s="278"/>
      <c r="AD81" s="278"/>
      <c r="AE81" s="278"/>
      <c r="AF81" s="278"/>
      <c r="AG81" s="278"/>
      <c r="AH81" s="278"/>
      <c r="AI81" s="278"/>
      <c r="AJ81" s="278"/>
      <c r="AK81" s="278"/>
      <c r="AL81" s="278"/>
      <c r="AM81" s="279"/>
    </row>
    <row r="82" spans="2:39">
      <c r="B82" s="283"/>
      <c r="C82" s="280"/>
      <c r="D82" s="280"/>
      <c r="E82" s="280"/>
      <c r="F82" s="280"/>
      <c r="G82" s="280"/>
      <c r="H82" s="280"/>
      <c r="I82" s="280"/>
      <c r="J82" s="280"/>
      <c r="K82" s="280"/>
      <c r="L82" s="280"/>
      <c r="M82" s="281"/>
      <c r="O82" s="283"/>
      <c r="P82" s="280"/>
      <c r="Q82" s="280"/>
      <c r="R82" s="280"/>
      <c r="S82" s="280"/>
      <c r="T82" s="280"/>
      <c r="U82" s="280"/>
      <c r="V82" s="280"/>
      <c r="W82" s="280"/>
      <c r="X82" s="280"/>
      <c r="Y82" s="280"/>
      <c r="Z82" s="281"/>
      <c r="AB82" s="283"/>
      <c r="AC82" s="280"/>
      <c r="AD82" s="280"/>
      <c r="AE82" s="280"/>
      <c r="AF82" s="280"/>
      <c r="AG82" s="280"/>
      <c r="AH82" s="280"/>
      <c r="AI82" s="280"/>
      <c r="AJ82" s="280"/>
      <c r="AK82" s="280"/>
      <c r="AL82" s="280"/>
      <c r="AM82" s="281"/>
    </row>
    <row r="85" spans="2:39">
      <c r="B85" t="s">
        <v>527</v>
      </c>
      <c r="E85" t="s">
        <v>472</v>
      </c>
    </row>
    <row r="86" spans="2:39">
      <c r="B86" t="s">
        <v>530</v>
      </c>
      <c r="E86" s="252">
        <f ca="1">SUM(AC91:AM109)</f>
        <v>0</v>
      </c>
    </row>
    <row r="87" spans="2:39">
      <c r="B87" t="s">
        <v>532</v>
      </c>
    </row>
    <row r="89" spans="2:39">
      <c r="B89" t="s">
        <v>510</v>
      </c>
      <c r="O89" t="s">
        <v>470</v>
      </c>
      <c r="AB89" t="s">
        <v>511</v>
      </c>
    </row>
    <row r="90" spans="2:39">
      <c r="B90" s="254" t="str">
        <f>'JPY Swap PVs'!AG28</f>
        <v>Term</v>
      </c>
      <c r="C90" s="287">
        <f>'JPY Swap PVs'!AH28</f>
        <v>500</v>
      </c>
      <c r="D90" s="287">
        <f>'JPY Swap PVs'!AI28</f>
        <v>400</v>
      </c>
      <c r="E90" s="287">
        <f>'JPY Swap PVs'!AJ28</f>
        <v>300</v>
      </c>
      <c r="F90" s="287">
        <f>'JPY Swap PVs'!AK28</f>
        <v>200</v>
      </c>
      <c r="G90" s="287">
        <f>'JPY Swap PVs'!AL28</f>
        <v>100</v>
      </c>
      <c r="H90" s="287">
        <f>'JPY Swap PVs'!AM28</f>
        <v>0</v>
      </c>
      <c r="I90" s="287">
        <f>'JPY Swap PVs'!AN28</f>
        <v>-100</v>
      </c>
      <c r="J90" s="287">
        <f>'JPY Swap PVs'!AO28</f>
        <v>-200</v>
      </c>
      <c r="K90" s="287">
        <f>'JPY Swap PVs'!AP28</f>
        <v>-300</v>
      </c>
      <c r="L90" s="287">
        <f>'JPY Swap PVs'!AQ28</f>
        <v>-400</v>
      </c>
      <c r="M90" s="288">
        <f>'JPY Swap PVs'!AR28</f>
        <v>-500</v>
      </c>
      <c r="O90" s="254" t="s">
        <v>76</v>
      </c>
      <c r="P90" s="287">
        <v>500</v>
      </c>
      <c r="Q90" s="287">
        <v>400</v>
      </c>
      <c r="R90" s="287">
        <v>300</v>
      </c>
      <c r="S90" s="287">
        <v>200</v>
      </c>
      <c r="T90" s="287">
        <v>100</v>
      </c>
      <c r="U90" s="287">
        <v>0</v>
      </c>
      <c r="V90" s="287">
        <v>-100</v>
      </c>
      <c r="W90" s="287">
        <v>-200</v>
      </c>
      <c r="X90" s="287">
        <v>-300</v>
      </c>
      <c r="Y90" s="287">
        <v>-400</v>
      </c>
      <c r="Z90" s="288">
        <v>-500</v>
      </c>
      <c r="AB90" s="254" t="str">
        <f>O90</f>
        <v>Term</v>
      </c>
      <c r="AC90" s="287">
        <f>P90</f>
        <v>500</v>
      </c>
      <c r="AD90" s="287">
        <f t="shared" ref="AD90:AM90" si="6">Q90</f>
        <v>400</v>
      </c>
      <c r="AE90" s="287">
        <f t="shared" si="6"/>
        <v>300</v>
      </c>
      <c r="AF90" s="287">
        <f t="shared" si="6"/>
        <v>200</v>
      </c>
      <c r="AG90" s="287">
        <f t="shared" si="6"/>
        <v>100</v>
      </c>
      <c r="AH90" s="287">
        <f t="shared" si="6"/>
        <v>0</v>
      </c>
      <c r="AI90" s="287">
        <f t="shared" si="6"/>
        <v>-100</v>
      </c>
      <c r="AJ90" s="287">
        <f t="shared" si="6"/>
        <v>-200</v>
      </c>
      <c r="AK90" s="287">
        <f t="shared" si="6"/>
        <v>-300</v>
      </c>
      <c r="AL90" s="287">
        <f t="shared" si="6"/>
        <v>-400</v>
      </c>
      <c r="AM90" s="288">
        <f t="shared" si="6"/>
        <v>-500</v>
      </c>
    </row>
    <row r="91" spans="2:39">
      <c r="B91" s="282" t="str">
        <f>'JPY Swap PVs'!AG29</f>
        <v>3Y</v>
      </c>
      <c r="C91" s="278">
        <f ca="1">'JPY Swap PVs'!AH29</f>
        <v>152305.28700396296</v>
      </c>
      <c r="D91" s="278">
        <f ca="1">'JPY Swap PVs'!AI29</f>
        <v>121844.22960317037</v>
      </c>
      <c r="E91" s="278">
        <f ca="1">'JPY Swap PVs'!AJ29</f>
        <v>91383.172202377784</v>
      </c>
      <c r="F91" s="278">
        <f ca="1">'JPY Swap PVs'!AK29</f>
        <v>60922.114801585187</v>
      </c>
      <c r="G91" s="278">
        <f ca="1">'JPY Swap PVs'!AL29</f>
        <v>30461.057400792593</v>
      </c>
      <c r="H91" s="278">
        <f ca="1">'JPY Swap PVs'!AM29</f>
        <v>0</v>
      </c>
      <c r="I91" s="278">
        <f ca="1">'JPY Swap PVs'!AN29</f>
        <v>-30461.057400792593</v>
      </c>
      <c r="J91" s="278">
        <f ca="1">'JPY Swap PVs'!AO29</f>
        <v>-60922.11480158518</v>
      </c>
      <c r="K91" s="278">
        <f ca="1">'JPY Swap PVs'!AP29</f>
        <v>-91383.172202377769</v>
      </c>
      <c r="L91" s="278">
        <f ca="1">'JPY Swap PVs'!AQ29</f>
        <v>-121844.22960317034</v>
      </c>
      <c r="M91" s="279">
        <f ca="1">'JPY Swap PVs'!AR29</f>
        <v>-152305.28700396296</v>
      </c>
      <c r="O91" s="282" t="s">
        <v>39</v>
      </c>
      <c r="P91" s="278">
        <v>152305.28700396296</v>
      </c>
      <c r="Q91" s="278">
        <v>121844.22960317037</v>
      </c>
      <c r="R91" s="278">
        <v>91383.172202377784</v>
      </c>
      <c r="S91" s="278">
        <v>60922.114801585187</v>
      </c>
      <c r="T91" s="278">
        <v>30461.057400792593</v>
      </c>
      <c r="U91" s="278">
        <v>0</v>
      </c>
      <c r="V91" s="278">
        <v>-30461.057400792593</v>
      </c>
      <c r="W91" s="278">
        <v>-60922.11480158518</v>
      </c>
      <c r="X91" s="278">
        <v>-91383.172202377769</v>
      </c>
      <c r="Y91" s="278">
        <v>-121844.22960317034</v>
      </c>
      <c r="Z91" s="279">
        <v>-152305.28700396296</v>
      </c>
      <c r="AB91" s="282" t="str">
        <f t="shared" ref="AB91:AB109" si="7">O91</f>
        <v>3Y</v>
      </c>
      <c r="AC91" s="278">
        <f ca="1">IF(ABS(P91-C91)&gt;SnapshotTolerance,1,0)</f>
        <v>0</v>
      </c>
      <c r="AD91" s="278">
        <f ca="1">IF(ABS(Q91-D91)&gt;SnapshotTolerance,1,0)</f>
        <v>0</v>
      </c>
      <c r="AE91" s="278">
        <f ca="1">IF(ABS(R91-E91)&gt;SnapshotTolerance,1,0)</f>
        <v>0</v>
      </c>
      <c r="AF91" s="278">
        <f ca="1">IF(ABS(S91-F91)&gt;SnapshotTolerance,1,0)</f>
        <v>0</v>
      </c>
      <c r="AG91" s="278">
        <f ca="1">IF(ABS(T91-G91)&gt;SnapshotTolerance,1,0)</f>
        <v>0</v>
      </c>
      <c r="AH91" s="278">
        <f ca="1">IF(ABS(U91-H91)&gt;SnapshotTolerance,1,0)</f>
        <v>0</v>
      </c>
      <c r="AI91" s="278">
        <f ca="1">IF(ABS(V91-I91)&gt;SnapshotTolerance,1,0)</f>
        <v>0</v>
      </c>
      <c r="AJ91" s="278">
        <f ca="1">IF(ABS(W91-J91)&gt;SnapshotTolerance,1,0)</f>
        <v>0</v>
      </c>
      <c r="AK91" s="278">
        <f ca="1">IF(ABS(X91-K91)&gt;SnapshotTolerance,1,0)</f>
        <v>0</v>
      </c>
      <c r="AL91" s="278">
        <f ca="1">IF(ABS(Y91-L91)&gt;SnapshotTolerance,1,0)</f>
        <v>0</v>
      </c>
      <c r="AM91" s="279">
        <f ca="1">IF(ABS(Z91-M91)&gt;SnapshotTolerance,1,0)</f>
        <v>0</v>
      </c>
    </row>
    <row r="92" spans="2:39">
      <c r="B92" s="282" t="str">
        <f>'JPY Swap PVs'!AG30</f>
        <v>4Y</v>
      </c>
      <c r="C92" s="278">
        <f ca="1">'JPY Swap PVs'!AH30</f>
        <v>202651.24654409109</v>
      </c>
      <c r="D92" s="278">
        <f ca="1">'JPY Swap PVs'!AI30</f>
        <v>162120.99723527287</v>
      </c>
      <c r="E92" s="278">
        <f ca="1">'JPY Swap PVs'!AJ30</f>
        <v>121590.74792645466</v>
      </c>
      <c r="F92" s="278">
        <f ca="1">'JPY Swap PVs'!AK30</f>
        <v>81060.498617636447</v>
      </c>
      <c r="G92" s="278">
        <f ca="1">'JPY Swap PVs'!AL30</f>
        <v>40530.249308818224</v>
      </c>
      <c r="H92" s="278">
        <f ca="1">'JPY Swap PVs'!AM30</f>
        <v>0</v>
      </c>
      <c r="I92" s="278">
        <f ca="1">'JPY Swap PVs'!AN30</f>
        <v>-40530.249308818224</v>
      </c>
      <c r="J92" s="278">
        <f ca="1">'JPY Swap PVs'!AO30</f>
        <v>-81060.498617636433</v>
      </c>
      <c r="K92" s="278">
        <f ca="1">'JPY Swap PVs'!AP30</f>
        <v>-121590.74792645466</v>
      </c>
      <c r="L92" s="278">
        <f ca="1">'JPY Swap PVs'!AQ30</f>
        <v>-162120.99723527284</v>
      </c>
      <c r="M92" s="279">
        <f ca="1">'JPY Swap PVs'!AR30</f>
        <v>-202651.24654409109</v>
      </c>
      <c r="O92" s="282" t="s">
        <v>35</v>
      </c>
      <c r="P92" s="278">
        <v>202651.24654409109</v>
      </c>
      <c r="Q92" s="278">
        <v>162120.99723527287</v>
      </c>
      <c r="R92" s="278">
        <v>121590.74792645466</v>
      </c>
      <c r="S92" s="278">
        <v>81060.498617636447</v>
      </c>
      <c r="T92" s="278">
        <v>40530.249308818224</v>
      </c>
      <c r="U92" s="278">
        <v>0</v>
      </c>
      <c r="V92" s="278">
        <v>-40530.249308818224</v>
      </c>
      <c r="W92" s="278">
        <v>-81060.498617636433</v>
      </c>
      <c r="X92" s="278">
        <v>-121590.74792645466</v>
      </c>
      <c r="Y92" s="278">
        <v>-162120.99723527284</v>
      </c>
      <c r="Z92" s="279">
        <v>-202651.24654409109</v>
      </c>
      <c r="AB92" s="282" t="str">
        <f t="shared" si="7"/>
        <v>4Y</v>
      </c>
      <c r="AC92" s="278">
        <f ca="1">IF(ABS(P92-C92)&gt;SnapshotTolerance,1,0)</f>
        <v>0</v>
      </c>
      <c r="AD92" s="278">
        <f ca="1">IF(ABS(Q92-D92)&gt;SnapshotTolerance,1,0)</f>
        <v>0</v>
      </c>
      <c r="AE92" s="278">
        <f ca="1">IF(ABS(R92-E92)&gt;SnapshotTolerance,1,0)</f>
        <v>0</v>
      </c>
      <c r="AF92" s="278">
        <f ca="1">IF(ABS(S92-F92)&gt;SnapshotTolerance,1,0)</f>
        <v>0</v>
      </c>
      <c r="AG92" s="278">
        <f ca="1">IF(ABS(T92-G92)&gt;SnapshotTolerance,1,0)</f>
        <v>0</v>
      </c>
      <c r="AH92" s="278">
        <f ca="1">IF(ABS(U92-H92)&gt;SnapshotTolerance,1,0)</f>
        <v>0</v>
      </c>
      <c r="AI92" s="278">
        <f ca="1">IF(ABS(V92-I92)&gt;SnapshotTolerance,1,0)</f>
        <v>0</v>
      </c>
      <c r="AJ92" s="278">
        <f ca="1">IF(ABS(W92-J92)&gt;SnapshotTolerance,1,0)</f>
        <v>0</v>
      </c>
      <c r="AK92" s="278">
        <f ca="1">IF(ABS(X92-K92)&gt;SnapshotTolerance,1,0)</f>
        <v>0</v>
      </c>
      <c r="AL92" s="278">
        <f ca="1">IF(ABS(Y92-L92)&gt;SnapshotTolerance,1,0)</f>
        <v>0</v>
      </c>
      <c r="AM92" s="279">
        <f ca="1">IF(ABS(Z92-M92)&gt;SnapshotTolerance,1,0)</f>
        <v>0</v>
      </c>
    </row>
    <row r="93" spans="2:39">
      <c r="B93" s="282" t="str">
        <f>'JPY Swap PVs'!AG31</f>
        <v>5Y</v>
      </c>
      <c r="C93" s="278">
        <f ca="1">'JPY Swap PVs'!AH31</f>
        <v>252965.3495321779</v>
      </c>
      <c r="D93" s="278">
        <f ca="1">'JPY Swap PVs'!AI31</f>
        <v>202372.27962574235</v>
      </c>
      <c r="E93" s="278">
        <f ca="1">'JPY Swap PVs'!AJ31</f>
        <v>151779.20971930676</v>
      </c>
      <c r="F93" s="278">
        <f ca="1">'JPY Swap PVs'!AK31</f>
        <v>101186.13981287119</v>
      </c>
      <c r="G93" s="278">
        <f ca="1">'JPY Swap PVs'!AL31</f>
        <v>50593.069906435587</v>
      </c>
      <c r="H93" s="278">
        <f ca="1">'JPY Swap PVs'!AM31</f>
        <v>0</v>
      </c>
      <c r="I93" s="278">
        <f ca="1">'JPY Swap PVs'!AN31</f>
        <v>-50593.069906435587</v>
      </c>
      <c r="J93" s="278">
        <f ca="1">'JPY Swap PVs'!AO31</f>
        <v>-101186.13981287116</v>
      </c>
      <c r="K93" s="278">
        <f ca="1">'JPY Swap PVs'!AP31</f>
        <v>-151779.20971930676</v>
      </c>
      <c r="L93" s="278">
        <f ca="1">'JPY Swap PVs'!AQ31</f>
        <v>-202372.27962574232</v>
      </c>
      <c r="M93" s="279">
        <f ca="1">'JPY Swap PVs'!AR31</f>
        <v>-252965.3495321779</v>
      </c>
      <c r="O93" s="282" t="s">
        <v>33</v>
      </c>
      <c r="P93" s="278">
        <v>252965.3495321779</v>
      </c>
      <c r="Q93" s="278">
        <v>202372.27962574235</v>
      </c>
      <c r="R93" s="278">
        <v>151779.20971930676</v>
      </c>
      <c r="S93" s="278">
        <v>101186.13981287119</v>
      </c>
      <c r="T93" s="278">
        <v>50593.069906435587</v>
      </c>
      <c r="U93" s="278">
        <v>0</v>
      </c>
      <c r="V93" s="278">
        <v>-50593.069906435587</v>
      </c>
      <c r="W93" s="278">
        <v>-101186.13981287116</v>
      </c>
      <c r="X93" s="278">
        <v>-151779.20971930676</v>
      </c>
      <c r="Y93" s="278">
        <v>-202372.27962574232</v>
      </c>
      <c r="Z93" s="279">
        <v>-252965.3495321779</v>
      </c>
      <c r="AB93" s="282" t="str">
        <f t="shared" si="7"/>
        <v>5Y</v>
      </c>
      <c r="AC93" s="278">
        <f ca="1">IF(ABS(P93-C93)&gt;SnapshotTolerance,1,0)</f>
        <v>0</v>
      </c>
      <c r="AD93" s="278">
        <f ca="1">IF(ABS(Q93-D93)&gt;SnapshotTolerance,1,0)</f>
        <v>0</v>
      </c>
      <c r="AE93" s="278">
        <f ca="1">IF(ABS(R93-E93)&gt;SnapshotTolerance,1,0)</f>
        <v>0</v>
      </c>
      <c r="AF93" s="278">
        <f ca="1">IF(ABS(S93-F93)&gt;SnapshotTolerance,1,0)</f>
        <v>0</v>
      </c>
      <c r="AG93" s="278">
        <f ca="1">IF(ABS(T93-G93)&gt;SnapshotTolerance,1,0)</f>
        <v>0</v>
      </c>
      <c r="AH93" s="278">
        <f ca="1">IF(ABS(U93-H93)&gt;SnapshotTolerance,1,0)</f>
        <v>0</v>
      </c>
      <c r="AI93" s="278">
        <f ca="1">IF(ABS(V93-I93)&gt;SnapshotTolerance,1,0)</f>
        <v>0</v>
      </c>
      <c r="AJ93" s="278">
        <f ca="1">IF(ABS(W93-J93)&gt;SnapshotTolerance,1,0)</f>
        <v>0</v>
      </c>
      <c r="AK93" s="278">
        <f ca="1">IF(ABS(X93-K93)&gt;SnapshotTolerance,1,0)</f>
        <v>0</v>
      </c>
      <c r="AL93" s="278">
        <f ca="1">IF(ABS(Y93-L93)&gt;SnapshotTolerance,1,0)</f>
        <v>0</v>
      </c>
      <c r="AM93" s="279">
        <f ca="1">IF(ABS(Z93-M93)&gt;SnapshotTolerance,1,0)</f>
        <v>0</v>
      </c>
    </row>
    <row r="94" spans="2:39">
      <c r="B94" s="282" t="str">
        <f>'JPY Swap PVs'!AG32</f>
        <v>6Y</v>
      </c>
      <c r="C94" s="278">
        <f ca="1">'JPY Swap PVs'!AH32</f>
        <v>303023.70632505207</v>
      </c>
      <c r="D94" s="278">
        <f ca="1">'JPY Swap PVs'!AI32</f>
        <v>242418.96506004164</v>
      </c>
      <c r="E94" s="278">
        <f ca="1">'JPY Swap PVs'!AJ32</f>
        <v>181814.2237950312</v>
      </c>
      <c r="F94" s="278">
        <f ca="1">'JPY Swap PVs'!AK32</f>
        <v>121209.48253002085</v>
      </c>
      <c r="G94" s="278">
        <f ca="1">'JPY Swap PVs'!AL32</f>
        <v>60604.741265010416</v>
      </c>
      <c r="H94" s="278">
        <f ca="1">'JPY Swap PVs'!AM32</f>
        <v>0</v>
      </c>
      <c r="I94" s="278">
        <f ca="1">'JPY Swap PVs'!AN32</f>
        <v>-60604.741265010423</v>
      </c>
      <c r="J94" s="278">
        <f ca="1">'JPY Swap PVs'!AO32</f>
        <v>-121209.48253002082</v>
      </c>
      <c r="K94" s="278">
        <f ca="1">'JPY Swap PVs'!AP32</f>
        <v>-181814.22379503126</v>
      </c>
      <c r="L94" s="278">
        <f ca="1">'JPY Swap PVs'!AQ32</f>
        <v>-242418.96506004164</v>
      </c>
      <c r="M94" s="279">
        <f ca="1">'JPY Swap PVs'!AR32</f>
        <v>-303023.70632505207</v>
      </c>
      <c r="O94" s="282" t="s">
        <v>131</v>
      </c>
      <c r="P94" s="278">
        <v>303023.70632505207</v>
      </c>
      <c r="Q94" s="278">
        <v>242418.96506004164</v>
      </c>
      <c r="R94" s="278">
        <v>181814.2237950312</v>
      </c>
      <c r="S94" s="278">
        <v>121209.48253002085</v>
      </c>
      <c r="T94" s="278">
        <v>60604.741265010416</v>
      </c>
      <c r="U94" s="278">
        <v>0</v>
      </c>
      <c r="V94" s="278">
        <v>-60604.741265010423</v>
      </c>
      <c r="W94" s="278">
        <v>-121209.48253002082</v>
      </c>
      <c r="X94" s="278">
        <v>-181814.22379503126</v>
      </c>
      <c r="Y94" s="278">
        <v>-242418.96506004164</v>
      </c>
      <c r="Z94" s="279">
        <v>-303023.70632505207</v>
      </c>
      <c r="AB94" s="282" t="str">
        <f t="shared" si="7"/>
        <v>6Y</v>
      </c>
      <c r="AC94" s="278">
        <f ca="1">IF(ABS(P94-C94)&gt;SnapshotTolerance,1,0)</f>
        <v>0</v>
      </c>
      <c r="AD94" s="278">
        <f ca="1">IF(ABS(Q94-D94)&gt;SnapshotTolerance,1,0)</f>
        <v>0</v>
      </c>
      <c r="AE94" s="278">
        <f ca="1">IF(ABS(R94-E94)&gt;SnapshotTolerance,1,0)</f>
        <v>0</v>
      </c>
      <c r="AF94" s="278">
        <f ca="1">IF(ABS(S94-F94)&gt;SnapshotTolerance,1,0)</f>
        <v>0</v>
      </c>
      <c r="AG94" s="278">
        <f ca="1">IF(ABS(T94-G94)&gt;SnapshotTolerance,1,0)</f>
        <v>0</v>
      </c>
      <c r="AH94" s="278">
        <f ca="1">IF(ABS(U94-H94)&gt;SnapshotTolerance,1,0)</f>
        <v>0</v>
      </c>
      <c r="AI94" s="278">
        <f ca="1">IF(ABS(V94-I94)&gt;SnapshotTolerance,1,0)</f>
        <v>0</v>
      </c>
      <c r="AJ94" s="278">
        <f ca="1">IF(ABS(W94-J94)&gt;SnapshotTolerance,1,0)</f>
        <v>0</v>
      </c>
      <c r="AK94" s="278">
        <f ca="1">IF(ABS(X94-K94)&gt;SnapshotTolerance,1,0)</f>
        <v>0</v>
      </c>
      <c r="AL94" s="278">
        <f ca="1">IF(ABS(Y94-L94)&gt;SnapshotTolerance,1,0)</f>
        <v>0</v>
      </c>
      <c r="AM94" s="279">
        <f ca="1">IF(ABS(Z94-M94)&gt;SnapshotTolerance,1,0)</f>
        <v>0</v>
      </c>
    </row>
    <row r="95" spans="2:39">
      <c r="B95" s="282" t="str">
        <f>'JPY Swap PVs'!AG33</f>
        <v>7Y</v>
      </c>
      <c r="C95" s="278">
        <f ca="1">'JPY Swap PVs'!AH33</f>
        <v>352759.58683206677</v>
      </c>
      <c r="D95" s="278">
        <f ca="1">'JPY Swap PVs'!AI33</f>
        <v>282207.66946565337</v>
      </c>
      <c r="E95" s="278">
        <f ca="1">'JPY Swap PVs'!AJ33</f>
        <v>211655.75209924</v>
      </c>
      <c r="F95" s="278">
        <f ca="1">'JPY Swap PVs'!AK33</f>
        <v>141103.83473282674</v>
      </c>
      <c r="G95" s="278">
        <f ca="1">'JPY Swap PVs'!AL33</f>
        <v>70551.917366413341</v>
      </c>
      <c r="H95" s="278">
        <f ca="1">'JPY Swap PVs'!AM33</f>
        <v>0</v>
      </c>
      <c r="I95" s="278">
        <f ca="1">'JPY Swap PVs'!AN33</f>
        <v>-70551.917366413356</v>
      </c>
      <c r="J95" s="278">
        <f ca="1">'JPY Swap PVs'!AO33</f>
        <v>-141103.83473282668</v>
      </c>
      <c r="K95" s="278">
        <f ca="1">'JPY Swap PVs'!AP33</f>
        <v>-211655.75209924002</v>
      </c>
      <c r="L95" s="278">
        <f ca="1">'JPY Swap PVs'!AQ33</f>
        <v>-282207.66946565337</v>
      </c>
      <c r="M95" s="279">
        <f ca="1">'JPY Swap PVs'!AR33</f>
        <v>-352759.58683206677</v>
      </c>
      <c r="O95" s="282" t="s">
        <v>31</v>
      </c>
      <c r="P95" s="278">
        <v>352759.58683206677</v>
      </c>
      <c r="Q95" s="278">
        <v>282207.66946565337</v>
      </c>
      <c r="R95" s="278">
        <v>211655.75209924</v>
      </c>
      <c r="S95" s="278">
        <v>141103.83473282674</v>
      </c>
      <c r="T95" s="278">
        <v>70551.917366413341</v>
      </c>
      <c r="U95" s="278">
        <v>0</v>
      </c>
      <c r="V95" s="278">
        <v>-70551.917366413356</v>
      </c>
      <c r="W95" s="278">
        <v>-141103.83473282668</v>
      </c>
      <c r="X95" s="278">
        <v>-211655.75209924002</v>
      </c>
      <c r="Y95" s="278">
        <v>-282207.66946565337</v>
      </c>
      <c r="Z95" s="279">
        <v>-352759.58683206677</v>
      </c>
      <c r="AB95" s="282" t="str">
        <f t="shared" si="7"/>
        <v>7Y</v>
      </c>
      <c r="AC95" s="278">
        <f ca="1">IF(ABS(P95-C95)&gt;SnapshotTolerance,1,0)</f>
        <v>0</v>
      </c>
      <c r="AD95" s="278">
        <f ca="1">IF(ABS(Q95-D95)&gt;SnapshotTolerance,1,0)</f>
        <v>0</v>
      </c>
      <c r="AE95" s="278">
        <f ca="1">IF(ABS(R95-E95)&gt;SnapshotTolerance,1,0)</f>
        <v>0</v>
      </c>
      <c r="AF95" s="278">
        <f ca="1">IF(ABS(S95-F95)&gt;SnapshotTolerance,1,0)</f>
        <v>0</v>
      </c>
      <c r="AG95" s="278">
        <f ca="1">IF(ABS(T95-G95)&gt;SnapshotTolerance,1,0)</f>
        <v>0</v>
      </c>
      <c r="AH95" s="278">
        <f ca="1">IF(ABS(U95-H95)&gt;SnapshotTolerance,1,0)</f>
        <v>0</v>
      </c>
      <c r="AI95" s="278">
        <f ca="1">IF(ABS(V95-I95)&gt;SnapshotTolerance,1,0)</f>
        <v>0</v>
      </c>
      <c r="AJ95" s="278">
        <f ca="1">IF(ABS(W95-J95)&gt;SnapshotTolerance,1,0)</f>
        <v>0</v>
      </c>
      <c r="AK95" s="278">
        <f ca="1">IF(ABS(X95-K95)&gt;SnapshotTolerance,1,0)</f>
        <v>0</v>
      </c>
      <c r="AL95" s="278">
        <f ca="1">IF(ABS(Y95-L95)&gt;SnapshotTolerance,1,0)</f>
        <v>0</v>
      </c>
      <c r="AM95" s="279">
        <f ca="1">IF(ABS(Z95-M95)&gt;SnapshotTolerance,1,0)</f>
        <v>0</v>
      </c>
    </row>
    <row r="96" spans="2:39">
      <c r="B96" s="282" t="str">
        <f>'JPY Swap PVs'!AG34</f>
        <v>8Y</v>
      </c>
      <c r="C96" s="278">
        <f ca="1">'JPY Swap PVs'!AH34</f>
        <v>402512.16577848804</v>
      </c>
      <c r="D96" s="278">
        <f ca="1">'JPY Swap PVs'!AI34</f>
        <v>322009.73262279044</v>
      </c>
      <c r="E96" s="278">
        <f ca="1">'JPY Swap PVs'!AJ34</f>
        <v>241507.29946709273</v>
      </c>
      <c r="F96" s="278">
        <f ca="1">'JPY Swap PVs'!AK34</f>
        <v>161004.86631139525</v>
      </c>
      <c r="G96" s="278">
        <f ca="1">'JPY Swap PVs'!AL34</f>
        <v>80502.433155697596</v>
      </c>
      <c r="H96" s="278">
        <f ca="1">'JPY Swap PVs'!AM34</f>
        <v>0</v>
      </c>
      <c r="I96" s="278">
        <f ca="1">'JPY Swap PVs'!AN34</f>
        <v>-80502.43315569761</v>
      </c>
      <c r="J96" s="278">
        <f ca="1">'JPY Swap PVs'!AO34</f>
        <v>-161004.86631139519</v>
      </c>
      <c r="K96" s="278">
        <f ca="1">'JPY Swap PVs'!AP34</f>
        <v>-241507.29946709282</v>
      </c>
      <c r="L96" s="278">
        <f ca="1">'JPY Swap PVs'!AQ34</f>
        <v>-322009.73262279032</v>
      </c>
      <c r="M96" s="279">
        <f ca="1">'JPY Swap PVs'!AR34</f>
        <v>-402512.16577848804</v>
      </c>
      <c r="O96" s="282" t="s">
        <v>119</v>
      </c>
      <c r="P96" s="278">
        <v>402512.16577848804</v>
      </c>
      <c r="Q96" s="278">
        <v>322009.73262279044</v>
      </c>
      <c r="R96" s="278">
        <v>241507.29946709273</v>
      </c>
      <c r="S96" s="278">
        <v>161004.86631139525</v>
      </c>
      <c r="T96" s="278">
        <v>80502.433155697596</v>
      </c>
      <c r="U96" s="278">
        <v>0</v>
      </c>
      <c r="V96" s="278">
        <v>-80502.43315569761</v>
      </c>
      <c r="W96" s="278">
        <v>-161004.86631139519</v>
      </c>
      <c r="X96" s="278">
        <v>-241507.29946709282</v>
      </c>
      <c r="Y96" s="278">
        <v>-322009.73262279032</v>
      </c>
      <c r="Z96" s="279">
        <v>-402512.16577848804</v>
      </c>
      <c r="AB96" s="282" t="str">
        <f t="shared" si="7"/>
        <v>8Y</v>
      </c>
      <c r="AC96" s="278">
        <f ca="1">IF(ABS(P96-C96)&gt;SnapshotTolerance,1,0)</f>
        <v>0</v>
      </c>
      <c r="AD96" s="278">
        <f ca="1">IF(ABS(Q96-D96)&gt;SnapshotTolerance,1,0)</f>
        <v>0</v>
      </c>
      <c r="AE96" s="278">
        <f ca="1">IF(ABS(R96-E96)&gt;SnapshotTolerance,1,0)</f>
        <v>0</v>
      </c>
      <c r="AF96" s="278">
        <f ca="1">IF(ABS(S96-F96)&gt;SnapshotTolerance,1,0)</f>
        <v>0</v>
      </c>
      <c r="AG96" s="278">
        <f ca="1">IF(ABS(T96-G96)&gt;SnapshotTolerance,1,0)</f>
        <v>0</v>
      </c>
      <c r="AH96" s="278">
        <f ca="1">IF(ABS(U96-H96)&gt;SnapshotTolerance,1,0)</f>
        <v>0</v>
      </c>
      <c r="AI96" s="278">
        <f ca="1">IF(ABS(V96-I96)&gt;SnapshotTolerance,1,0)</f>
        <v>0</v>
      </c>
      <c r="AJ96" s="278">
        <f ca="1">IF(ABS(W96-J96)&gt;SnapshotTolerance,1,0)</f>
        <v>0</v>
      </c>
      <c r="AK96" s="278">
        <f ca="1">IF(ABS(X96-K96)&gt;SnapshotTolerance,1,0)</f>
        <v>0</v>
      </c>
      <c r="AL96" s="278">
        <f ca="1">IF(ABS(Y96-L96)&gt;SnapshotTolerance,1,0)</f>
        <v>0</v>
      </c>
      <c r="AM96" s="279">
        <f ca="1">IF(ABS(Z96-M96)&gt;SnapshotTolerance,1,0)</f>
        <v>0</v>
      </c>
    </row>
    <row r="97" spans="2:39">
      <c r="B97" s="282" t="str">
        <f>'JPY Swap PVs'!AG35</f>
        <v>9Y</v>
      </c>
      <c r="C97" s="278">
        <f ca="1">'JPY Swap PVs'!AH35</f>
        <v>451282.57886027644</v>
      </c>
      <c r="D97" s="278">
        <f ca="1">'JPY Swap PVs'!AI35</f>
        <v>361026.06308822107</v>
      </c>
      <c r="E97" s="278">
        <f ca="1">'JPY Swap PVs'!AJ35</f>
        <v>270769.54731616576</v>
      </c>
      <c r="F97" s="278">
        <f ca="1">'JPY Swap PVs'!AK35</f>
        <v>180513.03154411062</v>
      </c>
      <c r="G97" s="278">
        <f ca="1">'JPY Swap PVs'!AL35</f>
        <v>90256.515772055267</v>
      </c>
      <c r="H97" s="278">
        <f ca="1">'JPY Swap PVs'!AM35</f>
        <v>0</v>
      </c>
      <c r="I97" s="278">
        <f ca="1">'JPY Swap PVs'!AN35</f>
        <v>-90256.515772055296</v>
      </c>
      <c r="J97" s="278">
        <f ca="1">'JPY Swap PVs'!AO35</f>
        <v>-180513.03154411056</v>
      </c>
      <c r="K97" s="278">
        <f ca="1">'JPY Swap PVs'!AP35</f>
        <v>-270769.54731616587</v>
      </c>
      <c r="L97" s="278">
        <f ca="1">'JPY Swap PVs'!AQ35</f>
        <v>-361026.06308822107</v>
      </c>
      <c r="M97" s="279">
        <f ca="1">'JPY Swap PVs'!AR35</f>
        <v>-451282.57886027644</v>
      </c>
      <c r="O97" s="282" t="s">
        <v>113</v>
      </c>
      <c r="P97" s="278">
        <v>451282.57886027644</v>
      </c>
      <c r="Q97" s="278">
        <v>361026.06308822107</v>
      </c>
      <c r="R97" s="278">
        <v>270769.54731616576</v>
      </c>
      <c r="S97" s="278">
        <v>180513.03154411062</v>
      </c>
      <c r="T97" s="278">
        <v>90256.515772055267</v>
      </c>
      <c r="U97" s="278">
        <v>0</v>
      </c>
      <c r="V97" s="278">
        <v>-90256.515772055296</v>
      </c>
      <c r="W97" s="278">
        <v>-180513.03154411056</v>
      </c>
      <c r="X97" s="278">
        <v>-270769.54731616587</v>
      </c>
      <c r="Y97" s="278">
        <v>-361026.06308822107</v>
      </c>
      <c r="Z97" s="279">
        <v>-451282.57886027644</v>
      </c>
      <c r="AB97" s="282" t="str">
        <f t="shared" si="7"/>
        <v>9Y</v>
      </c>
      <c r="AC97" s="278">
        <f ca="1">IF(ABS(P97-C97)&gt;SnapshotTolerance,1,0)</f>
        <v>0</v>
      </c>
      <c r="AD97" s="278">
        <f ca="1">IF(ABS(Q97-D97)&gt;SnapshotTolerance,1,0)</f>
        <v>0</v>
      </c>
      <c r="AE97" s="278">
        <f ca="1">IF(ABS(R97-E97)&gt;SnapshotTolerance,1,0)</f>
        <v>0</v>
      </c>
      <c r="AF97" s="278">
        <f ca="1">IF(ABS(S97-F97)&gt;SnapshotTolerance,1,0)</f>
        <v>0</v>
      </c>
      <c r="AG97" s="278">
        <f ca="1">IF(ABS(T97-G97)&gt;SnapshotTolerance,1,0)</f>
        <v>0</v>
      </c>
      <c r="AH97" s="278">
        <f ca="1">IF(ABS(U97-H97)&gt;SnapshotTolerance,1,0)</f>
        <v>0</v>
      </c>
      <c r="AI97" s="278">
        <f ca="1">IF(ABS(V97-I97)&gt;SnapshotTolerance,1,0)</f>
        <v>0</v>
      </c>
      <c r="AJ97" s="278">
        <f ca="1">IF(ABS(W97-J97)&gt;SnapshotTolerance,1,0)</f>
        <v>0</v>
      </c>
      <c r="AK97" s="278">
        <f ca="1">IF(ABS(X97-K97)&gt;SnapshotTolerance,1,0)</f>
        <v>0</v>
      </c>
      <c r="AL97" s="278">
        <f ca="1">IF(ABS(Y97-L97)&gt;SnapshotTolerance,1,0)</f>
        <v>0</v>
      </c>
      <c r="AM97" s="279">
        <f ca="1">IF(ABS(Z97-M97)&gt;SnapshotTolerance,1,0)</f>
        <v>0</v>
      </c>
    </row>
    <row r="98" spans="2:39">
      <c r="B98" s="282" t="str">
        <f>'JPY Swap PVs'!AG36</f>
        <v>10Y</v>
      </c>
      <c r="C98" s="278">
        <f ca="1">'JPY Swap PVs'!AH36</f>
        <v>499547.94085683505</v>
      </c>
      <c r="D98" s="278">
        <f ca="1">'JPY Swap PVs'!AI36</f>
        <v>399638.35268546798</v>
      </c>
      <c r="E98" s="278">
        <f ca="1">'JPY Swap PVs'!AJ36</f>
        <v>299728.76451410091</v>
      </c>
      <c r="F98" s="278">
        <f ca="1">'JPY Swap PVs'!AK36</f>
        <v>199819.17634273408</v>
      </c>
      <c r="G98" s="278">
        <f ca="1">'JPY Swap PVs'!AL36</f>
        <v>99909.588171366995</v>
      </c>
      <c r="H98" s="278">
        <f ca="1">'JPY Swap PVs'!AM36</f>
        <v>0</v>
      </c>
      <c r="I98" s="278">
        <f ca="1">'JPY Swap PVs'!AN36</f>
        <v>-99909.588171367024</v>
      </c>
      <c r="J98" s="278">
        <f ca="1">'JPY Swap PVs'!AO36</f>
        <v>-199819.17634273399</v>
      </c>
      <c r="K98" s="278">
        <f ca="1">'JPY Swap PVs'!AP36</f>
        <v>-299728.76451410103</v>
      </c>
      <c r="L98" s="278">
        <f ca="1">'JPY Swap PVs'!AQ36</f>
        <v>-399638.35268546798</v>
      </c>
      <c r="M98" s="279">
        <f ca="1">'JPY Swap PVs'!AR36</f>
        <v>-499547.94085683505</v>
      </c>
      <c r="O98" s="282" t="s">
        <v>28</v>
      </c>
      <c r="P98" s="278">
        <v>499547.94085683505</v>
      </c>
      <c r="Q98" s="278">
        <v>399638.35268546798</v>
      </c>
      <c r="R98" s="278">
        <v>299728.76451410091</v>
      </c>
      <c r="S98" s="278">
        <v>199819.17634273408</v>
      </c>
      <c r="T98" s="278">
        <v>99909.588171366995</v>
      </c>
      <c r="U98" s="278">
        <v>0</v>
      </c>
      <c r="V98" s="278">
        <v>-99909.588171367024</v>
      </c>
      <c r="W98" s="278">
        <v>-199819.17634273399</v>
      </c>
      <c r="X98" s="278">
        <v>-299728.76451410103</v>
      </c>
      <c r="Y98" s="278">
        <v>-399638.35268546798</v>
      </c>
      <c r="Z98" s="279">
        <v>-499547.94085683505</v>
      </c>
      <c r="AB98" s="282" t="str">
        <f t="shared" si="7"/>
        <v>10Y</v>
      </c>
      <c r="AC98" s="278">
        <f ca="1">IF(ABS(P98-C98)&gt;SnapshotTolerance,1,0)</f>
        <v>0</v>
      </c>
      <c r="AD98" s="278">
        <f ca="1">IF(ABS(Q98-D98)&gt;SnapshotTolerance,1,0)</f>
        <v>0</v>
      </c>
      <c r="AE98" s="278">
        <f ca="1">IF(ABS(R98-E98)&gt;SnapshotTolerance,1,0)</f>
        <v>0</v>
      </c>
      <c r="AF98" s="278">
        <f ca="1">IF(ABS(S98-F98)&gt;SnapshotTolerance,1,0)</f>
        <v>0</v>
      </c>
      <c r="AG98" s="278">
        <f ca="1">IF(ABS(T98-G98)&gt;SnapshotTolerance,1,0)</f>
        <v>0</v>
      </c>
      <c r="AH98" s="278">
        <f ca="1">IF(ABS(U98-H98)&gt;SnapshotTolerance,1,0)</f>
        <v>0</v>
      </c>
      <c r="AI98" s="278">
        <f ca="1">IF(ABS(V98-I98)&gt;SnapshotTolerance,1,0)</f>
        <v>0</v>
      </c>
      <c r="AJ98" s="278">
        <f ca="1">IF(ABS(W98-J98)&gt;SnapshotTolerance,1,0)</f>
        <v>0</v>
      </c>
      <c r="AK98" s="278">
        <f ca="1">IF(ABS(X98-K98)&gt;SnapshotTolerance,1,0)</f>
        <v>0</v>
      </c>
      <c r="AL98" s="278">
        <f ca="1">IF(ABS(Y98-L98)&gt;SnapshotTolerance,1,0)</f>
        <v>0</v>
      </c>
      <c r="AM98" s="279">
        <f ca="1">IF(ABS(Z98-M98)&gt;SnapshotTolerance,1,0)</f>
        <v>0</v>
      </c>
    </row>
    <row r="99" spans="2:39">
      <c r="B99" s="282" t="str">
        <f>'JPY Swap PVs'!AG37</f>
        <v>12Y</v>
      </c>
      <c r="C99" s="278">
        <f ca="1">'JPY Swap PVs'!AH37</f>
        <v>594572.24148861051</v>
      </c>
      <c r="D99" s="278">
        <f ca="1">'JPY Swap PVs'!AI37</f>
        <v>475657.79319088842</v>
      </c>
      <c r="E99" s="278">
        <f ca="1">'JPY Swap PVs'!AJ37</f>
        <v>356743.34489316616</v>
      </c>
      <c r="F99" s="278">
        <f ca="1">'JPY Swap PVs'!AK37</f>
        <v>237828.89659544433</v>
      </c>
      <c r="G99" s="278">
        <f ca="1">'JPY Swap PVs'!AL37</f>
        <v>118914.44829772211</v>
      </c>
      <c r="H99" s="278">
        <f ca="1">'JPY Swap PVs'!AM37</f>
        <v>0</v>
      </c>
      <c r="I99" s="278">
        <f ca="1">'JPY Swap PVs'!AN37</f>
        <v>-118914.44829772212</v>
      </c>
      <c r="J99" s="278">
        <f ca="1">'JPY Swap PVs'!AO37</f>
        <v>-237828.89659544418</v>
      </c>
      <c r="K99" s="278">
        <f ca="1">'JPY Swap PVs'!AP37</f>
        <v>-356743.34489316627</v>
      </c>
      <c r="L99" s="278">
        <f ca="1">'JPY Swap PVs'!AQ37</f>
        <v>-475657.7931908883</v>
      </c>
      <c r="M99" s="279">
        <f ca="1">'JPY Swap PVs'!AR37</f>
        <v>-594572.24148861051</v>
      </c>
      <c r="O99" s="282" t="s">
        <v>26</v>
      </c>
      <c r="P99" s="278">
        <v>594572.24148861051</v>
      </c>
      <c r="Q99" s="278">
        <v>475657.79319088842</v>
      </c>
      <c r="R99" s="278">
        <v>356743.34489316616</v>
      </c>
      <c r="S99" s="278">
        <v>237828.89659544433</v>
      </c>
      <c r="T99" s="278">
        <v>118914.44829772211</v>
      </c>
      <c r="U99" s="278">
        <v>0</v>
      </c>
      <c r="V99" s="278">
        <v>-118914.44829772212</v>
      </c>
      <c r="W99" s="278">
        <v>-237828.89659544418</v>
      </c>
      <c r="X99" s="278">
        <v>-356743.34489316627</v>
      </c>
      <c r="Y99" s="278">
        <v>-475657.7931908883</v>
      </c>
      <c r="Z99" s="279">
        <v>-594572.24148861051</v>
      </c>
      <c r="AB99" s="282" t="str">
        <f t="shared" si="7"/>
        <v>12Y</v>
      </c>
      <c r="AC99" s="278">
        <f ca="1">IF(ABS(P99-C99)&gt;SnapshotTolerance,1,0)</f>
        <v>0</v>
      </c>
      <c r="AD99" s="278">
        <f ca="1">IF(ABS(Q99-D99)&gt;SnapshotTolerance,1,0)</f>
        <v>0</v>
      </c>
      <c r="AE99" s="278">
        <f ca="1">IF(ABS(R99-E99)&gt;SnapshotTolerance,1,0)</f>
        <v>0</v>
      </c>
      <c r="AF99" s="278">
        <f ca="1">IF(ABS(S99-F99)&gt;SnapshotTolerance,1,0)</f>
        <v>0</v>
      </c>
      <c r="AG99" s="278">
        <f ca="1">IF(ABS(T99-G99)&gt;SnapshotTolerance,1,0)</f>
        <v>0</v>
      </c>
      <c r="AH99" s="278">
        <f ca="1">IF(ABS(U99-H99)&gt;SnapshotTolerance,1,0)</f>
        <v>0</v>
      </c>
      <c r="AI99" s="278">
        <f ca="1">IF(ABS(V99-I99)&gt;SnapshotTolerance,1,0)</f>
        <v>0</v>
      </c>
      <c r="AJ99" s="278">
        <f ca="1">IF(ABS(W99-J99)&gt;SnapshotTolerance,1,0)</f>
        <v>0</v>
      </c>
      <c r="AK99" s="278">
        <f ca="1">IF(ABS(X99-K99)&gt;SnapshotTolerance,1,0)</f>
        <v>0</v>
      </c>
      <c r="AL99" s="278">
        <f ca="1">IF(ABS(Y99-L99)&gt;SnapshotTolerance,1,0)</f>
        <v>0</v>
      </c>
      <c r="AM99" s="279">
        <f ca="1">IF(ABS(Z99-M99)&gt;SnapshotTolerance,1,0)</f>
        <v>0</v>
      </c>
    </row>
    <row r="100" spans="2:39">
      <c r="B100" s="282" t="str">
        <f>'JPY Swap PVs'!AG38</f>
        <v>15Y</v>
      </c>
      <c r="C100" s="278">
        <f ca="1">'JPY Swap PVs'!AH38</f>
        <v>731887.31731711666</v>
      </c>
      <c r="D100" s="278">
        <f ca="1">'JPY Swap PVs'!AI38</f>
        <v>585509.85385369335</v>
      </c>
      <c r="E100" s="278">
        <f ca="1">'JPY Swap PVs'!AJ38</f>
        <v>439132.39039026987</v>
      </c>
      <c r="F100" s="278">
        <f ca="1">'JPY Swap PVs'!AK38</f>
        <v>292754.92692684679</v>
      </c>
      <c r="G100" s="278">
        <f ca="1">'JPY Swap PVs'!AL38</f>
        <v>146377.46346342331</v>
      </c>
      <c r="H100" s="278">
        <f ca="1">'JPY Swap PVs'!AM38</f>
        <v>0</v>
      </c>
      <c r="I100" s="278">
        <f ca="1">'JPY Swap PVs'!AN38</f>
        <v>-146377.46346342337</v>
      </c>
      <c r="J100" s="278">
        <f ca="1">'JPY Swap PVs'!AO38</f>
        <v>-292754.92692684667</v>
      </c>
      <c r="K100" s="278">
        <f ca="1">'JPY Swap PVs'!AP38</f>
        <v>-439132.3903902701</v>
      </c>
      <c r="L100" s="278">
        <f ca="1">'JPY Swap PVs'!AQ38</f>
        <v>-585509.85385369335</v>
      </c>
      <c r="M100" s="279">
        <f ca="1">'JPY Swap PVs'!AR38</f>
        <v>-731887.31731711677</v>
      </c>
      <c r="O100" s="282" t="s">
        <v>24</v>
      </c>
      <c r="P100" s="278">
        <v>731887.31731711666</v>
      </c>
      <c r="Q100" s="278">
        <v>585509.85385369335</v>
      </c>
      <c r="R100" s="278">
        <v>439132.39039026987</v>
      </c>
      <c r="S100" s="278">
        <v>292754.92692684679</v>
      </c>
      <c r="T100" s="278">
        <v>146377.46346342331</v>
      </c>
      <c r="U100" s="278">
        <v>0</v>
      </c>
      <c r="V100" s="278">
        <v>-146377.46346342337</v>
      </c>
      <c r="W100" s="278">
        <v>-292754.92692684667</v>
      </c>
      <c r="X100" s="278">
        <v>-439132.3903902701</v>
      </c>
      <c r="Y100" s="278">
        <v>-585509.85385369335</v>
      </c>
      <c r="Z100" s="279">
        <v>-731887.31731711677</v>
      </c>
      <c r="AB100" s="282" t="str">
        <f t="shared" si="7"/>
        <v>15Y</v>
      </c>
      <c r="AC100" s="278">
        <f ca="1">IF(ABS(P100-C100)&gt;SnapshotTolerance,1,0)</f>
        <v>0</v>
      </c>
      <c r="AD100" s="278">
        <f ca="1">IF(ABS(Q100-D100)&gt;SnapshotTolerance,1,0)</f>
        <v>0</v>
      </c>
      <c r="AE100" s="278">
        <f ca="1">IF(ABS(R100-E100)&gt;SnapshotTolerance,1,0)</f>
        <v>0</v>
      </c>
      <c r="AF100" s="278">
        <f ca="1">IF(ABS(S100-F100)&gt;SnapshotTolerance,1,0)</f>
        <v>0</v>
      </c>
      <c r="AG100" s="278">
        <f ca="1">IF(ABS(T100-G100)&gt;SnapshotTolerance,1,0)</f>
        <v>0</v>
      </c>
      <c r="AH100" s="278">
        <f ca="1">IF(ABS(U100-H100)&gt;SnapshotTolerance,1,0)</f>
        <v>0</v>
      </c>
      <c r="AI100" s="278">
        <f ca="1">IF(ABS(V100-I100)&gt;SnapshotTolerance,1,0)</f>
        <v>0</v>
      </c>
      <c r="AJ100" s="278">
        <f ca="1">IF(ABS(W100-J100)&gt;SnapshotTolerance,1,0)</f>
        <v>0</v>
      </c>
      <c r="AK100" s="278">
        <f ca="1">IF(ABS(X100-K100)&gt;SnapshotTolerance,1,0)</f>
        <v>0</v>
      </c>
      <c r="AL100" s="278">
        <f ca="1">IF(ABS(Y100-L100)&gt;SnapshotTolerance,1,0)</f>
        <v>0</v>
      </c>
      <c r="AM100" s="279">
        <f ca="1">IF(ABS(Z100-M100)&gt;SnapshotTolerance,1,0)</f>
        <v>0</v>
      </c>
    </row>
    <row r="101" spans="2:39">
      <c r="B101" s="282" t="str">
        <f>'JPY Swap PVs'!AG39</f>
        <v>20Y</v>
      </c>
      <c r="C101" s="278">
        <f ca="1">'JPY Swap PVs'!AH39</f>
        <v>943221.63542322617</v>
      </c>
      <c r="D101" s="278">
        <f ca="1">'JPY Swap PVs'!AI39</f>
        <v>754577.30833858089</v>
      </c>
      <c r="E101" s="278">
        <f ca="1">'JPY Swap PVs'!AJ39</f>
        <v>565932.98125393537</v>
      </c>
      <c r="F101" s="278">
        <f ca="1">'JPY Swap PVs'!AK39</f>
        <v>377288.65416929068</v>
      </c>
      <c r="G101" s="278">
        <f ca="1">'JPY Swap PVs'!AL39</f>
        <v>188644.32708464522</v>
      </c>
      <c r="H101" s="278">
        <f ca="1">'JPY Swap PVs'!AM39</f>
        <v>0</v>
      </c>
      <c r="I101" s="278">
        <f ca="1">'JPY Swap PVs'!AN39</f>
        <v>-188644.32708464522</v>
      </c>
      <c r="J101" s="278">
        <f ca="1">'JPY Swap PVs'!AO39</f>
        <v>-377288.65416929044</v>
      </c>
      <c r="K101" s="278">
        <f ca="1">'JPY Swap PVs'!AP39</f>
        <v>-565932.98125393561</v>
      </c>
      <c r="L101" s="278">
        <f ca="1">'JPY Swap PVs'!AQ39</f>
        <v>-754577.30833858089</v>
      </c>
      <c r="M101" s="279">
        <f ca="1">'JPY Swap PVs'!AR39</f>
        <v>-943221.6354232264</v>
      </c>
      <c r="O101" s="282" t="s">
        <v>20</v>
      </c>
      <c r="P101" s="278">
        <v>943221.63542322617</v>
      </c>
      <c r="Q101" s="278">
        <v>754577.30833858089</v>
      </c>
      <c r="R101" s="278">
        <v>565932.98125393537</v>
      </c>
      <c r="S101" s="278">
        <v>377288.65416929068</v>
      </c>
      <c r="T101" s="278">
        <v>188644.32708464522</v>
      </c>
      <c r="U101" s="278">
        <v>0</v>
      </c>
      <c r="V101" s="278">
        <v>-188644.32708464522</v>
      </c>
      <c r="W101" s="278">
        <v>-377288.65416929044</v>
      </c>
      <c r="X101" s="278">
        <v>-565932.98125393561</v>
      </c>
      <c r="Y101" s="278">
        <v>-754577.30833858089</v>
      </c>
      <c r="Z101" s="279">
        <v>-943221.6354232264</v>
      </c>
      <c r="AB101" s="282" t="str">
        <f t="shared" si="7"/>
        <v>20Y</v>
      </c>
      <c r="AC101" s="278">
        <f ca="1">IF(ABS(P101-C101)&gt;SnapshotTolerance,1,0)</f>
        <v>0</v>
      </c>
      <c r="AD101" s="278">
        <f ca="1">IF(ABS(Q101-D101)&gt;SnapshotTolerance,1,0)</f>
        <v>0</v>
      </c>
      <c r="AE101" s="278">
        <f ca="1">IF(ABS(R101-E101)&gt;SnapshotTolerance,1,0)</f>
        <v>0</v>
      </c>
      <c r="AF101" s="278">
        <f ca="1">IF(ABS(S101-F101)&gt;SnapshotTolerance,1,0)</f>
        <v>0</v>
      </c>
      <c r="AG101" s="278">
        <f ca="1">IF(ABS(T101-G101)&gt;SnapshotTolerance,1,0)</f>
        <v>0</v>
      </c>
      <c r="AH101" s="278">
        <f ca="1">IF(ABS(U101-H101)&gt;SnapshotTolerance,1,0)</f>
        <v>0</v>
      </c>
      <c r="AI101" s="278">
        <f ca="1">IF(ABS(V101-I101)&gt;SnapshotTolerance,1,0)</f>
        <v>0</v>
      </c>
      <c r="AJ101" s="278">
        <f ca="1">IF(ABS(W101-J101)&gt;SnapshotTolerance,1,0)</f>
        <v>0</v>
      </c>
      <c r="AK101" s="278">
        <f ca="1">IF(ABS(X101-K101)&gt;SnapshotTolerance,1,0)</f>
        <v>0</v>
      </c>
      <c r="AL101" s="278">
        <f ca="1">IF(ABS(Y101-L101)&gt;SnapshotTolerance,1,0)</f>
        <v>0</v>
      </c>
      <c r="AM101" s="279">
        <f ca="1">IF(ABS(Z101-M101)&gt;SnapshotTolerance,1,0)</f>
        <v>0</v>
      </c>
    </row>
    <row r="102" spans="2:39">
      <c r="B102" s="282" t="str">
        <f>'JPY Swap PVs'!AG40</f>
        <v>25Y</v>
      </c>
      <c r="C102" s="278">
        <f ca="1">'JPY Swap PVs'!AH40</f>
        <v>1134287.7811525208</v>
      </c>
      <c r="D102" s="278">
        <f ca="1">'JPY Swap PVs'!AI40</f>
        <v>907430.22492201626</v>
      </c>
      <c r="E102" s="278">
        <f ca="1">'JPY Swap PVs'!AJ40</f>
        <v>680572.66869151208</v>
      </c>
      <c r="F102" s="278">
        <f ca="1">'JPY Swap PVs'!AK40</f>
        <v>453715.11246100854</v>
      </c>
      <c r="G102" s="278">
        <f ca="1">'JPY Swap PVs'!AL40</f>
        <v>226857.55623050401</v>
      </c>
      <c r="H102" s="278">
        <f ca="1">'JPY Swap PVs'!AM40</f>
        <v>0</v>
      </c>
      <c r="I102" s="278">
        <f ca="1">'JPY Swap PVs'!AN40</f>
        <v>-226857.55623050407</v>
      </c>
      <c r="J102" s="278">
        <f ca="1">'JPY Swap PVs'!AO40</f>
        <v>-453715.11246100813</v>
      </c>
      <c r="K102" s="278">
        <f ca="1">'JPY Swap PVs'!AP40</f>
        <v>-680572.66869151231</v>
      </c>
      <c r="L102" s="278">
        <f ca="1">'JPY Swap PVs'!AQ40</f>
        <v>-907430.22492201626</v>
      </c>
      <c r="M102" s="279">
        <f ca="1">'JPY Swap PVs'!AR40</f>
        <v>-1134287.781152521</v>
      </c>
      <c r="O102" s="282" t="s">
        <v>18</v>
      </c>
      <c r="P102" s="278">
        <v>1134287.7811525208</v>
      </c>
      <c r="Q102" s="278">
        <v>907430.22492201626</v>
      </c>
      <c r="R102" s="278">
        <v>680572.66869151208</v>
      </c>
      <c r="S102" s="278">
        <v>453715.11246100854</v>
      </c>
      <c r="T102" s="278">
        <v>226857.55623050401</v>
      </c>
      <c r="U102" s="278">
        <v>0</v>
      </c>
      <c r="V102" s="278">
        <v>-226857.55623050407</v>
      </c>
      <c r="W102" s="278">
        <v>-453715.11246100813</v>
      </c>
      <c r="X102" s="278">
        <v>-680572.66869151231</v>
      </c>
      <c r="Y102" s="278">
        <v>-907430.22492201626</v>
      </c>
      <c r="Z102" s="279">
        <v>-1134287.781152521</v>
      </c>
      <c r="AB102" s="282" t="str">
        <f t="shared" si="7"/>
        <v>25Y</v>
      </c>
      <c r="AC102" s="278">
        <f ca="1">IF(ABS(P102-C102)&gt;SnapshotTolerance,1,0)</f>
        <v>0</v>
      </c>
      <c r="AD102" s="278">
        <f ca="1">IF(ABS(Q102-D102)&gt;SnapshotTolerance,1,0)</f>
        <v>0</v>
      </c>
      <c r="AE102" s="278">
        <f ca="1">IF(ABS(R102-E102)&gt;SnapshotTolerance,1,0)</f>
        <v>0</v>
      </c>
      <c r="AF102" s="278">
        <f ca="1">IF(ABS(S102-F102)&gt;SnapshotTolerance,1,0)</f>
        <v>0</v>
      </c>
      <c r="AG102" s="278">
        <f ca="1">IF(ABS(T102-G102)&gt;SnapshotTolerance,1,0)</f>
        <v>0</v>
      </c>
      <c r="AH102" s="278">
        <f ca="1">IF(ABS(U102-H102)&gt;SnapshotTolerance,1,0)</f>
        <v>0</v>
      </c>
      <c r="AI102" s="278">
        <f ca="1">IF(ABS(V102-I102)&gt;SnapshotTolerance,1,0)</f>
        <v>0</v>
      </c>
      <c r="AJ102" s="278">
        <f ca="1">IF(ABS(W102-J102)&gt;SnapshotTolerance,1,0)</f>
        <v>0</v>
      </c>
      <c r="AK102" s="278">
        <f ca="1">IF(ABS(X102-K102)&gt;SnapshotTolerance,1,0)</f>
        <v>0</v>
      </c>
      <c r="AL102" s="278">
        <f ca="1">IF(ABS(Y102-L102)&gt;SnapshotTolerance,1,0)</f>
        <v>0</v>
      </c>
      <c r="AM102" s="279">
        <f ca="1">IF(ABS(Z102-M102)&gt;SnapshotTolerance,1,0)</f>
        <v>0</v>
      </c>
    </row>
    <row r="103" spans="2:39">
      <c r="B103" s="282" t="str">
        <f>'JPY Swap PVs'!AG41</f>
        <v>30Y</v>
      </c>
      <c r="C103" s="278">
        <f ca="1">'JPY Swap PVs'!AH41</f>
        <v>1308557.944229654</v>
      </c>
      <c r="D103" s="278">
        <f ca="1">'JPY Swap PVs'!AI41</f>
        <v>1046846.3553837235</v>
      </c>
      <c r="E103" s="278">
        <f ca="1">'JPY Swap PVs'!AJ41</f>
        <v>785134.76653779217</v>
      </c>
      <c r="F103" s="278">
        <f ca="1">'JPY Swap PVs'!AK41</f>
        <v>523423.1776918621</v>
      </c>
      <c r="G103" s="278">
        <f ca="1">'JPY Swap PVs'!AL41</f>
        <v>261711.58884593076</v>
      </c>
      <c r="H103" s="278">
        <f ca="1">'JPY Swap PVs'!AM41</f>
        <v>0</v>
      </c>
      <c r="I103" s="278">
        <f ca="1">'JPY Swap PVs'!AN41</f>
        <v>-261711.58884593082</v>
      </c>
      <c r="J103" s="278">
        <f ca="1">'JPY Swap PVs'!AO41</f>
        <v>-523423.17769186164</v>
      </c>
      <c r="K103" s="278">
        <f ca="1">'JPY Swap PVs'!AP41</f>
        <v>-785134.76653779252</v>
      </c>
      <c r="L103" s="278">
        <f ca="1">'JPY Swap PVs'!AQ41</f>
        <v>-1046846.3553837233</v>
      </c>
      <c r="M103" s="279">
        <f ca="1">'JPY Swap PVs'!AR41</f>
        <v>-1308557.9442296547</v>
      </c>
      <c r="O103" s="282" t="s">
        <v>17</v>
      </c>
      <c r="P103" s="278">
        <v>1308557.944229654</v>
      </c>
      <c r="Q103" s="278">
        <v>1046846.3553837235</v>
      </c>
      <c r="R103" s="278">
        <v>785134.76653779217</v>
      </c>
      <c r="S103" s="278">
        <v>523423.1776918621</v>
      </c>
      <c r="T103" s="278">
        <v>261711.58884593076</v>
      </c>
      <c r="U103" s="278">
        <v>0</v>
      </c>
      <c r="V103" s="278">
        <v>-261711.58884593082</v>
      </c>
      <c r="W103" s="278">
        <v>-523423.17769186164</v>
      </c>
      <c r="X103" s="278">
        <v>-785134.76653779252</v>
      </c>
      <c r="Y103" s="278">
        <v>-1046846.3553837233</v>
      </c>
      <c r="Z103" s="279">
        <v>-1308557.9442296547</v>
      </c>
      <c r="AB103" s="282" t="str">
        <f t="shared" si="7"/>
        <v>30Y</v>
      </c>
      <c r="AC103" s="278">
        <f ca="1">IF(ABS(P103-C103)&gt;SnapshotTolerance,1,0)</f>
        <v>0</v>
      </c>
      <c r="AD103" s="278">
        <f ca="1">IF(ABS(Q103-D103)&gt;SnapshotTolerance,1,0)</f>
        <v>0</v>
      </c>
      <c r="AE103" s="278">
        <f ca="1">IF(ABS(R103-E103)&gt;SnapshotTolerance,1,0)</f>
        <v>0</v>
      </c>
      <c r="AF103" s="278">
        <f ca="1">IF(ABS(S103-F103)&gt;SnapshotTolerance,1,0)</f>
        <v>0</v>
      </c>
      <c r="AG103" s="278">
        <f ca="1">IF(ABS(T103-G103)&gt;SnapshotTolerance,1,0)</f>
        <v>0</v>
      </c>
      <c r="AH103" s="278">
        <f ca="1">IF(ABS(U103-H103)&gt;SnapshotTolerance,1,0)</f>
        <v>0</v>
      </c>
      <c r="AI103" s="278">
        <f ca="1">IF(ABS(V103-I103)&gt;SnapshotTolerance,1,0)</f>
        <v>0</v>
      </c>
      <c r="AJ103" s="278">
        <f ca="1">IF(ABS(W103-J103)&gt;SnapshotTolerance,1,0)</f>
        <v>0</v>
      </c>
      <c r="AK103" s="278">
        <f ca="1">IF(ABS(X103-K103)&gt;SnapshotTolerance,1,0)</f>
        <v>0</v>
      </c>
      <c r="AL103" s="278">
        <f ca="1">IF(ABS(Y103-L103)&gt;SnapshotTolerance,1,0)</f>
        <v>0</v>
      </c>
      <c r="AM103" s="279">
        <f ca="1">IF(ABS(Z103-M103)&gt;SnapshotTolerance,1,0)</f>
        <v>0</v>
      </c>
    </row>
    <row r="104" spans="2:39">
      <c r="B104" s="282" t="str">
        <f>'JPY Swap PVs'!AG42</f>
        <v>35Y</v>
      </c>
      <c r="C104" s="278">
        <f ca="1">'JPY Swap PVs'!AH42</f>
        <v>1466795.5141371216</v>
      </c>
      <c r="D104" s="278">
        <f ca="1">'JPY Swap PVs'!AI42</f>
        <v>1173436.4113096977</v>
      </c>
      <c r="E104" s="278">
        <f ca="1">'JPY Swap PVs'!AJ42</f>
        <v>880077.30848227267</v>
      </c>
      <c r="F104" s="278">
        <f ca="1">'JPY Swap PVs'!AK42</f>
        <v>586718.20565484872</v>
      </c>
      <c r="G104" s="278">
        <f ca="1">'JPY Swap PVs'!AL42</f>
        <v>293359.10282742418</v>
      </c>
      <c r="H104" s="278">
        <f ca="1">'JPY Swap PVs'!AM42</f>
        <v>-5.5511151231257827E-11</v>
      </c>
      <c r="I104" s="278">
        <f ca="1">'JPY Swap PVs'!AN42</f>
        <v>-293359.10282742442</v>
      </c>
      <c r="J104" s="278">
        <f ca="1">'JPY Swap PVs'!AO42</f>
        <v>-586718.20565484883</v>
      </c>
      <c r="K104" s="278">
        <f ca="1">'JPY Swap PVs'!AP42</f>
        <v>-880077.30848227313</v>
      </c>
      <c r="L104" s="278">
        <f ca="1">'JPY Swap PVs'!AQ42</f>
        <v>-1173436.4113096972</v>
      </c>
      <c r="M104" s="279">
        <f ca="1">'JPY Swap PVs'!AR42</f>
        <v>-1466795.5141371221</v>
      </c>
      <c r="O104" s="282" t="s">
        <v>16</v>
      </c>
      <c r="P104" s="278">
        <v>1466795.5141371216</v>
      </c>
      <c r="Q104" s="278">
        <v>1173436.4113096977</v>
      </c>
      <c r="R104" s="278">
        <v>880077.30848227267</v>
      </c>
      <c r="S104" s="278">
        <v>586718.20565484872</v>
      </c>
      <c r="T104" s="278">
        <v>293359.10282742418</v>
      </c>
      <c r="U104" s="278">
        <v>-5.5511151231257827E-11</v>
      </c>
      <c r="V104" s="278">
        <v>-293359.10282742442</v>
      </c>
      <c r="W104" s="278">
        <v>-586718.20565484883</v>
      </c>
      <c r="X104" s="278">
        <v>-880077.30848227313</v>
      </c>
      <c r="Y104" s="278">
        <v>-1173436.4113096972</v>
      </c>
      <c r="Z104" s="279">
        <v>-1466795.5141371221</v>
      </c>
      <c r="AB104" s="282" t="str">
        <f t="shared" si="7"/>
        <v>35Y</v>
      </c>
      <c r="AC104" s="278">
        <f ca="1">IF(ABS(P104-C104)&gt;SnapshotTolerance,1,0)</f>
        <v>0</v>
      </c>
      <c r="AD104" s="278">
        <f ca="1">IF(ABS(Q104-D104)&gt;SnapshotTolerance,1,0)</f>
        <v>0</v>
      </c>
      <c r="AE104" s="278">
        <f ca="1">IF(ABS(R104-E104)&gt;SnapshotTolerance,1,0)</f>
        <v>0</v>
      </c>
      <c r="AF104" s="278">
        <f ca="1">IF(ABS(S104-F104)&gt;SnapshotTolerance,1,0)</f>
        <v>0</v>
      </c>
      <c r="AG104" s="278">
        <f ca="1">IF(ABS(T104-G104)&gt;SnapshotTolerance,1,0)</f>
        <v>0</v>
      </c>
      <c r="AH104" s="278">
        <f ca="1">IF(ABS(U104-H104)&gt;SnapshotTolerance,1,0)</f>
        <v>0</v>
      </c>
      <c r="AI104" s="278">
        <f ca="1">IF(ABS(V104-I104)&gt;SnapshotTolerance,1,0)</f>
        <v>0</v>
      </c>
      <c r="AJ104" s="278">
        <f ca="1">IF(ABS(W104-J104)&gt;SnapshotTolerance,1,0)</f>
        <v>0</v>
      </c>
      <c r="AK104" s="278">
        <f ca="1">IF(ABS(X104-K104)&gt;SnapshotTolerance,1,0)</f>
        <v>0</v>
      </c>
      <c r="AL104" s="278">
        <f ca="1">IF(ABS(Y104-L104)&gt;SnapshotTolerance,1,0)</f>
        <v>0</v>
      </c>
      <c r="AM104" s="279">
        <f ca="1">IF(ABS(Z104-M104)&gt;SnapshotTolerance,1,0)</f>
        <v>0</v>
      </c>
    </row>
    <row r="105" spans="2:39">
      <c r="B105" s="282" t="str">
        <f>'JPY Swap PVs'!AG43</f>
        <v>40Y</v>
      </c>
      <c r="C105" s="278">
        <f ca="1">'JPY Swap PVs'!AH43</f>
        <v>1610308.3817510023</v>
      </c>
      <c r="D105" s="278">
        <f ca="1">'JPY Swap PVs'!AI43</f>
        <v>1288246.7054008017</v>
      </c>
      <c r="E105" s="278">
        <f ca="1">'JPY Swap PVs'!AJ43</f>
        <v>966185.02905060095</v>
      </c>
      <c r="F105" s="278">
        <f ca="1">'JPY Swap PVs'!AK43</f>
        <v>644123.35270040075</v>
      </c>
      <c r="G105" s="278">
        <f ca="1">'JPY Swap PVs'!AL43</f>
        <v>322061.6763502002</v>
      </c>
      <c r="H105" s="278">
        <f ca="1">'JPY Swap PVs'!AM43</f>
        <v>0</v>
      </c>
      <c r="I105" s="278">
        <f ca="1">'JPY Swap PVs'!AN43</f>
        <v>-322061.67635020043</v>
      </c>
      <c r="J105" s="278">
        <f ca="1">'JPY Swap PVs'!AO43</f>
        <v>-644123.35270040086</v>
      </c>
      <c r="K105" s="278">
        <f ca="1">'JPY Swap PVs'!AP43</f>
        <v>-966185.02905060118</v>
      </c>
      <c r="L105" s="278">
        <f ca="1">'JPY Swap PVs'!AQ43</f>
        <v>-1288246.7054008015</v>
      </c>
      <c r="M105" s="279">
        <f ca="1">'JPY Swap PVs'!AR43</f>
        <v>-1610308.3817510023</v>
      </c>
      <c r="O105" s="282" t="s">
        <v>15</v>
      </c>
      <c r="P105" s="278">
        <v>1610308.3817510023</v>
      </c>
      <c r="Q105" s="278">
        <v>1288246.7054008017</v>
      </c>
      <c r="R105" s="278">
        <v>966185.02905060095</v>
      </c>
      <c r="S105" s="278">
        <v>644123.35270040075</v>
      </c>
      <c r="T105" s="278">
        <v>322061.6763502002</v>
      </c>
      <c r="U105" s="278">
        <v>0</v>
      </c>
      <c r="V105" s="278">
        <v>-322061.67635020043</v>
      </c>
      <c r="W105" s="278">
        <v>-644123.35270040086</v>
      </c>
      <c r="X105" s="278">
        <v>-966185.02905060118</v>
      </c>
      <c r="Y105" s="278">
        <v>-1288246.7054008015</v>
      </c>
      <c r="Z105" s="279">
        <v>-1610308.3817510023</v>
      </c>
      <c r="AB105" s="282" t="str">
        <f t="shared" si="7"/>
        <v>40Y</v>
      </c>
      <c r="AC105" s="278">
        <f ca="1">IF(ABS(P105-C105)&gt;SnapshotTolerance,1,0)</f>
        <v>0</v>
      </c>
      <c r="AD105" s="278">
        <f ca="1">IF(ABS(Q105-D105)&gt;SnapshotTolerance,1,0)</f>
        <v>0</v>
      </c>
      <c r="AE105" s="278">
        <f ca="1">IF(ABS(R105-E105)&gt;SnapshotTolerance,1,0)</f>
        <v>0</v>
      </c>
      <c r="AF105" s="278">
        <f ca="1">IF(ABS(S105-F105)&gt;SnapshotTolerance,1,0)</f>
        <v>0</v>
      </c>
      <c r="AG105" s="278">
        <f ca="1">IF(ABS(T105-G105)&gt;SnapshotTolerance,1,0)</f>
        <v>0</v>
      </c>
      <c r="AH105" s="278">
        <f ca="1">IF(ABS(U105-H105)&gt;SnapshotTolerance,1,0)</f>
        <v>0</v>
      </c>
      <c r="AI105" s="278">
        <f ca="1">IF(ABS(V105-I105)&gt;SnapshotTolerance,1,0)</f>
        <v>0</v>
      </c>
      <c r="AJ105" s="278">
        <f ca="1">IF(ABS(W105-J105)&gt;SnapshotTolerance,1,0)</f>
        <v>0</v>
      </c>
      <c r="AK105" s="278">
        <f ca="1">IF(ABS(X105-K105)&gt;SnapshotTolerance,1,0)</f>
        <v>0</v>
      </c>
      <c r="AL105" s="278">
        <f ca="1">IF(ABS(Y105-L105)&gt;SnapshotTolerance,1,0)</f>
        <v>0</v>
      </c>
      <c r="AM105" s="279">
        <f ca="1">IF(ABS(Z105-M105)&gt;SnapshotTolerance,1,0)</f>
        <v>0</v>
      </c>
    </row>
    <row r="106" spans="2:39">
      <c r="B106" s="282"/>
      <c r="C106" s="278"/>
      <c r="D106" s="278"/>
      <c r="E106" s="278"/>
      <c r="F106" s="278"/>
      <c r="G106" s="278"/>
      <c r="H106" s="278"/>
      <c r="I106" s="278"/>
      <c r="J106" s="278"/>
      <c r="K106" s="278"/>
      <c r="L106" s="278"/>
      <c r="M106" s="279"/>
      <c r="O106" s="282"/>
      <c r="P106" s="278"/>
      <c r="Q106" s="278"/>
      <c r="R106" s="278"/>
      <c r="S106" s="278"/>
      <c r="T106" s="278"/>
      <c r="U106" s="278"/>
      <c r="V106" s="278"/>
      <c r="W106" s="278"/>
      <c r="X106" s="278"/>
      <c r="Y106" s="278"/>
      <c r="Z106" s="279"/>
      <c r="AB106" s="282"/>
      <c r="AC106" s="278"/>
      <c r="AD106" s="278"/>
      <c r="AE106" s="278"/>
      <c r="AF106" s="278"/>
      <c r="AG106" s="278"/>
      <c r="AH106" s="278"/>
      <c r="AI106" s="278"/>
      <c r="AJ106" s="278"/>
      <c r="AK106" s="278"/>
      <c r="AL106" s="278"/>
      <c r="AM106" s="279"/>
    </row>
    <row r="107" spans="2:39">
      <c r="B107" s="282"/>
      <c r="C107" s="278"/>
      <c r="D107" s="278"/>
      <c r="E107" s="278"/>
      <c r="F107" s="278"/>
      <c r="G107" s="278"/>
      <c r="H107" s="278"/>
      <c r="I107" s="278"/>
      <c r="J107" s="278"/>
      <c r="K107" s="278"/>
      <c r="L107" s="278"/>
      <c r="M107" s="279"/>
      <c r="O107" s="282"/>
      <c r="P107" s="278"/>
      <c r="Q107" s="278"/>
      <c r="R107" s="278"/>
      <c r="S107" s="278"/>
      <c r="T107" s="278"/>
      <c r="U107" s="278"/>
      <c r="V107" s="278"/>
      <c r="W107" s="278"/>
      <c r="X107" s="278"/>
      <c r="Y107" s="278"/>
      <c r="Z107" s="279"/>
      <c r="AB107" s="282"/>
      <c r="AC107" s="278"/>
      <c r="AD107" s="278"/>
      <c r="AE107" s="278"/>
      <c r="AF107" s="278"/>
      <c r="AG107" s="278"/>
      <c r="AH107" s="278"/>
      <c r="AI107" s="278"/>
      <c r="AJ107" s="278"/>
      <c r="AK107" s="278"/>
      <c r="AL107" s="278"/>
      <c r="AM107" s="279"/>
    </row>
    <row r="108" spans="2:39">
      <c r="B108" s="282"/>
      <c r="C108" s="278"/>
      <c r="D108" s="278"/>
      <c r="E108" s="278"/>
      <c r="F108" s="278"/>
      <c r="G108" s="278"/>
      <c r="H108" s="278"/>
      <c r="I108" s="278"/>
      <c r="J108" s="278"/>
      <c r="K108" s="278"/>
      <c r="L108" s="278"/>
      <c r="M108" s="279"/>
      <c r="O108" s="282"/>
      <c r="P108" s="278"/>
      <c r="Q108" s="278"/>
      <c r="R108" s="278"/>
      <c r="S108" s="278"/>
      <c r="T108" s="278"/>
      <c r="U108" s="278"/>
      <c r="V108" s="278"/>
      <c r="W108" s="278"/>
      <c r="X108" s="278"/>
      <c r="Y108" s="278"/>
      <c r="Z108" s="279"/>
      <c r="AB108" s="282"/>
      <c r="AC108" s="278"/>
      <c r="AD108" s="278"/>
      <c r="AE108" s="278"/>
      <c r="AF108" s="278"/>
      <c r="AG108" s="278"/>
      <c r="AH108" s="278"/>
      <c r="AI108" s="278"/>
      <c r="AJ108" s="278"/>
      <c r="AK108" s="278"/>
      <c r="AL108" s="278"/>
      <c r="AM108" s="279"/>
    </row>
    <row r="109" spans="2:39">
      <c r="B109" s="283"/>
      <c r="C109" s="280"/>
      <c r="D109" s="280"/>
      <c r="E109" s="280"/>
      <c r="F109" s="280"/>
      <c r="G109" s="280"/>
      <c r="H109" s="280"/>
      <c r="I109" s="280"/>
      <c r="J109" s="280"/>
      <c r="K109" s="280"/>
      <c r="L109" s="280"/>
      <c r="M109" s="281"/>
      <c r="O109" s="283"/>
      <c r="P109" s="280"/>
      <c r="Q109" s="280"/>
      <c r="R109" s="280"/>
      <c r="S109" s="280"/>
      <c r="T109" s="280"/>
      <c r="U109" s="280"/>
      <c r="V109" s="280"/>
      <c r="W109" s="280"/>
      <c r="X109" s="280"/>
      <c r="Y109" s="280"/>
      <c r="Z109" s="281"/>
      <c r="AB109" s="283"/>
      <c r="AC109" s="280"/>
      <c r="AD109" s="280"/>
      <c r="AE109" s="280"/>
      <c r="AF109" s="280"/>
      <c r="AG109" s="280"/>
      <c r="AH109" s="280"/>
      <c r="AI109" s="280"/>
      <c r="AJ109" s="280"/>
      <c r="AK109" s="280"/>
      <c r="AL109" s="280"/>
      <c r="AM109" s="281"/>
    </row>
    <row r="112" spans="2:39">
      <c r="B112" t="s">
        <v>533</v>
      </c>
      <c r="E112" t="s">
        <v>472</v>
      </c>
    </row>
    <row r="113" spans="2:39">
      <c r="B113" t="s">
        <v>528</v>
      </c>
      <c r="E113" s="252">
        <f ca="1">SUM(AC118:AM136)</f>
        <v>0</v>
      </c>
    </row>
    <row r="114" spans="2:39">
      <c r="B114" t="s">
        <v>529</v>
      </c>
    </row>
    <row r="116" spans="2:39">
      <c r="B116" t="s">
        <v>510</v>
      </c>
      <c r="O116" t="s">
        <v>470</v>
      </c>
      <c r="AB116" t="s">
        <v>511</v>
      </c>
    </row>
    <row r="117" spans="2:39">
      <c r="B117" s="254" t="str">
        <f>'JPY Swap PVs'!M51</f>
        <v>Term</v>
      </c>
      <c r="C117" s="276">
        <f>'JPY Swap PVs'!N51</f>
        <v>-0.05</v>
      </c>
      <c r="D117" s="276">
        <f>'JPY Swap PVs'!O51</f>
        <v>-0.04</v>
      </c>
      <c r="E117" s="276">
        <f>'JPY Swap PVs'!P51</f>
        <v>-0.03</v>
      </c>
      <c r="F117" s="276">
        <f>'JPY Swap PVs'!Q51</f>
        <v>-1.9999999999999997E-2</v>
      </c>
      <c r="G117" s="276">
        <f>'JPY Swap PVs'!R51</f>
        <v>-9.9999999999999967E-3</v>
      </c>
      <c r="H117" s="276">
        <f>'JPY Swap PVs'!S51</f>
        <v>0</v>
      </c>
      <c r="I117" s="276">
        <f>'JPY Swap PVs'!T51</f>
        <v>0.01</v>
      </c>
      <c r="J117" s="276">
        <f>'JPY Swap PVs'!U51</f>
        <v>0.02</v>
      </c>
      <c r="K117" s="276">
        <f>'JPY Swap PVs'!V51</f>
        <v>0.03</v>
      </c>
      <c r="L117" s="276">
        <f>'JPY Swap PVs'!W51</f>
        <v>0.04</v>
      </c>
      <c r="M117" s="277">
        <f>'JPY Swap PVs'!X51</f>
        <v>0.05</v>
      </c>
      <c r="O117" s="254" t="s">
        <v>76</v>
      </c>
      <c r="P117" s="276">
        <v>-0.05</v>
      </c>
      <c r="Q117" s="276">
        <v>-0.04</v>
      </c>
      <c r="R117" s="276">
        <v>-0.03</v>
      </c>
      <c r="S117" s="276">
        <v>-1.9999999999999997E-2</v>
      </c>
      <c r="T117" s="276">
        <v>-9.9999999999999967E-3</v>
      </c>
      <c r="U117" s="276">
        <v>0</v>
      </c>
      <c r="V117" s="276">
        <v>0.01</v>
      </c>
      <c r="W117" s="276">
        <v>0.02</v>
      </c>
      <c r="X117" s="276">
        <v>0.03</v>
      </c>
      <c r="Y117" s="276">
        <v>0.04</v>
      </c>
      <c r="Z117" s="277">
        <v>0.05</v>
      </c>
      <c r="AB117" s="254" t="str">
        <f>O117</f>
        <v>Term</v>
      </c>
      <c r="AC117" s="276">
        <f>P117</f>
        <v>-0.05</v>
      </c>
      <c r="AD117" s="276">
        <f t="shared" ref="AD117:AM117" si="8">Q117</f>
        <v>-0.04</v>
      </c>
      <c r="AE117" s="276">
        <f t="shared" si="8"/>
        <v>-0.03</v>
      </c>
      <c r="AF117" s="276">
        <f t="shared" si="8"/>
        <v>-1.9999999999999997E-2</v>
      </c>
      <c r="AG117" s="276">
        <f t="shared" si="8"/>
        <v>-9.9999999999999967E-3</v>
      </c>
      <c r="AH117" s="276">
        <f t="shared" si="8"/>
        <v>0</v>
      </c>
      <c r="AI117" s="276">
        <f t="shared" si="8"/>
        <v>0.01</v>
      </c>
      <c r="AJ117" s="276">
        <f t="shared" si="8"/>
        <v>0.02</v>
      </c>
      <c r="AK117" s="276">
        <f t="shared" si="8"/>
        <v>0.03</v>
      </c>
      <c r="AL117" s="276">
        <f t="shared" si="8"/>
        <v>0.04</v>
      </c>
      <c r="AM117" s="277">
        <f t="shared" si="8"/>
        <v>0.05</v>
      </c>
    </row>
    <row r="118" spans="2:39">
      <c r="B118" s="282" t="str">
        <f>'JPY Swap PVs'!M52</f>
        <v>3Y</v>
      </c>
      <c r="C118" s="278">
        <f ca="1">'JPY Swap PVs'!N52</f>
        <v>-150300.80743458591</v>
      </c>
      <c r="D118" s="278">
        <f ca="1">'JPY Swap PVs'!O52</f>
        <v>-120240.6459476687</v>
      </c>
      <c r="E118" s="278">
        <f ca="1">'JPY Swap PVs'!P52</f>
        <v>-90180.484460751526</v>
      </c>
      <c r="F118" s="278">
        <f ca="1">'JPY Swap PVs'!Q52</f>
        <v>-60120.322973834351</v>
      </c>
      <c r="G118" s="278">
        <f ca="1">'JPY Swap PVs'!R52</f>
        <v>-30060.161486917164</v>
      </c>
      <c r="H118" s="278">
        <f ca="1">'JPY Swap PVs'!S52</f>
        <v>0</v>
      </c>
      <c r="I118" s="278">
        <f ca="1">'JPY Swap PVs'!T52</f>
        <v>30060.161486917172</v>
      </c>
      <c r="J118" s="278">
        <f ca="1">'JPY Swap PVs'!U52</f>
        <v>60120.322973834365</v>
      </c>
      <c r="K118" s="278">
        <f ca="1">'JPY Swap PVs'!V52</f>
        <v>90180.484460751512</v>
      </c>
      <c r="L118" s="278">
        <f ca="1">'JPY Swap PVs'!W52</f>
        <v>120240.64594766869</v>
      </c>
      <c r="M118" s="279">
        <f ca="1">'JPY Swap PVs'!X52</f>
        <v>150300.80743458588</v>
      </c>
      <c r="O118" s="282" t="s">
        <v>39</v>
      </c>
      <c r="P118" s="278">
        <v>-150300.80743458591</v>
      </c>
      <c r="Q118" s="278">
        <v>-120240.6459476687</v>
      </c>
      <c r="R118" s="278">
        <v>-90180.484460751526</v>
      </c>
      <c r="S118" s="278">
        <v>-60120.322973834351</v>
      </c>
      <c r="T118" s="278">
        <v>-30060.161486917164</v>
      </c>
      <c r="U118" s="278">
        <v>0</v>
      </c>
      <c r="V118" s="278">
        <v>30060.161486917172</v>
      </c>
      <c r="W118" s="278">
        <v>60120.322973834365</v>
      </c>
      <c r="X118" s="278">
        <v>90180.484460751512</v>
      </c>
      <c r="Y118" s="278">
        <v>120240.64594766869</v>
      </c>
      <c r="Z118" s="279">
        <v>150300.80743458588</v>
      </c>
      <c r="AB118" s="282" t="str">
        <f t="shared" ref="AB118:AB136" si="9">O118</f>
        <v>3Y</v>
      </c>
      <c r="AC118" s="278">
        <f ca="1">IF(ABS(P118-C118)&gt;SnapshotTolerance,1,0)</f>
        <v>0</v>
      </c>
      <c r="AD118" s="278">
        <f ca="1">IF(ABS(Q118-D118)&gt;SnapshotTolerance,1,0)</f>
        <v>0</v>
      </c>
      <c r="AE118" s="278">
        <f ca="1">IF(ABS(R118-E118)&gt;SnapshotTolerance,1,0)</f>
        <v>0</v>
      </c>
      <c r="AF118" s="278">
        <f ca="1">IF(ABS(S118-F118)&gt;SnapshotTolerance,1,0)</f>
        <v>0</v>
      </c>
      <c r="AG118" s="278">
        <f ca="1">IF(ABS(T118-G118)&gt;SnapshotTolerance,1,0)</f>
        <v>0</v>
      </c>
      <c r="AH118" s="278">
        <f ca="1">IF(ABS(U118-H118)&gt;SnapshotTolerance,1,0)</f>
        <v>0</v>
      </c>
      <c r="AI118" s="278">
        <f ca="1">IF(ABS(V118-I118)&gt;SnapshotTolerance,1,0)</f>
        <v>0</v>
      </c>
      <c r="AJ118" s="278">
        <f ca="1">IF(ABS(W118-J118)&gt;SnapshotTolerance,1,0)</f>
        <v>0</v>
      </c>
      <c r="AK118" s="278">
        <f ca="1">IF(ABS(X118-K118)&gt;SnapshotTolerance,1,0)</f>
        <v>0</v>
      </c>
      <c r="AL118" s="278">
        <f ca="1">IF(ABS(Y118-L118)&gt;SnapshotTolerance,1,0)</f>
        <v>0</v>
      </c>
      <c r="AM118" s="279">
        <f ca="1">IF(ABS(Z118-M118)&gt;SnapshotTolerance,1,0)</f>
        <v>0</v>
      </c>
    </row>
    <row r="119" spans="2:39">
      <c r="B119" s="282" t="str">
        <f>'JPY Swap PVs'!M53</f>
        <v>4Y</v>
      </c>
      <c r="C119" s="278">
        <f ca="1">'JPY Swap PVs'!N53</f>
        <v>-199873.1557084099</v>
      </c>
      <c r="D119" s="278">
        <f ca="1">'JPY Swap PVs'!O53</f>
        <v>-159898.52456672792</v>
      </c>
      <c r="E119" s="278">
        <f ca="1">'JPY Swap PVs'!P53</f>
        <v>-119923.89342504591</v>
      </c>
      <c r="F119" s="278">
        <f ca="1">'JPY Swap PVs'!Q53</f>
        <v>-79949.262283363933</v>
      </c>
      <c r="G119" s="278">
        <f ca="1">'JPY Swap PVs'!R53</f>
        <v>-39974.631141681966</v>
      </c>
      <c r="H119" s="278">
        <f ca="1">'JPY Swap PVs'!S53</f>
        <v>0</v>
      </c>
      <c r="I119" s="278">
        <f ca="1">'JPY Swap PVs'!T53</f>
        <v>39974.631141681966</v>
      </c>
      <c r="J119" s="278">
        <f ca="1">'JPY Swap PVs'!U53</f>
        <v>79949.262283363962</v>
      </c>
      <c r="K119" s="278">
        <f ca="1">'JPY Swap PVs'!V53</f>
        <v>119923.89342504591</v>
      </c>
      <c r="L119" s="278">
        <f ca="1">'JPY Swap PVs'!W53</f>
        <v>159898.52456672789</v>
      </c>
      <c r="M119" s="279">
        <f ca="1">'JPY Swap PVs'!X53</f>
        <v>199873.15570840987</v>
      </c>
      <c r="O119" s="282" t="s">
        <v>35</v>
      </c>
      <c r="P119" s="278">
        <v>-199873.1557084099</v>
      </c>
      <c r="Q119" s="278">
        <v>-159898.52456672792</v>
      </c>
      <c r="R119" s="278">
        <v>-119923.89342504591</v>
      </c>
      <c r="S119" s="278">
        <v>-79949.262283363933</v>
      </c>
      <c r="T119" s="278">
        <v>-39974.631141681966</v>
      </c>
      <c r="U119" s="278">
        <v>0</v>
      </c>
      <c r="V119" s="278">
        <v>39974.631141681966</v>
      </c>
      <c r="W119" s="278">
        <v>79949.262283363962</v>
      </c>
      <c r="X119" s="278">
        <v>119923.89342504591</v>
      </c>
      <c r="Y119" s="278">
        <v>159898.52456672789</v>
      </c>
      <c r="Z119" s="279">
        <v>199873.15570840987</v>
      </c>
      <c r="AB119" s="282" t="str">
        <f t="shared" si="9"/>
        <v>4Y</v>
      </c>
      <c r="AC119" s="278">
        <f ca="1">IF(ABS(P119-C119)&gt;SnapshotTolerance,1,0)</f>
        <v>0</v>
      </c>
      <c r="AD119" s="278">
        <f ca="1">IF(ABS(Q119-D119)&gt;SnapshotTolerance,1,0)</f>
        <v>0</v>
      </c>
      <c r="AE119" s="278">
        <f ca="1">IF(ABS(R119-E119)&gt;SnapshotTolerance,1,0)</f>
        <v>0</v>
      </c>
      <c r="AF119" s="278">
        <f ca="1">IF(ABS(S119-F119)&gt;SnapshotTolerance,1,0)</f>
        <v>0</v>
      </c>
      <c r="AG119" s="278">
        <f ca="1">IF(ABS(T119-G119)&gt;SnapshotTolerance,1,0)</f>
        <v>0</v>
      </c>
      <c r="AH119" s="278">
        <f ca="1">IF(ABS(U119-H119)&gt;SnapshotTolerance,1,0)</f>
        <v>0</v>
      </c>
      <c r="AI119" s="278">
        <f ca="1">IF(ABS(V119-I119)&gt;SnapshotTolerance,1,0)</f>
        <v>0</v>
      </c>
      <c r="AJ119" s="278">
        <f ca="1">IF(ABS(W119-J119)&gt;SnapshotTolerance,1,0)</f>
        <v>0</v>
      </c>
      <c r="AK119" s="278">
        <f ca="1">IF(ABS(X119-K119)&gt;SnapshotTolerance,1,0)</f>
        <v>0</v>
      </c>
      <c r="AL119" s="278">
        <f ca="1">IF(ABS(Y119-L119)&gt;SnapshotTolerance,1,0)</f>
        <v>0</v>
      </c>
      <c r="AM119" s="279">
        <f ca="1">IF(ABS(Z119-M119)&gt;SnapshotTolerance,1,0)</f>
        <v>0</v>
      </c>
    </row>
    <row r="120" spans="2:39">
      <c r="B120" s="282" t="str">
        <f>'JPY Swap PVs'!M54</f>
        <v>5Y</v>
      </c>
      <c r="C120" s="278">
        <f ca="1">'JPY Swap PVs'!N54</f>
        <v>-249096.03223594063</v>
      </c>
      <c r="D120" s="278">
        <f ca="1">'JPY Swap PVs'!O54</f>
        <v>-199276.8257887525</v>
      </c>
      <c r="E120" s="278">
        <f ca="1">'JPY Swap PVs'!P54</f>
        <v>-149457.61934156436</v>
      </c>
      <c r="F120" s="278">
        <f ca="1">'JPY Swap PVs'!Q54</f>
        <v>-99638.412894376219</v>
      </c>
      <c r="G120" s="278">
        <f ca="1">'JPY Swap PVs'!R54</f>
        <v>-49819.206447188109</v>
      </c>
      <c r="H120" s="278">
        <f ca="1">'JPY Swap PVs'!S54</f>
        <v>0</v>
      </c>
      <c r="I120" s="278">
        <f ca="1">'JPY Swap PVs'!T54</f>
        <v>49819.206447188131</v>
      </c>
      <c r="J120" s="278">
        <f ca="1">'JPY Swap PVs'!U54</f>
        <v>99638.412894376248</v>
      </c>
      <c r="K120" s="278">
        <f ca="1">'JPY Swap PVs'!V54</f>
        <v>149457.61934156436</v>
      </c>
      <c r="L120" s="278">
        <f ca="1">'JPY Swap PVs'!W54</f>
        <v>199276.8257887525</v>
      </c>
      <c r="M120" s="279">
        <f ca="1">'JPY Swap PVs'!X54</f>
        <v>249096.03223594066</v>
      </c>
      <c r="O120" s="282" t="s">
        <v>33</v>
      </c>
      <c r="P120" s="278">
        <v>-249096.03223594063</v>
      </c>
      <c r="Q120" s="278">
        <v>-199276.8257887525</v>
      </c>
      <c r="R120" s="278">
        <v>-149457.61934156436</v>
      </c>
      <c r="S120" s="278">
        <v>-99638.412894376219</v>
      </c>
      <c r="T120" s="278">
        <v>-49819.206447188109</v>
      </c>
      <c r="U120" s="278">
        <v>0</v>
      </c>
      <c r="V120" s="278">
        <v>49819.206447188131</v>
      </c>
      <c r="W120" s="278">
        <v>99638.412894376248</v>
      </c>
      <c r="X120" s="278">
        <v>149457.61934156436</v>
      </c>
      <c r="Y120" s="278">
        <v>199276.8257887525</v>
      </c>
      <c r="Z120" s="279">
        <v>249096.03223594066</v>
      </c>
      <c r="AB120" s="282" t="str">
        <f t="shared" si="9"/>
        <v>5Y</v>
      </c>
      <c r="AC120" s="278">
        <f ca="1">IF(ABS(P120-C120)&gt;SnapshotTolerance,1,0)</f>
        <v>0</v>
      </c>
      <c r="AD120" s="278">
        <f ca="1">IF(ABS(Q120-D120)&gt;SnapshotTolerance,1,0)</f>
        <v>0</v>
      </c>
      <c r="AE120" s="278">
        <f ca="1">IF(ABS(R120-E120)&gt;SnapshotTolerance,1,0)</f>
        <v>0</v>
      </c>
      <c r="AF120" s="278">
        <f ca="1">IF(ABS(S120-F120)&gt;SnapshotTolerance,1,0)</f>
        <v>0</v>
      </c>
      <c r="AG120" s="278">
        <f ca="1">IF(ABS(T120-G120)&gt;SnapshotTolerance,1,0)</f>
        <v>0</v>
      </c>
      <c r="AH120" s="278">
        <f ca="1">IF(ABS(U120-H120)&gt;SnapshotTolerance,1,0)</f>
        <v>0</v>
      </c>
      <c r="AI120" s="278">
        <f ca="1">IF(ABS(V120-I120)&gt;SnapshotTolerance,1,0)</f>
        <v>0</v>
      </c>
      <c r="AJ120" s="278">
        <f ca="1">IF(ABS(W120-J120)&gt;SnapshotTolerance,1,0)</f>
        <v>0</v>
      </c>
      <c r="AK120" s="278">
        <f ca="1">IF(ABS(X120-K120)&gt;SnapshotTolerance,1,0)</f>
        <v>0</v>
      </c>
      <c r="AL120" s="278">
        <f ca="1">IF(ABS(Y120-L120)&gt;SnapshotTolerance,1,0)</f>
        <v>0</v>
      </c>
      <c r="AM120" s="279">
        <f ca="1">IF(ABS(Z120-M120)&gt;SnapshotTolerance,1,0)</f>
        <v>0</v>
      </c>
    </row>
    <row r="121" spans="2:39">
      <c r="B121" s="282" t="str">
        <f>'JPY Swap PVs'!M55</f>
        <v>6Y</v>
      </c>
      <c r="C121" s="278">
        <f ca="1">'JPY Swap PVs'!N55</f>
        <v>-297667.53869917651</v>
      </c>
      <c r="D121" s="278">
        <f ca="1">'JPY Swap PVs'!O55</f>
        <v>-238134.03095934118</v>
      </c>
      <c r="E121" s="278">
        <f ca="1">'JPY Swap PVs'!P55</f>
        <v>-178600.52321950588</v>
      </c>
      <c r="F121" s="278">
        <f ca="1">'JPY Swap PVs'!Q55</f>
        <v>-119067.01547967058</v>
      </c>
      <c r="G121" s="278">
        <f ca="1">'JPY Swap PVs'!R55</f>
        <v>-59533.507739835273</v>
      </c>
      <c r="H121" s="278">
        <f ca="1">'JPY Swap PVs'!S55</f>
        <v>0</v>
      </c>
      <c r="I121" s="278">
        <f ca="1">'JPY Swap PVs'!T55</f>
        <v>59533.507739835295</v>
      </c>
      <c r="J121" s="278">
        <f ca="1">'JPY Swap PVs'!U55</f>
        <v>119067.0154796706</v>
      </c>
      <c r="K121" s="278">
        <f ca="1">'JPY Swap PVs'!V55</f>
        <v>178600.52321950591</v>
      </c>
      <c r="L121" s="278">
        <f ca="1">'JPY Swap PVs'!W55</f>
        <v>238134.03095934121</v>
      </c>
      <c r="M121" s="279">
        <f ca="1">'JPY Swap PVs'!X55</f>
        <v>297667.53869917657</v>
      </c>
      <c r="O121" s="282" t="s">
        <v>131</v>
      </c>
      <c r="P121" s="278">
        <v>-297667.53869917651</v>
      </c>
      <c r="Q121" s="278">
        <v>-238134.03095934118</v>
      </c>
      <c r="R121" s="278">
        <v>-178600.52321950588</v>
      </c>
      <c r="S121" s="278">
        <v>-119067.01547967058</v>
      </c>
      <c r="T121" s="278">
        <v>-59533.507739835273</v>
      </c>
      <c r="U121" s="278">
        <v>0</v>
      </c>
      <c r="V121" s="278">
        <v>59533.507739835295</v>
      </c>
      <c r="W121" s="278">
        <v>119067.0154796706</v>
      </c>
      <c r="X121" s="278">
        <v>178600.52321950591</v>
      </c>
      <c r="Y121" s="278">
        <v>238134.03095934121</v>
      </c>
      <c r="Z121" s="279">
        <v>297667.53869917657</v>
      </c>
      <c r="AB121" s="282" t="str">
        <f t="shared" si="9"/>
        <v>6Y</v>
      </c>
      <c r="AC121" s="278">
        <f ca="1">IF(ABS(P121-C121)&gt;SnapshotTolerance,1,0)</f>
        <v>0</v>
      </c>
      <c r="AD121" s="278">
        <f ca="1">IF(ABS(Q121-D121)&gt;SnapshotTolerance,1,0)</f>
        <v>0</v>
      </c>
      <c r="AE121" s="278">
        <f ca="1">IF(ABS(R121-E121)&gt;SnapshotTolerance,1,0)</f>
        <v>0</v>
      </c>
      <c r="AF121" s="278">
        <f ca="1">IF(ABS(S121-F121)&gt;SnapshotTolerance,1,0)</f>
        <v>0</v>
      </c>
      <c r="AG121" s="278">
        <f ca="1">IF(ABS(T121-G121)&gt;SnapshotTolerance,1,0)</f>
        <v>0</v>
      </c>
      <c r="AH121" s="278">
        <f ca="1">IF(ABS(U121-H121)&gt;SnapshotTolerance,1,0)</f>
        <v>0</v>
      </c>
      <c r="AI121" s="278">
        <f ca="1">IF(ABS(V121-I121)&gt;SnapshotTolerance,1,0)</f>
        <v>0</v>
      </c>
      <c r="AJ121" s="278">
        <f ca="1">IF(ABS(W121-J121)&gt;SnapshotTolerance,1,0)</f>
        <v>0</v>
      </c>
      <c r="AK121" s="278">
        <f ca="1">IF(ABS(X121-K121)&gt;SnapshotTolerance,1,0)</f>
        <v>0</v>
      </c>
      <c r="AL121" s="278">
        <f ca="1">IF(ABS(Y121-L121)&gt;SnapshotTolerance,1,0)</f>
        <v>0</v>
      </c>
      <c r="AM121" s="279">
        <f ca="1">IF(ABS(Z121-M121)&gt;SnapshotTolerance,1,0)</f>
        <v>0</v>
      </c>
    </row>
    <row r="122" spans="2:39">
      <c r="B122" s="282" t="str">
        <f>'JPY Swap PVs'!M56</f>
        <v>7Y</v>
      </c>
      <c r="C122" s="278">
        <f ca="1">'JPY Swap PVs'!N56</f>
        <v>-345445.58092836302</v>
      </c>
      <c r="D122" s="278">
        <f ca="1">'JPY Swap PVs'!O56</f>
        <v>-276356.46474269044</v>
      </c>
      <c r="E122" s="278">
        <f ca="1">'JPY Swap PVs'!P56</f>
        <v>-207267.3485570178</v>
      </c>
      <c r="F122" s="278">
        <f ca="1">'JPY Swap PVs'!Q56</f>
        <v>-138178.23237134519</v>
      </c>
      <c r="G122" s="278">
        <f ca="1">'JPY Swap PVs'!R56</f>
        <v>-69089.116185672581</v>
      </c>
      <c r="H122" s="278">
        <f ca="1">'JPY Swap PVs'!S56</f>
        <v>-6.9388939039072284E-12</v>
      </c>
      <c r="I122" s="278">
        <f ca="1">'JPY Swap PVs'!T56</f>
        <v>69089.116185672596</v>
      </c>
      <c r="J122" s="278">
        <f ca="1">'JPY Swap PVs'!U56</f>
        <v>138178.23237134519</v>
      </c>
      <c r="K122" s="278">
        <f ca="1">'JPY Swap PVs'!V56</f>
        <v>207267.34855701777</v>
      </c>
      <c r="L122" s="278">
        <f ca="1">'JPY Swap PVs'!W56</f>
        <v>276356.46474269044</v>
      </c>
      <c r="M122" s="279">
        <f ca="1">'JPY Swap PVs'!X56</f>
        <v>345445.58092836302</v>
      </c>
      <c r="O122" s="282" t="s">
        <v>31</v>
      </c>
      <c r="P122" s="278">
        <v>-345445.58092836302</v>
      </c>
      <c r="Q122" s="278">
        <v>-276356.46474269044</v>
      </c>
      <c r="R122" s="278">
        <v>-207267.3485570178</v>
      </c>
      <c r="S122" s="278">
        <v>-138178.23237134519</v>
      </c>
      <c r="T122" s="278">
        <v>-69089.116185672581</v>
      </c>
      <c r="U122" s="278">
        <v>-6.9388939039072284E-12</v>
      </c>
      <c r="V122" s="278">
        <v>69089.116185672596</v>
      </c>
      <c r="W122" s="278">
        <v>138178.23237134519</v>
      </c>
      <c r="X122" s="278">
        <v>207267.34855701777</v>
      </c>
      <c r="Y122" s="278">
        <v>276356.46474269044</v>
      </c>
      <c r="Z122" s="279">
        <v>345445.58092836302</v>
      </c>
      <c r="AB122" s="282" t="str">
        <f t="shared" si="9"/>
        <v>7Y</v>
      </c>
      <c r="AC122" s="278">
        <f ca="1">IF(ABS(P122-C122)&gt;SnapshotTolerance,1,0)</f>
        <v>0</v>
      </c>
      <c r="AD122" s="278">
        <f ca="1">IF(ABS(Q122-D122)&gt;SnapshotTolerance,1,0)</f>
        <v>0</v>
      </c>
      <c r="AE122" s="278">
        <f ca="1">IF(ABS(R122-E122)&gt;SnapshotTolerance,1,0)</f>
        <v>0</v>
      </c>
      <c r="AF122" s="278">
        <f ca="1">IF(ABS(S122-F122)&gt;SnapshotTolerance,1,0)</f>
        <v>0</v>
      </c>
      <c r="AG122" s="278">
        <f ca="1">IF(ABS(T122-G122)&gt;SnapshotTolerance,1,0)</f>
        <v>0</v>
      </c>
      <c r="AH122" s="278">
        <f ca="1">IF(ABS(U122-H122)&gt;SnapshotTolerance,1,0)</f>
        <v>0</v>
      </c>
      <c r="AI122" s="278">
        <f ca="1">IF(ABS(V122-I122)&gt;SnapshotTolerance,1,0)</f>
        <v>0</v>
      </c>
      <c r="AJ122" s="278">
        <f ca="1">IF(ABS(W122-J122)&gt;SnapshotTolerance,1,0)</f>
        <v>0</v>
      </c>
      <c r="AK122" s="278">
        <f ca="1">IF(ABS(X122-K122)&gt;SnapshotTolerance,1,0)</f>
        <v>0</v>
      </c>
      <c r="AL122" s="278">
        <f ca="1">IF(ABS(Y122-L122)&gt;SnapshotTolerance,1,0)</f>
        <v>0</v>
      </c>
      <c r="AM122" s="279">
        <f ca="1">IF(ABS(Z122-M122)&gt;SnapshotTolerance,1,0)</f>
        <v>0</v>
      </c>
    </row>
    <row r="123" spans="2:39">
      <c r="B123" s="282" t="str">
        <f>'JPY Swap PVs'!M57</f>
        <v>8Y</v>
      </c>
      <c r="C123" s="278">
        <f ca="1">'JPY Swap PVs'!N57</f>
        <v>-392585.59739955037</v>
      </c>
      <c r="D123" s="278">
        <f ca="1">'JPY Swap PVs'!O57</f>
        <v>-314068.47791964025</v>
      </c>
      <c r="E123" s="278">
        <f ca="1">'JPY Swap PVs'!P57</f>
        <v>-235551.35843973019</v>
      </c>
      <c r="F123" s="278">
        <f ca="1">'JPY Swap PVs'!Q57</f>
        <v>-157034.2389598201</v>
      </c>
      <c r="G123" s="278">
        <f ca="1">'JPY Swap PVs'!R57</f>
        <v>-78517.119479910034</v>
      </c>
      <c r="H123" s="278">
        <f ca="1">'JPY Swap PVs'!S57</f>
        <v>0</v>
      </c>
      <c r="I123" s="278">
        <f ca="1">'JPY Swap PVs'!T57</f>
        <v>78517.119479910078</v>
      </c>
      <c r="J123" s="278">
        <f ca="1">'JPY Swap PVs'!U57</f>
        <v>157034.23895982013</v>
      </c>
      <c r="K123" s="278">
        <f ca="1">'JPY Swap PVs'!V57</f>
        <v>235551.35843973019</v>
      </c>
      <c r="L123" s="278">
        <f ca="1">'JPY Swap PVs'!W57</f>
        <v>314068.47791964025</v>
      </c>
      <c r="M123" s="279">
        <f ca="1">'JPY Swap PVs'!X57</f>
        <v>392585.59739955037</v>
      </c>
      <c r="O123" s="282" t="s">
        <v>119</v>
      </c>
      <c r="P123" s="278">
        <v>-392585.59739955037</v>
      </c>
      <c r="Q123" s="278">
        <v>-314068.47791964025</v>
      </c>
      <c r="R123" s="278">
        <v>-235551.35843973019</v>
      </c>
      <c r="S123" s="278">
        <v>-157034.2389598201</v>
      </c>
      <c r="T123" s="278">
        <v>-78517.119479910034</v>
      </c>
      <c r="U123" s="278">
        <v>0</v>
      </c>
      <c r="V123" s="278">
        <v>78517.119479910078</v>
      </c>
      <c r="W123" s="278">
        <v>157034.23895982013</v>
      </c>
      <c r="X123" s="278">
        <v>235551.35843973019</v>
      </c>
      <c r="Y123" s="278">
        <v>314068.47791964025</v>
      </c>
      <c r="Z123" s="279">
        <v>392585.59739955037</v>
      </c>
      <c r="AB123" s="282" t="str">
        <f t="shared" si="9"/>
        <v>8Y</v>
      </c>
      <c r="AC123" s="278">
        <f ca="1">IF(ABS(P123-C123)&gt;SnapshotTolerance,1,0)</f>
        <v>0</v>
      </c>
      <c r="AD123" s="278">
        <f ca="1">IF(ABS(Q123-D123)&gt;SnapshotTolerance,1,0)</f>
        <v>0</v>
      </c>
      <c r="AE123" s="278">
        <f ca="1">IF(ABS(R123-E123)&gt;SnapshotTolerance,1,0)</f>
        <v>0</v>
      </c>
      <c r="AF123" s="278">
        <f ca="1">IF(ABS(S123-F123)&gt;SnapshotTolerance,1,0)</f>
        <v>0</v>
      </c>
      <c r="AG123" s="278">
        <f ca="1">IF(ABS(T123-G123)&gt;SnapshotTolerance,1,0)</f>
        <v>0</v>
      </c>
      <c r="AH123" s="278">
        <f ca="1">IF(ABS(U123-H123)&gt;SnapshotTolerance,1,0)</f>
        <v>0</v>
      </c>
      <c r="AI123" s="278">
        <f ca="1">IF(ABS(V123-I123)&gt;SnapshotTolerance,1,0)</f>
        <v>0</v>
      </c>
      <c r="AJ123" s="278">
        <f ca="1">IF(ABS(W123-J123)&gt;SnapshotTolerance,1,0)</f>
        <v>0</v>
      </c>
      <c r="AK123" s="278">
        <f ca="1">IF(ABS(X123-K123)&gt;SnapshotTolerance,1,0)</f>
        <v>0</v>
      </c>
      <c r="AL123" s="278">
        <f ca="1">IF(ABS(Y123-L123)&gt;SnapshotTolerance,1,0)</f>
        <v>0</v>
      </c>
      <c r="AM123" s="279">
        <f ca="1">IF(ABS(Z123-M123)&gt;SnapshotTolerance,1,0)</f>
        <v>0</v>
      </c>
    </row>
    <row r="124" spans="2:39">
      <c r="B124" s="282" t="str">
        <f>'JPY Swap PVs'!M58</f>
        <v>9Y</v>
      </c>
      <c r="C124" s="278">
        <f ca="1">'JPY Swap PVs'!N58</f>
        <v>-438252.52539896447</v>
      </c>
      <c r="D124" s="278">
        <f ca="1">'JPY Swap PVs'!O58</f>
        <v>-350602.02031917154</v>
      </c>
      <c r="E124" s="278">
        <f ca="1">'JPY Swap PVs'!P58</f>
        <v>-262951.51523937867</v>
      </c>
      <c r="F124" s="278">
        <f ca="1">'JPY Swap PVs'!Q58</f>
        <v>-175301.01015958577</v>
      </c>
      <c r="G124" s="278">
        <f ca="1">'JPY Swap PVs'!R58</f>
        <v>-87650.505079792856</v>
      </c>
      <c r="H124" s="278">
        <f ca="1">'JPY Swap PVs'!S58</f>
        <v>0</v>
      </c>
      <c r="I124" s="278">
        <f ca="1">'JPY Swap PVs'!T58</f>
        <v>87650.5050797929</v>
      </c>
      <c r="J124" s="278">
        <f ca="1">'JPY Swap PVs'!U58</f>
        <v>175301.01015958577</v>
      </c>
      <c r="K124" s="278">
        <f ca="1">'JPY Swap PVs'!V58</f>
        <v>262951.51523937873</v>
      </c>
      <c r="L124" s="278">
        <f ca="1">'JPY Swap PVs'!W58</f>
        <v>350602.0203191716</v>
      </c>
      <c r="M124" s="279">
        <f ca="1">'JPY Swap PVs'!X58</f>
        <v>438252.52539896447</v>
      </c>
      <c r="O124" s="282" t="s">
        <v>113</v>
      </c>
      <c r="P124" s="278">
        <v>-438252.52539896447</v>
      </c>
      <c r="Q124" s="278">
        <v>-350602.02031917154</v>
      </c>
      <c r="R124" s="278">
        <v>-262951.51523937867</v>
      </c>
      <c r="S124" s="278">
        <v>-175301.01015958577</v>
      </c>
      <c r="T124" s="278">
        <v>-87650.505079792856</v>
      </c>
      <c r="U124" s="278">
        <v>0</v>
      </c>
      <c r="V124" s="278">
        <v>87650.5050797929</v>
      </c>
      <c r="W124" s="278">
        <v>175301.01015958577</v>
      </c>
      <c r="X124" s="278">
        <v>262951.51523937873</v>
      </c>
      <c r="Y124" s="278">
        <v>350602.0203191716</v>
      </c>
      <c r="Z124" s="279">
        <v>438252.52539896447</v>
      </c>
      <c r="AB124" s="282" t="str">
        <f t="shared" si="9"/>
        <v>9Y</v>
      </c>
      <c r="AC124" s="278">
        <f ca="1">IF(ABS(P124-C124)&gt;SnapshotTolerance,1,0)</f>
        <v>0</v>
      </c>
      <c r="AD124" s="278">
        <f ca="1">IF(ABS(Q124-D124)&gt;SnapshotTolerance,1,0)</f>
        <v>0</v>
      </c>
      <c r="AE124" s="278">
        <f ca="1">IF(ABS(R124-E124)&gt;SnapshotTolerance,1,0)</f>
        <v>0</v>
      </c>
      <c r="AF124" s="278">
        <f ca="1">IF(ABS(S124-F124)&gt;SnapshotTolerance,1,0)</f>
        <v>0</v>
      </c>
      <c r="AG124" s="278">
        <f ca="1">IF(ABS(T124-G124)&gt;SnapshotTolerance,1,0)</f>
        <v>0</v>
      </c>
      <c r="AH124" s="278">
        <f ca="1">IF(ABS(U124-H124)&gt;SnapshotTolerance,1,0)</f>
        <v>0</v>
      </c>
      <c r="AI124" s="278">
        <f ca="1">IF(ABS(V124-I124)&gt;SnapshotTolerance,1,0)</f>
        <v>0</v>
      </c>
      <c r="AJ124" s="278">
        <f ca="1">IF(ABS(W124-J124)&gt;SnapshotTolerance,1,0)</f>
        <v>0</v>
      </c>
      <c r="AK124" s="278">
        <f ca="1">IF(ABS(X124-K124)&gt;SnapshotTolerance,1,0)</f>
        <v>0</v>
      </c>
      <c r="AL124" s="278">
        <f ca="1">IF(ABS(Y124-L124)&gt;SnapshotTolerance,1,0)</f>
        <v>0</v>
      </c>
      <c r="AM124" s="279">
        <f ca="1">IF(ABS(Z124-M124)&gt;SnapshotTolerance,1,0)</f>
        <v>0</v>
      </c>
    </row>
    <row r="125" spans="2:39">
      <c r="B125" s="282" t="str">
        <f>'JPY Swap PVs'!M59</f>
        <v>10Y</v>
      </c>
      <c r="C125" s="278">
        <f ca="1">'JPY Swap PVs'!N59</f>
        <v>-483168.64497448754</v>
      </c>
      <c r="D125" s="278">
        <f ca="1">'JPY Swap PVs'!O59</f>
        <v>-386534.91597958998</v>
      </c>
      <c r="E125" s="278">
        <f ca="1">'JPY Swap PVs'!P59</f>
        <v>-289901.18698469247</v>
      </c>
      <c r="F125" s="278">
        <f ca="1">'JPY Swap PVs'!Q59</f>
        <v>-193267.45798979493</v>
      </c>
      <c r="G125" s="278">
        <f ca="1">'JPY Swap PVs'!R59</f>
        <v>-96633.728994897465</v>
      </c>
      <c r="H125" s="278">
        <f ca="1">'JPY Swap PVs'!S59</f>
        <v>-1.3877787807814457E-11</v>
      </c>
      <c r="I125" s="278">
        <f ca="1">'JPY Swap PVs'!T59</f>
        <v>96633.728994897465</v>
      </c>
      <c r="J125" s="278">
        <f ca="1">'JPY Swap PVs'!U59</f>
        <v>193267.45798979493</v>
      </c>
      <c r="K125" s="278">
        <f ca="1">'JPY Swap PVs'!V59</f>
        <v>289901.18698469241</v>
      </c>
      <c r="L125" s="278">
        <f ca="1">'JPY Swap PVs'!W59</f>
        <v>386534.91597958998</v>
      </c>
      <c r="M125" s="279">
        <f ca="1">'JPY Swap PVs'!X59</f>
        <v>483168.64497448743</v>
      </c>
      <c r="O125" s="282" t="s">
        <v>28</v>
      </c>
      <c r="P125" s="278">
        <v>-483168.64497448754</v>
      </c>
      <c r="Q125" s="278">
        <v>-386534.91597958998</v>
      </c>
      <c r="R125" s="278">
        <v>-289901.18698469247</v>
      </c>
      <c r="S125" s="278">
        <v>-193267.45798979493</v>
      </c>
      <c r="T125" s="278">
        <v>-96633.728994897465</v>
      </c>
      <c r="U125" s="278">
        <v>-1.3877787807814457E-11</v>
      </c>
      <c r="V125" s="278">
        <v>96633.728994897465</v>
      </c>
      <c r="W125" s="278">
        <v>193267.45798979493</v>
      </c>
      <c r="X125" s="278">
        <v>289901.18698469241</v>
      </c>
      <c r="Y125" s="278">
        <v>386534.91597958998</v>
      </c>
      <c r="Z125" s="279">
        <v>483168.64497448743</v>
      </c>
      <c r="AB125" s="282" t="str">
        <f t="shared" si="9"/>
        <v>10Y</v>
      </c>
      <c r="AC125" s="278">
        <f ca="1">IF(ABS(P125-C125)&gt;SnapshotTolerance,1,0)</f>
        <v>0</v>
      </c>
      <c r="AD125" s="278">
        <f ca="1">IF(ABS(Q125-D125)&gt;SnapshotTolerance,1,0)</f>
        <v>0</v>
      </c>
      <c r="AE125" s="278">
        <f ca="1">IF(ABS(R125-E125)&gt;SnapshotTolerance,1,0)</f>
        <v>0</v>
      </c>
      <c r="AF125" s="278">
        <f ca="1">IF(ABS(S125-F125)&gt;SnapshotTolerance,1,0)</f>
        <v>0</v>
      </c>
      <c r="AG125" s="278">
        <f ca="1">IF(ABS(T125-G125)&gt;SnapshotTolerance,1,0)</f>
        <v>0</v>
      </c>
      <c r="AH125" s="278">
        <f ca="1">IF(ABS(U125-H125)&gt;SnapshotTolerance,1,0)</f>
        <v>0</v>
      </c>
      <c r="AI125" s="278">
        <f ca="1">IF(ABS(V125-I125)&gt;SnapshotTolerance,1,0)</f>
        <v>0</v>
      </c>
      <c r="AJ125" s="278">
        <f ca="1">IF(ABS(W125-J125)&gt;SnapshotTolerance,1,0)</f>
        <v>0</v>
      </c>
      <c r="AK125" s="278">
        <f ca="1">IF(ABS(X125-K125)&gt;SnapshotTolerance,1,0)</f>
        <v>0</v>
      </c>
      <c r="AL125" s="278">
        <f ca="1">IF(ABS(Y125-L125)&gt;SnapshotTolerance,1,0)</f>
        <v>0</v>
      </c>
      <c r="AM125" s="279">
        <f ca="1">IF(ABS(Z125-M125)&gt;SnapshotTolerance,1,0)</f>
        <v>0</v>
      </c>
    </row>
    <row r="126" spans="2:39">
      <c r="B126" s="282" t="str">
        <f>'JPY Swap PVs'!M60</f>
        <v>12Y</v>
      </c>
      <c r="C126" s="278">
        <f ca="1">'JPY Swap PVs'!N60</f>
        <v>-569938.0308485931</v>
      </c>
      <c r="D126" s="278">
        <f ca="1">'JPY Swap PVs'!O60</f>
        <v>-455950.42467887449</v>
      </c>
      <c r="E126" s="278">
        <f ca="1">'JPY Swap PVs'!P60</f>
        <v>-341962.81850915583</v>
      </c>
      <c r="F126" s="278">
        <f ca="1">'JPY Swap PVs'!Q60</f>
        <v>-227975.21233943719</v>
      </c>
      <c r="G126" s="278">
        <f ca="1">'JPY Swap PVs'!R60</f>
        <v>-113987.60616971858</v>
      </c>
      <c r="H126" s="278">
        <f ca="1">'JPY Swap PVs'!S60</f>
        <v>0</v>
      </c>
      <c r="I126" s="278">
        <f ca="1">'JPY Swap PVs'!T60</f>
        <v>113987.60616971859</v>
      </c>
      <c r="J126" s="278">
        <f ca="1">'JPY Swap PVs'!U60</f>
        <v>227975.21233943725</v>
      </c>
      <c r="K126" s="278">
        <f ca="1">'JPY Swap PVs'!V60</f>
        <v>341962.81850915577</v>
      </c>
      <c r="L126" s="278">
        <f ca="1">'JPY Swap PVs'!W60</f>
        <v>455950.42467887449</v>
      </c>
      <c r="M126" s="279">
        <f ca="1">'JPY Swap PVs'!X60</f>
        <v>569938.0308485931</v>
      </c>
      <c r="O126" s="282" t="s">
        <v>26</v>
      </c>
      <c r="P126" s="278">
        <v>-569938.0308485931</v>
      </c>
      <c r="Q126" s="278">
        <v>-455950.42467887449</v>
      </c>
      <c r="R126" s="278">
        <v>-341962.81850915583</v>
      </c>
      <c r="S126" s="278">
        <v>-227975.21233943719</v>
      </c>
      <c r="T126" s="278">
        <v>-113987.60616971858</v>
      </c>
      <c r="U126" s="278">
        <v>0</v>
      </c>
      <c r="V126" s="278">
        <v>113987.60616971859</v>
      </c>
      <c r="W126" s="278">
        <v>227975.21233943725</v>
      </c>
      <c r="X126" s="278">
        <v>341962.81850915577</v>
      </c>
      <c r="Y126" s="278">
        <v>455950.42467887449</v>
      </c>
      <c r="Z126" s="279">
        <v>569938.0308485931</v>
      </c>
      <c r="AB126" s="282" t="str">
        <f t="shared" si="9"/>
        <v>12Y</v>
      </c>
      <c r="AC126" s="278">
        <f ca="1">IF(ABS(P126-C126)&gt;SnapshotTolerance,1,0)</f>
        <v>0</v>
      </c>
      <c r="AD126" s="278">
        <f ca="1">IF(ABS(Q126-D126)&gt;SnapshotTolerance,1,0)</f>
        <v>0</v>
      </c>
      <c r="AE126" s="278">
        <f ca="1">IF(ABS(R126-E126)&gt;SnapshotTolerance,1,0)</f>
        <v>0</v>
      </c>
      <c r="AF126" s="278">
        <f ca="1">IF(ABS(S126-F126)&gt;SnapshotTolerance,1,0)</f>
        <v>0</v>
      </c>
      <c r="AG126" s="278">
        <f ca="1">IF(ABS(T126-G126)&gt;SnapshotTolerance,1,0)</f>
        <v>0</v>
      </c>
      <c r="AH126" s="278">
        <f ca="1">IF(ABS(U126-H126)&gt;SnapshotTolerance,1,0)</f>
        <v>0</v>
      </c>
      <c r="AI126" s="278">
        <f ca="1">IF(ABS(V126-I126)&gt;SnapshotTolerance,1,0)</f>
        <v>0</v>
      </c>
      <c r="AJ126" s="278">
        <f ca="1">IF(ABS(W126-J126)&gt;SnapshotTolerance,1,0)</f>
        <v>0</v>
      </c>
      <c r="AK126" s="278">
        <f ca="1">IF(ABS(X126-K126)&gt;SnapshotTolerance,1,0)</f>
        <v>0</v>
      </c>
      <c r="AL126" s="278">
        <f ca="1">IF(ABS(Y126-L126)&gt;SnapshotTolerance,1,0)</f>
        <v>0</v>
      </c>
      <c r="AM126" s="279">
        <f ca="1">IF(ABS(Z126-M126)&gt;SnapshotTolerance,1,0)</f>
        <v>0</v>
      </c>
    </row>
    <row r="127" spans="2:39">
      <c r="B127" s="282" t="str">
        <f>'JPY Swap PVs'!M61</f>
        <v>15Y</v>
      </c>
      <c r="C127" s="278">
        <f ca="1">'JPY Swap PVs'!N61</f>
        <v>-692615.23399544926</v>
      </c>
      <c r="D127" s="278">
        <f ca="1">'JPY Swap PVs'!O61</f>
        <v>-554092.18719635939</v>
      </c>
      <c r="E127" s="278">
        <f ca="1">'JPY Swap PVs'!P61</f>
        <v>-415569.14039726957</v>
      </c>
      <c r="F127" s="278">
        <f ca="1">'JPY Swap PVs'!Q61</f>
        <v>-277046.09359817969</v>
      </c>
      <c r="G127" s="278">
        <f ca="1">'JPY Swap PVs'!R61</f>
        <v>-138523.04679908985</v>
      </c>
      <c r="H127" s="278">
        <f ca="1">'JPY Swap PVs'!S61</f>
        <v>-2.7755575615628914E-11</v>
      </c>
      <c r="I127" s="278">
        <f ca="1">'JPY Swap PVs'!T61</f>
        <v>138523.04679908985</v>
      </c>
      <c r="J127" s="278">
        <f ca="1">'JPY Swap PVs'!U61</f>
        <v>277046.09359817975</v>
      </c>
      <c r="K127" s="278">
        <f ca="1">'JPY Swap PVs'!V61</f>
        <v>415569.14039726957</v>
      </c>
      <c r="L127" s="278">
        <f ca="1">'JPY Swap PVs'!W61</f>
        <v>554092.18719635939</v>
      </c>
      <c r="M127" s="279">
        <f ca="1">'JPY Swap PVs'!X61</f>
        <v>692615.23399544926</v>
      </c>
      <c r="O127" s="282" t="s">
        <v>24</v>
      </c>
      <c r="P127" s="278">
        <v>-692615.23399544926</v>
      </c>
      <c r="Q127" s="278">
        <v>-554092.18719635939</v>
      </c>
      <c r="R127" s="278">
        <v>-415569.14039726957</v>
      </c>
      <c r="S127" s="278">
        <v>-277046.09359817969</v>
      </c>
      <c r="T127" s="278">
        <v>-138523.04679908985</v>
      </c>
      <c r="U127" s="278">
        <v>-2.7755575615628914E-11</v>
      </c>
      <c r="V127" s="278">
        <v>138523.04679908985</v>
      </c>
      <c r="W127" s="278">
        <v>277046.09359817975</v>
      </c>
      <c r="X127" s="278">
        <v>415569.14039726957</v>
      </c>
      <c r="Y127" s="278">
        <v>554092.18719635939</v>
      </c>
      <c r="Z127" s="279">
        <v>692615.23399544926</v>
      </c>
      <c r="AB127" s="282" t="str">
        <f t="shared" si="9"/>
        <v>15Y</v>
      </c>
      <c r="AC127" s="278">
        <f ca="1">IF(ABS(P127-C127)&gt;SnapshotTolerance,1,0)</f>
        <v>0</v>
      </c>
      <c r="AD127" s="278">
        <f ca="1">IF(ABS(Q127-D127)&gt;SnapshotTolerance,1,0)</f>
        <v>0</v>
      </c>
      <c r="AE127" s="278">
        <f ca="1">IF(ABS(R127-E127)&gt;SnapshotTolerance,1,0)</f>
        <v>0</v>
      </c>
      <c r="AF127" s="278">
        <f ca="1">IF(ABS(S127-F127)&gt;SnapshotTolerance,1,0)</f>
        <v>0</v>
      </c>
      <c r="AG127" s="278">
        <f ca="1">IF(ABS(T127-G127)&gt;SnapshotTolerance,1,0)</f>
        <v>0</v>
      </c>
      <c r="AH127" s="278">
        <f ca="1">IF(ABS(U127-H127)&gt;SnapshotTolerance,1,0)</f>
        <v>0</v>
      </c>
      <c r="AI127" s="278">
        <f ca="1">IF(ABS(V127-I127)&gt;SnapshotTolerance,1,0)</f>
        <v>0</v>
      </c>
      <c r="AJ127" s="278">
        <f ca="1">IF(ABS(W127-J127)&gt;SnapshotTolerance,1,0)</f>
        <v>0</v>
      </c>
      <c r="AK127" s="278">
        <f ca="1">IF(ABS(X127-K127)&gt;SnapshotTolerance,1,0)</f>
        <v>0</v>
      </c>
      <c r="AL127" s="278">
        <f ca="1">IF(ABS(Y127-L127)&gt;SnapshotTolerance,1,0)</f>
        <v>0</v>
      </c>
      <c r="AM127" s="279">
        <f ca="1">IF(ABS(Z127-M127)&gt;SnapshotTolerance,1,0)</f>
        <v>0</v>
      </c>
    </row>
    <row r="128" spans="2:39">
      <c r="B128" s="282" t="str">
        <f>'JPY Swap PVs'!M62</f>
        <v>20Y</v>
      </c>
      <c r="C128" s="278">
        <f ca="1">'JPY Swap PVs'!N62</f>
        <v>-879086.65850046871</v>
      </c>
      <c r="D128" s="278">
        <f ca="1">'JPY Swap PVs'!O62</f>
        <v>-703269.32680037501</v>
      </c>
      <c r="E128" s="278">
        <f ca="1">'JPY Swap PVs'!P62</f>
        <v>-527451.9951002812</v>
      </c>
      <c r="F128" s="278">
        <f ca="1">'JPY Swap PVs'!Q62</f>
        <v>-351634.66340018745</v>
      </c>
      <c r="G128" s="278">
        <f ca="1">'JPY Swap PVs'!R62</f>
        <v>-175817.33170009367</v>
      </c>
      <c r="H128" s="278">
        <f ca="1">'JPY Swap PVs'!S62</f>
        <v>0</v>
      </c>
      <c r="I128" s="278">
        <f ca="1">'JPY Swap PVs'!T62</f>
        <v>175817.33170009372</v>
      </c>
      <c r="J128" s="278">
        <f ca="1">'JPY Swap PVs'!U62</f>
        <v>351634.66340018756</v>
      </c>
      <c r="K128" s="278">
        <f ca="1">'JPY Swap PVs'!V62</f>
        <v>527451.99510028132</v>
      </c>
      <c r="L128" s="278">
        <f ca="1">'JPY Swap PVs'!W62</f>
        <v>703269.3268003749</v>
      </c>
      <c r="M128" s="279">
        <f ca="1">'JPY Swap PVs'!X62</f>
        <v>879086.65850046882</v>
      </c>
      <c r="O128" s="282" t="s">
        <v>20</v>
      </c>
      <c r="P128" s="278">
        <v>-879086.65850046871</v>
      </c>
      <c r="Q128" s="278">
        <v>-703269.32680037501</v>
      </c>
      <c r="R128" s="278">
        <v>-527451.9951002812</v>
      </c>
      <c r="S128" s="278">
        <v>-351634.66340018745</v>
      </c>
      <c r="T128" s="278">
        <v>-175817.33170009367</v>
      </c>
      <c r="U128" s="278">
        <v>0</v>
      </c>
      <c r="V128" s="278">
        <v>175817.33170009372</v>
      </c>
      <c r="W128" s="278">
        <v>351634.66340018756</v>
      </c>
      <c r="X128" s="278">
        <v>527451.99510028132</v>
      </c>
      <c r="Y128" s="278">
        <v>703269.3268003749</v>
      </c>
      <c r="Z128" s="279">
        <v>879086.65850046882</v>
      </c>
      <c r="AB128" s="282" t="str">
        <f t="shared" si="9"/>
        <v>20Y</v>
      </c>
      <c r="AC128" s="278">
        <f ca="1">IF(ABS(P128-C128)&gt;SnapshotTolerance,1,0)</f>
        <v>0</v>
      </c>
      <c r="AD128" s="278">
        <f ca="1">IF(ABS(Q128-D128)&gt;SnapshotTolerance,1,0)</f>
        <v>0</v>
      </c>
      <c r="AE128" s="278">
        <f ca="1">IF(ABS(R128-E128)&gt;SnapshotTolerance,1,0)</f>
        <v>0</v>
      </c>
      <c r="AF128" s="278">
        <f ca="1">IF(ABS(S128-F128)&gt;SnapshotTolerance,1,0)</f>
        <v>0</v>
      </c>
      <c r="AG128" s="278">
        <f ca="1">IF(ABS(T128-G128)&gt;SnapshotTolerance,1,0)</f>
        <v>0</v>
      </c>
      <c r="AH128" s="278">
        <f ca="1">IF(ABS(U128-H128)&gt;SnapshotTolerance,1,0)</f>
        <v>0</v>
      </c>
      <c r="AI128" s="278">
        <f ca="1">IF(ABS(V128-I128)&gt;SnapshotTolerance,1,0)</f>
        <v>0</v>
      </c>
      <c r="AJ128" s="278">
        <f ca="1">IF(ABS(W128-J128)&gt;SnapshotTolerance,1,0)</f>
        <v>0</v>
      </c>
      <c r="AK128" s="278">
        <f ca="1">IF(ABS(X128-K128)&gt;SnapshotTolerance,1,0)</f>
        <v>0</v>
      </c>
      <c r="AL128" s="278">
        <f ca="1">IF(ABS(Y128-L128)&gt;SnapshotTolerance,1,0)</f>
        <v>0</v>
      </c>
      <c r="AM128" s="279">
        <f ca="1">IF(ABS(Z128-M128)&gt;SnapshotTolerance,1,0)</f>
        <v>0</v>
      </c>
    </row>
    <row r="129" spans="2:39">
      <c r="B129" s="282" t="str">
        <f>'JPY Swap PVs'!M63</f>
        <v>25Y</v>
      </c>
      <c r="C129" s="278">
        <f ca="1">'JPY Swap PVs'!N63</f>
        <v>-1047182.794682715</v>
      </c>
      <c r="D129" s="278">
        <f ca="1">'JPY Swap PVs'!O63</f>
        <v>-837746.23574617179</v>
      </c>
      <c r="E129" s="278">
        <f ca="1">'JPY Swap PVs'!P63</f>
        <v>-628309.67680962884</v>
      </c>
      <c r="F129" s="278">
        <f ca="1">'JPY Swap PVs'!Q63</f>
        <v>-418873.11787308584</v>
      </c>
      <c r="G129" s="278">
        <f ca="1">'JPY Swap PVs'!R63</f>
        <v>-209436.55893654286</v>
      </c>
      <c r="H129" s="278">
        <f ca="1">'JPY Swap PVs'!S63</f>
        <v>0</v>
      </c>
      <c r="I129" s="278">
        <f ca="1">'JPY Swap PVs'!T63</f>
        <v>209436.55893654289</v>
      </c>
      <c r="J129" s="278">
        <f ca="1">'JPY Swap PVs'!U63</f>
        <v>418873.1178730859</v>
      </c>
      <c r="K129" s="278">
        <f ca="1">'JPY Swap PVs'!V63</f>
        <v>628309.67680962873</v>
      </c>
      <c r="L129" s="278">
        <f ca="1">'JPY Swap PVs'!W63</f>
        <v>837746.23574617191</v>
      </c>
      <c r="M129" s="279">
        <f ca="1">'JPY Swap PVs'!X63</f>
        <v>1047182.7946827146</v>
      </c>
      <c r="O129" s="282" t="s">
        <v>18</v>
      </c>
      <c r="P129" s="278">
        <v>-1047182.794682715</v>
      </c>
      <c r="Q129" s="278">
        <v>-837746.23574617179</v>
      </c>
      <c r="R129" s="278">
        <v>-628309.67680962884</v>
      </c>
      <c r="S129" s="278">
        <v>-418873.11787308584</v>
      </c>
      <c r="T129" s="278">
        <v>-209436.55893654286</v>
      </c>
      <c r="U129" s="278">
        <v>0</v>
      </c>
      <c r="V129" s="278">
        <v>209436.55893654289</v>
      </c>
      <c r="W129" s="278">
        <v>418873.1178730859</v>
      </c>
      <c r="X129" s="278">
        <v>628309.67680962873</v>
      </c>
      <c r="Y129" s="278">
        <v>837746.23574617191</v>
      </c>
      <c r="Z129" s="279">
        <v>1047182.7946827146</v>
      </c>
      <c r="AB129" s="282" t="str">
        <f t="shared" si="9"/>
        <v>25Y</v>
      </c>
      <c r="AC129" s="278">
        <f ca="1">IF(ABS(P129-C129)&gt;SnapshotTolerance,1,0)</f>
        <v>0</v>
      </c>
      <c r="AD129" s="278">
        <f ca="1">IF(ABS(Q129-D129)&gt;SnapshotTolerance,1,0)</f>
        <v>0</v>
      </c>
      <c r="AE129" s="278">
        <f ca="1">IF(ABS(R129-E129)&gt;SnapshotTolerance,1,0)</f>
        <v>0</v>
      </c>
      <c r="AF129" s="278">
        <f ca="1">IF(ABS(S129-F129)&gt;SnapshotTolerance,1,0)</f>
        <v>0</v>
      </c>
      <c r="AG129" s="278">
        <f ca="1">IF(ABS(T129-G129)&gt;SnapshotTolerance,1,0)</f>
        <v>0</v>
      </c>
      <c r="AH129" s="278">
        <f ca="1">IF(ABS(U129-H129)&gt;SnapshotTolerance,1,0)</f>
        <v>0</v>
      </c>
      <c r="AI129" s="278">
        <f ca="1">IF(ABS(V129-I129)&gt;SnapshotTolerance,1,0)</f>
        <v>0</v>
      </c>
      <c r="AJ129" s="278">
        <f ca="1">IF(ABS(W129-J129)&gt;SnapshotTolerance,1,0)</f>
        <v>0</v>
      </c>
      <c r="AK129" s="278">
        <f ca="1">IF(ABS(X129-K129)&gt;SnapshotTolerance,1,0)</f>
        <v>0</v>
      </c>
      <c r="AL129" s="278">
        <f ca="1">IF(ABS(Y129-L129)&gt;SnapshotTolerance,1,0)</f>
        <v>0</v>
      </c>
      <c r="AM129" s="279">
        <f ca="1">IF(ABS(Z129-M129)&gt;SnapshotTolerance,1,0)</f>
        <v>0</v>
      </c>
    </row>
    <row r="130" spans="2:39">
      <c r="B130" s="282" t="str">
        <f>'JPY Swap PVs'!M64</f>
        <v>30Y</v>
      </c>
      <c r="C130" s="278">
        <f ca="1">'JPY Swap PVs'!N64</f>
        <v>-1200253.8604142829</v>
      </c>
      <c r="D130" s="278">
        <f ca="1">'JPY Swap PVs'!O64</f>
        <v>-960203.08833142626</v>
      </c>
      <c r="E130" s="278">
        <f ca="1">'JPY Swap PVs'!P64</f>
        <v>-720152.31624856964</v>
      </c>
      <c r="F130" s="278">
        <f ca="1">'JPY Swap PVs'!Q64</f>
        <v>-480101.54416571307</v>
      </c>
      <c r="G130" s="278">
        <f ca="1">'JPY Swap PVs'!R64</f>
        <v>-240050.77208285654</v>
      </c>
      <c r="H130" s="278">
        <f ca="1">'JPY Swap PVs'!S64</f>
        <v>0</v>
      </c>
      <c r="I130" s="278">
        <f ca="1">'JPY Swap PVs'!T64</f>
        <v>240050.77208285657</v>
      </c>
      <c r="J130" s="278">
        <f ca="1">'JPY Swap PVs'!U64</f>
        <v>480101.54416571319</v>
      </c>
      <c r="K130" s="278">
        <f ca="1">'JPY Swap PVs'!V64</f>
        <v>720152.31624856987</v>
      </c>
      <c r="L130" s="278">
        <f ca="1">'JPY Swap PVs'!W64</f>
        <v>960203.08833142626</v>
      </c>
      <c r="M130" s="279">
        <f ca="1">'JPY Swap PVs'!X64</f>
        <v>1200253.8604142831</v>
      </c>
      <c r="O130" s="282" t="s">
        <v>17</v>
      </c>
      <c r="P130" s="278">
        <v>-1200253.8604142829</v>
      </c>
      <c r="Q130" s="278">
        <v>-960203.08833142626</v>
      </c>
      <c r="R130" s="278">
        <v>-720152.31624856964</v>
      </c>
      <c r="S130" s="278">
        <v>-480101.54416571307</v>
      </c>
      <c r="T130" s="278">
        <v>-240050.77208285654</v>
      </c>
      <c r="U130" s="278">
        <v>0</v>
      </c>
      <c r="V130" s="278">
        <v>240050.77208285657</v>
      </c>
      <c r="W130" s="278">
        <v>480101.54416571319</v>
      </c>
      <c r="X130" s="278">
        <v>720152.31624856987</v>
      </c>
      <c r="Y130" s="278">
        <v>960203.08833142626</v>
      </c>
      <c r="Z130" s="279">
        <v>1200253.8604142831</v>
      </c>
      <c r="AB130" s="282" t="str">
        <f t="shared" si="9"/>
        <v>30Y</v>
      </c>
      <c r="AC130" s="278">
        <f ca="1">IF(ABS(P130-C130)&gt;SnapshotTolerance,1,0)</f>
        <v>0</v>
      </c>
      <c r="AD130" s="278">
        <f ca="1">IF(ABS(Q130-D130)&gt;SnapshotTolerance,1,0)</f>
        <v>0</v>
      </c>
      <c r="AE130" s="278">
        <f ca="1">IF(ABS(R130-E130)&gt;SnapshotTolerance,1,0)</f>
        <v>0</v>
      </c>
      <c r="AF130" s="278">
        <f ca="1">IF(ABS(S130-F130)&gt;SnapshotTolerance,1,0)</f>
        <v>0</v>
      </c>
      <c r="AG130" s="278">
        <f ca="1">IF(ABS(T130-G130)&gt;SnapshotTolerance,1,0)</f>
        <v>0</v>
      </c>
      <c r="AH130" s="278">
        <f ca="1">IF(ABS(U130-H130)&gt;SnapshotTolerance,1,0)</f>
        <v>0</v>
      </c>
      <c r="AI130" s="278">
        <f ca="1">IF(ABS(V130-I130)&gt;SnapshotTolerance,1,0)</f>
        <v>0</v>
      </c>
      <c r="AJ130" s="278">
        <f ca="1">IF(ABS(W130-J130)&gt;SnapshotTolerance,1,0)</f>
        <v>0</v>
      </c>
      <c r="AK130" s="278">
        <f ca="1">IF(ABS(X130-K130)&gt;SnapshotTolerance,1,0)</f>
        <v>0</v>
      </c>
      <c r="AL130" s="278">
        <f ca="1">IF(ABS(Y130-L130)&gt;SnapshotTolerance,1,0)</f>
        <v>0</v>
      </c>
      <c r="AM130" s="279">
        <f ca="1">IF(ABS(Z130-M130)&gt;SnapshotTolerance,1,0)</f>
        <v>0</v>
      </c>
    </row>
    <row r="131" spans="2:39">
      <c r="B131" s="282" t="str">
        <f>'JPY Swap PVs'!M65</f>
        <v>35Y</v>
      </c>
      <c r="C131" s="278">
        <f ca="1">'JPY Swap PVs'!N65</f>
        <v>-1341179.2700771403</v>
      </c>
      <c r="D131" s="278">
        <f ca="1">'JPY Swap PVs'!O65</f>
        <v>-1072943.4160617122</v>
      </c>
      <c r="E131" s="278">
        <f ca="1">'JPY Swap PVs'!P65</f>
        <v>-804707.56204628409</v>
      </c>
      <c r="F131" s="278">
        <f ca="1">'JPY Swap PVs'!Q65</f>
        <v>-536471.70803085598</v>
      </c>
      <c r="G131" s="278">
        <f ca="1">'JPY Swap PVs'!R65</f>
        <v>-268235.85401542799</v>
      </c>
      <c r="H131" s="278">
        <f ca="1">'JPY Swap PVs'!S65</f>
        <v>-5.5511151231257827E-11</v>
      </c>
      <c r="I131" s="278">
        <f ca="1">'JPY Swap PVs'!T65</f>
        <v>268235.85401542811</v>
      </c>
      <c r="J131" s="278">
        <f ca="1">'JPY Swap PVs'!U65</f>
        <v>536471.70803085587</v>
      </c>
      <c r="K131" s="278">
        <f ca="1">'JPY Swap PVs'!V65</f>
        <v>804707.56204628397</v>
      </c>
      <c r="L131" s="278">
        <f ca="1">'JPY Swap PVs'!W65</f>
        <v>1072943.4160617122</v>
      </c>
      <c r="M131" s="279">
        <f ca="1">'JPY Swap PVs'!X65</f>
        <v>1341179.2700771401</v>
      </c>
      <c r="O131" s="282" t="s">
        <v>16</v>
      </c>
      <c r="P131" s="278">
        <v>-1341179.2700771403</v>
      </c>
      <c r="Q131" s="278">
        <v>-1072943.4160617122</v>
      </c>
      <c r="R131" s="278">
        <v>-804707.56204628409</v>
      </c>
      <c r="S131" s="278">
        <v>-536471.70803085598</v>
      </c>
      <c r="T131" s="278">
        <v>-268235.85401542799</v>
      </c>
      <c r="U131" s="278">
        <v>-5.5511151231257827E-11</v>
      </c>
      <c r="V131" s="278">
        <v>268235.85401542811</v>
      </c>
      <c r="W131" s="278">
        <v>536471.70803085587</v>
      </c>
      <c r="X131" s="278">
        <v>804707.56204628397</v>
      </c>
      <c r="Y131" s="278">
        <v>1072943.4160617122</v>
      </c>
      <c r="Z131" s="279">
        <v>1341179.2700771401</v>
      </c>
      <c r="AB131" s="282" t="str">
        <f t="shared" si="9"/>
        <v>35Y</v>
      </c>
      <c r="AC131" s="278">
        <f ca="1">IF(ABS(P131-C131)&gt;SnapshotTolerance,1,0)</f>
        <v>0</v>
      </c>
      <c r="AD131" s="278">
        <f ca="1">IF(ABS(Q131-D131)&gt;SnapshotTolerance,1,0)</f>
        <v>0</v>
      </c>
      <c r="AE131" s="278">
        <f ca="1">IF(ABS(R131-E131)&gt;SnapshotTolerance,1,0)</f>
        <v>0</v>
      </c>
      <c r="AF131" s="278">
        <f ca="1">IF(ABS(S131-F131)&gt;SnapshotTolerance,1,0)</f>
        <v>0</v>
      </c>
      <c r="AG131" s="278">
        <f ca="1">IF(ABS(T131-G131)&gt;SnapshotTolerance,1,0)</f>
        <v>0</v>
      </c>
      <c r="AH131" s="278">
        <f ca="1">IF(ABS(U131-H131)&gt;SnapshotTolerance,1,0)</f>
        <v>0</v>
      </c>
      <c r="AI131" s="278">
        <f ca="1">IF(ABS(V131-I131)&gt;SnapshotTolerance,1,0)</f>
        <v>0</v>
      </c>
      <c r="AJ131" s="278">
        <f ca="1">IF(ABS(W131-J131)&gt;SnapshotTolerance,1,0)</f>
        <v>0</v>
      </c>
      <c r="AK131" s="278">
        <f ca="1">IF(ABS(X131-K131)&gt;SnapshotTolerance,1,0)</f>
        <v>0</v>
      </c>
      <c r="AL131" s="278">
        <f ca="1">IF(ABS(Y131-L131)&gt;SnapshotTolerance,1,0)</f>
        <v>0</v>
      </c>
      <c r="AM131" s="279">
        <f ca="1">IF(ABS(Z131-M131)&gt;SnapshotTolerance,1,0)</f>
        <v>0</v>
      </c>
    </row>
    <row r="132" spans="2:39">
      <c r="B132" s="282" t="str">
        <f>'JPY Swap PVs'!M66</f>
        <v>40Y</v>
      </c>
      <c r="C132" s="278">
        <f ca="1">'JPY Swap PVs'!N66</f>
        <v>-1471307.5991774679</v>
      </c>
      <c r="D132" s="278">
        <f ca="1">'JPY Swap PVs'!O66</f>
        <v>-1177046.0793419741</v>
      </c>
      <c r="E132" s="278">
        <f ca="1">'JPY Swap PVs'!P66</f>
        <v>-882784.55950648047</v>
      </c>
      <c r="F132" s="278">
        <f ca="1">'JPY Swap PVs'!Q66</f>
        <v>-588523.03967098694</v>
      </c>
      <c r="G132" s="278">
        <f ca="1">'JPY Swap PVs'!R66</f>
        <v>-294261.51983549341</v>
      </c>
      <c r="H132" s="278">
        <f ca="1">'JPY Swap PVs'!S66</f>
        <v>0</v>
      </c>
      <c r="I132" s="278">
        <f ca="1">'JPY Swap PVs'!T66</f>
        <v>294261.51983549353</v>
      </c>
      <c r="J132" s="278">
        <f ca="1">'JPY Swap PVs'!U66</f>
        <v>588523.03967098694</v>
      </c>
      <c r="K132" s="278">
        <f ca="1">'JPY Swap PVs'!V66</f>
        <v>882784.55950648058</v>
      </c>
      <c r="L132" s="278">
        <f ca="1">'JPY Swap PVs'!W66</f>
        <v>1177046.0793419741</v>
      </c>
      <c r="M132" s="279">
        <f ca="1">'JPY Swap PVs'!X66</f>
        <v>1471307.5991774681</v>
      </c>
      <c r="O132" s="282" t="s">
        <v>15</v>
      </c>
      <c r="P132" s="278">
        <v>-1471307.5991774679</v>
      </c>
      <c r="Q132" s="278">
        <v>-1177046.0793419741</v>
      </c>
      <c r="R132" s="278">
        <v>-882784.55950648047</v>
      </c>
      <c r="S132" s="278">
        <v>-588523.03967098694</v>
      </c>
      <c r="T132" s="278">
        <v>-294261.51983549341</v>
      </c>
      <c r="U132" s="278">
        <v>0</v>
      </c>
      <c r="V132" s="278">
        <v>294261.51983549353</v>
      </c>
      <c r="W132" s="278">
        <v>588523.03967098694</v>
      </c>
      <c r="X132" s="278">
        <v>882784.55950648058</v>
      </c>
      <c r="Y132" s="278">
        <v>1177046.0793419741</v>
      </c>
      <c r="Z132" s="279">
        <v>1471307.5991774681</v>
      </c>
      <c r="AB132" s="282" t="str">
        <f t="shared" si="9"/>
        <v>40Y</v>
      </c>
      <c r="AC132" s="278">
        <f ca="1">IF(ABS(P132-C132)&gt;SnapshotTolerance,1,0)</f>
        <v>0</v>
      </c>
      <c r="AD132" s="278">
        <f ca="1">IF(ABS(Q132-D132)&gt;SnapshotTolerance,1,0)</f>
        <v>0</v>
      </c>
      <c r="AE132" s="278">
        <f ca="1">IF(ABS(R132-E132)&gt;SnapshotTolerance,1,0)</f>
        <v>0</v>
      </c>
      <c r="AF132" s="278">
        <f ca="1">IF(ABS(S132-F132)&gt;SnapshotTolerance,1,0)</f>
        <v>0</v>
      </c>
      <c r="AG132" s="278">
        <f ca="1">IF(ABS(T132-G132)&gt;SnapshotTolerance,1,0)</f>
        <v>0</v>
      </c>
      <c r="AH132" s="278">
        <f ca="1">IF(ABS(U132-H132)&gt;SnapshotTolerance,1,0)</f>
        <v>0</v>
      </c>
      <c r="AI132" s="278">
        <f ca="1">IF(ABS(V132-I132)&gt;SnapshotTolerance,1,0)</f>
        <v>0</v>
      </c>
      <c r="AJ132" s="278">
        <f ca="1">IF(ABS(W132-J132)&gt;SnapshotTolerance,1,0)</f>
        <v>0</v>
      </c>
      <c r="AK132" s="278">
        <f ca="1">IF(ABS(X132-K132)&gt;SnapshotTolerance,1,0)</f>
        <v>0</v>
      </c>
      <c r="AL132" s="278">
        <f ca="1">IF(ABS(Y132-L132)&gt;SnapshotTolerance,1,0)</f>
        <v>0</v>
      </c>
      <c r="AM132" s="279">
        <f ca="1">IF(ABS(Z132-M132)&gt;SnapshotTolerance,1,0)</f>
        <v>0</v>
      </c>
    </row>
    <row r="133" spans="2:39">
      <c r="B133" s="282"/>
      <c r="C133" s="278"/>
      <c r="D133" s="278"/>
      <c r="E133" s="278"/>
      <c r="F133" s="278"/>
      <c r="G133" s="278"/>
      <c r="H133" s="278"/>
      <c r="I133" s="278"/>
      <c r="J133" s="278"/>
      <c r="K133" s="278"/>
      <c r="L133" s="278"/>
      <c r="M133" s="279"/>
      <c r="O133" s="282"/>
      <c r="P133" s="278"/>
      <c r="Q133" s="278"/>
      <c r="R133" s="278"/>
      <c r="S133" s="278"/>
      <c r="T133" s="278"/>
      <c r="U133" s="278"/>
      <c r="V133" s="278"/>
      <c r="W133" s="278"/>
      <c r="X133" s="278"/>
      <c r="Y133" s="278"/>
      <c r="Z133" s="279"/>
      <c r="AB133" s="282"/>
      <c r="AC133" s="278"/>
      <c r="AD133" s="278"/>
      <c r="AE133" s="278"/>
      <c r="AF133" s="278"/>
      <c r="AG133" s="278"/>
      <c r="AH133" s="278"/>
      <c r="AI133" s="278"/>
      <c r="AJ133" s="278"/>
      <c r="AK133" s="278"/>
      <c r="AL133" s="278"/>
      <c r="AM133" s="279"/>
    </row>
    <row r="134" spans="2:39">
      <c r="B134" s="282"/>
      <c r="C134" s="278"/>
      <c r="D134" s="278"/>
      <c r="E134" s="278"/>
      <c r="F134" s="278"/>
      <c r="G134" s="278"/>
      <c r="H134" s="278"/>
      <c r="I134" s="278"/>
      <c r="J134" s="278"/>
      <c r="K134" s="278"/>
      <c r="L134" s="278"/>
      <c r="M134" s="279"/>
      <c r="O134" s="282"/>
      <c r="P134" s="278"/>
      <c r="Q134" s="278"/>
      <c r="R134" s="278"/>
      <c r="S134" s="278"/>
      <c r="T134" s="278"/>
      <c r="U134" s="278"/>
      <c r="V134" s="278"/>
      <c r="W134" s="278"/>
      <c r="X134" s="278"/>
      <c r="Y134" s="278"/>
      <c r="Z134" s="279"/>
      <c r="AB134" s="282"/>
      <c r="AC134" s="278"/>
      <c r="AD134" s="278"/>
      <c r="AE134" s="278"/>
      <c r="AF134" s="278"/>
      <c r="AG134" s="278"/>
      <c r="AH134" s="278"/>
      <c r="AI134" s="278"/>
      <c r="AJ134" s="278"/>
      <c r="AK134" s="278"/>
      <c r="AL134" s="278"/>
      <c r="AM134" s="279"/>
    </row>
    <row r="135" spans="2:39">
      <c r="B135" s="282"/>
      <c r="C135" s="278"/>
      <c r="D135" s="278"/>
      <c r="E135" s="278"/>
      <c r="F135" s="278"/>
      <c r="G135" s="278"/>
      <c r="H135" s="278"/>
      <c r="I135" s="278"/>
      <c r="J135" s="278"/>
      <c r="K135" s="278"/>
      <c r="L135" s="278"/>
      <c r="M135" s="279"/>
      <c r="O135" s="282"/>
      <c r="P135" s="278"/>
      <c r="Q135" s="278"/>
      <c r="R135" s="278"/>
      <c r="S135" s="278"/>
      <c r="T135" s="278"/>
      <c r="U135" s="278"/>
      <c r="V135" s="278"/>
      <c r="W135" s="278"/>
      <c r="X135" s="278"/>
      <c r="Y135" s="278"/>
      <c r="Z135" s="279"/>
      <c r="AB135" s="282"/>
      <c r="AC135" s="278"/>
      <c r="AD135" s="278"/>
      <c r="AE135" s="278"/>
      <c r="AF135" s="278"/>
      <c r="AG135" s="278"/>
      <c r="AH135" s="278"/>
      <c r="AI135" s="278"/>
      <c r="AJ135" s="278"/>
      <c r="AK135" s="278"/>
      <c r="AL135" s="278"/>
      <c r="AM135" s="279"/>
    </row>
    <row r="136" spans="2:39">
      <c r="B136" s="283"/>
      <c r="C136" s="280"/>
      <c r="D136" s="280"/>
      <c r="E136" s="280"/>
      <c r="F136" s="280"/>
      <c r="G136" s="280"/>
      <c r="H136" s="280"/>
      <c r="I136" s="280"/>
      <c r="J136" s="280"/>
      <c r="K136" s="280"/>
      <c r="L136" s="280"/>
      <c r="M136" s="281"/>
      <c r="O136" s="283"/>
      <c r="P136" s="280"/>
      <c r="Q136" s="280"/>
      <c r="R136" s="280"/>
      <c r="S136" s="280"/>
      <c r="T136" s="280"/>
      <c r="U136" s="280"/>
      <c r="V136" s="280"/>
      <c r="W136" s="280"/>
      <c r="X136" s="280"/>
      <c r="Y136" s="280"/>
      <c r="Z136" s="281"/>
      <c r="AB136" s="283"/>
      <c r="AC136" s="280"/>
      <c r="AD136" s="280"/>
      <c r="AE136" s="280"/>
      <c r="AF136" s="280"/>
      <c r="AG136" s="280"/>
      <c r="AH136" s="280"/>
      <c r="AI136" s="280"/>
      <c r="AJ136" s="280"/>
      <c r="AK136" s="280"/>
      <c r="AL136" s="280"/>
      <c r="AM136" s="281"/>
    </row>
    <row r="139" spans="2:39">
      <c r="B139" t="s">
        <v>533</v>
      </c>
      <c r="E139" t="s">
        <v>472</v>
      </c>
    </row>
    <row r="140" spans="2:39">
      <c r="B140" t="s">
        <v>530</v>
      </c>
      <c r="E140" s="252">
        <f ca="1">SUM(AC145:AM163)</f>
        <v>0</v>
      </c>
    </row>
    <row r="141" spans="2:39">
      <c r="B141" t="s">
        <v>529</v>
      </c>
    </row>
    <row r="143" spans="2:39">
      <c r="B143" t="s">
        <v>510</v>
      </c>
      <c r="O143" t="s">
        <v>470</v>
      </c>
      <c r="AB143" t="s">
        <v>511</v>
      </c>
    </row>
    <row r="144" spans="2:39">
      <c r="B144" s="254" t="str">
        <f>'JPY Swap PVs'!M76</f>
        <v>Term</v>
      </c>
      <c r="C144" s="287">
        <f>'JPY Swap PVs'!N76</f>
        <v>500</v>
      </c>
      <c r="D144" s="287">
        <f>'JPY Swap PVs'!O76</f>
        <v>400</v>
      </c>
      <c r="E144" s="287">
        <f>'JPY Swap PVs'!P76</f>
        <v>300</v>
      </c>
      <c r="F144" s="287">
        <f>'JPY Swap PVs'!Q76</f>
        <v>200</v>
      </c>
      <c r="G144" s="287">
        <f>'JPY Swap PVs'!R76</f>
        <v>100</v>
      </c>
      <c r="H144" s="287">
        <f>'JPY Swap PVs'!S76</f>
        <v>0</v>
      </c>
      <c r="I144" s="287">
        <f>'JPY Swap PVs'!T76</f>
        <v>-100</v>
      </c>
      <c r="J144" s="287">
        <f>'JPY Swap PVs'!U76</f>
        <v>-200</v>
      </c>
      <c r="K144" s="287">
        <f>'JPY Swap PVs'!V76</f>
        <v>-300</v>
      </c>
      <c r="L144" s="287">
        <f>'JPY Swap PVs'!W76</f>
        <v>-400</v>
      </c>
      <c r="M144" s="288">
        <f>'JPY Swap PVs'!X76</f>
        <v>-500</v>
      </c>
      <c r="O144" s="254" t="s">
        <v>76</v>
      </c>
      <c r="P144" s="287">
        <v>500</v>
      </c>
      <c r="Q144" s="287">
        <v>400</v>
      </c>
      <c r="R144" s="287">
        <v>300</v>
      </c>
      <c r="S144" s="287">
        <v>200</v>
      </c>
      <c r="T144" s="287">
        <v>100</v>
      </c>
      <c r="U144" s="287">
        <v>0</v>
      </c>
      <c r="V144" s="287">
        <v>-100</v>
      </c>
      <c r="W144" s="287">
        <v>-200</v>
      </c>
      <c r="X144" s="287">
        <v>-300</v>
      </c>
      <c r="Y144" s="287">
        <v>-400</v>
      </c>
      <c r="Z144" s="288">
        <v>-500</v>
      </c>
      <c r="AB144" s="254" t="str">
        <f>O144</f>
        <v>Term</v>
      </c>
      <c r="AC144" s="287">
        <f>P144</f>
        <v>500</v>
      </c>
      <c r="AD144" s="287">
        <f t="shared" ref="AD144:AM144" si="10">Q144</f>
        <v>400</v>
      </c>
      <c r="AE144" s="287">
        <f t="shared" si="10"/>
        <v>300</v>
      </c>
      <c r="AF144" s="287">
        <f t="shared" si="10"/>
        <v>200</v>
      </c>
      <c r="AG144" s="287">
        <f t="shared" si="10"/>
        <v>100</v>
      </c>
      <c r="AH144" s="287">
        <f t="shared" si="10"/>
        <v>0</v>
      </c>
      <c r="AI144" s="287">
        <f t="shared" si="10"/>
        <v>-100</v>
      </c>
      <c r="AJ144" s="287">
        <f t="shared" si="10"/>
        <v>-200</v>
      </c>
      <c r="AK144" s="287">
        <f t="shared" si="10"/>
        <v>-300</v>
      </c>
      <c r="AL144" s="287">
        <f t="shared" si="10"/>
        <v>-400</v>
      </c>
      <c r="AM144" s="288">
        <f t="shared" si="10"/>
        <v>-500</v>
      </c>
    </row>
    <row r="145" spans="2:39">
      <c r="B145" s="282" t="str">
        <f>'JPY Swap PVs'!M77</f>
        <v>3Y</v>
      </c>
      <c r="C145" s="278">
        <f ca="1">'JPY Swap PVs'!N77</f>
        <v>-152542.46364885769</v>
      </c>
      <c r="D145" s="278">
        <f ca="1">'JPY Swap PVs'!O77</f>
        <v>-122033.97091908618</v>
      </c>
      <c r="E145" s="278">
        <f ca="1">'JPY Swap PVs'!P77</f>
        <v>-91525.478189314628</v>
      </c>
      <c r="F145" s="278">
        <f ca="1">'JPY Swap PVs'!Q77</f>
        <v>-61016.985459543095</v>
      </c>
      <c r="G145" s="278">
        <f ca="1">'JPY Swap PVs'!R77</f>
        <v>-30508.492729771544</v>
      </c>
      <c r="H145" s="278">
        <f ca="1">'JPY Swap PVs'!S77</f>
        <v>0</v>
      </c>
      <c r="I145" s="278">
        <f ca="1">'JPY Swap PVs'!T77</f>
        <v>30508.492729771544</v>
      </c>
      <c r="J145" s="278">
        <f ca="1">'JPY Swap PVs'!U77</f>
        <v>61016.985459543081</v>
      </c>
      <c r="K145" s="278">
        <f ca="1">'JPY Swap PVs'!V77</f>
        <v>91525.478189314628</v>
      </c>
      <c r="L145" s="278">
        <f ca="1">'JPY Swap PVs'!W77</f>
        <v>122033.97091908615</v>
      </c>
      <c r="M145" s="279">
        <f ca="1">'JPY Swap PVs'!X77</f>
        <v>152542.46364885769</v>
      </c>
      <c r="O145" s="282" t="s">
        <v>39</v>
      </c>
      <c r="P145" s="278">
        <v>-152542.46364885769</v>
      </c>
      <c r="Q145" s="278">
        <v>-122033.97091908618</v>
      </c>
      <c r="R145" s="278">
        <v>-91525.478189314628</v>
      </c>
      <c r="S145" s="278">
        <v>-61016.985459543095</v>
      </c>
      <c r="T145" s="278">
        <v>-30508.492729771544</v>
      </c>
      <c r="U145" s="278">
        <v>0</v>
      </c>
      <c r="V145" s="278">
        <v>30508.492729771544</v>
      </c>
      <c r="W145" s="278">
        <v>61016.985459543081</v>
      </c>
      <c r="X145" s="278">
        <v>91525.478189314628</v>
      </c>
      <c r="Y145" s="278">
        <v>122033.97091908615</v>
      </c>
      <c r="Z145" s="279">
        <v>152542.46364885769</v>
      </c>
      <c r="AB145" s="282" t="str">
        <f t="shared" ref="AB145:AB163" si="11">O145</f>
        <v>3Y</v>
      </c>
      <c r="AC145" s="278">
        <f ca="1">IF(ABS(P145-C145)&gt;SnapshotTolerance,1,0)</f>
        <v>0</v>
      </c>
      <c r="AD145" s="278">
        <f ca="1">IF(ABS(Q145-D145)&gt;SnapshotTolerance,1,0)</f>
        <v>0</v>
      </c>
      <c r="AE145" s="278">
        <f ca="1">IF(ABS(R145-E145)&gt;SnapshotTolerance,1,0)</f>
        <v>0</v>
      </c>
      <c r="AF145" s="278">
        <f ca="1">IF(ABS(S145-F145)&gt;SnapshotTolerance,1,0)</f>
        <v>0</v>
      </c>
      <c r="AG145" s="278">
        <f ca="1">IF(ABS(T145-G145)&gt;SnapshotTolerance,1,0)</f>
        <v>0</v>
      </c>
      <c r="AH145" s="278">
        <f ca="1">IF(ABS(U145-H145)&gt;SnapshotTolerance,1,0)</f>
        <v>0</v>
      </c>
      <c r="AI145" s="278">
        <f ca="1">IF(ABS(V145-I145)&gt;SnapshotTolerance,1,0)</f>
        <v>0</v>
      </c>
      <c r="AJ145" s="278">
        <f ca="1">IF(ABS(W145-J145)&gt;SnapshotTolerance,1,0)</f>
        <v>0</v>
      </c>
      <c r="AK145" s="278">
        <f ca="1">IF(ABS(X145-K145)&gt;SnapshotTolerance,1,0)</f>
        <v>0</v>
      </c>
      <c r="AL145" s="278">
        <f ca="1">IF(ABS(Y145-L145)&gt;SnapshotTolerance,1,0)</f>
        <v>0</v>
      </c>
      <c r="AM145" s="279">
        <f ca="1">IF(ABS(Z145-M145)&gt;SnapshotTolerance,1,0)</f>
        <v>0</v>
      </c>
    </row>
    <row r="146" spans="2:39">
      <c r="B146" s="282" t="str">
        <f>'JPY Swap PVs'!M78</f>
        <v>4Y</v>
      </c>
      <c r="C146" s="278">
        <f ca="1">'JPY Swap PVs'!N78</f>
        <v>-202890.72538400179</v>
      </c>
      <c r="D146" s="278">
        <f ca="1">'JPY Swap PVs'!O78</f>
        <v>-162312.58030720145</v>
      </c>
      <c r="E146" s="278">
        <f ca="1">'JPY Swap PVs'!P78</f>
        <v>-121734.43523040108</v>
      </c>
      <c r="F146" s="278">
        <f ca="1">'JPY Swap PVs'!Q78</f>
        <v>-81156.290153600741</v>
      </c>
      <c r="G146" s="278">
        <f ca="1">'JPY Swap PVs'!R78</f>
        <v>-40578.145076800356</v>
      </c>
      <c r="H146" s="278">
        <f ca="1">'JPY Swap PVs'!S78</f>
        <v>0</v>
      </c>
      <c r="I146" s="278">
        <f ca="1">'JPY Swap PVs'!T78</f>
        <v>40578.145076800363</v>
      </c>
      <c r="J146" s="278">
        <f ca="1">'JPY Swap PVs'!U78</f>
        <v>81156.290153600727</v>
      </c>
      <c r="K146" s="278">
        <f ca="1">'JPY Swap PVs'!V78</f>
        <v>121734.43523040108</v>
      </c>
      <c r="L146" s="278">
        <f ca="1">'JPY Swap PVs'!W78</f>
        <v>162312.58030720142</v>
      </c>
      <c r="M146" s="279">
        <f ca="1">'JPY Swap PVs'!X78</f>
        <v>202890.72538400179</v>
      </c>
      <c r="O146" s="282" t="s">
        <v>35</v>
      </c>
      <c r="P146" s="278">
        <v>-202890.72538400179</v>
      </c>
      <c r="Q146" s="278">
        <v>-162312.58030720145</v>
      </c>
      <c r="R146" s="278">
        <v>-121734.43523040108</v>
      </c>
      <c r="S146" s="278">
        <v>-81156.290153600741</v>
      </c>
      <c r="T146" s="278">
        <v>-40578.145076800356</v>
      </c>
      <c r="U146" s="278">
        <v>0</v>
      </c>
      <c r="V146" s="278">
        <v>40578.145076800363</v>
      </c>
      <c r="W146" s="278">
        <v>81156.290153600727</v>
      </c>
      <c r="X146" s="278">
        <v>121734.43523040108</v>
      </c>
      <c r="Y146" s="278">
        <v>162312.58030720142</v>
      </c>
      <c r="Z146" s="279">
        <v>202890.72538400179</v>
      </c>
      <c r="AB146" s="282" t="str">
        <f t="shared" si="11"/>
        <v>4Y</v>
      </c>
      <c r="AC146" s="278">
        <f ca="1">IF(ABS(P146-C146)&gt;SnapshotTolerance,1,0)</f>
        <v>0</v>
      </c>
      <c r="AD146" s="278">
        <f ca="1">IF(ABS(Q146-D146)&gt;SnapshotTolerance,1,0)</f>
        <v>0</v>
      </c>
      <c r="AE146" s="278">
        <f ca="1">IF(ABS(R146-E146)&gt;SnapshotTolerance,1,0)</f>
        <v>0</v>
      </c>
      <c r="AF146" s="278">
        <f ca="1">IF(ABS(S146-F146)&gt;SnapshotTolerance,1,0)</f>
        <v>0</v>
      </c>
      <c r="AG146" s="278">
        <f ca="1">IF(ABS(T146-G146)&gt;SnapshotTolerance,1,0)</f>
        <v>0</v>
      </c>
      <c r="AH146" s="278">
        <f ca="1">IF(ABS(U146-H146)&gt;SnapshotTolerance,1,0)</f>
        <v>0</v>
      </c>
      <c r="AI146" s="278">
        <f ca="1">IF(ABS(V146-I146)&gt;SnapshotTolerance,1,0)</f>
        <v>0</v>
      </c>
      <c r="AJ146" s="278">
        <f ca="1">IF(ABS(W146-J146)&gt;SnapshotTolerance,1,0)</f>
        <v>0</v>
      </c>
      <c r="AK146" s="278">
        <f ca="1">IF(ABS(X146-K146)&gt;SnapshotTolerance,1,0)</f>
        <v>0</v>
      </c>
      <c r="AL146" s="278">
        <f ca="1">IF(ABS(Y146-L146)&gt;SnapshotTolerance,1,0)</f>
        <v>0</v>
      </c>
      <c r="AM146" s="279">
        <f ca="1">IF(ABS(Z146-M146)&gt;SnapshotTolerance,1,0)</f>
        <v>0</v>
      </c>
    </row>
    <row r="147" spans="2:39">
      <c r="B147" s="282" t="str">
        <f>'JPY Swap PVs'!M79</f>
        <v>5Y</v>
      </c>
      <c r="C147" s="278">
        <f ca="1">'JPY Swap PVs'!N79</f>
        <v>-253069.5285075022</v>
      </c>
      <c r="D147" s="278">
        <f ca="1">'JPY Swap PVs'!O79</f>
        <v>-202455.6228060018</v>
      </c>
      <c r="E147" s="278">
        <f ca="1">'JPY Swap PVs'!P79</f>
        <v>-151841.71710450135</v>
      </c>
      <c r="F147" s="278">
        <f ca="1">'JPY Swap PVs'!Q79</f>
        <v>-101227.81140300092</v>
      </c>
      <c r="G147" s="278">
        <f ca="1">'JPY Swap PVs'!R79</f>
        <v>-50613.905701500436</v>
      </c>
      <c r="H147" s="278">
        <f ca="1">'JPY Swap PVs'!S79</f>
        <v>0</v>
      </c>
      <c r="I147" s="278">
        <f ca="1">'JPY Swap PVs'!T79</f>
        <v>50613.905701500444</v>
      </c>
      <c r="J147" s="278">
        <f ca="1">'JPY Swap PVs'!U79</f>
        <v>101227.81140300089</v>
      </c>
      <c r="K147" s="278">
        <f ca="1">'JPY Swap PVs'!V79</f>
        <v>151841.71710450135</v>
      </c>
      <c r="L147" s="278">
        <f ca="1">'JPY Swap PVs'!W79</f>
        <v>202455.62280600175</v>
      </c>
      <c r="M147" s="279">
        <f ca="1">'JPY Swap PVs'!X79</f>
        <v>253069.5285075022</v>
      </c>
      <c r="O147" s="282" t="s">
        <v>33</v>
      </c>
      <c r="P147" s="278">
        <v>-253069.5285075022</v>
      </c>
      <c r="Q147" s="278">
        <v>-202455.6228060018</v>
      </c>
      <c r="R147" s="278">
        <v>-151841.71710450135</v>
      </c>
      <c r="S147" s="278">
        <v>-101227.81140300092</v>
      </c>
      <c r="T147" s="278">
        <v>-50613.905701500436</v>
      </c>
      <c r="U147" s="278">
        <v>0</v>
      </c>
      <c r="V147" s="278">
        <v>50613.905701500444</v>
      </c>
      <c r="W147" s="278">
        <v>101227.81140300089</v>
      </c>
      <c r="X147" s="278">
        <v>151841.71710450135</v>
      </c>
      <c r="Y147" s="278">
        <v>202455.62280600175</v>
      </c>
      <c r="Z147" s="279">
        <v>253069.5285075022</v>
      </c>
      <c r="AB147" s="282" t="str">
        <f t="shared" si="11"/>
        <v>5Y</v>
      </c>
      <c r="AC147" s="278">
        <f ca="1">IF(ABS(P147-C147)&gt;SnapshotTolerance,1,0)</f>
        <v>0</v>
      </c>
      <c r="AD147" s="278">
        <f ca="1">IF(ABS(Q147-D147)&gt;SnapshotTolerance,1,0)</f>
        <v>0</v>
      </c>
      <c r="AE147" s="278">
        <f ca="1">IF(ABS(R147-E147)&gt;SnapshotTolerance,1,0)</f>
        <v>0</v>
      </c>
      <c r="AF147" s="278">
        <f ca="1">IF(ABS(S147-F147)&gt;SnapshotTolerance,1,0)</f>
        <v>0</v>
      </c>
      <c r="AG147" s="278">
        <f ca="1">IF(ABS(T147-G147)&gt;SnapshotTolerance,1,0)</f>
        <v>0</v>
      </c>
      <c r="AH147" s="278">
        <f ca="1">IF(ABS(U147-H147)&gt;SnapshotTolerance,1,0)</f>
        <v>0</v>
      </c>
      <c r="AI147" s="278">
        <f ca="1">IF(ABS(V147-I147)&gt;SnapshotTolerance,1,0)</f>
        <v>0</v>
      </c>
      <c r="AJ147" s="278">
        <f ca="1">IF(ABS(W147-J147)&gt;SnapshotTolerance,1,0)</f>
        <v>0</v>
      </c>
      <c r="AK147" s="278">
        <f ca="1">IF(ABS(X147-K147)&gt;SnapshotTolerance,1,0)</f>
        <v>0</v>
      </c>
      <c r="AL147" s="278">
        <f ca="1">IF(ABS(Y147-L147)&gt;SnapshotTolerance,1,0)</f>
        <v>0</v>
      </c>
      <c r="AM147" s="279">
        <f ca="1">IF(ABS(Z147-M147)&gt;SnapshotTolerance,1,0)</f>
        <v>0</v>
      </c>
    </row>
    <row r="148" spans="2:39">
      <c r="B148" s="282" t="str">
        <f>'JPY Swap PVs'!M80</f>
        <v>6Y</v>
      </c>
      <c r="C148" s="278">
        <f ca="1">'JPY Swap PVs'!N80</f>
        <v>-302490.7129720439</v>
      </c>
      <c r="D148" s="278">
        <f ca="1">'JPY Swap PVs'!O80</f>
        <v>-241992.57037763516</v>
      </c>
      <c r="E148" s="278">
        <f ca="1">'JPY Swap PVs'!P80</f>
        <v>-181494.42778322636</v>
      </c>
      <c r="F148" s="278">
        <f ca="1">'JPY Swap PVs'!Q80</f>
        <v>-120996.28518881758</v>
      </c>
      <c r="G148" s="278">
        <f ca="1">'JPY Swap PVs'!R80</f>
        <v>-60498.142594408768</v>
      </c>
      <c r="H148" s="278">
        <f ca="1">'JPY Swap PVs'!S80</f>
        <v>0</v>
      </c>
      <c r="I148" s="278">
        <f ca="1">'JPY Swap PVs'!T80</f>
        <v>60498.142594408775</v>
      </c>
      <c r="J148" s="278">
        <f ca="1">'JPY Swap PVs'!U80</f>
        <v>120996.28518881755</v>
      </c>
      <c r="K148" s="278">
        <f ca="1">'JPY Swap PVs'!V80</f>
        <v>181494.42778322633</v>
      </c>
      <c r="L148" s="278">
        <f ca="1">'JPY Swap PVs'!W80</f>
        <v>241992.57037763504</v>
      </c>
      <c r="M148" s="279">
        <f ca="1">'JPY Swap PVs'!X80</f>
        <v>302490.71297204384</v>
      </c>
      <c r="O148" s="282" t="s">
        <v>131</v>
      </c>
      <c r="P148" s="278">
        <v>-302490.7129720439</v>
      </c>
      <c r="Q148" s="278">
        <v>-241992.57037763516</v>
      </c>
      <c r="R148" s="278">
        <v>-181494.42778322636</v>
      </c>
      <c r="S148" s="278">
        <v>-120996.28518881758</v>
      </c>
      <c r="T148" s="278">
        <v>-60498.142594408768</v>
      </c>
      <c r="U148" s="278">
        <v>0</v>
      </c>
      <c r="V148" s="278">
        <v>60498.142594408775</v>
      </c>
      <c r="W148" s="278">
        <v>120996.28518881755</v>
      </c>
      <c r="X148" s="278">
        <v>181494.42778322633</v>
      </c>
      <c r="Y148" s="278">
        <v>241992.57037763504</v>
      </c>
      <c r="Z148" s="279">
        <v>302490.71297204384</v>
      </c>
      <c r="AB148" s="282" t="str">
        <f t="shared" si="11"/>
        <v>6Y</v>
      </c>
      <c r="AC148" s="278">
        <f ca="1">IF(ABS(P148-C148)&gt;SnapshotTolerance,1,0)</f>
        <v>0</v>
      </c>
      <c r="AD148" s="278">
        <f ca="1">IF(ABS(Q148-D148)&gt;SnapshotTolerance,1,0)</f>
        <v>0</v>
      </c>
      <c r="AE148" s="278">
        <f ca="1">IF(ABS(R148-E148)&gt;SnapshotTolerance,1,0)</f>
        <v>0</v>
      </c>
      <c r="AF148" s="278">
        <f ca="1">IF(ABS(S148-F148)&gt;SnapshotTolerance,1,0)</f>
        <v>0</v>
      </c>
      <c r="AG148" s="278">
        <f ca="1">IF(ABS(T148-G148)&gt;SnapshotTolerance,1,0)</f>
        <v>0</v>
      </c>
      <c r="AH148" s="278">
        <f ca="1">IF(ABS(U148-H148)&gt;SnapshotTolerance,1,0)</f>
        <v>0</v>
      </c>
      <c r="AI148" s="278">
        <f ca="1">IF(ABS(V148-I148)&gt;SnapshotTolerance,1,0)</f>
        <v>0</v>
      </c>
      <c r="AJ148" s="278">
        <f ca="1">IF(ABS(W148-J148)&gt;SnapshotTolerance,1,0)</f>
        <v>0</v>
      </c>
      <c r="AK148" s="278">
        <f ca="1">IF(ABS(X148-K148)&gt;SnapshotTolerance,1,0)</f>
        <v>0</v>
      </c>
      <c r="AL148" s="278">
        <f ca="1">IF(ABS(Y148-L148)&gt;SnapshotTolerance,1,0)</f>
        <v>0</v>
      </c>
      <c r="AM148" s="279">
        <f ca="1">IF(ABS(Z148-M148)&gt;SnapshotTolerance,1,0)</f>
        <v>0</v>
      </c>
    </row>
    <row r="149" spans="2:39">
      <c r="B149" s="282" t="str">
        <f>'JPY Swap PVs'!M81</f>
        <v>7Y</v>
      </c>
      <c r="C149" s="278">
        <f ca="1">'JPY Swap PVs'!N81</f>
        <v>-351141.27427565056</v>
      </c>
      <c r="D149" s="278">
        <f ca="1">'JPY Swap PVs'!O81</f>
        <v>-280913.01942052058</v>
      </c>
      <c r="E149" s="278">
        <f ca="1">'JPY Swap PVs'!P81</f>
        <v>-210684.76456539036</v>
      </c>
      <c r="F149" s="278">
        <f ca="1">'JPY Swap PVs'!Q81</f>
        <v>-140456.50971026026</v>
      </c>
      <c r="G149" s="278">
        <f ca="1">'JPY Swap PVs'!R81</f>
        <v>-70228.254855130115</v>
      </c>
      <c r="H149" s="278">
        <f ca="1">'JPY Swap PVs'!S81</f>
        <v>-6.9388939039072284E-12</v>
      </c>
      <c r="I149" s="278">
        <f ca="1">'JPY Swap PVs'!T81</f>
        <v>70228.254855130115</v>
      </c>
      <c r="J149" s="278">
        <f ca="1">'JPY Swap PVs'!U81</f>
        <v>140456.50971026023</v>
      </c>
      <c r="K149" s="278">
        <f ca="1">'JPY Swap PVs'!V81</f>
        <v>210684.76456539036</v>
      </c>
      <c r="L149" s="278">
        <f ca="1">'JPY Swap PVs'!W81</f>
        <v>280913.01942052046</v>
      </c>
      <c r="M149" s="279">
        <f ca="1">'JPY Swap PVs'!X81</f>
        <v>351141.27427565056</v>
      </c>
      <c r="O149" s="282" t="s">
        <v>31</v>
      </c>
      <c r="P149" s="278">
        <v>-351141.27427565056</v>
      </c>
      <c r="Q149" s="278">
        <v>-280913.01942052058</v>
      </c>
      <c r="R149" s="278">
        <v>-210684.76456539036</v>
      </c>
      <c r="S149" s="278">
        <v>-140456.50971026026</v>
      </c>
      <c r="T149" s="278">
        <v>-70228.254855130115</v>
      </c>
      <c r="U149" s="278">
        <v>-6.9388939039072284E-12</v>
      </c>
      <c r="V149" s="278">
        <v>70228.254855130115</v>
      </c>
      <c r="W149" s="278">
        <v>140456.50971026023</v>
      </c>
      <c r="X149" s="278">
        <v>210684.76456539036</v>
      </c>
      <c r="Y149" s="278">
        <v>280913.01942052046</v>
      </c>
      <c r="Z149" s="279">
        <v>351141.27427565056</v>
      </c>
      <c r="AB149" s="282" t="str">
        <f t="shared" si="11"/>
        <v>7Y</v>
      </c>
      <c r="AC149" s="278">
        <f ca="1">IF(ABS(P149-C149)&gt;SnapshotTolerance,1,0)</f>
        <v>0</v>
      </c>
      <c r="AD149" s="278">
        <f ca="1">IF(ABS(Q149-D149)&gt;SnapshotTolerance,1,0)</f>
        <v>0</v>
      </c>
      <c r="AE149" s="278">
        <f ca="1">IF(ABS(R149-E149)&gt;SnapshotTolerance,1,0)</f>
        <v>0</v>
      </c>
      <c r="AF149" s="278">
        <f ca="1">IF(ABS(S149-F149)&gt;SnapshotTolerance,1,0)</f>
        <v>0</v>
      </c>
      <c r="AG149" s="278">
        <f ca="1">IF(ABS(T149-G149)&gt;SnapshotTolerance,1,0)</f>
        <v>0</v>
      </c>
      <c r="AH149" s="278">
        <f ca="1">IF(ABS(U149-H149)&gt;SnapshotTolerance,1,0)</f>
        <v>0</v>
      </c>
      <c r="AI149" s="278">
        <f ca="1">IF(ABS(V149-I149)&gt;SnapshotTolerance,1,0)</f>
        <v>0</v>
      </c>
      <c r="AJ149" s="278">
        <f ca="1">IF(ABS(W149-J149)&gt;SnapshotTolerance,1,0)</f>
        <v>0</v>
      </c>
      <c r="AK149" s="278">
        <f ca="1">IF(ABS(X149-K149)&gt;SnapshotTolerance,1,0)</f>
        <v>0</v>
      </c>
      <c r="AL149" s="278">
        <f ca="1">IF(ABS(Y149-L149)&gt;SnapshotTolerance,1,0)</f>
        <v>0</v>
      </c>
      <c r="AM149" s="279">
        <f ca="1">IF(ABS(Z149-M149)&gt;SnapshotTolerance,1,0)</f>
        <v>0</v>
      </c>
    </row>
    <row r="150" spans="2:39">
      <c r="B150" s="282" t="str">
        <f>'JPY Swap PVs'!M82</f>
        <v>8Y</v>
      </c>
      <c r="C150" s="278">
        <f ca="1">'JPY Swap PVs'!N82</f>
        <v>-399166.62011515006</v>
      </c>
      <c r="D150" s="278">
        <f ca="1">'JPY Swap PVs'!O82</f>
        <v>-319333.29609212012</v>
      </c>
      <c r="E150" s="278">
        <f ca="1">'JPY Swap PVs'!P82</f>
        <v>-239499.97206909009</v>
      </c>
      <c r="F150" s="278">
        <f ca="1">'JPY Swap PVs'!Q82</f>
        <v>-159666.64804606006</v>
      </c>
      <c r="G150" s="278">
        <f ca="1">'JPY Swap PVs'!R82</f>
        <v>-79833.32402303</v>
      </c>
      <c r="H150" s="278">
        <f ca="1">'JPY Swap PVs'!S82</f>
        <v>0</v>
      </c>
      <c r="I150" s="278">
        <f ca="1">'JPY Swap PVs'!T82</f>
        <v>79833.32402303</v>
      </c>
      <c r="J150" s="278">
        <f ca="1">'JPY Swap PVs'!U82</f>
        <v>159666.64804606</v>
      </c>
      <c r="K150" s="278">
        <f ca="1">'JPY Swap PVs'!V82</f>
        <v>239499.97206909006</v>
      </c>
      <c r="L150" s="278">
        <f ca="1">'JPY Swap PVs'!W82</f>
        <v>319333.29609212</v>
      </c>
      <c r="M150" s="279">
        <f ca="1">'JPY Swap PVs'!X82</f>
        <v>399166.62011515006</v>
      </c>
      <c r="O150" s="282" t="s">
        <v>119</v>
      </c>
      <c r="P150" s="278">
        <v>-399166.62011515006</v>
      </c>
      <c r="Q150" s="278">
        <v>-319333.29609212012</v>
      </c>
      <c r="R150" s="278">
        <v>-239499.97206909009</v>
      </c>
      <c r="S150" s="278">
        <v>-159666.64804606006</v>
      </c>
      <c r="T150" s="278">
        <v>-79833.32402303</v>
      </c>
      <c r="U150" s="278">
        <v>0</v>
      </c>
      <c r="V150" s="278">
        <v>79833.32402303</v>
      </c>
      <c r="W150" s="278">
        <v>159666.64804606</v>
      </c>
      <c r="X150" s="278">
        <v>239499.97206909006</v>
      </c>
      <c r="Y150" s="278">
        <v>319333.29609212</v>
      </c>
      <c r="Z150" s="279">
        <v>399166.62011515006</v>
      </c>
      <c r="AB150" s="282" t="str">
        <f t="shared" si="11"/>
        <v>8Y</v>
      </c>
      <c r="AC150" s="278">
        <f ca="1">IF(ABS(P150-C150)&gt;SnapshotTolerance,1,0)</f>
        <v>0</v>
      </c>
      <c r="AD150" s="278">
        <f ca="1">IF(ABS(Q150-D150)&gt;SnapshotTolerance,1,0)</f>
        <v>0</v>
      </c>
      <c r="AE150" s="278">
        <f ca="1">IF(ABS(R150-E150)&gt;SnapshotTolerance,1,0)</f>
        <v>0</v>
      </c>
      <c r="AF150" s="278">
        <f ca="1">IF(ABS(S150-F150)&gt;SnapshotTolerance,1,0)</f>
        <v>0</v>
      </c>
      <c r="AG150" s="278">
        <f ca="1">IF(ABS(T150-G150)&gt;SnapshotTolerance,1,0)</f>
        <v>0</v>
      </c>
      <c r="AH150" s="278">
        <f ca="1">IF(ABS(U150-H150)&gt;SnapshotTolerance,1,0)</f>
        <v>0</v>
      </c>
      <c r="AI150" s="278">
        <f ca="1">IF(ABS(V150-I150)&gt;SnapshotTolerance,1,0)</f>
        <v>0</v>
      </c>
      <c r="AJ150" s="278">
        <f ca="1">IF(ABS(W150-J150)&gt;SnapshotTolerance,1,0)</f>
        <v>0</v>
      </c>
      <c r="AK150" s="278">
        <f ca="1">IF(ABS(X150-K150)&gt;SnapshotTolerance,1,0)</f>
        <v>0</v>
      </c>
      <c r="AL150" s="278">
        <f ca="1">IF(ABS(Y150-L150)&gt;SnapshotTolerance,1,0)</f>
        <v>0</v>
      </c>
      <c r="AM150" s="279">
        <f ca="1">IF(ABS(Z150-M150)&gt;SnapshotTolerance,1,0)</f>
        <v>0</v>
      </c>
    </row>
    <row r="151" spans="2:39">
      <c r="B151" s="282" t="str">
        <f>'JPY Swap PVs'!M83</f>
        <v>9Y</v>
      </c>
      <c r="C151" s="278">
        <f ca="1">'JPY Swap PVs'!N83</f>
        <v>-445844.23518302292</v>
      </c>
      <c r="D151" s="278">
        <f ca="1">'JPY Swap PVs'!O83</f>
        <v>-356675.3881464185</v>
      </c>
      <c r="E151" s="278">
        <f ca="1">'JPY Swap PVs'!P83</f>
        <v>-267506.54110981378</v>
      </c>
      <c r="F151" s="278">
        <f ca="1">'JPY Swap PVs'!Q83</f>
        <v>-178337.69407320928</v>
      </c>
      <c r="G151" s="278">
        <f ca="1">'JPY Swap PVs'!R83</f>
        <v>-89168.847036604595</v>
      </c>
      <c r="H151" s="278">
        <f ca="1">'JPY Swap PVs'!S83</f>
        <v>0</v>
      </c>
      <c r="I151" s="278">
        <f ca="1">'JPY Swap PVs'!T83</f>
        <v>89168.847036604609</v>
      </c>
      <c r="J151" s="278">
        <f ca="1">'JPY Swap PVs'!U83</f>
        <v>178337.69407320919</v>
      </c>
      <c r="K151" s="278">
        <f ca="1">'JPY Swap PVs'!V83</f>
        <v>267506.54110981378</v>
      </c>
      <c r="L151" s="278">
        <f ca="1">'JPY Swap PVs'!W83</f>
        <v>356675.38814641832</v>
      </c>
      <c r="M151" s="279">
        <f ca="1">'JPY Swap PVs'!X83</f>
        <v>445844.23518302292</v>
      </c>
      <c r="O151" s="282" t="s">
        <v>113</v>
      </c>
      <c r="P151" s="278">
        <v>-445844.23518302292</v>
      </c>
      <c r="Q151" s="278">
        <v>-356675.3881464185</v>
      </c>
      <c r="R151" s="278">
        <v>-267506.54110981378</v>
      </c>
      <c r="S151" s="278">
        <v>-178337.69407320928</v>
      </c>
      <c r="T151" s="278">
        <v>-89168.847036604595</v>
      </c>
      <c r="U151" s="278">
        <v>0</v>
      </c>
      <c r="V151" s="278">
        <v>89168.847036604609</v>
      </c>
      <c r="W151" s="278">
        <v>178337.69407320919</v>
      </c>
      <c r="X151" s="278">
        <v>267506.54110981378</v>
      </c>
      <c r="Y151" s="278">
        <v>356675.38814641832</v>
      </c>
      <c r="Z151" s="279">
        <v>445844.23518302292</v>
      </c>
      <c r="AB151" s="282" t="str">
        <f t="shared" si="11"/>
        <v>9Y</v>
      </c>
      <c r="AC151" s="278">
        <f ca="1">IF(ABS(P151-C151)&gt;SnapshotTolerance,1,0)</f>
        <v>0</v>
      </c>
      <c r="AD151" s="278">
        <f ca="1">IF(ABS(Q151-D151)&gt;SnapshotTolerance,1,0)</f>
        <v>0</v>
      </c>
      <c r="AE151" s="278">
        <f ca="1">IF(ABS(R151-E151)&gt;SnapshotTolerance,1,0)</f>
        <v>0</v>
      </c>
      <c r="AF151" s="278">
        <f ca="1">IF(ABS(S151-F151)&gt;SnapshotTolerance,1,0)</f>
        <v>0</v>
      </c>
      <c r="AG151" s="278">
        <f ca="1">IF(ABS(T151-G151)&gt;SnapshotTolerance,1,0)</f>
        <v>0</v>
      </c>
      <c r="AH151" s="278">
        <f ca="1">IF(ABS(U151-H151)&gt;SnapshotTolerance,1,0)</f>
        <v>0</v>
      </c>
      <c r="AI151" s="278">
        <f ca="1">IF(ABS(V151-I151)&gt;SnapshotTolerance,1,0)</f>
        <v>0</v>
      </c>
      <c r="AJ151" s="278">
        <f ca="1">IF(ABS(W151-J151)&gt;SnapshotTolerance,1,0)</f>
        <v>0</v>
      </c>
      <c r="AK151" s="278">
        <f ca="1">IF(ABS(X151-K151)&gt;SnapshotTolerance,1,0)</f>
        <v>0</v>
      </c>
      <c r="AL151" s="278">
        <f ca="1">IF(ABS(Y151-L151)&gt;SnapshotTolerance,1,0)</f>
        <v>0</v>
      </c>
      <c r="AM151" s="279">
        <f ca="1">IF(ABS(Z151-M151)&gt;SnapshotTolerance,1,0)</f>
        <v>0</v>
      </c>
    </row>
    <row r="152" spans="2:39">
      <c r="B152" s="282" t="str">
        <f>'JPY Swap PVs'!M84</f>
        <v>10Y</v>
      </c>
      <c r="C152" s="278">
        <f ca="1">'JPY Swap PVs'!N84</f>
        <v>-491641.46924409922</v>
      </c>
      <c r="D152" s="278">
        <f ca="1">'JPY Swap PVs'!O84</f>
        <v>-393313.17539527954</v>
      </c>
      <c r="E152" s="278">
        <f ca="1">'JPY Swap PVs'!P84</f>
        <v>-294984.88154645963</v>
      </c>
      <c r="F152" s="278">
        <f ca="1">'JPY Swap PVs'!Q84</f>
        <v>-196656.5876976398</v>
      </c>
      <c r="G152" s="278">
        <f ca="1">'JPY Swap PVs'!R84</f>
        <v>-98328.293848819856</v>
      </c>
      <c r="H152" s="278">
        <f ca="1">'JPY Swap PVs'!S84</f>
        <v>-1.3877787807814457E-11</v>
      </c>
      <c r="I152" s="278">
        <f ca="1">'JPY Swap PVs'!T84</f>
        <v>98328.293848819856</v>
      </c>
      <c r="J152" s="278">
        <f ca="1">'JPY Swap PVs'!U84</f>
        <v>196656.58769763971</v>
      </c>
      <c r="K152" s="278">
        <f ca="1">'JPY Swap PVs'!V84</f>
        <v>294984.88154645963</v>
      </c>
      <c r="L152" s="278">
        <f ca="1">'JPY Swap PVs'!W84</f>
        <v>393313.17539527942</v>
      </c>
      <c r="M152" s="279">
        <f ca="1">'JPY Swap PVs'!X84</f>
        <v>491641.46924409922</v>
      </c>
      <c r="O152" s="282" t="s">
        <v>28</v>
      </c>
      <c r="P152" s="278">
        <v>-491641.46924409922</v>
      </c>
      <c r="Q152" s="278">
        <v>-393313.17539527954</v>
      </c>
      <c r="R152" s="278">
        <v>-294984.88154645963</v>
      </c>
      <c r="S152" s="278">
        <v>-196656.5876976398</v>
      </c>
      <c r="T152" s="278">
        <v>-98328.293848819856</v>
      </c>
      <c r="U152" s="278">
        <v>-1.3877787807814457E-11</v>
      </c>
      <c r="V152" s="278">
        <v>98328.293848819856</v>
      </c>
      <c r="W152" s="278">
        <v>196656.58769763971</v>
      </c>
      <c r="X152" s="278">
        <v>294984.88154645963</v>
      </c>
      <c r="Y152" s="278">
        <v>393313.17539527942</v>
      </c>
      <c r="Z152" s="279">
        <v>491641.46924409922</v>
      </c>
      <c r="AB152" s="282" t="str">
        <f t="shared" si="11"/>
        <v>10Y</v>
      </c>
      <c r="AC152" s="278">
        <f ca="1">IF(ABS(P152-C152)&gt;SnapshotTolerance,1,0)</f>
        <v>0</v>
      </c>
      <c r="AD152" s="278">
        <f ca="1">IF(ABS(Q152-D152)&gt;SnapshotTolerance,1,0)</f>
        <v>0</v>
      </c>
      <c r="AE152" s="278">
        <f ca="1">IF(ABS(R152-E152)&gt;SnapshotTolerance,1,0)</f>
        <v>0</v>
      </c>
      <c r="AF152" s="278">
        <f ca="1">IF(ABS(S152-F152)&gt;SnapshotTolerance,1,0)</f>
        <v>0</v>
      </c>
      <c r="AG152" s="278">
        <f ca="1">IF(ABS(T152-G152)&gt;SnapshotTolerance,1,0)</f>
        <v>0</v>
      </c>
      <c r="AH152" s="278">
        <f ca="1">IF(ABS(U152-H152)&gt;SnapshotTolerance,1,0)</f>
        <v>0</v>
      </c>
      <c r="AI152" s="278">
        <f ca="1">IF(ABS(V152-I152)&gt;SnapshotTolerance,1,0)</f>
        <v>0</v>
      </c>
      <c r="AJ152" s="278">
        <f ca="1">IF(ABS(W152-J152)&gt;SnapshotTolerance,1,0)</f>
        <v>0</v>
      </c>
      <c r="AK152" s="278">
        <f ca="1">IF(ABS(X152-K152)&gt;SnapshotTolerance,1,0)</f>
        <v>0</v>
      </c>
      <c r="AL152" s="278">
        <f ca="1">IF(ABS(Y152-L152)&gt;SnapshotTolerance,1,0)</f>
        <v>0</v>
      </c>
      <c r="AM152" s="279">
        <f ca="1">IF(ABS(Z152-M152)&gt;SnapshotTolerance,1,0)</f>
        <v>0</v>
      </c>
    </row>
    <row r="153" spans="2:39">
      <c r="B153" s="282" t="str">
        <f>'JPY Swap PVs'!M85</f>
        <v>12Y</v>
      </c>
      <c r="C153" s="278">
        <f ca="1">'JPY Swap PVs'!N85</f>
        <v>-580132.46295708523</v>
      </c>
      <c r="D153" s="278">
        <f ca="1">'JPY Swap PVs'!O85</f>
        <v>-464105.97036566836</v>
      </c>
      <c r="E153" s="278">
        <f ca="1">'JPY Swap PVs'!P85</f>
        <v>-348079.47777425119</v>
      </c>
      <c r="F153" s="278">
        <f ca="1">'JPY Swap PVs'!Q85</f>
        <v>-232052.98518283424</v>
      </c>
      <c r="G153" s="278">
        <f ca="1">'JPY Swap PVs'!R85</f>
        <v>-116026.49259141712</v>
      </c>
      <c r="H153" s="278">
        <f ca="1">'JPY Swap PVs'!S85</f>
        <v>0</v>
      </c>
      <c r="I153" s="278">
        <f ca="1">'JPY Swap PVs'!T85</f>
        <v>116026.49259141709</v>
      </c>
      <c r="J153" s="278">
        <f ca="1">'JPY Swap PVs'!U85</f>
        <v>232052.98518283418</v>
      </c>
      <c r="K153" s="278">
        <f ca="1">'JPY Swap PVs'!V85</f>
        <v>348079.47777425125</v>
      </c>
      <c r="L153" s="278">
        <f ca="1">'JPY Swap PVs'!W85</f>
        <v>464105.97036566824</v>
      </c>
      <c r="M153" s="279">
        <f ca="1">'JPY Swap PVs'!X85</f>
        <v>580132.46295708546</v>
      </c>
      <c r="O153" s="282" t="s">
        <v>26</v>
      </c>
      <c r="P153" s="278">
        <v>-580132.46295708523</v>
      </c>
      <c r="Q153" s="278">
        <v>-464105.97036566836</v>
      </c>
      <c r="R153" s="278">
        <v>-348079.47777425119</v>
      </c>
      <c r="S153" s="278">
        <v>-232052.98518283424</v>
      </c>
      <c r="T153" s="278">
        <v>-116026.49259141712</v>
      </c>
      <c r="U153" s="278">
        <v>0</v>
      </c>
      <c r="V153" s="278">
        <v>116026.49259141709</v>
      </c>
      <c r="W153" s="278">
        <v>232052.98518283418</v>
      </c>
      <c r="X153" s="278">
        <v>348079.47777425125</v>
      </c>
      <c r="Y153" s="278">
        <v>464105.97036566824</v>
      </c>
      <c r="Z153" s="279">
        <v>580132.46295708546</v>
      </c>
      <c r="AB153" s="282" t="str">
        <f t="shared" si="11"/>
        <v>12Y</v>
      </c>
      <c r="AC153" s="278">
        <f ca="1">IF(ABS(P153-C153)&gt;SnapshotTolerance,1,0)</f>
        <v>0</v>
      </c>
      <c r="AD153" s="278">
        <f ca="1">IF(ABS(Q153-D153)&gt;SnapshotTolerance,1,0)</f>
        <v>0</v>
      </c>
      <c r="AE153" s="278">
        <f ca="1">IF(ABS(R153-E153)&gt;SnapshotTolerance,1,0)</f>
        <v>0</v>
      </c>
      <c r="AF153" s="278">
        <f ca="1">IF(ABS(S153-F153)&gt;SnapshotTolerance,1,0)</f>
        <v>0</v>
      </c>
      <c r="AG153" s="278">
        <f ca="1">IF(ABS(T153-G153)&gt;SnapshotTolerance,1,0)</f>
        <v>0</v>
      </c>
      <c r="AH153" s="278">
        <f ca="1">IF(ABS(U153-H153)&gt;SnapshotTolerance,1,0)</f>
        <v>0</v>
      </c>
      <c r="AI153" s="278">
        <f ca="1">IF(ABS(V153-I153)&gt;SnapshotTolerance,1,0)</f>
        <v>0</v>
      </c>
      <c r="AJ153" s="278">
        <f ca="1">IF(ABS(W153-J153)&gt;SnapshotTolerance,1,0)</f>
        <v>0</v>
      </c>
      <c r="AK153" s="278">
        <f ca="1">IF(ABS(X153-K153)&gt;SnapshotTolerance,1,0)</f>
        <v>0</v>
      </c>
      <c r="AL153" s="278">
        <f ca="1">IF(ABS(Y153-L153)&gt;SnapshotTolerance,1,0)</f>
        <v>0</v>
      </c>
      <c r="AM153" s="279">
        <f ca="1">IF(ABS(Z153-M153)&gt;SnapshotTolerance,1,0)</f>
        <v>0</v>
      </c>
    </row>
    <row r="154" spans="2:39">
      <c r="B154" s="282" t="str">
        <f>'JPY Swap PVs'!M86</f>
        <v>15Y</v>
      </c>
      <c r="C154" s="278">
        <f ca="1">'JPY Swap PVs'!N86</f>
        <v>-705375.04990592063</v>
      </c>
      <c r="D154" s="278">
        <f ca="1">'JPY Swap PVs'!O86</f>
        <v>-564300.03992473683</v>
      </c>
      <c r="E154" s="278">
        <f ca="1">'JPY Swap PVs'!P86</f>
        <v>-423225.02994355239</v>
      </c>
      <c r="F154" s="278">
        <f ca="1">'JPY Swap PVs'!Q86</f>
        <v>-282150.01996236842</v>
      </c>
      <c r="G154" s="278">
        <f ca="1">'JPY Swap PVs'!R86</f>
        <v>-141075.00998118418</v>
      </c>
      <c r="H154" s="278">
        <f ca="1">'JPY Swap PVs'!S86</f>
        <v>-2.7755575615628914E-11</v>
      </c>
      <c r="I154" s="278">
        <f ca="1">'JPY Swap PVs'!T86</f>
        <v>141075.00998118418</v>
      </c>
      <c r="J154" s="278">
        <f ca="1">'JPY Swap PVs'!U86</f>
        <v>282150.01996236836</v>
      </c>
      <c r="K154" s="278">
        <f ca="1">'JPY Swap PVs'!V86</f>
        <v>423225.02994355262</v>
      </c>
      <c r="L154" s="278">
        <f ca="1">'JPY Swap PVs'!W86</f>
        <v>564300.0399247366</v>
      </c>
      <c r="M154" s="279">
        <f ca="1">'JPY Swap PVs'!X86</f>
        <v>705375.04990592098</v>
      </c>
      <c r="O154" s="282" t="s">
        <v>24</v>
      </c>
      <c r="P154" s="278">
        <v>-705375.04990592063</v>
      </c>
      <c r="Q154" s="278">
        <v>-564300.03992473683</v>
      </c>
      <c r="R154" s="278">
        <v>-423225.02994355239</v>
      </c>
      <c r="S154" s="278">
        <v>-282150.01996236842</v>
      </c>
      <c r="T154" s="278">
        <v>-141075.00998118418</v>
      </c>
      <c r="U154" s="278">
        <v>-2.7755575615628914E-11</v>
      </c>
      <c r="V154" s="278">
        <v>141075.00998118418</v>
      </c>
      <c r="W154" s="278">
        <v>282150.01996236836</v>
      </c>
      <c r="X154" s="278">
        <v>423225.02994355262</v>
      </c>
      <c r="Y154" s="278">
        <v>564300.0399247366</v>
      </c>
      <c r="Z154" s="279">
        <v>705375.04990592098</v>
      </c>
      <c r="AB154" s="282" t="str">
        <f t="shared" si="11"/>
        <v>15Y</v>
      </c>
      <c r="AC154" s="278">
        <f ca="1">IF(ABS(P154-C154)&gt;SnapshotTolerance,1,0)</f>
        <v>0</v>
      </c>
      <c r="AD154" s="278">
        <f ca="1">IF(ABS(Q154-D154)&gt;SnapshotTolerance,1,0)</f>
        <v>0</v>
      </c>
      <c r="AE154" s="278">
        <f ca="1">IF(ABS(R154-E154)&gt;SnapshotTolerance,1,0)</f>
        <v>0</v>
      </c>
      <c r="AF154" s="278">
        <f ca="1">IF(ABS(S154-F154)&gt;SnapshotTolerance,1,0)</f>
        <v>0</v>
      </c>
      <c r="AG154" s="278">
        <f ca="1">IF(ABS(T154-G154)&gt;SnapshotTolerance,1,0)</f>
        <v>0</v>
      </c>
      <c r="AH154" s="278">
        <f ca="1">IF(ABS(U154-H154)&gt;SnapshotTolerance,1,0)</f>
        <v>0</v>
      </c>
      <c r="AI154" s="278">
        <f ca="1">IF(ABS(V154-I154)&gt;SnapshotTolerance,1,0)</f>
        <v>0</v>
      </c>
      <c r="AJ154" s="278">
        <f ca="1">IF(ABS(W154-J154)&gt;SnapshotTolerance,1,0)</f>
        <v>0</v>
      </c>
      <c r="AK154" s="278">
        <f ca="1">IF(ABS(X154-K154)&gt;SnapshotTolerance,1,0)</f>
        <v>0</v>
      </c>
      <c r="AL154" s="278">
        <f ca="1">IF(ABS(Y154-L154)&gt;SnapshotTolerance,1,0)</f>
        <v>0</v>
      </c>
      <c r="AM154" s="279">
        <f ca="1">IF(ABS(Z154-M154)&gt;SnapshotTolerance,1,0)</f>
        <v>0</v>
      </c>
    </row>
    <row r="155" spans="2:39">
      <c r="B155" s="282" t="str">
        <f>'JPY Swap PVs'!M87</f>
        <v>20Y</v>
      </c>
      <c r="C155" s="278">
        <f ca="1">'JPY Swap PVs'!N87</f>
        <v>-895612.9666641826</v>
      </c>
      <c r="D155" s="278">
        <f ca="1">'JPY Swap PVs'!O87</f>
        <v>-716490.37333134655</v>
      </c>
      <c r="E155" s="278">
        <f ca="1">'JPY Swap PVs'!P87</f>
        <v>-537367.77999850968</v>
      </c>
      <c r="F155" s="278">
        <f ca="1">'JPY Swap PVs'!Q87</f>
        <v>-358245.18666567316</v>
      </c>
      <c r="G155" s="278">
        <f ca="1">'JPY Swap PVs'!R87</f>
        <v>-179122.59333283658</v>
      </c>
      <c r="H155" s="278">
        <f ca="1">'JPY Swap PVs'!S87</f>
        <v>0</v>
      </c>
      <c r="I155" s="278">
        <f ca="1">'JPY Swap PVs'!T87</f>
        <v>179122.5933328367</v>
      </c>
      <c r="J155" s="278">
        <f ca="1">'JPY Swap PVs'!U87</f>
        <v>358245.18666567327</v>
      </c>
      <c r="K155" s="278">
        <f ca="1">'JPY Swap PVs'!V87</f>
        <v>537367.77999850991</v>
      </c>
      <c r="L155" s="278">
        <f ca="1">'JPY Swap PVs'!W87</f>
        <v>716490.37333134632</v>
      </c>
      <c r="M155" s="279">
        <f ca="1">'JPY Swap PVs'!X87</f>
        <v>895612.96666418319</v>
      </c>
      <c r="O155" s="282" t="s">
        <v>20</v>
      </c>
      <c r="P155" s="278">
        <v>-895612.9666641826</v>
      </c>
      <c r="Q155" s="278">
        <v>-716490.37333134655</v>
      </c>
      <c r="R155" s="278">
        <v>-537367.77999850968</v>
      </c>
      <c r="S155" s="278">
        <v>-358245.18666567316</v>
      </c>
      <c r="T155" s="278">
        <v>-179122.59333283658</v>
      </c>
      <c r="U155" s="278">
        <v>0</v>
      </c>
      <c r="V155" s="278">
        <v>179122.5933328367</v>
      </c>
      <c r="W155" s="278">
        <v>358245.18666567327</v>
      </c>
      <c r="X155" s="278">
        <v>537367.77999850991</v>
      </c>
      <c r="Y155" s="278">
        <v>716490.37333134632</v>
      </c>
      <c r="Z155" s="279">
        <v>895612.96666418319</v>
      </c>
      <c r="AB155" s="282" t="str">
        <f t="shared" si="11"/>
        <v>20Y</v>
      </c>
      <c r="AC155" s="278">
        <f ca="1">IF(ABS(P155-C155)&gt;SnapshotTolerance,1,0)</f>
        <v>0</v>
      </c>
      <c r="AD155" s="278">
        <f ca="1">IF(ABS(Q155-D155)&gt;SnapshotTolerance,1,0)</f>
        <v>0</v>
      </c>
      <c r="AE155" s="278">
        <f ca="1">IF(ABS(R155-E155)&gt;SnapshotTolerance,1,0)</f>
        <v>0</v>
      </c>
      <c r="AF155" s="278">
        <f ca="1">IF(ABS(S155-F155)&gt;SnapshotTolerance,1,0)</f>
        <v>0</v>
      </c>
      <c r="AG155" s="278">
        <f ca="1">IF(ABS(T155-G155)&gt;SnapshotTolerance,1,0)</f>
        <v>0</v>
      </c>
      <c r="AH155" s="278">
        <f ca="1">IF(ABS(U155-H155)&gt;SnapshotTolerance,1,0)</f>
        <v>0</v>
      </c>
      <c r="AI155" s="278">
        <f ca="1">IF(ABS(V155-I155)&gt;SnapshotTolerance,1,0)</f>
        <v>0</v>
      </c>
      <c r="AJ155" s="278">
        <f ca="1">IF(ABS(W155-J155)&gt;SnapshotTolerance,1,0)</f>
        <v>0</v>
      </c>
      <c r="AK155" s="278">
        <f ca="1">IF(ABS(X155-K155)&gt;SnapshotTolerance,1,0)</f>
        <v>0</v>
      </c>
      <c r="AL155" s="278">
        <f ca="1">IF(ABS(Y155-L155)&gt;SnapshotTolerance,1,0)</f>
        <v>0</v>
      </c>
      <c r="AM155" s="279">
        <f ca="1">IF(ABS(Z155-M155)&gt;SnapshotTolerance,1,0)</f>
        <v>0</v>
      </c>
    </row>
    <row r="156" spans="2:39">
      <c r="B156" s="282" t="str">
        <f>'JPY Swap PVs'!M88</f>
        <v>25Y</v>
      </c>
      <c r="C156" s="278">
        <f ca="1">'JPY Swap PVs'!N88</f>
        <v>-1067055.5709118785</v>
      </c>
      <c r="D156" s="278">
        <f ca="1">'JPY Swap PVs'!O88</f>
        <v>-853644.45672950312</v>
      </c>
      <c r="E156" s="278">
        <f ca="1">'JPY Swap PVs'!P88</f>
        <v>-640233.34254712728</v>
      </c>
      <c r="F156" s="278">
        <f ca="1">'JPY Swap PVs'!Q88</f>
        <v>-426822.22836475162</v>
      </c>
      <c r="G156" s="278">
        <f ca="1">'JPY Swap PVs'!R88</f>
        <v>-213411.11418237581</v>
      </c>
      <c r="H156" s="278">
        <f ca="1">'JPY Swap PVs'!S88</f>
        <v>0</v>
      </c>
      <c r="I156" s="278">
        <f ca="1">'JPY Swap PVs'!T88</f>
        <v>213411.11418237592</v>
      </c>
      <c r="J156" s="278">
        <f ca="1">'JPY Swap PVs'!U88</f>
        <v>426822.22836475179</v>
      </c>
      <c r="K156" s="278">
        <f ca="1">'JPY Swap PVs'!V88</f>
        <v>640233.34254712763</v>
      </c>
      <c r="L156" s="278">
        <f ca="1">'JPY Swap PVs'!W88</f>
        <v>853644.45672950323</v>
      </c>
      <c r="M156" s="279">
        <f ca="1">'JPY Swap PVs'!X88</f>
        <v>1067055.5709118794</v>
      </c>
      <c r="O156" s="282" t="s">
        <v>18</v>
      </c>
      <c r="P156" s="278">
        <v>-1067055.5709118785</v>
      </c>
      <c r="Q156" s="278">
        <v>-853644.45672950312</v>
      </c>
      <c r="R156" s="278">
        <v>-640233.34254712728</v>
      </c>
      <c r="S156" s="278">
        <v>-426822.22836475162</v>
      </c>
      <c r="T156" s="278">
        <v>-213411.11418237581</v>
      </c>
      <c r="U156" s="278">
        <v>0</v>
      </c>
      <c r="V156" s="278">
        <v>213411.11418237592</v>
      </c>
      <c r="W156" s="278">
        <v>426822.22836475179</v>
      </c>
      <c r="X156" s="278">
        <v>640233.34254712763</v>
      </c>
      <c r="Y156" s="278">
        <v>853644.45672950323</v>
      </c>
      <c r="Z156" s="279">
        <v>1067055.5709118794</v>
      </c>
      <c r="AB156" s="282" t="str">
        <f t="shared" si="11"/>
        <v>25Y</v>
      </c>
      <c r="AC156" s="278">
        <f ca="1">IF(ABS(P156-C156)&gt;SnapshotTolerance,1,0)</f>
        <v>0</v>
      </c>
      <c r="AD156" s="278">
        <f ca="1">IF(ABS(Q156-D156)&gt;SnapshotTolerance,1,0)</f>
        <v>0</v>
      </c>
      <c r="AE156" s="278">
        <f ca="1">IF(ABS(R156-E156)&gt;SnapshotTolerance,1,0)</f>
        <v>0</v>
      </c>
      <c r="AF156" s="278">
        <f ca="1">IF(ABS(S156-F156)&gt;SnapshotTolerance,1,0)</f>
        <v>0</v>
      </c>
      <c r="AG156" s="278">
        <f ca="1">IF(ABS(T156-G156)&gt;SnapshotTolerance,1,0)</f>
        <v>0</v>
      </c>
      <c r="AH156" s="278">
        <f ca="1">IF(ABS(U156-H156)&gt;SnapshotTolerance,1,0)</f>
        <v>0</v>
      </c>
      <c r="AI156" s="278">
        <f ca="1">IF(ABS(V156-I156)&gt;SnapshotTolerance,1,0)</f>
        <v>0</v>
      </c>
      <c r="AJ156" s="278">
        <f ca="1">IF(ABS(W156-J156)&gt;SnapshotTolerance,1,0)</f>
        <v>0</v>
      </c>
      <c r="AK156" s="278">
        <f ca="1">IF(ABS(X156-K156)&gt;SnapshotTolerance,1,0)</f>
        <v>0</v>
      </c>
      <c r="AL156" s="278">
        <f ca="1">IF(ABS(Y156-L156)&gt;SnapshotTolerance,1,0)</f>
        <v>0</v>
      </c>
      <c r="AM156" s="279">
        <f ca="1">IF(ABS(Z156-M156)&gt;SnapshotTolerance,1,0)</f>
        <v>0</v>
      </c>
    </row>
    <row r="157" spans="2:39">
      <c r="B157" s="282" t="str">
        <f>'JPY Swap PVs'!M89</f>
        <v>30Y</v>
      </c>
      <c r="C157" s="278">
        <f ca="1">'JPY Swap PVs'!N89</f>
        <v>-1223051.9604093432</v>
      </c>
      <c r="D157" s="278">
        <f ca="1">'JPY Swap PVs'!O89</f>
        <v>-978441.56832747499</v>
      </c>
      <c r="E157" s="278">
        <f ca="1">'JPY Swap PVs'!P89</f>
        <v>-733831.1762456065</v>
      </c>
      <c r="F157" s="278">
        <f ca="1">'JPY Swap PVs'!Q89</f>
        <v>-489220.78416373755</v>
      </c>
      <c r="G157" s="278">
        <f ca="1">'JPY Swap PVs'!R89</f>
        <v>-244610.39208186869</v>
      </c>
      <c r="H157" s="278">
        <f ca="1">'JPY Swap PVs'!S89</f>
        <v>0</v>
      </c>
      <c r="I157" s="278">
        <f ca="1">'JPY Swap PVs'!T89</f>
        <v>244610.39208186892</v>
      </c>
      <c r="J157" s="278">
        <f ca="1">'JPY Swap PVs'!U89</f>
        <v>489220.78416373773</v>
      </c>
      <c r="K157" s="278">
        <f ca="1">'JPY Swap PVs'!V89</f>
        <v>733831.17624560662</v>
      </c>
      <c r="L157" s="278">
        <f ca="1">'JPY Swap PVs'!W89</f>
        <v>978441.56832747499</v>
      </c>
      <c r="M157" s="279">
        <f ca="1">'JPY Swap PVs'!X89</f>
        <v>1223051.9604093444</v>
      </c>
      <c r="O157" s="282" t="s">
        <v>17</v>
      </c>
      <c r="P157" s="278">
        <v>-1223051.9604093432</v>
      </c>
      <c r="Q157" s="278">
        <v>-978441.56832747499</v>
      </c>
      <c r="R157" s="278">
        <v>-733831.1762456065</v>
      </c>
      <c r="S157" s="278">
        <v>-489220.78416373755</v>
      </c>
      <c r="T157" s="278">
        <v>-244610.39208186869</v>
      </c>
      <c r="U157" s="278">
        <v>0</v>
      </c>
      <c r="V157" s="278">
        <v>244610.39208186892</v>
      </c>
      <c r="W157" s="278">
        <v>489220.78416373773</v>
      </c>
      <c r="X157" s="278">
        <v>733831.17624560662</v>
      </c>
      <c r="Y157" s="278">
        <v>978441.56832747499</v>
      </c>
      <c r="Z157" s="279">
        <v>1223051.9604093444</v>
      </c>
      <c r="AB157" s="282" t="str">
        <f t="shared" si="11"/>
        <v>30Y</v>
      </c>
      <c r="AC157" s="278">
        <f ca="1">IF(ABS(P157-C157)&gt;SnapshotTolerance,1,0)</f>
        <v>0</v>
      </c>
      <c r="AD157" s="278">
        <f ca="1">IF(ABS(Q157-D157)&gt;SnapshotTolerance,1,0)</f>
        <v>0</v>
      </c>
      <c r="AE157" s="278">
        <f ca="1">IF(ABS(R157-E157)&gt;SnapshotTolerance,1,0)</f>
        <v>0</v>
      </c>
      <c r="AF157" s="278">
        <f ca="1">IF(ABS(S157-F157)&gt;SnapshotTolerance,1,0)</f>
        <v>0</v>
      </c>
      <c r="AG157" s="278">
        <f ca="1">IF(ABS(T157-G157)&gt;SnapshotTolerance,1,0)</f>
        <v>0</v>
      </c>
      <c r="AH157" s="278">
        <f ca="1">IF(ABS(U157-H157)&gt;SnapshotTolerance,1,0)</f>
        <v>0</v>
      </c>
      <c r="AI157" s="278">
        <f ca="1">IF(ABS(V157-I157)&gt;SnapshotTolerance,1,0)</f>
        <v>0</v>
      </c>
      <c r="AJ157" s="278">
        <f ca="1">IF(ABS(W157-J157)&gt;SnapshotTolerance,1,0)</f>
        <v>0</v>
      </c>
      <c r="AK157" s="278">
        <f ca="1">IF(ABS(X157-K157)&gt;SnapshotTolerance,1,0)</f>
        <v>0</v>
      </c>
      <c r="AL157" s="278">
        <f ca="1">IF(ABS(Y157-L157)&gt;SnapshotTolerance,1,0)</f>
        <v>0</v>
      </c>
      <c r="AM157" s="279">
        <f ca="1">IF(ABS(Z157-M157)&gt;SnapshotTolerance,1,0)</f>
        <v>0</v>
      </c>
    </row>
    <row r="158" spans="2:39">
      <c r="B158" s="282" t="str">
        <f>'JPY Swap PVs'!M90</f>
        <v>35Y</v>
      </c>
      <c r="C158" s="278">
        <f ca="1">'JPY Swap PVs'!N90</f>
        <v>-1366543.0648706765</v>
      </c>
      <c r="D158" s="278">
        <f ca="1">'JPY Swap PVs'!O90</f>
        <v>-1093234.4518965422</v>
      </c>
      <c r="E158" s="278">
        <f ca="1">'JPY Swap PVs'!P90</f>
        <v>-819925.83892240631</v>
      </c>
      <c r="F158" s="278">
        <f ca="1">'JPY Swap PVs'!Q90</f>
        <v>-546617.22594827123</v>
      </c>
      <c r="G158" s="278">
        <f ca="1">'JPY Swap PVs'!R90</f>
        <v>-273308.61297413567</v>
      </c>
      <c r="H158" s="278">
        <f ca="1">'JPY Swap PVs'!S90</f>
        <v>-5.5511151231257827E-11</v>
      </c>
      <c r="I158" s="278">
        <f ca="1">'JPY Swap PVs'!T90</f>
        <v>273308.6129741355</v>
      </c>
      <c r="J158" s="278">
        <f ca="1">'JPY Swap PVs'!U90</f>
        <v>546617.22594827099</v>
      </c>
      <c r="K158" s="278">
        <f ca="1">'JPY Swap PVs'!V90</f>
        <v>819925.83892240643</v>
      </c>
      <c r="L158" s="278">
        <f ca="1">'JPY Swap PVs'!W90</f>
        <v>1093234.4518965418</v>
      </c>
      <c r="M158" s="279">
        <f ca="1">'JPY Swap PVs'!X90</f>
        <v>1366543.0648706774</v>
      </c>
      <c r="O158" s="282" t="s">
        <v>16</v>
      </c>
      <c r="P158" s="278">
        <v>-1366543.0648706765</v>
      </c>
      <c r="Q158" s="278">
        <v>-1093234.4518965422</v>
      </c>
      <c r="R158" s="278">
        <v>-819925.83892240631</v>
      </c>
      <c r="S158" s="278">
        <v>-546617.22594827123</v>
      </c>
      <c r="T158" s="278">
        <v>-273308.61297413567</v>
      </c>
      <c r="U158" s="278">
        <v>-5.5511151231257827E-11</v>
      </c>
      <c r="V158" s="278">
        <v>273308.6129741355</v>
      </c>
      <c r="W158" s="278">
        <v>546617.22594827099</v>
      </c>
      <c r="X158" s="278">
        <v>819925.83892240643</v>
      </c>
      <c r="Y158" s="278">
        <v>1093234.4518965418</v>
      </c>
      <c r="Z158" s="279">
        <v>1366543.0648706774</v>
      </c>
      <c r="AB158" s="282" t="str">
        <f t="shared" si="11"/>
        <v>35Y</v>
      </c>
      <c r="AC158" s="278">
        <f ca="1">IF(ABS(P158-C158)&gt;SnapshotTolerance,1,0)</f>
        <v>0</v>
      </c>
      <c r="AD158" s="278">
        <f ca="1">IF(ABS(Q158-D158)&gt;SnapshotTolerance,1,0)</f>
        <v>0</v>
      </c>
      <c r="AE158" s="278">
        <f ca="1">IF(ABS(R158-E158)&gt;SnapshotTolerance,1,0)</f>
        <v>0</v>
      </c>
      <c r="AF158" s="278">
        <f ca="1">IF(ABS(S158-F158)&gt;SnapshotTolerance,1,0)</f>
        <v>0</v>
      </c>
      <c r="AG158" s="278">
        <f ca="1">IF(ABS(T158-G158)&gt;SnapshotTolerance,1,0)</f>
        <v>0</v>
      </c>
      <c r="AH158" s="278">
        <f ca="1">IF(ABS(U158-H158)&gt;SnapshotTolerance,1,0)</f>
        <v>0</v>
      </c>
      <c r="AI158" s="278">
        <f ca="1">IF(ABS(V158-I158)&gt;SnapshotTolerance,1,0)</f>
        <v>0</v>
      </c>
      <c r="AJ158" s="278">
        <f ca="1">IF(ABS(W158-J158)&gt;SnapshotTolerance,1,0)</f>
        <v>0</v>
      </c>
      <c r="AK158" s="278">
        <f ca="1">IF(ABS(X158-K158)&gt;SnapshotTolerance,1,0)</f>
        <v>0</v>
      </c>
      <c r="AL158" s="278">
        <f ca="1">IF(ABS(Y158-L158)&gt;SnapshotTolerance,1,0)</f>
        <v>0</v>
      </c>
      <c r="AM158" s="279">
        <f ca="1">IF(ABS(Z158-M158)&gt;SnapshotTolerance,1,0)</f>
        <v>0</v>
      </c>
    </row>
    <row r="159" spans="2:39">
      <c r="B159" s="282" t="str">
        <f>'JPY Swap PVs'!M91</f>
        <v>40Y</v>
      </c>
      <c r="C159" s="278">
        <f ca="1">'JPY Swap PVs'!N91</f>
        <v>-1499145.7303461705</v>
      </c>
      <c r="D159" s="278">
        <f ca="1">'JPY Swap PVs'!O91</f>
        <v>-1199316.5842769372</v>
      </c>
      <c r="E159" s="278">
        <f ca="1">'JPY Swap PVs'!P91</f>
        <v>-899487.43820770283</v>
      </c>
      <c r="F159" s="278">
        <f ca="1">'JPY Swap PVs'!Q91</f>
        <v>-599658.29213846894</v>
      </c>
      <c r="G159" s="278">
        <f ca="1">'JPY Swap PVs'!R91</f>
        <v>-299829.14606923447</v>
      </c>
      <c r="H159" s="278">
        <f ca="1">'JPY Swap PVs'!S91</f>
        <v>0</v>
      </c>
      <c r="I159" s="278">
        <f ca="1">'JPY Swap PVs'!T91</f>
        <v>299829.1460692343</v>
      </c>
      <c r="J159" s="278">
        <f ca="1">'JPY Swap PVs'!U91</f>
        <v>599658.29213846847</v>
      </c>
      <c r="K159" s="278">
        <f ca="1">'JPY Swap PVs'!V91</f>
        <v>899487.43820770271</v>
      </c>
      <c r="L159" s="278">
        <f ca="1">'JPY Swap PVs'!W91</f>
        <v>1199316.5842769367</v>
      </c>
      <c r="M159" s="279">
        <f ca="1">'JPY Swap PVs'!X91</f>
        <v>1499145.7303461712</v>
      </c>
      <c r="O159" s="282" t="s">
        <v>15</v>
      </c>
      <c r="P159" s="278">
        <v>-1499145.7303461705</v>
      </c>
      <c r="Q159" s="278">
        <v>-1199316.5842769372</v>
      </c>
      <c r="R159" s="278">
        <v>-899487.43820770283</v>
      </c>
      <c r="S159" s="278">
        <v>-599658.29213846894</v>
      </c>
      <c r="T159" s="278">
        <v>-299829.14606923447</v>
      </c>
      <c r="U159" s="278">
        <v>0</v>
      </c>
      <c r="V159" s="278">
        <v>299829.1460692343</v>
      </c>
      <c r="W159" s="278">
        <v>599658.29213846847</v>
      </c>
      <c r="X159" s="278">
        <v>899487.43820770271</v>
      </c>
      <c r="Y159" s="278">
        <v>1199316.5842769367</v>
      </c>
      <c r="Z159" s="279">
        <v>1499145.7303461712</v>
      </c>
      <c r="AB159" s="282" t="str">
        <f t="shared" si="11"/>
        <v>40Y</v>
      </c>
      <c r="AC159" s="278">
        <f ca="1">IF(ABS(P159-C159)&gt;SnapshotTolerance,1,0)</f>
        <v>0</v>
      </c>
      <c r="AD159" s="278">
        <f ca="1">IF(ABS(Q159-D159)&gt;SnapshotTolerance,1,0)</f>
        <v>0</v>
      </c>
      <c r="AE159" s="278">
        <f ca="1">IF(ABS(R159-E159)&gt;SnapshotTolerance,1,0)</f>
        <v>0</v>
      </c>
      <c r="AF159" s="278">
        <f ca="1">IF(ABS(S159-F159)&gt;SnapshotTolerance,1,0)</f>
        <v>0</v>
      </c>
      <c r="AG159" s="278">
        <f ca="1">IF(ABS(T159-G159)&gt;SnapshotTolerance,1,0)</f>
        <v>0</v>
      </c>
      <c r="AH159" s="278">
        <f ca="1">IF(ABS(U159-H159)&gt;SnapshotTolerance,1,0)</f>
        <v>0</v>
      </c>
      <c r="AI159" s="278">
        <f ca="1">IF(ABS(V159-I159)&gt;SnapshotTolerance,1,0)</f>
        <v>0</v>
      </c>
      <c r="AJ159" s="278">
        <f ca="1">IF(ABS(W159-J159)&gt;SnapshotTolerance,1,0)</f>
        <v>0</v>
      </c>
      <c r="AK159" s="278">
        <f ca="1">IF(ABS(X159-K159)&gt;SnapshotTolerance,1,0)</f>
        <v>0</v>
      </c>
      <c r="AL159" s="278">
        <f ca="1">IF(ABS(Y159-L159)&gt;SnapshotTolerance,1,0)</f>
        <v>0</v>
      </c>
      <c r="AM159" s="279">
        <f ca="1">IF(ABS(Z159-M159)&gt;SnapshotTolerance,1,0)</f>
        <v>0</v>
      </c>
    </row>
    <row r="160" spans="2:39">
      <c r="B160" s="282"/>
      <c r="C160" s="278"/>
      <c r="D160" s="278"/>
      <c r="E160" s="278"/>
      <c r="F160" s="278"/>
      <c r="G160" s="278"/>
      <c r="H160" s="278"/>
      <c r="I160" s="278"/>
      <c r="J160" s="278"/>
      <c r="K160" s="278"/>
      <c r="L160" s="278"/>
      <c r="M160" s="279"/>
      <c r="O160" s="282"/>
      <c r="P160" s="278"/>
      <c r="Q160" s="278"/>
      <c r="R160" s="278"/>
      <c r="S160" s="278"/>
      <c r="T160" s="278"/>
      <c r="U160" s="278"/>
      <c r="V160" s="278"/>
      <c r="W160" s="278"/>
      <c r="X160" s="278"/>
      <c r="Y160" s="278"/>
      <c r="Z160" s="279"/>
      <c r="AB160" s="282"/>
      <c r="AC160" s="278"/>
      <c r="AD160" s="278"/>
      <c r="AE160" s="278"/>
      <c r="AF160" s="278"/>
      <c r="AG160" s="278"/>
      <c r="AH160" s="278"/>
      <c r="AI160" s="278"/>
      <c r="AJ160" s="278"/>
      <c r="AK160" s="278"/>
      <c r="AL160" s="278"/>
      <c r="AM160" s="279"/>
    </row>
    <row r="161" spans="2:39">
      <c r="B161" s="282"/>
      <c r="C161" s="278"/>
      <c r="D161" s="278"/>
      <c r="E161" s="278"/>
      <c r="F161" s="278"/>
      <c r="G161" s="278"/>
      <c r="H161" s="278"/>
      <c r="I161" s="278"/>
      <c r="J161" s="278"/>
      <c r="K161" s="278"/>
      <c r="L161" s="278"/>
      <c r="M161" s="279"/>
      <c r="O161" s="282"/>
      <c r="P161" s="278"/>
      <c r="Q161" s="278"/>
      <c r="R161" s="278"/>
      <c r="S161" s="278"/>
      <c r="T161" s="278"/>
      <c r="U161" s="278"/>
      <c r="V161" s="278"/>
      <c r="W161" s="278"/>
      <c r="X161" s="278"/>
      <c r="Y161" s="278"/>
      <c r="Z161" s="279"/>
      <c r="AB161" s="282"/>
      <c r="AC161" s="278"/>
      <c r="AD161" s="278"/>
      <c r="AE161" s="278"/>
      <c r="AF161" s="278"/>
      <c r="AG161" s="278"/>
      <c r="AH161" s="278"/>
      <c r="AI161" s="278"/>
      <c r="AJ161" s="278"/>
      <c r="AK161" s="278"/>
      <c r="AL161" s="278"/>
      <c r="AM161" s="279"/>
    </row>
    <row r="162" spans="2:39">
      <c r="B162" s="282"/>
      <c r="C162" s="278"/>
      <c r="D162" s="278"/>
      <c r="E162" s="278"/>
      <c r="F162" s="278"/>
      <c r="G162" s="278"/>
      <c r="H162" s="278"/>
      <c r="I162" s="278"/>
      <c r="J162" s="278"/>
      <c r="K162" s="278"/>
      <c r="L162" s="278"/>
      <c r="M162" s="279"/>
      <c r="O162" s="282"/>
      <c r="P162" s="278"/>
      <c r="Q162" s="278"/>
      <c r="R162" s="278"/>
      <c r="S162" s="278"/>
      <c r="T162" s="278"/>
      <c r="U162" s="278"/>
      <c r="V162" s="278"/>
      <c r="W162" s="278"/>
      <c r="X162" s="278"/>
      <c r="Y162" s="278"/>
      <c r="Z162" s="279"/>
      <c r="AB162" s="282"/>
      <c r="AC162" s="278"/>
      <c r="AD162" s="278"/>
      <c r="AE162" s="278"/>
      <c r="AF162" s="278"/>
      <c r="AG162" s="278"/>
      <c r="AH162" s="278"/>
      <c r="AI162" s="278"/>
      <c r="AJ162" s="278"/>
      <c r="AK162" s="278"/>
      <c r="AL162" s="278"/>
      <c r="AM162" s="279"/>
    </row>
    <row r="163" spans="2:39">
      <c r="B163" s="283"/>
      <c r="C163" s="280"/>
      <c r="D163" s="280"/>
      <c r="E163" s="280"/>
      <c r="F163" s="280"/>
      <c r="G163" s="280"/>
      <c r="H163" s="280"/>
      <c r="I163" s="280"/>
      <c r="J163" s="280"/>
      <c r="K163" s="280"/>
      <c r="L163" s="280"/>
      <c r="M163" s="281"/>
      <c r="O163" s="283"/>
      <c r="P163" s="280"/>
      <c r="Q163" s="280"/>
      <c r="R163" s="280"/>
      <c r="S163" s="280"/>
      <c r="T163" s="280"/>
      <c r="U163" s="280"/>
      <c r="V163" s="280"/>
      <c r="W163" s="280"/>
      <c r="X163" s="280"/>
      <c r="Y163" s="280"/>
      <c r="Z163" s="281"/>
      <c r="AB163" s="283"/>
      <c r="AC163" s="280"/>
      <c r="AD163" s="280"/>
      <c r="AE163" s="280"/>
      <c r="AF163" s="280"/>
      <c r="AG163" s="280"/>
      <c r="AH163" s="280"/>
      <c r="AI163" s="280"/>
      <c r="AJ163" s="280"/>
      <c r="AK163" s="280"/>
      <c r="AL163" s="280"/>
      <c r="AM163" s="281"/>
    </row>
    <row r="166" spans="2:39">
      <c r="B166" t="s">
        <v>533</v>
      </c>
      <c r="E166" t="s">
        <v>472</v>
      </c>
    </row>
    <row r="167" spans="2:39">
      <c r="B167" t="s">
        <v>528</v>
      </c>
      <c r="E167" s="252">
        <f ca="1">SUM(AC172:AM190)</f>
        <v>0</v>
      </c>
    </row>
    <row r="168" spans="2:39">
      <c r="B168" t="s">
        <v>532</v>
      </c>
    </row>
    <row r="170" spans="2:39">
      <c r="B170" t="s">
        <v>510</v>
      </c>
      <c r="O170" t="s">
        <v>470</v>
      </c>
      <c r="AB170" t="s">
        <v>511</v>
      </c>
    </row>
    <row r="171" spans="2:39">
      <c r="B171" s="254" t="str">
        <f>'JPY Swap PVs'!AG51</f>
        <v>Term</v>
      </c>
      <c r="C171" s="276">
        <f>'JPY Swap PVs'!AH51</f>
        <v>-0.05</v>
      </c>
      <c r="D171" s="276">
        <f>'JPY Swap PVs'!AI51</f>
        <v>-0.04</v>
      </c>
      <c r="E171" s="276">
        <f>'JPY Swap PVs'!AJ51</f>
        <v>-0.03</v>
      </c>
      <c r="F171" s="276">
        <f>'JPY Swap PVs'!AK51</f>
        <v>-1.9999999999999997E-2</v>
      </c>
      <c r="G171" s="276">
        <f>'JPY Swap PVs'!AL51</f>
        <v>-9.9999999999999967E-3</v>
      </c>
      <c r="H171" s="276">
        <f>'JPY Swap PVs'!AM51</f>
        <v>0</v>
      </c>
      <c r="I171" s="276">
        <f>'JPY Swap PVs'!AN51</f>
        <v>0.01</v>
      </c>
      <c r="J171" s="276">
        <f>'JPY Swap PVs'!AO51</f>
        <v>0.02</v>
      </c>
      <c r="K171" s="276">
        <f>'JPY Swap PVs'!AP51</f>
        <v>0.03</v>
      </c>
      <c r="L171" s="276">
        <f>'JPY Swap PVs'!AQ51</f>
        <v>0.04</v>
      </c>
      <c r="M171" s="277">
        <f>'JPY Swap PVs'!AR51</f>
        <v>0.05</v>
      </c>
      <c r="O171" s="254" t="s">
        <v>76</v>
      </c>
      <c r="P171" s="276">
        <v>-0.05</v>
      </c>
      <c r="Q171" s="276">
        <v>-0.04</v>
      </c>
      <c r="R171" s="276">
        <v>-0.03</v>
      </c>
      <c r="S171" s="276">
        <v>-1.9999999999999997E-2</v>
      </c>
      <c r="T171" s="276">
        <v>-9.9999999999999967E-3</v>
      </c>
      <c r="U171" s="276">
        <v>0</v>
      </c>
      <c r="V171" s="276">
        <v>0.01</v>
      </c>
      <c r="W171" s="276">
        <v>0.02</v>
      </c>
      <c r="X171" s="276">
        <v>0.03</v>
      </c>
      <c r="Y171" s="276">
        <v>0.04</v>
      </c>
      <c r="Z171" s="277">
        <v>0.05</v>
      </c>
      <c r="AB171" s="254" t="str">
        <f>O171</f>
        <v>Term</v>
      </c>
      <c r="AC171" s="276">
        <f>P171</f>
        <v>-0.05</v>
      </c>
      <c r="AD171" s="276">
        <f t="shared" ref="AD171:AM171" si="12">Q171</f>
        <v>-0.04</v>
      </c>
      <c r="AE171" s="276">
        <f t="shared" si="12"/>
        <v>-0.03</v>
      </c>
      <c r="AF171" s="276">
        <f t="shared" si="12"/>
        <v>-1.9999999999999997E-2</v>
      </c>
      <c r="AG171" s="276">
        <f t="shared" si="12"/>
        <v>-9.9999999999999967E-3</v>
      </c>
      <c r="AH171" s="276">
        <f t="shared" si="12"/>
        <v>0</v>
      </c>
      <c r="AI171" s="276">
        <f t="shared" si="12"/>
        <v>0.01</v>
      </c>
      <c r="AJ171" s="276">
        <f t="shared" si="12"/>
        <v>0.02</v>
      </c>
      <c r="AK171" s="276">
        <f t="shared" si="12"/>
        <v>0.03</v>
      </c>
      <c r="AL171" s="276">
        <f t="shared" si="12"/>
        <v>0.04</v>
      </c>
      <c r="AM171" s="277">
        <f t="shared" si="12"/>
        <v>0.05</v>
      </c>
    </row>
    <row r="172" spans="2:39">
      <c r="B172" s="282" t="str">
        <f>'JPY Swap PVs'!AG52</f>
        <v>3Y</v>
      </c>
      <c r="C172" s="278">
        <f ca="1">'JPY Swap PVs'!AH52</f>
        <v>-150300.80743458588</v>
      </c>
      <c r="D172" s="278">
        <f ca="1">'JPY Swap PVs'!AI52</f>
        <v>-120240.6459476687</v>
      </c>
      <c r="E172" s="278">
        <f ca="1">'JPY Swap PVs'!AJ52</f>
        <v>-90180.484460751526</v>
      </c>
      <c r="F172" s="278">
        <f ca="1">'JPY Swap PVs'!AK52</f>
        <v>-60120.322973834343</v>
      </c>
      <c r="G172" s="278">
        <f ca="1">'JPY Swap PVs'!AL52</f>
        <v>-30060.161486917164</v>
      </c>
      <c r="H172" s="278">
        <f ca="1">'JPY Swap PVs'!AM52</f>
        <v>0</v>
      </c>
      <c r="I172" s="278">
        <f ca="1">'JPY Swap PVs'!AN52</f>
        <v>30060.161486917175</v>
      </c>
      <c r="J172" s="278">
        <f ca="1">'JPY Swap PVs'!AO52</f>
        <v>60120.322973834343</v>
      </c>
      <c r="K172" s="278">
        <f ca="1">'JPY Swap PVs'!AP52</f>
        <v>90180.484460751526</v>
      </c>
      <c r="L172" s="278">
        <f ca="1">'JPY Swap PVs'!AQ52</f>
        <v>120240.6459476687</v>
      </c>
      <c r="M172" s="279">
        <f ca="1">'JPY Swap PVs'!AR52</f>
        <v>150300.80743458588</v>
      </c>
      <c r="O172" s="282" t="s">
        <v>39</v>
      </c>
      <c r="P172" s="278">
        <v>-150300.80743458588</v>
      </c>
      <c r="Q172" s="278">
        <v>-120240.6459476687</v>
      </c>
      <c r="R172" s="278">
        <v>-90180.484460751526</v>
      </c>
      <c r="S172" s="278">
        <v>-60120.322973834343</v>
      </c>
      <c r="T172" s="278">
        <v>-30060.161486917164</v>
      </c>
      <c r="U172" s="278">
        <v>0</v>
      </c>
      <c r="V172" s="278">
        <v>30060.161486917175</v>
      </c>
      <c r="W172" s="278">
        <v>60120.322973834343</v>
      </c>
      <c r="X172" s="278">
        <v>90180.484460751526</v>
      </c>
      <c r="Y172" s="278">
        <v>120240.6459476687</v>
      </c>
      <c r="Z172" s="279">
        <v>150300.80743458588</v>
      </c>
      <c r="AB172" s="282" t="str">
        <f t="shared" ref="AB172:AB190" si="13">O172</f>
        <v>3Y</v>
      </c>
      <c r="AC172" s="278">
        <f ca="1">IF(ABS(P172-C172)&gt;SnapshotTolerance,1,0)</f>
        <v>0</v>
      </c>
      <c r="AD172" s="278">
        <f ca="1">IF(ABS(Q172-D172)&gt;SnapshotTolerance,1,0)</f>
        <v>0</v>
      </c>
      <c r="AE172" s="278">
        <f ca="1">IF(ABS(R172-E172)&gt;SnapshotTolerance,1,0)</f>
        <v>0</v>
      </c>
      <c r="AF172" s="278">
        <f ca="1">IF(ABS(S172-F172)&gt;SnapshotTolerance,1,0)</f>
        <v>0</v>
      </c>
      <c r="AG172" s="278">
        <f ca="1">IF(ABS(T172-G172)&gt;SnapshotTolerance,1,0)</f>
        <v>0</v>
      </c>
      <c r="AH172" s="278">
        <f ca="1">IF(ABS(U172-H172)&gt;SnapshotTolerance,1,0)</f>
        <v>0</v>
      </c>
      <c r="AI172" s="278">
        <f ca="1">IF(ABS(V172-I172)&gt;SnapshotTolerance,1,0)</f>
        <v>0</v>
      </c>
      <c r="AJ172" s="278">
        <f ca="1">IF(ABS(W172-J172)&gt;SnapshotTolerance,1,0)</f>
        <v>0</v>
      </c>
      <c r="AK172" s="278">
        <f ca="1">IF(ABS(X172-K172)&gt;SnapshotTolerance,1,0)</f>
        <v>0</v>
      </c>
      <c r="AL172" s="278">
        <f ca="1">IF(ABS(Y172-L172)&gt;SnapshotTolerance,1,0)</f>
        <v>0</v>
      </c>
      <c r="AM172" s="279">
        <f ca="1">IF(ABS(Z172-M172)&gt;SnapshotTolerance,1,0)</f>
        <v>0</v>
      </c>
    </row>
    <row r="173" spans="2:39">
      <c r="B173" s="282" t="str">
        <f>'JPY Swap PVs'!AG53</f>
        <v>4Y</v>
      </c>
      <c r="C173" s="278">
        <f ca="1">'JPY Swap PVs'!AH53</f>
        <v>-199873.1557084099</v>
      </c>
      <c r="D173" s="278">
        <f ca="1">'JPY Swap PVs'!AI53</f>
        <v>-159898.52456672792</v>
      </c>
      <c r="E173" s="278">
        <f ca="1">'JPY Swap PVs'!AJ53</f>
        <v>-119923.89342504591</v>
      </c>
      <c r="F173" s="278">
        <f ca="1">'JPY Swap PVs'!AK53</f>
        <v>-79949.262283363933</v>
      </c>
      <c r="G173" s="278">
        <f ca="1">'JPY Swap PVs'!AL53</f>
        <v>-39974.631141681966</v>
      </c>
      <c r="H173" s="278">
        <f ca="1">'JPY Swap PVs'!AM53</f>
        <v>0</v>
      </c>
      <c r="I173" s="278">
        <f ca="1">'JPY Swap PVs'!AN53</f>
        <v>39974.631141681974</v>
      </c>
      <c r="J173" s="278">
        <f ca="1">'JPY Swap PVs'!AO53</f>
        <v>79949.262283363962</v>
      </c>
      <c r="K173" s="278">
        <f ca="1">'JPY Swap PVs'!AP53</f>
        <v>119923.89342504591</v>
      </c>
      <c r="L173" s="278">
        <f ca="1">'JPY Swap PVs'!AQ53</f>
        <v>159898.52456672789</v>
      </c>
      <c r="M173" s="279">
        <f ca="1">'JPY Swap PVs'!AR53</f>
        <v>199873.15570840987</v>
      </c>
      <c r="O173" s="282" t="s">
        <v>35</v>
      </c>
      <c r="P173" s="278">
        <v>-199873.1557084099</v>
      </c>
      <c r="Q173" s="278">
        <v>-159898.52456672792</v>
      </c>
      <c r="R173" s="278">
        <v>-119923.89342504591</v>
      </c>
      <c r="S173" s="278">
        <v>-79949.262283363933</v>
      </c>
      <c r="T173" s="278">
        <v>-39974.631141681966</v>
      </c>
      <c r="U173" s="278">
        <v>0</v>
      </c>
      <c r="V173" s="278">
        <v>39974.631141681974</v>
      </c>
      <c r="W173" s="278">
        <v>79949.262283363962</v>
      </c>
      <c r="X173" s="278">
        <v>119923.89342504591</v>
      </c>
      <c r="Y173" s="278">
        <v>159898.52456672789</v>
      </c>
      <c r="Z173" s="279">
        <v>199873.15570840987</v>
      </c>
      <c r="AB173" s="282" t="str">
        <f t="shared" si="13"/>
        <v>4Y</v>
      </c>
      <c r="AC173" s="278">
        <f ca="1">IF(ABS(P173-C173)&gt;SnapshotTolerance,1,0)</f>
        <v>0</v>
      </c>
      <c r="AD173" s="278">
        <f ca="1">IF(ABS(Q173-D173)&gt;SnapshotTolerance,1,0)</f>
        <v>0</v>
      </c>
      <c r="AE173" s="278">
        <f ca="1">IF(ABS(R173-E173)&gt;SnapshotTolerance,1,0)</f>
        <v>0</v>
      </c>
      <c r="AF173" s="278">
        <f ca="1">IF(ABS(S173-F173)&gt;SnapshotTolerance,1,0)</f>
        <v>0</v>
      </c>
      <c r="AG173" s="278">
        <f ca="1">IF(ABS(T173-G173)&gt;SnapshotTolerance,1,0)</f>
        <v>0</v>
      </c>
      <c r="AH173" s="278">
        <f ca="1">IF(ABS(U173-H173)&gt;SnapshotTolerance,1,0)</f>
        <v>0</v>
      </c>
      <c r="AI173" s="278">
        <f ca="1">IF(ABS(V173-I173)&gt;SnapshotTolerance,1,0)</f>
        <v>0</v>
      </c>
      <c r="AJ173" s="278">
        <f ca="1">IF(ABS(W173-J173)&gt;SnapshotTolerance,1,0)</f>
        <v>0</v>
      </c>
      <c r="AK173" s="278">
        <f ca="1">IF(ABS(X173-K173)&gt;SnapshotTolerance,1,0)</f>
        <v>0</v>
      </c>
      <c r="AL173" s="278">
        <f ca="1">IF(ABS(Y173-L173)&gt;SnapshotTolerance,1,0)</f>
        <v>0</v>
      </c>
      <c r="AM173" s="279">
        <f ca="1">IF(ABS(Z173-M173)&gt;SnapshotTolerance,1,0)</f>
        <v>0</v>
      </c>
    </row>
    <row r="174" spans="2:39">
      <c r="B174" s="282" t="str">
        <f>'JPY Swap PVs'!AG54</f>
        <v>5Y</v>
      </c>
      <c r="C174" s="278">
        <f ca="1">'JPY Swap PVs'!AH54</f>
        <v>-249096.03223594066</v>
      </c>
      <c r="D174" s="278">
        <f ca="1">'JPY Swap PVs'!AI54</f>
        <v>-199276.82578875253</v>
      </c>
      <c r="E174" s="278">
        <f ca="1">'JPY Swap PVs'!AJ54</f>
        <v>-149457.61934156436</v>
      </c>
      <c r="F174" s="278">
        <f ca="1">'JPY Swap PVs'!AK54</f>
        <v>-99638.412894376219</v>
      </c>
      <c r="G174" s="278">
        <f ca="1">'JPY Swap PVs'!AL54</f>
        <v>-49819.206447188109</v>
      </c>
      <c r="H174" s="278">
        <f ca="1">'JPY Swap PVs'!AM54</f>
        <v>0</v>
      </c>
      <c r="I174" s="278">
        <f ca="1">'JPY Swap PVs'!AN54</f>
        <v>49819.206447188124</v>
      </c>
      <c r="J174" s="278">
        <f ca="1">'JPY Swap PVs'!AO54</f>
        <v>99638.412894376263</v>
      </c>
      <c r="K174" s="278">
        <f ca="1">'JPY Swap PVs'!AP54</f>
        <v>149457.61934156434</v>
      </c>
      <c r="L174" s="278">
        <f ca="1">'JPY Swap PVs'!AQ54</f>
        <v>199276.82578875247</v>
      </c>
      <c r="M174" s="279">
        <f ca="1">'JPY Swap PVs'!AR54</f>
        <v>249096.03223594063</v>
      </c>
      <c r="O174" s="282" t="s">
        <v>33</v>
      </c>
      <c r="P174" s="278">
        <v>-249096.03223594066</v>
      </c>
      <c r="Q174" s="278">
        <v>-199276.82578875253</v>
      </c>
      <c r="R174" s="278">
        <v>-149457.61934156436</v>
      </c>
      <c r="S174" s="278">
        <v>-99638.412894376219</v>
      </c>
      <c r="T174" s="278">
        <v>-49819.206447188109</v>
      </c>
      <c r="U174" s="278">
        <v>0</v>
      </c>
      <c r="V174" s="278">
        <v>49819.206447188124</v>
      </c>
      <c r="W174" s="278">
        <v>99638.412894376263</v>
      </c>
      <c r="X174" s="278">
        <v>149457.61934156434</v>
      </c>
      <c r="Y174" s="278">
        <v>199276.82578875247</v>
      </c>
      <c r="Z174" s="279">
        <v>249096.03223594063</v>
      </c>
      <c r="AB174" s="282" t="str">
        <f t="shared" si="13"/>
        <v>5Y</v>
      </c>
      <c r="AC174" s="278">
        <f ca="1">IF(ABS(P174-C174)&gt;SnapshotTolerance,1,0)</f>
        <v>0</v>
      </c>
      <c r="AD174" s="278">
        <f ca="1">IF(ABS(Q174-D174)&gt;SnapshotTolerance,1,0)</f>
        <v>0</v>
      </c>
      <c r="AE174" s="278">
        <f ca="1">IF(ABS(R174-E174)&gt;SnapshotTolerance,1,0)</f>
        <v>0</v>
      </c>
      <c r="AF174" s="278">
        <f ca="1">IF(ABS(S174-F174)&gt;SnapshotTolerance,1,0)</f>
        <v>0</v>
      </c>
      <c r="AG174" s="278">
        <f ca="1">IF(ABS(T174-G174)&gt;SnapshotTolerance,1,0)</f>
        <v>0</v>
      </c>
      <c r="AH174" s="278">
        <f ca="1">IF(ABS(U174-H174)&gt;SnapshotTolerance,1,0)</f>
        <v>0</v>
      </c>
      <c r="AI174" s="278">
        <f ca="1">IF(ABS(V174-I174)&gt;SnapshotTolerance,1,0)</f>
        <v>0</v>
      </c>
      <c r="AJ174" s="278">
        <f ca="1">IF(ABS(W174-J174)&gt;SnapshotTolerance,1,0)</f>
        <v>0</v>
      </c>
      <c r="AK174" s="278">
        <f ca="1">IF(ABS(X174-K174)&gt;SnapshotTolerance,1,0)</f>
        <v>0</v>
      </c>
      <c r="AL174" s="278">
        <f ca="1">IF(ABS(Y174-L174)&gt;SnapshotTolerance,1,0)</f>
        <v>0</v>
      </c>
      <c r="AM174" s="279">
        <f ca="1">IF(ABS(Z174-M174)&gt;SnapshotTolerance,1,0)</f>
        <v>0</v>
      </c>
    </row>
    <row r="175" spans="2:39">
      <c r="B175" s="282" t="str">
        <f>'JPY Swap PVs'!AG55</f>
        <v>6Y</v>
      </c>
      <c r="C175" s="278">
        <f ca="1">'JPY Swap PVs'!AH55</f>
        <v>-297667.53869917657</v>
      </c>
      <c r="D175" s="278">
        <f ca="1">'JPY Swap PVs'!AI55</f>
        <v>-238134.03095934118</v>
      </c>
      <c r="E175" s="278">
        <f ca="1">'JPY Swap PVs'!AJ55</f>
        <v>-178600.52321950591</v>
      </c>
      <c r="F175" s="278">
        <f ca="1">'JPY Swap PVs'!AK55</f>
        <v>-119067.01547967058</v>
      </c>
      <c r="G175" s="278">
        <f ca="1">'JPY Swap PVs'!AL55</f>
        <v>-59533.507739835273</v>
      </c>
      <c r="H175" s="278">
        <f ca="1">'JPY Swap PVs'!AM55</f>
        <v>0</v>
      </c>
      <c r="I175" s="278">
        <f ca="1">'JPY Swap PVs'!AN55</f>
        <v>59533.507739835295</v>
      </c>
      <c r="J175" s="278">
        <f ca="1">'JPY Swap PVs'!AO55</f>
        <v>119067.0154796706</v>
      </c>
      <c r="K175" s="278">
        <f ca="1">'JPY Swap PVs'!AP55</f>
        <v>178600.52321950588</v>
      </c>
      <c r="L175" s="278">
        <f ca="1">'JPY Swap PVs'!AQ55</f>
        <v>238134.03095934124</v>
      </c>
      <c r="M175" s="279">
        <f ca="1">'JPY Swap PVs'!AR55</f>
        <v>297667.53869917651</v>
      </c>
      <c r="O175" s="282" t="s">
        <v>131</v>
      </c>
      <c r="P175" s="278">
        <v>-297667.53869917657</v>
      </c>
      <c r="Q175" s="278">
        <v>-238134.03095934118</v>
      </c>
      <c r="R175" s="278">
        <v>-178600.52321950591</v>
      </c>
      <c r="S175" s="278">
        <v>-119067.01547967058</v>
      </c>
      <c r="T175" s="278">
        <v>-59533.507739835273</v>
      </c>
      <c r="U175" s="278">
        <v>0</v>
      </c>
      <c r="V175" s="278">
        <v>59533.507739835295</v>
      </c>
      <c r="W175" s="278">
        <v>119067.0154796706</v>
      </c>
      <c r="X175" s="278">
        <v>178600.52321950588</v>
      </c>
      <c r="Y175" s="278">
        <v>238134.03095934124</v>
      </c>
      <c r="Z175" s="279">
        <v>297667.53869917651</v>
      </c>
      <c r="AB175" s="282" t="str">
        <f t="shared" si="13"/>
        <v>6Y</v>
      </c>
      <c r="AC175" s="278">
        <f ca="1">IF(ABS(P175-C175)&gt;SnapshotTolerance,1,0)</f>
        <v>0</v>
      </c>
      <c r="AD175" s="278">
        <f ca="1">IF(ABS(Q175-D175)&gt;SnapshotTolerance,1,0)</f>
        <v>0</v>
      </c>
      <c r="AE175" s="278">
        <f ca="1">IF(ABS(R175-E175)&gt;SnapshotTolerance,1,0)</f>
        <v>0</v>
      </c>
      <c r="AF175" s="278">
        <f ca="1">IF(ABS(S175-F175)&gt;SnapshotTolerance,1,0)</f>
        <v>0</v>
      </c>
      <c r="AG175" s="278">
        <f ca="1">IF(ABS(T175-G175)&gt;SnapshotTolerance,1,0)</f>
        <v>0</v>
      </c>
      <c r="AH175" s="278">
        <f ca="1">IF(ABS(U175-H175)&gt;SnapshotTolerance,1,0)</f>
        <v>0</v>
      </c>
      <c r="AI175" s="278">
        <f ca="1">IF(ABS(V175-I175)&gt;SnapshotTolerance,1,0)</f>
        <v>0</v>
      </c>
      <c r="AJ175" s="278">
        <f ca="1">IF(ABS(W175-J175)&gt;SnapshotTolerance,1,0)</f>
        <v>0</v>
      </c>
      <c r="AK175" s="278">
        <f ca="1">IF(ABS(X175-K175)&gt;SnapshotTolerance,1,0)</f>
        <v>0</v>
      </c>
      <c r="AL175" s="278">
        <f ca="1">IF(ABS(Y175-L175)&gt;SnapshotTolerance,1,0)</f>
        <v>0</v>
      </c>
      <c r="AM175" s="279">
        <f ca="1">IF(ABS(Z175-M175)&gt;SnapshotTolerance,1,0)</f>
        <v>0</v>
      </c>
    </row>
    <row r="176" spans="2:39">
      <c r="B176" s="282" t="str">
        <f>'JPY Swap PVs'!AG56</f>
        <v>7Y</v>
      </c>
      <c r="C176" s="278">
        <f ca="1">'JPY Swap PVs'!AH56</f>
        <v>-345445.58092836308</v>
      </c>
      <c r="D176" s="278">
        <f ca="1">'JPY Swap PVs'!AI56</f>
        <v>-276356.46474269038</v>
      </c>
      <c r="E176" s="278">
        <f ca="1">'JPY Swap PVs'!AJ56</f>
        <v>-207267.3485570178</v>
      </c>
      <c r="F176" s="278">
        <f ca="1">'JPY Swap PVs'!AK56</f>
        <v>-138178.23237134519</v>
      </c>
      <c r="G176" s="278">
        <f ca="1">'JPY Swap PVs'!AL56</f>
        <v>-69089.116185672581</v>
      </c>
      <c r="H176" s="278">
        <f ca="1">'JPY Swap PVs'!AM56</f>
        <v>0</v>
      </c>
      <c r="I176" s="278">
        <f ca="1">'JPY Swap PVs'!AN56</f>
        <v>69089.116185672596</v>
      </c>
      <c r="J176" s="278">
        <f ca="1">'JPY Swap PVs'!AO56</f>
        <v>138178.23237134522</v>
      </c>
      <c r="K176" s="278">
        <f ca="1">'JPY Swap PVs'!AP56</f>
        <v>207267.34855701774</v>
      </c>
      <c r="L176" s="278">
        <f ca="1">'JPY Swap PVs'!AQ56</f>
        <v>276356.4647426905</v>
      </c>
      <c r="M176" s="279">
        <f ca="1">'JPY Swap PVs'!AR56</f>
        <v>345445.58092836296</v>
      </c>
      <c r="O176" s="282" t="s">
        <v>31</v>
      </c>
      <c r="P176" s="278">
        <v>-345445.58092836308</v>
      </c>
      <c r="Q176" s="278">
        <v>-276356.46474269038</v>
      </c>
      <c r="R176" s="278">
        <v>-207267.3485570178</v>
      </c>
      <c r="S176" s="278">
        <v>-138178.23237134519</v>
      </c>
      <c r="T176" s="278">
        <v>-69089.116185672581</v>
      </c>
      <c r="U176" s="278">
        <v>0</v>
      </c>
      <c r="V176" s="278">
        <v>69089.116185672596</v>
      </c>
      <c r="W176" s="278">
        <v>138178.23237134522</v>
      </c>
      <c r="X176" s="278">
        <v>207267.34855701774</v>
      </c>
      <c r="Y176" s="278">
        <v>276356.4647426905</v>
      </c>
      <c r="Z176" s="279">
        <v>345445.58092836296</v>
      </c>
      <c r="AB176" s="282" t="str">
        <f t="shared" si="13"/>
        <v>7Y</v>
      </c>
      <c r="AC176" s="278">
        <f ca="1">IF(ABS(P176-C176)&gt;SnapshotTolerance,1,0)</f>
        <v>0</v>
      </c>
      <c r="AD176" s="278">
        <f ca="1">IF(ABS(Q176-D176)&gt;SnapshotTolerance,1,0)</f>
        <v>0</v>
      </c>
      <c r="AE176" s="278">
        <f ca="1">IF(ABS(R176-E176)&gt;SnapshotTolerance,1,0)</f>
        <v>0</v>
      </c>
      <c r="AF176" s="278">
        <f ca="1">IF(ABS(S176-F176)&gt;SnapshotTolerance,1,0)</f>
        <v>0</v>
      </c>
      <c r="AG176" s="278">
        <f ca="1">IF(ABS(T176-G176)&gt;SnapshotTolerance,1,0)</f>
        <v>0</v>
      </c>
      <c r="AH176" s="278">
        <f ca="1">IF(ABS(U176-H176)&gt;SnapshotTolerance,1,0)</f>
        <v>0</v>
      </c>
      <c r="AI176" s="278">
        <f ca="1">IF(ABS(V176-I176)&gt;SnapshotTolerance,1,0)</f>
        <v>0</v>
      </c>
      <c r="AJ176" s="278">
        <f ca="1">IF(ABS(W176-J176)&gt;SnapshotTolerance,1,0)</f>
        <v>0</v>
      </c>
      <c r="AK176" s="278">
        <f ca="1">IF(ABS(X176-K176)&gt;SnapshotTolerance,1,0)</f>
        <v>0</v>
      </c>
      <c r="AL176" s="278">
        <f ca="1">IF(ABS(Y176-L176)&gt;SnapshotTolerance,1,0)</f>
        <v>0</v>
      </c>
      <c r="AM176" s="279">
        <f ca="1">IF(ABS(Z176-M176)&gt;SnapshotTolerance,1,0)</f>
        <v>0</v>
      </c>
    </row>
    <row r="177" spans="2:39">
      <c r="B177" s="282" t="str">
        <f>'JPY Swap PVs'!AG57</f>
        <v>8Y</v>
      </c>
      <c r="C177" s="278">
        <f ca="1">'JPY Swap PVs'!AH57</f>
        <v>-392585.59739955037</v>
      </c>
      <c r="D177" s="278">
        <f ca="1">'JPY Swap PVs'!AI57</f>
        <v>-314068.47791964025</v>
      </c>
      <c r="E177" s="278">
        <f ca="1">'JPY Swap PVs'!AJ57</f>
        <v>-235551.35843973019</v>
      </c>
      <c r="F177" s="278">
        <f ca="1">'JPY Swap PVs'!AK57</f>
        <v>-157034.2389598201</v>
      </c>
      <c r="G177" s="278">
        <f ca="1">'JPY Swap PVs'!AL57</f>
        <v>-78517.119479910034</v>
      </c>
      <c r="H177" s="278">
        <f ca="1">'JPY Swap PVs'!AM57</f>
        <v>0</v>
      </c>
      <c r="I177" s="278">
        <f ca="1">'JPY Swap PVs'!AN57</f>
        <v>78517.119479910078</v>
      </c>
      <c r="J177" s="278">
        <f ca="1">'JPY Swap PVs'!AO57</f>
        <v>157034.23895982013</v>
      </c>
      <c r="K177" s="278">
        <f ca="1">'JPY Swap PVs'!AP57</f>
        <v>235551.35843973019</v>
      </c>
      <c r="L177" s="278">
        <f ca="1">'JPY Swap PVs'!AQ57</f>
        <v>314068.47791964025</v>
      </c>
      <c r="M177" s="279">
        <f ca="1">'JPY Swap PVs'!AR57</f>
        <v>392585.59739955037</v>
      </c>
      <c r="O177" s="282" t="s">
        <v>119</v>
      </c>
      <c r="P177" s="278">
        <v>-392585.59739955037</v>
      </c>
      <c r="Q177" s="278">
        <v>-314068.47791964025</v>
      </c>
      <c r="R177" s="278">
        <v>-235551.35843973019</v>
      </c>
      <c r="S177" s="278">
        <v>-157034.2389598201</v>
      </c>
      <c r="T177" s="278">
        <v>-78517.119479910034</v>
      </c>
      <c r="U177" s="278">
        <v>0</v>
      </c>
      <c r="V177" s="278">
        <v>78517.119479910078</v>
      </c>
      <c r="W177" s="278">
        <v>157034.23895982013</v>
      </c>
      <c r="X177" s="278">
        <v>235551.35843973019</v>
      </c>
      <c r="Y177" s="278">
        <v>314068.47791964025</v>
      </c>
      <c r="Z177" s="279">
        <v>392585.59739955037</v>
      </c>
      <c r="AB177" s="282" t="str">
        <f t="shared" si="13"/>
        <v>8Y</v>
      </c>
      <c r="AC177" s="278">
        <f ca="1">IF(ABS(P177-C177)&gt;SnapshotTolerance,1,0)</f>
        <v>0</v>
      </c>
      <c r="AD177" s="278">
        <f ca="1">IF(ABS(Q177-D177)&gt;SnapshotTolerance,1,0)</f>
        <v>0</v>
      </c>
      <c r="AE177" s="278">
        <f ca="1">IF(ABS(R177-E177)&gt;SnapshotTolerance,1,0)</f>
        <v>0</v>
      </c>
      <c r="AF177" s="278">
        <f ca="1">IF(ABS(S177-F177)&gt;SnapshotTolerance,1,0)</f>
        <v>0</v>
      </c>
      <c r="AG177" s="278">
        <f ca="1">IF(ABS(T177-G177)&gt;SnapshotTolerance,1,0)</f>
        <v>0</v>
      </c>
      <c r="AH177" s="278">
        <f ca="1">IF(ABS(U177-H177)&gt;SnapshotTolerance,1,0)</f>
        <v>0</v>
      </c>
      <c r="AI177" s="278">
        <f ca="1">IF(ABS(V177-I177)&gt;SnapshotTolerance,1,0)</f>
        <v>0</v>
      </c>
      <c r="AJ177" s="278">
        <f ca="1">IF(ABS(W177-J177)&gt;SnapshotTolerance,1,0)</f>
        <v>0</v>
      </c>
      <c r="AK177" s="278">
        <f ca="1">IF(ABS(X177-K177)&gt;SnapshotTolerance,1,0)</f>
        <v>0</v>
      </c>
      <c r="AL177" s="278">
        <f ca="1">IF(ABS(Y177-L177)&gt;SnapshotTolerance,1,0)</f>
        <v>0</v>
      </c>
      <c r="AM177" s="279">
        <f ca="1">IF(ABS(Z177-M177)&gt;SnapshotTolerance,1,0)</f>
        <v>0</v>
      </c>
    </row>
    <row r="178" spans="2:39">
      <c r="B178" s="282" t="str">
        <f>'JPY Swap PVs'!AG58</f>
        <v>9Y</v>
      </c>
      <c r="C178" s="278">
        <f ca="1">'JPY Swap PVs'!AH58</f>
        <v>-438252.52539896453</v>
      </c>
      <c r="D178" s="278">
        <f ca="1">'JPY Swap PVs'!AI58</f>
        <v>-350602.0203191716</v>
      </c>
      <c r="E178" s="278">
        <f ca="1">'JPY Swap PVs'!AJ58</f>
        <v>-262951.51523937873</v>
      </c>
      <c r="F178" s="278">
        <f ca="1">'JPY Swap PVs'!AK58</f>
        <v>-175301.01015958577</v>
      </c>
      <c r="G178" s="278">
        <f ca="1">'JPY Swap PVs'!AL58</f>
        <v>-87650.505079792871</v>
      </c>
      <c r="H178" s="278">
        <f ca="1">'JPY Swap PVs'!AM58</f>
        <v>0</v>
      </c>
      <c r="I178" s="278">
        <f ca="1">'JPY Swap PVs'!AN58</f>
        <v>87650.5050797929</v>
      </c>
      <c r="J178" s="278">
        <f ca="1">'JPY Swap PVs'!AO58</f>
        <v>175301.01015958577</v>
      </c>
      <c r="K178" s="278">
        <f ca="1">'JPY Swap PVs'!AP58</f>
        <v>262951.51523937867</v>
      </c>
      <c r="L178" s="278">
        <f ca="1">'JPY Swap PVs'!AQ58</f>
        <v>350602.02031917154</v>
      </c>
      <c r="M178" s="279">
        <f ca="1">'JPY Swap PVs'!AR58</f>
        <v>438252.52539896441</v>
      </c>
      <c r="O178" s="282" t="s">
        <v>113</v>
      </c>
      <c r="P178" s="278">
        <v>-438252.52539896453</v>
      </c>
      <c r="Q178" s="278">
        <v>-350602.0203191716</v>
      </c>
      <c r="R178" s="278">
        <v>-262951.51523937873</v>
      </c>
      <c r="S178" s="278">
        <v>-175301.01015958577</v>
      </c>
      <c r="T178" s="278">
        <v>-87650.505079792871</v>
      </c>
      <c r="U178" s="278">
        <v>0</v>
      </c>
      <c r="V178" s="278">
        <v>87650.5050797929</v>
      </c>
      <c r="W178" s="278">
        <v>175301.01015958577</v>
      </c>
      <c r="X178" s="278">
        <v>262951.51523937867</v>
      </c>
      <c r="Y178" s="278">
        <v>350602.02031917154</v>
      </c>
      <c r="Z178" s="279">
        <v>438252.52539896441</v>
      </c>
      <c r="AB178" s="282" t="str">
        <f t="shared" si="13"/>
        <v>9Y</v>
      </c>
      <c r="AC178" s="278">
        <f ca="1">IF(ABS(P178-C178)&gt;SnapshotTolerance,1,0)</f>
        <v>0</v>
      </c>
      <c r="AD178" s="278">
        <f ca="1">IF(ABS(Q178-D178)&gt;SnapshotTolerance,1,0)</f>
        <v>0</v>
      </c>
      <c r="AE178" s="278">
        <f ca="1">IF(ABS(R178-E178)&gt;SnapshotTolerance,1,0)</f>
        <v>0</v>
      </c>
      <c r="AF178" s="278">
        <f ca="1">IF(ABS(S178-F178)&gt;SnapshotTolerance,1,0)</f>
        <v>0</v>
      </c>
      <c r="AG178" s="278">
        <f ca="1">IF(ABS(T178-G178)&gt;SnapshotTolerance,1,0)</f>
        <v>0</v>
      </c>
      <c r="AH178" s="278">
        <f ca="1">IF(ABS(U178-H178)&gt;SnapshotTolerance,1,0)</f>
        <v>0</v>
      </c>
      <c r="AI178" s="278">
        <f ca="1">IF(ABS(V178-I178)&gt;SnapshotTolerance,1,0)</f>
        <v>0</v>
      </c>
      <c r="AJ178" s="278">
        <f ca="1">IF(ABS(W178-J178)&gt;SnapshotTolerance,1,0)</f>
        <v>0</v>
      </c>
      <c r="AK178" s="278">
        <f ca="1">IF(ABS(X178-K178)&gt;SnapshotTolerance,1,0)</f>
        <v>0</v>
      </c>
      <c r="AL178" s="278">
        <f ca="1">IF(ABS(Y178-L178)&gt;SnapshotTolerance,1,0)</f>
        <v>0</v>
      </c>
      <c r="AM178" s="279">
        <f ca="1">IF(ABS(Z178-M178)&gt;SnapshotTolerance,1,0)</f>
        <v>0</v>
      </c>
    </row>
    <row r="179" spans="2:39">
      <c r="B179" s="282" t="str">
        <f>'JPY Swap PVs'!AG59</f>
        <v>10Y</v>
      </c>
      <c r="C179" s="278">
        <f ca="1">'JPY Swap PVs'!AH59</f>
        <v>-483168.64497448748</v>
      </c>
      <c r="D179" s="278">
        <f ca="1">'JPY Swap PVs'!AI59</f>
        <v>-386534.91597958992</v>
      </c>
      <c r="E179" s="278">
        <f ca="1">'JPY Swap PVs'!AJ59</f>
        <v>-289901.18698469247</v>
      </c>
      <c r="F179" s="278">
        <f ca="1">'JPY Swap PVs'!AK59</f>
        <v>-193267.45798979493</v>
      </c>
      <c r="G179" s="278">
        <f ca="1">'JPY Swap PVs'!AL59</f>
        <v>-96633.728994897465</v>
      </c>
      <c r="H179" s="278">
        <f ca="1">'JPY Swap PVs'!AM59</f>
        <v>0</v>
      </c>
      <c r="I179" s="278">
        <f ca="1">'JPY Swap PVs'!AN59</f>
        <v>96633.728994897479</v>
      </c>
      <c r="J179" s="278">
        <f ca="1">'JPY Swap PVs'!AO59</f>
        <v>193267.45798979499</v>
      </c>
      <c r="K179" s="278">
        <f ca="1">'JPY Swap PVs'!AP59</f>
        <v>289901.18698469253</v>
      </c>
      <c r="L179" s="278">
        <f ca="1">'JPY Swap PVs'!AQ59</f>
        <v>386534.91597958998</v>
      </c>
      <c r="M179" s="279">
        <f ca="1">'JPY Swap PVs'!AR59</f>
        <v>483168.64497448743</v>
      </c>
      <c r="O179" s="282" t="s">
        <v>28</v>
      </c>
      <c r="P179" s="278">
        <v>-483168.64497448748</v>
      </c>
      <c r="Q179" s="278">
        <v>-386534.91597958992</v>
      </c>
      <c r="R179" s="278">
        <v>-289901.18698469247</v>
      </c>
      <c r="S179" s="278">
        <v>-193267.45798979493</v>
      </c>
      <c r="T179" s="278">
        <v>-96633.728994897465</v>
      </c>
      <c r="U179" s="278">
        <v>0</v>
      </c>
      <c r="V179" s="278">
        <v>96633.728994897479</v>
      </c>
      <c r="W179" s="278">
        <v>193267.45798979499</v>
      </c>
      <c r="X179" s="278">
        <v>289901.18698469253</v>
      </c>
      <c r="Y179" s="278">
        <v>386534.91597958998</v>
      </c>
      <c r="Z179" s="279">
        <v>483168.64497448743</v>
      </c>
      <c r="AB179" s="282" t="str">
        <f t="shared" si="13"/>
        <v>10Y</v>
      </c>
      <c r="AC179" s="278">
        <f ca="1">IF(ABS(P179-C179)&gt;SnapshotTolerance,1,0)</f>
        <v>0</v>
      </c>
      <c r="AD179" s="278">
        <f ca="1">IF(ABS(Q179-D179)&gt;SnapshotTolerance,1,0)</f>
        <v>0</v>
      </c>
      <c r="AE179" s="278">
        <f ca="1">IF(ABS(R179-E179)&gt;SnapshotTolerance,1,0)</f>
        <v>0</v>
      </c>
      <c r="AF179" s="278">
        <f ca="1">IF(ABS(S179-F179)&gt;SnapshotTolerance,1,0)</f>
        <v>0</v>
      </c>
      <c r="AG179" s="278">
        <f ca="1">IF(ABS(T179-G179)&gt;SnapshotTolerance,1,0)</f>
        <v>0</v>
      </c>
      <c r="AH179" s="278">
        <f ca="1">IF(ABS(U179-H179)&gt;SnapshotTolerance,1,0)</f>
        <v>0</v>
      </c>
      <c r="AI179" s="278">
        <f ca="1">IF(ABS(V179-I179)&gt;SnapshotTolerance,1,0)</f>
        <v>0</v>
      </c>
      <c r="AJ179" s="278">
        <f ca="1">IF(ABS(W179-J179)&gt;SnapshotTolerance,1,0)</f>
        <v>0</v>
      </c>
      <c r="AK179" s="278">
        <f ca="1">IF(ABS(X179-K179)&gt;SnapshotTolerance,1,0)</f>
        <v>0</v>
      </c>
      <c r="AL179" s="278">
        <f ca="1">IF(ABS(Y179-L179)&gt;SnapshotTolerance,1,0)</f>
        <v>0</v>
      </c>
      <c r="AM179" s="279">
        <f ca="1">IF(ABS(Z179-M179)&gt;SnapshotTolerance,1,0)</f>
        <v>0</v>
      </c>
    </row>
    <row r="180" spans="2:39">
      <c r="B180" s="282" t="str">
        <f>'JPY Swap PVs'!AG60</f>
        <v>12Y</v>
      </c>
      <c r="C180" s="278">
        <f ca="1">'JPY Swap PVs'!AH60</f>
        <v>-569938.0308485931</v>
      </c>
      <c r="D180" s="278">
        <f ca="1">'JPY Swap PVs'!AI60</f>
        <v>-455950.42467887449</v>
      </c>
      <c r="E180" s="278">
        <f ca="1">'JPY Swap PVs'!AJ60</f>
        <v>-341962.81850915583</v>
      </c>
      <c r="F180" s="278">
        <f ca="1">'JPY Swap PVs'!AK60</f>
        <v>-227975.21233943719</v>
      </c>
      <c r="G180" s="278">
        <f ca="1">'JPY Swap PVs'!AL60</f>
        <v>-113987.60616971857</v>
      </c>
      <c r="H180" s="278">
        <f ca="1">'JPY Swap PVs'!AM60</f>
        <v>0</v>
      </c>
      <c r="I180" s="278">
        <f ca="1">'JPY Swap PVs'!AN60</f>
        <v>113987.60616971865</v>
      </c>
      <c r="J180" s="278">
        <f ca="1">'JPY Swap PVs'!AO60</f>
        <v>227975.2123394373</v>
      </c>
      <c r="K180" s="278">
        <f ca="1">'JPY Swap PVs'!AP60</f>
        <v>341962.81850915588</v>
      </c>
      <c r="L180" s="278">
        <f ca="1">'JPY Swap PVs'!AQ60</f>
        <v>455950.42467887449</v>
      </c>
      <c r="M180" s="279">
        <f ca="1">'JPY Swap PVs'!AR60</f>
        <v>569938.0308485931</v>
      </c>
      <c r="O180" s="282" t="s">
        <v>26</v>
      </c>
      <c r="P180" s="278">
        <v>-569938.0308485931</v>
      </c>
      <c r="Q180" s="278">
        <v>-455950.42467887449</v>
      </c>
      <c r="R180" s="278">
        <v>-341962.81850915583</v>
      </c>
      <c r="S180" s="278">
        <v>-227975.21233943719</v>
      </c>
      <c r="T180" s="278">
        <v>-113987.60616971857</v>
      </c>
      <c r="U180" s="278">
        <v>0</v>
      </c>
      <c r="V180" s="278">
        <v>113987.60616971865</v>
      </c>
      <c r="W180" s="278">
        <v>227975.2123394373</v>
      </c>
      <c r="X180" s="278">
        <v>341962.81850915588</v>
      </c>
      <c r="Y180" s="278">
        <v>455950.42467887449</v>
      </c>
      <c r="Z180" s="279">
        <v>569938.0308485931</v>
      </c>
      <c r="AB180" s="282" t="str">
        <f t="shared" si="13"/>
        <v>12Y</v>
      </c>
      <c r="AC180" s="278">
        <f ca="1">IF(ABS(P180-C180)&gt;SnapshotTolerance,1,0)</f>
        <v>0</v>
      </c>
      <c r="AD180" s="278">
        <f ca="1">IF(ABS(Q180-D180)&gt;SnapshotTolerance,1,0)</f>
        <v>0</v>
      </c>
      <c r="AE180" s="278">
        <f ca="1">IF(ABS(R180-E180)&gt;SnapshotTolerance,1,0)</f>
        <v>0</v>
      </c>
      <c r="AF180" s="278">
        <f ca="1">IF(ABS(S180-F180)&gt;SnapshotTolerance,1,0)</f>
        <v>0</v>
      </c>
      <c r="AG180" s="278">
        <f ca="1">IF(ABS(T180-G180)&gt;SnapshotTolerance,1,0)</f>
        <v>0</v>
      </c>
      <c r="AH180" s="278">
        <f ca="1">IF(ABS(U180-H180)&gt;SnapshotTolerance,1,0)</f>
        <v>0</v>
      </c>
      <c r="AI180" s="278">
        <f ca="1">IF(ABS(V180-I180)&gt;SnapshotTolerance,1,0)</f>
        <v>0</v>
      </c>
      <c r="AJ180" s="278">
        <f ca="1">IF(ABS(W180-J180)&gt;SnapshotTolerance,1,0)</f>
        <v>0</v>
      </c>
      <c r="AK180" s="278">
        <f ca="1">IF(ABS(X180-K180)&gt;SnapshotTolerance,1,0)</f>
        <v>0</v>
      </c>
      <c r="AL180" s="278">
        <f ca="1">IF(ABS(Y180-L180)&gt;SnapshotTolerance,1,0)</f>
        <v>0</v>
      </c>
      <c r="AM180" s="279">
        <f ca="1">IF(ABS(Z180-M180)&gt;SnapshotTolerance,1,0)</f>
        <v>0</v>
      </c>
    </row>
    <row r="181" spans="2:39">
      <c r="B181" s="282" t="str">
        <f>'JPY Swap PVs'!AG61</f>
        <v>15Y</v>
      </c>
      <c r="C181" s="278">
        <f ca="1">'JPY Swap PVs'!AH61</f>
        <v>-692615.23399544926</v>
      </c>
      <c r="D181" s="278">
        <f ca="1">'JPY Swap PVs'!AI61</f>
        <v>-554092.18719635939</v>
      </c>
      <c r="E181" s="278">
        <f ca="1">'JPY Swap PVs'!AJ61</f>
        <v>-415569.14039726951</v>
      </c>
      <c r="F181" s="278">
        <f ca="1">'JPY Swap PVs'!AK61</f>
        <v>-277046.09359817964</v>
      </c>
      <c r="G181" s="278">
        <f ca="1">'JPY Swap PVs'!AL61</f>
        <v>-138523.04679908979</v>
      </c>
      <c r="H181" s="278">
        <f ca="1">'JPY Swap PVs'!AM61</f>
        <v>2.7755575615628914E-11</v>
      </c>
      <c r="I181" s="278">
        <f ca="1">'JPY Swap PVs'!AN61</f>
        <v>138523.04679908985</v>
      </c>
      <c r="J181" s="278">
        <f ca="1">'JPY Swap PVs'!AO61</f>
        <v>277046.09359817969</v>
      </c>
      <c r="K181" s="278">
        <f ca="1">'JPY Swap PVs'!AP61</f>
        <v>415569.14039726957</v>
      </c>
      <c r="L181" s="278">
        <f ca="1">'JPY Swap PVs'!AQ61</f>
        <v>554092.18719635939</v>
      </c>
      <c r="M181" s="279">
        <f ca="1">'JPY Swap PVs'!AR61</f>
        <v>692615.23399544938</v>
      </c>
      <c r="O181" s="282" t="s">
        <v>24</v>
      </c>
      <c r="P181" s="278">
        <v>-692615.23399544926</v>
      </c>
      <c r="Q181" s="278">
        <v>-554092.18719635939</v>
      </c>
      <c r="R181" s="278">
        <v>-415569.14039726951</v>
      </c>
      <c r="S181" s="278">
        <v>-277046.09359817964</v>
      </c>
      <c r="T181" s="278">
        <v>-138523.04679908979</v>
      </c>
      <c r="U181" s="278">
        <v>2.7755575615628914E-11</v>
      </c>
      <c r="V181" s="278">
        <v>138523.04679908985</v>
      </c>
      <c r="W181" s="278">
        <v>277046.09359817969</v>
      </c>
      <c r="X181" s="278">
        <v>415569.14039726957</v>
      </c>
      <c r="Y181" s="278">
        <v>554092.18719635939</v>
      </c>
      <c r="Z181" s="279">
        <v>692615.23399544938</v>
      </c>
      <c r="AB181" s="282" t="str">
        <f t="shared" si="13"/>
        <v>15Y</v>
      </c>
      <c r="AC181" s="278">
        <f ca="1">IF(ABS(P181-C181)&gt;SnapshotTolerance,1,0)</f>
        <v>0</v>
      </c>
      <c r="AD181" s="278">
        <f ca="1">IF(ABS(Q181-D181)&gt;SnapshotTolerance,1,0)</f>
        <v>0</v>
      </c>
      <c r="AE181" s="278">
        <f ca="1">IF(ABS(R181-E181)&gt;SnapshotTolerance,1,0)</f>
        <v>0</v>
      </c>
      <c r="AF181" s="278">
        <f ca="1">IF(ABS(S181-F181)&gt;SnapshotTolerance,1,0)</f>
        <v>0</v>
      </c>
      <c r="AG181" s="278">
        <f ca="1">IF(ABS(T181-G181)&gt;SnapshotTolerance,1,0)</f>
        <v>0</v>
      </c>
      <c r="AH181" s="278">
        <f ca="1">IF(ABS(U181-H181)&gt;SnapshotTolerance,1,0)</f>
        <v>0</v>
      </c>
      <c r="AI181" s="278">
        <f ca="1">IF(ABS(V181-I181)&gt;SnapshotTolerance,1,0)</f>
        <v>0</v>
      </c>
      <c r="AJ181" s="278">
        <f ca="1">IF(ABS(W181-J181)&gt;SnapshotTolerance,1,0)</f>
        <v>0</v>
      </c>
      <c r="AK181" s="278">
        <f ca="1">IF(ABS(X181-K181)&gt;SnapshotTolerance,1,0)</f>
        <v>0</v>
      </c>
      <c r="AL181" s="278">
        <f ca="1">IF(ABS(Y181-L181)&gt;SnapshotTolerance,1,0)</f>
        <v>0</v>
      </c>
      <c r="AM181" s="279">
        <f ca="1">IF(ABS(Z181-M181)&gt;SnapshotTolerance,1,0)</f>
        <v>0</v>
      </c>
    </row>
    <row r="182" spans="2:39">
      <c r="B182" s="282" t="str">
        <f>'JPY Swap PVs'!AG62</f>
        <v>20Y</v>
      </c>
      <c r="C182" s="278">
        <f ca="1">'JPY Swap PVs'!AH62</f>
        <v>-879086.65850046882</v>
      </c>
      <c r="D182" s="278">
        <f ca="1">'JPY Swap PVs'!AI62</f>
        <v>-703269.32680037513</v>
      </c>
      <c r="E182" s="278">
        <f ca="1">'JPY Swap PVs'!AJ62</f>
        <v>-527451.99510028132</v>
      </c>
      <c r="F182" s="278">
        <f ca="1">'JPY Swap PVs'!AK62</f>
        <v>-351634.66340018745</v>
      </c>
      <c r="G182" s="278">
        <f ca="1">'JPY Swap PVs'!AL62</f>
        <v>-175817.33170009372</v>
      </c>
      <c r="H182" s="278">
        <f ca="1">'JPY Swap PVs'!AM62</f>
        <v>-5.5511151231257827E-11</v>
      </c>
      <c r="I182" s="278">
        <f ca="1">'JPY Swap PVs'!AN62</f>
        <v>175817.33170009367</v>
      </c>
      <c r="J182" s="278">
        <f ca="1">'JPY Swap PVs'!AO62</f>
        <v>351634.66340018751</v>
      </c>
      <c r="K182" s="278">
        <f ca="1">'JPY Swap PVs'!AP62</f>
        <v>527451.9951002812</v>
      </c>
      <c r="L182" s="278">
        <f ca="1">'JPY Swap PVs'!AQ62</f>
        <v>703269.3268003749</v>
      </c>
      <c r="M182" s="279">
        <f ca="1">'JPY Swap PVs'!AR62</f>
        <v>879086.65850046882</v>
      </c>
      <c r="O182" s="282" t="s">
        <v>20</v>
      </c>
      <c r="P182" s="278">
        <v>-879086.65850046882</v>
      </c>
      <c r="Q182" s="278">
        <v>-703269.32680037513</v>
      </c>
      <c r="R182" s="278">
        <v>-527451.99510028132</v>
      </c>
      <c r="S182" s="278">
        <v>-351634.66340018745</v>
      </c>
      <c r="T182" s="278">
        <v>-175817.33170009372</v>
      </c>
      <c r="U182" s="278">
        <v>-5.5511151231257827E-11</v>
      </c>
      <c r="V182" s="278">
        <v>175817.33170009367</v>
      </c>
      <c r="W182" s="278">
        <v>351634.66340018751</v>
      </c>
      <c r="X182" s="278">
        <v>527451.9951002812</v>
      </c>
      <c r="Y182" s="278">
        <v>703269.3268003749</v>
      </c>
      <c r="Z182" s="279">
        <v>879086.65850046882</v>
      </c>
      <c r="AB182" s="282" t="str">
        <f t="shared" si="13"/>
        <v>20Y</v>
      </c>
      <c r="AC182" s="278">
        <f ca="1">IF(ABS(P182-C182)&gt;SnapshotTolerance,1,0)</f>
        <v>0</v>
      </c>
      <c r="AD182" s="278">
        <f ca="1">IF(ABS(Q182-D182)&gt;SnapshotTolerance,1,0)</f>
        <v>0</v>
      </c>
      <c r="AE182" s="278">
        <f ca="1">IF(ABS(R182-E182)&gt;SnapshotTolerance,1,0)</f>
        <v>0</v>
      </c>
      <c r="AF182" s="278">
        <f ca="1">IF(ABS(S182-F182)&gt;SnapshotTolerance,1,0)</f>
        <v>0</v>
      </c>
      <c r="AG182" s="278">
        <f ca="1">IF(ABS(T182-G182)&gt;SnapshotTolerance,1,0)</f>
        <v>0</v>
      </c>
      <c r="AH182" s="278">
        <f ca="1">IF(ABS(U182-H182)&gt;SnapshotTolerance,1,0)</f>
        <v>0</v>
      </c>
      <c r="AI182" s="278">
        <f ca="1">IF(ABS(V182-I182)&gt;SnapshotTolerance,1,0)</f>
        <v>0</v>
      </c>
      <c r="AJ182" s="278">
        <f ca="1">IF(ABS(W182-J182)&gt;SnapshotTolerance,1,0)</f>
        <v>0</v>
      </c>
      <c r="AK182" s="278">
        <f ca="1">IF(ABS(X182-K182)&gt;SnapshotTolerance,1,0)</f>
        <v>0</v>
      </c>
      <c r="AL182" s="278">
        <f ca="1">IF(ABS(Y182-L182)&gt;SnapshotTolerance,1,0)</f>
        <v>0</v>
      </c>
      <c r="AM182" s="279">
        <f ca="1">IF(ABS(Z182-M182)&gt;SnapshotTolerance,1,0)</f>
        <v>0</v>
      </c>
    </row>
    <row r="183" spans="2:39">
      <c r="B183" s="282" t="str">
        <f>'JPY Swap PVs'!AG63</f>
        <v>25Y</v>
      </c>
      <c r="C183" s="278">
        <f ca="1">'JPY Swap PVs'!AH63</f>
        <v>-1047182.7946827149</v>
      </c>
      <c r="D183" s="278">
        <f ca="1">'JPY Swap PVs'!AI63</f>
        <v>-837746.23574617179</v>
      </c>
      <c r="E183" s="278">
        <f ca="1">'JPY Swap PVs'!AJ63</f>
        <v>-628309.67680962884</v>
      </c>
      <c r="F183" s="278">
        <f ca="1">'JPY Swap PVs'!AK63</f>
        <v>-418873.11787308584</v>
      </c>
      <c r="G183" s="278">
        <f ca="1">'JPY Swap PVs'!AL63</f>
        <v>-209436.55893654292</v>
      </c>
      <c r="H183" s="278">
        <f ca="1">'JPY Swap PVs'!AM63</f>
        <v>0</v>
      </c>
      <c r="I183" s="278">
        <f ca="1">'JPY Swap PVs'!AN63</f>
        <v>209436.55893654289</v>
      </c>
      <c r="J183" s="278">
        <f ca="1">'JPY Swap PVs'!AO63</f>
        <v>418873.1178730859</v>
      </c>
      <c r="K183" s="278">
        <f ca="1">'JPY Swap PVs'!AP63</f>
        <v>628309.67680962884</v>
      </c>
      <c r="L183" s="278">
        <f ca="1">'JPY Swap PVs'!AQ63</f>
        <v>837746.23574617179</v>
      </c>
      <c r="M183" s="279">
        <f ca="1">'JPY Swap PVs'!AR63</f>
        <v>1047182.7946827149</v>
      </c>
      <c r="O183" s="282" t="s">
        <v>18</v>
      </c>
      <c r="P183" s="278">
        <v>-1047182.7946827149</v>
      </c>
      <c r="Q183" s="278">
        <v>-837746.23574617179</v>
      </c>
      <c r="R183" s="278">
        <v>-628309.67680962884</v>
      </c>
      <c r="S183" s="278">
        <v>-418873.11787308584</v>
      </c>
      <c r="T183" s="278">
        <v>-209436.55893654292</v>
      </c>
      <c r="U183" s="278">
        <v>0</v>
      </c>
      <c r="V183" s="278">
        <v>209436.55893654289</v>
      </c>
      <c r="W183" s="278">
        <v>418873.1178730859</v>
      </c>
      <c r="X183" s="278">
        <v>628309.67680962884</v>
      </c>
      <c r="Y183" s="278">
        <v>837746.23574617179</v>
      </c>
      <c r="Z183" s="279">
        <v>1047182.7946827149</v>
      </c>
      <c r="AB183" s="282" t="str">
        <f t="shared" si="13"/>
        <v>25Y</v>
      </c>
      <c r="AC183" s="278">
        <f ca="1">IF(ABS(P183-C183)&gt;SnapshotTolerance,1,0)</f>
        <v>0</v>
      </c>
      <c r="AD183" s="278">
        <f ca="1">IF(ABS(Q183-D183)&gt;SnapshotTolerance,1,0)</f>
        <v>0</v>
      </c>
      <c r="AE183" s="278">
        <f ca="1">IF(ABS(R183-E183)&gt;SnapshotTolerance,1,0)</f>
        <v>0</v>
      </c>
      <c r="AF183" s="278">
        <f ca="1">IF(ABS(S183-F183)&gt;SnapshotTolerance,1,0)</f>
        <v>0</v>
      </c>
      <c r="AG183" s="278">
        <f ca="1">IF(ABS(T183-G183)&gt;SnapshotTolerance,1,0)</f>
        <v>0</v>
      </c>
      <c r="AH183" s="278">
        <f ca="1">IF(ABS(U183-H183)&gt;SnapshotTolerance,1,0)</f>
        <v>0</v>
      </c>
      <c r="AI183" s="278">
        <f ca="1">IF(ABS(V183-I183)&gt;SnapshotTolerance,1,0)</f>
        <v>0</v>
      </c>
      <c r="AJ183" s="278">
        <f ca="1">IF(ABS(W183-J183)&gt;SnapshotTolerance,1,0)</f>
        <v>0</v>
      </c>
      <c r="AK183" s="278">
        <f ca="1">IF(ABS(X183-K183)&gt;SnapshotTolerance,1,0)</f>
        <v>0</v>
      </c>
      <c r="AL183" s="278">
        <f ca="1">IF(ABS(Y183-L183)&gt;SnapshotTolerance,1,0)</f>
        <v>0</v>
      </c>
      <c r="AM183" s="279">
        <f ca="1">IF(ABS(Z183-M183)&gt;SnapshotTolerance,1,0)</f>
        <v>0</v>
      </c>
    </row>
    <row r="184" spans="2:39">
      <c r="B184" s="282" t="str">
        <f>'JPY Swap PVs'!AG64</f>
        <v>30Y</v>
      </c>
      <c r="C184" s="278">
        <f ca="1">'JPY Swap PVs'!AH64</f>
        <v>-1200253.8604142829</v>
      </c>
      <c r="D184" s="278">
        <f ca="1">'JPY Swap PVs'!AI64</f>
        <v>-960203.08833142626</v>
      </c>
      <c r="E184" s="278">
        <f ca="1">'JPY Swap PVs'!AJ64</f>
        <v>-720152.31624856964</v>
      </c>
      <c r="F184" s="278">
        <f ca="1">'JPY Swap PVs'!AK64</f>
        <v>-480101.54416571307</v>
      </c>
      <c r="G184" s="278">
        <f ca="1">'JPY Swap PVs'!AL64</f>
        <v>-240050.77208285651</v>
      </c>
      <c r="H184" s="278">
        <f ca="1">'JPY Swap PVs'!AM64</f>
        <v>0</v>
      </c>
      <c r="I184" s="278">
        <f ca="1">'JPY Swap PVs'!AN64</f>
        <v>240050.77208285668</v>
      </c>
      <c r="J184" s="278">
        <f ca="1">'JPY Swap PVs'!AO64</f>
        <v>480101.54416571307</v>
      </c>
      <c r="K184" s="278">
        <f ca="1">'JPY Swap PVs'!AP64</f>
        <v>720152.31624856964</v>
      </c>
      <c r="L184" s="278">
        <f ca="1">'JPY Swap PVs'!AQ64</f>
        <v>960203.08833142626</v>
      </c>
      <c r="M184" s="279">
        <f ca="1">'JPY Swap PVs'!AR64</f>
        <v>1200253.8604142831</v>
      </c>
      <c r="O184" s="282" t="s">
        <v>17</v>
      </c>
      <c r="P184" s="278">
        <v>-1200253.8604142829</v>
      </c>
      <c r="Q184" s="278">
        <v>-960203.08833142626</v>
      </c>
      <c r="R184" s="278">
        <v>-720152.31624856964</v>
      </c>
      <c r="S184" s="278">
        <v>-480101.54416571307</v>
      </c>
      <c r="T184" s="278">
        <v>-240050.77208285651</v>
      </c>
      <c r="U184" s="278">
        <v>0</v>
      </c>
      <c r="V184" s="278">
        <v>240050.77208285668</v>
      </c>
      <c r="W184" s="278">
        <v>480101.54416571307</v>
      </c>
      <c r="X184" s="278">
        <v>720152.31624856964</v>
      </c>
      <c r="Y184" s="278">
        <v>960203.08833142626</v>
      </c>
      <c r="Z184" s="279">
        <v>1200253.8604142831</v>
      </c>
      <c r="AB184" s="282" t="str">
        <f t="shared" si="13"/>
        <v>30Y</v>
      </c>
      <c r="AC184" s="278">
        <f ca="1">IF(ABS(P184-C184)&gt;SnapshotTolerance,1,0)</f>
        <v>0</v>
      </c>
      <c r="AD184" s="278">
        <f ca="1">IF(ABS(Q184-D184)&gt;SnapshotTolerance,1,0)</f>
        <v>0</v>
      </c>
      <c r="AE184" s="278">
        <f ca="1">IF(ABS(R184-E184)&gt;SnapshotTolerance,1,0)</f>
        <v>0</v>
      </c>
      <c r="AF184" s="278">
        <f ca="1">IF(ABS(S184-F184)&gt;SnapshotTolerance,1,0)</f>
        <v>0</v>
      </c>
      <c r="AG184" s="278">
        <f ca="1">IF(ABS(T184-G184)&gt;SnapshotTolerance,1,0)</f>
        <v>0</v>
      </c>
      <c r="AH184" s="278">
        <f ca="1">IF(ABS(U184-H184)&gt;SnapshotTolerance,1,0)</f>
        <v>0</v>
      </c>
      <c r="AI184" s="278">
        <f ca="1">IF(ABS(V184-I184)&gt;SnapshotTolerance,1,0)</f>
        <v>0</v>
      </c>
      <c r="AJ184" s="278">
        <f ca="1">IF(ABS(W184-J184)&gt;SnapshotTolerance,1,0)</f>
        <v>0</v>
      </c>
      <c r="AK184" s="278">
        <f ca="1">IF(ABS(X184-K184)&gt;SnapshotTolerance,1,0)</f>
        <v>0</v>
      </c>
      <c r="AL184" s="278">
        <f ca="1">IF(ABS(Y184-L184)&gt;SnapshotTolerance,1,0)</f>
        <v>0</v>
      </c>
      <c r="AM184" s="279">
        <f ca="1">IF(ABS(Z184-M184)&gt;SnapshotTolerance,1,0)</f>
        <v>0</v>
      </c>
    </row>
    <row r="185" spans="2:39">
      <c r="B185" s="282" t="str">
        <f>'JPY Swap PVs'!AG65</f>
        <v>35Y</v>
      </c>
      <c r="C185" s="278">
        <f ca="1">'JPY Swap PVs'!AH65</f>
        <v>-1341179.2700771403</v>
      </c>
      <c r="D185" s="278">
        <f ca="1">'JPY Swap PVs'!AI65</f>
        <v>-1072943.4160617122</v>
      </c>
      <c r="E185" s="278">
        <f ca="1">'JPY Swap PVs'!AJ65</f>
        <v>-804707.56204628397</v>
      </c>
      <c r="F185" s="278">
        <f ca="1">'JPY Swap PVs'!AK65</f>
        <v>-536471.70803085598</v>
      </c>
      <c r="G185" s="278">
        <f ca="1">'JPY Swap PVs'!AL65</f>
        <v>-268235.85401542793</v>
      </c>
      <c r="H185" s="278">
        <f ca="1">'JPY Swap PVs'!AM65</f>
        <v>0</v>
      </c>
      <c r="I185" s="278">
        <f ca="1">'JPY Swap PVs'!AN65</f>
        <v>268235.85401542811</v>
      </c>
      <c r="J185" s="278">
        <f ca="1">'JPY Swap PVs'!AO65</f>
        <v>536471.7080308561</v>
      </c>
      <c r="K185" s="278">
        <f ca="1">'JPY Swap PVs'!AP65</f>
        <v>804707.56204628397</v>
      </c>
      <c r="L185" s="278">
        <f ca="1">'JPY Swap PVs'!AQ65</f>
        <v>1072943.4160617122</v>
      </c>
      <c r="M185" s="279">
        <f ca="1">'JPY Swap PVs'!AR65</f>
        <v>1341179.2700771403</v>
      </c>
      <c r="O185" s="282" t="s">
        <v>16</v>
      </c>
      <c r="P185" s="278">
        <v>-1341179.2700771403</v>
      </c>
      <c r="Q185" s="278">
        <v>-1072943.4160617122</v>
      </c>
      <c r="R185" s="278">
        <v>-804707.56204628397</v>
      </c>
      <c r="S185" s="278">
        <v>-536471.70803085598</v>
      </c>
      <c r="T185" s="278">
        <v>-268235.85401542793</v>
      </c>
      <c r="U185" s="278">
        <v>0</v>
      </c>
      <c r="V185" s="278">
        <v>268235.85401542811</v>
      </c>
      <c r="W185" s="278">
        <v>536471.7080308561</v>
      </c>
      <c r="X185" s="278">
        <v>804707.56204628397</v>
      </c>
      <c r="Y185" s="278">
        <v>1072943.4160617122</v>
      </c>
      <c r="Z185" s="279">
        <v>1341179.2700771403</v>
      </c>
      <c r="AB185" s="282" t="str">
        <f t="shared" si="13"/>
        <v>35Y</v>
      </c>
      <c r="AC185" s="278">
        <f ca="1">IF(ABS(P185-C185)&gt;SnapshotTolerance,1,0)</f>
        <v>0</v>
      </c>
      <c r="AD185" s="278">
        <f ca="1">IF(ABS(Q185-D185)&gt;SnapshotTolerance,1,0)</f>
        <v>0</v>
      </c>
      <c r="AE185" s="278">
        <f ca="1">IF(ABS(R185-E185)&gt;SnapshotTolerance,1,0)</f>
        <v>0</v>
      </c>
      <c r="AF185" s="278">
        <f ca="1">IF(ABS(S185-F185)&gt;SnapshotTolerance,1,0)</f>
        <v>0</v>
      </c>
      <c r="AG185" s="278">
        <f ca="1">IF(ABS(T185-G185)&gt;SnapshotTolerance,1,0)</f>
        <v>0</v>
      </c>
      <c r="AH185" s="278">
        <f ca="1">IF(ABS(U185-H185)&gt;SnapshotTolerance,1,0)</f>
        <v>0</v>
      </c>
      <c r="AI185" s="278">
        <f ca="1">IF(ABS(V185-I185)&gt;SnapshotTolerance,1,0)</f>
        <v>0</v>
      </c>
      <c r="AJ185" s="278">
        <f ca="1">IF(ABS(W185-J185)&gt;SnapshotTolerance,1,0)</f>
        <v>0</v>
      </c>
      <c r="AK185" s="278">
        <f ca="1">IF(ABS(X185-K185)&gt;SnapshotTolerance,1,0)</f>
        <v>0</v>
      </c>
      <c r="AL185" s="278">
        <f ca="1">IF(ABS(Y185-L185)&gt;SnapshotTolerance,1,0)</f>
        <v>0</v>
      </c>
      <c r="AM185" s="279">
        <f ca="1">IF(ABS(Z185-M185)&gt;SnapshotTolerance,1,0)</f>
        <v>0</v>
      </c>
    </row>
    <row r="186" spans="2:39">
      <c r="B186" s="282" t="str">
        <f>'JPY Swap PVs'!AG66</f>
        <v>40Y</v>
      </c>
      <c r="C186" s="278">
        <f ca="1">'JPY Swap PVs'!AH66</f>
        <v>-1471307.5991774681</v>
      </c>
      <c r="D186" s="278">
        <f ca="1">'JPY Swap PVs'!AI66</f>
        <v>-1177046.0793419741</v>
      </c>
      <c r="E186" s="278">
        <f ca="1">'JPY Swap PVs'!AJ66</f>
        <v>-882784.55950648058</v>
      </c>
      <c r="F186" s="278">
        <f ca="1">'JPY Swap PVs'!AK66</f>
        <v>-588523.03967098694</v>
      </c>
      <c r="G186" s="278">
        <f ca="1">'JPY Swap PVs'!AL66</f>
        <v>-294261.51983549347</v>
      </c>
      <c r="H186" s="278">
        <f ca="1">'JPY Swap PVs'!AM66</f>
        <v>0</v>
      </c>
      <c r="I186" s="278">
        <f ca="1">'JPY Swap PVs'!AN66</f>
        <v>294261.51983549341</v>
      </c>
      <c r="J186" s="278">
        <f ca="1">'JPY Swap PVs'!AO66</f>
        <v>588523.03967098705</v>
      </c>
      <c r="K186" s="278">
        <f ca="1">'JPY Swap PVs'!AP66</f>
        <v>882784.55950648047</v>
      </c>
      <c r="L186" s="278">
        <f ca="1">'JPY Swap PVs'!AQ66</f>
        <v>1177046.0793419741</v>
      </c>
      <c r="M186" s="279">
        <f ca="1">'JPY Swap PVs'!AR66</f>
        <v>1471307.5991774676</v>
      </c>
      <c r="O186" s="282" t="s">
        <v>15</v>
      </c>
      <c r="P186" s="278">
        <v>-1471307.5991774681</v>
      </c>
      <c r="Q186" s="278">
        <v>-1177046.0793419741</v>
      </c>
      <c r="R186" s="278">
        <v>-882784.55950648058</v>
      </c>
      <c r="S186" s="278">
        <v>-588523.03967098694</v>
      </c>
      <c r="T186" s="278">
        <v>-294261.51983549347</v>
      </c>
      <c r="U186" s="278">
        <v>0</v>
      </c>
      <c r="V186" s="278">
        <v>294261.51983549341</v>
      </c>
      <c r="W186" s="278">
        <v>588523.03967098705</v>
      </c>
      <c r="X186" s="278">
        <v>882784.55950648047</v>
      </c>
      <c r="Y186" s="278">
        <v>1177046.0793419741</v>
      </c>
      <c r="Z186" s="279">
        <v>1471307.5991774676</v>
      </c>
      <c r="AB186" s="282" t="str">
        <f t="shared" si="13"/>
        <v>40Y</v>
      </c>
      <c r="AC186" s="278">
        <f ca="1">IF(ABS(P186-C186)&gt;SnapshotTolerance,1,0)</f>
        <v>0</v>
      </c>
      <c r="AD186" s="278">
        <f ca="1">IF(ABS(Q186-D186)&gt;SnapshotTolerance,1,0)</f>
        <v>0</v>
      </c>
      <c r="AE186" s="278">
        <f ca="1">IF(ABS(R186-E186)&gt;SnapshotTolerance,1,0)</f>
        <v>0</v>
      </c>
      <c r="AF186" s="278">
        <f ca="1">IF(ABS(S186-F186)&gt;SnapshotTolerance,1,0)</f>
        <v>0</v>
      </c>
      <c r="AG186" s="278">
        <f ca="1">IF(ABS(T186-G186)&gt;SnapshotTolerance,1,0)</f>
        <v>0</v>
      </c>
      <c r="AH186" s="278">
        <f ca="1">IF(ABS(U186-H186)&gt;SnapshotTolerance,1,0)</f>
        <v>0</v>
      </c>
      <c r="AI186" s="278">
        <f ca="1">IF(ABS(V186-I186)&gt;SnapshotTolerance,1,0)</f>
        <v>0</v>
      </c>
      <c r="AJ186" s="278">
        <f ca="1">IF(ABS(W186-J186)&gt;SnapshotTolerance,1,0)</f>
        <v>0</v>
      </c>
      <c r="AK186" s="278">
        <f ca="1">IF(ABS(X186-K186)&gt;SnapshotTolerance,1,0)</f>
        <v>0</v>
      </c>
      <c r="AL186" s="278">
        <f ca="1">IF(ABS(Y186-L186)&gt;SnapshotTolerance,1,0)</f>
        <v>0</v>
      </c>
      <c r="AM186" s="279">
        <f ca="1">IF(ABS(Z186-M186)&gt;SnapshotTolerance,1,0)</f>
        <v>0</v>
      </c>
    </row>
    <row r="187" spans="2:39">
      <c r="B187" s="282"/>
      <c r="C187" s="278"/>
      <c r="D187" s="278"/>
      <c r="E187" s="278"/>
      <c r="F187" s="278"/>
      <c r="G187" s="278"/>
      <c r="H187" s="278"/>
      <c r="I187" s="278"/>
      <c r="J187" s="278"/>
      <c r="K187" s="278"/>
      <c r="L187" s="278"/>
      <c r="M187" s="279"/>
      <c r="O187" s="282"/>
      <c r="P187" s="278"/>
      <c r="Q187" s="278"/>
      <c r="R187" s="278"/>
      <c r="S187" s="278"/>
      <c r="T187" s="278"/>
      <c r="U187" s="278"/>
      <c r="V187" s="278"/>
      <c r="W187" s="278"/>
      <c r="X187" s="278"/>
      <c r="Y187" s="278"/>
      <c r="Z187" s="279"/>
      <c r="AB187" s="282"/>
      <c r="AC187" s="278"/>
      <c r="AD187" s="278"/>
      <c r="AE187" s="278"/>
      <c r="AF187" s="278"/>
      <c r="AG187" s="278"/>
      <c r="AH187" s="278"/>
      <c r="AI187" s="278"/>
      <c r="AJ187" s="278"/>
      <c r="AK187" s="278"/>
      <c r="AL187" s="278"/>
      <c r="AM187" s="279"/>
    </row>
    <row r="188" spans="2:39">
      <c r="B188" s="282"/>
      <c r="C188" s="278"/>
      <c r="D188" s="278"/>
      <c r="E188" s="278"/>
      <c r="F188" s="278"/>
      <c r="G188" s="278"/>
      <c r="H188" s="278"/>
      <c r="I188" s="278"/>
      <c r="J188" s="278"/>
      <c r="K188" s="278"/>
      <c r="L188" s="278"/>
      <c r="M188" s="279"/>
      <c r="O188" s="282"/>
      <c r="P188" s="278"/>
      <c r="Q188" s="278"/>
      <c r="R188" s="278"/>
      <c r="S188" s="278"/>
      <c r="T188" s="278"/>
      <c r="U188" s="278"/>
      <c r="V188" s="278"/>
      <c r="W188" s="278"/>
      <c r="X188" s="278"/>
      <c r="Y188" s="278"/>
      <c r="Z188" s="279"/>
      <c r="AB188" s="282"/>
      <c r="AC188" s="278"/>
      <c r="AD188" s="278"/>
      <c r="AE188" s="278"/>
      <c r="AF188" s="278"/>
      <c r="AG188" s="278"/>
      <c r="AH188" s="278"/>
      <c r="AI188" s="278"/>
      <c r="AJ188" s="278"/>
      <c r="AK188" s="278"/>
      <c r="AL188" s="278"/>
      <c r="AM188" s="279"/>
    </row>
    <row r="189" spans="2:39">
      <c r="B189" s="282"/>
      <c r="C189" s="278"/>
      <c r="D189" s="278"/>
      <c r="E189" s="278"/>
      <c r="F189" s="278"/>
      <c r="G189" s="278"/>
      <c r="H189" s="278"/>
      <c r="I189" s="278"/>
      <c r="J189" s="278"/>
      <c r="K189" s="278"/>
      <c r="L189" s="278"/>
      <c r="M189" s="279"/>
      <c r="O189" s="282"/>
      <c r="P189" s="278"/>
      <c r="Q189" s="278"/>
      <c r="R189" s="278"/>
      <c r="S189" s="278"/>
      <c r="T189" s="278"/>
      <c r="U189" s="278"/>
      <c r="V189" s="278"/>
      <c r="W189" s="278"/>
      <c r="X189" s="278"/>
      <c r="Y189" s="278"/>
      <c r="Z189" s="279"/>
      <c r="AB189" s="282"/>
      <c r="AC189" s="278"/>
      <c r="AD189" s="278"/>
      <c r="AE189" s="278"/>
      <c r="AF189" s="278"/>
      <c r="AG189" s="278"/>
      <c r="AH189" s="278"/>
      <c r="AI189" s="278"/>
      <c r="AJ189" s="278"/>
      <c r="AK189" s="278"/>
      <c r="AL189" s="278"/>
      <c r="AM189" s="279"/>
    </row>
    <row r="190" spans="2:39">
      <c r="B190" s="283"/>
      <c r="C190" s="280"/>
      <c r="D190" s="280"/>
      <c r="E190" s="280"/>
      <c r="F190" s="280"/>
      <c r="G190" s="280"/>
      <c r="H190" s="280"/>
      <c r="I190" s="280"/>
      <c r="J190" s="280"/>
      <c r="K190" s="280"/>
      <c r="L190" s="280"/>
      <c r="M190" s="281"/>
      <c r="O190" s="283"/>
      <c r="P190" s="280"/>
      <c r="Q190" s="280"/>
      <c r="R190" s="280"/>
      <c r="S190" s="280"/>
      <c r="T190" s="280"/>
      <c r="U190" s="280"/>
      <c r="V190" s="280"/>
      <c r="W190" s="280"/>
      <c r="X190" s="280"/>
      <c r="Y190" s="280"/>
      <c r="Z190" s="281"/>
      <c r="AB190" s="283"/>
      <c r="AC190" s="280"/>
      <c r="AD190" s="280"/>
      <c r="AE190" s="280"/>
      <c r="AF190" s="280"/>
      <c r="AG190" s="280"/>
      <c r="AH190" s="280"/>
      <c r="AI190" s="280"/>
      <c r="AJ190" s="280"/>
      <c r="AK190" s="280"/>
      <c r="AL190" s="280"/>
      <c r="AM190" s="281"/>
    </row>
    <row r="193" spans="2:39">
      <c r="B193" t="s">
        <v>533</v>
      </c>
      <c r="E193" t="s">
        <v>472</v>
      </c>
    </row>
    <row r="194" spans="2:39">
      <c r="B194" t="s">
        <v>530</v>
      </c>
      <c r="E194" s="252">
        <f ca="1">SUM(AC199:AM217)</f>
        <v>0</v>
      </c>
    </row>
    <row r="195" spans="2:39">
      <c r="B195" t="s">
        <v>532</v>
      </c>
    </row>
    <row r="197" spans="2:39">
      <c r="B197" t="s">
        <v>510</v>
      </c>
      <c r="O197" t="s">
        <v>470</v>
      </c>
      <c r="AB197" t="s">
        <v>511</v>
      </c>
    </row>
    <row r="198" spans="2:39">
      <c r="B198" s="254" t="str">
        <f>'JPY Swap PVs'!AG76</f>
        <v>Term</v>
      </c>
      <c r="C198" s="287">
        <f>'JPY Swap PVs'!AH76</f>
        <v>500</v>
      </c>
      <c r="D198" s="287">
        <f>'JPY Swap PVs'!AI76</f>
        <v>400</v>
      </c>
      <c r="E198" s="287">
        <f>'JPY Swap PVs'!AJ76</f>
        <v>300</v>
      </c>
      <c r="F198" s="287">
        <f>'JPY Swap PVs'!AK76</f>
        <v>200</v>
      </c>
      <c r="G198" s="287">
        <f>'JPY Swap PVs'!AL76</f>
        <v>100</v>
      </c>
      <c r="H198" s="287">
        <f>'JPY Swap PVs'!AM76</f>
        <v>0</v>
      </c>
      <c r="I198" s="287">
        <f>'JPY Swap PVs'!AN76</f>
        <v>-100</v>
      </c>
      <c r="J198" s="287">
        <f>'JPY Swap PVs'!AO76</f>
        <v>-200</v>
      </c>
      <c r="K198" s="287">
        <f>'JPY Swap PVs'!AP76</f>
        <v>-300</v>
      </c>
      <c r="L198" s="287">
        <f>'JPY Swap PVs'!AQ76</f>
        <v>-400</v>
      </c>
      <c r="M198" s="288">
        <f>'JPY Swap PVs'!AR76</f>
        <v>-500</v>
      </c>
      <c r="O198" s="254" t="s">
        <v>76</v>
      </c>
      <c r="P198" s="287">
        <v>500</v>
      </c>
      <c r="Q198" s="287">
        <v>400</v>
      </c>
      <c r="R198" s="287">
        <v>300</v>
      </c>
      <c r="S198" s="287">
        <v>200</v>
      </c>
      <c r="T198" s="287">
        <v>100</v>
      </c>
      <c r="U198" s="287">
        <v>0</v>
      </c>
      <c r="V198" s="287">
        <v>-100</v>
      </c>
      <c r="W198" s="287">
        <v>-200</v>
      </c>
      <c r="X198" s="287">
        <v>-300</v>
      </c>
      <c r="Y198" s="287">
        <v>-400</v>
      </c>
      <c r="Z198" s="288">
        <v>-500</v>
      </c>
      <c r="AB198" s="254" t="str">
        <f>O198</f>
        <v>Term</v>
      </c>
      <c r="AC198" s="287">
        <f>P198</f>
        <v>500</v>
      </c>
      <c r="AD198" s="287">
        <f t="shared" ref="AD198:AM198" si="14">Q198</f>
        <v>400</v>
      </c>
      <c r="AE198" s="287">
        <f t="shared" si="14"/>
        <v>300</v>
      </c>
      <c r="AF198" s="287">
        <f t="shared" si="14"/>
        <v>200</v>
      </c>
      <c r="AG198" s="287">
        <f t="shared" si="14"/>
        <v>100</v>
      </c>
      <c r="AH198" s="287">
        <f t="shared" si="14"/>
        <v>0</v>
      </c>
      <c r="AI198" s="287">
        <f t="shared" si="14"/>
        <v>-100</v>
      </c>
      <c r="AJ198" s="287">
        <f t="shared" si="14"/>
        <v>-200</v>
      </c>
      <c r="AK198" s="287">
        <f t="shared" si="14"/>
        <v>-300</v>
      </c>
      <c r="AL198" s="287">
        <f t="shared" si="14"/>
        <v>-400</v>
      </c>
      <c r="AM198" s="288">
        <f t="shared" si="14"/>
        <v>-500</v>
      </c>
    </row>
    <row r="199" spans="2:39">
      <c r="B199" s="282" t="str">
        <f>'JPY Swap PVs'!AG77</f>
        <v>3Y</v>
      </c>
      <c r="C199" s="278">
        <f ca="1">'JPY Swap PVs'!AH77</f>
        <v>-152542.46364885769</v>
      </c>
      <c r="D199" s="278">
        <f ca="1">'JPY Swap PVs'!AI77</f>
        <v>-122033.97091908616</v>
      </c>
      <c r="E199" s="278">
        <f ca="1">'JPY Swap PVs'!AJ77</f>
        <v>-91525.478189314643</v>
      </c>
      <c r="F199" s="278">
        <f ca="1">'JPY Swap PVs'!AK77</f>
        <v>-61016.985459543073</v>
      </c>
      <c r="G199" s="278">
        <f ca="1">'JPY Swap PVs'!AL77</f>
        <v>-30508.49272977154</v>
      </c>
      <c r="H199" s="278">
        <f ca="1">'JPY Swap PVs'!AM77</f>
        <v>0</v>
      </c>
      <c r="I199" s="278">
        <f ca="1">'JPY Swap PVs'!AN77</f>
        <v>30508.49272977154</v>
      </c>
      <c r="J199" s="278">
        <f ca="1">'JPY Swap PVs'!AO77</f>
        <v>61016.985459543081</v>
      </c>
      <c r="K199" s="278">
        <f ca="1">'JPY Swap PVs'!AP77</f>
        <v>91525.478189314643</v>
      </c>
      <c r="L199" s="278">
        <f ca="1">'JPY Swap PVs'!AQ77</f>
        <v>122033.97091908616</v>
      </c>
      <c r="M199" s="279">
        <f ca="1">'JPY Swap PVs'!AR77</f>
        <v>152542.46364885769</v>
      </c>
      <c r="O199" s="282" t="s">
        <v>39</v>
      </c>
      <c r="P199" s="278">
        <v>-152542.46364885769</v>
      </c>
      <c r="Q199" s="278">
        <v>-122033.97091908616</v>
      </c>
      <c r="R199" s="278">
        <v>-91525.478189314643</v>
      </c>
      <c r="S199" s="278">
        <v>-61016.985459543073</v>
      </c>
      <c r="T199" s="278">
        <v>-30508.49272977154</v>
      </c>
      <c r="U199" s="278">
        <v>0</v>
      </c>
      <c r="V199" s="278">
        <v>30508.49272977154</v>
      </c>
      <c r="W199" s="278">
        <v>61016.985459543081</v>
      </c>
      <c r="X199" s="278">
        <v>91525.478189314643</v>
      </c>
      <c r="Y199" s="278">
        <v>122033.97091908616</v>
      </c>
      <c r="Z199" s="279">
        <v>152542.46364885769</v>
      </c>
      <c r="AB199" s="282" t="str">
        <f t="shared" ref="AB199:AB217" si="15">O199</f>
        <v>3Y</v>
      </c>
      <c r="AC199" s="278">
        <f ca="1">IF(ABS(P199-C199)&gt;SnapshotTolerance,1,0)</f>
        <v>0</v>
      </c>
      <c r="AD199" s="278">
        <f ca="1">IF(ABS(Q199-D199)&gt;SnapshotTolerance,1,0)</f>
        <v>0</v>
      </c>
      <c r="AE199" s="278">
        <f ca="1">IF(ABS(R199-E199)&gt;SnapshotTolerance,1,0)</f>
        <v>0</v>
      </c>
      <c r="AF199" s="278">
        <f ca="1">IF(ABS(S199-F199)&gt;SnapshotTolerance,1,0)</f>
        <v>0</v>
      </c>
      <c r="AG199" s="278">
        <f ca="1">IF(ABS(T199-G199)&gt;SnapshotTolerance,1,0)</f>
        <v>0</v>
      </c>
      <c r="AH199" s="278">
        <f ca="1">IF(ABS(U199-H199)&gt;SnapshotTolerance,1,0)</f>
        <v>0</v>
      </c>
      <c r="AI199" s="278">
        <f ca="1">IF(ABS(V199-I199)&gt;SnapshotTolerance,1,0)</f>
        <v>0</v>
      </c>
      <c r="AJ199" s="278">
        <f ca="1">IF(ABS(W199-J199)&gt;SnapshotTolerance,1,0)</f>
        <v>0</v>
      </c>
      <c r="AK199" s="278">
        <f ca="1">IF(ABS(X199-K199)&gt;SnapshotTolerance,1,0)</f>
        <v>0</v>
      </c>
      <c r="AL199" s="278">
        <f ca="1">IF(ABS(Y199-L199)&gt;SnapshotTolerance,1,0)</f>
        <v>0</v>
      </c>
      <c r="AM199" s="279">
        <f ca="1">IF(ABS(Z199-M199)&gt;SnapshotTolerance,1,0)</f>
        <v>0</v>
      </c>
    </row>
    <row r="200" spans="2:39">
      <c r="B200" s="282" t="str">
        <f>'JPY Swap PVs'!AG78</f>
        <v>4Y</v>
      </c>
      <c r="C200" s="278">
        <f ca="1">'JPY Swap PVs'!AH78</f>
        <v>-202890.72538400179</v>
      </c>
      <c r="D200" s="278">
        <f ca="1">'JPY Swap PVs'!AI78</f>
        <v>-162312.58030720142</v>
      </c>
      <c r="E200" s="278">
        <f ca="1">'JPY Swap PVs'!AJ78</f>
        <v>-121734.43523040108</v>
      </c>
      <c r="F200" s="278">
        <f ca="1">'JPY Swap PVs'!AK78</f>
        <v>-81156.290153600712</v>
      </c>
      <c r="G200" s="278">
        <f ca="1">'JPY Swap PVs'!AL78</f>
        <v>-40578.145076800363</v>
      </c>
      <c r="H200" s="278">
        <f ca="1">'JPY Swap PVs'!AM78</f>
        <v>0</v>
      </c>
      <c r="I200" s="278">
        <f ca="1">'JPY Swap PVs'!AN78</f>
        <v>40578.145076800356</v>
      </c>
      <c r="J200" s="278">
        <f ca="1">'JPY Swap PVs'!AO78</f>
        <v>81156.290153600712</v>
      </c>
      <c r="K200" s="278">
        <f ca="1">'JPY Swap PVs'!AP78</f>
        <v>121734.43523040108</v>
      </c>
      <c r="L200" s="278">
        <f ca="1">'JPY Swap PVs'!AQ78</f>
        <v>162312.58030720145</v>
      </c>
      <c r="M200" s="279">
        <f ca="1">'JPY Swap PVs'!AR78</f>
        <v>202890.72538400179</v>
      </c>
      <c r="O200" s="282" t="s">
        <v>35</v>
      </c>
      <c r="P200" s="278">
        <v>-202890.72538400179</v>
      </c>
      <c r="Q200" s="278">
        <v>-162312.58030720142</v>
      </c>
      <c r="R200" s="278">
        <v>-121734.43523040108</v>
      </c>
      <c r="S200" s="278">
        <v>-81156.290153600712</v>
      </c>
      <c r="T200" s="278">
        <v>-40578.145076800363</v>
      </c>
      <c r="U200" s="278">
        <v>0</v>
      </c>
      <c r="V200" s="278">
        <v>40578.145076800356</v>
      </c>
      <c r="W200" s="278">
        <v>81156.290153600712</v>
      </c>
      <c r="X200" s="278">
        <v>121734.43523040108</v>
      </c>
      <c r="Y200" s="278">
        <v>162312.58030720145</v>
      </c>
      <c r="Z200" s="279">
        <v>202890.72538400179</v>
      </c>
      <c r="AB200" s="282" t="str">
        <f t="shared" si="15"/>
        <v>4Y</v>
      </c>
      <c r="AC200" s="278">
        <f ca="1">IF(ABS(P200-C200)&gt;SnapshotTolerance,1,0)</f>
        <v>0</v>
      </c>
      <c r="AD200" s="278">
        <f ca="1">IF(ABS(Q200-D200)&gt;SnapshotTolerance,1,0)</f>
        <v>0</v>
      </c>
      <c r="AE200" s="278">
        <f ca="1">IF(ABS(R200-E200)&gt;SnapshotTolerance,1,0)</f>
        <v>0</v>
      </c>
      <c r="AF200" s="278">
        <f ca="1">IF(ABS(S200-F200)&gt;SnapshotTolerance,1,0)</f>
        <v>0</v>
      </c>
      <c r="AG200" s="278">
        <f ca="1">IF(ABS(T200-G200)&gt;SnapshotTolerance,1,0)</f>
        <v>0</v>
      </c>
      <c r="AH200" s="278">
        <f ca="1">IF(ABS(U200-H200)&gt;SnapshotTolerance,1,0)</f>
        <v>0</v>
      </c>
      <c r="AI200" s="278">
        <f ca="1">IF(ABS(V200-I200)&gt;SnapshotTolerance,1,0)</f>
        <v>0</v>
      </c>
      <c r="AJ200" s="278">
        <f ca="1">IF(ABS(W200-J200)&gt;SnapshotTolerance,1,0)</f>
        <v>0</v>
      </c>
      <c r="AK200" s="278">
        <f ca="1">IF(ABS(X200-K200)&gt;SnapshotTolerance,1,0)</f>
        <v>0</v>
      </c>
      <c r="AL200" s="278">
        <f ca="1">IF(ABS(Y200-L200)&gt;SnapshotTolerance,1,0)</f>
        <v>0</v>
      </c>
      <c r="AM200" s="279">
        <f ca="1">IF(ABS(Z200-M200)&gt;SnapshotTolerance,1,0)</f>
        <v>0</v>
      </c>
    </row>
    <row r="201" spans="2:39">
      <c r="B201" s="282" t="str">
        <f>'JPY Swap PVs'!AG79</f>
        <v>5Y</v>
      </c>
      <c r="C201" s="278">
        <f ca="1">'JPY Swap PVs'!AH79</f>
        <v>-253069.52850750225</v>
      </c>
      <c r="D201" s="278">
        <f ca="1">'JPY Swap PVs'!AI79</f>
        <v>-202455.62280600175</v>
      </c>
      <c r="E201" s="278">
        <f ca="1">'JPY Swap PVs'!AJ79</f>
        <v>-151841.71710450135</v>
      </c>
      <c r="F201" s="278">
        <f ca="1">'JPY Swap PVs'!AK79</f>
        <v>-101227.81140300087</v>
      </c>
      <c r="G201" s="278">
        <f ca="1">'JPY Swap PVs'!AL79</f>
        <v>-50613.905701500444</v>
      </c>
      <c r="H201" s="278">
        <f ca="1">'JPY Swap PVs'!AM79</f>
        <v>0</v>
      </c>
      <c r="I201" s="278">
        <f ca="1">'JPY Swap PVs'!AN79</f>
        <v>50613.905701500444</v>
      </c>
      <c r="J201" s="278">
        <f ca="1">'JPY Swap PVs'!AO79</f>
        <v>101227.81140300089</v>
      </c>
      <c r="K201" s="278">
        <f ca="1">'JPY Swap PVs'!AP79</f>
        <v>151841.71710450135</v>
      </c>
      <c r="L201" s="278">
        <f ca="1">'JPY Swap PVs'!AQ79</f>
        <v>202455.6228060018</v>
      </c>
      <c r="M201" s="279">
        <f ca="1">'JPY Swap PVs'!AR79</f>
        <v>253069.5285075022</v>
      </c>
      <c r="O201" s="282" t="s">
        <v>33</v>
      </c>
      <c r="P201" s="278">
        <v>-253069.52850750225</v>
      </c>
      <c r="Q201" s="278">
        <v>-202455.62280600175</v>
      </c>
      <c r="R201" s="278">
        <v>-151841.71710450135</v>
      </c>
      <c r="S201" s="278">
        <v>-101227.81140300087</v>
      </c>
      <c r="T201" s="278">
        <v>-50613.905701500444</v>
      </c>
      <c r="U201" s="278">
        <v>0</v>
      </c>
      <c r="V201" s="278">
        <v>50613.905701500444</v>
      </c>
      <c r="W201" s="278">
        <v>101227.81140300089</v>
      </c>
      <c r="X201" s="278">
        <v>151841.71710450135</v>
      </c>
      <c r="Y201" s="278">
        <v>202455.6228060018</v>
      </c>
      <c r="Z201" s="279">
        <v>253069.5285075022</v>
      </c>
      <c r="AB201" s="282" t="str">
        <f t="shared" si="15"/>
        <v>5Y</v>
      </c>
      <c r="AC201" s="278">
        <f ca="1">IF(ABS(P201-C201)&gt;SnapshotTolerance,1,0)</f>
        <v>0</v>
      </c>
      <c r="AD201" s="278">
        <f ca="1">IF(ABS(Q201-D201)&gt;SnapshotTolerance,1,0)</f>
        <v>0</v>
      </c>
      <c r="AE201" s="278">
        <f ca="1">IF(ABS(R201-E201)&gt;SnapshotTolerance,1,0)</f>
        <v>0</v>
      </c>
      <c r="AF201" s="278">
        <f ca="1">IF(ABS(S201-F201)&gt;SnapshotTolerance,1,0)</f>
        <v>0</v>
      </c>
      <c r="AG201" s="278">
        <f ca="1">IF(ABS(T201-G201)&gt;SnapshotTolerance,1,0)</f>
        <v>0</v>
      </c>
      <c r="AH201" s="278">
        <f ca="1">IF(ABS(U201-H201)&gt;SnapshotTolerance,1,0)</f>
        <v>0</v>
      </c>
      <c r="AI201" s="278">
        <f ca="1">IF(ABS(V201-I201)&gt;SnapshotTolerance,1,0)</f>
        <v>0</v>
      </c>
      <c r="AJ201" s="278">
        <f ca="1">IF(ABS(W201-J201)&gt;SnapshotTolerance,1,0)</f>
        <v>0</v>
      </c>
      <c r="AK201" s="278">
        <f ca="1">IF(ABS(X201-K201)&gt;SnapshotTolerance,1,0)</f>
        <v>0</v>
      </c>
      <c r="AL201" s="278">
        <f ca="1">IF(ABS(Y201-L201)&gt;SnapshotTolerance,1,0)</f>
        <v>0</v>
      </c>
      <c r="AM201" s="279">
        <f ca="1">IF(ABS(Z201-M201)&gt;SnapshotTolerance,1,0)</f>
        <v>0</v>
      </c>
    </row>
    <row r="202" spans="2:39">
      <c r="B202" s="282" t="str">
        <f>'JPY Swap PVs'!AG80</f>
        <v>6Y</v>
      </c>
      <c r="C202" s="278">
        <f ca="1">'JPY Swap PVs'!AH80</f>
        <v>-302490.7129720439</v>
      </c>
      <c r="D202" s="278">
        <f ca="1">'JPY Swap PVs'!AI80</f>
        <v>-241992.57037763507</v>
      </c>
      <c r="E202" s="278">
        <f ca="1">'JPY Swap PVs'!AJ80</f>
        <v>-181494.42778322636</v>
      </c>
      <c r="F202" s="278">
        <f ca="1">'JPY Swap PVs'!AK80</f>
        <v>-120996.28518881752</v>
      </c>
      <c r="G202" s="278">
        <f ca="1">'JPY Swap PVs'!AL80</f>
        <v>-60498.142594408753</v>
      </c>
      <c r="H202" s="278">
        <f ca="1">'JPY Swap PVs'!AM80</f>
        <v>0</v>
      </c>
      <c r="I202" s="278">
        <f ca="1">'JPY Swap PVs'!AN80</f>
        <v>60498.142594408775</v>
      </c>
      <c r="J202" s="278">
        <f ca="1">'JPY Swap PVs'!AO80</f>
        <v>120996.28518881755</v>
      </c>
      <c r="K202" s="278">
        <f ca="1">'JPY Swap PVs'!AP80</f>
        <v>181494.42778322633</v>
      </c>
      <c r="L202" s="278">
        <f ca="1">'JPY Swap PVs'!AQ80</f>
        <v>241992.5703776351</v>
      </c>
      <c r="M202" s="279">
        <f ca="1">'JPY Swap PVs'!AR80</f>
        <v>302490.7129720439</v>
      </c>
      <c r="O202" s="282" t="s">
        <v>131</v>
      </c>
      <c r="P202" s="278">
        <v>-302490.7129720439</v>
      </c>
      <c r="Q202" s="278">
        <v>-241992.57037763507</v>
      </c>
      <c r="R202" s="278">
        <v>-181494.42778322636</v>
      </c>
      <c r="S202" s="278">
        <v>-120996.28518881752</v>
      </c>
      <c r="T202" s="278">
        <v>-60498.142594408753</v>
      </c>
      <c r="U202" s="278">
        <v>0</v>
      </c>
      <c r="V202" s="278">
        <v>60498.142594408775</v>
      </c>
      <c r="W202" s="278">
        <v>120996.28518881755</v>
      </c>
      <c r="X202" s="278">
        <v>181494.42778322633</v>
      </c>
      <c r="Y202" s="278">
        <v>241992.5703776351</v>
      </c>
      <c r="Z202" s="279">
        <v>302490.7129720439</v>
      </c>
      <c r="AB202" s="282" t="str">
        <f t="shared" si="15"/>
        <v>6Y</v>
      </c>
      <c r="AC202" s="278">
        <f ca="1">IF(ABS(P202-C202)&gt;SnapshotTolerance,1,0)</f>
        <v>0</v>
      </c>
      <c r="AD202" s="278">
        <f ca="1">IF(ABS(Q202-D202)&gt;SnapshotTolerance,1,0)</f>
        <v>0</v>
      </c>
      <c r="AE202" s="278">
        <f ca="1">IF(ABS(R202-E202)&gt;SnapshotTolerance,1,0)</f>
        <v>0</v>
      </c>
      <c r="AF202" s="278">
        <f ca="1">IF(ABS(S202-F202)&gt;SnapshotTolerance,1,0)</f>
        <v>0</v>
      </c>
      <c r="AG202" s="278">
        <f ca="1">IF(ABS(T202-G202)&gt;SnapshotTolerance,1,0)</f>
        <v>0</v>
      </c>
      <c r="AH202" s="278">
        <f ca="1">IF(ABS(U202-H202)&gt;SnapshotTolerance,1,0)</f>
        <v>0</v>
      </c>
      <c r="AI202" s="278">
        <f ca="1">IF(ABS(V202-I202)&gt;SnapshotTolerance,1,0)</f>
        <v>0</v>
      </c>
      <c r="AJ202" s="278">
        <f ca="1">IF(ABS(W202-J202)&gt;SnapshotTolerance,1,0)</f>
        <v>0</v>
      </c>
      <c r="AK202" s="278">
        <f ca="1">IF(ABS(X202-K202)&gt;SnapshotTolerance,1,0)</f>
        <v>0</v>
      </c>
      <c r="AL202" s="278">
        <f ca="1">IF(ABS(Y202-L202)&gt;SnapshotTolerance,1,0)</f>
        <v>0</v>
      </c>
      <c r="AM202" s="279">
        <f ca="1">IF(ABS(Z202-M202)&gt;SnapshotTolerance,1,0)</f>
        <v>0</v>
      </c>
    </row>
    <row r="203" spans="2:39">
      <c r="B203" s="282" t="str">
        <f>'JPY Swap PVs'!AG81</f>
        <v>7Y</v>
      </c>
      <c r="C203" s="278">
        <f ca="1">'JPY Swap PVs'!AH81</f>
        <v>-351141.27427565068</v>
      </c>
      <c r="D203" s="278">
        <f ca="1">'JPY Swap PVs'!AI81</f>
        <v>-280913.0194205204</v>
      </c>
      <c r="E203" s="278">
        <f ca="1">'JPY Swap PVs'!AJ81</f>
        <v>-210684.76456539039</v>
      </c>
      <c r="F203" s="278">
        <f ca="1">'JPY Swap PVs'!AK81</f>
        <v>-140456.5097102602</v>
      </c>
      <c r="G203" s="278">
        <f ca="1">'JPY Swap PVs'!AL81</f>
        <v>-70228.254855130101</v>
      </c>
      <c r="H203" s="278">
        <f ca="1">'JPY Swap PVs'!AM81</f>
        <v>0</v>
      </c>
      <c r="I203" s="278">
        <f ca="1">'JPY Swap PVs'!AN81</f>
        <v>70228.254855130115</v>
      </c>
      <c r="J203" s="278">
        <f ca="1">'JPY Swap PVs'!AO81</f>
        <v>140456.50971026023</v>
      </c>
      <c r="K203" s="278">
        <f ca="1">'JPY Swap PVs'!AP81</f>
        <v>210684.76456539036</v>
      </c>
      <c r="L203" s="278">
        <f ca="1">'JPY Swap PVs'!AQ81</f>
        <v>280913.01942052052</v>
      </c>
      <c r="M203" s="279">
        <f ca="1">'JPY Swap PVs'!AR81</f>
        <v>351141.27427565056</v>
      </c>
      <c r="O203" s="282" t="s">
        <v>31</v>
      </c>
      <c r="P203" s="278">
        <v>-351141.27427565068</v>
      </c>
      <c r="Q203" s="278">
        <v>-280913.0194205204</v>
      </c>
      <c r="R203" s="278">
        <v>-210684.76456539039</v>
      </c>
      <c r="S203" s="278">
        <v>-140456.5097102602</v>
      </c>
      <c r="T203" s="278">
        <v>-70228.254855130101</v>
      </c>
      <c r="U203" s="278">
        <v>0</v>
      </c>
      <c r="V203" s="278">
        <v>70228.254855130115</v>
      </c>
      <c r="W203" s="278">
        <v>140456.50971026023</v>
      </c>
      <c r="X203" s="278">
        <v>210684.76456539036</v>
      </c>
      <c r="Y203" s="278">
        <v>280913.01942052052</v>
      </c>
      <c r="Z203" s="279">
        <v>351141.27427565056</v>
      </c>
      <c r="AB203" s="282" t="str">
        <f t="shared" si="15"/>
        <v>7Y</v>
      </c>
      <c r="AC203" s="278">
        <f ca="1">IF(ABS(P203-C203)&gt;SnapshotTolerance,1,0)</f>
        <v>0</v>
      </c>
      <c r="AD203" s="278">
        <f ca="1">IF(ABS(Q203-D203)&gt;SnapshotTolerance,1,0)</f>
        <v>0</v>
      </c>
      <c r="AE203" s="278">
        <f ca="1">IF(ABS(R203-E203)&gt;SnapshotTolerance,1,0)</f>
        <v>0</v>
      </c>
      <c r="AF203" s="278">
        <f ca="1">IF(ABS(S203-F203)&gt;SnapshotTolerance,1,0)</f>
        <v>0</v>
      </c>
      <c r="AG203" s="278">
        <f ca="1">IF(ABS(T203-G203)&gt;SnapshotTolerance,1,0)</f>
        <v>0</v>
      </c>
      <c r="AH203" s="278">
        <f ca="1">IF(ABS(U203-H203)&gt;SnapshotTolerance,1,0)</f>
        <v>0</v>
      </c>
      <c r="AI203" s="278">
        <f ca="1">IF(ABS(V203-I203)&gt;SnapshotTolerance,1,0)</f>
        <v>0</v>
      </c>
      <c r="AJ203" s="278">
        <f ca="1">IF(ABS(W203-J203)&gt;SnapshotTolerance,1,0)</f>
        <v>0</v>
      </c>
      <c r="AK203" s="278">
        <f ca="1">IF(ABS(X203-K203)&gt;SnapshotTolerance,1,0)</f>
        <v>0</v>
      </c>
      <c r="AL203" s="278">
        <f ca="1">IF(ABS(Y203-L203)&gt;SnapshotTolerance,1,0)</f>
        <v>0</v>
      </c>
      <c r="AM203" s="279">
        <f ca="1">IF(ABS(Z203-M203)&gt;SnapshotTolerance,1,0)</f>
        <v>0</v>
      </c>
    </row>
    <row r="204" spans="2:39">
      <c r="B204" s="282" t="str">
        <f>'JPY Swap PVs'!AG82</f>
        <v>8Y</v>
      </c>
      <c r="C204" s="278">
        <f ca="1">'JPY Swap PVs'!AH82</f>
        <v>-399166.62011515006</v>
      </c>
      <c r="D204" s="278">
        <f ca="1">'JPY Swap PVs'!AI82</f>
        <v>-319333.29609212</v>
      </c>
      <c r="E204" s="278">
        <f ca="1">'JPY Swap PVs'!AJ82</f>
        <v>-239499.97206909009</v>
      </c>
      <c r="F204" s="278">
        <f ca="1">'JPY Swap PVs'!AK82</f>
        <v>-159666.64804605997</v>
      </c>
      <c r="G204" s="278">
        <f ca="1">'JPY Swap PVs'!AL82</f>
        <v>-79833.324023029971</v>
      </c>
      <c r="H204" s="278">
        <f ca="1">'JPY Swap PVs'!AM82</f>
        <v>0</v>
      </c>
      <c r="I204" s="278">
        <f ca="1">'JPY Swap PVs'!AN82</f>
        <v>79833.32402303</v>
      </c>
      <c r="J204" s="278">
        <f ca="1">'JPY Swap PVs'!AO82</f>
        <v>159666.64804606</v>
      </c>
      <c r="K204" s="278">
        <f ca="1">'JPY Swap PVs'!AP82</f>
        <v>239499.97206909009</v>
      </c>
      <c r="L204" s="278">
        <f ca="1">'JPY Swap PVs'!AQ82</f>
        <v>319333.29609212</v>
      </c>
      <c r="M204" s="279">
        <f ca="1">'JPY Swap PVs'!AR82</f>
        <v>399166.62011515006</v>
      </c>
      <c r="O204" s="282" t="s">
        <v>119</v>
      </c>
      <c r="P204" s="278">
        <v>-399166.62011515006</v>
      </c>
      <c r="Q204" s="278">
        <v>-319333.29609212</v>
      </c>
      <c r="R204" s="278">
        <v>-239499.97206909009</v>
      </c>
      <c r="S204" s="278">
        <v>-159666.64804605997</v>
      </c>
      <c r="T204" s="278">
        <v>-79833.324023029971</v>
      </c>
      <c r="U204" s="278">
        <v>0</v>
      </c>
      <c r="V204" s="278">
        <v>79833.32402303</v>
      </c>
      <c r="W204" s="278">
        <v>159666.64804606</v>
      </c>
      <c r="X204" s="278">
        <v>239499.97206909009</v>
      </c>
      <c r="Y204" s="278">
        <v>319333.29609212</v>
      </c>
      <c r="Z204" s="279">
        <v>399166.62011515006</v>
      </c>
      <c r="AB204" s="282" t="str">
        <f t="shared" si="15"/>
        <v>8Y</v>
      </c>
      <c r="AC204" s="278">
        <f ca="1">IF(ABS(P204-C204)&gt;SnapshotTolerance,1,0)</f>
        <v>0</v>
      </c>
      <c r="AD204" s="278">
        <f ca="1">IF(ABS(Q204-D204)&gt;SnapshotTolerance,1,0)</f>
        <v>0</v>
      </c>
      <c r="AE204" s="278">
        <f ca="1">IF(ABS(R204-E204)&gt;SnapshotTolerance,1,0)</f>
        <v>0</v>
      </c>
      <c r="AF204" s="278">
        <f ca="1">IF(ABS(S204-F204)&gt;SnapshotTolerance,1,0)</f>
        <v>0</v>
      </c>
      <c r="AG204" s="278">
        <f ca="1">IF(ABS(T204-G204)&gt;SnapshotTolerance,1,0)</f>
        <v>0</v>
      </c>
      <c r="AH204" s="278">
        <f ca="1">IF(ABS(U204-H204)&gt;SnapshotTolerance,1,0)</f>
        <v>0</v>
      </c>
      <c r="AI204" s="278">
        <f ca="1">IF(ABS(V204-I204)&gt;SnapshotTolerance,1,0)</f>
        <v>0</v>
      </c>
      <c r="AJ204" s="278">
        <f ca="1">IF(ABS(W204-J204)&gt;SnapshotTolerance,1,0)</f>
        <v>0</v>
      </c>
      <c r="AK204" s="278">
        <f ca="1">IF(ABS(X204-K204)&gt;SnapshotTolerance,1,0)</f>
        <v>0</v>
      </c>
      <c r="AL204" s="278">
        <f ca="1">IF(ABS(Y204-L204)&gt;SnapshotTolerance,1,0)</f>
        <v>0</v>
      </c>
      <c r="AM204" s="279">
        <f ca="1">IF(ABS(Z204-M204)&gt;SnapshotTolerance,1,0)</f>
        <v>0</v>
      </c>
    </row>
    <row r="205" spans="2:39">
      <c r="B205" s="282" t="str">
        <f>'JPY Swap PVs'!AG83</f>
        <v>9Y</v>
      </c>
      <c r="C205" s="278">
        <f ca="1">'JPY Swap PVs'!AH83</f>
        <v>-445844.23518302297</v>
      </c>
      <c r="D205" s="278">
        <f ca="1">'JPY Swap PVs'!AI83</f>
        <v>-356675.38814641832</v>
      </c>
      <c r="E205" s="278">
        <f ca="1">'JPY Swap PVs'!AJ83</f>
        <v>-267506.54110981378</v>
      </c>
      <c r="F205" s="278">
        <f ca="1">'JPY Swap PVs'!AK83</f>
        <v>-178337.6940732091</v>
      </c>
      <c r="G205" s="278">
        <f ca="1">'JPY Swap PVs'!AL83</f>
        <v>-89168.847036604537</v>
      </c>
      <c r="H205" s="278">
        <f ca="1">'JPY Swap PVs'!AM83</f>
        <v>0</v>
      </c>
      <c r="I205" s="278">
        <f ca="1">'JPY Swap PVs'!AN83</f>
        <v>89168.847036604609</v>
      </c>
      <c r="J205" s="278">
        <f ca="1">'JPY Swap PVs'!AO83</f>
        <v>178337.69407320922</v>
      </c>
      <c r="K205" s="278">
        <f ca="1">'JPY Swap PVs'!AP83</f>
        <v>267506.54110981378</v>
      </c>
      <c r="L205" s="278">
        <f ca="1">'JPY Swap PVs'!AQ83</f>
        <v>356675.38814641844</v>
      </c>
      <c r="M205" s="279">
        <f ca="1">'JPY Swap PVs'!AR83</f>
        <v>445844.23518302303</v>
      </c>
      <c r="O205" s="282" t="s">
        <v>113</v>
      </c>
      <c r="P205" s="278">
        <v>-445844.23518302297</v>
      </c>
      <c r="Q205" s="278">
        <v>-356675.38814641832</v>
      </c>
      <c r="R205" s="278">
        <v>-267506.54110981378</v>
      </c>
      <c r="S205" s="278">
        <v>-178337.6940732091</v>
      </c>
      <c r="T205" s="278">
        <v>-89168.847036604537</v>
      </c>
      <c r="U205" s="278">
        <v>0</v>
      </c>
      <c r="V205" s="278">
        <v>89168.847036604609</v>
      </c>
      <c r="W205" s="278">
        <v>178337.69407320922</v>
      </c>
      <c r="X205" s="278">
        <v>267506.54110981378</v>
      </c>
      <c r="Y205" s="278">
        <v>356675.38814641844</v>
      </c>
      <c r="Z205" s="279">
        <v>445844.23518302303</v>
      </c>
      <c r="AB205" s="282" t="str">
        <f t="shared" si="15"/>
        <v>9Y</v>
      </c>
      <c r="AC205" s="278">
        <f ca="1">IF(ABS(P205-C205)&gt;SnapshotTolerance,1,0)</f>
        <v>0</v>
      </c>
      <c r="AD205" s="278">
        <f ca="1">IF(ABS(Q205-D205)&gt;SnapshotTolerance,1,0)</f>
        <v>0</v>
      </c>
      <c r="AE205" s="278">
        <f ca="1">IF(ABS(R205-E205)&gt;SnapshotTolerance,1,0)</f>
        <v>0</v>
      </c>
      <c r="AF205" s="278">
        <f ca="1">IF(ABS(S205-F205)&gt;SnapshotTolerance,1,0)</f>
        <v>0</v>
      </c>
      <c r="AG205" s="278">
        <f ca="1">IF(ABS(T205-G205)&gt;SnapshotTolerance,1,0)</f>
        <v>0</v>
      </c>
      <c r="AH205" s="278">
        <f ca="1">IF(ABS(U205-H205)&gt;SnapshotTolerance,1,0)</f>
        <v>0</v>
      </c>
      <c r="AI205" s="278">
        <f ca="1">IF(ABS(V205-I205)&gt;SnapshotTolerance,1,0)</f>
        <v>0</v>
      </c>
      <c r="AJ205" s="278">
        <f ca="1">IF(ABS(W205-J205)&gt;SnapshotTolerance,1,0)</f>
        <v>0</v>
      </c>
      <c r="AK205" s="278">
        <f ca="1">IF(ABS(X205-K205)&gt;SnapshotTolerance,1,0)</f>
        <v>0</v>
      </c>
      <c r="AL205" s="278">
        <f ca="1">IF(ABS(Y205-L205)&gt;SnapshotTolerance,1,0)</f>
        <v>0</v>
      </c>
      <c r="AM205" s="279">
        <f ca="1">IF(ABS(Z205-M205)&gt;SnapshotTolerance,1,0)</f>
        <v>0</v>
      </c>
    </row>
    <row r="206" spans="2:39">
      <c r="B206" s="282" t="str">
        <f>'JPY Swap PVs'!AG84</f>
        <v>10Y</v>
      </c>
      <c r="C206" s="278">
        <f ca="1">'JPY Swap PVs'!AH84</f>
        <v>-491641.46924409922</v>
      </c>
      <c r="D206" s="278">
        <f ca="1">'JPY Swap PVs'!AI84</f>
        <v>-393313.17539527931</v>
      </c>
      <c r="E206" s="278">
        <f ca="1">'JPY Swap PVs'!AJ84</f>
        <v>-294984.88154645963</v>
      </c>
      <c r="F206" s="278">
        <f ca="1">'JPY Swap PVs'!AK84</f>
        <v>-196656.58769763965</v>
      </c>
      <c r="G206" s="278">
        <f ca="1">'JPY Swap PVs'!AL84</f>
        <v>-98328.293848819783</v>
      </c>
      <c r="H206" s="278">
        <f ca="1">'JPY Swap PVs'!AM84</f>
        <v>0</v>
      </c>
      <c r="I206" s="278">
        <f ca="1">'JPY Swap PVs'!AN84</f>
        <v>98328.293848819885</v>
      </c>
      <c r="J206" s="278">
        <f ca="1">'JPY Swap PVs'!AO84</f>
        <v>196656.58769763974</v>
      </c>
      <c r="K206" s="278">
        <f ca="1">'JPY Swap PVs'!AP84</f>
        <v>294984.88154645963</v>
      </c>
      <c r="L206" s="278">
        <f ca="1">'JPY Swap PVs'!AQ84</f>
        <v>393313.17539527948</v>
      </c>
      <c r="M206" s="279">
        <f ca="1">'JPY Swap PVs'!AR84</f>
        <v>491641.46924409934</v>
      </c>
      <c r="O206" s="282" t="s">
        <v>28</v>
      </c>
      <c r="P206" s="278">
        <v>-491641.46924409922</v>
      </c>
      <c r="Q206" s="278">
        <v>-393313.17539527931</v>
      </c>
      <c r="R206" s="278">
        <v>-294984.88154645963</v>
      </c>
      <c r="S206" s="278">
        <v>-196656.58769763965</v>
      </c>
      <c r="T206" s="278">
        <v>-98328.293848819783</v>
      </c>
      <c r="U206" s="278">
        <v>0</v>
      </c>
      <c r="V206" s="278">
        <v>98328.293848819885</v>
      </c>
      <c r="W206" s="278">
        <v>196656.58769763974</v>
      </c>
      <c r="X206" s="278">
        <v>294984.88154645963</v>
      </c>
      <c r="Y206" s="278">
        <v>393313.17539527948</v>
      </c>
      <c r="Z206" s="279">
        <v>491641.46924409934</v>
      </c>
      <c r="AB206" s="282" t="str">
        <f t="shared" si="15"/>
        <v>10Y</v>
      </c>
      <c r="AC206" s="278">
        <f ca="1">IF(ABS(P206-C206)&gt;SnapshotTolerance,1,0)</f>
        <v>0</v>
      </c>
      <c r="AD206" s="278">
        <f ca="1">IF(ABS(Q206-D206)&gt;SnapshotTolerance,1,0)</f>
        <v>0</v>
      </c>
      <c r="AE206" s="278">
        <f ca="1">IF(ABS(R206-E206)&gt;SnapshotTolerance,1,0)</f>
        <v>0</v>
      </c>
      <c r="AF206" s="278">
        <f ca="1">IF(ABS(S206-F206)&gt;SnapshotTolerance,1,0)</f>
        <v>0</v>
      </c>
      <c r="AG206" s="278">
        <f ca="1">IF(ABS(T206-G206)&gt;SnapshotTolerance,1,0)</f>
        <v>0</v>
      </c>
      <c r="AH206" s="278">
        <f ca="1">IF(ABS(U206-H206)&gt;SnapshotTolerance,1,0)</f>
        <v>0</v>
      </c>
      <c r="AI206" s="278">
        <f ca="1">IF(ABS(V206-I206)&gt;SnapshotTolerance,1,0)</f>
        <v>0</v>
      </c>
      <c r="AJ206" s="278">
        <f ca="1">IF(ABS(W206-J206)&gt;SnapshotTolerance,1,0)</f>
        <v>0</v>
      </c>
      <c r="AK206" s="278">
        <f ca="1">IF(ABS(X206-K206)&gt;SnapshotTolerance,1,0)</f>
        <v>0</v>
      </c>
      <c r="AL206" s="278">
        <f ca="1">IF(ABS(Y206-L206)&gt;SnapshotTolerance,1,0)</f>
        <v>0</v>
      </c>
      <c r="AM206" s="279">
        <f ca="1">IF(ABS(Z206-M206)&gt;SnapshotTolerance,1,0)</f>
        <v>0</v>
      </c>
    </row>
    <row r="207" spans="2:39">
      <c r="B207" s="282" t="str">
        <f>'JPY Swap PVs'!AG85</f>
        <v>12Y</v>
      </c>
      <c r="C207" s="278">
        <f ca="1">'JPY Swap PVs'!AH85</f>
        <v>-580132.46295708534</v>
      </c>
      <c r="D207" s="278">
        <f ca="1">'JPY Swap PVs'!AI85</f>
        <v>-464105.97036566824</v>
      </c>
      <c r="E207" s="278">
        <f ca="1">'JPY Swap PVs'!AJ85</f>
        <v>-348079.47777425131</v>
      </c>
      <c r="F207" s="278">
        <f ca="1">'JPY Swap PVs'!AK85</f>
        <v>-232052.98518283406</v>
      </c>
      <c r="G207" s="278">
        <f ca="1">'JPY Swap PVs'!AL85</f>
        <v>-116026.49259141696</v>
      </c>
      <c r="H207" s="278">
        <f ca="1">'JPY Swap PVs'!AM85</f>
        <v>0</v>
      </c>
      <c r="I207" s="278">
        <f ca="1">'JPY Swap PVs'!AN85</f>
        <v>116026.49259141713</v>
      </c>
      <c r="J207" s="278">
        <f ca="1">'JPY Swap PVs'!AO85</f>
        <v>232052.98518283421</v>
      </c>
      <c r="K207" s="278">
        <f ca="1">'JPY Swap PVs'!AP85</f>
        <v>348079.47777425137</v>
      </c>
      <c r="L207" s="278">
        <f ca="1">'JPY Swap PVs'!AQ85</f>
        <v>464105.97036566841</v>
      </c>
      <c r="M207" s="279">
        <f ca="1">'JPY Swap PVs'!AR85</f>
        <v>580132.46295708546</v>
      </c>
      <c r="O207" s="282" t="s">
        <v>26</v>
      </c>
      <c r="P207" s="278">
        <v>-580132.46295708534</v>
      </c>
      <c r="Q207" s="278">
        <v>-464105.97036566824</v>
      </c>
      <c r="R207" s="278">
        <v>-348079.47777425131</v>
      </c>
      <c r="S207" s="278">
        <v>-232052.98518283406</v>
      </c>
      <c r="T207" s="278">
        <v>-116026.49259141696</v>
      </c>
      <c r="U207" s="278">
        <v>0</v>
      </c>
      <c r="V207" s="278">
        <v>116026.49259141713</v>
      </c>
      <c r="W207" s="278">
        <v>232052.98518283421</v>
      </c>
      <c r="X207" s="278">
        <v>348079.47777425137</v>
      </c>
      <c r="Y207" s="278">
        <v>464105.97036566841</v>
      </c>
      <c r="Z207" s="279">
        <v>580132.46295708546</v>
      </c>
      <c r="AB207" s="282" t="str">
        <f t="shared" si="15"/>
        <v>12Y</v>
      </c>
      <c r="AC207" s="278">
        <f ca="1">IF(ABS(P207-C207)&gt;SnapshotTolerance,1,0)</f>
        <v>0</v>
      </c>
      <c r="AD207" s="278">
        <f ca="1">IF(ABS(Q207-D207)&gt;SnapshotTolerance,1,0)</f>
        <v>0</v>
      </c>
      <c r="AE207" s="278">
        <f ca="1">IF(ABS(R207-E207)&gt;SnapshotTolerance,1,0)</f>
        <v>0</v>
      </c>
      <c r="AF207" s="278">
        <f ca="1">IF(ABS(S207-F207)&gt;SnapshotTolerance,1,0)</f>
        <v>0</v>
      </c>
      <c r="AG207" s="278">
        <f ca="1">IF(ABS(T207-G207)&gt;SnapshotTolerance,1,0)</f>
        <v>0</v>
      </c>
      <c r="AH207" s="278">
        <f ca="1">IF(ABS(U207-H207)&gt;SnapshotTolerance,1,0)</f>
        <v>0</v>
      </c>
      <c r="AI207" s="278">
        <f ca="1">IF(ABS(V207-I207)&gt;SnapshotTolerance,1,0)</f>
        <v>0</v>
      </c>
      <c r="AJ207" s="278">
        <f ca="1">IF(ABS(W207-J207)&gt;SnapshotTolerance,1,0)</f>
        <v>0</v>
      </c>
      <c r="AK207" s="278">
        <f ca="1">IF(ABS(X207-K207)&gt;SnapshotTolerance,1,0)</f>
        <v>0</v>
      </c>
      <c r="AL207" s="278">
        <f ca="1">IF(ABS(Y207-L207)&gt;SnapshotTolerance,1,0)</f>
        <v>0</v>
      </c>
      <c r="AM207" s="279">
        <f ca="1">IF(ABS(Z207-M207)&gt;SnapshotTolerance,1,0)</f>
        <v>0</v>
      </c>
    </row>
    <row r="208" spans="2:39">
      <c r="B208" s="282" t="str">
        <f>'JPY Swap PVs'!AG86</f>
        <v>15Y</v>
      </c>
      <c r="C208" s="278">
        <f ca="1">'JPY Swap PVs'!AH86</f>
        <v>-705375.04990592087</v>
      </c>
      <c r="D208" s="278">
        <f ca="1">'JPY Swap PVs'!AI86</f>
        <v>-564300.0399247366</v>
      </c>
      <c r="E208" s="278">
        <f ca="1">'JPY Swap PVs'!AJ86</f>
        <v>-423225.02994355251</v>
      </c>
      <c r="F208" s="278">
        <f ca="1">'JPY Swap PVs'!AK86</f>
        <v>-282150.0199623683</v>
      </c>
      <c r="G208" s="278">
        <f ca="1">'JPY Swap PVs'!AL86</f>
        <v>-141075.00998118403</v>
      </c>
      <c r="H208" s="278">
        <f ca="1">'JPY Swap PVs'!AM86</f>
        <v>2.7755575615628914E-11</v>
      </c>
      <c r="I208" s="278">
        <f ca="1">'JPY Swap PVs'!AN86</f>
        <v>141075.00998118427</v>
      </c>
      <c r="J208" s="278">
        <f ca="1">'JPY Swap PVs'!AO86</f>
        <v>282150.01996236842</v>
      </c>
      <c r="K208" s="278">
        <f ca="1">'JPY Swap PVs'!AP86</f>
        <v>423225.02994355268</v>
      </c>
      <c r="L208" s="278">
        <f ca="1">'JPY Swap PVs'!AQ86</f>
        <v>564300.03992473683</v>
      </c>
      <c r="M208" s="279">
        <f ca="1">'JPY Swap PVs'!AR86</f>
        <v>705375.04990592098</v>
      </c>
      <c r="O208" s="282" t="s">
        <v>24</v>
      </c>
      <c r="P208" s="278">
        <v>-705375.04990592087</v>
      </c>
      <c r="Q208" s="278">
        <v>-564300.0399247366</v>
      </c>
      <c r="R208" s="278">
        <v>-423225.02994355251</v>
      </c>
      <c r="S208" s="278">
        <v>-282150.0199623683</v>
      </c>
      <c r="T208" s="278">
        <v>-141075.00998118403</v>
      </c>
      <c r="U208" s="278">
        <v>2.7755575615628914E-11</v>
      </c>
      <c r="V208" s="278">
        <v>141075.00998118427</v>
      </c>
      <c r="W208" s="278">
        <v>282150.01996236842</v>
      </c>
      <c r="X208" s="278">
        <v>423225.02994355268</v>
      </c>
      <c r="Y208" s="278">
        <v>564300.03992473683</v>
      </c>
      <c r="Z208" s="279">
        <v>705375.04990592098</v>
      </c>
      <c r="AB208" s="282" t="str">
        <f t="shared" si="15"/>
        <v>15Y</v>
      </c>
      <c r="AC208" s="278">
        <f ca="1">IF(ABS(P208-C208)&gt;SnapshotTolerance,1,0)</f>
        <v>0</v>
      </c>
      <c r="AD208" s="278">
        <f ca="1">IF(ABS(Q208-D208)&gt;SnapshotTolerance,1,0)</f>
        <v>0</v>
      </c>
      <c r="AE208" s="278">
        <f ca="1">IF(ABS(R208-E208)&gt;SnapshotTolerance,1,0)</f>
        <v>0</v>
      </c>
      <c r="AF208" s="278">
        <f ca="1">IF(ABS(S208-F208)&gt;SnapshotTolerance,1,0)</f>
        <v>0</v>
      </c>
      <c r="AG208" s="278">
        <f ca="1">IF(ABS(T208-G208)&gt;SnapshotTolerance,1,0)</f>
        <v>0</v>
      </c>
      <c r="AH208" s="278">
        <f ca="1">IF(ABS(U208-H208)&gt;SnapshotTolerance,1,0)</f>
        <v>0</v>
      </c>
      <c r="AI208" s="278">
        <f ca="1">IF(ABS(V208-I208)&gt;SnapshotTolerance,1,0)</f>
        <v>0</v>
      </c>
      <c r="AJ208" s="278">
        <f ca="1">IF(ABS(W208-J208)&gt;SnapshotTolerance,1,0)</f>
        <v>0</v>
      </c>
      <c r="AK208" s="278">
        <f ca="1">IF(ABS(X208-K208)&gt;SnapshotTolerance,1,0)</f>
        <v>0</v>
      </c>
      <c r="AL208" s="278">
        <f ca="1">IF(ABS(Y208-L208)&gt;SnapshotTolerance,1,0)</f>
        <v>0</v>
      </c>
      <c r="AM208" s="279">
        <f ca="1">IF(ABS(Z208-M208)&gt;SnapshotTolerance,1,0)</f>
        <v>0</v>
      </c>
    </row>
    <row r="209" spans="2:39">
      <c r="B209" s="282" t="str">
        <f>'JPY Swap PVs'!AG87</f>
        <v>20Y</v>
      </c>
      <c r="C209" s="278">
        <f ca="1">'JPY Swap PVs'!AH87</f>
        <v>-895612.96666418295</v>
      </c>
      <c r="D209" s="278">
        <f ca="1">'JPY Swap PVs'!AI87</f>
        <v>-716490.37333134632</v>
      </c>
      <c r="E209" s="278">
        <f ca="1">'JPY Swap PVs'!AJ87</f>
        <v>-537367.77999850968</v>
      </c>
      <c r="F209" s="278">
        <f ca="1">'JPY Swap PVs'!AK87</f>
        <v>-358245.18666567304</v>
      </c>
      <c r="G209" s="278">
        <f ca="1">'JPY Swap PVs'!AL87</f>
        <v>-179122.59333283643</v>
      </c>
      <c r="H209" s="278">
        <f ca="1">'JPY Swap PVs'!AM87</f>
        <v>-5.5511151231257827E-11</v>
      </c>
      <c r="I209" s="278">
        <f ca="1">'JPY Swap PVs'!AN87</f>
        <v>179122.59333283667</v>
      </c>
      <c r="J209" s="278">
        <f ca="1">'JPY Swap PVs'!AO87</f>
        <v>358245.18666567327</v>
      </c>
      <c r="K209" s="278">
        <f ca="1">'JPY Swap PVs'!AP87</f>
        <v>537367.77999850991</v>
      </c>
      <c r="L209" s="278">
        <f ca="1">'JPY Swap PVs'!AQ87</f>
        <v>716490.37333134643</v>
      </c>
      <c r="M209" s="279">
        <f ca="1">'JPY Swap PVs'!AR87</f>
        <v>895612.96666418307</v>
      </c>
      <c r="O209" s="282" t="s">
        <v>20</v>
      </c>
      <c r="P209" s="278">
        <v>-895612.96666418295</v>
      </c>
      <c r="Q209" s="278">
        <v>-716490.37333134632</v>
      </c>
      <c r="R209" s="278">
        <v>-537367.77999850968</v>
      </c>
      <c r="S209" s="278">
        <v>-358245.18666567304</v>
      </c>
      <c r="T209" s="278">
        <v>-179122.59333283643</v>
      </c>
      <c r="U209" s="278">
        <v>-5.5511151231257827E-11</v>
      </c>
      <c r="V209" s="278">
        <v>179122.59333283667</v>
      </c>
      <c r="W209" s="278">
        <v>358245.18666567327</v>
      </c>
      <c r="X209" s="278">
        <v>537367.77999850991</v>
      </c>
      <c r="Y209" s="278">
        <v>716490.37333134643</v>
      </c>
      <c r="Z209" s="279">
        <v>895612.96666418307</v>
      </c>
      <c r="AB209" s="282" t="str">
        <f t="shared" si="15"/>
        <v>20Y</v>
      </c>
      <c r="AC209" s="278">
        <f ca="1">IF(ABS(P209-C209)&gt;SnapshotTolerance,1,0)</f>
        <v>0</v>
      </c>
      <c r="AD209" s="278">
        <f ca="1">IF(ABS(Q209-D209)&gt;SnapshotTolerance,1,0)</f>
        <v>0</v>
      </c>
      <c r="AE209" s="278">
        <f ca="1">IF(ABS(R209-E209)&gt;SnapshotTolerance,1,0)</f>
        <v>0</v>
      </c>
      <c r="AF209" s="278">
        <f ca="1">IF(ABS(S209-F209)&gt;SnapshotTolerance,1,0)</f>
        <v>0</v>
      </c>
      <c r="AG209" s="278">
        <f ca="1">IF(ABS(T209-G209)&gt;SnapshotTolerance,1,0)</f>
        <v>0</v>
      </c>
      <c r="AH209" s="278">
        <f ca="1">IF(ABS(U209-H209)&gt;SnapshotTolerance,1,0)</f>
        <v>0</v>
      </c>
      <c r="AI209" s="278">
        <f ca="1">IF(ABS(V209-I209)&gt;SnapshotTolerance,1,0)</f>
        <v>0</v>
      </c>
      <c r="AJ209" s="278">
        <f ca="1">IF(ABS(W209-J209)&gt;SnapshotTolerance,1,0)</f>
        <v>0</v>
      </c>
      <c r="AK209" s="278">
        <f ca="1">IF(ABS(X209-K209)&gt;SnapshotTolerance,1,0)</f>
        <v>0</v>
      </c>
      <c r="AL209" s="278">
        <f ca="1">IF(ABS(Y209-L209)&gt;SnapshotTolerance,1,0)</f>
        <v>0</v>
      </c>
      <c r="AM209" s="279">
        <f ca="1">IF(ABS(Z209-M209)&gt;SnapshotTolerance,1,0)</f>
        <v>0</v>
      </c>
    </row>
    <row r="210" spans="2:39">
      <c r="B210" s="282" t="str">
        <f>'JPY Swap PVs'!AG88</f>
        <v>25Y</v>
      </c>
      <c r="C210" s="278">
        <f ca="1">'JPY Swap PVs'!AH88</f>
        <v>-1067055.5709118792</v>
      </c>
      <c r="D210" s="278">
        <f ca="1">'JPY Swap PVs'!AI88</f>
        <v>-853644.45672950323</v>
      </c>
      <c r="E210" s="278">
        <f ca="1">'JPY Swap PVs'!AJ88</f>
        <v>-640233.34254712739</v>
      </c>
      <c r="F210" s="278">
        <f ca="1">'JPY Swap PVs'!AK88</f>
        <v>-426822.2283647515</v>
      </c>
      <c r="G210" s="278">
        <f ca="1">'JPY Swap PVs'!AL88</f>
        <v>-213411.11418237569</v>
      </c>
      <c r="H210" s="278">
        <f ca="1">'JPY Swap PVs'!AM88</f>
        <v>0</v>
      </c>
      <c r="I210" s="278">
        <f ca="1">'JPY Swap PVs'!AN88</f>
        <v>213411.11418237587</v>
      </c>
      <c r="J210" s="278">
        <f ca="1">'JPY Swap PVs'!AO88</f>
        <v>426822.22836475173</v>
      </c>
      <c r="K210" s="278">
        <f ca="1">'JPY Swap PVs'!AP88</f>
        <v>640233.34254712763</v>
      </c>
      <c r="L210" s="278">
        <f ca="1">'JPY Swap PVs'!AQ88</f>
        <v>853644.45672950335</v>
      </c>
      <c r="M210" s="279">
        <f ca="1">'JPY Swap PVs'!AR88</f>
        <v>1067055.5709118794</v>
      </c>
      <c r="O210" s="282" t="s">
        <v>18</v>
      </c>
      <c r="P210" s="278">
        <v>-1067055.5709118792</v>
      </c>
      <c r="Q210" s="278">
        <v>-853644.45672950323</v>
      </c>
      <c r="R210" s="278">
        <v>-640233.34254712739</v>
      </c>
      <c r="S210" s="278">
        <v>-426822.2283647515</v>
      </c>
      <c r="T210" s="278">
        <v>-213411.11418237569</v>
      </c>
      <c r="U210" s="278">
        <v>0</v>
      </c>
      <c r="V210" s="278">
        <v>213411.11418237587</v>
      </c>
      <c r="W210" s="278">
        <v>426822.22836475173</v>
      </c>
      <c r="X210" s="278">
        <v>640233.34254712763</v>
      </c>
      <c r="Y210" s="278">
        <v>853644.45672950335</v>
      </c>
      <c r="Z210" s="279">
        <v>1067055.5709118794</v>
      </c>
      <c r="AB210" s="282" t="str">
        <f t="shared" si="15"/>
        <v>25Y</v>
      </c>
      <c r="AC210" s="278">
        <f ca="1">IF(ABS(P210-C210)&gt;SnapshotTolerance,1,0)</f>
        <v>0</v>
      </c>
      <c r="AD210" s="278">
        <f ca="1">IF(ABS(Q210-D210)&gt;SnapshotTolerance,1,0)</f>
        <v>0</v>
      </c>
      <c r="AE210" s="278">
        <f ca="1">IF(ABS(R210-E210)&gt;SnapshotTolerance,1,0)</f>
        <v>0</v>
      </c>
      <c r="AF210" s="278">
        <f ca="1">IF(ABS(S210-F210)&gt;SnapshotTolerance,1,0)</f>
        <v>0</v>
      </c>
      <c r="AG210" s="278">
        <f ca="1">IF(ABS(T210-G210)&gt;SnapshotTolerance,1,0)</f>
        <v>0</v>
      </c>
      <c r="AH210" s="278">
        <f ca="1">IF(ABS(U210-H210)&gt;SnapshotTolerance,1,0)</f>
        <v>0</v>
      </c>
      <c r="AI210" s="278">
        <f ca="1">IF(ABS(V210-I210)&gt;SnapshotTolerance,1,0)</f>
        <v>0</v>
      </c>
      <c r="AJ210" s="278">
        <f ca="1">IF(ABS(W210-J210)&gt;SnapshotTolerance,1,0)</f>
        <v>0</v>
      </c>
      <c r="AK210" s="278">
        <f ca="1">IF(ABS(X210-K210)&gt;SnapshotTolerance,1,0)</f>
        <v>0</v>
      </c>
      <c r="AL210" s="278">
        <f ca="1">IF(ABS(Y210-L210)&gt;SnapshotTolerance,1,0)</f>
        <v>0</v>
      </c>
      <c r="AM210" s="279">
        <f ca="1">IF(ABS(Z210-M210)&gt;SnapshotTolerance,1,0)</f>
        <v>0</v>
      </c>
    </row>
    <row r="211" spans="2:39">
      <c r="B211" s="282" t="str">
        <f>'JPY Swap PVs'!AG89</f>
        <v>30Y</v>
      </c>
      <c r="C211" s="278">
        <f ca="1">'JPY Swap PVs'!AH89</f>
        <v>-1223051.9604093437</v>
      </c>
      <c r="D211" s="278">
        <f ca="1">'JPY Swap PVs'!AI89</f>
        <v>-978441.56832747499</v>
      </c>
      <c r="E211" s="278">
        <f ca="1">'JPY Swap PVs'!AJ89</f>
        <v>-733831.17624560627</v>
      </c>
      <c r="F211" s="278">
        <f ca="1">'JPY Swap PVs'!AK89</f>
        <v>-489220.78416373732</v>
      </c>
      <c r="G211" s="278">
        <f ca="1">'JPY Swap PVs'!AL89</f>
        <v>-244610.39208186857</v>
      </c>
      <c r="H211" s="278">
        <f ca="1">'JPY Swap PVs'!AM89</f>
        <v>0</v>
      </c>
      <c r="I211" s="278">
        <f ca="1">'JPY Swap PVs'!AN89</f>
        <v>244610.39208186892</v>
      </c>
      <c r="J211" s="278">
        <f ca="1">'JPY Swap PVs'!AO89</f>
        <v>489220.78416373779</v>
      </c>
      <c r="K211" s="278">
        <f ca="1">'JPY Swap PVs'!AP89</f>
        <v>733831.17624560662</v>
      </c>
      <c r="L211" s="278">
        <f ca="1">'JPY Swap PVs'!AQ89</f>
        <v>978441.56832747522</v>
      </c>
      <c r="M211" s="279">
        <f ca="1">'JPY Swap PVs'!AR89</f>
        <v>1223051.9604093446</v>
      </c>
      <c r="O211" s="282" t="s">
        <v>17</v>
      </c>
      <c r="P211" s="278">
        <v>-1223051.9604093437</v>
      </c>
      <c r="Q211" s="278">
        <v>-978441.56832747499</v>
      </c>
      <c r="R211" s="278">
        <v>-733831.17624560627</v>
      </c>
      <c r="S211" s="278">
        <v>-489220.78416373732</v>
      </c>
      <c r="T211" s="278">
        <v>-244610.39208186857</v>
      </c>
      <c r="U211" s="278">
        <v>0</v>
      </c>
      <c r="V211" s="278">
        <v>244610.39208186892</v>
      </c>
      <c r="W211" s="278">
        <v>489220.78416373779</v>
      </c>
      <c r="X211" s="278">
        <v>733831.17624560662</v>
      </c>
      <c r="Y211" s="278">
        <v>978441.56832747522</v>
      </c>
      <c r="Z211" s="279">
        <v>1223051.9604093446</v>
      </c>
      <c r="AB211" s="282" t="str">
        <f t="shared" si="15"/>
        <v>30Y</v>
      </c>
      <c r="AC211" s="278">
        <f ca="1">IF(ABS(P211-C211)&gt;SnapshotTolerance,1,0)</f>
        <v>0</v>
      </c>
      <c r="AD211" s="278">
        <f ca="1">IF(ABS(Q211-D211)&gt;SnapshotTolerance,1,0)</f>
        <v>0</v>
      </c>
      <c r="AE211" s="278">
        <f ca="1">IF(ABS(R211-E211)&gt;SnapshotTolerance,1,0)</f>
        <v>0</v>
      </c>
      <c r="AF211" s="278">
        <f ca="1">IF(ABS(S211-F211)&gt;SnapshotTolerance,1,0)</f>
        <v>0</v>
      </c>
      <c r="AG211" s="278">
        <f ca="1">IF(ABS(T211-G211)&gt;SnapshotTolerance,1,0)</f>
        <v>0</v>
      </c>
      <c r="AH211" s="278">
        <f ca="1">IF(ABS(U211-H211)&gt;SnapshotTolerance,1,0)</f>
        <v>0</v>
      </c>
      <c r="AI211" s="278">
        <f ca="1">IF(ABS(V211-I211)&gt;SnapshotTolerance,1,0)</f>
        <v>0</v>
      </c>
      <c r="AJ211" s="278">
        <f ca="1">IF(ABS(W211-J211)&gt;SnapshotTolerance,1,0)</f>
        <v>0</v>
      </c>
      <c r="AK211" s="278">
        <f ca="1">IF(ABS(X211-K211)&gt;SnapshotTolerance,1,0)</f>
        <v>0</v>
      </c>
      <c r="AL211" s="278">
        <f ca="1">IF(ABS(Y211-L211)&gt;SnapshotTolerance,1,0)</f>
        <v>0</v>
      </c>
      <c r="AM211" s="279">
        <f ca="1">IF(ABS(Z211-M211)&gt;SnapshotTolerance,1,0)</f>
        <v>0</v>
      </c>
    </row>
    <row r="212" spans="2:39">
      <c r="B212" s="282" t="str">
        <f>'JPY Swap PVs'!AG90</f>
        <v>35Y</v>
      </c>
      <c r="C212" s="278">
        <f ca="1">'JPY Swap PVs'!AH90</f>
        <v>-1366543.064870677</v>
      </c>
      <c r="D212" s="278">
        <f ca="1">'JPY Swap PVs'!AI90</f>
        <v>-1093234.4518965415</v>
      </c>
      <c r="E212" s="278">
        <f ca="1">'JPY Swap PVs'!AJ90</f>
        <v>-819925.8389224062</v>
      </c>
      <c r="F212" s="278">
        <f ca="1">'JPY Swap PVs'!AK90</f>
        <v>-546617.22594827111</v>
      </c>
      <c r="G212" s="278">
        <f ca="1">'JPY Swap PVs'!AL90</f>
        <v>-273308.61297413526</v>
      </c>
      <c r="H212" s="278">
        <f ca="1">'JPY Swap PVs'!AM90</f>
        <v>0</v>
      </c>
      <c r="I212" s="278">
        <f ca="1">'JPY Swap PVs'!AN90</f>
        <v>273308.61297413561</v>
      </c>
      <c r="J212" s="278">
        <f ca="1">'JPY Swap PVs'!AO90</f>
        <v>546617.22594827111</v>
      </c>
      <c r="K212" s="278">
        <f ca="1">'JPY Swap PVs'!AP90</f>
        <v>819925.83892240666</v>
      </c>
      <c r="L212" s="278">
        <f ca="1">'JPY Swap PVs'!AQ90</f>
        <v>1093234.4518965418</v>
      </c>
      <c r="M212" s="279">
        <f ca="1">'JPY Swap PVs'!AR90</f>
        <v>1366543.0648706779</v>
      </c>
      <c r="O212" s="282" t="s">
        <v>16</v>
      </c>
      <c r="P212" s="278">
        <v>-1366543.064870677</v>
      </c>
      <c r="Q212" s="278">
        <v>-1093234.4518965415</v>
      </c>
      <c r="R212" s="278">
        <v>-819925.8389224062</v>
      </c>
      <c r="S212" s="278">
        <v>-546617.22594827111</v>
      </c>
      <c r="T212" s="278">
        <v>-273308.61297413526</v>
      </c>
      <c r="U212" s="278">
        <v>0</v>
      </c>
      <c r="V212" s="278">
        <v>273308.61297413561</v>
      </c>
      <c r="W212" s="278">
        <v>546617.22594827111</v>
      </c>
      <c r="X212" s="278">
        <v>819925.83892240666</v>
      </c>
      <c r="Y212" s="278">
        <v>1093234.4518965418</v>
      </c>
      <c r="Z212" s="279">
        <v>1366543.0648706779</v>
      </c>
      <c r="AB212" s="282" t="str">
        <f t="shared" si="15"/>
        <v>35Y</v>
      </c>
      <c r="AC212" s="278">
        <f ca="1">IF(ABS(P212-C212)&gt;SnapshotTolerance,1,0)</f>
        <v>0</v>
      </c>
      <c r="AD212" s="278">
        <f ca="1">IF(ABS(Q212-D212)&gt;SnapshotTolerance,1,0)</f>
        <v>0</v>
      </c>
      <c r="AE212" s="278">
        <f ca="1">IF(ABS(R212-E212)&gt;SnapshotTolerance,1,0)</f>
        <v>0</v>
      </c>
      <c r="AF212" s="278">
        <f ca="1">IF(ABS(S212-F212)&gt;SnapshotTolerance,1,0)</f>
        <v>0</v>
      </c>
      <c r="AG212" s="278">
        <f ca="1">IF(ABS(T212-G212)&gt;SnapshotTolerance,1,0)</f>
        <v>0</v>
      </c>
      <c r="AH212" s="278">
        <f ca="1">IF(ABS(U212-H212)&gt;SnapshotTolerance,1,0)</f>
        <v>0</v>
      </c>
      <c r="AI212" s="278">
        <f ca="1">IF(ABS(V212-I212)&gt;SnapshotTolerance,1,0)</f>
        <v>0</v>
      </c>
      <c r="AJ212" s="278">
        <f ca="1">IF(ABS(W212-J212)&gt;SnapshotTolerance,1,0)</f>
        <v>0</v>
      </c>
      <c r="AK212" s="278">
        <f ca="1">IF(ABS(X212-K212)&gt;SnapshotTolerance,1,0)</f>
        <v>0</v>
      </c>
      <c r="AL212" s="278">
        <f ca="1">IF(ABS(Y212-L212)&gt;SnapshotTolerance,1,0)</f>
        <v>0</v>
      </c>
      <c r="AM212" s="279">
        <f ca="1">IF(ABS(Z212-M212)&gt;SnapshotTolerance,1,0)</f>
        <v>0</v>
      </c>
    </row>
    <row r="213" spans="2:39">
      <c r="B213" s="282" t="str">
        <f>'JPY Swap PVs'!AG91</f>
        <v>40Y</v>
      </c>
      <c r="C213" s="278">
        <f ca="1">'JPY Swap PVs'!AH91</f>
        <v>-1499145.7303461705</v>
      </c>
      <c r="D213" s="278">
        <f ca="1">'JPY Swap PVs'!AI91</f>
        <v>-1199316.5842769365</v>
      </c>
      <c r="E213" s="278">
        <f ca="1">'JPY Swap PVs'!AJ91</f>
        <v>-899487.43820770248</v>
      </c>
      <c r="F213" s="278">
        <f ca="1">'JPY Swap PVs'!AK91</f>
        <v>-599658.29213846859</v>
      </c>
      <c r="G213" s="278">
        <f ca="1">'JPY Swap PVs'!AL91</f>
        <v>-299829.14606923383</v>
      </c>
      <c r="H213" s="278">
        <f ca="1">'JPY Swap PVs'!AM91</f>
        <v>0</v>
      </c>
      <c r="I213" s="278">
        <f ca="1">'JPY Swap PVs'!AN91</f>
        <v>299829.14606923453</v>
      </c>
      <c r="J213" s="278">
        <f ca="1">'JPY Swap PVs'!AO91</f>
        <v>599658.29213846894</v>
      </c>
      <c r="K213" s="278">
        <f ca="1">'JPY Swap PVs'!AP91</f>
        <v>899487.43820770318</v>
      </c>
      <c r="L213" s="278">
        <f ca="1">'JPY Swap PVs'!AQ91</f>
        <v>1199316.5842769372</v>
      </c>
      <c r="M213" s="279">
        <f ca="1">'JPY Swap PVs'!AR91</f>
        <v>1499145.7303461719</v>
      </c>
      <c r="O213" s="282" t="s">
        <v>15</v>
      </c>
      <c r="P213" s="278">
        <v>-1499145.7303461705</v>
      </c>
      <c r="Q213" s="278">
        <v>-1199316.5842769365</v>
      </c>
      <c r="R213" s="278">
        <v>-899487.43820770248</v>
      </c>
      <c r="S213" s="278">
        <v>-599658.29213846859</v>
      </c>
      <c r="T213" s="278">
        <v>-299829.14606923383</v>
      </c>
      <c r="U213" s="278">
        <v>0</v>
      </c>
      <c r="V213" s="278">
        <v>299829.14606923453</v>
      </c>
      <c r="W213" s="278">
        <v>599658.29213846894</v>
      </c>
      <c r="X213" s="278">
        <v>899487.43820770318</v>
      </c>
      <c r="Y213" s="278">
        <v>1199316.5842769372</v>
      </c>
      <c r="Z213" s="279">
        <v>1499145.7303461719</v>
      </c>
      <c r="AB213" s="282" t="str">
        <f t="shared" si="15"/>
        <v>40Y</v>
      </c>
      <c r="AC213" s="278">
        <f ca="1">IF(ABS(P213-C213)&gt;SnapshotTolerance,1,0)</f>
        <v>0</v>
      </c>
      <c r="AD213" s="278">
        <f ca="1">IF(ABS(Q213-D213)&gt;SnapshotTolerance,1,0)</f>
        <v>0</v>
      </c>
      <c r="AE213" s="278">
        <f ca="1">IF(ABS(R213-E213)&gt;SnapshotTolerance,1,0)</f>
        <v>0</v>
      </c>
      <c r="AF213" s="278">
        <f ca="1">IF(ABS(S213-F213)&gt;SnapshotTolerance,1,0)</f>
        <v>0</v>
      </c>
      <c r="AG213" s="278">
        <f ca="1">IF(ABS(T213-G213)&gt;SnapshotTolerance,1,0)</f>
        <v>0</v>
      </c>
      <c r="AH213" s="278">
        <f ca="1">IF(ABS(U213-H213)&gt;SnapshotTolerance,1,0)</f>
        <v>0</v>
      </c>
      <c r="AI213" s="278">
        <f ca="1">IF(ABS(V213-I213)&gt;SnapshotTolerance,1,0)</f>
        <v>0</v>
      </c>
      <c r="AJ213" s="278">
        <f ca="1">IF(ABS(W213-J213)&gt;SnapshotTolerance,1,0)</f>
        <v>0</v>
      </c>
      <c r="AK213" s="278">
        <f ca="1">IF(ABS(X213-K213)&gt;SnapshotTolerance,1,0)</f>
        <v>0</v>
      </c>
      <c r="AL213" s="278">
        <f ca="1">IF(ABS(Y213-L213)&gt;SnapshotTolerance,1,0)</f>
        <v>0</v>
      </c>
      <c r="AM213" s="279">
        <f ca="1">IF(ABS(Z213-M213)&gt;SnapshotTolerance,1,0)</f>
        <v>0</v>
      </c>
    </row>
    <row r="214" spans="2:39">
      <c r="B214" s="282"/>
      <c r="C214" s="278"/>
      <c r="D214" s="278"/>
      <c r="E214" s="278"/>
      <c r="F214" s="278"/>
      <c r="G214" s="278"/>
      <c r="H214" s="278"/>
      <c r="I214" s="278"/>
      <c r="J214" s="278"/>
      <c r="K214" s="278"/>
      <c r="L214" s="278"/>
      <c r="M214" s="279"/>
      <c r="O214" s="282"/>
      <c r="P214" s="278"/>
      <c r="Q214" s="278"/>
      <c r="R214" s="278"/>
      <c r="S214" s="278"/>
      <c r="T214" s="278"/>
      <c r="U214" s="278"/>
      <c r="V214" s="278"/>
      <c r="W214" s="278"/>
      <c r="X214" s="278"/>
      <c r="Y214" s="278"/>
      <c r="Z214" s="279"/>
      <c r="AB214" s="282"/>
      <c r="AC214" s="278"/>
      <c r="AD214" s="278"/>
      <c r="AE214" s="278"/>
      <c r="AF214" s="278"/>
      <c r="AG214" s="278"/>
      <c r="AH214" s="278"/>
      <c r="AI214" s="278"/>
      <c r="AJ214" s="278"/>
      <c r="AK214" s="278"/>
      <c r="AL214" s="278"/>
      <c r="AM214" s="279"/>
    </row>
    <row r="215" spans="2:39">
      <c r="B215" s="282"/>
      <c r="C215" s="278"/>
      <c r="D215" s="278"/>
      <c r="E215" s="278"/>
      <c r="F215" s="278"/>
      <c r="G215" s="278"/>
      <c r="H215" s="278"/>
      <c r="I215" s="278"/>
      <c r="J215" s="278"/>
      <c r="K215" s="278"/>
      <c r="L215" s="278"/>
      <c r="M215" s="279"/>
      <c r="O215" s="282"/>
      <c r="P215" s="278"/>
      <c r="Q215" s="278"/>
      <c r="R215" s="278"/>
      <c r="S215" s="278"/>
      <c r="T215" s="278"/>
      <c r="U215" s="278"/>
      <c r="V215" s="278"/>
      <c r="W215" s="278"/>
      <c r="X215" s="278"/>
      <c r="Y215" s="278"/>
      <c r="Z215" s="279"/>
      <c r="AB215" s="282"/>
      <c r="AC215" s="278"/>
      <c r="AD215" s="278"/>
      <c r="AE215" s="278"/>
      <c r="AF215" s="278"/>
      <c r="AG215" s="278"/>
      <c r="AH215" s="278"/>
      <c r="AI215" s="278"/>
      <c r="AJ215" s="278"/>
      <c r="AK215" s="278"/>
      <c r="AL215" s="278"/>
      <c r="AM215" s="279"/>
    </row>
    <row r="216" spans="2:39">
      <c r="B216" s="282"/>
      <c r="C216" s="278"/>
      <c r="D216" s="278"/>
      <c r="E216" s="278"/>
      <c r="F216" s="278"/>
      <c r="G216" s="278"/>
      <c r="H216" s="278"/>
      <c r="I216" s="278"/>
      <c r="J216" s="278"/>
      <c r="K216" s="278"/>
      <c r="L216" s="278"/>
      <c r="M216" s="279"/>
      <c r="O216" s="282"/>
      <c r="P216" s="278"/>
      <c r="Q216" s="278"/>
      <c r="R216" s="278"/>
      <c r="S216" s="278"/>
      <c r="T216" s="278"/>
      <c r="U216" s="278"/>
      <c r="V216" s="278"/>
      <c r="W216" s="278"/>
      <c r="X216" s="278"/>
      <c r="Y216" s="278"/>
      <c r="Z216" s="279"/>
      <c r="AB216" s="282"/>
      <c r="AC216" s="278"/>
      <c r="AD216" s="278"/>
      <c r="AE216" s="278"/>
      <c r="AF216" s="278"/>
      <c r="AG216" s="278"/>
      <c r="AH216" s="278"/>
      <c r="AI216" s="278"/>
      <c r="AJ216" s="278"/>
      <c r="AK216" s="278"/>
      <c r="AL216" s="278"/>
      <c r="AM216" s="279"/>
    </row>
    <row r="217" spans="2:39">
      <c r="B217" s="283"/>
      <c r="C217" s="280"/>
      <c r="D217" s="280"/>
      <c r="E217" s="280"/>
      <c r="F217" s="280"/>
      <c r="G217" s="280"/>
      <c r="H217" s="280"/>
      <c r="I217" s="280"/>
      <c r="J217" s="280"/>
      <c r="K217" s="280"/>
      <c r="L217" s="280"/>
      <c r="M217" s="281"/>
      <c r="O217" s="283"/>
      <c r="P217" s="280"/>
      <c r="Q217" s="280"/>
      <c r="R217" s="280"/>
      <c r="S217" s="280"/>
      <c r="T217" s="280"/>
      <c r="U217" s="280"/>
      <c r="V217" s="280"/>
      <c r="W217" s="280"/>
      <c r="X217" s="280"/>
      <c r="Y217" s="280"/>
      <c r="Z217" s="281"/>
      <c r="AB217" s="283"/>
      <c r="AC217" s="280"/>
      <c r="AD217" s="280"/>
      <c r="AE217" s="280"/>
      <c r="AF217" s="280"/>
      <c r="AG217" s="280"/>
      <c r="AH217" s="280"/>
      <c r="AI217" s="280"/>
      <c r="AJ217" s="280"/>
      <c r="AK217" s="280"/>
      <c r="AL217" s="280"/>
      <c r="AM217" s="28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2:Z420"/>
  <sheetViews>
    <sheetView showGridLines="0" workbookViewId="0"/>
  </sheetViews>
  <sheetFormatPr defaultRowHeight="15"/>
  <cols>
    <col min="1" max="32" width="10.7109375" style="224" customWidth="1"/>
    <col min="33" max="16384" width="9.140625" style="224"/>
  </cols>
  <sheetData>
    <row r="2" spans="1:10">
      <c r="B2" s="258" t="s">
        <v>466</v>
      </c>
    </row>
    <row r="4" spans="1:10">
      <c r="A4" s="224" t="s">
        <v>467</v>
      </c>
      <c r="B4" s="284" t="s">
        <v>475</v>
      </c>
      <c r="C4" s="284"/>
    </row>
    <row r="5" spans="1:10">
      <c r="B5" s="258" t="s">
        <v>474</v>
      </c>
      <c r="C5" s="266">
        <f ca="1">SUM(E10:E28)+SUM(J10:J28)</f>
        <v>0</v>
      </c>
    </row>
    <row r="8" spans="1:10">
      <c r="B8" s="258" t="s">
        <v>437</v>
      </c>
      <c r="E8" s="9" t="b">
        <v>1</v>
      </c>
      <c r="G8" s="258" t="s">
        <v>437</v>
      </c>
      <c r="J8" s="9" t="b">
        <v>0</v>
      </c>
    </row>
    <row r="9" spans="1:10">
      <c r="B9" s="267" t="s">
        <v>468</v>
      </c>
      <c r="C9" s="268" t="s">
        <v>469</v>
      </c>
      <c r="D9" s="268" t="s">
        <v>470</v>
      </c>
      <c r="E9" s="269" t="s">
        <v>472</v>
      </c>
      <c r="G9" s="267" t="s">
        <v>468</v>
      </c>
      <c r="H9" s="268" t="s">
        <v>469</v>
      </c>
      <c r="I9" s="268" t="s">
        <v>470</v>
      </c>
      <c r="J9" s="269" t="s">
        <v>472</v>
      </c>
    </row>
    <row r="10" spans="1:10">
      <c r="B10" s="270" t="s">
        <v>42</v>
      </c>
      <c r="C10" s="271">
        <f ca="1">'EUR Swap PVs'!S4</f>
        <v>0</v>
      </c>
      <c r="D10" s="271">
        <v>0</v>
      </c>
      <c r="E10" s="272">
        <f t="shared" ref="E10:E28" ca="1" si="0">IF(ABS(D10-C10)&gt;PriceTolerance,1,0)</f>
        <v>0</v>
      </c>
      <c r="G10" s="270" t="str">
        <f>'EUR Swap PVs'!AG4</f>
        <v>2Y</v>
      </c>
      <c r="H10" s="271">
        <f ca="1">'EUR Swap PVs'!AM4</f>
        <v>8.2399365108898337E-12</v>
      </c>
      <c r="I10" s="271">
        <v>0</v>
      </c>
      <c r="J10" s="272">
        <f t="shared" ref="J10:J28" ca="1" si="1">IF(ABS(I10-H10)&gt;PriceTolerance,1,0)</f>
        <v>0</v>
      </c>
    </row>
    <row r="11" spans="1:10">
      <c r="B11" s="270" t="s">
        <v>39</v>
      </c>
      <c r="C11" s="271">
        <f ca="1">'EUR Swap PVs'!S5</f>
        <v>-8.6736173798840355E-13</v>
      </c>
      <c r="D11" s="271">
        <v>0</v>
      </c>
      <c r="E11" s="272">
        <f t="shared" ca="1" si="0"/>
        <v>0</v>
      </c>
      <c r="G11" s="270" t="str">
        <f>'EUR Swap PVs'!AG5</f>
        <v>3Y</v>
      </c>
      <c r="H11" s="271">
        <f ca="1">'EUR Swap PVs'!AM5</f>
        <v>-2.3418766925686896E-11</v>
      </c>
      <c r="I11" s="271">
        <v>0</v>
      </c>
      <c r="J11" s="272">
        <f t="shared" ca="1" si="1"/>
        <v>0</v>
      </c>
    </row>
    <row r="12" spans="1:10">
      <c r="B12" s="270" t="s">
        <v>35</v>
      </c>
      <c r="C12" s="271">
        <f ca="1">'EUR Swap PVs'!S6</f>
        <v>0</v>
      </c>
      <c r="D12" s="271">
        <v>0</v>
      </c>
      <c r="E12" s="272">
        <f t="shared" ca="1" si="0"/>
        <v>0</v>
      </c>
      <c r="G12" s="270" t="str">
        <f>'EUR Swap PVs'!AG6</f>
        <v>4Y</v>
      </c>
      <c r="H12" s="271">
        <f ca="1">'EUR Swap PVs'!AM6</f>
        <v>7.6327832942979512E-11</v>
      </c>
      <c r="I12" s="271">
        <v>0</v>
      </c>
      <c r="J12" s="272">
        <f t="shared" ca="1" si="1"/>
        <v>0</v>
      </c>
    </row>
    <row r="13" spans="1:10">
      <c r="B13" s="270" t="s">
        <v>33</v>
      </c>
      <c r="C13" s="271">
        <f ca="1">'EUR Swap PVs'!S7</f>
        <v>0</v>
      </c>
      <c r="D13" s="271">
        <v>0</v>
      </c>
      <c r="E13" s="272">
        <f t="shared" ca="1" si="0"/>
        <v>0</v>
      </c>
      <c r="G13" s="270" t="str">
        <f>'EUR Swap PVs'!AG7</f>
        <v>5Y</v>
      </c>
      <c r="H13" s="271">
        <f ca="1">'EUR Swap PVs'!AM7</f>
        <v>1.3877787807814457E-11</v>
      </c>
      <c r="I13" s="271">
        <v>0</v>
      </c>
      <c r="J13" s="272">
        <f t="shared" ca="1" si="1"/>
        <v>0</v>
      </c>
    </row>
    <row r="14" spans="1:10">
      <c r="B14" s="270" t="s">
        <v>131</v>
      </c>
      <c r="C14" s="271">
        <f ca="1">'EUR Swap PVs'!S8</f>
        <v>0</v>
      </c>
      <c r="D14" s="271">
        <v>0</v>
      </c>
      <c r="E14" s="272">
        <f t="shared" ca="1" si="0"/>
        <v>0</v>
      </c>
      <c r="G14" s="270" t="str">
        <f>'EUR Swap PVs'!AG8</f>
        <v>6Y</v>
      </c>
      <c r="H14" s="271">
        <f ca="1">'EUR Swap PVs'!AM8</f>
        <v>3.4694469519536142E-11</v>
      </c>
      <c r="I14" s="271">
        <v>0</v>
      </c>
      <c r="J14" s="272">
        <f t="shared" ca="1" si="1"/>
        <v>0</v>
      </c>
    </row>
    <row r="15" spans="1:10">
      <c r="B15" s="270" t="s">
        <v>31</v>
      </c>
      <c r="C15" s="271">
        <f ca="1">'EUR Swap PVs'!S9</f>
        <v>6.9388939039072284E-12</v>
      </c>
      <c r="D15" s="271">
        <v>0</v>
      </c>
      <c r="E15" s="272">
        <f t="shared" ca="1" si="0"/>
        <v>0</v>
      </c>
      <c r="G15" s="270" t="str">
        <f>'EUR Swap PVs'!AG9</f>
        <v>7Y</v>
      </c>
      <c r="H15" s="271">
        <f ca="1">'EUR Swap PVs'!AM9</f>
        <v>-6.9388939039072284E-12</v>
      </c>
      <c r="I15" s="271">
        <v>0</v>
      </c>
      <c r="J15" s="272">
        <f t="shared" ca="1" si="1"/>
        <v>0</v>
      </c>
    </row>
    <row r="16" spans="1:10">
      <c r="B16" s="270" t="s">
        <v>119</v>
      </c>
      <c r="C16" s="271">
        <f ca="1">'EUR Swap PVs'!S10</f>
        <v>0</v>
      </c>
      <c r="D16" s="271">
        <v>0</v>
      </c>
      <c r="E16" s="272">
        <f t="shared" ca="1" si="0"/>
        <v>0</v>
      </c>
      <c r="G16" s="270" t="str">
        <f>'EUR Swap PVs'!AG10</f>
        <v>8Y</v>
      </c>
      <c r="H16" s="271">
        <f ca="1">'EUR Swap PVs'!AM10</f>
        <v>5.5511151231257827E-11</v>
      </c>
      <c r="I16" s="271">
        <v>0</v>
      </c>
      <c r="J16" s="272">
        <f t="shared" ca="1" si="1"/>
        <v>0</v>
      </c>
    </row>
    <row r="17" spans="1:10">
      <c r="B17" s="270" t="s">
        <v>113</v>
      </c>
      <c r="C17" s="271">
        <f ca="1">'EUR Swap PVs'!S11</f>
        <v>-1.3877787807814457E-11</v>
      </c>
      <c r="D17" s="271">
        <v>0</v>
      </c>
      <c r="E17" s="272">
        <f t="shared" ca="1" si="0"/>
        <v>0</v>
      </c>
      <c r="G17" s="270" t="str">
        <f>'EUR Swap PVs'!AG11</f>
        <v>9Y</v>
      </c>
      <c r="H17" s="271">
        <f ca="1">'EUR Swap PVs'!AM11</f>
        <v>-9.7144514654701197E-11</v>
      </c>
      <c r="I17" s="271">
        <v>0</v>
      </c>
      <c r="J17" s="272">
        <f t="shared" ca="1" si="1"/>
        <v>0</v>
      </c>
    </row>
    <row r="18" spans="1:10">
      <c r="B18" s="270" t="s">
        <v>28</v>
      </c>
      <c r="C18" s="271">
        <f ca="1">'EUR Swap PVs'!S12</f>
        <v>0</v>
      </c>
      <c r="D18" s="271">
        <v>0</v>
      </c>
      <c r="E18" s="272">
        <f t="shared" ca="1" si="0"/>
        <v>0</v>
      </c>
      <c r="G18" s="270" t="str">
        <f>'EUR Swap PVs'!AG12</f>
        <v>10Y</v>
      </c>
      <c r="H18" s="271">
        <f ca="1">'EUR Swap PVs'!AM12</f>
        <v>1.3877787807814457E-10</v>
      </c>
      <c r="I18" s="271">
        <v>0</v>
      </c>
      <c r="J18" s="272">
        <f t="shared" ca="1" si="1"/>
        <v>0</v>
      </c>
    </row>
    <row r="19" spans="1:10">
      <c r="B19" s="270" t="s">
        <v>366</v>
      </c>
      <c r="C19" s="271">
        <f ca="1">'EUR Swap PVs'!S13</f>
        <v>0</v>
      </c>
      <c r="D19" s="271">
        <v>0</v>
      </c>
      <c r="E19" s="272">
        <f t="shared" ca="1" si="0"/>
        <v>0</v>
      </c>
      <c r="G19" s="270" t="str">
        <f>'EUR Swap PVs'!AG13</f>
        <v>11Y</v>
      </c>
      <c r="H19" s="271">
        <f ca="1">'EUR Swap PVs'!AM13</f>
        <v>1.9428902930940239E-10</v>
      </c>
      <c r="I19" s="271">
        <v>0</v>
      </c>
      <c r="J19" s="272">
        <f t="shared" ca="1" si="1"/>
        <v>0</v>
      </c>
    </row>
    <row r="20" spans="1:10">
      <c r="B20" s="270" t="s">
        <v>26</v>
      </c>
      <c r="C20" s="271">
        <f ca="1">'EUR Swap PVs'!S14</f>
        <v>0</v>
      </c>
      <c r="D20" s="271">
        <v>0</v>
      </c>
      <c r="E20" s="272">
        <f t="shared" ca="1" si="0"/>
        <v>0</v>
      </c>
      <c r="G20" s="270" t="str">
        <f>'EUR Swap PVs'!AG14</f>
        <v>12Y</v>
      </c>
      <c r="H20" s="271">
        <f ca="1">'EUR Swap PVs'!AM14</f>
        <v>1.1102230246251565E-10</v>
      </c>
      <c r="I20" s="271">
        <v>0</v>
      </c>
      <c r="J20" s="272">
        <f t="shared" ca="1" si="1"/>
        <v>0</v>
      </c>
    </row>
    <row r="21" spans="1:10">
      <c r="B21" s="270" t="s">
        <v>24</v>
      </c>
      <c r="C21" s="271">
        <f ca="1">'EUR Swap PVs'!S15</f>
        <v>0</v>
      </c>
      <c r="D21" s="271">
        <v>0</v>
      </c>
      <c r="E21" s="272">
        <f t="shared" ca="1" si="0"/>
        <v>0</v>
      </c>
      <c r="G21" s="270" t="str">
        <f>'EUR Swap PVs'!AG15</f>
        <v>15Y</v>
      </c>
      <c r="H21" s="271">
        <f ca="1">'EUR Swap PVs'!AM15</f>
        <v>1.1102230246251565E-10</v>
      </c>
      <c r="I21" s="271">
        <v>0</v>
      </c>
      <c r="J21" s="272">
        <f t="shared" ca="1" si="1"/>
        <v>0</v>
      </c>
    </row>
    <row r="22" spans="1:10">
      <c r="B22" s="270" t="s">
        <v>20</v>
      </c>
      <c r="C22" s="271">
        <f ca="1">'EUR Swap PVs'!S16</f>
        <v>0</v>
      </c>
      <c r="D22" s="271">
        <v>0</v>
      </c>
      <c r="E22" s="272">
        <f t="shared" ca="1" si="0"/>
        <v>0</v>
      </c>
      <c r="G22" s="270" t="str">
        <f>'EUR Swap PVs'!AG16</f>
        <v>20Y</v>
      </c>
      <c r="H22" s="271">
        <f ca="1">'EUR Swap PVs'!AM16</f>
        <v>5.5511151231257827E-11</v>
      </c>
      <c r="I22" s="271">
        <v>0</v>
      </c>
      <c r="J22" s="272">
        <f t="shared" ca="1" si="1"/>
        <v>0</v>
      </c>
    </row>
    <row r="23" spans="1:10">
      <c r="B23" s="270" t="s">
        <v>18</v>
      </c>
      <c r="C23" s="271">
        <f ca="1">'EUR Swap PVs'!S17</f>
        <v>0</v>
      </c>
      <c r="D23" s="271">
        <v>0</v>
      </c>
      <c r="E23" s="272">
        <f t="shared" ca="1" si="0"/>
        <v>0</v>
      </c>
      <c r="G23" s="270" t="str">
        <f>'EUR Swap PVs'!AG17</f>
        <v>25Y</v>
      </c>
      <c r="H23" s="271">
        <f ca="1">'EUR Swap PVs'!AM17</f>
        <v>-1.1102230246251565E-10</v>
      </c>
      <c r="I23" s="271">
        <v>0</v>
      </c>
      <c r="J23" s="272">
        <f t="shared" ca="1" si="1"/>
        <v>0</v>
      </c>
    </row>
    <row r="24" spans="1:10">
      <c r="B24" s="270" t="s">
        <v>17</v>
      </c>
      <c r="C24" s="271">
        <f ca="1">'EUR Swap PVs'!S18</f>
        <v>-5.5511151231257827E-11</v>
      </c>
      <c r="D24" s="271">
        <v>0</v>
      </c>
      <c r="E24" s="272">
        <f t="shared" ca="1" si="0"/>
        <v>0</v>
      </c>
      <c r="G24" s="270" t="str">
        <f>'EUR Swap PVs'!AG18</f>
        <v>30Y</v>
      </c>
      <c r="H24" s="271">
        <f ca="1">'EUR Swap PVs'!AM18</f>
        <v>-1.6653345369377348E-10</v>
      </c>
      <c r="I24" s="271">
        <v>0</v>
      </c>
      <c r="J24" s="272">
        <f t="shared" ca="1" si="1"/>
        <v>0</v>
      </c>
    </row>
    <row r="25" spans="1:10">
      <c r="B25" s="270" t="s">
        <v>16</v>
      </c>
      <c r="C25" s="271">
        <f ca="1">'EUR Swap PVs'!S19</f>
        <v>0</v>
      </c>
      <c r="D25" s="271">
        <v>0</v>
      </c>
      <c r="E25" s="272">
        <f t="shared" ca="1" si="0"/>
        <v>0</v>
      </c>
      <c r="G25" s="270" t="str">
        <f>'EUR Swap PVs'!AG19</f>
        <v>35Y</v>
      </c>
      <c r="H25" s="271">
        <f ca="1">'EUR Swap PVs'!AM19</f>
        <v>-2.2204460492503131E-10</v>
      </c>
      <c r="I25" s="271">
        <v>0</v>
      </c>
      <c r="J25" s="272">
        <f t="shared" ca="1" si="1"/>
        <v>0</v>
      </c>
    </row>
    <row r="26" spans="1:10">
      <c r="B26" s="270" t="s">
        <v>15</v>
      </c>
      <c r="C26" s="271">
        <f ca="1">'EUR Swap PVs'!S20</f>
        <v>0</v>
      </c>
      <c r="D26" s="271">
        <v>0</v>
      </c>
      <c r="E26" s="272">
        <f t="shared" ca="1" si="0"/>
        <v>0</v>
      </c>
      <c r="G26" s="270" t="str">
        <f>'EUR Swap PVs'!AG20</f>
        <v>40Y</v>
      </c>
      <c r="H26" s="271">
        <f ca="1">'EUR Swap PVs'!AM20</f>
        <v>3.3306690738754696E-10</v>
      </c>
      <c r="I26" s="271">
        <v>0</v>
      </c>
      <c r="J26" s="272">
        <f t="shared" ca="1" si="1"/>
        <v>0</v>
      </c>
    </row>
    <row r="27" spans="1:10">
      <c r="B27" s="270" t="s">
        <v>368</v>
      </c>
      <c r="C27" s="271">
        <f ca="1">'EUR Swap PVs'!S21</f>
        <v>0</v>
      </c>
      <c r="D27" s="271">
        <v>0</v>
      </c>
      <c r="E27" s="272">
        <f t="shared" ca="1" si="0"/>
        <v>0</v>
      </c>
      <c r="G27" s="270" t="str">
        <f>'EUR Swap PVs'!AG21</f>
        <v>45Y</v>
      </c>
      <c r="H27" s="271">
        <f ca="1">'EUR Swap PVs'!AM21</f>
        <v>4.4408920985006262E-10</v>
      </c>
      <c r="I27" s="271">
        <v>0</v>
      </c>
      <c r="J27" s="272">
        <f t="shared" ca="1" si="1"/>
        <v>0</v>
      </c>
    </row>
    <row r="28" spans="1:10">
      <c r="B28" s="273" t="s">
        <v>14</v>
      </c>
      <c r="C28" s="274">
        <f ca="1">'EUR Swap PVs'!S22</f>
        <v>0</v>
      </c>
      <c r="D28" s="274">
        <v>0</v>
      </c>
      <c r="E28" s="275">
        <f t="shared" ca="1" si="0"/>
        <v>0</v>
      </c>
      <c r="G28" s="273" t="str">
        <f>'EUR Swap PVs'!AG22</f>
        <v>50Y</v>
      </c>
      <c r="H28" s="274">
        <f ca="1">'EUR Swap PVs'!AM22</f>
        <v>3.3306690738754696E-10</v>
      </c>
      <c r="I28" s="274">
        <v>0</v>
      </c>
      <c r="J28" s="275">
        <f t="shared" ca="1" si="1"/>
        <v>0</v>
      </c>
    </row>
    <row r="31" spans="1:10">
      <c r="A31" s="224" t="s">
        <v>476</v>
      </c>
      <c r="B31" s="290" t="s">
        <v>490</v>
      </c>
      <c r="C31" s="284"/>
      <c r="G31" s="290" t="s">
        <v>490</v>
      </c>
    </row>
    <row r="32" spans="1:10">
      <c r="B32" s="284" t="s">
        <v>483</v>
      </c>
      <c r="C32" s="284"/>
      <c r="G32" s="284" t="s">
        <v>484</v>
      </c>
      <c r="H32" s="284"/>
    </row>
    <row r="33" spans="2:16">
      <c r="B33" s="258" t="s">
        <v>474</v>
      </c>
      <c r="C33" s="286">
        <f ca="1">SUM(C59:L77)</f>
        <v>0</v>
      </c>
      <c r="G33" s="258" t="s">
        <v>474</v>
      </c>
      <c r="H33" s="286">
        <f ca="1">SUM(P59:Z77)</f>
        <v>0</v>
      </c>
    </row>
    <row r="35" spans="2:16">
      <c r="B35" s="258" t="s">
        <v>477</v>
      </c>
      <c r="C35" s="258"/>
    </row>
    <row r="36" spans="2:16">
      <c r="B36" s="254" t="s">
        <v>468</v>
      </c>
      <c r="C36" s="276">
        <v>-0.05</v>
      </c>
      <c r="D36" s="276">
        <v>-0.04</v>
      </c>
      <c r="E36" s="276">
        <v>-0.03</v>
      </c>
      <c r="F36" s="276">
        <v>-1.9999999999999997E-2</v>
      </c>
      <c r="G36" s="276">
        <v>-9.9999999999999967E-3</v>
      </c>
      <c r="H36" s="276">
        <v>0</v>
      </c>
      <c r="I36" s="276">
        <v>0.01</v>
      </c>
      <c r="J36" s="276">
        <v>0.02</v>
      </c>
      <c r="K36" s="276">
        <v>0.03</v>
      </c>
      <c r="L36" s="276">
        <v>0.04</v>
      </c>
      <c r="M36" s="277">
        <v>0.05</v>
      </c>
      <c r="N36" s="256"/>
      <c r="O36" s="256"/>
      <c r="P36" s="256"/>
    </row>
    <row r="37" spans="2:16">
      <c r="B37" s="282" t="s">
        <v>42</v>
      </c>
      <c r="C37" s="278">
        <f ca="1">'EUR Swap PVs'!N4</f>
        <v>100441.45996346937</v>
      </c>
      <c r="D37" s="278">
        <f ca="1">'EUR Swap PVs'!O4</f>
        <v>80353.167970775496</v>
      </c>
      <c r="E37" s="278">
        <f ca="1">'EUR Swap PVs'!P4</f>
        <v>60264.875978081611</v>
      </c>
      <c r="F37" s="278">
        <f ca="1">'EUR Swap PVs'!Q4</f>
        <v>40176.583985387741</v>
      </c>
      <c r="G37" s="278">
        <f ca="1">'EUR Swap PVs'!R4</f>
        <v>20088.291992693863</v>
      </c>
      <c r="H37" s="278">
        <f ca="1">'EUR Swap PVs'!S4</f>
        <v>0</v>
      </c>
      <c r="I37" s="278">
        <f ca="1">'EUR Swap PVs'!T4</f>
        <v>-20088.291992693874</v>
      </c>
      <c r="J37" s="278">
        <f ca="1">'EUR Swap PVs'!U4</f>
        <v>-40176.583985387748</v>
      </c>
      <c r="K37" s="278">
        <f ca="1">'EUR Swap PVs'!V4</f>
        <v>-60264.875978081611</v>
      </c>
      <c r="L37" s="278">
        <f ca="1">'EUR Swap PVs'!W4</f>
        <v>-80353.167970775481</v>
      </c>
      <c r="M37" s="279">
        <f ca="1">'EUR Swap PVs'!X4</f>
        <v>-100441.45996346936</v>
      </c>
    </row>
    <row r="38" spans="2:16">
      <c r="B38" s="282" t="s">
        <v>39</v>
      </c>
      <c r="C38" s="278">
        <f ca="1">'EUR Swap PVs'!N5</f>
        <v>150300.80743458585</v>
      </c>
      <c r="D38" s="278">
        <f ca="1">'EUR Swap PVs'!O5</f>
        <v>120240.64594766869</v>
      </c>
      <c r="E38" s="278">
        <f ca="1">'EUR Swap PVs'!P5</f>
        <v>90180.484460751526</v>
      </c>
      <c r="F38" s="278">
        <f ca="1">'EUR Swap PVs'!Q5</f>
        <v>60120.322973834343</v>
      </c>
      <c r="G38" s="278">
        <f ca="1">'EUR Swap PVs'!R5</f>
        <v>30060.161486917168</v>
      </c>
      <c r="H38" s="278">
        <f ca="1">'EUR Swap PVs'!S5</f>
        <v>-8.6736173798840355E-13</v>
      </c>
      <c r="I38" s="278">
        <f ca="1">'EUR Swap PVs'!T5</f>
        <v>-30060.161486917175</v>
      </c>
      <c r="J38" s="278">
        <f ca="1">'EUR Swap PVs'!U5</f>
        <v>-60120.322973834351</v>
      </c>
      <c r="K38" s="278">
        <f ca="1">'EUR Swap PVs'!V5</f>
        <v>-90180.484460751526</v>
      </c>
      <c r="L38" s="278">
        <f ca="1">'EUR Swap PVs'!W5</f>
        <v>-120240.64594766872</v>
      </c>
      <c r="M38" s="279">
        <f ca="1">'EUR Swap PVs'!X5</f>
        <v>-150300.80743458591</v>
      </c>
    </row>
    <row r="39" spans="2:16">
      <c r="B39" s="282" t="s">
        <v>35</v>
      </c>
      <c r="C39" s="278">
        <f ca="1">'EUR Swap PVs'!N6</f>
        <v>199873.1557084099</v>
      </c>
      <c r="D39" s="278">
        <f ca="1">'EUR Swap PVs'!O6</f>
        <v>159898.52456672789</v>
      </c>
      <c r="E39" s="278">
        <f ca="1">'EUR Swap PVs'!P6</f>
        <v>119923.89342504593</v>
      </c>
      <c r="F39" s="278">
        <f ca="1">'EUR Swap PVs'!Q6</f>
        <v>79949.262283363947</v>
      </c>
      <c r="G39" s="278">
        <f ca="1">'EUR Swap PVs'!R6</f>
        <v>39974.631141681966</v>
      </c>
      <c r="H39" s="278">
        <f ca="1">'EUR Swap PVs'!S6</f>
        <v>0</v>
      </c>
      <c r="I39" s="278">
        <f ca="1">'EUR Swap PVs'!T6</f>
        <v>-39974.631141681981</v>
      </c>
      <c r="J39" s="278">
        <f ca="1">'EUR Swap PVs'!U6</f>
        <v>-79949.262283363947</v>
      </c>
      <c r="K39" s="278">
        <f ca="1">'EUR Swap PVs'!V6</f>
        <v>-119923.89342504591</v>
      </c>
      <c r="L39" s="278">
        <f ca="1">'EUR Swap PVs'!W6</f>
        <v>-159898.52456672792</v>
      </c>
      <c r="M39" s="279">
        <f ca="1">'EUR Swap PVs'!X6</f>
        <v>-199873.15570840987</v>
      </c>
    </row>
    <row r="40" spans="2:16">
      <c r="B40" s="282" t="s">
        <v>33</v>
      </c>
      <c r="C40" s="278">
        <f ca="1">'EUR Swap PVs'!N7</f>
        <v>249096.03223594063</v>
      </c>
      <c r="D40" s="278">
        <f ca="1">'EUR Swap PVs'!O7</f>
        <v>199276.8257887525</v>
      </c>
      <c r="E40" s="278">
        <f ca="1">'EUR Swap PVs'!P7</f>
        <v>149457.61934156436</v>
      </c>
      <c r="F40" s="278">
        <f ca="1">'EUR Swap PVs'!Q7</f>
        <v>99638.412894376233</v>
      </c>
      <c r="G40" s="278">
        <f ca="1">'EUR Swap PVs'!R7</f>
        <v>49819.206447188102</v>
      </c>
      <c r="H40" s="278">
        <f ca="1">'EUR Swap PVs'!S7</f>
        <v>0</v>
      </c>
      <c r="I40" s="278">
        <f ca="1">'EUR Swap PVs'!T7</f>
        <v>-49819.206447188124</v>
      </c>
      <c r="J40" s="278">
        <f ca="1">'EUR Swap PVs'!U7</f>
        <v>-99638.412894376248</v>
      </c>
      <c r="K40" s="278">
        <f ca="1">'EUR Swap PVs'!V7</f>
        <v>-149457.61934156436</v>
      </c>
      <c r="L40" s="278">
        <f ca="1">'EUR Swap PVs'!W7</f>
        <v>-199276.8257887525</v>
      </c>
      <c r="M40" s="279">
        <f ca="1">'EUR Swap PVs'!X7</f>
        <v>-249096.03223594066</v>
      </c>
    </row>
    <row r="41" spans="2:16">
      <c r="B41" s="282" t="s">
        <v>131</v>
      </c>
      <c r="C41" s="278">
        <f ca="1">'EUR Swap PVs'!N8</f>
        <v>297667.53869917651</v>
      </c>
      <c r="D41" s="278">
        <f ca="1">'EUR Swap PVs'!O8</f>
        <v>238134.03095934118</v>
      </c>
      <c r="E41" s="278">
        <f ca="1">'EUR Swap PVs'!P8</f>
        <v>178600.52321950591</v>
      </c>
      <c r="F41" s="278">
        <f ca="1">'EUR Swap PVs'!Q8</f>
        <v>119067.01547967059</v>
      </c>
      <c r="G41" s="278">
        <f ca="1">'EUR Swap PVs'!R8</f>
        <v>59533.507739835273</v>
      </c>
      <c r="H41" s="278">
        <f ca="1">'EUR Swap PVs'!S8</f>
        <v>0</v>
      </c>
      <c r="I41" s="278">
        <f ca="1">'EUR Swap PVs'!T8</f>
        <v>-59533.507739835302</v>
      </c>
      <c r="J41" s="278">
        <f ca="1">'EUR Swap PVs'!U8</f>
        <v>-119067.0154796706</v>
      </c>
      <c r="K41" s="278">
        <f ca="1">'EUR Swap PVs'!V8</f>
        <v>-178600.52321950594</v>
      </c>
      <c r="L41" s="278">
        <f ca="1">'EUR Swap PVs'!W8</f>
        <v>-238134.03095934121</v>
      </c>
      <c r="M41" s="279">
        <f ca="1">'EUR Swap PVs'!X8</f>
        <v>-297667.53869917657</v>
      </c>
    </row>
    <row r="42" spans="2:16">
      <c r="B42" s="282" t="s">
        <v>31</v>
      </c>
      <c r="C42" s="278">
        <f ca="1">'EUR Swap PVs'!N9</f>
        <v>345445.58092836302</v>
      </c>
      <c r="D42" s="278">
        <f ca="1">'EUR Swap PVs'!O9</f>
        <v>276356.46474269044</v>
      </c>
      <c r="E42" s="278">
        <f ca="1">'EUR Swap PVs'!P9</f>
        <v>207267.34855701777</v>
      </c>
      <c r="F42" s="278">
        <f ca="1">'EUR Swap PVs'!Q9</f>
        <v>138178.23237134519</v>
      </c>
      <c r="G42" s="278">
        <f ca="1">'EUR Swap PVs'!R9</f>
        <v>69089.116185672581</v>
      </c>
      <c r="H42" s="278">
        <f ca="1">'EUR Swap PVs'!S9</f>
        <v>6.9388939039072284E-12</v>
      </c>
      <c r="I42" s="278">
        <f ca="1">'EUR Swap PVs'!T9</f>
        <v>-69089.116185672581</v>
      </c>
      <c r="J42" s="278">
        <f ca="1">'EUR Swap PVs'!U9</f>
        <v>-138178.23237134519</v>
      </c>
      <c r="K42" s="278">
        <f ca="1">'EUR Swap PVs'!V9</f>
        <v>-207267.34855701777</v>
      </c>
      <c r="L42" s="278">
        <f ca="1">'EUR Swap PVs'!W9</f>
        <v>-276356.46474269038</v>
      </c>
      <c r="M42" s="279">
        <f ca="1">'EUR Swap PVs'!X9</f>
        <v>-345445.58092836302</v>
      </c>
    </row>
    <row r="43" spans="2:16">
      <c r="B43" s="282" t="s">
        <v>119</v>
      </c>
      <c r="C43" s="278">
        <f ca="1">'EUR Swap PVs'!N10</f>
        <v>392585.59739955037</v>
      </c>
      <c r="D43" s="278">
        <f ca="1">'EUR Swap PVs'!O10</f>
        <v>314068.47791964019</v>
      </c>
      <c r="E43" s="278">
        <f ca="1">'EUR Swap PVs'!P10</f>
        <v>235551.35843973019</v>
      </c>
      <c r="F43" s="278">
        <f ca="1">'EUR Swap PVs'!Q10</f>
        <v>157034.2389598201</v>
      </c>
      <c r="G43" s="278">
        <f ca="1">'EUR Swap PVs'!R10</f>
        <v>78517.119479910034</v>
      </c>
      <c r="H43" s="278">
        <f ca="1">'EUR Swap PVs'!S10</f>
        <v>0</v>
      </c>
      <c r="I43" s="278">
        <f ca="1">'EUR Swap PVs'!T10</f>
        <v>-78517.119479910078</v>
      </c>
      <c r="J43" s="278">
        <f ca="1">'EUR Swap PVs'!U10</f>
        <v>-157034.23895982013</v>
      </c>
      <c r="K43" s="278">
        <f ca="1">'EUR Swap PVs'!V10</f>
        <v>-235551.35843973019</v>
      </c>
      <c r="L43" s="278">
        <f ca="1">'EUR Swap PVs'!W10</f>
        <v>-314068.47791964025</v>
      </c>
      <c r="M43" s="279">
        <f ca="1">'EUR Swap PVs'!X10</f>
        <v>-392585.59739955037</v>
      </c>
    </row>
    <row r="44" spans="2:16">
      <c r="B44" s="282" t="s">
        <v>113</v>
      </c>
      <c r="C44" s="278">
        <f ca="1">'EUR Swap PVs'!N11</f>
        <v>438252.52539896447</v>
      </c>
      <c r="D44" s="278">
        <f ca="1">'EUR Swap PVs'!O11</f>
        <v>350602.02031917154</v>
      </c>
      <c r="E44" s="278">
        <f ca="1">'EUR Swap PVs'!P11</f>
        <v>262951.51523937867</v>
      </c>
      <c r="F44" s="278">
        <f ca="1">'EUR Swap PVs'!Q11</f>
        <v>175301.01015958577</v>
      </c>
      <c r="G44" s="278">
        <f ca="1">'EUR Swap PVs'!R11</f>
        <v>87650.505079792856</v>
      </c>
      <c r="H44" s="278">
        <f ca="1">'EUR Swap PVs'!S11</f>
        <v>-1.3877787807814457E-11</v>
      </c>
      <c r="I44" s="278">
        <f ca="1">'EUR Swap PVs'!T11</f>
        <v>-87650.5050797929</v>
      </c>
      <c r="J44" s="278">
        <f ca="1">'EUR Swap PVs'!U11</f>
        <v>-175301.01015958577</v>
      </c>
      <c r="K44" s="278">
        <f ca="1">'EUR Swap PVs'!V11</f>
        <v>-262951.51523937873</v>
      </c>
      <c r="L44" s="278">
        <f ca="1">'EUR Swap PVs'!W11</f>
        <v>-350602.0203191716</v>
      </c>
      <c r="M44" s="279">
        <f ca="1">'EUR Swap PVs'!X11</f>
        <v>-438252.52539896447</v>
      </c>
    </row>
    <row r="45" spans="2:16">
      <c r="B45" s="282" t="s">
        <v>28</v>
      </c>
      <c r="C45" s="278">
        <f ca="1">'EUR Swap PVs'!N12</f>
        <v>483168.64497448748</v>
      </c>
      <c r="D45" s="278">
        <f ca="1">'EUR Swap PVs'!O12</f>
        <v>386534.91597958998</v>
      </c>
      <c r="E45" s="278">
        <f ca="1">'EUR Swap PVs'!P12</f>
        <v>289901.18698469247</v>
      </c>
      <c r="F45" s="278">
        <f ca="1">'EUR Swap PVs'!Q12</f>
        <v>193267.45798979493</v>
      </c>
      <c r="G45" s="278">
        <f ca="1">'EUR Swap PVs'!R12</f>
        <v>96633.728994897465</v>
      </c>
      <c r="H45" s="278">
        <f ca="1">'EUR Swap PVs'!S12</f>
        <v>0</v>
      </c>
      <c r="I45" s="278">
        <f ca="1">'EUR Swap PVs'!T12</f>
        <v>-96633.728994897479</v>
      </c>
      <c r="J45" s="278">
        <f ca="1">'EUR Swap PVs'!U12</f>
        <v>-193267.45798979493</v>
      </c>
      <c r="K45" s="278">
        <f ca="1">'EUR Swap PVs'!V12</f>
        <v>-289901.18698469247</v>
      </c>
      <c r="L45" s="278">
        <f ca="1">'EUR Swap PVs'!W12</f>
        <v>-386534.91597958998</v>
      </c>
      <c r="M45" s="279">
        <f ca="1">'EUR Swap PVs'!X12</f>
        <v>-483168.64497448754</v>
      </c>
    </row>
    <row r="46" spans="2:16">
      <c r="B46" s="282" t="s">
        <v>366</v>
      </c>
      <c r="C46" s="278">
        <f ca="1">'EUR Swap PVs'!N13</f>
        <v>527061.76365639444</v>
      </c>
      <c r="D46" s="278">
        <f ca="1">'EUR Swap PVs'!O13</f>
        <v>421649.41092511552</v>
      </c>
      <c r="E46" s="278">
        <f ca="1">'EUR Swap PVs'!P13</f>
        <v>316237.05819383665</v>
      </c>
      <c r="F46" s="278">
        <f ca="1">'EUR Swap PVs'!Q13</f>
        <v>210824.70546255773</v>
      </c>
      <c r="G46" s="278">
        <f ca="1">'EUR Swap PVs'!R13</f>
        <v>105412.35273127886</v>
      </c>
      <c r="H46" s="278">
        <f ca="1">'EUR Swap PVs'!S13</f>
        <v>0</v>
      </c>
      <c r="I46" s="278">
        <f ca="1">'EUR Swap PVs'!T13</f>
        <v>-105412.35273127888</v>
      </c>
      <c r="J46" s="278">
        <f ca="1">'EUR Swap PVs'!U13</f>
        <v>-210824.70546255773</v>
      </c>
      <c r="K46" s="278">
        <f ca="1">'EUR Swap PVs'!V13</f>
        <v>-316237.05819383665</v>
      </c>
      <c r="L46" s="278">
        <f ca="1">'EUR Swap PVs'!W13</f>
        <v>-421649.41092511563</v>
      </c>
      <c r="M46" s="279">
        <f ca="1">'EUR Swap PVs'!X13</f>
        <v>-527061.76365639444</v>
      </c>
    </row>
    <row r="47" spans="2:16">
      <c r="B47" s="282" t="s">
        <v>26</v>
      </c>
      <c r="C47" s="278">
        <f ca="1">'EUR Swap PVs'!N14</f>
        <v>569938.0308485931</v>
      </c>
      <c r="D47" s="278">
        <f ca="1">'EUR Swap PVs'!O14</f>
        <v>455950.42467887449</v>
      </c>
      <c r="E47" s="278">
        <f ca="1">'EUR Swap PVs'!P14</f>
        <v>341962.81850915583</v>
      </c>
      <c r="F47" s="278">
        <f ca="1">'EUR Swap PVs'!Q14</f>
        <v>227975.21233943719</v>
      </c>
      <c r="G47" s="278">
        <f ca="1">'EUR Swap PVs'!R14</f>
        <v>113987.60616971858</v>
      </c>
      <c r="H47" s="278">
        <f ca="1">'EUR Swap PVs'!S14</f>
        <v>0</v>
      </c>
      <c r="I47" s="278">
        <f ca="1">'EUR Swap PVs'!T14</f>
        <v>-113987.60616971865</v>
      </c>
      <c r="J47" s="278">
        <f ca="1">'EUR Swap PVs'!U14</f>
        <v>-227975.2123394373</v>
      </c>
      <c r="K47" s="278">
        <f ca="1">'EUR Swap PVs'!V14</f>
        <v>-341962.81850915577</v>
      </c>
      <c r="L47" s="278">
        <f ca="1">'EUR Swap PVs'!W14</f>
        <v>-455950.42467887449</v>
      </c>
      <c r="M47" s="279">
        <f ca="1">'EUR Swap PVs'!X14</f>
        <v>-569938.0308485931</v>
      </c>
    </row>
    <row r="48" spans="2:16">
      <c r="B48" s="282" t="s">
        <v>24</v>
      </c>
      <c r="C48" s="278">
        <f ca="1">'EUR Swap PVs'!N15</f>
        <v>692615.23399544926</v>
      </c>
      <c r="D48" s="278">
        <f ca="1">'EUR Swap PVs'!O15</f>
        <v>554092.18719635939</v>
      </c>
      <c r="E48" s="278">
        <f ca="1">'EUR Swap PVs'!P15</f>
        <v>415569.14039726957</v>
      </c>
      <c r="F48" s="278">
        <f ca="1">'EUR Swap PVs'!Q15</f>
        <v>277046.09359817969</v>
      </c>
      <c r="G48" s="278">
        <f ca="1">'EUR Swap PVs'!R15</f>
        <v>138523.04679908982</v>
      </c>
      <c r="H48" s="278">
        <f ca="1">'EUR Swap PVs'!S15</f>
        <v>0</v>
      </c>
      <c r="I48" s="278">
        <f ca="1">'EUR Swap PVs'!T15</f>
        <v>-138523.04679908988</v>
      </c>
      <c r="J48" s="278">
        <f ca="1">'EUR Swap PVs'!U15</f>
        <v>-277046.09359817969</v>
      </c>
      <c r="K48" s="278">
        <f ca="1">'EUR Swap PVs'!V15</f>
        <v>-415569.14039726957</v>
      </c>
      <c r="L48" s="278">
        <f ca="1">'EUR Swap PVs'!W15</f>
        <v>-554092.18719635939</v>
      </c>
      <c r="M48" s="279">
        <f ca="1">'EUR Swap PVs'!X15</f>
        <v>-692615.23399544938</v>
      </c>
    </row>
    <row r="49" spans="2:26">
      <c r="B49" s="282" t="s">
        <v>20</v>
      </c>
      <c r="C49" s="278">
        <f ca="1">'EUR Swap PVs'!N16</f>
        <v>879086.65850046882</v>
      </c>
      <c r="D49" s="278">
        <f ca="1">'EUR Swap PVs'!O16</f>
        <v>703269.32680037513</v>
      </c>
      <c r="E49" s="278">
        <f ca="1">'EUR Swap PVs'!P16</f>
        <v>527451.99510028132</v>
      </c>
      <c r="F49" s="278">
        <f ca="1">'EUR Swap PVs'!Q16</f>
        <v>351634.66340018745</v>
      </c>
      <c r="G49" s="278">
        <f ca="1">'EUR Swap PVs'!R16</f>
        <v>175817.33170009372</v>
      </c>
      <c r="H49" s="278">
        <f ca="1">'EUR Swap PVs'!S16</f>
        <v>0</v>
      </c>
      <c r="I49" s="278">
        <f ca="1">'EUR Swap PVs'!T16</f>
        <v>-175817.33170009378</v>
      </c>
      <c r="J49" s="278">
        <f ca="1">'EUR Swap PVs'!U16</f>
        <v>-351634.66340018756</v>
      </c>
      <c r="K49" s="278">
        <f ca="1">'EUR Swap PVs'!V16</f>
        <v>-527451.9951002812</v>
      </c>
      <c r="L49" s="278">
        <f ca="1">'EUR Swap PVs'!W16</f>
        <v>-703269.3268003749</v>
      </c>
      <c r="M49" s="279">
        <f ca="1">'EUR Swap PVs'!X16</f>
        <v>-879086.65850046882</v>
      </c>
    </row>
    <row r="50" spans="2:26">
      <c r="B50" s="282" t="s">
        <v>18</v>
      </c>
      <c r="C50" s="278">
        <f ca="1">'EUR Swap PVs'!N17</f>
        <v>1047182.7946827149</v>
      </c>
      <c r="D50" s="278">
        <f ca="1">'EUR Swap PVs'!O17</f>
        <v>837746.23574617179</v>
      </c>
      <c r="E50" s="278">
        <f ca="1">'EUR Swap PVs'!P17</f>
        <v>628309.67680962884</v>
      </c>
      <c r="F50" s="278">
        <f ca="1">'EUR Swap PVs'!Q17</f>
        <v>418873.11787308584</v>
      </c>
      <c r="G50" s="278">
        <f ca="1">'EUR Swap PVs'!R17</f>
        <v>209436.55893654289</v>
      </c>
      <c r="H50" s="278">
        <f ca="1">'EUR Swap PVs'!S17</f>
        <v>0</v>
      </c>
      <c r="I50" s="278">
        <f ca="1">'EUR Swap PVs'!T17</f>
        <v>-209436.55893654301</v>
      </c>
      <c r="J50" s="278">
        <f ca="1">'EUR Swap PVs'!U17</f>
        <v>-418873.11787308601</v>
      </c>
      <c r="K50" s="278">
        <f ca="1">'EUR Swap PVs'!V17</f>
        <v>-628309.67680962896</v>
      </c>
      <c r="L50" s="278">
        <f ca="1">'EUR Swap PVs'!W17</f>
        <v>-837746.23574617191</v>
      </c>
      <c r="M50" s="279">
        <f ca="1">'EUR Swap PVs'!X17</f>
        <v>-1047182.7946827146</v>
      </c>
    </row>
    <row r="51" spans="2:26">
      <c r="B51" s="282" t="s">
        <v>17</v>
      </c>
      <c r="C51" s="278">
        <f ca="1">'EUR Swap PVs'!N18</f>
        <v>1200253.8604142829</v>
      </c>
      <c r="D51" s="278">
        <f ca="1">'EUR Swap PVs'!O18</f>
        <v>960203.08833142626</v>
      </c>
      <c r="E51" s="278">
        <f ca="1">'EUR Swap PVs'!P18</f>
        <v>720152.31624856964</v>
      </c>
      <c r="F51" s="278">
        <f ca="1">'EUR Swap PVs'!Q18</f>
        <v>480101.54416571307</v>
      </c>
      <c r="G51" s="278">
        <f ca="1">'EUR Swap PVs'!R18</f>
        <v>240050.77208285648</v>
      </c>
      <c r="H51" s="278">
        <f ca="1">'EUR Swap PVs'!S18</f>
        <v>-5.5511151231257827E-11</v>
      </c>
      <c r="I51" s="278">
        <f ca="1">'EUR Swap PVs'!T18</f>
        <v>-240050.77208285668</v>
      </c>
      <c r="J51" s="278">
        <f ca="1">'EUR Swap PVs'!U18</f>
        <v>-480101.54416571331</v>
      </c>
      <c r="K51" s="278">
        <f ca="1">'EUR Swap PVs'!V18</f>
        <v>-720152.31624856987</v>
      </c>
      <c r="L51" s="278">
        <f ca="1">'EUR Swap PVs'!W18</f>
        <v>-960203.08833142649</v>
      </c>
      <c r="M51" s="279">
        <f ca="1">'EUR Swap PVs'!X18</f>
        <v>-1200253.8604142831</v>
      </c>
    </row>
    <row r="52" spans="2:26">
      <c r="B52" s="282" t="s">
        <v>16</v>
      </c>
      <c r="C52" s="278">
        <f ca="1">'EUR Swap PVs'!N19</f>
        <v>1341179.2700771403</v>
      </c>
      <c r="D52" s="278">
        <f ca="1">'EUR Swap PVs'!O19</f>
        <v>1072943.4160617122</v>
      </c>
      <c r="E52" s="278">
        <f ca="1">'EUR Swap PVs'!P19</f>
        <v>804707.56204628397</v>
      </c>
      <c r="F52" s="278">
        <f ca="1">'EUR Swap PVs'!Q19</f>
        <v>536471.70803085598</v>
      </c>
      <c r="G52" s="278">
        <f ca="1">'EUR Swap PVs'!R19</f>
        <v>268235.85401542793</v>
      </c>
      <c r="H52" s="278">
        <f ca="1">'EUR Swap PVs'!S19</f>
        <v>0</v>
      </c>
      <c r="I52" s="278">
        <f ca="1">'EUR Swap PVs'!T19</f>
        <v>-268235.85401542799</v>
      </c>
      <c r="J52" s="278">
        <f ca="1">'EUR Swap PVs'!U19</f>
        <v>-536471.7080308561</v>
      </c>
      <c r="K52" s="278">
        <f ca="1">'EUR Swap PVs'!V19</f>
        <v>-804707.56204628397</v>
      </c>
      <c r="L52" s="278">
        <f ca="1">'EUR Swap PVs'!W19</f>
        <v>-1072943.4160617122</v>
      </c>
      <c r="M52" s="279">
        <f ca="1">'EUR Swap PVs'!X19</f>
        <v>-1341179.2700771401</v>
      </c>
    </row>
    <row r="53" spans="2:26">
      <c r="B53" s="282" t="s">
        <v>15</v>
      </c>
      <c r="C53" s="278">
        <f ca="1">'EUR Swap PVs'!N20</f>
        <v>1471307.5991774679</v>
      </c>
      <c r="D53" s="278">
        <f ca="1">'EUR Swap PVs'!O20</f>
        <v>1177046.0793419741</v>
      </c>
      <c r="E53" s="278">
        <f ca="1">'EUR Swap PVs'!P20</f>
        <v>882784.55950648058</v>
      </c>
      <c r="F53" s="278">
        <f ca="1">'EUR Swap PVs'!Q20</f>
        <v>588523.03967098705</v>
      </c>
      <c r="G53" s="278">
        <f ca="1">'EUR Swap PVs'!R20</f>
        <v>294261.51983549347</v>
      </c>
      <c r="H53" s="278">
        <f ca="1">'EUR Swap PVs'!S20</f>
        <v>0</v>
      </c>
      <c r="I53" s="278">
        <f ca="1">'EUR Swap PVs'!T20</f>
        <v>-294261.51983549353</v>
      </c>
      <c r="J53" s="278">
        <f ca="1">'EUR Swap PVs'!U20</f>
        <v>-588523.03967098694</v>
      </c>
      <c r="K53" s="278">
        <f ca="1">'EUR Swap PVs'!V20</f>
        <v>-882784.55950648058</v>
      </c>
      <c r="L53" s="278">
        <f ca="1">'EUR Swap PVs'!W20</f>
        <v>-1177046.0793419741</v>
      </c>
      <c r="M53" s="279">
        <f ca="1">'EUR Swap PVs'!X20</f>
        <v>-1471307.5991774681</v>
      </c>
    </row>
    <row r="54" spans="2:26">
      <c r="B54" s="282" t="s">
        <v>368</v>
      </c>
      <c r="C54" s="278">
        <f ca="1">'EUR Swap PVs'!N21</f>
        <v>1589983.8927858977</v>
      </c>
      <c r="D54" s="278">
        <f ca="1">'EUR Swap PVs'!O21</f>
        <v>1271987.114228718</v>
      </c>
      <c r="E54" s="278">
        <f ca="1">'EUR Swap PVs'!P21</f>
        <v>953990.33567153849</v>
      </c>
      <c r="F54" s="278">
        <f ca="1">'EUR Swap PVs'!Q21</f>
        <v>635993.55711435887</v>
      </c>
      <c r="G54" s="278">
        <f ca="1">'EUR Swap PVs'!R21</f>
        <v>317996.77855717938</v>
      </c>
      <c r="H54" s="278">
        <f ca="1">'EUR Swap PVs'!S21</f>
        <v>0</v>
      </c>
      <c r="I54" s="278">
        <f ca="1">'EUR Swap PVs'!T21</f>
        <v>-317996.77855717944</v>
      </c>
      <c r="J54" s="278">
        <f ca="1">'EUR Swap PVs'!U21</f>
        <v>-635993.55711435899</v>
      </c>
      <c r="K54" s="278">
        <f ca="1">'EUR Swap PVs'!V21</f>
        <v>-953990.33567153837</v>
      </c>
      <c r="L54" s="278">
        <f ca="1">'EUR Swap PVs'!W21</f>
        <v>-1271987.1142287182</v>
      </c>
      <c r="M54" s="279">
        <f ca="1">'EUR Swap PVs'!X21</f>
        <v>-1589983.8927858972</v>
      </c>
    </row>
    <row r="55" spans="2:26">
      <c r="B55" s="283" t="s">
        <v>14</v>
      </c>
      <c r="C55" s="280">
        <f ca="1">'EUR Swap PVs'!N22</f>
        <v>1698516.6839658313</v>
      </c>
      <c r="D55" s="280">
        <f ca="1">'EUR Swap PVs'!O22</f>
        <v>1358813.3471726649</v>
      </c>
      <c r="E55" s="280">
        <f ca="1">'EUR Swap PVs'!P22</f>
        <v>1019110.0103794988</v>
      </c>
      <c r="F55" s="280">
        <f ca="1">'EUR Swap PVs'!Q22</f>
        <v>679406.67358633247</v>
      </c>
      <c r="G55" s="280">
        <f ca="1">'EUR Swap PVs'!R22</f>
        <v>339703.33679316618</v>
      </c>
      <c r="H55" s="280">
        <f ca="1">'EUR Swap PVs'!S22</f>
        <v>0</v>
      </c>
      <c r="I55" s="280">
        <f ca="1">'EUR Swap PVs'!T22</f>
        <v>-339703.33679316635</v>
      </c>
      <c r="J55" s="280">
        <f ca="1">'EUR Swap PVs'!U22</f>
        <v>-679406.67358633259</v>
      </c>
      <c r="K55" s="280">
        <f ca="1">'EUR Swap PVs'!V22</f>
        <v>-1019110.0103794986</v>
      </c>
      <c r="L55" s="280">
        <f ca="1">'EUR Swap PVs'!W22</f>
        <v>-1358813.3471726649</v>
      </c>
      <c r="M55" s="281">
        <f ca="1">'EUR Swap PVs'!X22</f>
        <v>-1698516.6839658313</v>
      </c>
    </row>
    <row r="57" spans="2:26">
      <c r="B57" s="258" t="s">
        <v>472</v>
      </c>
      <c r="O57" s="258" t="s">
        <v>472</v>
      </c>
    </row>
    <row r="58" spans="2:26">
      <c r="B58" s="254" t="s">
        <v>468</v>
      </c>
      <c r="C58" s="276">
        <v>-0.05</v>
      </c>
      <c r="D58" s="276">
        <v>-0.04</v>
      </c>
      <c r="E58" s="276">
        <v>-0.03</v>
      </c>
      <c r="F58" s="276">
        <v>-1.9999999999999997E-2</v>
      </c>
      <c r="G58" s="276">
        <v>-9.9999999999999967E-3</v>
      </c>
      <c r="H58" s="276">
        <v>0</v>
      </c>
      <c r="I58" s="276">
        <v>0.01</v>
      </c>
      <c r="J58" s="276">
        <v>0.02</v>
      </c>
      <c r="K58" s="276">
        <v>0.03</v>
      </c>
      <c r="L58" s="276">
        <v>0.04</v>
      </c>
      <c r="M58" s="277">
        <v>0.05</v>
      </c>
      <c r="O58" s="254" t="s">
        <v>468</v>
      </c>
      <c r="P58" s="276">
        <v>-0.05</v>
      </c>
      <c r="Q58" s="276">
        <v>-0.04</v>
      </c>
      <c r="R58" s="276">
        <v>-0.03</v>
      </c>
      <c r="S58" s="276">
        <v>-1.9999999999999997E-2</v>
      </c>
      <c r="T58" s="276">
        <v>-9.9999999999999967E-3</v>
      </c>
      <c r="U58" s="276">
        <v>0</v>
      </c>
      <c r="V58" s="276">
        <v>0.01</v>
      </c>
      <c r="W58" s="276">
        <v>0.02</v>
      </c>
      <c r="X58" s="276">
        <v>0.03</v>
      </c>
      <c r="Y58" s="276">
        <v>0.04</v>
      </c>
      <c r="Z58" s="277">
        <v>0.05</v>
      </c>
    </row>
    <row r="59" spans="2:26">
      <c r="B59" s="282" t="s">
        <v>42</v>
      </c>
      <c r="C59" s="278">
        <f ca="1">IF(C37&gt;D37,0,1)</f>
        <v>0</v>
      </c>
      <c r="D59" s="278">
        <f t="shared" ref="D59:L59" ca="1" si="2">IF(D37&gt;E37,0,1)</f>
        <v>0</v>
      </c>
      <c r="E59" s="278">
        <f t="shared" ca="1" si="2"/>
        <v>0</v>
      </c>
      <c r="F59" s="278">
        <f t="shared" ca="1" si="2"/>
        <v>0</v>
      </c>
      <c r="G59" s="278">
        <f t="shared" ca="1" si="2"/>
        <v>0</v>
      </c>
      <c r="H59" s="278">
        <f t="shared" ca="1" si="2"/>
        <v>0</v>
      </c>
      <c r="I59" s="278">
        <f t="shared" ca="1" si="2"/>
        <v>0</v>
      </c>
      <c r="J59" s="278">
        <f t="shared" ca="1" si="2"/>
        <v>0</v>
      </c>
      <c r="K59" s="278">
        <f t="shared" ca="1" si="2"/>
        <v>0</v>
      </c>
      <c r="L59" s="278">
        <f t="shared" ca="1" si="2"/>
        <v>0</v>
      </c>
      <c r="M59" s="285" t="s">
        <v>6</v>
      </c>
      <c r="O59" s="282" t="s">
        <v>42</v>
      </c>
      <c r="P59" s="289">
        <f ca="1">IF(ABS(C38)&gt;ABS(C37),0,1)</f>
        <v>0</v>
      </c>
      <c r="Q59" s="289">
        <f t="shared" ref="Q59:Z59" ca="1" si="3">IF(ABS(D38)&gt;ABS(D37),0,1)</f>
        <v>0</v>
      </c>
      <c r="R59" s="289">
        <f t="shared" ca="1" si="3"/>
        <v>0</v>
      </c>
      <c r="S59" s="289">
        <f t="shared" ca="1" si="3"/>
        <v>0</v>
      </c>
      <c r="T59" s="289">
        <f t="shared" ca="1" si="3"/>
        <v>0</v>
      </c>
      <c r="U59" s="295" t="s">
        <v>6</v>
      </c>
      <c r="V59" s="289">
        <f t="shared" ca="1" si="3"/>
        <v>0</v>
      </c>
      <c r="W59" s="289">
        <f t="shared" ca="1" si="3"/>
        <v>0</v>
      </c>
      <c r="X59" s="289">
        <f t="shared" ca="1" si="3"/>
        <v>0</v>
      </c>
      <c r="Y59" s="289">
        <f t="shared" ca="1" si="3"/>
        <v>0</v>
      </c>
      <c r="Z59" s="291">
        <f t="shared" ca="1" si="3"/>
        <v>0</v>
      </c>
    </row>
    <row r="60" spans="2:26">
      <c r="B60" s="282" t="s">
        <v>39</v>
      </c>
      <c r="C60" s="278">
        <f t="shared" ref="C60:L60" ca="1" si="4">IF(C38&gt;D38,0,1)</f>
        <v>0</v>
      </c>
      <c r="D60" s="278">
        <f t="shared" ca="1" si="4"/>
        <v>0</v>
      </c>
      <c r="E60" s="278">
        <f t="shared" ca="1" si="4"/>
        <v>0</v>
      </c>
      <c r="F60" s="278">
        <f t="shared" ca="1" si="4"/>
        <v>0</v>
      </c>
      <c r="G60" s="278">
        <f t="shared" ca="1" si="4"/>
        <v>0</v>
      </c>
      <c r="H60" s="278">
        <f t="shared" ca="1" si="4"/>
        <v>0</v>
      </c>
      <c r="I60" s="278">
        <f t="shared" ca="1" si="4"/>
        <v>0</v>
      </c>
      <c r="J60" s="278">
        <f t="shared" ca="1" si="4"/>
        <v>0</v>
      </c>
      <c r="K60" s="278">
        <f t="shared" ca="1" si="4"/>
        <v>0</v>
      </c>
      <c r="L60" s="278">
        <f t="shared" ca="1" si="4"/>
        <v>0</v>
      </c>
      <c r="M60" s="279" t="s">
        <v>6</v>
      </c>
      <c r="O60" s="282" t="s">
        <v>39</v>
      </c>
      <c r="P60" s="289">
        <f t="shared" ref="P60:Z60" ca="1" si="5">IF(ABS(C39)&gt;ABS(C38),0,1)</f>
        <v>0</v>
      </c>
      <c r="Q60" s="289">
        <f t="shared" ca="1" si="5"/>
        <v>0</v>
      </c>
      <c r="R60" s="289">
        <f t="shared" ca="1" si="5"/>
        <v>0</v>
      </c>
      <c r="S60" s="289">
        <f t="shared" ca="1" si="5"/>
        <v>0</v>
      </c>
      <c r="T60" s="289">
        <f t="shared" ca="1" si="5"/>
        <v>0</v>
      </c>
      <c r="U60" s="295" t="s">
        <v>6</v>
      </c>
      <c r="V60" s="289">
        <f t="shared" ca="1" si="5"/>
        <v>0</v>
      </c>
      <c r="W60" s="289">
        <f t="shared" ca="1" si="5"/>
        <v>0</v>
      </c>
      <c r="X60" s="289">
        <f t="shared" ca="1" si="5"/>
        <v>0</v>
      </c>
      <c r="Y60" s="289">
        <f t="shared" ca="1" si="5"/>
        <v>0</v>
      </c>
      <c r="Z60" s="292">
        <f t="shared" ca="1" si="5"/>
        <v>0</v>
      </c>
    </row>
    <row r="61" spans="2:26">
      <c r="B61" s="282" t="s">
        <v>35</v>
      </c>
      <c r="C61" s="278">
        <f t="shared" ref="C61:L61" ca="1" si="6">IF(C39&gt;D39,0,1)</f>
        <v>0</v>
      </c>
      <c r="D61" s="278">
        <f t="shared" ca="1" si="6"/>
        <v>0</v>
      </c>
      <c r="E61" s="278">
        <f t="shared" ca="1" si="6"/>
        <v>0</v>
      </c>
      <c r="F61" s="278">
        <f t="shared" ca="1" si="6"/>
        <v>0</v>
      </c>
      <c r="G61" s="278">
        <f t="shared" ca="1" si="6"/>
        <v>0</v>
      </c>
      <c r="H61" s="278">
        <f t="shared" ca="1" si="6"/>
        <v>0</v>
      </c>
      <c r="I61" s="278">
        <f t="shared" ca="1" si="6"/>
        <v>0</v>
      </c>
      <c r="J61" s="278">
        <f t="shared" ca="1" si="6"/>
        <v>0</v>
      </c>
      <c r="K61" s="278">
        <f t="shared" ca="1" si="6"/>
        <v>0</v>
      </c>
      <c r="L61" s="278">
        <f t="shared" ca="1" si="6"/>
        <v>0</v>
      </c>
      <c r="M61" s="279" t="s">
        <v>6</v>
      </c>
      <c r="O61" s="282" t="s">
        <v>35</v>
      </c>
      <c r="P61" s="289">
        <f t="shared" ref="P61:Z61" ca="1" si="7">IF(ABS(C40)&gt;ABS(C39),0,1)</f>
        <v>0</v>
      </c>
      <c r="Q61" s="289">
        <f t="shared" ca="1" si="7"/>
        <v>0</v>
      </c>
      <c r="R61" s="289">
        <f t="shared" ca="1" si="7"/>
        <v>0</v>
      </c>
      <c r="S61" s="289">
        <f t="shared" ca="1" si="7"/>
        <v>0</v>
      </c>
      <c r="T61" s="289">
        <f t="shared" ca="1" si="7"/>
        <v>0</v>
      </c>
      <c r="U61" s="295" t="s">
        <v>6</v>
      </c>
      <c r="V61" s="289">
        <f t="shared" ca="1" si="7"/>
        <v>0</v>
      </c>
      <c r="W61" s="289">
        <f t="shared" ca="1" si="7"/>
        <v>0</v>
      </c>
      <c r="X61" s="289">
        <f t="shared" ca="1" si="7"/>
        <v>0</v>
      </c>
      <c r="Y61" s="289">
        <f t="shared" ca="1" si="7"/>
        <v>0</v>
      </c>
      <c r="Z61" s="292">
        <f t="shared" ca="1" si="7"/>
        <v>0</v>
      </c>
    </row>
    <row r="62" spans="2:26">
      <c r="B62" s="282" t="s">
        <v>33</v>
      </c>
      <c r="C62" s="278">
        <f t="shared" ref="C62:L62" ca="1" si="8">IF(C40&gt;D40,0,1)</f>
        <v>0</v>
      </c>
      <c r="D62" s="278">
        <f t="shared" ca="1" si="8"/>
        <v>0</v>
      </c>
      <c r="E62" s="278">
        <f t="shared" ca="1" si="8"/>
        <v>0</v>
      </c>
      <c r="F62" s="278">
        <f t="shared" ca="1" si="8"/>
        <v>0</v>
      </c>
      <c r="G62" s="278">
        <f t="shared" ca="1" si="8"/>
        <v>0</v>
      </c>
      <c r="H62" s="278">
        <f t="shared" ca="1" si="8"/>
        <v>0</v>
      </c>
      <c r="I62" s="278">
        <f t="shared" ca="1" si="8"/>
        <v>0</v>
      </c>
      <c r="J62" s="278">
        <f t="shared" ca="1" si="8"/>
        <v>0</v>
      </c>
      <c r="K62" s="278">
        <f t="shared" ca="1" si="8"/>
        <v>0</v>
      </c>
      <c r="L62" s="278">
        <f t="shared" ca="1" si="8"/>
        <v>0</v>
      </c>
      <c r="M62" s="279" t="s">
        <v>6</v>
      </c>
      <c r="O62" s="282" t="s">
        <v>33</v>
      </c>
      <c r="P62" s="289">
        <f t="shared" ref="P62:Z62" ca="1" si="9">IF(ABS(C41)&gt;ABS(C40),0,1)</f>
        <v>0</v>
      </c>
      <c r="Q62" s="289">
        <f t="shared" ca="1" si="9"/>
        <v>0</v>
      </c>
      <c r="R62" s="289">
        <f t="shared" ca="1" si="9"/>
        <v>0</v>
      </c>
      <c r="S62" s="289">
        <f t="shared" ca="1" si="9"/>
        <v>0</v>
      </c>
      <c r="T62" s="289">
        <f t="shared" ca="1" si="9"/>
        <v>0</v>
      </c>
      <c r="U62" s="295" t="s">
        <v>6</v>
      </c>
      <c r="V62" s="289">
        <f t="shared" ca="1" si="9"/>
        <v>0</v>
      </c>
      <c r="W62" s="289">
        <f t="shared" ca="1" si="9"/>
        <v>0</v>
      </c>
      <c r="X62" s="289">
        <f t="shared" ca="1" si="9"/>
        <v>0</v>
      </c>
      <c r="Y62" s="289">
        <f t="shared" ca="1" si="9"/>
        <v>0</v>
      </c>
      <c r="Z62" s="292">
        <f t="shared" ca="1" si="9"/>
        <v>0</v>
      </c>
    </row>
    <row r="63" spans="2:26">
      <c r="B63" s="282" t="s">
        <v>131</v>
      </c>
      <c r="C63" s="278">
        <f t="shared" ref="C63:L63" ca="1" si="10">IF(C41&gt;D41,0,1)</f>
        <v>0</v>
      </c>
      <c r="D63" s="278">
        <f t="shared" ca="1" si="10"/>
        <v>0</v>
      </c>
      <c r="E63" s="278">
        <f t="shared" ca="1" si="10"/>
        <v>0</v>
      </c>
      <c r="F63" s="278">
        <f t="shared" ca="1" si="10"/>
        <v>0</v>
      </c>
      <c r="G63" s="278">
        <f t="shared" ca="1" si="10"/>
        <v>0</v>
      </c>
      <c r="H63" s="278">
        <f t="shared" ca="1" si="10"/>
        <v>0</v>
      </c>
      <c r="I63" s="278">
        <f t="shared" ca="1" si="10"/>
        <v>0</v>
      </c>
      <c r="J63" s="278">
        <f t="shared" ca="1" si="10"/>
        <v>0</v>
      </c>
      <c r="K63" s="278">
        <f t="shared" ca="1" si="10"/>
        <v>0</v>
      </c>
      <c r="L63" s="278">
        <f t="shared" ca="1" si="10"/>
        <v>0</v>
      </c>
      <c r="M63" s="279" t="s">
        <v>6</v>
      </c>
      <c r="O63" s="282" t="s">
        <v>131</v>
      </c>
      <c r="P63" s="289">
        <f t="shared" ref="P63:Z63" ca="1" si="11">IF(ABS(C42)&gt;ABS(C41),0,1)</f>
        <v>0</v>
      </c>
      <c r="Q63" s="289">
        <f t="shared" ca="1" si="11"/>
        <v>0</v>
      </c>
      <c r="R63" s="289">
        <f t="shared" ca="1" si="11"/>
        <v>0</v>
      </c>
      <c r="S63" s="289">
        <f t="shared" ca="1" si="11"/>
        <v>0</v>
      </c>
      <c r="T63" s="289">
        <f t="shared" ca="1" si="11"/>
        <v>0</v>
      </c>
      <c r="U63" s="295" t="s">
        <v>6</v>
      </c>
      <c r="V63" s="289">
        <f t="shared" ca="1" si="11"/>
        <v>0</v>
      </c>
      <c r="W63" s="289">
        <f t="shared" ca="1" si="11"/>
        <v>0</v>
      </c>
      <c r="X63" s="289">
        <f t="shared" ca="1" si="11"/>
        <v>0</v>
      </c>
      <c r="Y63" s="289">
        <f t="shared" ca="1" si="11"/>
        <v>0</v>
      </c>
      <c r="Z63" s="292">
        <f t="shared" ca="1" si="11"/>
        <v>0</v>
      </c>
    </row>
    <row r="64" spans="2:26">
      <c r="B64" s="282" t="s">
        <v>31</v>
      </c>
      <c r="C64" s="278">
        <f t="shared" ref="C64:L64" ca="1" si="12">IF(C42&gt;D42,0,1)</f>
        <v>0</v>
      </c>
      <c r="D64" s="278">
        <f t="shared" ca="1" si="12"/>
        <v>0</v>
      </c>
      <c r="E64" s="278">
        <f t="shared" ca="1" si="12"/>
        <v>0</v>
      </c>
      <c r="F64" s="278">
        <f t="shared" ca="1" si="12"/>
        <v>0</v>
      </c>
      <c r="G64" s="278">
        <f t="shared" ca="1" si="12"/>
        <v>0</v>
      </c>
      <c r="H64" s="278">
        <f t="shared" ca="1" si="12"/>
        <v>0</v>
      </c>
      <c r="I64" s="278">
        <f t="shared" ca="1" si="12"/>
        <v>0</v>
      </c>
      <c r="J64" s="278">
        <f t="shared" ca="1" si="12"/>
        <v>0</v>
      </c>
      <c r="K64" s="278">
        <f t="shared" ca="1" si="12"/>
        <v>0</v>
      </c>
      <c r="L64" s="278">
        <f t="shared" ca="1" si="12"/>
        <v>0</v>
      </c>
      <c r="M64" s="279" t="s">
        <v>6</v>
      </c>
      <c r="O64" s="282" t="s">
        <v>31</v>
      </c>
      <c r="P64" s="289">
        <f t="shared" ref="P64:Z64" ca="1" si="13">IF(ABS(C43)&gt;ABS(C42),0,1)</f>
        <v>0</v>
      </c>
      <c r="Q64" s="289">
        <f t="shared" ca="1" si="13"/>
        <v>0</v>
      </c>
      <c r="R64" s="289">
        <f t="shared" ca="1" si="13"/>
        <v>0</v>
      </c>
      <c r="S64" s="289">
        <f t="shared" ca="1" si="13"/>
        <v>0</v>
      </c>
      <c r="T64" s="289">
        <f t="shared" ca="1" si="13"/>
        <v>0</v>
      </c>
      <c r="U64" s="295" t="s">
        <v>6</v>
      </c>
      <c r="V64" s="289">
        <f t="shared" ca="1" si="13"/>
        <v>0</v>
      </c>
      <c r="W64" s="289">
        <f t="shared" ca="1" si="13"/>
        <v>0</v>
      </c>
      <c r="X64" s="289">
        <f t="shared" ca="1" si="13"/>
        <v>0</v>
      </c>
      <c r="Y64" s="289">
        <f t="shared" ca="1" si="13"/>
        <v>0</v>
      </c>
      <c r="Z64" s="292">
        <f t="shared" ca="1" si="13"/>
        <v>0</v>
      </c>
    </row>
    <row r="65" spans="1:26">
      <c r="B65" s="282" t="s">
        <v>119</v>
      </c>
      <c r="C65" s="278">
        <f t="shared" ref="C65:L65" ca="1" si="14">IF(C43&gt;D43,0,1)</f>
        <v>0</v>
      </c>
      <c r="D65" s="278">
        <f t="shared" ca="1" si="14"/>
        <v>0</v>
      </c>
      <c r="E65" s="278">
        <f t="shared" ca="1" si="14"/>
        <v>0</v>
      </c>
      <c r="F65" s="278">
        <f t="shared" ca="1" si="14"/>
        <v>0</v>
      </c>
      <c r="G65" s="278">
        <f t="shared" ca="1" si="14"/>
        <v>0</v>
      </c>
      <c r="H65" s="278">
        <f t="shared" ca="1" si="14"/>
        <v>0</v>
      </c>
      <c r="I65" s="278">
        <f t="shared" ca="1" si="14"/>
        <v>0</v>
      </c>
      <c r="J65" s="278">
        <f t="shared" ca="1" si="14"/>
        <v>0</v>
      </c>
      <c r="K65" s="278">
        <f t="shared" ca="1" si="14"/>
        <v>0</v>
      </c>
      <c r="L65" s="278">
        <f t="shared" ca="1" si="14"/>
        <v>0</v>
      </c>
      <c r="M65" s="279" t="s">
        <v>6</v>
      </c>
      <c r="O65" s="282" t="s">
        <v>119</v>
      </c>
      <c r="P65" s="289">
        <f t="shared" ref="P65:Z65" ca="1" si="15">IF(ABS(C44)&gt;ABS(C43),0,1)</f>
        <v>0</v>
      </c>
      <c r="Q65" s="289">
        <f t="shared" ca="1" si="15"/>
        <v>0</v>
      </c>
      <c r="R65" s="289">
        <f t="shared" ca="1" si="15"/>
        <v>0</v>
      </c>
      <c r="S65" s="289">
        <f t="shared" ca="1" si="15"/>
        <v>0</v>
      </c>
      <c r="T65" s="289">
        <f t="shared" ca="1" si="15"/>
        <v>0</v>
      </c>
      <c r="U65" s="295" t="s">
        <v>6</v>
      </c>
      <c r="V65" s="289">
        <f t="shared" ca="1" si="15"/>
        <v>0</v>
      </c>
      <c r="W65" s="289">
        <f t="shared" ca="1" si="15"/>
        <v>0</v>
      </c>
      <c r="X65" s="289">
        <f t="shared" ca="1" si="15"/>
        <v>0</v>
      </c>
      <c r="Y65" s="289">
        <f t="shared" ca="1" si="15"/>
        <v>0</v>
      </c>
      <c r="Z65" s="292">
        <f t="shared" ca="1" si="15"/>
        <v>0</v>
      </c>
    </row>
    <row r="66" spans="1:26">
      <c r="B66" s="282" t="s">
        <v>113</v>
      </c>
      <c r="C66" s="278">
        <f t="shared" ref="C66:L66" ca="1" si="16">IF(C44&gt;D44,0,1)</f>
        <v>0</v>
      </c>
      <c r="D66" s="278">
        <f t="shared" ca="1" si="16"/>
        <v>0</v>
      </c>
      <c r="E66" s="278">
        <f t="shared" ca="1" si="16"/>
        <v>0</v>
      </c>
      <c r="F66" s="278">
        <f t="shared" ca="1" si="16"/>
        <v>0</v>
      </c>
      <c r="G66" s="278">
        <f t="shared" ca="1" si="16"/>
        <v>0</v>
      </c>
      <c r="H66" s="278">
        <f t="shared" ca="1" si="16"/>
        <v>0</v>
      </c>
      <c r="I66" s="278">
        <f t="shared" ca="1" si="16"/>
        <v>0</v>
      </c>
      <c r="J66" s="278">
        <f t="shared" ca="1" si="16"/>
        <v>0</v>
      </c>
      <c r="K66" s="278">
        <f t="shared" ca="1" si="16"/>
        <v>0</v>
      </c>
      <c r="L66" s="278">
        <f t="shared" ca="1" si="16"/>
        <v>0</v>
      </c>
      <c r="M66" s="279" t="s">
        <v>6</v>
      </c>
      <c r="O66" s="282" t="s">
        <v>113</v>
      </c>
      <c r="P66" s="289">
        <f t="shared" ref="P66:Z66" ca="1" si="17">IF(ABS(C45)&gt;ABS(C44),0,1)</f>
        <v>0</v>
      </c>
      <c r="Q66" s="289">
        <f t="shared" ca="1" si="17"/>
        <v>0</v>
      </c>
      <c r="R66" s="289">
        <f t="shared" ca="1" si="17"/>
        <v>0</v>
      </c>
      <c r="S66" s="289">
        <f t="shared" ca="1" si="17"/>
        <v>0</v>
      </c>
      <c r="T66" s="289">
        <f t="shared" ca="1" si="17"/>
        <v>0</v>
      </c>
      <c r="U66" s="295" t="s">
        <v>6</v>
      </c>
      <c r="V66" s="289">
        <f t="shared" ca="1" si="17"/>
        <v>0</v>
      </c>
      <c r="W66" s="289">
        <f t="shared" ca="1" si="17"/>
        <v>0</v>
      </c>
      <c r="X66" s="289">
        <f t="shared" ca="1" si="17"/>
        <v>0</v>
      </c>
      <c r="Y66" s="289">
        <f t="shared" ca="1" si="17"/>
        <v>0</v>
      </c>
      <c r="Z66" s="292">
        <f t="shared" ca="1" si="17"/>
        <v>0</v>
      </c>
    </row>
    <row r="67" spans="1:26">
      <c r="B67" s="282" t="s">
        <v>28</v>
      </c>
      <c r="C67" s="278">
        <f t="shared" ref="C67:L67" ca="1" si="18">IF(C45&gt;D45,0,1)</f>
        <v>0</v>
      </c>
      <c r="D67" s="278">
        <f t="shared" ca="1" si="18"/>
        <v>0</v>
      </c>
      <c r="E67" s="278">
        <f t="shared" ca="1" si="18"/>
        <v>0</v>
      </c>
      <c r="F67" s="278">
        <f t="shared" ca="1" si="18"/>
        <v>0</v>
      </c>
      <c r="G67" s="278">
        <f t="shared" ca="1" si="18"/>
        <v>0</v>
      </c>
      <c r="H67" s="278">
        <f t="shared" ca="1" si="18"/>
        <v>0</v>
      </c>
      <c r="I67" s="278">
        <f t="shared" ca="1" si="18"/>
        <v>0</v>
      </c>
      <c r="J67" s="278">
        <f t="shared" ca="1" si="18"/>
        <v>0</v>
      </c>
      <c r="K67" s="278">
        <f t="shared" ca="1" si="18"/>
        <v>0</v>
      </c>
      <c r="L67" s="278">
        <f t="shared" ca="1" si="18"/>
        <v>0</v>
      </c>
      <c r="M67" s="279" t="s">
        <v>6</v>
      </c>
      <c r="O67" s="282" t="s">
        <v>28</v>
      </c>
      <c r="P67" s="289">
        <f t="shared" ref="P67:Z67" ca="1" si="19">IF(ABS(C46)&gt;ABS(C45),0,1)</f>
        <v>0</v>
      </c>
      <c r="Q67" s="289">
        <f t="shared" ca="1" si="19"/>
        <v>0</v>
      </c>
      <c r="R67" s="289">
        <f t="shared" ca="1" si="19"/>
        <v>0</v>
      </c>
      <c r="S67" s="289">
        <f t="shared" ca="1" si="19"/>
        <v>0</v>
      </c>
      <c r="T67" s="289">
        <f t="shared" ca="1" si="19"/>
        <v>0</v>
      </c>
      <c r="U67" s="295" t="s">
        <v>6</v>
      </c>
      <c r="V67" s="289">
        <f t="shared" ca="1" si="19"/>
        <v>0</v>
      </c>
      <c r="W67" s="289">
        <f t="shared" ca="1" si="19"/>
        <v>0</v>
      </c>
      <c r="X67" s="289">
        <f t="shared" ca="1" si="19"/>
        <v>0</v>
      </c>
      <c r="Y67" s="289">
        <f t="shared" ca="1" si="19"/>
        <v>0</v>
      </c>
      <c r="Z67" s="292">
        <f t="shared" ca="1" si="19"/>
        <v>0</v>
      </c>
    </row>
    <row r="68" spans="1:26">
      <c r="B68" s="282" t="s">
        <v>366</v>
      </c>
      <c r="C68" s="278">
        <f t="shared" ref="C68:L68" ca="1" si="20">IF(C46&gt;D46,0,1)</f>
        <v>0</v>
      </c>
      <c r="D68" s="278">
        <f t="shared" ca="1" si="20"/>
        <v>0</v>
      </c>
      <c r="E68" s="278">
        <f t="shared" ca="1" si="20"/>
        <v>0</v>
      </c>
      <c r="F68" s="278">
        <f t="shared" ca="1" si="20"/>
        <v>0</v>
      </c>
      <c r="G68" s="278">
        <f t="shared" ca="1" si="20"/>
        <v>0</v>
      </c>
      <c r="H68" s="278">
        <f t="shared" ca="1" si="20"/>
        <v>0</v>
      </c>
      <c r="I68" s="278">
        <f t="shared" ca="1" si="20"/>
        <v>0</v>
      </c>
      <c r="J68" s="278">
        <f t="shared" ca="1" si="20"/>
        <v>0</v>
      </c>
      <c r="K68" s="278">
        <f t="shared" ca="1" si="20"/>
        <v>0</v>
      </c>
      <c r="L68" s="278">
        <f t="shared" ca="1" si="20"/>
        <v>0</v>
      </c>
      <c r="M68" s="279" t="s">
        <v>6</v>
      </c>
      <c r="O68" s="282" t="s">
        <v>366</v>
      </c>
      <c r="P68" s="289">
        <f t="shared" ref="P68:Z68" ca="1" si="21">IF(ABS(C47)&gt;ABS(C46),0,1)</f>
        <v>0</v>
      </c>
      <c r="Q68" s="289">
        <f t="shared" ca="1" si="21"/>
        <v>0</v>
      </c>
      <c r="R68" s="289">
        <f t="shared" ca="1" si="21"/>
        <v>0</v>
      </c>
      <c r="S68" s="289">
        <f t="shared" ca="1" si="21"/>
        <v>0</v>
      </c>
      <c r="T68" s="289">
        <f t="shared" ca="1" si="21"/>
        <v>0</v>
      </c>
      <c r="U68" s="295" t="s">
        <v>6</v>
      </c>
      <c r="V68" s="289">
        <f t="shared" ca="1" si="21"/>
        <v>0</v>
      </c>
      <c r="W68" s="289">
        <f t="shared" ca="1" si="21"/>
        <v>0</v>
      </c>
      <c r="X68" s="289">
        <f t="shared" ca="1" si="21"/>
        <v>0</v>
      </c>
      <c r="Y68" s="289">
        <f t="shared" ca="1" si="21"/>
        <v>0</v>
      </c>
      <c r="Z68" s="292">
        <f t="shared" ca="1" si="21"/>
        <v>0</v>
      </c>
    </row>
    <row r="69" spans="1:26">
      <c r="B69" s="282" t="s">
        <v>26</v>
      </c>
      <c r="C69" s="278">
        <f t="shared" ref="C69:L69" ca="1" si="22">IF(C47&gt;D47,0,1)</f>
        <v>0</v>
      </c>
      <c r="D69" s="278">
        <f t="shared" ca="1" si="22"/>
        <v>0</v>
      </c>
      <c r="E69" s="278">
        <f t="shared" ca="1" si="22"/>
        <v>0</v>
      </c>
      <c r="F69" s="278">
        <f t="shared" ca="1" si="22"/>
        <v>0</v>
      </c>
      <c r="G69" s="278">
        <f t="shared" ca="1" si="22"/>
        <v>0</v>
      </c>
      <c r="H69" s="278">
        <f t="shared" ca="1" si="22"/>
        <v>0</v>
      </c>
      <c r="I69" s="278">
        <f t="shared" ca="1" si="22"/>
        <v>0</v>
      </c>
      <c r="J69" s="278">
        <f t="shared" ca="1" si="22"/>
        <v>0</v>
      </c>
      <c r="K69" s="278">
        <f t="shared" ca="1" si="22"/>
        <v>0</v>
      </c>
      <c r="L69" s="278">
        <f t="shared" ca="1" si="22"/>
        <v>0</v>
      </c>
      <c r="M69" s="279" t="s">
        <v>6</v>
      </c>
      <c r="O69" s="282" t="s">
        <v>26</v>
      </c>
      <c r="P69" s="289">
        <f t="shared" ref="P69:Z69" ca="1" si="23">IF(ABS(C48)&gt;ABS(C47),0,1)</f>
        <v>0</v>
      </c>
      <c r="Q69" s="289">
        <f t="shared" ca="1" si="23"/>
        <v>0</v>
      </c>
      <c r="R69" s="289">
        <f t="shared" ca="1" si="23"/>
        <v>0</v>
      </c>
      <c r="S69" s="289">
        <f t="shared" ca="1" si="23"/>
        <v>0</v>
      </c>
      <c r="T69" s="289">
        <f t="shared" ca="1" si="23"/>
        <v>0</v>
      </c>
      <c r="U69" s="295" t="s">
        <v>6</v>
      </c>
      <c r="V69" s="289">
        <f t="shared" ca="1" si="23"/>
        <v>0</v>
      </c>
      <c r="W69" s="289">
        <f t="shared" ca="1" si="23"/>
        <v>0</v>
      </c>
      <c r="X69" s="289">
        <f t="shared" ca="1" si="23"/>
        <v>0</v>
      </c>
      <c r="Y69" s="289">
        <f t="shared" ca="1" si="23"/>
        <v>0</v>
      </c>
      <c r="Z69" s="292">
        <f t="shared" ca="1" si="23"/>
        <v>0</v>
      </c>
    </row>
    <row r="70" spans="1:26">
      <c r="B70" s="282" t="s">
        <v>24</v>
      </c>
      <c r="C70" s="278">
        <f t="shared" ref="C70:L70" ca="1" si="24">IF(C48&gt;D48,0,1)</f>
        <v>0</v>
      </c>
      <c r="D70" s="278">
        <f t="shared" ca="1" si="24"/>
        <v>0</v>
      </c>
      <c r="E70" s="278">
        <f t="shared" ca="1" si="24"/>
        <v>0</v>
      </c>
      <c r="F70" s="278">
        <f t="shared" ca="1" si="24"/>
        <v>0</v>
      </c>
      <c r="G70" s="278">
        <f t="shared" ca="1" si="24"/>
        <v>0</v>
      </c>
      <c r="H70" s="278">
        <f t="shared" ca="1" si="24"/>
        <v>0</v>
      </c>
      <c r="I70" s="278">
        <f t="shared" ca="1" si="24"/>
        <v>0</v>
      </c>
      <c r="J70" s="278">
        <f t="shared" ca="1" si="24"/>
        <v>0</v>
      </c>
      <c r="K70" s="278">
        <f t="shared" ca="1" si="24"/>
        <v>0</v>
      </c>
      <c r="L70" s="278">
        <f t="shared" ca="1" si="24"/>
        <v>0</v>
      </c>
      <c r="M70" s="279" t="s">
        <v>6</v>
      </c>
      <c r="O70" s="282" t="s">
        <v>24</v>
      </c>
      <c r="P70" s="289">
        <f t="shared" ref="P70:Z70" ca="1" si="25">IF(ABS(C49)&gt;ABS(C48),0,1)</f>
        <v>0</v>
      </c>
      <c r="Q70" s="289">
        <f t="shared" ca="1" si="25"/>
        <v>0</v>
      </c>
      <c r="R70" s="289">
        <f t="shared" ca="1" si="25"/>
        <v>0</v>
      </c>
      <c r="S70" s="289">
        <f t="shared" ca="1" si="25"/>
        <v>0</v>
      </c>
      <c r="T70" s="289">
        <f t="shared" ca="1" si="25"/>
        <v>0</v>
      </c>
      <c r="U70" s="295" t="s">
        <v>6</v>
      </c>
      <c r="V70" s="289">
        <f t="shared" ca="1" si="25"/>
        <v>0</v>
      </c>
      <c r="W70" s="289">
        <f t="shared" ca="1" si="25"/>
        <v>0</v>
      </c>
      <c r="X70" s="289">
        <f t="shared" ca="1" si="25"/>
        <v>0</v>
      </c>
      <c r="Y70" s="289">
        <f t="shared" ca="1" si="25"/>
        <v>0</v>
      </c>
      <c r="Z70" s="292">
        <f t="shared" ca="1" si="25"/>
        <v>0</v>
      </c>
    </row>
    <row r="71" spans="1:26">
      <c r="B71" s="282" t="s">
        <v>20</v>
      </c>
      <c r="C71" s="278">
        <f t="shared" ref="C71:L71" ca="1" si="26">IF(C49&gt;D49,0,1)</f>
        <v>0</v>
      </c>
      <c r="D71" s="278">
        <f t="shared" ca="1" si="26"/>
        <v>0</v>
      </c>
      <c r="E71" s="278">
        <f t="shared" ca="1" si="26"/>
        <v>0</v>
      </c>
      <c r="F71" s="278">
        <f t="shared" ca="1" si="26"/>
        <v>0</v>
      </c>
      <c r="G71" s="278">
        <f t="shared" ca="1" si="26"/>
        <v>0</v>
      </c>
      <c r="H71" s="278">
        <f t="shared" ca="1" si="26"/>
        <v>0</v>
      </c>
      <c r="I71" s="278">
        <f t="shared" ca="1" si="26"/>
        <v>0</v>
      </c>
      <c r="J71" s="278">
        <f t="shared" ca="1" si="26"/>
        <v>0</v>
      </c>
      <c r="K71" s="278">
        <f t="shared" ca="1" si="26"/>
        <v>0</v>
      </c>
      <c r="L71" s="278">
        <f t="shared" ca="1" si="26"/>
        <v>0</v>
      </c>
      <c r="M71" s="279" t="s">
        <v>6</v>
      </c>
      <c r="O71" s="282" t="s">
        <v>20</v>
      </c>
      <c r="P71" s="289">
        <f t="shared" ref="P71:Z71" ca="1" si="27">IF(ABS(C50)&gt;ABS(C49),0,1)</f>
        <v>0</v>
      </c>
      <c r="Q71" s="289">
        <f t="shared" ca="1" si="27"/>
        <v>0</v>
      </c>
      <c r="R71" s="289">
        <f t="shared" ca="1" si="27"/>
        <v>0</v>
      </c>
      <c r="S71" s="289">
        <f t="shared" ca="1" si="27"/>
        <v>0</v>
      </c>
      <c r="T71" s="289">
        <f t="shared" ca="1" si="27"/>
        <v>0</v>
      </c>
      <c r="U71" s="295" t="s">
        <v>6</v>
      </c>
      <c r="V71" s="289">
        <f t="shared" ca="1" si="27"/>
        <v>0</v>
      </c>
      <c r="W71" s="289">
        <f t="shared" ca="1" si="27"/>
        <v>0</v>
      </c>
      <c r="X71" s="289">
        <f t="shared" ca="1" si="27"/>
        <v>0</v>
      </c>
      <c r="Y71" s="289">
        <f t="shared" ca="1" si="27"/>
        <v>0</v>
      </c>
      <c r="Z71" s="292">
        <f t="shared" ca="1" si="27"/>
        <v>0</v>
      </c>
    </row>
    <row r="72" spans="1:26">
      <c r="B72" s="282" t="s">
        <v>18</v>
      </c>
      <c r="C72" s="278">
        <f t="shared" ref="C72:L72" ca="1" si="28">IF(C50&gt;D50,0,1)</f>
        <v>0</v>
      </c>
      <c r="D72" s="278">
        <f t="shared" ca="1" si="28"/>
        <v>0</v>
      </c>
      <c r="E72" s="278">
        <f t="shared" ca="1" si="28"/>
        <v>0</v>
      </c>
      <c r="F72" s="278">
        <f t="shared" ca="1" si="28"/>
        <v>0</v>
      </c>
      <c r="G72" s="278">
        <f t="shared" ca="1" si="28"/>
        <v>0</v>
      </c>
      <c r="H72" s="278">
        <f t="shared" ca="1" si="28"/>
        <v>0</v>
      </c>
      <c r="I72" s="278">
        <f t="shared" ca="1" si="28"/>
        <v>0</v>
      </c>
      <c r="J72" s="278">
        <f t="shared" ca="1" si="28"/>
        <v>0</v>
      </c>
      <c r="K72" s="278">
        <f t="shared" ca="1" si="28"/>
        <v>0</v>
      </c>
      <c r="L72" s="278">
        <f t="shared" ca="1" si="28"/>
        <v>0</v>
      </c>
      <c r="M72" s="279" t="s">
        <v>6</v>
      </c>
      <c r="O72" s="282" t="s">
        <v>18</v>
      </c>
      <c r="P72" s="289">
        <f t="shared" ref="P72:Z72" ca="1" si="29">IF(ABS(C51)&gt;ABS(C50),0,1)</f>
        <v>0</v>
      </c>
      <c r="Q72" s="289">
        <f t="shared" ca="1" si="29"/>
        <v>0</v>
      </c>
      <c r="R72" s="289">
        <f t="shared" ca="1" si="29"/>
        <v>0</v>
      </c>
      <c r="S72" s="289">
        <f t="shared" ca="1" si="29"/>
        <v>0</v>
      </c>
      <c r="T72" s="289">
        <f t="shared" ca="1" si="29"/>
        <v>0</v>
      </c>
      <c r="U72" s="295" t="s">
        <v>6</v>
      </c>
      <c r="V72" s="289">
        <f t="shared" ca="1" si="29"/>
        <v>0</v>
      </c>
      <c r="W72" s="289">
        <f t="shared" ca="1" si="29"/>
        <v>0</v>
      </c>
      <c r="X72" s="289">
        <f t="shared" ca="1" si="29"/>
        <v>0</v>
      </c>
      <c r="Y72" s="289">
        <f t="shared" ca="1" si="29"/>
        <v>0</v>
      </c>
      <c r="Z72" s="292">
        <f t="shared" ca="1" si="29"/>
        <v>0</v>
      </c>
    </row>
    <row r="73" spans="1:26">
      <c r="B73" s="282" t="s">
        <v>17</v>
      </c>
      <c r="C73" s="278">
        <f t="shared" ref="C73:L73" ca="1" si="30">IF(C51&gt;D51,0,1)</f>
        <v>0</v>
      </c>
      <c r="D73" s="278">
        <f t="shared" ca="1" si="30"/>
        <v>0</v>
      </c>
      <c r="E73" s="278">
        <f t="shared" ca="1" si="30"/>
        <v>0</v>
      </c>
      <c r="F73" s="278">
        <f t="shared" ca="1" si="30"/>
        <v>0</v>
      </c>
      <c r="G73" s="278">
        <f t="shared" ca="1" si="30"/>
        <v>0</v>
      </c>
      <c r="H73" s="278">
        <f t="shared" ca="1" si="30"/>
        <v>0</v>
      </c>
      <c r="I73" s="278">
        <f t="shared" ca="1" si="30"/>
        <v>0</v>
      </c>
      <c r="J73" s="278">
        <f t="shared" ca="1" si="30"/>
        <v>0</v>
      </c>
      <c r="K73" s="278">
        <f t="shared" ca="1" si="30"/>
        <v>0</v>
      </c>
      <c r="L73" s="278">
        <f t="shared" ca="1" si="30"/>
        <v>0</v>
      </c>
      <c r="M73" s="279" t="s">
        <v>6</v>
      </c>
      <c r="O73" s="282" t="s">
        <v>17</v>
      </c>
      <c r="P73" s="289">
        <f t="shared" ref="P73:Z73" ca="1" si="31">IF(ABS(C52)&gt;ABS(C51),0,1)</f>
        <v>0</v>
      </c>
      <c r="Q73" s="289">
        <f t="shared" ca="1" si="31"/>
        <v>0</v>
      </c>
      <c r="R73" s="289">
        <f t="shared" ca="1" si="31"/>
        <v>0</v>
      </c>
      <c r="S73" s="289">
        <f t="shared" ca="1" si="31"/>
        <v>0</v>
      </c>
      <c r="T73" s="289">
        <f t="shared" ca="1" si="31"/>
        <v>0</v>
      </c>
      <c r="U73" s="295" t="s">
        <v>6</v>
      </c>
      <c r="V73" s="289">
        <f t="shared" ca="1" si="31"/>
        <v>0</v>
      </c>
      <c r="W73" s="289">
        <f t="shared" ca="1" si="31"/>
        <v>0</v>
      </c>
      <c r="X73" s="289">
        <f t="shared" ca="1" si="31"/>
        <v>0</v>
      </c>
      <c r="Y73" s="289">
        <f t="shared" ca="1" si="31"/>
        <v>0</v>
      </c>
      <c r="Z73" s="292">
        <f t="shared" ca="1" si="31"/>
        <v>0</v>
      </c>
    </row>
    <row r="74" spans="1:26">
      <c r="B74" s="282" t="s">
        <v>16</v>
      </c>
      <c r="C74" s="278">
        <f t="shared" ref="C74:L74" ca="1" si="32">IF(C52&gt;D52,0,1)</f>
        <v>0</v>
      </c>
      <c r="D74" s="278">
        <f t="shared" ca="1" si="32"/>
        <v>0</v>
      </c>
      <c r="E74" s="278">
        <f t="shared" ca="1" si="32"/>
        <v>0</v>
      </c>
      <c r="F74" s="278">
        <f t="shared" ca="1" si="32"/>
        <v>0</v>
      </c>
      <c r="G74" s="278">
        <f t="shared" ca="1" si="32"/>
        <v>0</v>
      </c>
      <c r="H74" s="278">
        <f t="shared" ca="1" si="32"/>
        <v>0</v>
      </c>
      <c r="I74" s="278">
        <f t="shared" ca="1" si="32"/>
        <v>0</v>
      </c>
      <c r="J74" s="278">
        <f t="shared" ca="1" si="32"/>
        <v>0</v>
      </c>
      <c r="K74" s="278">
        <f t="shared" ca="1" si="32"/>
        <v>0</v>
      </c>
      <c r="L74" s="278">
        <f t="shared" ca="1" si="32"/>
        <v>0</v>
      </c>
      <c r="M74" s="279" t="s">
        <v>6</v>
      </c>
      <c r="O74" s="282" t="s">
        <v>16</v>
      </c>
      <c r="P74" s="289">
        <f t="shared" ref="P74:Z74" ca="1" si="33">IF(ABS(C53)&gt;ABS(C52),0,1)</f>
        <v>0</v>
      </c>
      <c r="Q74" s="289">
        <f t="shared" ca="1" si="33"/>
        <v>0</v>
      </c>
      <c r="R74" s="289">
        <f t="shared" ca="1" si="33"/>
        <v>0</v>
      </c>
      <c r="S74" s="289">
        <f t="shared" ca="1" si="33"/>
        <v>0</v>
      </c>
      <c r="T74" s="289">
        <f t="shared" ca="1" si="33"/>
        <v>0</v>
      </c>
      <c r="U74" s="295" t="s">
        <v>6</v>
      </c>
      <c r="V74" s="289">
        <f t="shared" ca="1" si="33"/>
        <v>0</v>
      </c>
      <c r="W74" s="289">
        <f t="shared" ca="1" si="33"/>
        <v>0</v>
      </c>
      <c r="X74" s="289">
        <f t="shared" ca="1" si="33"/>
        <v>0</v>
      </c>
      <c r="Y74" s="289">
        <f t="shared" ca="1" si="33"/>
        <v>0</v>
      </c>
      <c r="Z74" s="292">
        <f t="shared" ca="1" si="33"/>
        <v>0</v>
      </c>
    </row>
    <row r="75" spans="1:26">
      <c r="B75" s="282" t="s">
        <v>15</v>
      </c>
      <c r="C75" s="278">
        <f t="shared" ref="C75:L75" ca="1" si="34">IF(C53&gt;D53,0,1)</f>
        <v>0</v>
      </c>
      <c r="D75" s="278">
        <f t="shared" ca="1" si="34"/>
        <v>0</v>
      </c>
      <c r="E75" s="278">
        <f t="shared" ca="1" si="34"/>
        <v>0</v>
      </c>
      <c r="F75" s="278">
        <f t="shared" ca="1" si="34"/>
        <v>0</v>
      </c>
      <c r="G75" s="278">
        <f t="shared" ca="1" si="34"/>
        <v>0</v>
      </c>
      <c r="H75" s="278">
        <f t="shared" ca="1" si="34"/>
        <v>0</v>
      </c>
      <c r="I75" s="278">
        <f t="shared" ca="1" si="34"/>
        <v>0</v>
      </c>
      <c r="J75" s="278">
        <f t="shared" ca="1" si="34"/>
        <v>0</v>
      </c>
      <c r="K75" s="278">
        <f t="shared" ca="1" si="34"/>
        <v>0</v>
      </c>
      <c r="L75" s="278">
        <f t="shared" ca="1" si="34"/>
        <v>0</v>
      </c>
      <c r="M75" s="279" t="s">
        <v>6</v>
      </c>
      <c r="O75" s="282" t="s">
        <v>15</v>
      </c>
      <c r="P75" s="289">
        <f t="shared" ref="P75:Z75" ca="1" si="35">IF(ABS(C54)&gt;ABS(C53),0,1)</f>
        <v>0</v>
      </c>
      <c r="Q75" s="289">
        <f t="shared" ca="1" si="35"/>
        <v>0</v>
      </c>
      <c r="R75" s="289">
        <f t="shared" ca="1" si="35"/>
        <v>0</v>
      </c>
      <c r="S75" s="289">
        <f t="shared" ca="1" si="35"/>
        <v>0</v>
      </c>
      <c r="T75" s="289">
        <f t="shared" ca="1" si="35"/>
        <v>0</v>
      </c>
      <c r="U75" s="295" t="s">
        <v>6</v>
      </c>
      <c r="V75" s="289">
        <f t="shared" ca="1" si="35"/>
        <v>0</v>
      </c>
      <c r="W75" s="289">
        <f t="shared" ca="1" si="35"/>
        <v>0</v>
      </c>
      <c r="X75" s="289">
        <f t="shared" ca="1" si="35"/>
        <v>0</v>
      </c>
      <c r="Y75" s="289">
        <f t="shared" ca="1" si="35"/>
        <v>0</v>
      </c>
      <c r="Z75" s="292">
        <f t="shared" ca="1" si="35"/>
        <v>0</v>
      </c>
    </row>
    <row r="76" spans="1:26">
      <c r="B76" s="282" t="s">
        <v>368</v>
      </c>
      <c r="C76" s="278">
        <f t="shared" ref="C76:L76" ca="1" si="36">IF(C54&gt;D54,0,1)</f>
        <v>0</v>
      </c>
      <c r="D76" s="278">
        <f t="shared" ca="1" si="36"/>
        <v>0</v>
      </c>
      <c r="E76" s="278">
        <f t="shared" ca="1" si="36"/>
        <v>0</v>
      </c>
      <c r="F76" s="278">
        <f t="shared" ca="1" si="36"/>
        <v>0</v>
      </c>
      <c r="G76" s="278">
        <f t="shared" ca="1" si="36"/>
        <v>0</v>
      </c>
      <c r="H76" s="278">
        <f t="shared" ca="1" si="36"/>
        <v>0</v>
      </c>
      <c r="I76" s="278">
        <f t="shared" ca="1" si="36"/>
        <v>0</v>
      </c>
      <c r="J76" s="278">
        <f t="shared" ca="1" si="36"/>
        <v>0</v>
      </c>
      <c r="K76" s="278">
        <f t="shared" ca="1" si="36"/>
        <v>0</v>
      </c>
      <c r="L76" s="278">
        <f t="shared" ca="1" si="36"/>
        <v>0</v>
      </c>
      <c r="M76" s="279" t="s">
        <v>6</v>
      </c>
      <c r="O76" s="282" t="s">
        <v>368</v>
      </c>
      <c r="P76" s="289">
        <f t="shared" ref="P76:Z76" ca="1" si="37">IF(ABS(C55)&gt;ABS(C54),0,1)</f>
        <v>0</v>
      </c>
      <c r="Q76" s="289">
        <f t="shared" ca="1" si="37"/>
        <v>0</v>
      </c>
      <c r="R76" s="289">
        <f t="shared" ca="1" si="37"/>
        <v>0</v>
      </c>
      <c r="S76" s="289">
        <f t="shared" ca="1" si="37"/>
        <v>0</v>
      </c>
      <c r="T76" s="289">
        <f t="shared" ca="1" si="37"/>
        <v>0</v>
      </c>
      <c r="U76" s="295" t="s">
        <v>6</v>
      </c>
      <c r="V76" s="289">
        <f t="shared" ca="1" si="37"/>
        <v>0</v>
      </c>
      <c r="W76" s="289">
        <f t="shared" ca="1" si="37"/>
        <v>0</v>
      </c>
      <c r="X76" s="289">
        <f t="shared" ca="1" si="37"/>
        <v>0</v>
      </c>
      <c r="Y76" s="289">
        <f t="shared" ca="1" si="37"/>
        <v>0</v>
      </c>
      <c r="Z76" s="292">
        <f t="shared" ca="1" si="37"/>
        <v>0</v>
      </c>
    </row>
    <row r="77" spans="1:26">
      <c r="B77" s="283" t="s">
        <v>14</v>
      </c>
      <c r="C77" s="280">
        <f t="shared" ref="C77:L77" ca="1" si="38">IF(C55&gt;D55,0,1)</f>
        <v>0</v>
      </c>
      <c r="D77" s="280">
        <f t="shared" ca="1" si="38"/>
        <v>0</v>
      </c>
      <c r="E77" s="280">
        <f t="shared" ca="1" si="38"/>
        <v>0</v>
      </c>
      <c r="F77" s="280">
        <f t="shared" ca="1" si="38"/>
        <v>0</v>
      </c>
      <c r="G77" s="280">
        <f t="shared" ca="1" si="38"/>
        <v>0</v>
      </c>
      <c r="H77" s="280">
        <f t="shared" ca="1" si="38"/>
        <v>0</v>
      </c>
      <c r="I77" s="280">
        <f t="shared" ca="1" si="38"/>
        <v>0</v>
      </c>
      <c r="J77" s="280">
        <f t="shared" ca="1" si="38"/>
        <v>0</v>
      </c>
      <c r="K77" s="280">
        <f t="shared" ca="1" si="38"/>
        <v>0</v>
      </c>
      <c r="L77" s="280">
        <f t="shared" ca="1" si="38"/>
        <v>0</v>
      </c>
      <c r="M77" s="281" t="s">
        <v>6</v>
      </c>
      <c r="O77" s="283" t="s">
        <v>14</v>
      </c>
      <c r="P77" s="293" t="s">
        <v>6</v>
      </c>
      <c r="Q77" s="293" t="s">
        <v>6</v>
      </c>
      <c r="R77" s="293" t="s">
        <v>6</v>
      </c>
      <c r="S77" s="293" t="s">
        <v>6</v>
      </c>
      <c r="T77" s="293" t="s">
        <v>6</v>
      </c>
      <c r="U77" s="296" t="s">
        <v>6</v>
      </c>
      <c r="V77" s="293" t="s">
        <v>6</v>
      </c>
      <c r="W77" s="293" t="s">
        <v>6</v>
      </c>
      <c r="X77" s="293" t="s">
        <v>6</v>
      </c>
      <c r="Y77" s="293" t="s">
        <v>6</v>
      </c>
      <c r="Z77" s="294" t="s">
        <v>6</v>
      </c>
    </row>
    <row r="80" spans="1:26">
      <c r="A80" s="224" t="s">
        <v>478</v>
      </c>
      <c r="B80" s="290" t="s">
        <v>490</v>
      </c>
      <c r="C80" s="284"/>
      <c r="G80" s="290" t="s">
        <v>490</v>
      </c>
    </row>
    <row r="81" spans="2:13">
      <c r="B81" s="284" t="s">
        <v>486</v>
      </c>
      <c r="C81" s="284"/>
      <c r="G81" s="284" t="s">
        <v>485</v>
      </c>
    </row>
    <row r="82" spans="2:13">
      <c r="B82" s="258" t="s">
        <v>474</v>
      </c>
      <c r="C82" s="286">
        <f ca="1">SUM(C108:L126)</f>
        <v>0</v>
      </c>
      <c r="G82" s="258" t="s">
        <v>474</v>
      </c>
      <c r="H82" s="286">
        <f ca="1">SUM(P108:Z126)</f>
        <v>0</v>
      </c>
    </row>
    <row r="84" spans="2:13">
      <c r="B84" s="258" t="s">
        <v>479</v>
      </c>
      <c r="C84" s="258"/>
    </row>
    <row r="85" spans="2:13">
      <c r="B85" s="254" t="s">
        <v>468</v>
      </c>
      <c r="C85" s="287">
        <v>500</v>
      </c>
      <c r="D85" s="287">
        <v>400</v>
      </c>
      <c r="E85" s="287">
        <v>300</v>
      </c>
      <c r="F85" s="287">
        <v>200</v>
      </c>
      <c r="G85" s="287">
        <v>100</v>
      </c>
      <c r="H85" s="287">
        <v>0</v>
      </c>
      <c r="I85" s="287">
        <v>-100</v>
      </c>
      <c r="J85" s="287">
        <v>-200</v>
      </c>
      <c r="K85" s="287">
        <v>-300</v>
      </c>
      <c r="L85" s="287">
        <v>-400</v>
      </c>
      <c r="M85" s="288">
        <v>-500</v>
      </c>
    </row>
    <row r="86" spans="2:13">
      <c r="B86" s="282" t="s">
        <v>42</v>
      </c>
      <c r="C86" s="278">
        <f ca="1">'EUR Swap PVs'!N29</f>
        <v>101953.21509841588</v>
      </c>
      <c r="D86" s="278">
        <f ca="1">'EUR Swap PVs'!O29</f>
        <v>81562.572078732701</v>
      </c>
      <c r="E86" s="278">
        <f ca="1">'EUR Swap PVs'!P29</f>
        <v>61171.929059049529</v>
      </c>
      <c r="F86" s="278">
        <f ca="1">'EUR Swap PVs'!Q29</f>
        <v>40781.286039366358</v>
      </c>
      <c r="G86" s="278">
        <f ca="1">'EUR Swap PVs'!R29</f>
        <v>20390.643019683172</v>
      </c>
      <c r="H86" s="278">
        <f ca="1">'EUR Swap PVs'!S29</f>
        <v>0</v>
      </c>
      <c r="I86" s="278">
        <f ca="1">'EUR Swap PVs'!T29</f>
        <v>-20390.643019683172</v>
      </c>
      <c r="J86" s="278">
        <f ca="1">'EUR Swap PVs'!U29</f>
        <v>-40781.28603936635</v>
      </c>
      <c r="K86" s="278">
        <f ca="1">'EUR Swap PVs'!V29</f>
        <v>-61171.929059049529</v>
      </c>
      <c r="L86" s="278">
        <f ca="1">'EUR Swap PVs'!W29</f>
        <v>-81562.572078732701</v>
      </c>
      <c r="M86" s="279">
        <f ca="1">'EUR Swap PVs'!X29</f>
        <v>-101953.21509841588</v>
      </c>
    </row>
    <row r="87" spans="2:13">
      <c r="B87" s="282" t="s">
        <v>39</v>
      </c>
      <c r="C87" s="278">
        <f ca="1">'EUR Swap PVs'!N30</f>
        <v>152542.46364885772</v>
      </c>
      <c r="D87" s="278">
        <f ca="1">'EUR Swap PVs'!O30</f>
        <v>122033.97091908618</v>
      </c>
      <c r="E87" s="278">
        <f ca="1">'EUR Swap PVs'!P30</f>
        <v>91525.478189314628</v>
      </c>
      <c r="F87" s="278">
        <f ca="1">'EUR Swap PVs'!Q30</f>
        <v>61016.985459543095</v>
      </c>
      <c r="G87" s="278">
        <f ca="1">'EUR Swap PVs'!R30</f>
        <v>30508.492729771533</v>
      </c>
      <c r="H87" s="278">
        <f ca="1">'EUR Swap PVs'!S30</f>
        <v>-8.6736173798840355E-13</v>
      </c>
      <c r="I87" s="278">
        <f ca="1">'EUR Swap PVs'!T30</f>
        <v>-30508.49272977154</v>
      </c>
      <c r="J87" s="278">
        <f ca="1">'EUR Swap PVs'!U30</f>
        <v>-61016.985459543088</v>
      </c>
      <c r="K87" s="278">
        <f ca="1">'EUR Swap PVs'!V30</f>
        <v>-91525.478189314628</v>
      </c>
      <c r="L87" s="278">
        <f ca="1">'EUR Swap PVs'!W30</f>
        <v>-122033.97091908618</v>
      </c>
      <c r="M87" s="279">
        <f ca="1">'EUR Swap PVs'!X30</f>
        <v>-152542.46364885769</v>
      </c>
    </row>
    <row r="88" spans="2:13">
      <c r="B88" s="282" t="s">
        <v>35</v>
      </c>
      <c r="C88" s="278">
        <f ca="1">'EUR Swap PVs'!N31</f>
        <v>202890.72538400179</v>
      </c>
      <c r="D88" s="278">
        <f ca="1">'EUR Swap PVs'!O31</f>
        <v>162312.58030720145</v>
      </c>
      <c r="E88" s="278">
        <f ca="1">'EUR Swap PVs'!P31</f>
        <v>121734.43523040108</v>
      </c>
      <c r="F88" s="278">
        <f ca="1">'EUR Swap PVs'!Q31</f>
        <v>81156.290153600741</v>
      </c>
      <c r="G88" s="278">
        <f ca="1">'EUR Swap PVs'!R31</f>
        <v>40578.145076800356</v>
      </c>
      <c r="H88" s="278">
        <f ca="1">'EUR Swap PVs'!S31</f>
        <v>0</v>
      </c>
      <c r="I88" s="278">
        <f ca="1">'EUR Swap PVs'!T31</f>
        <v>-40578.145076800356</v>
      </c>
      <c r="J88" s="278">
        <f ca="1">'EUR Swap PVs'!U31</f>
        <v>-81156.290153600727</v>
      </c>
      <c r="K88" s="278">
        <f ca="1">'EUR Swap PVs'!V31</f>
        <v>-121734.43523040108</v>
      </c>
      <c r="L88" s="278">
        <f ca="1">'EUR Swap PVs'!W31</f>
        <v>-162312.58030720145</v>
      </c>
      <c r="M88" s="279">
        <f ca="1">'EUR Swap PVs'!X31</f>
        <v>-202890.72538400182</v>
      </c>
    </row>
    <row r="89" spans="2:13">
      <c r="B89" s="282" t="s">
        <v>33</v>
      </c>
      <c r="C89" s="278">
        <f ca="1">'EUR Swap PVs'!N32</f>
        <v>253069.5285075022</v>
      </c>
      <c r="D89" s="278">
        <f ca="1">'EUR Swap PVs'!O32</f>
        <v>202455.6228060018</v>
      </c>
      <c r="E89" s="278">
        <f ca="1">'EUR Swap PVs'!P32</f>
        <v>151841.71710450135</v>
      </c>
      <c r="F89" s="278">
        <f ca="1">'EUR Swap PVs'!Q32</f>
        <v>101227.81140300092</v>
      </c>
      <c r="G89" s="278">
        <f ca="1">'EUR Swap PVs'!R32</f>
        <v>50613.905701500429</v>
      </c>
      <c r="H89" s="278">
        <f ca="1">'EUR Swap PVs'!S32</f>
        <v>0</v>
      </c>
      <c r="I89" s="278">
        <f ca="1">'EUR Swap PVs'!T32</f>
        <v>-50613.905701500444</v>
      </c>
      <c r="J89" s="278">
        <f ca="1">'EUR Swap PVs'!U32</f>
        <v>-101227.81140300089</v>
      </c>
      <c r="K89" s="278">
        <f ca="1">'EUR Swap PVs'!V32</f>
        <v>-151841.71710450135</v>
      </c>
      <c r="L89" s="278">
        <f ca="1">'EUR Swap PVs'!W32</f>
        <v>-202455.62280600177</v>
      </c>
      <c r="M89" s="279">
        <f ca="1">'EUR Swap PVs'!X32</f>
        <v>-253069.5285075022</v>
      </c>
    </row>
    <row r="90" spans="2:13">
      <c r="B90" s="282" t="s">
        <v>131</v>
      </c>
      <c r="C90" s="278">
        <f ca="1">'EUR Swap PVs'!N33</f>
        <v>302490.7129720439</v>
      </c>
      <c r="D90" s="278">
        <f ca="1">'EUR Swap PVs'!O33</f>
        <v>241992.57037763516</v>
      </c>
      <c r="E90" s="278">
        <f ca="1">'EUR Swap PVs'!P33</f>
        <v>181494.42778322636</v>
      </c>
      <c r="F90" s="278">
        <f ca="1">'EUR Swap PVs'!Q33</f>
        <v>120996.28518881758</v>
      </c>
      <c r="G90" s="278">
        <f ca="1">'EUR Swap PVs'!R33</f>
        <v>60498.142594408746</v>
      </c>
      <c r="H90" s="278">
        <f ca="1">'EUR Swap PVs'!S33</f>
        <v>0</v>
      </c>
      <c r="I90" s="278">
        <f ca="1">'EUR Swap PVs'!T33</f>
        <v>-60498.142594408768</v>
      </c>
      <c r="J90" s="278">
        <f ca="1">'EUR Swap PVs'!U33</f>
        <v>-120996.28518881754</v>
      </c>
      <c r="K90" s="278">
        <f ca="1">'EUR Swap PVs'!V33</f>
        <v>-181494.42778322633</v>
      </c>
      <c r="L90" s="278">
        <f ca="1">'EUR Swap PVs'!W33</f>
        <v>-241992.57037763507</v>
      </c>
      <c r="M90" s="279">
        <f ca="1">'EUR Swap PVs'!X33</f>
        <v>-302490.7129720439</v>
      </c>
    </row>
    <row r="91" spans="2:13">
      <c r="B91" s="282" t="s">
        <v>31</v>
      </c>
      <c r="C91" s="278">
        <f ca="1">'EUR Swap PVs'!N34</f>
        <v>351141.27427565056</v>
      </c>
      <c r="D91" s="278">
        <f ca="1">'EUR Swap PVs'!O34</f>
        <v>280913.01942052058</v>
      </c>
      <c r="E91" s="278">
        <f ca="1">'EUR Swap PVs'!P34</f>
        <v>210684.76456539039</v>
      </c>
      <c r="F91" s="278">
        <f ca="1">'EUR Swap PVs'!Q34</f>
        <v>140456.50971026029</v>
      </c>
      <c r="G91" s="278">
        <f ca="1">'EUR Swap PVs'!R34</f>
        <v>70228.254855130101</v>
      </c>
      <c r="H91" s="278">
        <f ca="1">'EUR Swap PVs'!S34</f>
        <v>6.9388939039072284E-12</v>
      </c>
      <c r="I91" s="278">
        <f ca="1">'EUR Swap PVs'!T34</f>
        <v>-70228.254855130115</v>
      </c>
      <c r="J91" s="278">
        <f ca="1">'EUR Swap PVs'!U34</f>
        <v>-140456.50971026023</v>
      </c>
      <c r="K91" s="278">
        <f ca="1">'EUR Swap PVs'!V34</f>
        <v>-210684.76456539033</v>
      </c>
      <c r="L91" s="278">
        <f ca="1">'EUR Swap PVs'!W34</f>
        <v>-280913.01942052046</v>
      </c>
      <c r="M91" s="279">
        <f ca="1">'EUR Swap PVs'!X34</f>
        <v>-351141.27427565062</v>
      </c>
    </row>
    <row r="92" spans="2:13">
      <c r="B92" s="282" t="s">
        <v>119</v>
      </c>
      <c r="C92" s="278">
        <f ca="1">'EUR Swap PVs'!N35</f>
        <v>399166.62011515006</v>
      </c>
      <c r="D92" s="278">
        <f ca="1">'EUR Swap PVs'!O35</f>
        <v>319333.29609212012</v>
      </c>
      <c r="E92" s="278">
        <f ca="1">'EUR Swap PVs'!P35</f>
        <v>239499.97206909009</v>
      </c>
      <c r="F92" s="278">
        <f ca="1">'EUR Swap PVs'!Q35</f>
        <v>159666.64804606006</v>
      </c>
      <c r="G92" s="278">
        <f ca="1">'EUR Swap PVs'!R35</f>
        <v>79833.324023029971</v>
      </c>
      <c r="H92" s="278">
        <f ca="1">'EUR Swap PVs'!S35</f>
        <v>0</v>
      </c>
      <c r="I92" s="278">
        <f ca="1">'EUR Swap PVs'!T35</f>
        <v>-79833.32402303</v>
      </c>
      <c r="J92" s="278">
        <f ca="1">'EUR Swap PVs'!U35</f>
        <v>-159666.64804606</v>
      </c>
      <c r="K92" s="278">
        <f ca="1">'EUR Swap PVs'!V35</f>
        <v>-239499.97206909006</v>
      </c>
      <c r="L92" s="278">
        <f ca="1">'EUR Swap PVs'!W35</f>
        <v>-319333.29609212</v>
      </c>
      <c r="M92" s="279">
        <f ca="1">'EUR Swap PVs'!X35</f>
        <v>-399166.62011515006</v>
      </c>
    </row>
    <row r="93" spans="2:13">
      <c r="B93" s="282" t="s">
        <v>113</v>
      </c>
      <c r="C93" s="278">
        <f ca="1">'EUR Swap PVs'!N36</f>
        <v>445844.23518302286</v>
      </c>
      <c r="D93" s="278">
        <f ca="1">'EUR Swap PVs'!O36</f>
        <v>356675.38814641844</v>
      </c>
      <c r="E93" s="278">
        <f ca="1">'EUR Swap PVs'!P36</f>
        <v>267506.54110981378</v>
      </c>
      <c r="F93" s="278">
        <f ca="1">'EUR Swap PVs'!Q36</f>
        <v>178337.69407320925</v>
      </c>
      <c r="G93" s="278">
        <f ca="1">'EUR Swap PVs'!R36</f>
        <v>89168.847036604522</v>
      </c>
      <c r="H93" s="278">
        <f ca="1">'EUR Swap PVs'!S36</f>
        <v>-1.3877787807814457E-11</v>
      </c>
      <c r="I93" s="278">
        <f ca="1">'EUR Swap PVs'!T36</f>
        <v>-89168.847036604609</v>
      </c>
      <c r="J93" s="278">
        <f ca="1">'EUR Swap PVs'!U36</f>
        <v>-178337.69407320922</v>
      </c>
      <c r="K93" s="278">
        <f ca="1">'EUR Swap PVs'!V36</f>
        <v>-267506.54110981378</v>
      </c>
      <c r="L93" s="278">
        <f ca="1">'EUR Swap PVs'!W36</f>
        <v>-356675.38814641844</v>
      </c>
      <c r="M93" s="279">
        <f ca="1">'EUR Swap PVs'!X36</f>
        <v>-445844.23518302297</v>
      </c>
    </row>
    <row r="94" spans="2:13">
      <c r="B94" s="282" t="s">
        <v>28</v>
      </c>
      <c r="C94" s="278">
        <f ca="1">'EUR Swap PVs'!N37</f>
        <v>491641.46924409922</v>
      </c>
      <c r="D94" s="278">
        <f ca="1">'EUR Swap PVs'!O37</f>
        <v>393313.17539527954</v>
      </c>
      <c r="E94" s="278">
        <f ca="1">'EUR Swap PVs'!P37</f>
        <v>294984.88154645957</v>
      </c>
      <c r="F94" s="278">
        <f ca="1">'EUR Swap PVs'!Q37</f>
        <v>196656.58769763977</v>
      </c>
      <c r="G94" s="278">
        <f ca="1">'EUR Swap PVs'!R37</f>
        <v>98328.293848819783</v>
      </c>
      <c r="H94" s="278">
        <f ca="1">'EUR Swap PVs'!S37</f>
        <v>0</v>
      </c>
      <c r="I94" s="278">
        <f ca="1">'EUR Swap PVs'!T37</f>
        <v>-98328.293848819856</v>
      </c>
      <c r="J94" s="278">
        <f ca="1">'EUR Swap PVs'!U37</f>
        <v>-196656.58769763971</v>
      </c>
      <c r="K94" s="278">
        <f ca="1">'EUR Swap PVs'!V37</f>
        <v>-294984.88154645963</v>
      </c>
      <c r="L94" s="278">
        <f ca="1">'EUR Swap PVs'!W37</f>
        <v>-393313.17539527948</v>
      </c>
      <c r="M94" s="279">
        <f ca="1">'EUR Swap PVs'!X37</f>
        <v>-491641.46924409934</v>
      </c>
    </row>
    <row r="95" spans="2:13">
      <c r="B95" s="282" t="s">
        <v>366</v>
      </c>
      <c r="C95" s="278">
        <f ca="1">'EUR Swap PVs'!N38</f>
        <v>536403.6230546463</v>
      </c>
      <c r="D95" s="278">
        <f ca="1">'EUR Swap PVs'!O38</f>
        <v>429122.89844371722</v>
      </c>
      <c r="E95" s="278">
        <f ca="1">'EUR Swap PVs'!P38</f>
        <v>321842.17383278778</v>
      </c>
      <c r="F95" s="278">
        <f ca="1">'EUR Swap PVs'!Q38</f>
        <v>214561.44922185864</v>
      </c>
      <c r="G95" s="278">
        <f ca="1">'EUR Swap PVs'!R38</f>
        <v>107280.72461092922</v>
      </c>
      <c r="H95" s="278">
        <f ca="1">'EUR Swap PVs'!S38</f>
        <v>0</v>
      </c>
      <c r="I95" s="278">
        <f ca="1">'EUR Swap PVs'!T38</f>
        <v>-107280.72461092929</v>
      </c>
      <c r="J95" s="278">
        <f ca="1">'EUR Swap PVs'!U38</f>
        <v>-214561.44922185855</v>
      </c>
      <c r="K95" s="278">
        <f ca="1">'EUR Swap PVs'!V38</f>
        <v>-321842.17383278784</v>
      </c>
      <c r="L95" s="278">
        <f ca="1">'EUR Swap PVs'!W38</f>
        <v>-429122.8984437171</v>
      </c>
      <c r="M95" s="279">
        <f ca="1">'EUR Swap PVs'!X38</f>
        <v>-536403.62305464642</v>
      </c>
    </row>
    <row r="96" spans="2:13">
      <c r="B96" s="282" t="s">
        <v>26</v>
      </c>
      <c r="C96" s="278">
        <f ca="1">'EUR Swap PVs'!N39</f>
        <v>580132.46295708523</v>
      </c>
      <c r="D96" s="278">
        <f ca="1">'EUR Swap PVs'!O39</f>
        <v>464105.97036566836</v>
      </c>
      <c r="E96" s="278">
        <f ca="1">'EUR Swap PVs'!P39</f>
        <v>348079.47777425119</v>
      </c>
      <c r="F96" s="278">
        <f ca="1">'EUR Swap PVs'!Q39</f>
        <v>232052.98518283424</v>
      </c>
      <c r="G96" s="278">
        <f ca="1">'EUR Swap PVs'!R39</f>
        <v>116026.49259141706</v>
      </c>
      <c r="H96" s="278">
        <f ca="1">'EUR Swap PVs'!S39</f>
        <v>0</v>
      </c>
      <c r="I96" s="278">
        <f ca="1">'EUR Swap PVs'!T39</f>
        <v>-116026.49259141709</v>
      </c>
      <c r="J96" s="278">
        <f ca="1">'EUR Swap PVs'!U39</f>
        <v>-232052.98518283418</v>
      </c>
      <c r="K96" s="278">
        <f ca="1">'EUR Swap PVs'!V39</f>
        <v>-348079.47777425125</v>
      </c>
      <c r="L96" s="278">
        <f ca="1">'EUR Swap PVs'!W39</f>
        <v>-464105.9703656683</v>
      </c>
      <c r="M96" s="279">
        <f ca="1">'EUR Swap PVs'!X39</f>
        <v>-580132.46295708546</v>
      </c>
    </row>
    <row r="97" spans="2:26">
      <c r="B97" s="282" t="s">
        <v>24</v>
      </c>
      <c r="C97" s="278">
        <f ca="1">'EUR Swap PVs'!N40</f>
        <v>705375.04990592063</v>
      </c>
      <c r="D97" s="278">
        <f ca="1">'EUR Swap PVs'!O40</f>
        <v>564300.03992473683</v>
      </c>
      <c r="E97" s="278">
        <f ca="1">'EUR Swap PVs'!P40</f>
        <v>423225.02994355239</v>
      </c>
      <c r="F97" s="278">
        <f ca="1">'EUR Swap PVs'!Q40</f>
        <v>282150.01996236842</v>
      </c>
      <c r="G97" s="278">
        <f ca="1">'EUR Swap PVs'!R40</f>
        <v>141075.00998118412</v>
      </c>
      <c r="H97" s="278">
        <f ca="1">'EUR Swap PVs'!S40</f>
        <v>0</v>
      </c>
      <c r="I97" s="278">
        <f ca="1">'EUR Swap PVs'!T40</f>
        <v>-141075.00998118421</v>
      </c>
      <c r="J97" s="278">
        <f ca="1">'EUR Swap PVs'!U40</f>
        <v>-282150.01996236836</v>
      </c>
      <c r="K97" s="278">
        <f ca="1">'EUR Swap PVs'!V40</f>
        <v>-423225.02994355262</v>
      </c>
      <c r="L97" s="278">
        <f ca="1">'EUR Swap PVs'!W40</f>
        <v>-564300.0399247366</v>
      </c>
      <c r="M97" s="279">
        <f ca="1">'EUR Swap PVs'!X40</f>
        <v>-705375.04990592098</v>
      </c>
    </row>
    <row r="98" spans="2:26">
      <c r="B98" s="282" t="s">
        <v>20</v>
      </c>
      <c r="C98" s="278">
        <f ca="1">'EUR Swap PVs'!N41</f>
        <v>895612.9666641826</v>
      </c>
      <c r="D98" s="278">
        <f ca="1">'EUR Swap PVs'!O41</f>
        <v>716490.37333134655</v>
      </c>
      <c r="E98" s="278">
        <f ca="1">'EUR Swap PVs'!P41</f>
        <v>537367.77999850968</v>
      </c>
      <c r="F98" s="278">
        <f ca="1">'EUR Swap PVs'!Q41</f>
        <v>358245.18666567316</v>
      </c>
      <c r="G98" s="278">
        <f ca="1">'EUR Swap PVs'!R41</f>
        <v>179122.59333283652</v>
      </c>
      <c r="H98" s="278">
        <f ca="1">'EUR Swap PVs'!S41</f>
        <v>0</v>
      </c>
      <c r="I98" s="278">
        <f ca="1">'EUR Swap PVs'!T41</f>
        <v>-179122.5933328367</v>
      </c>
      <c r="J98" s="278">
        <f ca="1">'EUR Swap PVs'!U41</f>
        <v>-358245.18666567327</v>
      </c>
      <c r="K98" s="278">
        <f ca="1">'EUR Swap PVs'!V41</f>
        <v>-537367.77999850991</v>
      </c>
      <c r="L98" s="278">
        <f ca="1">'EUR Swap PVs'!W41</f>
        <v>-716490.37333134632</v>
      </c>
      <c r="M98" s="279">
        <f ca="1">'EUR Swap PVs'!X41</f>
        <v>-895612.96666418319</v>
      </c>
    </row>
    <row r="99" spans="2:26">
      <c r="B99" s="282" t="s">
        <v>18</v>
      </c>
      <c r="C99" s="278">
        <f ca="1">'EUR Swap PVs'!N42</f>
        <v>1067055.5709118785</v>
      </c>
      <c r="D99" s="278">
        <f ca="1">'EUR Swap PVs'!O42</f>
        <v>853644.45672950312</v>
      </c>
      <c r="E99" s="278">
        <f ca="1">'EUR Swap PVs'!P42</f>
        <v>640233.34254712728</v>
      </c>
      <c r="F99" s="278">
        <f ca="1">'EUR Swap PVs'!Q42</f>
        <v>426822.22836475162</v>
      </c>
      <c r="G99" s="278">
        <f ca="1">'EUR Swap PVs'!R42</f>
        <v>213411.11418237581</v>
      </c>
      <c r="H99" s="278">
        <f ca="1">'EUR Swap PVs'!S42</f>
        <v>0</v>
      </c>
      <c r="I99" s="278">
        <f ca="1">'EUR Swap PVs'!T42</f>
        <v>-213411.11418237592</v>
      </c>
      <c r="J99" s="278">
        <f ca="1">'EUR Swap PVs'!U42</f>
        <v>-426822.22836475179</v>
      </c>
      <c r="K99" s="278">
        <f ca="1">'EUR Swap PVs'!V42</f>
        <v>-640233.34254712763</v>
      </c>
      <c r="L99" s="278">
        <f ca="1">'EUR Swap PVs'!W42</f>
        <v>-853644.45672950323</v>
      </c>
      <c r="M99" s="279">
        <f ca="1">'EUR Swap PVs'!X42</f>
        <v>-1067055.5709118794</v>
      </c>
    </row>
    <row r="100" spans="2:26">
      <c r="B100" s="282" t="s">
        <v>17</v>
      </c>
      <c r="C100" s="278">
        <f ca="1">'EUR Swap PVs'!N43</f>
        <v>1223051.960409343</v>
      </c>
      <c r="D100" s="278">
        <f ca="1">'EUR Swap PVs'!O43</f>
        <v>978441.56832747487</v>
      </c>
      <c r="E100" s="278">
        <f ca="1">'EUR Swap PVs'!P43</f>
        <v>733831.17624560639</v>
      </c>
      <c r="F100" s="278">
        <f ca="1">'EUR Swap PVs'!Q43</f>
        <v>489220.78416373749</v>
      </c>
      <c r="G100" s="278">
        <f ca="1">'EUR Swap PVs'!R43</f>
        <v>244610.39208186863</v>
      </c>
      <c r="H100" s="278">
        <f ca="1">'EUR Swap PVs'!S43</f>
        <v>-5.5511151231257827E-11</v>
      </c>
      <c r="I100" s="278">
        <f ca="1">'EUR Swap PVs'!T43</f>
        <v>-244610.39208186898</v>
      </c>
      <c r="J100" s="278">
        <f ca="1">'EUR Swap PVs'!U43</f>
        <v>-489220.78416373784</v>
      </c>
      <c r="K100" s="278">
        <f ca="1">'EUR Swap PVs'!V43</f>
        <v>-733831.17624560662</v>
      </c>
      <c r="L100" s="278">
        <f ca="1">'EUR Swap PVs'!W43</f>
        <v>-978441.56832747511</v>
      </c>
      <c r="M100" s="279">
        <f ca="1">'EUR Swap PVs'!X43</f>
        <v>-1223051.9604093444</v>
      </c>
    </row>
    <row r="101" spans="2:26">
      <c r="B101" s="282" t="s">
        <v>16</v>
      </c>
      <c r="C101" s="278">
        <f ca="1">'EUR Swap PVs'!N44</f>
        <v>1366543.0648706765</v>
      </c>
      <c r="D101" s="278">
        <f ca="1">'EUR Swap PVs'!O44</f>
        <v>1093234.451896542</v>
      </c>
      <c r="E101" s="278">
        <f ca="1">'EUR Swap PVs'!P44</f>
        <v>819925.8389224062</v>
      </c>
      <c r="F101" s="278">
        <f ca="1">'EUR Swap PVs'!Q44</f>
        <v>546617.22594827111</v>
      </c>
      <c r="G101" s="278">
        <f ca="1">'EUR Swap PVs'!R44</f>
        <v>273308.61297413561</v>
      </c>
      <c r="H101" s="278">
        <f ca="1">'EUR Swap PVs'!S44</f>
        <v>0</v>
      </c>
      <c r="I101" s="278">
        <f ca="1">'EUR Swap PVs'!T44</f>
        <v>-273308.61297413555</v>
      </c>
      <c r="J101" s="278">
        <f ca="1">'EUR Swap PVs'!U44</f>
        <v>-546617.22594827099</v>
      </c>
      <c r="K101" s="278">
        <f ca="1">'EUR Swap PVs'!V44</f>
        <v>-819925.83892240655</v>
      </c>
      <c r="L101" s="278">
        <f ca="1">'EUR Swap PVs'!W44</f>
        <v>-1093234.4518965418</v>
      </c>
      <c r="M101" s="279">
        <f ca="1">'EUR Swap PVs'!X44</f>
        <v>-1366543.0648706777</v>
      </c>
    </row>
    <row r="102" spans="2:26">
      <c r="B102" s="282" t="s">
        <v>15</v>
      </c>
      <c r="C102" s="278">
        <f ca="1">'EUR Swap PVs'!N45</f>
        <v>1499145.7303461705</v>
      </c>
      <c r="D102" s="278">
        <f ca="1">'EUR Swap PVs'!O45</f>
        <v>1199316.5842769372</v>
      </c>
      <c r="E102" s="278">
        <f ca="1">'EUR Swap PVs'!P45</f>
        <v>899487.43820770283</v>
      </c>
      <c r="F102" s="278">
        <f ca="1">'EUR Swap PVs'!Q45</f>
        <v>599658.29213846894</v>
      </c>
      <c r="G102" s="278">
        <f ca="1">'EUR Swap PVs'!R45</f>
        <v>299829.14606923447</v>
      </c>
      <c r="H102" s="278">
        <f ca="1">'EUR Swap PVs'!S45</f>
        <v>0</v>
      </c>
      <c r="I102" s="278">
        <f ca="1">'EUR Swap PVs'!T45</f>
        <v>-299829.1460692343</v>
      </c>
      <c r="J102" s="278">
        <f ca="1">'EUR Swap PVs'!U45</f>
        <v>-599658.29213846847</v>
      </c>
      <c r="K102" s="278">
        <f ca="1">'EUR Swap PVs'!V45</f>
        <v>-899487.43820770271</v>
      </c>
      <c r="L102" s="278">
        <f ca="1">'EUR Swap PVs'!W45</f>
        <v>-1199316.5842769367</v>
      </c>
      <c r="M102" s="279">
        <f ca="1">'EUR Swap PVs'!X45</f>
        <v>-1499145.7303461712</v>
      </c>
    </row>
    <row r="103" spans="2:26">
      <c r="B103" s="282" t="s">
        <v>368</v>
      </c>
      <c r="C103" s="278">
        <f ca="1">'EUR Swap PVs'!N46</f>
        <v>1620154.4699725835</v>
      </c>
      <c r="D103" s="278">
        <f ca="1">'EUR Swap PVs'!O46</f>
        <v>1296123.5759780677</v>
      </c>
      <c r="E103" s="278">
        <f ca="1">'EUR Swap PVs'!P46</f>
        <v>972092.68198355101</v>
      </c>
      <c r="F103" s="278">
        <f ca="1">'EUR Swap PVs'!Q46</f>
        <v>648061.78798903432</v>
      </c>
      <c r="G103" s="278">
        <f ca="1">'EUR Swap PVs'!R46</f>
        <v>324030.89399451733</v>
      </c>
      <c r="H103" s="278">
        <f ca="1">'EUR Swap PVs'!S46</f>
        <v>0</v>
      </c>
      <c r="I103" s="278">
        <f ca="1">'EUR Swap PVs'!T46</f>
        <v>-324030.89399451693</v>
      </c>
      <c r="J103" s="278">
        <f ca="1">'EUR Swap PVs'!U46</f>
        <v>-648061.78798903385</v>
      </c>
      <c r="K103" s="278">
        <f ca="1">'EUR Swap PVs'!V46</f>
        <v>-972092.68198355066</v>
      </c>
      <c r="L103" s="278">
        <f ca="1">'EUR Swap PVs'!W46</f>
        <v>-1296123.5759780677</v>
      </c>
      <c r="M103" s="279">
        <f ca="1">'EUR Swap PVs'!X46</f>
        <v>-1620154.4699725846</v>
      </c>
    </row>
    <row r="104" spans="2:26">
      <c r="B104" s="283" t="s">
        <v>14</v>
      </c>
      <c r="C104" s="280">
        <f ca="1">'EUR Swap PVs'!N47</f>
        <v>1730741.4546833574</v>
      </c>
      <c r="D104" s="280">
        <f ca="1">'EUR Swap PVs'!O47</f>
        <v>1384593.1637466867</v>
      </c>
      <c r="E104" s="280">
        <f ca="1">'EUR Swap PVs'!P47</f>
        <v>1038444.8728100156</v>
      </c>
      <c r="F104" s="280">
        <f ca="1">'EUR Swap PVs'!Q47</f>
        <v>692296.58187334414</v>
      </c>
      <c r="G104" s="280">
        <f ca="1">'EUR Swap PVs'!R47</f>
        <v>346148.2909366719</v>
      </c>
      <c r="H104" s="280">
        <f ca="1">'EUR Swap PVs'!S47</f>
        <v>0</v>
      </c>
      <c r="I104" s="280">
        <f ca="1">'EUR Swap PVs'!T47</f>
        <v>-346148.29093667178</v>
      </c>
      <c r="J104" s="280">
        <f ca="1">'EUR Swap PVs'!U47</f>
        <v>-692296.58187334356</v>
      </c>
      <c r="K104" s="280">
        <f ca="1">'EUR Swap PVs'!V47</f>
        <v>-1038444.8728100153</v>
      </c>
      <c r="L104" s="280">
        <f ca="1">'EUR Swap PVs'!W47</f>
        <v>-1384593.1637466867</v>
      </c>
      <c r="M104" s="281">
        <f ca="1">'EUR Swap PVs'!X47</f>
        <v>-1730741.4546833585</v>
      </c>
    </row>
    <row r="106" spans="2:26">
      <c r="B106" s="258" t="s">
        <v>472</v>
      </c>
      <c r="O106" s="258" t="s">
        <v>472</v>
      </c>
    </row>
    <row r="107" spans="2:26">
      <c r="B107" s="254" t="s">
        <v>468</v>
      </c>
      <c r="C107" s="287">
        <v>500</v>
      </c>
      <c r="D107" s="287">
        <v>400</v>
      </c>
      <c r="E107" s="287">
        <v>300</v>
      </c>
      <c r="F107" s="287">
        <v>200</v>
      </c>
      <c r="G107" s="287">
        <v>100</v>
      </c>
      <c r="H107" s="287">
        <v>0</v>
      </c>
      <c r="I107" s="287">
        <v>-100</v>
      </c>
      <c r="J107" s="287">
        <v>-200</v>
      </c>
      <c r="K107" s="287">
        <v>-300</v>
      </c>
      <c r="L107" s="287">
        <v>-400</v>
      </c>
      <c r="M107" s="288">
        <v>-500</v>
      </c>
      <c r="O107" s="254" t="s">
        <v>468</v>
      </c>
      <c r="P107" s="276">
        <v>-0.05</v>
      </c>
      <c r="Q107" s="276">
        <v>-0.04</v>
      </c>
      <c r="R107" s="276">
        <v>-0.03</v>
      </c>
      <c r="S107" s="276">
        <v>-1.9999999999999997E-2</v>
      </c>
      <c r="T107" s="276">
        <v>-9.9999999999999967E-3</v>
      </c>
      <c r="U107" s="276">
        <v>0</v>
      </c>
      <c r="V107" s="276">
        <v>0.01</v>
      </c>
      <c r="W107" s="276">
        <v>0.02</v>
      </c>
      <c r="X107" s="276">
        <v>0.03</v>
      </c>
      <c r="Y107" s="276">
        <v>0.04</v>
      </c>
      <c r="Z107" s="277">
        <v>0.05</v>
      </c>
    </row>
    <row r="108" spans="2:26">
      <c r="B108" s="282" t="s">
        <v>42</v>
      </c>
      <c r="C108" s="278">
        <f ca="1">IF(C86&gt;D86,0,1)</f>
        <v>0</v>
      </c>
      <c r="D108" s="278">
        <f t="shared" ref="D108:M108" ca="1" si="39">IF(D86&gt;E86,0,1)</f>
        <v>0</v>
      </c>
      <c r="E108" s="278">
        <f t="shared" ca="1" si="39"/>
        <v>0</v>
      </c>
      <c r="F108" s="278">
        <f t="shared" ca="1" si="39"/>
        <v>0</v>
      </c>
      <c r="G108" s="278">
        <f t="shared" ca="1" si="39"/>
        <v>0</v>
      </c>
      <c r="H108" s="278">
        <f t="shared" ca="1" si="39"/>
        <v>0</v>
      </c>
      <c r="I108" s="278">
        <f t="shared" ca="1" si="39"/>
        <v>0</v>
      </c>
      <c r="J108" s="278">
        <f t="shared" ca="1" si="39"/>
        <v>0</v>
      </c>
      <c r="K108" s="278">
        <f t="shared" ca="1" si="39"/>
        <v>0</v>
      </c>
      <c r="L108" s="278">
        <f t="shared" ca="1" si="39"/>
        <v>0</v>
      </c>
      <c r="M108" s="285" t="s">
        <v>6</v>
      </c>
      <c r="O108" s="282" t="s">
        <v>42</v>
      </c>
      <c r="P108" s="289">
        <f ca="1">IF(ABS(C87)&gt;ABS(C86),0,1)</f>
        <v>0</v>
      </c>
      <c r="Q108" s="289">
        <f t="shared" ref="Q108:Q125" ca="1" si="40">IF(ABS(D87)&gt;ABS(D86),0,1)</f>
        <v>0</v>
      </c>
      <c r="R108" s="289">
        <f t="shared" ref="R108:R125" ca="1" si="41">IF(ABS(E87)&gt;ABS(E86),0,1)</f>
        <v>0</v>
      </c>
      <c r="S108" s="289">
        <f t="shared" ref="S108:S125" ca="1" si="42">IF(ABS(F87)&gt;ABS(F86),0,1)</f>
        <v>0</v>
      </c>
      <c r="T108" s="289">
        <f t="shared" ref="T108:T125" ca="1" si="43">IF(ABS(G87)&gt;ABS(G86),0,1)</f>
        <v>0</v>
      </c>
      <c r="U108" s="295" t="s">
        <v>6</v>
      </c>
      <c r="V108" s="289">
        <f t="shared" ref="V108:V125" ca="1" si="44">IF(ABS(I87)&gt;ABS(I86),0,1)</f>
        <v>0</v>
      </c>
      <c r="W108" s="289">
        <f t="shared" ref="W108:W125" ca="1" si="45">IF(ABS(J87)&gt;ABS(J86),0,1)</f>
        <v>0</v>
      </c>
      <c r="X108" s="289">
        <f t="shared" ref="X108:X125" ca="1" si="46">IF(ABS(K87)&gt;ABS(K86),0,1)</f>
        <v>0</v>
      </c>
      <c r="Y108" s="289">
        <f t="shared" ref="Y108:Y125" ca="1" si="47">IF(ABS(L87)&gt;ABS(L86),0,1)</f>
        <v>0</v>
      </c>
      <c r="Z108" s="291">
        <f t="shared" ref="Z108:Z125" ca="1" si="48">IF(ABS(M87)&gt;ABS(M86),0,1)</f>
        <v>0</v>
      </c>
    </row>
    <row r="109" spans="2:26">
      <c r="B109" s="282" t="s">
        <v>39</v>
      </c>
      <c r="C109" s="278">
        <f t="shared" ref="C109:M109" ca="1" si="49">IF(C87&gt;D87,0,1)</f>
        <v>0</v>
      </c>
      <c r="D109" s="278">
        <f t="shared" ca="1" si="49"/>
        <v>0</v>
      </c>
      <c r="E109" s="278">
        <f t="shared" ca="1" si="49"/>
        <v>0</v>
      </c>
      <c r="F109" s="278">
        <f t="shared" ca="1" si="49"/>
        <v>0</v>
      </c>
      <c r="G109" s="278">
        <f t="shared" ca="1" si="49"/>
        <v>0</v>
      </c>
      <c r="H109" s="278">
        <f t="shared" ca="1" si="49"/>
        <v>0</v>
      </c>
      <c r="I109" s="278">
        <f t="shared" ca="1" si="49"/>
        <v>0</v>
      </c>
      <c r="J109" s="278">
        <f t="shared" ca="1" si="49"/>
        <v>0</v>
      </c>
      <c r="K109" s="278">
        <f t="shared" ca="1" si="49"/>
        <v>0</v>
      </c>
      <c r="L109" s="278">
        <f t="shared" ca="1" si="49"/>
        <v>0</v>
      </c>
      <c r="M109" s="279" t="s">
        <v>6</v>
      </c>
      <c r="O109" s="282" t="s">
        <v>39</v>
      </c>
      <c r="P109" s="289">
        <f t="shared" ref="P109:P125" ca="1" si="50">IF(ABS(C88)&gt;ABS(C87),0,1)</f>
        <v>0</v>
      </c>
      <c r="Q109" s="289">
        <f t="shared" ca="1" si="40"/>
        <v>0</v>
      </c>
      <c r="R109" s="289">
        <f t="shared" ca="1" si="41"/>
        <v>0</v>
      </c>
      <c r="S109" s="289">
        <f t="shared" ca="1" si="42"/>
        <v>0</v>
      </c>
      <c r="T109" s="289">
        <f t="shared" ca="1" si="43"/>
        <v>0</v>
      </c>
      <c r="U109" s="295" t="s">
        <v>6</v>
      </c>
      <c r="V109" s="289">
        <f t="shared" ca="1" si="44"/>
        <v>0</v>
      </c>
      <c r="W109" s="289">
        <f t="shared" ca="1" si="45"/>
        <v>0</v>
      </c>
      <c r="X109" s="289">
        <f t="shared" ca="1" si="46"/>
        <v>0</v>
      </c>
      <c r="Y109" s="289">
        <f t="shared" ca="1" si="47"/>
        <v>0</v>
      </c>
      <c r="Z109" s="292">
        <f t="shared" ca="1" si="48"/>
        <v>0</v>
      </c>
    </row>
    <row r="110" spans="2:26">
      <c r="B110" s="282" t="s">
        <v>35</v>
      </c>
      <c r="C110" s="278">
        <f t="shared" ref="C110:M110" ca="1" si="51">IF(C88&gt;D88,0,1)</f>
        <v>0</v>
      </c>
      <c r="D110" s="278">
        <f t="shared" ca="1" si="51"/>
        <v>0</v>
      </c>
      <c r="E110" s="278">
        <f t="shared" ca="1" si="51"/>
        <v>0</v>
      </c>
      <c r="F110" s="278">
        <f t="shared" ca="1" si="51"/>
        <v>0</v>
      </c>
      <c r="G110" s="278">
        <f t="shared" ca="1" si="51"/>
        <v>0</v>
      </c>
      <c r="H110" s="278">
        <f t="shared" ca="1" si="51"/>
        <v>0</v>
      </c>
      <c r="I110" s="278">
        <f t="shared" ca="1" si="51"/>
        <v>0</v>
      </c>
      <c r="J110" s="278">
        <f t="shared" ca="1" si="51"/>
        <v>0</v>
      </c>
      <c r="K110" s="278">
        <f t="shared" ca="1" si="51"/>
        <v>0</v>
      </c>
      <c r="L110" s="278">
        <f t="shared" ca="1" si="51"/>
        <v>0</v>
      </c>
      <c r="M110" s="279" t="s">
        <v>6</v>
      </c>
      <c r="O110" s="282" t="s">
        <v>35</v>
      </c>
      <c r="P110" s="289">
        <f t="shared" ca="1" si="50"/>
        <v>0</v>
      </c>
      <c r="Q110" s="289">
        <f t="shared" ca="1" si="40"/>
        <v>0</v>
      </c>
      <c r="R110" s="289">
        <f t="shared" ca="1" si="41"/>
        <v>0</v>
      </c>
      <c r="S110" s="289">
        <f t="shared" ca="1" si="42"/>
        <v>0</v>
      </c>
      <c r="T110" s="289">
        <f t="shared" ca="1" si="43"/>
        <v>0</v>
      </c>
      <c r="U110" s="295" t="s">
        <v>6</v>
      </c>
      <c r="V110" s="289">
        <f t="shared" ca="1" si="44"/>
        <v>0</v>
      </c>
      <c r="W110" s="289">
        <f t="shared" ca="1" si="45"/>
        <v>0</v>
      </c>
      <c r="X110" s="289">
        <f t="shared" ca="1" si="46"/>
        <v>0</v>
      </c>
      <c r="Y110" s="289">
        <f t="shared" ca="1" si="47"/>
        <v>0</v>
      </c>
      <c r="Z110" s="292">
        <f t="shared" ca="1" si="48"/>
        <v>0</v>
      </c>
    </row>
    <row r="111" spans="2:26">
      <c r="B111" s="282" t="s">
        <v>33</v>
      </c>
      <c r="C111" s="278">
        <f t="shared" ref="C111:M111" ca="1" si="52">IF(C89&gt;D89,0,1)</f>
        <v>0</v>
      </c>
      <c r="D111" s="278">
        <f t="shared" ca="1" si="52"/>
        <v>0</v>
      </c>
      <c r="E111" s="278">
        <f t="shared" ca="1" si="52"/>
        <v>0</v>
      </c>
      <c r="F111" s="278">
        <f t="shared" ca="1" si="52"/>
        <v>0</v>
      </c>
      <c r="G111" s="278">
        <f t="shared" ca="1" si="52"/>
        <v>0</v>
      </c>
      <c r="H111" s="278">
        <f t="shared" ca="1" si="52"/>
        <v>0</v>
      </c>
      <c r="I111" s="278">
        <f t="shared" ca="1" si="52"/>
        <v>0</v>
      </c>
      <c r="J111" s="278">
        <f t="shared" ca="1" si="52"/>
        <v>0</v>
      </c>
      <c r="K111" s="278">
        <f t="shared" ca="1" si="52"/>
        <v>0</v>
      </c>
      <c r="L111" s="278">
        <f t="shared" ca="1" si="52"/>
        <v>0</v>
      </c>
      <c r="M111" s="279" t="s">
        <v>6</v>
      </c>
      <c r="O111" s="282" t="s">
        <v>33</v>
      </c>
      <c r="P111" s="289">
        <f t="shared" ca="1" si="50"/>
        <v>0</v>
      </c>
      <c r="Q111" s="289">
        <f t="shared" ca="1" si="40"/>
        <v>0</v>
      </c>
      <c r="R111" s="289">
        <f t="shared" ca="1" si="41"/>
        <v>0</v>
      </c>
      <c r="S111" s="289">
        <f t="shared" ca="1" si="42"/>
        <v>0</v>
      </c>
      <c r="T111" s="289">
        <f t="shared" ca="1" si="43"/>
        <v>0</v>
      </c>
      <c r="U111" s="295" t="s">
        <v>6</v>
      </c>
      <c r="V111" s="289">
        <f t="shared" ca="1" si="44"/>
        <v>0</v>
      </c>
      <c r="W111" s="289">
        <f t="shared" ca="1" si="45"/>
        <v>0</v>
      </c>
      <c r="X111" s="289">
        <f t="shared" ca="1" si="46"/>
        <v>0</v>
      </c>
      <c r="Y111" s="289">
        <f t="shared" ca="1" si="47"/>
        <v>0</v>
      </c>
      <c r="Z111" s="292">
        <f t="shared" ca="1" si="48"/>
        <v>0</v>
      </c>
    </row>
    <row r="112" spans="2:26">
      <c r="B112" s="282" t="s">
        <v>131</v>
      </c>
      <c r="C112" s="278">
        <f t="shared" ref="C112:M112" ca="1" si="53">IF(C90&gt;D90,0,1)</f>
        <v>0</v>
      </c>
      <c r="D112" s="278">
        <f t="shared" ca="1" si="53"/>
        <v>0</v>
      </c>
      <c r="E112" s="278">
        <f t="shared" ca="1" si="53"/>
        <v>0</v>
      </c>
      <c r="F112" s="278">
        <f t="shared" ca="1" si="53"/>
        <v>0</v>
      </c>
      <c r="G112" s="278">
        <f t="shared" ca="1" si="53"/>
        <v>0</v>
      </c>
      <c r="H112" s="278">
        <f t="shared" ca="1" si="53"/>
        <v>0</v>
      </c>
      <c r="I112" s="278">
        <f t="shared" ca="1" si="53"/>
        <v>0</v>
      </c>
      <c r="J112" s="278">
        <f t="shared" ca="1" si="53"/>
        <v>0</v>
      </c>
      <c r="K112" s="278">
        <f t="shared" ca="1" si="53"/>
        <v>0</v>
      </c>
      <c r="L112" s="278">
        <f t="shared" ca="1" si="53"/>
        <v>0</v>
      </c>
      <c r="M112" s="279" t="s">
        <v>6</v>
      </c>
      <c r="O112" s="282" t="s">
        <v>131</v>
      </c>
      <c r="P112" s="289">
        <f t="shared" ca="1" si="50"/>
        <v>0</v>
      </c>
      <c r="Q112" s="289">
        <f t="shared" ca="1" si="40"/>
        <v>0</v>
      </c>
      <c r="R112" s="289">
        <f t="shared" ca="1" si="41"/>
        <v>0</v>
      </c>
      <c r="S112" s="289">
        <f t="shared" ca="1" si="42"/>
        <v>0</v>
      </c>
      <c r="T112" s="289">
        <f t="shared" ca="1" si="43"/>
        <v>0</v>
      </c>
      <c r="U112" s="295" t="s">
        <v>6</v>
      </c>
      <c r="V112" s="289">
        <f t="shared" ca="1" si="44"/>
        <v>0</v>
      </c>
      <c r="W112" s="289">
        <f t="shared" ca="1" si="45"/>
        <v>0</v>
      </c>
      <c r="X112" s="289">
        <f t="shared" ca="1" si="46"/>
        <v>0</v>
      </c>
      <c r="Y112" s="289">
        <f t="shared" ca="1" si="47"/>
        <v>0</v>
      </c>
      <c r="Z112" s="292">
        <f t="shared" ca="1" si="48"/>
        <v>0</v>
      </c>
    </row>
    <row r="113" spans="2:26">
      <c r="B113" s="282" t="s">
        <v>31</v>
      </c>
      <c r="C113" s="278">
        <f t="shared" ref="C113:M113" ca="1" si="54">IF(C91&gt;D91,0,1)</f>
        <v>0</v>
      </c>
      <c r="D113" s="278">
        <f t="shared" ca="1" si="54"/>
        <v>0</v>
      </c>
      <c r="E113" s="278">
        <f t="shared" ca="1" si="54"/>
        <v>0</v>
      </c>
      <c r="F113" s="278">
        <f t="shared" ca="1" si="54"/>
        <v>0</v>
      </c>
      <c r="G113" s="278">
        <f t="shared" ca="1" si="54"/>
        <v>0</v>
      </c>
      <c r="H113" s="278">
        <f t="shared" ca="1" si="54"/>
        <v>0</v>
      </c>
      <c r="I113" s="278">
        <f t="shared" ca="1" si="54"/>
        <v>0</v>
      </c>
      <c r="J113" s="278">
        <f t="shared" ca="1" si="54"/>
        <v>0</v>
      </c>
      <c r="K113" s="278">
        <f t="shared" ca="1" si="54"/>
        <v>0</v>
      </c>
      <c r="L113" s="278">
        <f t="shared" ca="1" si="54"/>
        <v>0</v>
      </c>
      <c r="M113" s="279" t="s">
        <v>6</v>
      </c>
      <c r="O113" s="282" t="s">
        <v>31</v>
      </c>
      <c r="P113" s="289">
        <f t="shared" ca="1" si="50"/>
        <v>0</v>
      </c>
      <c r="Q113" s="289">
        <f t="shared" ca="1" si="40"/>
        <v>0</v>
      </c>
      <c r="R113" s="289">
        <f t="shared" ca="1" si="41"/>
        <v>0</v>
      </c>
      <c r="S113" s="289">
        <f t="shared" ca="1" si="42"/>
        <v>0</v>
      </c>
      <c r="T113" s="289">
        <f t="shared" ca="1" si="43"/>
        <v>0</v>
      </c>
      <c r="U113" s="295" t="s">
        <v>6</v>
      </c>
      <c r="V113" s="289">
        <f t="shared" ca="1" si="44"/>
        <v>0</v>
      </c>
      <c r="W113" s="289">
        <f t="shared" ca="1" si="45"/>
        <v>0</v>
      </c>
      <c r="X113" s="289">
        <f t="shared" ca="1" si="46"/>
        <v>0</v>
      </c>
      <c r="Y113" s="289">
        <f t="shared" ca="1" si="47"/>
        <v>0</v>
      </c>
      <c r="Z113" s="292">
        <f t="shared" ca="1" si="48"/>
        <v>0</v>
      </c>
    </row>
    <row r="114" spans="2:26">
      <c r="B114" s="282" t="s">
        <v>119</v>
      </c>
      <c r="C114" s="278">
        <f t="shared" ref="C114:M114" ca="1" si="55">IF(C92&gt;D92,0,1)</f>
        <v>0</v>
      </c>
      <c r="D114" s="278">
        <f t="shared" ca="1" si="55"/>
        <v>0</v>
      </c>
      <c r="E114" s="278">
        <f t="shared" ca="1" si="55"/>
        <v>0</v>
      </c>
      <c r="F114" s="278">
        <f t="shared" ca="1" si="55"/>
        <v>0</v>
      </c>
      <c r="G114" s="278">
        <f t="shared" ca="1" si="55"/>
        <v>0</v>
      </c>
      <c r="H114" s="278">
        <f t="shared" ca="1" si="55"/>
        <v>0</v>
      </c>
      <c r="I114" s="278">
        <f t="shared" ca="1" si="55"/>
        <v>0</v>
      </c>
      <c r="J114" s="278">
        <f t="shared" ca="1" si="55"/>
        <v>0</v>
      </c>
      <c r="K114" s="278">
        <f t="shared" ca="1" si="55"/>
        <v>0</v>
      </c>
      <c r="L114" s="278">
        <f t="shared" ca="1" si="55"/>
        <v>0</v>
      </c>
      <c r="M114" s="279" t="s">
        <v>6</v>
      </c>
      <c r="O114" s="282" t="s">
        <v>119</v>
      </c>
      <c r="P114" s="289">
        <f t="shared" ca="1" si="50"/>
        <v>0</v>
      </c>
      <c r="Q114" s="289">
        <f t="shared" ca="1" si="40"/>
        <v>0</v>
      </c>
      <c r="R114" s="289">
        <f t="shared" ca="1" si="41"/>
        <v>0</v>
      </c>
      <c r="S114" s="289">
        <f t="shared" ca="1" si="42"/>
        <v>0</v>
      </c>
      <c r="T114" s="289">
        <f t="shared" ca="1" si="43"/>
        <v>0</v>
      </c>
      <c r="U114" s="295" t="s">
        <v>6</v>
      </c>
      <c r="V114" s="289">
        <f t="shared" ca="1" si="44"/>
        <v>0</v>
      </c>
      <c r="W114" s="289">
        <f t="shared" ca="1" si="45"/>
        <v>0</v>
      </c>
      <c r="X114" s="289">
        <f t="shared" ca="1" si="46"/>
        <v>0</v>
      </c>
      <c r="Y114" s="289">
        <f t="shared" ca="1" si="47"/>
        <v>0</v>
      </c>
      <c r="Z114" s="292">
        <f t="shared" ca="1" si="48"/>
        <v>0</v>
      </c>
    </row>
    <row r="115" spans="2:26">
      <c r="B115" s="282" t="s">
        <v>113</v>
      </c>
      <c r="C115" s="278">
        <f t="shared" ref="C115:M115" ca="1" si="56">IF(C93&gt;D93,0,1)</f>
        <v>0</v>
      </c>
      <c r="D115" s="278">
        <f t="shared" ca="1" si="56"/>
        <v>0</v>
      </c>
      <c r="E115" s="278">
        <f t="shared" ca="1" si="56"/>
        <v>0</v>
      </c>
      <c r="F115" s="278">
        <f t="shared" ca="1" si="56"/>
        <v>0</v>
      </c>
      <c r="G115" s="278">
        <f t="shared" ca="1" si="56"/>
        <v>0</v>
      </c>
      <c r="H115" s="278">
        <f t="shared" ca="1" si="56"/>
        <v>0</v>
      </c>
      <c r="I115" s="278">
        <f t="shared" ca="1" si="56"/>
        <v>0</v>
      </c>
      <c r="J115" s="278">
        <f t="shared" ca="1" si="56"/>
        <v>0</v>
      </c>
      <c r="K115" s="278">
        <f t="shared" ca="1" si="56"/>
        <v>0</v>
      </c>
      <c r="L115" s="278">
        <f t="shared" ca="1" si="56"/>
        <v>0</v>
      </c>
      <c r="M115" s="279" t="s">
        <v>6</v>
      </c>
      <c r="O115" s="282" t="s">
        <v>113</v>
      </c>
      <c r="P115" s="289">
        <f t="shared" ca="1" si="50"/>
        <v>0</v>
      </c>
      <c r="Q115" s="289">
        <f t="shared" ca="1" si="40"/>
        <v>0</v>
      </c>
      <c r="R115" s="289">
        <f t="shared" ca="1" si="41"/>
        <v>0</v>
      </c>
      <c r="S115" s="289">
        <f t="shared" ca="1" si="42"/>
        <v>0</v>
      </c>
      <c r="T115" s="289">
        <f t="shared" ca="1" si="43"/>
        <v>0</v>
      </c>
      <c r="U115" s="295" t="s">
        <v>6</v>
      </c>
      <c r="V115" s="289">
        <f t="shared" ca="1" si="44"/>
        <v>0</v>
      </c>
      <c r="W115" s="289">
        <f t="shared" ca="1" si="45"/>
        <v>0</v>
      </c>
      <c r="X115" s="289">
        <f t="shared" ca="1" si="46"/>
        <v>0</v>
      </c>
      <c r="Y115" s="289">
        <f t="shared" ca="1" si="47"/>
        <v>0</v>
      </c>
      <c r="Z115" s="292">
        <f t="shared" ca="1" si="48"/>
        <v>0</v>
      </c>
    </row>
    <row r="116" spans="2:26">
      <c r="B116" s="282" t="s">
        <v>28</v>
      </c>
      <c r="C116" s="278">
        <f t="shared" ref="C116:M116" ca="1" si="57">IF(C94&gt;D94,0,1)</f>
        <v>0</v>
      </c>
      <c r="D116" s="278">
        <f t="shared" ca="1" si="57"/>
        <v>0</v>
      </c>
      <c r="E116" s="278">
        <f t="shared" ca="1" si="57"/>
        <v>0</v>
      </c>
      <c r="F116" s="278">
        <f t="shared" ca="1" si="57"/>
        <v>0</v>
      </c>
      <c r="G116" s="278">
        <f t="shared" ca="1" si="57"/>
        <v>0</v>
      </c>
      <c r="H116" s="278">
        <f t="shared" ca="1" si="57"/>
        <v>0</v>
      </c>
      <c r="I116" s="278">
        <f t="shared" ca="1" si="57"/>
        <v>0</v>
      </c>
      <c r="J116" s="278">
        <f t="shared" ca="1" si="57"/>
        <v>0</v>
      </c>
      <c r="K116" s="278">
        <f t="shared" ca="1" si="57"/>
        <v>0</v>
      </c>
      <c r="L116" s="278">
        <f t="shared" ca="1" si="57"/>
        <v>0</v>
      </c>
      <c r="M116" s="279" t="s">
        <v>6</v>
      </c>
      <c r="O116" s="282" t="s">
        <v>28</v>
      </c>
      <c r="P116" s="289">
        <f t="shared" ca="1" si="50"/>
        <v>0</v>
      </c>
      <c r="Q116" s="289">
        <f t="shared" ca="1" si="40"/>
        <v>0</v>
      </c>
      <c r="R116" s="289">
        <f t="shared" ca="1" si="41"/>
        <v>0</v>
      </c>
      <c r="S116" s="289">
        <f t="shared" ca="1" si="42"/>
        <v>0</v>
      </c>
      <c r="T116" s="289">
        <f t="shared" ca="1" si="43"/>
        <v>0</v>
      </c>
      <c r="U116" s="295" t="s">
        <v>6</v>
      </c>
      <c r="V116" s="289">
        <f t="shared" ca="1" si="44"/>
        <v>0</v>
      </c>
      <c r="W116" s="289">
        <f t="shared" ca="1" si="45"/>
        <v>0</v>
      </c>
      <c r="X116" s="289">
        <f t="shared" ca="1" si="46"/>
        <v>0</v>
      </c>
      <c r="Y116" s="289">
        <f t="shared" ca="1" si="47"/>
        <v>0</v>
      </c>
      <c r="Z116" s="292">
        <f t="shared" ca="1" si="48"/>
        <v>0</v>
      </c>
    </row>
    <row r="117" spans="2:26">
      <c r="B117" s="282" t="s">
        <v>366</v>
      </c>
      <c r="C117" s="278">
        <f t="shared" ref="C117:M117" ca="1" si="58">IF(C95&gt;D95,0,1)</f>
        <v>0</v>
      </c>
      <c r="D117" s="278">
        <f t="shared" ca="1" si="58"/>
        <v>0</v>
      </c>
      <c r="E117" s="278">
        <f t="shared" ca="1" si="58"/>
        <v>0</v>
      </c>
      <c r="F117" s="278">
        <f t="shared" ca="1" si="58"/>
        <v>0</v>
      </c>
      <c r="G117" s="278">
        <f t="shared" ca="1" si="58"/>
        <v>0</v>
      </c>
      <c r="H117" s="278">
        <f t="shared" ca="1" si="58"/>
        <v>0</v>
      </c>
      <c r="I117" s="278">
        <f t="shared" ca="1" si="58"/>
        <v>0</v>
      </c>
      <c r="J117" s="278">
        <f t="shared" ca="1" si="58"/>
        <v>0</v>
      </c>
      <c r="K117" s="278">
        <f t="shared" ca="1" si="58"/>
        <v>0</v>
      </c>
      <c r="L117" s="278">
        <f t="shared" ca="1" si="58"/>
        <v>0</v>
      </c>
      <c r="M117" s="279" t="s">
        <v>6</v>
      </c>
      <c r="O117" s="282" t="s">
        <v>366</v>
      </c>
      <c r="P117" s="289">
        <f t="shared" ca="1" si="50"/>
        <v>0</v>
      </c>
      <c r="Q117" s="289">
        <f t="shared" ca="1" si="40"/>
        <v>0</v>
      </c>
      <c r="R117" s="289">
        <f t="shared" ca="1" si="41"/>
        <v>0</v>
      </c>
      <c r="S117" s="289">
        <f t="shared" ca="1" si="42"/>
        <v>0</v>
      </c>
      <c r="T117" s="289">
        <f t="shared" ca="1" si="43"/>
        <v>0</v>
      </c>
      <c r="U117" s="295" t="s">
        <v>6</v>
      </c>
      <c r="V117" s="289">
        <f t="shared" ca="1" si="44"/>
        <v>0</v>
      </c>
      <c r="W117" s="289">
        <f t="shared" ca="1" si="45"/>
        <v>0</v>
      </c>
      <c r="X117" s="289">
        <f t="shared" ca="1" si="46"/>
        <v>0</v>
      </c>
      <c r="Y117" s="289">
        <f t="shared" ca="1" si="47"/>
        <v>0</v>
      </c>
      <c r="Z117" s="292">
        <f t="shared" ca="1" si="48"/>
        <v>0</v>
      </c>
    </row>
    <row r="118" spans="2:26">
      <c r="B118" s="282" t="s">
        <v>26</v>
      </c>
      <c r="C118" s="278">
        <f t="shared" ref="C118:M118" ca="1" si="59">IF(C96&gt;D96,0,1)</f>
        <v>0</v>
      </c>
      <c r="D118" s="278">
        <f t="shared" ca="1" si="59"/>
        <v>0</v>
      </c>
      <c r="E118" s="278">
        <f t="shared" ca="1" si="59"/>
        <v>0</v>
      </c>
      <c r="F118" s="278">
        <f t="shared" ca="1" si="59"/>
        <v>0</v>
      </c>
      <c r="G118" s="278">
        <f t="shared" ca="1" si="59"/>
        <v>0</v>
      </c>
      <c r="H118" s="278">
        <f t="shared" ca="1" si="59"/>
        <v>0</v>
      </c>
      <c r="I118" s="278">
        <f t="shared" ca="1" si="59"/>
        <v>0</v>
      </c>
      <c r="J118" s="278">
        <f t="shared" ca="1" si="59"/>
        <v>0</v>
      </c>
      <c r="K118" s="278">
        <f t="shared" ca="1" si="59"/>
        <v>0</v>
      </c>
      <c r="L118" s="278">
        <f t="shared" ca="1" si="59"/>
        <v>0</v>
      </c>
      <c r="M118" s="279" t="s">
        <v>6</v>
      </c>
      <c r="O118" s="282" t="s">
        <v>26</v>
      </c>
      <c r="P118" s="289">
        <f t="shared" ca="1" si="50"/>
        <v>0</v>
      </c>
      <c r="Q118" s="289">
        <f t="shared" ca="1" si="40"/>
        <v>0</v>
      </c>
      <c r="R118" s="289">
        <f t="shared" ca="1" si="41"/>
        <v>0</v>
      </c>
      <c r="S118" s="289">
        <f t="shared" ca="1" si="42"/>
        <v>0</v>
      </c>
      <c r="T118" s="289">
        <f t="shared" ca="1" si="43"/>
        <v>0</v>
      </c>
      <c r="U118" s="295" t="s">
        <v>6</v>
      </c>
      <c r="V118" s="289">
        <f t="shared" ca="1" si="44"/>
        <v>0</v>
      </c>
      <c r="W118" s="289">
        <f t="shared" ca="1" si="45"/>
        <v>0</v>
      </c>
      <c r="X118" s="289">
        <f t="shared" ca="1" si="46"/>
        <v>0</v>
      </c>
      <c r="Y118" s="289">
        <f t="shared" ca="1" si="47"/>
        <v>0</v>
      </c>
      <c r="Z118" s="292">
        <f t="shared" ca="1" si="48"/>
        <v>0</v>
      </c>
    </row>
    <row r="119" spans="2:26">
      <c r="B119" s="282" t="s">
        <v>24</v>
      </c>
      <c r="C119" s="278">
        <f t="shared" ref="C119:M119" ca="1" si="60">IF(C97&gt;D97,0,1)</f>
        <v>0</v>
      </c>
      <c r="D119" s="278">
        <f t="shared" ca="1" si="60"/>
        <v>0</v>
      </c>
      <c r="E119" s="278">
        <f t="shared" ca="1" si="60"/>
        <v>0</v>
      </c>
      <c r="F119" s="278">
        <f t="shared" ca="1" si="60"/>
        <v>0</v>
      </c>
      <c r="G119" s="278">
        <f t="shared" ca="1" si="60"/>
        <v>0</v>
      </c>
      <c r="H119" s="278">
        <f t="shared" ca="1" si="60"/>
        <v>0</v>
      </c>
      <c r="I119" s="278">
        <f t="shared" ca="1" si="60"/>
        <v>0</v>
      </c>
      <c r="J119" s="278">
        <f t="shared" ca="1" si="60"/>
        <v>0</v>
      </c>
      <c r="K119" s="278">
        <f t="shared" ca="1" si="60"/>
        <v>0</v>
      </c>
      <c r="L119" s="278">
        <f t="shared" ca="1" si="60"/>
        <v>0</v>
      </c>
      <c r="M119" s="279" t="s">
        <v>6</v>
      </c>
      <c r="O119" s="282" t="s">
        <v>24</v>
      </c>
      <c r="P119" s="289">
        <f t="shared" ca="1" si="50"/>
        <v>0</v>
      </c>
      <c r="Q119" s="289">
        <f t="shared" ca="1" si="40"/>
        <v>0</v>
      </c>
      <c r="R119" s="289">
        <f t="shared" ca="1" si="41"/>
        <v>0</v>
      </c>
      <c r="S119" s="289">
        <f t="shared" ca="1" si="42"/>
        <v>0</v>
      </c>
      <c r="T119" s="289">
        <f t="shared" ca="1" si="43"/>
        <v>0</v>
      </c>
      <c r="U119" s="295" t="s">
        <v>6</v>
      </c>
      <c r="V119" s="289">
        <f t="shared" ca="1" si="44"/>
        <v>0</v>
      </c>
      <c r="W119" s="289">
        <f t="shared" ca="1" si="45"/>
        <v>0</v>
      </c>
      <c r="X119" s="289">
        <f t="shared" ca="1" si="46"/>
        <v>0</v>
      </c>
      <c r="Y119" s="289">
        <f t="shared" ca="1" si="47"/>
        <v>0</v>
      </c>
      <c r="Z119" s="292">
        <f t="shared" ca="1" si="48"/>
        <v>0</v>
      </c>
    </row>
    <row r="120" spans="2:26">
      <c r="B120" s="282" t="s">
        <v>20</v>
      </c>
      <c r="C120" s="278">
        <f t="shared" ref="C120:M120" ca="1" si="61">IF(C98&gt;D98,0,1)</f>
        <v>0</v>
      </c>
      <c r="D120" s="278">
        <f t="shared" ca="1" si="61"/>
        <v>0</v>
      </c>
      <c r="E120" s="278">
        <f t="shared" ca="1" si="61"/>
        <v>0</v>
      </c>
      <c r="F120" s="278">
        <f t="shared" ca="1" si="61"/>
        <v>0</v>
      </c>
      <c r="G120" s="278">
        <f t="shared" ca="1" si="61"/>
        <v>0</v>
      </c>
      <c r="H120" s="278">
        <f t="shared" ca="1" si="61"/>
        <v>0</v>
      </c>
      <c r="I120" s="278">
        <f t="shared" ca="1" si="61"/>
        <v>0</v>
      </c>
      <c r="J120" s="278">
        <f t="shared" ca="1" si="61"/>
        <v>0</v>
      </c>
      <c r="K120" s="278">
        <f t="shared" ca="1" si="61"/>
        <v>0</v>
      </c>
      <c r="L120" s="278">
        <f t="shared" ca="1" si="61"/>
        <v>0</v>
      </c>
      <c r="M120" s="279" t="s">
        <v>6</v>
      </c>
      <c r="O120" s="282" t="s">
        <v>20</v>
      </c>
      <c r="P120" s="289">
        <f t="shared" ca="1" si="50"/>
        <v>0</v>
      </c>
      <c r="Q120" s="289">
        <f t="shared" ca="1" si="40"/>
        <v>0</v>
      </c>
      <c r="R120" s="289">
        <f t="shared" ca="1" si="41"/>
        <v>0</v>
      </c>
      <c r="S120" s="289">
        <f t="shared" ca="1" si="42"/>
        <v>0</v>
      </c>
      <c r="T120" s="289">
        <f t="shared" ca="1" si="43"/>
        <v>0</v>
      </c>
      <c r="U120" s="295" t="s">
        <v>6</v>
      </c>
      <c r="V120" s="289">
        <f t="shared" ca="1" si="44"/>
        <v>0</v>
      </c>
      <c r="W120" s="289">
        <f t="shared" ca="1" si="45"/>
        <v>0</v>
      </c>
      <c r="X120" s="289">
        <f t="shared" ca="1" si="46"/>
        <v>0</v>
      </c>
      <c r="Y120" s="289">
        <f t="shared" ca="1" si="47"/>
        <v>0</v>
      </c>
      <c r="Z120" s="292">
        <f t="shared" ca="1" si="48"/>
        <v>0</v>
      </c>
    </row>
    <row r="121" spans="2:26">
      <c r="B121" s="282" t="s">
        <v>18</v>
      </c>
      <c r="C121" s="278">
        <f t="shared" ref="C121:M121" ca="1" si="62">IF(C99&gt;D99,0,1)</f>
        <v>0</v>
      </c>
      <c r="D121" s="278">
        <f t="shared" ca="1" si="62"/>
        <v>0</v>
      </c>
      <c r="E121" s="278">
        <f t="shared" ca="1" si="62"/>
        <v>0</v>
      </c>
      <c r="F121" s="278">
        <f t="shared" ca="1" si="62"/>
        <v>0</v>
      </c>
      <c r="G121" s="278">
        <f t="shared" ca="1" si="62"/>
        <v>0</v>
      </c>
      <c r="H121" s="278">
        <f t="shared" ca="1" si="62"/>
        <v>0</v>
      </c>
      <c r="I121" s="278">
        <f t="shared" ca="1" si="62"/>
        <v>0</v>
      </c>
      <c r="J121" s="278">
        <f t="shared" ca="1" si="62"/>
        <v>0</v>
      </c>
      <c r="K121" s="278">
        <f t="shared" ca="1" si="62"/>
        <v>0</v>
      </c>
      <c r="L121" s="278">
        <f t="shared" ca="1" si="62"/>
        <v>0</v>
      </c>
      <c r="M121" s="279" t="s">
        <v>6</v>
      </c>
      <c r="O121" s="282" t="s">
        <v>18</v>
      </c>
      <c r="P121" s="289">
        <f t="shared" ca="1" si="50"/>
        <v>0</v>
      </c>
      <c r="Q121" s="289">
        <f t="shared" ca="1" si="40"/>
        <v>0</v>
      </c>
      <c r="R121" s="289">
        <f t="shared" ca="1" si="41"/>
        <v>0</v>
      </c>
      <c r="S121" s="289">
        <f t="shared" ca="1" si="42"/>
        <v>0</v>
      </c>
      <c r="T121" s="289">
        <f t="shared" ca="1" si="43"/>
        <v>0</v>
      </c>
      <c r="U121" s="295" t="s">
        <v>6</v>
      </c>
      <c r="V121" s="289">
        <f t="shared" ca="1" si="44"/>
        <v>0</v>
      </c>
      <c r="W121" s="289">
        <f t="shared" ca="1" si="45"/>
        <v>0</v>
      </c>
      <c r="X121" s="289">
        <f t="shared" ca="1" si="46"/>
        <v>0</v>
      </c>
      <c r="Y121" s="289">
        <f t="shared" ca="1" si="47"/>
        <v>0</v>
      </c>
      <c r="Z121" s="292">
        <f t="shared" ca="1" si="48"/>
        <v>0</v>
      </c>
    </row>
    <row r="122" spans="2:26">
      <c r="B122" s="282" t="s">
        <v>17</v>
      </c>
      <c r="C122" s="278">
        <f t="shared" ref="C122:M122" ca="1" si="63">IF(C100&gt;D100,0,1)</f>
        <v>0</v>
      </c>
      <c r="D122" s="278">
        <f t="shared" ca="1" si="63"/>
        <v>0</v>
      </c>
      <c r="E122" s="278">
        <f t="shared" ca="1" si="63"/>
        <v>0</v>
      </c>
      <c r="F122" s="278">
        <f t="shared" ca="1" si="63"/>
        <v>0</v>
      </c>
      <c r="G122" s="278">
        <f t="shared" ca="1" si="63"/>
        <v>0</v>
      </c>
      <c r="H122" s="278">
        <f t="shared" ca="1" si="63"/>
        <v>0</v>
      </c>
      <c r="I122" s="278">
        <f t="shared" ca="1" si="63"/>
        <v>0</v>
      </c>
      <c r="J122" s="278">
        <f t="shared" ca="1" si="63"/>
        <v>0</v>
      </c>
      <c r="K122" s="278">
        <f t="shared" ca="1" si="63"/>
        <v>0</v>
      </c>
      <c r="L122" s="278">
        <f t="shared" ca="1" si="63"/>
        <v>0</v>
      </c>
      <c r="M122" s="279" t="s">
        <v>6</v>
      </c>
      <c r="O122" s="282" t="s">
        <v>17</v>
      </c>
      <c r="P122" s="289">
        <f t="shared" ca="1" si="50"/>
        <v>0</v>
      </c>
      <c r="Q122" s="289">
        <f t="shared" ca="1" si="40"/>
        <v>0</v>
      </c>
      <c r="R122" s="289">
        <f t="shared" ca="1" si="41"/>
        <v>0</v>
      </c>
      <c r="S122" s="289">
        <f t="shared" ca="1" si="42"/>
        <v>0</v>
      </c>
      <c r="T122" s="289">
        <f t="shared" ca="1" si="43"/>
        <v>0</v>
      </c>
      <c r="U122" s="295" t="s">
        <v>6</v>
      </c>
      <c r="V122" s="289">
        <f t="shared" ca="1" si="44"/>
        <v>0</v>
      </c>
      <c r="W122" s="289">
        <f t="shared" ca="1" si="45"/>
        <v>0</v>
      </c>
      <c r="X122" s="289">
        <f t="shared" ca="1" si="46"/>
        <v>0</v>
      </c>
      <c r="Y122" s="289">
        <f t="shared" ca="1" si="47"/>
        <v>0</v>
      </c>
      <c r="Z122" s="292">
        <f t="shared" ca="1" si="48"/>
        <v>0</v>
      </c>
    </row>
    <row r="123" spans="2:26">
      <c r="B123" s="282" t="s">
        <v>16</v>
      </c>
      <c r="C123" s="278">
        <f t="shared" ref="C123:M123" ca="1" si="64">IF(C101&gt;D101,0,1)</f>
        <v>0</v>
      </c>
      <c r="D123" s="278">
        <f t="shared" ca="1" si="64"/>
        <v>0</v>
      </c>
      <c r="E123" s="278">
        <f t="shared" ca="1" si="64"/>
        <v>0</v>
      </c>
      <c r="F123" s="278">
        <f t="shared" ca="1" si="64"/>
        <v>0</v>
      </c>
      <c r="G123" s="278">
        <f t="shared" ca="1" si="64"/>
        <v>0</v>
      </c>
      <c r="H123" s="278">
        <f t="shared" ca="1" si="64"/>
        <v>0</v>
      </c>
      <c r="I123" s="278">
        <f t="shared" ca="1" si="64"/>
        <v>0</v>
      </c>
      <c r="J123" s="278">
        <f t="shared" ca="1" si="64"/>
        <v>0</v>
      </c>
      <c r="K123" s="278">
        <f t="shared" ca="1" si="64"/>
        <v>0</v>
      </c>
      <c r="L123" s="278">
        <f t="shared" ca="1" si="64"/>
        <v>0</v>
      </c>
      <c r="M123" s="279" t="s">
        <v>6</v>
      </c>
      <c r="O123" s="282" t="s">
        <v>16</v>
      </c>
      <c r="P123" s="289">
        <f t="shared" ca="1" si="50"/>
        <v>0</v>
      </c>
      <c r="Q123" s="289">
        <f t="shared" ca="1" si="40"/>
        <v>0</v>
      </c>
      <c r="R123" s="289">
        <f t="shared" ca="1" si="41"/>
        <v>0</v>
      </c>
      <c r="S123" s="289">
        <f t="shared" ca="1" si="42"/>
        <v>0</v>
      </c>
      <c r="T123" s="289">
        <f t="shared" ca="1" si="43"/>
        <v>0</v>
      </c>
      <c r="U123" s="295" t="s">
        <v>6</v>
      </c>
      <c r="V123" s="289">
        <f t="shared" ca="1" si="44"/>
        <v>0</v>
      </c>
      <c r="W123" s="289">
        <f t="shared" ca="1" si="45"/>
        <v>0</v>
      </c>
      <c r="X123" s="289">
        <f t="shared" ca="1" si="46"/>
        <v>0</v>
      </c>
      <c r="Y123" s="289">
        <f t="shared" ca="1" si="47"/>
        <v>0</v>
      </c>
      <c r="Z123" s="292">
        <f t="shared" ca="1" si="48"/>
        <v>0</v>
      </c>
    </row>
    <row r="124" spans="2:26">
      <c r="B124" s="282" t="s">
        <v>15</v>
      </c>
      <c r="C124" s="278">
        <f t="shared" ref="C124:M124" ca="1" si="65">IF(C102&gt;D102,0,1)</f>
        <v>0</v>
      </c>
      <c r="D124" s="278">
        <f t="shared" ca="1" si="65"/>
        <v>0</v>
      </c>
      <c r="E124" s="278">
        <f t="shared" ca="1" si="65"/>
        <v>0</v>
      </c>
      <c r="F124" s="278">
        <f t="shared" ca="1" si="65"/>
        <v>0</v>
      </c>
      <c r="G124" s="278">
        <f t="shared" ca="1" si="65"/>
        <v>0</v>
      </c>
      <c r="H124" s="278">
        <f t="shared" ca="1" si="65"/>
        <v>0</v>
      </c>
      <c r="I124" s="278">
        <f t="shared" ca="1" si="65"/>
        <v>0</v>
      </c>
      <c r="J124" s="278">
        <f t="shared" ca="1" si="65"/>
        <v>0</v>
      </c>
      <c r="K124" s="278">
        <f t="shared" ca="1" si="65"/>
        <v>0</v>
      </c>
      <c r="L124" s="278">
        <f t="shared" ca="1" si="65"/>
        <v>0</v>
      </c>
      <c r="M124" s="279" t="s">
        <v>6</v>
      </c>
      <c r="O124" s="282" t="s">
        <v>15</v>
      </c>
      <c r="P124" s="289">
        <f t="shared" ca="1" si="50"/>
        <v>0</v>
      </c>
      <c r="Q124" s="289">
        <f t="shared" ca="1" si="40"/>
        <v>0</v>
      </c>
      <c r="R124" s="289">
        <f t="shared" ca="1" si="41"/>
        <v>0</v>
      </c>
      <c r="S124" s="289">
        <f t="shared" ca="1" si="42"/>
        <v>0</v>
      </c>
      <c r="T124" s="289">
        <f t="shared" ca="1" si="43"/>
        <v>0</v>
      </c>
      <c r="U124" s="295" t="s">
        <v>6</v>
      </c>
      <c r="V124" s="289">
        <f t="shared" ca="1" si="44"/>
        <v>0</v>
      </c>
      <c r="W124" s="289">
        <f t="shared" ca="1" si="45"/>
        <v>0</v>
      </c>
      <c r="X124" s="289">
        <f t="shared" ca="1" si="46"/>
        <v>0</v>
      </c>
      <c r="Y124" s="289">
        <f t="shared" ca="1" si="47"/>
        <v>0</v>
      </c>
      <c r="Z124" s="292">
        <f t="shared" ca="1" si="48"/>
        <v>0</v>
      </c>
    </row>
    <row r="125" spans="2:26">
      <c r="B125" s="282" t="s">
        <v>368</v>
      </c>
      <c r="C125" s="278">
        <f t="shared" ref="C125:M125" ca="1" si="66">IF(C103&gt;D103,0,1)</f>
        <v>0</v>
      </c>
      <c r="D125" s="278">
        <f t="shared" ca="1" si="66"/>
        <v>0</v>
      </c>
      <c r="E125" s="278">
        <f t="shared" ca="1" si="66"/>
        <v>0</v>
      </c>
      <c r="F125" s="278">
        <f t="shared" ca="1" si="66"/>
        <v>0</v>
      </c>
      <c r="G125" s="278">
        <f t="shared" ca="1" si="66"/>
        <v>0</v>
      </c>
      <c r="H125" s="278">
        <f t="shared" ca="1" si="66"/>
        <v>0</v>
      </c>
      <c r="I125" s="278">
        <f t="shared" ca="1" si="66"/>
        <v>0</v>
      </c>
      <c r="J125" s="278">
        <f t="shared" ca="1" si="66"/>
        <v>0</v>
      </c>
      <c r="K125" s="278">
        <f t="shared" ca="1" si="66"/>
        <v>0</v>
      </c>
      <c r="L125" s="278">
        <f t="shared" ca="1" si="66"/>
        <v>0</v>
      </c>
      <c r="M125" s="279" t="s">
        <v>6</v>
      </c>
      <c r="O125" s="282" t="s">
        <v>368</v>
      </c>
      <c r="P125" s="289">
        <f t="shared" ca="1" si="50"/>
        <v>0</v>
      </c>
      <c r="Q125" s="289">
        <f t="shared" ca="1" si="40"/>
        <v>0</v>
      </c>
      <c r="R125" s="289">
        <f t="shared" ca="1" si="41"/>
        <v>0</v>
      </c>
      <c r="S125" s="289">
        <f t="shared" ca="1" si="42"/>
        <v>0</v>
      </c>
      <c r="T125" s="289">
        <f t="shared" ca="1" si="43"/>
        <v>0</v>
      </c>
      <c r="U125" s="295" t="s">
        <v>6</v>
      </c>
      <c r="V125" s="289">
        <f t="shared" ca="1" si="44"/>
        <v>0</v>
      </c>
      <c r="W125" s="289">
        <f t="shared" ca="1" si="45"/>
        <v>0</v>
      </c>
      <c r="X125" s="289">
        <f t="shared" ca="1" si="46"/>
        <v>0</v>
      </c>
      <c r="Y125" s="289">
        <f t="shared" ca="1" si="47"/>
        <v>0</v>
      </c>
      <c r="Z125" s="292">
        <f t="shared" ca="1" si="48"/>
        <v>0</v>
      </c>
    </row>
    <row r="126" spans="2:26">
      <c r="B126" s="283" t="s">
        <v>14</v>
      </c>
      <c r="C126" s="280">
        <f t="shared" ref="C126:M126" ca="1" si="67">IF(C104&gt;D104,0,1)</f>
        <v>0</v>
      </c>
      <c r="D126" s="280">
        <f t="shared" ca="1" si="67"/>
        <v>0</v>
      </c>
      <c r="E126" s="280">
        <f t="shared" ca="1" si="67"/>
        <v>0</v>
      </c>
      <c r="F126" s="280">
        <f t="shared" ca="1" si="67"/>
        <v>0</v>
      </c>
      <c r="G126" s="280">
        <f t="shared" ca="1" si="67"/>
        <v>0</v>
      </c>
      <c r="H126" s="280">
        <f t="shared" ca="1" si="67"/>
        <v>0</v>
      </c>
      <c r="I126" s="280">
        <f t="shared" ca="1" si="67"/>
        <v>0</v>
      </c>
      <c r="J126" s="280">
        <f t="shared" ca="1" si="67"/>
        <v>0</v>
      </c>
      <c r="K126" s="280">
        <f t="shared" ca="1" si="67"/>
        <v>0</v>
      </c>
      <c r="L126" s="280">
        <f t="shared" ca="1" si="67"/>
        <v>0</v>
      </c>
      <c r="M126" s="281" t="s">
        <v>6</v>
      </c>
      <c r="O126" s="283" t="s">
        <v>14</v>
      </c>
      <c r="P126" s="293" t="s">
        <v>6</v>
      </c>
      <c r="Q126" s="293" t="s">
        <v>6</v>
      </c>
      <c r="R126" s="293" t="s">
        <v>6</v>
      </c>
      <c r="S126" s="293" t="s">
        <v>6</v>
      </c>
      <c r="T126" s="293" t="s">
        <v>6</v>
      </c>
      <c r="U126" s="296" t="s">
        <v>6</v>
      </c>
      <c r="V126" s="293" t="s">
        <v>6</v>
      </c>
      <c r="W126" s="293" t="s">
        <v>6</v>
      </c>
      <c r="X126" s="293" t="s">
        <v>6</v>
      </c>
      <c r="Y126" s="293" t="s">
        <v>6</v>
      </c>
      <c r="Z126" s="294" t="s">
        <v>6</v>
      </c>
    </row>
    <row r="129" spans="1:13">
      <c r="A129" s="224" t="s">
        <v>480</v>
      </c>
      <c r="B129" s="290" t="s">
        <v>489</v>
      </c>
      <c r="C129" s="284"/>
      <c r="G129" s="290" t="s">
        <v>489</v>
      </c>
    </row>
    <row r="130" spans="1:13">
      <c r="B130" s="284" t="s">
        <v>487</v>
      </c>
      <c r="C130" s="284"/>
      <c r="G130" s="284" t="s">
        <v>488</v>
      </c>
      <c r="H130" s="284"/>
    </row>
    <row r="131" spans="1:13">
      <c r="B131" s="258" t="s">
        <v>474</v>
      </c>
      <c r="C131" s="286">
        <f ca="1">SUM(C157:L175)</f>
        <v>0</v>
      </c>
      <c r="G131" s="258" t="s">
        <v>474</v>
      </c>
      <c r="H131" s="286">
        <f ca="1">SUM(P157:Z175)</f>
        <v>0</v>
      </c>
    </row>
    <row r="133" spans="1:13">
      <c r="B133" s="258" t="s">
        <v>477</v>
      </c>
      <c r="C133" s="258"/>
    </row>
    <row r="134" spans="1:13">
      <c r="B134" s="254" t="s">
        <v>468</v>
      </c>
      <c r="C134" s="276">
        <v>-0.05</v>
      </c>
      <c r="D134" s="276">
        <v>-0.04</v>
      </c>
      <c r="E134" s="276">
        <v>-0.03</v>
      </c>
      <c r="F134" s="276">
        <v>-1.9999999999999997E-2</v>
      </c>
      <c r="G134" s="276">
        <v>-9.9999999999999967E-3</v>
      </c>
      <c r="H134" s="276">
        <v>0</v>
      </c>
      <c r="I134" s="276">
        <v>0.01</v>
      </c>
      <c r="J134" s="276">
        <v>0.02</v>
      </c>
      <c r="K134" s="276">
        <v>0.03</v>
      </c>
      <c r="L134" s="276">
        <v>0.04</v>
      </c>
      <c r="M134" s="277">
        <v>0.05</v>
      </c>
    </row>
    <row r="135" spans="1:13">
      <c r="B135" s="282" t="s">
        <v>42</v>
      </c>
      <c r="C135" s="278">
        <f ca="1">'EUR Swap PVs'!AH4</f>
        <v>100441.45996346939</v>
      </c>
      <c r="D135" s="278">
        <f ca="1">'EUR Swap PVs'!AI4</f>
        <v>80353.16797077551</v>
      </c>
      <c r="E135" s="278">
        <f ca="1">'EUR Swap PVs'!AJ4</f>
        <v>60264.875978081618</v>
      </c>
      <c r="F135" s="278">
        <f ca="1">'EUR Swap PVs'!AK4</f>
        <v>40176.583985387748</v>
      </c>
      <c r="G135" s="278">
        <f ca="1">'EUR Swap PVs'!AL4</f>
        <v>20088.29199269387</v>
      </c>
      <c r="H135" s="278">
        <f ca="1">'EUR Swap PVs'!AM4</f>
        <v>8.2399365108898337E-12</v>
      </c>
      <c r="I135" s="278">
        <f ca="1">'EUR Swap PVs'!AN4</f>
        <v>-20088.291992693867</v>
      </c>
      <c r="J135" s="278">
        <f ca="1">'EUR Swap PVs'!AO4</f>
        <v>-40176.583985387741</v>
      </c>
      <c r="K135" s="278">
        <f ca="1">'EUR Swap PVs'!AP4</f>
        <v>-60264.875978081604</v>
      </c>
      <c r="L135" s="278">
        <f ca="1">'EUR Swap PVs'!AQ4</f>
        <v>-80353.167970775467</v>
      </c>
      <c r="M135" s="279">
        <f ca="1">'EUR Swap PVs'!AR4</f>
        <v>-100441.45996346934</v>
      </c>
    </row>
    <row r="136" spans="1:13">
      <c r="B136" s="282" t="s">
        <v>39</v>
      </c>
      <c r="C136" s="278">
        <f ca="1">'EUR Swap PVs'!AH5</f>
        <v>150300.80743458585</v>
      </c>
      <c r="D136" s="278">
        <f ca="1">'EUR Swap PVs'!AI5</f>
        <v>120240.64594766866</v>
      </c>
      <c r="E136" s="278">
        <f ca="1">'EUR Swap PVs'!AJ5</f>
        <v>90180.484460751497</v>
      </c>
      <c r="F136" s="278">
        <f ca="1">'EUR Swap PVs'!AK5</f>
        <v>60120.322973834322</v>
      </c>
      <c r="G136" s="278">
        <f ca="1">'EUR Swap PVs'!AL5</f>
        <v>30060.161486917143</v>
      </c>
      <c r="H136" s="278">
        <f ca="1">'EUR Swap PVs'!AM5</f>
        <v>-2.3418766925686896E-11</v>
      </c>
      <c r="I136" s="278">
        <f ca="1">'EUR Swap PVs'!AN5</f>
        <v>-30060.161486917201</v>
      </c>
      <c r="J136" s="278">
        <f ca="1">'EUR Swap PVs'!AO5</f>
        <v>-60120.32297383438</v>
      </c>
      <c r="K136" s="278">
        <f ca="1">'EUR Swap PVs'!AP5</f>
        <v>-90180.484460751555</v>
      </c>
      <c r="L136" s="278">
        <f ca="1">'EUR Swap PVs'!AQ5</f>
        <v>-120240.64594766875</v>
      </c>
      <c r="M136" s="279">
        <f ca="1">'EUR Swap PVs'!AR5</f>
        <v>-150300.80743458591</v>
      </c>
    </row>
    <row r="137" spans="1:13">
      <c r="B137" s="282" t="s">
        <v>35</v>
      </c>
      <c r="C137" s="278">
        <f ca="1">'EUR Swap PVs'!AH6</f>
        <v>199873.15570840999</v>
      </c>
      <c r="D137" s="278">
        <f ca="1">'EUR Swap PVs'!AI6</f>
        <v>159898.52456672798</v>
      </c>
      <c r="E137" s="278">
        <f ca="1">'EUR Swap PVs'!AJ6</f>
        <v>119923.893425046</v>
      </c>
      <c r="F137" s="278">
        <f ca="1">'EUR Swap PVs'!AK6</f>
        <v>79949.26228336402</v>
      </c>
      <c r="G137" s="278">
        <f ca="1">'EUR Swap PVs'!AL6</f>
        <v>39974.631141682039</v>
      </c>
      <c r="H137" s="278">
        <f ca="1">'EUR Swap PVs'!AM6</f>
        <v>7.6327832942979512E-11</v>
      </c>
      <c r="I137" s="278">
        <f ca="1">'EUR Swap PVs'!AN6</f>
        <v>-39974.631141681901</v>
      </c>
      <c r="J137" s="278">
        <f ca="1">'EUR Swap PVs'!AO6</f>
        <v>-79949.262283363874</v>
      </c>
      <c r="K137" s="278">
        <f ca="1">'EUR Swap PVs'!AP6</f>
        <v>-119923.89342504586</v>
      </c>
      <c r="L137" s="278">
        <f ca="1">'EUR Swap PVs'!AQ6</f>
        <v>-159898.52456672784</v>
      </c>
      <c r="M137" s="279">
        <f ca="1">'EUR Swap PVs'!AR6</f>
        <v>-199873.15570840979</v>
      </c>
    </row>
    <row r="138" spans="1:13">
      <c r="B138" s="282" t="s">
        <v>33</v>
      </c>
      <c r="C138" s="278">
        <f ca="1">'EUR Swap PVs'!AH7</f>
        <v>249096.03223594063</v>
      </c>
      <c r="D138" s="278">
        <f ca="1">'EUR Swap PVs'!AI7</f>
        <v>199276.8257887525</v>
      </c>
      <c r="E138" s="278">
        <f ca="1">'EUR Swap PVs'!AJ7</f>
        <v>149457.61934156436</v>
      </c>
      <c r="F138" s="278">
        <f ca="1">'EUR Swap PVs'!AK7</f>
        <v>99638.412894376248</v>
      </c>
      <c r="G138" s="278">
        <f ca="1">'EUR Swap PVs'!AL7</f>
        <v>49819.206447188117</v>
      </c>
      <c r="H138" s="278">
        <f ca="1">'EUR Swap PVs'!AM7</f>
        <v>1.3877787807814457E-11</v>
      </c>
      <c r="I138" s="278">
        <f ca="1">'EUR Swap PVs'!AN7</f>
        <v>-49819.206447188109</v>
      </c>
      <c r="J138" s="278">
        <f ca="1">'EUR Swap PVs'!AO7</f>
        <v>-99638.412894376233</v>
      </c>
      <c r="K138" s="278">
        <f ca="1">'EUR Swap PVs'!AP7</f>
        <v>-149457.61934156436</v>
      </c>
      <c r="L138" s="278">
        <f ca="1">'EUR Swap PVs'!AQ7</f>
        <v>-199276.8257887525</v>
      </c>
      <c r="M138" s="279">
        <f ca="1">'EUR Swap PVs'!AR7</f>
        <v>-249096.03223594063</v>
      </c>
    </row>
    <row r="139" spans="1:13">
      <c r="B139" s="282" t="s">
        <v>131</v>
      </c>
      <c r="C139" s="278">
        <f ca="1">'EUR Swap PVs'!AH8</f>
        <v>297667.53869917657</v>
      </c>
      <c r="D139" s="278">
        <f ca="1">'EUR Swap PVs'!AI8</f>
        <v>238134.03095934121</v>
      </c>
      <c r="E139" s="278">
        <f ca="1">'EUR Swap PVs'!AJ8</f>
        <v>178600.52321950594</v>
      </c>
      <c r="F139" s="278">
        <f ca="1">'EUR Swap PVs'!AK8</f>
        <v>119067.01547967063</v>
      </c>
      <c r="G139" s="278">
        <f ca="1">'EUR Swap PVs'!AL8</f>
        <v>59533.507739835317</v>
      </c>
      <c r="H139" s="278">
        <f ca="1">'EUR Swap PVs'!AM8</f>
        <v>3.4694469519536142E-11</v>
      </c>
      <c r="I139" s="278">
        <f ca="1">'EUR Swap PVs'!AN8</f>
        <v>-59533.507739835266</v>
      </c>
      <c r="J139" s="278">
        <f ca="1">'EUR Swap PVs'!AO8</f>
        <v>-119067.01547967058</v>
      </c>
      <c r="K139" s="278">
        <f ca="1">'EUR Swap PVs'!AP8</f>
        <v>-178600.52321950591</v>
      </c>
      <c r="L139" s="278">
        <f ca="1">'EUR Swap PVs'!AQ8</f>
        <v>-238134.03095934118</v>
      </c>
      <c r="M139" s="279">
        <f ca="1">'EUR Swap PVs'!AR8</f>
        <v>-297667.53869917651</v>
      </c>
    </row>
    <row r="140" spans="1:13">
      <c r="B140" s="282" t="s">
        <v>31</v>
      </c>
      <c r="C140" s="278">
        <f ca="1">'EUR Swap PVs'!AH9</f>
        <v>345445.58092836296</v>
      </c>
      <c r="D140" s="278">
        <f ca="1">'EUR Swap PVs'!AI9</f>
        <v>276356.46474269038</v>
      </c>
      <c r="E140" s="278">
        <f ca="1">'EUR Swap PVs'!AJ9</f>
        <v>207267.34855701777</v>
      </c>
      <c r="F140" s="278">
        <f ca="1">'EUR Swap PVs'!AK9</f>
        <v>138178.23237134519</v>
      </c>
      <c r="G140" s="278">
        <f ca="1">'EUR Swap PVs'!AL9</f>
        <v>69089.116185672567</v>
      </c>
      <c r="H140" s="278">
        <f ca="1">'EUR Swap PVs'!AM9</f>
        <v>-6.9388939039072284E-12</v>
      </c>
      <c r="I140" s="278">
        <f ca="1">'EUR Swap PVs'!AN9</f>
        <v>-69089.116185672596</v>
      </c>
      <c r="J140" s="278">
        <f ca="1">'EUR Swap PVs'!AO9</f>
        <v>-138178.23237134522</v>
      </c>
      <c r="K140" s="278">
        <f ca="1">'EUR Swap PVs'!AP9</f>
        <v>-207267.3485570178</v>
      </c>
      <c r="L140" s="278">
        <f ca="1">'EUR Swap PVs'!AQ9</f>
        <v>-276356.46474269038</v>
      </c>
      <c r="M140" s="279">
        <f ca="1">'EUR Swap PVs'!AR9</f>
        <v>-345445.58092836308</v>
      </c>
    </row>
    <row r="141" spans="1:13">
      <c r="B141" s="282" t="s">
        <v>119</v>
      </c>
      <c r="C141" s="278">
        <f ca="1">'EUR Swap PVs'!AH10</f>
        <v>392585.59739955037</v>
      </c>
      <c r="D141" s="278">
        <f ca="1">'EUR Swap PVs'!AI10</f>
        <v>314068.47791964031</v>
      </c>
      <c r="E141" s="278">
        <f ca="1">'EUR Swap PVs'!AJ10</f>
        <v>235551.35843973025</v>
      </c>
      <c r="F141" s="278">
        <f ca="1">'EUR Swap PVs'!AK10</f>
        <v>157034.23895982016</v>
      </c>
      <c r="G141" s="278">
        <f ca="1">'EUR Swap PVs'!AL10</f>
        <v>78517.119479910092</v>
      </c>
      <c r="H141" s="278">
        <f ca="1">'EUR Swap PVs'!AM10</f>
        <v>5.5511151231257827E-11</v>
      </c>
      <c r="I141" s="278">
        <f ca="1">'EUR Swap PVs'!AN10</f>
        <v>-78517.119479910019</v>
      </c>
      <c r="J141" s="278">
        <f ca="1">'EUR Swap PVs'!AO10</f>
        <v>-157034.23895982007</v>
      </c>
      <c r="K141" s="278">
        <f ca="1">'EUR Swap PVs'!AP10</f>
        <v>-235551.35843973013</v>
      </c>
      <c r="L141" s="278">
        <f ca="1">'EUR Swap PVs'!AQ10</f>
        <v>-314068.47791964019</v>
      </c>
      <c r="M141" s="279">
        <f ca="1">'EUR Swap PVs'!AR10</f>
        <v>-392585.59739955032</v>
      </c>
    </row>
    <row r="142" spans="1:13">
      <c r="B142" s="282" t="s">
        <v>113</v>
      </c>
      <c r="C142" s="278">
        <f ca="1">'EUR Swap PVs'!AH11</f>
        <v>438252.52539896441</v>
      </c>
      <c r="D142" s="278">
        <f ca="1">'EUR Swap PVs'!AI11</f>
        <v>350602.02031917148</v>
      </c>
      <c r="E142" s="278">
        <f ca="1">'EUR Swap PVs'!AJ11</f>
        <v>262951.51523937855</v>
      </c>
      <c r="F142" s="278">
        <f ca="1">'EUR Swap PVs'!AK11</f>
        <v>175301.01015958565</v>
      </c>
      <c r="G142" s="278">
        <f ca="1">'EUR Swap PVs'!AL11</f>
        <v>87650.505079792769</v>
      </c>
      <c r="H142" s="278">
        <f ca="1">'EUR Swap PVs'!AM11</f>
        <v>-9.7144514654701197E-11</v>
      </c>
      <c r="I142" s="278">
        <f ca="1">'EUR Swap PVs'!AN11</f>
        <v>-87650.505079792987</v>
      </c>
      <c r="J142" s="278">
        <f ca="1">'EUR Swap PVs'!AO11</f>
        <v>-175301.01015958583</v>
      </c>
      <c r="K142" s="278">
        <f ca="1">'EUR Swap PVs'!AP11</f>
        <v>-262951.51523937879</v>
      </c>
      <c r="L142" s="278">
        <f ca="1">'EUR Swap PVs'!AQ11</f>
        <v>-350602.02031917166</v>
      </c>
      <c r="M142" s="279">
        <f ca="1">'EUR Swap PVs'!AR11</f>
        <v>-438252.52539896453</v>
      </c>
    </row>
    <row r="143" spans="1:13">
      <c r="B143" s="282" t="s">
        <v>28</v>
      </c>
      <c r="C143" s="278">
        <f ca="1">'EUR Swap PVs'!AH12</f>
        <v>483168.6449744876</v>
      </c>
      <c r="D143" s="278">
        <f ca="1">'EUR Swap PVs'!AI12</f>
        <v>386534.91597959009</v>
      </c>
      <c r="E143" s="278">
        <f ca="1">'EUR Swap PVs'!AJ12</f>
        <v>289901.18698469258</v>
      </c>
      <c r="F143" s="278">
        <f ca="1">'EUR Swap PVs'!AK12</f>
        <v>193267.4579897951</v>
      </c>
      <c r="G143" s="278">
        <f ca="1">'EUR Swap PVs'!AL12</f>
        <v>96633.72899489761</v>
      </c>
      <c r="H143" s="278">
        <f ca="1">'EUR Swap PVs'!AM12</f>
        <v>1.3877787807814457E-10</v>
      </c>
      <c r="I143" s="278">
        <f ca="1">'EUR Swap PVs'!AN12</f>
        <v>-96633.728994897348</v>
      </c>
      <c r="J143" s="278">
        <f ca="1">'EUR Swap PVs'!AO12</f>
        <v>-193267.45798979484</v>
      </c>
      <c r="K143" s="278">
        <f ca="1">'EUR Swap PVs'!AP12</f>
        <v>-289901.18698469235</v>
      </c>
      <c r="L143" s="278">
        <f ca="1">'EUR Swap PVs'!AQ12</f>
        <v>-386534.91597958986</v>
      </c>
      <c r="M143" s="279">
        <f ca="1">'EUR Swap PVs'!AR12</f>
        <v>-483168.64497448743</v>
      </c>
    </row>
    <row r="144" spans="1:13">
      <c r="B144" s="282" t="s">
        <v>366</v>
      </c>
      <c r="C144" s="278">
        <f ca="1">'EUR Swap PVs'!AH13</f>
        <v>527061.76365639456</v>
      </c>
      <c r="D144" s="278">
        <f ca="1">'EUR Swap PVs'!AI13</f>
        <v>421649.41092511569</v>
      </c>
      <c r="E144" s="278">
        <f ca="1">'EUR Swap PVs'!AJ13</f>
        <v>316237.05819383683</v>
      </c>
      <c r="F144" s="278">
        <f ca="1">'EUR Swap PVs'!AK13</f>
        <v>210824.70546255793</v>
      </c>
      <c r="G144" s="278">
        <f ca="1">'EUR Swap PVs'!AL13</f>
        <v>105412.35273127905</v>
      </c>
      <c r="H144" s="278">
        <f ca="1">'EUR Swap PVs'!AM13</f>
        <v>1.9428902930940239E-10</v>
      </c>
      <c r="I144" s="278">
        <f ca="1">'EUR Swap PVs'!AN13</f>
        <v>-105412.35273127869</v>
      </c>
      <c r="J144" s="278">
        <f ca="1">'EUR Swap PVs'!AO13</f>
        <v>-210824.70546255755</v>
      </c>
      <c r="K144" s="278">
        <f ca="1">'EUR Swap PVs'!AP13</f>
        <v>-316237.05819383648</v>
      </c>
      <c r="L144" s="278">
        <f ca="1">'EUR Swap PVs'!AQ13</f>
        <v>-421649.41092511546</v>
      </c>
      <c r="M144" s="279">
        <f ca="1">'EUR Swap PVs'!AR13</f>
        <v>-527061.76365639421</v>
      </c>
    </row>
    <row r="145" spans="2:26">
      <c r="B145" s="282" t="s">
        <v>26</v>
      </c>
      <c r="C145" s="278">
        <f ca="1">'EUR Swap PVs'!AH14</f>
        <v>569938.03084859333</v>
      </c>
      <c r="D145" s="278">
        <f ca="1">'EUR Swap PVs'!AI14</f>
        <v>455950.42467887461</v>
      </c>
      <c r="E145" s="278">
        <f ca="1">'EUR Swap PVs'!AJ14</f>
        <v>341962.81850915594</v>
      </c>
      <c r="F145" s="278">
        <f ca="1">'EUR Swap PVs'!AK14</f>
        <v>227975.2123394373</v>
      </c>
      <c r="G145" s="278">
        <f ca="1">'EUR Swap PVs'!AL14</f>
        <v>113987.60616971868</v>
      </c>
      <c r="H145" s="278">
        <f ca="1">'EUR Swap PVs'!AM14</f>
        <v>1.1102230246251565E-10</v>
      </c>
      <c r="I145" s="278">
        <f ca="1">'EUR Swap PVs'!AN14</f>
        <v>-113987.60616971854</v>
      </c>
      <c r="J145" s="278">
        <f ca="1">'EUR Swap PVs'!AO14</f>
        <v>-227975.21233943719</v>
      </c>
      <c r="K145" s="278">
        <f ca="1">'EUR Swap PVs'!AP14</f>
        <v>-341962.81850915565</v>
      </c>
      <c r="L145" s="278">
        <f ca="1">'EUR Swap PVs'!AQ14</f>
        <v>-455950.42467887438</v>
      </c>
      <c r="M145" s="279">
        <f ca="1">'EUR Swap PVs'!AR14</f>
        <v>-569938.03084859299</v>
      </c>
    </row>
    <row r="146" spans="2:26">
      <c r="B146" s="282" t="s">
        <v>24</v>
      </c>
      <c r="C146" s="278">
        <f ca="1">'EUR Swap PVs'!AH15</f>
        <v>692615.2339954495</v>
      </c>
      <c r="D146" s="278">
        <f ca="1">'EUR Swap PVs'!AI15</f>
        <v>554092.1871963595</v>
      </c>
      <c r="E146" s="278">
        <f ca="1">'EUR Swap PVs'!AJ15</f>
        <v>415569.14039726969</v>
      </c>
      <c r="F146" s="278">
        <f ca="1">'EUR Swap PVs'!AK15</f>
        <v>277046.09359817975</v>
      </c>
      <c r="G146" s="278">
        <f ca="1">'EUR Swap PVs'!AL15</f>
        <v>138523.04679908991</v>
      </c>
      <c r="H146" s="278">
        <f ca="1">'EUR Swap PVs'!AM15</f>
        <v>1.1102230246251565E-10</v>
      </c>
      <c r="I146" s="278">
        <f ca="1">'EUR Swap PVs'!AN15</f>
        <v>-138523.04679908979</v>
      </c>
      <c r="J146" s="278">
        <f ca="1">'EUR Swap PVs'!AO15</f>
        <v>-277046.09359817958</v>
      </c>
      <c r="K146" s="278">
        <f ca="1">'EUR Swap PVs'!AP15</f>
        <v>-415569.14039726945</v>
      </c>
      <c r="L146" s="278">
        <f ca="1">'EUR Swap PVs'!AQ15</f>
        <v>-554092.18719635927</v>
      </c>
      <c r="M146" s="279">
        <f ca="1">'EUR Swap PVs'!AR15</f>
        <v>-692615.23399544926</v>
      </c>
    </row>
    <row r="147" spans="2:26">
      <c r="B147" s="282" t="s">
        <v>20</v>
      </c>
      <c r="C147" s="278">
        <f ca="1">'EUR Swap PVs'!AH16</f>
        <v>879086.65850046882</v>
      </c>
      <c r="D147" s="278">
        <f ca="1">'EUR Swap PVs'!AI16</f>
        <v>703269.32680037513</v>
      </c>
      <c r="E147" s="278">
        <f ca="1">'EUR Swap PVs'!AJ16</f>
        <v>527451.99510028132</v>
      </c>
      <c r="F147" s="278">
        <f ca="1">'EUR Swap PVs'!AK16</f>
        <v>351634.66340018751</v>
      </c>
      <c r="G147" s="278">
        <f ca="1">'EUR Swap PVs'!AL16</f>
        <v>175817.33170009378</v>
      </c>
      <c r="H147" s="278">
        <f ca="1">'EUR Swap PVs'!AM16</f>
        <v>5.5511151231257827E-11</v>
      </c>
      <c r="I147" s="278">
        <f ca="1">'EUR Swap PVs'!AN16</f>
        <v>-175817.33170009372</v>
      </c>
      <c r="J147" s="278">
        <f ca="1">'EUR Swap PVs'!AO16</f>
        <v>-351634.66340018751</v>
      </c>
      <c r="K147" s="278">
        <f ca="1">'EUR Swap PVs'!AP16</f>
        <v>-527451.9951002812</v>
      </c>
      <c r="L147" s="278">
        <f ca="1">'EUR Swap PVs'!AQ16</f>
        <v>-703269.3268003749</v>
      </c>
      <c r="M147" s="279">
        <f ca="1">'EUR Swap PVs'!AR16</f>
        <v>-879086.65850046882</v>
      </c>
    </row>
    <row r="148" spans="2:26">
      <c r="B148" s="282" t="s">
        <v>18</v>
      </c>
      <c r="C148" s="278">
        <f ca="1">'EUR Swap PVs'!AH17</f>
        <v>1047182.7946827146</v>
      </c>
      <c r="D148" s="278">
        <f ca="1">'EUR Swap PVs'!AI17</f>
        <v>837746.23574617179</v>
      </c>
      <c r="E148" s="278">
        <f ca="1">'EUR Swap PVs'!AJ17</f>
        <v>628309.67680962884</v>
      </c>
      <c r="F148" s="278">
        <f ca="1">'EUR Swap PVs'!AK17</f>
        <v>418873.11787308572</v>
      </c>
      <c r="G148" s="278">
        <f ca="1">'EUR Swap PVs'!AL17</f>
        <v>209436.55893654277</v>
      </c>
      <c r="H148" s="278">
        <f ca="1">'EUR Swap PVs'!AM17</f>
        <v>-1.1102230246251565E-10</v>
      </c>
      <c r="I148" s="278">
        <f ca="1">'EUR Swap PVs'!AN17</f>
        <v>-209436.55893654312</v>
      </c>
      <c r="J148" s="278">
        <f ca="1">'EUR Swap PVs'!AO17</f>
        <v>-418873.11787308613</v>
      </c>
      <c r="K148" s="278">
        <f ca="1">'EUR Swap PVs'!AP17</f>
        <v>-628309.67680962896</v>
      </c>
      <c r="L148" s="278">
        <f ca="1">'EUR Swap PVs'!AQ17</f>
        <v>-837746.23574617202</v>
      </c>
      <c r="M148" s="279">
        <f ca="1">'EUR Swap PVs'!AR17</f>
        <v>-1047182.7946827149</v>
      </c>
    </row>
    <row r="149" spans="2:26">
      <c r="B149" s="282" t="s">
        <v>17</v>
      </c>
      <c r="C149" s="278">
        <f ca="1">'EUR Swap PVs'!AH18</f>
        <v>1200253.8604142829</v>
      </c>
      <c r="D149" s="278">
        <f ca="1">'EUR Swap PVs'!AI18</f>
        <v>960203.08833142626</v>
      </c>
      <c r="E149" s="278">
        <f ca="1">'EUR Swap PVs'!AJ18</f>
        <v>720152.31624856952</v>
      </c>
      <c r="F149" s="278">
        <f ca="1">'EUR Swap PVs'!AK18</f>
        <v>480101.54416571296</v>
      </c>
      <c r="G149" s="278">
        <f ca="1">'EUR Swap PVs'!AL18</f>
        <v>240050.77208285636</v>
      </c>
      <c r="H149" s="278">
        <f ca="1">'EUR Swap PVs'!AM18</f>
        <v>-1.6653345369377348E-10</v>
      </c>
      <c r="I149" s="278">
        <f ca="1">'EUR Swap PVs'!AN18</f>
        <v>-240050.7720828568</v>
      </c>
      <c r="J149" s="278">
        <f ca="1">'EUR Swap PVs'!AO18</f>
        <v>-480101.54416571342</v>
      </c>
      <c r="K149" s="278">
        <f ca="1">'EUR Swap PVs'!AP18</f>
        <v>-720152.31624856987</v>
      </c>
      <c r="L149" s="278">
        <f ca="1">'EUR Swap PVs'!AQ18</f>
        <v>-960203.08833142649</v>
      </c>
      <c r="M149" s="279">
        <f ca="1">'EUR Swap PVs'!AR18</f>
        <v>-1200253.8604142831</v>
      </c>
    </row>
    <row r="150" spans="2:26">
      <c r="B150" s="282" t="s">
        <v>16</v>
      </c>
      <c r="C150" s="278">
        <f ca="1">'EUR Swap PVs'!AH19</f>
        <v>1341179.2700771401</v>
      </c>
      <c r="D150" s="278">
        <f ca="1">'EUR Swap PVs'!AI19</f>
        <v>1072943.416061712</v>
      </c>
      <c r="E150" s="278">
        <f ca="1">'EUR Swap PVs'!AJ19</f>
        <v>804707.56204628374</v>
      </c>
      <c r="F150" s="278">
        <f ca="1">'EUR Swap PVs'!AK19</f>
        <v>536471.70803085575</v>
      </c>
      <c r="G150" s="278">
        <f ca="1">'EUR Swap PVs'!AL19</f>
        <v>268235.8540154277</v>
      </c>
      <c r="H150" s="278">
        <f ca="1">'EUR Swap PVs'!AM19</f>
        <v>-2.2204460492503131E-10</v>
      </c>
      <c r="I150" s="278">
        <f ca="1">'EUR Swap PVs'!AN19</f>
        <v>-268235.85401542822</v>
      </c>
      <c r="J150" s="278">
        <f ca="1">'EUR Swap PVs'!AO19</f>
        <v>-536471.70803085633</v>
      </c>
      <c r="K150" s="278">
        <f ca="1">'EUR Swap PVs'!AP19</f>
        <v>-804707.56204628421</v>
      </c>
      <c r="L150" s="278">
        <f ca="1">'EUR Swap PVs'!AQ19</f>
        <v>-1072943.4160617124</v>
      </c>
      <c r="M150" s="279">
        <f ca="1">'EUR Swap PVs'!AR19</f>
        <v>-1341179.2700771403</v>
      </c>
    </row>
    <row r="151" spans="2:26">
      <c r="B151" s="282" t="s">
        <v>15</v>
      </c>
      <c r="C151" s="278">
        <f ca="1">'EUR Swap PVs'!AH20</f>
        <v>1471307.5991774681</v>
      </c>
      <c r="D151" s="278">
        <f ca="1">'EUR Swap PVs'!AI20</f>
        <v>1177046.0793419746</v>
      </c>
      <c r="E151" s="278">
        <f ca="1">'EUR Swap PVs'!AJ20</f>
        <v>882784.55950648093</v>
      </c>
      <c r="F151" s="278">
        <f ca="1">'EUR Swap PVs'!AK20</f>
        <v>588523.0396709874</v>
      </c>
      <c r="G151" s="278">
        <f ca="1">'EUR Swap PVs'!AL20</f>
        <v>294261.51983549382</v>
      </c>
      <c r="H151" s="278">
        <f ca="1">'EUR Swap PVs'!AM20</f>
        <v>3.3306690738754696E-10</v>
      </c>
      <c r="I151" s="278">
        <f ca="1">'EUR Swap PVs'!AN20</f>
        <v>-294261.51983549318</v>
      </c>
      <c r="J151" s="278">
        <f ca="1">'EUR Swap PVs'!AO20</f>
        <v>-588523.03967098659</v>
      </c>
      <c r="K151" s="278">
        <f ca="1">'EUR Swap PVs'!AP20</f>
        <v>-882784.55950648023</v>
      </c>
      <c r="L151" s="278">
        <f ca="1">'EUR Swap PVs'!AQ20</f>
        <v>-1177046.0793419736</v>
      </c>
      <c r="M151" s="279">
        <f ca="1">'EUR Swap PVs'!AR20</f>
        <v>-1471307.5991774676</v>
      </c>
    </row>
    <row r="152" spans="2:26">
      <c r="B152" s="282" t="s">
        <v>368</v>
      </c>
      <c r="C152" s="278">
        <f ca="1">'EUR Swap PVs'!AH21</f>
        <v>1589983.8927858982</v>
      </c>
      <c r="D152" s="278">
        <f ca="1">'EUR Swap PVs'!AI21</f>
        <v>1271987.1142287184</v>
      </c>
      <c r="E152" s="278">
        <f ca="1">'EUR Swap PVs'!AJ21</f>
        <v>953990.33567153895</v>
      </c>
      <c r="F152" s="278">
        <f ca="1">'EUR Swap PVs'!AK21</f>
        <v>635993.55711435934</v>
      </c>
      <c r="G152" s="278">
        <f ca="1">'EUR Swap PVs'!AL21</f>
        <v>317996.77855717984</v>
      </c>
      <c r="H152" s="278">
        <f ca="1">'EUR Swap PVs'!AM21</f>
        <v>4.4408920985006262E-10</v>
      </c>
      <c r="I152" s="278">
        <f ca="1">'EUR Swap PVs'!AN21</f>
        <v>-317996.77855717903</v>
      </c>
      <c r="J152" s="278">
        <f ca="1">'EUR Swap PVs'!AO21</f>
        <v>-635993.55711435853</v>
      </c>
      <c r="K152" s="278">
        <f ca="1">'EUR Swap PVs'!AP21</f>
        <v>-953990.33567153791</v>
      </c>
      <c r="L152" s="278">
        <f ca="1">'EUR Swap PVs'!AQ21</f>
        <v>-1271987.1142287177</v>
      </c>
      <c r="M152" s="279">
        <f ca="1">'EUR Swap PVs'!AR21</f>
        <v>-1589983.892785897</v>
      </c>
    </row>
    <row r="153" spans="2:26">
      <c r="B153" s="283" t="s">
        <v>14</v>
      </c>
      <c r="C153" s="280">
        <f ca="1">'EUR Swap PVs'!AH22</f>
        <v>1698516.6839658318</v>
      </c>
      <c r="D153" s="280">
        <f ca="1">'EUR Swap PVs'!AI22</f>
        <v>1358813.3471726654</v>
      </c>
      <c r="E153" s="280">
        <f ca="1">'EUR Swap PVs'!AJ22</f>
        <v>1019110.0103794989</v>
      </c>
      <c r="F153" s="280">
        <f ca="1">'EUR Swap PVs'!AK22</f>
        <v>679406.67358633282</v>
      </c>
      <c r="G153" s="280">
        <f ca="1">'EUR Swap PVs'!AL22</f>
        <v>339703.33679316653</v>
      </c>
      <c r="H153" s="280">
        <f ca="1">'EUR Swap PVs'!AM22</f>
        <v>3.3306690738754696E-10</v>
      </c>
      <c r="I153" s="280">
        <f ca="1">'EUR Swap PVs'!AN22</f>
        <v>-339703.336793166</v>
      </c>
      <c r="J153" s="280">
        <f ca="1">'EUR Swap PVs'!AO22</f>
        <v>-679406.67358633224</v>
      </c>
      <c r="K153" s="280">
        <f ca="1">'EUR Swap PVs'!AP22</f>
        <v>-1019110.0103794984</v>
      </c>
      <c r="L153" s="280">
        <f ca="1">'EUR Swap PVs'!AQ22</f>
        <v>-1358813.3471726647</v>
      </c>
      <c r="M153" s="281">
        <f ca="1">'EUR Swap PVs'!AR22</f>
        <v>-1698516.6839658308</v>
      </c>
    </row>
    <row r="155" spans="2:26">
      <c r="B155" s="258" t="s">
        <v>472</v>
      </c>
      <c r="O155" s="258" t="s">
        <v>472</v>
      </c>
    </row>
    <row r="156" spans="2:26">
      <c r="B156" s="254" t="s">
        <v>468</v>
      </c>
      <c r="C156" s="276">
        <v>-0.05</v>
      </c>
      <c r="D156" s="276">
        <v>-0.04</v>
      </c>
      <c r="E156" s="276">
        <v>-0.03</v>
      </c>
      <c r="F156" s="276">
        <v>-1.9999999999999997E-2</v>
      </c>
      <c r="G156" s="276">
        <v>-9.9999999999999967E-3</v>
      </c>
      <c r="H156" s="276">
        <v>0</v>
      </c>
      <c r="I156" s="276">
        <v>0.01</v>
      </c>
      <c r="J156" s="276">
        <v>0.02</v>
      </c>
      <c r="K156" s="276">
        <v>0.03</v>
      </c>
      <c r="L156" s="276">
        <v>0.04</v>
      </c>
      <c r="M156" s="277">
        <v>0.05</v>
      </c>
      <c r="O156" s="254" t="s">
        <v>468</v>
      </c>
      <c r="P156" s="276">
        <v>-0.05</v>
      </c>
      <c r="Q156" s="276">
        <v>-0.04</v>
      </c>
      <c r="R156" s="276">
        <v>-0.03</v>
      </c>
      <c r="S156" s="276">
        <v>-1.9999999999999997E-2</v>
      </c>
      <c r="T156" s="276">
        <v>-9.9999999999999967E-3</v>
      </c>
      <c r="U156" s="276">
        <v>0</v>
      </c>
      <c r="V156" s="276">
        <v>0.01</v>
      </c>
      <c r="W156" s="276">
        <v>0.02</v>
      </c>
      <c r="X156" s="276">
        <v>0.03</v>
      </c>
      <c r="Y156" s="276">
        <v>0.04</v>
      </c>
      <c r="Z156" s="277">
        <v>0.05</v>
      </c>
    </row>
    <row r="157" spans="2:26">
      <c r="B157" s="282" t="s">
        <v>42</v>
      </c>
      <c r="C157" s="278">
        <f ca="1">IF(C135&gt;D135,0,1)</f>
        <v>0</v>
      </c>
      <c r="D157" s="278">
        <f t="shared" ref="D157:L157" ca="1" si="68">IF(D135&gt;E135,0,1)</f>
        <v>0</v>
      </c>
      <c r="E157" s="278">
        <f t="shared" ca="1" si="68"/>
        <v>0</v>
      </c>
      <c r="F157" s="278">
        <f t="shared" ca="1" si="68"/>
        <v>0</v>
      </c>
      <c r="G157" s="278">
        <f t="shared" ca="1" si="68"/>
        <v>0</v>
      </c>
      <c r="H157" s="278">
        <f t="shared" ca="1" si="68"/>
        <v>0</v>
      </c>
      <c r="I157" s="278">
        <f t="shared" ca="1" si="68"/>
        <v>0</v>
      </c>
      <c r="J157" s="278">
        <f t="shared" ca="1" si="68"/>
        <v>0</v>
      </c>
      <c r="K157" s="278">
        <f t="shared" ca="1" si="68"/>
        <v>0</v>
      </c>
      <c r="L157" s="278">
        <f t="shared" ca="1" si="68"/>
        <v>0</v>
      </c>
      <c r="M157" s="285" t="s">
        <v>6</v>
      </c>
      <c r="O157" s="282" t="s">
        <v>42</v>
      </c>
      <c r="P157" s="289">
        <f ca="1">IF(ABS(C136)&gt;ABS(C135),0,1)</f>
        <v>0</v>
      </c>
      <c r="Q157" s="289">
        <f t="shared" ref="Q157:Q174" ca="1" si="69">IF(ABS(D136)&gt;ABS(D135),0,1)</f>
        <v>0</v>
      </c>
      <c r="R157" s="289">
        <f t="shared" ref="R157:R174" ca="1" si="70">IF(ABS(E136)&gt;ABS(E135),0,1)</f>
        <v>0</v>
      </c>
      <c r="S157" s="289">
        <f t="shared" ref="S157:S174" ca="1" si="71">IF(ABS(F136)&gt;ABS(F135),0,1)</f>
        <v>0</v>
      </c>
      <c r="T157" s="289">
        <f t="shared" ref="T157:T174" ca="1" si="72">IF(ABS(G136)&gt;ABS(G135),0,1)</f>
        <v>0</v>
      </c>
      <c r="U157" s="295" t="s">
        <v>6</v>
      </c>
      <c r="V157" s="289">
        <f t="shared" ref="V157:V174" ca="1" si="73">IF(ABS(I136)&gt;ABS(I135),0,1)</f>
        <v>0</v>
      </c>
      <c r="W157" s="289">
        <f t="shared" ref="W157:W174" ca="1" si="74">IF(ABS(J136)&gt;ABS(J135),0,1)</f>
        <v>0</v>
      </c>
      <c r="X157" s="289">
        <f t="shared" ref="X157:X174" ca="1" si="75">IF(ABS(K136)&gt;ABS(K135),0,1)</f>
        <v>0</v>
      </c>
      <c r="Y157" s="289">
        <f t="shared" ref="Y157:Y174" ca="1" si="76">IF(ABS(L136)&gt;ABS(L135),0,1)</f>
        <v>0</v>
      </c>
      <c r="Z157" s="291">
        <f t="shared" ref="Z157:Z174" ca="1" si="77">IF(ABS(M136)&gt;ABS(M135),0,1)</f>
        <v>0</v>
      </c>
    </row>
    <row r="158" spans="2:26">
      <c r="B158" s="282" t="s">
        <v>39</v>
      </c>
      <c r="C158" s="278">
        <f t="shared" ref="C158:L158" ca="1" si="78">IF(C136&gt;D136,0,1)</f>
        <v>0</v>
      </c>
      <c r="D158" s="278">
        <f t="shared" ca="1" si="78"/>
        <v>0</v>
      </c>
      <c r="E158" s="278">
        <f t="shared" ca="1" si="78"/>
        <v>0</v>
      </c>
      <c r="F158" s="278">
        <f t="shared" ca="1" si="78"/>
        <v>0</v>
      </c>
      <c r="G158" s="278">
        <f t="shared" ca="1" si="78"/>
        <v>0</v>
      </c>
      <c r="H158" s="278">
        <f t="shared" ca="1" si="78"/>
        <v>0</v>
      </c>
      <c r="I158" s="278">
        <f t="shared" ca="1" si="78"/>
        <v>0</v>
      </c>
      <c r="J158" s="278">
        <f t="shared" ca="1" si="78"/>
        <v>0</v>
      </c>
      <c r="K158" s="278">
        <f t="shared" ca="1" si="78"/>
        <v>0</v>
      </c>
      <c r="L158" s="278">
        <f t="shared" ca="1" si="78"/>
        <v>0</v>
      </c>
      <c r="M158" s="279" t="s">
        <v>6</v>
      </c>
      <c r="O158" s="282" t="s">
        <v>39</v>
      </c>
      <c r="P158" s="289">
        <f t="shared" ref="P158:P174" ca="1" si="79">IF(ABS(C137)&gt;ABS(C136),0,1)</f>
        <v>0</v>
      </c>
      <c r="Q158" s="289">
        <f t="shared" ca="1" si="69"/>
        <v>0</v>
      </c>
      <c r="R158" s="289">
        <f t="shared" ca="1" si="70"/>
        <v>0</v>
      </c>
      <c r="S158" s="289">
        <f t="shared" ca="1" si="71"/>
        <v>0</v>
      </c>
      <c r="T158" s="289">
        <f t="shared" ca="1" si="72"/>
        <v>0</v>
      </c>
      <c r="U158" s="295" t="s">
        <v>6</v>
      </c>
      <c r="V158" s="289">
        <f t="shared" ca="1" si="73"/>
        <v>0</v>
      </c>
      <c r="W158" s="289">
        <f t="shared" ca="1" si="74"/>
        <v>0</v>
      </c>
      <c r="X158" s="289">
        <f t="shared" ca="1" si="75"/>
        <v>0</v>
      </c>
      <c r="Y158" s="289">
        <f t="shared" ca="1" si="76"/>
        <v>0</v>
      </c>
      <c r="Z158" s="292">
        <f t="shared" ca="1" si="77"/>
        <v>0</v>
      </c>
    </row>
    <row r="159" spans="2:26">
      <c r="B159" s="282" t="s">
        <v>35</v>
      </c>
      <c r="C159" s="278">
        <f t="shared" ref="C159:L159" ca="1" si="80">IF(C137&gt;D137,0,1)</f>
        <v>0</v>
      </c>
      <c r="D159" s="278">
        <f t="shared" ca="1" si="80"/>
        <v>0</v>
      </c>
      <c r="E159" s="278">
        <f t="shared" ca="1" si="80"/>
        <v>0</v>
      </c>
      <c r="F159" s="278">
        <f t="shared" ca="1" si="80"/>
        <v>0</v>
      </c>
      <c r="G159" s="278">
        <f t="shared" ca="1" si="80"/>
        <v>0</v>
      </c>
      <c r="H159" s="278">
        <f t="shared" ca="1" si="80"/>
        <v>0</v>
      </c>
      <c r="I159" s="278">
        <f t="shared" ca="1" si="80"/>
        <v>0</v>
      </c>
      <c r="J159" s="278">
        <f t="shared" ca="1" si="80"/>
        <v>0</v>
      </c>
      <c r="K159" s="278">
        <f t="shared" ca="1" si="80"/>
        <v>0</v>
      </c>
      <c r="L159" s="278">
        <f t="shared" ca="1" si="80"/>
        <v>0</v>
      </c>
      <c r="M159" s="279" t="s">
        <v>6</v>
      </c>
      <c r="O159" s="282" t="s">
        <v>35</v>
      </c>
      <c r="P159" s="289">
        <f t="shared" ca="1" si="79"/>
        <v>0</v>
      </c>
      <c r="Q159" s="289">
        <f t="shared" ca="1" si="69"/>
        <v>0</v>
      </c>
      <c r="R159" s="289">
        <f t="shared" ca="1" si="70"/>
        <v>0</v>
      </c>
      <c r="S159" s="289">
        <f t="shared" ca="1" si="71"/>
        <v>0</v>
      </c>
      <c r="T159" s="289">
        <f t="shared" ca="1" si="72"/>
        <v>0</v>
      </c>
      <c r="U159" s="295" t="s">
        <v>6</v>
      </c>
      <c r="V159" s="289">
        <f t="shared" ca="1" si="73"/>
        <v>0</v>
      </c>
      <c r="W159" s="289">
        <f t="shared" ca="1" si="74"/>
        <v>0</v>
      </c>
      <c r="X159" s="289">
        <f t="shared" ca="1" si="75"/>
        <v>0</v>
      </c>
      <c r="Y159" s="289">
        <f t="shared" ca="1" si="76"/>
        <v>0</v>
      </c>
      <c r="Z159" s="292">
        <f t="shared" ca="1" si="77"/>
        <v>0</v>
      </c>
    </row>
    <row r="160" spans="2:26">
      <c r="B160" s="282" t="s">
        <v>33</v>
      </c>
      <c r="C160" s="278">
        <f t="shared" ref="C160:L160" ca="1" si="81">IF(C138&gt;D138,0,1)</f>
        <v>0</v>
      </c>
      <c r="D160" s="278">
        <f t="shared" ca="1" si="81"/>
        <v>0</v>
      </c>
      <c r="E160" s="278">
        <f t="shared" ca="1" si="81"/>
        <v>0</v>
      </c>
      <c r="F160" s="278">
        <f t="shared" ca="1" si="81"/>
        <v>0</v>
      </c>
      <c r="G160" s="278">
        <f t="shared" ca="1" si="81"/>
        <v>0</v>
      </c>
      <c r="H160" s="278">
        <f t="shared" ca="1" si="81"/>
        <v>0</v>
      </c>
      <c r="I160" s="278">
        <f t="shared" ca="1" si="81"/>
        <v>0</v>
      </c>
      <c r="J160" s="278">
        <f t="shared" ca="1" si="81"/>
        <v>0</v>
      </c>
      <c r="K160" s="278">
        <f t="shared" ca="1" si="81"/>
        <v>0</v>
      </c>
      <c r="L160" s="278">
        <f t="shared" ca="1" si="81"/>
        <v>0</v>
      </c>
      <c r="M160" s="279" t="s">
        <v>6</v>
      </c>
      <c r="O160" s="282" t="s">
        <v>33</v>
      </c>
      <c r="P160" s="289">
        <f t="shared" ca="1" si="79"/>
        <v>0</v>
      </c>
      <c r="Q160" s="289">
        <f t="shared" ca="1" si="69"/>
        <v>0</v>
      </c>
      <c r="R160" s="289">
        <f t="shared" ca="1" si="70"/>
        <v>0</v>
      </c>
      <c r="S160" s="289">
        <f t="shared" ca="1" si="71"/>
        <v>0</v>
      </c>
      <c r="T160" s="289">
        <f t="shared" ca="1" si="72"/>
        <v>0</v>
      </c>
      <c r="U160" s="295" t="s">
        <v>6</v>
      </c>
      <c r="V160" s="289">
        <f t="shared" ca="1" si="73"/>
        <v>0</v>
      </c>
      <c r="W160" s="289">
        <f t="shared" ca="1" si="74"/>
        <v>0</v>
      </c>
      <c r="X160" s="289">
        <f t="shared" ca="1" si="75"/>
        <v>0</v>
      </c>
      <c r="Y160" s="289">
        <f t="shared" ca="1" si="76"/>
        <v>0</v>
      </c>
      <c r="Z160" s="292">
        <f t="shared" ca="1" si="77"/>
        <v>0</v>
      </c>
    </row>
    <row r="161" spans="2:26">
      <c r="B161" s="282" t="s">
        <v>131</v>
      </c>
      <c r="C161" s="278">
        <f t="shared" ref="C161:L161" ca="1" si="82">IF(C139&gt;D139,0,1)</f>
        <v>0</v>
      </c>
      <c r="D161" s="278">
        <f t="shared" ca="1" si="82"/>
        <v>0</v>
      </c>
      <c r="E161" s="278">
        <f t="shared" ca="1" si="82"/>
        <v>0</v>
      </c>
      <c r="F161" s="278">
        <f t="shared" ca="1" si="82"/>
        <v>0</v>
      </c>
      <c r="G161" s="278">
        <f t="shared" ca="1" si="82"/>
        <v>0</v>
      </c>
      <c r="H161" s="278">
        <f t="shared" ca="1" si="82"/>
        <v>0</v>
      </c>
      <c r="I161" s="278">
        <f t="shared" ca="1" si="82"/>
        <v>0</v>
      </c>
      <c r="J161" s="278">
        <f t="shared" ca="1" si="82"/>
        <v>0</v>
      </c>
      <c r="K161" s="278">
        <f t="shared" ca="1" si="82"/>
        <v>0</v>
      </c>
      <c r="L161" s="278">
        <f t="shared" ca="1" si="82"/>
        <v>0</v>
      </c>
      <c r="M161" s="279" t="s">
        <v>6</v>
      </c>
      <c r="O161" s="282" t="s">
        <v>131</v>
      </c>
      <c r="P161" s="289">
        <f t="shared" ca="1" si="79"/>
        <v>0</v>
      </c>
      <c r="Q161" s="289">
        <f t="shared" ca="1" si="69"/>
        <v>0</v>
      </c>
      <c r="R161" s="289">
        <f t="shared" ca="1" si="70"/>
        <v>0</v>
      </c>
      <c r="S161" s="289">
        <f t="shared" ca="1" si="71"/>
        <v>0</v>
      </c>
      <c r="T161" s="289">
        <f t="shared" ca="1" si="72"/>
        <v>0</v>
      </c>
      <c r="U161" s="295" t="s">
        <v>6</v>
      </c>
      <c r="V161" s="289">
        <f t="shared" ca="1" si="73"/>
        <v>0</v>
      </c>
      <c r="W161" s="289">
        <f t="shared" ca="1" si="74"/>
        <v>0</v>
      </c>
      <c r="X161" s="289">
        <f t="shared" ca="1" si="75"/>
        <v>0</v>
      </c>
      <c r="Y161" s="289">
        <f t="shared" ca="1" si="76"/>
        <v>0</v>
      </c>
      <c r="Z161" s="292">
        <f t="shared" ca="1" si="77"/>
        <v>0</v>
      </c>
    </row>
    <row r="162" spans="2:26">
      <c r="B162" s="282" t="s">
        <v>31</v>
      </c>
      <c r="C162" s="278">
        <f t="shared" ref="C162:L162" ca="1" si="83">IF(C140&gt;D140,0,1)</f>
        <v>0</v>
      </c>
      <c r="D162" s="278">
        <f t="shared" ca="1" si="83"/>
        <v>0</v>
      </c>
      <c r="E162" s="278">
        <f t="shared" ca="1" si="83"/>
        <v>0</v>
      </c>
      <c r="F162" s="278">
        <f t="shared" ca="1" si="83"/>
        <v>0</v>
      </c>
      <c r="G162" s="278">
        <f t="shared" ca="1" si="83"/>
        <v>0</v>
      </c>
      <c r="H162" s="278">
        <f t="shared" ca="1" si="83"/>
        <v>0</v>
      </c>
      <c r="I162" s="278">
        <f t="shared" ca="1" si="83"/>
        <v>0</v>
      </c>
      <c r="J162" s="278">
        <f t="shared" ca="1" si="83"/>
        <v>0</v>
      </c>
      <c r="K162" s="278">
        <f t="shared" ca="1" si="83"/>
        <v>0</v>
      </c>
      <c r="L162" s="278">
        <f t="shared" ca="1" si="83"/>
        <v>0</v>
      </c>
      <c r="M162" s="279" t="s">
        <v>6</v>
      </c>
      <c r="O162" s="282" t="s">
        <v>31</v>
      </c>
      <c r="P162" s="289">
        <f t="shared" ca="1" si="79"/>
        <v>0</v>
      </c>
      <c r="Q162" s="289">
        <f t="shared" ca="1" si="69"/>
        <v>0</v>
      </c>
      <c r="R162" s="289">
        <f t="shared" ca="1" si="70"/>
        <v>0</v>
      </c>
      <c r="S162" s="289">
        <f t="shared" ca="1" si="71"/>
        <v>0</v>
      </c>
      <c r="T162" s="289">
        <f t="shared" ca="1" si="72"/>
        <v>0</v>
      </c>
      <c r="U162" s="295" t="s">
        <v>6</v>
      </c>
      <c r="V162" s="289">
        <f t="shared" ca="1" si="73"/>
        <v>0</v>
      </c>
      <c r="W162" s="289">
        <f t="shared" ca="1" si="74"/>
        <v>0</v>
      </c>
      <c r="X162" s="289">
        <f t="shared" ca="1" si="75"/>
        <v>0</v>
      </c>
      <c r="Y162" s="289">
        <f t="shared" ca="1" si="76"/>
        <v>0</v>
      </c>
      <c r="Z162" s="292">
        <f t="shared" ca="1" si="77"/>
        <v>0</v>
      </c>
    </row>
    <row r="163" spans="2:26">
      <c r="B163" s="282" t="s">
        <v>119</v>
      </c>
      <c r="C163" s="278">
        <f t="shared" ref="C163:L163" ca="1" si="84">IF(C141&gt;D141,0,1)</f>
        <v>0</v>
      </c>
      <c r="D163" s="278">
        <f t="shared" ca="1" si="84"/>
        <v>0</v>
      </c>
      <c r="E163" s="278">
        <f t="shared" ca="1" si="84"/>
        <v>0</v>
      </c>
      <c r="F163" s="278">
        <f t="shared" ca="1" si="84"/>
        <v>0</v>
      </c>
      <c r="G163" s="278">
        <f t="shared" ca="1" si="84"/>
        <v>0</v>
      </c>
      <c r="H163" s="278">
        <f t="shared" ca="1" si="84"/>
        <v>0</v>
      </c>
      <c r="I163" s="278">
        <f t="shared" ca="1" si="84"/>
        <v>0</v>
      </c>
      <c r="J163" s="278">
        <f t="shared" ca="1" si="84"/>
        <v>0</v>
      </c>
      <c r="K163" s="278">
        <f t="shared" ca="1" si="84"/>
        <v>0</v>
      </c>
      <c r="L163" s="278">
        <f t="shared" ca="1" si="84"/>
        <v>0</v>
      </c>
      <c r="M163" s="279" t="s">
        <v>6</v>
      </c>
      <c r="O163" s="282" t="s">
        <v>119</v>
      </c>
      <c r="P163" s="289">
        <f t="shared" ca="1" si="79"/>
        <v>0</v>
      </c>
      <c r="Q163" s="289">
        <f t="shared" ca="1" si="69"/>
        <v>0</v>
      </c>
      <c r="R163" s="289">
        <f t="shared" ca="1" si="70"/>
        <v>0</v>
      </c>
      <c r="S163" s="289">
        <f t="shared" ca="1" si="71"/>
        <v>0</v>
      </c>
      <c r="T163" s="289">
        <f t="shared" ca="1" si="72"/>
        <v>0</v>
      </c>
      <c r="U163" s="295" t="s">
        <v>6</v>
      </c>
      <c r="V163" s="289">
        <f t="shared" ca="1" si="73"/>
        <v>0</v>
      </c>
      <c r="W163" s="289">
        <f t="shared" ca="1" si="74"/>
        <v>0</v>
      </c>
      <c r="X163" s="289">
        <f t="shared" ca="1" si="75"/>
        <v>0</v>
      </c>
      <c r="Y163" s="289">
        <f t="shared" ca="1" si="76"/>
        <v>0</v>
      </c>
      <c r="Z163" s="292">
        <f t="shared" ca="1" si="77"/>
        <v>0</v>
      </c>
    </row>
    <row r="164" spans="2:26">
      <c r="B164" s="282" t="s">
        <v>113</v>
      </c>
      <c r="C164" s="278">
        <f t="shared" ref="C164:L164" ca="1" si="85">IF(C142&gt;D142,0,1)</f>
        <v>0</v>
      </c>
      <c r="D164" s="278">
        <f t="shared" ca="1" si="85"/>
        <v>0</v>
      </c>
      <c r="E164" s="278">
        <f t="shared" ca="1" si="85"/>
        <v>0</v>
      </c>
      <c r="F164" s="278">
        <f t="shared" ca="1" si="85"/>
        <v>0</v>
      </c>
      <c r="G164" s="278">
        <f t="shared" ca="1" si="85"/>
        <v>0</v>
      </c>
      <c r="H164" s="278">
        <f t="shared" ca="1" si="85"/>
        <v>0</v>
      </c>
      <c r="I164" s="278">
        <f t="shared" ca="1" si="85"/>
        <v>0</v>
      </c>
      <c r="J164" s="278">
        <f t="shared" ca="1" si="85"/>
        <v>0</v>
      </c>
      <c r="K164" s="278">
        <f t="shared" ca="1" si="85"/>
        <v>0</v>
      </c>
      <c r="L164" s="278">
        <f t="shared" ca="1" si="85"/>
        <v>0</v>
      </c>
      <c r="M164" s="279" t="s">
        <v>6</v>
      </c>
      <c r="O164" s="282" t="s">
        <v>113</v>
      </c>
      <c r="P164" s="289">
        <f t="shared" ca="1" si="79"/>
        <v>0</v>
      </c>
      <c r="Q164" s="289">
        <f t="shared" ca="1" si="69"/>
        <v>0</v>
      </c>
      <c r="R164" s="289">
        <f t="shared" ca="1" si="70"/>
        <v>0</v>
      </c>
      <c r="S164" s="289">
        <f t="shared" ca="1" si="71"/>
        <v>0</v>
      </c>
      <c r="T164" s="289">
        <f t="shared" ca="1" si="72"/>
        <v>0</v>
      </c>
      <c r="U164" s="295" t="s">
        <v>6</v>
      </c>
      <c r="V164" s="289">
        <f t="shared" ca="1" si="73"/>
        <v>0</v>
      </c>
      <c r="W164" s="289">
        <f t="shared" ca="1" si="74"/>
        <v>0</v>
      </c>
      <c r="X164" s="289">
        <f t="shared" ca="1" si="75"/>
        <v>0</v>
      </c>
      <c r="Y164" s="289">
        <f t="shared" ca="1" si="76"/>
        <v>0</v>
      </c>
      <c r="Z164" s="292">
        <f t="shared" ca="1" si="77"/>
        <v>0</v>
      </c>
    </row>
    <row r="165" spans="2:26">
      <c r="B165" s="282" t="s">
        <v>28</v>
      </c>
      <c r="C165" s="278">
        <f t="shared" ref="C165:L165" ca="1" si="86">IF(C143&gt;D143,0,1)</f>
        <v>0</v>
      </c>
      <c r="D165" s="278">
        <f t="shared" ca="1" si="86"/>
        <v>0</v>
      </c>
      <c r="E165" s="278">
        <f t="shared" ca="1" si="86"/>
        <v>0</v>
      </c>
      <c r="F165" s="278">
        <f t="shared" ca="1" si="86"/>
        <v>0</v>
      </c>
      <c r="G165" s="278">
        <f t="shared" ca="1" si="86"/>
        <v>0</v>
      </c>
      <c r="H165" s="278">
        <f t="shared" ca="1" si="86"/>
        <v>0</v>
      </c>
      <c r="I165" s="278">
        <f t="shared" ca="1" si="86"/>
        <v>0</v>
      </c>
      <c r="J165" s="278">
        <f t="shared" ca="1" si="86"/>
        <v>0</v>
      </c>
      <c r="K165" s="278">
        <f t="shared" ca="1" si="86"/>
        <v>0</v>
      </c>
      <c r="L165" s="278">
        <f t="shared" ca="1" si="86"/>
        <v>0</v>
      </c>
      <c r="M165" s="279" t="s">
        <v>6</v>
      </c>
      <c r="O165" s="282" t="s">
        <v>28</v>
      </c>
      <c r="P165" s="289">
        <f t="shared" ca="1" si="79"/>
        <v>0</v>
      </c>
      <c r="Q165" s="289">
        <f t="shared" ca="1" si="69"/>
        <v>0</v>
      </c>
      <c r="R165" s="289">
        <f t="shared" ca="1" si="70"/>
        <v>0</v>
      </c>
      <c r="S165" s="289">
        <f t="shared" ca="1" si="71"/>
        <v>0</v>
      </c>
      <c r="T165" s="289">
        <f t="shared" ca="1" si="72"/>
        <v>0</v>
      </c>
      <c r="U165" s="295" t="s">
        <v>6</v>
      </c>
      <c r="V165" s="289">
        <f t="shared" ca="1" si="73"/>
        <v>0</v>
      </c>
      <c r="W165" s="289">
        <f t="shared" ca="1" si="74"/>
        <v>0</v>
      </c>
      <c r="X165" s="289">
        <f t="shared" ca="1" si="75"/>
        <v>0</v>
      </c>
      <c r="Y165" s="289">
        <f t="shared" ca="1" si="76"/>
        <v>0</v>
      </c>
      <c r="Z165" s="292">
        <f t="shared" ca="1" si="77"/>
        <v>0</v>
      </c>
    </row>
    <row r="166" spans="2:26">
      <c r="B166" s="282" t="s">
        <v>366</v>
      </c>
      <c r="C166" s="278">
        <f t="shared" ref="C166:L166" ca="1" si="87">IF(C144&gt;D144,0,1)</f>
        <v>0</v>
      </c>
      <c r="D166" s="278">
        <f t="shared" ca="1" si="87"/>
        <v>0</v>
      </c>
      <c r="E166" s="278">
        <f t="shared" ca="1" si="87"/>
        <v>0</v>
      </c>
      <c r="F166" s="278">
        <f t="shared" ca="1" si="87"/>
        <v>0</v>
      </c>
      <c r="G166" s="278">
        <f t="shared" ca="1" si="87"/>
        <v>0</v>
      </c>
      <c r="H166" s="278">
        <f t="shared" ca="1" si="87"/>
        <v>0</v>
      </c>
      <c r="I166" s="278">
        <f t="shared" ca="1" si="87"/>
        <v>0</v>
      </c>
      <c r="J166" s="278">
        <f t="shared" ca="1" si="87"/>
        <v>0</v>
      </c>
      <c r="K166" s="278">
        <f t="shared" ca="1" si="87"/>
        <v>0</v>
      </c>
      <c r="L166" s="278">
        <f t="shared" ca="1" si="87"/>
        <v>0</v>
      </c>
      <c r="M166" s="279" t="s">
        <v>6</v>
      </c>
      <c r="O166" s="282" t="s">
        <v>366</v>
      </c>
      <c r="P166" s="289">
        <f t="shared" ca="1" si="79"/>
        <v>0</v>
      </c>
      <c r="Q166" s="289">
        <f t="shared" ca="1" si="69"/>
        <v>0</v>
      </c>
      <c r="R166" s="289">
        <f t="shared" ca="1" si="70"/>
        <v>0</v>
      </c>
      <c r="S166" s="289">
        <f t="shared" ca="1" si="71"/>
        <v>0</v>
      </c>
      <c r="T166" s="289">
        <f t="shared" ca="1" si="72"/>
        <v>0</v>
      </c>
      <c r="U166" s="295" t="s">
        <v>6</v>
      </c>
      <c r="V166" s="289">
        <f t="shared" ca="1" si="73"/>
        <v>0</v>
      </c>
      <c r="W166" s="289">
        <f t="shared" ca="1" si="74"/>
        <v>0</v>
      </c>
      <c r="X166" s="289">
        <f t="shared" ca="1" si="75"/>
        <v>0</v>
      </c>
      <c r="Y166" s="289">
        <f t="shared" ca="1" si="76"/>
        <v>0</v>
      </c>
      <c r="Z166" s="292">
        <f t="shared" ca="1" si="77"/>
        <v>0</v>
      </c>
    </row>
    <row r="167" spans="2:26">
      <c r="B167" s="282" t="s">
        <v>26</v>
      </c>
      <c r="C167" s="278">
        <f t="shared" ref="C167:L167" ca="1" si="88">IF(C145&gt;D145,0,1)</f>
        <v>0</v>
      </c>
      <c r="D167" s="278">
        <f t="shared" ca="1" si="88"/>
        <v>0</v>
      </c>
      <c r="E167" s="278">
        <f t="shared" ca="1" si="88"/>
        <v>0</v>
      </c>
      <c r="F167" s="278">
        <f t="shared" ca="1" si="88"/>
        <v>0</v>
      </c>
      <c r="G167" s="278">
        <f t="shared" ca="1" si="88"/>
        <v>0</v>
      </c>
      <c r="H167" s="278">
        <f t="shared" ca="1" si="88"/>
        <v>0</v>
      </c>
      <c r="I167" s="278">
        <f t="shared" ca="1" si="88"/>
        <v>0</v>
      </c>
      <c r="J167" s="278">
        <f t="shared" ca="1" si="88"/>
        <v>0</v>
      </c>
      <c r="K167" s="278">
        <f t="shared" ca="1" si="88"/>
        <v>0</v>
      </c>
      <c r="L167" s="278">
        <f t="shared" ca="1" si="88"/>
        <v>0</v>
      </c>
      <c r="M167" s="279" t="s">
        <v>6</v>
      </c>
      <c r="O167" s="282" t="s">
        <v>26</v>
      </c>
      <c r="P167" s="289">
        <f t="shared" ca="1" si="79"/>
        <v>0</v>
      </c>
      <c r="Q167" s="289">
        <f t="shared" ca="1" si="69"/>
        <v>0</v>
      </c>
      <c r="R167" s="289">
        <f t="shared" ca="1" si="70"/>
        <v>0</v>
      </c>
      <c r="S167" s="289">
        <f t="shared" ca="1" si="71"/>
        <v>0</v>
      </c>
      <c r="T167" s="289">
        <f t="shared" ca="1" si="72"/>
        <v>0</v>
      </c>
      <c r="U167" s="295" t="s">
        <v>6</v>
      </c>
      <c r="V167" s="289">
        <f t="shared" ca="1" si="73"/>
        <v>0</v>
      </c>
      <c r="W167" s="289">
        <f t="shared" ca="1" si="74"/>
        <v>0</v>
      </c>
      <c r="X167" s="289">
        <f t="shared" ca="1" si="75"/>
        <v>0</v>
      </c>
      <c r="Y167" s="289">
        <f t="shared" ca="1" si="76"/>
        <v>0</v>
      </c>
      <c r="Z167" s="292">
        <f t="shared" ca="1" si="77"/>
        <v>0</v>
      </c>
    </row>
    <row r="168" spans="2:26">
      <c r="B168" s="282" t="s">
        <v>24</v>
      </c>
      <c r="C168" s="278">
        <f t="shared" ref="C168:L168" ca="1" si="89">IF(C146&gt;D146,0,1)</f>
        <v>0</v>
      </c>
      <c r="D168" s="278">
        <f t="shared" ca="1" si="89"/>
        <v>0</v>
      </c>
      <c r="E168" s="278">
        <f t="shared" ca="1" si="89"/>
        <v>0</v>
      </c>
      <c r="F168" s="278">
        <f t="shared" ca="1" si="89"/>
        <v>0</v>
      </c>
      <c r="G168" s="278">
        <f t="shared" ca="1" si="89"/>
        <v>0</v>
      </c>
      <c r="H168" s="278">
        <f t="shared" ca="1" si="89"/>
        <v>0</v>
      </c>
      <c r="I168" s="278">
        <f t="shared" ca="1" si="89"/>
        <v>0</v>
      </c>
      <c r="J168" s="278">
        <f t="shared" ca="1" si="89"/>
        <v>0</v>
      </c>
      <c r="K168" s="278">
        <f t="shared" ca="1" si="89"/>
        <v>0</v>
      </c>
      <c r="L168" s="278">
        <f t="shared" ca="1" si="89"/>
        <v>0</v>
      </c>
      <c r="M168" s="279" t="s">
        <v>6</v>
      </c>
      <c r="O168" s="282" t="s">
        <v>24</v>
      </c>
      <c r="P168" s="289">
        <f t="shared" ca="1" si="79"/>
        <v>0</v>
      </c>
      <c r="Q168" s="289">
        <f t="shared" ca="1" si="69"/>
        <v>0</v>
      </c>
      <c r="R168" s="289">
        <f t="shared" ca="1" si="70"/>
        <v>0</v>
      </c>
      <c r="S168" s="289">
        <f t="shared" ca="1" si="71"/>
        <v>0</v>
      </c>
      <c r="T168" s="289">
        <f t="shared" ca="1" si="72"/>
        <v>0</v>
      </c>
      <c r="U168" s="295" t="s">
        <v>6</v>
      </c>
      <c r="V168" s="289">
        <f t="shared" ca="1" si="73"/>
        <v>0</v>
      </c>
      <c r="W168" s="289">
        <f t="shared" ca="1" si="74"/>
        <v>0</v>
      </c>
      <c r="X168" s="289">
        <f t="shared" ca="1" si="75"/>
        <v>0</v>
      </c>
      <c r="Y168" s="289">
        <f t="shared" ca="1" si="76"/>
        <v>0</v>
      </c>
      <c r="Z168" s="292">
        <f t="shared" ca="1" si="77"/>
        <v>0</v>
      </c>
    </row>
    <row r="169" spans="2:26">
      <c r="B169" s="282" t="s">
        <v>20</v>
      </c>
      <c r="C169" s="278">
        <f t="shared" ref="C169:L169" ca="1" si="90">IF(C147&gt;D147,0,1)</f>
        <v>0</v>
      </c>
      <c r="D169" s="278">
        <f t="shared" ca="1" si="90"/>
        <v>0</v>
      </c>
      <c r="E169" s="278">
        <f t="shared" ca="1" si="90"/>
        <v>0</v>
      </c>
      <c r="F169" s="278">
        <f t="shared" ca="1" si="90"/>
        <v>0</v>
      </c>
      <c r="G169" s="278">
        <f t="shared" ca="1" si="90"/>
        <v>0</v>
      </c>
      <c r="H169" s="278">
        <f t="shared" ca="1" si="90"/>
        <v>0</v>
      </c>
      <c r="I169" s="278">
        <f t="shared" ca="1" si="90"/>
        <v>0</v>
      </c>
      <c r="J169" s="278">
        <f t="shared" ca="1" si="90"/>
        <v>0</v>
      </c>
      <c r="K169" s="278">
        <f t="shared" ca="1" si="90"/>
        <v>0</v>
      </c>
      <c r="L169" s="278">
        <f t="shared" ca="1" si="90"/>
        <v>0</v>
      </c>
      <c r="M169" s="279" t="s">
        <v>6</v>
      </c>
      <c r="O169" s="282" t="s">
        <v>20</v>
      </c>
      <c r="P169" s="289">
        <f t="shared" ca="1" si="79"/>
        <v>0</v>
      </c>
      <c r="Q169" s="289">
        <f t="shared" ca="1" si="69"/>
        <v>0</v>
      </c>
      <c r="R169" s="289">
        <f t="shared" ca="1" si="70"/>
        <v>0</v>
      </c>
      <c r="S169" s="289">
        <f t="shared" ca="1" si="71"/>
        <v>0</v>
      </c>
      <c r="T169" s="289">
        <f t="shared" ca="1" si="72"/>
        <v>0</v>
      </c>
      <c r="U169" s="295" t="s">
        <v>6</v>
      </c>
      <c r="V169" s="289">
        <f t="shared" ca="1" si="73"/>
        <v>0</v>
      </c>
      <c r="W169" s="289">
        <f t="shared" ca="1" si="74"/>
        <v>0</v>
      </c>
      <c r="X169" s="289">
        <f t="shared" ca="1" si="75"/>
        <v>0</v>
      </c>
      <c r="Y169" s="289">
        <f t="shared" ca="1" si="76"/>
        <v>0</v>
      </c>
      <c r="Z169" s="292">
        <f t="shared" ca="1" si="77"/>
        <v>0</v>
      </c>
    </row>
    <row r="170" spans="2:26">
      <c r="B170" s="282" t="s">
        <v>18</v>
      </c>
      <c r="C170" s="278">
        <f t="shared" ref="C170:L170" ca="1" si="91">IF(C148&gt;D148,0,1)</f>
        <v>0</v>
      </c>
      <c r="D170" s="278">
        <f t="shared" ca="1" si="91"/>
        <v>0</v>
      </c>
      <c r="E170" s="278">
        <f t="shared" ca="1" si="91"/>
        <v>0</v>
      </c>
      <c r="F170" s="278">
        <f t="shared" ca="1" si="91"/>
        <v>0</v>
      </c>
      <c r="G170" s="278">
        <f t="shared" ca="1" si="91"/>
        <v>0</v>
      </c>
      <c r="H170" s="278">
        <f t="shared" ca="1" si="91"/>
        <v>0</v>
      </c>
      <c r="I170" s="278">
        <f t="shared" ca="1" si="91"/>
        <v>0</v>
      </c>
      <c r="J170" s="278">
        <f t="shared" ca="1" si="91"/>
        <v>0</v>
      </c>
      <c r="K170" s="278">
        <f t="shared" ca="1" si="91"/>
        <v>0</v>
      </c>
      <c r="L170" s="278">
        <f t="shared" ca="1" si="91"/>
        <v>0</v>
      </c>
      <c r="M170" s="279" t="s">
        <v>6</v>
      </c>
      <c r="O170" s="282" t="s">
        <v>18</v>
      </c>
      <c r="P170" s="289">
        <f t="shared" ca="1" si="79"/>
        <v>0</v>
      </c>
      <c r="Q170" s="289">
        <f t="shared" ca="1" si="69"/>
        <v>0</v>
      </c>
      <c r="R170" s="289">
        <f t="shared" ca="1" si="70"/>
        <v>0</v>
      </c>
      <c r="S170" s="289">
        <f t="shared" ca="1" si="71"/>
        <v>0</v>
      </c>
      <c r="T170" s="289">
        <f t="shared" ca="1" si="72"/>
        <v>0</v>
      </c>
      <c r="U170" s="295" t="s">
        <v>6</v>
      </c>
      <c r="V170" s="289">
        <f t="shared" ca="1" si="73"/>
        <v>0</v>
      </c>
      <c r="W170" s="289">
        <f t="shared" ca="1" si="74"/>
        <v>0</v>
      </c>
      <c r="X170" s="289">
        <f t="shared" ca="1" si="75"/>
        <v>0</v>
      </c>
      <c r="Y170" s="289">
        <f t="shared" ca="1" si="76"/>
        <v>0</v>
      </c>
      <c r="Z170" s="292">
        <f t="shared" ca="1" si="77"/>
        <v>0</v>
      </c>
    </row>
    <row r="171" spans="2:26">
      <c r="B171" s="282" t="s">
        <v>17</v>
      </c>
      <c r="C171" s="278">
        <f t="shared" ref="C171:L171" ca="1" si="92">IF(C149&gt;D149,0,1)</f>
        <v>0</v>
      </c>
      <c r="D171" s="278">
        <f t="shared" ca="1" si="92"/>
        <v>0</v>
      </c>
      <c r="E171" s="278">
        <f t="shared" ca="1" si="92"/>
        <v>0</v>
      </c>
      <c r="F171" s="278">
        <f t="shared" ca="1" si="92"/>
        <v>0</v>
      </c>
      <c r="G171" s="278">
        <f t="shared" ca="1" si="92"/>
        <v>0</v>
      </c>
      <c r="H171" s="278">
        <f t="shared" ca="1" si="92"/>
        <v>0</v>
      </c>
      <c r="I171" s="278">
        <f t="shared" ca="1" si="92"/>
        <v>0</v>
      </c>
      <c r="J171" s="278">
        <f t="shared" ca="1" si="92"/>
        <v>0</v>
      </c>
      <c r="K171" s="278">
        <f t="shared" ca="1" si="92"/>
        <v>0</v>
      </c>
      <c r="L171" s="278">
        <f t="shared" ca="1" si="92"/>
        <v>0</v>
      </c>
      <c r="M171" s="279" t="s">
        <v>6</v>
      </c>
      <c r="O171" s="282" t="s">
        <v>17</v>
      </c>
      <c r="P171" s="289">
        <f t="shared" ca="1" si="79"/>
        <v>0</v>
      </c>
      <c r="Q171" s="289">
        <f t="shared" ca="1" si="69"/>
        <v>0</v>
      </c>
      <c r="R171" s="289">
        <f t="shared" ca="1" si="70"/>
        <v>0</v>
      </c>
      <c r="S171" s="289">
        <f t="shared" ca="1" si="71"/>
        <v>0</v>
      </c>
      <c r="T171" s="289">
        <f t="shared" ca="1" si="72"/>
        <v>0</v>
      </c>
      <c r="U171" s="295" t="s">
        <v>6</v>
      </c>
      <c r="V171" s="289">
        <f t="shared" ca="1" si="73"/>
        <v>0</v>
      </c>
      <c r="W171" s="289">
        <f t="shared" ca="1" si="74"/>
        <v>0</v>
      </c>
      <c r="X171" s="289">
        <f t="shared" ca="1" si="75"/>
        <v>0</v>
      </c>
      <c r="Y171" s="289">
        <f t="shared" ca="1" si="76"/>
        <v>0</v>
      </c>
      <c r="Z171" s="292">
        <f t="shared" ca="1" si="77"/>
        <v>0</v>
      </c>
    </row>
    <row r="172" spans="2:26">
      <c r="B172" s="282" t="s">
        <v>16</v>
      </c>
      <c r="C172" s="278">
        <f t="shared" ref="C172:L172" ca="1" si="93">IF(C150&gt;D150,0,1)</f>
        <v>0</v>
      </c>
      <c r="D172" s="278">
        <f t="shared" ca="1" si="93"/>
        <v>0</v>
      </c>
      <c r="E172" s="278">
        <f t="shared" ca="1" si="93"/>
        <v>0</v>
      </c>
      <c r="F172" s="278">
        <f t="shared" ca="1" si="93"/>
        <v>0</v>
      </c>
      <c r="G172" s="278">
        <f t="shared" ca="1" si="93"/>
        <v>0</v>
      </c>
      <c r="H172" s="278">
        <f t="shared" ca="1" si="93"/>
        <v>0</v>
      </c>
      <c r="I172" s="278">
        <f t="shared" ca="1" si="93"/>
        <v>0</v>
      </c>
      <c r="J172" s="278">
        <f t="shared" ca="1" si="93"/>
        <v>0</v>
      </c>
      <c r="K172" s="278">
        <f t="shared" ca="1" si="93"/>
        <v>0</v>
      </c>
      <c r="L172" s="278">
        <f t="shared" ca="1" si="93"/>
        <v>0</v>
      </c>
      <c r="M172" s="279" t="s">
        <v>6</v>
      </c>
      <c r="O172" s="282" t="s">
        <v>16</v>
      </c>
      <c r="P172" s="289">
        <f t="shared" ca="1" si="79"/>
        <v>0</v>
      </c>
      <c r="Q172" s="289">
        <f t="shared" ca="1" si="69"/>
        <v>0</v>
      </c>
      <c r="R172" s="289">
        <f t="shared" ca="1" si="70"/>
        <v>0</v>
      </c>
      <c r="S172" s="289">
        <f t="shared" ca="1" si="71"/>
        <v>0</v>
      </c>
      <c r="T172" s="289">
        <f t="shared" ca="1" si="72"/>
        <v>0</v>
      </c>
      <c r="U172" s="295" t="s">
        <v>6</v>
      </c>
      <c r="V172" s="289">
        <f t="shared" ca="1" si="73"/>
        <v>0</v>
      </c>
      <c r="W172" s="289">
        <f t="shared" ca="1" si="74"/>
        <v>0</v>
      </c>
      <c r="X172" s="289">
        <f t="shared" ca="1" si="75"/>
        <v>0</v>
      </c>
      <c r="Y172" s="289">
        <f t="shared" ca="1" si="76"/>
        <v>0</v>
      </c>
      <c r="Z172" s="292">
        <f t="shared" ca="1" si="77"/>
        <v>0</v>
      </c>
    </row>
    <row r="173" spans="2:26">
      <c r="B173" s="282" t="s">
        <v>15</v>
      </c>
      <c r="C173" s="278">
        <f t="shared" ref="C173:L173" ca="1" si="94">IF(C151&gt;D151,0,1)</f>
        <v>0</v>
      </c>
      <c r="D173" s="278">
        <f t="shared" ca="1" si="94"/>
        <v>0</v>
      </c>
      <c r="E173" s="278">
        <f t="shared" ca="1" si="94"/>
        <v>0</v>
      </c>
      <c r="F173" s="278">
        <f t="shared" ca="1" si="94"/>
        <v>0</v>
      </c>
      <c r="G173" s="278">
        <f t="shared" ca="1" si="94"/>
        <v>0</v>
      </c>
      <c r="H173" s="278">
        <f t="shared" ca="1" si="94"/>
        <v>0</v>
      </c>
      <c r="I173" s="278">
        <f t="shared" ca="1" si="94"/>
        <v>0</v>
      </c>
      <c r="J173" s="278">
        <f t="shared" ca="1" si="94"/>
        <v>0</v>
      </c>
      <c r="K173" s="278">
        <f t="shared" ca="1" si="94"/>
        <v>0</v>
      </c>
      <c r="L173" s="278">
        <f t="shared" ca="1" si="94"/>
        <v>0</v>
      </c>
      <c r="M173" s="279" t="s">
        <v>6</v>
      </c>
      <c r="O173" s="282" t="s">
        <v>15</v>
      </c>
      <c r="P173" s="289">
        <f t="shared" ca="1" si="79"/>
        <v>0</v>
      </c>
      <c r="Q173" s="289">
        <f t="shared" ca="1" si="69"/>
        <v>0</v>
      </c>
      <c r="R173" s="289">
        <f t="shared" ca="1" si="70"/>
        <v>0</v>
      </c>
      <c r="S173" s="289">
        <f t="shared" ca="1" si="71"/>
        <v>0</v>
      </c>
      <c r="T173" s="289">
        <f t="shared" ca="1" si="72"/>
        <v>0</v>
      </c>
      <c r="U173" s="295" t="s">
        <v>6</v>
      </c>
      <c r="V173" s="289">
        <f t="shared" ca="1" si="73"/>
        <v>0</v>
      </c>
      <c r="W173" s="289">
        <f t="shared" ca="1" si="74"/>
        <v>0</v>
      </c>
      <c r="X173" s="289">
        <f t="shared" ca="1" si="75"/>
        <v>0</v>
      </c>
      <c r="Y173" s="289">
        <f t="shared" ca="1" si="76"/>
        <v>0</v>
      </c>
      <c r="Z173" s="292">
        <f t="shared" ca="1" si="77"/>
        <v>0</v>
      </c>
    </row>
    <row r="174" spans="2:26">
      <c r="B174" s="282" t="s">
        <v>368</v>
      </c>
      <c r="C174" s="278">
        <f t="shared" ref="C174:L174" ca="1" si="95">IF(C152&gt;D152,0,1)</f>
        <v>0</v>
      </c>
      <c r="D174" s="278">
        <f t="shared" ca="1" si="95"/>
        <v>0</v>
      </c>
      <c r="E174" s="278">
        <f t="shared" ca="1" si="95"/>
        <v>0</v>
      </c>
      <c r="F174" s="278">
        <f t="shared" ca="1" si="95"/>
        <v>0</v>
      </c>
      <c r="G174" s="278">
        <f t="shared" ca="1" si="95"/>
        <v>0</v>
      </c>
      <c r="H174" s="278">
        <f t="shared" ca="1" si="95"/>
        <v>0</v>
      </c>
      <c r="I174" s="278">
        <f t="shared" ca="1" si="95"/>
        <v>0</v>
      </c>
      <c r="J174" s="278">
        <f t="shared" ca="1" si="95"/>
        <v>0</v>
      </c>
      <c r="K174" s="278">
        <f t="shared" ca="1" si="95"/>
        <v>0</v>
      </c>
      <c r="L174" s="278">
        <f t="shared" ca="1" si="95"/>
        <v>0</v>
      </c>
      <c r="M174" s="279" t="s">
        <v>6</v>
      </c>
      <c r="O174" s="282" t="s">
        <v>368</v>
      </c>
      <c r="P174" s="289">
        <f t="shared" ca="1" si="79"/>
        <v>0</v>
      </c>
      <c r="Q174" s="289">
        <f t="shared" ca="1" si="69"/>
        <v>0</v>
      </c>
      <c r="R174" s="289">
        <f t="shared" ca="1" si="70"/>
        <v>0</v>
      </c>
      <c r="S174" s="289">
        <f t="shared" ca="1" si="71"/>
        <v>0</v>
      </c>
      <c r="T174" s="289">
        <f t="shared" ca="1" si="72"/>
        <v>0</v>
      </c>
      <c r="U174" s="295" t="s">
        <v>6</v>
      </c>
      <c r="V174" s="289">
        <f t="shared" ca="1" si="73"/>
        <v>0</v>
      </c>
      <c r="W174" s="289">
        <f t="shared" ca="1" si="74"/>
        <v>0</v>
      </c>
      <c r="X174" s="289">
        <f t="shared" ca="1" si="75"/>
        <v>0</v>
      </c>
      <c r="Y174" s="289">
        <f t="shared" ca="1" si="76"/>
        <v>0</v>
      </c>
      <c r="Z174" s="292">
        <f t="shared" ca="1" si="77"/>
        <v>0</v>
      </c>
    </row>
    <row r="175" spans="2:26">
      <c r="B175" s="283" t="s">
        <v>14</v>
      </c>
      <c r="C175" s="280">
        <f t="shared" ref="C175:L175" ca="1" si="96">IF(C153&gt;D153,0,1)</f>
        <v>0</v>
      </c>
      <c r="D175" s="280">
        <f t="shared" ca="1" si="96"/>
        <v>0</v>
      </c>
      <c r="E175" s="280">
        <f t="shared" ca="1" si="96"/>
        <v>0</v>
      </c>
      <c r="F175" s="280">
        <f t="shared" ca="1" si="96"/>
        <v>0</v>
      </c>
      <c r="G175" s="280">
        <f t="shared" ca="1" si="96"/>
        <v>0</v>
      </c>
      <c r="H175" s="280">
        <f t="shared" ca="1" si="96"/>
        <v>0</v>
      </c>
      <c r="I175" s="280">
        <f t="shared" ca="1" si="96"/>
        <v>0</v>
      </c>
      <c r="J175" s="280">
        <f t="shared" ca="1" si="96"/>
        <v>0</v>
      </c>
      <c r="K175" s="280">
        <f t="shared" ca="1" si="96"/>
        <v>0</v>
      </c>
      <c r="L175" s="280">
        <f t="shared" ca="1" si="96"/>
        <v>0</v>
      </c>
      <c r="M175" s="281" t="s">
        <v>6</v>
      </c>
      <c r="O175" s="283" t="s">
        <v>14</v>
      </c>
      <c r="P175" s="293" t="s">
        <v>6</v>
      </c>
      <c r="Q175" s="293" t="s">
        <v>6</v>
      </c>
      <c r="R175" s="293" t="s">
        <v>6</v>
      </c>
      <c r="S175" s="293" t="s">
        <v>6</v>
      </c>
      <c r="T175" s="293" t="s">
        <v>6</v>
      </c>
      <c r="U175" s="296" t="s">
        <v>6</v>
      </c>
      <c r="V175" s="293" t="s">
        <v>6</v>
      </c>
      <c r="W175" s="293" t="s">
        <v>6</v>
      </c>
      <c r="X175" s="293" t="s">
        <v>6</v>
      </c>
      <c r="Y175" s="293" t="s">
        <v>6</v>
      </c>
      <c r="Z175" s="294" t="s">
        <v>6</v>
      </c>
    </row>
    <row r="178" spans="1:13">
      <c r="A178" s="224" t="s">
        <v>481</v>
      </c>
      <c r="B178" s="290" t="s">
        <v>489</v>
      </c>
      <c r="C178" s="284"/>
      <c r="G178" s="290" t="s">
        <v>489</v>
      </c>
    </row>
    <row r="179" spans="1:13">
      <c r="B179" s="284" t="s">
        <v>491</v>
      </c>
      <c r="C179" s="284"/>
      <c r="G179" s="284" t="s">
        <v>492</v>
      </c>
      <c r="H179" s="284"/>
    </row>
    <row r="180" spans="1:13">
      <c r="B180" s="258" t="s">
        <v>474</v>
      </c>
      <c r="C180" s="286">
        <f ca="1">SUM(C206:L224)</f>
        <v>0</v>
      </c>
      <c r="G180" s="258" t="s">
        <v>474</v>
      </c>
      <c r="H180" s="286">
        <f ca="1">SUM(P206:Z224)</f>
        <v>0</v>
      </c>
    </row>
    <row r="182" spans="1:13">
      <c r="B182" s="258" t="s">
        <v>479</v>
      </c>
      <c r="C182" s="258"/>
    </row>
    <row r="183" spans="1:13">
      <c r="B183" s="254" t="s">
        <v>468</v>
      </c>
      <c r="C183" s="287">
        <v>500</v>
      </c>
      <c r="D183" s="287">
        <v>400</v>
      </c>
      <c r="E183" s="287">
        <v>300</v>
      </c>
      <c r="F183" s="287">
        <v>200</v>
      </c>
      <c r="G183" s="287">
        <v>100</v>
      </c>
      <c r="H183" s="287">
        <v>0</v>
      </c>
      <c r="I183" s="287">
        <v>-100</v>
      </c>
      <c r="J183" s="287">
        <v>-200</v>
      </c>
      <c r="K183" s="287">
        <v>-300</v>
      </c>
      <c r="L183" s="287">
        <v>-400</v>
      </c>
      <c r="M183" s="288">
        <v>-500</v>
      </c>
    </row>
    <row r="184" spans="1:13">
      <c r="B184" s="282" t="s">
        <v>42</v>
      </c>
      <c r="C184" s="278">
        <f ca="1">'EUR Swap PVs'!AH29</f>
        <v>101953.21509841587</v>
      </c>
      <c r="D184" s="278">
        <f ca="1">'EUR Swap PVs'!AI29</f>
        <v>81562.572078732686</v>
      </c>
      <c r="E184" s="278">
        <f ca="1">'EUR Swap PVs'!AJ29</f>
        <v>61171.929059049537</v>
      </c>
      <c r="F184" s="278">
        <f ca="1">'EUR Swap PVs'!AK29</f>
        <v>40781.28603936635</v>
      </c>
      <c r="G184" s="278">
        <f ca="1">'EUR Swap PVs'!AL29</f>
        <v>20390.643019683175</v>
      </c>
      <c r="H184" s="278">
        <f ca="1">'EUR Swap PVs'!AM29</f>
        <v>0</v>
      </c>
      <c r="I184" s="278">
        <f ca="1">'EUR Swap PVs'!AN29</f>
        <v>-20390.643019683175</v>
      </c>
      <c r="J184" s="278">
        <f ca="1">'EUR Swap PVs'!AO29</f>
        <v>-40781.28603936635</v>
      </c>
      <c r="K184" s="278">
        <f ca="1">'EUR Swap PVs'!AP29</f>
        <v>-61171.929059049529</v>
      </c>
      <c r="L184" s="278">
        <f ca="1">'EUR Swap PVs'!AQ29</f>
        <v>-81562.572078732715</v>
      </c>
      <c r="M184" s="279">
        <f ca="1">'EUR Swap PVs'!AR29</f>
        <v>-101953.21509841588</v>
      </c>
    </row>
    <row r="185" spans="1:13">
      <c r="B185" s="282" t="s">
        <v>39</v>
      </c>
      <c r="C185" s="278">
        <f ca="1">'EUR Swap PVs'!AH30</f>
        <v>152542.46364885769</v>
      </c>
      <c r="D185" s="278">
        <f ca="1">'EUR Swap PVs'!AI30</f>
        <v>122033.97091908618</v>
      </c>
      <c r="E185" s="278">
        <f ca="1">'EUR Swap PVs'!AJ30</f>
        <v>91525.478189314643</v>
      </c>
      <c r="F185" s="278">
        <f ca="1">'EUR Swap PVs'!AK30</f>
        <v>61016.985459543081</v>
      </c>
      <c r="G185" s="278">
        <f ca="1">'EUR Swap PVs'!AL30</f>
        <v>30508.492729771537</v>
      </c>
      <c r="H185" s="278">
        <f ca="1">'EUR Swap PVs'!AM30</f>
        <v>0</v>
      </c>
      <c r="I185" s="278">
        <f ca="1">'EUR Swap PVs'!AN30</f>
        <v>-30508.492729771544</v>
      </c>
      <c r="J185" s="278">
        <f ca="1">'EUR Swap PVs'!AO30</f>
        <v>-61016.985459543081</v>
      </c>
      <c r="K185" s="278">
        <f ca="1">'EUR Swap PVs'!AP30</f>
        <v>-91525.478189314628</v>
      </c>
      <c r="L185" s="278">
        <f ca="1">'EUR Swap PVs'!AQ30</f>
        <v>-122033.97091908618</v>
      </c>
      <c r="M185" s="279">
        <f ca="1">'EUR Swap PVs'!AR30</f>
        <v>-152542.46364885769</v>
      </c>
    </row>
    <row r="186" spans="1:13">
      <c r="B186" s="282" t="s">
        <v>35</v>
      </c>
      <c r="C186" s="278">
        <f ca="1">'EUR Swap PVs'!AH31</f>
        <v>202890.72538400179</v>
      </c>
      <c r="D186" s="278">
        <f ca="1">'EUR Swap PVs'!AI31</f>
        <v>162312.58030720142</v>
      </c>
      <c r="E186" s="278">
        <f ca="1">'EUR Swap PVs'!AJ31</f>
        <v>121734.4352304011</v>
      </c>
      <c r="F186" s="278">
        <f ca="1">'EUR Swap PVs'!AK31</f>
        <v>81156.290153600712</v>
      </c>
      <c r="G186" s="278">
        <f ca="1">'EUR Swap PVs'!AL31</f>
        <v>40578.145076800356</v>
      </c>
      <c r="H186" s="278">
        <f ca="1">'EUR Swap PVs'!AM31</f>
        <v>0</v>
      </c>
      <c r="I186" s="278">
        <f ca="1">'EUR Swap PVs'!AN31</f>
        <v>-40578.145076800363</v>
      </c>
      <c r="J186" s="278">
        <f ca="1">'EUR Swap PVs'!AO31</f>
        <v>-81156.290153600727</v>
      </c>
      <c r="K186" s="278">
        <f ca="1">'EUR Swap PVs'!AP31</f>
        <v>-121734.43523040107</v>
      </c>
      <c r="L186" s="278">
        <f ca="1">'EUR Swap PVs'!AQ31</f>
        <v>-162312.58030720145</v>
      </c>
      <c r="M186" s="279">
        <f ca="1">'EUR Swap PVs'!AR31</f>
        <v>-202890.72538400179</v>
      </c>
    </row>
    <row r="187" spans="1:13">
      <c r="B187" s="282" t="s">
        <v>33</v>
      </c>
      <c r="C187" s="278">
        <f ca="1">'EUR Swap PVs'!AH32</f>
        <v>253069.5285075022</v>
      </c>
      <c r="D187" s="278">
        <f ca="1">'EUR Swap PVs'!AI32</f>
        <v>202455.62280600177</v>
      </c>
      <c r="E187" s="278">
        <f ca="1">'EUR Swap PVs'!AJ32</f>
        <v>151841.71710450135</v>
      </c>
      <c r="F187" s="278">
        <f ca="1">'EUR Swap PVs'!AK32</f>
        <v>101227.81140300087</v>
      </c>
      <c r="G187" s="278">
        <f ca="1">'EUR Swap PVs'!AL32</f>
        <v>50613.905701500429</v>
      </c>
      <c r="H187" s="278">
        <f ca="1">'EUR Swap PVs'!AM32</f>
        <v>0</v>
      </c>
      <c r="I187" s="278">
        <f ca="1">'EUR Swap PVs'!AN32</f>
        <v>-50613.905701500444</v>
      </c>
      <c r="J187" s="278">
        <f ca="1">'EUR Swap PVs'!AO32</f>
        <v>-101227.8114030009</v>
      </c>
      <c r="K187" s="278">
        <f ca="1">'EUR Swap PVs'!AP32</f>
        <v>-151841.71710450135</v>
      </c>
      <c r="L187" s="278">
        <f ca="1">'EUR Swap PVs'!AQ32</f>
        <v>-202455.62280600177</v>
      </c>
      <c r="M187" s="279">
        <f ca="1">'EUR Swap PVs'!AR32</f>
        <v>-253069.5285075022</v>
      </c>
    </row>
    <row r="188" spans="1:13">
      <c r="B188" s="282" t="s">
        <v>131</v>
      </c>
      <c r="C188" s="278">
        <f ca="1">'EUR Swap PVs'!AH33</f>
        <v>302490.71297204384</v>
      </c>
      <c r="D188" s="278">
        <f ca="1">'EUR Swap PVs'!AI33</f>
        <v>241992.57037763507</v>
      </c>
      <c r="E188" s="278">
        <f ca="1">'EUR Swap PVs'!AJ33</f>
        <v>181494.42778322636</v>
      </c>
      <c r="F188" s="278">
        <f ca="1">'EUR Swap PVs'!AK33</f>
        <v>120996.28518881752</v>
      </c>
      <c r="G188" s="278">
        <f ca="1">'EUR Swap PVs'!AL33</f>
        <v>60498.142594408739</v>
      </c>
      <c r="H188" s="278">
        <f ca="1">'EUR Swap PVs'!AM33</f>
        <v>0</v>
      </c>
      <c r="I188" s="278">
        <f ca="1">'EUR Swap PVs'!AN33</f>
        <v>-60498.142594408775</v>
      </c>
      <c r="J188" s="278">
        <f ca="1">'EUR Swap PVs'!AO33</f>
        <v>-120996.28518881755</v>
      </c>
      <c r="K188" s="278">
        <f ca="1">'EUR Swap PVs'!AP33</f>
        <v>-181494.42778322633</v>
      </c>
      <c r="L188" s="278">
        <f ca="1">'EUR Swap PVs'!AQ33</f>
        <v>-241992.5703776351</v>
      </c>
      <c r="M188" s="279">
        <f ca="1">'EUR Swap PVs'!AR33</f>
        <v>-302490.7129720439</v>
      </c>
    </row>
    <row r="189" spans="1:13">
      <c r="B189" s="282" t="s">
        <v>31</v>
      </c>
      <c r="C189" s="278">
        <f ca="1">'EUR Swap PVs'!AH34</f>
        <v>351141.27427565056</v>
      </c>
      <c r="D189" s="278">
        <f ca="1">'EUR Swap PVs'!AI34</f>
        <v>280913.0194205204</v>
      </c>
      <c r="E189" s="278">
        <f ca="1">'EUR Swap PVs'!AJ34</f>
        <v>210684.76456539039</v>
      </c>
      <c r="F189" s="278">
        <f ca="1">'EUR Swap PVs'!AK34</f>
        <v>140456.5097102602</v>
      </c>
      <c r="G189" s="278">
        <f ca="1">'EUR Swap PVs'!AL34</f>
        <v>70228.254855130101</v>
      </c>
      <c r="H189" s="278">
        <f ca="1">'EUR Swap PVs'!AM34</f>
        <v>0</v>
      </c>
      <c r="I189" s="278">
        <f ca="1">'EUR Swap PVs'!AN34</f>
        <v>-70228.25485513013</v>
      </c>
      <c r="J189" s="278">
        <f ca="1">'EUR Swap PVs'!AO34</f>
        <v>-140456.50971026026</v>
      </c>
      <c r="K189" s="278">
        <f ca="1">'EUR Swap PVs'!AP34</f>
        <v>-210684.76456539036</v>
      </c>
      <c r="L189" s="278">
        <f ca="1">'EUR Swap PVs'!AQ34</f>
        <v>-280913.01942052052</v>
      </c>
      <c r="M189" s="279">
        <f ca="1">'EUR Swap PVs'!AR34</f>
        <v>-351141.27427565056</v>
      </c>
    </row>
    <row r="190" spans="1:13">
      <c r="B190" s="282" t="s">
        <v>119</v>
      </c>
      <c r="C190" s="278">
        <f ca="1">'EUR Swap PVs'!AH35</f>
        <v>399166.62011515</v>
      </c>
      <c r="D190" s="278">
        <f ca="1">'EUR Swap PVs'!AI35</f>
        <v>319333.29609212</v>
      </c>
      <c r="E190" s="278">
        <f ca="1">'EUR Swap PVs'!AJ35</f>
        <v>239499.97206909009</v>
      </c>
      <c r="F190" s="278">
        <f ca="1">'EUR Swap PVs'!AK35</f>
        <v>159666.64804605997</v>
      </c>
      <c r="G190" s="278">
        <f ca="1">'EUR Swap PVs'!AL35</f>
        <v>79833.324023029971</v>
      </c>
      <c r="H190" s="278">
        <f ca="1">'EUR Swap PVs'!AM35</f>
        <v>0</v>
      </c>
      <c r="I190" s="278">
        <f ca="1">'EUR Swap PVs'!AN35</f>
        <v>-79833.324023030014</v>
      </c>
      <c r="J190" s="278">
        <f ca="1">'EUR Swap PVs'!AO35</f>
        <v>-159666.64804606</v>
      </c>
      <c r="K190" s="278">
        <f ca="1">'EUR Swap PVs'!AP35</f>
        <v>-239499.97206909009</v>
      </c>
      <c r="L190" s="278">
        <f ca="1">'EUR Swap PVs'!AQ35</f>
        <v>-319333.29609212</v>
      </c>
      <c r="M190" s="279">
        <f ca="1">'EUR Swap PVs'!AR35</f>
        <v>-399166.62011515006</v>
      </c>
    </row>
    <row r="191" spans="1:13">
      <c r="B191" s="282" t="s">
        <v>113</v>
      </c>
      <c r="C191" s="278">
        <f ca="1">'EUR Swap PVs'!AH36</f>
        <v>445844.23518302286</v>
      </c>
      <c r="D191" s="278">
        <f ca="1">'EUR Swap PVs'!AI36</f>
        <v>356675.38814641832</v>
      </c>
      <c r="E191" s="278">
        <f ca="1">'EUR Swap PVs'!AJ36</f>
        <v>267506.54110981378</v>
      </c>
      <c r="F191" s="278">
        <f ca="1">'EUR Swap PVs'!AK36</f>
        <v>178337.6940732091</v>
      </c>
      <c r="G191" s="278">
        <f ca="1">'EUR Swap PVs'!AL36</f>
        <v>89168.847036604537</v>
      </c>
      <c r="H191" s="278">
        <f ca="1">'EUR Swap PVs'!AM36</f>
        <v>0</v>
      </c>
      <c r="I191" s="278">
        <f ca="1">'EUR Swap PVs'!AN36</f>
        <v>-89168.847036604624</v>
      </c>
      <c r="J191" s="278">
        <f ca="1">'EUR Swap PVs'!AO36</f>
        <v>-178337.69407320922</v>
      </c>
      <c r="K191" s="278">
        <f ca="1">'EUR Swap PVs'!AP36</f>
        <v>-267506.54110981378</v>
      </c>
      <c r="L191" s="278">
        <f ca="1">'EUR Swap PVs'!AQ36</f>
        <v>-356675.38814641844</v>
      </c>
      <c r="M191" s="279">
        <f ca="1">'EUR Swap PVs'!AR36</f>
        <v>-445844.23518302303</v>
      </c>
    </row>
    <row r="192" spans="1:13">
      <c r="B192" s="282" t="s">
        <v>28</v>
      </c>
      <c r="C192" s="278">
        <f ca="1">'EUR Swap PVs'!AH37</f>
        <v>491641.46924409911</v>
      </c>
      <c r="D192" s="278">
        <f ca="1">'EUR Swap PVs'!AI37</f>
        <v>393313.17539527931</v>
      </c>
      <c r="E192" s="278">
        <f ca="1">'EUR Swap PVs'!AJ37</f>
        <v>294984.88154645963</v>
      </c>
      <c r="F192" s="278">
        <f ca="1">'EUR Swap PVs'!AK37</f>
        <v>196656.58769763962</v>
      </c>
      <c r="G192" s="278">
        <f ca="1">'EUR Swap PVs'!AL37</f>
        <v>98328.293848819769</v>
      </c>
      <c r="H192" s="278">
        <f ca="1">'EUR Swap PVs'!AM37</f>
        <v>-1.3877787807814457E-11</v>
      </c>
      <c r="I192" s="278">
        <f ca="1">'EUR Swap PVs'!AN37</f>
        <v>-98328.293848819914</v>
      </c>
      <c r="J192" s="278">
        <f ca="1">'EUR Swap PVs'!AO37</f>
        <v>-196656.58769763977</v>
      </c>
      <c r="K192" s="278">
        <f ca="1">'EUR Swap PVs'!AP37</f>
        <v>-294984.88154645963</v>
      </c>
      <c r="L192" s="278">
        <f ca="1">'EUR Swap PVs'!AQ37</f>
        <v>-393313.17539527954</v>
      </c>
      <c r="M192" s="279">
        <f ca="1">'EUR Swap PVs'!AR37</f>
        <v>-491641.46924409934</v>
      </c>
    </row>
    <row r="193" spans="2:26">
      <c r="B193" s="282" t="s">
        <v>366</v>
      </c>
      <c r="C193" s="278">
        <f ca="1">'EUR Swap PVs'!AH38</f>
        <v>536403.62305464619</v>
      </c>
      <c r="D193" s="278">
        <f ca="1">'EUR Swap PVs'!AI38</f>
        <v>429122.89844371699</v>
      </c>
      <c r="E193" s="278">
        <f ca="1">'EUR Swap PVs'!AJ38</f>
        <v>321842.17383278784</v>
      </c>
      <c r="F193" s="278">
        <f ca="1">'EUR Swap PVs'!AK38</f>
        <v>214561.44922185849</v>
      </c>
      <c r="G193" s="278">
        <f ca="1">'EUR Swap PVs'!AL38</f>
        <v>107280.72461092919</v>
      </c>
      <c r="H193" s="278">
        <f ca="1">'EUR Swap PVs'!AM38</f>
        <v>0</v>
      </c>
      <c r="I193" s="278">
        <f ca="1">'EUR Swap PVs'!AN38</f>
        <v>-107280.72461092933</v>
      </c>
      <c r="J193" s="278">
        <f ca="1">'EUR Swap PVs'!AO38</f>
        <v>-214561.44922185861</v>
      </c>
      <c r="K193" s="278">
        <f ca="1">'EUR Swap PVs'!AP38</f>
        <v>-321842.1738327879</v>
      </c>
      <c r="L193" s="278">
        <f ca="1">'EUR Swap PVs'!AQ38</f>
        <v>-429122.89844371722</v>
      </c>
      <c r="M193" s="279">
        <f ca="1">'EUR Swap PVs'!AR38</f>
        <v>-536403.62305464654</v>
      </c>
    </row>
    <row r="194" spans="2:26">
      <c r="B194" s="282" t="s">
        <v>26</v>
      </c>
      <c r="C194" s="278">
        <f ca="1">'EUR Swap PVs'!AH39</f>
        <v>580132.46295708523</v>
      </c>
      <c r="D194" s="278">
        <f ca="1">'EUR Swap PVs'!AI39</f>
        <v>464105.97036566824</v>
      </c>
      <c r="E194" s="278">
        <f ca="1">'EUR Swap PVs'!AJ39</f>
        <v>348079.47777425131</v>
      </c>
      <c r="F194" s="278">
        <f ca="1">'EUR Swap PVs'!AK39</f>
        <v>232052.98518283406</v>
      </c>
      <c r="G194" s="278">
        <f ca="1">'EUR Swap PVs'!AL39</f>
        <v>116026.49259141696</v>
      </c>
      <c r="H194" s="278">
        <f ca="1">'EUR Swap PVs'!AM39</f>
        <v>0</v>
      </c>
      <c r="I194" s="278">
        <f ca="1">'EUR Swap PVs'!AN39</f>
        <v>-116026.49259141715</v>
      </c>
      <c r="J194" s="278">
        <f ca="1">'EUR Swap PVs'!AO39</f>
        <v>-232052.98518283424</v>
      </c>
      <c r="K194" s="278">
        <f ca="1">'EUR Swap PVs'!AP39</f>
        <v>-348079.47777425137</v>
      </c>
      <c r="L194" s="278">
        <f ca="1">'EUR Swap PVs'!AQ39</f>
        <v>-464105.97036566841</v>
      </c>
      <c r="M194" s="279">
        <f ca="1">'EUR Swap PVs'!AR39</f>
        <v>-580132.46295708546</v>
      </c>
    </row>
    <row r="195" spans="2:26">
      <c r="B195" s="282" t="s">
        <v>24</v>
      </c>
      <c r="C195" s="278">
        <f ca="1">'EUR Swap PVs'!AH40</f>
        <v>705375.04990592063</v>
      </c>
      <c r="D195" s="278">
        <f ca="1">'EUR Swap PVs'!AI40</f>
        <v>564300.0399247366</v>
      </c>
      <c r="E195" s="278">
        <f ca="1">'EUR Swap PVs'!AJ40</f>
        <v>423225.02994355251</v>
      </c>
      <c r="F195" s="278">
        <f ca="1">'EUR Swap PVs'!AK40</f>
        <v>282150.0199623683</v>
      </c>
      <c r="G195" s="278">
        <f ca="1">'EUR Swap PVs'!AL40</f>
        <v>141075.00998118409</v>
      </c>
      <c r="H195" s="278">
        <f ca="1">'EUR Swap PVs'!AM40</f>
        <v>2.7755575615628914E-11</v>
      </c>
      <c r="I195" s="278">
        <f ca="1">'EUR Swap PVs'!AN40</f>
        <v>-141075.00998118421</v>
      </c>
      <c r="J195" s="278">
        <f ca="1">'EUR Swap PVs'!AO40</f>
        <v>-282150.01996236842</v>
      </c>
      <c r="K195" s="278">
        <f ca="1">'EUR Swap PVs'!AP40</f>
        <v>-423225.02994355268</v>
      </c>
      <c r="L195" s="278">
        <f ca="1">'EUR Swap PVs'!AQ40</f>
        <v>-564300.03992473683</v>
      </c>
      <c r="M195" s="279">
        <f ca="1">'EUR Swap PVs'!AR40</f>
        <v>-705375.04990592098</v>
      </c>
    </row>
    <row r="196" spans="2:26">
      <c r="B196" s="282" t="s">
        <v>20</v>
      </c>
      <c r="C196" s="278">
        <f ca="1">'EUR Swap PVs'!AH41</f>
        <v>895612.96666418272</v>
      </c>
      <c r="D196" s="278">
        <f ca="1">'EUR Swap PVs'!AI41</f>
        <v>716490.37333134632</v>
      </c>
      <c r="E196" s="278">
        <f ca="1">'EUR Swap PVs'!AJ41</f>
        <v>537367.77999850968</v>
      </c>
      <c r="F196" s="278">
        <f ca="1">'EUR Swap PVs'!AK41</f>
        <v>358245.18666567298</v>
      </c>
      <c r="G196" s="278">
        <f ca="1">'EUR Swap PVs'!AL41</f>
        <v>179122.59333283638</v>
      </c>
      <c r="H196" s="278">
        <f ca="1">'EUR Swap PVs'!AM41</f>
        <v>0</v>
      </c>
      <c r="I196" s="278">
        <f ca="1">'EUR Swap PVs'!AN41</f>
        <v>-179122.59333283672</v>
      </c>
      <c r="J196" s="278">
        <f ca="1">'EUR Swap PVs'!AO41</f>
        <v>-358245.18666567333</v>
      </c>
      <c r="K196" s="278">
        <f ca="1">'EUR Swap PVs'!AP41</f>
        <v>-537367.77999850991</v>
      </c>
      <c r="L196" s="278">
        <f ca="1">'EUR Swap PVs'!AQ41</f>
        <v>-716490.37333134655</v>
      </c>
      <c r="M196" s="279">
        <f ca="1">'EUR Swap PVs'!AR41</f>
        <v>-895612.96666418319</v>
      </c>
    </row>
    <row r="197" spans="2:26">
      <c r="B197" s="282" t="s">
        <v>18</v>
      </c>
      <c r="C197" s="278">
        <f ca="1">'EUR Swap PVs'!AH42</f>
        <v>1067055.570911879</v>
      </c>
      <c r="D197" s="278">
        <f ca="1">'EUR Swap PVs'!AI42</f>
        <v>853644.45672950323</v>
      </c>
      <c r="E197" s="278">
        <f ca="1">'EUR Swap PVs'!AJ42</f>
        <v>640233.34254712739</v>
      </c>
      <c r="F197" s="278">
        <f ca="1">'EUR Swap PVs'!AK42</f>
        <v>426822.2283647515</v>
      </c>
      <c r="G197" s="278">
        <f ca="1">'EUR Swap PVs'!AL42</f>
        <v>213411.11418237569</v>
      </c>
      <c r="H197" s="278">
        <f ca="1">'EUR Swap PVs'!AM42</f>
        <v>0</v>
      </c>
      <c r="I197" s="278">
        <f ca="1">'EUR Swap PVs'!AN42</f>
        <v>-213411.11418237587</v>
      </c>
      <c r="J197" s="278">
        <f ca="1">'EUR Swap PVs'!AO42</f>
        <v>-426822.22836475173</v>
      </c>
      <c r="K197" s="278">
        <f ca="1">'EUR Swap PVs'!AP42</f>
        <v>-640233.34254712763</v>
      </c>
      <c r="L197" s="278">
        <f ca="1">'EUR Swap PVs'!AQ42</f>
        <v>-853644.45672950335</v>
      </c>
      <c r="M197" s="279">
        <f ca="1">'EUR Swap PVs'!AR42</f>
        <v>-1067055.5709118794</v>
      </c>
    </row>
    <row r="198" spans="2:26">
      <c r="B198" s="282" t="s">
        <v>17</v>
      </c>
      <c r="C198" s="278">
        <f ca="1">'EUR Swap PVs'!AH43</f>
        <v>1223051.9604093435</v>
      </c>
      <c r="D198" s="278">
        <f ca="1">'EUR Swap PVs'!AI43</f>
        <v>978441.56832747499</v>
      </c>
      <c r="E198" s="278">
        <f ca="1">'EUR Swap PVs'!AJ43</f>
        <v>733831.17624560627</v>
      </c>
      <c r="F198" s="278">
        <f ca="1">'EUR Swap PVs'!AK43</f>
        <v>489220.78416373732</v>
      </c>
      <c r="G198" s="278">
        <f ca="1">'EUR Swap PVs'!AL43</f>
        <v>244610.39208186857</v>
      </c>
      <c r="H198" s="278">
        <f ca="1">'EUR Swap PVs'!AM43</f>
        <v>0</v>
      </c>
      <c r="I198" s="278">
        <f ca="1">'EUR Swap PVs'!AN43</f>
        <v>-244610.39208186892</v>
      </c>
      <c r="J198" s="278">
        <f ca="1">'EUR Swap PVs'!AO43</f>
        <v>-489220.78416373779</v>
      </c>
      <c r="K198" s="278">
        <f ca="1">'EUR Swap PVs'!AP43</f>
        <v>-733831.17624560662</v>
      </c>
      <c r="L198" s="278">
        <f ca="1">'EUR Swap PVs'!AQ43</f>
        <v>-978441.56832747522</v>
      </c>
      <c r="M198" s="279">
        <f ca="1">'EUR Swap PVs'!AR43</f>
        <v>-1223051.9604093446</v>
      </c>
    </row>
    <row r="199" spans="2:26">
      <c r="B199" s="282" t="s">
        <v>16</v>
      </c>
      <c r="C199" s="278">
        <f ca="1">'EUR Swap PVs'!AH44</f>
        <v>1366543.064870677</v>
      </c>
      <c r="D199" s="278">
        <f ca="1">'EUR Swap PVs'!AI44</f>
        <v>1093234.4518965418</v>
      </c>
      <c r="E199" s="278">
        <f ca="1">'EUR Swap PVs'!AJ44</f>
        <v>819925.83892240631</v>
      </c>
      <c r="F199" s="278">
        <f ca="1">'EUR Swap PVs'!AK44</f>
        <v>546617.22594827123</v>
      </c>
      <c r="G199" s="278">
        <f ca="1">'EUR Swap PVs'!AL44</f>
        <v>273308.61297413532</v>
      </c>
      <c r="H199" s="278">
        <f ca="1">'EUR Swap PVs'!AM44</f>
        <v>5.5511151231257827E-11</v>
      </c>
      <c r="I199" s="278">
        <f ca="1">'EUR Swap PVs'!AN44</f>
        <v>-273308.61297413555</v>
      </c>
      <c r="J199" s="278">
        <f ca="1">'EUR Swap PVs'!AO44</f>
        <v>-546617.22594827111</v>
      </c>
      <c r="K199" s="278">
        <f ca="1">'EUR Swap PVs'!AP44</f>
        <v>-819925.83892240666</v>
      </c>
      <c r="L199" s="278">
        <f ca="1">'EUR Swap PVs'!AQ44</f>
        <v>-1093234.4518965418</v>
      </c>
      <c r="M199" s="279">
        <f ca="1">'EUR Swap PVs'!AR44</f>
        <v>-1366543.0648706779</v>
      </c>
    </row>
    <row r="200" spans="2:26">
      <c r="B200" s="282" t="s">
        <v>15</v>
      </c>
      <c r="C200" s="278">
        <f ca="1">'EUR Swap PVs'!AH45</f>
        <v>1499145.7303461703</v>
      </c>
      <c r="D200" s="278">
        <f ca="1">'EUR Swap PVs'!AI45</f>
        <v>1199316.5842769365</v>
      </c>
      <c r="E200" s="278">
        <f ca="1">'EUR Swap PVs'!AJ45</f>
        <v>899487.43820770248</v>
      </c>
      <c r="F200" s="278">
        <f ca="1">'EUR Swap PVs'!AK45</f>
        <v>599658.29213846859</v>
      </c>
      <c r="G200" s="278">
        <f ca="1">'EUR Swap PVs'!AL45</f>
        <v>299829.14606923383</v>
      </c>
      <c r="H200" s="278">
        <f ca="1">'EUR Swap PVs'!AM45</f>
        <v>0</v>
      </c>
      <c r="I200" s="278">
        <f ca="1">'EUR Swap PVs'!AN45</f>
        <v>-299829.14606923453</v>
      </c>
      <c r="J200" s="278">
        <f ca="1">'EUR Swap PVs'!AO45</f>
        <v>-599658.29213846894</v>
      </c>
      <c r="K200" s="278">
        <f ca="1">'EUR Swap PVs'!AP45</f>
        <v>-899487.43820770318</v>
      </c>
      <c r="L200" s="278">
        <f ca="1">'EUR Swap PVs'!AQ45</f>
        <v>-1199316.5842769372</v>
      </c>
      <c r="M200" s="279">
        <f ca="1">'EUR Swap PVs'!AR45</f>
        <v>-1499145.7303461719</v>
      </c>
    </row>
    <row r="201" spans="2:26">
      <c r="B201" s="282" t="s">
        <v>368</v>
      </c>
      <c r="C201" s="278">
        <f ca="1">'EUR Swap PVs'!AH46</f>
        <v>1620154.4699725835</v>
      </c>
      <c r="D201" s="278">
        <f ca="1">'EUR Swap PVs'!AI46</f>
        <v>1296123.5759780672</v>
      </c>
      <c r="E201" s="278">
        <f ca="1">'EUR Swap PVs'!AJ46</f>
        <v>972092.68198355054</v>
      </c>
      <c r="F201" s="278">
        <f ca="1">'EUR Swap PVs'!AK46</f>
        <v>648061.78798903408</v>
      </c>
      <c r="G201" s="278">
        <f ca="1">'EUR Swap PVs'!AL46</f>
        <v>324030.89399451658</v>
      </c>
      <c r="H201" s="278">
        <f ca="1">'EUR Swap PVs'!AM46</f>
        <v>0</v>
      </c>
      <c r="I201" s="278">
        <f ca="1">'EUR Swap PVs'!AN46</f>
        <v>-324030.89399451722</v>
      </c>
      <c r="J201" s="278">
        <f ca="1">'EUR Swap PVs'!AO46</f>
        <v>-648061.78798903432</v>
      </c>
      <c r="K201" s="278">
        <f ca="1">'EUR Swap PVs'!AP46</f>
        <v>-972092.68198355113</v>
      </c>
      <c r="L201" s="278">
        <f ca="1">'EUR Swap PVs'!AQ46</f>
        <v>-1296123.5759780679</v>
      </c>
      <c r="M201" s="279">
        <f ca="1">'EUR Swap PVs'!AR46</f>
        <v>-1620154.4699725856</v>
      </c>
    </row>
    <row r="202" spans="2:26">
      <c r="B202" s="283" t="s">
        <v>14</v>
      </c>
      <c r="C202" s="280">
        <f ca="1">'EUR Swap PVs'!AH47</f>
        <v>1730741.4546833574</v>
      </c>
      <c r="D202" s="280">
        <f ca="1">'EUR Swap PVs'!AI47</f>
        <v>1384593.1637466867</v>
      </c>
      <c r="E202" s="280">
        <f ca="1">'EUR Swap PVs'!AJ47</f>
        <v>1038444.8728100153</v>
      </c>
      <c r="F202" s="280">
        <f ca="1">'EUR Swap PVs'!AK47</f>
        <v>692296.58187334402</v>
      </c>
      <c r="G202" s="280">
        <f ca="1">'EUR Swap PVs'!AL47</f>
        <v>346148.29093667143</v>
      </c>
      <c r="H202" s="280">
        <f ca="1">'EUR Swap PVs'!AM47</f>
        <v>0</v>
      </c>
      <c r="I202" s="280">
        <f ca="1">'EUR Swap PVs'!AN47</f>
        <v>-346148.29093667207</v>
      </c>
      <c r="J202" s="280">
        <f ca="1">'EUR Swap PVs'!AO47</f>
        <v>-692296.58187334391</v>
      </c>
      <c r="K202" s="280">
        <f ca="1">'EUR Swap PVs'!AP47</f>
        <v>-1038444.8728100156</v>
      </c>
      <c r="L202" s="280">
        <f ca="1">'EUR Swap PVs'!AQ47</f>
        <v>-1384593.1637466871</v>
      </c>
      <c r="M202" s="281">
        <f ca="1">'EUR Swap PVs'!AR47</f>
        <v>-1730741.4546833595</v>
      </c>
    </row>
    <row r="204" spans="2:26">
      <c r="B204" s="258" t="s">
        <v>472</v>
      </c>
      <c r="O204" s="258" t="s">
        <v>472</v>
      </c>
    </row>
    <row r="205" spans="2:26">
      <c r="B205" s="254" t="s">
        <v>468</v>
      </c>
      <c r="C205" s="287">
        <v>500</v>
      </c>
      <c r="D205" s="287">
        <v>400</v>
      </c>
      <c r="E205" s="287">
        <v>300</v>
      </c>
      <c r="F205" s="287">
        <v>200</v>
      </c>
      <c r="G205" s="287">
        <v>100</v>
      </c>
      <c r="H205" s="287">
        <v>0</v>
      </c>
      <c r="I205" s="287">
        <v>-100</v>
      </c>
      <c r="J205" s="287">
        <v>-200</v>
      </c>
      <c r="K205" s="287">
        <v>-300</v>
      </c>
      <c r="L205" s="287">
        <v>-400</v>
      </c>
      <c r="M205" s="288">
        <v>-500</v>
      </c>
      <c r="O205" s="254" t="s">
        <v>468</v>
      </c>
      <c r="P205" s="276">
        <v>-0.05</v>
      </c>
      <c r="Q205" s="276">
        <v>-0.04</v>
      </c>
      <c r="R205" s="276">
        <v>-0.03</v>
      </c>
      <c r="S205" s="276">
        <v>-1.9999999999999997E-2</v>
      </c>
      <c r="T205" s="276">
        <v>-9.9999999999999967E-3</v>
      </c>
      <c r="U205" s="276">
        <v>0</v>
      </c>
      <c r="V205" s="276">
        <v>0.01</v>
      </c>
      <c r="W205" s="276">
        <v>0.02</v>
      </c>
      <c r="X205" s="276">
        <v>0.03</v>
      </c>
      <c r="Y205" s="276">
        <v>0.04</v>
      </c>
      <c r="Z205" s="277">
        <v>0.05</v>
      </c>
    </row>
    <row r="206" spans="2:26">
      <c r="B206" s="282" t="s">
        <v>42</v>
      </c>
      <c r="C206" s="278">
        <f ca="1">IF(C184&gt;D184,0,1)</f>
        <v>0</v>
      </c>
      <c r="D206" s="278">
        <f t="shared" ref="D206:L206" ca="1" si="97">IF(D184&gt;E184,0,1)</f>
        <v>0</v>
      </c>
      <c r="E206" s="278">
        <f t="shared" ca="1" si="97"/>
        <v>0</v>
      </c>
      <c r="F206" s="278">
        <f t="shared" ca="1" si="97"/>
        <v>0</v>
      </c>
      <c r="G206" s="278">
        <f t="shared" ca="1" si="97"/>
        <v>0</v>
      </c>
      <c r="H206" s="278">
        <f t="shared" ca="1" si="97"/>
        <v>0</v>
      </c>
      <c r="I206" s="278">
        <f t="shared" ca="1" si="97"/>
        <v>0</v>
      </c>
      <c r="J206" s="278">
        <f t="shared" ca="1" si="97"/>
        <v>0</v>
      </c>
      <c r="K206" s="278">
        <f t="shared" ca="1" si="97"/>
        <v>0</v>
      </c>
      <c r="L206" s="278">
        <f t="shared" ca="1" si="97"/>
        <v>0</v>
      </c>
      <c r="M206" s="285" t="s">
        <v>6</v>
      </c>
      <c r="O206" s="282" t="s">
        <v>42</v>
      </c>
      <c r="P206" s="289">
        <f ca="1">IF(ABS(C185)&gt;ABS(C184),0,1)</f>
        <v>0</v>
      </c>
      <c r="Q206" s="289">
        <f t="shared" ref="Q206:Q223" ca="1" si="98">IF(ABS(D185)&gt;ABS(D184),0,1)</f>
        <v>0</v>
      </c>
      <c r="R206" s="289">
        <f t="shared" ref="R206:R223" ca="1" si="99">IF(ABS(E185)&gt;ABS(E184),0,1)</f>
        <v>0</v>
      </c>
      <c r="S206" s="289">
        <f t="shared" ref="S206:S223" ca="1" si="100">IF(ABS(F185)&gt;ABS(F184),0,1)</f>
        <v>0</v>
      </c>
      <c r="T206" s="289">
        <f t="shared" ref="T206:T223" ca="1" si="101">IF(ABS(G185)&gt;ABS(G184),0,1)</f>
        <v>0</v>
      </c>
      <c r="U206" s="295" t="s">
        <v>6</v>
      </c>
      <c r="V206" s="289">
        <f t="shared" ref="V206:V223" ca="1" si="102">IF(ABS(I185)&gt;ABS(I184),0,1)</f>
        <v>0</v>
      </c>
      <c r="W206" s="289">
        <f t="shared" ref="W206:W223" ca="1" si="103">IF(ABS(J185)&gt;ABS(J184),0,1)</f>
        <v>0</v>
      </c>
      <c r="X206" s="289">
        <f t="shared" ref="X206:X223" ca="1" si="104">IF(ABS(K185)&gt;ABS(K184),0,1)</f>
        <v>0</v>
      </c>
      <c r="Y206" s="289">
        <f t="shared" ref="Y206:Y223" ca="1" si="105">IF(ABS(L185)&gt;ABS(L184),0,1)</f>
        <v>0</v>
      </c>
      <c r="Z206" s="291">
        <f t="shared" ref="Z206:Z223" ca="1" si="106">IF(ABS(M185)&gt;ABS(M184),0,1)</f>
        <v>0</v>
      </c>
    </row>
    <row r="207" spans="2:26">
      <c r="B207" s="282" t="s">
        <v>39</v>
      </c>
      <c r="C207" s="278">
        <f t="shared" ref="C207:L207" ca="1" si="107">IF(C185&gt;D185,0,1)</f>
        <v>0</v>
      </c>
      <c r="D207" s="278">
        <f t="shared" ca="1" si="107"/>
        <v>0</v>
      </c>
      <c r="E207" s="278">
        <f t="shared" ca="1" si="107"/>
        <v>0</v>
      </c>
      <c r="F207" s="278">
        <f t="shared" ca="1" si="107"/>
        <v>0</v>
      </c>
      <c r="G207" s="278">
        <f t="shared" ca="1" si="107"/>
        <v>0</v>
      </c>
      <c r="H207" s="278">
        <f t="shared" ca="1" si="107"/>
        <v>0</v>
      </c>
      <c r="I207" s="278">
        <f t="shared" ca="1" si="107"/>
        <v>0</v>
      </c>
      <c r="J207" s="278">
        <f t="shared" ca="1" si="107"/>
        <v>0</v>
      </c>
      <c r="K207" s="278">
        <f t="shared" ca="1" si="107"/>
        <v>0</v>
      </c>
      <c r="L207" s="278">
        <f t="shared" ca="1" si="107"/>
        <v>0</v>
      </c>
      <c r="M207" s="279" t="s">
        <v>6</v>
      </c>
      <c r="O207" s="282" t="s">
        <v>39</v>
      </c>
      <c r="P207" s="289">
        <f t="shared" ref="P207:P223" ca="1" si="108">IF(ABS(C186)&gt;ABS(C185),0,1)</f>
        <v>0</v>
      </c>
      <c r="Q207" s="289">
        <f t="shared" ca="1" si="98"/>
        <v>0</v>
      </c>
      <c r="R207" s="289">
        <f t="shared" ca="1" si="99"/>
        <v>0</v>
      </c>
      <c r="S207" s="289">
        <f t="shared" ca="1" si="100"/>
        <v>0</v>
      </c>
      <c r="T207" s="289">
        <f t="shared" ca="1" si="101"/>
        <v>0</v>
      </c>
      <c r="U207" s="295" t="s">
        <v>6</v>
      </c>
      <c r="V207" s="289">
        <f t="shared" ca="1" si="102"/>
        <v>0</v>
      </c>
      <c r="W207" s="289">
        <f t="shared" ca="1" si="103"/>
        <v>0</v>
      </c>
      <c r="X207" s="289">
        <f t="shared" ca="1" si="104"/>
        <v>0</v>
      </c>
      <c r="Y207" s="289">
        <f t="shared" ca="1" si="105"/>
        <v>0</v>
      </c>
      <c r="Z207" s="292">
        <f t="shared" ca="1" si="106"/>
        <v>0</v>
      </c>
    </row>
    <row r="208" spans="2:26">
      <c r="B208" s="282" t="s">
        <v>35</v>
      </c>
      <c r="C208" s="278">
        <f t="shared" ref="C208:L208" ca="1" si="109">IF(C186&gt;D186,0,1)</f>
        <v>0</v>
      </c>
      <c r="D208" s="278">
        <f t="shared" ca="1" si="109"/>
        <v>0</v>
      </c>
      <c r="E208" s="278">
        <f t="shared" ca="1" si="109"/>
        <v>0</v>
      </c>
      <c r="F208" s="278">
        <f t="shared" ca="1" si="109"/>
        <v>0</v>
      </c>
      <c r="G208" s="278">
        <f t="shared" ca="1" si="109"/>
        <v>0</v>
      </c>
      <c r="H208" s="278">
        <f t="shared" ca="1" si="109"/>
        <v>0</v>
      </c>
      <c r="I208" s="278">
        <f t="shared" ca="1" si="109"/>
        <v>0</v>
      </c>
      <c r="J208" s="278">
        <f t="shared" ca="1" si="109"/>
        <v>0</v>
      </c>
      <c r="K208" s="278">
        <f t="shared" ca="1" si="109"/>
        <v>0</v>
      </c>
      <c r="L208" s="278">
        <f t="shared" ca="1" si="109"/>
        <v>0</v>
      </c>
      <c r="M208" s="279" t="s">
        <v>6</v>
      </c>
      <c r="O208" s="282" t="s">
        <v>35</v>
      </c>
      <c r="P208" s="289">
        <f t="shared" ca="1" si="108"/>
        <v>0</v>
      </c>
      <c r="Q208" s="289">
        <f t="shared" ca="1" si="98"/>
        <v>0</v>
      </c>
      <c r="R208" s="289">
        <f t="shared" ca="1" si="99"/>
        <v>0</v>
      </c>
      <c r="S208" s="289">
        <f t="shared" ca="1" si="100"/>
        <v>0</v>
      </c>
      <c r="T208" s="289">
        <f t="shared" ca="1" si="101"/>
        <v>0</v>
      </c>
      <c r="U208" s="295" t="s">
        <v>6</v>
      </c>
      <c r="V208" s="289">
        <f t="shared" ca="1" si="102"/>
        <v>0</v>
      </c>
      <c r="W208" s="289">
        <f t="shared" ca="1" si="103"/>
        <v>0</v>
      </c>
      <c r="X208" s="289">
        <f t="shared" ca="1" si="104"/>
        <v>0</v>
      </c>
      <c r="Y208" s="289">
        <f t="shared" ca="1" si="105"/>
        <v>0</v>
      </c>
      <c r="Z208" s="292">
        <f t="shared" ca="1" si="106"/>
        <v>0</v>
      </c>
    </row>
    <row r="209" spans="2:26">
      <c r="B209" s="282" t="s">
        <v>33</v>
      </c>
      <c r="C209" s="278">
        <f t="shared" ref="C209:L209" ca="1" si="110">IF(C187&gt;D187,0,1)</f>
        <v>0</v>
      </c>
      <c r="D209" s="278">
        <f t="shared" ca="1" si="110"/>
        <v>0</v>
      </c>
      <c r="E209" s="278">
        <f t="shared" ca="1" si="110"/>
        <v>0</v>
      </c>
      <c r="F209" s="278">
        <f t="shared" ca="1" si="110"/>
        <v>0</v>
      </c>
      <c r="G209" s="278">
        <f t="shared" ca="1" si="110"/>
        <v>0</v>
      </c>
      <c r="H209" s="278">
        <f t="shared" ca="1" si="110"/>
        <v>0</v>
      </c>
      <c r="I209" s="278">
        <f t="shared" ca="1" si="110"/>
        <v>0</v>
      </c>
      <c r="J209" s="278">
        <f t="shared" ca="1" si="110"/>
        <v>0</v>
      </c>
      <c r="K209" s="278">
        <f t="shared" ca="1" si="110"/>
        <v>0</v>
      </c>
      <c r="L209" s="278">
        <f t="shared" ca="1" si="110"/>
        <v>0</v>
      </c>
      <c r="M209" s="279" t="s">
        <v>6</v>
      </c>
      <c r="O209" s="282" t="s">
        <v>33</v>
      </c>
      <c r="P209" s="289">
        <f t="shared" ca="1" si="108"/>
        <v>0</v>
      </c>
      <c r="Q209" s="289">
        <f t="shared" ca="1" si="98"/>
        <v>0</v>
      </c>
      <c r="R209" s="289">
        <f t="shared" ca="1" si="99"/>
        <v>0</v>
      </c>
      <c r="S209" s="289">
        <f t="shared" ca="1" si="100"/>
        <v>0</v>
      </c>
      <c r="T209" s="289">
        <f t="shared" ca="1" si="101"/>
        <v>0</v>
      </c>
      <c r="U209" s="295" t="s">
        <v>6</v>
      </c>
      <c r="V209" s="289">
        <f t="shared" ca="1" si="102"/>
        <v>0</v>
      </c>
      <c r="W209" s="289">
        <f t="shared" ca="1" si="103"/>
        <v>0</v>
      </c>
      <c r="X209" s="289">
        <f t="shared" ca="1" si="104"/>
        <v>0</v>
      </c>
      <c r="Y209" s="289">
        <f t="shared" ca="1" si="105"/>
        <v>0</v>
      </c>
      <c r="Z209" s="292">
        <f t="shared" ca="1" si="106"/>
        <v>0</v>
      </c>
    </row>
    <row r="210" spans="2:26">
      <c r="B210" s="282" t="s">
        <v>131</v>
      </c>
      <c r="C210" s="278">
        <f t="shared" ref="C210:L210" ca="1" si="111">IF(C188&gt;D188,0,1)</f>
        <v>0</v>
      </c>
      <c r="D210" s="278">
        <f t="shared" ca="1" si="111"/>
        <v>0</v>
      </c>
      <c r="E210" s="278">
        <f t="shared" ca="1" si="111"/>
        <v>0</v>
      </c>
      <c r="F210" s="278">
        <f t="shared" ca="1" si="111"/>
        <v>0</v>
      </c>
      <c r="G210" s="278">
        <f t="shared" ca="1" si="111"/>
        <v>0</v>
      </c>
      <c r="H210" s="278">
        <f t="shared" ca="1" si="111"/>
        <v>0</v>
      </c>
      <c r="I210" s="278">
        <f t="shared" ca="1" si="111"/>
        <v>0</v>
      </c>
      <c r="J210" s="278">
        <f t="shared" ca="1" si="111"/>
        <v>0</v>
      </c>
      <c r="K210" s="278">
        <f t="shared" ca="1" si="111"/>
        <v>0</v>
      </c>
      <c r="L210" s="278">
        <f t="shared" ca="1" si="111"/>
        <v>0</v>
      </c>
      <c r="M210" s="279" t="s">
        <v>6</v>
      </c>
      <c r="O210" s="282" t="s">
        <v>131</v>
      </c>
      <c r="P210" s="289">
        <f t="shared" ca="1" si="108"/>
        <v>0</v>
      </c>
      <c r="Q210" s="289">
        <f t="shared" ca="1" si="98"/>
        <v>0</v>
      </c>
      <c r="R210" s="289">
        <f t="shared" ca="1" si="99"/>
        <v>0</v>
      </c>
      <c r="S210" s="289">
        <f t="shared" ca="1" si="100"/>
        <v>0</v>
      </c>
      <c r="T210" s="289">
        <f t="shared" ca="1" si="101"/>
        <v>0</v>
      </c>
      <c r="U210" s="295" t="s">
        <v>6</v>
      </c>
      <c r="V210" s="289">
        <f t="shared" ca="1" si="102"/>
        <v>0</v>
      </c>
      <c r="W210" s="289">
        <f t="shared" ca="1" si="103"/>
        <v>0</v>
      </c>
      <c r="X210" s="289">
        <f t="shared" ca="1" si="104"/>
        <v>0</v>
      </c>
      <c r="Y210" s="289">
        <f t="shared" ca="1" si="105"/>
        <v>0</v>
      </c>
      <c r="Z210" s="292">
        <f t="shared" ca="1" si="106"/>
        <v>0</v>
      </c>
    </row>
    <row r="211" spans="2:26">
      <c r="B211" s="282" t="s">
        <v>31</v>
      </c>
      <c r="C211" s="278">
        <f t="shared" ref="C211:L211" ca="1" si="112">IF(C189&gt;D189,0,1)</f>
        <v>0</v>
      </c>
      <c r="D211" s="278">
        <f t="shared" ca="1" si="112"/>
        <v>0</v>
      </c>
      <c r="E211" s="278">
        <f t="shared" ca="1" si="112"/>
        <v>0</v>
      </c>
      <c r="F211" s="278">
        <f t="shared" ca="1" si="112"/>
        <v>0</v>
      </c>
      <c r="G211" s="278">
        <f t="shared" ca="1" si="112"/>
        <v>0</v>
      </c>
      <c r="H211" s="278">
        <f t="shared" ca="1" si="112"/>
        <v>0</v>
      </c>
      <c r="I211" s="278">
        <f t="shared" ca="1" si="112"/>
        <v>0</v>
      </c>
      <c r="J211" s="278">
        <f t="shared" ca="1" si="112"/>
        <v>0</v>
      </c>
      <c r="K211" s="278">
        <f t="shared" ca="1" si="112"/>
        <v>0</v>
      </c>
      <c r="L211" s="278">
        <f t="shared" ca="1" si="112"/>
        <v>0</v>
      </c>
      <c r="M211" s="279" t="s">
        <v>6</v>
      </c>
      <c r="O211" s="282" t="s">
        <v>31</v>
      </c>
      <c r="P211" s="289">
        <f t="shared" ca="1" si="108"/>
        <v>0</v>
      </c>
      <c r="Q211" s="289">
        <f t="shared" ca="1" si="98"/>
        <v>0</v>
      </c>
      <c r="R211" s="289">
        <f t="shared" ca="1" si="99"/>
        <v>0</v>
      </c>
      <c r="S211" s="289">
        <f t="shared" ca="1" si="100"/>
        <v>0</v>
      </c>
      <c r="T211" s="289">
        <f t="shared" ca="1" si="101"/>
        <v>0</v>
      </c>
      <c r="U211" s="295" t="s">
        <v>6</v>
      </c>
      <c r="V211" s="289">
        <f t="shared" ca="1" si="102"/>
        <v>0</v>
      </c>
      <c r="W211" s="289">
        <f t="shared" ca="1" si="103"/>
        <v>0</v>
      </c>
      <c r="X211" s="289">
        <f t="shared" ca="1" si="104"/>
        <v>0</v>
      </c>
      <c r="Y211" s="289">
        <f t="shared" ca="1" si="105"/>
        <v>0</v>
      </c>
      <c r="Z211" s="292">
        <f t="shared" ca="1" si="106"/>
        <v>0</v>
      </c>
    </row>
    <row r="212" spans="2:26">
      <c r="B212" s="282" t="s">
        <v>119</v>
      </c>
      <c r="C212" s="278">
        <f t="shared" ref="C212:L212" ca="1" si="113">IF(C190&gt;D190,0,1)</f>
        <v>0</v>
      </c>
      <c r="D212" s="278">
        <f t="shared" ca="1" si="113"/>
        <v>0</v>
      </c>
      <c r="E212" s="278">
        <f t="shared" ca="1" si="113"/>
        <v>0</v>
      </c>
      <c r="F212" s="278">
        <f t="shared" ca="1" si="113"/>
        <v>0</v>
      </c>
      <c r="G212" s="278">
        <f t="shared" ca="1" si="113"/>
        <v>0</v>
      </c>
      <c r="H212" s="278">
        <f t="shared" ca="1" si="113"/>
        <v>0</v>
      </c>
      <c r="I212" s="278">
        <f t="shared" ca="1" si="113"/>
        <v>0</v>
      </c>
      <c r="J212" s="278">
        <f t="shared" ca="1" si="113"/>
        <v>0</v>
      </c>
      <c r="K212" s="278">
        <f t="shared" ca="1" si="113"/>
        <v>0</v>
      </c>
      <c r="L212" s="278">
        <f t="shared" ca="1" si="113"/>
        <v>0</v>
      </c>
      <c r="M212" s="279" t="s">
        <v>6</v>
      </c>
      <c r="O212" s="282" t="s">
        <v>119</v>
      </c>
      <c r="P212" s="289">
        <f t="shared" ca="1" si="108"/>
        <v>0</v>
      </c>
      <c r="Q212" s="289">
        <f t="shared" ca="1" si="98"/>
        <v>0</v>
      </c>
      <c r="R212" s="289">
        <f t="shared" ca="1" si="99"/>
        <v>0</v>
      </c>
      <c r="S212" s="289">
        <f t="shared" ca="1" si="100"/>
        <v>0</v>
      </c>
      <c r="T212" s="289">
        <f t="shared" ca="1" si="101"/>
        <v>0</v>
      </c>
      <c r="U212" s="295" t="s">
        <v>6</v>
      </c>
      <c r="V212" s="289">
        <f t="shared" ca="1" si="102"/>
        <v>0</v>
      </c>
      <c r="W212" s="289">
        <f t="shared" ca="1" si="103"/>
        <v>0</v>
      </c>
      <c r="X212" s="289">
        <f t="shared" ca="1" si="104"/>
        <v>0</v>
      </c>
      <c r="Y212" s="289">
        <f t="shared" ca="1" si="105"/>
        <v>0</v>
      </c>
      <c r="Z212" s="292">
        <f t="shared" ca="1" si="106"/>
        <v>0</v>
      </c>
    </row>
    <row r="213" spans="2:26">
      <c r="B213" s="282" t="s">
        <v>113</v>
      </c>
      <c r="C213" s="278">
        <f t="shared" ref="C213:L213" ca="1" si="114">IF(C191&gt;D191,0,1)</f>
        <v>0</v>
      </c>
      <c r="D213" s="278">
        <f t="shared" ca="1" si="114"/>
        <v>0</v>
      </c>
      <c r="E213" s="278">
        <f t="shared" ca="1" si="114"/>
        <v>0</v>
      </c>
      <c r="F213" s="278">
        <f t="shared" ca="1" si="114"/>
        <v>0</v>
      </c>
      <c r="G213" s="278">
        <f t="shared" ca="1" si="114"/>
        <v>0</v>
      </c>
      <c r="H213" s="278">
        <f t="shared" ca="1" si="114"/>
        <v>0</v>
      </c>
      <c r="I213" s="278">
        <f t="shared" ca="1" si="114"/>
        <v>0</v>
      </c>
      <c r="J213" s="278">
        <f t="shared" ca="1" si="114"/>
        <v>0</v>
      </c>
      <c r="K213" s="278">
        <f t="shared" ca="1" si="114"/>
        <v>0</v>
      </c>
      <c r="L213" s="278">
        <f t="shared" ca="1" si="114"/>
        <v>0</v>
      </c>
      <c r="M213" s="279" t="s">
        <v>6</v>
      </c>
      <c r="O213" s="282" t="s">
        <v>113</v>
      </c>
      <c r="P213" s="289">
        <f t="shared" ca="1" si="108"/>
        <v>0</v>
      </c>
      <c r="Q213" s="289">
        <f t="shared" ca="1" si="98"/>
        <v>0</v>
      </c>
      <c r="R213" s="289">
        <f t="shared" ca="1" si="99"/>
        <v>0</v>
      </c>
      <c r="S213" s="289">
        <f t="shared" ca="1" si="100"/>
        <v>0</v>
      </c>
      <c r="T213" s="289">
        <f t="shared" ca="1" si="101"/>
        <v>0</v>
      </c>
      <c r="U213" s="295" t="s">
        <v>6</v>
      </c>
      <c r="V213" s="289">
        <f t="shared" ca="1" si="102"/>
        <v>0</v>
      </c>
      <c r="W213" s="289">
        <f t="shared" ca="1" si="103"/>
        <v>0</v>
      </c>
      <c r="X213" s="289">
        <f t="shared" ca="1" si="104"/>
        <v>0</v>
      </c>
      <c r="Y213" s="289">
        <f t="shared" ca="1" si="105"/>
        <v>0</v>
      </c>
      <c r="Z213" s="292">
        <f t="shared" ca="1" si="106"/>
        <v>0</v>
      </c>
    </row>
    <row r="214" spans="2:26">
      <c r="B214" s="282" t="s">
        <v>28</v>
      </c>
      <c r="C214" s="278">
        <f t="shared" ref="C214:L214" ca="1" si="115">IF(C192&gt;D192,0,1)</f>
        <v>0</v>
      </c>
      <c r="D214" s="278">
        <f t="shared" ca="1" si="115"/>
        <v>0</v>
      </c>
      <c r="E214" s="278">
        <f t="shared" ca="1" si="115"/>
        <v>0</v>
      </c>
      <c r="F214" s="278">
        <f t="shared" ca="1" si="115"/>
        <v>0</v>
      </c>
      <c r="G214" s="278">
        <f t="shared" ca="1" si="115"/>
        <v>0</v>
      </c>
      <c r="H214" s="278">
        <f t="shared" ca="1" si="115"/>
        <v>0</v>
      </c>
      <c r="I214" s="278">
        <f t="shared" ca="1" si="115"/>
        <v>0</v>
      </c>
      <c r="J214" s="278">
        <f t="shared" ca="1" si="115"/>
        <v>0</v>
      </c>
      <c r="K214" s="278">
        <f t="shared" ca="1" si="115"/>
        <v>0</v>
      </c>
      <c r="L214" s="278">
        <f t="shared" ca="1" si="115"/>
        <v>0</v>
      </c>
      <c r="M214" s="279" t="s">
        <v>6</v>
      </c>
      <c r="O214" s="282" t="s">
        <v>28</v>
      </c>
      <c r="P214" s="289">
        <f t="shared" ca="1" si="108"/>
        <v>0</v>
      </c>
      <c r="Q214" s="289">
        <f t="shared" ca="1" si="98"/>
        <v>0</v>
      </c>
      <c r="R214" s="289">
        <f t="shared" ca="1" si="99"/>
        <v>0</v>
      </c>
      <c r="S214" s="289">
        <f t="shared" ca="1" si="100"/>
        <v>0</v>
      </c>
      <c r="T214" s="289">
        <f t="shared" ca="1" si="101"/>
        <v>0</v>
      </c>
      <c r="U214" s="295" t="s">
        <v>6</v>
      </c>
      <c r="V214" s="289">
        <f t="shared" ca="1" si="102"/>
        <v>0</v>
      </c>
      <c r="W214" s="289">
        <f t="shared" ca="1" si="103"/>
        <v>0</v>
      </c>
      <c r="X214" s="289">
        <f t="shared" ca="1" si="104"/>
        <v>0</v>
      </c>
      <c r="Y214" s="289">
        <f t="shared" ca="1" si="105"/>
        <v>0</v>
      </c>
      <c r="Z214" s="292">
        <f t="shared" ca="1" si="106"/>
        <v>0</v>
      </c>
    </row>
    <row r="215" spans="2:26">
      <c r="B215" s="282" t="s">
        <v>366</v>
      </c>
      <c r="C215" s="278">
        <f t="shared" ref="C215:L215" ca="1" si="116">IF(C193&gt;D193,0,1)</f>
        <v>0</v>
      </c>
      <c r="D215" s="278">
        <f t="shared" ca="1" si="116"/>
        <v>0</v>
      </c>
      <c r="E215" s="278">
        <f t="shared" ca="1" si="116"/>
        <v>0</v>
      </c>
      <c r="F215" s="278">
        <f t="shared" ca="1" si="116"/>
        <v>0</v>
      </c>
      <c r="G215" s="278">
        <f t="shared" ca="1" si="116"/>
        <v>0</v>
      </c>
      <c r="H215" s="278">
        <f t="shared" ca="1" si="116"/>
        <v>0</v>
      </c>
      <c r="I215" s="278">
        <f t="shared" ca="1" si="116"/>
        <v>0</v>
      </c>
      <c r="J215" s="278">
        <f t="shared" ca="1" si="116"/>
        <v>0</v>
      </c>
      <c r="K215" s="278">
        <f t="shared" ca="1" si="116"/>
        <v>0</v>
      </c>
      <c r="L215" s="278">
        <f t="shared" ca="1" si="116"/>
        <v>0</v>
      </c>
      <c r="M215" s="279" t="s">
        <v>6</v>
      </c>
      <c r="O215" s="282" t="s">
        <v>366</v>
      </c>
      <c r="P215" s="289">
        <f t="shared" ca="1" si="108"/>
        <v>0</v>
      </c>
      <c r="Q215" s="289">
        <f t="shared" ca="1" si="98"/>
        <v>0</v>
      </c>
      <c r="R215" s="289">
        <f t="shared" ca="1" si="99"/>
        <v>0</v>
      </c>
      <c r="S215" s="289">
        <f t="shared" ca="1" si="100"/>
        <v>0</v>
      </c>
      <c r="T215" s="289">
        <f t="shared" ca="1" si="101"/>
        <v>0</v>
      </c>
      <c r="U215" s="295" t="s">
        <v>6</v>
      </c>
      <c r="V215" s="289">
        <f t="shared" ca="1" si="102"/>
        <v>0</v>
      </c>
      <c r="W215" s="289">
        <f t="shared" ca="1" si="103"/>
        <v>0</v>
      </c>
      <c r="X215" s="289">
        <f t="shared" ca="1" si="104"/>
        <v>0</v>
      </c>
      <c r="Y215" s="289">
        <f t="shared" ca="1" si="105"/>
        <v>0</v>
      </c>
      <c r="Z215" s="292">
        <f t="shared" ca="1" si="106"/>
        <v>0</v>
      </c>
    </row>
    <row r="216" spans="2:26">
      <c r="B216" s="282" t="s">
        <v>26</v>
      </c>
      <c r="C216" s="278">
        <f t="shared" ref="C216:L216" ca="1" si="117">IF(C194&gt;D194,0,1)</f>
        <v>0</v>
      </c>
      <c r="D216" s="278">
        <f t="shared" ca="1" si="117"/>
        <v>0</v>
      </c>
      <c r="E216" s="278">
        <f t="shared" ca="1" si="117"/>
        <v>0</v>
      </c>
      <c r="F216" s="278">
        <f t="shared" ca="1" si="117"/>
        <v>0</v>
      </c>
      <c r="G216" s="278">
        <f t="shared" ca="1" si="117"/>
        <v>0</v>
      </c>
      <c r="H216" s="278">
        <f t="shared" ca="1" si="117"/>
        <v>0</v>
      </c>
      <c r="I216" s="278">
        <f t="shared" ca="1" si="117"/>
        <v>0</v>
      </c>
      <c r="J216" s="278">
        <f t="shared" ca="1" si="117"/>
        <v>0</v>
      </c>
      <c r="K216" s="278">
        <f t="shared" ca="1" si="117"/>
        <v>0</v>
      </c>
      <c r="L216" s="278">
        <f t="shared" ca="1" si="117"/>
        <v>0</v>
      </c>
      <c r="M216" s="279" t="s">
        <v>6</v>
      </c>
      <c r="O216" s="282" t="s">
        <v>26</v>
      </c>
      <c r="P216" s="289">
        <f t="shared" ca="1" si="108"/>
        <v>0</v>
      </c>
      <c r="Q216" s="289">
        <f t="shared" ca="1" si="98"/>
        <v>0</v>
      </c>
      <c r="R216" s="289">
        <f t="shared" ca="1" si="99"/>
        <v>0</v>
      </c>
      <c r="S216" s="289">
        <f t="shared" ca="1" si="100"/>
        <v>0</v>
      </c>
      <c r="T216" s="289">
        <f t="shared" ca="1" si="101"/>
        <v>0</v>
      </c>
      <c r="U216" s="295" t="s">
        <v>6</v>
      </c>
      <c r="V216" s="289">
        <f t="shared" ca="1" si="102"/>
        <v>0</v>
      </c>
      <c r="W216" s="289">
        <f t="shared" ca="1" si="103"/>
        <v>0</v>
      </c>
      <c r="X216" s="289">
        <f t="shared" ca="1" si="104"/>
        <v>0</v>
      </c>
      <c r="Y216" s="289">
        <f t="shared" ca="1" si="105"/>
        <v>0</v>
      </c>
      <c r="Z216" s="292">
        <f t="shared" ca="1" si="106"/>
        <v>0</v>
      </c>
    </row>
    <row r="217" spans="2:26">
      <c r="B217" s="282" t="s">
        <v>24</v>
      </c>
      <c r="C217" s="278">
        <f t="shared" ref="C217:L217" ca="1" si="118">IF(C195&gt;D195,0,1)</f>
        <v>0</v>
      </c>
      <c r="D217" s="278">
        <f t="shared" ca="1" si="118"/>
        <v>0</v>
      </c>
      <c r="E217" s="278">
        <f t="shared" ca="1" si="118"/>
        <v>0</v>
      </c>
      <c r="F217" s="278">
        <f t="shared" ca="1" si="118"/>
        <v>0</v>
      </c>
      <c r="G217" s="278">
        <f t="shared" ca="1" si="118"/>
        <v>0</v>
      </c>
      <c r="H217" s="278">
        <f t="shared" ca="1" si="118"/>
        <v>0</v>
      </c>
      <c r="I217" s="278">
        <f t="shared" ca="1" si="118"/>
        <v>0</v>
      </c>
      <c r="J217" s="278">
        <f t="shared" ca="1" si="118"/>
        <v>0</v>
      </c>
      <c r="K217" s="278">
        <f t="shared" ca="1" si="118"/>
        <v>0</v>
      </c>
      <c r="L217" s="278">
        <f t="shared" ca="1" si="118"/>
        <v>0</v>
      </c>
      <c r="M217" s="279" t="s">
        <v>6</v>
      </c>
      <c r="O217" s="282" t="s">
        <v>24</v>
      </c>
      <c r="P217" s="289">
        <f t="shared" ca="1" si="108"/>
        <v>0</v>
      </c>
      <c r="Q217" s="289">
        <f t="shared" ca="1" si="98"/>
        <v>0</v>
      </c>
      <c r="R217" s="289">
        <f t="shared" ca="1" si="99"/>
        <v>0</v>
      </c>
      <c r="S217" s="289">
        <f t="shared" ca="1" si="100"/>
        <v>0</v>
      </c>
      <c r="T217" s="289">
        <f t="shared" ca="1" si="101"/>
        <v>0</v>
      </c>
      <c r="U217" s="295" t="s">
        <v>6</v>
      </c>
      <c r="V217" s="289">
        <f t="shared" ca="1" si="102"/>
        <v>0</v>
      </c>
      <c r="W217" s="289">
        <f t="shared" ca="1" si="103"/>
        <v>0</v>
      </c>
      <c r="X217" s="289">
        <f t="shared" ca="1" si="104"/>
        <v>0</v>
      </c>
      <c r="Y217" s="289">
        <f t="shared" ca="1" si="105"/>
        <v>0</v>
      </c>
      <c r="Z217" s="292">
        <f t="shared" ca="1" si="106"/>
        <v>0</v>
      </c>
    </row>
    <row r="218" spans="2:26">
      <c r="B218" s="282" t="s">
        <v>20</v>
      </c>
      <c r="C218" s="278">
        <f t="shared" ref="C218:L218" ca="1" si="119">IF(C196&gt;D196,0,1)</f>
        <v>0</v>
      </c>
      <c r="D218" s="278">
        <f t="shared" ca="1" si="119"/>
        <v>0</v>
      </c>
      <c r="E218" s="278">
        <f t="shared" ca="1" si="119"/>
        <v>0</v>
      </c>
      <c r="F218" s="278">
        <f t="shared" ca="1" si="119"/>
        <v>0</v>
      </c>
      <c r="G218" s="278">
        <f t="shared" ca="1" si="119"/>
        <v>0</v>
      </c>
      <c r="H218" s="278">
        <f t="shared" ca="1" si="119"/>
        <v>0</v>
      </c>
      <c r="I218" s="278">
        <f t="shared" ca="1" si="119"/>
        <v>0</v>
      </c>
      <c r="J218" s="278">
        <f t="shared" ca="1" si="119"/>
        <v>0</v>
      </c>
      <c r="K218" s="278">
        <f t="shared" ca="1" si="119"/>
        <v>0</v>
      </c>
      <c r="L218" s="278">
        <f t="shared" ca="1" si="119"/>
        <v>0</v>
      </c>
      <c r="M218" s="279" t="s">
        <v>6</v>
      </c>
      <c r="O218" s="282" t="s">
        <v>20</v>
      </c>
      <c r="P218" s="289">
        <f t="shared" ca="1" si="108"/>
        <v>0</v>
      </c>
      <c r="Q218" s="289">
        <f t="shared" ca="1" si="98"/>
        <v>0</v>
      </c>
      <c r="R218" s="289">
        <f t="shared" ca="1" si="99"/>
        <v>0</v>
      </c>
      <c r="S218" s="289">
        <f t="shared" ca="1" si="100"/>
        <v>0</v>
      </c>
      <c r="T218" s="289">
        <f t="shared" ca="1" si="101"/>
        <v>0</v>
      </c>
      <c r="U218" s="295" t="s">
        <v>6</v>
      </c>
      <c r="V218" s="289">
        <f t="shared" ca="1" si="102"/>
        <v>0</v>
      </c>
      <c r="W218" s="289">
        <f t="shared" ca="1" si="103"/>
        <v>0</v>
      </c>
      <c r="X218" s="289">
        <f t="shared" ca="1" si="104"/>
        <v>0</v>
      </c>
      <c r="Y218" s="289">
        <f t="shared" ca="1" si="105"/>
        <v>0</v>
      </c>
      <c r="Z218" s="292">
        <f t="shared" ca="1" si="106"/>
        <v>0</v>
      </c>
    </row>
    <row r="219" spans="2:26">
      <c r="B219" s="282" t="s">
        <v>18</v>
      </c>
      <c r="C219" s="278">
        <f t="shared" ref="C219:L219" ca="1" si="120">IF(C197&gt;D197,0,1)</f>
        <v>0</v>
      </c>
      <c r="D219" s="278">
        <f t="shared" ca="1" si="120"/>
        <v>0</v>
      </c>
      <c r="E219" s="278">
        <f t="shared" ca="1" si="120"/>
        <v>0</v>
      </c>
      <c r="F219" s="278">
        <f t="shared" ca="1" si="120"/>
        <v>0</v>
      </c>
      <c r="G219" s="278">
        <f t="shared" ca="1" si="120"/>
        <v>0</v>
      </c>
      <c r="H219" s="278">
        <f t="shared" ca="1" si="120"/>
        <v>0</v>
      </c>
      <c r="I219" s="278">
        <f t="shared" ca="1" si="120"/>
        <v>0</v>
      </c>
      <c r="J219" s="278">
        <f t="shared" ca="1" si="120"/>
        <v>0</v>
      </c>
      <c r="K219" s="278">
        <f t="shared" ca="1" si="120"/>
        <v>0</v>
      </c>
      <c r="L219" s="278">
        <f t="shared" ca="1" si="120"/>
        <v>0</v>
      </c>
      <c r="M219" s="279" t="s">
        <v>6</v>
      </c>
      <c r="O219" s="282" t="s">
        <v>18</v>
      </c>
      <c r="P219" s="289">
        <f t="shared" ca="1" si="108"/>
        <v>0</v>
      </c>
      <c r="Q219" s="289">
        <f t="shared" ca="1" si="98"/>
        <v>0</v>
      </c>
      <c r="R219" s="289">
        <f t="shared" ca="1" si="99"/>
        <v>0</v>
      </c>
      <c r="S219" s="289">
        <f t="shared" ca="1" si="100"/>
        <v>0</v>
      </c>
      <c r="T219" s="289">
        <f t="shared" ca="1" si="101"/>
        <v>0</v>
      </c>
      <c r="U219" s="295" t="s">
        <v>6</v>
      </c>
      <c r="V219" s="289">
        <f t="shared" ca="1" si="102"/>
        <v>0</v>
      </c>
      <c r="W219" s="289">
        <f t="shared" ca="1" si="103"/>
        <v>0</v>
      </c>
      <c r="X219" s="289">
        <f t="shared" ca="1" si="104"/>
        <v>0</v>
      </c>
      <c r="Y219" s="289">
        <f t="shared" ca="1" si="105"/>
        <v>0</v>
      </c>
      <c r="Z219" s="292">
        <f t="shared" ca="1" si="106"/>
        <v>0</v>
      </c>
    </row>
    <row r="220" spans="2:26">
      <c r="B220" s="282" t="s">
        <v>17</v>
      </c>
      <c r="C220" s="278">
        <f t="shared" ref="C220:L220" ca="1" si="121">IF(C198&gt;D198,0,1)</f>
        <v>0</v>
      </c>
      <c r="D220" s="278">
        <f t="shared" ca="1" si="121"/>
        <v>0</v>
      </c>
      <c r="E220" s="278">
        <f t="shared" ca="1" si="121"/>
        <v>0</v>
      </c>
      <c r="F220" s="278">
        <f t="shared" ca="1" si="121"/>
        <v>0</v>
      </c>
      <c r="G220" s="278">
        <f t="shared" ca="1" si="121"/>
        <v>0</v>
      </c>
      <c r="H220" s="278">
        <f t="shared" ca="1" si="121"/>
        <v>0</v>
      </c>
      <c r="I220" s="278">
        <f t="shared" ca="1" si="121"/>
        <v>0</v>
      </c>
      <c r="J220" s="278">
        <f t="shared" ca="1" si="121"/>
        <v>0</v>
      </c>
      <c r="K220" s="278">
        <f t="shared" ca="1" si="121"/>
        <v>0</v>
      </c>
      <c r="L220" s="278">
        <f t="shared" ca="1" si="121"/>
        <v>0</v>
      </c>
      <c r="M220" s="279" t="s">
        <v>6</v>
      </c>
      <c r="O220" s="282" t="s">
        <v>17</v>
      </c>
      <c r="P220" s="289">
        <f t="shared" ca="1" si="108"/>
        <v>0</v>
      </c>
      <c r="Q220" s="289">
        <f t="shared" ca="1" si="98"/>
        <v>0</v>
      </c>
      <c r="R220" s="289">
        <f t="shared" ca="1" si="99"/>
        <v>0</v>
      </c>
      <c r="S220" s="289">
        <f t="shared" ca="1" si="100"/>
        <v>0</v>
      </c>
      <c r="T220" s="289">
        <f t="shared" ca="1" si="101"/>
        <v>0</v>
      </c>
      <c r="U220" s="295" t="s">
        <v>6</v>
      </c>
      <c r="V220" s="289">
        <f t="shared" ca="1" si="102"/>
        <v>0</v>
      </c>
      <c r="W220" s="289">
        <f t="shared" ca="1" si="103"/>
        <v>0</v>
      </c>
      <c r="X220" s="289">
        <f t="shared" ca="1" si="104"/>
        <v>0</v>
      </c>
      <c r="Y220" s="289">
        <f t="shared" ca="1" si="105"/>
        <v>0</v>
      </c>
      <c r="Z220" s="292">
        <f t="shared" ca="1" si="106"/>
        <v>0</v>
      </c>
    </row>
    <row r="221" spans="2:26">
      <c r="B221" s="282" t="s">
        <v>16</v>
      </c>
      <c r="C221" s="278">
        <f t="shared" ref="C221:L221" ca="1" si="122">IF(C199&gt;D199,0,1)</f>
        <v>0</v>
      </c>
      <c r="D221" s="278">
        <f t="shared" ca="1" si="122"/>
        <v>0</v>
      </c>
      <c r="E221" s="278">
        <f t="shared" ca="1" si="122"/>
        <v>0</v>
      </c>
      <c r="F221" s="278">
        <f t="shared" ca="1" si="122"/>
        <v>0</v>
      </c>
      <c r="G221" s="278">
        <f t="shared" ca="1" si="122"/>
        <v>0</v>
      </c>
      <c r="H221" s="278">
        <f t="shared" ca="1" si="122"/>
        <v>0</v>
      </c>
      <c r="I221" s="278">
        <f t="shared" ca="1" si="122"/>
        <v>0</v>
      </c>
      <c r="J221" s="278">
        <f t="shared" ca="1" si="122"/>
        <v>0</v>
      </c>
      <c r="K221" s="278">
        <f t="shared" ca="1" si="122"/>
        <v>0</v>
      </c>
      <c r="L221" s="278">
        <f t="shared" ca="1" si="122"/>
        <v>0</v>
      </c>
      <c r="M221" s="279" t="s">
        <v>6</v>
      </c>
      <c r="O221" s="282" t="s">
        <v>16</v>
      </c>
      <c r="P221" s="289">
        <f t="shared" ca="1" si="108"/>
        <v>0</v>
      </c>
      <c r="Q221" s="289">
        <f t="shared" ca="1" si="98"/>
        <v>0</v>
      </c>
      <c r="R221" s="289">
        <f t="shared" ca="1" si="99"/>
        <v>0</v>
      </c>
      <c r="S221" s="289">
        <f t="shared" ca="1" si="100"/>
        <v>0</v>
      </c>
      <c r="T221" s="289">
        <f t="shared" ca="1" si="101"/>
        <v>0</v>
      </c>
      <c r="U221" s="295" t="s">
        <v>6</v>
      </c>
      <c r="V221" s="289">
        <f t="shared" ca="1" si="102"/>
        <v>0</v>
      </c>
      <c r="W221" s="289">
        <f t="shared" ca="1" si="103"/>
        <v>0</v>
      </c>
      <c r="X221" s="289">
        <f t="shared" ca="1" si="104"/>
        <v>0</v>
      </c>
      <c r="Y221" s="289">
        <f t="shared" ca="1" si="105"/>
        <v>0</v>
      </c>
      <c r="Z221" s="292">
        <f t="shared" ca="1" si="106"/>
        <v>0</v>
      </c>
    </row>
    <row r="222" spans="2:26">
      <c r="B222" s="282" t="s">
        <v>15</v>
      </c>
      <c r="C222" s="278">
        <f t="shared" ref="C222:L222" ca="1" si="123">IF(C200&gt;D200,0,1)</f>
        <v>0</v>
      </c>
      <c r="D222" s="278">
        <f t="shared" ca="1" si="123"/>
        <v>0</v>
      </c>
      <c r="E222" s="278">
        <f t="shared" ca="1" si="123"/>
        <v>0</v>
      </c>
      <c r="F222" s="278">
        <f t="shared" ca="1" si="123"/>
        <v>0</v>
      </c>
      <c r="G222" s="278">
        <f t="shared" ca="1" si="123"/>
        <v>0</v>
      </c>
      <c r="H222" s="278">
        <f t="shared" ca="1" si="123"/>
        <v>0</v>
      </c>
      <c r="I222" s="278">
        <f t="shared" ca="1" si="123"/>
        <v>0</v>
      </c>
      <c r="J222" s="278">
        <f t="shared" ca="1" si="123"/>
        <v>0</v>
      </c>
      <c r="K222" s="278">
        <f t="shared" ca="1" si="123"/>
        <v>0</v>
      </c>
      <c r="L222" s="278">
        <f t="shared" ca="1" si="123"/>
        <v>0</v>
      </c>
      <c r="M222" s="279" t="s">
        <v>6</v>
      </c>
      <c r="O222" s="282" t="s">
        <v>15</v>
      </c>
      <c r="P222" s="289">
        <f t="shared" ca="1" si="108"/>
        <v>0</v>
      </c>
      <c r="Q222" s="289">
        <f t="shared" ca="1" si="98"/>
        <v>0</v>
      </c>
      <c r="R222" s="289">
        <f t="shared" ca="1" si="99"/>
        <v>0</v>
      </c>
      <c r="S222" s="289">
        <f t="shared" ca="1" si="100"/>
        <v>0</v>
      </c>
      <c r="T222" s="289">
        <f t="shared" ca="1" si="101"/>
        <v>0</v>
      </c>
      <c r="U222" s="295" t="s">
        <v>6</v>
      </c>
      <c r="V222" s="289">
        <f t="shared" ca="1" si="102"/>
        <v>0</v>
      </c>
      <c r="W222" s="289">
        <f t="shared" ca="1" si="103"/>
        <v>0</v>
      </c>
      <c r="X222" s="289">
        <f t="shared" ca="1" si="104"/>
        <v>0</v>
      </c>
      <c r="Y222" s="289">
        <f t="shared" ca="1" si="105"/>
        <v>0</v>
      </c>
      <c r="Z222" s="292">
        <f t="shared" ca="1" si="106"/>
        <v>0</v>
      </c>
    </row>
    <row r="223" spans="2:26">
      <c r="B223" s="282" t="s">
        <v>368</v>
      </c>
      <c r="C223" s="278">
        <f t="shared" ref="C223:L223" ca="1" si="124">IF(C201&gt;D201,0,1)</f>
        <v>0</v>
      </c>
      <c r="D223" s="278">
        <f t="shared" ca="1" si="124"/>
        <v>0</v>
      </c>
      <c r="E223" s="278">
        <f t="shared" ca="1" si="124"/>
        <v>0</v>
      </c>
      <c r="F223" s="278">
        <f t="shared" ca="1" si="124"/>
        <v>0</v>
      </c>
      <c r="G223" s="278">
        <f t="shared" ca="1" si="124"/>
        <v>0</v>
      </c>
      <c r="H223" s="278">
        <f t="shared" ca="1" si="124"/>
        <v>0</v>
      </c>
      <c r="I223" s="278">
        <f t="shared" ca="1" si="124"/>
        <v>0</v>
      </c>
      <c r="J223" s="278">
        <f t="shared" ca="1" si="124"/>
        <v>0</v>
      </c>
      <c r="K223" s="278">
        <f t="shared" ca="1" si="124"/>
        <v>0</v>
      </c>
      <c r="L223" s="278">
        <f t="shared" ca="1" si="124"/>
        <v>0</v>
      </c>
      <c r="M223" s="279" t="s">
        <v>6</v>
      </c>
      <c r="O223" s="282" t="s">
        <v>368</v>
      </c>
      <c r="P223" s="289">
        <f t="shared" ca="1" si="108"/>
        <v>0</v>
      </c>
      <c r="Q223" s="289">
        <f t="shared" ca="1" si="98"/>
        <v>0</v>
      </c>
      <c r="R223" s="289">
        <f t="shared" ca="1" si="99"/>
        <v>0</v>
      </c>
      <c r="S223" s="289">
        <f t="shared" ca="1" si="100"/>
        <v>0</v>
      </c>
      <c r="T223" s="289">
        <f t="shared" ca="1" si="101"/>
        <v>0</v>
      </c>
      <c r="U223" s="295" t="s">
        <v>6</v>
      </c>
      <c r="V223" s="289">
        <f t="shared" ca="1" si="102"/>
        <v>0</v>
      </c>
      <c r="W223" s="289">
        <f t="shared" ca="1" si="103"/>
        <v>0</v>
      </c>
      <c r="X223" s="289">
        <f t="shared" ca="1" si="104"/>
        <v>0</v>
      </c>
      <c r="Y223" s="289">
        <f t="shared" ca="1" si="105"/>
        <v>0</v>
      </c>
      <c r="Z223" s="292">
        <f t="shared" ca="1" si="106"/>
        <v>0</v>
      </c>
    </row>
    <row r="224" spans="2:26">
      <c r="B224" s="283" t="s">
        <v>14</v>
      </c>
      <c r="C224" s="280">
        <f t="shared" ref="C224:L224" ca="1" si="125">IF(C202&gt;D202,0,1)</f>
        <v>0</v>
      </c>
      <c r="D224" s="280">
        <f t="shared" ca="1" si="125"/>
        <v>0</v>
      </c>
      <c r="E224" s="280">
        <f t="shared" ca="1" si="125"/>
        <v>0</v>
      </c>
      <c r="F224" s="280">
        <f t="shared" ca="1" si="125"/>
        <v>0</v>
      </c>
      <c r="G224" s="280">
        <f t="shared" ca="1" si="125"/>
        <v>0</v>
      </c>
      <c r="H224" s="280">
        <f t="shared" ca="1" si="125"/>
        <v>0</v>
      </c>
      <c r="I224" s="280">
        <f t="shared" ca="1" si="125"/>
        <v>0</v>
      </c>
      <c r="J224" s="280">
        <f t="shared" ca="1" si="125"/>
        <v>0</v>
      </c>
      <c r="K224" s="280">
        <f t="shared" ca="1" si="125"/>
        <v>0</v>
      </c>
      <c r="L224" s="280">
        <f t="shared" ca="1" si="125"/>
        <v>0</v>
      </c>
      <c r="M224" s="281" t="s">
        <v>6</v>
      </c>
      <c r="O224" s="283" t="s">
        <v>14</v>
      </c>
      <c r="P224" s="293" t="s">
        <v>6</v>
      </c>
      <c r="Q224" s="293" t="s">
        <v>6</v>
      </c>
      <c r="R224" s="293" t="s">
        <v>6</v>
      </c>
      <c r="S224" s="293" t="s">
        <v>6</v>
      </c>
      <c r="T224" s="293" t="s">
        <v>6</v>
      </c>
      <c r="U224" s="296" t="s">
        <v>6</v>
      </c>
      <c r="V224" s="293" t="s">
        <v>6</v>
      </c>
      <c r="W224" s="293" t="s">
        <v>6</v>
      </c>
      <c r="X224" s="293" t="s">
        <v>6</v>
      </c>
      <c r="Y224" s="293" t="s">
        <v>6</v>
      </c>
      <c r="Z224" s="294" t="s">
        <v>6</v>
      </c>
    </row>
    <row r="227" spans="1:16">
      <c r="A227" s="224" t="s">
        <v>493</v>
      </c>
      <c r="B227" s="290" t="s">
        <v>495</v>
      </c>
      <c r="C227" s="284"/>
      <c r="G227" s="290" t="s">
        <v>495</v>
      </c>
    </row>
    <row r="228" spans="1:16">
      <c r="B228" s="284" t="s">
        <v>496</v>
      </c>
      <c r="C228" s="284"/>
      <c r="G228" s="284" t="s">
        <v>494</v>
      </c>
      <c r="H228" s="284"/>
    </row>
    <row r="229" spans="1:16">
      <c r="B229" s="258" t="s">
        <v>474</v>
      </c>
      <c r="C229" s="286">
        <f ca="1">SUM(C255:L273)</f>
        <v>0</v>
      </c>
      <c r="G229" s="258" t="s">
        <v>474</v>
      </c>
      <c r="H229" s="286">
        <f ca="1">SUM(P255:Z273)</f>
        <v>0</v>
      </c>
    </row>
    <row r="231" spans="1:16">
      <c r="B231" s="258" t="s">
        <v>477</v>
      </c>
      <c r="C231" s="258"/>
    </row>
    <row r="232" spans="1:16">
      <c r="B232" s="254" t="s">
        <v>468</v>
      </c>
      <c r="C232" s="276">
        <v>-0.05</v>
      </c>
      <c r="D232" s="276">
        <v>-0.04</v>
      </c>
      <c r="E232" s="276">
        <v>-0.03</v>
      </c>
      <c r="F232" s="276">
        <v>-1.9999999999999997E-2</v>
      </c>
      <c r="G232" s="276">
        <v>-9.9999999999999967E-3</v>
      </c>
      <c r="H232" s="276">
        <v>0</v>
      </c>
      <c r="I232" s="276">
        <v>0.01</v>
      </c>
      <c r="J232" s="276">
        <v>0.02</v>
      </c>
      <c r="K232" s="276">
        <v>0.03</v>
      </c>
      <c r="L232" s="276">
        <v>0.04</v>
      </c>
      <c r="M232" s="277">
        <v>0.05</v>
      </c>
      <c r="N232" s="256"/>
      <c r="O232" s="256"/>
      <c r="P232" s="256"/>
    </row>
    <row r="233" spans="1:16">
      <c r="B233" s="282" t="s">
        <v>42</v>
      </c>
      <c r="C233" s="278">
        <f ca="1">'EUR Swap PVs'!N52</f>
        <v>-100441.45996346937</v>
      </c>
      <c r="D233" s="278">
        <f ca="1">'EUR Swap PVs'!O52</f>
        <v>-80353.167970775496</v>
      </c>
      <c r="E233" s="278">
        <f ca="1">'EUR Swap PVs'!P52</f>
        <v>-60264.875978081611</v>
      </c>
      <c r="F233" s="278">
        <f ca="1">'EUR Swap PVs'!Q52</f>
        <v>-40176.583985387741</v>
      </c>
      <c r="G233" s="278">
        <f ca="1">'EUR Swap PVs'!R52</f>
        <v>-20088.291992693863</v>
      </c>
      <c r="H233" s="278">
        <f ca="1">'EUR Swap PVs'!S52</f>
        <v>0</v>
      </c>
      <c r="I233" s="278">
        <f ca="1">'EUR Swap PVs'!T52</f>
        <v>20088.291992693874</v>
      </c>
      <c r="J233" s="278">
        <f ca="1">'EUR Swap PVs'!U52</f>
        <v>40176.583985387748</v>
      </c>
      <c r="K233" s="278">
        <f ca="1">'EUR Swap PVs'!V52</f>
        <v>60264.875978081611</v>
      </c>
      <c r="L233" s="278">
        <f ca="1">'EUR Swap PVs'!W52</f>
        <v>80353.167970775481</v>
      </c>
      <c r="M233" s="279">
        <f ca="1">'EUR Swap PVs'!X52</f>
        <v>100441.45996346936</v>
      </c>
    </row>
    <row r="234" spans="1:16">
      <c r="B234" s="282" t="s">
        <v>39</v>
      </c>
      <c r="C234" s="278">
        <f ca="1">'EUR Swap PVs'!N53</f>
        <v>-150300.80743458585</v>
      </c>
      <c r="D234" s="278">
        <f ca="1">'EUR Swap PVs'!O53</f>
        <v>-120240.64594766869</v>
      </c>
      <c r="E234" s="278">
        <f ca="1">'EUR Swap PVs'!P53</f>
        <v>-90180.484460751526</v>
      </c>
      <c r="F234" s="278">
        <f ca="1">'EUR Swap PVs'!Q53</f>
        <v>-60120.322973834343</v>
      </c>
      <c r="G234" s="278">
        <f ca="1">'EUR Swap PVs'!R53</f>
        <v>-30060.161486917168</v>
      </c>
      <c r="H234" s="278">
        <f ca="1">'EUR Swap PVs'!S53</f>
        <v>8.6736173798840355E-13</v>
      </c>
      <c r="I234" s="278">
        <f ca="1">'EUR Swap PVs'!T53</f>
        <v>30060.161486917175</v>
      </c>
      <c r="J234" s="278">
        <f ca="1">'EUR Swap PVs'!U53</f>
        <v>60120.322973834351</v>
      </c>
      <c r="K234" s="278">
        <f ca="1">'EUR Swap PVs'!V53</f>
        <v>90180.484460751526</v>
      </c>
      <c r="L234" s="278">
        <f ca="1">'EUR Swap PVs'!W53</f>
        <v>120240.64594766872</v>
      </c>
      <c r="M234" s="279">
        <f ca="1">'EUR Swap PVs'!X53</f>
        <v>150300.80743458591</v>
      </c>
    </row>
    <row r="235" spans="1:16">
      <c r="B235" s="282" t="s">
        <v>35</v>
      </c>
      <c r="C235" s="278">
        <f ca="1">'EUR Swap PVs'!N54</f>
        <v>-199873.1557084099</v>
      </c>
      <c r="D235" s="278">
        <f ca="1">'EUR Swap PVs'!O54</f>
        <v>-159898.52456672789</v>
      </c>
      <c r="E235" s="278">
        <f ca="1">'EUR Swap PVs'!P54</f>
        <v>-119923.89342504593</v>
      </c>
      <c r="F235" s="278">
        <f ca="1">'EUR Swap PVs'!Q54</f>
        <v>-79949.262283363947</v>
      </c>
      <c r="G235" s="278">
        <f ca="1">'EUR Swap PVs'!R54</f>
        <v>-39974.631141681966</v>
      </c>
      <c r="H235" s="278">
        <f ca="1">'EUR Swap PVs'!S54</f>
        <v>0</v>
      </c>
      <c r="I235" s="278">
        <f ca="1">'EUR Swap PVs'!T54</f>
        <v>39974.631141681981</v>
      </c>
      <c r="J235" s="278">
        <f ca="1">'EUR Swap PVs'!U54</f>
        <v>79949.262283363947</v>
      </c>
      <c r="K235" s="278">
        <f ca="1">'EUR Swap PVs'!V54</f>
        <v>119923.89342504591</v>
      </c>
      <c r="L235" s="278">
        <f ca="1">'EUR Swap PVs'!W54</f>
        <v>159898.52456672792</v>
      </c>
      <c r="M235" s="279">
        <f ca="1">'EUR Swap PVs'!X54</f>
        <v>199873.15570840987</v>
      </c>
    </row>
    <row r="236" spans="1:16">
      <c r="B236" s="282" t="s">
        <v>33</v>
      </c>
      <c r="C236" s="278">
        <f ca="1">'EUR Swap PVs'!N55</f>
        <v>-249096.03223594063</v>
      </c>
      <c r="D236" s="278">
        <f ca="1">'EUR Swap PVs'!O55</f>
        <v>-199276.8257887525</v>
      </c>
      <c r="E236" s="278">
        <f ca="1">'EUR Swap PVs'!P55</f>
        <v>-149457.61934156436</v>
      </c>
      <c r="F236" s="278">
        <f ca="1">'EUR Swap PVs'!Q55</f>
        <v>-99638.412894376233</v>
      </c>
      <c r="G236" s="278">
        <f ca="1">'EUR Swap PVs'!R55</f>
        <v>-49819.206447188102</v>
      </c>
      <c r="H236" s="278">
        <f ca="1">'EUR Swap PVs'!S55</f>
        <v>0</v>
      </c>
      <c r="I236" s="278">
        <f ca="1">'EUR Swap PVs'!T55</f>
        <v>49819.206447188124</v>
      </c>
      <c r="J236" s="278">
        <f ca="1">'EUR Swap PVs'!U55</f>
        <v>99638.412894376248</v>
      </c>
      <c r="K236" s="278">
        <f ca="1">'EUR Swap PVs'!V55</f>
        <v>149457.61934156436</v>
      </c>
      <c r="L236" s="278">
        <f ca="1">'EUR Swap PVs'!W55</f>
        <v>199276.8257887525</v>
      </c>
      <c r="M236" s="279">
        <f ca="1">'EUR Swap PVs'!X55</f>
        <v>249096.03223594066</v>
      </c>
    </row>
    <row r="237" spans="1:16">
      <c r="B237" s="282" t="s">
        <v>131</v>
      </c>
      <c r="C237" s="278">
        <f ca="1">'EUR Swap PVs'!N56</f>
        <v>-297667.53869917651</v>
      </c>
      <c r="D237" s="278">
        <f ca="1">'EUR Swap PVs'!O56</f>
        <v>-238134.03095934118</v>
      </c>
      <c r="E237" s="278">
        <f ca="1">'EUR Swap PVs'!P56</f>
        <v>-178600.52321950591</v>
      </c>
      <c r="F237" s="278">
        <f ca="1">'EUR Swap PVs'!Q56</f>
        <v>-119067.01547967059</v>
      </c>
      <c r="G237" s="278">
        <f ca="1">'EUR Swap PVs'!R56</f>
        <v>-59533.507739835273</v>
      </c>
      <c r="H237" s="278">
        <f ca="1">'EUR Swap PVs'!S56</f>
        <v>0</v>
      </c>
      <c r="I237" s="278">
        <f ca="1">'EUR Swap PVs'!T56</f>
        <v>59533.507739835302</v>
      </c>
      <c r="J237" s="278">
        <f ca="1">'EUR Swap PVs'!U56</f>
        <v>119067.0154796706</v>
      </c>
      <c r="K237" s="278">
        <f ca="1">'EUR Swap PVs'!V56</f>
        <v>178600.52321950594</v>
      </c>
      <c r="L237" s="278">
        <f ca="1">'EUR Swap PVs'!W56</f>
        <v>238134.03095934121</v>
      </c>
      <c r="M237" s="279">
        <f ca="1">'EUR Swap PVs'!X56</f>
        <v>297667.53869917657</v>
      </c>
    </row>
    <row r="238" spans="1:16">
      <c r="B238" s="282" t="s">
        <v>31</v>
      </c>
      <c r="C238" s="278">
        <f ca="1">'EUR Swap PVs'!N57</f>
        <v>-345445.58092836302</v>
      </c>
      <c r="D238" s="278">
        <f ca="1">'EUR Swap PVs'!O57</f>
        <v>-276356.46474269044</v>
      </c>
      <c r="E238" s="278">
        <f ca="1">'EUR Swap PVs'!P57</f>
        <v>-207267.34855701777</v>
      </c>
      <c r="F238" s="278">
        <f ca="1">'EUR Swap PVs'!Q57</f>
        <v>-138178.23237134519</v>
      </c>
      <c r="G238" s="278">
        <f ca="1">'EUR Swap PVs'!R57</f>
        <v>-69089.116185672581</v>
      </c>
      <c r="H238" s="278">
        <f ca="1">'EUR Swap PVs'!S57</f>
        <v>-6.9388939039072284E-12</v>
      </c>
      <c r="I238" s="278">
        <f ca="1">'EUR Swap PVs'!T57</f>
        <v>69089.116185672581</v>
      </c>
      <c r="J238" s="278">
        <f ca="1">'EUR Swap PVs'!U57</f>
        <v>138178.23237134519</v>
      </c>
      <c r="K238" s="278">
        <f ca="1">'EUR Swap PVs'!V57</f>
        <v>207267.34855701777</v>
      </c>
      <c r="L238" s="278">
        <f ca="1">'EUR Swap PVs'!W57</f>
        <v>276356.46474269038</v>
      </c>
      <c r="M238" s="279">
        <f ca="1">'EUR Swap PVs'!X57</f>
        <v>345445.58092836302</v>
      </c>
    </row>
    <row r="239" spans="1:16">
      <c r="B239" s="282" t="s">
        <v>119</v>
      </c>
      <c r="C239" s="278">
        <f ca="1">'EUR Swap PVs'!N58</f>
        <v>-392585.59739955037</v>
      </c>
      <c r="D239" s="278">
        <f ca="1">'EUR Swap PVs'!O58</f>
        <v>-314068.47791964019</v>
      </c>
      <c r="E239" s="278">
        <f ca="1">'EUR Swap PVs'!P58</f>
        <v>-235551.35843973019</v>
      </c>
      <c r="F239" s="278">
        <f ca="1">'EUR Swap PVs'!Q58</f>
        <v>-157034.2389598201</v>
      </c>
      <c r="G239" s="278">
        <f ca="1">'EUR Swap PVs'!R58</f>
        <v>-78517.119479910034</v>
      </c>
      <c r="H239" s="278">
        <f ca="1">'EUR Swap PVs'!S58</f>
        <v>0</v>
      </c>
      <c r="I239" s="278">
        <f ca="1">'EUR Swap PVs'!T58</f>
        <v>78517.119479910078</v>
      </c>
      <c r="J239" s="278">
        <f ca="1">'EUR Swap PVs'!U58</f>
        <v>157034.23895982013</v>
      </c>
      <c r="K239" s="278">
        <f ca="1">'EUR Swap PVs'!V58</f>
        <v>235551.35843973019</v>
      </c>
      <c r="L239" s="278">
        <f ca="1">'EUR Swap PVs'!W58</f>
        <v>314068.47791964025</v>
      </c>
      <c r="M239" s="279">
        <f ca="1">'EUR Swap PVs'!X58</f>
        <v>392585.59739955037</v>
      </c>
    </row>
    <row r="240" spans="1:16">
      <c r="B240" s="282" t="s">
        <v>113</v>
      </c>
      <c r="C240" s="278">
        <f ca="1">'EUR Swap PVs'!N59</f>
        <v>-438252.52539896447</v>
      </c>
      <c r="D240" s="278">
        <f ca="1">'EUR Swap PVs'!O59</f>
        <v>-350602.02031917154</v>
      </c>
      <c r="E240" s="278">
        <f ca="1">'EUR Swap PVs'!P59</f>
        <v>-262951.51523937867</v>
      </c>
      <c r="F240" s="278">
        <f ca="1">'EUR Swap PVs'!Q59</f>
        <v>-175301.01015958577</v>
      </c>
      <c r="G240" s="278">
        <f ca="1">'EUR Swap PVs'!R59</f>
        <v>-87650.505079792856</v>
      </c>
      <c r="H240" s="278">
        <f ca="1">'EUR Swap PVs'!S59</f>
        <v>1.3877787807814457E-11</v>
      </c>
      <c r="I240" s="278">
        <f ca="1">'EUR Swap PVs'!T59</f>
        <v>87650.5050797929</v>
      </c>
      <c r="J240" s="278">
        <f ca="1">'EUR Swap PVs'!U59</f>
        <v>175301.01015958577</v>
      </c>
      <c r="K240" s="278">
        <f ca="1">'EUR Swap PVs'!V59</f>
        <v>262951.51523937873</v>
      </c>
      <c r="L240" s="278">
        <f ca="1">'EUR Swap PVs'!W59</f>
        <v>350602.0203191716</v>
      </c>
      <c r="M240" s="279">
        <f ca="1">'EUR Swap PVs'!X59</f>
        <v>438252.52539896447</v>
      </c>
    </row>
    <row r="241" spans="2:26">
      <c r="B241" s="282" t="s">
        <v>28</v>
      </c>
      <c r="C241" s="278">
        <f ca="1">'EUR Swap PVs'!N60</f>
        <v>-483168.64497448748</v>
      </c>
      <c r="D241" s="278">
        <f ca="1">'EUR Swap PVs'!O60</f>
        <v>-386534.91597958998</v>
      </c>
      <c r="E241" s="278">
        <f ca="1">'EUR Swap PVs'!P60</f>
        <v>-289901.18698469247</v>
      </c>
      <c r="F241" s="278">
        <f ca="1">'EUR Swap PVs'!Q60</f>
        <v>-193267.45798979493</v>
      </c>
      <c r="G241" s="278">
        <f ca="1">'EUR Swap PVs'!R60</f>
        <v>-96633.728994897465</v>
      </c>
      <c r="H241" s="278">
        <f ca="1">'EUR Swap PVs'!S60</f>
        <v>0</v>
      </c>
      <c r="I241" s="278">
        <f ca="1">'EUR Swap PVs'!T60</f>
        <v>96633.728994897479</v>
      </c>
      <c r="J241" s="278">
        <f ca="1">'EUR Swap PVs'!U60</f>
        <v>193267.45798979493</v>
      </c>
      <c r="K241" s="278">
        <f ca="1">'EUR Swap PVs'!V60</f>
        <v>289901.18698469247</v>
      </c>
      <c r="L241" s="278">
        <f ca="1">'EUR Swap PVs'!W60</f>
        <v>386534.91597958998</v>
      </c>
      <c r="M241" s="279">
        <f ca="1">'EUR Swap PVs'!X60</f>
        <v>483168.64497448754</v>
      </c>
    </row>
    <row r="242" spans="2:26">
      <c r="B242" s="282" t="s">
        <v>366</v>
      </c>
      <c r="C242" s="278">
        <f ca="1">'EUR Swap PVs'!N61</f>
        <v>-527061.76365639444</v>
      </c>
      <c r="D242" s="278">
        <f ca="1">'EUR Swap PVs'!O61</f>
        <v>-421649.41092511552</v>
      </c>
      <c r="E242" s="278">
        <f ca="1">'EUR Swap PVs'!P61</f>
        <v>-316237.05819383665</v>
      </c>
      <c r="F242" s="278">
        <f ca="1">'EUR Swap PVs'!Q61</f>
        <v>-210824.70546255773</v>
      </c>
      <c r="G242" s="278">
        <f ca="1">'EUR Swap PVs'!R61</f>
        <v>-105412.35273127886</v>
      </c>
      <c r="H242" s="278">
        <f ca="1">'EUR Swap PVs'!S61</f>
        <v>0</v>
      </c>
      <c r="I242" s="278">
        <f ca="1">'EUR Swap PVs'!T61</f>
        <v>105412.35273127888</v>
      </c>
      <c r="J242" s="278">
        <f ca="1">'EUR Swap PVs'!U61</f>
        <v>210824.70546255773</v>
      </c>
      <c r="K242" s="278">
        <f ca="1">'EUR Swap PVs'!V61</f>
        <v>316237.05819383665</v>
      </c>
      <c r="L242" s="278">
        <f ca="1">'EUR Swap PVs'!W61</f>
        <v>421649.41092511563</v>
      </c>
      <c r="M242" s="279">
        <f ca="1">'EUR Swap PVs'!X61</f>
        <v>527061.76365639444</v>
      </c>
    </row>
    <row r="243" spans="2:26">
      <c r="B243" s="282" t="s">
        <v>26</v>
      </c>
      <c r="C243" s="278">
        <f ca="1">'EUR Swap PVs'!N62</f>
        <v>-569938.0308485931</v>
      </c>
      <c r="D243" s="278">
        <f ca="1">'EUR Swap PVs'!O62</f>
        <v>-455950.42467887449</v>
      </c>
      <c r="E243" s="278">
        <f ca="1">'EUR Swap PVs'!P62</f>
        <v>-341962.81850915583</v>
      </c>
      <c r="F243" s="278">
        <f ca="1">'EUR Swap PVs'!Q62</f>
        <v>-227975.21233943719</v>
      </c>
      <c r="G243" s="278">
        <f ca="1">'EUR Swap PVs'!R62</f>
        <v>-113987.60616971858</v>
      </c>
      <c r="H243" s="278">
        <f ca="1">'EUR Swap PVs'!S62</f>
        <v>0</v>
      </c>
      <c r="I243" s="278">
        <f ca="1">'EUR Swap PVs'!T62</f>
        <v>113987.60616971865</v>
      </c>
      <c r="J243" s="278">
        <f ca="1">'EUR Swap PVs'!U62</f>
        <v>227975.2123394373</v>
      </c>
      <c r="K243" s="278">
        <f ca="1">'EUR Swap PVs'!V62</f>
        <v>341962.81850915577</v>
      </c>
      <c r="L243" s="278">
        <f ca="1">'EUR Swap PVs'!W62</f>
        <v>455950.42467887449</v>
      </c>
      <c r="M243" s="279">
        <f ca="1">'EUR Swap PVs'!X62</f>
        <v>569938.0308485931</v>
      </c>
    </row>
    <row r="244" spans="2:26">
      <c r="B244" s="282" t="s">
        <v>24</v>
      </c>
      <c r="C244" s="278">
        <f ca="1">'EUR Swap PVs'!N63</f>
        <v>-692615.23399544926</v>
      </c>
      <c r="D244" s="278">
        <f ca="1">'EUR Swap PVs'!O63</f>
        <v>-554092.18719635939</v>
      </c>
      <c r="E244" s="278">
        <f ca="1">'EUR Swap PVs'!P63</f>
        <v>-415569.14039726957</v>
      </c>
      <c r="F244" s="278">
        <f ca="1">'EUR Swap PVs'!Q63</f>
        <v>-277046.09359817969</v>
      </c>
      <c r="G244" s="278">
        <f ca="1">'EUR Swap PVs'!R63</f>
        <v>-138523.04679908982</v>
      </c>
      <c r="H244" s="278">
        <f ca="1">'EUR Swap PVs'!S63</f>
        <v>0</v>
      </c>
      <c r="I244" s="278">
        <f ca="1">'EUR Swap PVs'!T63</f>
        <v>138523.04679908988</v>
      </c>
      <c r="J244" s="278">
        <f ca="1">'EUR Swap PVs'!U63</f>
        <v>277046.09359817969</v>
      </c>
      <c r="K244" s="278">
        <f ca="1">'EUR Swap PVs'!V63</f>
        <v>415569.14039726957</v>
      </c>
      <c r="L244" s="278">
        <f ca="1">'EUR Swap PVs'!W63</f>
        <v>554092.18719635939</v>
      </c>
      <c r="M244" s="279">
        <f ca="1">'EUR Swap PVs'!X63</f>
        <v>692615.23399544938</v>
      </c>
    </row>
    <row r="245" spans="2:26">
      <c r="B245" s="282" t="s">
        <v>20</v>
      </c>
      <c r="C245" s="278">
        <f ca="1">'EUR Swap PVs'!N64</f>
        <v>-879086.65850046882</v>
      </c>
      <c r="D245" s="278">
        <f ca="1">'EUR Swap PVs'!O64</f>
        <v>-703269.32680037513</v>
      </c>
      <c r="E245" s="278">
        <f ca="1">'EUR Swap PVs'!P64</f>
        <v>-527451.99510028132</v>
      </c>
      <c r="F245" s="278">
        <f ca="1">'EUR Swap PVs'!Q64</f>
        <v>-351634.66340018745</v>
      </c>
      <c r="G245" s="278">
        <f ca="1">'EUR Swap PVs'!R64</f>
        <v>-175817.33170009372</v>
      </c>
      <c r="H245" s="278">
        <f ca="1">'EUR Swap PVs'!S64</f>
        <v>0</v>
      </c>
      <c r="I245" s="278">
        <f ca="1">'EUR Swap PVs'!T64</f>
        <v>175817.33170009378</v>
      </c>
      <c r="J245" s="278">
        <f ca="1">'EUR Swap PVs'!U64</f>
        <v>351634.66340018756</v>
      </c>
      <c r="K245" s="278">
        <f ca="1">'EUR Swap PVs'!V64</f>
        <v>527451.9951002812</v>
      </c>
      <c r="L245" s="278">
        <f ca="1">'EUR Swap PVs'!W64</f>
        <v>703269.3268003749</v>
      </c>
      <c r="M245" s="279">
        <f ca="1">'EUR Swap PVs'!X64</f>
        <v>879086.65850046882</v>
      </c>
    </row>
    <row r="246" spans="2:26">
      <c r="B246" s="282" t="s">
        <v>18</v>
      </c>
      <c r="C246" s="278">
        <f ca="1">'EUR Swap PVs'!N65</f>
        <v>-1047182.7946827149</v>
      </c>
      <c r="D246" s="278">
        <f ca="1">'EUR Swap PVs'!O65</f>
        <v>-837746.23574617179</v>
      </c>
      <c r="E246" s="278">
        <f ca="1">'EUR Swap PVs'!P65</f>
        <v>-628309.67680962884</v>
      </c>
      <c r="F246" s="278">
        <f ca="1">'EUR Swap PVs'!Q65</f>
        <v>-418873.11787308584</v>
      </c>
      <c r="G246" s="278">
        <f ca="1">'EUR Swap PVs'!R65</f>
        <v>-209436.55893654289</v>
      </c>
      <c r="H246" s="278">
        <f ca="1">'EUR Swap PVs'!S65</f>
        <v>0</v>
      </c>
      <c r="I246" s="278">
        <f ca="1">'EUR Swap PVs'!T65</f>
        <v>209436.55893654301</v>
      </c>
      <c r="J246" s="278">
        <f ca="1">'EUR Swap PVs'!U65</f>
        <v>418873.11787308601</v>
      </c>
      <c r="K246" s="278">
        <f ca="1">'EUR Swap PVs'!V65</f>
        <v>628309.67680962896</v>
      </c>
      <c r="L246" s="278">
        <f ca="1">'EUR Swap PVs'!W65</f>
        <v>837746.23574617191</v>
      </c>
      <c r="M246" s="279">
        <f ca="1">'EUR Swap PVs'!X65</f>
        <v>1047182.7946827146</v>
      </c>
    </row>
    <row r="247" spans="2:26">
      <c r="B247" s="282" t="s">
        <v>17</v>
      </c>
      <c r="C247" s="278">
        <f ca="1">'EUR Swap PVs'!N66</f>
        <v>-1200253.8604142829</v>
      </c>
      <c r="D247" s="278">
        <f ca="1">'EUR Swap PVs'!O66</f>
        <v>-960203.08833142626</v>
      </c>
      <c r="E247" s="278">
        <f ca="1">'EUR Swap PVs'!P66</f>
        <v>-720152.31624856964</v>
      </c>
      <c r="F247" s="278">
        <f ca="1">'EUR Swap PVs'!Q66</f>
        <v>-480101.54416571307</v>
      </c>
      <c r="G247" s="278">
        <f ca="1">'EUR Swap PVs'!R66</f>
        <v>-240050.77208285648</v>
      </c>
      <c r="H247" s="278">
        <f ca="1">'EUR Swap PVs'!S66</f>
        <v>5.5511151231257827E-11</v>
      </c>
      <c r="I247" s="278">
        <f ca="1">'EUR Swap PVs'!T66</f>
        <v>240050.77208285668</v>
      </c>
      <c r="J247" s="278">
        <f ca="1">'EUR Swap PVs'!U66</f>
        <v>480101.54416571331</v>
      </c>
      <c r="K247" s="278">
        <f ca="1">'EUR Swap PVs'!V66</f>
        <v>720152.31624856987</v>
      </c>
      <c r="L247" s="278">
        <f ca="1">'EUR Swap PVs'!W66</f>
        <v>960203.08833142649</v>
      </c>
      <c r="M247" s="279">
        <f ca="1">'EUR Swap PVs'!X66</f>
        <v>1200253.8604142831</v>
      </c>
    </row>
    <row r="248" spans="2:26">
      <c r="B248" s="282" t="s">
        <v>16</v>
      </c>
      <c r="C248" s="278">
        <f ca="1">'EUR Swap PVs'!N67</f>
        <v>-1341179.2700771403</v>
      </c>
      <c r="D248" s="278">
        <f ca="1">'EUR Swap PVs'!O67</f>
        <v>-1072943.4160617122</v>
      </c>
      <c r="E248" s="278">
        <f ca="1">'EUR Swap PVs'!P67</f>
        <v>-804707.56204628397</v>
      </c>
      <c r="F248" s="278">
        <f ca="1">'EUR Swap PVs'!Q67</f>
        <v>-536471.70803085598</v>
      </c>
      <c r="G248" s="278">
        <f ca="1">'EUR Swap PVs'!R67</f>
        <v>-268235.85401542793</v>
      </c>
      <c r="H248" s="278">
        <f ca="1">'EUR Swap PVs'!S67</f>
        <v>0</v>
      </c>
      <c r="I248" s="278">
        <f ca="1">'EUR Swap PVs'!T67</f>
        <v>268235.85401542799</v>
      </c>
      <c r="J248" s="278">
        <f ca="1">'EUR Swap PVs'!U67</f>
        <v>536471.7080308561</v>
      </c>
      <c r="K248" s="278">
        <f ca="1">'EUR Swap PVs'!V67</f>
        <v>804707.56204628397</v>
      </c>
      <c r="L248" s="278">
        <f ca="1">'EUR Swap PVs'!W67</f>
        <v>1072943.4160617122</v>
      </c>
      <c r="M248" s="279">
        <f ca="1">'EUR Swap PVs'!X67</f>
        <v>1341179.2700771401</v>
      </c>
    </row>
    <row r="249" spans="2:26">
      <c r="B249" s="282" t="s">
        <v>15</v>
      </c>
      <c r="C249" s="278">
        <f ca="1">'EUR Swap PVs'!N68</f>
        <v>-1471307.5991774679</v>
      </c>
      <c r="D249" s="278">
        <f ca="1">'EUR Swap PVs'!O68</f>
        <v>-1177046.0793419741</v>
      </c>
      <c r="E249" s="278">
        <f ca="1">'EUR Swap PVs'!P68</f>
        <v>-882784.55950648058</v>
      </c>
      <c r="F249" s="278">
        <f ca="1">'EUR Swap PVs'!Q68</f>
        <v>-588523.03967098705</v>
      </c>
      <c r="G249" s="278">
        <f ca="1">'EUR Swap PVs'!R68</f>
        <v>-294261.51983549347</v>
      </c>
      <c r="H249" s="278">
        <f ca="1">'EUR Swap PVs'!S68</f>
        <v>0</v>
      </c>
      <c r="I249" s="278">
        <f ca="1">'EUR Swap PVs'!T68</f>
        <v>294261.51983549353</v>
      </c>
      <c r="J249" s="278">
        <f ca="1">'EUR Swap PVs'!U68</f>
        <v>588523.03967098694</v>
      </c>
      <c r="K249" s="278">
        <f ca="1">'EUR Swap PVs'!V68</f>
        <v>882784.55950648058</v>
      </c>
      <c r="L249" s="278">
        <f ca="1">'EUR Swap PVs'!W68</f>
        <v>1177046.0793419741</v>
      </c>
      <c r="M249" s="279">
        <f ca="1">'EUR Swap PVs'!X68</f>
        <v>1471307.5991774681</v>
      </c>
    </row>
    <row r="250" spans="2:26">
      <c r="B250" s="282" t="s">
        <v>368</v>
      </c>
      <c r="C250" s="278">
        <f ca="1">'EUR Swap PVs'!N69</f>
        <v>-1589983.8927858977</v>
      </c>
      <c r="D250" s="278">
        <f ca="1">'EUR Swap PVs'!O69</f>
        <v>-1271987.114228718</v>
      </c>
      <c r="E250" s="278">
        <f ca="1">'EUR Swap PVs'!P69</f>
        <v>-953990.33567153849</v>
      </c>
      <c r="F250" s="278">
        <f ca="1">'EUR Swap PVs'!Q69</f>
        <v>-635993.55711435887</v>
      </c>
      <c r="G250" s="278">
        <f ca="1">'EUR Swap PVs'!R69</f>
        <v>-317996.77855717938</v>
      </c>
      <c r="H250" s="278">
        <f ca="1">'EUR Swap PVs'!S69</f>
        <v>0</v>
      </c>
      <c r="I250" s="278">
        <f ca="1">'EUR Swap PVs'!T69</f>
        <v>317996.77855717944</v>
      </c>
      <c r="J250" s="278">
        <f ca="1">'EUR Swap PVs'!U69</f>
        <v>635993.55711435899</v>
      </c>
      <c r="K250" s="278">
        <f ca="1">'EUR Swap PVs'!V69</f>
        <v>953990.33567153837</v>
      </c>
      <c r="L250" s="278">
        <f ca="1">'EUR Swap PVs'!W69</f>
        <v>1271987.1142287182</v>
      </c>
      <c r="M250" s="279">
        <f ca="1">'EUR Swap PVs'!X69</f>
        <v>1589983.8927858972</v>
      </c>
    </row>
    <row r="251" spans="2:26">
      <c r="B251" s="283" t="s">
        <v>14</v>
      </c>
      <c r="C251" s="280">
        <f ca="1">'EUR Swap PVs'!N70</f>
        <v>-1698516.6839658313</v>
      </c>
      <c r="D251" s="280">
        <f ca="1">'EUR Swap PVs'!O70</f>
        <v>-1358813.3471726649</v>
      </c>
      <c r="E251" s="280">
        <f ca="1">'EUR Swap PVs'!P70</f>
        <v>-1019110.0103794988</v>
      </c>
      <c r="F251" s="280">
        <f ca="1">'EUR Swap PVs'!Q70</f>
        <v>-679406.67358633247</v>
      </c>
      <c r="G251" s="280">
        <f ca="1">'EUR Swap PVs'!R70</f>
        <v>-339703.33679316618</v>
      </c>
      <c r="H251" s="280">
        <f ca="1">'EUR Swap PVs'!S70</f>
        <v>0</v>
      </c>
      <c r="I251" s="280">
        <f ca="1">'EUR Swap PVs'!T70</f>
        <v>339703.33679316635</v>
      </c>
      <c r="J251" s="280">
        <f ca="1">'EUR Swap PVs'!U70</f>
        <v>679406.67358633259</v>
      </c>
      <c r="K251" s="280">
        <f ca="1">'EUR Swap PVs'!V70</f>
        <v>1019110.0103794986</v>
      </c>
      <c r="L251" s="280">
        <f ca="1">'EUR Swap PVs'!W70</f>
        <v>1358813.3471726649</v>
      </c>
      <c r="M251" s="281">
        <f ca="1">'EUR Swap PVs'!X70</f>
        <v>1698516.6839658313</v>
      </c>
    </row>
    <row r="253" spans="2:26">
      <c r="B253" s="258" t="s">
        <v>472</v>
      </c>
      <c r="O253" s="258" t="s">
        <v>472</v>
      </c>
    </row>
    <row r="254" spans="2:26">
      <c r="B254" s="254" t="s">
        <v>468</v>
      </c>
      <c r="C254" s="276">
        <v>-0.05</v>
      </c>
      <c r="D254" s="276">
        <v>-0.04</v>
      </c>
      <c r="E254" s="276">
        <v>-0.03</v>
      </c>
      <c r="F254" s="276">
        <v>-1.9999999999999997E-2</v>
      </c>
      <c r="G254" s="276">
        <v>-9.9999999999999967E-3</v>
      </c>
      <c r="H254" s="276">
        <v>0</v>
      </c>
      <c r="I254" s="276">
        <v>0.01</v>
      </c>
      <c r="J254" s="276">
        <v>0.02</v>
      </c>
      <c r="K254" s="276">
        <v>0.03</v>
      </c>
      <c r="L254" s="276">
        <v>0.04</v>
      </c>
      <c r="M254" s="277">
        <v>0.05</v>
      </c>
      <c r="O254" s="254" t="s">
        <v>468</v>
      </c>
      <c r="P254" s="276">
        <v>-0.05</v>
      </c>
      <c r="Q254" s="276">
        <v>-0.04</v>
      </c>
      <c r="R254" s="276">
        <v>-0.03</v>
      </c>
      <c r="S254" s="276">
        <v>-1.9999999999999997E-2</v>
      </c>
      <c r="T254" s="276">
        <v>-9.9999999999999967E-3</v>
      </c>
      <c r="U254" s="276">
        <v>0</v>
      </c>
      <c r="V254" s="276">
        <v>0.01</v>
      </c>
      <c r="W254" s="276">
        <v>0.02</v>
      </c>
      <c r="X254" s="276">
        <v>0.03</v>
      </c>
      <c r="Y254" s="276">
        <v>0.04</v>
      </c>
      <c r="Z254" s="277">
        <v>0.05</v>
      </c>
    </row>
    <row r="255" spans="2:26">
      <c r="B255" s="282" t="s">
        <v>42</v>
      </c>
      <c r="C255" s="278">
        <f ca="1">IF(C233&lt;D233,0,1)</f>
        <v>0</v>
      </c>
      <c r="D255" s="278">
        <f t="shared" ref="D255:L255" ca="1" si="126">IF(D233&lt;E233,0,1)</f>
        <v>0</v>
      </c>
      <c r="E255" s="278">
        <f t="shared" ca="1" si="126"/>
        <v>0</v>
      </c>
      <c r="F255" s="278">
        <f t="shared" ca="1" si="126"/>
        <v>0</v>
      </c>
      <c r="G255" s="278">
        <f t="shared" ca="1" si="126"/>
        <v>0</v>
      </c>
      <c r="H255" s="278">
        <f t="shared" ca="1" si="126"/>
        <v>0</v>
      </c>
      <c r="I255" s="278">
        <f t="shared" ca="1" si="126"/>
        <v>0</v>
      </c>
      <c r="J255" s="278">
        <f t="shared" ca="1" si="126"/>
        <v>0</v>
      </c>
      <c r="K255" s="278">
        <f t="shared" ca="1" si="126"/>
        <v>0</v>
      </c>
      <c r="L255" s="278">
        <f t="shared" ca="1" si="126"/>
        <v>0</v>
      </c>
      <c r="M255" s="285" t="s">
        <v>6</v>
      </c>
      <c r="O255" s="282" t="s">
        <v>42</v>
      </c>
      <c r="P255" s="289">
        <f ca="1">IF(ABS(C234)&gt;ABS(C233),0,1)</f>
        <v>0</v>
      </c>
      <c r="Q255" s="289">
        <f t="shared" ref="Q255:Q272" ca="1" si="127">IF(ABS(D234)&gt;ABS(D233),0,1)</f>
        <v>0</v>
      </c>
      <c r="R255" s="289">
        <f t="shared" ref="R255:R272" ca="1" si="128">IF(ABS(E234)&gt;ABS(E233),0,1)</f>
        <v>0</v>
      </c>
      <c r="S255" s="289">
        <f t="shared" ref="S255:S272" ca="1" si="129">IF(ABS(F234)&gt;ABS(F233),0,1)</f>
        <v>0</v>
      </c>
      <c r="T255" s="289">
        <f t="shared" ref="T255:T272" ca="1" si="130">IF(ABS(G234)&gt;ABS(G233),0,1)</f>
        <v>0</v>
      </c>
      <c r="U255" s="295" t="s">
        <v>6</v>
      </c>
      <c r="V255" s="289">
        <f t="shared" ref="V255:V272" ca="1" si="131">IF(ABS(I234)&gt;ABS(I233),0,1)</f>
        <v>0</v>
      </c>
      <c r="W255" s="289">
        <f t="shared" ref="W255:W272" ca="1" si="132">IF(ABS(J234)&gt;ABS(J233),0,1)</f>
        <v>0</v>
      </c>
      <c r="X255" s="289">
        <f t="shared" ref="X255:X272" ca="1" si="133">IF(ABS(K234)&gt;ABS(K233),0,1)</f>
        <v>0</v>
      </c>
      <c r="Y255" s="289">
        <f t="shared" ref="Y255:Y272" ca="1" si="134">IF(ABS(L234)&gt;ABS(L233),0,1)</f>
        <v>0</v>
      </c>
      <c r="Z255" s="291">
        <f t="shared" ref="Z255:Z272" ca="1" si="135">IF(ABS(M234)&gt;ABS(M233),0,1)</f>
        <v>0</v>
      </c>
    </row>
    <row r="256" spans="2:26">
      <c r="B256" s="282" t="s">
        <v>39</v>
      </c>
      <c r="C256" s="278">
        <f t="shared" ref="C256:L256" ca="1" si="136">IF(C234&lt;D234,0,1)</f>
        <v>0</v>
      </c>
      <c r="D256" s="278">
        <f t="shared" ca="1" si="136"/>
        <v>0</v>
      </c>
      <c r="E256" s="278">
        <f t="shared" ca="1" si="136"/>
        <v>0</v>
      </c>
      <c r="F256" s="278">
        <f t="shared" ca="1" si="136"/>
        <v>0</v>
      </c>
      <c r="G256" s="278">
        <f t="shared" ca="1" si="136"/>
        <v>0</v>
      </c>
      <c r="H256" s="278">
        <f t="shared" ca="1" si="136"/>
        <v>0</v>
      </c>
      <c r="I256" s="278">
        <f t="shared" ca="1" si="136"/>
        <v>0</v>
      </c>
      <c r="J256" s="278">
        <f t="shared" ca="1" si="136"/>
        <v>0</v>
      </c>
      <c r="K256" s="278">
        <f t="shared" ca="1" si="136"/>
        <v>0</v>
      </c>
      <c r="L256" s="278">
        <f t="shared" ca="1" si="136"/>
        <v>0</v>
      </c>
      <c r="M256" s="279" t="s">
        <v>6</v>
      </c>
      <c r="O256" s="282" t="s">
        <v>39</v>
      </c>
      <c r="P256" s="289">
        <f t="shared" ref="P256:P272" ca="1" si="137">IF(ABS(C235)&gt;ABS(C234),0,1)</f>
        <v>0</v>
      </c>
      <c r="Q256" s="289">
        <f t="shared" ca="1" si="127"/>
        <v>0</v>
      </c>
      <c r="R256" s="289">
        <f t="shared" ca="1" si="128"/>
        <v>0</v>
      </c>
      <c r="S256" s="289">
        <f t="shared" ca="1" si="129"/>
        <v>0</v>
      </c>
      <c r="T256" s="289">
        <f t="shared" ca="1" si="130"/>
        <v>0</v>
      </c>
      <c r="U256" s="295" t="s">
        <v>6</v>
      </c>
      <c r="V256" s="289">
        <f t="shared" ca="1" si="131"/>
        <v>0</v>
      </c>
      <c r="W256" s="289">
        <f t="shared" ca="1" si="132"/>
        <v>0</v>
      </c>
      <c r="X256" s="289">
        <f t="shared" ca="1" si="133"/>
        <v>0</v>
      </c>
      <c r="Y256" s="289">
        <f t="shared" ca="1" si="134"/>
        <v>0</v>
      </c>
      <c r="Z256" s="292">
        <f t="shared" ca="1" si="135"/>
        <v>0</v>
      </c>
    </row>
    <row r="257" spans="2:26">
      <c r="B257" s="282" t="s">
        <v>35</v>
      </c>
      <c r="C257" s="278">
        <f t="shared" ref="C257:L257" ca="1" si="138">IF(C235&lt;D235,0,1)</f>
        <v>0</v>
      </c>
      <c r="D257" s="278">
        <f t="shared" ca="1" si="138"/>
        <v>0</v>
      </c>
      <c r="E257" s="278">
        <f t="shared" ca="1" si="138"/>
        <v>0</v>
      </c>
      <c r="F257" s="278">
        <f t="shared" ca="1" si="138"/>
        <v>0</v>
      </c>
      <c r="G257" s="278">
        <f t="shared" ca="1" si="138"/>
        <v>0</v>
      </c>
      <c r="H257" s="278">
        <f t="shared" ca="1" si="138"/>
        <v>0</v>
      </c>
      <c r="I257" s="278">
        <f t="shared" ca="1" si="138"/>
        <v>0</v>
      </c>
      <c r="J257" s="278">
        <f t="shared" ca="1" si="138"/>
        <v>0</v>
      </c>
      <c r="K257" s="278">
        <f t="shared" ca="1" si="138"/>
        <v>0</v>
      </c>
      <c r="L257" s="278">
        <f t="shared" ca="1" si="138"/>
        <v>0</v>
      </c>
      <c r="M257" s="279" t="s">
        <v>6</v>
      </c>
      <c r="O257" s="282" t="s">
        <v>35</v>
      </c>
      <c r="P257" s="289">
        <f t="shared" ca="1" si="137"/>
        <v>0</v>
      </c>
      <c r="Q257" s="289">
        <f t="shared" ca="1" si="127"/>
        <v>0</v>
      </c>
      <c r="R257" s="289">
        <f t="shared" ca="1" si="128"/>
        <v>0</v>
      </c>
      <c r="S257" s="289">
        <f t="shared" ca="1" si="129"/>
        <v>0</v>
      </c>
      <c r="T257" s="289">
        <f t="shared" ca="1" si="130"/>
        <v>0</v>
      </c>
      <c r="U257" s="295" t="s">
        <v>6</v>
      </c>
      <c r="V257" s="289">
        <f t="shared" ca="1" si="131"/>
        <v>0</v>
      </c>
      <c r="W257" s="289">
        <f t="shared" ca="1" si="132"/>
        <v>0</v>
      </c>
      <c r="X257" s="289">
        <f t="shared" ca="1" si="133"/>
        <v>0</v>
      </c>
      <c r="Y257" s="289">
        <f t="shared" ca="1" si="134"/>
        <v>0</v>
      </c>
      <c r="Z257" s="292">
        <f t="shared" ca="1" si="135"/>
        <v>0</v>
      </c>
    </row>
    <row r="258" spans="2:26">
      <c r="B258" s="282" t="s">
        <v>33</v>
      </c>
      <c r="C258" s="278">
        <f t="shared" ref="C258:L258" ca="1" si="139">IF(C236&lt;D236,0,1)</f>
        <v>0</v>
      </c>
      <c r="D258" s="278">
        <f t="shared" ca="1" si="139"/>
        <v>0</v>
      </c>
      <c r="E258" s="278">
        <f t="shared" ca="1" si="139"/>
        <v>0</v>
      </c>
      <c r="F258" s="278">
        <f t="shared" ca="1" si="139"/>
        <v>0</v>
      </c>
      <c r="G258" s="278">
        <f t="shared" ca="1" si="139"/>
        <v>0</v>
      </c>
      <c r="H258" s="278">
        <f t="shared" ca="1" si="139"/>
        <v>0</v>
      </c>
      <c r="I258" s="278">
        <f t="shared" ca="1" si="139"/>
        <v>0</v>
      </c>
      <c r="J258" s="278">
        <f t="shared" ca="1" si="139"/>
        <v>0</v>
      </c>
      <c r="K258" s="278">
        <f t="shared" ca="1" si="139"/>
        <v>0</v>
      </c>
      <c r="L258" s="278">
        <f t="shared" ca="1" si="139"/>
        <v>0</v>
      </c>
      <c r="M258" s="279" t="s">
        <v>6</v>
      </c>
      <c r="O258" s="282" t="s">
        <v>33</v>
      </c>
      <c r="P258" s="289">
        <f t="shared" ca="1" si="137"/>
        <v>0</v>
      </c>
      <c r="Q258" s="289">
        <f t="shared" ca="1" si="127"/>
        <v>0</v>
      </c>
      <c r="R258" s="289">
        <f t="shared" ca="1" si="128"/>
        <v>0</v>
      </c>
      <c r="S258" s="289">
        <f t="shared" ca="1" si="129"/>
        <v>0</v>
      </c>
      <c r="T258" s="289">
        <f t="shared" ca="1" si="130"/>
        <v>0</v>
      </c>
      <c r="U258" s="295" t="s">
        <v>6</v>
      </c>
      <c r="V258" s="289">
        <f t="shared" ca="1" si="131"/>
        <v>0</v>
      </c>
      <c r="W258" s="289">
        <f t="shared" ca="1" si="132"/>
        <v>0</v>
      </c>
      <c r="X258" s="289">
        <f t="shared" ca="1" si="133"/>
        <v>0</v>
      </c>
      <c r="Y258" s="289">
        <f t="shared" ca="1" si="134"/>
        <v>0</v>
      </c>
      <c r="Z258" s="292">
        <f t="shared" ca="1" si="135"/>
        <v>0</v>
      </c>
    </row>
    <row r="259" spans="2:26">
      <c r="B259" s="282" t="s">
        <v>131</v>
      </c>
      <c r="C259" s="278">
        <f t="shared" ref="C259:L259" ca="1" si="140">IF(C237&lt;D237,0,1)</f>
        <v>0</v>
      </c>
      <c r="D259" s="278">
        <f t="shared" ca="1" si="140"/>
        <v>0</v>
      </c>
      <c r="E259" s="278">
        <f t="shared" ca="1" si="140"/>
        <v>0</v>
      </c>
      <c r="F259" s="278">
        <f t="shared" ca="1" si="140"/>
        <v>0</v>
      </c>
      <c r="G259" s="278">
        <f t="shared" ca="1" si="140"/>
        <v>0</v>
      </c>
      <c r="H259" s="278">
        <f t="shared" ca="1" si="140"/>
        <v>0</v>
      </c>
      <c r="I259" s="278">
        <f t="shared" ca="1" si="140"/>
        <v>0</v>
      </c>
      <c r="J259" s="278">
        <f t="shared" ca="1" si="140"/>
        <v>0</v>
      </c>
      <c r="K259" s="278">
        <f t="shared" ca="1" si="140"/>
        <v>0</v>
      </c>
      <c r="L259" s="278">
        <f t="shared" ca="1" si="140"/>
        <v>0</v>
      </c>
      <c r="M259" s="279" t="s">
        <v>6</v>
      </c>
      <c r="O259" s="282" t="s">
        <v>131</v>
      </c>
      <c r="P259" s="289">
        <f t="shared" ca="1" si="137"/>
        <v>0</v>
      </c>
      <c r="Q259" s="289">
        <f t="shared" ca="1" si="127"/>
        <v>0</v>
      </c>
      <c r="R259" s="289">
        <f t="shared" ca="1" si="128"/>
        <v>0</v>
      </c>
      <c r="S259" s="289">
        <f t="shared" ca="1" si="129"/>
        <v>0</v>
      </c>
      <c r="T259" s="289">
        <f t="shared" ca="1" si="130"/>
        <v>0</v>
      </c>
      <c r="U259" s="295" t="s">
        <v>6</v>
      </c>
      <c r="V259" s="289">
        <f t="shared" ca="1" si="131"/>
        <v>0</v>
      </c>
      <c r="W259" s="289">
        <f t="shared" ca="1" si="132"/>
        <v>0</v>
      </c>
      <c r="X259" s="289">
        <f t="shared" ca="1" si="133"/>
        <v>0</v>
      </c>
      <c r="Y259" s="289">
        <f t="shared" ca="1" si="134"/>
        <v>0</v>
      </c>
      <c r="Z259" s="292">
        <f t="shared" ca="1" si="135"/>
        <v>0</v>
      </c>
    </row>
    <row r="260" spans="2:26">
      <c r="B260" s="282" t="s">
        <v>31</v>
      </c>
      <c r="C260" s="278">
        <f t="shared" ref="C260:L260" ca="1" si="141">IF(C238&lt;D238,0,1)</f>
        <v>0</v>
      </c>
      <c r="D260" s="278">
        <f t="shared" ca="1" si="141"/>
        <v>0</v>
      </c>
      <c r="E260" s="278">
        <f t="shared" ca="1" si="141"/>
        <v>0</v>
      </c>
      <c r="F260" s="278">
        <f t="shared" ca="1" si="141"/>
        <v>0</v>
      </c>
      <c r="G260" s="278">
        <f t="shared" ca="1" si="141"/>
        <v>0</v>
      </c>
      <c r="H260" s="278">
        <f t="shared" ca="1" si="141"/>
        <v>0</v>
      </c>
      <c r="I260" s="278">
        <f t="shared" ca="1" si="141"/>
        <v>0</v>
      </c>
      <c r="J260" s="278">
        <f t="shared" ca="1" si="141"/>
        <v>0</v>
      </c>
      <c r="K260" s="278">
        <f t="shared" ca="1" si="141"/>
        <v>0</v>
      </c>
      <c r="L260" s="278">
        <f t="shared" ca="1" si="141"/>
        <v>0</v>
      </c>
      <c r="M260" s="279" t="s">
        <v>6</v>
      </c>
      <c r="O260" s="282" t="s">
        <v>31</v>
      </c>
      <c r="P260" s="289">
        <f t="shared" ca="1" si="137"/>
        <v>0</v>
      </c>
      <c r="Q260" s="289">
        <f t="shared" ca="1" si="127"/>
        <v>0</v>
      </c>
      <c r="R260" s="289">
        <f t="shared" ca="1" si="128"/>
        <v>0</v>
      </c>
      <c r="S260" s="289">
        <f t="shared" ca="1" si="129"/>
        <v>0</v>
      </c>
      <c r="T260" s="289">
        <f t="shared" ca="1" si="130"/>
        <v>0</v>
      </c>
      <c r="U260" s="295" t="s">
        <v>6</v>
      </c>
      <c r="V260" s="289">
        <f t="shared" ca="1" si="131"/>
        <v>0</v>
      </c>
      <c r="W260" s="289">
        <f t="shared" ca="1" si="132"/>
        <v>0</v>
      </c>
      <c r="X260" s="289">
        <f t="shared" ca="1" si="133"/>
        <v>0</v>
      </c>
      <c r="Y260" s="289">
        <f t="shared" ca="1" si="134"/>
        <v>0</v>
      </c>
      <c r="Z260" s="292">
        <f t="shared" ca="1" si="135"/>
        <v>0</v>
      </c>
    </row>
    <row r="261" spans="2:26">
      <c r="B261" s="282" t="s">
        <v>119</v>
      </c>
      <c r="C261" s="278">
        <f t="shared" ref="C261:L261" ca="1" si="142">IF(C239&lt;D239,0,1)</f>
        <v>0</v>
      </c>
      <c r="D261" s="278">
        <f t="shared" ca="1" si="142"/>
        <v>0</v>
      </c>
      <c r="E261" s="278">
        <f t="shared" ca="1" si="142"/>
        <v>0</v>
      </c>
      <c r="F261" s="278">
        <f t="shared" ca="1" si="142"/>
        <v>0</v>
      </c>
      <c r="G261" s="278">
        <f t="shared" ca="1" si="142"/>
        <v>0</v>
      </c>
      <c r="H261" s="278">
        <f t="shared" ca="1" si="142"/>
        <v>0</v>
      </c>
      <c r="I261" s="278">
        <f t="shared" ca="1" si="142"/>
        <v>0</v>
      </c>
      <c r="J261" s="278">
        <f t="shared" ca="1" si="142"/>
        <v>0</v>
      </c>
      <c r="K261" s="278">
        <f t="shared" ca="1" si="142"/>
        <v>0</v>
      </c>
      <c r="L261" s="278">
        <f t="shared" ca="1" si="142"/>
        <v>0</v>
      </c>
      <c r="M261" s="279" t="s">
        <v>6</v>
      </c>
      <c r="O261" s="282" t="s">
        <v>119</v>
      </c>
      <c r="P261" s="289">
        <f t="shared" ca="1" si="137"/>
        <v>0</v>
      </c>
      <c r="Q261" s="289">
        <f t="shared" ca="1" si="127"/>
        <v>0</v>
      </c>
      <c r="R261" s="289">
        <f t="shared" ca="1" si="128"/>
        <v>0</v>
      </c>
      <c r="S261" s="289">
        <f t="shared" ca="1" si="129"/>
        <v>0</v>
      </c>
      <c r="T261" s="289">
        <f t="shared" ca="1" si="130"/>
        <v>0</v>
      </c>
      <c r="U261" s="295" t="s">
        <v>6</v>
      </c>
      <c r="V261" s="289">
        <f t="shared" ca="1" si="131"/>
        <v>0</v>
      </c>
      <c r="W261" s="289">
        <f t="shared" ca="1" si="132"/>
        <v>0</v>
      </c>
      <c r="X261" s="289">
        <f t="shared" ca="1" si="133"/>
        <v>0</v>
      </c>
      <c r="Y261" s="289">
        <f t="shared" ca="1" si="134"/>
        <v>0</v>
      </c>
      <c r="Z261" s="292">
        <f t="shared" ca="1" si="135"/>
        <v>0</v>
      </c>
    </row>
    <row r="262" spans="2:26">
      <c r="B262" s="282" t="s">
        <v>113</v>
      </c>
      <c r="C262" s="278">
        <f t="shared" ref="C262:L262" ca="1" si="143">IF(C240&lt;D240,0,1)</f>
        <v>0</v>
      </c>
      <c r="D262" s="278">
        <f t="shared" ca="1" si="143"/>
        <v>0</v>
      </c>
      <c r="E262" s="278">
        <f t="shared" ca="1" si="143"/>
        <v>0</v>
      </c>
      <c r="F262" s="278">
        <f t="shared" ca="1" si="143"/>
        <v>0</v>
      </c>
      <c r="G262" s="278">
        <f t="shared" ca="1" si="143"/>
        <v>0</v>
      </c>
      <c r="H262" s="278">
        <f t="shared" ca="1" si="143"/>
        <v>0</v>
      </c>
      <c r="I262" s="278">
        <f t="shared" ca="1" si="143"/>
        <v>0</v>
      </c>
      <c r="J262" s="278">
        <f t="shared" ca="1" si="143"/>
        <v>0</v>
      </c>
      <c r="K262" s="278">
        <f t="shared" ca="1" si="143"/>
        <v>0</v>
      </c>
      <c r="L262" s="278">
        <f t="shared" ca="1" si="143"/>
        <v>0</v>
      </c>
      <c r="M262" s="279" t="s">
        <v>6</v>
      </c>
      <c r="O262" s="282" t="s">
        <v>113</v>
      </c>
      <c r="P262" s="289">
        <f t="shared" ca="1" si="137"/>
        <v>0</v>
      </c>
      <c r="Q262" s="289">
        <f t="shared" ca="1" si="127"/>
        <v>0</v>
      </c>
      <c r="R262" s="289">
        <f t="shared" ca="1" si="128"/>
        <v>0</v>
      </c>
      <c r="S262" s="289">
        <f t="shared" ca="1" si="129"/>
        <v>0</v>
      </c>
      <c r="T262" s="289">
        <f t="shared" ca="1" si="130"/>
        <v>0</v>
      </c>
      <c r="U262" s="295" t="s">
        <v>6</v>
      </c>
      <c r="V262" s="289">
        <f t="shared" ca="1" si="131"/>
        <v>0</v>
      </c>
      <c r="W262" s="289">
        <f t="shared" ca="1" si="132"/>
        <v>0</v>
      </c>
      <c r="X262" s="289">
        <f t="shared" ca="1" si="133"/>
        <v>0</v>
      </c>
      <c r="Y262" s="289">
        <f t="shared" ca="1" si="134"/>
        <v>0</v>
      </c>
      <c r="Z262" s="292">
        <f t="shared" ca="1" si="135"/>
        <v>0</v>
      </c>
    </row>
    <row r="263" spans="2:26">
      <c r="B263" s="282" t="s">
        <v>28</v>
      </c>
      <c r="C263" s="278">
        <f t="shared" ref="C263:L263" ca="1" si="144">IF(C241&lt;D241,0,1)</f>
        <v>0</v>
      </c>
      <c r="D263" s="278">
        <f t="shared" ca="1" si="144"/>
        <v>0</v>
      </c>
      <c r="E263" s="278">
        <f t="shared" ca="1" si="144"/>
        <v>0</v>
      </c>
      <c r="F263" s="278">
        <f t="shared" ca="1" si="144"/>
        <v>0</v>
      </c>
      <c r="G263" s="278">
        <f t="shared" ca="1" si="144"/>
        <v>0</v>
      </c>
      <c r="H263" s="278">
        <f t="shared" ca="1" si="144"/>
        <v>0</v>
      </c>
      <c r="I263" s="278">
        <f t="shared" ca="1" si="144"/>
        <v>0</v>
      </c>
      <c r="J263" s="278">
        <f t="shared" ca="1" si="144"/>
        <v>0</v>
      </c>
      <c r="K263" s="278">
        <f t="shared" ca="1" si="144"/>
        <v>0</v>
      </c>
      <c r="L263" s="278">
        <f t="shared" ca="1" si="144"/>
        <v>0</v>
      </c>
      <c r="M263" s="279" t="s">
        <v>6</v>
      </c>
      <c r="O263" s="282" t="s">
        <v>28</v>
      </c>
      <c r="P263" s="289">
        <f t="shared" ca="1" si="137"/>
        <v>0</v>
      </c>
      <c r="Q263" s="289">
        <f t="shared" ca="1" si="127"/>
        <v>0</v>
      </c>
      <c r="R263" s="289">
        <f t="shared" ca="1" si="128"/>
        <v>0</v>
      </c>
      <c r="S263" s="289">
        <f t="shared" ca="1" si="129"/>
        <v>0</v>
      </c>
      <c r="T263" s="289">
        <f t="shared" ca="1" si="130"/>
        <v>0</v>
      </c>
      <c r="U263" s="295" t="s">
        <v>6</v>
      </c>
      <c r="V263" s="289">
        <f t="shared" ca="1" si="131"/>
        <v>0</v>
      </c>
      <c r="W263" s="289">
        <f t="shared" ca="1" si="132"/>
        <v>0</v>
      </c>
      <c r="X263" s="289">
        <f t="shared" ca="1" si="133"/>
        <v>0</v>
      </c>
      <c r="Y263" s="289">
        <f t="shared" ca="1" si="134"/>
        <v>0</v>
      </c>
      <c r="Z263" s="292">
        <f t="shared" ca="1" si="135"/>
        <v>0</v>
      </c>
    </row>
    <row r="264" spans="2:26">
      <c r="B264" s="282" t="s">
        <v>366</v>
      </c>
      <c r="C264" s="278">
        <f t="shared" ref="C264:L264" ca="1" si="145">IF(C242&lt;D242,0,1)</f>
        <v>0</v>
      </c>
      <c r="D264" s="278">
        <f t="shared" ca="1" si="145"/>
        <v>0</v>
      </c>
      <c r="E264" s="278">
        <f t="shared" ca="1" si="145"/>
        <v>0</v>
      </c>
      <c r="F264" s="278">
        <f t="shared" ca="1" si="145"/>
        <v>0</v>
      </c>
      <c r="G264" s="278">
        <f t="shared" ca="1" si="145"/>
        <v>0</v>
      </c>
      <c r="H264" s="278">
        <f t="shared" ca="1" si="145"/>
        <v>0</v>
      </c>
      <c r="I264" s="278">
        <f t="shared" ca="1" si="145"/>
        <v>0</v>
      </c>
      <c r="J264" s="278">
        <f t="shared" ca="1" si="145"/>
        <v>0</v>
      </c>
      <c r="K264" s="278">
        <f t="shared" ca="1" si="145"/>
        <v>0</v>
      </c>
      <c r="L264" s="278">
        <f t="shared" ca="1" si="145"/>
        <v>0</v>
      </c>
      <c r="M264" s="279" t="s">
        <v>6</v>
      </c>
      <c r="O264" s="282" t="s">
        <v>366</v>
      </c>
      <c r="P264" s="289">
        <f t="shared" ca="1" si="137"/>
        <v>0</v>
      </c>
      <c r="Q264" s="289">
        <f t="shared" ca="1" si="127"/>
        <v>0</v>
      </c>
      <c r="R264" s="289">
        <f t="shared" ca="1" si="128"/>
        <v>0</v>
      </c>
      <c r="S264" s="289">
        <f t="shared" ca="1" si="129"/>
        <v>0</v>
      </c>
      <c r="T264" s="289">
        <f t="shared" ca="1" si="130"/>
        <v>0</v>
      </c>
      <c r="U264" s="295" t="s">
        <v>6</v>
      </c>
      <c r="V264" s="289">
        <f t="shared" ca="1" si="131"/>
        <v>0</v>
      </c>
      <c r="W264" s="289">
        <f t="shared" ca="1" si="132"/>
        <v>0</v>
      </c>
      <c r="X264" s="289">
        <f t="shared" ca="1" si="133"/>
        <v>0</v>
      </c>
      <c r="Y264" s="289">
        <f t="shared" ca="1" si="134"/>
        <v>0</v>
      </c>
      <c r="Z264" s="292">
        <f t="shared" ca="1" si="135"/>
        <v>0</v>
      </c>
    </row>
    <row r="265" spans="2:26">
      <c r="B265" s="282" t="s">
        <v>26</v>
      </c>
      <c r="C265" s="278">
        <f t="shared" ref="C265:L265" ca="1" si="146">IF(C243&lt;D243,0,1)</f>
        <v>0</v>
      </c>
      <c r="D265" s="278">
        <f t="shared" ca="1" si="146"/>
        <v>0</v>
      </c>
      <c r="E265" s="278">
        <f t="shared" ca="1" si="146"/>
        <v>0</v>
      </c>
      <c r="F265" s="278">
        <f t="shared" ca="1" si="146"/>
        <v>0</v>
      </c>
      <c r="G265" s="278">
        <f t="shared" ca="1" si="146"/>
        <v>0</v>
      </c>
      <c r="H265" s="278">
        <f t="shared" ca="1" si="146"/>
        <v>0</v>
      </c>
      <c r="I265" s="278">
        <f t="shared" ca="1" si="146"/>
        <v>0</v>
      </c>
      <c r="J265" s="278">
        <f t="shared" ca="1" si="146"/>
        <v>0</v>
      </c>
      <c r="K265" s="278">
        <f t="shared" ca="1" si="146"/>
        <v>0</v>
      </c>
      <c r="L265" s="278">
        <f t="shared" ca="1" si="146"/>
        <v>0</v>
      </c>
      <c r="M265" s="279" t="s">
        <v>6</v>
      </c>
      <c r="O265" s="282" t="s">
        <v>26</v>
      </c>
      <c r="P265" s="289">
        <f t="shared" ca="1" si="137"/>
        <v>0</v>
      </c>
      <c r="Q265" s="289">
        <f t="shared" ca="1" si="127"/>
        <v>0</v>
      </c>
      <c r="R265" s="289">
        <f t="shared" ca="1" si="128"/>
        <v>0</v>
      </c>
      <c r="S265" s="289">
        <f t="shared" ca="1" si="129"/>
        <v>0</v>
      </c>
      <c r="T265" s="289">
        <f t="shared" ca="1" si="130"/>
        <v>0</v>
      </c>
      <c r="U265" s="295" t="s">
        <v>6</v>
      </c>
      <c r="V265" s="289">
        <f t="shared" ca="1" si="131"/>
        <v>0</v>
      </c>
      <c r="W265" s="289">
        <f t="shared" ca="1" si="132"/>
        <v>0</v>
      </c>
      <c r="X265" s="289">
        <f t="shared" ca="1" si="133"/>
        <v>0</v>
      </c>
      <c r="Y265" s="289">
        <f t="shared" ca="1" si="134"/>
        <v>0</v>
      </c>
      <c r="Z265" s="292">
        <f t="shared" ca="1" si="135"/>
        <v>0</v>
      </c>
    </row>
    <row r="266" spans="2:26">
      <c r="B266" s="282" t="s">
        <v>24</v>
      </c>
      <c r="C266" s="278">
        <f t="shared" ref="C266:L266" ca="1" si="147">IF(C244&lt;D244,0,1)</f>
        <v>0</v>
      </c>
      <c r="D266" s="278">
        <f t="shared" ca="1" si="147"/>
        <v>0</v>
      </c>
      <c r="E266" s="278">
        <f t="shared" ca="1" si="147"/>
        <v>0</v>
      </c>
      <c r="F266" s="278">
        <f t="shared" ca="1" si="147"/>
        <v>0</v>
      </c>
      <c r="G266" s="278">
        <f t="shared" ca="1" si="147"/>
        <v>0</v>
      </c>
      <c r="H266" s="278">
        <f t="shared" ca="1" si="147"/>
        <v>0</v>
      </c>
      <c r="I266" s="278">
        <f t="shared" ca="1" si="147"/>
        <v>0</v>
      </c>
      <c r="J266" s="278">
        <f t="shared" ca="1" si="147"/>
        <v>0</v>
      </c>
      <c r="K266" s="278">
        <f t="shared" ca="1" si="147"/>
        <v>0</v>
      </c>
      <c r="L266" s="278">
        <f t="shared" ca="1" si="147"/>
        <v>0</v>
      </c>
      <c r="M266" s="279" t="s">
        <v>6</v>
      </c>
      <c r="O266" s="282" t="s">
        <v>24</v>
      </c>
      <c r="P266" s="289">
        <f t="shared" ca="1" si="137"/>
        <v>0</v>
      </c>
      <c r="Q266" s="289">
        <f t="shared" ca="1" si="127"/>
        <v>0</v>
      </c>
      <c r="R266" s="289">
        <f t="shared" ca="1" si="128"/>
        <v>0</v>
      </c>
      <c r="S266" s="289">
        <f t="shared" ca="1" si="129"/>
        <v>0</v>
      </c>
      <c r="T266" s="289">
        <f t="shared" ca="1" si="130"/>
        <v>0</v>
      </c>
      <c r="U266" s="295" t="s">
        <v>6</v>
      </c>
      <c r="V266" s="289">
        <f t="shared" ca="1" si="131"/>
        <v>0</v>
      </c>
      <c r="W266" s="289">
        <f t="shared" ca="1" si="132"/>
        <v>0</v>
      </c>
      <c r="X266" s="289">
        <f t="shared" ca="1" si="133"/>
        <v>0</v>
      </c>
      <c r="Y266" s="289">
        <f t="shared" ca="1" si="134"/>
        <v>0</v>
      </c>
      <c r="Z266" s="292">
        <f t="shared" ca="1" si="135"/>
        <v>0</v>
      </c>
    </row>
    <row r="267" spans="2:26">
      <c r="B267" s="282" t="s">
        <v>20</v>
      </c>
      <c r="C267" s="278">
        <f t="shared" ref="C267:L267" ca="1" si="148">IF(C245&lt;D245,0,1)</f>
        <v>0</v>
      </c>
      <c r="D267" s="278">
        <f t="shared" ca="1" si="148"/>
        <v>0</v>
      </c>
      <c r="E267" s="278">
        <f t="shared" ca="1" si="148"/>
        <v>0</v>
      </c>
      <c r="F267" s="278">
        <f t="shared" ca="1" si="148"/>
        <v>0</v>
      </c>
      <c r="G267" s="278">
        <f t="shared" ca="1" si="148"/>
        <v>0</v>
      </c>
      <c r="H267" s="278">
        <f t="shared" ca="1" si="148"/>
        <v>0</v>
      </c>
      <c r="I267" s="278">
        <f t="shared" ca="1" si="148"/>
        <v>0</v>
      </c>
      <c r="J267" s="278">
        <f t="shared" ca="1" si="148"/>
        <v>0</v>
      </c>
      <c r="K267" s="278">
        <f t="shared" ca="1" si="148"/>
        <v>0</v>
      </c>
      <c r="L267" s="278">
        <f t="shared" ca="1" si="148"/>
        <v>0</v>
      </c>
      <c r="M267" s="279" t="s">
        <v>6</v>
      </c>
      <c r="O267" s="282" t="s">
        <v>20</v>
      </c>
      <c r="P267" s="289">
        <f t="shared" ca="1" si="137"/>
        <v>0</v>
      </c>
      <c r="Q267" s="289">
        <f t="shared" ca="1" si="127"/>
        <v>0</v>
      </c>
      <c r="R267" s="289">
        <f t="shared" ca="1" si="128"/>
        <v>0</v>
      </c>
      <c r="S267" s="289">
        <f t="shared" ca="1" si="129"/>
        <v>0</v>
      </c>
      <c r="T267" s="289">
        <f t="shared" ca="1" si="130"/>
        <v>0</v>
      </c>
      <c r="U267" s="295" t="s">
        <v>6</v>
      </c>
      <c r="V267" s="289">
        <f t="shared" ca="1" si="131"/>
        <v>0</v>
      </c>
      <c r="W267" s="289">
        <f t="shared" ca="1" si="132"/>
        <v>0</v>
      </c>
      <c r="X267" s="289">
        <f t="shared" ca="1" si="133"/>
        <v>0</v>
      </c>
      <c r="Y267" s="289">
        <f t="shared" ca="1" si="134"/>
        <v>0</v>
      </c>
      <c r="Z267" s="292">
        <f t="shared" ca="1" si="135"/>
        <v>0</v>
      </c>
    </row>
    <row r="268" spans="2:26">
      <c r="B268" s="282" t="s">
        <v>18</v>
      </c>
      <c r="C268" s="278">
        <f t="shared" ref="C268:L268" ca="1" si="149">IF(C246&lt;D246,0,1)</f>
        <v>0</v>
      </c>
      <c r="D268" s="278">
        <f t="shared" ca="1" si="149"/>
        <v>0</v>
      </c>
      <c r="E268" s="278">
        <f t="shared" ca="1" si="149"/>
        <v>0</v>
      </c>
      <c r="F268" s="278">
        <f t="shared" ca="1" si="149"/>
        <v>0</v>
      </c>
      <c r="G268" s="278">
        <f t="shared" ca="1" si="149"/>
        <v>0</v>
      </c>
      <c r="H268" s="278">
        <f t="shared" ca="1" si="149"/>
        <v>0</v>
      </c>
      <c r="I268" s="278">
        <f t="shared" ca="1" si="149"/>
        <v>0</v>
      </c>
      <c r="J268" s="278">
        <f t="shared" ca="1" si="149"/>
        <v>0</v>
      </c>
      <c r="K268" s="278">
        <f t="shared" ca="1" si="149"/>
        <v>0</v>
      </c>
      <c r="L268" s="278">
        <f t="shared" ca="1" si="149"/>
        <v>0</v>
      </c>
      <c r="M268" s="279" t="s">
        <v>6</v>
      </c>
      <c r="O268" s="282" t="s">
        <v>18</v>
      </c>
      <c r="P268" s="289">
        <f t="shared" ca="1" si="137"/>
        <v>0</v>
      </c>
      <c r="Q268" s="289">
        <f t="shared" ca="1" si="127"/>
        <v>0</v>
      </c>
      <c r="R268" s="289">
        <f t="shared" ca="1" si="128"/>
        <v>0</v>
      </c>
      <c r="S268" s="289">
        <f t="shared" ca="1" si="129"/>
        <v>0</v>
      </c>
      <c r="T268" s="289">
        <f t="shared" ca="1" si="130"/>
        <v>0</v>
      </c>
      <c r="U268" s="295" t="s">
        <v>6</v>
      </c>
      <c r="V268" s="289">
        <f t="shared" ca="1" si="131"/>
        <v>0</v>
      </c>
      <c r="W268" s="289">
        <f t="shared" ca="1" si="132"/>
        <v>0</v>
      </c>
      <c r="X268" s="289">
        <f t="shared" ca="1" si="133"/>
        <v>0</v>
      </c>
      <c r="Y268" s="289">
        <f t="shared" ca="1" si="134"/>
        <v>0</v>
      </c>
      <c r="Z268" s="292">
        <f t="shared" ca="1" si="135"/>
        <v>0</v>
      </c>
    </row>
    <row r="269" spans="2:26">
      <c r="B269" s="282" t="s">
        <v>17</v>
      </c>
      <c r="C269" s="278">
        <f t="shared" ref="C269:L269" ca="1" si="150">IF(C247&lt;D247,0,1)</f>
        <v>0</v>
      </c>
      <c r="D269" s="278">
        <f t="shared" ca="1" si="150"/>
        <v>0</v>
      </c>
      <c r="E269" s="278">
        <f t="shared" ca="1" si="150"/>
        <v>0</v>
      </c>
      <c r="F269" s="278">
        <f t="shared" ca="1" si="150"/>
        <v>0</v>
      </c>
      <c r="G269" s="278">
        <f t="shared" ca="1" si="150"/>
        <v>0</v>
      </c>
      <c r="H269" s="278">
        <f t="shared" ca="1" si="150"/>
        <v>0</v>
      </c>
      <c r="I269" s="278">
        <f t="shared" ca="1" si="150"/>
        <v>0</v>
      </c>
      <c r="J269" s="278">
        <f t="shared" ca="1" si="150"/>
        <v>0</v>
      </c>
      <c r="K269" s="278">
        <f t="shared" ca="1" si="150"/>
        <v>0</v>
      </c>
      <c r="L269" s="278">
        <f t="shared" ca="1" si="150"/>
        <v>0</v>
      </c>
      <c r="M269" s="279" t="s">
        <v>6</v>
      </c>
      <c r="O269" s="282" t="s">
        <v>17</v>
      </c>
      <c r="P269" s="289">
        <f t="shared" ca="1" si="137"/>
        <v>0</v>
      </c>
      <c r="Q269" s="289">
        <f t="shared" ca="1" si="127"/>
        <v>0</v>
      </c>
      <c r="R269" s="289">
        <f t="shared" ca="1" si="128"/>
        <v>0</v>
      </c>
      <c r="S269" s="289">
        <f t="shared" ca="1" si="129"/>
        <v>0</v>
      </c>
      <c r="T269" s="289">
        <f t="shared" ca="1" si="130"/>
        <v>0</v>
      </c>
      <c r="U269" s="295" t="s">
        <v>6</v>
      </c>
      <c r="V269" s="289">
        <f t="shared" ca="1" si="131"/>
        <v>0</v>
      </c>
      <c r="W269" s="289">
        <f t="shared" ca="1" si="132"/>
        <v>0</v>
      </c>
      <c r="X269" s="289">
        <f t="shared" ca="1" si="133"/>
        <v>0</v>
      </c>
      <c r="Y269" s="289">
        <f t="shared" ca="1" si="134"/>
        <v>0</v>
      </c>
      <c r="Z269" s="292">
        <f t="shared" ca="1" si="135"/>
        <v>0</v>
      </c>
    </row>
    <row r="270" spans="2:26">
      <c r="B270" s="282" t="s">
        <v>16</v>
      </c>
      <c r="C270" s="278">
        <f t="shared" ref="C270:L270" ca="1" si="151">IF(C248&lt;D248,0,1)</f>
        <v>0</v>
      </c>
      <c r="D270" s="278">
        <f t="shared" ca="1" si="151"/>
        <v>0</v>
      </c>
      <c r="E270" s="278">
        <f t="shared" ca="1" si="151"/>
        <v>0</v>
      </c>
      <c r="F270" s="278">
        <f t="shared" ca="1" si="151"/>
        <v>0</v>
      </c>
      <c r="G270" s="278">
        <f t="shared" ca="1" si="151"/>
        <v>0</v>
      </c>
      <c r="H270" s="278">
        <f t="shared" ca="1" si="151"/>
        <v>0</v>
      </c>
      <c r="I270" s="278">
        <f t="shared" ca="1" si="151"/>
        <v>0</v>
      </c>
      <c r="J270" s="278">
        <f t="shared" ca="1" si="151"/>
        <v>0</v>
      </c>
      <c r="K270" s="278">
        <f t="shared" ca="1" si="151"/>
        <v>0</v>
      </c>
      <c r="L270" s="278">
        <f t="shared" ca="1" si="151"/>
        <v>0</v>
      </c>
      <c r="M270" s="279" t="s">
        <v>6</v>
      </c>
      <c r="O270" s="282" t="s">
        <v>16</v>
      </c>
      <c r="P270" s="289">
        <f t="shared" ca="1" si="137"/>
        <v>0</v>
      </c>
      <c r="Q270" s="289">
        <f t="shared" ca="1" si="127"/>
        <v>0</v>
      </c>
      <c r="R270" s="289">
        <f t="shared" ca="1" si="128"/>
        <v>0</v>
      </c>
      <c r="S270" s="289">
        <f t="shared" ca="1" si="129"/>
        <v>0</v>
      </c>
      <c r="T270" s="289">
        <f t="shared" ca="1" si="130"/>
        <v>0</v>
      </c>
      <c r="U270" s="295" t="s">
        <v>6</v>
      </c>
      <c r="V270" s="289">
        <f t="shared" ca="1" si="131"/>
        <v>0</v>
      </c>
      <c r="W270" s="289">
        <f t="shared" ca="1" si="132"/>
        <v>0</v>
      </c>
      <c r="X270" s="289">
        <f t="shared" ca="1" si="133"/>
        <v>0</v>
      </c>
      <c r="Y270" s="289">
        <f t="shared" ca="1" si="134"/>
        <v>0</v>
      </c>
      <c r="Z270" s="292">
        <f t="shared" ca="1" si="135"/>
        <v>0</v>
      </c>
    </row>
    <row r="271" spans="2:26">
      <c r="B271" s="282" t="s">
        <v>15</v>
      </c>
      <c r="C271" s="278">
        <f t="shared" ref="C271:L271" ca="1" si="152">IF(C249&lt;D249,0,1)</f>
        <v>0</v>
      </c>
      <c r="D271" s="278">
        <f t="shared" ca="1" si="152"/>
        <v>0</v>
      </c>
      <c r="E271" s="278">
        <f t="shared" ca="1" si="152"/>
        <v>0</v>
      </c>
      <c r="F271" s="278">
        <f t="shared" ca="1" si="152"/>
        <v>0</v>
      </c>
      <c r="G271" s="278">
        <f t="shared" ca="1" si="152"/>
        <v>0</v>
      </c>
      <c r="H271" s="278">
        <f t="shared" ca="1" si="152"/>
        <v>0</v>
      </c>
      <c r="I271" s="278">
        <f t="shared" ca="1" si="152"/>
        <v>0</v>
      </c>
      <c r="J271" s="278">
        <f t="shared" ca="1" si="152"/>
        <v>0</v>
      </c>
      <c r="K271" s="278">
        <f t="shared" ca="1" si="152"/>
        <v>0</v>
      </c>
      <c r="L271" s="278">
        <f t="shared" ca="1" si="152"/>
        <v>0</v>
      </c>
      <c r="M271" s="279" t="s">
        <v>6</v>
      </c>
      <c r="O271" s="282" t="s">
        <v>15</v>
      </c>
      <c r="P271" s="289">
        <f t="shared" ca="1" si="137"/>
        <v>0</v>
      </c>
      <c r="Q271" s="289">
        <f t="shared" ca="1" si="127"/>
        <v>0</v>
      </c>
      <c r="R271" s="289">
        <f t="shared" ca="1" si="128"/>
        <v>0</v>
      </c>
      <c r="S271" s="289">
        <f t="shared" ca="1" si="129"/>
        <v>0</v>
      </c>
      <c r="T271" s="289">
        <f t="shared" ca="1" si="130"/>
        <v>0</v>
      </c>
      <c r="U271" s="295" t="s">
        <v>6</v>
      </c>
      <c r="V271" s="289">
        <f t="shared" ca="1" si="131"/>
        <v>0</v>
      </c>
      <c r="W271" s="289">
        <f t="shared" ca="1" si="132"/>
        <v>0</v>
      </c>
      <c r="X271" s="289">
        <f t="shared" ca="1" si="133"/>
        <v>0</v>
      </c>
      <c r="Y271" s="289">
        <f t="shared" ca="1" si="134"/>
        <v>0</v>
      </c>
      <c r="Z271" s="292">
        <f t="shared" ca="1" si="135"/>
        <v>0</v>
      </c>
    </row>
    <row r="272" spans="2:26">
      <c r="B272" s="282" t="s">
        <v>368</v>
      </c>
      <c r="C272" s="278">
        <f t="shared" ref="C272:L272" ca="1" si="153">IF(C250&lt;D250,0,1)</f>
        <v>0</v>
      </c>
      <c r="D272" s="278">
        <f t="shared" ca="1" si="153"/>
        <v>0</v>
      </c>
      <c r="E272" s="278">
        <f t="shared" ca="1" si="153"/>
        <v>0</v>
      </c>
      <c r="F272" s="278">
        <f t="shared" ca="1" si="153"/>
        <v>0</v>
      </c>
      <c r="G272" s="278">
        <f t="shared" ca="1" si="153"/>
        <v>0</v>
      </c>
      <c r="H272" s="278">
        <f t="shared" ca="1" si="153"/>
        <v>0</v>
      </c>
      <c r="I272" s="278">
        <f t="shared" ca="1" si="153"/>
        <v>0</v>
      </c>
      <c r="J272" s="278">
        <f t="shared" ca="1" si="153"/>
        <v>0</v>
      </c>
      <c r="K272" s="278">
        <f t="shared" ca="1" si="153"/>
        <v>0</v>
      </c>
      <c r="L272" s="278">
        <f t="shared" ca="1" si="153"/>
        <v>0</v>
      </c>
      <c r="M272" s="279" t="s">
        <v>6</v>
      </c>
      <c r="O272" s="282" t="s">
        <v>368</v>
      </c>
      <c r="P272" s="289">
        <f t="shared" ca="1" si="137"/>
        <v>0</v>
      </c>
      <c r="Q272" s="289">
        <f t="shared" ca="1" si="127"/>
        <v>0</v>
      </c>
      <c r="R272" s="289">
        <f t="shared" ca="1" si="128"/>
        <v>0</v>
      </c>
      <c r="S272" s="289">
        <f t="shared" ca="1" si="129"/>
        <v>0</v>
      </c>
      <c r="T272" s="289">
        <f t="shared" ca="1" si="130"/>
        <v>0</v>
      </c>
      <c r="U272" s="295" t="s">
        <v>6</v>
      </c>
      <c r="V272" s="289">
        <f t="shared" ca="1" si="131"/>
        <v>0</v>
      </c>
      <c r="W272" s="289">
        <f t="shared" ca="1" si="132"/>
        <v>0</v>
      </c>
      <c r="X272" s="289">
        <f t="shared" ca="1" si="133"/>
        <v>0</v>
      </c>
      <c r="Y272" s="289">
        <f t="shared" ca="1" si="134"/>
        <v>0</v>
      </c>
      <c r="Z272" s="292">
        <f t="shared" ca="1" si="135"/>
        <v>0</v>
      </c>
    </row>
    <row r="273" spans="1:26">
      <c r="B273" s="283" t="s">
        <v>14</v>
      </c>
      <c r="C273" s="280">
        <f t="shared" ref="C273:L273" ca="1" si="154">IF(C251&lt;D251,0,1)</f>
        <v>0</v>
      </c>
      <c r="D273" s="280">
        <f t="shared" ca="1" si="154"/>
        <v>0</v>
      </c>
      <c r="E273" s="280">
        <f t="shared" ca="1" si="154"/>
        <v>0</v>
      </c>
      <c r="F273" s="280">
        <f t="shared" ca="1" si="154"/>
        <v>0</v>
      </c>
      <c r="G273" s="280">
        <f t="shared" ca="1" si="154"/>
        <v>0</v>
      </c>
      <c r="H273" s="280">
        <f t="shared" ca="1" si="154"/>
        <v>0</v>
      </c>
      <c r="I273" s="280">
        <f t="shared" ca="1" si="154"/>
        <v>0</v>
      </c>
      <c r="J273" s="280">
        <f t="shared" ca="1" si="154"/>
        <v>0</v>
      </c>
      <c r="K273" s="280">
        <f t="shared" ca="1" si="154"/>
        <v>0</v>
      </c>
      <c r="L273" s="280">
        <f t="shared" ca="1" si="154"/>
        <v>0</v>
      </c>
      <c r="M273" s="281" t="s">
        <v>6</v>
      </c>
      <c r="O273" s="283" t="s">
        <v>14</v>
      </c>
      <c r="P273" s="293" t="s">
        <v>6</v>
      </c>
      <c r="Q273" s="293" t="s">
        <v>6</v>
      </c>
      <c r="R273" s="293" t="s">
        <v>6</v>
      </c>
      <c r="S273" s="293" t="s">
        <v>6</v>
      </c>
      <c r="T273" s="293" t="s">
        <v>6</v>
      </c>
      <c r="U273" s="296" t="s">
        <v>6</v>
      </c>
      <c r="V273" s="293" t="s">
        <v>6</v>
      </c>
      <c r="W273" s="293" t="s">
        <v>6</v>
      </c>
      <c r="X273" s="293" t="s">
        <v>6</v>
      </c>
      <c r="Y273" s="293" t="s">
        <v>6</v>
      </c>
      <c r="Z273" s="294" t="s">
        <v>6</v>
      </c>
    </row>
    <row r="276" spans="1:26">
      <c r="A276" s="224" t="s">
        <v>497</v>
      </c>
      <c r="B276" s="290" t="s">
        <v>495</v>
      </c>
      <c r="C276" s="284"/>
      <c r="G276" s="290" t="s">
        <v>495</v>
      </c>
    </row>
    <row r="277" spans="1:26">
      <c r="B277" s="284" t="s">
        <v>498</v>
      </c>
      <c r="C277" s="284"/>
      <c r="G277" s="284" t="s">
        <v>499</v>
      </c>
    </row>
    <row r="278" spans="1:26">
      <c r="B278" s="258" t="s">
        <v>474</v>
      </c>
      <c r="C278" s="286">
        <f ca="1">SUM(C304:L322)</f>
        <v>0</v>
      </c>
      <c r="G278" s="258" t="s">
        <v>474</v>
      </c>
      <c r="H278" s="286">
        <f ca="1">SUM(P304:Z322)</f>
        <v>0</v>
      </c>
    </row>
    <row r="280" spans="1:26">
      <c r="B280" s="258" t="s">
        <v>479</v>
      </c>
      <c r="C280" s="258"/>
    </row>
    <row r="281" spans="1:26">
      <c r="B281" s="254" t="s">
        <v>468</v>
      </c>
      <c r="C281" s="287">
        <v>500</v>
      </c>
      <c r="D281" s="287">
        <v>400</v>
      </c>
      <c r="E281" s="287">
        <v>300</v>
      </c>
      <c r="F281" s="287">
        <v>200</v>
      </c>
      <c r="G281" s="287">
        <v>100</v>
      </c>
      <c r="H281" s="287">
        <v>0</v>
      </c>
      <c r="I281" s="287">
        <v>-100</v>
      </c>
      <c r="J281" s="287">
        <v>-200</v>
      </c>
      <c r="K281" s="287">
        <v>-300</v>
      </c>
      <c r="L281" s="287">
        <v>-400</v>
      </c>
      <c r="M281" s="288">
        <v>-500</v>
      </c>
    </row>
    <row r="282" spans="1:26">
      <c r="B282" s="282" t="s">
        <v>42</v>
      </c>
      <c r="C282" s="278">
        <f ca="1">'EUR Swap PVs'!N77</f>
        <v>-101953.21509841588</v>
      </c>
      <c r="D282" s="278">
        <f ca="1">'EUR Swap PVs'!O77</f>
        <v>-81562.572078732701</v>
      </c>
      <c r="E282" s="278">
        <f ca="1">'EUR Swap PVs'!P77</f>
        <v>-61171.929059049529</v>
      </c>
      <c r="F282" s="278">
        <f ca="1">'EUR Swap PVs'!Q77</f>
        <v>-40781.286039366358</v>
      </c>
      <c r="G282" s="278">
        <f ca="1">'EUR Swap PVs'!R77</f>
        <v>-20390.643019683172</v>
      </c>
      <c r="H282" s="278">
        <f ca="1">'EUR Swap PVs'!S77</f>
        <v>0</v>
      </c>
      <c r="I282" s="278">
        <f ca="1">'EUR Swap PVs'!T77</f>
        <v>20390.643019683172</v>
      </c>
      <c r="J282" s="278">
        <f ca="1">'EUR Swap PVs'!U77</f>
        <v>40781.28603936635</v>
      </c>
      <c r="K282" s="278">
        <f ca="1">'EUR Swap PVs'!V77</f>
        <v>61171.929059049529</v>
      </c>
      <c r="L282" s="278">
        <f ca="1">'EUR Swap PVs'!W77</f>
        <v>81562.572078732701</v>
      </c>
      <c r="M282" s="279">
        <f ca="1">'EUR Swap PVs'!X77</f>
        <v>101953.21509841588</v>
      </c>
    </row>
    <row r="283" spans="1:26">
      <c r="B283" s="282" t="s">
        <v>39</v>
      </c>
      <c r="C283" s="278">
        <f ca="1">'EUR Swap PVs'!N78</f>
        <v>-152542.46364885772</v>
      </c>
      <c r="D283" s="278">
        <f ca="1">'EUR Swap PVs'!O78</f>
        <v>-122033.97091908618</v>
      </c>
      <c r="E283" s="278">
        <f ca="1">'EUR Swap PVs'!P78</f>
        <v>-91525.478189314628</v>
      </c>
      <c r="F283" s="278">
        <f ca="1">'EUR Swap PVs'!Q78</f>
        <v>-61016.985459543095</v>
      </c>
      <c r="G283" s="278">
        <f ca="1">'EUR Swap PVs'!R78</f>
        <v>-30508.492729771533</v>
      </c>
      <c r="H283" s="278">
        <f ca="1">'EUR Swap PVs'!S78</f>
        <v>8.6736173798840355E-13</v>
      </c>
      <c r="I283" s="278">
        <f ca="1">'EUR Swap PVs'!T78</f>
        <v>30508.49272977154</v>
      </c>
      <c r="J283" s="278">
        <f ca="1">'EUR Swap PVs'!U78</f>
        <v>61016.985459543088</v>
      </c>
      <c r="K283" s="278">
        <f ca="1">'EUR Swap PVs'!V78</f>
        <v>91525.478189314628</v>
      </c>
      <c r="L283" s="278">
        <f ca="1">'EUR Swap PVs'!W78</f>
        <v>122033.97091908618</v>
      </c>
      <c r="M283" s="279">
        <f ca="1">'EUR Swap PVs'!X78</f>
        <v>152542.46364885769</v>
      </c>
    </row>
    <row r="284" spans="1:26">
      <c r="B284" s="282" t="s">
        <v>35</v>
      </c>
      <c r="C284" s="278">
        <f ca="1">'EUR Swap PVs'!N79</f>
        <v>-202890.72538400179</v>
      </c>
      <c r="D284" s="278">
        <f ca="1">'EUR Swap PVs'!O79</f>
        <v>-162312.58030720145</v>
      </c>
      <c r="E284" s="278">
        <f ca="1">'EUR Swap PVs'!P79</f>
        <v>-121734.43523040108</v>
      </c>
      <c r="F284" s="278">
        <f ca="1">'EUR Swap PVs'!Q79</f>
        <v>-81156.290153600741</v>
      </c>
      <c r="G284" s="278">
        <f ca="1">'EUR Swap PVs'!R79</f>
        <v>-40578.145076800356</v>
      </c>
      <c r="H284" s="278">
        <f ca="1">'EUR Swap PVs'!S79</f>
        <v>0</v>
      </c>
      <c r="I284" s="278">
        <f ca="1">'EUR Swap PVs'!T79</f>
        <v>40578.145076800356</v>
      </c>
      <c r="J284" s="278">
        <f ca="1">'EUR Swap PVs'!U79</f>
        <v>81156.290153600727</v>
      </c>
      <c r="K284" s="278">
        <f ca="1">'EUR Swap PVs'!V79</f>
        <v>121734.43523040108</v>
      </c>
      <c r="L284" s="278">
        <f ca="1">'EUR Swap PVs'!W79</f>
        <v>162312.58030720145</v>
      </c>
      <c r="M284" s="279">
        <f ca="1">'EUR Swap PVs'!X79</f>
        <v>202890.72538400182</v>
      </c>
    </row>
    <row r="285" spans="1:26">
      <c r="B285" s="282" t="s">
        <v>33</v>
      </c>
      <c r="C285" s="278">
        <f ca="1">'EUR Swap PVs'!N80</f>
        <v>-253069.5285075022</v>
      </c>
      <c r="D285" s="278">
        <f ca="1">'EUR Swap PVs'!O80</f>
        <v>-202455.6228060018</v>
      </c>
      <c r="E285" s="278">
        <f ca="1">'EUR Swap PVs'!P80</f>
        <v>-151841.71710450135</v>
      </c>
      <c r="F285" s="278">
        <f ca="1">'EUR Swap PVs'!Q80</f>
        <v>-101227.81140300092</v>
      </c>
      <c r="G285" s="278">
        <f ca="1">'EUR Swap PVs'!R80</f>
        <v>-50613.905701500429</v>
      </c>
      <c r="H285" s="278">
        <f ca="1">'EUR Swap PVs'!S80</f>
        <v>0</v>
      </c>
      <c r="I285" s="278">
        <f ca="1">'EUR Swap PVs'!T80</f>
        <v>50613.905701500444</v>
      </c>
      <c r="J285" s="278">
        <f ca="1">'EUR Swap PVs'!U80</f>
        <v>101227.81140300089</v>
      </c>
      <c r="K285" s="278">
        <f ca="1">'EUR Swap PVs'!V80</f>
        <v>151841.71710450135</v>
      </c>
      <c r="L285" s="278">
        <f ca="1">'EUR Swap PVs'!W80</f>
        <v>202455.62280600177</v>
      </c>
      <c r="M285" s="279">
        <f ca="1">'EUR Swap PVs'!X80</f>
        <v>253069.5285075022</v>
      </c>
    </row>
    <row r="286" spans="1:26">
      <c r="B286" s="282" t="s">
        <v>131</v>
      </c>
      <c r="C286" s="278">
        <f ca="1">'EUR Swap PVs'!N81</f>
        <v>-302490.7129720439</v>
      </c>
      <c r="D286" s="278">
        <f ca="1">'EUR Swap PVs'!O81</f>
        <v>-241992.57037763516</v>
      </c>
      <c r="E286" s="278">
        <f ca="1">'EUR Swap PVs'!P81</f>
        <v>-181494.42778322636</v>
      </c>
      <c r="F286" s="278">
        <f ca="1">'EUR Swap PVs'!Q81</f>
        <v>-120996.28518881758</v>
      </c>
      <c r="G286" s="278">
        <f ca="1">'EUR Swap PVs'!R81</f>
        <v>-60498.142594408746</v>
      </c>
      <c r="H286" s="278">
        <f ca="1">'EUR Swap PVs'!S81</f>
        <v>0</v>
      </c>
      <c r="I286" s="278">
        <f ca="1">'EUR Swap PVs'!T81</f>
        <v>60498.142594408768</v>
      </c>
      <c r="J286" s="278">
        <f ca="1">'EUR Swap PVs'!U81</f>
        <v>120996.28518881754</v>
      </c>
      <c r="K286" s="278">
        <f ca="1">'EUR Swap PVs'!V81</f>
        <v>181494.42778322633</v>
      </c>
      <c r="L286" s="278">
        <f ca="1">'EUR Swap PVs'!W81</f>
        <v>241992.57037763507</v>
      </c>
      <c r="M286" s="279">
        <f ca="1">'EUR Swap PVs'!X81</f>
        <v>302490.7129720439</v>
      </c>
    </row>
    <row r="287" spans="1:26">
      <c r="B287" s="282" t="s">
        <v>31</v>
      </c>
      <c r="C287" s="278">
        <f ca="1">'EUR Swap PVs'!N82</f>
        <v>-351141.27427565056</v>
      </c>
      <c r="D287" s="278">
        <f ca="1">'EUR Swap PVs'!O82</f>
        <v>-280913.01942052058</v>
      </c>
      <c r="E287" s="278">
        <f ca="1">'EUR Swap PVs'!P82</f>
        <v>-210684.76456539039</v>
      </c>
      <c r="F287" s="278">
        <f ca="1">'EUR Swap PVs'!Q82</f>
        <v>-140456.50971026029</v>
      </c>
      <c r="G287" s="278">
        <f ca="1">'EUR Swap PVs'!R82</f>
        <v>-70228.254855130101</v>
      </c>
      <c r="H287" s="278">
        <f ca="1">'EUR Swap PVs'!S82</f>
        <v>-6.9388939039072284E-12</v>
      </c>
      <c r="I287" s="278">
        <f ca="1">'EUR Swap PVs'!T82</f>
        <v>70228.254855130115</v>
      </c>
      <c r="J287" s="278">
        <f ca="1">'EUR Swap PVs'!U82</f>
        <v>140456.50971026023</v>
      </c>
      <c r="K287" s="278">
        <f ca="1">'EUR Swap PVs'!V82</f>
        <v>210684.76456539033</v>
      </c>
      <c r="L287" s="278">
        <f ca="1">'EUR Swap PVs'!W82</f>
        <v>280913.01942052046</v>
      </c>
      <c r="M287" s="279">
        <f ca="1">'EUR Swap PVs'!X82</f>
        <v>351141.27427565062</v>
      </c>
    </row>
    <row r="288" spans="1:26">
      <c r="B288" s="282" t="s">
        <v>119</v>
      </c>
      <c r="C288" s="278">
        <f ca="1">'EUR Swap PVs'!N83</f>
        <v>-399166.62011515006</v>
      </c>
      <c r="D288" s="278">
        <f ca="1">'EUR Swap PVs'!O83</f>
        <v>-319333.29609212012</v>
      </c>
      <c r="E288" s="278">
        <f ca="1">'EUR Swap PVs'!P83</f>
        <v>-239499.97206909009</v>
      </c>
      <c r="F288" s="278">
        <f ca="1">'EUR Swap PVs'!Q83</f>
        <v>-159666.64804606006</v>
      </c>
      <c r="G288" s="278">
        <f ca="1">'EUR Swap PVs'!R83</f>
        <v>-79833.324023029971</v>
      </c>
      <c r="H288" s="278">
        <f ca="1">'EUR Swap PVs'!S83</f>
        <v>0</v>
      </c>
      <c r="I288" s="278">
        <f ca="1">'EUR Swap PVs'!T83</f>
        <v>79833.32402303</v>
      </c>
      <c r="J288" s="278">
        <f ca="1">'EUR Swap PVs'!U83</f>
        <v>159666.64804606</v>
      </c>
      <c r="K288" s="278">
        <f ca="1">'EUR Swap PVs'!V83</f>
        <v>239499.97206909006</v>
      </c>
      <c r="L288" s="278">
        <f ca="1">'EUR Swap PVs'!W83</f>
        <v>319333.29609212</v>
      </c>
      <c r="M288" s="279">
        <f ca="1">'EUR Swap PVs'!X83</f>
        <v>399166.62011515006</v>
      </c>
    </row>
    <row r="289" spans="2:26">
      <c r="B289" s="282" t="s">
        <v>113</v>
      </c>
      <c r="C289" s="278">
        <f ca="1">'EUR Swap PVs'!N84</f>
        <v>-445844.23518302286</v>
      </c>
      <c r="D289" s="278">
        <f ca="1">'EUR Swap PVs'!O84</f>
        <v>-356675.38814641844</v>
      </c>
      <c r="E289" s="278">
        <f ca="1">'EUR Swap PVs'!P84</f>
        <v>-267506.54110981378</v>
      </c>
      <c r="F289" s="278">
        <f ca="1">'EUR Swap PVs'!Q84</f>
        <v>-178337.69407320925</v>
      </c>
      <c r="G289" s="278">
        <f ca="1">'EUR Swap PVs'!R84</f>
        <v>-89168.847036604522</v>
      </c>
      <c r="H289" s="278">
        <f ca="1">'EUR Swap PVs'!S84</f>
        <v>1.3877787807814457E-11</v>
      </c>
      <c r="I289" s="278">
        <f ca="1">'EUR Swap PVs'!T84</f>
        <v>89168.847036604609</v>
      </c>
      <c r="J289" s="278">
        <f ca="1">'EUR Swap PVs'!U84</f>
        <v>178337.69407320922</v>
      </c>
      <c r="K289" s="278">
        <f ca="1">'EUR Swap PVs'!V84</f>
        <v>267506.54110981378</v>
      </c>
      <c r="L289" s="278">
        <f ca="1">'EUR Swap PVs'!W84</f>
        <v>356675.38814641844</v>
      </c>
      <c r="M289" s="279">
        <f ca="1">'EUR Swap PVs'!X84</f>
        <v>445844.23518302297</v>
      </c>
    </row>
    <row r="290" spans="2:26">
      <c r="B290" s="282" t="s">
        <v>28</v>
      </c>
      <c r="C290" s="278">
        <f ca="1">'EUR Swap PVs'!N85</f>
        <v>-491641.46924409922</v>
      </c>
      <c r="D290" s="278">
        <f ca="1">'EUR Swap PVs'!O85</f>
        <v>-393313.17539527954</v>
      </c>
      <c r="E290" s="278">
        <f ca="1">'EUR Swap PVs'!P85</f>
        <v>-294984.88154645957</v>
      </c>
      <c r="F290" s="278">
        <f ca="1">'EUR Swap PVs'!Q85</f>
        <v>-196656.58769763977</v>
      </c>
      <c r="G290" s="278">
        <f ca="1">'EUR Swap PVs'!R85</f>
        <v>-98328.293848819783</v>
      </c>
      <c r="H290" s="278">
        <f ca="1">'EUR Swap PVs'!S85</f>
        <v>0</v>
      </c>
      <c r="I290" s="278">
        <f ca="1">'EUR Swap PVs'!T85</f>
        <v>98328.293848819856</v>
      </c>
      <c r="J290" s="278">
        <f ca="1">'EUR Swap PVs'!U85</f>
        <v>196656.58769763971</v>
      </c>
      <c r="K290" s="278">
        <f ca="1">'EUR Swap PVs'!V85</f>
        <v>294984.88154645963</v>
      </c>
      <c r="L290" s="278">
        <f ca="1">'EUR Swap PVs'!W85</f>
        <v>393313.17539527948</v>
      </c>
      <c r="M290" s="279">
        <f ca="1">'EUR Swap PVs'!X85</f>
        <v>491641.46924409934</v>
      </c>
    </row>
    <row r="291" spans="2:26">
      <c r="B291" s="282" t="s">
        <v>366</v>
      </c>
      <c r="C291" s="278">
        <f ca="1">'EUR Swap PVs'!N86</f>
        <v>-536403.6230546463</v>
      </c>
      <c r="D291" s="278">
        <f ca="1">'EUR Swap PVs'!O86</f>
        <v>-429122.89844371722</v>
      </c>
      <c r="E291" s="278">
        <f ca="1">'EUR Swap PVs'!P86</f>
        <v>-321842.17383278778</v>
      </c>
      <c r="F291" s="278">
        <f ca="1">'EUR Swap PVs'!Q86</f>
        <v>-214561.44922185864</v>
      </c>
      <c r="G291" s="278">
        <f ca="1">'EUR Swap PVs'!R86</f>
        <v>-107280.72461092922</v>
      </c>
      <c r="H291" s="278">
        <f ca="1">'EUR Swap PVs'!S86</f>
        <v>0</v>
      </c>
      <c r="I291" s="278">
        <f ca="1">'EUR Swap PVs'!T86</f>
        <v>107280.72461092929</v>
      </c>
      <c r="J291" s="278">
        <f ca="1">'EUR Swap PVs'!U86</f>
        <v>214561.44922185855</v>
      </c>
      <c r="K291" s="278">
        <f ca="1">'EUR Swap PVs'!V86</f>
        <v>321842.17383278784</v>
      </c>
      <c r="L291" s="278">
        <f ca="1">'EUR Swap PVs'!W86</f>
        <v>429122.8984437171</v>
      </c>
      <c r="M291" s="279">
        <f ca="1">'EUR Swap PVs'!X86</f>
        <v>536403.62305464642</v>
      </c>
    </row>
    <row r="292" spans="2:26">
      <c r="B292" s="282" t="s">
        <v>26</v>
      </c>
      <c r="C292" s="278">
        <f ca="1">'EUR Swap PVs'!N87</f>
        <v>-580132.46295708523</v>
      </c>
      <c r="D292" s="278">
        <f ca="1">'EUR Swap PVs'!O87</f>
        <v>-464105.97036566836</v>
      </c>
      <c r="E292" s="278">
        <f ca="1">'EUR Swap PVs'!P87</f>
        <v>-348079.47777425119</v>
      </c>
      <c r="F292" s="278">
        <f ca="1">'EUR Swap PVs'!Q87</f>
        <v>-232052.98518283424</v>
      </c>
      <c r="G292" s="278">
        <f ca="1">'EUR Swap PVs'!R87</f>
        <v>-116026.49259141706</v>
      </c>
      <c r="H292" s="278">
        <f ca="1">'EUR Swap PVs'!S87</f>
        <v>0</v>
      </c>
      <c r="I292" s="278">
        <f ca="1">'EUR Swap PVs'!T87</f>
        <v>116026.49259141709</v>
      </c>
      <c r="J292" s="278">
        <f ca="1">'EUR Swap PVs'!U87</f>
        <v>232052.98518283418</v>
      </c>
      <c r="K292" s="278">
        <f ca="1">'EUR Swap PVs'!V87</f>
        <v>348079.47777425125</v>
      </c>
      <c r="L292" s="278">
        <f ca="1">'EUR Swap PVs'!W87</f>
        <v>464105.9703656683</v>
      </c>
      <c r="M292" s="279">
        <f ca="1">'EUR Swap PVs'!X87</f>
        <v>580132.46295708546</v>
      </c>
    </row>
    <row r="293" spans="2:26">
      <c r="B293" s="282" t="s">
        <v>24</v>
      </c>
      <c r="C293" s="278">
        <f ca="1">'EUR Swap PVs'!N88</f>
        <v>-705375.04990592063</v>
      </c>
      <c r="D293" s="278">
        <f ca="1">'EUR Swap PVs'!O88</f>
        <v>-564300.03992473683</v>
      </c>
      <c r="E293" s="278">
        <f ca="1">'EUR Swap PVs'!P88</f>
        <v>-423225.02994355239</v>
      </c>
      <c r="F293" s="278">
        <f ca="1">'EUR Swap PVs'!Q88</f>
        <v>-282150.01996236842</v>
      </c>
      <c r="G293" s="278">
        <f ca="1">'EUR Swap PVs'!R88</f>
        <v>-141075.00998118412</v>
      </c>
      <c r="H293" s="278">
        <f ca="1">'EUR Swap PVs'!S88</f>
        <v>0</v>
      </c>
      <c r="I293" s="278">
        <f ca="1">'EUR Swap PVs'!T88</f>
        <v>141075.00998118421</v>
      </c>
      <c r="J293" s="278">
        <f ca="1">'EUR Swap PVs'!U88</f>
        <v>282150.01996236836</v>
      </c>
      <c r="K293" s="278">
        <f ca="1">'EUR Swap PVs'!V88</f>
        <v>423225.02994355262</v>
      </c>
      <c r="L293" s="278">
        <f ca="1">'EUR Swap PVs'!W88</f>
        <v>564300.0399247366</v>
      </c>
      <c r="M293" s="279">
        <f ca="1">'EUR Swap PVs'!X88</f>
        <v>705375.04990592098</v>
      </c>
    </row>
    <row r="294" spans="2:26">
      <c r="B294" s="282" t="s">
        <v>20</v>
      </c>
      <c r="C294" s="278">
        <f ca="1">'EUR Swap PVs'!N89</f>
        <v>-895612.9666641826</v>
      </c>
      <c r="D294" s="278">
        <f ca="1">'EUR Swap PVs'!O89</f>
        <v>-716490.37333134655</v>
      </c>
      <c r="E294" s="278">
        <f ca="1">'EUR Swap PVs'!P89</f>
        <v>-537367.77999850968</v>
      </c>
      <c r="F294" s="278">
        <f ca="1">'EUR Swap PVs'!Q89</f>
        <v>-358245.18666567316</v>
      </c>
      <c r="G294" s="278">
        <f ca="1">'EUR Swap PVs'!R89</f>
        <v>-179122.59333283652</v>
      </c>
      <c r="H294" s="278">
        <f ca="1">'EUR Swap PVs'!S89</f>
        <v>0</v>
      </c>
      <c r="I294" s="278">
        <f ca="1">'EUR Swap PVs'!T89</f>
        <v>179122.5933328367</v>
      </c>
      <c r="J294" s="278">
        <f ca="1">'EUR Swap PVs'!U89</f>
        <v>358245.18666567327</v>
      </c>
      <c r="K294" s="278">
        <f ca="1">'EUR Swap PVs'!V89</f>
        <v>537367.77999850991</v>
      </c>
      <c r="L294" s="278">
        <f ca="1">'EUR Swap PVs'!W89</f>
        <v>716490.37333134632</v>
      </c>
      <c r="M294" s="279">
        <f ca="1">'EUR Swap PVs'!X89</f>
        <v>895612.96666418319</v>
      </c>
    </row>
    <row r="295" spans="2:26">
      <c r="B295" s="282" t="s">
        <v>18</v>
      </c>
      <c r="C295" s="278">
        <f ca="1">'EUR Swap PVs'!N90</f>
        <v>-1067055.5709118785</v>
      </c>
      <c r="D295" s="278">
        <f ca="1">'EUR Swap PVs'!O90</f>
        <v>-853644.45672950312</v>
      </c>
      <c r="E295" s="278">
        <f ca="1">'EUR Swap PVs'!P90</f>
        <v>-640233.34254712728</v>
      </c>
      <c r="F295" s="278">
        <f ca="1">'EUR Swap PVs'!Q90</f>
        <v>-426822.22836475162</v>
      </c>
      <c r="G295" s="278">
        <f ca="1">'EUR Swap PVs'!R90</f>
        <v>-213411.11418237581</v>
      </c>
      <c r="H295" s="278">
        <f ca="1">'EUR Swap PVs'!S90</f>
        <v>0</v>
      </c>
      <c r="I295" s="278">
        <f ca="1">'EUR Swap PVs'!T90</f>
        <v>213411.11418237592</v>
      </c>
      <c r="J295" s="278">
        <f ca="1">'EUR Swap PVs'!U90</f>
        <v>426822.22836475179</v>
      </c>
      <c r="K295" s="278">
        <f ca="1">'EUR Swap PVs'!V90</f>
        <v>640233.34254712763</v>
      </c>
      <c r="L295" s="278">
        <f ca="1">'EUR Swap PVs'!W90</f>
        <v>853644.45672950323</v>
      </c>
      <c r="M295" s="279">
        <f ca="1">'EUR Swap PVs'!X90</f>
        <v>1067055.5709118794</v>
      </c>
    </row>
    <row r="296" spans="2:26">
      <c r="B296" s="282" t="s">
        <v>17</v>
      </c>
      <c r="C296" s="278">
        <f ca="1">'EUR Swap PVs'!N91</f>
        <v>-1223051.960409343</v>
      </c>
      <c r="D296" s="278">
        <f ca="1">'EUR Swap PVs'!O91</f>
        <v>-978441.56832747487</v>
      </c>
      <c r="E296" s="278">
        <f ca="1">'EUR Swap PVs'!P91</f>
        <v>-733831.17624560639</v>
      </c>
      <c r="F296" s="278">
        <f ca="1">'EUR Swap PVs'!Q91</f>
        <v>-489220.78416373749</v>
      </c>
      <c r="G296" s="278">
        <f ca="1">'EUR Swap PVs'!R91</f>
        <v>-244610.39208186863</v>
      </c>
      <c r="H296" s="278">
        <f ca="1">'EUR Swap PVs'!S91</f>
        <v>5.5511151231257827E-11</v>
      </c>
      <c r="I296" s="278">
        <f ca="1">'EUR Swap PVs'!T91</f>
        <v>244610.39208186898</v>
      </c>
      <c r="J296" s="278">
        <f ca="1">'EUR Swap PVs'!U91</f>
        <v>489220.78416373784</v>
      </c>
      <c r="K296" s="278">
        <f ca="1">'EUR Swap PVs'!V91</f>
        <v>733831.17624560662</v>
      </c>
      <c r="L296" s="278">
        <f ca="1">'EUR Swap PVs'!W91</f>
        <v>978441.56832747511</v>
      </c>
      <c r="M296" s="279">
        <f ca="1">'EUR Swap PVs'!X91</f>
        <v>1223051.9604093444</v>
      </c>
    </row>
    <row r="297" spans="2:26">
      <c r="B297" s="282" t="s">
        <v>16</v>
      </c>
      <c r="C297" s="278">
        <f ca="1">'EUR Swap PVs'!N92</f>
        <v>-1366543.0648706765</v>
      </c>
      <c r="D297" s="278">
        <f ca="1">'EUR Swap PVs'!O92</f>
        <v>-1093234.451896542</v>
      </c>
      <c r="E297" s="278">
        <f ca="1">'EUR Swap PVs'!P92</f>
        <v>-819925.8389224062</v>
      </c>
      <c r="F297" s="278">
        <f ca="1">'EUR Swap PVs'!Q92</f>
        <v>-546617.22594827111</v>
      </c>
      <c r="G297" s="278">
        <f ca="1">'EUR Swap PVs'!R92</f>
        <v>-273308.61297413561</v>
      </c>
      <c r="H297" s="278">
        <f ca="1">'EUR Swap PVs'!S92</f>
        <v>0</v>
      </c>
      <c r="I297" s="278">
        <f ca="1">'EUR Swap PVs'!T92</f>
        <v>273308.61297413555</v>
      </c>
      <c r="J297" s="278">
        <f ca="1">'EUR Swap PVs'!U92</f>
        <v>546617.22594827099</v>
      </c>
      <c r="K297" s="278">
        <f ca="1">'EUR Swap PVs'!V92</f>
        <v>819925.83892240655</v>
      </c>
      <c r="L297" s="278">
        <f ca="1">'EUR Swap PVs'!W92</f>
        <v>1093234.4518965418</v>
      </c>
      <c r="M297" s="279">
        <f ca="1">'EUR Swap PVs'!X92</f>
        <v>1366543.0648706777</v>
      </c>
    </row>
    <row r="298" spans="2:26">
      <c r="B298" s="282" t="s">
        <v>15</v>
      </c>
      <c r="C298" s="278">
        <f ca="1">'EUR Swap PVs'!N93</f>
        <v>-1499145.7303461705</v>
      </c>
      <c r="D298" s="278">
        <f ca="1">'EUR Swap PVs'!O93</f>
        <v>-1199316.5842769372</v>
      </c>
      <c r="E298" s="278">
        <f ca="1">'EUR Swap PVs'!P93</f>
        <v>-899487.43820770283</v>
      </c>
      <c r="F298" s="278">
        <f ca="1">'EUR Swap PVs'!Q93</f>
        <v>-599658.29213846894</v>
      </c>
      <c r="G298" s="278">
        <f ca="1">'EUR Swap PVs'!R93</f>
        <v>-299829.14606923447</v>
      </c>
      <c r="H298" s="278">
        <f ca="1">'EUR Swap PVs'!S93</f>
        <v>0</v>
      </c>
      <c r="I298" s="278">
        <f ca="1">'EUR Swap PVs'!T93</f>
        <v>299829.1460692343</v>
      </c>
      <c r="J298" s="278">
        <f ca="1">'EUR Swap PVs'!U93</f>
        <v>599658.29213846847</v>
      </c>
      <c r="K298" s="278">
        <f ca="1">'EUR Swap PVs'!V93</f>
        <v>899487.43820770271</v>
      </c>
      <c r="L298" s="278">
        <f ca="1">'EUR Swap PVs'!W93</f>
        <v>1199316.5842769367</v>
      </c>
      <c r="M298" s="279">
        <f ca="1">'EUR Swap PVs'!X93</f>
        <v>1499145.7303461712</v>
      </c>
    </row>
    <row r="299" spans="2:26">
      <c r="B299" s="282" t="s">
        <v>368</v>
      </c>
      <c r="C299" s="278">
        <f ca="1">'EUR Swap PVs'!N94</f>
        <v>-1620154.4699725835</v>
      </c>
      <c r="D299" s="278">
        <f ca="1">'EUR Swap PVs'!O94</f>
        <v>-1296123.5759780677</v>
      </c>
      <c r="E299" s="278">
        <f ca="1">'EUR Swap PVs'!P94</f>
        <v>-972092.68198355101</v>
      </c>
      <c r="F299" s="278">
        <f ca="1">'EUR Swap PVs'!Q94</f>
        <v>-648061.78798903432</v>
      </c>
      <c r="G299" s="278">
        <f ca="1">'EUR Swap PVs'!R94</f>
        <v>-324030.89399451733</v>
      </c>
      <c r="H299" s="278">
        <f ca="1">'EUR Swap PVs'!S94</f>
        <v>0</v>
      </c>
      <c r="I299" s="278">
        <f ca="1">'EUR Swap PVs'!T94</f>
        <v>324030.89399451693</v>
      </c>
      <c r="J299" s="278">
        <f ca="1">'EUR Swap PVs'!U94</f>
        <v>648061.78798903385</v>
      </c>
      <c r="K299" s="278">
        <f ca="1">'EUR Swap PVs'!V94</f>
        <v>972092.68198355066</v>
      </c>
      <c r="L299" s="278">
        <f ca="1">'EUR Swap PVs'!W94</f>
        <v>1296123.5759780677</v>
      </c>
      <c r="M299" s="279">
        <f ca="1">'EUR Swap PVs'!X94</f>
        <v>1620154.4699725846</v>
      </c>
    </row>
    <row r="300" spans="2:26">
      <c r="B300" s="283" t="s">
        <v>14</v>
      </c>
      <c r="C300" s="280">
        <f ca="1">'EUR Swap PVs'!N95</f>
        <v>-1730741.4546833574</v>
      </c>
      <c r="D300" s="280">
        <f ca="1">'EUR Swap PVs'!O95</f>
        <v>-1384593.1637466867</v>
      </c>
      <c r="E300" s="280">
        <f ca="1">'EUR Swap PVs'!P95</f>
        <v>-1038444.8728100156</v>
      </c>
      <c r="F300" s="280">
        <f ca="1">'EUR Swap PVs'!Q95</f>
        <v>-692296.58187334414</v>
      </c>
      <c r="G300" s="280">
        <f ca="1">'EUR Swap PVs'!R95</f>
        <v>-346148.2909366719</v>
      </c>
      <c r="H300" s="280">
        <f ca="1">'EUR Swap PVs'!S95</f>
        <v>0</v>
      </c>
      <c r="I300" s="280">
        <f ca="1">'EUR Swap PVs'!T95</f>
        <v>346148.29093667178</v>
      </c>
      <c r="J300" s="280">
        <f ca="1">'EUR Swap PVs'!U95</f>
        <v>692296.58187334356</v>
      </c>
      <c r="K300" s="280">
        <f ca="1">'EUR Swap PVs'!V95</f>
        <v>1038444.8728100153</v>
      </c>
      <c r="L300" s="280">
        <f ca="1">'EUR Swap PVs'!W95</f>
        <v>1384593.1637466867</v>
      </c>
      <c r="M300" s="281">
        <f ca="1">'EUR Swap PVs'!X95</f>
        <v>1730741.4546833585</v>
      </c>
    </row>
    <row r="302" spans="2:26">
      <c r="B302" s="258" t="s">
        <v>472</v>
      </c>
      <c r="O302" s="258" t="s">
        <v>472</v>
      </c>
    </row>
    <row r="303" spans="2:26">
      <c r="B303" s="254" t="s">
        <v>468</v>
      </c>
      <c r="C303" s="287">
        <v>500</v>
      </c>
      <c r="D303" s="287">
        <v>400</v>
      </c>
      <c r="E303" s="287">
        <v>300</v>
      </c>
      <c r="F303" s="287">
        <v>200</v>
      </c>
      <c r="G303" s="287">
        <v>100</v>
      </c>
      <c r="H303" s="287">
        <v>0</v>
      </c>
      <c r="I303" s="287">
        <v>-100</v>
      </c>
      <c r="J303" s="287">
        <v>-200</v>
      </c>
      <c r="K303" s="287">
        <v>-300</v>
      </c>
      <c r="L303" s="287">
        <v>-400</v>
      </c>
      <c r="M303" s="288">
        <v>-500</v>
      </c>
      <c r="O303" s="254" t="s">
        <v>468</v>
      </c>
      <c r="P303" s="276">
        <v>-0.05</v>
      </c>
      <c r="Q303" s="276">
        <v>-0.04</v>
      </c>
      <c r="R303" s="276">
        <v>-0.03</v>
      </c>
      <c r="S303" s="276">
        <v>-1.9999999999999997E-2</v>
      </c>
      <c r="T303" s="276">
        <v>-9.9999999999999967E-3</v>
      </c>
      <c r="U303" s="276">
        <v>0</v>
      </c>
      <c r="V303" s="276">
        <v>0.01</v>
      </c>
      <c r="W303" s="276">
        <v>0.02</v>
      </c>
      <c r="X303" s="276">
        <v>0.03</v>
      </c>
      <c r="Y303" s="276">
        <v>0.04</v>
      </c>
      <c r="Z303" s="277">
        <v>0.05</v>
      </c>
    </row>
    <row r="304" spans="2:26">
      <c r="B304" s="282" t="s">
        <v>42</v>
      </c>
      <c r="C304" s="278">
        <f ca="1">IF(C282&lt;D282,0,1)</f>
        <v>0</v>
      </c>
      <c r="D304" s="278">
        <f t="shared" ref="D304:L304" ca="1" si="155">IF(D282&lt;E282,0,1)</f>
        <v>0</v>
      </c>
      <c r="E304" s="278">
        <f t="shared" ca="1" si="155"/>
        <v>0</v>
      </c>
      <c r="F304" s="278">
        <f t="shared" ca="1" si="155"/>
        <v>0</v>
      </c>
      <c r="G304" s="278">
        <f t="shared" ca="1" si="155"/>
        <v>0</v>
      </c>
      <c r="H304" s="278">
        <f t="shared" ca="1" si="155"/>
        <v>0</v>
      </c>
      <c r="I304" s="278">
        <f t="shared" ca="1" si="155"/>
        <v>0</v>
      </c>
      <c r="J304" s="278">
        <f t="shared" ca="1" si="155"/>
        <v>0</v>
      </c>
      <c r="K304" s="278">
        <f t="shared" ca="1" si="155"/>
        <v>0</v>
      </c>
      <c r="L304" s="278">
        <f t="shared" ca="1" si="155"/>
        <v>0</v>
      </c>
      <c r="M304" s="285" t="s">
        <v>6</v>
      </c>
      <c r="O304" s="282" t="s">
        <v>42</v>
      </c>
      <c r="P304" s="289">
        <f ca="1">IF(ABS(C283)&gt;ABS(C282),0,1)</f>
        <v>0</v>
      </c>
      <c r="Q304" s="289">
        <f t="shared" ref="Q304:Q321" ca="1" si="156">IF(ABS(D283)&gt;ABS(D282),0,1)</f>
        <v>0</v>
      </c>
      <c r="R304" s="289">
        <f t="shared" ref="R304:R321" ca="1" si="157">IF(ABS(E283)&gt;ABS(E282),0,1)</f>
        <v>0</v>
      </c>
      <c r="S304" s="289">
        <f t="shared" ref="S304:S321" ca="1" si="158">IF(ABS(F283)&gt;ABS(F282),0,1)</f>
        <v>0</v>
      </c>
      <c r="T304" s="289">
        <f t="shared" ref="T304:T321" ca="1" si="159">IF(ABS(G283)&gt;ABS(G282),0,1)</f>
        <v>0</v>
      </c>
      <c r="U304" s="295" t="s">
        <v>6</v>
      </c>
      <c r="V304" s="289">
        <f t="shared" ref="V304:V321" ca="1" si="160">IF(ABS(I283)&gt;ABS(I282),0,1)</f>
        <v>0</v>
      </c>
      <c r="W304" s="289">
        <f t="shared" ref="W304:W321" ca="1" si="161">IF(ABS(J283)&gt;ABS(J282),0,1)</f>
        <v>0</v>
      </c>
      <c r="X304" s="289">
        <f t="shared" ref="X304:X321" ca="1" si="162">IF(ABS(K283)&gt;ABS(K282),0,1)</f>
        <v>0</v>
      </c>
      <c r="Y304" s="289">
        <f t="shared" ref="Y304:Y321" ca="1" si="163">IF(ABS(L283)&gt;ABS(L282),0,1)</f>
        <v>0</v>
      </c>
      <c r="Z304" s="291">
        <f t="shared" ref="Z304:Z321" ca="1" si="164">IF(ABS(M283)&gt;ABS(M282),0,1)</f>
        <v>0</v>
      </c>
    </row>
    <row r="305" spans="2:26">
      <c r="B305" s="282" t="s">
        <v>39</v>
      </c>
      <c r="C305" s="278">
        <f t="shared" ref="C305:L305" ca="1" si="165">IF(C283&lt;D283,0,1)</f>
        <v>0</v>
      </c>
      <c r="D305" s="278">
        <f t="shared" ca="1" si="165"/>
        <v>0</v>
      </c>
      <c r="E305" s="278">
        <f t="shared" ca="1" si="165"/>
        <v>0</v>
      </c>
      <c r="F305" s="278">
        <f t="shared" ca="1" si="165"/>
        <v>0</v>
      </c>
      <c r="G305" s="278">
        <f t="shared" ca="1" si="165"/>
        <v>0</v>
      </c>
      <c r="H305" s="278">
        <f t="shared" ca="1" si="165"/>
        <v>0</v>
      </c>
      <c r="I305" s="278">
        <f t="shared" ca="1" si="165"/>
        <v>0</v>
      </c>
      <c r="J305" s="278">
        <f t="shared" ca="1" si="165"/>
        <v>0</v>
      </c>
      <c r="K305" s="278">
        <f t="shared" ca="1" si="165"/>
        <v>0</v>
      </c>
      <c r="L305" s="278">
        <f t="shared" ca="1" si="165"/>
        <v>0</v>
      </c>
      <c r="M305" s="279" t="s">
        <v>6</v>
      </c>
      <c r="O305" s="282" t="s">
        <v>39</v>
      </c>
      <c r="P305" s="289">
        <f t="shared" ref="P305:P321" ca="1" si="166">IF(ABS(C284)&gt;ABS(C283),0,1)</f>
        <v>0</v>
      </c>
      <c r="Q305" s="289">
        <f t="shared" ca="1" si="156"/>
        <v>0</v>
      </c>
      <c r="R305" s="289">
        <f t="shared" ca="1" si="157"/>
        <v>0</v>
      </c>
      <c r="S305" s="289">
        <f t="shared" ca="1" si="158"/>
        <v>0</v>
      </c>
      <c r="T305" s="289">
        <f t="shared" ca="1" si="159"/>
        <v>0</v>
      </c>
      <c r="U305" s="295" t="s">
        <v>6</v>
      </c>
      <c r="V305" s="289">
        <f t="shared" ca="1" si="160"/>
        <v>0</v>
      </c>
      <c r="W305" s="289">
        <f t="shared" ca="1" si="161"/>
        <v>0</v>
      </c>
      <c r="X305" s="289">
        <f t="shared" ca="1" si="162"/>
        <v>0</v>
      </c>
      <c r="Y305" s="289">
        <f t="shared" ca="1" si="163"/>
        <v>0</v>
      </c>
      <c r="Z305" s="292">
        <f t="shared" ca="1" si="164"/>
        <v>0</v>
      </c>
    </row>
    <row r="306" spans="2:26">
      <c r="B306" s="282" t="s">
        <v>35</v>
      </c>
      <c r="C306" s="278">
        <f t="shared" ref="C306:L306" ca="1" si="167">IF(C284&lt;D284,0,1)</f>
        <v>0</v>
      </c>
      <c r="D306" s="278">
        <f t="shared" ca="1" si="167"/>
        <v>0</v>
      </c>
      <c r="E306" s="278">
        <f t="shared" ca="1" si="167"/>
        <v>0</v>
      </c>
      <c r="F306" s="278">
        <f t="shared" ca="1" si="167"/>
        <v>0</v>
      </c>
      <c r="G306" s="278">
        <f t="shared" ca="1" si="167"/>
        <v>0</v>
      </c>
      <c r="H306" s="278">
        <f t="shared" ca="1" si="167"/>
        <v>0</v>
      </c>
      <c r="I306" s="278">
        <f t="shared" ca="1" si="167"/>
        <v>0</v>
      </c>
      <c r="J306" s="278">
        <f t="shared" ca="1" si="167"/>
        <v>0</v>
      </c>
      <c r="K306" s="278">
        <f t="shared" ca="1" si="167"/>
        <v>0</v>
      </c>
      <c r="L306" s="278">
        <f t="shared" ca="1" si="167"/>
        <v>0</v>
      </c>
      <c r="M306" s="279" t="s">
        <v>6</v>
      </c>
      <c r="O306" s="282" t="s">
        <v>35</v>
      </c>
      <c r="P306" s="289">
        <f t="shared" ca="1" si="166"/>
        <v>0</v>
      </c>
      <c r="Q306" s="289">
        <f t="shared" ca="1" si="156"/>
        <v>0</v>
      </c>
      <c r="R306" s="289">
        <f t="shared" ca="1" si="157"/>
        <v>0</v>
      </c>
      <c r="S306" s="289">
        <f t="shared" ca="1" si="158"/>
        <v>0</v>
      </c>
      <c r="T306" s="289">
        <f t="shared" ca="1" si="159"/>
        <v>0</v>
      </c>
      <c r="U306" s="295" t="s">
        <v>6</v>
      </c>
      <c r="V306" s="289">
        <f t="shared" ca="1" si="160"/>
        <v>0</v>
      </c>
      <c r="W306" s="289">
        <f t="shared" ca="1" si="161"/>
        <v>0</v>
      </c>
      <c r="X306" s="289">
        <f t="shared" ca="1" si="162"/>
        <v>0</v>
      </c>
      <c r="Y306" s="289">
        <f t="shared" ca="1" si="163"/>
        <v>0</v>
      </c>
      <c r="Z306" s="292">
        <f t="shared" ca="1" si="164"/>
        <v>0</v>
      </c>
    </row>
    <row r="307" spans="2:26">
      <c r="B307" s="282" t="s">
        <v>33</v>
      </c>
      <c r="C307" s="278">
        <f t="shared" ref="C307:L307" ca="1" si="168">IF(C285&lt;D285,0,1)</f>
        <v>0</v>
      </c>
      <c r="D307" s="278">
        <f t="shared" ca="1" si="168"/>
        <v>0</v>
      </c>
      <c r="E307" s="278">
        <f t="shared" ca="1" si="168"/>
        <v>0</v>
      </c>
      <c r="F307" s="278">
        <f t="shared" ca="1" si="168"/>
        <v>0</v>
      </c>
      <c r="G307" s="278">
        <f t="shared" ca="1" si="168"/>
        <v>0</v>
      </c>
      <c r="H307" s="278">
        <f t="shared" ca="1" si="168"/>
        <v>0</v>
      </c>
      <c r="I307" s="278">
        <f t="shared" ca="1" si="168"/>
        <v>0</v>
      </c>
      <c r="J307" s="278">
        <f t="shared" ca="1" si="168"/>
        <v>0</v>
      </c>
      <c r="K307" s="278">
        <f t="shared" ca="1" si="168"/>
        <v>0</v>
      </c>
      <c r="L307" s="278">
        <f t="shared" ca="1" si="168"/>
        <v>0</v>
      </c>
      <c r="M307" s="279" t="s">
        <v>6</v>
      </c>
      <c r="O307" s="282" t="s">
        <v>33</v>
      </c>
      <c r="P307" s="289">
        <f t="shared" ca="1" si="166"/>
        <v>0</v>
      </c>
      <c r="Q307" s="289">
        <f t="shared" ca="1" si="156"/>
        <v>0</v>
      </c>
      <c r="R307" s="289">
        <f t="shared" ca="1" si="157"/>
        <v>0</v>
      </c>
      <c r="S307" s="289">
        <f t="shared" ca="1" si="158"/>
        <v>0</v>
      </c>
      <c r="T307" s="289">
        <f t="shared" ca="1" si="159"/>
        <v>0</v>
      </c>
      <c r="U307" s="295" t="s">
        <v>6</v>
      </c>
      <c r="V307" s="289">
        <f t="shared" ca="1" si="160"/>
        <v>0</v>
      </c>
      <c r="W307" s="289">
        <f t="shared" ca="1" si="161"/>
        <v>0</v>
      </c>
      <c r="X307" s="289">
        <f t="shared" ca="1" si="162"/>
        <v>0</v>
      </c>
      <c r="Y307" s="289">
        <f t="shared" ca="1" si="163"/>
        <v>0</v>
      </c>
      <c r="Z307" s="292">
        <f t="shared" ca="1" si="164"/>
        <v>0</v>
      </c>
    </row>
    <row r="308" spans="2:26">
      <c r="B308" s="282" t="s">
        <v>131</v>
      </c>
      <c r="C308" s="278">
        <f t="shared" ref="C308:L308" ca="1" si="169">IF(C286&lt;D286,0,1)</f>
        <v>0</v>
      </c>
      <c r="D308" s="278">
        <f t="shared" ca="1" si="169"/>
        <v>0</v>
      </c>
      <c r="E308" s="278">
        <f t="shared" ca="1" si="169"/>
        <v>0</v>
      </c>
      <c r="F308" s="278">
        <f t="shared" ca="1" si="169"/>
        <v>0</v>
      </c>
      <c r="G308" s="278">
        <f t="shared" ca="1" si="169"/>
        <v>0</v>
      </c>
      <c r="H308" s="278">
        <f t="shared" ca="1" si="169"/>
        <v>0</v>
      </c>
      <c r="I308" s="278">
        <f t="shared" ca="1" si="169"/>
        <v>0</v>
      </c>
      <c r="J308" s="278">
        <f t="shared" ca="1" si="169"/>
        <v>0</v>
      </c>
      <c r="K308" s="278">
        <f t="shared" ca="1" si="169"/>
        <v>0</v>
      </c>
      <c r="L308" s="278">
        <f t="shared" ca="1" si="169"/>
        <v>0</v>
      </c>
      <c r="M308" s="279" t="s">
        <v>6</v>
      </c>
      <c r="O308" s="282" t="s">
        <v>131</v>
      </c>
      <c r="P308" s="289">
        <f t="shared" ca="1" si="166"/>
        <v>0</v>
      </c>
      <c r="Q308" s="289">
        <f t="shared" ca="1" si="156"/>
        <v>0</v>
      </c>
      <c r="R308" s="289">
        <f t="shared" ca="1" si="157"/>
        <v>0</v>
      </c>
      <c r="S308" s="289">
        <f t="shared" ca="1" si="158"/>
        <v>0</v>
      </c>
      <c r="T308" s="289">
        <f t="shared" ca="1" si="159"/>
        <v>0</v>
      </c>
      <c r="U308" s="295" t="s">
        <v>6</v>
      </c>
      <c r="V308" s="289">
        <f t="shared" ca="1" si="160"/>
        <v>0</v>
      </c>
      <c r="W308" s="289">
        <f t="shared" ca="1" si="161"/>
        <v>0</v>
      </c>
      <c r="X308" s="289">
        <f t="shared" ca="1" si="162"/>
        <v>0</v>
      </c>
      <c r="Y308" s="289">
        <f t="shared" ca="1" si="163"/>
        <v>0</v>
      </c>
      <c r="Z308" s="292">
        <f t="shared" ca="1" si="164"/>
        <v>0</v>
      </c>
    </row>
    <row r="309" spans="2:26">
      <c r="B309" s="282" t="s">
        <v>31</v>
      </c>
      <c r="C309" s="278">
        <f t="shared" ref="C309:L309" ca="1" si="170">IF(C287&lt;D287,0,1)</f>
        <v>0</v>
      </c>
      <c r="D309" s="278">
        <f t="shared" ca="1" si="170"/>
        <v>0</v>
      </c>
      <c r="E309" s="278">
        <f t="shared" ca="1" si="170"/>
        <v>0</v>
      </c>
      <c r="F309" s="278">
        <f t="shared" ca="1" si="170"/>
        <v>0</v>
      </c>
      <c r="G309" s="278">
        <f t="shared" ca="1" si="170"/>
        <v>0</v>
      </c>
      <c r="H309" s="278">
        <f t="shared" ca="1" si="170"/>
        <v>0</v>
      </c>
      <c r="I309" s="278">
        <f t="shared" ca="1" si="170"/>
        <v>0</v>
      </c>
      <c r="J309" s="278">
        <f t="shared" ca="1" si="170"/>
        <v>0</v>
      </c>
      <c r="K309" s="278">
        <f t="shared" ca="1" si="170"/>
        <v>0</v>
      </c>
      <c r="L309" s="278">
        <f t="shared" ca="1" si="170"/>
        <v>0</v>
      </c>
      <c r="M309" s="279" t="s">
        <v>6</v>
      </c>
      <c r="O309" s="282" t="s">
        <v>31</v>
      </c>
      <c r="P309" s="289">
        <f t="shared" ca="1" si="166"/>
        <v>0</v>
      </c>
      <c r="Q309" s="289">
        <f t="shared" ca="1" si="156"/>
        <v>0</v>
      </c>
      <c r="R309" s="289">
        <f t="shared" ca="1" si="157"/>
        <v>0</v>
      </c>
      <c r="S309" s="289">
        <f t="shared" ca="1" si="158"/>
        <v>0</v>
      </c>
      <c r="T309" s="289">
        <f t="shared" ca="1" si="159"/>
        <v>0</v>
      </c>
      <c r="U309" s="295" t="s">
        <v>6</v>
      </c>
      <c r="V309" s="289">
        <f t="shared" ca="1" si="160"/>
        <v>0</v>
      </c>
      <c r="W309" s="289">
        <f t="shared" ca="1" si="161"/>
        <v>0</v>
      </c>
      <c r="X309" s="289">
        <f t="shared" ca="1" si="162"/>
        <v>0</v>
      </c>
      <c r="Y309" s="289">
        <f t="shared" ca="1" si="163"/>
        <v>0</v>
      </c>
      <c r="Z309" s="292">
        <f t="shared" ca="1" si="164"/>
        <v>0</v>
      </c>
    </row>
    <row r="310" spans="2:26">
      <c r="B310" s="282" t="s">
        <v>119</v>
      </c>
      <c r="C310" s="278">
        <f t="shared" ref="C310:L310" ca="1" si="171">IF(C288&lt;D288,0,1)</f>
        <v>0</v>
      </c>
      <c r="D310" s="278">
        <f t="shared" ca="1" si="171"/>
        <v>0</v>
      </c>
      <c r="E310" s="278">
        <f t="shared" ca="1" si="171"/>
        <v>0</v>
      </c>
      <c r="F310" s="278">
        <f t="shared" ca="1" si="171"/>
        <v>0</v>
      </c>
      <c r="G310" s="278">
        <f t="shared" ca="1" si="171"/>
        <v>0</v>
      </c>
      <c r="H310" s="278">
        <f t="shared" ca="1" si="171"/>
        <v>0</v>
      </c>
      <c r="I310" s="278">
        <f t="shared" ca="1" si="171"/>
        <v>0</v>
      </c>
      <c r="J310" s="278">
        <f t="shared" ca="1" si="171"/>
        <v>0</v>
      </c>
      <c r="K310" s="278">
        <f t="shared" ca="1" si="171"/>
        <v>0</v>
      </c>
      <c r="L310" s="278">
        <f t="shared" ca="1" si="171"/>
        <v>0</v>
      </c>
      <c r="M310" s="279" t="s">
        <v>6</v>
      </c>
      <c r="O310" s="282" t="s">
        <v>119</v>
      </c>
      <c r="P310" s="289">
        <f t="shared" ca="1" si="166"/>
        <v>0</v>
      </c>
      <c r="Q310" s="289">
        <f t="shared" ca="1" si="156"/>
        <v>0</v>
      </c>
      <c r="R310" s="289">
        <f t="shared" ca="1" si="157"/>
        <v>0</v>
      </c>
      <c r="S310" s="289">
        <f t="shared" ca="1" si="158"/>
        <v>0</v>
      </c>
      <c r="T310" s="289">
        <f t="shared" ca="1" si="159"/>
        <v>0</v>
      </c>
      <c r="U310" s="295" t="s">
        <v>6</v>
      </c>
      <c r="V310" s="289">
        <f t="shared" ca="1" si="160"/>
        <v>0</v>
      </c>
      <c r="W310" s="289">
        <f t="shared" ca="1" si="161"/>
        <v>0</v>
      </c>
      <c r="X310" s="289">
        <f t="shared" ca="1" si="162"/>
        <v>0</v>
      </c>
      <c r="Y310" s="289">
        <f t="shared" ca="1" si="163"/>
        <v>0</v>
      </c>
      <c r="Z310" s="292">
        <f t="shared" ca="1" si="164"/>
        <v>0</v>
      </c>
    </row>
    <row r="311" spans="2:26">
      <c r="B311" s="282" t="s">
        <v>113</v>
      </c>
      <c r="C311" s="278">
        <f t="shared" ref="C311:L311" ca="1" si="172">IF(C289&lt;D289,0,1)</f>
        <v>0</v>
      </c>
      <c r="D311" s="278">
        <f t="shared" ca="1" si="172"/>
        <v>0</v>
      </c>
      <c r="E311" s="278">
        <f t="shared" ca="1" si="172"/>
        <v>0</v>
      </c>
      <c r="F311" s="278">
        <f t="shared" ca="1" si="172"/>
        <v>0</v>
      </c>
      <c r="G311" s="278">
        <f t="shared" ca="1" si="172"/>
        <v>0</v>
      </c>
      <c r="H311" s="278">
        <f t="shared" ca="1" si="172"/>
        <v>0</v>
      </c>
      <c r="I311" s="278">
        <f t="shared" ca="1" si="172"/>
        <v>0</v>
      </c>
      <c r="J311" s="278">
        <f t="shared" ca="1" si="172"/>
        <v>0</v>
      </c>
      <c r="K311" s="278">
        <f t="shared" ca="1" si="172"/>
        <v>0</v>
      </c>
      <c r="L311" s="278">
        <f t="shared" ca="1" si="172"/>
        <v>0</v>
      </c>
      <c r="M311" s="279" t="s">
        <v>6</v>
      </c>
      <c r="O311" s="282" t="s">
        <v>113</v>
      </c>
      <c r="P311" s="289">
        <f t="shared" ca="1" si="166"/>
        <v>0</v>
      </c>
      <c r="Q311" s="289">
        <f t="shared" ca="1" si="156"/>
        <v>0</v>
      </c>
      <c r="R311" s="289">
        <f t="shared" ca="1" si="157"/>
        <v>0</v>
      </c>
      <c r="S311" s="289">
        <f t="shared" ca="1" si="158"/>
        <v>0</v>
      </c>
      <c r="T311" s="289">
        <f t="shared" ca="1" si="159"/>
        <v>0</v>
      </c>
      <c r="U311" s="295" t="s">
        <v>6</v>
      </c>
      <c r="V311" s="289">
        <f t="shared" ca="1" si="160"/>
        <v>0</v>
      </c>
      <c r="W311" s="289">
        <f t="shared" ca="1" si="161"/>
        <v>0</v>
      </c>
      <c r="X311" s="289">
        <f t="shared" ca="1" si="162"/>
        <v>0</v>
      </c>
      <c r="Y311" s="289">
        <f t="shared" ca="1" si="163"/>
        <v>0</v>
      </c>
      <c r="Z311" s="292">
        <f t="shared" ca="1" si="164"/>
        <v>0</v>
      </c>
    </row>
    <row r="312" spans="2:26">
      <c r="B312" s="282" t="s">
        <v>28</v>
      </c>
      <c r="C312" s="278">
        <f t="shared" ref="C312:L312" ca="1" si="173">IF(C290&lt;D290,0,1)</f>
        <v>0</v>
      </c>
      <c r="D312" s="278">
        <f t="shared" ca="1" si="173"/>
        <v>0</v>
      </c>
      <c r="E312" s="278">
        <f t="shared" ca="1" si="173"/>
        <v>0</v>
      </c>
      <c r="F312" s="278">
        <f t="shared" ca="1" si="173"/>
        <v>0</v>
      </c>
      <c r="G312" s="278">
        <f t="shared" ca="1" si="173"/>
        <v>0</v>
      </c>
      <c r="H312" s="278">
        <f t="shared" ca="1" si="173"/>
        <v>0</v>
      </c>
      <c r="I312" s="278">
        <f t="shared" ca="1" si="173"/>
        <v>0</v>
      </c>
      <c r="J312" s="278">
        <f t="shared" ca="1" si="173"/>
        <v>0</v>
      </c>
      <c r="K312" s="278">
        <f t="shared" ca="1" si="173"/>
        <v>0</v>
      </c>
      <c r="L312" s="278">
        <f t="shared" ca="1" si="173"/>
        <v>0</v>
      </c>
      <c r="M312" s="279" t="s">
        <v>6</v>
      </c>
      <c r="O312" s="282" t="s">
        <v>28</v>
      </c>
      <c r="P312" s="289">
        <f t="shared" ca="1" si="166"/>
        <v>0</v>
      </c>
      <c r="Q312" s="289">
        <f t="shared" ca="1" si="156"/>
        <v>0</v>
      </c>
      <c r="R312" s="289">
        <f t="shared" ca="1" si="157"/>
        <v>0</v>
      </c>
      <c r="S312" s="289">
        <f t="shared" ca="1" si="158"/>
        <v>0</v>
      </c>
      <c r="T312" s="289">
        <f t="shared" ca="1" si="159"/>
        <v>0</v>
      </c>
      <c r="U312" s="295" t="s">
        <v>6</v>
      </c>
      <c r="V312" s="289">
        <f t="shared" ca="1" si="160"/>
        <v>0</v>
      </c>
      <c r="W312" s="289">
        <f t="shared" ca="1" si="161"/>
        <v>0</v>
      </c>
      <c r="X312" s="289">
        <f t="shared" ca="1" si="162"/>
        <v>0</v>
      </c>
      <c r="Y312" s="289">
        <f t="shared" ca="1" si="163"/>
        <v>0</v>
      </c>
      <c r="Z312" s="292">
        <f t="shared" ca="1" si="164"/>
        <v>0</v>
      </c>
    </row>
    <row r="313" spans="2:26">
      <c r="B313" s="282" t="s">
        <v>366</v>
      </c>
      <c r="C313" s="278">
        <f t="shared" ref="C313:L313" ca="1" si="174">IF(C291&lt;D291,0,1)</f>
        <v>0</v>
      </c>
      <c r="D313" s="278">
        <f t="shared" ca="1" si="174"/>
        <v>0</v>
      </c>
      <c r="E313" s="278">
        <f t="shared" ca="1" si="174"/>
        <v>0</v>
      </c>
      <c r="F313" s="278">
        <f t="shared" ca="1" si="174"/>
        <v>0</v>
      </c>
      <c r="G313" s="278">
        <f t="shared" ca="1" si="174"/>
        <v>0</v>
      </c>
      <c r="H313" s="278">
        <f t="shared" ca="1" si="174"/>
        <v>0</v>
      </c>
      <c r="I313" s="278">
        <f t="shared" ca="1" si="174"/>
        <v>0</v>
      </c>
      <c r="J313" s="278">
        <f t="shared" ca="1" si="174"/>
        <v>0</v>
      </c>
      <c r="K313" s="278">
        <f t="shared" ca="1" si="174"/>
        <v>0</v>
      </c>
      <c r="L313" s="278">
        <f t="shared" ca="1" si="174"/>
        <v>0</v>
      </c>
      <c r="M313" s="279" t="s">
        <v>6</v>
      </c>
      <c r="O313" s="282" t="s">
        <v>366</v>
      </c>
      <c r="P313" s="289">
        <f t="shared" ca="1" si="166"/>
        <v>0</v>
      </c>
      <c r="Q313" s="289">
        <f t="shared" ca="1" si="156"/>
        <v>0</v>
      </c>
      <c r="R313" s="289">
        <f t="shared" ca="1" si="157"/>
        <v>0</v>
      </c>
      <c r="S313" s="289">
        <f t="shared" ca="1" si="158"/>
        <v>0</v>
      </c>
      <c r="T313" s="289">
        <f t="shared" ca="1" si="159"/>
        <v>0</v>
      </c>
      <c r="U313" s="295" t="s">
        <v>6</v>
      </c>
      <c r="V313" s="289">
        <f t="shared" ca="1" si="160"/>
        <v>0</v>
      </c>
      <c r="W313" s="289">
        <f t="shared" ca="1" si="161"/>
        <v>0</v>
      </c>
      <c r="X313" s="289">
        <f t="shared" ca="1" si="162"/>
        <v>0</v>
      </c>
      <c r="Y313" s="289">
        <f t="shared" ca="1" si="163"/>
        <v>0</v>
      </c>
      <c r="Z313" s="292">
        <f t="shared" ca="1" si="164"/>
        <v>0</v>
      </c>
    </row>
    <row r="314" spans="2:26">
      <c r="B314" s="282" t="s">
        <v>26</v>
      </c>
      <c r="C314" s="278">
        <f t="shared" ref="C314:L314" ca="1" si="175">IF(C292&lt;D292,0,1)</f>
        <v>0</v>
      </c>
      <c r="D314" s="278">
        <f t="shared" ca="1" si="175"/>
        <v>0</v>
      </c>
      <c r="E314" s="278">
        <f t="shared" ca="1" si="175"/>
        <v>0</v>
      </c>
      <c r="F314" s="278">
        <f t="shared" ca="1" si="175"/>
        <v>0</v>
      </c>
      <c r="G314" s="278">
        <f t="shared" ca="1" si="175"/>
        <v>0</v>
      </c>
      <c r="H314" s="278">
        <f t="shared" ca="1" si="175"/>
        <v>0</v>
      </c>
      <c r="I314" s="278">
        <f t="shared" ca="1" si="175"/>
        <v>0</v>
      </c>
      <c r="J314" s="278">
        <f t="shared" ca="1" si="175"/>
        <v>0</v>
      </c>
      <c r="K314" s="278">
        <f t="shared" ca="1" si="175"/>
        <v>0</v>
      </c>
      <c r="L314" s="278">
        <f t="shared" ca="1" si="175"/>
        <v>0</v>
      </c>
      <c r="M314" s="279" t="s">
        <v>6</v>
      </c>
      <c r="O314" s="282" t="s">
        <v>26</v>
      </c>
      <c r="P314" s="289">
        <f t="shared" ca="1" si="166"/>
        <v>0</v>
      </c>
      <c r="Q314" s="289">
        <f t="shared" ca="1" si="156"/>
        <v>0</v>
      </c>
      <c r="R314" s="289">
        <f t="shared" ca="1" si="157"/>
        <v>0</v>
      </c>
      <c r="S314" s="289">
        <f t="shared" ca="1" si="158"/>
        <v>0</v>
      </c>
      <c r="T314" s="289">
        <f t="shared" ca="1" si="159"/>
        <v>0</v>
      </c>
      <c r="U314" s="295" t="s">
        <v>6</v>
      </c>
      <c r="V314" s="289">
        <f t="shared" ca="1" si="160"/>
        <v>0</v>
      </c>
      <c r="W314" s="289">
        <f t="shared" ca="1" si="161"/>
        <v>0</v>
      </c>
      <c r="X314" s="289">
        <f t="shared" ca="1" si="162"/>
        <v>0</v>
      </c>
      <c r="Y314" s="289">
        <f t="shared" ca="1" si="163"/>
        <v>0</v>
      </c>
      <c r="Z314" s="292">
        <f t="shared" ca="1" si="164"/>
        <v>0</v>
      </c>
    </row>
    <row r="315" spans="2:26">
      <c r="B315" s="282" t="s">
        <v>24</v>
      </c>
      <c r="C315" s="278">
        <f t="shared" ref="C315:L315" ca="1" si="176">IF(C293&lt;D293,0,1)</f>
        <v>0</v>
      </c>
      <c r="D315" s="278">
        <f t="shared" ca="1" si="176"/>
        <v>0</v>
      </c>
      <c r="E315" s="278">
        <f t="shared" ca="1" si="176"/>
        <v>0</v>
      </c>
      <c r="F315" s="278">
        <f t="shared" ca="1" si="176"/>
        <v>0</v>
      </c>
      <c r="G315" s="278">
        <f t="shared" ca="1" si="176"/>
        <v>0</v>
      </c>
      <c r="H315" s="278">
        <f t="shared" ca="1" si="176"/>
        <v>0</v>
      </c>
      <c r="I315" s="278">
        <f t="shared" ca="1" si="176"/>
        <v>0</v>
      </c>
      <c r="J315" s="278">
        <f t="shared" ca="1" si="176"/>
        <v>0</v>
      </c>
      <c r="K315" s="278">
        <f t="shared" ca="1" si="176"/>
        <v>0</v>
      </c>
      <c r="L315" s="278">
        <f t="shared" ca="1" si="176"/>
        <v>0</v>
      </c>
      <c r="M315" s="279" t="s">
        <v>6</v>
      </c>
      <c r="O315" s="282" t="s">
        <v>24</v>
      </c>
      <c r="P315" s="289">
        <f t="shared" ca="1" si="166"/>
        <v>0</v>
      </c>
      <c r="Q315" s="289">
        <f t="shared" ca="1" si="156"/>
        <v>0</v>
      </c>
      <c r="R315" s="289">
        <f t="shared" ca="1" si="157"/>
        <v>0</v>
      </c>
      <c r="S315" s="289">
        <f t="shared" ca="1" si="158"/>
        <v>0</v>
      </c>
      <c r="T315" s="289">
        <f t="shared" ca="1" si="159"/>
        <v>0</v>
      </c>
      <c r="U315" s="295" t="s">
        <v>6</v>
      </c>
      <c r="V315" s="289">
        <f t="shared" ca="1" si="160"/>
        <v>0</v>
      </c>
      <c r="W315" s="289">
        <f t="shared" ca="1" si="161"/>
        <v>0</v>
      </c>
      <c r="X315" s="289">
        <f t="shared" ca="1" si="162"/>
        <v>0</v>
      </c>
      <c r="Y315" s="289">
        <f t="shared" ca="1" si="163"/>
        <v>0</v>
      </c>
      <c r="Z315" s="292">
        <f t="shared" ca="1" si="164"/>
        <v>0</v>
      </c>
    </row>
    <row r="316" spans="2:26">
      <c r="B316" s="282" t="s">
        <v>20</v>
      </c>
      <c r="C316" s="278">
        <f t="shared" ref="C316:L316" ca="1" si="177">IF(C294&lt;D294,0,1)</f>
        <v>0</v>
      </c>
      <c r="D316" s="278">
        <f t="shared" ca="1" si="177"/>
        <v>0</v>
      </c>
      <c r="E316" s="278">
        <f t="shared" ca="1" si="177"/>
        <v>0</v>
      </c>
      <c r="F316" s="278">
        <f t="shared" ca="1" si="177"/>
        <v>0</v>
      </c>
      <c r="G316" s="278">
        <f t="shared" ca="1" si="177"/>
        <v>0</v>
      </c>
      <c r="H316" s="278">
        <f t="shared" ca="1" si="177"/>
        <v>0</v>
      </c>
      <c r="I316" s="278">
        <f t="shared" ca="1" si="177"/>
        <v>0</v>
      </c>
      <c r="J316" s="278">
        <f t="shared" ca="1" si="177"/>
        <v>0</v>
      </c>
      <c r="K316" s="278">
        <f t="shared" ca="1" si="177"/>
        <v>0</v>
      </c>
      <c r="L316" s="278">
        <f t="shared" ca="1" si="177"/>
        <v>0</v>
      </c>
      <c r="M316" s="279" t="s">
        <v>6</v>
      </c>
      <c r="O316" s="282" t="s">
        <v>20</v>
      </c>
      <c r="P316" s="289">
        <f t="shared" ca="1" si="166"/>
        <v>0</v>
      </c>
      <c r="Q316" s="289">
        <f t="shared" ca="1" si="156"/>
        <v>0</v>
      </c>
      <c r="R316" s="289">
        <f t="shared" ca="1" si="157"/>
        <v>0</v>
      </c>
      <c r="S316" s="289">
        <f t="shared" ca="1" si="158"/>
        <v>0</v>
      </c>
      <c r="T316" s="289">
        <f t="shared" ca="1" si="159"/>
        <v>0</v>
      </c>
      <c r="U316" s="295" t="s">
        <v>6</v>
      </c>
      <c r="V316" s="289">
        <f t="shared" ca="1" si="160"/>
        <v>0</v>
      </c>
      <c r="W316" s="289">
        <f t="shared" ca="1" si="161"/>
        <v>0</v>
      </c>
      <c r="X316" s="289">
        <f t="shared" ca="1" si="162"/>
        <v>0</v>
      </c>
      <c r="Y316" s="289">
        <f t="shared" ca="1" si="163"/>
        <v>0</v>
      </c>
      <c r="Z316" s="292">
        <f t="shared" ca="1" si="164"/>
        <v>0</v>
      </c>
    </row>
    <row r="317" spans="2:26">
      <c r="B317" s="282" t="s">
        <v>18</v>
      </c>
      <c r="C317" s="278">
        <f t="shared" ref="C317:L317" ca="1" si="178">IF(C295&lt;D295,0,1)</f>
        <v>0</v>
      </c>
      <c r="D317" s="278">
        <f t="shared" ca="1" si="178"/>
        <v>0</v>
      </c>
      <c r="E317" s="278">
        <f t="shared" ca="1" si="178"/>
        <v>0</v>
      </c>
      <c r="F317" s="278">
        <f t="shared" ca="1" si="178"/>
        <v>0</v>
      </c>
      <c r="G317" s="278">
        <f t="shared" ca="1" si="178"/>
        <v>0</v>
      </c>
      <c r="H317" s="278">
        <f t="shared" ca="1" si="178"/>
        <v>0</v>
      </c>
      <c r="I317" s="278">
        <f t="shared" ca="1" si="178"/>
        <v>0</v>
      </c>
      <c r="J317" s="278">
        <f t="shared" ca="1" si="178"/>
        <v>0</v>
      </c>
      <c r="K317" s="278">
        <f t="shared" ca="1" si="178"/>
        <v>0</v>
      </c>
      <c r="L317" s="278">
        <f t="shared" ca="1" si="178"/>
        <v>0</v>
      </c>
      <c r="M317" s="279" t="s">
        <v>6</v>
      </c>
      <c r="O317" s="282" t="s">
        <v>18</v>
      </c>
      <c r="P317" s="289">
        <f t="shared" ca="1" si="166"/>
        <v>0</v>
      </c>
      <c r="Q317" s="289">
        <f t="shared" ca="1" si="156"/>
        <v>0</v>
      </c>
      <c r="R317" s="289">
        <f t="shared" ca="1" si="157"/>
        <v>0</v>
      </c>
      <c r="S317" s="289">
        <f t="shared" ca="1" si="158"/>
        <v>0</v>
      </c>
      <c r="T317" s="289">
        <f t="shared" ca="1" si="159"/>
        <v>0</v>
      </c>
      <c r="U317" s="295" t="s">
        <v>6</v>
      </c>
      <c r="V317" s="289">
        <f t="shared" ca="1" si="160"/>
        <v>0</v>
      </c>
      <c r="W317" s="289">
        <f t="shared" ca="1" si="161"/>
        <v>0</v>
      </c>
      <c r="X317" s="289">
        <f t="shared" ca="1" si="162"/>
        <v>0</v>
      </c>
      <c r="Y317" s="289">
        <f t="shared" ca="1" si="163"/>
        <v>0</v>
      </c>
      <c r="Z317" s="292">
        <f t="shared" ca="1" si="164"/>
        <v>0</v>
      </c>
    </row>
    <row r="318" spans="2:26">
      <c r="B318" s="282" t="s">
        <v>17</v>
      </c>
      <c r="C318" s="278">
        <f t="shared" ref="C318:L318" ca="1" si="179">IF(C296&lt;D296,0,1)</f>
        <v>0</v>
      </c>
      <c r="D318" s="278">
        <f t="shared" ca="1" si="179"/>
        <v>0</v>
      </c>
      <c r="E318" s="278">
        <f t="shared" ca="1" si="179"/>
        <v>0</v>
      </c>
      <c r="F318" s="278">
        <f t="shared" ca="1" si="179"/>
        <v>0</v>
      </c>
      <c r="G318" s="278">
        <f t="shared" ca="1" si="179"/>
        <v>0</v>
      </c>
      <c r="H318" s="278">
        <f t="shared" ca="1" si="179"/>
        <v>0</v>
      </c>
      <c r="I318" s="278">
        <f t="shared" ca="1" si="179"/>
        <v>0</v>
      </c>
      <c r="J318" s="278">
        <f t="shared" ca="1" si="179"/>
        <v>0</v>
      </c>
      <c r="K318" s="278">
        <f t="shared" ca="1" si="179"/>
        <v>0</v>
      </c>
      <c r="L318" s="278">
        <f t="shared" ca="1" si="179"/>
        <v>0</v>
      </c>
      <c r="M318" s="279" t="s">
        <v>6</v>
      </c>
      <c r="O318" s="282" t="s">
        <v>17</v>
      </c>
      <c r="P318" s="289">
        <f t="shared" ca="1" si="166"/>
        <v>0</v>
      </c>
      <c r="Q318" s="289">
        <f t="shared" ca="1" si="156"/>
        <v>0</v>
      </c>
      <c r="R318" s="289">
        <f t="shared" ca="1" si="157"/>
        <v>0</v>
      </c>
      <c r="S318" s="289">
        <f t="shared" ca="1" si="158"/>
        <v>0</v>
      </c>
      <c r="T318" s="289">
        <f t="shared" ca="1" si="159"/>
        <v>0</v>
      </c>
      <c r="U318" s="295" t="s">
        <v>6</v>
      </c>
      <c r="V318" s="289">
        <f t="shared" ca="1" si="160"/>
        <v>0</v>
      </c>
      <c r="W318" s="289">
        <f t="shared" ca="1" si="161"/>
        <v>0</v>
      </c>
      <c r="X318" s="289">
        <f t="shared" ca="1" si="162"/>
        <v>0</v>
      </c>
      <c r="Y318" s="289">
        <f t="shared" ca="1" si="163"/>
        <v>0</v>
      </c>
      <c r="Z318" s="292">
        <f t="shared" ca="1" si="164"/>
        <v>0</v>
      </c>
    </row>
    <row r="319" spans="2:26">
      <c r="B319" s="282" t="s">
        <v>16</v>
      </c>
      <c r="C319" s="278">
        <f t="shared" ref="C319:L319" ca="1" si="180">IF(C297&lt;D297,0,1)</f>
        <v>0</v>
      </c>
      <c r="D319" s="278">
        <f t="shared" ca="1" si="180"/>
        <v>0</v>
      </c>
      <c r="E319" s="278">
        <f t="shared" ca="1" si="180"/>
        <v>0</v>
      </c>
      <c r="F319" s="278">
        <f t="shared" ca="1" si="180"/>
        <v>0</v>
      </c>
      <c r="G319" s="278">
        <f t="shared" ca="1" si="180"/>
        <v>0</v>
      </c>
      <c r="H319" s="278">
        <f t="shared" ca="1" si="180"/>
        <v>0</v>
      </c>
      <c r="I319" s="278">
        <f t="shared" ca="1" si="180"/>
        <v>0</v>
      </c>
      <c r="J319" s="278">
        <f t="shared" ca="1" si="180"/>
        <v>0</v>
      </c>
      <c r="K319" s="278">
        <f t="shared" ca="1" si="180"/>
        <v>0</v>
      </c>
      <c r="L319" s="278">
        <f t="shared" ca="1" si="180"/>
        <v>0</v>
      </c>
      <c r="M319" s="279" t="s">
        <v>6</v>
      </c>
      <c r="O319" s="282" t="s">
        <v>16</v>
      </c>
      <c r="P319" s="289">
        <f t="shared" ca="1" si="166"/>
        <v>0</v>
      </c>
      <c r="Q319" s="289">
        <f t="shared" ca="1" si="156"/>
        <v>0</v>
      </c>
      <c r="R319" s="289">
        <f t="shared" ca="1" si="157"/>
        <v>0</v>
      </c>
      <c r="S319" s="289">
        <f t="shared" ca="1" si="158"/>
        <v>0</v>
      </c>
      <c r="T319" s="289">
        <f t="shared" ca="1" si="159"/>
        <v>0</v>
      </c>
      <c r="U319" s="295" t="s">
        <v>6</v>
      </c>
      <c r="V319" s="289">
        <f t="shared" ca="1" si="160"/>
        <v>0</v>
      </c>
      <c r="W319" s="289">
        <f t="shared" ca="1" si="161"/>
        <v>0</v>
      </c>
      <c r="X319" s="289">
        <f t="shared" ca="1" si="162"/>
        <v>0</v>
      </c>
      <c r="Y319" s="289">
        <f t="shared" ca="1" si="163"/>
        <v>0</v>
      </c>
      <c r="Z319" s="292">
        <f t="shared" ca="1" si="164"/>
        <v>0</v>
      </c>
    </row>
    <row r="320" spans="2:26">
      <c r="B320" s="282" t="s">
        <v>15</v>
      </c>
      <c r="C320" s="278">
        <f t="shared" ref="C320:L320" ca="1" si="181">IF(C298&lt;D298,0,1)</f>
        <v>0</v>
      </c>
      <c r="D320" s="278">
        <f t="shared" ca="1" si="181"/>
        <v>0</v>
      </c>
      <c r="E320" s="278">
        <f t="shared" ca="1" si="181"/>
        <v>0</v>
      </c>
      <c r="F320" s="278">
        <f t="shared" ca="1" si="181"/>
        <v>0</v>
      </c>
      <c r="G320" s="278">
        <f t="shared" ca="1" si="181"/>
        <v>0</v>
      </c>
      <c r="H320" s="278">
        <f t="shared" ca="1" si="181"/>
        <v>0</v>
      </c>
      <c r="I320" s="278">
        <f t="shared" ca="1" si="181"/>
        <v>0</v>
      </c>
      <c r="J320" s="278">
        <f t="shared" ca="1" si="181"/>
        <v>0</v>
      </c>
      <c r="K320" s="278">
        <f t="shared" ca="1" si="181"/>
        <v>0</v>
      </c>
      <c r="L320" s="278">
        <f t="shared" ca="1" si="181"/>
        <v>0</v>
      </c>
      <c r="M320" s="279" t="s">
        <v>6</v>
      </c>
      <c r="O320" s="282" t="s">
        <v>15</v>
      </c>
      <c r="P320" s="289">
        <f t="shared" ca="1" si="166"/>
        <v>0</v>
      </c>
      <c r="Q320" s="289">
        <f t="shared" ca="1" si="156"/>
        <v>0</v>
      </c>
      <c r="R320" s="289">
        <f t="shared" ca="1" si="157"/>
        <v>0</v>
      </c>
      <c r="S320" s="289">
        <f t="shared" ca="1" si="158"/>
        <v>0</v>
      </c>
      <c r="T320" s="289">
        <f t="shared" ca="1" si="159"/>
        <v>0</v>
      </c>
      <c r="U320" s="295" t="s">
        <v>6</v>
      </c>
      <c r="V320" s="289">
        <f t="shared" ca="1" si="160"/>
        <v>0</v>
      </c>
      <c r="W320" s="289">
        <f t="shared" ca="1" si="161"/>
        <v>0</v>
      </c>
      <c r="X320" s="289">
        <f t="shared" ca="1" si="162"/>
        <v>0</v>
      </c>
      <c r="Y320" s="289">
        <f t="shared" ca="1" si="163"/>
        <v>0</v>
      </c>
      <c r="Z320" s="292">
        <f t="shared" ca="1" si="164"/>
        <v>0</v>
      </c>
    </row>
    <row r="321" spans="1:26">
      <c r="B321" s="282" t="s">
        <v>368</v>
      </c>
      <c r="C321" s="278">
        <f t="shared" ref="C321:L321" ca="1" si="182">IF(C299&lt;D299,0,1)</f>
        <v>0</v>
      </c>
      <c r="D321" s="278">
        <f t="shared" ca="1" si="182"/>
        <v>0</v>
      </c>
      <c r="E321" s="278">
        <f t="shared" ca="1" si="182"/>
        <v>0</v>
      </c>
      <c r="F321" s="278">
        <f t="shared" ca="1" si="182"/>
        <v>0</v>
      </c>
      <c r="G321" s="278">
        <f t="shared" ca="1" si="182"/>
        <v>0</v>
      </c>
      <c r="H321" s="278">
        <f t="shared" ca="1" si="182"/>
        <v>0</v>
      </c>
      <c r="I321" s="278">
        <f t="shared" ca="1" si="182"/>
        <v>0</v>
      </c>
      <c r="J321" s="278">
        <f t="shared" ca="1" si="182"/>
        <v>0</v>
      </c>
      <c r="K321" s="278">
        <f t="shared" ca="1" si="182"/>
        <v>0</v>
      </c>
      <c r="L321" s="278">
        <f t="shared" ca="1" si="182"/>
        <v>0</v>
      </c>
      <c r="M321" s="279" t="s">
        <v>6</v>
      </c>
      <c r="O321" s="282" t="s">
        <v>368</v>
      </c>
      <c r="P321" s="289">
        <f t="shared" ca="1" si="166"/>
        <v>0</v>
      </c>
      <c r="Q321" s="289">
        <f t="shared" ca="1" si="156"/>
        <v>0</v>
      </c>
      <c r="R321" s="289">
        <f t="shared" ca="1" si="157"/>
        <v>0</v>
      </c>
      <c r="S321" s="289">
        <f t="shared" ca="1" si="158"/>
        <v>0</v>
      </c>
      <c r="T321" s="289">
        <f t="shared" ca="1" si="159"/>
        <v>0</v>
      </c>
      <c r="U321" s="295" t="s">
        <v>6</v>
      </c>
      <c r="V321" s="289">
        <f t="shared" ca="1" si="160"/>
        <v>0</v>
      </c>
      <c r="W321" s="289">
        <f t="shared" ca="1" si="161"/>
        <v>0</v>
      </c>
      <c r="X321" s="289">
        <f t="shared" ca="1" si="162"/>
        <v>0</v>
      </c>
      <c r="Y321" s="289">
        <f t="shared" ca="1" si="163"/>
        <v>0</v>
      </c>
      <c r="Z321" s="292">
        <f t="shared" ca="1" si="164"/>
        <v>0</v>
      </c>
    </row>
    <row r="322" spans="1:26">
      <c r="B322" s="283" t="s">
        <v>14</v>
      </c>
      <c r="C322" s="280">
        <f t="shared" ref="C322:L322" ca="1" si="183">IF(C300&lt;D300,0,1)</f>
        <v>0</v>
      </c>
      <c r="D322" s="280">
        <f t="shared" ca="1" si="183"/>
        <v>0</v>
      </c>
      <c r="E322" s="280">
        <f t="shared" ca="1" si="183"/>
        <v>0</v>
      </c>
      <c r="F322" s="280">
        <f t="shared" ca="1" si="183"/>
        <v>0</v>
      </c>
      <c r="G322" s="280">
        <f t="shared" ca="1" si="183"/>
        <v>0</v>
      </c>
      <c r="H322" s="280">
        <f t="shared" ca="1" si="183"/>
        <v>0</v>
      </c>
      <c r="I322" s="280">
        <f t="shared" ca="1" si="183"/>
        <v>0</v>
      </c>
      <c r="J322" s="280">
        <f t="shared" ca="1" si="183"/>
        <v>0</v>
      </c>
      <c r="K322" s="280">
        <f t="shared" ca="1" si="183"/>
        <v>0</v>
      </c>
      <c r="L322" s="280">
        <f t="shared" ca="1" si="183"/>
        <v>0</v>
      </c>
      <c r="M322" s="281" t="s">
        <v>6</v>
      </c>
      <c r="O322" s="283" t="s">
        <v>14</v>
      </c>
      <c r="P322" s="293" t="s">
        <v>6</v>
      </c>
      <c r="Q322" s="293" t="s">
        <v>6</v>
      </c>
      <c r="R322" s="293" t="s">
        <v>6</v>
      </c>
      <c r="S322" s="293" t="s">
        <v>6</v>
      </c>
      <c r="T322" s="293" t="s">
        <v>6</v>
      </c>
      <c r="U322" s="296" t="s">
        <v>6</v>
      </c>
      <c r="V322" s="293" t="s">
        <v>6</v>
      </c>
      <c r="W322" s="293" t="s">
        <v>6</v>
      </c>
      <c r="X322" s="293" t="s">
        <v>6</v>
      </c>
      <c r="Y322" s="293" t="s">
        <v>6</v>
      </c>
      <c r="Z322" s="294" t="s">
        <v>6</v>
      </c>
    </row>
    <row r="325" spans="1:26">
      <c r="A325" s="224" t="s">
        <v>500</v>
      </c>
      <c r="B325" s="290" t="s">
        <v>502</v>
      </c>
      <c r="C325" s="284"/>
      <c r="G325" s="290" t="s">
        <v>502</v>
      </c>
    </row>
    <row r="326" spans="1:26">
      <c r="B326" s="284" t="s">
        <v>503</v>
      </c>
      <c r="C326" s="284"/>
      <c r="G326" s="284" t="s">
        <v>501</v>
      </c>
      <c r="H326" s="284"/>
    </row>
    <row r="327" spans="1:26">
      <c r="B327" s="258" t="s">
        <v>474</v>
      </c>
      <c r="C327" s="286">
        <f ca="1">SUM(C353:L371)</f>
        <v>0</v>
      </c>
      <c r="G327" s="258" t="s">
        <v>474</v>
      </c>
      <c r="H327" s="286">
        <f ca="1">SUM(P353:Z371)</f>
        <v>0</v>
      </c>
    </row>
    <row r="329" spans="1:26">
      <c r="B329" s="258" t="s">
        <v>477</v>
      </c>
      <c r="C329" s="258"/>
    </row>
    <row r="330" spans="1:26">
      <c r="B330" s="254" t="s">
        <v>468</v>
      </c>
      <c r="C330" s="276">
        <v>-0.05</v>
      </c>
      <c r="D330" s="276">
        <v>-0.04</v>
      </c>
      <c r="E330" s="276">
        <v>-0.03</v>
      </c>
      <c r="F330" s="276">
        <v>-1.9999999999999997E-2</v>
      </c>
      <c r="G330" s="276">
        <v>-9.9999999999999967E-3</v>
      </c>
      <c r="H330" s="276">
        <v>0</v>
      </c>
      <c r="I330" s="276">
        <v>0.01</v>
      </c>
      <c r="J330" s="276">
        <v>0.02</v>
      </c>
      <c r="K330" s="276">
        <v>0.03</v>
      </c>
      <c r="L330" s="276">
        <v>0.04</v>
      </c>
      <c r="M330" s="277">
        <v>0.05</v>
      </c>
    </row>
    <row r="331" spans="1:26">
      <c r="B331" s="282" t="s">
        <v>42</v>
      </c>
      <c r="C331" s="278">
        <f ca="1">'EUR Swap PVs'!AH52</f>
        <v>-100441.45996346937</v>
      </c>
      <c r="D331" s="278">
        <f ca="1">'EUR Swap PVs'!AI52</f>
        <v>-80353.167970775496</v>
      </c>
      <c r="E331" s="278">
        <f ca="1">'EUR Swap PVs'!AJ52</f>
        <v>-60264.875978081611</v>
      </c>
      <c r="F331" s="278">
        <f ca="1">'EUR Swap PVs'!AK52</f>
        <v>-40176.583985387741</v>
      </c>
      <c r="G331" s="278">
        <f ca="1">'EUR Swap PVs'!AL52</f>
        <v>-20088.291992693863</v>
      </c>
      <c r="H331" s="278">
        <f ca="1">'EUR Swap PVs'!AM52</f>
        <v>0</v>
      </c>
      <c r="I331" s="278">
        <f ca="1">'EUR Swap PVs'!AN52</f>
        <v>20088.291992693874</v>
      </c>
      <c r="J331" s="278">
        <f ca="1">'EUR Swap PVs'!AO52</f>
        <v>40176.583985387748</v>
      </c>
      <c r="K331" s="278">
        <f ca="1">'EUR Swap PVs'!AP52</f>
        <v>60264.875978081618</v>
      </c>
      <c r="L331" s="278">
        <f ca="1">'EUR Swap PVs'!AQ52</f>
        <v>80353.167970775481</v>
      </c>
      <c r="M331" s="279">
        <f ca="1">'EUR Swap PVs'!AR52</f>
        <v>100441.45996346936</v>
      </c>
    </row>
    <row r="332" spans="1:26">
      <c r="B332" s="282" t="s">
        <v>39</v>
      </c>
      <c r="C332" s="278">
        <f ca="1">'EUR Swap PVs'!AH53</f>
        <v>-150300.80743458591</v>
      </c>
      <c r="D332" s="278">
        <f ca="1">'EUR Swap PVs'!AI53</f>
        <v>-120240.6459476687</v>
      </c>
      <c r="E332" s="278">
        <f ca="1">'EUR Swap PVs'!AJ53</f>
        <v>-90180.484460751512</v>
      </c>
      <c r="F332" s="278">
        <f ca="1">'EUR Swap PVs'!AK53</f>
        <v>-60120.322973834336</v>
      </c>
      <c r="G332" s="278">
        <f ca="1">'EUR Swap PVs'!AL53</f>
        <v>-30060.161486917164</v>
      </c>
      <c r="H332" s="278">
        <f ca="1">'EUR Swap PVs'!AM53</f>
        <v>0</v>
      </c>
      <c r="I332" s="278">
        <f ca="1">'EUR Swap PVs'!AN53</f>
        <v>30060.161486917179</v>
      </c>
      <c r="J332" s="278">
        <f ca="1">'EUR Swap PVs'!AO53</f>
        <v>60120.322973834351</v>
      </c>
      <c r="K332" s="278">
        <f ca="1">'EUR Swap PVs'!AP53</f>
        <v>90180.484460751512</v>
      </c>
      <c r="L332" s="278">
        <f ca="1">'EUR Swap PVs'!AQ53</f>
        <v>120240.64594766869</v>
      </c>
      <c r="M332" s="279">
        <f ca="1">'EUR Swap PVs'!AR53</f>
        <v>150300.80743458585</v>
      </c>
    </row>
    <row r="333" spans="1:26">
      <c r="B333" s="282" t="s">
        <v>35</v>
      </c>
      <c r="C333" s="278">
        <f ca="1">'EUR Swap PVs'!AH54</f>
        <v>-199873.1557084099</v>
      </c>
      <c r="D333" s="278">
        <f ca="1">'EUR Swap PVs'!AI54</f>
        <v>-159898.52456672792</v>
      </c>
      <c r="E333" s="278">
        <f ca="1">'EUR Swap PVs'!AJ54</f>
        <v>-119923.89342504593</v>
      </c>
      <c r="F333" s="278">
        <f ca="1">'EUR Swap PVs'!AK54</f>
        <v>-79949.262283363947</v>
      </c>
      <c r="G333" s="278">
        <f ca="1">'EUR Swap PVs'!AL54</f>
        <v>-39974.631141681966</v>
      </c>
      <c r="H333" s="278">
        <f ca="1">'EUR Swap PVs'!AM54</f>
        <v>0</v>
      </c>
      <c r="I333" s="278">
        <f ca="1">'EUR Swap PVs'!AN54</f>
        <v>39974.631141681981</v>
      </c>
      <c r="J333" s="278">
        <f ca="1">'EUR Swap PVs'!AO54</f>
        <v>79949.262283363962</v>
      </c>
      <c r="K333" s="278">
        <f ca="1">'EUR Swap PVs'!AP54</f>
        <v>119923.89342504593</v>
      </c>
      <c r="L333" s="278">
        <f ca="1">'EUR Swap PVs'!AQ54</f>
        <v>159898.52456672789</v>
      </c>
      <c r="M333" s="279">
        <f ca="1">'EUR Swap PVs'!AR54</f>
        <v>199873.15570840987</v>
      </c>
    </row>
    <row r="334" spans="1:26">
      <c r="B334" s="282" t="s">
        <v>33</v>
      </c>
      <c r="C334" s="278">
        <f ca="1">'EUR Swap PVs'!AH55</f>
        <v>-249096.03223594063</v>
      </c>
      <c r="D334" s="278">
        <f ca="1">'EUR Swap PVs'!AI55</f>
        <v>-199276.8257887525</v>
      </c>
      <c r="E334" s="278">
        <f ca="1">'EUR Swap PVs'!AJ55</f>
        <v>-149457.61934156436</v>
      </c>
      <c r="F334" s="278">
        <f ca="1">'EUR Swap PVs'!AK55</f>
        <v>-99638.412894376219</v>
      </c>
      <c r="G334" s="278">
        <f ca="1">'EUR Swap PVs'!AL55</f>
        <v>-49819.206447188109</v>
      </c>
      <c r="H334" s="278">
        <f ca="1">'EUR Swap PVs'!AM55</f>
        <v>0</v>
      </c>
      <c r="I334" s="278">
        <f ca="1">'EUR Swap PVs'!AN55</f>
        <v>49819.206447188124</v>
      </c>
      <c r="J334" s="278">
        <f ca="1">'EUR Swap PVs'!AO55</f>
        <v>99638.412894376263</v>
      </c>
      <c r="K334" s="278">
        <f ca="1">'EUR Swap PVs'!AP55</f>
        <v>149457.61934156436</v>
      </c>
      <c r="L334" s="278">
        <f ca="1">'EUR Swap PVs'!AQ55</f>
        <v>199276.8257887525</v>
      </c>
      <c r="M334" s="279">
        <f ca="1">'EUR Swap PVs'!AR55</f>
        <v>249096.03223594063</v>
      </c>
    </row>
    <row r="335" spans="1:26">
      <c r="B335" s="282" t="s">
        <v>131</v>
      </c>
      <c r="C335" s="278">
        <f ca="1">'EUR Swap PVs'!AH56</f>
        <v>-297667.53869917657</v>
      </c>
      <c r="D335" s="278">
        <f ca="1">'EUR Swap PVs'!AI56</f>
        <v>-238134.03095934121</v>
      </c>
      <c r="E335" s="278">
        <f ca="1">'EUR Swap PVs'!AJ56</f>
        <v>-178600.52321950591</v>
      </c>
      <c r="F335" s="278">
        <f ca="1">'EUR Swap PVs'!AK56</f>
        <v>-119067.01547967058</v>
      </c>
      <c r="G335" s="278">
        <f ca="1">'EUR Swap PVs'!AL56</f>
        <v>-59533.507739835281</v>
      </c>
      <c r="H335" s="278">
        <f ca="1">'EUR Swap PVs'!AM56</f>
        <v>0</v>
      </c>
      <c r="I335" s="278">
        <f ca="1">'EUR Swap PVs'!AN56</f>
        <v>59533.507739835295</v>
      </c>
      <c r="J335" s="278">
        <f ca="1">'EUR Swap PVs'!AO56</f>
        <v>119067.0154796706</v>
      </c>
      <c r="K335" s="278">
        <f ca="1">'EUR Swap PVs'!AP56</f>
        <v>178600.52321950591</v>
      </c>
      <c r="L335" s="278">
        <f ca="1">'EUR Swap PVs'!AQ56</f>
        <v>238134.03095934118</v>
      </c>
      <c r="M335" s="279">
        <f ca="1">'EUR Swap PVs'!AR56</f>
        <v>297667.53869917651</v>
      </c>
    </row>
    <row r="336" spans="1:26">
      <c r="B336" s="282" t="s">
        <v>31</v>
      </c>
      <c r="C336" s="278">
        <f ca="1">'EUR Swap PVs'!AH57</f>
        <v>-345445.58092836308</v>
      </c>
      <c r="D336" s="278">
        <f ca="1">'EUR Swap PVs'!AI57</f>
        <v>-276356.46474269044</v>
      </c>
      <c r="E336" s="278">
        <f ca="1">'EUR Swap PVs'!AJ57</f>
        <v>-207267.3485570178</v>
      </c>
      <c r="F336" s="278">
        <f ca="1">'EUR Swap PVs'!AK57</f>
        <v>-138178.23237134519</v>
      </c>
      <c r="G336" s="278">
        <f ca="1">'EUR Swap PVs'!AL57</f>
        <v>-69089.116185672581</v>
      </c>
      <c r="H336" s="278">
        <f ca="1">'EUR Swap PVs'!AM57</f>
        <v>0</v>
      </c>
      <c r="I336" s="278">
        <f ca="1">'EUR Swap PVs'!AN57</f>
        <v>69089.116185672596</v>
      </c>
      <c r="J336" s="278">
        <f ca="1">'EUR Swap PVs'!AO57</f>
        <v>138178.23237134522</v>
      </c>
      <c r="K336" s="278">
        <f ca="1">'EUR Swap PVs'!AP57</f>
        <v>207267.3485570178</v>
      </c>
      <c r="L336" s="278">
        <f ca="1">'EUR Swap PVs'!AQ57</f>
        <v>276356.46474269038</v>
      </c>
      <c r="M336" s="279">
        <f ca="1">'EUR Swap PVs'!AR57</f>
        <v>345445.58092836296</v>
      </c>
    </row>
    <row r="337" spans="2:26">
      <c r="B337" s="282" t="s">
        <v>119</v>
      </c>
      <c r="C337" s="278">
        <f ca="1">'EUR Swap PVs'!AH58</f>
        <v>-392585.59739955037</v>
      </c>
      <c r="D337" s="278">
        <f ca="1">'EUR Swap PVs'!AI58</f>
        <v>-314068.47791964025</v>
      </c>
      <c r="E337" s="278">
        <f ca="1">'EUR Swap PVs'!AJ58</f>
        <v>-235551.35843973019</v>
      </c>
      <c r="F337" s="278">
        <f ca="1">'EUR Swap PVs'!AK58</f>
        <v>-157034.2389598201</v>
      </c>
      <c r="G337" s="278">
        <f ca="1">'EUR Swap PVs'!AL58</f>
        <v>-78517.119479910034</v>
      </c>
      <c r="H337" s="278">
        <f ca="1">'EUR Swap PVs'!AM58</f>
        <v>0</v>
      </c>
      <c r="I337" s="278">
        <f ca="1">'EUR Swap PVs'!AN58</f>
        <v>78517.119479910049</v>
      </c>
      <c r="J337" s="278">
        <f ca="1">'EUR Swap PVs'!AO58</f>
        <v>157034.2389598201</v>
      </c>
      <c r="K337" s="278">
        <f ca="1">'EUR Swap PVs'!AP58</f>
        <v>235551.35843973019</v>
      </c>
      <c r="L337" s="278">
        <f ca="1">'EUR Swap PVs'!AQ58</f>
        <v>314068.47791964025</v>
      </c>
      <c r="M337" s="279">
        <f ca="1">'EUR Swap PVs'!AR58</f>
        <v>392585.59739955037</v>
      </c>
    </row>
    <row r="338" spans="2:26">
      <c r="B338" s="282" t="s">
        <v>113</v>
      </c>
      <c r="C338" s="278">
        <f ca="1">'EUR Swap PVs'!AH59</f>
        <v>-438252.52539896453</v>
      </c>
      <c r="D338" s="278">
        <f ca="1">'EUR Swap PVs'!AI59</f>
        <v>-350602.0203191716</v>
      </c>
      <c r="E338" s="278">
        <f ca="1">'EUR Swap PVs'!AJ59</f>
        <v>-262951.51523937873</v>
      </c>
      <c r="F338" s="278">
        <f ca="1">'EUR Swap PVs'!AK59</f>
        <v>-175301.01015958577</v>
      </c>
      <c r="G338" s="278">
        <f ca="1">'EUR Swap PVs'!AL59</f>
        <v>-87650.505079792871</v>
      </c>
      <c r="H338" s="278">
        <f ca="1">'EUR Swap PVs'!AM59</f>
        <v>0</v>
      </c>
      <c r="I338" s="278">
        <f ca="1">'EUR Swap PVs'!AN59</f>
        <v>87650.5050797929</v>
      </c>
      <c r="J338" s="278">
        <f ca="1">'EUR Swap PVs'!AO59</f>
        <v>175301.01015958577</v>
      </c>
      <c r="K338" s="278">
        <f ca="1">'EUR Swap PVs'!AP59</f>
        <v>262951.51523937867</v>
      </c>
      <c r="L338" s="278">
        <f ca="1">'EUR Swap PVs'!AQ59</f>
        <v>350602.02031917154</v>
      </c>
      <c r="M338" s="279">
        <f ca="1">'EUR Swap PVs'!AR59</f>
        <v>438252.52539896441</v>
      </c>
    </row>
    <row r="339" spans="2:26">
      <c r="B339" s="282" t="s">
        <v>28</v>
      </c>
      <c r="C339" s="278">
        <f ca="1">'EUR Swap PVs'!AH60</f>
        <v>-483168.64497448748</v>
      </c>
      <c r="D339" s="278">
        <f ca="1">'EUR Swap PVs'!AI60</f>
        <v>-386534.91597958992</v>
      </c>
      <c r="E339" s="278">
        <f ca="1">'EUR Swap PVs'!AJ60</f>
        <v>-289901.18698469247</v>
      </c>
      <c r="F339" s="278">
        <f ca="1">'EUR Swap PVs'!AK60</f>
        <v>-193267.45798979493</v>
      </c>
      <c r="G339" s="278">
        <f ca="1">'EUR Swap PVs'!AL60</f>
        <v>-96633.72899489745</v>
      </c>
      <c r="H339" s="278">
        <f ca="1">'EUR Swap PVs'!AM60</f>
        <v>1.3877787807814457E-11</v>
      </c>
      <c r="I339" s="278">
        <f ca="1">'EUR Swap PVs'!AN60</f>
        <v>96633.728994897509</v>
      </c>
      <c r="J339" s="278">
        <f ca="1">'EUR Swap PVs'!AO60</f>
        <v>193267.45798979505</v>
      </c>
      <c r="K339" s="278">
        <f ca="1">'EUR Swap PVs'!AP60</f>
        <v>289901.18698469247</v>
      </c>
      <c r="L339" s="278">
        <f ca="1">'EUR Swap PVs'!AQ60</f>
        <v>386534.91597958998</v>
      </c>
      <c r="M339" s="279">
        <f ca="1">'EUR Swap PVs'!AR60</f>
        <v>483168.64497448754</v>
      </c>
    </row>
    <row r="340" spans="2:26">
      <c r="B340" s="282" t="s">
        <v>366</v>
      </c>
      <c r="C340" s="278">
        <f ca="1">'EUR Swap PVs'!AH61</f>
        <v>-527061.76365639456</v>
      </c>
      <c r="D340" s="278">
        <f ca="1">'EUR Swap PVs'!AI61</f>
        <v>-421649.41092511552</v>
      </c>
      <c r="E340" s="278">
        <f ca="1">'EUR Swap PVs'!AJ61</f>
        <v>-316237.05819383665</v>
      </c>
      <c r="F340" s="278">
        <f ca="1">'EUR Swap PVs'!AK61</f>
        <v>-210824.70546255773</v>
      </c>
      <c r="G340" s="278">
        <f ca="1">'EUR Swap PVs'!AL61</f>
        <v>-105412.35273127885</v>
      </c>
      <c r="H340" s="278">
        <f ca="1">'EUR Swap PVs'!AM61</f>
        <v>0</v>
      </c>
      <c r="I340" s="278">
        <f ca="1">'EUR Swap PVs'!AN61</f>
        <v>105412.35273127886</v>
      </c>
      <c r="J340" s="278">
        <f ca="1">'EUR Swap PVs'!AO61</f>
        <v>210824.70546255776</v>
      </c>
      <c r="K340" s="278">
        <f ca="1">'EUR Swap PVs'!AP61</f>
        <v>316237.05819383665</v>
      </c>
      <c r="L340" s="278">
        <f ca="1">'EUR Swap PVs'!AQ61</f>
        <v>421649.41092511563</v>
      </c>
      <c r="M340" s="279">
        <f ca="1">'EUR Swap PVs'!AR61</f>
        <v>527061.76365639444</v>
      </c>
    </row>
    <row r="341" spans="2:26">
      <c r="B341" s="282" t="s">
        <v>26</v>
      </c>
      <c r="C341" s="278">
        <f ca="1">'EUR Swap PVs'!AH62</f>
        <v>-569938.0308485931</v>
      </c>
      <c r="D341" s="278">
        <f ca="1">'EUR Swap PVs'!AI62</f>
        <v>-455950.42467887449</v>
      </c>
      <c r="E341" s="278">
        <f ca="1">'EUR Swap PVs'!AJ62</f>
        <v>-341962.81850915583</v>
      </c>
      <c r="F341" s="278">
        <f ca="1">'EUR Swap PVs'!AK62</f>
        <v>-227975.21233943719</v>
      </c>
      <c r="G341" s="278">
        <f ca="1">'EUR Swap PVs'!AL62</f>
        <v>-113987.60616971857</v>
      </c>
      <c r="H341" s="278">
        <f ca="1">'EUR Swap PVs'!AM62</f>
        <v>0</v>
      </c>
      <c r="I341" s="278">
        <f ca="1">'EUR Swap PVs'!AN62</f>
        <v>113987.60616971859</v>
      </c>
      <c r="J341" s="278">
        <f ca="1">'EUR Swap PVs'!AO62</f>
        <v>227975.21233943725</v>
      </c>
      <c r="K341" s="278">
        <f ca="1">'EUR Swap PVs'!AP62</f>
        <v>341962.81850915588</v>
      </c>
      <c r="L341" s="278">
        <f ca="1">'EUR Swap PVs'!AQ62</f>
        <v>455950.42467887449</v>
      </c>
      <c r="M341" s="279">
        <f ca="1">'EUR Swap PVs'!AR62</f>
        <v>569938.03084859322</v>
      </c>
    </row>
    <row r="342" spans="2:26">
      <c r="B342" s="282" t="s">
        <v>24</v>
      </c>
      <c r="C342" s="278">
        <f ca="1">'EUR Swap PVs'!AH63</f>
        <v>-692615.23399544926</v>
      </c>
      <c r="D342" s="278">
        <f ca="1">'EUR Swap PVs'!AI63</f>
        <v>-554092.18719635939</v>
      </c>
      <c r="E342" s="278">
        <f ca="1">'EUR Swap PVs'!AJ63</f>
        <v>-415569.14039726957</v>
      </c>
      <c r="F342" s="278">
        <f ca="1">'EUR Swap PVs'!AK63</f>
        <v>-277046.09359817969</v>
      </c>
      <c r="G342" s="278">
        <f ca="1">'EUR Swap PVs'!AL63</f>
        <v>-138523.04679908985</v>
      </c>
      <c r="H342" s="278">
        <f ca="1">'EUR Swap PVs'!AM63</f>
        <v>-2.7755575615628914E-11</v>
      </c>
      <c r="I342" s="278">
        <f ca="1">'EUR Swap PVs'!AN63</f>
        <v>138523.04679908985</v>
      </c>
      <c r="J342" s="278">
        <f ca="1">'EUR Swap PVs'!AO63</f>
        <v>277046.09359817975</v>
      </c>
      <c r="K342" s="278">
        <f ca="1">'EUR Swap PVs'!AP63</f>
        <v>415569.14039726945</v>
      </c>
      <c r="L342" s="278">
        <f ca="1">'EUR Swap PVs'!AQ63</f>
        <v>554092.18719635939</v>
      </c>
      <c r="M342" s="279">
        <f ca="1">'EUR Swap PVs'!AR63</f>
        <v>692615.23399544926</v>
      </c>
    </row>
    <row r="343" spans="2:26">
      <c r="B343" s="282" t="s">
        <v>20</v>
      </c>
      <c r="C343" s="278">
        <f ca="1">'EUR Swap PVs'!AH64</f>
        <v>-879086.65850046882</v>
      </c>
      <c r="D343" s="278">
        <f ca="1">'EUR Swap PVs'!AI64</f>
        <v>-703269.32680037501</v>
      </c>
      <c r="E343" s="278">
        <f ca="1">'EUR Swap PVs'!AJ64</f>
        <v>-527451.99510028132</v>
      </c>
      <c r="F343" s="278">
        <f ca="1">'EUR Swap PVs'!AK64</f>
        <v>-351634.66340018745</v>
      </c>
      <c r="G343" s="278">
        <f ca="1">'EUR Swap PVs'!AL64</f>
        <v>-175817.33170009369</v>
      </c>
      <c r="H343" s="278">
        <f ca="1">'EUR Swap PVs'!AM64</f>
        <v>0</v>
      </c>
      <c r="I343" s="278">
        <f ca="1">'EUR Swap PVs'!AN64</f>
        <v>175817.33170009372</v>
      </c>
      <c r="J343" s="278">
        <f ca="1">'EUR Swap PVs'!AO64</f>
        <v>351634.66340018751</v>
      </c>
      <c r="K343" s="278">
        <f ca="1">'EUR Swap PVs'!AP64</f>
        <v>527451.9951002812</v>
      </c>
      <c r="L343" s="278">
        <f ca="1">'EUR Swap PVs'!AQ64</f>
        <v>703269.32680037513</v>
      </c>
      <c r="M343" s="279">
        <f ca="1">'EUR Swap PVs'!AR64</f>
        <v>879086.65850046882</v>
      </c>
    </row>
    <row r="344" spans="2:26">
      <c r="B344" s="282" t="s">
        <v>18</v>
      </c>
      <c r="C344" s="278">
        <f ca="1">'EUR Swap PVs'!AH65</f>
        <v>-1047182.7946827146</v>
      </c>
      <c r="D344" s="278">
        <f ca="1">'EUR Swap PVs'!AI65</f>
        <v>-837746.23574617179</v>
      </c>
      <c r="E344" s="278">
        <f ca="1">'EUR Swap PVs'!AJ65</f>
        <v>-628309.67680962884</v>
      </c>
      <c r="F344" s="278">
        <f ca="1">'EUR Swap PVs'!AK65</f>
        <v>-418873.11787308578</v>
      </c>
      <c r="G344" s="278">
        <f ca="1">'EUR Swap PVs'!AL65</f>
        <v>-209436.55893654286</v>
      </c>
      <c r="H344" s="278">
        <f ca="1">'EUR Swap PVs'!AM65</f>
        <v>0</v>
      </c>
      <c r="I344" s="278">
        <f ca="1">'EUR Swap PVs'!AN65</f>
        <v>209436.55893654289</v>
      </c>
      <c r="J344" s="278">
        <f ca="1">'EUR Swap PVs'!AO65</f>
        <v>418873.1178730859</v>
      </c>
      <c r="K344" s="278">
        <f ca="1">'EUR Swap PVs'!AP65</f>
        <v>628309.67680962896</v>
      </c>
      <c r="L344" s="278">
        <f ca="1">'EUR Swap PVs'!AQ65</f>
        <v>837746.23574617179</v>
      </c>
      <c r="M344" s="279">
        <f ca="1">'EUR Swap PVs'!AR65</f>
        <v>1047182.7946827149</v>
      </c>
    </row>
    <row r="345" spans="2:26">
      <c r="B345" s="282" t="s">
        <v>17</v>
      </c>
      <c r="C345" s="278">
        <f ca="1">'EUR Swap PVs'!AH66</f>
        <v>-1200253.8604142829</v>
      </c>
      <c r="D345" s="278">
        <f ca="1">'EUR Swap PVs'!AI66</f>
        <v>-960203.08833142626</v>
      </c>
      <c r="E345" s="278">
        <f ca="1">'EUR Swap PVs'!AJ66</f>
        <v>-720152.31624856964</v>
      </c>
      <c r="F345" s="278">
        <f ca="1">'EUR Swap PVs'!AK66</f>
        <v>-480101.54416571307</v>
      </c>
      <c r="G345" s="278">
        <f ca="1">'EUR Swap PVs'!AL66</f>
        <v>-240050.77208285654</v>
      </c>
      <c r="H345" s="278">
        <f ca="1">'EUR Swap PVs'!AM66</f>
        <v>0</v>
      </c>
      <c r="I345" s="278">
        <f ca="1">'EUR Swap PVs'!AN66</f>
        <v>240050.77208285657</v>
      </c>
      <c r="J345" s="278">
        <f ca="1">'EUR Swap PVs'!AO66</f>
        <v>480101.54416571307</v>
      </c>
      <c r="K345" s="278">
        <f ca="1">'EUR Swap PVs'!AP66</f>
        <v>720152.31624856964</v>
      </c>
      <c r="L345" s="278">
        <f ca="1">'EUR Swap PVs'!AQ66</f>
        <v>960203.08833142626</v>
      </c>
      <c r="M345" s="279">
        <f ca="1">'EUR Swap PVs'!AR66</f>
        <v>1200253.8604142831</v>
      </c>
    </row>
    <row r="346" spans="2:26">
      <c r="B346" s="282" t="s">
        <v>16</v>
      </c>
      <c r="C346" s="278">
        <f ca="1">'EUR Swap PVs'!AH67</f>
        <v>-1341179.2700771403</v>
      </c>
      <c r="D346" s="278">
        <f ca="1">'EUR Swap PVs'!AI67</f>
        <v>-1072943.4160617122</v>
      </c>
      <c r="E346" s="278">
        <f ca="1">'EUR Swap PVs'!AJ67</f>
        <v>-804707.56204628409</v>
      </c>
      <c r="F346" s="278">
        <f ca="1">'EUR Swap PVs'!AK67</f>
        <v>-536471.7080308561</v>
      </c>
      <c r="G346" s="278">
        <f ca="1">'EUR Swap PVs'!AL67</f>
        <v>-268235.85401542799</v>
      </c>
      <c r="H346" s="278">
        <f ca="1">'EUR Swap PVs'!AM67</f>
        <v>-5.5511151231257827E-11</v>
      </c>
      <c r="I346" s="278">
        <f ca="1">'EUR Swap PVs'!AN67</f>
        <v>268235.85401542811</v>
      </c>
      <c r="J346" s="278">
        <f ca="1">'EUR Swap PVs'!AO67</f>
        <v>536471.70803085587</v>
      </c>
      <c r="K346" s="278">
        <f ca="1">'EUR Swap PVs'!AP67</f>
        <v>804707.56204628397</v>
      </c>
      <c r="L346" s="278">
        <f ca="1">'EUR Swap PVs'!AQ67</f>
        <v>1072943.4160617122</v>
      </c>
      <c r="M346" s="279">
        <f ca="1">'EUR Swap PVs'!AR67</f>
        <v>1341179.2700771403</v>
      </c>
    </row>
    <row r="347" spans="2:26">
      <c r="B347" s="282" t="s">
        <v>15</v>
      </c>
      <c r="C347" s="278">
        <f ca="1">'EUR Swap PVs'!AH68</f>
        <v>-1471307.5991774676</v>
      </c>
      <c r="D347" s="278">
        <f ca="1">'EUR Swap PVs'!AI68</f>
        <v>-1177046.0793419741</v>
      </c>
      <c r="E347" s="278">
        <f ca="1">'EUR Swap PVs'!AJ68</f>
        <v>-882784.55950648047</v>
      </c>
      <c r="F347" s="278">
        <f ca="1">'EUR Swap PVs'!AK68</f>
        <v>-588523.03967098694</v>
      </c>
      <c r="G347" s="278">
        <f ca="1">'EUR Swap PVs'!AL68</f>
        <v>-294261.51983549341</v>
      </c>
      <c r="H347" s="278">
        <f ca="1">'EUR Swap PVs'!AM68</f>
        <v>0</v>
      </c>
      <c r="I347" s="278">
        <f ca="1">'EUR Swap PVs'!AN68</f>
        <v>294261.51983549364</v>
      </c>
      <c r="J347" s="278">
        <f ca="1">'EUR Swap PVs'!AO68</f>
        <v>588523.03967098705</v>
      </c>
      <c r="K347" s="278">
        <f ca="1">'EUR Swap PVs'!AP68</f>
        <v>882784.55950648047</v>
      </c>
      <c r="L347" s="278">
        <f ca="1">'EUR Swap PVs'!AQ68</f>
        <v>1177046.0793419741</v>
      </c>
      <c r="M347" s="279">
        <f ca="1">'EUR Swap PVs'!AR68</f>
        <v>1471307.5991774676</v>
      </c>
    </row>
    <row r="348" spans="2:26">
      <c r="B348" s="282" t="s">
        <v>368</v>
      </c>
      <c r="C348" s="278">
        <f ca="1">'EUR Swap PVs'!AH69</f>
        <v>-1589983.8927858977</v>
      </c>
      <c r="D348" s="278">
        <f ca="1">'EUR Swap PVs'!AI69</f>
        <v>-1271987.114228718</v>
      </c>
      <c r="E348" s="278">
        <f ca="1">'EUR Swap PVs'!AJ69</f>
        <v>-953990.33567153849</v>
      </c>
      <c r="F348" s="278">
        <f ca="1">'EUR Swap PVs'!AK69</f>
        <v>-635993.55711435887</v>
      </c>
      <c r="G348" s="278">
        <f ca="1">'EUR Swap PVs'!AL69</f>
        <v>-317996.77855717938</v>
      </c>
      <c r="H348" s="278">
        <f ca="1">'EUR Swap PVs'!AM69</f>
        <v>0</v>
      </c>
      <c r="I348" s="278">
        <f ca="1">'EUR Swap PVs'!AN69</f>
        <v>317996.77855717944</v>
      </c>
      <c r="J348" s="278">
        <f ca="1">'EUR Swap PVs'!AO69</f>
        <v>635993.55711435899</v>
      </c>
      <c r="K348" s="278">
        <f ca="1">'EUR Swap PVs'!AP69</f>
        <v>953990.33567153837</v>
      </c>
      <c r="L348" s="278">
        <f ca="1">'EUR Swap PVs'!AQ69</f>
        <v>1271987.1142287182</v>
      </c>
      <c r="M348" s="279">
        <f ca="1">'EUR Swap PVs'!AR69</f>
        <v>1589983.8927858972</v>
      </c>
    </row>
    <row r="349" spans="2:26">
      <c r="B349" s="283" t="s">
        <v>14</v>
      </c>
      <c r="C349" s="280">
        <f ca="1">'EUR Swap PVs'!AH70</f>
        <v>-1698516.6839658313</v>
      </c>
      <c r="D349" s="280">
        <f ca="1">'EUR Swap PVs'!AI70</f>
        <v>-1358813.3471726649</v>
      </c>
      <c r="E349" s="280">
        <f ca="1">'EUR Swap PVs'!AJ70</f>
        <v>-1019110.0103794986</v>
      </c>
      <c r="F349" s="280">
        <f ca="1">'EUR Swap PVs'!AK70</f>
        <v>-679406.67358633236</v>
      </c>
      <c r="G349" s="280">
        <f ca="1">'EUR Swap PVs'!AL70</f>
        <v>-339703.33679316612</v>
      </c>
      <c r="H349" s="280">
        <f ca="1">'EUR Swap PVs'!AM70</f>
        <v>0</v>
      </c>
      <c r="I349" s="280">
        <f ca="1">'EUR Swap PVs'!AN70</f>
        <v>339703.33679316624</v>
      </c>
      <c r="J349" s="280">
        <f ca="1">'EUR Swap PVs'!AO70</f>
        <v>679406.67358633247</v>
      </c>
      <c r="K349" s="280">
        <f ca="1">'EUR Swap PVs'!AP70</f>
        <v>1019110.0103794988</v>
      </c>
      <c r="L349" s="280">
        <f ca="1">'EUR Swap PVs'!AQ70</f>
        <v>1358813.3471726649</v>
      </c>
      <c r="M349" s="281">
        <f ca="1">'EUR Swap PVs'!AR70</f>
        <v>1698516.6839658313</v>
      </c>
    </row>
    <row r="351" spans="2:26">
      <c r="B351" s="258" t="s">
        <v>472</v>
      </c>
      <c r="O351" s="258" t="s">
        <v>472</v>
      </c>
    </row>
    <row r="352" spans="2:26">
      <c r="B352" s="254" t="s">
        <v>468</v>
      </c>
      <c r="C352" s="276">
        <v>-0.05</v>
      </c>
      <c r="D352" s="276">
        <v>-0.04</v>
      </c>
      <c r="E352" s="276">
        <v>-0.03</v>
      </c>
      <c r="F352" s="276">
        <v>-1.9999999999999997E-2</v>
      </c>
      <c r="G352" s="276">
        <v>-9.9999999999999967E-3</v>
      </c>
      <c r="H352" s="276">
        <v>0</v>
      </c>
      <c r="I352" s="276">
        <v>0.01</v>
      </c>
      <c r="J352" s="276">
        <v>0.02</v>
      </c>
      <c r="K352" s="276">
        <v>0.03</v>
      </c>
      <c r="L352" s="276">
        <v>0.04</v>
      </c>
      <c r="M352" s="277">
        <v>0.05</v>
      </c>
      <c r="O352" s="254" t="s">
        <v>468</v>
      </c>
      <c r="P352" s="276">
        <v>-0.05</v>
      </c>
      <c r="Q352" s="276">
        <v>-0.04</v>
      </c>
      <c r="R352" s="276">
        <v>-0.03</v>
      </c>
      <c r="S352" s="276">
        <v>-1.9999999999999997E-2</v>
      </c>
      <c r="T352" s="276">
        <v>-9.9999999999999967E-3</v>
      </c>
      <c r="U352" s="276">
        <v>0</v>
      </c>
      <c r="V352" s="276">
        <v>0.01</v>
      </c>
      <c r="W352" s="276">
        <v>0.02</v>
      </c>
      <c r="X352" s="276">
        <v>0.03</v>
      </c>
      <c r="Y352" s="276">
        <v>0.04</v>
      </c>
      <c r="Z352" s="277">
        <v>0.05</v>
      </c>
    </row>
    <row r="353" spans="2:26">
      <c r="B353" s="282" t="s">
        <v>42</v>
      </c>
      <c r="C353" s="278">
        <f ca="1">IF(C331&lt;D331,0,1)</f>
        <v>0</v>
      </c>
      <c r="D353" s="278">
        <f t="shared" ref="D353:L353" ca="1" si="184">IF(D331&lt;E331,0,1)</f>
        <v>0</v>
      </c>
      <c r="E353" s="278">
        <f t="shared" ca="1" si="184"/>
        <v>0</v>
      </c>
      <c r="F353" s="278">
        <f t="shared" ca="1" si="184"/>
        <v>0</v>
      </c>
      <c r="G353" s="278">
        <f t="shared" ca="1" si="184"/>
        <v>0</v>
      </c>
      <c r="H353" s="278">
        <f t="shared" ca="1" si="184"/>
        <v>0</v>
      </c>
      <c r="I353" s="278">
        <f t="shared" ca="1" si="184"/>
        <v>0</v>
      </c>
      <c r="J353" s="278">
        <f t="shared" ca="1" si="184"/>
        <v>0</v>
      </c>
      <c r="K353" s="278">
        <f t="shared" ca="1" si="184"/>
        <v>0</v>
      </c>
      <c r="L353" s="278">
        <f t="shared" ca="1" si="184"/>
        <v>0</v>
      </c>
      <c r="M353" s="285" t="s">
        <v>6</v>
      </c>
      <c r="O353" s="282" t="s">
        <v>42</v>
      </c>
      <c r="P353" s="289">
        <f ca="1">IF(ABS(C332)&gt;ABS(C331),0,1)</f>
        <v>0</v>
      </c>
      <c r="Q353" s="289">
        <f t="shared" ref="Q353:Q370" ca="1" si="185">IF(ABS(D332)&gt;ABS(D331),0,1)</f>
        <v>0</v>
      </c>
      <c r="R353" s="289">
        <f t="shared" ref="R353:R370" ca="1" si="186">IF(ABS(E332)&gt;ABS(E331),0,1)</f>
        <v>0</v>
      </c>
      <c r="S353" s="289">
        <f t="shared" ref="S353:S370" ca="1" si="187">IF(ABS(F332)&gt;ABS(F331),0,1)</f>
        <v>0</v>
      </c>
      <c r="T353" s="289">
        <f t="shared" ref="T353:T370" ca="1" si="188">IF(ABS(G332)&gt;ABS(G331),0,1)</f>
        <v>0</v>
      </c>
      <c r="U353" s="295" t="s">
        <v>6</v>
      </c>
      <c r="V353" s="289">
        <f t="shared" ref="V353:V370" ca="1" si="189">IF(ABS(I332)&gt;ABS(I331),0,1)</f>
        <v>0</v>
      </c>
      <c r="W353" s="289">
        <f t="shared" ref="W353:W370" ca="1" si="190">IF(ABS(J332)&gt;ABS(J331),0,1)</f>
        <v>0</v>
      </c>
      <c r="X353" s="289">
        <f t="shared" ref="X353:X370" ca="1" si="191">IF(ABS(K332)&gt;ABS(K331),0,1)</f>
        <v>0</v>
      </c>
      <c r="Y353" s="289">
        <f t="shared" ref="Y353:Y370" ca="1" si="192">IF(ABS(L332)&gt;ABS(L331),0,1)</f>
        <v>0</v>
      </c>
      <c r="Z353" s="291">
        <f t="shared" ref="Z353:Z370" ca="1" si="193">IF(ABS(M332)&gt;ABS(M331),0,1)</f>
        <v>0</v>
      </c>
    </row>
    <row r="354" spans="2:26">
      <c r="B354" s="282" t="s">
        <v>39</v>
      </c>
      <c r="C354" s="278">
        <f t="shared" ref="C354:L354" ca="1" si="194">IF(C332&lt;D332,0,1)</f>
        <v>0</v>
      </c>
      <c r="D354" s="278">
        <f t="shared" ca="1" si="194"/>
        <v>0</v>
      </c>
      <c r="E354" s="278">
        <f t="shared" ca="1" si="194"/>
        <v>0</v>
      </c>
      <c r="F354" s="278">
        <f t="shared" ca="1" si="194"/>
        <v>0</v>
      </c>
      <c r="G354" s="278">
        <f t="shared" ca="1" si="194"/>
        <v>0</v>
      </c>
      <c r="H354" s="278">
        <f t="shared" ca="1" si="194"/>
        <v>0</v>
      </c>
      <c r="I354" s="278">
        <f t="shared" ca="1" si="194"/>
        <v>0</v>
      </c>
      <c r="J354" s="278">
        <f t="shared" ca="1" si="194"/>
        <v>0</v>
      </c>
      <c r="K354" s="278">
        <f t="shared" ca="1" si="194"/>
        <v>0</v>
      </c>
      <c r="L354" s="278">
        <f t="shared" ca="1" si="194"/>
        <v>0</v>
      </c>
      <c r="M354" s="279" t="s">
        <v>6</v>
      </c>
      <c r="O354" s="282" t="s">
        <v>39</v>
      </c>
      <c r="P354" s="289">
        <f t="shared" ref="P354:P370" ca="1" si="195">IF(ABS(C333)&gt;ABS(C332),0,1)</f>
        <v>0</v>
      </c>
      <c r="Q354" s="289">
        <f t="shared" ca="1" si="185"/>
        <v>0</v>
      </c>
      <c r="R354" s="289">
        <f t="shared" ca="1" si="186"/>
        <v>0</v>
      </c>
      <c r="S354" s="289">
        <f t="shared" ca="1" si="187"/>
        <v>0</v>
      </c>
      <c r="T354" s="289">
        <f t="shared" ca="1" si="188"/>
        <v>0</v>
      </c>
      <c r="U354" s="295" t="s">
        <v>6</v>
      </c>
      <c r="V354" s="289">
        <f t="shared" ca="1" si="189"/>
        <v>0</v>
      </c>
      <c r="W354" s="289">
        <f t="shared" ca="1" si="190"/>
        <v>0</v>
      </c>
      <c r="X354" s="289">
        <f t="shared" ca="1" si="191"/>
        <v>0</v>
      </c>
      <c r="Y354" s="289">
        <f t="shared" ca="1" si="192"/>
        <v>0</v>
      </c>
      <c r="Z354" s="292">
        <f t="shared" ca="1" si="193"/>
        <v>0</v>
      </c>
    </row>
    <row r="355" spans="2:26">
      <c r="B355" s="282" t="s">
        <v>35</v>
      </c>
      <c r="C355" s="278">
        <f t="shared" ref="C355:L355" ca="1" si="196">IF(C333&lt;D333,0,1)</f>
        <v>0</v>
      </c>
      <c r="D355" s="278">
        <f t="shared" ca="1" si="196"/>
        <v>0</v>
      </c>
      <c r="E355" s="278">
        <f t="shared" ca="1" si="196"/>
        <v>0</v>
      </c>
      <c r="F355" s="278">
        <f t="shared" ca="1" si="196"/>
        <v>0</v>
      </c>
      <c r="G355" s="278">
        <f t="shared" ca="1" si="196"/>
        <v>0</v>
      </c>
      <c r="H355" s="278">
        <f t="shared" ca="1" si="196"/>
        <v>0</v>
      </c>
      <c r="I355" s="278">
        <f t="shared" ca="1" si="196"/>
        <v>0</v>
      </c>
      <c r="J355" s="278">
        <f t="shared" ca="1" si="196"/>
        <v>0</v>
      </c>
      <c r="K355" s="278">
        <f t="shared" ca="1" si="196"/>
        <v>0</v>
      </c>
      <c r="L355" s="278">
        <f t="shared" ca="1" si="196"/>
        <v>0</v>
      </c>
      <c r="M355" s="279" t="s">
        <v>6</v>
      </c>
      <c r="O355" s="282" t="s">
        <v>35</v>
      </c>
      <c r="P355" s="289">
        <f t="shared" ca="1" si="195"/>
        <v>0</v>
      </c>
      <c r="Q355" s="289">
        <f t="shared" ca="1" si="185"/>
        <v>0</v>
      </c>
      <c r="R355" s="289">
        <f t="shared" ca="1" si="186"/>
        <v>0</v>
      </c>
      <c r="S355" s="289">
        <f t="shared" ca="1" si="187"/>
        <v>0</v>
      </c>
      <c r="T355" s="289">
        <f t="shared" ca="1" si="188"/>
        <v>0</v>
      </c>
      <c r="U355" s="295" t="s">
        <v>6</v>
      </c>
      <c r="V355" s="289">
        <f t="shared" ca="1" si="189"/>
        <v>0</v>
      </c>
      <c r="W355" s="289">
        <f t="shared" ca="1" si="190"/>
        <v>0</v>
      </c>
      <c r="X355" s="289">
        <f t="shared" ca="1" si="191"/>
        <v>0</v>
      </c>
      <c r="Y355" s="289">
        <f t="shared" ca="1" si="192"/>
        <v>0</v>
      </c>
      <c r="Z355" s="292">
        <f t="shared" ca="1" si="193"/>
        <v>0</v>
      </c>
    </row>
    <row r="356" spans="2:26">
      <c r="B356" s="282" t="s">
        <v>33</v>
      </c>
      <c r="C356" s="278">
        <f t="shared" ref="C356:L356" ca="1" si="197">IF(C334&lt;D334,0,1)</f>
        <v>0</v>
      </c>
      <c r="D356" s="278">
        <f t="shared" ca="1" si="197"/>
        <v>0</v>
      </c>
      <c r="E356" s="278">
        <f t="shared" ca="1" si="197"/>
        <v>0</v>
      </c>
      <c r="F356" s="278">
        <f t="shared" ca="1" si="197"/>
        <v>0</v>
      </c>
      <c r="G356" s="278">
        <f t="shared" ca="1" si="197"/>
        <v>0</v>
      </c>
      <c r="H356" s="278">
        <f t="shared" ca="1" si="197"/>
        <v>0</v>
      </c>
      <c r="I356" s="278">
        <f t="shared" ca="1" si="197"/>
        <v>0</v>
      </c>
      <c r="J356" s="278">
        <f t="shared" ca="1" si="197"/>
        <v>0</v>
      </c>
      <c r="K356" s="278">
        <f t="shared" ca="1" si="197"/>
        <v>0</v>
      </c>
      <c r="L356" s="278">
        <f t="shared" ca="1" si="197"/>
        <v>0</v>
      </c>
      <c r="M356" s="279" t="s">
        <v>6</v>
      </c>
      <c r="O356" s="282" t="s">
        <v>33</v>
      </c>
      <c r="P356" s="289">
        <f t="shared" ca="1" si="195"/>
        <v>0</v>
      </c>
      <c r="Q356" s="289">
        <f t="shared" ca="1" si="185"/>
        <v>0</v>
      </c>
      <c r="R356" s="289">
        <f t="shared" ca="1" si="186"/>
        <v>0</v>
      </c>
      <c r="S356" s="289">
        <f t="shared" ca="1" si="187"/>
        <v>0</v>
      </c>
      <c r="T356" s="289">
        <f t="shared" ca="1" si="188"/>
        <v>0</v>
      </c>
      <c r="U356" s="295" t="s">
        <v>6</v>
      </c>
      <c r="V356" s="289">
        <f t="shared" ca="1" si="189"/>
        <v>0</v>
      </c>
      <c r="W356" s="289">
        <f t="shared" ca="1" si="190"/>
        <v>0</v>
      </c>
      <c r="X356" s="289">
        <f t="shared" ca="1" si="191"/>
        <v>0</v>
      </c>
      <c r="Y356" s="289">
        <f t="shared" ca="1" si="192"/>
        <v>0</v>
      </c>
      <c r="Z356" s="292">
        <f t="shared" ca="1" si="193"/>
        <v>0</v>
      </c>
    </row>
    <row r="357" spans="2:26">
      <c r="B357" s="282" t="s">
        <v>131</v>
      </c>
      <c r="C357" s="278">
        <f t="shared" ref="C357:L357" ca="1" si="198">IF(C335&lt;D335,0,1)</f>
        <v>0</v>
      </c>
      <c r="D357" s="278">
        <f t="shared" ca="1" si="198"/>
        <v>0</v>
      </c>
      <c r="E357" s="278">
        <f t="shared" ca="1" si="198"/>
        <v>0</v>
      </c>
      <c r="F357" s="278">
        <f t="shared" ca="1" si="198"/>
        <v>0</v>
      </c>
      <c r="G357" s="278">
        <f t="shared" ca="1" si="198"/>
        <v>0</v>
      </c>
      <c r="H357" s="278">
        <f t="shared" ca="1" si="198"/>
        <v>0</v>
      </c>
      <c r="I357" s="278">
        <f t="shared" ca="1" si="198"/>
        <v>0</v>
      </c>
      <c r="J357" s="278">
        <f t="shared" ca="1" si="198"/>
        <v>0</v>
      </c>
      <c r="K357" s="278">
        <f t="shared" ca="1" si="198"/>
        <v>0</v>
      </c>
      <c r="L357" s="278">
        <f t="shared" ca="1" si="198"/>
        <v>0</v>
      </c>
      <c r="M357" s="279" t="s">
        <v>6</v>
      </c>
      <c r="O357" s="282" t="s">
        <v>131</v>
      </c>
      <c r="P357" s="289">
        <f t="shared" ca="1" si="195"/>
        <v>0</v>
      </c>
      <c r="Q357" s="289">
        <f t="shared" ca="1" si="185"/>
        <v>0</v>
      </c>
      <c r="R357" s="289">
        <f t="shared" ca="1" si="186"/>
        <v>0</v>
      </c>
      <c r="S357" s="289">
        <f t="shared" ca="1" si="187"/>
        <v>0</v>
      </c>
      <c r="T357" s="289">
        <f t="shared" ca="1" si="188"/>
        <v>0</v>
      </c>
      <c r="U357" s="295" t="s">
        <v>6</v>
      </c>
      <c r="V357" s="289">
        <f t="shared" ca="1" si="189"/>
        <v>0</v>
      </c>
      <c r="W357" s="289">
        <f t="shared" ca="1" si="190"/>
        <v>0</v>
      </c>
      <c r="X357" s="289">
        <f t="shared" ca="1" si="191"/>
        <v>0</v>
      </c>
      <c r="Y357" s="289">
        <f t="shared" ca="1" si="192"/>
        <v>0</v>
      </c>
      <c r="Z357" s="292">
        <f t="shared" ca="1" si="193"/>
        <v>0</v>
      </c>
    </row>
    <row r="358" spans="2:26">
      <c r="B358" s="282" t="s">
        <v>31</v>
      </c>
      <c r="C358" s="278">
        <f t="shared" ref="C358:L358" ca="1" si="199">IF(C336&lt;D336,0,1)</f>
        <v>0</v>
      </c>
      <c r="D358" s="278">
        <f t="shared" ca="1" si="199"/>
        <v>0</v>
      </c>
      <c r="E358" s="278">
        <f t="shared" ca="1" si="199"/>
        <v>0</v>
      </c>
      <c r="F358" s="278">
        <f t="shared" ca="1" si="199"/>
        <v>0</v>
      </c>
      <c r="G358" s="278">
        <f t="shared" ca="1" si="199"/>
        <v>0</v>
      </c>
      <c r="H358" s="278">
        <f t="shared" ca="1" si="199"/>
        <v>0</v>
      </c>
      <c r="I358" s="278">
        <f t="shared" ca="1" si="199"/>
        <v>0</v>
      </c>
      <c r="J358" s="278">
        <f t="shared" ca="1" si="199"/>
        <v>0</v>
      </c>
      <c r="K358" s="278">
        <f t="shared" ca="1" si="199"/>
        <v>0</v>
      </c>
      <c r="L358" s="278">
        <f t="shared" ca="1" si="199"/>
        <v>0</v>
      </c>
      <c r="M358" s="279" t="s">
        <v>6</v>
      </c>
      <c r="O358" s="282" t="s">
        <v>31</v>
      </c>
      <c r="P358" s="289">
        <f t="shared" ca="1" si="195"/>
        <v>0</v>
      </c>
      <c r="Q358" s="289">
        <f t="shared" ca="1" si="185"/>
        <v>0</v>
      </c>
      <c r="R358" s="289">
        <f t="shared" ca="1" si="186"/>
        <v>0</v>
      </c>
      <c r="S358" s="289">
        <f t="shared" ca="1" si="187"/>
        <v>0</v>
      </c>
      <c r="T358" s="289">
        <f t="shared" ca="1" si="188"/>
        <v>0</v>
      </c>
      <c r="U358" s="295" t="s">
        <v>6</v>
      </c>
      <c r="V358" s="289">
        <f t="shared" ca="1" si="189"/>
        <v>0</v>
      </c>
      <c r="W358" s="289">
        <f t="shared" ca="1" si="190"/>
        <v>0</v>
      </c>
      <c r="X358" s="289">
        <f t="shared" ca="1" si="191"/>
        <v>0</v>
      </c>
      <c r="Y358" s="289">
        <f t="shared" ca="1" si="192"/>
        <v>0</v>
      </c>
      <c r="Z358" s="292">
        <f t="shared" ca="1" si="193"/>
        <v>0</v>
      </c>
    </row>
    <row r="359" spans="2:26">
      <c r="B359" s="282" t="s">
        <v>119</v>
      </c>
      <c r="C359" s="278">
        <f t="shared" ref="C359:L359" ca="1" si="200">IF(C337&lt;D337,0,1)</f>
        <v>0</v>
      </c>
      <c r="D359" s="278">
        <f t="shared" ca="1" si="200"/>
        <v>0</v>
      </c>
      <c r="E359" s="278">
        <f t="shared" ca="1" si="200"/>
        <v>0</v>
      </c>
      <c r="F359" s="278">
        <f t="shared" ca="1" si="200"/>
        <v>0</v>
      </c>
      <c r="G359" s="278">
        <f t="shared" ca="1" si="200"/>
        <v>0</v>
      </c>
      <c r="H359" s="278">
        <f t="shared" ca="1" si="200"/>
        <v>0</v>
      </c>
      <c r="I359" s="278">
        <f t="shared" ca="1" si="200"/>
        <v>0</v>
      </c>
      <c r="J359" s="278">
        <f t="shared" ca="1" si="200"/>
        <v>0</v>
      </c>
      <c r="K359" s="278">
        <f t="shared" ca="1" si="200"/>
        <v>0</v>
      </c>
      <c r="L359" s="278">
        <f t="shared" ca="1" si="200"/>
        <v>0</v>
      </c>
      <c r="M359" s="279" t="s">
        <v>6</v>
      </c>
      <c r="O359" s="282" t="s">
        <v>119</v>
      </c>
      <c r="P359" s="289">
        <f t="shared" ca="1" si="195"/>
        <v>0</v>
      </c>
      <c r="Q359" s="289">
        <f t="shared" ca="1" si="185"/>
        <v>0</v>
      </c>
      <c r="R359" s="289">
        <f t="shared" ca="1" si="186"/>
        <v>0</v>
      </c>
      <c r="S359" s="289">
        <f t="shared" ca="1" si="187"/>
        <v>0</v>
      </c>
      <c r="T359" s="289">
        <f t="shared" ca="1" si="188"/>
        <v>0</v>
      </c>
      <c r="U359" s="295" t="s">
        <v>6</v>
      </c>
      <c r="V359" s="289">
        <f t="shared" ca="1" si="189"/>
        <v>0</v>
      </c>
      <c r="W359" s="289">
        <f t="shared" ca="1" si="190"/>
        <v>0</v>
      </c>
      <c r="X359" s="289">
        <f t="shared" ca="1" si="191"/>
        <v>0</v>
      </c>
      <c r="Y359" s="289">
        <f t="shared" ca="1" si="192"/>
        <v>0</v>
      </c>
      <c r="Z359" s="292">
        <f t="shared" ca="1" si="193"/>
        <v>0</v>
      </c>
    </row>
    <row r="360" spans="2:26">
      <c r="B360" s="282" t="s">
        <v>113</v>
      </c>
      <c r="C360" s="278">
        <f t="shared" ref="C360:L360" ca="1" si="201">IF(C338&lt;D338,0,1)</f>
        <v>0</v>
      </c>
      <c r="D360" s="278">
        <f t="shared" ca="1" si="201"/>
        <v>0</v>
      </c>
      <c r="E360" s="278">
        <f t="shared" ca="1" si="201"/>
        <v>0</v>
      </c>
      <c r="F360" s="278">
        <f t="shared" ca="1" si="201"/>
        <v>0</v>
      </c>
      <c r="G360" s="278">
        <f t="shared" ca="1" si="201"/>
        <v>0</v>
      </c>
      <c r="H360" s="278">
        <f t="shared" ca="1" si="201"/>
        <v>0</v>
      </c>
      <c r="I360" s="278">
        <f t="shared" ca="1" si="201"/>
        <v>0</v>
      </c>
      <c r="J360" s="278">
        <f t="shared" ca="1" si="201"/>
        <v>0</v>
      </c>
      <c r="K360" s="278">
        <f t="shared" ca="1" si="201"/>
        <v>0</v>
      </c>
      <c r="L360" s="278">
        <f t="shared" ca="1" si="201"/>
        <v>0</v>
      </c>
      <c r="M360" s="279" t="s">
        <v>6</v>
      </c>
      <c r="O360" s="282" t="s">
        <v>113</v>
      </c>
      <c r="P360" s="289">
        <f t="shared" ca="1" si="195"/>
        <v>0</v>
      </c>
      <c r="Q360" s="289">
        <f t="shared" ca="1" si="185"/>
        <v>0</v>
      </c>
      <c r="R360" s="289">
        <f t="shared" ca="1" si="186"/>
        <v>0</v>
      </c>
      <c r="S360" s="289">
        <f t="shared" ca="1" si="187"/>
        <v>0</v>
      </c>
      <c r="T360" s="289">
        <f t="shared" ca="1" si="188"/>
        <v>0</v>
      </c>
      <c r="U360" s="295" t="s">
        <v>6</v>
      </c>
      <c r="V360" s="289">
        <f t="shared" ca="1" si="189"/>
        <v>0</v>
      </c>
      <c r="W360" s="289">
        <f t="shared" ca="1" si="190"/>
        <v>0</v>
      </c>
      <c r="X360" s="289">
        <f t="shared" ca="1" si="191"/>
        <v>0</v>
      </c>
      <c r="Y360" s="289">
        <f t="shared" ca="1" si="192"/>
        <v>0</v>
      </c>
      <c r="Z360" s="292">
        <f t="shared" ca="1" si="193"/>
        <v>0</v>
      </c>
    </row>
    <row r="361" spans="2:26">
      <c r="B361" s="282" t="s">
        <v>28</v>
      </c>
      <c r="C361" s="278">
        <f t="shared" ref="C361:L361" ca="1" si="202">IF(C339&lt;D339,0,1)</f>
        <v>0</v>
      </c>
      <c r="D361" s="278">
        <f t="shared" ca="1" si="202"/>
        <v>0</v>
      </c>
      <c r="E361" s="278">
        <f t="shared" ca="1" si="202"/>
        <v>0</v>
      </c>
      <c r="F361" s="278">
        <f t="shared" ca="1" si="202"/>
        <v>0</v>
      </c>
      <c r="G361" s="278">
        <f t="shared" ca="1" si="202"/>
        <v>0</v>
      </c>
      <c r="H361" s="278">
        <f t="shared" ca="1" si="202"/>
        <v>0</v>
      </c>
      <c r="I361" s="278">
        <f t="shared" ca="1" si="202"/>
        <v>0</v>
      </c>
      <c r="J361" s="278">
        <f t="shared" ca="1" si="202"/>
        <v>0</v>
      </c>
      <c r="K361" s="278">
        <f t="shared" ca="1" si="202"/>
        <v>0</v>
      </c>
      <c r="L361" s="278">
        <f t="shared" ca="1" si="202"/>
        <v>0</v>
      </c>
      <c r="M361" s="279" t="s">
        <v>6</v>
      </c>
      <c r="O361" s="282" t="s">
        <v>28</v>
      </c>
      <c r="P361" s="289">
        <f t="shared" ca="1" si="195"/>
        <v>0</v>
      </c>
      <c r="Q361" s="289">
        <f t="shared" ca="1" si="185"/>
        <v>0</v>
      </c>
      <c r="R361" s="289">
        <f t="shared" ca="1" si="186"/>
        <v>0</v>
      </c>
      <c r="S361" s="289">
        <f t="shared" ca="1" si="187"/>
        <v>0</v>
      </c>
      <c r="T361" s="289">
        <f t="shared" ca="1" si="188"/>
        <v>0</v>
      </c>
      <c r="U361" s="295" t="s">
        <v>6</v>
      </c>
      <c r="V361" s="289">
        <f t="shared" ca="1" si="189"/>
        <v>0</v>
      </c>
      <c r="W361" s="289">
        <f t="shared" ca="1" si="190"/>
        <v>0</v>
      </c>
      <c r="X361" s="289">
        <f t="shared" ca="1" si="191"/>
        <v>0</v>
      </c>
      <c r="Y361" s="289">
        <f t="shared" ca="1" si="192"/>
        <v>0</v>
      </c>
      <c r="Z361" s="292">
        <f t="shared" ca="1" si="193"/>
        <v>0</v>
      </c>
    </row>
    <row r="362" spans="2:26">
      <c r="B362" s="282" t="s">
        <v>366</v>
      </c>
      <c r="C362" s="278">
        <f t="shared" ref="C362:L362" ca="1" si="203">IF(C340&lt;D340,0,1)</f>
        <v>0</v>
      </c>
      <c r="D362" s="278">
        <f t="shared" ca="1" si="203"/>
        <v>0</v>
      </c>
      <c r="E362" s="278">
        <f t="shared" ca="1" si="203"/>
        <v>0</v>
      </c>
      <c r="F362" s="278">
        <f t="shared" ca="1" si="203"/>
        <v>0</v>
      </c>
      <c r="G362" s="278">
        <f t="shared" ca="1" si="203"/>
        <v>0</v>
      </c>
      <c r="H362" s="278">
        <f t="shared" ca="1" si="203"/>
        <v>0</v>
      </c>
      <c r="I362" s="278">
        <f t="shared" ca="1" si="203"/>
        <v>0</v>
      </c>
      <c r="J362" s="278">
        <f t="shared" ca="1" si="203"/>
        <v>0</v>
      </c>
      <c r="K362" s="278">
        <f t="shared" ca="1" si="203"/>
        <v>0</v>
      </c>
      <c r="L362" s="278">
        <f t="shared" ca="1" si="203"/>
        <v>0</v>
      </c>
      <c r="M362" s="279" t="s">
        <v>6</v>
      </c>
      <c r="O362" s="282" t="s">
        <v>366</v>
      </c>
      <c r="P362" s="289">
        <f t="shared" ca="1" si="195"/>
        <v>0</v>
      </c>
      <c r="Q362" s="289">
        <f t="shared" ca="1" si="185"/>
        <v>0</v>
      </c>
      <c r="R362" s="289">
        <f t="shared" ca="1" si="186"/>
        <v>0</v>
      </c>
      <c r="S362" s="289">
        <f t="shared" ca="1" si="187"/>
        <v>0</v>
      </c>
      <c r="T362" s="289">
        <f t="shared" ca="1" si="188"/>
        <v>0</v>
      </c>
      <c r="U362" s="295" t="s">
        <v>6</v>
      </c>
      <c r="V362" s="289">
        <f t="shared" ca="1" si="189"/>
        <v>0</v>
      </c>
      <c r="W362" s="289">
        <f t="shared" ca="1" si="190"/>
        <v>0</v>
      </c>
      <c r="X362" s="289">
        <f t="shared" ca="1" si="191"/>
        <v>0</v>
      </c>
      <c r="Y362" s="289">
        <f t="shared" ca="1" si="192"/>
        <v>0</v>
      </c>
      <c r="Z362" s="292">
        <f t="shared" ca="1" si="193"/>
        <v>0</v>
      </c>
    </row>
    <row r="363" spans="2:26">
      <c r="B363" s="282" t="s">
        <v>26</v>
      </c>
      <c r="C363" s="278">
        <f t="shared" ref="C363:L363" ca="1" si="204">IF(C341&lt;D341,0,1)</f>
        <v>0</v>
      </c>
      <c r="D363" s="278">
        <f t="shared" ca="1" si="204"/>
        <v>0</v>
      </c>
      <c r="E363" s="278">
        <f t="shared" ca="1" si="204"/>
        <v>0</v>
      </c>
      <c r="F363" s="278">
        <f t="shared" ca="1" si="204"/>
        <v>0</v>
      </c>
      <c r="G363" s="278">
        <f t="shared" ca="1" si="204"/>
        <v>0</v>
      </c>
      <c r="H363" s="278">
        <f t="shared" ca="1" si="204"/>
        <v>0</v>
      </c>
      <c r="I363" s="278">
        <f t="shared" ca="1" si="204"/>
        <v>0</v>
      </c>
      <c r="J363" s="278">
        <f t="shared" ca="1" si="204"/>
        <v>0</v>
      </c>
      <c r="K363" s="278">
        <f t="shared" ca="1" si="204"/>
        <v>0</v>
      </c>
      <c r="L363" s="278">
        <f t="shared" ca="1" si="204"/>
        <v>0</v>
      </c>
      <c r="M363" s="279" t="s">
        <v>6</v>
      </c>
      <c r="O363" s="282" t="s">
        <v>26</v>
      </c>
      <c r="P363" s="289">
        <f t="shared" ca="1" si="195"/>
        <v>0</v>
      </c>
      <c r="Q363" s="289">
        <f t="shared" ca="1" si="185"/>
        <v>0</v>
      </c>
      <c r="R363" s="289">
        <f t="shared" ca="1" si="186"/>
        <v>0</v>
      </c>
      <c r="S363" s="289">
        <f t="shared" ca="1" si="187"/>
        <v>0</v>
      </c>
      <c r="T363" s="289">
        <f t="shared" ca="1" si="188"/>
        <v>0</v>
      </c>
      <c r="U363" s="295" t="s">
        <v>6</v>
      </c>
      <c r="V363" s="289">
        <f t="shared" ca="1" si="189"/>
        <v>0</v>
      </c>
      <c r="W363" s="289">
        <f t="shared" ca="1" si="190"/>
        <v>0</v>
      </c>
      <c r="X363" s="289">
        <f t="shared" ca="1" si="191"/>
        <v>0</v>
      </c>
      <c r="Y363" s="289">
        <f t="shared" ca="1" si="192"/>
        <v>0</v>
      </c>
      <c r="Z363" s="292">
        <f t="shared" ca="1" si="193"/>
        <v>0</v>
      </c>
    </row>
    <row r="364" spans="2:26">
      <c r="B364" s="282" t="s">
        <v>24</v>
      </c>
      <c r="C364" s="278">
        <f t="shared" ref="C364:L364" ca="1" si="205">IF(C342&lt;D342,0,1)</f>
        <v>0</v>
      </c>
      <c r="D364" s="278">
        <f t="shared" ca="1" si="205"/>
        <v>0</v>
      </c>
      <c r="E364" s="278">
        <f t="shared" ca="1" si="205"/>
        <v>0</v>
      </c>
      <c r="F364" s="278">
        <f t="shared" ca="1" si="205"/>
        <v>0</v>
      </c>
      <c r="G364" s="278">
        <f t="shared" ca="1" si="205"/>
        <v>0</v>
      </c>
      <c r="H364" s="278">
        <f t="shared" ca="1" si="205"/>
        <v>0</v>
      </c>
      <c r="I364" s="278">
        <f t="shared" ca="1" si="205"/>
        <v>0</v>
      </c>
      <c r="J364" s="278">
        <f t="shared" ca="1" si="205"/>
        <v>0</v>
      </c>
      <c r="K364" s="278">
        <f t="shared" ca="1" si="205"/>
        <v>0</v>
      </c>
      <c r="L364" s="278">
        <f t="shared" ca="1" si="205"/>
        <v>0</v>
      </c>
      <c r="M364" s="279" t="s">
        <v>6</v>
      </c>
      <c r="O364" s="282" t="s">
        <v>24</v>
      </c>
      <c r="P364" s="289">
        <f t="shared" ca="1" si="195"/>
        <v>0</v>
      </c>
      <c r="Q364" s="289">
        <f t="shared" ca="1" si="185"/>
        <v>0</v>
      </c>
      <c r="R364" s="289">
        <f t="shared" ca="1" si="186"/>
        <v>0</v>
      </c>
      <c r="S364" s="289">
        <f t="shared" ca="1" si="187"/>
        <v>0</v>
      </c>
      <c r="T364" s="289">
        <f t="shared" ca="1" si="188"/>
        <v>0</v>
      </c>
      <c r="U364" s="295" t="s">
        <v>6</v>
      </c>
      <c r="V364" s="289">
        <f t="shared" ca="1" si="189"/>
        <v>0</v>
      </c>
      <c r="W364" s="289">
        <f t="shared" ca="1" si="190"/>
        <v>0</v>
      </c>
      <c r="X364" s="289">
        <f t="shared" ca="1" si="191"/>
        <v>0</v>
      </c>
      <c r="Y364" s="289">
        <f t="shared" ca="1" si="192"/>
        <v>0</v>
      </c>
      <c r="Z364" s="292">
        <f t="shared" ca="1" si="193"/>
        <v>0</v>
      </c>
    </row>
    <row r="365" spans="2:26">
      <c r="B365" s="282" t="s">
        <v>20</v>
      </c>
      <c r="C365" s="278">
        <f t="shared" ref="C365:L365" ca="1" si="206">IF(C343&lt;D343,0,1)</f>
        <v>0</v>
      </c>
      <c r="D365" s="278">
        <f t="shared" ca="1" si="206"/>
        <v>0</v>
      </c>
      <c r="E365" s="278">
        <f t="shared" ca="1" si="206"/>
        <v>0</v>
      </c>
      <c r="F365" s="278">
        <f t="shared" ca="1" si="206"/>
        <v>0</v>
      </c>
      <c r="G365" s="278">
        <f t="shared" ca="1" si="206"/>
        <v>0</v>
      </c>
      <c r="H365" s="278">
        <f t="shared" ca="1" si="206"/>
        <v>0</v>
      </c>
      <c r="I365" s="278">
        <f t="shared" ca="1" si="206"/>
        <v>0</v>
      </c>
      <c r="J365" s="278">
        <f t="shared" ca="1" si="206"/>
        <v>0</v>
      </c>
      <c r="K365" s="278">
        <f t="shared" ca="1" si="206"/>
        <v>0</v>
      </c>
      <c r="L365" s="278">
        <f t="shared" ca="1" si="206"/>
        <v>0</v>
      </c>
      <c r="M365" s="279" t="s">
        <v>6</v>
      </c>
      <c r="O365" s="282" t="s">
        <v>20</v>
      </c>
      <c r="P365" s="289">
        <f t="shared" ca="1" si="195"/>
        <v>0</v>
      </c>
      <c r="Q365" s="289">
        <f t="shared" ca="1" si="185"/>
        <v>0</v>
      </c>
      <c r="R365" s="289">
        <f t="shared" ca="1" si="186"/>
        <v>0</v>
      </c>
      <c r="S365" s="289">
        <f t="shared" ca="1" si="187"/>
        <v>0</v>
      </c>
      <c r="T365" s="289">
        <f t="shared" ca="1" si="188"/>
        <v>0</v>
      </c>
      <c r="U365" s="295" t="s">
        <v>6</v>
      </c>
      <c r="V365" s="289">
        <f t="shared" ca="1" si="189"/>
        <v>0</v>
      </c>
      <c r="W365" s="289">
        <f t="shared" ca="1" si="190"/>
        <v>0</v>
      </c>
      <c r="X365" s="289">
        <f t="shared" ca="1" si="191"/>
        <v>0</v>
      </c>
      <c r="Y365" s="289">
        <f t="shared" ca="1" si="192"/>
        <v>0</v>
      </c>
      <c r="Z365" s="292">
        <f t="shared" ca="1" si="193"/>
        <v>0</v>
      </c>
    </row>
    <row r="366" spans="2:26">
      <c r="B366" s="282" t="s">
        <v>18</v>
      </c>
      <c r="C366" s="278">
        <f t="shared" ref="C366:L366" ca="1" si="207">IF(C344&lt;D344,0,1)</f>
        <v>0</v>
      </c>
      <c r="D366" s="278">
        <f t="shared" ca="1" si="207"/>
        <v>0</v>
      </c>
      <c r="E366" s="278">
        <f t="shared" ca="1" si="207"/>
        <v>0</v>
      </c>
      <c r="F366" s="278">
        <f t="shared" ca="1" si="207"/>
        <v>0</v>
      </c>
      <c r="G366" s="278">
        <f t="shared" ca="1" si="207"/>
        <v>0</v>
      </c>
      <c r="H366" s="278">
        <f t="shared" ca="1" si="207"/>
        <v>0</v>
      </c>
      <c r="I366" s="278">
        <f t="shared" ca="1" si="207"/>
        <v>0</v>
      </c>
      <c r="J366" s="278">
        <f t="shared" ca="1" si="207"/>
        <v>0</v>
      </c>
      <c r="K366" s="278">
        <f t="shared" ca="1" si="207"/>
        <v>0</v>
      </c>
      <c r="L366" s="278">
        <f t="shared" ca="1" si="207"/>
        <v>0</v>
      </c>
      <c r="M366" s="279" t="s">
        <v>6</v>
      </c>
      <c r="O366" s="282" t="s">
        <v>18</v>
      </c>
      <c r="P366" s="289">
        <f t="shared" ca="1" si="195"/>
        <v>0</v>
      </c>
      <c r="Q366" s="289">
        <f t="shared" ca="1" si="185"/>
        <v>0</v>
      </c>
      <c r="R366" s="289">
        <f t="shared" ca="1" si="186"/>
        <v>0</v>
      </c>
      <c r="S366" s="289">
        <f t="shared" ca="1" si="187"/>
        <v>0</v>
      </c>
      <c r="T366" s="289">
        <f t="shared" ca="1" si="188"/>
        <v>0</v>
      </c>
      <c r="U366" s="295" t="s">
        <v>6</v>
      </c>
      <c r="V366" s="289">
        <f t="shared" ca="1" si="189"/>
        <v>0</v>
      </c>
      <c r="W366" s="289">
        <f t="shared" ca="1" si="190"/>
        <v>0</v>
      </c>
      <c r="X366" s="289">
        <f t="shared" ca="1" si="191"/>
        <v>0</v>
      </c>
      <c r="Y366" s="289">
        <f t="shared" ca="1" si="192"/>
        <v>0</v>
      </c>
      <c r="Z366" s="292">
        <f t="shared" ca="1" si="193"/>
        <v>0</v>
      </c>
    </row>
    <row r="367" spans="2:26">
      <c r="B367" s="282" t="s">
        <v>17</v>
      </c>
      <c r="C367" s="278">
        <f t="shared" ref="C367:L367" ca="1" si="208">IF(C345&lt;D345,0,1)</f>
        <v>0</v>
      </c>
      <c r="D367" s="278">
        <f t="shared" ca="1" si="208"/>
        <v>0</v>
      </c>
      <c r="E367" s="278">
        <f t="shared" ca="1" si="208"/>
        <v>0</v>
      </c>
      <c r="F367" s="278">
        <f t="shared" ca="1" si="208"/>
        <v>0</v>
      </c>
      <c r="G367" s="278">
        <f t="shared" ca="1" si="208"/>
        <v>0</v>
      </c>
      <c r="H367" s="278">
        <f t="shared" ca="1" si="208"/>
        <v>0</v>
      </c>
      <c r="I367" s="278">
        <f t="shared" ca="1" si="208"/>
        <v>0</v>
      </c>
      <c r="J367" s="278">
        <f t="shared" ca="1" si="208"/>
        <v>0</v>
      </c>
      <c r="K367" s="278">
        <f t="shared" ca="1" si="208"/>
        <v>0</v>
      </c>
      <c r="L367" s="278">
        <f t="shared" ca="1" si="208"/>
        <v>0</v>
      </c>
      <c r="M367" s="279" t="s">
        <v>6</v>
      </c>
      <c r="O367" s="282" t="s">
        <v>17</v>
      </c>
      <c r="P367" s="289">
        <f t="shared" ca="1" si="195"/>
        <v>0</v>
      </c>
      <c r="Q367" s="289">
        <f t="shared" ca="1" si="185"/>
        <v>0</v>
      </c>
      <c r="R367" s="289">
        <f t="shared" ca="1" si="186"/>
        <v>0</v>
      </c>
      <c r="S367" s="289">
        <f t="shared" ca="1" si="187"/>
        <v>0</v>
      </c>
      <c r="T367" s="289">
        <f t="shared" ca="1" si="188"/>
        <v>0</v>
      </c>
      <c r="U367" s="295" t="s">
        <v>6</v>
      </c>
      <c r="V367" s="289">
        <f t="shared" ca="1" si="189"/>
        <v>0</v>
      </c>
      <c r="W367" s="289">
        <f t="shared" ca="1" si="190"/>
        <v>0</v>
      </c>
      <c r="X367" s="289">
        <f t="shared" ca="1" si="191"/>
        <v>0</v>
      </c>
      <c r="Y367" s="289">
        <f t="shared" ca="1" si="192"/>
        <v>0</v>
      </c>
      <c r="Z367" s="292">
        <f t="shared" ca="1" si="193"/>
        <v>0</v>
      </c>
    </row>
    <row r="368" spans="2:26">
      <c r="B368" s="282" t="s">
        <v>16</v>
      </c>
      <c r="C368" s="278">
        <f t="shared" ref="C368:L368" ca="1" si="209">IF(C346&lt;D346,0,1)</f>
        <v>0</v>
      </c>
      <c r="D368" s="278">
        <f t="shared" ca="1" si="209"/>
        <v>0</v>
      </c>
      <c r="E368" s="278">
        <f t="shared" ca="1" si="209"/>
        <v>0</v>
      </c>
      <c r="F368" s="278">
        <f t="shared" ca="1" si="209"/>
        <v>0</v>
      </c>
      <c r="G368" s="278">
        <f t="shared" ca="1" si="209"/>
        <v>0</v>
      </c>
      <c r="H368" s="278">
        <f t="shared" ca="1" si="209"/>
        <v>0</v>
      </c>
      <c r="I368" s="278">
        <f t="shared" ca="1" si="209"/>
        <v>0</v>
      </c>
      <c r="J368" s="278">
        <f t="shared" ca="1" si="209"/>
        <v>0</v>
      </c>
      <c r="K368" s="278">
        <f t="shared" ca="1" si="209"/>
        <v>0</v>
      </c>
      <c r="L368" s="278">
        <f t="shared" ca="1" si="209"/>
        <v>0</v>
      </c>
      <c r="M368" s="279" t="s">
        <v>6</v>
      </c>
      <c r="O368" s="282" t="s">
        <v>16</v>
      </c>
      <c r="P368" s="289">
        <f t="shared" ca="1" si="195"/>
        <v>0</v>
      </c>
      <c r="Q368" s="289">
        <f t="shared" ca="1" si="185"/>
        <v>0</v>
      </c>
      <c r="R368" s="289">
        <f t="shared" ca="1" si="186"/>
        <v>0</v>
      </c>
      <c r="S368" s="289">
        <f t="shared" ca="1" si="187"/>
        <v>0</v>
      </c>
      <c r="T368" s="289">
        <f t="shared" ca="1" si="188"/>
        <v>0</v>
      </c>
      <c r="U368" s="295" t="s">
        <v>6</v>
      </c>
      <c r="V368" s="289">
        <f t="shared" ca="1" si="189"/>
        <v>0</v>
      </c>
      <c r="W368" s="289">
        <f t="shared" ca="1" si="190"/>
        <v>0</v>
      </c>
      <c r="X368" s="289">
        <f t="shared" ca="1" si="191"/>
        <v>0</v>
      </c>
      <c r="Y368" s="289">
        <f t="shared" ca="1" si="192"/>
        <v>0</v>
      </c>
      <c r="Z368" s="292">
        <f t="shared" ca="1" si="193"/>
        <v>0</v>
      </c>
    </row>
    <row r="369" spans="1:26">
      <c r="B369" s="282" t="s">
        <v>15</v>
      </c>
      <c r="C369" s="278">
        <f t="shared" ref="C369:L369" ca="1" si="210">IF(C347&lt;D347,0,1)</f>
        <v>0</v>
      </c>
      <c r="D369" s="278">
        <f t="shared" ca="1" si="210"/>
        <v>0</v>
      </c>
      <c r="E369" s="278">
        <f t="shared" ca="1" si="210"/>
        <v>0</v>
      </c>
      <c r="F369" s="278">
        <f t="shared" ca="1" si="210"/>
        <v>0</v>
      </c>
      <c r="G369" s="278">
        <f t="shared" ca="1" si="210"/>
        <v>0</v>
      </c>
      <c r="H369" s="278">
        <f t="shared" ca="1" si="210"/>
        <v>0</v>
      </c>
      <c r="I369" s="278">
        <f t="shared" ca="1" si="210"/>
        <v>0</v>
      </c>
      <c r="J369" s="278">
        <f t="shared" ca="1" si="210"/>
        <v>0</v>
      </c>
      <c r="K369" s="278">
        <f t="shared" ca="1" si="210"/>
        <v>0</v>
      </c>
      <c r="L369" s="278">
        <f t="shared" ca="1" si="210"/>
        <v>0</v>
      </c>
      <c r="M369" s="279" t="s">
        <v>6</v>
      </c>
      <c r="O369" s="282" t="s">
        <v>15</v>
      </c>
      <c r="P369" s="289">
        <f t="shared" ca="1" si="195"/>
        <v>0</v>
      </c>
      <c r="Q369" s="289">
        <f t="shared" ca="1" si="185"/>
        <v>0</v>
      </c>
      <c r="R369" s="289">
        <f t="shared" ca="1" si="186"/>
        <v>0</v>
      </c>
      <c r="S369" s="289">
        <f t="shared" ca="1" si="187"/>
        <v>0</v>
      </c>
      <c r="T369" s="289">
        <f t="shared" ca="1" si="188"/>
        <v>0</v>
      </c>
      <c r="U369" s="295" t="s">
        <v>6</v>
      </c>
      <c r="V369" s="289">
        <f t="shared" ca="1" si="189"/>
        <v>0</v>
      </c>
      <c r="W369" s="289">
        <f t="shared" ca="1" si="190"/>
        <v>0</v>
      </c>
      <c r="X369" s="289">
        <f t="shared" ca="1" si="191"/>
        <v>0</v>
      </c>
      <c r="Y369" s="289">
        <f t="shared" ca="1" si="192"/>
        <v>0</v>
      </c>
      <c r="Z369" s="292">
        <f t="shared" ca="1" si="193"/>
        <v>0</v>
      </c>
    </row>
    <row r="370" spans="1:26">
      <c r="B370" s="282" t="s">
        <v>368</v>
      </c>
      <c r="C370" s="278">
        <f t="shared" ref="C370:L370" ca="1" si="211">IF(C348&lt;D348,0,1)</f>
        <v>0</v>
      </c>
      <c r="D370" s="278">
        <f t="shared" ca="1" si="211"/>
        <v>0</v>
      </c>
      <c r="E370" s="278">
        <f t="shared" ca="1" si="211"/>
        <v>0</v>
      </c>
      <c r="F370" s="278">
        <f t="shared" ca="1" si="211"/>
        <v>0</v>
      </c>
      <c r="G370" s="278">
        <f t="shared" ca="1" si="211"/>
        <v>0</v>
      </c>
      <c r="H370" s="278">
        <f t="shared" ca="1" si="211"/>
        <v>0</v>
      </c>
      <c r="I370" s="278">
        <f t="shared" ca="1" si="211"/>
        <v>0</v>
      </c>
      <c r="J370" s="278">
        <f t="shared" ca="1" si="211"/>
        <v>0</v>
      </c>
      <c r="K370" s="278">
        <f t="shared" ca="1" si="211"/>
        <v>0</v>
      </c>
      <c r="L370" s="278">
        <f t="shared" ca="1" si="211"/>
        <v>0</v>
      </c>
      <c r="M370" s="279" t="s">
        <v>6</v>
      </c>
      <c r="O370" s="282" t="s">
        <v>368</v>
      </c>
      <c r="P370" s="289">
        <f t="shared" ca="1" si="195"/>
        <v>0</v>
      </c>
      <c r="Q370" s="289">
        <f t="shared" ca="1" si="185"/>
        <v>0</v>
      </c>
      <c r="R370" s="289">
        <f t="shared" ca="1" si="186"/>
        <v>0</v>
      </c>
      <c r="S370" s="289">
        <f t="shared" ca="1" si="187"/>
        <v>0</v>
      </c>
      <c r="T370" s="289">
        <f t="shared" ca="1" si="188"/>
        <v>0</v>
      </c>
      <c r="U370" s="295" t="s">
        <v>6</v>
      </c>
      <c r="V370" s="289">
        <f t="shared" ca="1" si="189"/>
        <v>0</v>
      </c>
      <c r="W370" s="289">
        <f t="shared" ca="1" si="190"/>
        <v>0</v>
      </c>
      <c r="X370" s="289">
        <f t="shared" ca="1" si="191"/>
        <v>0</v>
      </c>
      <c r="Y370" s="289">
        <f t="shared" ca="1" si="192"/>
        <v>0</v>
      </c>
      <c r="Z370" s="292">
        <f t="shared" ca="1" si="193"/>
        <v>0</v>
      </c>
    </row>
    <row r="371" spans="1:26">
      <c r="B371" s="283" t="s">
        <v>14</v>
      </c>
      <c r="C371" s="280">
        <f t="shared" ref="C371:L371" ca="1" si="212">IF(C349&lt;D349,0,1)</f>
        <v>0</v>
      </c>
      <c r="D371" s="280">
        <f t="shared" ca="1" si="212"/>
        <v>0</v>
      </c>
      <c r="E371" s="280">
        <f t="shared" ca="1" si="212"/>
        <v>0</v>
      </c>
      <c r="F371" s="280">
        <f t="shared" ca="1" si="212"/>
        <v>0</v>
      </c>
      <c r="G371" s="280">
        <f t="shared" ca="1" si="212"/>
        <v>0</v>
      </c>
      <c r="H371" s="280">
        <f t="shared" ca="1" si="212"/>
        <v>0</v>
      </c>
      <c r="I371" s="280">
        <f t="shared" ca="1" si="212"/>
        <v>0</v>
      </c>
      <c r="J371" s="280">
        <f t="shared" ca="1" si="212"/>
        <v>0</v>
      </c>
      <c r="K371" s="280">
        <f t="shared" ca="1" si="212"/>
        <v>0</v>
      </c>
      <c r="L371" s="280">
        <f t="shared" ca="1" si="212"/>
        <v>0</v>
      </c>
      <c r="M371" s="281" t="s">
        <v>6</v>
      </c>
      <c r="O371" s="283" t="s">
        <v>14</v>
      </c>
      <c r="P371" s="293" t="s">
        <v>6</v>
      </c>
      <c r="Q371" s="293" t="s">
        <v>6</v>
      </c>
      <c r="R371" s="293" t="s">
        <v>6</v>
      </c>
      <c r="S371" s="293" t="s">
        <v>6</v>
      </c>
      <c r="T371" s="293" t="s">
        <v>6</v>
      </c>
      <c r="U371" s="296" t="s">
        <v>6</v>
      </c>
      <c r="V371" s="293" t="s">
        <v>6</v>
      </c>
      <c r="W371" s="293" t="s">
        <v>6</v>
      </c>
      <c r="X371" s="293" t="s">
        <v>6</v>
      </c>
      <c r="Y371" s="293" t="s">
        <v>6</v>
      </c>
      <c r="Z371" s="294" t="s">
        <v>6</v>
      </c>
    </row>
    <row r="374" spans="1:26">
      <c r="A374" s="224" t="s">
        <v>504</v>
      </c>
      <c r="B374" s="290" t="s">
        <v>489</v>
      </c>
      <c r="C374" s="284"/>
      <c r="G374" s="290" t="s">
        <v>489</v>
      </c>
    </row>
    <row r="375" spans="1:26">
      <c r="B375" s="284" t="s">
        <v>505</v>
      </c>
      <c r="C375" s="284"/>
      <c r="G375" s="284" t="s">
        <v>506</v>
      </c>
      <c r="H375" s="284"/>
    </row>
    <row r="376" spans="1:26">
      <c r="B376" s="258" t="s">
        <v>474</v>
      </c>
      <c r="C376" s="286">
        <f ca="1">SUM(C402:L420)</f>
        <v>0</v>
      </c>
      <c r="G376" s="258" t="s">
        <v>474</v>
      </c>
      <c r="H376" s="286">
        <f ca="1">SUM(P402:Z420)</f>
        <v>0</v>
      </c>
    </row>
    <row r="378" spans="1:26">
      <c r="B378" s="258" t="s">
        <v>479</v>
      </c>
      <c r="C378" s="258"/>
    </row>
    <row r="379" spans="1:26">
      <c r="B379" s="254" t="s">
        <v>468</v>
      </c>
      <c r="C379" s="287">
        <v>500</v>
      </c>
      <c r="D379" s="287">
        <v>400</v>
      </c>
      <c r="E379" s="287">
        <v>300</v>
      </c>
      <c r="F379" s="287">
        <v>200</v>
      </c>
      <c r="G379" s="287">
        <v>100</v>
      </c>
      <c r="H379" s="287">
        <v>0</v>
      </c>
      <c r="I379" s="287">
        <v>-100</v>
      </c>
      <c r="J379" s="287">
        <v>-200</v>
      </c>
      <c r="K379" s="287">
        <v>-300</v>
      </c>
      <c r="L379" s="287">
        <v>-400</v>
      </c>
      <c r="M379" s="288">
        <v>-500</v>
      </c>
    </row>
    <row r="380" spans="1:26">
      <c r="B380" s="282" t="s">
        <v>42</v>
      </c>
      <c r="C380" s="278">
        <f ca="1">'EUR Swap PVs'!AH77</f>
        <v>-101953.21509841587</v>
      </c>
      <c r="D380" s="278">
        <f ca="1">'EUR Swap PVs'!AI77</f>
        <v>-81562.572078732686</v>
      </c>
      <c r="E380" s="278">
        <f ca="1">'EUR Swap PVs'!AJ77</f>
        <v>-61171.929059049537</v>
      </c>
      <c r="F380" s="278">
        <f ca="1">'EUR Swap PVs'!AK77</f>
        <v>-40781.28603936635</v>
      </c>
      <c r="G380" s="278">
        <f ca="1">'EUR Swap PVs'!AL77</f>
        <v>-20390.643019683175</v>
      </c>
      <c r="H380" s="278">
        <f ca="1">'EUR Swap PVs'!AM77</f>
        <v>0</v>
      </c>
      <c r="I380" s="278">
        <f ca="1">'EUR Swap PVs'!AN77</f>
        <v>20390.643019683175</v>
      </c>
      <c r="J380" s="278">
        <f ca="1">'EUR Swap PVs'!AO77</f>
        <v>40781.28603936635</v>
      </c>
      <c r="K380" s="278">
        <f ca="1">'EUR Swap PVs'!AP77</f>
        <v>61171.929059049529</v>
      </c>
      <c r="L380" s="278">
        <f ca="1">'EUR Swap PVs'!AQ77</f>
        <v>81562.572078732715</v>
      </c>
      <c r="M380" s="279">
        <f ca="1">'EUR Swap PVs'!AR77</f>
        <v>101953.21509841588</v>
      </c>
    </row>
    <row r="381" spans="1:26">
      <c r="B381" s="282" t="s">
        <v>39</v>
      </c>
      <c r="C381" s="278">
        <f ca="1">'EUR Swap PVs'!AH78</f>
        <v>-152542.46364885769</v>
      </c>
      <c r="D381" s="278">
        <f ca="1">'EUR Swap PVs'!AI78</f>
        <v>-122033.97091908618</v>
      </c>
      <c r="E381" s="278">
        <f ca="1">'EUR Swap PVs'!AJ78</f>
        <v>-91525.478189314643</v>
      </c>
      <c r="F381" s="278">
        <f ca="1">'EUR Swap PVs'!AK78</f>
        <v>-61016.985459543081</v>
      </c>
      <c r="G381" s="278">
        <f ca="1">'EUR Swap PVs'!AL78</f>
        <v>-30508.492729771537</v>
      </c>
      <c r="H381" s="278">
        <f ca="1">'EUR Swap PVs'!AM78</f>
        <v>0</v>
      </c>
      <c r="I381" s="278">
        <f ca="1">'EUR Swap PVs'!AN78</f>
        <v>30508.492729771544</v>
      </c>
      <c r="J381" s="278">
        <f ca="1">'EUR Swap PVs'!AO78</f>
        <v>61016.985459543081</v>
      </c>
      <c r="K381" s="278">
        <f ca="1">'EUR Swap PVs'!AP78</f>
        <v>91525.478189314628</v>
      </c>
      <c r="L381" s="278">
        <f ca="1">'EUR Swap PVs'!AQ78</f>
        <v>122033.97091908618</v>
      </c>
      <c r="M381" s="279">
        <f ca="1">'EUR Swap PVs'!AR78</f>
        <v>152542.46364885769</v>
      </c>
    </row>
    <row r="382" spans="1:26">
      <c r="B382" s="282" t="s">
        <v>35</v>
      </c>
      <c r="C382" s="278">
        <f ca="1">'EUR Swap PVs'!AH79</f>
        <v>-202890.72538400179</v>
      </c>
      <c r="D382" s="278">
        <f ca="1">'EUR Swap PVs'!AI79</f>
        <v>-162312.58030720142</v>
      </c>
      <c r="E382" s="278">
        <f ca="1">'EUR Swap PVs'!AJ79</f>
        <v>-121734.4352304011</v>
      </c>
      <c r="F382" s="278">
        <f ca="1">'EUR Swap PVs'!AK79</f>
        <v>-81156.290153600712</v>
      </c>
      <c r="G382" s="278">
        <f ca="1">'EUR Swap PVs'!AL79</f>
        <v>-40578.145076800356</v>
      </c>
      <c r="H382" s="278">
        <f ca="1">'EUR Swap PVs'!AM79</f>
        <v>0</v>
      </c>
      <c r="I382" s="278">
        <f ca="1">'EUR Swap PVs'!AN79</f>
        <v>40578.145076800363</v>
      </c>
      <c r="J382" s="278">
        <f ca="1">'EUR Swap PVs'!AO79</f>
        <v>81156.290153600727</v>
      </c>
      <c r="K382" s="278">
        <f ca="1">'EUR Swap PVs'!AP79</f>
        <v>121734.43523040107</v>
      </c>
      <c r="L382" s="278">
        <f ca="1">'EUR Swap PVs'!AQ79</f>
        <v>162312.58030720145</v>
      </c>
      <c r="M382" s="279">
        <f ca="1">'EUR Swap PVs'!AR79</f>
        <v>202890.72538400179</v>
      </c>
    </row>
    <row r="383" spans="1:26">
      <c r="B383" s="282" t="s">
        <v>33</v>
      </c>
      <c r="C383" s="278">
        <f ca="1">'EUR Swap PVs'!AH80</f>
        <v>-253069.5285075022</v>
      </c>
      <c r="D383" s="278">
        <f ca="1">'EUR Swap PVs'!AI80</f>
        <v>-202455.62280600177</v>
      </c>
      <c r="E383" s="278">
        <f ca="1">'EUR Swap PVs'!AJ80</f>
        <v>-151841.71710450135</v>
      </c>
      <c r="F383" s="278">
        <f ca="1">'EUR Swap PVs'!AK80</f>
        <v>-101227.81140300087</v>
      </c>
      <c r="G383" s="278">
        <f ca="1">'EUR Swap PVs'!AL80</f>
        <v>-50613.905701500429</v>
      </c>
      <c r="H383" s="278">
        <f ca="1">'EUR Swap PVs'!AM80</f>
        <v>0</v>
      </c>
      <c r="I383" s="278">
        <f ca="1">'EUR Swap PVs'!AN80</f>
        <v>50613.905701500444</v>
      </c>
      <c r="J383" s="278">
        <f ca="1">'EUR Swap PVs'!AO80</f>
        <v>101227.8114030009</v>
      </c>
      <c r="K383" s="278">
        <f ca="1">'EUR Swap PVs'!AP80</f>
        <v>151841.71710450135</v>
      </c>
      <c r="L383" s="278">
        <f ca="1">'EUR Swap PVs'!AQ80</f>
        <v>202455.62280600177</v>
      </c>
      <c r="M383" s="279">
        <f ca="1">'EUR Swap PVs'!AR80</f>
        <v>253069.5285075022</v>
      </c>
    </row>
    <row r="384" spans="1:26">
      <c r="B384" s="282" t="s">
        <v>131</v>
      </c>
      <c r="C384" s="278">
        <f ca="1">'EUR Swap PVs'!AH81</f>
        <v>-302490.71297204384</v>
      </c>
      <c r="D384" s="278">
        <f ca="1">'EUR Swap PVs'!AI81</f>
        <v>-241992.57037763507</v>
      </c>
      <c r="E384" s="278">
        <f ca="1">'EUR Swap PVs'!AJ81</f>
        <v>-181494.42778322636</v>
      </c>
      <c r="F384" s="278">
        <f ca="1">'EUR Swap PVs'!AK81</f>
        <v>-120996.28518881752</v>
      </c>
      <c r="G384" s="278">
        <f ca="1">'EUR Swap PVs'!AL81</f>
        <v>-60498.142594408739</v>
      </c>
      <c r="H384" s="278">
        <f ca="1">'EUR Swap PVs'!AM81</f>
        <v>0</v>
      </c>
      <c r="I384" s="278">
        <f ca="1">'EUR Swap PVs'!AN81</f>
        <v>60498.142594408775</v>
      </c>
      <c r="J384" s="278">
        <f ca="1">'EUR Swap PVs'!AO81</f>
        <v>120996.28518881755</v>
      </c>
      <c r="K384" s="278">
        <f ca="1">'EUR Swap PVs'!AP81</f>
        <v>181494.42778322633</v>
      </c>
      <c r="L384" s="278">
        <f ca="1">'EUR Swap PVs'!AQ81</f>
        <v>241992.5703776351</v>
      </c>
      <c r="M384" s="279">
        <f ca="1">'EUR Swap PVs'!AR81</f>
        <v>302490.7129720439</v>
      </c>
    </row>
    <row r="385" spans="2:15">
      <c r="B385" s="282" t="s">
        <v>31</v>
      </c>
      <c r="C385" s="278">
        <f ca="1">'EUR Swap PVs'!AH82</f>
        <v>-351141.27427565056</v>
      </c>
      <c r="D385" s="278">
        <f ca="1">'EUR Swap PVs'!AI82</f>
        <v>-280913.0194205204</v>
      </c>
      <c r="E385" s="278">
        <f ca="1">'EUR Swap PVs'!AJ82</f>
        <v>-210684.76456539039</v>
      </c>
      <c r="F385" s="278">
        <f ca="1">'EUR Swap PVs'!AK82</f>
        <v>-140456.5097102602</v>
      </c>
      <c r="G385" s="278">
        <f ca="1">'EUR Swap PVs'!AL82</f>
        <v>-70228.254855130101</v>
      </c>
      <c r="H385" s="278">
        <f ca="1">'EUR Swap PVs'!AM82</f>
        <v>0</v>
      </c>
      <c r="I385" s="278">
        <f ca="1">'EUR Swap PVs'!AN82</f>
        <v>70228.25485513013</v>
      </c>
      <c r="J385" s="278">
        <f ca="1">'EUR Swap PVs'!AO82</f>
        <v>140456.50971026026</v>
      </c>
      <c r="K385" s="278">
        <f ca="1">'EUR Swap PVs'!AP82</f>
        <v>210684.76456539036</v>
      </c>
      <c r="L385" s="278">
        <f ca="1">'EUR Swap PVs'!AQ82</f>
        <v>280913.01942052052</v>
      </c>
      <c r="M385" s="279">
        <f ca="1">'EUR Swap PVs'!AR82</f>
        <v>351141.27427565056</v>
      </c>
    </row>
    <row r="386" spans="2:15">
      <c r="B386" s="282" t="s">
        <v>119</v>
      </c>
      <c r="C386" s="278">
        <f ca="1">'EUR Swap PVs'!AH83</f>
        <v>-399166.62011515</v>
      </c>
      <c r="D386" s="278">
        <f ca="1">'EUR Swap PVs'!AI83</f>
        <v>-319333.29609212</v>
      </c>
      <c r="E386" s="278">
        <f ca="1">'EUR Swap PVs'!AJ83</f>
        <v>-239499.97206909009</v>
      </c>
      <c r="F386" s="278">
        <f ca="1">'EUR Swap PVs'!AK83</f>
        <v>-159666.64804605997</v>
      </c>
      <c r="G386" s="278">
        <f ca="1">'EUR Swap PVs'!AL83</f>
        <v>-79833.324023029971</v>
      </c>
      <c r="H386" s="278">
        <f ca="1">'EUR Swap PVs'!AM83</f>
        <v>0</v>
      </c>
      <c r="I386" s="278">
        <f ca="1">'EUR Swap PVs'!AN83</f>
        <v>79833.324023030014</v>
      </c>
      <c r="J386" s="278">
        <f ca="1">'EUR Swap PVs'!AO83</f>
        <v>159666.64804606</v>
      </c>
      <c r="K386" s="278">
        <f ca="1">'EUR Swap PVs'!AP83</f>
        <v>239499.97206909009</v>
      </c>
      <c r="L386" s="278">
        <f ca="1">'EUR Swap PVs'!AQ83</f>
        <v>319333.29609212</v>
      </c>
      <c r="M386" s="279">
        <f ca="1">'EUR Swap PVs'!AR83</f>
        <v>399166.62011515006</v>
      </c>
    </row>
    <row r="387" spans="2:15">
      <c r="B387" s="282" t="s">
        <v>113</v>
      </c>
      <c r="C387" s="278">
        <f ca="1">'EUR Swap PVs'!AH84</f>
        <v>-445844.23518302286</v>
      </c>
      <c r="D387" s="278">
        <f ca="1">'EUR Swap PVs'!AI84</f>
        <v>-356675.38814641832</v>
      </c>
      <c r="E387" s="278">
        <f ca="1">'EUR Swap PVs'!AJ84</f>
        <v>-267506.54110981378</v>
      </c>
      <c r="F387" s="278">
        <f ca="1">'EUR Swap PVs'!AK84</f>
        <v>-178337.6940732091</v>
      </c>
      <c r="G387" s="278">
        <f ca="1">'EUR Swap PVs'!AL84</f>
        <v>-89168.847036604537</v>
      </c>
      <c r="H387" s="278">
        <f ca="1">'EUR Swap PVs'!AM84</f>
        <v>0</v>
      </c>
      <c r="I387" s="278">
        <f ca="1">'EUR Swap PVs'!AN84</f>
        <v>89168.847036604624</v>
      </c>
      <c r="J387" s="278">
        <f ca="1">'EUR Swap PVs'!AO84</f>
        <v>178337.69407320922</v>
      </c>
      <c r="K387" s="278">
        <f ca="1">'EUR Swap PVs'!AP84</f>
        <v>267506.54110981378</v>
      </c>
      <c r="L387" s="278">
        <f ca="1">'EUR Swap PVs'!AQ84</f>
        <v>356675.38814641844</v>
      </c>
      <c r="M387" s="279">
        <f ca="1">'EUR Swap PVs'!AR84</f>
        <v>445844.23518302303</v>
      </c>
    </row>
    <row r="388" spans="2:15">
      <c r="B388" s="282" t="s">
        <v>28</v>
      </c>
      <c r="C388" s="278">
        <f ca="1">'EUR Swap PVs'!AH85</f>
        <v>-491641.46924409911</v>
      </c>
      <c r="D388" s="278">
        <f ca="1">'EUR Swap PVs'!AI85</f>
        <v>-393313.17539527931</v>
      </c>
      <c r="E388" s="278">
        <f ca="1">'EUR Swap PVs'!AJ85</f>
        <v>-294984.88154645963</v>
      </c>
      <c r="F388" s="278">
        <f ca="1">'EUR Swap PVs'!AK85</f>
        <v>-196656.58769763962</v>
      </c>
      <c r="G388" s="278">
        <f ca="1">'EUR Swap PVs'!AL85</f>
        <v>-98328.293848819769</v>
      </c>
      <c r="H388" s="278">
        <f ca="1">'EUR Swap PVs'!AM85</f>
        <v>1.3877787807814457E-11</v>
      </c>
      <c r="I388" s="278">
        <f ca="1">'EUR Swap PVs'!AN85</f>
        <v>98328.293848819914</v>
      </c>
      <c r="J388" s="278">
        <f ca="1">'EUR Swap PVs'!AO85</f>
        <v>196656.58769763977</v>
      </c>
      <c r="K388" s="278">
        <f ca="1">'EUR Swap PVs'!AP85</f>
        <v>294984.88154645963</v>
      </c>
      <c r="L388" s="278">
        <f ca="1">'EUR Swap PVs'!AQ85</f>
        <v>393313.17539527954</v>
      </c>
      <c r="M388" s="279">
        <f ca="1">'EUR Swap PVs'!AR85</f>
        <v>491641.46924409934</v>
      </c>
    </row>
    <row r="389" spans="2:15">
      <c r="B389" s="282" t="s">
        <v>366</v>
      </c>
      <c r="C389" s="278">
        <f ca="1">'EUR Swap PVs'!AH86</f>
        <v>-536403.62305464619</v>
      </c>
      <c r="D389" s="278">
        <f ca="1">'EUR Swap PVs'!AI86</f>
        <v>-429122.89844371699</v>
      </c>
      <c r="E389" s="278">
        <f ca="1">'EUR Swap PVs'!AJ86</f>
        <v>-321842.17383278784</v>
      </c>
      <c r="F389" s="278">
        <f ca="1">'EUR Swap PVs'!AK86</f>
        <v>-214561.44922185849</v>
      </c>
      <c r="G389" s="278">
        <f ca="1">'EUR Swap PVs'!AL86</f>
        <v>-107280.72461092919</v>
      </c>
      <c r="H389" s="278">
        <f ca="1">'EUR Swap PVs'!AM86</f>
        <v>0</v>
      </c>
      <c r="I389" s="278">
        <f ca="1">'EUR Swap PVs'!AN86</f>
        <v>107280.72461092933</v>
      </c>
      <c r="J389" s="278">
        <f ca="1">'EUR Swap PVs'!AO86</f>
        <v>214561.44922185861</v>
      </c>
      <c r="K389" s="278">
        <f ca="1">'EUR Swap PVs'!AP86</f>
        <v>321842.1738327879</v>
      </c>
      <c r="L389" s="278">
        <f ca="1">'EUR Swap PVs'!AQ86</f>
        <v>429122.89844371722</v>
      </c>
      <c r="M389" s="279">
        <f ca="1">'EUR Swap PVs'!AR86</f>
        <v>536403.62305464654</v>
      </c>
    </row>
    <row r="390" spans="2:15">
      <c r="B390" s="282" t="s">
        <v>26</v>
      </c>
      <c r="C390" s="278">
        <f ca="1">'EUR Swap PVs'!AH87</f>
        <v>-580132.46295708523</v>
      </c>
      <c r="D390" s="278">
        <f ca="1">'EUR Swap PVs'!AI87</f>
        <v>-464105.97036566824</v>
      </c>
      <c r="E390" s="278">
        <f ca="1">'EUR Swap PVs'!AJ87</f>
        <v>-348079.47777425131</v>
      </c>
      <c r="F390" s="278">
        <f ca="1">'EUR Swap PVs'!AK87</f>
        <v>-232052.98518283406</v>
      </c>
      <c r="G390" s="278">
        <f ca="1">'EUR Swap PVs'!AL87</f>
        <v>-116026.49259141696</v>
      </c>
      <c r="H390" s="278">
        <f ca="1">'EUR Swap PVs'!AM87</f>
        <v>0</v>
      </c>
      <c r="I390" s="278">
        <f ca="1">'EUR Swap PVs'!AN87</f>
        <v>116026.49259141715</v>
      </c>
      <c r="J390" s="278">
        <f ca="1">'EUR Swap PVs'!AO87</f>
        <v>232052.98518283424</v>
      </c>
      <c r="K390" s="278">
        <f ca="1">'EUR Swap PVs'!AP87</f>
        <v>348079.47777425137</v>
      </c>
      <c r="L390" s="278">
        <f ca="1">'EUR Swap PVs'!AQ87</f>
        <v>464105.97036566841</v>
      </c>
      <c r="M390" s="279">
        <f ca="1">'EUR Swap PVs'!AR87</f>
        <v>580132.46295708546</v>
      </c>
    </row>
    <row r="391" spans="2:15">
      <c r="B391" s="282" t="s">
        <v>24</v>
      </c>
      <c r="C391" s="278">
        <f ca="1">'EUR Swap PVs'!AH88</f>
        <v>-705375.04990592063</v>
      </c>
      <c r="D391" s="278">
        <f ca="1">'EUR Swap PVs'!AI88</f>
        <v>-564300.0399247366</v>
      </c>
      <c r="E391" s="278">
        <f ca="1">'EUR Swap PVs'!AJ88</f>
        <v>-423225.02994355251</v>
      </c>
      <c r="F391" s="278">
        <f ca="1">'EUR Swap PVs'!AK88</f>
        <v>-282150.0199623683</v>
      </c>
      <c r="G391" s="278">
        <f ca="1">'EUR Swap PVs'!AL88</f>
        <v>-141075.00998118409</v>
      </c>
      <c r="H391" s="278">
        <f ca="1">'EUR Swap PVs'!AM88</f>
        <v>-2.7755575615628914E-11</v>
      </c>
      <c r="I391" s="278">
        <f ca="1">'EUR Swap PVs'!AN88</f>
        <v>141075.00998118421</v>
      </c>
      <c r="J391" s="278">
        <f ca="1">'EUR Swap PVs'!AO88</f>
        <v>282150.01996236842</v>
      </c>
      <c r="K391" s="278">
        <f ca="1">'EUR Swap PVs'!AP88</f>
        <v>423225.02994355268</v>
      </c>
      <c r="L391" s="278">
        <f ca="1">'EUR Swap PVs'!AQ88</f>
        <v>564300.03992473683</v>
      </c>
      <c r="M391" s="279">
        <f ca="1">'EUR Swap PVs'!AR88</f>
        <v>705375.04990592098</v>
      </c>
    </row>
    <row r="392" spans="2:15">
      <c r="B392" s="282" t="s">
        <v>20</v>
      </c>
      <c r="C392" s="278">
        <f ca="1">'EUR Swap PVs'!AH89</f>
        <v>-895612.96666418272</v>
      </c>
      <c r="D392" s="278">
        <f ca="1">'EUR Swap PVs'!AI89</f>
        <v>-716490.37333134632</v>
      </c>
      <c r="E392" s="278">
        <f ca="1">'EUR Swap PVs'!AJ89</f>
        <v>-537367.77999850968</v>
      </c>
      <c r="F392" s="278">
        <f ca="1">'EUR Swap PVs'!AK89</f>
        <v>-358245.18666567298</v>
      </c>
      <c r="G392" s="278">
        <f ca="1">'EUR Swap PVs'!AL89</f>
        <v>-179122.59333283638</v>
      </c>
      <c r="H392" s="278">
        <f ca="1">'EUR Swap PVs'!AM89</f>
        <v>0</v>
      </c>
      <c r="I392" s="278">
        <f ca="1">'EUR Swap PVs'!AN89</f>
        <v>179122.59333283672</v>
      </c>
      <c r="J392" s="278">
        <f ca="1">'EUR Swap PVs'!AO89</f>
        <v>358245.18666567333</v>
      </c>
      <c r="K392" s="278">
        <f ca="1">'EUR Swap PVs'!AP89</f>
        <v>537367.77999850991</v>
      </c>
      <c r="L392" s="278">
        <f ca="1">'EUR Swap PVs'!AQ89</f>
        <v>716490.37333134655</v>
      </c>
      <c r="M392" s="279">
        <f ca="1">'EUR Swap PVs'!AR89</f>
        <v>895612.96666418319</v>
      </c>
    </row>
    <row r="393" spans="2:15">
      <c r="B393" s="282" t="s">
        <v>18</v>
      </c>
      <c r="C393" s="278">
        <f ca="1">'EUR Swap PVs'!AH90</f>
        <v>-1067055.570911879</v>
      </c>
      <c r="D393" s="278">
        <f ca="1">'EUR Swap PVs'!AI90</f>
        <v>-853644.45672950323</v>
      </c>
      <c r="E393" s="278">
        <f ca="1">'EUR Swap PVs'!AJ90</f>
        <v>-640233.34254712739</v>
      </c>
      <c r="F393" s="278">
        <f ca="1">'EUR Swap PVs'!AK90</f>
        <v>-426822.2283647515</v>
      </c>
      <c r="G393" s="278">
        <f ca="1">'EUR Swap PVs'!AL90</f>
        <v>-213411.11418237569</v>
      </c>
      <c r="H393" s="278">
        <f ca="1">'EUR Swap PVs'!AM90</f>
        <v>0</v>
      </c>
      <c r="I393" s="278">
        <f ca="1">'EUR Swap PVs'!AN90</f>
        <v>213411.11418237587</v>
      </c>
      <c r="J393" s="278">
        <f ca="1">'EUR Swap PVs'!AO90</f>
        <v>426822.22836475173</v>
      </c>
      <c r="K393" s="278">
        <f ca="1">'EUR Swap PVs'!AP90</f>
        <v>640233.34254712763</v>
      </c>
      <c r="L393" s="278">
        <f ca="1">'EUR Swap PVs'!AQ90</f>
        <v>853644.45672950335</v>
      </c>
      <c r="M393" s="279">
        <f ca="1">'EUR Swap PVs'!AR90</f>
        <v>1067055.5709118794</v>
      </c>
    </row>
    <row r="394" spans="2:15">
      <c r="B394" s="282" t="s">
        <v>17</v>
      </c>
      <c r="C394" s="278">
        <f ca="1">'EUR Swap PVs'!AH91</f>
        <v>-1223051.9604093435</v>
      </c>
      <c r="D394" s="278">
        <f ca="1">'EUR Swap PVs'!AI91</f>
        <v>-978441.56832747499</v>
      </c>
      <c r="E394" s="278">
        <f ca="1">'EUR Swap PVs'!AJ91</f>
        <v>-733831.17624560627</v>
      </c>
      <c r="F394" s="278">
        <f ca="1">'EUR Swap PVs'!AK91</f>
        <v>-489220.78416373732</v>
      </c>
      <c r="G394" s="278">
        <f ca="1">'EUR Swap PVs'!AL91</f>
        <v>-244610.39208186857</v>
      </c>
      <c r="H394" s="278">
        <f ca="1">'EUR Swap PVs'!AM91</f>
        <v>0</v>
      </c>
      <c r="I394" s="278">
        <f ca="1">'EUR Swap PVs'!AN91</f>
        <v>244610.39208186892</v>
      </c>
      <c r="J394" s="278">
        <f ca="1">'EUR Swap PVs'!AO91</f>
        <v>489220.78416373779</v>
      </c>
      <c r="K394" s="278">
        <f ca="1">'EUR Swap PVs'!AP91</f>
        <v>733831.17624560662</v>
      </c>
      <c r="L394" s="278">
        <f ca="1">'EUR Swap PVs'!AQ91</f>
        <v>978441.56832747522</v>
      </c>
      <c r="M394" s="279">
        <f ca="1">'EUR Swap PVs'!AR91</f>
        <v>1223051.9604093446</v>
      </c>
    </row>
    <row r="395" spans="2:15">
      <c r="B395" s="282" t="s">
        <v>16</v>
      </c>
      <c r="C395" s="278">
        <f ca="1">'EUR Swap PVs'!AH92</f>
        <v>-1366543.064870677</v>
      </c>
      <c r="D395" s="278">
        <f ca="1">'EUR Swap PVs'!AI92</f>
        <v>-1093234.4518965418</v>
      </c>
      <c r="E395" s="278">
        <f ca="1">'EUR Swap PVs'!AJ92</f>
        <v>-819925.83892240631</v>
      </c>
      <c r="F395" s="278">
        <f ca="1">'EUR Swap PVs'!AK92</f>
        <v>-546617.22594827123</v>
      </c>
      <c r="G395" s="278">
        <f ca="1">'EUR Swap PVs'!AL92</f>
        <v>-273308.61297413532</v>
      </c>
      <c r="H395" s="278">
        <f ca="1">'EUR Swap PVs'!AM92</f>
        <v>-5.5511151231257827E-11</v>
      </c>
      <c r="I395" s="278">
        <f ca="1">'EUR Swap PVs'!AN92</f>
        <v>273308.61297413555</v>
      </c>
      <c r="J395" s="278">
        <f ca="1">'EUR Swap PVs'!AO92</f>
        <v>546617.22594827111</v>
      </c>
      <c r="K395" s="278">
        <f ca="1">'EUR Swap PVs'!AP92</f>
        <v>819925.83892240666</v>
      </c>
      <c r="L395" s="278">
        <f ca="1">'EUR Swap PVs'!AQ92</f>
        <v>1093234.4518965418</v>
      </c>
      <c r="M395" s="279">
        <f ca="1">'EUR Swap PVs'!AR92</f>
        <v>1366543.0648706779</v>
      </c>
    </row>
    <row r="396" spans="2:15">
      <c r="B396" s="282" t="s">
        <v>15</v>
      </c>
      <c r="C396" s="278">
        <f ca="1">'EUR Swap PVs'!AH93</f>
        <v>-1499145.7303461703</v>
      </c>
      <c r="D396" s="278">
        <f ca="1">'EUR Swap PVs'!AI93</f>
        <v>-1199316.5842769365</v>
      </c>
      <c r="E396" s="278">
        <f ca="1">'EUR Swap PVs'!AJ93</f>
        <v>-899487.43820770248</v>
      </c>
      <c r="F396" s="278">
        <f ca="1">'EUR Swap PVs'!AK93</f>
        <v>-599658.29213846859</v>
      </c>
      <c r="G396" s="278">
        <f ca="1">'EUR Swap PVs'!AL93</f>
        <v>-299829.14606923383</v>
      </c>
      <c r="H396" s="278">
        <f ca="1">'EUR Swap PVs'!AM93</f>
        <v>0</v>
      </c>
      <c r="I396" s="278">
        <f ca="1">'EUR Swap PVs'!AN93</f>
        <v>299829.14606923453</v>
      </c>
      <c r="J396" s="278">
        <f ca="1">'EUR Swap PVs'!AO93</f>
        <v>599658.29213846894</v>
      </c>
      <c r="K396" s="278">
        <f ca="1">'EUR Swap PVs'!AP93</f>
        <v>899487.43820770318</v>
      </c>
      <c r="L396" s="278">
        <f ca="1">'EUR Swap PVs'!AQ93</f>
        <v>1199316.5842769372</v>
      </c>
      <c r="M396" s="279">
        <f ca="1">'EUR Swap PVs'!AR93</f>
        <v>1499145.7303461719</v>
      </c>
    </row>
    <row r="397" spans="2:15">
      <c r="B397" s="282" t="s">
        <v>368</v>
      </c>
      <c r="C397" s="278">
        <f ca="1">'EUR Swap PVs'!AH94</f>
        <v>-1620154.4699725835</v>
      </c>
      <c r="D397" s="278">
        <f ca="1">'EUR Swap PVs'!AI94</f>
        <v>-1296123.5759780672</v>
      </c>
      <c r="E397" s="278">
        <f ca="1">'EUR Swap PVs'!AJ94</f>
        <v>-972092.68198355054</v>
      </c>
      <c r="F397" s="278">
        <f ca="1">'EUR Swap PVs'!AK94</f>
        <v>-648061.78798903408</v>
      </c>
      <c r="G397" s="278">
        <f ca="1">'EUR Swap PVs'!AL94</f>
        <v>-324030.89399451658</v>
      </c>
      <c r="H397" s="278">
        <f ca="1">'EUR Swap PVs'!AM94</f>
        <v>0</v>
      </c>
      <c r="I397" s="278">
        <f ca="1">'EUR Swap PVs'!AN94</f>
        <v>324030.89399451722</v>
      </c>
      <c r="J397" s="278">
        <f ca="1">'EUR Swap PVs'!AO94</f>
        <v>648061.78798903432</v>
      </c>
      <c r="K397" s="278">
        <f ca="1">'EUR Swap PVs'!AP94</f>
        <v>972092.68198355113</v>
      </c>
      <c r="L397" s="278">
        <f ca="1">'EUR Swap PVs'!AQ94</f>
        <v>1296123.5759780679</v>
      </c>
      <c r="M397" s="279">
        <f ca="1">'EUR Swap PVs'!AR94</f>
        <v>1620154.4699725856</v>
      </c>
    </row>
    <row r="398" spans="2:15">
      <c r="B398" s="283" t="s">
        <v>14</v>
      </c>
      <c r="C398" s="280">
        <f ca="1">'EUR Swap PVs'!AH95</f>
        <v>-1730741.4546833574</v>
      </c>
      <c r="D398" s="280">
        <f ca="1">'EUR Swap PVs'!AI95</f>
        <v>-1384593.1637466867</v>
      </c>
      <c r="E398" s="280">
        <f ca="1">'EUR Swap PVs'!AJ95</f>
        <v>-1038444.8728100153</v>
      </c>
      <c r="F398" s="280">
        <f ca="1">'EUR Swap PVs'!AK95</f>
        <v>-692296.58187334402</v>
      </c>
      <c r="G398" s="280">
        <f ca="1">'EUR Swap PVs'!AL95</f>
        <v>-346148.29093667143</v>
      </c>
      <c r="H398" s="280">
        <f ca="1">'EUR Swap PVs'!AM95</f>
        <v>0</v>
      </c>
      <c r="I398" s="280">
        <f ca="1">'EUR Swap PVs'!AN95</f>
        <v>346148.29093667207</v>
      </c>
      <c r="J398" s="280">
        <f ca="1">'EUR Swap PVs'!AO95</f>
        <v>692296.58187334391</v>
      </c>
      <c r="K398" s="280">
        <f ca="1">'EUR Swap PVs'!AP95</f>
        <v>1038444.8728100156</v>
      </c>
      <c r="L398" s="280">
        <f ca="1">'EUR Swap PVs'!AQ95</f>
        <v>1384593.1637466871</v>
      </c>
      <c r="M398" s="281">
        <f ca="1">'EUR Swap PVs'!AR95</f>
        <v>1730741.4546833595</v>
      </c>
    </row>
    <row r="400" spans="2:15">
      <c r="B400" s="258" t="s">
        <v>472</v>
      </c>
      <c r="O400" s="258" t="s">
        <v>472</v>
      </c>
    </row>
    <row r="401" spans="2:26">
      <c r="B401" s="254" t="s">
        <v>468</v>
      </c>
      <c r="C401" s="287">
        <v>500</v>
      </c>
      <c r="D401" s="287">
        <v>400</v>
      </c>
      <c r="E401" s="287">
        <v>300</v>
      </c>
      <c r="F401" s="287">
        <v>200</v>
      </c>
      <c r="G401" s="287">
        <v>100</v>
      </c>
      <c r="H401" s="287">
        <v>0</v>
      </c>
      <c r="I401" s="287">
        <v>-100</v>
      </c>
      <c r="J401" s="287">
        <v>-200</v>
      </c>
      <c r="K401" s="287">
        <v>-300</v>
      </c>
      <c r="L401" s="287">
        <v>-400</v>
      </c>
      <c r="M401" s="288">
        <v>-500</v>
      </c>
      <c r="O401" s="254" t="s">
        <v>468</v>
      </c>
      <c r="P401" s="276">
        <v>-0.05</v>
      </c>
      <c r="Q401" s="276">
        <v>-0.04</v>
      </c>
      <c r="R401" s="276">
        <v>-0.03</v>
      </c>
      <c r="S401" s="276">
        <v>-1.9999999999999997E-2</v>
      </c>
      <c r="T401" s="276">
        <v>-9.9999999999999967E-3</v>
      </c>
      <c r="U401" s="276">
        <v>0</v>
      </c>
      <c r="V401" s="276">
        <v>0.01</v>
      </c>
      <c r="W401" s="276">
        <v>0.02</v>
      </c>
      <c r="X401" s="276">
        <v>0.03</v>
      </c>
      <c r="Y401" s="276">
        <v>0.04</v>
      </c>
      <c r="Z401" s="277">
        <v>0.05</v>
      </c>
    </row>
    <row r="402" spans="2:26">
      <c r="B402" s="282" t="s">
        <v>42</v>
      </c>
      <c r="C402" s="278">
        <f ca="1">IF(C380&lt;D380,0,1)</f>
        <v>0</v>
      </c>
      <c r="D402" s="278">
        <f t="shared" ref="D402:L402" ca="1" si="213">IF(D380&lt;E380,0,1)</f>
        <v>0</v>
      </c>
      <c r="E402" s="278">
        <f t="shared" ca="1" si="213"/>
        <v>0</v>
      </c>
      <c r="F402" s="278">
        <f t="shared" ca="1" si="213"/>
        <v>0</v>
      </c>
      <c r="G402" s="278">
        <f t="shared" ca="1" si="213"/>
        <v>0</v>
      </c>
      <c r="H402" s="278">
        <f t="shared" ca="1" si="213"/>
        <v>0</v>
      </c>
      <c r="I402" s="278">
        <f t="shared" ca="1" si="213"/>
        <v>0</v>
      </c>
      <c r="J402" s="278">
        <f t="shared" ca="1" si="213"/>
        <v>0</v>
      </c>
      <c r="K402" s="278">
        <f t="shared" ca="1" si="213"/>
        <v>0</v>
      </c>
      <c r="L402" s="278">
        <f t="shared" ca="1" si="213"/>
        <v>0</v>
      </c>
      <c r="M402" s="285" t="s">
        <v>6</v>
      </c>
      <c r="O402" s="282" t="s">
        <v>42</v>
      </c>
      <c r="P402" s="289">
        <f ca="1">IF(ABS(C381)&gt;ABS(C380),0,1)</f>
        <v>0</v>
      </c>
      <c r="Q402" s="289">
        <f t="shared" ref="Q402:Q419" ca="1" si="214">IF(ABS(D381)&gt;ABS(D380),0,1)</f>
        <v>0</v>
      </c>
      <c r="R402" s="289">
        <f t="shared" ref="R402:R419" ca="1" si="215">IF(ABS(E381)&gt;ABS(E380),0,1)</f>
        <v>0</v>
      </c>
      <c r="S402" s="289">
        <f t="shared" ref="S402:S419" ca="1" si="216">IF(ABS(F381)&gt;ABS(F380),0,1)</f>
        <v>0</v>
      </c>
      <c r="T402" s="289">
        <f t="shared" ref="T402:T419" ca="1" si="217">IF(ABS(G381)&gt;ABS(G380),0,1)</f>
        <v>0</v>
      </c>
      <c r="U402" s="295" t="s">
        <v>6</v>
      </c>
      <c r="V402" s="289">
        <f t="shared" ref="V402:V419" ca="1" si="218">IF(ABS(I381)&gt;ABS(I380),0,1)</f>
        <v>0</v>
      </c>
      <c r="W402" s="289">
        <f t="shared" ref="W402:W419" ca="1" si="219">IF(ABS(J381)&gt;ABS(J380),0,1)</f>
        <v>0</v>
      </c>
      <c r="X402" s="289">
        <f t="shared" ref="X402:X419" ca="1" si="220">IF(ABS(K381)&gt;ABS(K380),0,1)</f>
        <v>0</v>
      </c>
      <c r="Y402" s="289">
        <f t="shared" ref="Y402:Y419" ca="1" si="221">IF(ABS(L381)&gt;ABS(L380),0,1)</f>
        <v>0</v>
      </c>
      <c r="Z402" s="291">
        <f t="shared" ref="Z402:Z419" ca="1" si="222">IF(ABS(M381)&gt;ABS(M380),0,1)</f>
        <v>0</v>
      </c>
    </row>
    <row r="403" spans="2:26">
      <c r="B403" s="282" t="s">
        <v>39</v>
      </c>
      <c r="C403" s="278">
        <f t="shared" ref="C403:L403" ca="1" si="223">IF(C381&lt;D381,0,1)</f>
        <v>0</v>
      </c>
      <c r="D403" s="278">
        <f t="shared" ca="1" si="223"/>
        <v>0</v>
      </c>
      <c r="E403" s="278">
        <f t="shared" ca="1" si="223"/>
        <v>0</v>
      </c>
      <c r="F403" s="278">
        <f t="shared" ca="1" si="223"/>
        <v>0</v>
      </c>
      <c r="G403" s="278">
        <f t="shared" ca="1" si="223"/>
        <v>0</v>
      </c>
      <c r="H403" s="278">
        <f t="shared" ca="1" si="223"/>
        <v>0</v>
      </c>
      <c r="I403" s="278">
        <f t="shared" ca="1" si="223"/>
        <v>0</v>
      </c>
      <c r="J403" s="278">
        <f t="shared" ca="1" si="223"/>
        <v>0</v>
      </c>
      <c r="K403" s="278">
        <f t="shared" ca="1" si="223"/>
        <v>0</v>
      </c>
      <c r="L403" s="278">
        <f t="shared" ca="1" si="223"/>
        <v>0</v>
      </c>
      <c r="M403" s="279" t="s">
        <v>6</v>
      </c>
      <c r="O403" s="282" t="s">
        <v>39</v>
      </c>
      <c r="P403" s="289">
        <f t="shared" ref="P403:P419" ca="1" si="224">IF(ABS(C382)&gt;ABS(C381),0,1)</f>
        <v>0</v>
      </c>
      <c r="Q403" s="289">
        <f t="shared" ca="1" si="214"/>
        <v>0</v>
      </c>
      <c r="R403" s="289">
        <f t="shared" ca="1" si="215"/>
        <v>0</v>
      </c>
      <c r="S403" s="289">
        <f t="shared" ca="1" si="216"/>
        <v>0</v>
      </c>
      <c r="T403" s="289">
        <f t="shared" ca="1" si="217"/>
        <v>0</v>
      </c>
      <c r="U403" s="295" t="s">
        <v>6</v>
      </c>
      <c r="V403" s="289">
        <f t="shared" ca="1" si="218"/>
        <v>0</v>
      </c>
      <c r="W403" s="289">
        <f t="shared" ca="1" si="219"/>
        <v>0</v>
      </c>
      <c r="X403" s="289">
        <f t="shared" ca="1" si="220"/>
        <v>0</v>
      </c>
      <c r="Y403" s="289">
        <f t="shared" ca="1" si="221"/>
        <v>0</v>
      </c>
      <c r="Z403" s="292">
        <f t="shared" ca="1" si="222"/>
        <v>0</v>
      </c>
    </row>
    <row r="404" spans="2:26">
      <c r="B404" s="282" t="s">
        <v>35</v>
      </c>
      <c r="C404" s="278">
        <f t="shared" ref="C404:L404" ca="1" si="225">IF(C382&lt;D382,0,1)</f>
        <v>0</v>
      </c>
      <c r="D404" s="278">
        <f t="shared" ca="1" si="225"/>
        <v>0</v>
      </c>
      <c r="E404" s="278">
        <f t="shared" ca="1" si="225"/>
        <v>0</v>
      </c>
      <c r="F404" s="278">
        <f t="shared" ca="1" si="225"/>
        <v>0</v>
      </c>
      <c r="G404" s="278">
        <f t="shared" ca="1" si="225"/>
        <v>0</v>
      </c>
      <c r="H404" s="278">
        <f t="shared" ca="1" si="225"/>
        <v>0</v>
      </c>
      <c r="I404" s="278">
        <f t="shared" ca="1" si="225"/>
        <v>0</v>
      </c>
      <c r="J404" s="278">
        <f t="shared" ca="1" si="225"/>
        <v>0</v>
      </c>
      <c r="K404" s="278">
        <f t="shared" ca="1" si="225"/>
        <v>0</v>
      </c>
      <c r="L404" s="278">
        <f t="shared" ca="1" si="225"/>
        <v>0</v>
      </c>
      <c r="M404" s="279" t="s">
        <v>6</v>
      </c>
      <c r="O404" s="282" t="s">
        <v>35</v>
      </c>
      <c r="P404" s="289">
        <f t="shared" ca="1" si="224"/>
        <v>0</v>
      </c>
      <c r="Q404" s="289">
        <f t="shared" ca="1" si="214"/>
        <v>0</v>
      </c>
      <c r="R404" s="289">
        <f t="shared" ca="1" si="215"/>
        <v>0</v>
      </c>
      <c r="S404" s="289">
        <f t="shared" ca="1" si="216"/>
        <v>0</v>
      </c>
      <c r="T404" s="289">
        <f t="shared" ca="1" si="217"/>
        <v>0</v>
      </c>
      <c r="U404" s="295" t="s">
        <v>6</v>
      </c>
      <c r="V404" s="289">
        <f t="shared" ca="1" si="218"/>
        <v>0</v>
      </c>
      <c r="W404" s="289">
        <f t="shared" ca="1" si="219"/>
        <v>0</v>
      </c>
      <c r="X404" s="289">
        <f t="shared" ca="1" si="220"/>
        <v>0</v>
      </c>
      <c r="Y404" s="289">
        <f t="shared" ca="1" si="221"/>
        <v>0</v>
      </c>
      <c r="Z404" s="292">
        <f t="shared" ca="1" si="222"/>
        <v>0</v>
      </c>
    </row>
    <row r="405" spans="2:26">
      <c r="B405" s="282" t="s">
        <v>33</v>
      </c>
      <c r="C405" s="278">
        <f t="shared" ref="C405:L405" ca="1" si="226">IF(C383&lt;D383,0,1)</f>
        <v>0</v>
      </c>
      <c r="D405" s="278">
        <f t="shared" ca="1" si="226"/>
        <v>0</v>
      </c>
      <c r="E405" s="278">
        <f t="shared" ca="1" si="226"/>
        <v>0</v>
      </c>
      <c r="F405" s="278">
        <f t="shared" ca="1" si="226"/>
        <v>0</v>
      </c>
      <c r="G405" s="278">
        <f t="shared" ca="1" si="226"/>
        <v>0</v>
      </c>
      <c r="H405" s="278">
        <f t="shared" ca="1" si="226"/>
        <v>0</v>
      </c>
      <c r="I405" s="278">
        <f t="shared" ca="1" si="226"/>
        <v>0</v>
      </c>
      <c r="J405" s="278">
        <f t="shared" ca="1" si="226"/>
        <v>0</v>
      </c>
      <c r="K405" s="278">
        <f t="shared" ca="1" si="226"/>
        <v>0</v>
      </c>
      <c r="L405" s="278">
        <f t="shared" ca="1" si="226"/>
        <v>0</v>
      </c>
      <c r="M405" s="279" t="s">
        <v>6</v>
      </c>
      <c r="O405" s="282" t="s">
        <v>33</v>
      </c>
      <c r="P405" s="289">
        <f t="shared" ca="1" si="224"/>
        <v>0</v>
      </c>
      <c r="Q405" s="289">
        <f t="shared" ca="1" si="214"/>
        <v>0</v>
      </c>
      <c r="R405" s="289">
        <f t="shared" ca="1" si="215"/>
        <v>0</v>
      </c>
      <c r="S405" s="289">
        <f t="shared" ca="1" si="216"/>
        <v>0</v>
      </c>
      <c r="T405" s="289">
        <f t="shared" ca="1" si="217"/>
        <v>0</v>
      </c>
      <c r="U405" s="295" t="s">
        <v>6</v>
      </c>
      <c r="V405" s="289">
        <f t="shared" ca="1" si="218"/>
        <v>0</v>
      </c>
      <c r="W405" s="289">
        <f t="shared" ca="1" si="219"/>
        <v>0</v>
      </c>
      <c r="X405" s="289">
        <f t="shared" ca="1" si="220"/>
        <v>0</v>
      </c>
      <c r="Y405" s="289">
        <f t="shared" ca="1" si="221"/>
        <v>0</v>
      </c>
      <c r="Z405" s="292">
        <f t="shared" ca="1" si="222"/>
        <v>0</v>
      </c>
    </row>
    <row r="406" spans="2:26">
      <c r="B406" s="282" t="s">
        <v>131</v>
      </c>
      <c r="C406" s="278">
        <f t="shared" ref="C406:L406" ca="1" si="227">IF(C384&lt;D384,0,1)</f>
        <v>0</v>
      </c>
      <c r="D406" s="278">
        <f t="shared" ca="1" si="227"/>
        <v>0</v>
      </c>
      <c r="E406" s="278">
        <f t="shared" ca="1" si="227"/>
        <v>0</v>
      </c>
      <c r="F406" s="278">
        <f t="shared" ca="1" si="227"/>
        <v>0</v>
      </c>
      <c r="G406" s="278">
        <f t="shared" ca="1" si="227"/>
        <v>0</v>
      </c>
      <c r="H406" s="278">
        <f t="shared" ca="1" si="227"/>
        <v>0</v>
      </c>
      <c r="I406" s="278">
        <f t="shared" ca="1" si="227"/>
        <v>0</v>
      </c>
      <c r="J406" s="278">
        <f t="shared" ca="1" si="227"/>
        <v>0</v>
      </c>
      <c r="K406" s="278">
        <f t="shared" ca="1" si="227"/>
        <v>0</v>
      </c>
      <c r="L406" s="278">
        <f t="shared" ca="1" si="227"/>
        <v>0</v>
      </c>
      <c r="M406" s="279" t="s">
        <v>6</v>
      </c>
      <c r="O406" s="282" t="s">
        <v>131</v>
      </c>
      <c r="P406" s="289">
        <f t="shared" ca="1" si="224"/>
        <v>0</v>
      </c>
      <c r="Q406" s="289">
        <f t="shared" ca="1" si="214"/>
        <v>0</v>
      </c>
      <c r="R406" s="289">
        <f t="shared" ca="1" si="215"/>
        <v>0</v>
      </c>
      <c r="S406" s="289">
        <f t="shared" ca="1" si="216"/>
        <v>0</v>
      </c>
      <c r="T406" s="289">
        <f t="shared" ca="1" si="217"/>
        <v>0</v>
      </c>
      <c r="U406" s="295" t="s">
        <v>6</v>
      </c>
      <c r="V406" s="289">
        <f t="shared" ca="1" si="218"/>
        <v>0</v>
      </c>
      <c r="W406" s="289">
        <f t="shared" ca="1" si="219"/>
        <v>0</v>
      </c>
      <c r="X406" s="289">
        <f t="shared" ca="1" si="220"/>
        <v>0</v>
      </c>
      <c r="Y406" s="289">
        <f t="shared" ca="1" si="221"/>
        <v>0</v>
      </c>
      <c r="Z406" s="292">
        <f t="shared" ca="1" si="222"/>
        <v>0</v>
      </c>
    </row>
    <row r="407" spans="2:26">
      <c r="B407" s="282" t="s">
        <v>31</v>
      </c>
      <c r="C407" s="278">
        <f t="shared" ref="C407:L407" ca="1" si="228">IF(C385&lt;D385,0,1)</f>
        <v>0</v>
      </c>
      <c r="D407" s="278">
        <f t="shared" ca="1" si="228"/>
        <v>0</v>
      </c>
      <c r="E407" s="278">
        <f t="shared" ca="1" si="228"/>
        <v>0</v>
      </c>
      <c r="F407" s="278">
        <f t="shared" ca="1" si="228"/>
        <v>0</v>
      </c>
      <c r="G407" s="278">
        <f t="shared" ca="1" si="228"/>
        <v>0</v>
      </c>
      <c r="H407" s="278">
        <f t="shared" ca="1" si="228"/>
        <v>0</v>
      </c>
      <c r="I407" s="278">
        <f t="shared" ca="1" si="228"/>
        <v>0</v>
      </c>
      <c r="J407" s="278">
        <f t="shared" ca="1" si="228"/>
        <v>0</v>
      </c>
      <c r="K407" s="278">
        <f t="shared" ca="1" si="228"/>
        <v>0</v>
      </c>
      <c r="L407" s="278">
        <f t="shared" ca="1" si="228"/>
        <v>0</v>
      </c>
      <c r="M407" s="279" t="s">
        <v>6</v>
      </c>
      <c r="O407" s="282" t="s">
        <v>31</v>
      </c>
      <c r="P407" s="289">
        <f t="shared" ca="1" si="224"/>
        <v>0</v>
      </c>
      <c r="Q407" s="289">
        <f t="shared" ca="1" si="214"/>
        <v>0</v>
      </c>
      <c r="R407" s="289">
        <f t="shared" ca="1" si="215"/>
        <v>0</v>
      </c>
      <c r="S407" s="289">
        <f t="shared" ca="1" si="216"/>
        <v>0</v>
      </c>
      <c r="T407" s="289">
        <f t="shared" ca="1" si="217"/>
        <v>0</v>
      </c>
      <c r="U407" s="295" t="s">
        <v>6</v>
      </c>
      <c r="V407" s="289">
        <f t="shared" ca="1" si="218"/>
        <v>0</v>
      </c>
      <c r="W407" s="289">
        <f t="shared" ca="1" si="219"/>
        <v>0</v>
      </c>
      <c r="X407" s="289">
        <f t="shared" ca="1" si="220"/>
        <v>0</v>
      </c>
      <c r="Y407" s="289">
        <f t="shared" ca="1" si="221"/>
        <v>0</v>
      </c>
      <c r="Z407" s="292">
        <f t="shared" ca="1" si="222"/>
        <v>0</v>
      </c>
    </row>
    <row r="408" spans="2:26">
      <c r="B408" s="282" t="s">
        <v>119</v>
      </c>
      <c r="C408" s="278">
        <f t="shared" ref="C408:L408" ca="1" si="229">IF(C386&lt;D386,0,1)</f>
        <v>0</v>
      </c>
      <c r="D408" s="278">
        <f t="shared" ca="1" si="229"/>
        <v>0</v>
      </c>
      <c r="E408" s="278">
        <f t="shared" ca="1" si="229"/>
        <v>0</v>
      </c>
      <c r="F408" s="278">
        <f t="shared" ca="1" si="229"/>
        <v>0</v>
      </c>
      <c r="G408" s="278">
        <f t="shared" ca="1" si="229"/>
        <v>0</v>
      </c>
      <c r="H408" s="278">
        <f t="shared" ca="1" si="229"/>
        <v>0</v>
      </c>
      <c r="I408" s="278">
        <f t="shared" ca="1" si="229"/>
        <v>0</v>
      </c>
      <c r="J408" s="278">
        <f t="shared" ca="1" si="229"/>
        <v>0</v>
      </c>
      <c r="K408" s="278">
        <f t="shared" ca="1" si="229"/>
        <v>0</v>
      </c>
      <c r="L408" s="278">
        <f t="shared" ca="1" si="229"/>
        <v>0</v>
      </c>
      <c r="M408" s="279" t="s">
        <v>6</v>
      </c>
      <c r="O408" s="282" t="s">
        <v>119</v>
      </c>
      <c r="P408" s="289">
        <f t="shared" ca="1" si="224"/>
        <v>0</v>
      </c>
      <c r="Q408" s="289">
        <f t="shared" ca="1" si="214"/>
        <v>0</v>
      </c>
      <c r="R408" s="289">
        <f t="shared" ca="1" si="215"/>
        <v>0</v>
      </c>
      <c r="S408" s="289">
        <f t="shared" ca="1" si="216"/>
        <v>0</v>
      </c>
      <c r="T408" s="289">
        <f t="shared" ca="1" si="217"/>
        <v>0</v>
      </c>
      <c r="U408" s="295" t="s">
        <v>6</v>
      </c>
      <c r="V408" s="289">
        <f t="shared" ca="1" si="218"/>
        <v>0</v>
      </c>
      <c r="W408" s="289">
        <f t="shared" ca="1" si="219"/>
        <v>0</v>
      </c>
      <c r="X408" s="289">
        <f t="shared" ca="1" si="220"/>
        <v>0</v>
      </c>
      <c r="Y408" s="289">
        <f t="shared" ca="1" si="221"/>
        <v>0</v>
      </c>
      <c r="Z408" s="292">
        <f t="shared" ca="1" si="222"/>
        <v>0</v>
      </c>
    </row>
    <row r="409" spans="2:26">
      <c r="B409" s="282" t="s">
        <v>113</v>
      </c>
      <c r="C409" s="278">
        <f t="shared" ref="C409:L409" ca="1" si="230">IF(C387&lt;D387,0,1)</f>
        <v>0</v>
      </c>
      <c r="D409" s="278">
        <f t="shared" ca="1" si="230"/>
        <v>0</v>
      </c>
      <c r="E409" s="278">
        <f t="shared" ca="1" si="230"/>
        <v>0</v>
      </c>
      <c r="F409" s="278">
        <f t="shared" ca="1" si="230"/>
        <v>0</v>
      </c>
      <c r="G409" s="278">
        <f t="shared" ca="1" si="230"/>
        <v>0</v>
      </c>
      <c r="H409" s="278">
        <f t="shared" ca="1" si="230"/>
        <v>0</v>
      </c>
      <c r="I409" s="278">
        <f t="shared" ca="1" si="230"/>
        <v>0</v>
      </c>
      <c r="J409" s="278">
        <f t="shared" ca="1" si="230"/>
        <v>0</v>
      </c>
      <c r="K409" s="278">
        <f t="shared" ca="1" si="230"/>
        <v>0</v>
      </c>
      <c r="L409" s="278">
        <f t="shared" ca="1" si="230"/>
        <v>0</v>
      </c>
      <c r="M409" s="279" t="s">
        <v>6</v>
      </c>
      <c r="O409" s="282" t="s">
        <v>113</v>
      </c>
      <c r="P409" s="289">
        <f t="shared" ca="1" si="224"/>
        <v>0</v>
      </c>
      <c r="Q409" s="289">
        <f t="shared" ca="1" si="214"/>
        <v>0</v>
      </c>
      <c r="R409" s="289">
        <f t="shared" ca="1" si="215"/>
        <v>0</v>
      </c>
      <c r="S409" s="289">
        <f t="shared" ca="1" si="216"/>
        <v>0</v>
      </c>
      <c r="T409" s="289">
        <f t="shared" ca="1" si="217"/>
        <v>0</v>
      </c>
      <c r="U409" s="295" t="s">
        <v>6</v>
      </c>
      <c r="V409" s="289">
        <f t="shared" ca="1" si="218"/>
        <v>0</v>
      </c>
      <c r="W409" s="289">
        <f t="shared" ca="1" si="219"/>
        <v>0</v>
      </c>
      <c r="X409" s="289">
        <f t="shared" ca="1" si="220"/>
        <v>0</v>
      </c>
      <c r="Y409" s="289">
        <f t="shared" ca="1" si="221"/>
        <v>0</v>
      </c>
      <c r="Z409" s="292">
        <f t="shared" ca="1" si="222"/>
        <v>0</v>
      </c>
    </row>
    <row r="410" spans="2:26">
      <c r="B410" s="282" t="s">
        <v>28</v>
      </c>
      <c r="C410" s="278">
        <f t="shared" ref="C410:L410" ca="1" si="231">IF(C388&lt;D388,0,1)</f>
        <v>0</v>
      </c>
      <c r="D410" s="278">
        <f t="shared" ca="1" si="231"/>
        <v>0</v>
      </c>
      <c r="E410" s="278">
        <f t="shared" ca="1" si="231"/>
        <v>0</v>
      </c>
      <c r="F410" s="278">
        <f t="shared" ca="1" si="231"/>
        <v>0</v>
      </c>
      <c r="G410" s="278">
        <f t="shared" ca="1" si="231"/>
        <v>0</v>
      </c>
      <c r="H410" s="278">
        <f t="shared" ca="1" si="231"/>
        <v>0</v>
      </c>
      <c r="I410" s="278">
        <f t="shared" ca="1" si="231"/>
        <v>0</v>
      </c>
      <c r="J410" s="278">
        <f t="shared" ca="1" si="231"/>
        <v>0</v>
      </c>
      <c r="K410" s="278">
        <f t="shared" ca="1" si="231"/>
        <v>0</v>
      </c>
      <c r="L410" s="278">
        <f t="shared" ca="1" si="231"/>
        <v>0</v>
      </c>
      <c r="M410" s="279" t="s">
        <v>6</v>
      </c>
      <c r="O410" s="282" t="s">
        <v>28</v>
      </c>
      <c r="P410" s="289">
        <f t="shared" ca="1" si="224"/>
        <v>0</v>
      </c>
      <c r="Q410" s="289">
        <f t="shared" ca="1" si="214"/>
        <v>0</v>
      </c>
      <c r="R410" s="289">
        <f t="shared" ca="1" si="215"/>
        <v>0</v>
      </c>
      <c r="S410" s="289">
        <f t="shared" ca="1" si="216"/>
        <v>0</v>
      </c>
      <c r="T410" s="289">
        <f t="shared" ca="1" si="217"/>
        <v>0</v>
      </c>
      <c r="U410" s="295" t="s">
        <v>6</v>
      </c>
      <c r="V410" s="289">
        <f t="shared" ca="1" si="218"/>
        <v>0</v>
      </c>
      <c r="W410" s="289">
        <f t="shared" ca="1" si="219"/>
        <v>0</v>
      </c>
      <c r="X410" s="289">
        <f t="shared" ca="1" si="220"/>
        <v>0</v>
      </c>
      <c r="Y410" s="289">
        <f t="shared" ca="1" si="221"/>
        <v>0</v>
      </c>
      <c r="Z410" s="292">
        <f t="shared" ca="1" si="222"/>
        <v>0</v>
      </c>
    </row>
    <row r="411" spans="2:26">
      <c r="B411" s="282" t="s">
        <v>366</v>
      </c>
      <c r="C411" s="278">
        <f t="shared" ref="C411:L411" ca="1" si="232">IF(C389&lt;D389,0,1)</f>
        <v>0</v>
      </c>
      <c r="D411" s="278">
        <f t="shared" ca="1" si="232"/>
        <v>0</v>
      </c>
      <c r="E411" s="278">
        <f t="shared" ca="1" si="232"/>
        <v>0</v>
      </c>
      <c r="F411" s="278">
        <f t="shared" ca="1" si="232"/>
        <v>0</v>
      </c>
      <c r="G411" s="278">
        <f t="shared" ca="1" si="232"/>
        <v>0</v>
      </c>
      <c r="H411" s="278">
        <f t="shared" ca="1" si="232"/>
        <v>0</v>
      </c>
      <c r="I411" s="278">
        <f t="shared" ca="1" si="232"/>
        <v>0</v>
      </c>
      <c r="J411" s="278">
        <f t="shared" ca="1" si="232"/>
        <v>0</v>
      </c>
      <c r="K411" s="278">
        <f t="shared" ca="1" si="232"/>
        <v>0</v>
      </c>
      <c r="L411" s="278">
        <f t="shared" ca="1" si="232"/>
        <v>0</v>
      </c>
      <c r="M411" s="279" t="s">
        <v>6</v>
      </c>
      <c r="O411" s="282" t="s">
        <v>366</v>
      </c>
      <c r="P411" s="289">
        <f t="shared" ca="1" si="224"/>
        <v>0</v>
      </c>
      <c r="Q411" s="289">
        <f t="shared" ca="1" si="214"/>
        <v>0</v>
      </c>
      <c r="R411" s="289">
        <f t="shared" ca="1" si="215"/>
        <v>0</v>
      </c>
      <c r="S411" s="289">
        <f t="shared" ca="1" si="216"/>
        <v>0</v>
      </c>
      <c r="T411" s="289">
        <f t="shared" ca="1" si="217"/>
        <v>0</v>
      </c>
      <c r="U411" s="295" t="s">
        <v>6</v>
      </c>
      <c r="V411" s="289">
        <f t="shared" ca="1" si="218"/>
        <v>0</v>
      </c>
      <c r="W411" s="289">
        <f t="shared" ca="1" si="219"/>
        <v>0</v>
      </c>
      <c r="X411" s="289">
        <f t="shared" ca="1" si="220"/>
        <v>0</v>
      </c>
      <c r="Y411" s="289">
        <f t="shared" ca="1" si="221"/>
        <v>0</v>
      </c>
      <c r="Z411" s="292">
        <f t="shared" ca="1" si="222"/>
        <v>0</v>
      </c>
    </row>
    <row r="412" spans="2:26">
      <c r="B412" s="282" t="s">
        <v>26</v>
      </c>
      <c r="C412" s="278">
        <f t="shared" ref="C412:L412" ca="1" si="233">IF(C390&lt;D390,0,1)</f>
        <v>0</v>
      </c>
      <c r="D412" s="278">
        <f t="shared" ca="1" si="233"/>
        <v>0</v>
      </c>
      <c r="E412" s="278">
        <f t="shared" ca="1" si="233"/>
        <v>0</v>
      </c>
      <c r="F412" s="278">
        <f t="shared" ca="1" si="233"/>
        <v>0</v>
      </c>
      <c r="G412" s="278">
        <f t="shared" ca="1" si="233"/>
        <v>0</v>
      </c>
      <c r="H412" s="278">
        <f t="shared" ca="1" si="233"/>
        <v>0</v>
      </c>
      <c r="I412" s="278">
        <f t="shared" ca="1" si="233"/>
        <v>0</v>
      </c>
      <c r="J412" s="278">
        <f t="shared" ca="1" si="233"/>
        <v>0</v>
      </c>
      <c r="K412" s="278">
        <f t="shared" ca="1" si="233"/>
        <v>0</v>
      </c>
      <c r="L412" s="278">
        <f t="shared" ca="1" si="233"/>
        <v>0</v>
      </c>
      <c r="M412" s="279" t="s">
        <v>6</v>
      </c>
      <c r="O412" s="282" t="s">
        <v>26</v>
      </c>
      <c r="P412" s="289">
        <f t="shared" ca="1" si="224"/>
        <v>0</v>
      </c>
      <c r="Q412" s="289">
        <f t="shared" ca="1" si="214"/>
        <v>0</v>
      </c>
      <c r="R412" s="289">
        <f t="shared" ca="1" si="215"/>
        <v>0</v>
      </c>
      <c r="S412" s="289">
        <f t="shared" ca="1" si="216"/>
        <v>0</v>
      </c>
      <c r="T412" s="289">
        <f t="shared" ca="1" si="217"/>
        <v>0</v>
      </c>
      <c r="U412" s="295" t="s">
        <v>6</v>
      </c>
      <c r="V412" s="289">
        <f t="shared" ca="1" si="218"/>
        <v>0</v>
      </c>
      <c r="W412" s="289">
        <f t="shared" ca="1" si="219"/>
        <v>0</v>
      </c>
      <c r="X412" s="289">
        <f t="shared" ca="1" si="220"/>
        <v>0</v>
      </c>
      <c r="Y412" s="289">
        <f t="shared" ca="1" si="221"/>
        <v>0</v>
      </c>
      <c r="Z412" s="292">
        <f t="shared" ca="1" si="222"/>
        <v>0</v>
      </c>
    </row>
    <row r="413" spans="2:26">
      <c r="B413" s="282" t="s">
        <v>24</v>
      </c>
      <c r="C413" s="278">
        <f t="shared" ref="C413:L413" ca="1" si="234">IF(C391&lt;D391,0,1)</f>
        <v>0</v>
      </c>
      <c r="D413" s="278">
        <f t="shared" ca="1" si="234"/>
        <v>0</v>
      </c>
      <c r="E413" s="278">
        <f t="shared" ca="1" si="234"/>
        <v>0</v>
      </c>
      <c r="F413" s="278">
        <f t="shared" ca="1" si="234"/>
        <v>0</v>
      </c>
      <c r="G413" s="278">
        <f t="shared" ca="1" si="234"/>
        <v>0</v>
      </c>
      <c r="H413" s="278">
        <f t="shared" ca="1" si="234"/>
        <v>0</v>
      </c>
      <c r="I413" s="278">
        <f t="shared" ca="1" si="234"/>
        <v>0</v>
      </c>
      <c r="J413" s="278">
        <f t="shared" ca="1" si="234"/>
        <v>0</v>
      </c>
      <c r="K413" s="278">
        <f t="shared" ca="1" si="234"/>
        <v>0</v>
      </c>
      <c r="L413" s="278">
        <f t="shared" ca="1" si="234"/>
        <v>0</v>
      </c>
      <c r="M413" s="279" t="s">
        <v>6</v>
      </c>
      <c r="O413" s="282" t="s">
        <v>24</v>
      </c>
      <c r="P413" s="289">
        <f t="shared" ca="1" si="224"/>
        <v>0</v>
      </c>
      <c r="Q413" s="289">
        <f t="shared" ca="1" si="214"/>
        <v>0</v>
      </c>
      <c r="R413" s="289">
        <f t="shared" ca="1" si="215"/>
        <v>0</v>
      </c>
      <c r="S413" s="289">
        <f t="shared" ca="1" si="216"/>
        <v>0</v>
      </c>
      <c r="T413" s="289">
        <f t="shared" ca="1" si="217"/>
        <v>0</v>
      </c>
      <c r="U413" s="295" t="s">
        <v>6</v>
      </c>
      <c r="V413" s="289">
        <f t="shared" ca="1" si="218"/>
        <v>0</v>
      </c>
      <c r="W413" s="289">
        <f t="shared" ca="1" si="219"/>
        <v>0</v>
      </c>
      <c r="X413" s="289">
        <f t="shared" ca="1" si="220"/>
        <v>0</v>
      </c>
      <c r="Y413" s="289">
        <f t="shared" ca="1" si="221"/>
        <v>0</v>
      </c>
      <c r="Z413" s="292">
        <f t="shared" ca="1" si="222"/>
        <v>0</v>
      </c>
    </row>
    <row r="414" spans="2:26">
      <c r="B414" s="282" t="s">
        <v>20</v>
      </c>
      <c r="C414" s="278">
        <f t="shared" ref="C414:L414" ca="1" si="235">IF(C392&lt;D392,0,1)</f>
        <v>0</v>
      </c>
      <c r="D414" s="278">
        <f t="shared" ca="1" si="235"/>
        <v>0</v>
      </c>
      <c r="E414" s="278">
        <f t="shared" ca="1" si="235"/>
        <v>0</v>
      </c>
      <c r="F414" s="278">
        <f t="shared" ca="1" si="235"/>
        <v>0</v>
      </c>
      <c r="G414" s="278">
        <f t="shared" ca="1" si="235"/>
        <v>0</v>
      </c>
      <c r="H414" s="278">
        <f t="shared" ca="1" si="235"/>
        <v>0</v>
      </c>
      <c r="I414" s="278">
        <f t="shared" ca="1" si="235"/>
        <v>0</v>
      </c>
      <c r="J414" s="278">
        <f t="shared" ca="1" si="235"/>
        <v>0</v>
      </c>
      <c r="K414" s="278">
        <f t="shared" ca="1" si="235"/>
        <v>0</v>
      </c>
      <c r="L414" s="278">
        <f t="shared" ca="1" si="235"/>
        <v>0</v>
      </c>
      <c r="M414" s="279" t="s">
        <v>6</v>
      </c>
      <c r="O414" s="282" t="s">
        <v>20</v>
      </c>
      <c r="P414" s="289">
        <f t="shared" ca="1" si="224"/>
        <v>0</v>
      </c>
      <c r="Q414" s="289">
        <f t="shared" ca="1" si="214"/>
        <v>0</v>
      </c>
      <c r="R414" s="289">
        <f t="shared" ca="1" si="215"/>
        <v>0</v>
      </c>
      <c r="S414" s="289">
        <f t="shared" ca="1" si="216"/>
        <v>0</v>
      </c>
      <c r="T414" s="289">
        <f t="shared" ca="1" si="217"/>
        <v>0</v>
      </c>
      <c r="U414" s="295" t="s">
        <v>6</v>
      </c>
      <c r="V414" s="289">
        <f t="shared" ca="1" si="218"/>
        <v>0</v>
      </c>
      <c r="W414" s="289">
        <f t="shared" ca="1" si="219"/>
        <v>0</v>
      </c>
      <c r="X414" s="289">
        <f t="shared" ca="1" si="220"/>
        <v>0</v>
      </c>
      <c r="Y414" s="289">
        <f t="shared" ca="1" si="221"/>
        <v>0</v>
      </c>
      <c r="Z414" s="292">
        <f t="shared" ca="1" si="222"/>
        <v>0</v>
      </c>
    </row>
    <row r="415" spans="2:26">
      <c r="B415" s="282" t="s">
        <v>18</v>
      </c>
      <c r="C415" s="278">
        <f t="shared" ref="C415:L415" ca="1" si="236">IF(C393&lt;D393,0,1)</f>
        <v>0</v>
      </c>
      <c r="D415" s="278">
        <f t="shared" ca="1" si="236"/>
        <v>0</v>
      </c>
      <c r="E415" s="278">
        <f t="shared" ca="1" si="236"/>
        <v>0</v>
      </c>
      <c r="F415" s="278">
        <f t="shared" ca="1" si="236"/>
        <v>0</v>
      </c>
      <c r="G415" s="278">
        <f t="shared" ca="1" si="236"/>
        <v>0</v>
      </c>
      <c r="H415" s="278">
        <f t="shared" ca="1" si="236"/>
        <v>0</v>
      </c>
      <c r="I415" s="278">
        <f t="shared" ca="1" si="236"/>
        <v>0</v>
      </c>
      <c r="J415" s="278">
        <f t="shared" ca="1" si="236"/>
        <v>0</v>
      </c>
      <c r="K415" s="278">
        <f t="shared" ca="1" si="236"/>
        <v>0</v>
      </c>
      <c r="L415" s="278">
        <f t="shared" ca="1" si="236"/>
        <v>0</v>
      </c>
      <c r="M415" s="279" t="s">
        <v>6</v>
      </c>
      <c r="O415" s="282" t="s">
        <v>18</v>
      </c>
      <c r="P415" s="289">
        <f t="shared" ca="1" si="224"/>
        <v>0</v>
      </c>
      <c r="Q415" s="289">
        <f t="shared" ca="1" si="214"/>
        <v>0</v>
      </c>
      <c r="R415" s="289">
        <f t="shared" ca="1" si="215"/>
        <v>0</v>
      </c>
      <c r="S415" s="289">
        <f t="shared" ca="1" si="216"/>
        <v>0</v>
      </c>
      <c r="T415" s="289">
        <f t="shared" ca="1" si="217"/>
        <v>0</v>
      </c>
      <c r="U415" s="295" t="s">
        <v>6</v>
      </c>
      <c r="V415" s="289">
        <f t="shared" ca="1" si="218"/>
        <v>0</v>
      </c>
      <c r="W415" s="289">
        <f t="shared" ca="1" si="219"/>
        <v>0</v>
      </c>
      <c r="X415" s="289">
        <f t="shared" ca="1" si="220"/>
        <v>0</v>
      </c>
      <c r="Y415" s="289">
        <f t="shared" ca="1" si="221"/>
        <v>0</v>
      </c>
      <c r="Z415" s="292">
        <f t="shared" ca="1" si="222"/>
        <v>0</v>
      </c>
    </row>
    <row r="416" spans="2:26">
      <c r="B416" s="282" t="s">
        <v>17</v>
      </c>
      <c r="C416" s="278">
        <f t="shared" ref="C416:L416" ca="1" si="237">IF(C394&lt;D394,0,1)</f>
        <v>0</v>
      </c>
      <c r="D416" s="278">
        <f t="shared" ca="1" si="237"/>
        <v>0</v>
      </c>
      <c r="E416" s="278">
        <f t="shared" ca="1" si="237"/>
        <v>0</v>
      </c>
      <c r="F416" s="278">
        <f t="shared" ca="1" si="237"/>
        <v>0</v>
      </c>
      <c r="G416" s="278">
        <f t="shared" ca="1" si="237"/>
        <v>0</v>
      </c>
      <c r="H416" s="278">
        <f t="shared" ca="1" si="237"/>
        <v>0</v>
      </c>
      <c r="I416" s="278">
        <f t="shared" ca="1" si="237"/>
        <v>0</v>
      </c>
      <c r="J416" s="278">
        <f t="shared" ca="1" si="237"/>
        <v>0</v>
      </c>
      <c r="K416" s="278">
        <f t="shared" ca="1" si="237"/>
        <v>0</v>
      </c>
      <c r="L416" s="278">
        <f t="shared" ca="1" si="237"/>
        <v>0</v>
      </c>
      <c r="M416" s="279" t="s">
        <v>6</v>
      </c>
      <c r="O416" s="282" t="s">
        <v>17</v>
      </c>
      <c r="P416" s="289">
        <f t="shared" ca="1" si="224"/>
        <v>0</v>
      </c>
      <c r="Q416" s="289">
        <f t="shared" ca="1" si="214"/>
        <v>0</v>
      </c>
      <c r="R416" s="289">
        <f t="shared" ca="1" si="215"/>
        <v>0</v>
      </c>
      <c r="S416" s="289">
        <f t="shared" ca="1" si="216"/>
        <v>0</v>
      </c>
      <c r="T416" s="289">
        <f t="shared" ca="1" si="217"/>
        <v>0</v>
      </c>
      <c r="U416" s="295" t="s">
        <v>6</v>
      </c>
      <c r="V416" s="289">
        <f t="shared" ca="1" si="218"/>
        <v>0</v>
      </c>
      <c r="W416" s="289">
        <f t="shared" ca="1" si="219"/>
        <v>0</v>
      </c>
      <c r="X416" s="289">
        <f t="shared" ca="1" si="220"/>
        <v>0</v>
      </c>
      <c r="Y416" s="289">
        <f t="shared" ca="1" si="221"/>
        <v>0</v>
      </c>
      <c r="Z416" s="292">
        <f t="shared" ca="1" si="222"/>
        <v>0</v>
      </c>
    </row>
    <row r="417" spans="2:26">
      <c r="B417" s="282" t="s">
        <v>16</v>
      </c>
      <c r="C417" s="278">
        <f t="shared" ref="C417:L417" ca="1" si="238">IF(C395&lt;D395,0,1)</f>
        <v>0</v>
      </c>
      <c r="D417" s="278">
        <f t="shared" ca="1" si="238"/>
        <v>0</v>
      </c>
      <c r="E417" s="278">
        <f t="shared" ca="1" si="238"/>
        <v>0</v>
      </c>
      <c r="F417" s="278">
        <f t="shared" ca="1" si="238"/>
        <v>0</v>
      </c>
      <c r="G417" s="278">
        <f t="shared" ca="1" si="238"/>
        <v>0</v>
      </c>
      <c r="H417" s="278">
        <f t="shared" ca="1" si="238"/>
        <v>0</v>
      </c>
      <c r="I417" s="278">
        <f t="shared" ca="1" si="238"/>
        <v>0</v>
      </c>
      <c r="J417" s="278">
        <f t="shared" ca="1" si="238"/>
        <v>0</v>
      </c>
      <c r="K417" s="278">
        <f t="shared" ca="1" si="238"/>
        <v>0</v>
      </c>
      <c r="L417" s="278">
        <f t="shared" ca="1" si="238"/>
        <v>0</v>
      </c>
      <c r="M417" s="279" t="s">
        <v>6</v>
      </c>
      <c r="O417" s="282" t="s">
        <v>16</v>
      </c>
      <c r="P417" s="289">
        <f t="shared" ca="1" si="224"/>
        <v>0</v>
      </c>
      <c r="Q417" s="289">
        <f t="shared" ca="1" si="214"/>
        <v>0</v>
      </c>
      <c r="R417" s="289">
        <f t="shared" ca="1" si="215"/>
        <v>0</v>
      </c>
      <c r="S417" s="289">
        <f t="shared" ca="1" si="216"/>
        <v>0</v>
      </c>
      <c r="T417" s="289">
        <f t="shared" ca="1" si="217"/>
        <v>0</v>
      </c>
      <c r="U417" s="295" t="s">
        <v>6</v>
      </c>
      <c r="V417" s="289">
        <f t="shared" ca="1" si="218"/>
        <v>0</v>
      </c>
      <c r="W417" s="289">
        <f t="shared" ca="1" si="219"/>
        <v>0</v>
      </c>
      <c r="X417" s="289">
        <f t="shared" ca="1" si="220"/>
        <v>0</v>
      </c>
      <c r="Y417" s="289">
        <f t="shared" ca="1" si="221"/>
        <v>0</v>
      </c>
      <c r="Z417" s="292">
        <f t="shared" ca="1" si="222"/>
        <v>0</v>
      </c>
    </row>
    <row r="418" spans="2:26">
      <c r="B418" s="282" t="s">
        <v>15</v>
      </c>
      <c r="C418" s="278">
        <f t="shared" ref="C418:L418" ca="1" si="239">IF(C396&lt;D396,0,1)</f>
        <v>0</v>
      </c>
      <c r="D418" s="278">
        <f t="shared" ca="1" si="239"/>
        <v>0</v>
      </c>
      <c r="E418" s="278">
        <f t="shared" ca="1" si="239"/>
        <v>0</v>
      </c>
      <c r="F418" s="278">
        <f t="shared" ca="1" si="239"/>
        <v>0</v>
      </c>
      <c r="G418" s="278">
        <f t="shared" ca="1" si="239"/>
        <v>0</v>
      </c>
      <c r="H418" s="278">
        <f t="shared" ca="1" si="239"/>
        <v>0</v>
      </c>
      <c r="I418" s="278">
        <f t="shared" ca="1" si="239"/>
        <v>0</v>
      </c>
      <c r="J418" s="278">
        <f t="shared" ca="1" si="239"/>
        <v>0</v>
      </c>
      <c r="K418" s="278">
        <f t="shared" ca="1" si="239"/>
        <v>0</v>
      </c>
      <c r="L418" s="278">
        <f t="shared" ca="1" si="239"/>
        <v>0</v>
      </c>
      <c r="M418" s="279" t="s">
        <v>6</v>
      </c>
      <c r="O418" s="282" t="s">
        <v>15</v>
      </c>
      <c r="P418" s="289">
        <f t="shared" ca="1" si="224"/>
        <v>0</v>
      </c>
      <c r="Q418" s="289">
        <f t="shared" ca="1" si="214"/>
        <v>0</v>
      </c>
      <c r="R418" s="289">
        <f t="shared" ca="1" si="215"/>
        <v>0</v>
      </c>
      <c r="S418" s="289">
        <f t="shared" ca="1" si="216"/>
        <v>0</v>
      </c>
      <c r="T418" s="289">
        <f t="shared" ca="1" si="217"/>
        <v>0</v>
      </c>
      <c r="U418" s="295" t="s">
        <v>6</v>
      </c>
      <c r="V418" s="289">
        <f t="shared" ca="1" si="218"/>
        <v>0</v>
      </c>
      <c r="W418" s="289">
        <f t="shared" ca="1" si="219"/>
        <v>0</v>
      </c>
      <c r="X418" s="289">
        <f t="shared" ca="1" si="220"/>
        <v>0</v>
      </c>
      <c r="Y418" s="289">
        <f t="shared" ca="1" si="221"/>
        <v>0</v>
      </c>
      <c r="Z418" s="292">
        <f t="shared" ca="1" si="222"/>
        <v>0</v>
      </c>
    </row>
    <row r="419" spans="2:26">
      <c r="B419" s="282" t="s">
        <v>368</v>
      </c>
      <c r="C419" s="278">
        <f t="shared" ref="C419:L419" ca="1" si="240">IF(C397&lt;D397,0,1)</f>
        <v>0</v>
      </c>
      <c r="D419" s="278">
        <f t="shared" ca="1" si="240"/>
        <v>0</v>
      </c>
      <c r="E419" s="278">
        <f t="shared" ca="1" si="240"/>
        <v>0</v>
      </c>
      <c r="F419" s="278">
        <f t="shared" ca="1" si="240"/>
        <v>0</v>
      </c>
      <c r="G419" s="278">
        <f t="shared" ca="1" si="240"/>
        <v>0</v>
      </c>
      <c r="H419" s="278">
        <f t="shared" ca="1" si="240"/>
        <v>0</v>
      </c>
      <c r="I419" s="278">
        <f t="shared" ca="1" si="240"/>
        <v>0</v>
      </c>
      <c r="J419" s="278">
        <f t="shared" ca="1" si="240"/>
        <v>0</v>
      </c>
      <c r="K419" s="278">
        <f t="shared" ca="1" si="240"/>
        <v>0</v>
      </c>
      <c r="L419" s="278">
        <f t="shared" ca="1" si="240"/>
        <v>0</v>
      </c>
      <c r="M419" s="279" t="s">
        <v>6</v>
      </c>
      <c r="O419" s="282" t="s">
        <v>368</v>
      </c>
      <c r="P419" s="289">
        <f t="shared" ca="1" si="224"/>
        <v>0</v>
      </c>
      <c r="Q419" s="289">
        <f t="shared" ca="1" si="214"/>
        <v>0</v>
      </c>
      <c r="R419" s="289">
        <f t="shared" ca="1" si="215"/>
        <v>0</v>
      </c>
      <c r="S419" s="289">
        <f t="shared" ca="1" si="216"/>
        <v>0</v>
      </c>
      <c r="T419" s="289">
        <f t="shared" ca="1" si="217"/>
        <v>0</v>
      </c>
      <c r="U419" s="295" t="s">
        <v>6</v>
      </c>
      <c r="V419" s="289">
        <f t="shared" ca="1" si="218"/>
        <v>0</v>
      </c>
      <c r="W419" s="289">
        <f t="shared" ca="1" si="219"/>
        <v>0</v>
      </c>
      <c r="X419" s="289">
        <f t="shared" ca="1" si="220"/>
        <v>0</v>
      </c>
      <c r="Y419" s="289">
        <f t="shared" ca="1" si="221"/>
        <v>0</v>
      </c>
      <c r="Z419" s="292">
        <f t="shared" ca="1" si="222"/>
        <v>0</v>
      </c>
    </row>
    <row r="420" spans="2:26">
      <c r="B420" s="283" t="s">
        <v>14</v>
      </c>
      <c r="C420" s="280">
        <f t="shared" ref="C420:L420" ca="1" si="241">IF(C398&lt;D398,0,1)</f>
        <v>0</v>
      </c>
      <c r="D420" s="280">
        <f t="shared" ca="1" si="241"/>
        <v>0</v>
      </c>
      <c r="E420" s="280">
        <f t="shared" ca="1" si="241"/>
        <v>0</v>
      </c>
      <c r="F420" s="280">
        <f t="shared" ca="1" si="241"/>
        <v>0</v>
      </c>
      <c r="G420" s="280">
        <f t="shared" ca="1" si="241"/>
        <v>0</v>
      </c>
      <c r="H420" s="280">
        <f t="shared" ca="1" si="241"/>
        <v>0</v>
      </c>
      <c r="I420" s="280">
        <f t="shared" ca="1" si="241"/>
        <v>0</v>
      </c>
      <c r="J420" s="280">
        <f t="shared" ca="1" si="241"/>
        <v>0</v>
      </c>
      <c r="K420" s="280">
        <f t="shared" ca="1" si="241"/>
        <v>0</v>
      </c>
      <c r="L420" s="280">
        <f t="shared" ca="1" si="241"/>
        <v>0</v>
      </c>
      <c r="M420" s="281" t="s">
        <v>6</v>
      </c>
      <c r="O420" s="283" t="s">
        <v>14</v>
      </c>
      <c r="P420" s="293" t="s">
        <v>6</v>
      </c>
      <c r="Q420" s="293" t="s">
        <v>6</v>
      </c>
      <c r="R420" s="293" t="s">
        <v>6</v>
      </c>
      <c r="S420" s="293" t="s">
        <v>6</v>
      </c>
      <c r="T420" s="293" t="s">
        <v>6</v>
      </c>
      <c r="U420" s="296" t="s">
        <v>6</v>
      </c>
      <c r="V420" s="293" t="s">
        <v>6</v>
      </c>
      <c r="W420" s="293" t="s">
        <v>6</v>
      </c>
      <c r="X420" s="293" t="s">
        <v>6</v>
      </c>
      <c r="Y420" s="293" t="s">
        <v>6</v>
      </c>
      <c r="Z420" s="294" t="s">
        <v>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2:Z420"/>
  <sheetViews>
    <sheetView showGridLines="0" workbookViewId="0"/>
  </sheetViews>
  <sheetFormatPr defaultRowHeight="15"/>
  <cols>
    <col min="1" max="32" width="10.7109375" style="224" customWidth="1"/>
    <col min="33" max="16384" width="9.140625" style="224"/>
  </cols>
  <sheetData>
    <row r="2" spans="1:10">
      <c r="B2" s="258" t="s">
        <v>507</v>
      </c>
    </row>
    <row r="4" spans="1:10">
      <c r="A4" s="224" t="s">
        <v>467</v>
      </c>
      <c r="B4" s="284" t="s">
        <v>475</v>
      </c>
      <c r="C4" s="284"/>
    </row>
    <row r="5" spans="1:10">
      <c r="B5" s="258" t="s">
        <v>474</v>
      </c>
      <c r="C5" s="266">
        <f ca="1">SUM(E10:E28)+SUM(J10:J28)</f>
        <v>0</v>
      </c>
    </row>
    <row r="8" spans="1:10">
      <c r="B8" s="258" t="s">
        <v>437</v>
      </c>
      <c r="E8" s="9" t="b">
        <v>1</v>
      </c>
      <c r="G8" s="258" t="s">
        <v>437</v>
      </c>
      <c r="J8" s="9" t="b">
        <v>0</v>
      </c>
    </row>
    <row r="9" spans="1:10">
      <c r="B9" s="267" t="s">
        <v>468</v>
      </c>
      <c r="C9" s="268" t="s">
        <v>469</v>
      </c>
      <c r="D9" s="268" t="s">
        <v>470</v>
      </c>
      <c r="E9" s="269" t="s">
        <v>472</v>
      </c>
      <c r="G9" s="267" t="s">
        <v>468</v>
      </c>
      <c r="H9" s="268" t="s">
        <v>469</v>
      </c>
      <c r="I9" s="268" t="s">
        <v>470</v>
      </c>
      <c r="J9" s="269" t="s">
        <v>472</v>
      </c>
    </row>
    <row r="10" spans="1:10">
      <c r="B10" s="270" t="s">
        <v>35</v>
      </c>
      <c r="C10" s="271">
        <f ca="1">'USD Swap PVs'!S4</f>
        <v>6.9388939039072284E-12</v>
      </c>
      <c r="D10" s="271">
        <v>0</v>
      </c>
      <c r="E10" s="272">
        <f t="shared" ref="E10:E28" ca="1" si="0">IF(ABS(D10-C10)&gt;PriceTolerance,1,0)</f>
        <v>0</v>
      </c>
      <c r="G10" s="270" t="s">
        <v>35</v>
      </c>
      <c r="H10" s="271">
        <f ca="1">'USD Swap PVs'!AM4</f>
        <v>4.163336342344337E-11</v>
      </c>
      <c r="I10" s="271">
        <v>0</v>
      </c>
      <c r="J10" s="272">
        <f t="shared" ref="J10:J28" ca="1" si="1">IF(ABS(I10-H10)&gt;PriceTolerance,1,0)</f>
        <v>0</v>
      </c>
    </row>
    <row r="11" spans="1:10">
      <c r="B11" s="270" t="s">
        <v>33</v>
      </c>
      <c r="C11" s="271">
        <f ca="1">'USD Swap PVs'!S5</f>
        <v>-1.3877787807814457E-11</v>
      </c>
      <c r="D11" s="271">
        <v>0</v>
      </c>
      <c r="E11" s="272">
        <f t="shared" ca="1" si="0"/>
        <v>0</v>
      </c>
      <c r="G11" s="270" t="s">
        <v>33</v>
      </c>
      <c r="H11" s="271">
        <f ca="1">'USD Swap PVs'!AM5</f>
        <v>-1.1102230246251565E-10</v>
      </c>
      <c r="I11" s="271">
        <v>0</v>
      </c>
      <c r="J11" s="272">
        <f t="shared" ca="1" si="1"/>
        <v>0</v>
      </c>
    </row>
    <row r="12" spans="1:10">
      <c r="B12" s="270" t="s">
        <v>131</v>
      </c>
      <c r="C12" s="271">
        <f ca="1">'USD Swap PVs'!S6</f>
        <v>1.3877787807814457E-11</v>
      </c>
      <c r="D12" s="271">
        <v>0</v>
      </c>
      <c r="E12" s="272">
        <f t="shared" ca="1" si="0"/>
        <v>0</v>
      </c>
      <c r="G12" s="270" t="s">
        <v>131</v>
      </c>
      <c r="H12" s="271">
        <f ca="1">'USD Swap PVs'!AM6</f>
        <v>-1.5265566588595902E-10</v>
      </c>
      <c r="I12" s="271">
        <v>0</v>
      </c>
      <c r="J12" s="272">
        <f t="shared" ca="1" si="1"/>
        <v>0</v>
      </c>
    </row>
    <row r="13" spans="1:10">
      <c r="B13" s="270" t="s">
        <v>31</v>
      </c>
      <c r="C13" s="271">
        <f ca="1">'USD Swap PVs'!S7</f>
        <v>0</v>
      </c>
      <c r="D13" s="271">
        <v>0</v>
      </c>
      <c r="E13" s="272">
        <f t="shared" ca="1" si="0"/>
        <v>0</v>
      </c>
      <c r="G13" s="270" t="s">
        <v>31</v>
      </c>
      <c r="H13" s="271">
        <f ca="1">'USD Swap PVs'!AM7</f>
        <v>-1.3877787807814457E-10</v>
      </c>
      <c r="I13" s="271">
        <v>0</v>
      </c>
      <c r="J13" s="272">
        <f t="shared" ca="1" si="1"/>
        <v>0</v>
      </c>
    </row>
    <row r="14" spans="1:10">
      <c r="B14" s="270" t="s">
        <v>119</v>
      </c>
      <c r="C14" s="271">
        <f ca="1">'USD Swap PVs'!S8</f>
        <v>0</v>
      </c>
      <c r="D14" s="271">
        <v>0</v>
      </c>
      <c r="E14" s="272">
        <f t="shared" ca="1" si="0"/>
        <v>0</v>
      </c>
      <c r="G14" s="270" t="s">
        <v>119</v>
      </c>
      <c r="H14" s="271">
        <f ca="1">'USD Swap PVs'!AM8</f>
        <v>-1.3877787807814457E-10</v>
      </c>
      <c r="I14" s="271">
        <v>0</v>
      </c>
      <c r="J14" s="272">
        <f t="shared" ca="1" si="1"/>
        <v>0</v>
      </c>
    </row>
    <row r="15" spans="1:10">
      <c r="B15" s="270" t="s">
        <v>113</v>
      </c>
      <c r="C15" s="271">
        <f ca="1">'USD Swap PVs'!S9</f>
        <v>0</v>
      </c>
      <c r="D15" s="271">
        <v>0</v>
      </c>
      <c r="E15" s="272">
        <f t="shared" ca="1" si="0"/>
        <v>0</v>
      </c>
      <c r="G15" s="270" t="s">
        <v>113</v>
      </c>
      <c r="H15" s="271">
        <f ca="1">'USD Swap PVs'!AM9</f>
        <v>-2.7755575615628914E-11</v>
      </c>
      <c r="I15" s="271">
        <v>0</v>
      </c>
      <c r="J15" s="272">
        <f t="shared" ca="1" si="1"/>
        <v>0</v>
      </c>
    </row>
    <row r="16" spans="1:10">
      <c r="B16" s="270" t="s">
        <v>28</v>
      </c>
      <c r="C16" s="271">
        <f ca="1">'USD Swap PVs'!S10</f>
        <v>0</v>
      </c>
      <c r="D16" s="271">
        <v>0</v>
      </c>
      <c r="E16" s="272">
        <f t="shared" ca="1" si="0"/>
        <v>0</v>
      </c>
      <c r="G16" s="270" t="s">
        <v>28</v>
      </c>
      <c r="H16" s="271">
        <f ca="1">'USD Swap PVs'!AM10</f>
        <v>-1.3877787807814457E-10</v>
      </c>
      <c r="I16" s="271">
        <v>0</v>
      </c>
      <c r="J16" s="272">
        <f t="shared" ca="1" si="1"/>
        <v>0</v>
      </c>
    </row>
    <row r="17" spans="1:10">
      <c r="B17" s="270" t="s">
        <v>366</v>
      </c>
      <c r="C17" s="271">
        <f ca="1">'USD Swap PVs'!S11</f>
        <v>0</v>
      </c>
      <c r="D17" s="271">
        <v>0</v>
      </c>
      <c r="E17" s="272">
        <f t="shared" ca="1" si="0"/>
        <v>0</v>
      </c>
      <c r="G17" s="270" t="s">
        <v>366</v>
      </c>
      <c r="H17" s="271">
        <f ca="1">'USD Swap PVs'!AM11</f>
        <v>-5.5511151231257827E-11</v>
      </c>
      <c r="I17" s="271">
        <v>0</v>
      </c>
      <c r="J17" s="272">
        <f t="shared" ca="1" si="1"/>
        <v>0</v>
      </c>
    </row>
    <row r="18" spans="1:10">
      <c r="B18" s="270" t="s">
        <v>26</v>
      </c>
      <c r="C18" s="271">
        <f ca="1">'USD Swap PVs'!S12</f>
        <v>0</v>
      </c>
      <c r="D18" s="271">
        <v>0</v>
      </c>
      <c r="E18" s="272">
        <f t="shared" ca="1" si="0"/>
        <v>0</v>
      </c>
      <c r="G18" s="270" t="s">
        <v>26</v>
      </c>
      <c r="H18" s="271">
        <f ca="1">'USD Swap PVs'!AM12</f>
        <v>-1.1102230246251565E-10</v>
      </c>
      <c r="I18" s="271">
        <v>0</v>
      </c>
      <c r="J18" s="272">
        <f t="shared" ca="1" si="1"/>
        <v>0</v>
      </c>
    </row>
    <row r="19" spans="1:10">
      <c r="B19" s="270" t="s">
        <v>24</v>
      </c>
      <c r="C19" s="271">
        <f ca="1">'USD Swap PVs'!S13</f>
        <v>0</v>
      </c>
      <c r="D19" s="271">
        <v>0</v>
      </c>
      <c r="E19" s="272">
        <f t="shared" ca="1" si="0"/>
        <v>0</v>
      </c>
      <c r="G19" s="270" t="s">
        <v>24</v>
      </c>
      <c r="H19" s="271">
        <f ca="1">'USD Swap PVs'!AM13</f>
        <v>-5.5511151231257827E-11</v>
      </c>
      <c r="I19" s="271">
        <v>0</v>
      </c>
      <c r="J19" s="272">
        <f t="shared" ca="1" si="1"/>
        <v>0</v>
      </c>
    </row>
    <row r="20" spans="1:10">
      <c r="B20" s="270" t="s">
        <v>20</v>
      </c>
      <c r="C20" s="271">
        <f ca="1">'USD Swap PVs'!S14</f>
        <v>0</v>
      </c>
      <c r="D20" s="271">
        <v>0</v>
      </c>
      <c r="E20" s="272">
        <f t="shared" ca="1" si="0"/>
        <v>0</v>
      </c>
      <c r="G20" s="270" t="s">
        <v>20</v>
      </c>
      <c r="H20" s="271">
        <f ca="1">'USD Swap PVs'!AM14</f>
        <v>0</v>
      </c>
      <c r="I20" s="271">
        <v>0</v>
      </c>
      <c r="J20" s="272">
        <f t="shared" ca="1" si="1"/>
        <v>0</v>
      </c>
    </row>
    <row r="21" spans="1:10">
      <c r="B21" s="270" t="s">
        <v>18</v>
      </c>
      <c r="C21" s="271">
        <f ca="1">'USD Swap PVs'!S15</f>
        <v>0</v>
      </c>
      <c r="D21" s="271">
        <v>0</v>
      </c>
      <c r="E21" s="272">
        <f t="shared" ca="1" si="0"/>
        <v>0</v>
      </c>
      <c r="G21" s="270" t="s">
        <v>18</v>
      </c>
      <c r="H21" s="271">
        <f ca="1">'USD Swap PVs'!AM15</f>
        <v>-5.5511151231257827E-10</v>
      </c>
      <c r="I21" s="271">
        <v>0</v>
      </c>
      <c r="J21" s="272">
        <f t="shared" ca="1" si="1"/>
        <v>0</v>
      </c>
    </row>
    <row r="22" spans="1:10">
      <c r="B22" s="270" t="s">
        <v>17</v>
      </c>
      <c r="C22" s="271">
        <f ca="1">'USD Swap PVs'!S16</f>
        <v>0</v>
      </c>
      <c r="D22" s="271">
        <v>0</v>
      </c>
      <c r="E22" s="272">
        <f t="shared" ca="1" si="0"/>
        <v>0</v>
      </c>
      <c r="G22" s="270" t="s">
        <v>17</v>
      </c>
      <c r="H22" s="271">
        <f ca="1">'USD Swap PVs'!AM16</f>
        <v>-8.8817841970012523E-10</v>
      </c>
      <c r="I22" s="271">
        <v>0</v>
      </c>
      <c r="J22" s="272">
        <f t="shared" ca="1" si="1"/>
        <v>0</v>
      </c>
    </row>
    <row r="23" spans="1:10">
      <c r="B23" s="270" t="s">
        <v>15</v>
      </c>
      <c r="C23" s="271">
        <f ca="1">'USD Swap PVs'!S17</f>
        <v>0</v>
      </c>
      <c r="D23" s="271">
        <v>0</v>
      </c>
      <c r="E23" s="272">
        <f t="shared" ca="1" si="0"/>
        <v>0</v>
      </c>
      <c r="G23" s="270" t="s">
        <v>15</v>
      </c>
      <c r="H23" s="271">
        <f ca="1">'USD Swap PVs'!AM17</f>
        <v>-1.1102230246251565E-9</v>
      </c>
      <c r="I23" s="271">
        <v>0</v>
      </c>
      <c r="J23" s="272">
        <f t="shared" ca="1" si="1"/>
        <v>0</v>
      </c>
    </row>
    <row r="24" spans="1:10">
      <c r="B24" s="270" t="s">
        <v>14</v>
      </c>
      <c r="C24" s="271">
        <f ca="1">'USD Swap PVs'!S18</f>
        <v>0</v>
      </c>
      <c r="D24" s="271">
        <v>0</v>
      </c>
      <c r="E24" s="272">
        <f t="shared" ca="1" si="0"/>
        <v>0</v>
      </c>
      <c r="G24" s="270" t="s">
        <v>14</v>
      </c>
      <c r="H24" s="271">
        <f ca="1">'USD Swap PVs'!AM18</f>
        <v>-1.4432899320127035E-9</v>
      </c>
      <c r="I24" s="271">
        <v>0</v>
      </c>
      <c r="J24" s="272">
        <f t="shared" ca="1" si="1"/>
        <v>0</v>
      </c>
    </row>
    <row r="25" spans="1:10">
      <c r="B25" s="270"/>
      <c r="C25" s="271"/>
      <c r="D25" s="271"/>
      <c r="E25" s="272"/>
      <c r="G25" s="270"/>
      <c r="H25" s="271"/>
      <c r="I25" s="271"/>
      <c r="J25" s="272"/>
    </row>
    <row r="26" spans="1:10">
      <c r="B26" s="270"/>
      <c r="C26" s="271"/>
      <c r="D26" s="271"/>
      <c r="E26" s="272"/>
      <c r="G26" s="270"/>
      <c r="H26" s="271"/>
      <c r="I26" s="271"/>
      <c r="J26" s="272"/>
    </row>
    <row r="27" spans="1:10">
      <c r="B27" s="270"/>
      <c r="C27" s="271"/>
      <c r="D27" s="271"/>
      <c r="E27" s="272"/>
      <c r="G27" s="270"/>
      <c r="H27" s="271"/>
      <c r="I27" s="271"/>
      <c r="J27" s="272"/>
    </row>
    <row r="28" spans="1:10">
      <c r="B28" s="273"/>
      <c r="C28" s="274"/>
      <c r="D28" s="274"/>
      <c r="E28" s="275"/>
      <c r="G28" s="273"/>
      <c r="H28" s="274"/>
      <c r="I28" s="274"/>
      <c r="J28" s="275"/>
    </row>
    <row r="31" spans="1:10">
      <c r="A31" s="224" t="s">
        <v>476</v>
      </c>
      <c r="B31" s="290" t="s">
        <v>490</v>
      </c>
      <c r="C31" s="284"/>
      <c r="G31" s="290" t="s">
        <v>490</v>
      </c>
    </row>
    <row r="32" spans="1:10">
      <c r="B32" s="284" t="s">
        <v>483</v>
      </c>
      <c r="C32" s="284"/>
      <c r="G32" s="284" t="s">
        <v>484</v>
      </c>
      <c r="H32" s="284"/>
    </row>
    <row r="33" spans="2:16">
      <c r="B33" s="258" t="s">
        <v>474</v>
      </c>
      <c r="C33" s="286">
        <f ca="1">SUM(C59:L77)</f>
        <v>0</v>
      </c>
      <c r="G33" s="258" t="s">
        <v>474</v>
      </c>
      <c r="H33" s="286">
        <f ca="1">SUM(P59:Z77)</f>
        <v>0</v>
      </c>
    </row>
    <row r="35" spans="2:16">
      <c r="B35" s="258" t="s">
        <v>477</v>
      </c>
      <c r="C35" s="258"/>
    </row>
    <row r="36" spans="2:16">
      <c r="B36" s="254" t="s">
        <v>468</v>
      </c>
      <c r="C36" s="276">
        <v>-0.05</v>
      </c>
      <c r="D36" s="276">
        <v>-0.04</v>
      </c>
      <c r="E36" s="276">
        <v>-0.03</v>
      </c>
      <c r="F36" s="276">
        <v>-1.9999999999999997E-2</v>
      </c>
      <c r="G36" s="276">
        <v>-9.9999999999999967E-3</v>
      </c>
      <c r="H36" s="276">
        <v>0</v>
      </c>
      <c r="I36" s="276">
        <v>0.01</v>
      </c>
      <c r="J36" s="276">
        <v>0.02</v>
      </c>
      <c r="K36" s="276">
        <v>0.03</v>
      </c>
      <c r="L36" s="276">
        <v>0.04</v>
      </c>
      <c r="M36" s="277">
        <v>0.05</v>
      </c>
      <c r="N36" s="256"/>
      <c r="O36" s="256"/>
      <c r="P36" s="256"/>
    </row>
    <row r="37" spans="2:16">
      <c r="B37" s="282" t="s">
        <v>35</v>
      </c>
      <c r="C37" s="278">
        <f ca="1">'USD Swap PVs'!N4</f>
        <v>195562.52171450306</v>
      </c>
      <c r="D37" s="278">
        <f ca="1">'USD Swap PVs'!O4</f>
        <v>156450.01737160247</v>
      </c>
      <c r="E37" s="278">
        <f ca="1">'USD Swap PVs'!P4</f>
        <v>117337.51302870184</v>
      </c>
      <c r="F37" s="278">
        <f ca="1">'USD Swap PVs'!Q4</f>
        <v>78225.008685801222</v>
      </c>
      <c r="G37" s="278">
        <f ca="1">'USD Swap PVs'!R4</f>
        <v>39112.504342900604</v>
      </c>
      <c r="H37" s="278">
        <f ca="1">'USD Swap PVs'!S4</f>
        <v>6.9388939039072284E-12</v>
      </c>
      <c r="I37" s="278">
        <f ca="1">'USD Swap PVs'!T4</f>
        <v>-39112.504342900611</v>
      </c>
      <c r="J37" s="278">
        <f ca="1">'USD Swap PVs'!U4</f>
        <v>-78225.008685801207</v>
      </c>
      <c r="K37" s="278">
        <f ca="1">'USD Swap PVs'!V4</f>
        <v>-117337.51302870183</v>
      </c>
      <c r="L37" s="278">
        <f ca="1">'USD Swap PVs'!W4</f>
        <v>-156450.01737160244</v>
      </c>
      <c r="M37" s="279">
        <f ca="1">'USD Swap PVs'!X4</f>
        <v>-195562.52171450303</v>
      </c>
    </row>
    <row r="38" spans="2:16">
      <c r="B38" s="282" t="s">
        <v>33</v>
      </c>
      <c r="C38" s="278">
        <f ca="1">'USD Swap PVs'!N5</f>
        <v>241983.52432274871</v>
      </c>
      <c r="D38" s="278">
        <f ca="1">'USD Swap PVs'!O5</f>
        <v>193586.819458199</v>
      </c>
      <c r="E38" s="278">
        <f ca="1">'USD Swap PVs'!P5</f>
        <v>145190.11459364922</v>
      </c>
      <c r="F38" s="278">
        <f ca="1">'USD Swap PVs'!Q5</f>
        <v>96793.409729099469</v>
      </c>
      <c r="G38" s="278">
        <f ca="1">'USD Swap PVs'!R5</f>
        <v>48396.70486454972</v>
      </c>
      <c r="H38" s="278">
        <f ca="1">'USD Swap PVs'!S5</f>
        <v>-1.3877787807814457E-11</v>
      </c>
      <c r="I38" s="278">
        <f ca="1">'USD Swap PVs'!T5</f>
        <v>-48396.704864549749</v>
      </c>
      <c r="J38" s="278">
        <f ca="1">'USD Swap PVs'!U5</f>
        <v>-96793.409729099498</v>
      </c>
      <c r="K38" s="278">
        <f ca="1">'USD Swap PVs'!V5</f>
        <v>-145190.11459364928</v>
      </c>
      <c r="L38" s="278">
        <f ca="1">'USD Swap PVs'!W5</f>
        <v>-193586.81945819897</v>
      </c>
      <c r="M38" s="279">
        <f ca="1">'USD Swap PVs'!X5</f>
        <v>-241983.5243227488</v>
      </c>
    </row>
    <row r="39" spans="2:16">
      <c r="B39" s="282" t="s">
        <v>131</v>
      </c>
      <c r="C39" s="278">
        <f ca="1">'USD Swap PVs'!N6</f>
        <v>287114.0853050882</v>
      </c>
      <c r="D39" s="278">
        <f ca="1">'USD Swap PVs'!O6</f>
        <v>229691.26824407058</v>
      </c>
      <c r="E39" s="278">
        <f ca="1">'USD Swap PVs'!P6</f>
        <v>172268.45118305294</v>
      </c>
      <c r="F39" s="278">
        <f ca="1">'USD Swap PVs'!Q6</f>
        <v>114845.63412203528</v>
      </c>
      <c r="G39" s="278">
        <f ca="1">'USD Swap PVs'!R6</f>
        <v>57422.817061017631</v>
      </c>
      <c r="H39" s="278">
        <f ca="1">'USD Swap PVs'!S6</f>
        <v>1.3877787807814457E-11</v>
      </c>
      <c r="I39" s="278">
        <f ca="1">'USD Swap PVs'!T6</f>
        <v>-57422.817061017638</v>
      </c>
      <c r="J39" s="278">
        <f ca="1">'USD Swap PVs'!U6</f>
        <v>-114845.63412203529</v>
      </c>
      <c r="K39" s="278">
        <f ca="1">'USD Swap PVs'!V6</f>
        <v>-172268.45118305291</v>
      </c>
      <c r="L39" s="278">
        <f ca="1">'USD Swap PVs'!W6</f>
        <v>-229691.26824407055</v>
      </c>
      <c r="M39" s="279">
        <f ca="1">'USD Swap PVs'!X6</f>
        <v>-287114.0853050882</v>
      </c>
    </row>
    <row r="40" spans="2:16">
      <c r="B40" s="282" t="s">
        <v>31</v>
      </c>
      <c r="C40" s="278">
        <f ca="1">'USD Swap PVs'!N7</f>
        <v>330911.35818384035</v>
      </c>
      <c r="D40" s="278">
        <f ca="1">'USD Swap PVs'!O7</f>
        <v>264729.08654707228</v>
      </c>
      <c r="E40" s="278">
        <f ca="1">'USD Swap PVs'!P7</f>
        <v>198546.81491030421</v>
      </c>
      <c r="F40" s="278">
        <f ca="1">'USD Swap PVs'!Q7</f>
        <v>132364.54327353611</v>
      </c>
      <c r="G40" s="278">
        <f ca="1">'USD Swap PVs'!R7</f>
        <v>66182.27163676804</v>
      </c>
      <c r="H40" s="278">
        <f ca="1">'USD Swap PVs'!S7</f>
        <v>0</v>
      </c>
      <c r="I40" s="278">
        <f ca="1">'USD Swap PVs'!T7</f>
        <v>-66182.27163676807</v>
      </c>
      <c r="J40" s="278">
        <f ca="1">'USD Swap PVs'!U7</f>
        <v>-132364.54327353617</v>
      </c>
      <c r="K40" s="278">
        <f ca="1">'USD Swap PVs'!V7</f>
        <v>-198546.81491030427</v>
      </c>
      <c r="L40" s="278">
        <f ca="1">'USD Swap PVs'!W7</f>
        <v>-264729.08654707228</v>
      </c>
      <c r="M40" s="279">
        <f ca="1">'USD Swap PVs'!X7</f>
        <v>-330911.35818384041</v>
      </c>
    </row>
    <row r="41" spans="2:16">
      <c r="B41" s="282" t="s">
        <v>119</v>
      </c>
      <c r="C41" s="278">
        <f ca="1">'USD Swap PVs'!N8</f>
        <v>373597.61650791444</v>
      </c>
      <c r="D41" s="278">
        <f ca="1">'USD Swap PVs'!O8</f>
        <v>298878.09320633154</v>
      </c>
      <c r="E41" s="278">
        <f ca="1">'USD Swap PVs'!P8</f>
        <v>224158.56990474864</v>
      </c>
      <c r="F41" s="278">
        <f ca="1">'USD Swap PVs'!Q8</f>
        <v>149439.04660316577</v>
      </c>
      <c r="G41" s="278">
        <f ca="1">'USD Swap PVs'!R8</f>
        <v>74719.523301582871</v>
      </c>
      <c r="H41" s="278">
        <f ca="1">'USD Swap PVs'!S8</f>
        <v>0</v>
      </c>
      <c r="I41" s="278">
        <f ca="1">'USD Swap PVs'!T8</f>
        <v>-74719.523301582885</v>
      </c>
      <c r="J41" s="278">
        <f ca="1">'USD Swap PVs'!U8</f>
        <v>-149439.0466031658</v>
      </c>
      <c r="K41" s="278">
        <f ca="1">'USD Swap PVs'!V8</f>
        <v>-224158.56990474867</v>
      </c>
      <c r="L41" s="278">
        <f ca="1">'USD Swap PVs'!W8</f>
        <v>-298878.09320633154</v>
      </c>
      <c r="M41" s="279">
        <f ca="1">'USD Swap PVs'!X8</f>
        <v>-373597.61650791444</v>
      </c>
    </row>
    <row r="42" spans="2:16">
      <c r="B42" s="282" t="s">
        <v>113</v>
      </c>
      <c r="C42" s="278">
        <f ca="1">'USD Swap PVs'!N9</f>
        <v>414495.955924846</v>
      </c>
      <c r="D42" s="278">
        <f ca="1">'USD Swap PVs'!O9</f>
        <v>331596.76473987679</v>
      </c>
      <c r="E42" s="278">
        <f ca="1">'USD Swap PVs'!P9</f>
        <v>248697.57355490761</v>
      </c>
      <c r="F42" s="278">
        <f ca="1">'USD Swap PVs'!Q9</f>
        <v>165798.38236993839</v>
      </c>
      <c r="G42" s="278">
        <f ca="1">'USD Swap PVs'!R9</f>
        <v>82899.191184969182</v>
      </c>
      <c r="H42" s="278">
        <f ca="1">'USD Swap PVs'!S9</f>
        <v>0</v>
      </c>
      <c r="I42" s="278">
        <f ca="1">'USD Swap PVs'!T9</f>
        <v>-82899.191184969197</v>
      </c>
      <c r="J42" s="278">
        <f ca="1">'USD Swap PVs'!U9</f>
        <v>-165798.38236993839</v>
      </c>
      <c r="K42" s="278">
        <f ca="1">'USD Swap PVs'!V9</f>
        <v>-248697.57355490758</v>
      </c>
      <c r="L42" s="278">
        <f ca="1">'USD Swap PVs'!W9</f>
        <v>-331596.76473987685</v>
      </c>
      <c r="M42" s="279">
        <f ca="1">'USD Swap PVs'!X9</f>
        <v>-414495.955924846</v>
      </c>
    </row>
    <row r="43" spans="2:16">
      <c r="B43" s="282" t="s">
        <v>28</v>
      </c>
      <c r="C43" s="278">
        <f ca="1">'USD Swap PVs'!N10</f>
        <v>454327.72847923241</v>
      </c>
      <c r="D43" s="278">
        <f ca="1">'USD Swap PVs'!O10</f>
        <v>363462.18278338591</v>
      </c>
      <c r="E43" s="278">
        <f ca="1">'USD Swap PVs'!P10</f>
        <v>272596.63708753942</v>
      </c>
      <c r="F43" s="278">
        <f ca="1">'USD Swap PVs'!Q10</f>
        <v>181731.0913916929</v>
      </c>
      <c r="G43" s="278">
        <f ca="1">'USD Swap PVs'!R10</f>
        <v>90865.545695846449</v>
      </c>
      <c r="H43" s="278">
        <f ca="1">'USD Swap PVs'!S10</f>
        <v>0</v>
      </c>
      <c r="I43" s="278">
        <f ca="1">'USD Swap PVs'!T10</f>
        <v>-90865.545695846507</v>
      </c>
      <c r="J43" s="278">
        <f ca="1">'USD Swap PVs'!U10</f>
        <v>-181731.09139169299</v>
      </c>
      <c r="K43" s="278">
        <f ca="1">'USD Swap PVs'!V10</f>
        <v>-272596.63708753936</v>
      </c>
      <c r="L43" s="278">
        <f ca="1">'USD Swap PVs'!W10</f>
        <v>-363462.1827833858</v>
      </c>
      <c r="M43" s="279">
        <f ca="1">'USD Swap PVs'!X10</f>
        <v>-454327.72847923241</v>
      </c>
    </row>
    <row r="44" spans="2:16">
      <c r="B44" s="282" t="s">
        <v>366</v>
      </c>
      <c r="C44" s="278">
        <f ca="1">'USD Swap PVs'!N11</f>
        <v>492896.57612352073</v>
      </c>
      <c r="D44" s="278">
        <f ca="1">'USD Swap PVs'!O11</f>
        <v>394317.26089881657</v>
      </c>
      <c r="E44" s="278">
        <f ca="1">'USD Swap PVs'!P11</f>
        <v>295737.94567411236</v>
      </c>
      <c r="F44" s="278">
        <f ca="1">'USD Swap PVs'!Q11</f>
        <v>197158.63044940823</v>
      </c>
      <c r="G44" s="278">
        <f ca="1">'USD Swap PVs'!R11</f>
        <v>98579.315224704114</v>
      </c>
      <c r="H44" s="278">
        <f ca="1">'USD Swap PVs'!S11</f>
        <v>0</v>
      </c>
      <c r="I44" s="278">
        <f ca="1">'USD Swap PVs'!T11</f>
        <v>-98579.315224704143</v>
      </c>
      <c r="J44" s="278">
        <f ca="1">'USD Swap PVs'!U11</f>
        <v>-197158.63044940829</v>
      </c>
      <c r="K44" s="278">
        <f ca="1">'USD Swap PVs'!V11</f>
        <v>-295737.94567411242</v>
      </c>
      <c r="L44" s="278">
        <f ca="1">'USD Swap PVs'!W11</f>
        <v>-394317.26089881652</v>
      </c>
      <c r="M44" s="279">
        <f ca="1">'USD Swap PVs'!X11</f>
        <v>-492896.57612352085</v>
      </c>
    </row>
    <row r="45" spans="2:16">
      <c r="B45" s="282" t="s">
        <v>26</v>
      </c>
      <c r="C45" s="278">
        <f ca="1">'USD Swap PVs'!N12</f>
        <v>530241.07095762773</v>
      </c>
      <c r="D45" s="278">
        <f ca="1">'USD Swap PVs'!O12</f>
        <v>424192.8567661022</v>
      </c>
      <c r="E45" s="278">
        <f ca="1">'USD Swap PVs'!P12</f>
        <v>318144.64257457666</v>
      </c>
      <c r="F45" s="278">
        <f ca="1">'USD Swap PVs'!Q12</f>
        <v>212096.42838305104</v>
      </c>
      <c r="G45" s="278">
        <f ca="1">'USD Swap PVs'!R12</f>
        <v>106048.21419152555</v>
      </c>
      <c r="H45" s="278">
        <f ca="1">'USD Swap PVs'!S12</f>
        <v>0</v>
      </c>
      <c r="I45" s="278">
        <f ca="1">'USD Swap PVs'!T12</f>
        <v>-106048.21419152549</v>
      </c>
      <c r="J45" s="278">
        <f ca="1">'USD Swap PVs'!U12</f>
        <v>-212096.42838305104</v>
      </c>
      <c r="K45" s="278">
        <f ca="1">'USD Swap PVs'!V12</f>
        <v>-318144.6425745766</v>
      </c>
      <c r="L45" s="278">
        <f ca="1">'USD Swap PVs'!W12</f>
        <v>-424192.85676610214</v>
      </c>
      <c r="M45" s="279">
        <f ca="1">'USD Swap PVs'!X12</f>
        <v>-530241.07095762773</v>
      </c>
    </row>
    <row r="46" spans="2:16">
      <c r="B46" s="282" t="s">
        <v>24</v>
      </c>
      <c r="C46" s="278">
        <f ca="1">'USD Swap PVs'!N13</f>
        <v>635336.21014256671</v>
      </c>
      <c r="D46" s="278">
        <f ca="1">'USD Swap PVs'!O13</f>
        <v>508268.96811405331</v>
      </c>
      <c r="E46" s="278">
        <f ca="1">'USD Swap PVs'!P13</f>
        <v>381201.72608553997</v>
      </c>
      <c r="F46" s="278">
        <f ca="1">'USD Swap PVs'!Q13</f>
        <v>254134.4840570266</v>
      </c>
      <c r="G46" s="278">
        <f ca="1">'USD Swap PVs'!R13</f>
        <v>127067.2420285133</v>
      </c>
      <c r="H46" s="278">
        <f ca="1">'USD Swap PVs'!S13</f>
        <v>0</v>
      </c>
      <c r="I46" s="278">
        <f ca="1">'USD Swap PVs'!T13</f>
        <v>-127067.24202851333</v>
      </c>
      <c r="J46" s="278">
        <f ca="1">'USD Swap PVs'!U13</f>
        <v>-254134.48405702665</v>
      </c>
      <c r="K46" s="278">
        <f ca="1">'USD Swap PVs'!V13</f>
        <v>-381201.72608554002</v>
      </c>
      <c r="L46" s="278">
        <f ca="1">'USD Swap PVs'!W13</f>
        <v>-508268.96811405331</v>
      </c>
      <c r="M46" s="279">
        <f ca="1">'USD Swap PVs'!X13</f>
        <v>-635336.21014256682</v>
      </c>
    </row>
    <row r="47" spans="2:16">
      <c r="B47" s="282" t="s">
        <v>20</v>
      </c>
      <c r="C47" s="278">
        <f ca="1">'USD Swap PVs'!N14</f>
        <v>789748.5521188787</v>
      </c>
      <c r="D47" s="278">
        <f ca="1">'USD Swap PVs'!O14</f>
        <v>631798.84169510298</v>
      </c>
      <c r="E47" s="278">
        <f ca="1">'USD Swap PVs'!P14</f>
        <v>473849.13127132721</v>
      </c>
      <c r="F47" s="278">
        <f ca="1">'USD Swap PVs'!Q14</f>
        <v>315899.42084755143</v>
      </c>
      <c r="G47" s="278">
        <f ca="1">'USD Swap PVs'!R14</f>
        <v>157949.71042377566</v>
      </c>
      <c r="H47" s="278">
        <f ca="1">'USD Swap PVs'!S14</f>
        <v>0</v>
      </c>
      <c r="I47" s="278">
        <f ca="1">'USD Swap PVs'!T14</f>
        <v>-157949.71042377574</v>
      </c>
      <c r="J47" s="278">
        <f ca="1">'USD Swap PVs'!U14</f>
        <v>-315899.42084755143</v>
      </c>
      <c r="K47" s="278">
        <f ca="1">'USD Swap PVs'!V14</f>
        <v>-473849.13127132726</v>
      </c>
      <c r="L47" s="278">
        <f ca="1">'USD Swap PVs'!W14</f>
        <v>-631798.84169510298</v>
      </c>
      <c r="M47" s="279">
        <f ca="1">'USD Swap PVs'!X14</f>
        <v>-789748.55211887893</v>
      </c>
    </row>
    <row r="48" spans="2:16">
      <c r="B48" s="282" t="s">
        <v>18</v>
      </c>
      <c r="C48" s="278">
        <f ca="1">'USD Swap PVs'!N15</f>
        <v>921873.98517284018</v>
      </c>
      <c r="D48" s="278">
        <f ca="1">'USD Swap PVs'!O15</f>
        <v>737499.18813827203</v>
      </c>
      <c r="E48" s="278">
        <f ca="1">'USD Swap PVs'!P15</f>
        <v>553124.39110370399</v>
      </c>
      <c r="F48" s="278">
        <f ca="1">'USD Swap PVs'!Q15</f>
        <v>368749.59406913602</v>
      </c>
      <c r="G48" s="278">
        <f ca="1">'USD Swap PVs'!R15</f>
        <v>184374.79703456795</v>
      </c>
      <c r="H48" s="278">
        <f ca="1">'USD Swap PVs'!S15</f>
        <v>0</v>
      </c>
      <c r="I48" s="278">
        <f ca="1">'USD Swap PVs'!T15</f>
        <v>-184374.79703456804</v>
      </c>
      <c r="J48" s="278">
        <f ca="1">'USD Swap PVs'!U15</f>
        <v>-368749.59406913602</v>
      </c>
      <c r="K48" s="278">
        <f ca="1">'USD Swap PVs'!V15</f>
        <v>-553124.39110370411</v>
      </c>
      <c r="L48" s="278">
        <f ca="1">'USD Swap PVs'!W15</f>
        <v>-737499.18813827203</v>
      </c>
      <c r="M48" s="279">
        <f ca="1">'USD Swap PVs'!X15</f>
        <v>-921873.9851728403</v>
      </c>
    </row>
    <row r="49" spans="2:26">
      <c r="B49" s="282" t="s">
        <v>17</v>
      </c>
      <c r="C49" s="278">
        <f ca="1">'USD Swap PVs'!N16</f>
        <v>1035401.1460912416</v>
      </c>
      <c r="D49" s="278">
        <f ca="1">'USD Swap PVs'!O16</f>
        <v>828320.91687299323</v>
      </c>
      <c r="E49" s="278">
        <f ca="1">'USD Swap PVs'!P16</f>
        <v>621240.68765474495</v>
      </c>
      <c r="F49" s="278">
        <f ca="1">'USD Swap PVs'!Q16</f>
        <v>414160.45843649656</v>
      </c>
      <c r="G49" s="278">
        <f ca="1">'USD Swap PVs'!R16</f>
        <v>207080.22921824819</v>
      </c>
      <c r="H49" s="278">
        <f ca="1">'USD Swap PVs'!S16</f>
        <v>0</v>
      </c>
      <c r="I49" s="278">
        <f ca="1">'USD Swap PVs'!T16</f>
        <v>-207080.22921824831</v>
      </c>
      <c r="J49" s="278">
        <f ca="1">'USD Swap PVs'!U16</f>
        <v>-414160.45843649661</v>
      </c>
      <c r="K49" s="278">
        <f ca="1">'USD Swap PVs'!V16</f>
        <v>-621240.68765474495</v>
      </c>
      <c r="L49" s="278">
        <f ca="1">'USD Swap PVs'!W16</f>
        <v>-828320.91687299323</v>
      </c>
      <c r="M49" s="279">
        <f ca="1">'USD Swap PVs'!X16</f>
        <v>-1035401.1460912416</v>
      </c>
    </row>
    <row r="50" spans="2:26">
      <c r="B50" s="282" t="s">
        <v>15</v>
      </c>
      <c r="C50" s="278">
        <f ca="1">'USD Swap PVs'!N17</f>
        <v>1217652.1488595277</v>
      </c>
      <c r="D50" s="278">
        <f ca="1">'USD Swap PVs'!O17</f>
        <v>974121.71908762213</v>
      </c>
      <c r="E50" s="278">
        <f ca="1">'USD Swap PVs'!P17</f>
        <v>730591.28931571648</v>
      </c>
      <c r="F50" s="278">
        <f ca="1">'USD Swap PVs'!Q17</f>
        <v>487060.85954381095</v>
      </c>
      <c r="G50" s="278">
        <f ca="1">'USD Swap PVs'!R17</f>
        <v>243530.42977190542</v>
      </c>
      <c r="H50" s="278">
        <f ca="1">'USD Swap PVs'!S17</f>
        <v>0</v>
      </c>
      <c r="I50" s="278">
        <f ca="1">'USD Swap PVs'!T17</f>
        <v>-243530.42977190553</v>
      </c>
      <c r="J50" s="278">
        <f ca="1">'USD Swap PVs'!U17</f>
        <v>-487060.85954381083</v>
      </c>
      <c r="K50" s="278">
        <f ca="1">'USD Swap PVs'!V17</f>
        <v>-730591.28931571648</v>
      </c>
      <c r="L50" s="278">
        <f ca="1">'USD Swap PVs'!W17</f>
        <v>-974121.71908762213</v>
      </c>
      <c r="M50" s="279">
        <f ca="1">'USD Swap PVs'!X17</f>
        <v>-1217652.1488595277</v>
      </c>
    </row>
    <row r="51" spans="2:26">
      <c r="B51" s="282" t="s">
        <v>14</v>
      </c>
      <c r="C51" s="278">
        <f ca="1">'USD Swap PVs'!N18</f>
        <v>1356303.3835327972</v>
      </c>
      <c r="D51" s="278">
        <f ca="1">'USD Swap PVs'!O18</f>
        <v>1085042.7068262377</v>
      </c>
      <c r="E51" s="278">
        <f ca="1">'USD Swap PVs'!P18</f>
        <v>813782.03011967847</v>
      </c>
      <c r="F51" s="278">
        <f ca="1">'USD Swap PVs'!Q18</f>
        <v>542521.35341311875</v>
      </c>
      <c r="G51" s="278">
        <f ca="1">'USD Swap PVs'!R18</f>
        <v>271260.67670655937</v>
      </c>
      <c r="H51" s="278">
        <f ca="1">'USD Swap PVs'!S18</f>
        <v>0</v>
      </c>
      <c r="I51" s="278">
        <f ca="1">'USD Swap PVs'!T18</f>
        <v>-271260.67670655949</v>
      </c>
      <c r="J51" s="278">
        <f ca="1">'USD Swap PVs'!U18</f>
        <v>-542521.35341311898</v>
      </c>
      <c r="K51" s="278">
        <f ca="1">'USD Swap PVs'!V18</f>
        <v>-813782.03011967835</v>
      </c>
      <c r="L51" s="278">
        <f ca="1">'USD Swap PVs'!W18</f>
        <v>-1085042.7068262375</v>
      </c>
      <c r="M51" s="279">
        <f ca="1">'USD Swap PVs'!X18</f>
        <v>-1356303.3835327972</v>
      </c>
    </row>
    <row r="52" spans="2:26">
      <c r="B52" s="282"/>
      <c r="C52" s="278"/>
      <c r="D52" s="278"/>
      <c r="E52" s="278"/>
      <c r="F52" s="278"/>
      <c r="G52" s="278"/>
      <c r="H52" s="278"/>
      <c r="I52" s="278"/>
      <c r="J52" s="278"/>
      <c r="K52" s="278"/>
      <c r="L52" s="278"/>
      <c r="M52" s="279"/>
    </row>
    <row r="53" spans="2:26">
      <c r="B53" s="282"/>
      <c r="C53" s="278"/>
      <c r="D53" s="278"/>
      <c r="E53" s="278"/>
      <c r="F53" s="278"/>
      <c r="G53" s="278"/>
      <c r="H53" s="278"/>
      <c r="I53" s="278"/>
      <c r="J53" s="278"/>
      <c r="K53" s="278"/>
      <c r="L53" s="278"/>
      <c r="M53" s="279"/>
    </row>
    <row r="54" spans="2:26">
      <c r="B54" s="282"/>
      <c r="C54" s="278"/>
      <c r="D54" s="278"/>
      <c r="E54" s="278"/>
      <c r="F54" s="278"/>
      <c r="G54" s="278"/>
      <c r="H54" s="278"/>
      <c r="I54" s="278"/>
      <c r="J54" s="278"/>
      <c r="K54" s="278"/>
      <c r="L54" s="278"/>
      <c r="M54" s="279"/>
    </row>
    <row r="55" spans="2:26">
      <c r="B55" s="283"/>
      <c r="C55" s="280"/>
      <c r="D55" s="280"/>
      <c r="E55" s="280"/>
      <c r="F55" s="280"/>
      <c r="G55" s="280"/>
      <c r="H55" s="280"/>
      <c r="I55" s="280"/>
      <c r="J55" s="280"/>
      <c r="K55" s="280"/>
      <c r="L55" s="280"/>
      <c r="M55" s="281"/>
    </row>
    <row r="57" spans="2:26">
      <c r="B57" s="258" t="s">
        <v>472</v>
      </c>
      <c r="O57" s="258" t="s">
        <v>472</v>
      </c>
    </row>
    <row r="58" spans="2:26">
      <c r="B58" s="254" t="s">
        <v>468</v>
      </c>
      <c r="C58" s="276">
        <v>-0.05</v>
      </c>
      <c r="D58" s="276">
        <v>-0.04</v>
      </c>
      <c r="E58" s="276">
        <v>-0.03</v>
      </c>
      <c r="F58" s="276">
        <v>-1.9999999999999997E-2</v>
      </c>
      <c r="G58" s="276">
        <v>-9.9999999999999967E-3</v>
      </c>
      <c r="H58" s="276">
        <v>0</v>
      </c>
      <c r="I58" s="276">
        <v>0.01</v>
      </c>
      <c r="J58" s="276">
        <v>0.02</v>
      </c>
      <c r="K58" s="276">
        <v>0.03</v>
      </c>
      <c r="L58" s="276">
        <v>0.04</v>
      </c>
      <c r="M58" s="277">
        <v>0.05</v>
      </c>
      <c r="O58" s="254" t="s">
        <v>468</v>
      </c>
      <c r="P58" s="276">
        <v>-0.05</v>
      </c>
      <c r="Q58" s="276">
        <v>-0.04</v>
      </c>
      <c r="R58" s="276">
        <v>-0.03</v>
      </c>
      <c r="S58" s="276">
        <v>-1.9999999999999997E-2</v>
      </c>
      <c r="T58" s="276">
        <v>-9.9999999999999967E-3</v>
      </c>
      <c r="U58" s="276">
        <v>0</v>
      </c>
      <c r="V58" s="276">
        <v>0.01</v>
      </c>
      <c r="W58" s="276">
        <v>0.02</v>
      </c>
      <c r="X58" s="276">
        <v>0.03</v>
      </c>
      <c r="Y58" s="276">
        <v>0.04</v>
      </c>
      <c r="Z58" s="277">
        <v>0.05</v>
      </c>
    </row>
    <row r="59" spans="2:26">
      <c r="B59" s="282" t="s">
        <v>35</v>
      </c>
      <c r="C59" s="278">
        <f ca="1">IF(C37&gt;D37,0,1)</f>
        <v>0</v>
      </c>
      <c r="D59" s="278">
        <f t="shared" ref="D59:L59" ca="1" si="2">IF(D37&gt;E37,0,1)</f>
        <v>0</v>
      </c>
      <c r="E59" s="278">
        <f t="shared" ca="1" si="2"/>
        <v>0</v>
      </c>
      <c r="F59" s="278">
        <f t="shared" ca="1" si="2"/>
        <v>0</v>
      </c>
      <c r="G59" s="278">
        <f t="shared" ca="1" si="2"/>
        <v>0</v>
      </c>
      <c r="H59" s="278">
        <f t="shared" ca="1" si="2"/>
        <v>0</v>
      </c>
      <c r="I59" s="278">
        <f t="shared" ca="1" si="2"/>
        <v>0</v>
      </c>
      <c r="J59" s="278">
        <f t="shared" ca="1" si="2"/>
        <v>0</v>
      </c>
      <c r="K59" s="278">
        <f t="shared" ca="1" si="2"/>
        <v>0</v>
      </c>
      <c r="L59" s="278">
        <f t="shared" ca="1" si="2"/>
        <v>0</v>
      </c>
      <c r="M59" s="285" t="s">
        <v>6</v>
      </c>
      <c r="O59" s="282" t="s">
        <v>35</v>
      </c>
      <c r="P59" s="289">
        <f ca="1">IF(ABS(C38)&gt;ABS(C37),0,1)</f>
        <v>0</v>
      </c>
      <c r="Q59" s="289">
        <f t="shared" ref="Q59:Z59" ca="1" si="3">IF(ABS(D38)&gt;ABS(D37),0,1)</f>
        <v>0</v>
      </c>
      <c r="R59" s="289">
        <f t="shared" ca="1" si="3"/>
        <v>0</v>
      </c>
      <c r="S59" s="289">
        <f t="shared" ca="1" si="3"/>
        <v>0</v>
      </c>
      <c r="T59" s="289">
        <f t="shared" ca="1" si="3"/>
        <v>0</v>
      </c>
      <c r="U59" s="295" t="s">
        <v>6</v>
      </c>
      <c r="V59" s="289">
        <f t="shared" ca="1" si="3"/>
        <v>0</v>
      </c>
      <c r="W59" s="289">
        <f t="shared" ca="1" si="3"/>
        <v>0</v>
      </c>
      <c r="X59" s="289">
        <f t="shared" ca="1" si="3"/>
        <v>0</v>
      </c>
      <c r="Y59" s="289">
        <f t="shared" ca="1" si="3"/>
        <v>0</v>
      </c>
      <c r="Z59" s="291">
        <f t="shared" ca="1" si="3"/>
        <v>0</v>
      </c>
    </row>
    <row r="60" spans="2:26">
      <c r="B60" s="282" t="s">
        <v>33</v>
      </c>
      <c r="C60" s="278">
        <f t="shared" ref="C60:L75" ca="1" si="4">IF(C38&gt;D38,0,1)</f>
        <v>0</v>
      </c>
      <c r="D60" s="278">
        <f t="shared" ca="1" si="4"/>
        <v>0</v>
      </c>
      <c r="E60" s="278">
        <f t="shared" ca="1" si="4"/>
        <v>0</v>
      </c>
      <c r="F60" s="278">
        <f t="shared" ca="1" si="4"/>
        <v>0</v>
      </c>
      <c r="G60" s="278">
        <f t="shared" ca="1" si="4"/>
        <v>0</v>
      </c>
      <c r="H60" s="278">
        <f t="shared" ca="1" si="4"/>
        <v>0</v>
      </c>
      <c r="I60" s="278">
        <f t="shared" ca="1" si="4"/>
        <v>0</v>
      </c>
      <c r="J60" s="278">
        <f t="shared" ca="1" si="4"/>
        <v>0</v>
      </c>
      <c r="K60" s="278">
        <f t="shared" ca="1" si="4"/>
        <v>0</v>
      </c>
      <c r="L60" s="278">
        <f t="shared" ca="1" si="4"/>
        <v>0</v>
      </c>
      <c r="M60" s="279" t="s">
        <v>6</v>
      </c>
      <c r="O60" s="282" t="s">
        <v>33</v>
      </c>
      <c r="P60" s="289">
        <f t="shared" ref="P60:Z75" ca="1" si="5">IF(ABS(C39)&gt;ABS(C38),0,1)</f>
        <v>0</v>
      </c>
      <c r="Q60" s="289">
        <f t="shared" ca="1" si="5"/>
        <v>0</v>
      </c>
      <c r="R60" s="289">
        <f t="shared" ca="1" si="5"/>
        <v>0</v>
      </c>
      <c r="S60" s="289">
        <f t="shared" ca="1" si="5"/>
        <v>0</v>
      </c>
      <c r="T60" s="289">
        <f t="shared" ca="1" si="5"/>
        <v>0</v>
      </c>
      <c r="U60" s="295" t="s">
        <v>6</v>
      </c>
      <c r="V60" s="289">
        <f t="shared" ca="1" si="5"/>
        <v>0</v>
      </c>
      <c r="W60" s="289">
        <f t="shared" ca="1" si="5"/>
        <v>0</v>
      </c>
      <c r="X60" s="289">
        <f t="shared" ca="1" si="5"/>
        <v>0</v>
      </c>
      <c r="Y60" s="289">
        <f t="shared" ca="1" si="5"/>
        <v>0</v>
      </c>
      <c r="Z60" s="292">
        <f t="shared" ca="1" si="5"/>
        <v>0</v>
      </c>
    </row>
    <row r="61" spans="2:26">
      <c r="B61" s="282" t="s">
        <v>131</v>
      </c>
      <c r="C61" s="278">
        <f t="shared" ca="1" si="4"/>
        <v>0</v>
      </c>
      <c r="D61" s="278">
        <f t="shared" ca="1" si="4"/>
        <v>0</v>
      </c>
      <c r="E61" s="278">
        <f t="shared" ca="1" si="4"/>
        <v>0</v>
      </c>
      <c r="F61" s="278">
        <f t="shared" ca="1" si="4"/>
        <v>0</v>
      </c>
      <c r="G61" s="278">
        <f t="shared" ca="1" si="4"/>
        <v>0</v>
      </c>
      <c r="H61" s="278">
        <f t="shared" ca="1" si="4"/>
        <v>0</v>
      </c>
      <c r="I61" s="278">
        <f t="shared" ca="1" si="4"/>
        <v>0</v>
      </c>
      <c r="J61" s="278">
        <f t="shared" ca="1" si="4"/>
        <v>0</v>
      </c>
      <c r="K61" s="278">
        <f t="shared" ca="1" si="4"/>
        <v>0</v>
      </c>
      <c r="L61" s="278">
        <f t="shared" ca="1" si="4"/>
        <v>0</v>
      </c>
      <c r="M61" s="279" t="s">
        <v>6</v>
      </c>
      <c r="O61" s="282" t="s">
        <v>131</v>
      </c>
      <c r="P61" s="289">
        <f t="shared" ca="1" si="5"/>
        <v>0</v>
      </c>
      <c r="Q61" s="289">
        <f t="shared" ca="1" si="5"/>
        <v>0</v>
      </c>
      <c r="R61" s="289">
        <f t="shared" ca="1" si="5"/>
        <v>0</v>
      </c>
      <c r="S61" s="289">
        <f t="shared" ca="1" si="5"/>
        <v>0</v>
      </c>
      <c r="T61" s="289">
        <f t="shared" ca="1" si="5"/>
        <v>0</v>
      </c>
      <c r="U61" s="295" t="s">
        <v>6</v>
      </c>
      <c r="V61" s="289">
        <f t="shared" ca="1" si="5"/>
        <v>0</v>
      </c>
      <c r="W61" s="289">
        <f t="shared" ca="1" si="5"/>
        <v>0</v>
      </c>
      <c r="X61" s="289">
        <f t="shared" ca="1" si="5"/>
        <v>0</v>
      </c>
      <c r="Y61" s="289">
        <f t="shared" ca="1" si="5"/>
        <v>0</v>
      </c>
      <c r="Z61" s="292">
        <f t="shared" ca="1" si="5"/>
        <v>0</v>
      </c>
    </row>
    <row r="62" spans="2:26">
      <c r="B62" s="282" t="s">
        <v>31</v>
      </c>
      <c r="C62" s="278">
        <f t="shared" ca="1" si="4"/>
        <v>0</v>
      </c>
      <c r="D62" s="278">
        <f t="shared" ca="1" si="4"/>
        <v>0</v>
      </c>
      <c r="E62" s="278">
        <f t="shared" ca="1" si="4"/>
        <v>0</v>
      </c>
      <c r="F62" s="278">
        <f t="shared" ca="1" si="4"/>
        <v>0</v>
      </c>
      <c r="G62" s="278">
        <f t="shared" ca="1" si="4"/>
        <v>0</v>
      </c>
      <c r="H62" s="278">
        <f t="shared" ca="1" si="4"/>
        <v>0</v>
      </c>
      <c r="I62" s="278">
        <f t="shared" ca="1" si="4"/>
        <v>0</v>
      </c>
      <c r="J62" s="278">
        <f t="shared" ca="1" si="4"/>
        <v>0</v>
      </c>
      <c r="K62" s="278">
        <f t="shared" ca="1" si="4"/>
        <v>0</v>
      </c>
      <c r="L62" s="278">
        <f t="shared" ca="1" si="4"/>
        <v>0</v>
      </c>
      <c r="M62" s="279" t="s">
        <v>6</v>
      </c>
      <c r="O62" s="282" t="s">
        <v>31</v>
      </c>
      <c r="P62" s="289">
        <f t="shared" ca="1" si="5"/>
        <v>0</v>
      </c>
      <c r="Q62" s="289">
        <f t="shared" ca="1" si="5"/>
        <v>0</v>
      </c>
      <c r="R62" s="289">
        <f t="shared" ca="1" si="5"/>
        <v>0</v>
      </c>
      <c r="S62" s="289">
        <f t="shared" ca="1" si="5"/>
        <v>0</v>
      </c>
      <c r="T62" s="289">
        <f t="shared" ca="1" si="5"/>
        <v>0</v>
      </c>
      <c r="U62" s="295" t="s">
        <v>6</v>
      </c>
      <c r="V62" s="289">
        <f t="shared" ca="1" si="5"/>
        <v>0</v>
      </c>
      <c r="W62" s="289">
        <f t="shared" ca="1" si="5"/>
        <v>0</v>
      </c>
      <c r="X62" s="289">
        <f t="shared" ca="1" si="5"/>
        <v>0</v>
      </c>
      <c r="Y62" s="289">
        <f t="shared" ca="1" si="5"/>
        <v>0</v>
      </c>
      <c r="Z62" s="292">
        <f t="shared" ca="1" si="5"/>
        <v>0</v>
      </c>
    </row>
    <row r="63" spans="2:26">
      <c r="B63" s="282" t="s">
        <v>119</v>
      </c>
      <c r="C63" s="278">
        <f t="shared" ca="1" si="4"/>
        <v>0</v>
      </c>
      <c r="D63" s="278">
        <f t="shared" ca="1" si="4"/>
        <v>0</v>
      </c>
      <c r="E63" s="278">
        <f t="shared" ca="1" si="4"/>
        <v>0</v>
      </c>
      <c r="F63" s="278">
        <f t="shared" ca="1" si="4"/>
        <v>0</v>
      </c>
      <c r="G63" s="278">
        <f t="shared" ca="1" si="4"/>
        <v>0</v>
      </c>
      <c r="H63" s="278">
        <f t="shared" ca="1" si="4"/>
        <v>0</v>
      </c>
      <c r="I63" s="278">
        <f t="shared" ca="1" si="4"/>
        <v>0</v>
      </c>
      <c r="J63" s="278">
        <f t="shared" ca="1" si="4"/>
        <v>0</v>
      </c>
      <c r="K63" s="278">
        <f t="shared" ca="1" si="4"/>
        <v>0</v>
      </c>
      <c r="L63" s="278">
        <f t="shared" ca="1" si="4"/>
        <v>0</v>
      </c>
      <c r="M63" s="279" t="s">
        <v>6</v>
      </c>
      <c r="O63" s="282" t="s">
        <v>119</v>
      </c>
      <c r="P63" s="289">
        <f t="shared" ca="1" si="5"/>
        <v>0</v>
      </c>
      <c r="Q63" s="289">
        <f t="shared" ca="1" si="5"/>
        <v>0</v>
      </c>
      <c r="R63" s="289">
        <f t="shared" ca="1" si="5"/>
        <v>0</v>
      </c>
      <c r="S63" s="289">
        <f t="shared" ca="1" si="5"/>
        <v>0</v>
      </c>
      <c r="T63" s="289">
        <f t="shared" ca="1" si="5"/>
        <v>0</v>
      </c>
      <c r="U63" s="295" t="s">
        <v>6</v>
      </c>
      <c r="V63" s="289">
        <f t="shared" ca="1" si="5"/>
        <v>0</v>
      </c>
      <c r="W63" s="289">
        <f t="shared" ca="1" si="5"/>
        <v>0</v>
      </c>
      <c r="X63" s="289">
        <f t="shared" ca="1" si="5"/>
        <v>0</v>
      </c>
      <c r="Y63" s="289">
        <f t="shared" ca="1" si="5"/>
        <v>0</v>
      </c>
      <c r="Z63" s="292">
        <f t="shared" ca="1" si="5"/>
        <v>0</v>
      </c>
    </row>
    <row r="64" spans="2:26">
      <c r="B64" s="282" t="s">
        <v>113</v>
      </c>
      <c r="C64" s="278">
        <f t="shared" ca="1" si="4"/>
        <v>0</v>
      </c>
      <c r="D64" s="278">
        <f t="shared" ca="1" si="4"/>
        <v>0</v>
      </c>
      <c r="E64" s="278">
        <f t="shared" ca="1" si="4"/>
        <v>0</v>
      </c>
      <c r="F64" s="278">
        <f t="shared" ca="1" si="4"/>
        <v>0</v>
      </c>
      <c r="G64" s="278">
        <f t="shared" ca="1" si="4"/>
        <v>0</v>
      </c>
      <c r="H64" s="278">
        <f t="shared" ca="1" si="4"/>
        <v>0</v>
      </c>
      <c r="I64" s="278">
        <f t="shared" ca="1" si="4"/>
        <v>0</v>
      </c>
      <c r="J64" s="278">
        <f t="shared" ca="1" si="4"/>
        <v>0</v>
      </c>
      <c r="K64" s="278">
        <f t="shared" ca="1" si="4"/>
        <v>0</v>
      </c>
      <c r="L64" s="278">
        <f t="shared" ca="1" si="4"/>
        <v>0</v>
      </c>
      <c r="M64" s="279" t="s">
        <v>6</v>
      </c>
      <c r="O64" s="282" t="s">
        <v>113</v>
      </c>
      <c r="P64" s="289">
        <f t="shared" ca="1" si="5"/>
        <v>0</v>
      </c>
      <c r="Q64" s="289">
        <f t="shared" ca="1" si="5"/>
        <v>0</v>
      </c>
      <c r="R64" s="289">
        <f t="shared" ca="1" si="5"/>
        <v>0</v>
      </c>
      <c r="S64" s="289">
        <f t="shared" ca="1" si="5"/>
        <v>0</v>
      </c>
      <c r="T64" s="289">
        <f t="shared" ca="1" si="5"/>
        <v>0</v>
      </c>
      <c r="U64" s="295" t="s">
        <v>6</v>
      </c>
      <c r="V64" s="289">
        <f t="shared" ca="1" si="5"/>
        <v>0</v>
      </c>
      <c r="W64" s="289">
        <f t="shared" ca="1" si="5"/>
        <v>0</v>
      </c>
      <c r="X64" s="289">
        <f t="shared" ca="1" si="5"/>
        <v>0</v>
      </c>
      <c r="Y64" s="289">
        <f t="shared" ca="1" si="5"/>
        <v>0</v>
      </c>
      <c r="Z64" s="292">
        <f t="shared" ca="1" si="5"/>
        <v>0</v>
      </c>
    </row>
    <row r="65" spans="1:26">
      <c r="B65" s="282" t="s">
        <v>28</v>
      </c>
      <c r="C65" s="278">
        <f t="shared" ca="1" si="4"/>
        <v>0</v>
      </c>
      <c r="D65" s="278">
        <f t="shared" ca="1" si="4"/>
        <v>0</v>
      </c>
      <c r="E65" s="278">
        <f t="shared" ca="1" si="4"/>
        <v>0</v>
      </c>
      <c r="F65" s="278">
        <f t="shared" ca="1" si="4"/>
        <v>0</v>
      </c>
      <c r="G65" s="278">
        <f t="shared" ca="1" si="4"/>
        <v>0</v>
      </c>
      <c r="H65" s="278">
        <f t="shared" ca="1" si="4"/>
        <v>0</v>
      </c>
      <c r="I65" s="278">
        <f t="shared" ca="1" si="4"/>
        <v>0</v>
      </c>
      <c r="J65" s="278">
        <f t="shared" ca="1" si="4"/>
        <v>0</v>
      </c>
      <c r="K65" s="278">
        <f t="shared" ca="1" si="4"/>
        <v>0</v>
      </c>
      <c r="L65" s="278">
        <f t="shared" ca="1" si="4"/>
        <v>0</v>
      </c>
      <c r="M65" s="279" t="s">
        <v>6</v>
      </c>
      <c r="O65" s="282" t="s">
        <v>28</v>
      </c>
      <c r="P65" s="289">
        <f t="shared" ca="1" si="5"/>
        <v>0</v>
      </c>
      <c r="Q65" s="289">
        <f t="shared" ca="1" si="5"/>
        <v>0</v>
      </c>
      <c r="R65" s="289">
        <f t="shared" ca="1" si="5"/>
        <v>0</v>
      </c>
      <c r="S65" s="289">
        <f t="shared" ca="1" si="5"/>
        <v>0</v>
      </c>
      <c r="T65" s="289">
        <f t="shared" ca="1" si="5"/>
        <v>0</v>
      </c>
      <c r="U65" s="295" t="s">
        <v>6</v>
      </c>
      <c r="V65" s="289">
        <f t="shared" ca="1" si="5"/>
        <v>0</v>
      </c>
      <c r="W65" s="289">
        <f t="shared" ca="1" si="5"/>
        <v>0</v>
      </c>
      <c r="X65" s="289">
        <f t="shared" ca="1" si="5"/>
        <v>0</v>
      </c>
      <c r="Y65" s="289">
        <f t="shared" ca="1" si="5"/>
        <v>0</v>
      </c>
      <c r="Z65" s="292">
        <f t="shared" ca="1" si="5"/>
        <v>0</v>
      </c>
    </row>
    <row r="66" spans="1:26">
      <c r="B66" s="282" t="s">
        <v>366</v>
      </c>
      <c r="C66" s="278">
        <f t="shared" ca="1" si="4"/>
        <v>0</v>
      </c>
      <c r="D66" s="278">
        <f t="shared" ca="1" si="4"/>
        <v>0</v>
      </c>
      <c r="E66" s="278">
        <f t="shared" ca="1" si="4"/>
        <v>0</v>
      </c>
      <c r="F66" s="278">
        <f t="shared" ca="1" si="4"/>
        <v>0</v>
      </c>
      <c r="G66" s="278">
        <f t="shared" ca="1" si="4"/>
        <v>0</v>
      </c>
      <c r="H66" s="278">
        <f t="shared" ca="1" si="4"/>
        <v>0</v>
      </c>
      <c r="I66" s="278">
        <f t="shared" ca="1" si="4"/>
        <v>0</v>
      </c>
      <c r="J66" s="278">
        <f t="shared" ca="1" si="4"/>
        <v>0</v>
      </c>
      <c r="K66" s="278">
        <f t="shared" ca="1" si="4"/>
        <v>0</v>
      </c>
      <c r="L66" s="278">
        <f t="shared" ca="1" si="4"/>
        <v>0</v>
      </c>
      <c r="M66" s="279" t="s">
        <v>6</v>
      </c>
      <c r="O66" s="282" t="s">
        <v>366</v>
      </c>
      <c r="P66" s="289">
        <f t="shared" ca="1" si="5"/>
        <v>0</v>
      </c>
      <c r="Q66" s="289">
        <f t="shared" ca="1" si="5"/>
        <v>0</v>
      </c>
      <c r="R66" s="289">
        <f t="shared" ca="1" si="5"/>
        <v>0</v>
      </c>
      <c r="S66" s="289">
        <f t="shared" ca="1" si="5"/>
        <v>0</v>
      </c>
      <c r="T66" s="289">
        <f t="shared" ca="1" si="5"/>
        <v>0</v>
      </c>
      <c r="U66" s="295" t="s">
        <v>6</v>
      </c>
      <c r="V66" s="289">
        <f t="shared" ca="1" si="5"/>
        <v>0</v>
      </c>
      <c r="W66" s="289">
        <f t="shared" ca="1" si="5"/>
        <v>0</v>
      </c>
      <c r="X66" s="289">
        <f t="shared" ca="1" si="5"/>
        <v>0</v>
      </c>
      <c r="Y66" s="289">
        <f t="shared" ca="1" si="5"/>
        <v>0</v>
      </c>
      <c r="Z66" s="292">
        <f t="shared" ca="1" si="5"/>
        <v>0</v>
      </c>
    </row>
    <row r="67" spans="1:26">
      <c r="B67" s="282" t="s">
        <v>26</v>
      </c>
      <c r="C67" s="278">
        <f t="shared" ca="1" si="4"/>
        <v>0</v>
      </c>
      <c r="D67" s="278">
        <f t="shared" ca="1" si="4"/>
        <v>0</v>
      </c>
      <c r="E67" s="278">
        <f t="shared" ca="1" si="4"/>
        <v>0</v>
      </c>
      <c r="F67" s="278">
        <f t="shared" ca="1" si="4"/>
        <v>0</v>
      </c>
      <c r="G67" s="278">
        <f t="shared" ca="1" si="4"/>
        <v>0</v>
      </c>
      <c r="H67" s="278">
        <f t="shared" ca="1" si="4"/>
        <v>0</v>
      </c>
      <c r="I67" s="278">
        <f t="shared" ca="1" si="4"/>
        <v>0</v>
      </c>
      <c r="J67" s="278">
        <f t="shared" ca="1" si="4"/>
        <v>0</v>
      </c>
      <c r="K67" s="278">
        <f t="shared" ca="1" si="4"/>
        <v>0</v>
      </c>
      <c r="L67" s="278">
        <f t="shared" ca="1" si="4"/>
        <v>0</v>
      </c>
      <c r="M67" s="279" t="s">
        <v>6</v>
      </c>
      <c r="O67" s="282" t="s">
        <v>26</v>
      </c>
      <c r="P67" s="289">
        <f t="shared" ca="1" si="5"/>
        <v>0</v>
      </c>
      <c r="Q67" s="289">
        <f t="shared" ca="1" si="5"/>
        <v>0</v>
      </c>
      <c r="R67" s="289">
        <f t="shared" ca="1" si="5"/>
        <v>0</v>
      </c>
      <c r="S67" s="289">
        <f t="shared" ca="1" si="5"/>
        <v>0</v>
      </c>
      <c r="T67" s="289">
        <f t="shared" ca="1" si="5"/>
        <v>0</v>
      </c>
      <c r="U67" s="295" t="s">
        <v>6</v>
      </c>
      <c r="V67" s="289">
        <f t="shared" ca="1" si="5"/>
        <v>0</v>
      </c>
      <c r="W67" s="289">
        <f t="shared" ca="1" si="5"/>
        <v>0</v>
      </c>
      <c r="X67" s="289">
        <f t="shared" ca="1" si="5"/>
        <v>0</v>
      </c>
      <c r="Y67" s="289">
        <f t="shared" ca="1" si="5"/>
        <v>0</v>
      </c>
      <c r="Z67" s="292">
        <f t="shared" ca="1" si="5"/>
        <v>0</v>
      </c>
    </row>
    <row r="68" spans="1:26">
      <c r="B68" s="282" t="s">
        <v>24</v>
      </c>
      <c r="C68" s="278">
        <f t="shared" ca="1" si="4"/>
        <v>0</v>
      </c>
      <c r="D68" s="278">
        <f t="shared" ca="1" si="4"/>
        <v>0</v>
      </c>
      <c r="E68" s="278">
        <f t="shared" ca="1" si="4"/>
        <v>0</v>
      </c>
      <c r="F68" s="278">
        <f t="shared" ca="1" si="4"/>
        <v>0</v>
      </c>
      <c r="G68" s="278">
        <f t="shared" ca="1" si="4"/>
        <v>0</v>
      </c>
      <c r="H68" s="278">
        <f t="shared" ca="1" si="4"/>
        <v>0</v>
      </c>
      <c r="I68" s="278">
        <f t="shared" ca="1" si="4"/>
        <v>0</v>
      </c>
      <c r="J68" s="278">
        <f t="shared" ca="1" si="4"/>
        <v>0</v>
      </c>
      <c r="K68" s="278">
        <f t="shared" ca="1" si="4"/>
        <v>0</v>
      </c>
      <c r="L68" s="278">
        <f t="shared" ca="1" si="4"/>
        <v>0</v>
      </c>
      <c r="M68" s="279" t="s">
        <v>6</v>
      </c>
      <c r="O68" s="282" t="s">
        <v>24</v>
      </c>
      <c r="P68" s="289">
        <f t="shared" ca="1" si="5"/>
        <v>0</v>
      </c>
      <c r="Q68" s="289">
        <f t="shared" ca="1" si="5"/>
        <v>0</v>
      </c>
      <c r="R68" s="289">
        <f t="shared" ca="1" si="5"/>
        <v>0</v>
      </c>
      <c r="S68" s="289">
        <f t="shared" ca="1" si="5"/>
        <v>0</v>
      </c>
      <c r="T68" s="289">
        <f t="shared" ca="1" si="5"/>
        <v>0</v>
      </c>
      <c r="U68" s="295" t="s">
        <v>6</v>
      </c>
      <c r="V68" s="289">
        <f t="shared" ca="1" si="5"/>
        <v>0</v>
      </c>
      <c r="W68" s="289">
        <f t="shared" ca="1" si="5"/>
        <v>0</v>
      </c>
      <c r="X68" s="289">
        <f t="shared" ca="1" si="5"/>
        <v>0</v>
      </c>
      <c r="Y68" s="289">
        <f t="shared" ca="1" si="5"/>
        <v>0</v>
      </c>
      <c r="Z68" s="292">
        <f t="shared" ca="1" si="5"/>
        <v>0</v>
      </c>
    </row>
    <row r="69" spans="1:26">
      <c r="B69" s="282" t="s">
        <v>20</v>
      </c>
      <c r="C69" s="278">
        <f t="shared" ca="1" si="4"/>
        <v>0</v>
      </c>
      <c r="D69" s="278">
        <f t="shared" ca="1" si="4"/>
        <v>0</v>
      </c>
      <c r="E69" s="278">
        <f t="shared" ca="1" si="4"/>
        <v>0</v>
      </c>
      <c r="F69" s="278">
        <f t="shared" ca="1" si="4"/>
        <v>0</v>
      </c>
      <c r="G69" s="278">
        <f t="shared" ca="1" si="4"/>
        <v>0</v>
      </c>
      <c r="H69" s="278">
        <f t="shared" ca="1" si="4"/>
        <v>0</v>
      </c>
      <c r="I69" s="278">
        <f t="shared" ca="1" si="4"/>
        <v>0</v>
      </c>
      <c r="J69" s="278">
        <f t="shared" ca="1" si="4"/>
        <v>0</v>
      </c>
      <c r="K69" s="278">
        <f t="shared" ca="1" si="4"/>
        <v>0</v>
      </c>
      <c r="L69" s="278">
        <f t="shared" ca="1" si="4"/>
        <v>0</v>
      </c>
      <c r="M69" s="279" t="s">
        <v>6</v>
      </c>
      <c r="O69" s="282" t="s">
        <v>20</v>
      </c>
      <c r="P69" s="289">
        <f t="shared" ca="1" si="5"/>
        <v>0</v>
      </c>
      <c r="Q69" s="289">
        <f t="shared" ca="1" si="5"/>
        <v>0</v>
      </c>
      <c r="R69" s="289">
        <f t="shared" ca="1" si="5"/>
        <v>0</v>
      </c>
      <c r="S69" s="289">
        <f t="shared" ca="1" si="5"/>
        <v>0</v>
      </c>
      <c r="T69" s="289">
        <f t="shared" ca="1" si="5"/>
        <v>0</v>
      </c>
      <c r="U69" s="295" t="s">
        <v>6</v>
      </c>
      <c r="V69" s="289">
        <f t="shared" ca="1" si="5"/>
        <v>0</v>
      </c>
      <c r="W69" s="289">
        <f t="shared" ca="1" si="5"/>
        <v>0</v>
      </c>
      <c r="X69" s="289">
        <f t="shared" ca="1" si="5"/>
        <v>0</v>
      </c>
      <c r="Y69" s="289">
        <f t="shared" ca="1" si="5"/>
        <v>0</v>
      </c>
      <c r="Z69" s="292">
        <f t="shared" ca="1" si="5"/>
        <v>0</v>
      </c>
    </row>
    <row r="70" spans="1:26">
      <c r="B70" s="282" t="s">
        <v>18</v>
      </c>
      <c r="C70" s="278">
        <f t="shared" ca="1" si="4"/>
        <v>0</v>
      </c>
      <c r="D70" s="278">
        <f t="shared" ca="1" si="4"/>
        <v>0</v>
      </c>
      <c r="E70" s="278">
        <f t="shared" ca="1" si="4"/>
        <v>0</v>
      </c>
      <c r="F70" s="278">
        <f t="shared" ca="1" si="4"/>
        <v>0</v>
      </c>
      <c r="G70" s="278">
        <f t="shared" ca="1" si="4"/>
        <v>0</v>
      </c>
      <c r="H70" s="278">
        <f t="shared" ca="1" si="4"/>
        <v>0</v>
      </c>
      <c r="I70" s="278">
        <f t="shared" ca="1" si="4"/>
        <v>0</v>
      </c>
      <c r="J70" s="278">
        <f t="shared" ca="1" si="4"/>
        <v>0</v>
      </c>
      <c r="K70" s="278">
        <f t="shared" ca="1" si="4"/>
        <v>0</v>
      </c>
      <c r="L70" s="278">
        <f t="shared" ca="1" si="4"/>
        <v>0</v>
      </c>
      <c r="M70" s="279" t="s">
        <v>6</v>
      </c>
      <c r="O70" s="282" t="s">
        <v>18</v>
      </c>
      <c r="P70" s="289">
        <f t="shared" ca="1" si="5"/>
        <v>0</v>
      </c>
      <c r="Q70" s="289">
        <f t="shared" ca="1" si="5"/>
        <v>0</v>
      </c>
      <c r="R70" s="289">
        <f t="shared" ca="1" si="5"/>
        <v>0</v>
      </c>
      <c r="S70" s="289">
        <f t="shared" ca="1" si="5"/>
        <v>0</v>
      </c>
      <c r="T70" s="289">
        <f t="shared" ca="1" si="5"/>
        <v>0</v>
      </c>
      <c r="U70" s="295" t="s">
        <v>6</v>
      </c>
      <c r="V70" s="289">
        <f t="shared" ca="1" si="5"/>
        <v>0</v>
      </c>
      <c r="W70" s="289">
        <f t="shared" ca="1" si="5"/>
        <v>0</v>
      </c>
      <c r="X70" s="289">
        <f t="shared" ca="1" si="5"/>
        <v>0</v>
      </c>
      <c r="Y70" s="289">
        <f t="shared" ca="1" si="5"/>
        <v>0</v>
      </c>
      <c r="Z70" s="292">
        <f t="shared" ca="1" si="5"/>
        <v>0</v>
      </c>
    </row>
    <row r="71" spans="1:26">
      <c r="B71" s="282" t="s">
        <v>17</v>
      </c>
      <c r="C71" s="278">
        <f t="shared" ca="1" si="4"/>
        <v>0</v>
      </c>
      <c r="D71" s="278">
        <f t="shared" ca="1" si="4"/>
        <v>0</v>
      </c>
      <c r="E71" s="278">
        <f t="shared" ca="1" si="4"/>
        <v>0</v>
      </c>
      <c r="F71" s="278">
        <f t="shared" ca="1" si="4"/>
        <v>0</v>
      </c>
      <c r="G71" s="278">
        <f t="shared" ca="1" si="4"/>
        <v>0</v>
      </c>
      <c r="H71" s="278">
        <f t="shared" ca="1" si="4"/>
        <v>0</v>
      </c>
      <c r="I71" s="278">
        <f t="shared" ca="1" si="4"/>
        <v>0</v>
      </c>
      <c r="J71" s="278">
        <f t="shared" ca="1" si="4"/>
        <v>0</v>
      </c>
      <c r="K71" s="278">
        <f t="shared" ca="1" si="4"/>
        <v>0</v>
      </c>
      <c r="L71" s="278">
        <f t="shared" ca="1" si="4"/>
        <v>0</v>
      </c>
      <c r="M71" s="279" t="s">
        <v>6</v>
      </c>
      <c r="O71" s="282" t="s">
        <v>17</v>
      </c>
      <c r="P71" s="289">
        <f t="shared" ca="1" si="5"/>
        <v>0</v>
      </c>
      <c r="Q71" s="289">
        <f t="shared" ca="1" si="5"/>
        <v>0</v>
      </c>
      <c r="R71" s="289">
        <f t="shared" ca="1" si="5"/>
        <v>0</v>
      </c>
      <c r="S71" s="289">
        <f t="shared" ca="1" si="5"/>
        <v>0</v>
      </c>
      <c r="T71" s="289">
        <f t="shared" ca="1" si="5"/>
        <v>0</v>
      </c>
      <c r="U71" s="295" t="s">
        <v>6</v>
      </c>
      <c r="V71" s="289">
        <f t="shared" ca="1" si="5"/>
        <v>0</v>
      </c>
      <c r="W71" s="289">
        <f t="shared" ca="1" si="5"/>
        <v>0</v>
      </c>
      <c r="X71" s="289">
        <f t="shared" ca="1" si="5"/>
        <v>0</v>
      </c>
      <c r="Y71" s="289">
        <f t="shared" ca="1" si="5"/>
        <v>0</v>
      </c>
      <c r="Z71" s="292">
        <f t="shared" ca="1" si="5"/>
        <v>0</v>
      </c>
    </row>
    <row r="72" spans="1:26">
      <c r="B72" s="282" t="s">
        <v>15</v>
      </c>
      <c r="C72" s="278">
        <f t="shared" ca="1" si="4"/>
        <v>0</v>
      </c>
      <c r="D72" s="278">
        <f t="shared" ca="1" si="4"/>
        <v>0</v>
      </c>
      <c r="E72" s="278">
        <f t="shared" ca="1" si="4"/>
        <v>0</v>
      </c>
      <c r="F72" s="278">
        <f t="shared" ca="1" si="4"/>
        <v>0</v>
      </c>
      <c r="G72" s="278">
        <f t="shared" ca="1" si="4"/>
        <v>0</v>
      </c>
      <c r="H72" s="278">
        <f t="shared" ca="1" si="4"/>
        <v>0</v>
      </c>
      <c r="I72" s="278">
        <f t="shared" ca="1" si="4"/>
        <v>0</v>
      </c>
      <c r="J72" s="278">
        <f t="shared" ca="1" si="4"/>
        <v>0</v>
      </c>
      <c r="K72" s="278">
        <f t="shared" ca="1" si="4"/>
        <v>0</v>
      </c>
      <c r="L72" s="278">
        <f t="shared" ca="1" si="4"/>
        <v>0</v>
      </c>
      <c r="M72" s="279" t="s">
        <v>6</v>
      </c>
      <c r="O72" s="282" t="s">
        <v>15</v>
      </c>
      <c r="P72" s="289">
        <f t="shared" ca="1" si="5"/>
        <v>0</v>
      </c>
      <c r="Q72" s="289">
        <f t="shared" ca="1" si="5"/>
        <v>0</v>
      </c>
      <c r="R72" s="289">
        <f t="shared" ca="1" si="5"/>
        <v>0</v>
      </c>
      <c r="S72" s="289">
        <f t="shared" ca="1" si="5"/>
        <v>0</v>
      </c>
      <c r="T72" s="289">
        <f t="shared" ca="1" si="5"/>
        <v>0</v>
      </c>
      <c r="U72" s="295" t="s">
        <v>6</v>
      </c>
      <c r="V72" s="289">
        <f t="shared" ca="1" si="5"/>
        <v>0</v>
      </c>
      <c r="W72" s="289">
        <f t="shared" ca="1" si="5"/>
        <v>0</v>
      </c>
      <c r="X72" s="289">
        <f t="shared" ca="1" si="5"/>
        <v>0</v>
      </c>
      <c r="Y72" s="289">
        <f t="shared" ca="1" si="5"/>
        <v>0</v>
      </c>
      <c r="Z72" s="292">
        <f t="shared" ca="1" si="5"/>
        <v>0</v>
      </c>
    </row>
    <row r="73" spans="1:26">
      <c r="B73" s="282" t="s">
        <v>14</v>
      </c>
      <c r="C73" s="278">
        <f t="shared" ca="1" si="4"/>
        <v>0</v>
      </c>
      <c r="D73" s="278">
        <f t="shared" ca="1" si="4"/>
        <v>0</v>
      </c>
      <c r="E73" s="278">
        <f t="shared" ca="1" si="4"/>
        <v>0</v>
      </c>
      <c r="F73" s="278">
        <f t="shared" ca="1" si="4"/>
        <v>0</v>
      </c>
      <c r="G73" s="278">
        <f t="shared" ca="1" si="4"/>
        <v>0</v>
      </c>
      <c r="H73" s="278">
        <f t="shared" ca="1" si="4"/>
        <v>0</v>
      </c>
      <c r="I73" s="278">
        <f t="shared" ca="1" si="4"/>
        <v>0</v>
      </c>
      <c r="J73" s="278">
        <f t="shared" ca="1" si="4"/>
        <v>0</v>
      </c>
      <c r="K73" s="278">
        <f t="shared" ca="1" si="4"/>
        <v>0</v>
      </c>
      <c r="L73" s="278">
        <f t="shared" ca="1" si="4"/>
        <v>0</v>
      </c>
      <c r="M73" s="279" t="s">
        <v>6</v>
      </c>
      <c r="O73" s="282" t="s">
        <v>14</v>
      </c>
      <c r="P73" s="295" t="s">
        <v>6</v>
      </c>
      <c r="Q73" s="289" t="s">
        <v>6</v>
      </c>
      <c r="R73" s="289" t="s">
        <v>6</v>
      </c>
      <c r="S73" s="289" t="s">
        <v>6</v>
      </c>
      <c r="T73" s="289" t="s">
        <v>6</v>
      </c>
      <c r="U73" s="295" t="s">
        <v>6</v>
      </c>
      <c r="V73" s="289" t="s">
        <v>6</v>
      </c>
      <c r="W73" s="289" t="s">
        <v>6</v>
      </c>
      <c r="X73" s="289" t="s">
        <v>6</v>
      </c>
      <c r="Y73" s="289" t="s">
        <v>6</v>
      </c>
      <c r="Z73" s="292" t="s">
        <v>6</v>
      </c>
    </row>
    <row r="74" spans="1:26">
      <c r="B74" s="282"/>
      <c r="C74" s="278"/>
      <c r="D74" s="278"/>
      <c r="E74" s="278"/>
      <c r="F74" s="278"/>
      <c r="G74" s="278"/>
      <c r="H74" s="278"/>
      <c r="I74" s="278"/>
      <c r="J74" s="278"/>
      <c r="K74" s="278"/>
      <c r="L74" s="278"/>
      <c r="M74" s="279"/>
      <c r="O74" s="282"/>
      <c r="P74" s="289"/>
      <c r="Q74" s="289"/>
      <c r="R74" s="289"/>
      <c r="S74" s="289"/>
      <c r="T74" s="289"/>
      <c r="U74" s="295"/>
      <c r="V74" s="289"/>
      <c r="W74" s="289"/>
      <c r="X74" s="289"/>
      <c r="Y74" s="289"/>
      <c r="Z74" s="292"/>
    </row>
    <row r="75" spans="1:26">
      <c r="B75" s="282"/>
      <c r="C75" s="278"/>
      <c r="D75" s="278"/>
      <c r="E75" s="278"/>
      <c r="F75" s="278"/>
      <c r="G75" s="278"/>
      <c r="H75" s="278"/>
      <c r="I75" s="278"/>
      <c r="J75" s="278"/>
      <c r="K75" s="278"/>
      <c r="L75" s="278"/>
      <c r="M75" s="279"/>
      <c r="O75" s="282"/>
      <c r="P75" s="289"/>
      <c r="Q75" s="289"/>
      <c r="R75" s="289"/>
      <c r="S75" s="289"/>
      <c r="T75" s="289"/>
      <c r="U75" s="295"/>
      <c r="V75" s="289"/>
      <c r="W75" s="289"/>
      <c r="X75" s="289"/>
      <c r="Y75" s="289"/>
      <c r="Z75" s="292"/>
    </row>
    <row r="76" spans="1:26">
      <c r="B76" s="282"/>
      <c r="C76" s="278"/>
      <c r="D76" s="278"/>
      <c r="E76" s="278"/>
      <c r="F76" s="278"/>
      <c r="G76" s="278"/>
      <c r="H76" s="278"/>
      <c r="I76" s="278"/>
      <c r="J76" s="278"/>
      <c r="K76" s="278"/>
      <c r="L76" s="278"/>
      <c r="M76" s="279"/>
      <c r="O76" s="282"/>
      <c r="P76" s="289"/>
      <c r="Q76" s="289"/>
      <c r="R76" s="289"/>
      <c r="S76" s="289"/>
      <c r="T76" s="289"/>
      <c r="U76" s="295"/>
      <c r="V76" s="289"/>
      <c r="W76" s="289"/>
      <c r="X76" s="289"/>
      <c r="Y76" s="289"/>
      <c r="Z76" s="292"/>
    </row>
    <row r="77" spans="1:26">
      <c r="B77" s="283"/>
      <c r="C77" s="280"/>
      <c r="D77" s="280"/>
      <c r="E77" s="280"/>
      <c r="F77" s="280"/>
      <c r="G77" s="280"/>
      <c r="H77" s="280"/>
      <c r="I77" s="280"/>
      <c r="J77" s="280"/>
      <c r="K77" s="280"/>
      <c r="L77" s="280"/>
      <c r="M77" s="281"/>
      <c r="O77" s="283"/>
      <c r="P77" s="293"/>
      <c r="Q77" s="293"/>
      <c r="R77" s="293"/>
      <c r="S77" s="293"/>
      <c r="T77" s="293"/>
      <c r="U77" s="296"/>
      <c r="V77" s="293"/>
      <c r="W77" s="293"/>
      <c r="X77" s="293"/>
      <c r="Y77" s="293"/>
      <c r="Z77" s="294"/>
    </row>
    <row r="80" spans="1:26">
      <c r="A80" s="224" t="s">
        <v>478</v>
      </c>
      <c r="B80" s="290" t="s">
        <v>490</v>
      </c>
      <c r="C80" s="284"/>
      <c r="G80" s="290" t="s">
        <v>490</v>
      </c>
    </row>
    <row r="81" spans="2:13">
      <c r="B81" s="284" t="s">
        <v>486</v>
      </c>
      <c r="C81" s="284"/>
      <c r="G81" s="284" t="s">
        <v>485</v>
      </c>
    </row>
    <row r="82" spans="2:13">
      <c r="B82" s="258" t="s">
        <v>474</v>
      </c>
      <c r="C82" s="286">
        <f ca="1">SUM(C108:L126)</f>
        <v>0</v>
      </c>
      <c r="G82" s="258" t="s">
        <v>474</v>
      </c>
      <c r="H82" s="286">
        <f ca="1">SUM(P108:Z126)</f>
        <v>0</v>
      </c>
    </row>
    <row r="84" spans="2:13">
      <c r="B84" s="258" t="s">
        <v>479</v>
      </c>
      <c r="C84" s="258"/>
    </row>
    <row r="85" spans="2:13">
      <c r="B85" s="254" t="s">
        <v>468</v>
      </c>
      <c r="C85" s="287">
        <v>500</v>
      </c>
      <c r="D85" s="287">
        <v>400</v>
      </c>
      <c r="E85" s="287">
        <v>300</v>
      </c>
      <c r="F85" s="287">
        <v>200</v>
      </c>
      <c r="G85" s="287">
        <v>100</v>
      </c>
      <c r="H85" s="287">
        <v>0</v>
      </c>
      <c r="I85" s="287">
        <v>-100</v>
      </c>
      <c r="J85" s="287">
        <v>-200</v>
      </c>
      <c r="K85" s="287">
        <v>-300</v>
      </c>
      <c r="L85" s="287">
        <v>-400</v>
      </c>
      <c r="M85" s="288">
        <v>-500</v>
      </c>
    </row>
    <row r="86" spans="2:13">
      <c r="B86" s="282" t="s">
        <v>35</v>
      </c>
      <c r="C86" s="278">
        <f ca="1">'USD Swap PVs'!N29</f>
        <v>198777.426464966</v>
      </c>
      <c r="D86" s="278">
        <f ca="1">'USD Swap PVs'!O29</f>
        <v>159021.94117197287</v>
      </c>
      <c r="E86" s="278">
        <f ca="1">'USD Swap PVs'!P29</f>
        <v>119266.45587897966</v>
      </c>
      <c r="F86" s="278">
        <f ca="1">'USD Swap PVs'!Q29</f>
        <v>79510.970585986419</v>
      </c>
      <c r="G86" s="278">
        <f ca="1">'USD Swap PVs'!R29</f>
        <v>39755.485292993217</v>
      </c>
      <c r="H86" s="278">
        <f ca="1">'USD Swap PVs'!S29</f>
        <v>6.9388939039072284E-12</v>
      </c>
      <c r="I86" s="278">
        <f ca="1">'USD Swap PVs'!T29</f>
        <v>-39755.485292993202</v>
      </c>
      <c r="J86" s="278">
        <f ca="1">'USD Swap PVs'!U29</f>
        <v>-79510.970585986404</v>
      </c>
      <c r="K86" s="278">
        <f ca="1">'USD Swap PVs'!V29</f>
        <v>-119266.45587897963</v>
      </c>
      <c r="L86" s="278">
        <f ca="1">'USD Swap PVs'!W29</f>
        <v>-159021.94117197284</v>
      </c>
      <c r="M86" s="279">
        <f ca="1">'USD Swap PVs'!X29</f>
        <v>-198777.42646496603</v>
      </c>
    </row>
    <row r="87" spans="2:13">
      <c r="B87" s="282" t="s">
        <v>33</v>
      </c>
      <c r="C87" s="278">
        <f ca="1">'USD Swap PVs'!N30</f>
        <v>246131.73696146879</v>
      </c>
      <c r="D87" s="278">
        <f ca="1">'USD Swap PVs'!O30</f>
        <v>196905.38956917502</v>
      </c>
      <c r="E87" s="278">
        <f ca="1">'USD Swap PVs'!P30</f>
        <v>147679.04217688134</v>
      </c>
      <c r="F87" s="278">
        <f ca="1">'USD Swap PVs'!Q30</f>
        <v>98452.694784587467</v>
      </c>
      <c r="G87" s="278">
        <f ca="1">'USD Swap PVs'!R30</f>
        <v>49226.347392293741</v>
      </c>
      <c r="H87" s="278">
        <f ca="1">'USD Swap PVs'!S30</f>
        <v>-1.3877787807814457E-11</v>
      </c>
      <c r="I87" s="278">
        <f ca="1">'USD Swap PVs'!T30</f>
        <v>-49226.347392293777</v>
      </c>
      <c r="J87" s="278">
        <f ca="1">'USD Swap PVs'!U30</f>
        <v>-98452.69478458754</v>
      </c>
      <c r="K87" s="278">
        <f ca="1">'USD Swap PVs'!V30</f>
        <v>-147679.04217688134</v>
      </c>
      <c r="L87" s="278">
        <f ca="1">'USD Swap PVs'!W30</f>
        <v>-196905.38956917508</v>
      </c>
      <c r="M87" s="279">
        <f ca="1">'USD Swap PVs'!X30</f>
        <v>-246131.73696146885</v>
      </c>
    </row>
    <row r="88" spans="2:13">
      <c r="B88" s="282" t="s">
        <v>131</v>
      </c>
      <c r="C88" s="278">
        <f ca="1">'USD Swap PVs'!N31</f>
        <v>292058.13024354144</v>
      </c>
      <c r="D88" s="278">
        <f ca="1">'USD Swap PVs'!O31</f>
        <v>233646.50419483325</v>
      </c>
      <c r="E88" s="278">
        <f ca="1">'USD Swap PVs'!P31</f>
        <v>175234.87814612495</v>
      </c>
      <c r="F88" s="278">
        <f ca="1">'USD Swap PVs'!Q31</f>
        <v>116823.2520974166</v>
      </c>
      <c r="G88" s="278">
        <f ca="1">'USD Swap PVs'!R31</f>
        <v>58411.626048708313</v>
      </c>
      <c r="H88" s="278">
        <f ca="1">'USD Swap PVs'!S31</f>
        <v>1.3877787807814457E-11</v>
      </c>
      <c r="I88" s="278">
        <f ca="1">'USD Swap PVs'!T31</f>
        <v>-58411.626048708284</v>
      </c>
      <c r="J88" s="278">
        <f ca="1">'USD Swap PVs'!U31</f>
        <v>-116823.25209741658</v>
      </c>
      <c r="K88" s="278">
        <f ca="1">'USD Swap PVs'!V31</f>
        <v>-175234.87814612489</v>
      </c>
      <c r="L88" s="278">
        <f ca="1">'USD Swap PVs'!W31</f>
        <v>-233646.50419483319</v>
      </c>
      <c r="M88" s="279">
        <f ca="1">'USD Swap PVs'!X31</f>
        <v>-292058.13024354156</v>
      </c>
    </row>
    <row r="89" spans="2:13">
      <c r="B89" s="282" t="s">
        <v>31</v>
      </c>
      <c r="C89" s="278">
        <f ca="1">'USD Swap PVs'!N32</f>
        <v>336636.27902883606</v>
      </c>
      <c r="D89" s="278">
        <f ca="1">'USD Swap PVs'!O32</f>
        <v>269309.02322306891</v>
      </c>
      <c r="E89" s="278">
        <f ca="1">'USD Swap PVs'!P32</f>
        <v>201981.76741730174</v>
      </c>
      <c r="F89" s="278">
        <f ca="1">'USD Swap PVs'!Q32</f>
        <v>134654.51161153449</v>
      </c>
      <c r="G89" s="278">
        <f ca="1">'USD Swap PVs'!R32</f>
        <v>67327.255805767229</v>
      </c>
      <c r="H89" s="278">
        <f ca="1">'USD Swap PVs'!S32</f>
        <v>0</v>
      </c>
      <c r="I89" s="278">
        <f ca="1">'USD Swap PVs'!T32</f>
        <v>-67327.255805767243</v>
      </c>
      <c r="J89" s="278">
        <f ca="1">'USD Swap PVs'!U32</f>
        <v>-134654.51161153449</v>
      </c>
      <c r="K89" s="278">
        <f ca="1">'USD Swap PVs'!V32</f>
        <v>-201981.76741730174</v>
      </c>
      <c r="L89" s="278">
        <f ca="1">'USD Swap PVs'!W32</f>
        <v>-269309.02322306897</v>
      </c>
      <c r="M89" s="279">
        <f ca="1">'USD Swap PVs'!X32</f>
        <v>-336636.27902883629</v>
      </c>
    </row>
    <row r="90" spans="2:13">
      <c r="B90" s="282" t="s">
        <v>119</v>
      </c>
      <c r="C90" s="278">
        <f ca="1">'USD Swap PVs'!N33</f>
        <v>380086.43747963931</v>
      </c>
      <c r="D90" s="278">
        <f ca="1">'USD Swap PVs'!O33</f>
        <v>304069.14998371148</v>
      </c>
      <c r="E90" s="278">
        <f ca="1">'USD Swap PVs'!P33</f>
        <v>228051.86248778363</v>
      </c>
      <c r="F90" s="278">
        <f ca="1">'USD Swap PVs'!Q33</f>
        <v>152034.57499185577</v>
      </c>
      <c r="G90" s="278">
        <f ca="1">'USD Swap PVs'!R33</f>
        <v>76017.287495927871</v>
      </c>
      <c r="H90" s="278">
        <f ca="1">'USD Swap PVs'!S33</f>
        <v>0</v>
      </c>
      <c r="I90" s="278">
        <f ca="1">'USD Swap PVs'!T33</f>
        <v>-76017.287495927871</v>
      </c>
      <c r="J90" s="278">
        <f ca="1">'USD Swap PVs'!U33</f>
        <v>-152034.57499185571</v>
      </c>
      <c r="K90" s="278">
        <f ca="1">'USD Swap PVs'!V33</f>
        <v>-228051.86248778363</v>
      </c>
      <c r="L90" s="278">
        <f ca="1">'USD Swap PVs'!W33</f>
        <v>-304069.14998371148</v>
      </c>
      <c r="M90" s="279">
        <f ca="1">'USD Swap PVs'!X33</f>
        <v>-380086.43747963931</v>
      </c>
    </row>
    <row r="91" spans="2:13">
      <c r="B91" s="282" t="s">
        <v>113</v>
      </c>
      <c r="C91" s="278">
        <f ca="1">'USD Swap PVs'!N34</f>
        <v>421837.79507817933</v>
      </c>
      <c r="D91" s="278">
        <f ca="1">'USD Swap PVs'!O34</f>
        <v>337470.23606254335</v>
      </c>
      <c r="E91" s="278">
        <f ca="1">'USD Swap PVs'!P34</f>
        <v>253102.67704690754</v>
      </c>
      <c r="F91" s="278">
        <f ca="1">'USD Swap PVs'!Q34</f>
        <v>168735.11803127173</v>
      </c>
      <c r="G91" s="278">
        <f ca="1">'USD Swap PVs'!R34</f>
        <v>84367.559015635808</v>
      </c>
      <c r="H91" s="278">
        <f ca="1">'USD Swap PVs'!S34</f>
        <v>0</v>
      </c>
      <c r="I91" s="278">
        <f ca="1">'USD Swap PVs'!T34</f>
        <v>-84367.55901563591</v>
      </c>
      <c r="J91" s="278">
        <f ca="1">'USD Swap PVs'!U34</f>
        <v>-168735.11803127173</v>
      </c>
      <c r="K91" s="278">
        <f ca="1">'USD Swap PVs'!V34</f>
        <v>-253102.6770469076</v>
      </c>
      <c r="L91" s="278">
        <f ca="1">'USD Swap PVs'!W34</f>
        <v>-337470.23606254347</v>
      </c>
      <c r="M91" s="279">
        <f ca="1">'USD Swap PVs'!X34</f>
        <v>-421837.79507817933</v>
      </c>
    </row>
    <row r="92" spans="2:13">
      <c r="B92" s="282" t="s">
        <v>28</v>
      </c>
      <c r="C92" s="278">
        <f ca="1">'USD Swap PVs'!N35</f>
        <v>462388.14162659738</v>
      </c>
      <c r="D92" s="278">
        <f ca="1">'USD Swap PVs'!O35</f>
        <v>369910.51330127788</v>
      </c>
      <c r="E92" s="278">
        <f ca="1">'USD Swap PVs'!P35</f>
        <v>277432.88497595844</v>
      </c>
      <c r="F92" s="278">
        <f ca="1">'USD Swap PVs'!Q35</f>
        <v>184955.25665063897</v>
      </c>
      <c r="G92" s="278">
        <f ca="1">'USD Swap PVs'!R35</f>
        <v>92477.628325319442</v>
      </c>
      <c r="H92" s="278">
        <f ca="1">'USD Swap PVs'!S35</f>
        <v>0</v>
      </c>
      <c r="I92" s="278">
        <f ca="1">'USD Swap PVs'!T35</f>
        <v>-92477.628325319558</v>
      </c>
      <c r="J92" s="278">
        <f ca="1">'USD Swap PVs'!U35</f>
        <v>-184955.25665063897</v>
      </c>
      <c r="K92" s="278">
        <f ca="1">'USD Swap PVs'!V35</f>
        <v>-277432.8849759585</v>
      </c>
      <c r="L92" s="278">
        <f ca="1">'USD Swap PVs'!W35</f>
        <v>-369910.51330127788</v>
      </c>
      <c r="M92" s="279">
        <f ca="1">'USD Swap PVs'!X35</f>
        <v>-462388.1416265975</v>
      </c>
    </row>
    <row r="93" spans="2:13">
      <c r="B93" s="282" t="s">
        <v>366</v>
      </c>
      <c r="C93" s="278">
        <f ca="1">'USD Swap PVs'!N36</f>
        <v>501653.57340943185</v>
      </c>
      <c r="D93" s="278">
        <f ca="1">'USD Swap PVs'!O36</f>
        <v>401322.85872754542</v>
      </c>
      <c r="E93" s="278">
        <f ca="1">'USD Swap PVs'!P36</f>
        <v>300992.14404565905</v>
      </c>
      <c r="F93" s="278">
        <f ca="1">'USD Swap PVs'!Q36</f>
        <v>200661.42936377268</v>
      </c>
      <c r="G93" s="278">
        <f ca="1">'USD Swap PVs'!R36</f>
        <v>100330.71468188631</v>
      </c>
      <c r="H93" s="278">
        <f ca="1">'USD Swap PVs'!S36</f>
        <v>0</v>
      </c>
      <c r="I93" s="278">
        <f ca="1">'USD Swap PVs'!T36</f>
        <v>-100330.71468188649</v>
      </c>
      <c r="J93" s="278">
        <f ca="1">'USD Swap PVs'!U36</f>
        <v>-200661.42936377277</v>
      </c>
      <c r="K93" s="278">
        <f ca="1">'USD Swap PVs'!V36</f>
        <v>-300992.14404565917</v>
      </c>
      <c r="L93" s="278">
        <f ca="1">'USD Swap PVs'!W36</f>
        <v>-401322.85872754548</v>
      </c>
      <c r="M93" s="279">
        <f ca="1">'USD Swap PVs'!X36</f>
        <v>-501653.57340943196</v>
      </c>
    </row>
    <row r="94" spans="2:13">
      <c r="B94" s="282" t="s">
        <v>26</v>
      </c>
      <c r="C94" s="278">
        <f ca="1">'USD Swap PVs'!N37</f>
        <v>539672.51174194494</v>
      </c>
      <c r="D94" s="278">
        <f ca="1">'USD Swap PVs'!O37</f>
        <v>431738.00939355604</v>
      </c>
      <c r="E94" s="278">
        <f ca="1">'USD Swap PVs'!P37</f>
        <v>323803.50704516686</v>
      </c>
      <c r="F94" s="278">
        <f ca="1">'USD Swap PVs'!Q37</f>
        <v>215869.00469677793</v>
      </c>
      <c r="G94" s="278">
        <f ca="1">'USD Swap PVs'!R37</f>
        <v>107934.50234838892</v>
      </c>
      <c r="H94" s="278">
        <f ca="1">'USD Swap PVs'!S37</f>
        <v>0</v>
      </c>
      <c r="I94" s="278">
        <f ca="1">'USD Swap PVs'!T37</f>
        <v>-107934.50234838908</v>
      </c>
      <c r="J94" s="278">
        <f ca="1">'USD Swap PVs'!U37</f>
        <v>-215869.00469677799</v>
      </c>
      <c r="K94" s="278">
        <f ca="1">'USD Swap PVs'!V37</f>
        <v>-323803.50704516703</v>
      </c>
      <c r="L94" s="278">
        <f ca="1">'USD Swap PVs'!W37</f>
        <v>-431738.00939355599</v>
      </c>
      <c r="M94" s="279">
        <f ca="1">'USD Swap PVs'!X37</f>
        <v>-539672.51174194494</v>
      </c>
    </row>
    <row r="95" spans="2:13">
      <c r="B95" s="282" t="s">
        <v>24</v>
      </c>
      <c r="C95" s="278">
        <f ca="1">'USD Swap PVs'!N38</f>
        <v>646763.03135862527</v>
      </c>
      <c r="D95" s="278">
        <f ca="1">'USD Swap PVs'!O38</f>
        <v>517410.42508689995</v>
      </c>
      <c r="E95" s="278">
        <f ca="1">'USD Swap PVs'!P38</f>
        <v>388057.81881517486</v>
      </c>
      <c r="F95" s="278">
        <f ca="1">'USD Swap PVs'!Q38</f>
        <v>258705.2125434498</v>
      </c>
      <c r="G95" s="278">
        <f ca="1">'USD Swap PVs'!R38</f>
        <v>129352.60627172496</v>
      </c>
      <c r="H95" s="278">
        <f ca="1">'USD Swap PVs'!S38</f>
        <v>0</v>
      </c>
      <c r="I95" s="278">
        <f ca="1">'USD Swap PVs'!T38</f>
        <v>-129352.60627172512</v>
      </c>
      <c r="J95" s="278">
        <f ca="1">'USD Swap PVs'!U38</f>
        <v>-258705.21254345015</v>
      </c>
      <c r="K95" s="278">
        <f ca="1">'USD Swap PVs'!V38</f>
        <v>-388057.81881517515</v>
      </c>
      <c r="L95" s="278">
        <f ca="1">'USD Swap PVs'!W38</f>
        <v>-517410.42508690018</v>
      </c>
      <c r="M95" s="279">
        <f ca="1">'USD Swap PVs'!X38</f>
        <v>-646763.03135862527</v>
      </c>
    </row>
    <row r="96" spans="2:13">
      <c r="B96" s="282" t="s">
        <v>20</v>
      </c>
      <c r="C96" s="278">
        <f ca="1">'USD Swap PVs'!N39</f>
        <v>804037.65725514793</v>
      </c>
      <c r="D96" s="278">
        <f ca="1">'USD Swap PVs'!O39</f>
        <v>643230.12580411846</v>
      </c>
      <c r="E96" s="278">
        <f ca="1">'USD Swap PVs'!P39</f>
        <v>482422.59435308882</v>
      </c>
      <c r="F96" s="278">
        <f ca="1">'USD Swap PVs'!Q39</f>
        <v>321615.06290205906</v>
      </c>
      <c r="G96" s="278">
        <f ca="1">'USD Swap PVs'!R39</f>
        <v>160807.5314510297</v>
      </c>
      <c r="H96" s="278">
        <f ca="1">'USD Swap PVs'!S39</f>
        <v>0</v>
      </c>
      <c r="I96" s="278">
        <f ca="1">'USD Swap PVs'!T39</f>
        <v>-160807.53145102976</v>
      </c>
      <c r="J96" s="278">
        <f ca="1">'USD Swap PVs'!U39</f>
        <v>-321615.06290205941</v>
      </c>
      <c r="K96" s="278">
        <f ca="1">'USD Swap PVs'!V39</f>
        <v>-482422.59435308911</v>
      </c>
      <c r="L96" s="278">
        <f ca="1">'USD Swap PVs'!W39</f>
        <v>-643230.12580411881</v>
      </c>
      <c r="M96" s="279">
        <f ca="1">'USD Swap PVs'!X39</f>
        <v>-804037.6572551484</v>
      </c>
    </row>
    <row r="97" spans="2:26">
      <c r="B97" s="282" t="s">
        <v>18</v>
      </c>
      <c r="C97" s="278">
        <f ca="1">'USD Swap PVs'!N40</f>
        <v>938667.92003639555</v>
      </c>
      <c r="D97" s="278">
        <f ca="1">'USD Swap PVs'!O40</f>
        <v>750934.33602911618</v>
      </c>
      <c r="E97" s="278">
        <f ca="1">'USD Swap PVs'!P40</f>
        <v>563200.75202183705</v>
      </c>
      <c r="F97" s="278">
        <f ca="1">'USD Swap PVs'!Q40</f>
        <v>375467.16801455768</v>
      </c>
      <c r="G97" s="278">
        <f ca="1">'USD Swap PVs'!R40</f>
        <v>187733.58400727945</v>
      </c>
      <c r="H97" s="278">
        <f ca="1">'USD Swap PVs'!S40</f>
        <v>0</v>
      </c>
      <c r="I97" s="278">
        <f ca="1">'USD Swap PVs'!T40</f>
        <v>-187733.58400727937</v>
      </c>
      <c r="J97" s="278">
        <f ca="1">'USD Swap PVs'!U40</f>
        <v>-375467.16801455838</v>
      </c>
      <c r="K97" s="278">
        <f ca="1">'USD Swap PVs'!V40</f>
        <v>-563200.75202183763</v>
      </c>
      <c r="L97" s="278">
        <f ca="1">'USD Swap PVs'!W40</f>
        <v>-750934.33602911676</v>
      </c>
      <c r="M97" s="279">
        <f ca="1">'USD Swap PVs'!X40</f>
        <v>-938667.9200363959</v>
      </c>
    </row>
    <row r="98" spans="2:26">
      <c r="B98" s="282" t="s">
        <v>17</v>
      </c>
      <c r="C98" s="278">
        <f ca="1">'USD Swap PVs'!N41</f>
        <v>1054277.2388134073</v>
      </c>
      <c r="D98" s="278">
        <f ca="1">'USD Swap PVs'!O41</f>
        <v>843421.79105072538</v>
      </c>
      <c r="E98" s="278">
        <f ca="1">'USD Swap PVs'!P41</f>
        <v>632566.34328804398</v>
      </c>
      <c r="F98" s="278">
        <f ca="1">'USD Swap PVs'!Q41</f>
        <v>421710.89552536234</v>
      </c>
      <c r="G98" s="278">
        <f ca="1">'USD Swap PVs'!R41</f>
        <v>210855.44776268172</v>
      </c>
      <c r="H98" s="278">
        <f ca="1">'USD Swap PVs'!S41</f>
        <v>0</v>
      </c>
      <c r="I98" s="278">
        <f ca="1">'USD Swap PVs'!T41</f>
        <v>-210855.44776268172</v>
      </c>
      <c r="J98" s="278">
        <f ca="1">'USD Swap PVs'!U41</f>
        <v>-421710.8955253631</v>
      </c>
      <c r="K98" s="278">
        <f ca="1">'USD Swap PVs'!V41</f>
        <v>-632566.34328804479</v>
      </c>
      <c r="L98" s="278">
        <f ca="1">'USD Swap PVs'!W41</f>
        <v>-843421.7910507262</v>
      </c>
      <c r="M98" s="279">
        <f ca="1">'USD Swap PVs'!X41</f>
        <v>-1054277.2388134082</v>
      </c>
    </row>
    <row r="99" spans="2:26">
      <c r="B99" s="282" t="s">
        <v>15</v>
      </c>
      <c r="C99" s="278">
        <f ca="1">'USD Swap PVs'!N42</f>
        <v>1239840.6415149069</v>
      </c>
      <c r="D99" s="278">
        <f ca="1">'USD Swap PVs'!O42</f>
        <v>991872.51321192528</v>
      </c>
      <c r="E99" s="278">
        <f ca="1">'USD Swap PVs'!P42</f>
        <v>743904.38490894309</v>
      </c>
      <c r="F99" s="278">
        <f ca="1">'USD Swap PVs'!Q42</f>
        <v>495936.25660596177</v>
      </c>
      <c r="G99" s="278">
        <f ca="1">'USD Swap PVs'!R42</f>
        <v>247968.12830298155</v>
      </c>
      <c r="H99" s="278">
        <f ca="1">'USD Swap PVs'!S42</f>
        <v>0</v>
      </c>
      <c r="I99" s="278">
        <f ca="1">'USD Swap PVs'!T42</f>
        <v>-247968.12830298214</v>
      </c>
      <c r="J99" s="278">
        <f ca="1">'USD Swap PVs'!U42</f>
        <v>-495936.2566059634</v>
      </c>
      <c r="K99" s="278">
        <f ca="1">'USD Swap PVs'!V42</f>
        <v>-743904.38490894507</v>
      </c>
      <c r="L99" s="278">
        <f ca="1">'USD Swap PVs'!W42</f>
        <v>-991872.51321192645</v>
      </c>
      <c r="M99" s="279">
        <f ca="1">'USD Swap PVs'!X42</f>
        <v>-1239840.6415149078</v>
      </c>
    </row>
    <row r="100" spans="2:26">
      <c r="B100" s="282" t="s">
        <v>14</v>
      </c>
      <c r="C100" s="278">
        <f ca="1">'USD Swap PVs'!N43</f>
        <v>1381003.7389991134</v>
      </c>
      <c r="D100" s="278">
        <f ca="1">'USD Swap PVs'!O43</f>
        <v>1104802.9911992906</v>
      </c>
      <c r="E100" s="278">
        <f ca="1">'USD Swap PVs'!P43</f>
        <v>828602.24339946732</v>
      </c>
      <c r="F100" s="278">
        <f ca="1">'USD Swap PVs'!Q43</f>
        <v>552401.49559964368</v>
      </c>
      <c r="G100" s="278">
        <f ca="1">'USD Swap PVs'!R43</f>
        <v>276200.7477998223</v>
      </c>
      <c r="H100" s="278">
        <f ca="1">'USD Swap PVs'!S43</f>
        <v>0</v>
      </c>
      <c r="I100" s="278">
        <f ca="1">'USD Swap PVs'!T43</f>
        <v>-276200.74779982376</v>
      </c>
      <c r="J100" s="278">
        <f ca="1">'USD Swap PVs'!U43</f>
        <v>-552401.49559964647</v>
      </c>
      <c r="K100" s="278">
        <f ca="1">'USD Swap PVs'!V43</f>
        <v>-828602.24339946965</v>
      </c>
      <c r="L100" s="278">
        <f ca="1">'USD Swap PVs'!W43</f>
        <v>-1104802.9911992927</v>
      </c>
      <c r="M100" s="279">
        <f ca="1">'USD Swap PVs'!X43</f>
        <v>-1381003.7389991158</v>
      </c>
    </row>
    <row r="101" spans="2:26">
      <c r="B101" s="282"/>
      <c r="C101" s="278"/>
      <c r="D101" s="278"/>
      <c r="E101" s="278"/>
      <c r="F101" s="278"/>
      <c r="G101" s="278"/>
      <c r="H101" s="278"/>
      <c r="I101" s="278"/>
      <c r="J101" s="278"/>
      <c r="K101" s="278"/>
      <c r="L101" s="278"/>
      <c r="M101" s="279"/>
    </row>
    <row r="102" spans="2:26">
      <c r="B102" s="282"/>
      <c r="C102" s="278"/>
      <c r="D102" s="278"/>
      <c r="E102" s="278"/>
      <c r="F102" s="278"/>
      <c r="G102" s="278"/>
      <c r="H102" s="278"/>
      <c r="I102" s="278"/>
      <c r="J102" s="278"/>
      <c r="K102" s="278"/>
      <c r="L102" s="278"/>
      <c r="M102" s="279"/>
    </row>
    <row r="103" spans="2:26">
      <c r="B103" s="282"/>
      <c r="C103" s="278"/>
      <c r="D103" s="278"/>
      <c r="E103" s="278"/>
      <c r="F103" s="278"/>
      <c r="G103" s="278"/>
      <c r="H103" s="278"/>
      <c r="I103" s="278"/>
      <c r="J103" s="278"/>
      <c r="K103" s="278"/>
      <c r="L103" s="278"/>
      <c r="M103" s="279"/>
    </row>
    <row r="104" spans="2:26">
      <c r="B104" s="283"/>
      <c r="C104" s="280"/>
      <c r="D104" s="280"/>
      <c r="E104" s="280"/>
      <c r="F104" s="280"/>
      <c r="G104" s="280"/>
      <c r="H104" s="280"/>
      <c r="I104" s="280"/>
      <c r="J104" s="280"/>
      <c r="K104" s="280"/>
      <c r="L104" s="280"/>
      <c r="M104" s="281"/>
    </row>
    <row r="106" spans="2:26">
      <c r="B106" s="258" t="s">
        <v>472</v>
      </c>
      <c r="O106" s="258" t="s">
        <v>472</v>
      </c>
    </row>
    <row r="107" spans="2:26">
      <c r="B107" s="254" t="s">
        <v>468</v>
      </c>
      <c r="C107" s="287">
        <v>500</v>
      </c>
      <c r="D107" s="287">
        <v>400</v>
      </c>
      <c r="E107" s="287">
        <v>300</v>
      </c>
      <c r="F107" s="287">
        <v>200</v>
      </c>
      <c r="G107" s="287">
        <v>100</v>
      </c>
      <c r="H107" s="287">
        <v>0</v>
      </c>
      <c r="I107" s="287">
        <v>-100</v>
      </c>
      <c r="J107" s="287">
        <v>-200</v>
      </c>
      <c r="K107" s="287">
        <v>-300</v>
      </c>
      <c r="L107" s="287">
        <v>-400</v>
      </c>
      <c r="M107" s="288">
        <v>-500</v>
      </c>
      <c r="O107" s="254" t="s">
        <v>468</v>
      </c>
      <c r="P107" s="276">
        <v>-0.05</v>
      </c>
      <c r="Q107" s="276">
        <v>-0.04</v>
      </c>
      <c r="R107" s="276">
        <v>-0.03</v>
      </c>
      <c r="S107" s="276">
        <v>-1.9999999999999997E-2</v>
      </c>
      <c r="T107" s="276">
        <v>-9.9999999999999967E-3</v>
      </c>
      <c r="U107" s="276">
        <v>0</v>
      </c>
      <c r="V107" s="276">
        <v>0.01</v>
      </c>
      <c r="W107" s="276">
        <v>0.02</v>
      </c>
      <c r="X107" s="276">
        <v>0.03</v>
      </c>
      <c r="Y107" s="276">
        <v>0.04</v>
      </c>
      <c r="Z107" s="277">
        <v>0.05</v>
      </c>
    </row>
    <row r="108" spans="2:26">
      <c r="B108" s="282" t="s">
        <v>35</v>
      </c>
      <c r="C108" s="278">
        <f ca="1">IF(C86&gt;D86,0,1)</f>
        <v>0</v>
      </c>
      <c r="D108" s="278">
        <f t="shared" ref="D108:M108" ca="1" si="6">IF(D86&gt;E86,0,1)</f>
        <v>0</v>
      </c>
      <c r="E108" s="278">
        <f t="shared" ca="1" si="6"/>
        <v>0</v>
      </c>
      <c r="F108" s="278">
        <f t="shared" ca="1" si="6"/>
        <v>0</v>
      </c>
      <c r="G108" s="278">
        <f t="shared" ca="1" si="6"/>
        <v>0</v>
      </c>
      <c r="H108" s="278">
        <f t="shared" ca="1" si="6"/>
        <v>0</v>
      </c>
      <c r="I108" s="278">
        <f t="shared" ca="1" si="6"/>
        <v>0</v>
      </c>
      <c r="J108" s="278">
        <f t="shared" ca="1" si="6"/>
        <v>0</v>
      </c>
      <c r="K108" s="278">
        <f t="shared" ca="1" si="6"/>
        <v>0</v>
      </c>
      <c r="L108" s="278">
        <f t="shared" ca="1" si="6"/>
        <v>0</v>
      </c>
      <c r="M108" s="285" t="s">
        <v>6</v>
      </c>
      <c r="O108" s="282" t="s">
        <v>35</v>
      </c>
      <c r="P108" s="289">
        <f ca="1">IF(ABS(C87)&gt;ABS(C86),0,1)</f>
        <v>0</v>
      </c>
      <c r="Q108" s="289">
        <f t="shared" ref="Q108:T123" ca="1" si="7">IF(ABS(D87)&gt;ABS(D86),0,1)</f>
        <v>0</v>
      </c>
      <c r="R108" s="289">
        <f t="shared" ca="1" si="7"/>
        <v>0</v>
      </c>
      <c r="S108" s="289">
        <f t="shared" ca="1" si="7"/>
        <v>0</v>
      </c>
      <c r="T108" s="289">
        <f t="shared" ca="1" si="7"/>
        <v>0</v>
      </c>
      <c r="U108" s="295" t="s">
        <v>6</v>
      </c>
      <c r="V108" s="289">
        <f t="shared" ref="V108:Z123" ca="1" si="8">IF(ABS(I87)&gt;ABS(I86),0,1)</f>
        <v>0</v>
      </c>
      <c r="W108" s="289">
        <f t="shared" ca="1" si="8"/>
        <v>0</v>
      </c>
      <c r="X108" s="289">
        <f t="shared" ca="1" si="8"/>
        <v>0</v>
      </c>
      <c r="Y108" s="289">
        <f t="shared" ca="1" si="8"/>
        <v>0</v>
      </c>
      <c r="Z108" s="291">
        <f t="shared" ca="1" si="8"/>
        <v>0</v>
      </c>
    </row>
    <row r="109" spans="2:26">
      <c r="B109" s="282" t="s">
        <v>33</v>
      </c>
      <c r="C109" s="278">
        <f t="shared" ref="C109:M124" ca="1" si="9">IF(C87&gt;D87,0,1)</f>
        <v>0</v>
      </c>
      <c r="D109" s="278">
        <f t="shared" ca="1" si="9"/>
        <v>0</v>
      </c>
      <c r="E109" s="278">
        <f t="shared" ca="1" si="9"/>
        <v>0</v>
      </c>
      <c r="F109" s="278">
        <f t="shared" ca="1" si="9"/>
        <v>0</v>
      </c>
      <c r="G109" s="278">
        <f t="shared" ca="1" si="9"/>
        <v>0</v>
      </c>
      <c r="H109" s="278">
        <f t="shared" ca="1" si="9"/>
        <v>0</v>
      </c>
      <c r="I109" s="278">
        <f t="shared" ca="1" si="9"/>
        <v>0</v>
      </c>
      <c r="J109" s="278">
        <f t="shared" ca="1" si="9"/>
        <v>0</v>
      </c>
      <c r="K109" s="278">
        <f t="shared" ca="1" si="9"/>
        <v>0</v>
      </c>
      <c r="L109" s="278">
        <f t="shared" ca="1" si="9"/>
        <v>0</v>
      </c>
      <c r="M109" s="279" t="s">
        <v>6</v>
      </c>
      <c r="O109" s="282" t="s">
        <v>33</v>
      </c>
      <c r="P109" s="289">
        <f t="shared" ref="P109:T124" ca="1" si="10">IF(ABS(C88)&gt;ABS(C87),0,1)</f>
        <v>0</v>
      </c>
      <c r="Q109" s="289">
        <f t="shared" ca="1" si="7"/>
        <v>0</v>
      </c>
      <c r="R109" s="289">
        <f t="shared" ca="1" si="7"/>
        <v>0</v>
      </c>
      <c r="S109" s="289">
        <f t="shared" ca="1" si="7"/>
        <v>0</v>
      </c>
      <c r="T109" s="289">
        <f t="shared" ca="1" si="7"/>
        <v>0</v>
      </c>
      <c r="U109" s="295" t="s">
        <v>6</v>
      </c>
      <c r="V109" s="289">
        <f t="shared" ca="1" si="8"/>
        <v>0</v>
      </c>
      <c r="W109" s="289">
        <f t="shared" ca="1" si="8"/>
        <v>0</v>
      </c>
      <c r="X109" s="289">
        <f t="shared" ca="1" si="8"/>
        <v>0</v>
      </c>
      <c r="Y109" s="289">
        <f t="shared" ca="1" si="8"/>
        <v>0</v>
      </c>
      <c r="Z109" s="292">
        <f t="shared" ca="1" si="8"/>
        <v>0</v>
      </c>
    </row>
    <row r="110" spans="2:26">
      <c r="B110" s="282" t="s">
        <v>131</v>
      </c>
      <c r="C110" s="278">
        <f t="shared" ca="1" si="9"/>
        <v>0</v>
      </c>
      <c r="D110" s="278">
        <f t="shared" ca="1" si="9"/>
        <v>0</v>
      </c>
      <c r="E110" s="278">
        <f t="shared" ca="1" si="9"/>
        <v>0</v>
      </c>
      <c r="F110" s="278">
        <f t="shared" ca="1" si="9"/>
        <v>0</v>
      </c>
      <c r="G110" s="278">
        <f t="shared" ca="1" si="9"/>
        <v>0</v>
      </c>
      <c r="H110" s="278">
        <f t="shared" ca="1" si="9"/>
        <v>0</v>
      </c>
      <c r="I110" s="278">
        <f t="shared" ca="1" si="9"/>
        <v>0</v>
      </c>
      <c r="J110" s="278">
        <f t="shared" ca="1" si="9"/>
        <v>0</v>
      </c>
      <c r="K110" s="278">
        <f t="shared" ca="1" si="9"/>
        <v>0</v>
      </c>
      <c r="L110" s="278">
        <f t="shared" ca="1" si="9"/>
        <v>0</v>
      </c>
      <c r="M110" s="279" t="s">
        <v>6</v>
      </c>
      <c r="O110" s="282" t="s">
        <v>131</v>
      </c>
      <c r="P110" s="289">
        <f t="shared" ca="1" si="10"/>
        <v>0</v>
      </c>
      <c r="Q110" s="289">
        <f t="shared" ca="1" si="7"/>
        <v>0</v>
      </c>
      <c r="R110" s="289">
        <f t="shared" ca="1" si="7"/>
        <v>0</v>
      </c>
      <c r="S110" s="289">
        <f t="shared" ca="1" si="7"/>
        <v>0</v>
      </c>
      <c r="T110" s="289">
        <f t="shared" ca="1" si="7"/>
        <v>0</v>
      </c>
      <c r="U110" s="295" t="s">
        <v>6</v>
      </c>
      <c r="V110" s="289">
        <f t="shared" ca="1" si="8"/>
        <v>0</v>
      </c>
      <c r="W110" s="289">
        <f t="shared" ca="1" si="8"/>
        <v>0</v>
      </c>
      <c r="X110" s="289">
        <f t="shared" ca="1" si="8"/>
        <v>0</v>
      </c>
      <c r="Y110" s="289">
        <f t="shared" ca="1" si="8"/>
        <v>0</v>
      </c>
      <c r="Z110" s="292">
        <f t="shared" ca="1" si="8"/>
        <v>0</v>
      </c>
    </row>
    <row r="111" spans="2:26">
      <c r="B111" s="282" t="s">
        <v>31</v>
      </c>
      <c r="C111" s="278">
        <f t="shared" ca="1" si="9"/>
        <v>0</v>
      </c>
      <c r="D111" s="278">
        <f t="shared" ca="1" si="9"/>
        <v>0</v>
      </c>
      <c r="E111" s="278">
        <f t="shared" ca="1" si="9"/>
        <v>0</v>
      </c>
      <c r="F111" s="278">
        <f t="shared" ca="1" si="9"/>
        <v>0</v>
      </c>
      <c r="G111" s="278">
        <f t="shared" ca="1" si="9"/>
        <v>0</v>
      </c>
      <c r="H111" s="278">
        <f t="shared" ca="1" si="9"/>
        <v>0</v>
      </c>
      <c r="I111" s="278">
        <f t="shared" ca="1" si="9"/>
        <v>0</v>
      </c>
      <c r="J111" s="278">
        <f t="shared" ca="1" si="9"/>
        <v>0</v>
      </c>
      <c r="K111" s="278">
        <f t="shared" ca="1" si="9"/>
        <v>0</v>
      </c>
      <c r="L111" s="278">
        <f t="shared" ca="1" si="9"/>
        <v>0</v>
      </c>
      <c r="M111" s="279" t="s">
        <v>6</v>
      </c>
      <c r="O111" s="282" t="s">
        <v>31</v>
      </c>
      <c r="P111" s="289">
        <f t="shared" ca="1" si="10"/>
        <v>0</v>
      </c>
      <c r="Q111" s="289">
        <f t="shared" ca="1" si="7"/>
        <v>0</v>
      </c>
      <c r="R111" s="289">
        <f t="shared" ca="1" si="7"/>
        <v>0</v>
      </c>
      <c r="S111" s="289">
        <f t="shared" ca="1" si="7"/>
        <v>0</v>
      </c>
      <c r="T111" s="289">
        <f t="shared" ca="1" si="7"/>
        <v>0</v>
      </c>
      <c r="U111" s="295" t="s">
        <v>6</v>
      </c>
      <c r="V111" s="289">
        <f t="shared" ca="1" si="8"/>
        <v>0</v>
      </c>
      <c r="W111" s="289">
        <f t="shared" ca="1" si="8"/>
        <v>0</v>
      </c>
      <c r="X111" s="289">
        <f t="shared" ca="1" si="8"/>
        <v>0</v>
      </c>
      <c r="Y111" s="289">
        <f t="shared" ca="1" si="8"/>
        <v>0</v>
      </c>
      <c r="Z111" s="292">
        <f t="shared" ca="1" si="8"/>
        <v>0</v>
      </c>
    </row>
    <row r="112" spans="2:26">
      <c r="B112" s="282" t="s">
        <v>119</v>
      </c>
      <c r="C112" s="278">
        <f t="shared" ca="1" si="9"/>
        <v>0</v>
      </c>
      <c r="D112" s="278">
        <f t="shared" ca="1" si="9"/>
        <v>0</v>
      </c>
      <c r="E112" s="278">
        <f t="shared" ca="1" si="9"/>
        <v>0</v>
      </c>
      <c r="F112" s="278">
        <f t="shared" ca="1" si="9"/>
        <v>0</v>
      </c>
      <c r="G112" s="278">
        <f t="shared" ca="1" si="9"/>
        <v>0</v>
      </c>
      <c r="H112" s="278">
        <f t="shared" ca="1" si="9"/>
        <v>0</v>
      </c>
      <c r="I112" s="278">
        <f t="shared" ca="1" si="9"/>
        <v>0</v>
      </c>
      <c r="J112" s="278">
        <f t="shared" ca="1" si="9"/>
        <v>0</v>
      </c>
      <c r="K112" s="278">
        <f t="shared" ca="1" si="9"/>
        <v>0</v>
      </c>
      <c r="L112" s="278">
        <f t="shared" ca="1" si="9"/>
        <v>0</v>
      </c>
      <c r="M112" s="279" t="s">
        <v>6</v>
      </c>
      <c r="O112" s="282" t="s">
        <v>119</v>
      </c>
      <c r="P112" s="289">
        <f t="shared" ca="1" si="10"/>
        <v>0</v>
      </c>
      <c r="Q112" s="289">
        <f t="shared" ca="1" si="7"/>
        <v>0</v>
      </c>
      <c r="R112" s="289">
        <f t="shared" ca="1" si="7"/>
        <v>0</v>
      </c>
      <c r="S112" s="289">
        <f t="shared" ca="1" si="7"/>
        <v>0</v>
      </c>
      <c r="T112" s="289">
        <f t="shared" ca="1" si="7"/>
        <v>0</v>
      </c>
      <c r="U112" s="295" t="s">
        <v>6</v>
      </c>
      <c r="V112" s="289">
        <f t="shared" ca="1" si="8"/>
        <v>0</v>
      </c>
      <c r="W112" s="289">
        <f t="shared" ca="1" si="8"/>
        <v>0</v>
      </c>
      <c r="X112" s="289">
        <f t="shared" ca="1" si="8"/>
        <v>0</v>
      </c>
      <c r="Y112" s="289">
        <f t="shared" ca="1" si="8"/>
        <v>0</v>
      </c>
      <c r="Z112" s="292">
        <f t="shared" ca="1" si="8"/>
        <v>0</v>
      </c>
    </row>
    <row r="113" spans="2:26">
      <c r="B113" s="282" t="s">
        <v>113</v>
      </c>
      <c r="C113" s="278">
        <f t="shared" ca="1" si="9"/>
        <v>0</v>
      </c>
      <c r="D113" s="278">
        <f t="shared" ca="1" si="9"/>
        <v>0</v>
      </c>
      <c r="E113" s="278">
        <f t="shared" ca="1" si="9"/>
        <v>0</v>
      </c>
      <c r="F113" s="278">
        <f t="shared" ca="1" si="9"/>
        <v>0</v>
      </c>
      <c r="G113" s="278">
        <f t="shared" ca="1" si="9"/>
        <v>0</v>
      </c>
      <c r="H113" s="278">
        <f t="shared" ca="1" si="9"/>
        <v>0</v>
      </c>
      <c r="I113" s="278">
        <f t="shared" ca="1" si="9"/>
        <v>0</v>
      </c>
      <c r="J113" s="278">
        <f t="shared" ca="1" si="9"/>
        <v>0</v>
      </c>
      <c r="K113" s="278">
        <f t="shared" ca="1" si="9"/>
        <v>0</v>
      </c>
      <c r="L113" s="278">
        <f t="shared" ca="1" si="9"/>
        <v>0</v>
      </c>
      <c r="M113" s="279" t="s">
        <v>6</v>
      </c>
      <c r="O113" s="282" t="s">
        <v>113</v>
      </c>
      <c r="P113" s="289">
        <f t="shared" ca="1" si="10"/>
        <v>0</v>
      </c>
      <c r="Q113" s="289">
        <f t="shared" ca="1" si="7"/>
        <v>0</v>
      </c>
      <c r="R113" s="289">
        <f t="shared" ca="1" si="7"/>
        <v>0</v>
      </c>
      <c r="S113" s="289">
        <f t="shared" ca="1" si="7"/>
        <v>0</v>
      </c>
      <c r="T113" s="289">
        <f t="shared" ca="1" si="7"/>
        <v>0</v>
      </c>
      <c r="U113" s="295" t="s">
        <v>6</v>
      </c>
      <c r="V113" s="289">
        <f t="shared" ca="1" si="8"/>
        <v>0</v>
      </c>
      <c r="W113" s="289">
        <f t="shared" ca="1" si="8"/>
        <v>0</v>
      </c>
      <c r="X113" s="289">
        <f t="shared" ca="1" si="8"/>
        <v>0</v>
      </c>
      <c r="Y113" s="289">
        <f t="shared" ca="1" si="8"/>
        <v>0</v>
      </c>
      <c r="Z113" s="292">
        <f t="shared" ca="1" si="8"/>
        <v>0</v>
      </c>
    </row>
    <row r="114" spans="2:26">
      <c r="B114" s="282" t="s">
        <v>28</v>
      </c>
      <c r="C114" s="278">
        <f t="shared" ca="1" si="9"/>
        <v>0</v>
      </c>
      <c r="D114" s="278">
        <f t="shared" ca="1" si="9"/>
        <v>0</v>
      </c>
      <c r="E114" s="278">
        <f t="shared" ca="1" si="9"/>
        <v>0</v>
      </c>
      <c r="F114" s="278">
        <f t="shared" ca="1" si="9"/>
        <v>0</v>
      </c>
      <c r="G114" s="278">
        <f t="shared" ca="1" si="9"/>
        <v>0</v>
      </c>
      <c r="H114" s="278">
        <f t="shared" ca="1" si="9"/>
        <v>0</v>
      </c>
      <c r="I114" s="278">
        <f t="shared" ca="1" si="9"/>
        <v>0</v>
      </c>
      <c r="J114" s="278">
        <f t="shared" ca="1" si="9"/>
        <v>0</v>
      </c>
      <c r="K114" s="278">
        <f t="shared" ca="1" si="9"/>
        <v>0</v>
      </c>
      <c r="L114" s="278">
        <f t="shared" ca="1" si="9"/>
        <v>0</v>
      </c>
      <c r="M114" s="279" t="s">
        <v>6</v>
      </c>
      <c r="O114" s="282" t="s">
        <v>28</v>
      </c>
      <c r="P114" s="289">
        <f t="shared" ca="1" si="10"/>
        <v>0</v>
      </c>
      <c r="Q114" s="289">
        <f t="shared" ca="1" si="7"/>
        <v>0</v>
      </c>
      <c r="R114" s="289">
        <f t="shared" ca="1" si="7"/>
        <v>0</v>
      </c>
      <c r="S114" s="289">
        <f t="shared" ca="1" si="7"/>
        <v>0</v>
      </c>
      <c r="T114" s="289">
        <f t="shared" ca="1" si="7"/>
        <v>0</v>
      </c>
      <c r="U114" s="295" t="s">
        <v>6</v>
      </c>
      <c r="V114" s="289">
        <f t="shared" ca="1" si="8"/>
        <v>0</v>
      </c>
      <c r="W114" s="289">
        <f t="shared" ca="1" si="8"/>
        <v>0</v>
      </c>
      <c r="X114" s="289">
        <f t="shared" ca="1" si="8"/>
        <v>0</v>
      </c>
      <c r="Y114" s="289">
        <f t="shared" ca="1" si="8"/>
        <v>0</v>
      </c>
      <c r="Z114" s="292">
        <f t="shared" ca="1" si="8"/>
        <v>0</v>
      </c>
    </row>
    <row r="115" spans="2:26">
      <c r="B115" s="282" t="s">
        <v>366</v>
      </c>
      <c r="C115" s="278">
        <f t="shared" ca="1" si="9"/>
        <v>0</v>
      </c>
      <c r="D115" s="278">
        <f t="shared" ca="1" si="9"/>
        <v>0</v>
      </c>
      <c r="E115" s="278">
        <f t="shared" ca="1" si="9"/>
        <v>0</v>
      </c>
      <c r="F115" s="278">
        <f t="shared" ca="1" si="9"/>
        <v>0</v>
      </c>
      <c r="G115" s="278">
        <f t="shared" ca="1" si="9"/>
        <v>0</v>
      </c>
      <c r="H115" s="278">
        <f t="shared" ca="1" si="9"/>
        <v>0</v>
      </c>
      <c r="I115" s="278">
        <f t="shared" ca="1" si="9"/>
        <v>0</v>
      </c>
      <c r="J115" s="278">
        <f t="shared" ca="1" si="9"/>
        <v>0</v>
      </c>
      <c r="K115" s="278">
        <f t="shared" ca="1" si="9"/>
        <v>0</v>
      </c>
      <c r="L115" s="278">
        <f t="shared" ca="1" si="9"/>
        <v>0</v>
      </c>
      <c r="M115" s="279" t="s">
        <v>6</v>
      </c>
      <c r="O115" s="282" t="s">
        <v>366</v>
      </c>
      <c r="P115" s="289">
        <f t="shared" ca="1" si="10"/>
        <v>0</v>
      </c>
      <c r="Q115" s="289">
        <f t="shared" ca="1" si="7"/>
        <v>0</v>
      </c>
      <c r="R115" s="289">
        <f t="shared" ca="1" si="7"/>
        <v>0</v>
      </c>
      <c r="S115" s="289">
        <f t="shared" ca="1" si="7"/>
        <v>0</v>
      </c>
      <c r="T115" s="289">
        <f t="shared" ca="1" si="7"/>
        <v>0</v>
      </c>
      <c r="U115" s="295" t="s">
        <v>6</v>
      </c>
      <c r="V115" s="289">
        <f t="shared" ca="1" si="8"/>
        <v>0</v>
      </c>
      <c r="W115" s="289">
        <f t="shared" ca="1" si="8"/>
        <v>0</v>
      </c>
      <c r="X115" s="289">
        <f t="shared" ca="1" si="8"/>
        <v>0</v>
      </c>
      <c r="Y115" s="289">
        <f t="shared" ca="1" si="8"/>
        <v>0</v>
      </c>
      <c r="Z115" s="292">
        <f t="shared" ca="1" si="8"/>
        <v>0</v>
      </c>
    </row>
    <row r="116" spans="2:26">
      <c r="B116" s="282" t="s">
        <v>26</v>
      </c>
      <c r="C116" s="278">
        <f t="shared" ca="1" si="9"/>
        <v>0</v>
      </c>
      <c r="D116" s="278">
        <f t="shared" ca="1" si="9"/>
        <v>0</v>
      </c>
      <c r="E116" s="278">
        <f t="shared" ca="1" si="9"/>
        <v>0</v>
      </c>
      <c r="F116" s="278">
        <f t="shared" ca="1" si="9"/>
        <v>0</v>
      </c>
      <c r="G116" s="278">
        <f t="shared" ca="1" si="9"/>
        <v>0</v>
      </c>
      <c r="H116" s="278">
        <f t="shared" ca="1" si="9"/>
        <v>0</v>
      </c>
      <c r="I116" s="278">
        <f t="shared" ca="1" si="9"/>
        <v>0</v>
      </c>
      <c r="J116" s="278">
        <f t="shared" ca="1" si="9"/>
        <v>0</v>
      </c>
      <c r="K116" s="278">
        <f t="shared" ca="1" si="9"/>
        <v>0</v>
      </c>
      <c r="L116" s="278">
        <f t="shared" ca="1" si="9"/>
        <v>0</v>
      </c>
      <c r="M116" s="279" t="s">
        <v>6</v>
      </c>
      <c r="O116" s="282" t="s">
        <v>26</v>
      </c>
      <c r="P116" s="289">
        <f t="shared" ca="1" si="10"/>
        <v>0</v>
      </c>
      <c r="Q116" s="289">
        <f t="shared" ca="1" si="7"/>
        <v>0</v>
      </c>
      <c r="R116" s="289">
        <f t="shared" ca="1" si="7"/>
        <v>0</v>
      </c>
      <c r="S116" s="289">
        <f t="shared" ca="1" si="7"/>
        <v>0</v>
      </c>
      <c r="T116" s="289">
        <f t="shared" ca="1" si="7"/>
        <v>0</v>
      </c>
      <c r="U116" s="295" t="s">
        <v>6</v>
      </c>
      <c r="V116" s="289">
        <f t="shared" ca="1" si="8"/>
        <v>0</v>
      </c>
      <c r="W116" s="289">
        <f t="shared" ca="1" si="8"/>
        <v>0</v>
      </c>
      <c r="X116" s="289">
        <f t="shared" ca="1" si="8"/>
        <v>0</v>
      </c>
      <c r="Y116" s="289">
        <f t="shared" ca="1" si="8"/>
        <v>0</v>
      </c>
      <c r="Z116" s="292">
        <f t="shared" ca="1" si="8"/>
        <v>0</v>
      </c>
    </row>
    <row r="117" spans="2:26">
      <c r="B117" s="282" t="s">
        <v>24</v>
      </c>
      <c r="C117" s="278">
        <f t="shared" ca="1" si="9"/>
        <v>0</v>
      </c>
      <c r="D117" s="278">
        <f t="shared" ca="1" si="9"/>
        <v>0</v>
      </c>
      <c r="E117" s="278">
        <f t="shared" ca="1" si="9"/>
        <v>0</v>
      </c>
      <c r="F117" s="278">
        <f t="shared" ca="1" si="9"/>
        <v>0</v>
      </c>
      <c r="G117" s="278">
        <f t="shared" ca="1" si="9"/>
        <v>0</v>
      </c>
      <c r="H117" s="278">
        <f t="shared" ca="1" si="9"/>
        <v>0</v>
      </c>
      <c r="I117" s="278">
        <f t="shared" ca="1" si="9"/>
        <v>0</v>
      </c>
      <c r="J117" s="278">
        <f t="shared" ca="1" si="9"/>
        <v>0</v>
      </c>
      <c r="K117" s="278">
        <f t="shared" ca="1" si="9"/>
        <v>0</v>
      </c>
      <c r="L117" s="278">
        <f t="shared" ca="1" si="9"/>
        <v>0</v>
      </c>
      <c r="M117" s="279" t="s">
        <v>6</v>
      </c>
      <c r="O117" s="282" t="s">
        <v>24</v>
      </c>
      <c r="P117" s="289">
        <f t="shared" ca="1" si="10"/>
        <v>0</v>
      </c>
      <c r="Q117" s="289">
        <f t="shared" ca="1" si="7"/>
        <v>0</v>
      </c>
      <c r="R117" s="289">
        <f t="shared" ca="1" si="7"/>
        <v>0</v>
      </c>
      <c r="S117" s="289">
        <f t="shared" ca="1" si="7"/>
        <v>0</v>
      </c>
      <c r="T117" s="289">
        <f t="shared" ca="1" si="7"/>
        <v>0</v>
      </c>
      <c r="U117" s="295" t="s">
        <v>6</v>
      </c>
      <c r="V117" s="289">
        <f t="shared" ca="1" si="8"/>
        <v>0</v>
      </c>
      <c r="W117" s="289">
        <f t="shared" ca="1" si="8"/>
        <v>0</v>
      </c>
      <c r="X117" s="289">
        <f t="shared" ca="1" si="8"/>
        <v>0</v>
      </c>
      <c r="Y117" s="289">
        <f t="shared" ca="1" si="8"/>
        <v>0</v>
      </c>
      <c r="Z117" s="292">
        <f t="shared" ca="1" si="8"/>
        <v>0</v>
      </c>
    </row>
    <row r="118" spans="2:26">
      <c r="B118" s="282" t="s">
        <v>20</v>
      </c>
      <c r="C118" s="278">
        <f t="shared" ca="1" si="9"/>
        <v>0</v>
      </c>
      <c r="D118" s="278">
        <f t="shared" ca="1" si="9"/>
        <v>0</v>
      </c>
      <c r="E118" s="278">
        <f t="shared" ca="1" si="9"/>
        <v>0</v>
      </c>
      <c r="F118" s="278">
        <f t="shared" ca="1" si="9"/>
        <v>0</v>
      </c>
      <c r="G118" s="278">
        <f t="shared" ca="1" si="9"/>
        <v>0</v>
      </c>
      <c r="H118" s="278">
        <f t="shared" ca="1" si="9"/>
        <v>0</v>
      </c>
      <c r="I118" s="278">
        <f t="shared" ca="1" si="9"/>
        <v>0</v>
      </c>
      <c r="J118" s="278">
        <f t="shared" ca="1" si="9"/>
        <v>0</v>
      </c>
      <c r="K118" s="278">
        <f t="shared" ca="1" si="9"/>
        <v>0</v>
      </c>
      <c r="L118" s="278">
        <f t="shared" ca="1" si="9"/>
        <v>0</v>
      </c>
      <c r="M118" s="279" t="s">
        <v>6</v>
      </c>
      <c r="O118" s="282" t="s">
        <v>20</v>
      </c>
      <c r="P118" s="289">
        <f t="shared" ca="1" si="10"/>
        <v>0</v>
      </c>
      <c r="Q118" s="289">
        <f t="shared" ca="1" si="7"/>
        <v>0</v>
      </c>
      <c r="R118" s="289">
        <f t="shared" ca="1" si="7"/>
        <v>0</v>
      </c>
      <c r="S118" s="289">
        <f t="shared" ca="1" si="7"/>
        <v>0</v>
      </c>
      <c r="T118" s="289">
        <f t="shared" ca="1" si="7"/>
        <v>0</v>
      </c>
      <c r="U118" s="295" t="s">
        <v>6</v>
      </c>
      <c r="V118" s="289">
        <f t="shared" ca="1" si="8"/>
        <v>0</v>
      </c>
      <c r="W118" s="289">
        <f t="shared" ca="1" si="8"/>
        <v>0</v>
      </c>
      <c r="X118" s="289">
        <f t="shared" ca="1" si="8"/>
        <v>0</v>
      </c>
      <c r="Y118" s="289">
        <f t="shared" ca="1" si="8"/>
        <v>0</v>
      </c>
      <c r="Z118" s="292">
        <f t="shared" ca="1" si="8"/>
        <v>0</v>
      </c>
    </row>
    <row r="119" spans="2:26">
      <c r="B119" s="282" t="s">
        <v>18</v>
      </c>
      <c r="C119" s="278">
        <f t="shared" ca="1" si="9"/>
        <v>0</v>
      </c>
      <c r="D119" s="278">
        <f t="shared" ca="1" si="9"/>
        <v>0</v>
      </c>
      <c r="E119" s="278">
        <f t="shared" ca="1" si="9"/>
        <v>0</v>
      </c>
      <c r="F119" s="278">
        <f t="shared" ca="1" si="9"/>
        <v>0</v>
      </c>
      <c r="G119" s="278">
        <f t="shared" ca="1" si="9"/>
        <v>0</v>
      </c>
      <c r="H119" s="278">
        <f t="shared" ca="1" si="9"/>
        <v>0</v>
      </c>
      <c r="I119" s="278">
        <f t="shared" ca="1" si="9"/>
        <v>0</v>
      </c>
      <c r="J119" s="278">
        <f t="shared" ca="1" si="9"/>
        <v>0</v>
      </c>
      <c r="K119" s="278">
        <f t="shared" ca="1" si="9"/>
        <v>0</v>
      </c>
      <c r="L119" s="278">
        <f t="shared" ca="1" si="9"/>
        <v>0</v>
      </c>
      <c r="M119" s="279" t="s">
        <v>6</v>
      </c>
      <c r="O119" s="282" t="s">
        <v>18</v>
      </c>
      <c r="P119" s="289">
        <f t="shared" ca="1" si="10"/>
        <v>0</v>
      </c>
      <c r="Q119" s="289">
        <f t="shared" ca="1" si="7"/>
        <v>0</v>
      </c>
      <c r="R119" s="289">
        <f t="shared" ca="1" si="7"/>
        <v>0</v>
      </c>
      <c r="S119" s="289">
        <f t="shared" ca="1" si="7"/>
        <v>0</v>
      </c>
      <c r="T119" s="289">
        <f t="shared" ca="1" si="7"/>
        <v>0</v>
      </c>
      <c r="U119" s="295" t="s">
        <v>6</v>
      </c>
      <c r="V119" s="289">
        <f t="shared" ca="1" si="8"/>
        <v>0</v>
      </c>
      <c r="W119" s="289">
        <f t="shared" ca="1" si="8"/>
        <v>0</v>
      </c>
      <c r="X119" s="289">
        <f t="shared" ca="1" si="8"/>
        <v>0</v>
      </c>
      <c r="Y119" s="289">
        <f t="shared" ca="1" si="8"/>
        <v>0</v>
      </c>
      <c r="Z119" s="292">
        <f t="shared" ca="1" si="8"/>
        <v>0</v>
      </c>
    </row>
    <row r="120" spans="2:26">
      <c r="B120" s="282" t="s">
        <v>17</v>
      </c>
      <c r="C120" s="278">
        <f t="shared" ca="1" si="9"/>
        <v>0</v>
      </c>
      <c r="D120" s="278">
        <f t="shared" ca="1" si="9"/>
        <v>0</v>
      </c>
      <c r="E120" s="278">
        <f t="shared" ca="1" si="9"/>
        <v>0</v>
      </c>
      <c r="F120" s="278">
        <f t="shared" ca="1" si="9"/>
        <v>0</v>
      </c>
      <c r="G120" s="278">
        <f t="shared" ca="1" si="9"/>
        <v>0</v>
      </c>
      <c r="H120" s="278">
        <f t="shared" ca="1" si="9"/>
        <v>0</v>
      </c>
      <c r="I120" s="278">
        <f t="shared" ca="1" si="9"/>
        <v>0</v>
      </c>
      <c r="J120" s="278">
        <f t="shared" ca="1" si="9"/>
        <v>0</v>
      </c>
      <c r="K120" s="278">
        <f t="shared" ca="1" si="9"/>
        <v>0</v>
      </c>
      <c r="L120" s="278">
        <f t="shared" ca="1" si="9"/>
        <v>0</v>
      </c>
      <c r="M120" s="279" t="s">
        <v>6</v>
      </c>
      <c r="O120" s="282" t="s">
        <v>17</v>
      </c>
      <c r="P120" s="289">
        <f t="shared" ca="1" si="10"/>
        <v>0</v>
      </c>
      <c r="Q120" s="289">
        <f t="shared" ca="1" si="7"/>
        <v>0</v>
      </c>
      <c r="R120" s="289">
        <f t="shared" ca="1" si="7"/>
        <v>0</v>
      </c>
      <c r="S120" s="289">
        <f t="shared" ca="1" si="7"/>
        <v>0</v>
      </c>
      <c r="T120" s="289">
        <f t="shared" ca="1" si="7"/>
        <v>0</v>
      </c>
      <c r="U120" s="295" t="s">
        <v>6</v>
      </c>
      <c r="V120" s="289">
        <f t="shared" ca="1" si="8"/>
        <v>0</v>
      </c>
      <c r="W120" s="289">
        <f t="shared" ca="1" si="8"/>
        <v>0</v>
      </c>
      <c r="X120" s="289">
        <f t="shared" ca="1" si="8"/>
        <v>0</v>
      </c>
      <c r="Y120" s="289">
        <f t="shared" ca="1" si="8"/>
        <v>0</v>
      </c>
      <c r="Z120" s="292">
        <f t="shared" ca="1" si="8"/>
        <v>0</v>
      </c>
    </row>
    <row r="121" spans="2:26">
      <c r="B121" s="282" t="s">
        <v>15</v>
      </c>
      <c r="C121" s="278">
        <f t="shared" ca="1" si="9"/>
        <v>0</v>
      </c>
      <c r="D121" s="278">
        <f t="shared" ca="1" si="9"/>
        <v>0</v>
      </c>
      <c r="E121" s="278">
        <f t="shared" ca="1" si="9"/>
        <v>0</v>
      </c>
      <c r="F121" s="278">
        <f t="shared" ca="1" si="9"/>
        <v>0</v>
      </c>
      <c r="G121" s="278">
        <f t="shared" ca="1" si="9"/>
        <v>0</v>
      </c>
      <c r="H121" s="278">
        <f t="shared" ca="1" si="9"/>
        <v>0</v>
      </c>
      <c r="I121" s="278">
        <f t="shared" ca="1" si="9"/>
        <v>0</v>
      </c>
      <c r="J121" s="278">
        <f t="shared" ca="1" si="9"/>
        <v>0</v>
      </c>
      <c r="K121" s="278">
        <f t="shared" ca="1" si="9"/>
        <v>0</v>
      </c>
      <c r="L121" s="278">
        <f t="shared" ca="1" si="9"/>
        <v>0</v>
      </c>
      <c r="M121" s="279" t="s">
        <v>6</v>
      </c>
      <c r="O121" s="282" t="s">
        <v>15</v>
      </c>
      <c r="P121" s="289">
        <f t="shared" ca="1" si="10"/>
        <v>0</v>
      </c>
      <c r="Q121" s="289">
        <f t="shared" ca="1" si="7"/>
        <v>0</v>
      </c>
      <c r="R121" s="289">
        <f t="shared" ca="1" si="7"/>
        <v>0</v>
      </c>
      <c r="S121" s="289">
        <f t="shared" ca="1" si="7"/>
        <v>0</v>
      </c>
      <c r="T121" s="289">
        <f t="shared" ca="1" si="7"/>
        <v>0</v>
      </c>
      <c r="U121" s="295" t="s">
        <v>6</v>
      </c>
      <c r="V121" s="289">
        <f t="shared" ca="1" si="8"/>
        <v>0</v>
      </c>
      <c r="W121" s="289">
        <f t="shared" ca="1" si="8"/>
        <v>0</v>
      </c>
      <c r="X121" s="289">
        <f t="shared" ca="1" si="8"/>
        <v>0</v>
      </c>
      <c r="Y121" s="289">
        <f t="shared" ca="1" si="8"/>
        <v>0</v>
      </c>
      <c r="Z121" s="292">
        <f t="shared" ca="1" si="8"/>
        <v>0</v>
      </c>
    </row>
    <row r="122" spans="2:26">
      <c r="B122" s="282" t="s">
        <v>14</v>
      </c>
      <c r="C122" s="278">
        <f t="shared" ca="1" si="9"/>
        <v>0</v>
      </c>
      <c r="D122" s="278">
        <f t="shared" ca="1" si="9"/>
        <v>0</v>
      </c>
      <c r="E122" s="278">
        <f t="shared" ca="1" si="9"/>
        <v>0</v>
      </c>
      <c r="F122" s="278">
        <f t="shared" ca="1" si="9"/>
        <v>0</v>
      </c>
      <c r="G122" s="278">
        <f t="shared" ca="1" si="9"/>
        <v>0</v>
      </c>
      <c r="H122" s="278">
        <f t="shared" ca="1" si="9"/>
        <v>0</v>
      </c>
      <c r="I122" s="278">
        <f t="shared" ca="1" si="9"/>
        <v>0</v>
      </c>
      <c r="J122" s="278">
        <f t="shared" ca="1" si="9"/>
        <v>0</v>
      </c>
      <c r="K122" s="278">
        <f t="shared" ca="1" si="9"/>
        <v>0</v>
      </c>
      <c r="L122" s="278">
        <f t="shared" ca="1" si="9"/>
        <v>0</v>
      </c>
      <c r="M122" s="279" t="s">
        <v>6</v>
      </c>
      <c r="O122" s="282" t="s">
        <v>14</v>
      </c>
      <c r="P122" s="295" t="s">
        <v>6</v>
      </c>
      <c r="Q122" s="289" t="s">
        <v>6</v>
      </c>
      <c r="R122" s="289" t="s">
        <v>6</v>
      </c>
      <c r="S122" s="289" t="s">
        <v>6</v>
      </c>
      <c r="T122" s="289" t="s">
        <v>6</v>
      </c>
      <c r="U122" s="295" t="s">
        <v>6</v>
      </c>
      <c r="V122" s="289" t="s">
        <v>6</v>
      </c>
      <c r="W122" s="289" t="s">
        <v>6</v>
      </c>
      <c r="X122" s="289" t="s">
        <v>6</v>
      </c>
      <c r="Y122" s="289" t="s">
        <v>6</v>
      </c>
      <c r="Z122" s="292" t="s">
        <v>6</v>
      </c>
    </row>
    <row r="123" spans="2:26">
      <c r="B123" s="282"/>
      <c r="C123" s="278"/>
      <c r="D123" s="278"/>
      <c r="E123" s="278"/>
      <c r="F123" s="278"/>
      <c r="G123" s="278"/>
      <c r="H123" s="278"/>
      <c r="I123" s="278"/>
      <c r="J123" s="278"/>
      <c r="K123" s="278"/>
      <c r="L123" s="278"/>
      <c r="M123" s="279"/>
      <c r="O123" s="282"/>
      <c r="P123" s="289"/>
      <c r="Q123" s="289"/>
      <c r="R123" s="289"/>
      <c r="S123" s="289"/>
      <c r="T123" s="289"/>
      <c r="U123" s="295"/>
      <c r="V123" s="289"/>
      <c r="W123" s="289"/>
      <c r="X123" s="289"/>
      <c r="Y123" s="289"/>
      <c r="Z123" s="292"/>
    </row>
    <row r="124" spans="2:26">
      <c r="B124" s="282"/>
      <c r="C124" s="278"/>
      <c r="D124" s="278"/>
      <c r="E124" s="278"/>
      <c r="F124" s="278"/>
      <c r="G124" s="278"/>
      <c r="H124" s="278"/>
      <c r="I124" s="278"/>
      <c r="J124" s="278"/>
      <c r="K124" s="278"/>
      <c r="L124" s="278"/>
      <c r="M124" s="279"/>
      <c r="O124" s="282"/>
      <c r="P124" s="289"/>
      <c r="Q124" s="289"/>
      <c r="R124" s="289"/>
      <c r="S124" s="289"/>
      <c r="T124" s="289"/>
      <c r="U124" s="295"/>
      <c r="V124" s="289"/>
      <c r="W124" s="289"/>
      <c r="X124" s="289"/>
      <c r="Y124" s="289"/>
      <c r="Z124" s="292"/>
    </row>
    <row r="125" spans="2:26">
      <c r="B125" s="282"/>
      <c r="C125" s="278"/>
      <c r="D125" s="278"/>
      <c r="E125" s="278"/>
      <c r="F125" s="278"/>
      <c r="G125" s="278"/>
      <c r="H125" s="278"/>
      <c r="I125" s="278"/>
      <c r="J125" s="278"/>
      <c r="K125" s="278"/>
      <c r="L125" s="278"/>
      <c r="M125" s="279"/>
      <c r="O125" s="282"/>
      <c r="P125" s="289"/>
      <c r="Q125" s="289"/>
      <c r="R125" s="289"/>
      <c r="S125" s="289"/>
      <c r="T125" s="289"/>
      <c r="U125" s="295"/>
      <c r="V125" s="289"/>
      <c r="W125" s="289"/>
      <c r="X125" s="289"/>
      <c r="Y125" s="289"/>
      <c r="Z125" s="292"/>
    </row>
    <row r="126" spans="2:26">
      <c r="B126" s="283"/>
      <c r="C126" s="280"/>
      <c r="D126" s="280"/>
      <c r="E126" s="280"/>
      <c r="F126" s="280"/>
      <c r="G126" s="280"/>
      <c r="H126" s="280"/>
      <c r="I126" s="280"/>
      <c r="J126" s="280"/>
      <c r="K126" s="280"/>
      <c r="L126" s="280"/>
      <c r="M126" s="281"/>
      <c r="O126" s="283"/>
      <c r="P126" s="293"/>
      <c r="Q126" s="293"/>
      <c r="R126" s="293"/>
      <c r="S126" s="293"/>
      <c r="T126" s="293"/>
      <c r="U126" s="296"/>
      <c r="V126" s="293"/>
      <c r="W126" s="293"/>
      <c r="X126" s="293"/>
      <c r="Y126" s="293"/>
      <c r="Z126" s="294"/>
    </row>
    <row r="129" spans="1:13">
      <c r="A129" s="224" t="s">
        <v>480</v>
      </c>
      <c r="B129" s="290" t="s">
        <v>489</v>
      </c>
      <c r="C129" s="284"/>
      <c r="G129" s="290" t="s">
        <v>489</v>
      </c>
    </row>
    <row r="130" spans="1:13">
      <c r="B130" s="284" t="s">
        <v>487</v>
      </c>
      <c r="C130" s="284"/>
      <c r="G130" s="284" t="s">
        <v>488</v>
      </c>
      <c r="H130" s="284"/>
    </row>
    <row r="131" spans="1:13">
      <c r="B131" s="258" t="s">
        <v>474</v>
      </c>
      <c r="C131" s="286">
        <f ca="1">SUM(C157:L175)</f>
        <v>0</v>
      </c>
      <c r="G131" s="258" t="s">
        <v>474</v>
      </c>
      <c r="H131" s="286">
        <f ca="1">SUM(P157:Z175)</f>
        <v>0</v>
      </c>
    </row>
    <row r="133" spans="1:13">
      <c r="B133" s="258" t="s">
        <v>477</v>
      </c>
      <c r="C133" s="258"/>
    </row>
    <row r="134" spans="1:13">
      <c r="B134" s="254" t="s">
        <v>468</v>
      </c>
      <c r="C134" s="276">
        <v>-0.05</v>
      </c>
      <c r="D134" s="276">
        <v>-0.04</v>
      </c>
      <c r="E134" s="276">
        <v>-0.03</v>
      </c>
      <c r="F134" s="276">
        <v>-1.9999999999999997E-2</v>
      </c>
      <c r="G134" s="276">
        <v>-9.9999999999999967E-3</v>
      </c>
      <c r="H134" s="276">
        <v>0</v>
      </c>
      <c r="I134" s="276">
        <v>0.01</v>
      </c>
      <c r="J134" s="276">
        <v>0.02</v>
      </c>
      <c r="K134" s="276">
        <v>0.03</v>
      </c>
      <c r="L134" s="276">
        <v>0.04</v>
      </c>
      <c r="M134" s="277">
        <v>0.05</v>
      </c>
    </row>
    <row r="135" spans="1:13">
      <c r="B135" s="282" t="s">
        <v>35</v>
      </c>
      <c r="C135" s="278">
        <f ca="1">'USD Swap PVs'!AH4</f>
        <v>195562.52171450312</v>
      </c>
      <c r="D135" s="278">
        <f ca="1">'USD Swap PVs'!AI4</f>
        <v>156450.0173716025</v>
      </c>
      <c r="E135" s="278">
        <f ca="1">'USD Swap PVs'!AJ4</f>
        <v>117337.51302870188</v>
      </c>
      <c r="F135" s="278">
        <f ca="1">'USD Swap PVs'!AK4</f>
        <v>78225.008685801251</v>
      </c>
      <c r="G135" s="278">
        <f ca="1">'USD Swap PVs'!AL4</f>
        <v>39112.50434290064</v>
      </c>
      <c r="H135" s="278">
        <f ca="1">'USD Swap PVs'!AM4</f>
        <v>4.163336342344337E-11</v>
      </c>
      <c r="I135" s="278">
        <f ca="1">'USD Swap PVs'!AN4</f>
        <v>-39112.504342900575</v>
      </c>
      <c r="J135" s="278">
        <f ca="1">'USD Swap PVs'!AO4</f>
        <v>-78225.008685801164</v>
      </c>
      <c r="K135" s="278">
        <f ca="1">'USD Swap PVs'!AP4</f>
        <v>-117337.51302870178</v>
      </c>
      <c r="L135" s="278">
        <f ca="1">'USD Swap PVs'!AQ4</f>
        <v>-156450.01737160241</v>
      </c>
      <c r="M135" s="279">
        <f ca="1">'USD Swap PVs'!AR4</f>
        <v>-195562.521714503</v>
      </c>
    </row>
    <row r="136" spans="1:13">
      <c r="B136" s="282" t="s">
        <v>33</v>
      </c>
      <c r="C136" s="278">
        <f ca="1">'USD Swap PVs'!AH5</f>
        <v>241983.52432274862</v>
      </c>
      <c r="D136" s="278">
        <f ca="1">'USD Swap PVs'!AI5</f>
        <v>193586.81945819888</v>
      </c>
      <c r="E136" s="278">
        <f ca="1">'USD Swap PVs'!AJ5</f>
        <v>145190.11459364914</v>
      </c>
      <c r="F136" s="278">
        <f ca="1">'USD Swap PVs'!AK5</f>
        <v>96793.409729099381</v>
      </c>
      <c r="G136" s="278">
        <f ca="1">'USD Swap PVs'!AL5</f>
        <v>48396.704864549625</v>
      </c>
      <c r="H136" s="278">
        <f ca="1">'USD Swap PVs'!AM5</f>
        <v>-1.1102230246251565E-10</v>
      </c>
      <c r="I136" s="278">
        <f ca="1">'USD Swap PVs'!AN5</f>
        <v>-48396.704864549843</v>
      </c>
      <c r="J136" s="278">
        <f ca="1">'USD Swap PVs'!AO5</f>
        <v>-96793.4097290996</v>
      </c>
      <c r="K136" s="278">
        <f ca="1">'USD Swap PVs'!AP5</f>
        <v>-145190.1145936494</v>
      </c>
      <c r="L136" s="278">
        <f ca="1">'USD Swap PVs'!AQ5</f>
        <v>-193586.81945819905</v>
      </c>
      <c r="M136" s="279">
        <f ca="1">'USD Swap PVs'!AR5</f>
        <v>-241983.52432274888</v>
      </c>
    </row>
    <row r="137" spans="1:13">
      <c r="B137" s="282" t="s">
        <v>131</v>
      </c>
      <c r="C137" s="278">
        <f ca="1">'USD Swap PVs'!AH6</f>
        <v>287114.08530508803</v>
      </c>
      <c r="D137" s="278">
        <f ca="1">'USD Swap PVs'!AI6</f>
        <v>229691.26824407041</v>
      </c>
      <c r="E137" s="278">
        <f ca="1">'USD Swap PVs'!AJ6</f>
        <v>172268.45118305276</v>
      </c>
      <c r="F137" s="278">
        <f ca="1">'USD Swap PVs'!AK6</f>
        <v>114845.6341220351</v>
      </c>
      <c r="G137" s="278">
        <f ca="1">'USD Swap PVs'!AL6</f>
        <v>57422.817061017464</v>
      </c>
      <c r="H137" s="278">
        <f ca="1">'USD Swap PVs'!AM6</f>
        <v>-1.5265566588595902E-10</v>
      </c>
      <c r="I137" s="278">
        <f ca="1">'USD Swap PVs'!AN6</f>
        <v>-57422.817061017806</v>
      </c>
      <c r="J137" s="278">
        <f ca="1">'USD Swap PVs'!AO6</f>
        <v>-114845.63412203545</v>
      </c>
      <c r="K137" s="278">
        <f ca="1">'USD Swap PVs'!AP6</f>
        <v>-172268.45118305305</v>
      </c>
      <c r="L137" s="278">
        <f ca="1">'USD Swap PVs'!AQ6</f>
        <v>-229691.2682440707</v>
      </c>
      <c r="M137" s="279">
        <f ca="1">'USD Swap PVs'!AR6</f>
        <v>-287114.08530508837</v>
      </c>
    </row>
    <row r="138" spans="1:13">
      <c r="B138" s="282" t="s">
        <v>31</v>
      </c>
      <c r="C138" s="278">
        <f ca="1">'USD Swap PVs'!AH7</f>
        <v>330911.35818384023</v>
      </c>
      <c r="D138" s="278">
        <f ca="1">'USD Swap PVs'!AI7</f>
        <v>264729.08654707216</v>
      </c>
      <c r="E138" s="278">
        <f ca="1">'USD Swap PVs'!AJ7</f>
        <v>198546.81491030406</v>
      </c>
      <c r="F138" s="278">
        <f ca="1">'USD Swap PVs'!AK7</f>
        <v>132364.54327353596</v>
      </c>
      <c r="G138" s="278">
        <f ca="1">'USD Swap PVs'!AL7</f>
        <v>66182.27163676791</v>
      </c>
      <c r="H138" s="278">
        <f ca="1">'USD Swap PVs'!AM7</f>
        <v>-1.3877787807814457E-10</v>
      </c>
      <c r="I138" s="278">
        <f ca="1">'USD Swap PVs'!AN7</f>
        <v>-66182.271636768215</v>
      </c>
      <c r="J138" s="278">
        <f ca="1">'USD Swap PVs'!AO7</f>
        <v>-132364.54327353631</v>
      </c>
      <c r="K138" s="278">
        <f ca="1">'USD Swap PVs'!AP7</f>
        <v>-198546.81491030441</v>
      </c>
      <c r="L138" s="278">
        <f ca="1">'USD Swap PVs'!AQ7</f>
        <v>-264729.08654707245</v>
      </c>
      <c r="M138" s="279">
        <f ca="1">'USD Swap PVs'!AR7</f>
        <v>-330911.35818384052</v>
      </c>
    </row>
    <row r="139" spans="1:13">
      <c r="B139" s="282" t="s">
        <v>119</v>
      </c>
      <c r="C139" s="278">
        <f ca="1">'USD Swap PVs'!AH8</f>
        <v>373597.61650791427</v>
      </c>
      <c r="D139" s="278">
        <f ca="1">'USD Swap PVs'!AI8</f>
        <v>298878.09320633142</v>
      </c>
      <c r="E139" s="278">
        <f ca="1">'USD Swap PVs'!AJ8</f>
        <v>224158.5699047485</v>
      </c>
      <c r="F139" s="278">
        <f ca="1">'USD Swap PVs'!AK8</f>
        <v>149439.0466031656</v>
      </c>
      <c r="G139" s="278">
        <f ca="1">'USD Swap PVs'!AL8</f>
        <v>74719.523301582725</v>
      </c>
      <c r="H139" s="278">
        <f ca="1">'USD Swap PVs'!AM8</f>
        <v>-1.3877787807814457E-10</v>
      </c>
      <c r="I139" s="278">
        <f ca="1">'USD Swap PVs'!AN8</f>
        <v>-74719.523301583016</v>
      </c>
      <c r="J139" s="278">
        <f ca="1">'USD Swap PVs'!AO8</f>
        <v>-149439.04660316592</v>
      </c>
      <c r="K139" s="278">
        <f ca="1">'USD Swap PVs'!AP8</f>
        <v>-224158.56990474882</v>
      </c>
      <c r="L139" s="278">
        <f ca="1">'USD Swap PVs'!AQ8</f>
        <v>-298878.09320633166</v>
      </c>
      <c r="M139" s="279">
        <f ca="1">'USD Swap PVs'!AR8</f>
        <v>-373597.61650791462</v>
      </c>
    </row>
    <row r="140" spans="1:13">
      <c r="B140" s="282" t="s">
        <v>113</v>
      </c>
      <c r="C140" s="278">
        <f ca="1">'USD Swap PVs'!AH9</f>
        <v>414495.955924846</v>
      </c>
      <c r="D140" s="278">
        <f ca="1">'USD Swap PVs'!AI9</f>
        <v>331596.76473987679</v>
      </c>
      <c r="E140" s="278">
        <f ca="1">'USD Swap PVs'!AJ9</f>
        <v>248697.57355490758</v>
      </c>
      <c r="F140" s="278">
        <f ca="1">'USD Swap PVs'!AK9</f>
        <v>165798.38236993836</v>
      </c>
      <c r="G140" s="278">
        <f ca="1">'USD Swap PVs'!AL9</f>
        <v>82899.191184969153</v>
      </c>
      <c r="H140" s="278">
        <f ca="1">'USD Swap PVs'!AM9</f>
        <v>-2.7755575615628914E-11</v>
      </c>
      <c r="I140" s="278">
        <f ca="1">'USD Swap PVs'!AN9</f>
        <v>-82899.191184969211</v>
      </c>
      <c r="J140" s="278">
        <f ca="1">'USD Swap PVs'!AO9</f>
        <v>-165798.38236993839</v>
      </c>
      <c r="K140" s="278">
        <f ca="1">'USD Swap PVs'!AP9</f>
        <v>-248697.57355490761</v>
      </c>
      <c r="L140" s="278">
        <f ca="1">'USD Swap PVs'!AQ9</f>
        <v>-331596.76473987685</v>
      </c>
      <c r="M140" s="279">
        <f ca="1">'USD Swap PVs'!AR9</f>
        <v>-414495.955924846</v>
      </c>
    </row>
    <row r="141" spans="1:13">
      <c r="B141" s="282" t="s">
        <v>28</v>
      </c>
      <c r="C141" s="278">
        <f ca="1">'USD Swap PVs'!AH10</f>
        <v>454327.72847923223</v>
      </c>
      <c r="D141" s="278">
        <f ca="1">'USD Swap PVs'!AI10</f>
        <v>363462.18278338574</v>
      </c>
      <c r="E141" s="278">
        <f ca="1">'USD Swap PVs'!AJ10</f>
        <v>272596.6370875393</v>
      </c>
      <c r="F141" s="278">
        <f ca="1">'USD Swap PVs'!AK10</f>
        <v>181731.09139169278</v>
      </c>
      <c r="G141" s="278">
        <f ca="1">'USD Swap PVs'!AL10</f>
        <v>90865.545695846318</v>
      </c>
      <c r="H141" s="278">
        <f ca="1">'USD Swap PVs'!AM10</f>
        <v>-1.3877787807814457E-10</v>
      </c>
      <c r="I141" s="278">
        <f ca="1">'USD Swap PVs'!AN10</f>
        <v>-90865.545695846653</v>
      </c>
      <c r="J141" s="278">
        <f ca="1">'USD Swap PVs'!AO10</f>
        <v>-181731.09139169313</v>
      </c>
      <c r="K141" s="278">
        <f ca="1">'USD Swap PVs'!AP10</f>
        <v>-272596.63708753948</v>
      </c>
      <c r="L141" s="278">
        <f ca="1">'USD Swap PVs'!AQ10</f>
        <v>-363462.18278338597</v>
      </c>
      <c r="M141" s="279">
        <f ca="1">'USD Swap PVs'!AR10</f>
        <v>-454327.72847923258</v>
      </c>
    </row>
    <row r="142" spans="1:13">
      <c r="B142" s="282" t="s">
        <v>366</v>
      </c>
      <c r="C142" s="278">
        <f ca="1">'USD Swap PVs'!AH11</f>
        <v>492896.57612352067</v>
      </c>
      <c r="D142" s="278">
        <f ca="1">'USD Swap PVs'!AI11</f>
        <v>394317.26089881646</v>
      </c>
      <c r="E142" s="278">
        <f ca="1">'USD Swap PVs'!AJ11</f>
        <v>295737.9456741123</v>
      </c>
      <c r="F142" s="278">
        <f ca="1">'USD Swap PVs'!AK11</f>
        <v>197158.63044940817</v>
      </c>
      <c r="G142" s="278">
        <f ca="1">'USD Swap PVs'!AL11</f>
        <v>98579.315224704056</v>
      </c>
      <c r="H142" s="278">
        <f ca="1">'USD Swap PVs'!AM11</f>
        <v>-5.5511151231257827E-11</v>
      </c>
      <c r="I142" s="278">
        <f ca="1">'USD Swap PVs'!AN11</f>
        <v>-98579.315224704202</v>
      </c>
      <c r="J142" s="278">
        <f ca="1">'USD Swap PVs'!AO11</f>
        <v>-197158.63044940835</v>
      </c>
      <c r="K142" s="278">
        <f ca="1">'USD Swap PVs'!AP11</f>
        <v>-295737.94567411247</v>
      </c>
      <c r="L142" s="278">
        <f ca="1">'USD Swap PVs'!AQ11</f>
        <v>-394317.26089881657</v>
      </c>
      <c r="M142" s="279">
        <f ca="1">'USD Swap PVs'!AR11</f>
        <v>-492896.57612352091</v>
      </c>
    </row>
    <row r="143" spans="1:13">
      <c r="B143" s="282" t="s">
        <v>26</v>
      </c>
      <c r="C143" s="278">
        <f ca="1">'USD Swap PVs'!AH12</f>
        <v>530241.07095762761</v>
      </c>
      <c r="D143" s="278">
        <f ca="1">'USD Swap PVs'!AI12</f>
        <v>424192.85676610208</v>
      </c>
      <c r="E143" s="278">
        <f ca="1">'USD Swap PVs'!AJ12</f>
        <v>318144.64257457654</v>
      </c>
      <c r="F143" s="278">
        <f ca="1">'USD Swap PVs'!AK12</f>
        <v>212096.42838305092</v>
      </c>
      <c r="G143" s="278">
        <f ca="1">'USD Swap PVs'!AL12</f>
        <v>106048.21419152543</v>
      </c>
      <c r="H143" s="278">
        <f ca="1">'USD Swap PVs'!AM12</f>
        <v>-1.1102230246251565E-10</v>
      </c>
      <c r="I143" s="278">
        <f ca="1">'USD Swap PVs'!AN12</f>
        <v>-106048.21419152561</v>
      </c>
      <c r="J143" s="278">
        <f ca="1">'USD Swap PVs'!AO12</f>
        <v>-212096.42838305116</v>
      </c>
      <c r="K143" s="278">
        <f ca="1">'USD Swap PVs'!AP12</f>
        <v>-318144.64257457672</v>
      </c>
      <c r="L143" s="278">
        <f ca="1">'USD Swap PVs'!AQ12</f>
        <v>-424192.85676610225</v>
      </c>
      <c r="M143" s="279">
        <f ca="1">'USD Swap PVs'!AR12</f>
        <v>-530241.07095762773</v>
      </c>
    </row>
    <row r="144" spans="1:13">
      <c r="B144" s="282" t="s">
        <v>24</v>
      </c>
      <c r="C144" s="278">
        <f ca="1">'USD Swap PVs'!AH13</f>
        <v>635336.21014256659</v>
      </c>
      <c r="D144" s="278">
        <f ca="1">'USD Swap PVs'!AI13</f>
        <v>508268.96811405331</v>
      </c>
      <c r="E144" s="278">
        <f ca="1">'USD Swap PVs'!AJ13</f>
        <v>381201.72608553991</v>
      </c>
      <c r="F144" s="278">
        <f ca="1">'USD Swap PVs'!AK13</f>
        <v>254134.48405702654</v>
      </c>
      <c r="G144" s="278">
        <f ca="1">'USD Swap PVs'!AL13</f>
        <v>127067.24202851324</v>
      </c>
      <c r="H144" s="278">
        <f ca="1">'USD Swap PVs'!AM13</f>
        <v>-5.5511151231257827E-11</v>
      </c>
      <c r="I144" s="278">
        <f ca="1">'USD Swap PVs'!AN13</f>
        <v>-127067.24202851338</v>
      </c>
      <c r="J144" s="278">
        <f ca="1">'USD Swap PVs'!AO13</f>
        <v>-254134.48405702671</v>
      </c>
      <c r="K144" s="278">
        <f ca="1">'USD Swap PVs'!AP13</f>
        <v>-381201.72608554008</v>
      </c>
      <c r="L144" s="278">
        <f ca="1">'USD Swap PVs'!AQ13</f>
        <v>-508268.96811405331</v>
      </c>
      <c r="M144" s="279">
        <f ca="1">'USD Swap PVs'!AR13</f>
        <v>-635336.21014256682</v>
      </c>
    </row>
    <row r="145" spans="2:26">
      <c r="B145" s="282" t="s">
        <v>20</v>
      </c>
      <c r="C145" s="278">
        <f ca="1">'USD Swap PVs'!AH14</f>
        <v>789748.5521188787</v>
      </c>
      <c r="D145" s="278">
        <f ca="1">'USD Swap PVs'!AI14</f>
        <v>631798.84169510298</v>
      </c>
      <c r="E145" s="278">
        <f ca="1">'USD Swap PVs'!AJ14</f>
        <v>473849.13127132721</v>
      </c>
      <c r="F145" s="278">
        <f ca="1">'USD Swap PVs'!AK14</f>
        <v>315899.42084755143</v>
      </c>
      <c r="G145" s="278">
        <f ca="1">'USD Swap PVs'!AL14</f>
        <v>157949.71042377566</v>
      </c>
      <c r="H145" s="278">
        <f ca="1">'USD Swap PVs'!AM14</f>
        <v>0</v>
      </c>
      <c r="I145" s="278">
        <f ca="1">'USD Swap PVs'!AN14</f>
        <v>-157949.71042377574</v>
      </c>
      <c r="J145" s="278">
        <f ca="1">'USD Swap PVs'!AO14</f>
        <v>-315899.42084755143</v>
      </c>
      <c r="K145" s="278">
        <f ca="1">'USD Swap PVs'!AP14</f>
        <v>-473849.13127132726</v>
      </c>
      <c r="L145" s="278">
        <f ca="1">'USD Swap PVs'!AQ14</f>
        <v>-631798.84169510298</v>
      </c>
      <c r="M145" s="279">
        <f ca="1">'USD Swap PVs'!AR14</f>
        <v>-789748.55211887893</v>
      </c>
    </row>
    <row r="146" spans="2:26">
      <c r="B146" s="282" t="s">
        <v>18</v>
      </c>
      <c r="C146" s="278">
        <f ca="1">'USD Swap PVs'!AH15</f>
        <v>921873.9851728396</v>
      </c>
      <c r="D146" s="278">
        <f ca="1">'USD Swap PVs'!AI15</f>
        <v>737499.18813827157</v>
      </c>
      <c r="E146" s="278">
        <f ca="1">'USD Swap PVs'!AJ15</f>
        <v>553124.39110370353</v>
      </c>
      <c r="F146" s="278">
        <f ca="1">'USD Swap PVs'!AK15</f>
        <v>368749.59406913543</v>
      </c>
      <c r="G146" s="278">
        <f ca="1">'USD Swap PVs'!AL15</f>
        <v>184374.7970345674</v>
      </c>
      <c r="H146" s="278">
        <f ca="1">'USD Swap PVs'!AM15</f>
        <v>-5.5511151231257827E-10</v>
      </c>
      <c r="I146" s="278">
        <f ca="1">'USD Swap PVs'!AN15</f>
        <v>-184374.79703456862</v>
      </c>
      <c r="J146" s="278">
        <f ca="1">'USD Swap PVs'!AO15</f>
        <v>-368749.59406913654</v>
      </c>
      <c r="K146" s="278">
        <f ca="1">'USD Swap PVs'!AP15</f>
        <v>-553124.39110370469</v>
      </c>
      <c r="L146" s="278">
        <f ca="1">'USD Swap PVs'!AQ15</f>
        <v>-737499.18813827261</v>
      </c>
      <c r="M146" s="279">
        <f ca="1">'USD Swap PVs'!AR15</f>
        <v>-921873.98517284077</v>
      </c>
    </row>
    <row r="147" spans="2:26">
      <c r="B147" s="282" t="s">
        <v>17</v>
      </c>
      <c r="C147" s="278">
        <f ca="1">'USD Swap PVs'!AH16</f>
        <v>1035401.1460912407</v>
      </c>
      <c r="D147" s="278">
        <f ca="1">'USD Swap PVs'!AI16</f>
        <v>828320.91687299241</v>
      </c>
      <c r="E147" s="278">
        <f ca="1">'USD Swap PVs'!AJ16</f>
        <v>621240.68765474402</v>
      </c>
      <c r="F147" s="278">
        <f ca="1">'USD Swap PVs'!AK16</f>
        <v>414160.45843649568</v>
      </c>
      <c r="G147" s="278">
        <f ca="1">'USD Swap PVs'!AL16</f>
        <v>207080.22921824732</v>
      </c>
      <c r="H147" s="278">
        <f ca="1">'USD Swap PVs'!AM16</f>
        <v>-8.8817841970012523E-10</v>
      </c>
      <c r="I147" s="278">
        <f ca="1">'USD Swap PVs'!AN16</f>
        <v>-207080.22921824921</v>
      </c>
      <c r="J147" s="278">
        <f ca="1">'USD Swap PVs'!AO16</f>
        <v>-414160.45843649749</v>
      </c>
      <c r="K147" s="278">
        <f ca="1">'USD Swap PVs'!AP16</f>
        <v>-621240.68765474588</v>
      </c>
      <c r="L147" s="278">
        <f ca="1">'USD Swap PVs'!AQ16</f>
        <v>-828320.91687299416</v>
      </c>
      <c r="M147" s="279">
        <f ca="1">'USD Swap PVs'!AR16</f>
        <v>-1035401.1460912424</v>
      </c>
    </row>
    <row r="148" spans="2:26">
      <c r="B148" s="282" t="s">
        <v>15</v>
      </c>
      <c r="C148" s="278">
        <f ca="1">'USD Swap PVs'!AH17</f>
        <v>1217652.1488595265</v>
      </c>
      <c r="D148" s="278">
        <f ca="1">'USD Swap PVs'!AI17</f>
        <v>974121.71908762096</v>
      </c>
      <c r="E148" s="278">
        <f ca="1">'USD Swap PVs'!AJ17</f>
        <v>730591.28931571543</v>
      </c>
      <c r="F148" s="278">
        <f ca="1">'USD Swap PVs'!AK17</f>
        <v>487060.85954380984</v>
      </c>
      <c r="G148" s="278">
        <f ca="1">'USD Swap PVs'!AL17</f>
        <v>243530.42977190431</v>
      </c>
      <c r="H148" s="278">
        <f ca="1">'USD Swap PVs'!AM17</f>
        <v>-1.1102230246251565E-9</v>
      </c>
      <c r="I148" s="278">
        <f ca="1">'USD Swap PVs'!AN17</f>
        <v>-243530.42977190664</v>
      </c>
      <c r="J148" s="278">
        <f ca="1">'USD Swap PVs'!AO17</f>
        <v>-487060.85954381194</v>
      </c>
      <c r="K148" s="278">
        <f ca="1">'USD Swap PVs'!AP17</f>
        <v>-730591.28931571764</v>
      </c>
      <c r="L148" s="278">
        <f ca="1">'USD Swap PVs'!AQ17</f>
        <v>-974121.71908762329</v>
      </c>
      <c r="M148" s="279">
        <f ca="1">'USD Swap PVs'!AR17</f>
        <v>-1217652.1488595288</v>
      </c>
    </row>
    <row r="149" spans="2:26">
      <c r="B149" s="282" t="s">
        <v>14</v>
      </c>
      <c r="C149" s="278">
        <f ca="1">'USD Swap PVs'!AH18</f>
        <v>1356303.3835327958</v>
      </c>
      <c r="D149" s="278">
        <f ca="1">'USD Swap PVs'!AI18</f>
        <v>1085042.7068262366</v>
      </c>
      <c r="E149" s="278">
        <f ca="1">'USD Swap PVs'!AJ18</f>
        <v>813782.03011967696</v>
      </c>
      <c r="F149" s="278">
        <f ca="1">'USD Swap PVs'!AK18</f>
        <v>542521.35341311747</v>
      </c>
      <c r="G149" s="278">
        <f ca="1">'USD Swap PVs'!AL18</f>
        <v>271260.67670655798</v>
      </c>
      <c r="H149" s="278">
        <f ca="1">'USD Swap PVs'!AM18</f>
        <v>-1.4432899320127035E-9</v>
      </c>
      <c r="I149" s="278">
        <f ca="1">'USD Swap PVs'!AN18</f>
        <v>-271260.67670656095</v>
      </c>
      <c r="J149" s="278">
        <f ca="1">'USD Swap PVs'!AO18</f>
        <v>-542521.35341312049</v>
      </c>
      <c r="K149" s="278">
        <f ca="1">'USD Swap PVs'!AP18</f>
        <v>-813782.03011967975</v>
      </c>
      <c r="L149" s="278">
        <f ca="1">'USD Swap PVs'!AQ18</f>
        <v>-1085042.7068262389</v>
      </c>
      <c r="M149" s="279">
        <f ca="1">'USD Swap PVs'!AR18</f>
        <v>-1356303.3835327988</v>
      </c>
    </row>
    <row r="150" spans="2:26">
      <c r="B150" s="282"/>
      <c r="C150" s="278"/>
      <c r="D150" s="278"/>
      <c r="E150" s="278"/>
      <c r="F150" s="278"/>
      <c r="G150" s="278"/>
      <c r="H150" s="278"/>
      <c r="I150" s="278"/>
      <c r="J150" s="278"/>
      <c r="K150" s="278"/>
      <c r="L150" s="278"/>
      <c r="M150" s="279"/>
    </row>
    <row r="151" spans="2:26">
      <c r="B151" s="282"/>
      <c r="C151" s="278"/>
      <c r="D151" s="278"/>
      <c r="E151" s="278"/>
      <c r="F151" s="278"/>
      <c r="G151" s="278"/>
      <c r="H151" s="278"/>
      <c r="I151" s="278"/>
      <c r="J151" s="278"/>
      <c r="K151" s="278"/>
      <c r="L151" s="278"/>
      <c r="M151" s="279"/>
    </row>
    <row r="152" spans="2:26">
      <c r="B152" s="282"/>
      <c r="C152" s="278"/>
      <c r="D152" s="278"/>
      <c r="E152" s="278"/>
      <c r="F152" s="278"/>
      <c r="G152" s="278"/>
      <c r="H152" s="278"/>
      <c r="I152" s="278"/>
      <c r="J152" s="278"/>
      <c r="K152" s="278"/>
      <c r="L152" s="278"/>
      <c r="M152" s="279"/>
    </row>
    <row r="153" spans="2:26">
      <c r="B153" s="283"/>
      <c r="C153" s="280"/>
      <c r="D153" s="280"/>
      <c r="E153" s="280"/>
      <c r="F153" s="280"/>
      <c r="G153" s="280"/>
      <c r="H153" s="280"/>
      <c r="I153" s="280"/>
      <c r="J153" s="280"/>
      <c r="K153" s="280"/>
      <c r="L153" s="280"/>
      <c r="M153" s="281"/>
    </row>
    <row r="155" spans="2:26">
      <c r="B155" s="258" t="s">
        <v>472</v>
      </c>
      <c r="O155" s="258" t="s">
        <v>472</v>
      </c>
    </row>
    <row r="156" spans="2:26">
      <c r="B156" s="254" t="s">
        <v>468</v>
      </c>
      <c r="C156" s="276">
        <v>-0.05</v>
      </c>
      <c r="D156" s="276">
        <v>-0.04</v>
      </c>
      <c r="E156" s="276">
        <v>-0.03</v>
      </c>
      <c r="F156" s="276">
        <v>-1.9999999999999997E-2</v>
      </c>
      <c r="G156" s="276">
        <v>-9.9999999999999967E-3</v>
      </c>
      <c r="H156" s="276">
        <v>0</v>
      </c>
      <c r="I156" s="276">
        <v>0.01</v>
      </c>
      <c r="J156" s="276">
        <v>0.02</v>
      </c>
      <c r="K156" s="276">
        <v>0.03</v>
      </c>
      <c r="L156" s="276">
        <v>0.04</v>
      </c>
      <c r="M156" s="277">
        <v>0.05</v>
      </c>
      <c r="O156" s="254" t="s">
        <v>468</v>
      </c>
      <c r="P156" s="276">
        <v>-0.05</v>
      </c>
      <c r="Q156" s="276">
        <v>-0.04</v>
      </c>
      <c r="R156" s="276">
        <v>-0.03</v>
      </c>
      <c r="S156" s="276">
        <v>-1.9999999999999997E-2</v>
      </c>
      <c r="T156" s="276">
        <v>-9.9999999999999967E-3</v>
      </c>
      <c r="U156" s="276">
        <v>0</v>
      </c>
      <c r="V156" s="276">
        <v>0.01</v>
      </c>
      <c r="W156" s="276">
        <v>0.02</v>
      </c>
      <c r="X156" s="276">
        <v>0.03</v>
      </c>
      <c r="Y156" s="276">
        <v>0.04</v>
      </c>
      <c r="Z156" s="277">
        <v>0.05</v>
      </c>
    </row>
    <row r="157" spans="2:26">
      <c r="B157" s="282" t="s">
        <v>35</v>
      </c>
      <c r="C157" s="278">
        <f ca="1">IF(C135&gt;D135,0,1)</f>
        <v>0</v>
      </c>
      <c r="D157" s="278">
        <f t="shared" ref="D157:L157" ca="1" si="11">IF(D135&gt;E135,0,1)</f>
        <v>0</v>
      </c>
      <c r="E157" s="278">
        <f t="shared" ca="1" si="11"/>
        <v>0</v>
      </c>
      <c r="F157" s="278">
        <f t="shared" ca="1" si="11"/>
        <v>0</v>
      </c>
      <c r="G157" s="278">
        <f t="shared" ca="1" si="11"/>
        <v>0</v>
      </c>
      <c r="H157" s="278">
        <f t="shared" ca="1" si="11"/>
        <v>0</v>
      </c>
      <c r="I157" s="278">
        <f t="shared" ca="1" si="11"/>
        <v>0</v>
      </c>
      <c r="J157" s="278">
        <f t="shared" ca="1" si="11"/>
        <v>0</v>
      </c>
      <c r="K157" s="278">
        <f t="shared" ca="1" si="11"/>
        <v>0</v>
      </c>
      <c r="L157" s="278">
        <f t="shared" ca="1" si="11"/>
        <v>0</v>
      </c>
      <c r="M157" s="285" t="s">
        <v>6</v>
      </c>
      <c r="O157" s="282" t="s">
        <v>35</v>
      </c>
      <c r="P157" s="289">
        <f ca="1">IF(ABS(C136)&gt;ABS(C135),0,1)</f>
        <v>0</v>
      </c>
      <c r="Q157" s="289">
        <f t="shared" ref="Q157:T172" ca="1" si="12">IF(ABS(D136)&gt;ABS(D135),0,1)</f>
        <v>0</v>
      </c>
      <c r="R157" s="289">
        <f t="shared" ca="1" si="12"/>
        <v>0</v>
      </c>
      <c r="S157" s="289">
        <f t="shared" ca="1" si="12"/>
        <v>0</v>
      </c>
      <c r="T157" s="289">
        <f t="shared" ca="1" si="12"/>
        <v>0</v>
      </c>
      <c r="U157" s="295" t="s">
        <v>6</v>
      </c>
      <c r="V157" s="289">
        <f t="shared" ref="V157:Z172" ca="1" si="13">IF(ABS(I136)&gt;ABS(I135),0,1)</f>
        <v>0</v>
      </c>
      <c r="W157" s="289">
        <f t="shared" ca="1" si="13"/>
        <v>0</v>
      </c>
      <c r="X157" s="289">
        <f t="shared" ca="1" si="13"/>
        <v>0</v>
      </c>
      <c r="Y157" s="289">
        <f t="shared" ca="1" si="13"/>
        <v>0</v>
      </c>
      <c r="Z157" s="291">
        <f t="shared" ca="1" si="13"/>
        <v>0</v>
      </c>
    </row>
    <row r="158" spans="2:26">
      <c r="B158" s="282" t="s">
        <v>33</v>
      </c>
      <c r="C158" s="278">
        <f t="shared" ref="C158:L173" ca="1" si="14">IF(C136&gt;D136,0,1)</f>
        <v>0</v>
      </c>
      <c r="D158" s="278">
        <f t="shared" ca="1" si="14"/>
        <v>0</v>
      </c>
      <c r="E158" s="278">
        <f t="shared" ca="1" si="14"/>
        <v>0</v>
      </c>
      <c r="F158" s="278">
        <f t="shared" ca="1" si="14"/>
        <v>0</v>
      </c>
      <c r="G158" s="278">
        <f t="shared" ca="1" si="14"/>
        <v>0</v>
      </c>
      <c r="H158" s="278">
        <f t="shared" ca="1" si="14"/>
        <v>0</v>
      </c>
      <c r="I158" s="278">
        <f t="shared" ca="1" si="14"/>
        <v>0</v>
      </c>
      <c r="J158" s="278">
        <f t="shared" ca="1" si="14"/>
        <v>0</v>
      </c>
      <c r="K158" s="278">
        <f t="shared" ca="1" si="14"/>
        <v>0</v>
      </c>
      <c r="L158" s="278">
        <f t="shared" ca="1" si="14"/>
        <v>0</v>
      </c>
      <c r="M158" s="279" t="s">
        <v>6</v>
      </c>
      <c r="O158" s="282" t="s">
        <v>33</v>
      </c>
      <c r="P158" s="289">
        <f t="shared" ref="P158:T173" ca="1" si="15">IF(ABS(C137)&gt;ABS(C136),0,1)</f>
        <v>0</v>
      </c>
      <c r="Q158" s="289">
        <f t="shared" ca="1" si="12"/>
        <v>0</v>
      </c>
      <c r="R158" s="289">
        <f t="shared" ca="1" si="12"/>
        <v>0</v>
      </c>
      <c r="S158" s="289">
        <f t="shared" ca="1" si="12"/>
        <v>0</v>
      </c>
      <c r="T158" s="289">
        <f t="shared" ca="1" si="12"/>
        <v>0</v>
      </c>
      <c r="U158" s="295" t="s">
        <v>6</v>
      </c>
      <c r="V158" s="289">
        <f t="shared" ca="1" si="13"/>
        <v>0</v>
      </c>
      <c r="W158" s="289">
        <f t="shared" ca="1" si="13"/>
        <v>0</v>
      </c>
      <c r="X158" s="289">
        <f t="shared" ca="1" si="13"/>
        <v>0</v>
      </c>
      <c r="Y158" s="289">
        <f t="shared" ca="1" si="13"/>
        <v>0</v>
      </c>
      <c r="Z158" s="292">
        <f t="shared" ca="1" si="13"/>
        <v>0</v>
      </c>
    </row>
    <row r="159" spans="2:26">
      <c r="B159" s="282" t="s">
        <v>131</v>
      </c>
      <c r="C159" s="278">
        <f t="shared" ca="1" si="14"/>
        <v>0</v>
      </c>
      <c r="D159" s="278">
        <f t="shared" ca="1" si="14"/>
        <v>0</v>
      </c>
      <c r="E159" s="278">
        <f t="shared" ca="1" si="14"/>
        <v>0</v>
      </c>
      <c r="F159" s="278">
        <f t="shared" ca="1" si="14"/>
        <v>0</v>
      </c>
      <c r="G159" s="278">
        <f t="shared" ca="1" si="14"/>
        <v>0</v>
      </c>
      <c r="H159" s="278">
        <f t="shared" ca="1" si="14"/>
        <v>0</v>
      </c>
      <c r="I159" s="278">
        <f t="shared" ca="1" si="14"/>
        <v>0</v>
      </c>
      <c r="J159" s="278">
        <f t="shared" ca="1" si="14"/>
        <v>0</v>
      </c>
      <c r="K159" s="278">
        <f t="shared" ca="1" si="14"/>
        <v>0</v>
      </c>
      <c r="L159" s="278">
        <f t="shared" ca="1" si="14"/>
        <v>0</v>
      </c>
      <c r="M159" s="279" t="s">
        <v>6</v>
      </c>
      <c r="O159" s="282" t="s">
        <v>131</v>
      </c>
      <c r="P159" s="289">
        <f t="shared" ca="1" si="15"/>
        <v>0</v>
      </c>
      <c r="Q159" s="289">
        <f t="shared" ca="1" si="12"/>
        <v>0</v>
      </c>
      <c r="R159" s="289">
        <f t="shared" ca="1" si="12"/>
        <v>0</v>
      </c>
      <c r="S159" s="289">
        <f t="shared" ca="1" si="12"/>
        <v>0</v>
      </c>
      <c r="T159" s="289">
        <f t="shared" ca="1" si="12"/>
        <v>0</v>
      </c>
      <c r="U159" s="295" t="s">
        <v>6</v>
      </c>
      <c r="V159" s="289">
        <f t="shared" ca="1" si="13"/>
        <v>0</v>
      </c>
      <c r="W159" s="289">
        <f t="shared" ca="1" si="13"/>
        <v>0</v>
      </c>
      <c r="X159" s="289">
        <f t="shared" ca="1" si="13"/>
        <v>0</v>
      </c>
      <c r="Y159" s="289">
        <f t="shared" ca="1" si="13"/>
        <v>0</v>
      </c>
      <c r="Z159" s="292">
        <f t="shared" ca="1" si="13"/>
        <v>0</v>
      </c>
    </row>
    <row r="160" spans="2:26">
      <c r="B160" s="282" t="s">
        <v>31</v>
      </c>
      <c r="C160" s="278">
        <f t="shared" ca="1" si="14"/>
        <v>0</v>
      </c>
      <c r="D160" s="278">
        <f t="shared" ca="1" si="14"/>
        <v>0</v>
      </c>
      <c r="E160" s="278">
        <f t="shared" ca="1" si="14"/>
        <v>0</v>
      </c>
      <c r="F160" s="278">
        <f t="shared" ca="1" si="14"/>
        <v>0</v>
      </c>
      <c r="G160" s="278">
        <f t="shared" ca="1" si="14"/>
        <v>0</v>
      </c>
      <c r="H160" s="278">
        <f t="shared" ca="1" si="14"/>
        <v>0</v>
      </c>
      <c r="I160" s="278">
        <f t="shared" ca="1" si="14"/>
        <v>0</v>
      </c>
      <c r="J160" s="278">
        <f t="shared" ca="1" si="14"/>
        <v>0</v>
      </c>
      <c r="K160" s="278">
        <f t="shared" ca="1" si="14"/>
        <v>0</v>
      </c>
      <c r="L160" s="278">
        <f t="shared" ca="1" si="14"/>
        <v>0</v>
      </c>
      <c r="M160" s="279" t="s">
        <v>6</v>
      </c>
      <c r="O160" s="282" t="s">
        <v>31</v>
      </c>
      <c r="P160" s="289">
        <f t="shared" ca="1" si="15"/>
        <v>0</v>
      </c>
      <c r="Q160" s="289">
        <f t="shared" ca="1" si="12"/>
        <v>0</v>
      </c>
      <c r="R160" s="289">
        <f t="shared" ca="1" si="12"/>
        <v>0</v>
      </c>
      <c r="S160" s="289">
        <f t="shared" ca="1" si="12"/>
        <v>0</v>
      </c>
      <c r="T160" s="289">
        <f t="shared" ca="1" si="12"/>
        <v>0</v>
      </c>
      <c r="U160" s="295" t="s">
        <v>6</v>
      </c>
      <c r="V160" s="289">
        <f t="shared" ca="1" si="13"/>
        <v>0</v>
      </c>
      <c r="W160" s="289">
        <f t="shared" ca="1" si="13"/>
        <v>0</v>
      </c>
      <c r="X160" s="289">
        <f t="shared" ca="1" si="13"/>
        <v>0</v>
      </c>
      <c r="Y160" s="289">
        <f t="shared" ca="1" si="13"/>
        <v>0</v>
      </c>
      <c r="Z160" s="292">
        <f t="shared" ca="1" si="13"/>
        <v>0</v>
      </c>
    </row>
    <row r="161" spans="2:26">
      <c r="B161" s="282" t="s">
        <v>119</v>
      </c>
      <c r="C161" s="278">
        <f t="shared" ca="1" si="14"/>
        <v>0</v>
      </c>
      <c r="D161" s="278">
        <f t="shared" ca="1" si="14"/>
        <v>0</v>
      </c>
      <c r="E161" s="278">
        <f t="shared" ca="1" si="14"/>
        <v>0</v>
      </c>
      <c r="F161" s="278">
        <f t="shared" ca="1" si="14"/>
        <v>0</v>
      </c>
      <c r="G161" s="278">
        <f t="shared" ca="1" si="14"/>
        <v>0</v>
      </c>
      <c r="H161" s="278">
        <f t="shared" ca="1" si="14"/>
        <v>0</v>
      </c>
      <c r="I161" s="278">
        <f t="shared" ca="1" si="14"/>
        <v>0</v>
      </c>
      <c r="J161" s="278">
        <f t="shared" ca="1" si="14"/>
        <v>0</v>
      </c>
      <c r="K161" s="278">
        <f t="shared" ca="1" si="14"/>
        <v>0</v>
      </c>
      <c r="L161" s="278">
        <f t="shared" ca="1" si="14"/>
        <v>0</v>
      </c>
      <c r="M161" s="279" t="s">
        <v>6</v>
      </c>
      <c r="O161" s="282" t="s">
        <v>119</v>
      </c>
      <c r="P161" s="289">
        <f t="shared" ca="1" si="15"/>
        <v>0</v>
      </c>
      <c r="Q161" s="289">
        <f t="shared" ca="1" si="12"/>
        <v>0</v>
      </c>
      <c r="R161" s="289">
        <f t="shared" ca="1" si="12"/>
        <v>0</v>
      </c>
      <c r="S161" s="289">
        <f t="shared" ca="1" si="12"/>
        <v>0</v>
      </c>
      <c r="T161" s="289">
        <f t="shared" ca="1" si="12"/>
        <v>0</v>
      </c>
      <c r="U161" s="295" t="s">
        <v>6</v>
      </c>
      <c r="V161" s="289">
        <f t="shared" ca="1" si="13"/>
        <v>0</v>
      </c>
      <c r="W161" s="289">
        <f t="shared" ca="1" si="13"/>
        <v>0</v>
      </c>
      <c r="X161" s="289">
        <f t="shared" ca="1" si="13"/>
        <v>0</v>
      </c>
      <c r="Y161" s="289">
        <f t="shared" ca="1" si="13"/>
        <v>0</v>
      </c>
      <c r="Z161" s="292">
        <f t="shared" ca="1" si="13"/>
        <v>0</v>
      </c>
    </row>
    <row r="162" spans="2:26">
      <c r="B162" s="282" t="s">
        <v>113</v>
      </c>
      <c r="C162" s="278">
        <f t="shared" ca="1" si="14"/>
        <v>0</v>
      </c>
      <c r="D162" s="278">
        <f t="shared" ca="1" si="14"/>
        <v>0</v>
      </c>
      <c r="E162" s="278">
        <f t="shared" ca="1" si="14"/>
        <v>0</v>
      </c>
      <c r="F162" s="278">
        <f t="shared" ca="1" si="14"/>
        <v>0</v>
      </c>
      <c r="G162" s="278">
        <f t="shared" ca="1" si="14"/>
        <v>0</v>
      </c>
      <c r="H162" s="278">
        <f t="shared" ca="1" si="14"/>
        <v>0</v>
      </c>
      <c r="I162" s="278">
        <f t="shared" ca="1" si="14"/>
        <v>0</v>
      </c>
      <c r="J162" s="278">
        <f t="shared" ca="1" si="14"/>
        <v>0</v>
      </c>
      <c r="K162" s="278">
        <f t="shared" ca="1" si="14"/>
        <v>0</v>
      </c>
      <c r="L162" s="278">
        <f t="shared" ca="1" si="14"/>
        <v>0</v>
      </c>
      <c r="M162" s="279" t="s">
        <v>6</v>
      </c>
      <c r="O162" s="282" t="s">
        <v>113</v>
      </c>
      <c r="P162" s="289">
        <f t="shared" ca="1" si="15"/>
        <v>0</v>
      </c>
      <c r="Q162" s="289">
        <f t="shared" ca="1" si="12"/>
        <v>0</v>
      </c>
      <c r="R162" s="289">
        <f t="shared" ca="1" si="12"/>
        <v>0</v>
      </c>
      <c r="S162" s="289">
        <f t="shared" ca="1" si="12"/>
        <v>0</v>
      </c>
      <c r="T162" s="289">
        <f t="shared" ca="1" si="12"/>
        <v>0</v>
      </c>
      <c r="U162" s="295" t="s">
        <v>6</v>
      </c>
      <c r="V162" s="289">
        <f t="shared" ca="1" si="13"/>
        <v>0</v>
      </c>
      <c r="W162" s="289">
        <f t="shared" ca="1" si="13"/>
        <v>0</v>
      </c>
      <c r="X162" s="289">
        <f t="shared" ca="1" si="13"/>
        <v>0</v>
      </c>
      <c r="Y162" s="289">
        <f t="shared" ca="1" si="13"/>
        <v>0</v>
      </c>
      <c r="Z162" s="292">
        <f t="shared" ca="1" si="13"/>
        <v>0</v>
      </c>
    </row>
    <row r="163" spans="2:26">
      <c r="B163" s="282" t="s">
        <v>28</v>
      </c>
      <c r="C163" s="278">
        <f t="shared" ca="1" si="14"/>
        <v>0</v>
      </c>
      <c r="D163" s="278">
        <f t="shared" ca="1" si="14"/>
        <v>0</v>
      </c>
      <c r="E163" s="278">
        <f t="shared" ca="1" si="14"/>
        <v>0</v>
      </c>
      <c r="F163" s="278">
        <f t="shared" ca="1" si="14"/>
        <v>0</v>
      </c>
      <c r="G163" s="278">
        <f t="shared" ca="1" si="14"/>
        <v>0</v>
      </c>
      <c r="H163" s="278">
        <f t="shared" ca="1" si="14"/>
        <v>0</v>
      </c>
      <c r="I163" s="278">
        <f t="shared" ca="1" si="14"/>
        <v>0</v>
      </c>
      <c r="J163" s="278">
        <f t="shared" ca="1" si="14"/>
        <v>0</v>
      </c>
      <c r="K163" s="278">
        <f t="shared" ca="1" si="14"/>
        <v>0</v>
      </c>
      <c r="L163" s="278">
        <f t="shared" ca="1" si="14"/>
        <v>0</v>
      </c>
      <c r="M163" s="279" t="s">
        <v>6</v>
      </c>
      <c r="O163" s="282" t="s">
        <v>28</v>
      </c>
      <c r="P163" s="289">
        <f t="shared" ca="1" si="15"/>
        <v>0</v>
      </c>
      <c r="Q163" s="289">
        <f t="shared" ca="1" si="12"/>
        <v>0</v>
      </c>
      <c r="R163" s="289">
        <f t="shared" ca="1" si="12"/>
        <v>0</v>
      </c>
      <c r="S163" s="289">
        <f t="shared" ca="1" si="12"/>
        <v>0</v>
      </c>
      <c r="T163" s="289">
        <f t="shared" ca="1" si="12"/>
        <v>0</v>
      </c>
      <c r="U163" s="295" t="s">
        <v>6</v>
      </c>
      <c r="V163" s="289">
        <f t="shared" ca="1" si="13"/>
        <v>0</v>
      </c>
      <c r="W163" s="289">
        <f t="shared" ca="1" si="13"/>
        <v>0</v>
      </c>
      <c r="X163" s="289">
        <f t="shared" ca="1" si="13"/>
        <v>0</v>
      </c>
      <c r="Y163" s="289">
        <f t="shared" ca="1" si="13"/>
        <v>0</v>
      </c>
      <c r="Z163" s="292">
        <f t="shared" ca="1" si="13"/>
        <v>0</v>
      </c>
    </row>
    <row r="164" spans="2:26">
      <c r="B164" s="282" t="s">
        <v>366</v>
      </c>
      <c r="C164" s="278">
        <f t="shared" ca="1" si="14"/>
        <v>0</v>
      </c>
      <c r="D164" s="278">
        <f t="shared" ca="1" si="14"/>
        <v>0</v>
      </c>
      <c r="E164" s="278">
        <f t="shared" ca="1" si="14"/>
        <v>0</v>
      </c>
      <c r="F164" s="278">
        <f t="shared" ca="1" si="14"/>
        <v>0</v>
      </c>
      <c r="G164" s="278">
        <f t="shared" ca="1" si="14"/>
        <v>0</v>
      </c>
      <c r="H164" s="278">
        <f t="shared" ca="1" si="14"/>
        <v>0</v>
      </c>
      <c r="I164" s="278">
        <f t="shared" ca="1" si="14"/>
        <v>0</v>
      </c>
      <c r="J164" s="278">
        <f t="shared" ca="1" si="14"/>
        <v>0</v>
      </c>
      <c r="K164" s="278">
        <f t="shared" ca="1" si="14"/>
        <v>0</v>
      </c>
      <c r="L164" s="278">
        <f t="shared" ca="1" si="14"/>
        <v>0</v>
      </c>
      <c r="M164" s="279" t="s">
        <v>6</v>
      </c>
      <c r="O164" s="282" t="s">
        <v>366</v>
      </c>
      <c r="P164" s="289">
        <f t="shared" ca="1" si="15"/>
        <v>0</v>
      </c>
      <c r="Q164" s="289">
        <f t="shared" ca="1" si="12"/>
        <v>0</v>
      </c>
      <c r="R164" s="289">
        <f t="shared" ca="1" si="12"/>
        <v>0</v>
      </c>
      <c r="S164" s="289">
        <f t="shared" ca="1" si="12"/>
        <v>0</v>
      </c>
      <c r="T164" s="289">
        <f t="shared" ca="1" si="12"/>
        <v>0</v>
      </c>
      <c r="U164" s="295" t="s">
        <v>6</v>
      </c>
      <c r="V164" s="289">
        <f t="shared" ca="1" si="13"/>
        <v>0</v>
      </c>
      <c r="W164" s="289">
        <f t="shared" ca="1" si="13"/>
        <v>0</v>
      </c>
      <c r="X164" s="289">
        <f t="shared" ca="1" si="13"/>
        <v>0</v>
      </c>
      <c r="Y164" s="289">
        <f t="shared" ca="1" si="13"/>
        <v>0</v>
      </c>
      <c r="Z164" s="292">
        <f t="shared" ca="1" si="13"/>
        <v>0</v>
      </c>
    </row>
    <row r="165" spans="2:26">
      <c r="B165" s="282" t="s">
        <v>26</v>
      </c>
      <c r="C165" s="278">
        <f t="shared" ca="1" si="14"/>
        <v>0</v>
      </c>
      <c r="D165" s="278">
        <f t="shared" ca="1" si="14"/>
        <v>0</v>
      </c>
      <c r="E165" s="278">
        <f t="shared" ca="1" si="14"/>
        <v>0</v>
      </c>
      <c r="F165" s="278">
        <f t="shared" ca="1" si="14"/>
        <v>0</v>
      </c>
      <c r="G165" s="278">
        <f t="shared" ca="1" si="14"/>
        <v>0</v>
      </c>
      <c r="H165" s="278">
        <f t="shared" ca="1" si="14"/>
        <v>0</v>
      </c>
      <c r="I165" s="278">
        <f t="shared" ca="1" si="14"/>
        <v>0</v>
      </c>
      <c r="J165" s="278">
        <f t="shared" ca="1" si="14"/>
        <v>0</v>
      </c>
      <c r="K165" s="278">
        <f t="shared" ca="1" si="14"/>
        <v>0</v>
      </c>
      <c r="L165" s="278">
        <f t="shared" ca="1" si="14"/>
        <v>0</v>
      </c>
      <c r="M165" s="279" t="s">
        <v>6</v>
      </c>
      <c r="O165" s="282" t="s">
        <v>26</v>
      </c>
      <c r="P165" s="289">
        <f t="shared" ca="1" si="15"/>
        <v>0</v>
      </c>
      <c r="Q165" s="289">
        <f t="shared" ca="1" si="12"/>
        <v>0</v>
      </c>
      <c r="R165" s="289">
        <f t="shared" ca="1" si="12"/>
        <v>0</v>
      </c>
      <c r="S165" s="289">
        <f t="shared" ca="1" si="12"/>
        <v>0</v>
      </c>
      <c r="T165" s="289">
        <f t="shared" ca="1" si="12"/>
        <v>0</v>
      </c>
      <c r="U165" s="295" t="s">
        <v>6</v>
      </c>
      <c r="V165" s="289">
        <f t="shared" ca="1" si="13"/>
        <v>0</v>
      </c>
      <c r="W165" s="289">
        <f t="shared" ca="1" si="13"/>
        <v>0</v>
      </c>
      <c r="X165" s="289">
        <f t="shared" ca="1" si="13"/>
        <v>0</v>
      </c>
      <c r="Y165" s="289">
        <f t="shared" ca="1" si="13"/>
        <v>0</v>
      </c>
      <c r="Z165" s="292">
        <f t="shared" ca="1" si="13"/>
        <v>0</v>
      </c>
    </row>
    <row r="166" spans="2:26">
      <c r="B166" s="282" t="s">
        <v>24</v>
      </c>
      <c r="C166" s="278">
        <f t="shared" ca="1" si="14"/>
        <v>0</v>
      </c>
      <c r="D166" s="278">
        <f t="shared" ca="1" si="14"/>
        <v>0</v>
      </c>
      <c r="E166" s="278">
        <f t="shared" ca="1" si="14"/>
        <v>0</v>
      </c>
      <c r="F166" s="278">
        <f t="shared" ca="1" si="14"/>
        <v>0</v>
      </c>
      <c r="G166" s="278">
        <f t="shared" ca="1" si="14"/>
        <v>0</v>
      </c>
      <c r="H166" s="278">
        <f t="shared" ca="1" si="14"/>
        <v>0</v>
      </c>
      <c r="I166" s="278">
        <f t="shared" ca="1" si="14"/>
        <v>0</v>
      </c>
      <c r="J166" s="278">
        <f t="shared" ca="1" si="14"/>
        <v>0</v>
      </c>
      <c r="K166" s="278">
        <f t="shared" ca="1" si="14"/>
        <v>0</v>
      </c>
      <c r="L166" s="278">
        <f t="shared" ca="1" si="14"/>
        <v>0</v>
      </c>
      <c r="M166" s="279" t="s">
        <v>6</v>
      </c>
      <c r="O166" s="282" t="s">
        <v>24</v>
      </c>
      <c r="P166" s="289">
        <f t="shared" ca="1" si="15"/>
        <v>0</v>
      </c>
      <c r="Q166" s="289">
        <f t="shared" ca="1" si="12"/>
        <v>0</v>
      </c>
      <c r="R166" s="289">
        <f t="shared" ca="1" si="12"/>
        <v>0</v>
      </c>
      <c r="S166" s="289">
        <f t="shared" ca="1" si="12"/>
        <v>0</v>
      </c>
      <c r="T166" s="289">
        <f t="shared" ca="1" si="12"/>
        <v>0</v>
      </c>
      <c r="U166" s="295" t="s">
        <v>6</v>
      </c>
      <c r="V166" s="289">
        <f t="shared" ca="1" si="13"/>
        <v>0</v>
      </c>
      <c r="W166" s="289">
        <f t="shared" ca="1" si="13"/>
        <v>0</v>
      </c>
      <c r="X166" s="289">
        <f t="shared" ca="1" si="13"/>
        <v>0</v>
      </c>
      <c r="Y166" s="289">
        <f t="shared" ca="1" si="13"/>
        <v>0</v>
      </c>
      <c r="Z166" s="292">
        <f t="shared" ca="1" si="13"/>
        <v>0</v>
      </c>
    </row>
    <row r="167" spans="2:26">
      <c r="B167" s="282" t="s">
        <v>20</v>
      </c>
      <c r="C167" s="278">
        <f t="shared" ca="1" si="14"/>
        <v>0</v>
      </c>
      <c r="D167" s="278">
        <f t="shared" ca="1" si="14"/>
        <v>0</v>
      </c>
      <c r="E167" s="278">
        <f t="shared" ca="1" si="14"/>
        <v>0</v>
      </c>
      <c r="F167" s="278">
        <f t="shared" ca="1" si="14"/>
        <v>0</v>
      </c>
      <c r="G167" s="278">
        <f t="shared" ca="1" si="14"/>
        <v>0</v>
      </c>
      <c r="H167" s="278">
        <f t="shared" ca="1" si="14"/>
        <v>0</v>
      </c>
      <c r="I167" s="278">
        <f t="shared" ca="1" si="14"/>
        <v>0</v>
      </c>
      <c r="J167" s="278">
        <f t="shared" ca="1" si="14"/>
        <v>0</v>
      </c>
      <c r="K167" s="278">
        <f t="shared" ca="1" si="14"/>
        <v>0</v>
      </c>
      <c r="L167" s="278">
        <f t="shared" ca="1" si="14"/>
        <v>0</v>
      </c>
      <c r="M167" s="279" t="s">
        <v>6</v>
      </c>
      <c r="O167" s="282" t="s">
        <v>20</v>
      </c>
      <c r="P167" s="289">
        <f t="shared" ca="1" si="15"/>
        <v>0</v>
      </c>
      <c r="Q167" s="289">
        <f t="shared" ca="1" si="12"/>
        <v>0</v>
      </c>
      <c r="R167" s="289">
        <f t="shared" ca="1" si="12"/>
        <v>0</v>
      </c>
      <c r="S167" s="289">
        <f t="shared" ca="1" si="12"/>
        <v>0</v>
      </c>
      <c r="T167" s="289">
        <f t="shared" ca="1" si="12"/>
        <v>0</v>
      </c>
      <c r="U167" s="295" t="s">
        <v>6</v>
      </c>
      <c r="V167" s="289">
        <f t="shared" ca="1" si="13"/>
        <v>0</v>
      </c>
      <c r="W167" s="289">
        <f t="shared" ca="1" si="13"/>
        <v>0</v>
      </c>
      <c r="X167" s="289">
        <f t="shared" ca="1" si="13"/>
        <v>0</v>
      </c>
      <c r="Y167" s="289">
        <f t="shared" ca="1" si="13"/>
        <v>0</v>
      </c>
      <c r="Z167" s="292">
        <f t="shared" ca="1" si="13"/>
        <v>0</v>
      </c>
    </row>
    <row r="168" spans="2:26">
      <c r="B168" s="282" t="s">
        <v>18</v>
      </c>
      <c r="C168" s="278">
        <f t="shared" ca="1" si="14"/>
        <v>0</v>
      </c>
      <c r="D168" s="278">
        <f t="shared" ca="1" si="14"/>
        <v>0</v>
      </c>
      <c r="E168" s="278">
        <f t="shared" ca="1" si="14"/>
        <v>0</v>
      </c>
      <c r="F168" s="278">
        <f t="shared" ca="1" si="14"/>
        <v>0</v>
      </c>
      <c r="G168" s="278">
        <f t="shared" ca="1" si="14"/>
        <v>0</v>
      </c>
      <c r="H168" s="278">
        <f t="shared" ca="1" si="14"/>
        <v>0</v>
      </c>
      <c r="I168" s="278">
        <f t="shared" ca="1" si="14"/>
        <v>0</v>
      </c>
      <c r="J168" s="278">
        <f t="shared" ca="1" si="14"/>
        <v>0</v>
      </c>
      <c r="K168" s="278">
        <f t="shared" ca="1" si="14"/>
        <v>0</v>
      </c>
      <c r="L168" s="278">
        <f t="shared" ca="1" si="14"/>
        <v>0</v>
      </c>
      <c r="M168" s="279" t="s">
        <v>6</v>
      </c>
      <c r="O168" s="282" t="s">
        <v>18</v>
      </c>
      <c r="P168" s="289">
        <f t="shared" ca="1" si="15"/>
        <v>0</v>
      </c>
      <c r="Q168" s="289">
        <f t="shared" ca="1" si="12"/>
        <v>0</v>
      </c>
      <c r="R168" s="289">
        <f t="shared" ca="1" si="12"/>
        <v>0</v>
      </c>
      <c r="S168" s="289">
        <f t="shared" ca="1" si="12"/>
        <v>0</v>
      </c>
      <c r="T168" s="289">
        <f t="shared" ca="1" si="12"/>
        <v>0</v>
      </c>
      <c r="U168" s="295" t="s">
        <v>6</v>
      </c>
      <c r="V168" s="289">
        <f t="shared" ca="1" si="13"/>
        <v>0</v>
      </c>
      <c r="W168" s="289">
        <f t="shared" ca="1" si="13"/>
        <v>0</v>
      </c>
      <c r="X168" s="289">
        <f t="shared" ca="1" si="13"/>
        <v>0</v>
      </c>
      <c r="Y168" s="289">
        <f t="shared" ca="1" si="13"/>
        <v>0</v>
      </c>
      <c r="Z168" s="292">
        <f t="shared" ca="1" si="13"/>
        <v>0</v>
      </c>
    </row>
    <row r="169" spans="2:26">
      <c r="B169" s="282" t="s">
        <v>17</v>
      </c>
      <c r="C169" s="278">
        <f t="shared" ca="1" si="14"/>
        <v>0</v>
      </c>
      <c r="D169" s="278">
        <f t="shared" ca="1" si="14"/>
        <v>0</v>
      </c>
      <c r="E169" s="278">
        <f t="shared" ca="1" si="14"/>
        <v>0</v>
      </c>
      <c r="F169" s="278">
        <f t="shared" ca="1" si="14"/>
        <v>0</v>
      </c>
      <c r="G169" s="278">
        <f t="shared" ca="1" si="14"/>
        <v>0</v>
      </c>
      <c r="H169" s="278">
        <f t="shared" ca="1" si="14"/>
        <v>0</v>
      </c>
      <c r="I169" s="278">
        <f t="shared" ca="1" si="14"/>
        <v>0</v>
      </c>
      <c r="J169" s="278">
        <f t="shared" ca="1" si="14"/>
        <v>0</v>
      </c>
      <c r="K169" s="278">
        <f t="shared" ca="1" si="14"/>
        <v>0</v>
      </c>
      <c r="L169" s="278">
        <f t="shared" ca="1" si="14"/>
        <v>0</v>
      </c>
      <c r="M169" s="279" t="s">
        <v>6</v>
      </c>
      <c r="O169" s="282" t="s">
        <v>17</v>
      </c>
      <c r="P169" s="289">
        <f t="shared" ca="1" si="15"/>
        <v>0</v>
      </c>
      <c r="Q169" s="289">
        <f t="shared" ca="1" si="12"/>
        <v>0</v>
      </c>
      <c r="R169" s="289">
        <f t="shared" ca="1" si="12"/>
        <v>0</v>
      </c>
      <c r="S169" s="289">
        <f t="shared" ca="1" si="12"/>
        <v>0</v>
      </c>
      <c r="T169" s="289">
        <f t="shared" ca="1" si="12"/>
        <v>0</v>
      </c>
      <c r="U169" s="295" t="s">
        <v>6</v>
      </c>
      <c r="V169" s="289">
        <f t="shared" ca="1" si="13"/>
        <v>0</v>
      </c>
      <c r="W169" s="289">
        <f t="shared" ca="1" si="13"/>
        <v>0</v>
      </c>
      <c r="X169" s="289">
        <f t="shared" ca="1" si="13"/>
        <v>0</v>
      </c>
      <c r="Y169" s="289">
        <f t="shared" ca="1" si="13"/>
        <v>0</v>
      </c>
      <c r="Z169" s="292">
        <f t="shared" ca="1" si="13"/>
        <v>0</v>
      </c>
    </row>
    <row r="170" spans="2:26">
      <c r="B170" s="282" t="s">
        <v>15</v>
      </c>
      <c r="C170" s="278">
        <f t="shared" ca="1" si="14"/>
        <v>0</v>
      </c>
      <c r="D170" s="278">
        <f t="shared" ca="1" si="14"/>
        <v>0</v>
      </c>
      <c r="E170" s="278">
        <f t="shared" ca="1" si="14"/>
        <v>0</v>
      </c>
      <c r="F170" s="278">
        <f t="shared" ca="1" si="14"/>
        <v>0</v>
      </c>
      <c r="G170" s="278">
        <f t="shared" ca="1" si="14"/>
        <v>0</v>
      </c>
      <c r="H170" s="278">
        <f t="shared" ca="1" si="14"/>
        <v>0</v>
      </c>
      <c r="I170" s="278">
        <f t="shared" ca="1" si="14"/>
        <v>0</v>
      </c>
      <c r="J170" s="278">
        <f t="shared" ca="1" si="14"/>
        <v>0</v>
      </c>
      <c r="K170" s="278">
        <f t="shared" ca="1" si="14"/>
        <v>0</v>
      </c>
      <c r="L170" s="278">
        <f t="shared" ca="1" si="14"/>
        <v>0</v>
      </c>
      <c r="M170" s="279" t="s">
        <v>6</v>
      </c>
      <c r="O170" s="282" t="s">
        <v>15</v>
      </c>
      <c r="P170" s="289">
        <f t="shared" ca="1" si="15"/>
        <v>0</v>
      </c>
      <c r="Q170" s="289">
        <f t="shared" ca="1" si="12"/>
        <v>0</v>
      </c>
      <c r="R170" s="289">
        <f t="shared" ca="1" si="12"/>
        <v>0</v>
      </c>
      <c r="S170" s="289">
        <f t="shared" ca="1" si="12"/>
        <v>0</v>
      </c>
      <c r="T170" s="289">
        <f t="shared" ca="1" si="12"/>
        <v>0</v>
      </c>
      <c r="U170" s="295" t="s">
        <v>6</v>
      </c>
      <c r="V170" s="289">
        <f t="shared" ca="1" si="13"/>
        <v>0</v>
      </c>
      <c r="W170" s="289">
        <f t="shared" ca="1" si="13"/>
        <v>0</v>
      </c>
      <c r="X170" s="289">
        <f t="shared" ca="1" si="13"/>
        <v>0</v>
      </c>
      <c r="Y170" s="289">
        <f t="shared" ca="1" si="13"/>
        <v>0</v>
      </c>
      <c r="Z170" s="292">
        <f t="shared" ca="1" si="13"/>
        <v>0</v>
      </c>
    </row>
    <row r="171" spans="2:26">
      <c r="B171" s="282" t="s">
        <v>14</v>
      </c>
      <c r="C171" s="278">
        <f t="shared" ca="1" si="14"/>
        <v>0</v>
      </c>
      <c r="D171" s="278">
        <f t="shared" ca="1" si="14"/>
        <v>0</v>
      </c>
      <c r="E171" s="278">
        <f t="shared" ca="1" si="14"/>
        <v>0</v>
      </c>
      <c r="F171" s="278">
        <f t="shared" ca="1" si="14"/>
        <v>0</v>
      </c>
      <c r="G171" s="278">
        <f t="shared" ca="1" si="14"/>
        <v>0</v>
      </c>
      <c r="H171" s="278">
        <f t="shared" ca="1" si="14"/>
        <v>0</v>
      </c>
      <c r="I171" s="278">
        <f t="shared" ca="1" si="14"/>
        <v>0</v>
      </c>
      <c r="J171" s="278">
        <f t="shared" ca="1" si="14"/>
        <v>0</v>
      </c>
      <c r="K171" s="278">
        <f t="shared" ca="1" si="14"/>
        <v>0</v>
      </c>
      <c r="L171" s="278">
        <f t="shared" ca="1" si="14"/>
        <v>0</v>
      </c>
      <c r="M171" s="279" t="s">
        <v>6</v>
      </c>
      <c r="O171" s="282" t="s">
        <v>14</v>
      </c>
      <c r="P171" s="295" t="s">
        <v>6</v>
      </c>
      <c r="Q171" s="289" t="s">
        <v>6</v>
      </c>
      <c r="R171" s="289" t="s">
        <v>6</v>
      </c>
      <c r="S171" s="289" t="s">
        <v>6</v>
      </c>
      <c r="T171" s="289" t="s">
        <v>6</v>
      </c>
      <c r="U171" s="295" t="s">
        <v>6</v>
      </c>
      <c r="V171" s="289" t="s">
        <v>6</v>
      </c>
      <c r="W171" s="289" t="s">
        <v>6</v>
      </c>
      <c r="X171" s="289" t="s">
        <v>6</v>
      </c>
      <c r="Y171" s="289" t="s">
        <v>6</v>
      </c>
      <c r="Z171" s="292" t="s">
        <v>6</v>
      </c>
    </row>
    <row r="172" spans="2:26">
      <c r="B172" s="282"/>
      <c r="C172" s="278"/>
      <c r="D172" s="278"/>
      <c r="E172" s="278"/>
      <c r="F172" s="278"/>
      <c r="G172" s="278"/>
      <c r="H172" s="278"/>
      <c r="I172" s="278"/>
      <c r="J172" s="278"/>
      <c r="K172" s="278"/>
      <c r="L172" s="278"/>
      <c r="M172" s="279"/>
      <c r="O172" s="282"/>
      <c r="P172" s="289"/>
      <c r="Q172" s="289"/>
      <c r="R172" s="289"/>
      <c r="S172" s="289"/>
      <c r="T172" s="289"/>
      <c r="U172" s="295"/>
      <c r="V172" s="289"/>
      <c r="W172" s="289"/>
      <c r="X172" s="289"/>
      <c r="Y172" s="289"/>
      <c r="Z172" s="292"/>
    </row>
    <row r="173" spans="2:26">
      <c r="B173" s="282"/>
      <c r="C173" s="278"/>
      <c r="D173" s="278"/>
      <c r="E173" s="278"/>
      <c r="F173" s="278"/>
      <c r="G173" s="278"/>
      <c r="H173" s="278"/>
      <c r="I173" s="278"/>
      <c r="J173" s="278"/>
      <c r="K173" s="278"/>
      <c r="L173" s="278"/>
      <c r="M173" s="279"/>
      <c r="O173" s="282"/>
      <c r="P173" s="289"/>
      <c r="Q173" s="289"/>
      <c r="R173" s="289"/>
      <c r="S173" s="289"/>
      <c r="T173" s="289"/>
      <c r="U173" s="295"/>
      <c r="V173" s="289"/>
      <c r="W173" s="289"/>
      <c r="X173" s="289"/>
      <c r="Y173" s="289"/>
      <c r="Z173" s="292"/>
    </row>
    <row r="174" spans="2:26">
      <c r="B174" s="282"/>
      <c r="C174" s="278"/>
      <c r="D174" s="278"/>
      <c r="E174" s="278"/>
      <c r="F174" s="278"/>
      <c r="G174" s="278"/>
      <c r="H174" s="278"/>
      <c r="I174" s="278"/>
      <c r="J174" s="278"/>
      <c r="K174" s="278"/>
      <c r="L174" s="278"/>
      <c r="M174" s="279"/>
      <c r="O174" s="282"/>
      <c r="P174" s="289"/>
      <c r="Q174" s="289"/>
      <c r="R174" s="289"/>
      <c r="S174" s="289"/>
      <c r="T174" s="289"/>
      <c r="U174" s="295"/>
      <c r="V174" s="289"/>
      <c r="W174" s="289"/>
      <c r="X174" s="289"/>
      <c r="Y174" s="289"/>
      <c r="Z174" s="292"/>
    </row>
    <row r="175" spans="2:26">
      <c r="B175" s="283"/>
      <c r="C175" s="280"/>
      <c r="D175" s="280"/>
      <c r="E175" s="280"/>
      <c r="F175" s="280"/>
      <c r="G175" s="280"/>
      <c r="H175" s="280"/>
      <c r="I175" s="280"/>
      <c r="J175" s="280"/>
      <c r="K175" s="280"/>
      <c r="L175" s="280"/>
      <c r="M175" s="281"/>
      <c r="O175" s="283"/>
      <c r="P175" s="293"/>
      <c r="Q175" s="293"/>
      <c r="R175" s="293"/>
      <c r="S175" s="293"/>
      <c r="T175" s="293"/>
      <c r="U175" s="296"/>
      <c r="V175" s="293"/>
      <c r="W175" s="293"/>
      <c r="X175" s="293"/>
      <c r="Y175" s="293"/>
      <c r="Z175" s="294"/>
    </row>
    <row r="178" spans="1:13">
      <c r="A178" s="224" t="s">
        <v>481</v>
      </c>
      <c r="B178" s="290" t="s">
        <v>489</v>
      </c>
      <c r="C178" s="284"/>
      <c r="G178" s="290" t="s">
        <v>489</v>
      </c>
    </row>
    <row r="179" spans="1:13">
      <c r="B179" s="284" t="s">
        <v>491</v>
      </c>
      <c r="C179" s="284"/>
      <c r="G179" s="284" t="s">
        <v>492</v>
      </c>
      <c r="H179" s="284"/>
    </row>
    <row r="180" spans="1:13">
      <c r="B180" s="258" t="s">
        <v>474</v>
      </c>
      <c r="C180" s="286">
        <f ca="1">SUM(C206:L224)</f>
        <v>0</v>
      </c>
      <c r="G180" s="258" t="s">
        <v>474</v>
      </c>
      <c r="H180" s="286">
        <f ca="1">SUM(P206:Z224)</f>
        <v>0</v>
      </c>
    </row>
    <row r="182" spans="1:13">
      <c r="B182" s="258" t="s">
        <v>479</v>
      </c>
      <c r="C182" s="258"/>
    </row>
    <row r="183" spans="1:13">
      <c r="B183" s="254" t="s">
        <v>468</v>
      </c>
      <c r="C183" s="287">
        <v>500</v>
      </c>
      <c r="D183" s="287">
        <v>400</v>
      </c>
      <c r="E183" s="287">
        <v>300</v>
      </c>
      <c r="F183" s="287">
        <v>200</v>
      </c>
      <c r="G183" s="287">
        <v>100</v>
      </c>
      <c r="H183" s="287">
        <v>0</v>
      </c>
      <c r="I183" s="287">
        <v>-100</v>
      </c>
      <c r="J183" s="287">
        <v>-200</v>
      </c>
      <c r="K183" s="287">
        <v>-300</v>
      </c>
      <c r="L183" s="287">
        <v>-400</v>
      </c>
      <c r="M183" s="288">
        <v>-500</v>
      </c>
    </row>
    <row r="184" spans="1:13">
      <c r="B184" s="282" t="s">
        <v>35</v>
      </c>
      <c r="C184" s="278">
        <f ca="1">'USD Swap PVs'!AH29</f>
        <v>198777.42646496603</v>
      </c>
      <c r="D184" s="278">
        <f ca="1">'USD Swap PVs'!AI29</f>
        <v>159021.94117197284</v>
      </c>
      <c r="E184" s="278">
        <f ca="1">'USD Swap PVs'!AJ29</f>
        <v>119266.45587897961</v>
      </c>
      <c r="F184" s="278">
        <f ca="1">'USD Swap PVs'!AK29</f>
        <v>79510.970585986433</v>
      </c>
      <c r="G184" s="278">
        <f ca="1">'USD Swap PVs'!AL29</f>
        <v>39755.485292993209</v>
      </c>
      <c r="H184" s="278">
        <f ca="1">'USD Swap PVs'!AM29</f>
        <v>0</v>
      </c>
      <c r="I184" s="278">
        <f ca="1">'USD Swap PVs'!AN29</f>
        <v>-39755.485292993209</v>
      </c>
      <c r="J184" s="278">
        <f ca="1">'USD Swap PVs'!AO29</f>
        <v>-79510.970585986433</v>
      </c>
      <c r="K184" s="278">
        <f ca="1">'USD Swap PVs'!AP29</f>
        <v>-119266.45587897963</v>
      </c>
      <c r="L184" s="278">
        <f ca="1">'USD Swap PVs'!AQ29</f>
        <v>-159021.94117197284</v>
      </c>
      <c r="M184" s="279">
        <f ca="1">'USD Swap PVs'!AR29</f>
        <v>-198777.42646496603</v>
      </c>
    </row>
    <row r="185" spans="1:13">
      <c r="B185" s="282" t="s">
        <v>33</v>
      </c>
      <c r="C185" s="278">
        <f ca="1">'USD Swap PVs'!AH30</f>
        <v>246131.73696146879</v>
      </c>
      <c r="D185" s="278">
        <f ca="1">'USD Swap PVs'!AI30</f>
        <v>196905.38956917508</v>
      </c>
      <c r="E185" s="278">
        <f ca="1">'USD Swap PVs'!AJ30</f>
        <v>147679.04217688134</v>
      </c>
      <c r="F185" s="278">
        <f ca="1">'USD Swap PVs'!AK30</f>
        <v>98452.694784587526</v>
      </c>
      <c r="G185" s="278">
        <f ca="1">'USD Swap PVs'!AL30</f>
        <v>49226.34739229377</v>
      </c>
      <c r="H185" s="278">
        <f ca="1">'USD Swap PVs'!AM30</f>
        <v>0</v>
      </c>
      <c r="I185" s="278">
        <f ca="1">'USD Swap PVs'!AN30</f>
        <v>-49226.347392293763</v>
      </c>
      <c r="J185" s="278">
        <f ca="1">'USD Swap PVs'!AO30</f>
        <v>-98452.694784587526</v>
      </c>
      <c r="K185" s="278">
        <f ca="1">'USD Swap PVs'!AP30</f>
        <v>-147679.04217688128</v>
      </c>
      <c r="L185" s="278">
        <f ca="1">'USD Swap PVs'!AQ30</f>
        <v>-196905.38956917502</v>
      </c>
      <c r="M185" s="279">
        <f ca="1">'USD Swap PVs'!AR30</f>
        <v>-246131.73696146885</v>
      </c>
    </row>
    <row r="186" spans="1:13">
      <c r="B186" s="282" t="s">
        <v>131</v>
      </c>
      <c r="C186" s="278">
        <f ca="1">'USD Swap PVs'!AH31</f>
        <v>292058.13024354144</v>
      </c>
      <c r="D186" s="278">
        <f ca="1">'USD Swap PVs'!AI31</f>
        <v>233646.50419483319</v>
      </c>
      <c r="E186" s="278">
        <f ca="1">'USD Swap PVs'!AJ31</f>
        <v>175234.87814612489</v>
      </c>
      <c r="F186" s="278">
        <f ca="1">'USD Swap PVs'!AK31</f>
        <v>116823.25209741658</v>
      </c>
      <c r="G186" s="278">
        <f ca="1">'USD Swap PVs'!AL31</f>
        <v>58411.626048708298</v>
      </c>
      <c r="H186" s="278">
        <f ca="1">'USD Swap PVs'!AM31</f>
        <v>0</v>
      </c>
      <c r="I186" s="278">
        <f ca="1">'USD Swap PVs'!AN31</f>
        <v>-58411.626048708298</v>
      </c>
      <c r="J186" s="278">
        <f ca="1">'USD Swap PVs'!AO31</f>
        <v>-116823.2520974166</v>
      </c>
      <c r="K186" s="278">
        <f ca="1">'USD Swap PVs'!AP31</f>
        <v>-175234.87814612489</v>
      </c>
      <c r="L186" s="278">
        <f ca="1">'USD Swap PVs'!AQ31</f>
        <v>-233646.50419483319</v>
      </c>
      <c r="M186" s="279">
        <f ca="1">'USD Swap PVs'!AR31</f>
        <v>-292058.1302435415</v>
      </c>
    </row>
    <row r="187" spans="1:13">
      <c r="B187" s="282" t="s">
        <v>31</v>
      </c>
      <c r="C187" s="278">
        <f ca="1">'USD Swap PVs'!AH32</f>
        <v>336636.27902883617</v>
      </c>
      <c r="D187" s="278">
        <f ca="1">'USD Swap PVs'!AI32</f>
        <v>269309.02322306897</v>
      </c>
      <c r="E187" s="278">
        <f ca="1">'USD Swap PVs'!AJ32</f>
        <v>201981.76741730169</v>
      </c>
      <c r="F187" s="278">
        <f ca="1">'USD Swap PVs'!AK32</f>
        <v>134654.5116115344</v>
      </c>
      <c r="G187" s="278">
        <f ca="1">'USD Swap PVs'!AL32</f>
        <v>67327.255805767229</v>
      </c>
      <c r="H187" s="278">
        <f ca="1">'USD Swap PVs'!AM32</f>
        <v>0</v>
      </c>
      <c r="I187" s="278">
        <f ca="1">'USD Swap PVs'!AN32</f>
        <v>-67327.255805767258</v>
      </c>
      <c r="J187" s="278">
        <f ca="1">'USD Swap PVs'!AO32</f>
        <v>-134654.51161153449</v>
      </c>
      <c r="K187" s="278">
        <f ca="1">'USD Swap PVs'!AP32</f>
        <v>-201981.76741730171</v>
      </c>
      <c r="L187" s="278">
        <f ca="1">'USD Swap PVs'!AQ32</f>
        <v>-269309.02322306891</v>
      </c>
      <c r="M187" s="279">
        <f ca="1">'USD Swap PVs'!AR32</f>
        <v>-336636.27902883617</v>
      </c>
    </row>
    <row r="188" spans="1:13">
      <c r="B188" s="282" t="s">
        <v>119</v>
      </c>
      <c r="C188" s="278">
        <f ca="1">'USD Swap PVs'!AH33</f>
        <v>380086.43747963925</v>
      </c>
      <c r="D188" s="278">
        <f ca="1">'USD Swap PVs'!AI33</f>
        <v>304069.14998371142</v>
      </c>
      <c r="E188" s="278">
        <f ca="1">'USD Swap PVs'!AJ33</f>
        <v>228051.86248778354</v>
      </c>
      <c r="F188" s="278">
        <f ca="1">'USD Swap PVs'!AK33</f>
        <v>152034.57499185568</v>
      </c>
      <c r="G188" s="278">
        <f ca="1">'USD Swap PVs'!AL33</f>
        <v>76017.287495927842</v>
      </c>
      <c r="H188" s="278">
        <f ca="1">'USD Swap PVs'!AM33</f>
        <v>0</v>
      </c>
      <c r="I188" s="278">
        <f ca="1">'USD Swap PVs'!AN33</f>
        <v>-76017.287495927885</v>
      </c>
      <c r="J188" s="278">
        <f ca="1">'USD Swap PVs'!AO33</f>
        <v>-152034.57499185574</v>
      </c>
      <c r="K188" s="278">
        <f ca="1">'USD Swap PVs'!AP33</f>
        <v>-228051.8624877836</v>
      </c>
      <c r="L188" s="278">
        <f ca="1">'USD Swap PVs'!AQ33</f>
        <v>-304069.14998371142</v>
      </c>
      <c r="M188" s="279">
        <f ca="1">'USD Swap PVs'!AR33</f>
        <v>-380086.43747963931</v>
      </c>
    </row>
    <row r="189" spans="1:13">
      <c r="B189" s="282" t="s">
        <v>113</v>
      </c>
      <c r="C189" s="278">
        <f ca="1">'USD Swap PVs'!AH34</f>
        <v>421837.7950781791</v>
      </c>
      <c r="D189" s="278">
        <f ca="1">'USD Swap PVs'!AI34</f>
        <v>337470.23606254335</v>
      </c>
      <c r="E189" s="278">
        <f ca="1">'USD Swap PVs'!AJ34</f>
        <v>253102.67704690748</v>
      </c>
      <c r="F189" s="278">
        <f ca="1">'USD Swap PVs'!AK34</f>
        <v>168735.11803127159</v>
      </c>
      <c r="G189" s="278">
        <f ca="1">'USD Swap PVs'!AL34</f>
        <v>84367.559015635838</v>
      </c>
      <c r="H189" s="278">
        <f ca="1">'USD Swap PVs'!AM34</f>
        <v>0</v>
      </c>
      <c r="I189" s="278">
        <f ca="1">'USD Swap PVs'!AN34</f>
        <v>-84367.559015635896</v>
      </c>
      <c r="J189" s="278">
        <f ca="1">'USD Swap PVs'!AO34</f>
        <v>-168735.11803127173</v>
      </c>
      <c r="K189" s="278">
        <f ca="1">'USD Swap PVs'!AP34</f>
        <v>-253102.6770469076</v>
      </c>
      <c r="L189" s="278">
        <f ca="1">'USD Swap PVs'!AQ34</f>
        <v>-337470.23606254341</v>
      </c>
      <c r="M189" s="279">
        <f ca="1">'USD Swap PVs'!AR34</f>
        <v>-421837.79507817933</v>
      </c>
    </row>
    <row r="190" spans="1:13">
      <c r="B190" s="282" t="s">
        <v>28</v>
      </c>
      <c r="C190" s="278">
        <f ca="1">'USD Swap PVs'!AH35</f>
        <v>462388.14162659715</v>
      </c>
      <c r="D190" s="278">
        <f ca="1">'USD Swap PVs'!AI35</f>
        <v>369910.51330127788</v>
      </c>
      <c r="E190" s="278">
        <f ca="1">'USD Swap PVs'!AJ35</f>
        <v>277432.88497595832</v>
      </c>
      <c r="F190" s="278">
        <f ca="1">'USD Swap PVs'!AK35</f>
        <v>184955.25665063885</v>
      </c>
      <c r="G190" s="278">
        <f ca="1">'USD Swap PVs'!AL35</f>
        <v>92477.628325319383</v>
      </c>
      <c r="H190" s="278">
        <f ca="1">'USD Swap PVs'!AM35</f>
        <v>-2.7755575615628914E-11</v>
      </c>
      <c r="I190" s="278">
        <f ca="1">'USD Swap PVs'!AN35</f>
        <v>-92477.628325319558</v>
      </c>
      <c r="J190" s="278">
        <f ca="1">'USD Swap PVs'!AO35</f>
        <v>-184955.25665063903</v>
      </c>
      <c r="K190" s="278">
        <f ca="1">'USD Swap PVs'!AP35</f>
        <v>-277432.8849759585</v>
      </c>
      <c r="L190" s="278">
        <f ca="1">'USD Swap PVs'!AQ35</f>
        <v>-369910.51330127788</v>
      </c>
      <c r="M190" s="279">
        <f ca="1">'USD Swap PVs'!AR35</f>
        <v>-462388.1416265975</v>
      </c>
    </row>
    <row r="191" spans="1:13">
      <c r="B191" s="282" t="s">
        <v>366</v>
      </c>
      <c r="C191" s="278">
        <f ca="1">'USD Swap PVs'!AH36</f>
        <v>501653.5734094315</v>
      </c>
      <c r="D191" s="278">
        <f ca="1">'USD Swap PVs'!AI36</f>
        <v>401322.85872754548</v>
      </c>
      <c r="E191" s="278">
        <f ca="1">'USD Swap PVs'!AJ36</f>
        <v>300992.14404565899</v>
      </c>
      <c r="F191" s="278">
        <f ca="1">'USD Swap PVs'!AK36</f>
        <v>200661.42936377268</v>
      </c>
      <c r="G191" s="278">
        <f ca="1">'USD Swap PVs'!AL36</f>
        <v>100330.71468188631</v>
      </c>
      <c r="H191" s="278">
        <f ca="1">'USD Swap PVs'!AM36</f>
        <v>0</v>
      </c>
      <c r="I191" s="278">
        <f ca="1">'USD Swap PVs'!AN36</f>
        <v>-100330.71468188643</v>
      </c>
      <c r="J191" s="278">
        <f ca="1">'USD Swap PVs'!AO36</f>
        <v>-200661.4293637728</v>
      </c>
      <c r="K191" s="278">
        <f ca="1">'USD Swap PVs'!AP36</f>
        <v>-300992.14404565917</v>
      </c>
      <c r="L191" s="278">
        <f ca="1">'USD Swap PVs'!AQ36</f>
        <v>-401322.85872754548</v>
      </c>
      <c r="M191" s="279">
        <f ca="1">'USD Swap PVs'!AR36</f>
        <v>-501653.57340943185</v>
      </c>
    </row>
    <row r="192" spans="1:13">
      <c r="B192" s="282" t="s">
        <v>26</v>
      </c>
      <c r="C192" s="278">
        <f ca="1">'USD Swap PVs'!AH37</f>
        <v>539672.51174194447</v>
      </c>
      <c r="D192" s="278">
        <f ca="1">'USD Swap PVs'!AI37</f>
        <v>431738.00939355581</v>
      </c>
      <c r="E192" s="278">
        <f ca="1">'USD Swap PVs'!AJ37</f>
        <v>323803.50704516686</v>
      </c>
      <c r="F192" s="278">
        <f ca="1">'USD Swap PVs'!AK37</f>
        <v>215869.00469677785</v>
      </c>
      <c r="G192" s="278">
        <f ca="1">'USD Swap PVs'!AL37</f>
        <v>107934.50234838887</v>
      </c>
      <c r="H192" s="278">
        <f ca="1">'USD Swap PVs'!AM37</f>
        <v>0</v>
      </c>
      <c r="I192" s="278">
        <f ca="1">'USD Swap PVs'!AN37</f>
        <v>-107934.50234838911</v>
      </c>
      <c r="J192" s="278">
        <f ca="1">'USD Swap PVs'!AO37</f>
        <v>-215869.00469677811</v>
      </c>
      <c r="K192" s="278">
        <f ca="1">'USD Swap PVs'!AP37</f>
        <v>-323803.50704516709</v>
      </c>
      <c r="L192" s="278">
        <f ca="1">'USD Swap PVs'!AQ37</f>
        <v>-431738.00939355599</v>
      </c>
      <c r="M192" s="279">
        <f ca="1">'USD Swap PVs'!AR37</f>
        <v>-539672.51174194494</v>
      </c>
    </row>
    <row r="193" spans="2:26">
      <c r="B193" s="282" t="s">
        <v>24</v>
      </c>
      <c r="C193" s="278">
        <f ca="1">'USD Swap PVs'!AH38</f>
        <v>646763.03135862458</v>
      </c>
      <c r="D193" s="278">
        <f ca="1">'USD Swap PVs'!AI38</f>
        <v>517410.42508690007</v>
      </c>
      <c r="E193" s="278">
        <f ca="1">'USD Swap PVs'!AJ38</f>
        <v>388057.81881517492</v>
      </c>
      <c r="F193" s="278">
        <f ca="1">'USD Swap PVs'!AK38</f>
        <v>258705.21254345009</v>
      </c>
      <c r="G193" s="278">
        <f ca="1">'USD Swap PVs'!AL38</f>
        <v>129352.60627172496</v>
      </c>
      <c r="H193" s="278">
        <f ca="1">'USD Swap PVs'!AM38</f>
        <v>0</v>
      </c>
      <c r="I193" s="278">
        <f ca="1">'USD Swap PVs'!AN38</f>
        <v>-129352.60627172515</v>
      </c>
      <c r="J193" s="278">
        <f ca="1">'USD Swap PVs'!AO38</f>
        <v>-258705.21254345018</v>
      </c>
      <c r="K193" s="278">
        <f ca="1">'USD Swap PVs'!AP38</f>
        <v>-388057.81881517521</v>
      </c>
      <c r="L193" s="278">
        <f ca="1">'USD Swap PVs'!AQ38</f>
        <v>-517410.42508690018</v>
      </c>
      <c r="M193" s="279">
        <f ca="1">'USD Swap PVs'!AR38</f>
        <v>-646763.03135862527</v>
      </c>
    </row>
    <row r="194" spans="2:26">
      <c r="B194" s="282" t="s">
        <v>20</v>
      </c>
      <c r="C194" s="278">
        <f ca="1">'USD Swap PVs'!AH39</f>
        <v>804037.6572551477</v>
      </c>
      <c r="D194" s="278">
        <f ca="1">'USD Swap PVs'!AI39</f>
        <v>643230.1258041187</v>
      </c>
      <c r="E194" s="278">
        <f ca="1">'USD Swap PVs'!AJ39</f>
        <v>482422.59435308882</v>
      </c>
      <c r="F194" s="278">
        <f ca="1">'USD Swap PVs'!AK39</f>
        <v>321615.06290205917</v>
      </c>
      <c r="G194" s="278">
        <f ca="1">'USD Swap PVs'!AL39</f>
        <v>160807.53145102982</v>
      </c>
      <c r="H194" s="278">
        <f ca="1">'USD Swap PVs'!AM39</f>
        <v>0</v>
      </c>
      <c r="I194" s="278">
        <f ca="1">'USD Swap PVs'!AN39</f>
        <v>-160807.53145102988</v>
      </c>
      <c r="J194" s="278">
        <f ca="1">'USD Swap PVs'!AO39</f>
        <v>-321615.06290205941</v>
      </c>
      <c r="K194" s="278">
        <f ca="1">'USD Swap PVs'!AP39</f>
        <v>-482422.59435308917</v>
      </c>
      <c r="L194" s="278">
        <f ca="1">'USD Swap PVs'!AQ39</f>
        <v>-643230.1258041187</v>
      </c>
      <c r="M194" s="279">
        <f ca="1">'USD Swap PVs'!AR39</f>
        <v>-804037.6572551484</v>
      </c>
    </row>
    <row r="195" spans="2:26">
      <c r="B195" s="282" t="s">
        <v>18</v>
      </c>
      <c r="C195" s="278">
        <f ca="1">'USD Swap PVs'!AH40</f>
        <v>938667.9200363959</v>
      </c>
      <c r="D195" s="278">
        <f ca="1">'USD Swap PVs'!AI40</f>
        <v>750934.3360291163</v>
      </c>
      <c r="E195" s="278">
        <f ca="1">'USD Swap PVs'!AJ40</f>
        <v>563200.75202183786</v>
      </c>
      <c r="F195" s="278">
        <f ca="1">'USD Swap PVs'!AK40</f>
        <v>375467.1680145585</v>
      </c>
      <c r="G195" s="278">
        <f ca="1">'USD Swap PVs'!AL40</f>
        <v>187733.5840072798</v>
      </c>
      <c r="H195" s="278">
        <f ca="1">'USD Swap PVs'!AM40</f>
        <v>0</v>
      </c>
      <c r="I195" s="278">
        <f ca="1">'USD Swap PVs'!AN40</f>
        <v>-187733.58400727931</v>
      </c>
      <c r="J195" s="278">
        <f ca="1">'USD Swap PVs'!AO40</f>
        <v>-375467.16801455821</v>
      </c>
      <c r="K195" s="278">
        <f ca="1">'USD Swap PVs'!AP40</f>
        <v>-563200.7520218374</v>
      </c>
      <c r="L195" s="278">
        <f ca="1">'USD Swap PVs'!AQ40</f>
        <v>-750934.33602911641</v>
      </c>
      <c r="M195" s="279">
        <f ca="1">'USD Swap PVs'!AR40</f>
        <v>-938667.92003639566</v>
      </c>
    </row>
    <row r="196" spans="2:26">
      <c r="B196" s="282" t="s">
        <v>17</v>
      </c>
      <c r="C196" s="278">
        <f ca="1">'USD Swap PVs'!AH41</f>
        <v>1054277.238813408</v>
      </c>
      <c r="D196" s="278">
        <f ca="1">'USD Swap PVs'!AI41</f>
        <v>843421.79105072562</v>
      </c>
      <c r="E196" s="278">
        <f ca="1">'USD Swap PVs'!AJ41</f>
        <v>632566.34328804526</v>
      </c>
      <c r="F196" s="278">
        <f ca="1">'USD Swap PVs'!AK41</f>
        <v>421710.89552536298</v>
      </c>
      <c r="G196" s="278">
        <f ca="1">'USD Swap PVs'!AL41</f>
        <v>210855.44776268251</v>
      </c>
      <c r="H196" s="278">
        <f ca="1">'USD Swap PVs'!AM41</f>
        <v>0</v>
      </c>
      <c r="I196" s="278">
        <f ca="1">'USD Swap PVs'!AN41</f>
        <v>-210855.44776268149</v>
      </c>
      <c r="J196" s="278">
        <f ca="1">'USD Swap PVs'!AO41</f>
        <v>-421710.89552536281</v>
      </c>
      <c r="K196" s="278">
        <f ca="1">'USD Swap PVs'!AP41</f>
        <v>-632566.34328804445</v>
      </c>
      <c r="L196" s="278">
        <f ca="1">'USD Swap PVs'!AQ41</f>
        <v>-843421.79105072573</v>
      </c>
      <c r="M196" s="279">
        <f ca="1">'USD Swap PVs'!AR41</f>
        <v>-1054277.2388134075</v>
      </c>
    </row>
    <row r="197" spans="2:26">
      <c r="B197" s="282" t="s">
        <v>15</v>
      </c>
      <c r="C197" s="278">
        <f ca="1">'USD Swap PVs'!AH42</f>
        <v>1239840.6415149074</v>
      </c>
      <c r="D197" s="278">
        <f ca="1">'USD Swap PVs'!AI42</f>
        <v>991872.51321192575</v>
      </c>
      <c r="E197" s="278">
        <f ca="1">'USD Swap PVs'!AJ42</f>
        <v>743904.38490894553</v>
      </c>
      <c r="F197" s="278">
        <f ca="1">'USD Swap PVs'!AK42</f>
        <v>495936.25660596328</v>
      </c>
      <c r="G197" s="278">
        <f ca="1">'USD Swap PVs'!AL42</f>
        <v>247968.12830298286</v>
      </c>
      <c r="H197" s="278">
        <f ca="1">'USD Swap PVs'!AM42</f>
        <v>0</v>
      </c>
      <c r="I197" s="278">
        <f ca="1">'USD Swap PVs'!AN42</f>
        <v>-247968.12830298138</v>
      </c>
      <c r="J197" s="278">
        <f ca="1">'USD Swap PVs'!AO42</f>
        <v>-495936.25660596264</v>
      </c>
      <c r="K197" s="278">
        <f ca="1">'USD Swap PVs'!AP42</f>
        <v>-743904.38490894414</v>
      </c>
      <c r="L197" s="278">
        <f ca="1">'USD Swap PVs'!AQ42</f>
        <v>-991872.51321192551</v>
      </c>
      <c r="M197" s="279">
        <f ca="1">'USD Swap PVs'!AR42</f>
        <v>-1239840.6415149071</v>
      </c>
    </row>
    <row r="198" spans="2:26">
      <c r="B198" s="282" t="s">
        <v>14</v>
      </c>
      <c r="C198" s="278">
        <f ca="1">'USD Swap PVs'!AH43</f>
        <v>1381003.7389991141</v>
      </c>
      <c r="D198" s="278">
        <f ca="1">'USD Swap PVs'!AI43</f>
        <v>1104802.9911992913</v>
      </c>
      <c r="E198" s="278">
        <f ca="1">'USD Swap PVs'!AJ43</f>
        <v>828602.24339946965</v>
      </c>
      <c r="F198" s="278">
        <f ca="1">'USD Swap PVs'!AK43</f>
        <v>552401.49559964647</v>
      </c>
      <c r="G198" s="278">
        <f ca="1">'USD Swap PVs'!AL43</f>
        <v>276200.74779982487</v>
      </c>
      <c r="H198" s="278">
        <f ca="1">'USD Swap PVs'!AM43</f>
        <v>0</v>
      </c>
      <c r="I198" s="278">
        <f ca="1">'USD Swap PVs'!AN43</f>
        <v>-276200.74779982283</v>
      </c>
      <c r="J198" s="278">
        <f ca="1">'USD Swap PVs'!AO43</f>
        <v>-552401.49559964542</v>
      </c>
      <c r="K198" s="278">
        <f ca="1">'USD Swap PVs'!AP43</f>
        <v>-828602.24339946848</v>
      </c>
      <c r="L198" s="278">
        <f ca="1">'USD Swap PVs'!AQ43</f>
        <v>-1104802.9911992911</v>
      </c>
      <c r="M198" s="279">
        <f ca="1">'USD Swap PVs'!AR43</f>
        <v>-1381003.7389991141</v>
      </c>
    </row>
    <row r="199" spans="2:26">
      <c r="B199" s="282"/>
      <c r="C199" s="278"/>
      <c r="D199" s="278"/>
      <c r="E199" s="278"/>
      <c r="F199" s="278"/>
      <c r="G199" s="278"/>
      <c r="H199" s="278"/>
      <c r="I199" s="278"/>
      <c r="J199" s="278"/>
      <c r="K199" s="278"/>
      <c r="L199" s="278"/>
      <c r="M199" s="279"/>
    </row>
    <row r="200" spans="2:26">
      <c r="B200" s="282"/>
      <c r="C200" s="278"/>
      <c r="D200" s="278"/>
      <c r="E200" s="278"/>
      <c r="F200" s="278"/>
      <c r="G200" s="278"/>
      <c r="H200" s="278"/>
      <c r="I200" s="278"/>
      <c r="J200" s="278"/>
      <c r="K200" s="278"/>
      <c r="L200" s="278"/>
      <c r="M200" s="279"/>
    </row>
    <row r="201" spans="2:26">
      <c r="B201" s="282"/>
      <c r="C201" s="278"/>
      <c r="D201" s="278"/>
      <c r="E201" s="278"/>
      <c r="F201" s="278"/>
      <c r="G201" s="278"/>
      <c r="H201" s="278"/>
      <c r="I201" s="278"/>
      <c r="J201" s="278"/>
      <c r="K201" s="278"/>
      <c r="L201" s="278"/>
      <c r="M201" s="279"/>
    </row>
    <row r="202" spans="2:26">
      <c r="B202" s="283"/>
      <c r="C202" s="280"/>
      <c r="D202" s="280"/>
      <c r="E202" s="280"/>
      <c r="F202" s="280"/>
      <c r="G202" s="280"/>
      <c r="H202" s="280"/>
      <c r="I202" s="280"/>
      <c r="J202" s="280"/>
      <c r="K202" s="280"/>
      <c r="L202" s="280"/>
      <c r="M202" s="281"/>
    </row>
    <row r="204" spans="2:26">
      <c r="B204" s="258" t="s">
        <v>472</v>
      </c>
      <c r="O204" s="258" t="s">
        <v>472</v>
      </c>
    </row>
    <row r="205" spans="2:26">
      <c r="B205" s="254" t="s">
        <v>468</v>
      </c>
      <c r="C205" s="287">
        <v>500</v>
      </c>
      <c r="D205" s="287">
        <v>400</v>
      </c>
      <c r="E205" s="287">
        <v>300</v>
      </c>
      <c r="F205" s="287">
        <v>200</v>
      </c>
      <c r="G205" s="287">
        <v>100</v>
      </c>
      <c r="H205" s="287">
        <v>0</v>
      </c>
      <c r="I205" s="287">
        <v>-100</v>
      </c>
      <c r="J205" s="287">
        <v>-200</v>
      </c>
      <c r="K205" s="287">
        <v>-300</v>
      </c>
      <c r="L205" s="287">
        <v>-400</v>
      </c>
      <c r="M205" s="288">
        <v>-500</v>
      </c>
      <c r="O205" s="254" t="s">
        <v>468</v>
      </c>
      <c r="P205" s="276">
        <v>-0.05</v>
      </c>
      <c r="Q205" s="276">
        <v>-0.04</v>
      </c>
      <c r="R205" s="276">
        <v>-0.03</v>
      </c>
      <c r="S205" s="276">
        <v>-1.9999999999999997E-2</v>
      </c>
      <c r="T205" s="276">
        <v>-9.9999999999999967E-3</v>
      </c>
      <c r="U205" s="276">
        <v>0</v>
      </c>
      <c r="V205" s="276">
        <v>0.01</v>
      </c>
      <c r="W205" s="276">
        <v>0.02</v>
      </c>
      <c r="X205" s="276">
        <v>0.03</v>
      </c>
      <c r="Y205" s="276">
        <v>0.04</v>
      </c>
      <c r="Z205" s="277">
        <v>0.05</v>
      </c>
    </row>
    <row r="206" spans="2:26">
      <c r="B206" s="282" t="s">
        <v>35</v>
      </c>
      <c r="C206" s="278">
        <f ca="1">IF(C184&gt;D184,0,1)</f>
        <v>0</v>
      </c>
      <c r="D206" s="278">
        <f t="shared" ref="D206:L206" ca="1" si="16">IF(D184&gt;E184,0,1)</f>
        <v>0</v>
      </c>
      <c r="E206" s="278">
        <f t="shared" ca="1" si="16"/>
        <v>0</v>
      </c>
      <c r="F206" s="278">
        <f t="shared" ca="1" si="16"/>
        <v>0</v>
      </c>
      <c r="G206" s="278">
        <f t="shared" ca="1" si="16"/>
        <v>0</v>
      </c>
      <c r="H206" s="278">
        <f t="shared" ca="1" si="16"/>
        <v>0</v>
      </c>
      <c r="I206" s="278">
        <f t="shared" ca="1" si="16"/>
        <v>0</v>
      </c>
      <c r="J206" s="278">
        <f t="shared" ca="1" si="16"/>
        <v>0</v>
      </c>
      <c r="K206" s="278">
        <f t="shared" ca="1" si="16"/>
        <v>0</v>
      </c>
      <c r="L206" s="278">
        <f t="shared" ca="1" si="16"/>
        <v>0</v>
      </c>
      <c r="M206" s="285" t="s">
        <v>6</v>
      </c>
      <c r="O206" s="282" t="s">
        <v>35</v>
      </c>
      <c r="P206" s="289">
        <f ca="1">IF(ABS(C185)&gt;ABS(C184),0,1)</f>
        <v>0</v>
      </c>
      <c r="Q206" s="289">
        <f t="shared" ref="Q206:T221" ca="1" si="17">IF(ABS(D185)&gt;ABS(D184),0,1)</f>
        <v>0</v>
      </c>
      <c r="R206" s="289">
        <f t="shared" ca="1" si="17"/>
        <v>0</v>
      </c>
      <c r="S206" s="289">
        <f t="shared" ca="1" si="17"/>
        <v>0</v>
      </c>
      <c r="T206" s="289">
        <f t="shared" ca="1" si="17"/>
        <v>0</v>
      </c>
      <c r="U206" s="295" t="s">
        <v>6</v>
      </c>
      <c r="V206" s="289">
        <f t="shared" ref="V206:Z221" ca="1" si="18">IF(ABS(I185)&gt;ABS(I184),0,1)</f>
        <v>0</v>
      </c>
      <c r="W206" s="289">
        <f t="shared" ca="1" si="18"/>
        <v>0</v>
      </c>
      <c r="X206" s="289">
        <f t="shared" ca="1" si="18"/>
        <v>0</v>
      </c>
      <c r="Y206" s="289">
        <f t="shared" ca="1" si="18"/>
        <v>0</v>
      </c>
      <c r="Z206" s="291">
        <f t="shared" ca="1" si="18"/>
        <v>0</v>
      </c>
    </row>
    <row r="207" spans="2:26">
      <c r="B207" s="282" t="s">
        <v>33</v>
      </c>
      <c r="C207" s="278">
        <f t="shared" ref="C207:L222" ca="1" si="19">IF(C185&gt;D185,0,1)</f>
        <v>0</v>
      </c>
      <c r="D207" s="278">
        <f t="shared" ca="1" si="19"/>
        <v>0</v>
      </c>
      <c r="E207" s="278">
        <f t="shared" ca="1" si="19"/>
        <v>0</v>
      </c>
      <c r="F207" s="278">
        <f t="shared" ca="1" si="19"/>
        <v>0</v>
      </c>
      <c r="G207" s="278">
        <f t="shared" ca="1" si="19"/>
        <v>0</v>
      </c>
      <c r="H207" s="278">
        <f t="shared" ca="1" si="19"/>
        <v>0</v>
      </c>
      <c r="I207" s="278">
        <f t="shared" ca="1" si="19"/>
        <v>0</v>
      </c>
      <c r="J207" s="278">
        <f t="shared" ca="1" si="19"/>
        <v>0</v>
      </c>
      <c r="K207" s="278">
        <f t="shared" ca="1" si="19"/>
        <v>0</v>
      </c>
      <c r="L207" s="278">
        <f t="shared" ca="1" si="19"/>
        <v>0</v>
      </c>
      <c r="M207" s="279" t="s">
        <v>6</v>
      </c>
      <c r="O207" s="282" t="s">
        <v>33</v>
      </c>
      <c r="P207" s="289">
        <f t="shared" ref="P207:T222" ca="1" si="20">IF(ABS(C186)&gt;ABS(C185),0,1)</f>
        <v>0</v>
      </c>
      <c r="Q207" s="289">
        <f t="shared" ca="1" si="17"/>
        <v>0</v>
      </c>
      <c r="R207" s="289">
        <f t="shared" ca="1" si="17"/>
        <v>0</v>
      </c>
      <c r="S207" s="289">
        <f t="shared" ca="1" si="17"/>
        <v>0</v>
      </c>
      <c r="T207" s="289">
        <f t="shared" ca="1" si="17"/>
        <v>0</v>
      </c>
      <c r="U207" s="295" t="s">
        <v>6</v>
      </c>
      <c r="V207" s="289">
        <f t="shared" ca="1" si="18"/>
        <v>0</v>
      </c>
      <c r="W207" s="289">
        <f t="shared" ca="1" si="18"/>
        <v>0</v>
      </c>
      <c r="X207" s="289">
        <f t="shared" ca="1" si="18"/>
        <v>0</v>
      </c>
      <c r="Y207" s="289">
        <f t="shared" ca="1" si="18"/>
        <v>0</v>
      </c>
      <c r="Z207" s="292">
        <f t="shared" ca="1" si="18"/>
        <v>0</v>
      </c>
    </row>
    <row r="208" spans="2:26">
      <c r="B208" s="282" t="s">
        <v>131</v>
      </c>
      <c r="C208" s="278">
        <f t="shared" ca="1" si="19"/>
        <v>0</v>
      </c>
      <c r="D208" s="278">
        <f t="shared" ca="1" si="19"/>
        <v>0</v>
      </c>
      <c r="E208" s="278">
        <f t="shared" ca="1" si="19"/>
        <v>0</v>
      </c>
      <c r="F208" s="278">
        <f t="shared" ca="1" si="19"/>
        <v>0</v>
      </c>
      <c r="G208" s="278">
        <f t="shared" ca="1" si="19"/>
        <v>0</v>
      </c>
      <c r="H208" s="278">
        <f t="shared" ca="1" si="19"/>
        <v>0</v>
      </c>
      <c r="I208" s="278">
        <f t="shared" ca="1" si="19"/>
        <v>0</v>
      </c>
      <c r="J208" s="278">
        <f t="shared" ca="1" si="19"/>
        <v>0</v>
      </c>
      <c r="K208" s="278">
        <f t="shared" ca="1" si="19"/>
        <v>0</v>
      </c>
      <c r="L208" s="278">
        <f t="shared" ca="1" si="19"/>
        <v>0</v>
      </c>
      <c r="M208" s="279" t="s">
        <v>6</v>
      </c>
      <c r="O208" s="282" t="s">
        <v>131</v>
      </c>
      <c r="P208" s="289">
        <f t="shared" ca="1" si="20"/>
        <v>0</v>
      </c>
      <c r="Q208" s="289">
        <f t="shared" ca="1" si="17"/>
        <v>0</v>
      </c>
      <c r="R208" s="289">
        <f t="shared" ca="1" si="17"/>
        <v>0</v>
      </c>
      <c r="S208" s="289">
        <f t="shared" ca="1" si="17"/>
        <v>0</v>
      </c>
      <c r="T208" s="289">
        <f t="shared" ca="1" si="17"/>
        <v>0</v>
      </c>
      <c r="U208" s="295" t="s">
        <v>6</v>
      </c>
      <c r="V208" s="289">
        <f t="shared" ca="1" si="18"/>
        <v>0</v>
      </c>
      <c r="W208" s="289">
        <f t="shared" ca="1" si="18"/>
        <v>0</v>
      </c>
      <c r="X208" s="289">
        <f t="shared" ca="1" si="18"/>
        <v>0</v>
      </c>
      <c r="Y208" s="289">
        <f t="shared" ca="1" si="18"/>
        <v>0</v>
      </c>
      <c r="Z208" s="292">
        <f t="shared" ca="1" si="18"/>
        <v>0</v>
      </c>
    </row>
    <row r="209" spans="2:26">
      <c r="B209" s="282" t="s">
        <v>31</v>
      </c>
      <c r="C209" s="278">
        <f t="shared" ca="1" si="19"/>
        <v>0</v>
      </c>
      <c r="D209" s="278">
        <f t="shared" ca="1" si="19"/>
        <v>0</v>
      </c>
      <c r="E209" s="278">
        <f t="shared" ca="1" si="19"/>
        <v>0</v>
      </c>
      <c r="F209" s="278">
        <f t="shared" ca="1" si="19"/>
        <v>0</v>
      </c>
      <c r="G209" s="278">
        <f t="shared" ca="1" si="19"/>
        <v>0</v>
      </c>
      <c r="H209" s="278">
        <f t="shared" ca="1" si="19"/>
        <v>0</v>
      </c>
      <c r="I209" s="278">
        <f t="shared" ca="1" si="19"/>
        <v>0</v>
      </c>
      <c r="J209" s="278">
        <f t="shared" ca="1" si="19"/>
        <v>0</v>
      </c>
      <c r="K209" s="278">
        <f t="shared" ca="1" si="19"/>
        <v>0</v>
      </c>
      <c r="L209" s="278">
        <f t="shared" ca="1" si="19"/>
        <v>0</v>
      </c>
      <c r="M209" s="279" t="s">
        <v>6</v>
      </c>
      <c r="O209" s="282" t="s">
        <v>31</v>
      </c>
      <c r="P209" s="289">
        <f t="shared" ca="1" si="20"/>
        <v>0</v>
      </c>
      <c r="Q209" s="289">
        <f t="shared" ca="1" si="17"/>
        <v>0</v>
      </c>
      <c r="R209" s="289">
        <f t="shared" ca="1" si="17"/>
        <v>0</v>
      </c>
      <c r="S209" s="289">
        <f t="shared" ca="1" si="17"/>
        <v>0</v>
      </c>
      <c r="T209" s="289">
        <f t="shared" ca="1" si="17"/>
        <v>0</v>
      </c>
      <c r="U209" s="295" t="s">
        <v>6</v>
      </c>
      <c r="V209" s="289">
        <f t="shared" ca="1" si="18"/>
        <v>0</v>
      </c>
      <c r="W209" s="289">
        <f t="shared" ca="1" si="18"/>
        <v>0</v>
      </c>
      <c r="X209" s="289">
        <f t="shared" ca="1" si="18"/>
        <v>0</v>
      </c>
      <c r="Y209" s="289">
        <f t="shared" ca="1" si="18"/>
        <v>0</v>
      </c>
      <c r="Z209" s="292">
        <f t="shared" ca="1" si="18"/>
        <v>0</v>
      </c>
    </row>
    <row r="210" spans="2:26">
      <c r="B210" s="282" t="s">
        <v>119</v>
      </c>
      <c r="C210" s="278">
        <f t="shared" ca="1" si="19"/>
        <v>0</v>
      </c>
      <c r="D210" s="278">
        <f t="shared" ca="1" si="19"/>
        <v>0</v>
      </c>
      <c r="E210" s="278">
        <f t="shared" ca="1" si="19"/>
        <v>0</v>
      </c>
      <c r="F210" s="278">
        <f t="shared" ca="1" si="19"/>
        <v>0</v>
      </c>
      <c r="G210" s="278">
        <f t="shared" ca="1" si="19"/>
        <v>0</v>
      </c>
      <c r="H210" s="278">
        <f t="shared" ca="1" si="19"/>
        <v>0</v>
      </c>
      <c r="I210" s="278">
        <f t="shared" ca="1" si="19"/>
        <v>0</v>
      </c>
      <c r="J210" s="278">
        <f t="shared" ca="1" si="19"/>
        <v>0</v>
      </c>
      <c r="K210" s="278">
        <f t="shared" ca="1" si="19"/>
        <v>0</v>
      </c>
      <c r="L210" s="278">
        <f t="shared" ca="1" si="19"/>
        <v>0</v>
      </c>
      <c r="M210" s="279" t="s">
        <v>6</v>
      </c>
      <c r="O210" s="282" t="s">
        <v>119</v>
      </c>
      <c r="P210" s="289">
        <f t="shared" ca="1" si="20"/>
        <v>0</v>
      </c>
      <c r="Q210" s="289">
        <f t="shared" ca="1" si="17"/>
        <v>0</v>
      </c>
      <c r="R210" s="289">
        <f t="shared" ca="1" si="17"/>
        <v>0</v>
      </c>
      <c r="S210" s="289">
        <f t="shared" ca="1" si="17"/>
        <v>0</v>
      </c>
      <c r="T210" s="289">
        <f t="shared" ca="1" si="17"/>
        <v>0</v>
      </c>
      <c r="U210" s="295" t="s">
        <v>6</v>
      </c>
      <c r="V210" s="289">
        <f t="shared" ca="1" si="18"/>
        <v>0</v>
      </c>
      <c r="W210" s="289">
        <f t="shared" ca="1" si="18"/>
        <v>0</v>
      </c>
      <c r="X210" s="289">
        <f t="shared" ca="1" si="18"/>
        <v>0</v>
      </c>
      <c r="Y210" s="289">
        <f t="shared" ca="1" si="18"/>
        <v>0</v>
      </c>
      <c r="Z210" s="292">
        <f t="shared" ca="1" si="18"/>
        <v>0</v>
      </c>
    </row>
    <row r="211" spans="2:26">
      <c r="B211" s="282" t="s">
        <v>113</v>
      </c>
      <c r="C211" s="278">
        <f t="shared" ca="1" si="19"/>
        <v>0</v>
      </c>
      <c r="D211" s="278">
        <f t="shared" ca="1" si="19"/>
        <v>0</v>
      </c>
      <c r="E211" s="278">
        <f t="shared" ca="1" si="19"/>
        <v>0</v>
      </c>
      <c r="F211" s="278">
        <f t="shared" ca="1" si="19"/>
        <v>0</v>
      </c>
      <c r="G211" s="278">
        <f t="shared" ca="1" si="19"/>
        <v>0</v>
      </c>
      <c r="H211" s="278">
        <f t="shared" ca="1" si="19"/>
        <v>0</v>
      </c>
      <c r="I211" s="278">
        <f t="shared" ca="1" si="19"/>
        <v>0</v>
      </c>
      <c r="J211" s="278">
        <f t="shared" ca="1" si="19"/>
        <v>0</v>
      </c>
      <c r="K211" s="278">
        <f t="shared" ca="1" si="19"/>
        <v>0</v>
      </c>
      <c r="L211" s="278">
        <f t="shared" ca="1" si="19"/>
        <v>0</v>
      </c>
      <c r="M211" s="279" t="s">
        <v>6</v>
      </c>
      <c r="O211" s="282" t="s">
        <v>113</v>
      </c>
      <c r="P211" s="289">
        <f t="shared" ca="1" si="20"/>
        <v>0</v>
      </c>
      <c r="Q211" s="289">
        <f t="shared" ca="1" si="17"/>
        <v>0</v>
      </c>
      <c r="R211" s="289">
        <f t="shared" ca="1" si="17"/>
        <v>0</v>
      </c>
      <c r="S211" s="289">
        <f t="shared" ca="1" si="17"/>
        <v>0</v>
      </c>
      <c r="T211" s="289">
        <f t="shared" ca="1" si="17"/>
        <v>0</v>
      </c>
      <c r="U211" s="295" t="s">
        <v>6</v>
      </c>
      <c r="V211" s="289">
        <f t="shared" ca="1" si="18"/>
        <v>0</v>
      </c>
      <c r="W211" s="289">
        <f t="shared" ca="1" si="18"/>
        <v>0</v>
      </c>
      <c r="X211" s="289">
        <f t="shared" ca="1" si="18"/>
        <v>0</v>
      </c>
      <c r="Y211" s="289">
        <f t="shared" ca="1" si="18"/>
        <v>0</v>
      </c>
      <c r="Z211" s="292">
        <f t="shared" ca="1" si="18"/>
        <v>0</v>
      </c>
    </row>
    <row r="212" spans="2:26">
      <c r="B212" s="282" t="s">
        <v>28</v>
      </c>
      <c r="C212" s="278">
        <f t="shared" ca="1" si="19"/>
        <v>0</v>
      </c>
      <c r="D212" s="278">
        <f t="shared" ca="1" si="19"/>
        <v>0</v>
      </c>
      <c r="E212" s="278">
        <f t="shared" ca="1" si="19"/>
        <v>0</v>
      </c>
      <c r="F212" s="278">
        <f t="shared" ca="1" si="19"/>
        <v>0</v>
      </c>
      <c r="G212" s="278">
        <f t="shared" ca="1" si="19"/>
        <v>0</v>
      </c>
      <c r="H212" s="278">
        <f t="shared" ca="1" si="19"/>
        <v>0</v>
      </c>
      <c r="I212" s="278">
        <f t="shared" ca="1" si="19"/>
        <v>0</v>
      </c>
      <c r="J212" s="278">
        <f t="shared" ca="1" si="19"/>
        <v>0</v>
      </c>
      <c r="K212" s="278">
        <f t="shared" ca="1" si="19"/>
        <v>0</v>
      </c>
      <c r="L212" s="278">
        <f t="shared" ca="1" si="19"/>
        <v>0</v>
      </c>
      <c r="M212" s="279" t="s">
        <v>6</v>
      </c>
      <c r="O212" s="282" t="s">
        <v>28</v>
      </c>
      <c r="P212" s="289">
        <f t="shared" ca="1" si="20"/>
        <v>0</v>
      </c>
      <c r="Q212" s="289">
        <f t="shared" ca="1" si="17"/>
        <v>0</v>
      </c>
      <c r="R212" s="289">
        <f t="shared" ca="1" si="17"/>
        <v>0</v>
      </c>
      <c r="S212" s="289">
        <f t="shared" ca="1" si="17"/>
        <v>0</v>
      </c>
      <c r="T212" s="289">
        <f t="shared" ca="1" si="17"/>
        <v>0</v>
      </c>
      <c r="U212" s="295" t="s">
        <v>6</v>
      </c>
      <c r="V212" s="289">
        <f t="shared" ca="1" si="18"/>
        <v>0</v>
      </c>
      <c r="W212" s="289">
        <f t="shared" ca="1" si="18"/>
        <v>0</v>
      </c>
      <c r="X212" s="289">
        <f t="shared" ca="1" si="18"/>
        <v>0</v>
      </c>
      <c r="Y212" s="289">
        <f t="shared" ca="1" si="18"/>
        <v>0</v>
      </c>
      <c r="Z212" s="292">
        <f t="shared" ca="1" si="18"/>
        <v>0</v>
      </c>
    </row>
    <row r="213" spans="2:26">
      <c r="B213" s="282" t="s">
        <v>366</v>
      </c>
      <c r="C213" s="278">
        <f t="shared" ca="1" si="19"/>
        <v>0</v>
      </c>
      <c r="D213" s="278">
        <f t="shared" ca="1" si="19"/>
        <v>0</v>
      </c>
      <c r="E213" s="278">
        <f t="shared" ca="1" si="19"/>
        <v>0</v>
      </c>
      <c r="F213" s="278">
        <f t="shared" ca="1" si="19"/>
        <v>0</v>
      </c>
      <c r="G213" s="278">
        <f t="shared" ca="1" si="19"/>
        <v>0</v>
      </c>
      <c r="H213" s="278">
        <f t="shared" ca="1" si="19"/>
        <v>0</v>
      </c>
      <c r="I213" s="278">
        <f t="shared" ca="1" si="19"/>
        <v>0</v>
      </c>
      <c r="J213" s="278">
        <f t="shared" ca="1" si="19"/>
        <v>0</v>
      </c>
      <c r="K213" s="278">
        <f t="shared" ca="1" si="19"/>
        <v>0</v>
      </c>
      <c r="L213" s="278">
        <f t="shared" ca="1" si="19"/>
        <v>0</v>
      </c>
      <c r="M213" s="279" t="s">
        <v>6</v>
      </c>
      <c r="O213" s="282" t="s">
        <v>366</v>
      </c>
      <c r="P213" s="289">
        <f t="shared" ca="1" si="20"/>
        <v>0</v>
      </c>
      <c r="Q213" s="289">
        <f t="shared" ca="1" si="17"/>
        <v>0</v>
      </c>
      <c r="R213" s="289">
        <f t="shared" ca="1" si="17"/>
        <v>0</v>
      </c>
      <c r="S213" s="289">
        <f t="shared" ca="1" si="17"/>
        <v>0</v>
      </c>
      <c r="T213" s="289">
        <f t="shared" ca="1" si="17"/>
        <v>0</v>
      </c>
      <c r="U213" s="295" t="s">
        <v>6</v>
      </c>
      <c r="V213" s="289">
        <f t="shared" ca="1" si="18"/>
        <v>0</v>
      </c>
      <c r="W213" s="289">
        <f t="shared" ca="1" si="18"/>
        <v>0</v>
      </c>
      <c r="X213" s="289">
        <f t="shared" ca="1" si="18"/>
        <v>0</v>
      </c>
      <c r="Y213" s="289">
        <f t="shared" ca="1" si="18"/>
        <v>0</v>
      </c>
      <c r="Z213" s="292">
        <f t="shared" ca="1" si="18"/>
        <v>0</v>
      </c>
    </row>
    <row r="214" spans="2:26">
      <c r="B214" s="282" t="s">
        <v>26</v>
      </c>
      <c r="C214" s="278">
        <f t="shared" ca="1" si="19"/>
        <v>0</v>
      </c>
      <c r="D214" s="278">
        <f t="shared" ca="1" si="19"/>
        <v>0</v>
      </c>
      <c r="E214" s="278">
        <f t="shared" ca="1" si="19"/>
        <v>0</v>
      </c>
      <c r="F214" s="278">
        <f t="shared" ca="1" si="19"/>
        <v>0</v>
      </c>
      <c r="G214" s="278">
        <f t="shared" ca="1" si="19"/>
        <v>0</v>
      </c>
      <c r="H214" s="278">
        <f t="shared" ca="1" si="19"/>
        <v>0</v>
      </c>
      <c r="I214" s="278">
        <f t="shared" ca="1" si="19"/>
        <v>0</v>
      </c>
      <c r="J214" s="278">
        <f t="shared" ca="1" si="19"/>
        <v>0</v>
      </c>
      <c r="K214" s="278">
        <f t="shared" ca="1" si="19"/>
        <v>0</v>
      </c>
      <c r="L214" s="278">
        <f t="shared" ca="1" si="19"/>
        <v>0</v>
      </c>
      <c r="M214" s="279" t="s">
        <v>6</v>
      </c>
      <c r="O214" s="282" t="s">
        <v>26</v>
      </c>
      <c r="P214" s="289">
        <f t="shared" ca="1" si="20"/>
        <v>0</v>
      </c>
      <c r="Q214" s="289">
        <f t="shared" ca="1" si="17"/>
        <v>0</v>
      </c>
      <c r="R214" s="289">
        <f t="shared" ca="1" si="17"/>
        <v>0</v>
      </c>
      <c r="S214" s="289">
        <f t="shared" ca="1" si="17"/>
        <v>0</v>
      </c>
      <c r="T214" s="289">
        <f t="shared" ca="1" si="17"/>
        <v>0</v>
      </c>
      <c r="U214" s="295" t="s">
        <v>6</v>
      </c>
      <c r="V214" s="289">
        <f t="shared" ca="1" si="18"/>
        <v>0</v>
      </c>
      <c r="W214" s="289">
        <f t="shared" ca="1" si="18"/>
        <v>0</v>
      </c>
      <c r="X214" s="289">
        <f t="shared" ca="1" si="18"/>
        <v>0</v>
      </c>
      <c r="Y214" s="289">
        <f t="shared" ca="1" si="18"/>
        <v>0</v>
      </c>
      <c r="Z214" s="292">
        <f t="shared" ca="1" si="18"/>
        <v>0</v>
      </c>
    </row>
    <row r="215" spans="2:26">
      <c r="B215" s="282" t="s">
        <v>24</v>
      </c>
      <c r="C215" s="278">
        <f t="shared" ca="1" si="19"/>
        <v>0</v>
      </c>
      <c r="D215" s="278">
        <f t="shared" ca="1" si="19"/>
        <v>0</v>
      </c>
      <c r="E215" s="278">
        <f t="shared" ca="1" si="19"/>
        <v>0</v>
      </c>
      <c r="F215" s="278">
        <f t="shared" ca="1" si="19"/>
        <v>0</v>
      </c>
      <c r="G215" s="278">
        <f t="shared" ca="1" si="19"/>
        <v>0</v>
      </c>
      <c r="H215" s="278">
        <f t="shared" ca="1" si="19"/>
        <v>0</v>
      </c>
      <c r="I215" s="278">
        <f t="shared" ca="1" si="19"/>
        <v>0</v>
      </c>
      <c r="J215" s="278">
        <f t="shared" ca="1" si="19"/>
        <v>0</v>
      </c>
      <c r="K215" s="278">
        <f t="shared" ca="1" si="19"/>
        <v>0</v>
      </c>
      <c r="L215" s="278">
        <f t="shared" ca="1" si="19"/>
        <v>0</v>
      </c>
      <c r="M215" s="279" t="s">
        <v>6</v>
      </c>
      <c r="O215" s="282" t="s">
        <v>24</v>
      </c>
      <c r="P215" s="289">
        <f t="shared" ca="1" si="20"/>
        <v>0</v>
      </c>
      <c r="Q215" s="289">
        <f t="shared" ca="1" si="17"/>
        <v>0</v>
      </c>
      <c r="R215" s="289">
        <f t="shared" ca="1" si="17"/>
        <v>0</v>
      </c>
      <c r="S215" s="289">
        <f t="shared" ca="1" si="17"/>
        <v>0</v>
      </c>
      <c r="T215" s="289">
        <f t="shared" ca="1" si="17"/>
        <v>0</v>
      </c>
      <c r="U215" s="295" t="s">
        <v>6</v>
      </c>
      <c r="V215" s="289">
        <f t="shared" ca="1" si="18"/>
        <v>0</v>
      </c>
      <c r="W215" s="289">
        <f t="shared" ca="1" si="18"/>
        <v>0</v>
      </c>
      <c r="X215" s="289">
        <f t="shared" ca="1" si="18"/>
        <v>0</v>
      </c>
      <c r="Y215" s="289">
        <f t="shared" ca="1" si="18"/>
        <v>0</v>
      </c>
      <c r="Z215" s="292">
        <f t="shared" ca="1" si="18"/>
        <v>0</v>
      </c>
    </row>
    <row r="216" spans="2:26">
      <c r="B216" s="282" t="s">
        <v>20</v>
      </c>
      <c r="C216" s="278">
        <f t="shared" ca="1" si="19"/>
        <v>0</v>
      </c>
      <c r="D216" s="278">
        <f t="shared" ca="1" si="19"/>
        <v>0</v>
      </c>
      <c r="E216" s="278">
        <f t="shared" ca="1" si="19"/>
        <v>0</v>
      </c>
      <c r="F216" s="278">
        <f t="shared" ca="1" si="19"/>
        <v>0</v>
      </c>
      <c r="G216" s="278">
        <f t="shared" ca="1" si="19"/>
        <v>0</v>
      </c>
      <c r="H216" s="278">
        <f t="shared" ca="1" si="19"/>
        <v>0</v>
      </c>
      <c r="I216" s="278">
        <f t="shared" ca="1" si="19"/>
        <v>0</v>
      </c>
      <c r="J216" s="278">
        <f t="shared" ca="1" si="19"/>
        <v>0</v>
      </c>
      <c r="K216" s="278">
        <f t="shared" ca="1" si="19"/>
        <v>0</v>
      </c>
      <c r="L216" s="278">
        <f t="shared" ca="1" si="19"/>
        <v>0</v>
      </c>
      <c r="M216" s="279" t="s">
        <v>6</v>
      </c>
      <c r="O216" s="282" t="s">
        <v>20</v>
      </c>
      <c r="P216" s="289">
        <f t="shared" ca="1" si="20"/>
        <v>0</v>
      </c>
      <c r="Q216" s="289">
        <f t="shared" ca="1" si="17"/>
        <v>0</v>
      </c>
      <c r="R216" s="289">
        <f t="shared" ca="1" si="17"/>
        <v>0</v>
      </c>
      <c r="S216" s="289">
        <f t="shared" ca="1" si="17"/>
        <v>0</v>
      </c>
      <c r="T216" s="289">
        <f t="shared" ca="1" si="17"/>
        <v>0</v>
      </c>
      <c r="U216" s="295" t="s">
        <v>6</v>
      </c>
      <c r="V216" s="289">
        <f t="shared" ca="1" si="18"/>
        <v>0</v>
      </c>
      <c r="W216" s="289">
        <f t="shared" ca="1" si="18"/>
        <v>0</v>
      </c>
      <c r="X216" s="289">
        <f t="shared" ca="1" si="18"/>
        <v>0</v>
      </c>
      <c r="Y216" s="289">
        <f t="shared" ca="1" si="18"/>
        <v>0</v>
      </c>
      <c r="Z216" s="292">
        <f t="shared" ca="1" si="18"/>
        <v>0</v>
      </c>
    </row>
    <row r="217" spans="2:26">
      <c r="B217" s="282" t="s">
        <v>18</v>
      </c>
      <c r="C217" s="278">
        <f t="shared" ca="1" si="19"/>
        <v>0</v>
      </c>
      <c r="D217" s="278">
        <f t="shared" ca="1" si="19"/>
        <v>0</v>
      </c>
      <c r="E217" s="278">
        <f t="shared" ca="1" si="19"/>
        <v>0</v>
      </c>
      <c r="F217" s="278">
        <f t="shared" ca="1" si="19"/>
        <v>0</v>
      </c>
      <c r="G217" s="278">
        <f t="shared" ca="1" si="19"/>
        <v>0</v>
      </c>
      <c r="H217" s="278">
        <f t="shared" ca="1" si="19"/>
        <v>0</v>
      </c>
      <c r="I217" s="278">
        <f t="shared" ca="1" si="19"/>
        <v>0</v>
      </c>
      <c r="J217" s="278">
        <f t="shared" ca="1" si="19"/>
        <v>0</v>
      </c>
      <c r="K217" s="278">
        <f t="shared" ca="1" si="19"/>
        <v>0</v>
      </c>
      <c r="L217" s="278">
        <f t="shared" ca="1" si="19"/>
        <v>0</v>
      </c>
      <c r="M217" s="279" t="s">
        <v>6</v>
      </c>
      <c r="O217" s="282" t="s">
        <v>18</v>
      </c>
      <c r="P217" s="289">
        <f t="shared" ca="1" si="20"/>
        <v>0</v>
      </c>
      <c r="Q217" s="289">
        <f t="shared" ca="1" si="17"/>
        <v>0</v>
      </c>
      <c r="R217" s="289">
        <f t="shared" ca="1" si="17"/>
        <v>0</v>
      </c>
      <c r="S217" s="289">
        <f t="shared" ca="1" si="17"/>
        <v>0</v>
      </c>
      <c r="T217" s="289">
        <f t="shared" ca="1" si="17"/>
        <v>0</v>
      </c>
      <c r="U217" s="295" t="s">
        <v>6</v>
      </c>
      <c r="V217" s="289">
        <f t="shared" ca="1" si="18"/>
        <v>0</v>
      </c>
      <c r="W217" s="289">
        <f t="shared" ca="1" si="18"/>
        <v>0</v>
      </c>
      <c r="X217" s="289">
        <f t="shared" ca="1" si="18"/>
        <v>0</v>
      </c>
      <c r="Y217" s="289">
        <f t="shared" ca="1" si="18"/>
        <v>0</v>
      </c>
      <c r="Z217" s="292">
        <f t="shared" ca="1" si="18"/>
        <v>0</v>
      </c>
    </row>
    <row r="218" spans="2:26">
      <c r="B218" s="282" t="s">
        <v>17</v>
      </c>
      <c r="C218" s="278">
        <f t="shared" ca="1" si="19"/>
        <v>0</v>
      </c>
      <c r="D218" s="278">
        <f t="shared" ca="1" si="19"/>
        <v>0</v>
      </c>
      <c r="E218" s="278">
        <f t="shared" ca="1" si="19"/>
        <v>0</v>
      </c>
      <c r="F218" s="278">
        <f t="shared" ca="1" si="19"/>
        <v>0</v>
      </c>
      <c r="G218" s="278">
        <f t="shared" ca="1" si="19"/>
        <v>0</v>
      </c>
      <c r="H218" s="278">
        <f t="shared" ca="1" si="19"/>
        <v>0</v>
      </c>
      <c r="I218" s="278">
        <f t="shared" ca="1" si="19"/>
        <v>0</v>
      </c>
      <c r="J218" s="278">
        <f t="shared" ca="1" si="19"/>
        <v>0</v>
      </c>
      <c r="K218" s="278">
        <f t="shared" ca="1" si="19"/>
        <v>0</v>
      </c>
      <c r="L218" s="278">
        <f t="shared" ca="1" si="19"/>
        <v>0</v>
      </c>
      <c r="M218" s="279" t="s">
        <v>6</v>
      </c>
      <c r="O218" s="282" t="s">
        <v>17</v>
      </c>
      <c r="P218" s="289">
        <f t="shared" ca="1" si="20"/>
        <v>0</v>
      </c>
      <c r="Q218" s="289">
        <f t="shared" ca="1" si="17"/>
        <v>0</v>
      </c>
      <c r="R218" s="289">
        <f t="shared" ca="1" si="17"/>
        <v>0</v>
      </c>
      <c r="S218" s="289">
        <f t="shared" ca="1" si="17"/>
        <v>0</v>
      </c>
      <c r="T218" s="289">
        <f t="shared" ca="1" si="17"/>
        <v>0</v>
      </c>
      <c r="U218" s="295" t="s">
        <v>6</v>
      </c>
      <c r="V218" s="289">
        <f t="shared" ca="1" si="18"/>
        <v>0</v>
      </c>
      <c r="W218" s="289">
        <f t="shared" ca="1" si="18"/>
        <v>0</v>
      </c>
      <c r="X218" s="289">
        <f t="shared" ca="1" si="18"/>
        <v>0</v>
      </c>
      <c r="Y218" s="289">
        <f t="shared" ca="1" si="18"/>
        <v>0</v>
      </c>
      <c r="Z218" s="292">
        <f t="shared" ca="1" si="18"/>
        <v>0</v>
      </c>
    </row>
    <row r="219" spans="2:26">
      <c r="B219" s="282" t="s">
        <v>15</v>
      </c>
      <c r="C219" s="278">
        <f t="shared" ca="1" si="19"/>
        <v>0</v>
      </c>
      <c r="D219" s="278">
        <f t="shared" ca="1" si="19"/>
        <v>0</v>
      </c>
      <c r="E219" s="278">
        <f t="shared" ca="1" si="19"/>
        <v>0</v>
      </c>
      <c r="F219" s="278">
        <f t="shared" ca="1" si="19"/>
        <v>0</v>
      </c>
      <c r="G219" s="278">
        <f t="shared" ca="1" si="19"/>
        <v>0</v>
      </c>
      <c r="H219" s="278">
        <f t="shared" ca="1" si="19"/>
        <v>0</v>
      </c>
      <c r="I219" s="278">
        <f t="shared" ca="1" si="19"/>
        <v>0</v>
      </c>
      <c r="J219" s="278">
        <f t="shared" ca="1" si="19"/>
        <v>0</v>
      </c>
      <c r="K219" s="278">
        <f t="shared" ca="1" si="19"/>
        <v>0</v>
      </c>
      <c r="L219" s="278">
        <f t="shared" ca="1" si="19"/>
        <v>0</v>
      </c>
      <c r="M219" s="279" t="s">
        <v>6</v>
      </c>
      <c r="O219" s="282" t="s">
        <v>15</v>
      </c>
      <c r="P219" s="289">
        <f t="shared" ca="1" si="20"/>
        <v>0</v>
      </c>
      <c r="Q219" s="289">
        <f t="shared" ca="1" si="17"/>
        <v>0</v>
      </c>
      <c r="R219" s="289">
        <f t="shared" ca="1" si="17"/>
        <v>0</v>
      </c>
      <c r="S219" s="289">
        <f t="shared" ca="1" si="17"/>
        <v>0</v>
      </c>
      <c r="T219" s="289">
        <f t="shared" ca="1" si="17"/>
        <v>0</v>
      </c>
      <c r="U219" s="295" t="s">
        <v>6</v>
      </c>
      <c r="V219" s="289">
        <f t="shared" ca="1" si="18"/>
        <v>0</v>
      </c>
      <c r="W219" s="289">
        <f t="shared" ca="1" si="18"/>
        <v>0</v>
      </c>
      <c r="X219" s="289">
        <f t="shared" ca="1" si="18"/>
        <v>0</v>
      </c>
      <c r="Y219" s="289">
        <f t="shared" ca="1" si="18"/>
        <v>0</v>
      </c>
      <c r="Z219" s="292">
        <f t="shared" ca="1" si="18"/>
        <v>0</v>
      </c>
    </row>
    <row r="220" spans="2:26">
      <c r="B220" s="282" t="s">
        <v>14</v>
      </c>
      <c r="C220" s="278">
        <f t="shared" ca="1" si="19"/>
        <v>0</v>
      </c>
      <c r="D220" s="278">
        <f t="shared" ca="1" si="19"/>
        <v>0</v>
      </c>
      <c r="E220" s="278">
        <f t="shared" ca="1" si="19"/>
        <v>0</v>
      </c>
      <c r="F220" s="278">
        <f t="shared" ca="1" si="19"/>
        <v>0</v>
      </c>
      <c r="G220" s="278">
        <f t="shared" ca="1" si="19"/>
        <v>0</v>
      </c>
      <c r="H220" s="278">
        <f t="shared" ca="1" si="19"/>
        <v>0</v>
      </c>
      <c r="I220" s="278">
        <f t="shared" ca="1" si="19"/>
        <v>0</v>
      </c>
      <c r="J220" s="278">
        <f t="shared" ca="1" si="19"/>
        <v>0</v>
      </c>
      <c r="K220" s="278">
        <f t="shared" ca="1" si="19"/>
        <v>0</v>
      </c>
      <c r="L220" s="278">
        <f t="shared" ca="1" si="19"/>
        <v>0</v>
      </c>
      <c r="M220" s="279" t="s">
        <v>6</v>
      </c>
      <c r="O220" s="282" t="s">
        <v>14</v>
      </c>
      <c r="P220" s="295" t="s">
        <v>6</v>
      </c>
      <c r="Q220" s="289" t="s">
        <v>6</v>
      </c>
      <c r="R220" s="289" t="s">
        <v>6</v>
      </c>
      <c r="S220" s="289" t="s">
        <v>6</v>
      </c>
      <c r="T220" s="289" t="s">
        <v>6</v>
      </c>
      <c r="U220" s="295" t="s">
        <v>6</v>
      </c>
      <c r="V220" s="289" t="s">
        <v>6</v>
      </c>
      <c r="W220" s="289" t="s">
        <v>6</v>
      </c>
      <c r="X220" s="289" t="s">
        <v>6</v>
      </c>
      <c r="Y220" s="289" t="s">
        <v>6</v>
      </c>
      <c r="Z220" s="292" t="s">
        <v>6</v>
      </c>
    </row>
    <row r="221" spans="2:26">
      <c r="B221" s="282"/>
      <c r="C221" s="278"/>
      <c r="D221" s="278"/>
      <c r="E221" s="278"/>
      <c r="F221" s="278"/>
      <c r="G221" s="278"/>
      <c r="H221" s="278"/>
      <c r="I221" s="278"/>
      <c r="J221" s="278"/>
      <c r="K221" s="278"/>
      <c r="L221" s="278"/>
      <c r="M221" s="279"/>
      <c r="O221" s="282"/>
      <c r="P221" s="289"/>
      <c r="Q221" s="289"/>
      <c r="R221" s="289"/>
      <c r="S221" s="289"/>
      <c r="T221" s="289"/>
      <c r="U221" s="295"/>
      <c r="V221" s="289"/>
      <c r="W221" s="289"/>
      <c r="X221" s="289"/>
      <c r="Y221" s="289"/>
      <c r="Z221" s="292"/>
    </row>
    <row r="222" spans="2:26">
      <c r="B222" s="282"/>
      <c r="C222" s="278"/>
      <c r="D222" s="278"/>
      <c r="E222" s="278"/>
      <c r="F222" s="278"/>
      <c r="G222" s="278"/>
      <c r="H222" s="278"/>
      <c r="I222" s="278"/>
      <c r="J222" s="278"/>
      <c r="K222" s="278"/>
      <c r="L222" s="278"/>
      <c r="M222" s="279"/>
      <c r="O222" s="282"/>
      <c r="P222" s="289"/>
      <c r="Q222" s="289"/>
      <c r="R222" s="289"/>
      <c r="S222" s="289"/>
      <c r="T222" s="289"/>
      <c r="U222" s="295"/>
      <c r="V222" s="289"/>
      <c r="W222" s="289"/>
      <c r="X222" s="289"/>
      <c r="Y222" s="289"/>
      <c r="Z222" s="292"/>
    </row>
    <row r="223" spans="2:26">
      <c r="B223" s="282"/>
      <c r="C223" s="278"/>
      <c r="D223" s="278"/>
      <c r="E223" s="278"/>
      <c r="F223" s="278"/>
      <c r="G223" s="278"/>
      <c r="H223" s="278"/>
      <c r="I223" s="278"/>
      <c r="J223" s="278"/>
      <c r="K223" s="278"/>
      <c r="L223" s="278"/>
      <c r="M223" s="279"/>
      <c r="O223" s="282"/>
      <c r="P223" s="289"/>
      <c r="Q223" s="289"/>
      <c r="R223" s="289"/>
      <c r="S223" s="289"/>
      <c r="T223" s="289"/>
      <c r="U223" s="295"/>
      <c r="V223" s="289"/>
      <c r="W223" s="289"/>
      <c r="X223" s="289"/>
      <c r="Y223" s="289"/>
      <c r="Z223" s="292"/>
    </row>
    <row r="224" spans="2:26">
      <c r="B224" s="283"/>
      <c r="C224" s="280"/>
      <c r="D224" s="280"/>
      <c r="E224" s="280"/>
      <c r="F224" s="280"/>
      <c r="G224" s="280"/>
      <c r="H224" s="280"/>
      <c r="I224" s="280"/>
      <c r="J224" s="280"/>
      <c r="K224" s="280"/>
      <c r="L224" s="280"/>
      <c r="M224" s="281"/>
      <c r="O224" s="283"/>
      <c r="P224" s="293"/>
      <c r="Q224" s="293"/>
      <c r="R224" s="293"/>
      <c r="S224" s="293"/>
      <c r="T224" s="293"/>
      <c r="U224" s="296"/>
      <c r="V224" s="293"/>
      <c r="W224" s="293"/>
      <c r="X224" s="293"/>
      <c r="Y224" s="293"/>
      <c r="Z224" s="294"/>
    </row>
    <row r="227" spans="1:16">
      <c r="A227" s="224" t="s">
        <v>493</v>
      </c>
      <c r="B227" s="290" t="s">
        <v>495</v>
      </c>
      <c r="C227" s="284"/>
      <c r="G227" s="290" t="s">
        <v>495</v>
      </c>
    </row>
    <row r="228" spans="1:16">
      <c r="B228" s="284" t="s">
        <v>496</v>
      </c>
      <c r="C228" s="284"/>
      <c r="G228" s="284" t="s">
        <v>494</v>
      </c>
      <c r="H228" s="284"/>
    </row>
    <row r="229" spans="1:16">
      <c r="B229" s="258" t="s">
        <v>474</v>
      </c>
      <c r="C229" s="286">
        <f ca="1">SUM(C255:L273)</f>
        <v>0</v>
      </c>
      <c r="G229" s="258" t="s">
        <v>474</v>
      </c>
      <c r="H229" s="286">
        <f ca="1">SUM(P255:Z273)</f>
        <v>0</v>
      </c>
    </row>
    <row r="231" spans="1:16">
      <c r="B231" s="258" t="s">
        <v>477</v>
      </c>
      <c r="C231" s="258"/>
    </row>
    <row r="232" spans="1:16">
      <c r="B232" s="254" t="s">
        <v>468</v>
      </c>
      <c r="C232" s="276">
        <v>-0.05</v>
      </c>
      <c r="D232" s="276">
        <v>-0.04</v>
      </c>
      <c r="E232" s="276">
        <v>-0.03</v>
      </c>
      <c r="F232" s="276">
        <v>-1.9999999999999997E-2</v>
      </c>
      <c r="G232" s="276">
        <v>-9.9999999999999967E-3</v>
      </c>
      <c r="H232" s="276">
        <v>0</v>
      </c>
      <c r="I232" s="276">
        <v>0.01</v>
      </c>
      <c r="J232" s="276">
        <v>0.02</v>
      </c>
      <c r="K232" s="276">
        <v>0.03</v>
      </c>
      <c r="L232" s="276">
        <v>0.04</v>
      </c>
      <c r="M232" s="277">
        <v>0.05</v>
      </c>
      <c r="N232" s="256"/>
      <c r="O232" s="256"/>
      <c r="P232" s="256"/>
    </row>
    <row r="233" spans="1:16">
      <c r="B233" s="282" t="s">
        <v>35</v>
      </c>
      <c r="C233" s="278">
        <f ca="1">'USD Swap PVs'!N52</f>
        <v>-195562.52171450306</v>
      </c>
      <c r="D233" s="278">
        <f ca="1">'USD Swap PVs'!O52</f>
        <v>-156450.01737160247</v>
      </c>
      <c r="E233" s="278">
        <f ca="1">'USD Swap PVs'!P52</f>
        <v>-117337.51302870184</v>
      </c>
      <c r="F233" s="278">
        <f ca="1">'USD Swap PVs'!Q52</f>
        <v>-78225.008685801222</v>
      </c>
      <c r="G233" s="278">
        <f ca="1">'USD Swap PVs'!R52</f>
        <v>-39112.504342900604</v>
      </c>
      <c r="H233" s="278">
        <f ca="1">'USD Swap PVs'!S52</f>
        <v>-6.9388939039072284E-12</v>
      </c>
      <c r="I233" s="278">
        <f ca="1">'USD Swap PVs'!T52</f>
        <v>39112.504342900611</v>
      </c>
      <c r="J233" s="278">
        <f ca="1">'USD Swap PVs'!U52</f>
        <v>78225.008685801207</v>
      </c>
      <c r="K233" s="278">
        <f ca="1">'USD Swap PVs'!V52</f>
        <v>117337.51302870183</v>
      </c>
      <c r="L233" s="278">
        <f ca="1">'USD Swap PVs'!W52</f>
        <v>156450.01737160244</v>
      </c>
      <c r="M233" s="279">
        <f ca="1">'USD Swap PVs'!X52</f>
        <v>195562.52171450303</v>
      </c>
    </row>
    <row r="234" spans="1:16">
      <c r="B234" s="282" t="s">
        <v>33</v>
      </c>
      <c r="C234" s="278">
        <f ca="1">'USD Swap PVs'!N53</f>
        <v>-241983.52432274871</v>
      </c>
      <c r="D234" s="278">
        <f ca="1">'USD Swap PVs'!O53</f>
        <v>-193586.819458199</v>
      </c>
      <c r="E234" s="278">
        <f ca="1">'USD Swap PVs'!P53</f>
        <v>-145190.11459364922</v>
      </c>
      <c r="F234" s="278">
        <f ca="1">'USD Swap PVs'!Q53</f>
        <v>-96793.409729099469</v>
      </c>
      <c r="G234" s="278">
        <f ca="1">'USD Swap PVs'!R53</f>
        <v>-48396.70486454972</v>
      </c>
      <c r="H234" s="278">
        <f ca="1">'USD Swap PVs'!S53</f>
        <v>1.3877787807814457E-11</v>
      </c>
      <c r="I234" s="278">
        <f ca="1">'USD Swap PVs'!T53</f>
        <v>48396.704864549749</v>
      </c>
      <c r="J234" s="278">
        <f ca="1">'USD Swap PVs'!U53</f>
        <v>96793.409729099498</v>
      </c>
      <c r="K234" s="278">
        <f ca="1">'USD Swap PVs'!V53</f>
        <v>145190.11459364928</v>
      </c>
      <c r="L234" s="278">
        <f ca="1">'USD Swap PVs'!W53</f>
        <v>193586.81945819897</v>
      </c>
      <c r="M234" s="279">
        <f ca="1">'USD Swap PVs'!X53</f>
        <v>241983.5243227488</v>
      </c>
    </row>
    <row r="235" spans="1:16">
      <c r="B235" s="282" t="s">
        <v>131</v>
      </c>
      <c r="C235" s="278">
        <f ca="1">'USD Swap PVs'!N54</f>
        <v>-287114.0853050882</v>
      </c>
      <c r="D235" s="278">
        <f ca="1">'USD Swap PVs'!O54</f>
        <v>-229691.26824407058</v>
      </c>
      <c r="E235" s="278">
        <f ca="1">'USD Swap PVs'!P54</f>
        <v>-172268.45118305294</v>
      </c>
      <c r="F235" s="278">
        <f ca="1">'USD Swap PVs'!Q54</f>
        <v>-114845.63412203528</v>
      </c>
      <c r="G235" s="278">
        <f ca="1">'USD Swap PVs'!R54</f>
        <v>-57422.817061017631</v>
      </c>
      <c r="H235" s="278">
        <f ca="1">'USD Swap PVs'!S54</f>
        <v>-1.3877787807814457E-11</v>
      </c>
      <c r="I235" s="278">
        <f ca="1">'USD Swap PVs'!T54</f>
        <v>57422.817061017638</v>
      </c>
      <c r="J235" s="278">
        <f ca="1">'USD Swap PVs'!U54</f>
        <v>114845.63412203529</v>
      </c>
      <c r="K235" s="278">
        <f ca="1">'USD Swap PVs'!V54</f>
        <v>172268.45118305291</v>
      </c>
      <c r="L235" s="278">
        <f ca="1">'USD Swap PVs'!W54</f>
        <v>229691.26824407055</v>
      </c>
      <c r="M235" s="279">
        <f ca="1">'USD Swap PVs'!X54</f>
        <v>287114.0853050882</v>
      </c>
    </row>
    <row r="236" spans="1:16">
      <c r="B236" s="282" t="s">
        <v>31</v>
      </c>
      <c r="C236" s="278">
        <f ca="1">'USD Swap PVs'!N55</f>
        <v>-330911.35818384035</v>
      </c>
      <c r="D236" s="278">
        <f ca="1">'USD Swap PVs'!O55</f>
        <v>-264729.08654707228</v>
      </c>
      <c r="E236" s="278">
        <f ca="1">'USD Swap PVs'!P55</f>
        <v>-198546.81491030421</v>
      </c>
      <c r="F236" s="278">
        <f ca="1">'USD Swap PVs'!Q55</f>
        <v>-132364.54327353611</v>
      </c>
      <c r="G236" s="278">
        <f ca="1">'USD Swap PVs'!R55</f>
        <v>-66182.27163676804</v>
      </c>
      <c r="H236" s="278">
        <f ca="1">'USD Swap PVs'!S55</f>
        <v>0</v>
      </c>
      <c r="I236" s="278">
        <f ca="1">'USD Swap PVs'!T55</f>
        <v>66182.27163676807</v>
      </c>
      <c r="J236" s="278">
        <f ca="1">'USD Swap PVs'!U55</f>
        <v>132364.54327353617</v>
      </c>
      <c r="K236" s="278">
        <f ca="1">'USD Swap PVs'!V55</f>
        <v>198546.81491030427</v>
      </c>
      <c r="L236" s="278">
        <f ca="1">'USD Swap PVs'!W55</f>
        <v>264729.08654707228</v>
      </c>
      <c r="M236" s="279">
        <f ca="1">'USD Swap PVs'!X55</f>
        <v>330911.35818384041</v>
      </c>
    </row>
    <row r="237" spans="1:16">
      <c r="B237" s="282" t="s">
        <v>119</v>
      </c>
      <c r="C237" s="278">
        <f ca="1">'USD Swap PVs'!N56</f>
        <v>-373597.61650791444</v>
      </c>
      <c r="D237" s="278">
        <f ca="1">'USD Swap PVs'!O56</f>
        <v>-298878.09320633154</v>
      </c>
      <c r="E237" s="278">
        <f ca="1">'USD Swap PVs'!P56</f>
        <v>-224158.56990474864</v>
      </c>
      <c r="F237" s="278">
        <f ca="1">'USD Swap PVs'!Q56</f>
        <v>-149439.04660316577</v>
      </c>
      <c r="G237" s="278">
        <f ca="1">'USD Swap PVs'!R56</f>
        <v>-74719.523301582871</v>
      </c>
      <c r="H237" s="278">
        <f ca="1">'USD Swap PVs'!S56</f>
        <v>0</v>
      </c>
      <c r="I237" s="278">
        <f ca="1">'USD Swap PVs'!T56</f>
        <v>74719.523301582885</v>
      </c>
      <c r="J237" s="278">
        <f ca="1">'USD Swap PVs'!U56</f>
        <v>149439.0466031658</v>
      </c>
      <c r="K237" s="278">
        <f ca="1">'USD Swap PVs'!V56</f>
        <v>224158.56990474867</v>
      </c>
      <c r="L237" s="278">
        <f ca="1">'USD Swap PVs'!W56</f>
        <v>298878.09320633154</v>
      </c>
      <c r="M237" s="279">
        <f ca="1">'USD Swap PVs'!X56</f>
        <v>373597.61650791444</v>
      </c>
    </row>
    <row r="238" spans="1:16">
      <c r="B238" s="282" t="s">
        <v>113</v>
      </c>
      <c r="C238" s="278">
        <f ca="1">'USD Swap PVs'!N57</f>
        <v>-414495.955924846</v>
      </c>
      <c r="D238" s="278">
        <f ca="1">'USD Swap PVs'!O57</f>
        <v>-331596.76473987679</v>
      </c>
      <c r="E238" s="278">
        <f ca="1">'USD Swap PVs'!P57</f>
        <v>-248697.57355490761</v>
      </c>
      <c r="F238" s="278">
        <f ca="1">'USD Swap PVs'!Q57</f>
        <v>-165798.38236993839</v>
      </c>
      <c r="G238" s="278">
        <f ca="1">'USD Swap PVs'!R57</f>
        <v>-82899.191184969182</v>
      </c>
      <c r="H238" s="278">
        <f ca="1">'USD Swap PVs'!S57</f>
        <v>0</v>
      </c>
      <c r="I238" s="278">
        <f ca="1">'USD Swap PVs'!T57</f>
        <v>82899.191184969197</v>
      </c>
      <c r="J238" s="278">
        <f ca="1">'USD Swap PVs'!U57</f>
        <v>165798.38236993839</v>
      </c>
      <c r="K238" s="278">
        <f ca="1">'USD Swap PVs'!V57</f>
        <v>248697.57355490758</v>
      </c>
      <c r="L238" s="278">
        <f ca="1">'USD Swap PVs'!W57</f>
        <v>331596.76473987685</v>
      </c>
      <c r="M238" s="279">
        <f ca="1">'USD Swap PVs'!X57</f>
        <v>414495.955924846</v>
      </c>
    </row>
    <row r="239" spans="1:16">
      <c r="B239" s="282" t="s">
        <v>28</v>
      </c>
      <c r="C239" s="278">
        <f ca="1">'USD Swap PVs'!N58</f>
        <v>-454327.72847923241</v>
      </c>
      <c r="D239" s="278">
        <f ca="1">'USD Swap PVs'!O58</f>
        <v>-363462.18278338591</v>
      </c>
      <c r="E239" s="278">
        <f ca="1">'USD Swap PVs'!P58</f>
        <v>-272596.63708753942</v>
      </c>
      <c r="F239" s="278">
        <f ca="1">'USD Swap PVs'!Q58</f>
        <v>-181731.0913916929</v>
      </c>
      <c r="G239" s="278">
        <f ca="1">'USD Swap PVs'!R58</f>
        <v>-90865.545695846449</v>
      </c>
      <c r="H239" s="278">
        <f ca="1">'USD Swap PVs'!S58</f>
        <v>0</v>
      </c>
      <c r="I239" s="278">
        <f ca="1">'USD Swap PVs'!T58</f>
        <v>90865.545695846507</v>
      </c>
      <c r="J239" s="278">
        <f ca="1">'USD Swap PVs'!U58</f>
        <v>181731.09139169299</v>
      </c>
      <c r="K239" s="278">
        <f ca="1">'USD Swap PVs'!V58</f>
        <v>272596.63708753936</v>
      </c>
      <c r="L239" s="278">
        <f ca="1">'USD Swap PVs'!W58</f>
        <v>363462.1827833858</v>
      </c>
      <c r="M239" s="279">
        <f ca="1">'USD Swap PVs'!X58</f>
        <v>454327.72847923241</v>
      </c>
    </row>
    <row r="240" spans="1:16">
      <c r="B240" s="282" t="s">
        <v>366</v>
      </c>
      <c r="C240" s="278">
        <f ca="1">'USD Swap PVs'!N59</f>
        <v>-492896.57612352073</v>
      </c>
      <c r="D240" s="278">
        <f ca="1">'USD Swap PVs'!O59</f>
        <v>-394317.26089881657</v>
      </c>
      <c r="E240" s="278">
        <f ca="1">'USD Swap PVs'!P59</f>
        <v>-295737.94567411236</v>
      </c>
      <c r="F240" s="278">
        <f ca="1">'USD Swap PVs'!Q59</f>
        <v>-197158.63044940823</v>
      </c>
      <c r="G240" s="278">
        <f ca="1">'USD Swap PVs'!R59</f>
        <v>-98579.315224704114</v>
      </c>
      <c r="H240" s="278">
        <f ca="1">'USD Swap PVs'!S59</f>
        <v>0</v>
      </c>
      <c r="I240" s="278">
        <f ca="1">'USD Swap PVs'!T59</f>
        <v>98579.315224704143</v>
      </c>
      <c r="J240" s="278">
        <f ca="1">'USD Swap PVs'!U59</f>
        <v>197158.63044940829</v>
      </c>
      <c r="K240" s="278">
        <f ca="1">'USD Swap PVs'!V59</f>
        <v>295737.94567411242</v>
      </c>
      <c r="L240" s="278">
        <f ca="1">'USD Swap PVs'!W59</f>
        <v>394317.26089881652</v>
      </c>
      <c r="M240" s="279">
        <f ca="1">'USD Swap PVs'!X59</f>
        <v>492896.57612352085</v>
      </c>
    </row>
    <row r="241" spans="2:26">
      <c r="B241" s="282" t="s">
        <v>26</v>
      </c>
      <c r="C241" s="278">
        <f ca="1">'USD Swap PVs'!N60</f>
        <v>-530241.07095762773</v>
      </c>
      <c r="D241" s="278">
        <f ca="1">'USD Swap PVs'!O60</f>
        <v>-424192.8567661022</v>
      </c>
      <c r="E241" s="278">
        <f ca="1">'USD Swap PVs'!P60</f>
        <v>-318144.64257457666</v>
      </c>
      <c r="F241" s="278">
        <f ca="1">'USD Swap PVs'!Q60</f>
        <v>-212096.42838305104</v>
      </c>
      <c r="G241" s="278">
        <f ca="1">'USD Swap PVs'!R60</f>
        <v>-106048.21419152555</v>
      </c>
      <c r="H241" s="278">
        <f ca="1">'USD Swap PVs'!S60</f>
        <v>0</v>
      </c>
      <c r="I241" s="278">
        <f ca="1">'USD Swap PVs'!T60</f>
        <v>106048.21419152549</v>
      </c>
      <c r="J241" s="278">
        <f ca="1">'USD Swap PVs'!U60</f>
        <v>212096.42838305104</v>
      </c>
      <c r="K241" s="278">
        <f ca="1">'USD Swap PVs'!V60</f>
        <v>318144.6425745766</v>
      </c>
      <c r="L241" s="278">
        <f ca="1">'USD Swap PVs'!W60</f>
        <v>424192.85676610214</v>
      </c>
      <c r="M241" s="279">
        <f ca="1">'USD Swap PVs'!X60</f>
        <v>530241.07095762773</v>
      </c>
    </row>
    <row r="242" spans="2:26">
      <c r="B242" s="282" t="s">
        <v>24</v>
      </c>
      <c r="C242" s="278">
        <f ca="1">'USD Swap PVs'!N61</f>
        <v>-635336.21014256671</v>
      </c>
      <c r="D242" s="278">
        <f ca="1">'USD Swap PVs'!O61</f>
        <v>-508268.96811405331</v>
      </c>
      <c r="E242" s="278">
        <f ca="1">'USD Swap PVs'!P61</f>
        <v>-381201.72608553997</v>
      </c>
      <c r="F242" s="278">
        <f ca="1">'USD Swap PVs'!Q61</f>
        <v>-254134.4840570266</v>
      </c>
      <c r="G242" s="278">
        <f ca="1">'USD Swap PVs'!R61</f>
        <v>-127067.2420285133</v>
      </c>
      <c r="H242" s="278">
        <f ca="1">'USD Swap PVs'!S61</f>
        <v>0</v>
      </c>
      <c r="I242" s="278">
        <f ca="1">'USD Swap PVs'!T61</f>
        <v>127067.24202851333</v>
      </c>
      <c r="J242" s="278">
        <f ca="1">'USD Swap PVs'!U61</f>
        <v>254134.48405702665</v>
      </c>
      <c r="K242" s="278">
        <f ca="1">'USD Swap PVs'!V61</f>
        <v>381201.72608554002</v>
      </c>
      <c r="L242" s="278">
        <f ca="1">'USD Swap PVs'!W61</f>
        <v>508268.96811405331</v>
      </c>
      <c r="M242" s="279">
        <f ca="1">'USD Swap PVs'!X61</f>
        <v>635336.21014256682</v>
      </c>
    </row>
    <row r="243" spans="2:26">
      <c r="B243" s="282" t="s">
        <v>20</v>
      </c>
      <c r="C243" s="278">
        <f ca="1">'USD Swap PVs'!N62</f>
        <v>-789748.5521188787</v>
      </c>
      <c r="D243" s="278">
        <f ca="1">'USD Swap PVs'!O62</f>
        <v>-631798.84169510298</v>
      </c>
      <c r="E243" s="278">
        <f ca="1">'USD Swap PVs'!P62</f>
        <v>-473849.13127132721</v>
      </c>
      <c r="F243" s="278">
        <f ca="1">'USD Swap PVs'!Q62</f>
        <v>-315899.42084755143</v>
      </c>
      <c r="G243" s="278">
        <f ca="1">'USD Swap PVs'!R62</f>
        <v>-157949.71042377566</v>
      </c>
      <c r="H243" s="278">
        <f ca="1">'USD Swap PVs'!S62</f>
        <v>0</v>
      </c>
      <c r="I243" s="278">
        <f ca="1">'USD Swap PVs'!T62</f>
        <v>157949.71042377574</v>
      </c>
      <c r="J243" s="278">
        <f ca="1">'USD Swap PVs'!U62</f>
        <v>315899.42084755143</v>
      </c>
      <c r="K243" s="278">
        <f ca="1">'USD Swap PVs'!V62</f>
        <v>473849.13127132726</v>
      </c>
      <c r="L243" s="278">
        <f ca="1">'USD Swap PVs'!W62</f>
        <v>631798.84169510298</v>
      </c>
      <c r="M243" s="279">
        <f ca="1">'USD Swap PVs'!X62</f>
        <v>789748.55211887893</v>
      </c>
    </row>
    <row r="244" spans="2:26">
      <c r="B244" s="282" t="s">
        <v>18</v>
      </c>
      <c r="C244" s="278">
        <f ca="1">'USD Swap PVs'!N63</f>
        <v>-921873.98517284018</v>
      </c>
      <c r="D244" s="278">
        <f ca="1">'USD Swap PVs'!O63</f>
        <v>-737499.18813827203</v>
      </c>
      <c r="E244" s="278">
        <f ca="1">'USD Swap PVs'!P63</f>
        <v>-553124.39110370399</v>
      </c>
      <c r="F244" s="278">
        <f ca="1">'USD Swap PVs'!Q63</f>
        <v>-368749.59406913602</v>
      </c>
      <c r="G244" s="278">
        <f ca="1">'USD Swap PVs'!R63</f>
        <v>-184374.79703456795</v>
      </c>
      <c r="H244" s="278">
        <f ca="1">'USD Swap PVs'!S63</f>
        <v>0</v>
      </c>
      <c r="I244" s="278">
        <f ca="1">'USD Swap PVs'!T63</f>
        <v>184374.79703456804</v>
      </c>
      <c r="J244" s="278">
        <f ca="1">'USD Swap PVs'!U63</f>
        <v>368749.59406913602</v>
      </c>
      <c r="K244" s="278">
        <f ca="1">'USD Swap PVs'!V63</f>
        <v>553124.39110370411</v>
      </c>
      <c r="L244" s="278">
        <f ca="1">'USD Swap PVs'!W63</f>
        <v>737499.18813827203</v>
      </c>
      <c r="M244" s="279">
        <f ca="1">'USD Swap PVs'!X63</f>
        <v>921873.9851728403</v>
      </c>
    </row>
    <row r="245" spans="2:26">
      <c r="B245" s="282" t="s">
        <v>17</v>
      </c>
      <c r="C245" s="278">
        <f ca="1">'USD Swap PVs'!N64</f>
        <v>-1035401.1460912416</v>
      </c>
      <c r="D245" s="278">
        <f ca="1">'USD Swap PVs'!O64</f>
        <v>-828320.91687299323</v>
      </c>
      <c r="E245" s="278">
        <f ca="1">'USD Swap PVs'!P64</f>
        <v>-621240.68765474495</v>
      </c>
      <c r="F245" s="278">
        <f ca="1">'USD Swap PVs'!Q64</f>
        <v>-414160.45843649656</v>
      </c>
      <c r="G245" s="278">
        <f ca="1">'USD Swap PVs'!R64</f>
        <v>-207080.22921824819</v>
      </c>
      <c r="H245" s="278">
        <f ca="1">'USD Swap PVs'!S64</f>
        <v>0</v>
      </c>
      <c r="I245" s="278">
        <f ca="1">'USD Swap PVs'!T64</f>
        <v>207080.22921824831</v>
      </c>
      <c r="J245" s="278">
        <f ca="1">'USD Swap PVs'!U64</f>
        <v>414160.45843649661</v>
      </c>
      <c r="K245" s="278">
        <f ca="1">'USD Swap PVs'!V64</f>
        <v>621240.68765474495</v>
      </c>
      <c r="L245" s="278">
        <f ca="1">'USD Swap PVs'!W64</f>
        <v>828320.91687299323</v>
      </c>
      <c r="M245" s="279">
        <f ca="1">'USD Swap PVs'!X64</f>
        <v>1035401.1460912416</v>
      </c>
    </row>
    <row r="246" spans="2:26">
      <c r="B246" s="282" t="s">
        <v>15</v>
      </c>
      <c r="C246" s="278">
        <f ca="1">'USD Swap PVs'!N65</f>
        <v>-1217652.1488595277</v>
      </c>
      <c r="D246" s="278">
        <f ca="1">'USD Swap PVs'!O65</f>
        <v>-974121.71908762213</v>
      </c>
      <c r="E246" s="278">
        <f ca="1">'USD Swap PVs'!P65</f>
        <v>-730591.28931571648</v>
      </c>
      <c r="F246" s="278">
        <f ca="1">'USD Swap PVs'!Q65</f>
        <v>-487060.85954381095</v>
      </c>
      <c r="G246" s="278">
        <f ca="1">'USD Swap PVs'!R65</f>
        <v>-243530.42977190542</v>
      </c>
      <c r="H246" s="278">
        <f ca="1">'USD Swap PVs'!S65</f>
        <v>0</v>
      </c>
      <c r="I246" s="278">
        <f ca="1">'USD Swap PVs'!T65</f>
        <v>243530.42977190553</v>
      </c>
      <c r="J246" s="278">
        <f ca="1">'USD Swap PVs'!U65</f>
        <v>487060.85954381083</v>
      </c>
      <c r="K246" s="278">
        <f ca="1">'USD Swap PVs'!V65</f>
        <v>730591.28931571648</v>
      </c>
      <c r="L246" s="278">
        <f ca="1">'USD Swap PVs'!W65</f>
        <v>974121.71908762213</v>
      </c>
      <c r="M246" s="279">
        <f ca="1">'USD Swap PVs'!X65</f>
        <v>1217652.1488595277</v>
      </c>
    </row>
    <row r="247" spans="2:26">
      <c r="B247" s="282" t="s">
        <v>14</v>
      </c>
      <c r="C247" s="278">
        <f ca="1">'USD Swap PVs'!N66</f>
        <v>-1356303.3835327972</v>
      </c>
      <c r="D247" s="278">
        <f ca="1">'USD Swap PVs'!O66</f>
        <v>-1085042.7068262377</v>
      </c>
      <c r="E247" s="278">
        <f ca="1">'USD Swap PVs'!P66</f>
        <v>-813782.03011967847</v>
      </c>
      <c r="F247" s="278">
        <f ca="1">'USD Swap PVs'!Q66</f>
        <v>-542521.35341311875</v>
      </c>
      <c r="G247" s="278">
        <f ca="1">'USD Swap PVs'!R66</f>
        <v>-271260.67670655937</v>
      </c>
      <c r="H247" s="278">
        <f ca="1">'USD Swap PVs'!S66</f>
        <v>0</v>
      </c>
      <c r="I247" s="278">
        <f ca="1">'USD Swap PVs'!T66</f>
        <v>271260.67670655949</v>
      </c>
      <c r="J247" s="278">
        <f ca="1">'USD Swap PVs'!U66</f>
        <v>542521.35341311898</v>
      </c>
      <c r="K247" s="278">
        <f ca="1">'USD Swap PVs'!V66</f>
        <v>813782.03011967835</v>
      </c>
      <c r="L247" s="278">
        <f ca="1">'USD Swap PVs'!W66</f>
        <v>1085042.7068262375</v>
      </c>
      <c r="M247" s="279">
        <f ca="1">'USD Swap PVs'!X66</f>
        <v>1356303.3835327972</v>
      </c>
    </row>
    <row r="248" spans="2:26">
      <c r="B248" s="282"/>
      <c r="C248" s="278"/>
      <c r="D248" s="278"/>
      <c r="E248" s="278"/>
      <c r="F248" s="278"/>
      <c r="G248" s="278"/>
      <c r="H248" s="278"/>
      <c r="I248" s="278"/>
      <c r="J248" s="278"/>
      <c r="K248" s="278"/>
      <c r="L248" s="278"/>
      <c r="M248" s="279"/>
    </row>
    <row r="249" spans="2:26">
      <c r="B249" s="282"/>
      <c r="C249" s="278"/>
      <c r="D249" s="278"/>
      <c r="E249" s="278"/>
      <c r="F249" s="278"/>
      <c r="G249" s="278"/>
      <c r="H249" s="278"/>
      <c r="I249" s="278"/>
      <c r="J249" s="278"/>
      <c r="K249" s="278"/>
      <c r="L249" s="278"/>
      <c r="M249" s="279"/>
    </row>
    <row r="250" spans="2:26">
      <c r="B250" s="282"/>
      <c r="C250" s="278"/>
      <c r="D250" s="278"/>
      <c r="E250" s="278"/>
      <c r="F250" s="278"/>
      <c r="G250" s="278"/>
      <c r="H250" s="278"/>
      <c r="I250" s="278"/>
      <c r="J250" s="278"/>
      <c r="K250" s="278"/>
      <c r="L250" s="278"/>
      <c r="M250" s="279"/>
    </row>
    <row r="251" spans="2:26">
      <c r="B251" s="283"/>
      <c r="C251" s="280"/>
      <c r="D251" s="280"/>
      <c r="E251" s="280"/>
      <c r="F251" s="280"/>
      <c r="G251" s="280"/>
      <c r="H251" s="280"/>
      <c r="I251" s="280"/>
      <c r="J251" s="280"/>
      <c r="K251" s="280"/>
      <c r="L251" s="280"/>
      <c r="M251" s="281"/>
    </row>
    <row r="253" spans="2:26">
      <c r="B253" s="258" t="s">
        <v>472</v>
      </c>
      <c r="O253" s="258" t="s">
        <v>472</v>
      </c>
    </row>
    <row r="254" spans="2:26">
      <c r="B254" s="254" t="s">
        <v>468</v>
      </c>
      <c r="C254" s="276">
        <v>-0.05</v>
      </c>
      <c r="D254" s="276">
        <v>-0.04</v>
      </c>
      <c r="E254" s="276">
        <v>-0.03</v>
      </c>
      <c r="F254" s="276">
        <v>-1.9999999999999997E-2</v>
      </c>
      <c r="G254" s="276">
        <v>-9.9999999999999967E-3</v>
      </c>
      <c r="H254" s="276">
        <v>0</v>
      </c>
      <c r="I254" s="276">
        <v>0.01</v>
      </c>
      <c r="J254" s="276">
        <v>0.02</v>
      </c>
      <c r="K254" s="276">
        <v>0.03</v>
      </c>
      <c r="L254" s="276">
        <v>0.04</v>
      </c>
      <c r="M254" s="277">
        <v>0.05</v>
      </c>
      <c r="O254" s="254" t="s">
        <v>468</v>
      </c>
      <c r="P254" s="276">
        <v>-0.05</v>
      </c>
      <c r="Q254" s="276">
        <v>-0.04</v>
      </c>
      <c r="R254" s="276">
        <v>-0.03</v>
      </c>
      <c r="S254" s="276">
        <v>-1.9999999999999997E-2</v>
      </c>
      <c r="T254" s="276">
        <v>-9.9999999999999967E-3</v>
      </c>
      <c r="U254" s="276">
        <v>0</v>
      </c>
      <c r="V254" s="276">
        <v>0.01</v>
      </c>
      <c r="W254" s="276">
        <v>0.02</v>
      </c>
      <c r="X254" s="276">
        <v>0.03</v>
      </c>
      <c r="Y254" s="276">
        <v>0.04</v>
      </c>
      <c r="Z254" s="277">
        <v>0.05</v>
      </c>
    </row>
    <row r="255" spans="2:26">
      <c r="B255" s="282" t="s">
        <v>35</v>
      </c>
      <c r="C255" s="278">
        <f ca="1">IF(C233&lt;D233,0,1)</f>
        <v>0</v>
      </c>
      <c r="D255" s="278">
        <f t="shared" ref="D255:L255" ca="1" si="21">IF(D233&lt;E233,0,1)</f>
        <v>0</v>
      </c>
      <c r="E255" s="278">
        <f t="shared" ca="1" si="21"/>
        <v>0</v>
      </c>
      <c r="F255" s="278">
        <f t="shared" ca="1" si="21"/>
        <v>0</v>
      </c>
      <c r="G255" s="278">
        <f t="shared" ca="1" si="21"/>
        <v>0</v>
      </c>
      <c r="H255" s="278">
        <f t="shared" ca="1" si="21"/>
        <v>0</v>
      </c>
      <c r="I255" s="278">
        <f t="shared" ca="1" si="21"/>
        <v>0</v>
      </c>
      <c r="J255" s="278">
        <f t="shared" ca="1" si="21"/>
        <v>0</v>
      </c>
      <c r="K255" s="278">
        <f t="shared" ca="1" si="21"/>
        <v>0</v>
      </c>
      <c r="L255" s="278">
        <f t="shared" ca="1" si="21"/>
        <v>0</v>
      </c>
      <c r="M255" s="285" t="s">
        <v>6</v>
      </c>
      <c r="O255" s="282" t="s">
        <v>35</v>
      </c>
      <c r="P255" s="289">
        <f ca="1">IF(ABS(C234)&gt;ABS(C233),0,1)</f>
        <v>0</v>
      </c>
      <c r="Q255" s="289">
        <f t="shared" ref="Q255:T270" ca="1" si="22">IF(ABS(D234)&gt;ABS(D233),0,1)</f>
        <v>0</v>
      </c>
      <c r="R255" s="289">
        <f t="shared" ca="1" si="22"/>
        <v>0</v>
      </c>
      <c r="S255" s="289">
        <f t="shared" ca="1" si="22"/>
        <v>0</v>
      </c>
      <c r="T255" s="289">
        <f t="shared" ca="1" si="22"/>
        <v>0</v>
      </c>
      <c r="U255" s="295" t="s">
        <v>6</v>
      </c>
      <c r="V255" s="289">
        <f t="shared" ref="V255:Z270" ca="1" si="23">IF(ABS(I234)&gt;ABS(I233),0,1)</f>
        <v>0</v>
      </c>
      <c r="W255" s="289">
        <f t="shared" ca="1" si="23"/>
        <v>0</v>
      </c>
      <c r="X255" s="289">
        <f t="shared" ca="1" si="23"/>
        <v>0</v>
      </c>
      <c r="Y255" s="289">
        <f t="shared" ca="1" si="23"/>
        <v>0</v>
      </c>
      <c r="Z255" s="291">
        <f t="shared" ca="1" si="23"/>
        <v>0</v>
      </c>
    </row>
    <row r="256" spans="2:26">
      <c r="B256" s="282" t="s">
        <v>33</v>
      </c>
      <c r="C256" s="278">
        <f t="shared" ref="C256:L271" ca="1" si="24">IF(C234&lt;D234,0,1)</f>
        <v>0</v>
      </c>
      <c r="D256" s="278">
        <f t="shared" ca="1" si="24"/>
        <v>0</v>
      </c>
      <c r="E256" s="278">
        <f t="shared" ca="1" si="24"/>
        <v>0</v>
      </c>
      <c r="F256" s="278">
        <f t="shared" ca="1" si="24"/>
        <v>0</v>
      </c>
      <c r="G256" s="278">
        <f t="shared" ca="1" si="24"/>
        <v>0</v>
      </c>
      <c r="H256" s="278">
        <f t="shared" ca="1" si="24"/>
        <v>0</v>
      </c>
      <c r="I256" s="278">
        <f t="shared" ca="1" si="24"/>
        <v>0</v>
      </c>
      <c r="J256" s="278">
        <f t="shared" ca="1" si="24"/>
        <v>0</v>
      </c>
      <c r="K256" s="278">
        <f t="shared" ca="1" si="24"/>
        <v>0</v>
      </c>
      <c r="L256" s="278">
        <f t="shared" ca="1" si="24"/>
        <v>0</v>
      </c>
      <c r="M256" s="279" t="s">
        <v>6</v>
      </c>
      <c r="O256" s="282" t="s">
        <v>33</v>
      </c>
      <c r="P256" s="289">
        <f t="shared" ref="P256:T271" ca="1" si="25">IF(ABS(C235)&gt;ABS(C234),0,1)</f>
        <v>0</v>
      </c>
      <c r="Q256" s="289">
        <f t="shared" ca="1" si="22"/>
        <v>0</v>
      </c>
      <c r="R256" s="289">
        <f t="shared" ca="1" si="22"/>
        <v>0</v>
      </c>
      <c r="S256" s="289">
        <f t="shared" ca="1" si="22"/>
        <v>0</v>
      </c>
      <c r="T256" s="289">
        <f t="shared" ca="1" si="22"/>
        <v>0</v>
      </c>
      <c r="U256" s="295" t="s">
        <v>6</v>
      </c>
      <c r="V256" s="289">
        <f t="shared" ca="1" si="23"/>
        <v>0</v>
      </c>
      <c r="W256" s="289">
        <f t="shared" ca="1" si="23"/>
        <v>0</v>
      </c>
      <c r="X256" s="289">
        <f t="shared" ca="1" si="23"/>
        <v>0</v>
      </c>
      <c r="Y256" s="289">
        <f t="shared" ca="1" si="23"/>
        <v>0</v>
      </c>
      <c r="Z256" s="292">
        <f t="shared" ca="1" si="23"/>
        <v>0</v>
      </c>
    </row>
    <row r="257" spans="2:26">
      <c r="B257" s="282" t="s">
        <v>131</v>
      </c>
      <c r="C257" s="278">
        <f t="shared" ca="1" si="24"/>
        <v>0</v>
      </c>
      <c r="D257" s="278">
        <f t="shared" ca="1" si="24"/>
        <v>0</v>
      </c>
      <c r="E257" s="278">
        <f t="shared" ca="1" si="24"/>
        <v>0</v>
      </c>
      <c r="F257" s="278">
        <f t="shared" ca="1" si="24"/>
        <v>0</v>
      </c>
      <c r="G257" s="278">
        <f t="shared" ca="1" si="24"/>
        <v>0</v>
      </c>
      <c r="H257" s="278">
        <f t="shared" ca="1" si="24"/>
        <v>0</v>
      </c>
      <c r="I257" s="278">
        <f t="shared" ca="1" si="24"/>
        <v>0</v>
      </c>
      <c r="J257" s="278">
        <f t="shared" ca="1" si="24"/>
        <v>0</v>
      </c>
      <c r="K257" s="278">
        <f t="shared" ca="1" si="24"/>
        <v>0</v>
      </c>
      <c r="L257" s="278">
        <f t="shared" ca="1" si="24"/>
        <v>0</v>
      </c>
      <c r="M257" s="279" t="s">
        <v>6</v>
      </c>
      <c r="O257" s="282" t="s">
        <v>131</v>
      </c>
      <c r="P257" s="289">
        <f t="shared" ca="1" si="25"/>
        <v>0</v>
      </c>
      <c r="Q257" s="289">
        <f t="shared" ca="1" si="22"/>
        <v>0</v>
      </c>
      <c r="R257" s="289">
        <f t="shared" ca="1" si="22"/>
        <v>0</v>
      </c>
      <c r="S257" s="289">
        <f t="shared" ca="1" si="22"/>
        <v>0</v>
      </c>
      <c r="T257" s="289">
        <f t="shared" ca="1" si="22"/>
        <v>0</v>
      </c>
      <c r="U257" s="295" t="s">
        <v>6</v>
      </c>
      <c r="V257" s="289">
        <f t="shared" ca="1" si="23"/>
        <v>0</v>
      </c>
      <c r="W257" s="289">
        <f t="shared" ca="1" si="23"/>
        <v>0</v>
      </c>
      <c r="X257" s="289">
        <f t="shared" ca="1" si="23"/>
        <v>0</v>
      </c>
      <c r="Y257" s="289">
        <f t="shared" ca="1" si="23"/>
        <v>0</v>
      </c>
      <c r="Z257" s="292">
        <f t="shared" ca="1" si="23"/>
        <v>0</v>
      </c>
    </row>
    <row r="258" spans="2:26">
      <c r="B258" s="282" t="s">
        <v>31</v>
      </c>
      <c r="C258" s="278">
        <f t="shared" ca="1" si="24"/>
        <v>0</v>
      </c>
      <c r="D258" s="278">
        <f t="shared" ca="1" si="24"/>
        <v>0</v>
      </c>
      <c r="E258" s="278">
        <f t="shared" ca="1" si="24"/>
        <v>0</v>
      </c>
      <c r="F258" s="278">
        <f t="shared" ca="1" si="24"/>
        <v>0</v>
      </c>
      <c r="G258" s="278">
        <f t="shared" ca="1" si="24"/>
        <v>0</v>
      </c>
      <c r="H258" s="278">
        <f t="shared" ca="1" si="24"/>
        <v>0</v>
      </c>
      <c r="I258" s="278">
        <f t="shared" ca="1" si="24"/>
        <v>0</v>
      </c>
      <c r="J258" s="278">
        <f t="shared" ca="1" si="24"/>
        <v>0</v>
      </c>
      <c r="K258" s="278">
        <f t="shared" ca="1" si="24"/>
        <v>0</v>
      </c>
      <c r="L258" s="278">
        <f t="shared" ca="1" si="24"/>
        <v>0</v>
      </c>
      <c r="M258" s="279" t="s">
        <v>6</v>
      </c>
      <c r="O258" s="282" t="s">
        <v>31</v>
      </c>
      <c r="P258" s="289">
        <f t="shared" ca="1" si="25"/>
        <v>0</v>
      </c>
      <c r="Q258" s="289">
        <f t="shared" ca="1" si="22"/>
        <v>0</v>
      </c>
      <c r="R258" s="289">
        <f t="shared" ca="1" si="22"/>
        <v>0</v>
      </c>
      <c r="S258" s="289">
        <f t="shared" ca="1" si="22"/>
        <v>0</v>
      </c>
      <c r="T258" s="289">
        <f t="shared" ca="1" si="22"/>
        <v>0</v>
      </c>
      <c r="U258" s="295" t="s">
        <v>6</v>
      </c>
      <c r="V258" s="289">
        <f t="shared" ca="1" si="23"/>
        <v>0</v>
      </c>
      <c r="W258" s="289">
        <f t="shared" ca="1" si="23"/>
        <v>0</v>
      </c>
      <c r="X258" s="289">
        <f t="shared" ca="1" si="23"/>
        <v>0</v>
      </c>
      <c r="Y258" s="289">
        <f t="shared" ca="1" si="23"/>
        <v>0</v>
      </c>
      <c r="Z258" s="292">
        <f t="shared" ca="1" si="23"/>
        <v>0</v>
      </c>
    </row>
    <row r="259" spans="2:26">
      <c r="B259" s="282" t="s">
        <v>119</v>
      </c>
      <c r="C259" s="278">
        <f t="shared" ca="1" si="24"/>
        <v>0</v>
      </c>
      <c r="D259" s="278">
        <f t="shared" ca="1" si="24"/>
        <v>0</v>
      </c>
      <c r="E259" s="278">
        <f t="shared" ca="1" si="24"/>
        <v>0</v>
      </c>
      <c r="F259" s="278">
        <f t="shared" ca="1" si="24"/>
        <v>0</v>
      </c>
      <c r="G259" s="278">
        <f t="shared" ca="1" si="24"/>
        <v>0</v>
      </c>
      <c r="H259" s="278">
        <f t="shared" ca="1" si="24"/>
        <v>0</v>
      </c>
      <c r="I259" s="278">
        <f t="shared" ca="1" si="24"/>
        <v>0</v>
      </c>
      <c r="J259" s="278">
        <f t="shared" ca="1" si="24"/>
        <v>0</v>
      </c>
      <c r="K259" s="278">
        <f t="shared" ca="1" si="24"/>
        <v>0</v>
      </c>
      <c r="L259" s="278">
        <f t="shared" ca="1" si="24"/>
        <v>0</v>
      </c>
      <c r="M259" s="279" t="s">
        <v>6</v>
      </c>
      <c r="O259" s="282" t="s">
        <v>119</v>
      </c>
      <c r="P259" s="289">
        <f t="shared" ca="1" si="25"/>
        <v>0</v>
      </c>
      <c r="Q259" s="289">
        <f t="shared" ca="1" si="22"/>
        <v>0</v>
      </c>
      <c r="R259" s="289">
        <f t="shared" ca="1" si="22"/>
        <v>0</v>
      </c>
      <c r="S259" s="289">
        <f t="shared" ca="1" si="22"/>
        <v>0</v>
      </c>
      <c r="T259" s="289">
        <f t="shared" ca="1" si="22"/>
        <v>0</v>
      </c>
      <c r="U259" s="295" t="s">
        <v>6</v>
      </c>
      <c r="V259" s="289">
        <f t="shared" ca="1" si="23"/>
        <v>0</v>
      </c>
      <c r="W259" s="289">
        <f t="shared" ca="1" si="23"/>
        <v>0</v>
      </c>
      <c r="X259" s="289">
        <f t="shared" ca="1" si="23"/>
        <v>0</v>
      </c>
      <c r="Y259" s="289">
        <f t="shared" ca="1" si="23"/>
        <v>0</v>
      </c>
      <c r="Z259" s="292">
        <f t="shared" ca="1" si="23"/>
        <v>0</v>
      </c>
    </row>
    <row r="260" spans="2:26">
      <c r="B260" s="282" t="s">
        <v>113</v>
      </c>
      <c r="C260" s="278">
        <f t="shared" ca="1" si="24"/>
        <v>0</v>
      </c>
      <c r="D260" s="278">
        <f t="shared" ca="1" si="24"/>
        <v>0</v>
      </c>
      <c r="E260" s="278">
        <f t="shared" ca="1" si="24"/>
        <v>0</v>
      </c>
      <c r="F260" s="278">
        <f t="shared" ca="1" si="24"/>
        <v>0</v>
      </c>
      <c r="G260" s="278">
        <f t="shared" ca="1" si="24"/>
        <v>0</v>
      </c>
      <c r="H260" s="278">
        <f t="shared" ca="1" si="24"/>
        <v>0</v>
      </c>
      <c r="I260" s="278">
        <f t="shared" ca="1" si="24"/>
        <v>0</v>
      </c>
      <c r="J260" s="278">
        <f t="shared" ca="1" si="24"/>
        <v>0</v>
      </c>
      <c r="K260" s="278">
        <f t="shared" ca="1" si="24"/>
        <v>0</v>
      </c>
      <c r="L260" s="278">
        <f t="shared" ca="1" si="24"/>
        <v>0</v>
      </c>
      <c r="M260" s="279" t="s">
        <v>6</v>
      </c>
      <c r="O260" s="282" t="s">
        <v>113</v>
      </c>
      <c r="P260" s="289">
        <f t="shared" ca="1" si="25"/>
        <v>0</v>
      </c>
      <c r="Q260" s="289">
        <f t="shared" ca="1" si="22"/>
        <v>0</v>
      </c>
      <c r="R260" s="289">
        <f t="shared" ca="1" si="22"/>
        <v>0</v>
      </c>
      <c r="S260" s="289">
        <f t="shared" ca="1" si="22"/>
        <v>0</v>
      </c>
      <c r="T260" s="289">
        <f t="shared" ca="1" si="22"/>
        <v>0</v>
      </c>
      <c r="U260" s="295" t="s">
        <v>6</v>
      </c>
      <c r="V260" s="289">
        <f t="shared" ca="1" si="23"/>
        <v>0</v>
      </c>
      <c r="W260" s="289">
        <f t="shared" ca="1" si="23"/>
        <v>0</v>
      </c>
      <c r="X260" s="289">
        <f t="shared" ca="1" si="23"/>
        <v>0</v>
      </c>
      <c r="Y260" s="289">
        <f t="shared" ca="1" si="23"/>
        <v>0</v>
      </c>
      <c r="Z260" s="292">
        <f t="shared" ca="1" si="23"/>
        <v>0</v>
      </c>
    </row>
    <row r="261" spans="2:26">
      <c r="B261" s="282" t="s">
        <v>28</v>
      </c>
      <c r="C261" s="278">
        <f t="shared" ca="1" si="24"/>
        <v>0</v>
      </c>
      <c r="D261" s="278">
        <f t="shared" ca="1" si="24"/>
        <v>0</v>
      </c>
      <c r="E261" s="278">
        <f t="shared" ca="1" si="24"/>
        <v>0</v>
      </c>
      <c r="F261" s="278">
        <f t="shared" ca="1" si="24"/>
        <v>0</v>
      </c>
      <c r="G261" s="278">
        <f t="shared" ca="1" si="24"/>
        <v>0</v>
      </c>
      <c r="H261" s="278">
        <f t="shared" ca="1" si="24"/>
        <v>0</v>
      </c>
      <c r="I261" s="278">
        <f t="shared" ca="1" si="24"/>
        <v>0</v>
      </c>
      <c r="J261" s="278">
        <f t="shared" ca="1" si="24"/>
        <v>0</v>
      </c>
      <c r="K261" s="278">
        <f t="shared" ca="1" si="24"/>
        <v>0</v>
      </c>
      <c r="L261" s="278">
        <f t="shared" ca="1" si="24"/>
        <v>0</v>
      </c>
      <c r="M261" s="279" t="s">
        <v>6</v>
      </c>
      <c r="O261" s="282" t="s">
        <v>28</v>
      </c>
      <c r="P261" s="289">
        <f t="shared" ca="1" si="25"/>
        <v>0</v>
      </c>
      <c r="Q261" s="289">
        <f t="shared" ca="1" si="22"/>
        <v>0</v>
      </c>
      <c r="R261" s="289">
        <f t="shared" ca="1" si="22"/>
        <v>0</v>
      </c>
      <c r="S261" s="289">
        <f t="shared" ca="1" si="22"/>
        <v>0</v>
      </c>
      <c r="T261" s="289">
        <f t="shared" ca="1" si="22"/>
        <v>0</v>
      </c>
      <c r="U261" s="295" t="s">
        <v>6</v>
      </c>
      <c r="V261" s="289">
        <f t="shared" ca="1" si="23"/>
        <v>0</v>
      </c>
      <c r="W261" s="289">
        <f t="shared" ca="1" si="23"/>
        <v>0</v>
      </c>
      <c r="X261" s="289">
        <f t="shared" ca="1" si="23"/>
        <v>0</v>
      </c>
      <c r="Y261" s="289">
        <f t="shared" ca="1" si="23"/>
        <v>0</v>
      </c>
      <c r="Z261" s="292">
        <f t="shared" ca="1" si="23"/>
        <v>0</v>
      </c>
    </row>
    <row r="262" spans="2:26">
      <c r="B262" s="282" t="s">
        <v>366</v>
      </c>
      <c r="C262" s="278">
        <f t="shared" ca="1" si="24"/>
        <v>0</v>
      </c>
      <c r="D262" s="278">
        <f t="shared" ca="1" si="24"/>
        <v>0</v>
      </c>
      <c r="E262" s="278">
        <f t="shared" ca="1" si="24"/>
        <v>0</v>
      </c>
      <c r="F262" s="278">
        <f t="shared" ca="1" si="24"/>
        <v>0</v>
      </c>
      <c r="G262" s="278">
        <f t="shared" ca="1" si="24"/>
        <v>0</v>
      </c>
      <c r="H262" s="278">
        <f t="shared" ca="1" si="24"/>
        <v>0</v>
      </c>
      <c r="I262" s="278">
        <f t="shared" ca="1" si="24"/>
        <v>0</v>
      </c>
      <c r="J262" s="278">
        <f t="shared" ca="1" si="24"/>
        <v>0</v>
      </c>
      <c r="K262" s="278">
        <f t="shared" ca="1" si="24"/>
        <v>0</v>
      </c>
      <c r="L262" s="278">
        <f t="shared" ca="1" si="24"/>
        <v>0</v>
      </c>
      <c r="M262" s="279" t="s">
        <v>6</v>
      </c>
      <c r="O262" s="282" t="s">
        <v>366</v>
      </c>
      <c r="P262" s="289">
        <f t="shared" ca="1" si="25"/>
        <v>0</v>
      </c>
      <c r="Q262" s="289">
        <f t="shared" ca="1" si="22"/>
        <v>0</v>
      </c>
      <c r="R262" s="289">
        <f t="shared" ca="1" si="22"/>
        <v>0</v>
      </c>
      <c r="S262" s="289">
        <f t="shared" ca="1" si="22"/>
        <v>0</v>
      </c>
      <c r="T262" s="289">
        <f t="shared" ca="1" si="22"/>
        <v>0</v>
      </c>
      <c r="U262" s="295" t="s">
        <v>6</v>
      </c>
      <c r="V262" s="289">
        <f t="shared" ca="1" si="23"/>
        <v>0</v>
      </c>
      <c r="W262" s="289">
        <f t="shared" ca="1" si="23"/>
        <v>0</v>
      </c>
      <c r="X262" s="289">
        <f t="shared" ca="1" si="23"/>
        <v>0</v>
      </c>
      <c r="Y262" s="289">
        <f t="shared" ca="1" si="23"/>
        <v>0</v>
      </c>
      <c r="Z262" s="292">
        <f t="shared" ca="1" si="23"/>
        <v>0</v>
      </c>
    </row>
    <row r="263" spans="2:26">
      <c r="B263" s="282" t="s">
        <v>26</v>
      </c>
      <c r="C263" s="278">
        <f t="shared" ca="1" si="24"/>
        <v>0</v>
      </c>
      <c r="D263" s="278">
        <f t="shared" ca="1" si="24"/>
        <v>0</v>
      </c>
      <c r="E263" s="278">
        <f t="shared" ca="1" si="24"/>
        <v>0</v>
      </c>
      <c r="F263" s="278">
        <f t="shared" ca="1" si="24"/>
        <v>0</v>
      </c>
      <c r="G263" s="278">
        <f t="shared" ca="1" si="24"/>
        <v>0</v>
      </c>
      <c r="H263" s="278">
        <f t="shared" ca="1" si="24"/>
        <v>0</v>
      </c>
      <c r="I263" s="278">
        <f t="shared" ca="1" si="24"/>
        <v>0</v>
      </c>
      <c r="J263" s="278">
        <f t="shared" ca="1" si="24"/>
        <v>0</v>
      </c>
      <c r="K263" s="278">
        <f t="shared" ca="1" si="24"/>
        <v>0</v>
      </c>
      <c r="L263" s="278">
        <f t="shared" ca="1" si="24"/>
        <v>0</v>
      </c>
      <c r="M263" s="279" t="s">
        <v>6</v>
      </c>
      <c r="O263" s="282" t="s">
        <v>26</v>
      </c>
      <c r="P263" s="289">
        <f t="shared" ca="1" si="25"/>
        <v>0</v>
      </c>
      <c r="Q263" s="289">
        <f t="shared" ca="1" si="22"/>
        <v>0</v>
      </c>
      <c r="R263" s="289">
        <f t="shared" ca="1" si="22"/>
        <v>0</v>
      </c>
      <c r="S263" s="289">
        <f t="shared" ca="1" si="22"/>
        <v>0</v>
      </c>
      <c r="T263" s="289">
        <f t="shared" ca="1" si="22"/>
        <v>0</v>
      </c>
      <c r="U263" s="295" t="s">
        <v>6</v>
      </c>
      <c r="V263" s="289">
        <f t="shared" ca="1" si="23"/>
        <v>0</v>
      </c>
      <c r="W263" s="289">
        <f t="shared" ca="1" si="23"/>
        <v>0</v>
      </c>
      <c r="X263" s="289">
        <f t="shared" ca="1" si="23"/>
        <v>0</v>
      </c>
      <c r="Y263" s="289">
        <f t="shared" ca="1" si="23"/>
        <v>0</v>
      </c>
      <c r="Z263" s="292">
        <f t="shared" ca="1" si="23"/>
        <v>0</v>
      </c>
    </row>
    <row r="264" spans="2:26">
      <c r="B264" s="282" t="s">
        <v>24</v>
      </c>
      <c r="C264" s="278">
        <f t="shared" ca="1" si="24"/>
        <v>0</v>
      </c>
      <c r="D264" s="278">
        <f t="shared" ca="1" si="24"/>
        <v>0</v>
      </c>
      <c r="E264" s="278">
        <f t="shared" ca="1" si="24"/>
        <v>0</v>
      </c>
      <c r="F264" s="278">
        <f t="shared" ca="1" si="24"/>
        <v>0</v>
      </c>
      <c r="G264" s="278">
        <f t="shared" ca="1" si="24"/>
        <v>0</v>
      </c>
      <c r="H264" s="278">
        <f t="shared" ca="1" si="24"/>
        <v>0</v>
      </c>
      <c r="I264" s="278">
        <f t="shared" ca="1" si="24"/>
        <v>0</v>
      </c>
      <c r="J264" s="278">
        <f t="shared" ca="1" si="24"/>
        <v>0</v>
      </c>
      <c r="K264" s="278">
        <f t="shared" ca="1" si="24"/>
        <v>0</v>
      </c>
      <c r="L264" s="278">
        <f t="shared" ca="1" si="24"/>
        <v>0</v>
      </c>
      <c r="M264" s="279" t="s">
        <v>6</v>
      </c>
      <c r="O264" s="282" t="s">
        <v>24</v>
      </c>
      <c r="P264" s="289">
        <f t="shared" ca="1" si="25"/>
        <v>0</v>
      </c>
      <c r="Q264" s="289">
        <f t="shared" ca="1" si="22"/>
        <v>0</v>
      </c>
      <c r="R264" s="289">
        <f t="shared" ca="1" si="22"/>
        <v>0</v>
      </c>
      <c r="S264" s="289">
        <f t="shared" ca="1" si="22"/>
        <v>0</v>
      </c>
      <c r="T264" s="289">
        <f t="shared" ca="1" si="22"/>
        <v>0</v>
      </c>
      <c r="U264" s="295" t="s">
        <v>6</v>
      </c>
      <c r="V264" s="289">
        <f t="shared" ca="1" si="23"/>
        <v>0</v>
      </c>
      <c r="W264" s="289">
        <f t="shared" ca="1" si="23"/>
        <v>0</v>
      </c>
      <c r="X264" s="289">
        <f t="shared" ca="1" si="23"/>
        <v>0</v>
      </c>
      <c r="Y264" s="289">
        <f t="shared" ca="1" si="23"/>
        <v>0</v>
      </c>
      <c r="Z264" s="292">
        <f t="shared" ca="1" si="23"/>
        <v>0</v>
      </c>
    </row>
    <row r="265" spans="2:26">
      <c r="B265" s="282" t="s">
        <v>20</v>
      </c>
      <c r="C265" s="278">
        <f t="shared" ca="1" si="24"/>
        <v>0</v>
      </c>
      <c r="D265" s="278">
        <f t="shared" ca="1" si="24"/>
        <v>0</v>
      </c>
      <c r="E265" s="278">
        <f t="shared" ca="1" si="24"/>
        <v>0</v>
      </c>
      <c r="F265" s="278">
        <f t="shared" ca="1" si="24"/>
        <v>0</v>
      </c>
      <c r="G265" s="278">
        <f t="shared" ca="1" si="24"/>
        <v>0</v>
      </c>
      <c r="H265" s="278">
        <f t="shared" ca="1" si="24"/>
        <v>0</v>
      </c>
      <c r="I265" s="278">
        <f t="shared" ca="1" si="24"/>
        <v>0</v>
      </c>
      <c r="J265" s="278">
        <f t="shared" ca="1" si="24"/>
        <v>0</v>
      </c>
      <c r="K265" s="278">
        <f t="shared" ca="1" si="24"/>
        <v>0</v>
      </c>
      <c r="L265" s="278">
        <f t="shared" ca="1" si="24"/>
        <v>0</v>
      </c>
      <c r="M265" s="279" t="s">
        <v>6</v>
      </c>
      <c r="O265" s="282" t="s">
        <v>20</v>
      </c>
      <c r="P265" s="289">
        <f t="shared" ca="1" si="25"/>
        <v>0</v>
      </c>
      <c r="Q265" s="289">
        <f t="shared" ca="1" si="22"/>
        <v>0</v>
      </c>
      <c r="R265" s="289">
        <f t="shared" ca="1" si="22"/>
        <v>0</v>
      </c>
      <c r="S265" s="289">
        <f t="shared" ca="1" si="22"/>
        <v>0</v>
      </c>
      <c r="T265" s="289">
        <f t="shared" ca="1" si="22"/>
        <v>0</v>
      </c>
      <c r="U265" s="295" t="s">
        <v>6</v>
      </c>
      <c r="V265" s="289">
        <f t="shared" ca="1" si="23"/>
        <v>0</v>
      </c>
      <c r="W265" s="289">
        <f t="shared" ca="1" si="23"/>
        <v>0</v>
      </c>
      <c r="X265" s="289">
        <f t="shared" ca="1" si="23"/>
        <v>0</v>
      </c>
      <c r="Y265" s="289">
        <f t="shared" ca="1" si="23"/>
        <v>0</v>
      </c>
      <c r="Z265" s="292">
        <f t="shared" ca="1" si="23"/>
        <v>0</v>
      </c>
    </row>
    <row r="266" spans="2:26">
      <c r="B266" s="282" t="s">
        <v>18</v>
      </c>
      <c r="C266" s="278">
        <f t="shared" ca="1" si="24"/>
        <v>0</v>
      </c>
      <c r="D266" s="278">
        <f t="shared" ca="1" si="24"/>
        <v>0</v>
      </c>
      <c r="E266" s="278">
        <f t="shared" ca="1" si="24"/>
        <v>0</v>
      </c>
      <c r="F266" s="278">
        <f t="shared" ca="1" si="24"/>
        <v>0</v>
      </c>
      <c r="G266" s="278">
        <f t="shared" ca="1" si="24"/>
        <v>0</v>
      </c>
      <c r="H266" s="278">
        <f t="shared" ca="1" si="24"/>
        <v>0</v>
      </c>
      <c r="I266" s="278">
        <f t="shared" ca="1" si="24"/>
        <v>0</v>
      </c>
      <c r="J266" s="278">
        <f t="shared" ca="1" si="24"/>
        <v>0</v>
      </c>
      <c r="K266" s="278">
        <f t="shared" ca="1" si="24"/>
        <v>0</v>
      </c>
      <c r="L266" s="278">
        <f t="shared" ca="1" si="24"/>
        <v>0</v>
      </c>
      <c r="M266" s="279" t="s">
        <v>6</v>
      </c>
      <c r="O266" s="282" t="s">
        <v>18</v>
      </c>
      <c r="P266" s="289">
        <f t="shared" ca="1" si="25"/>
        <v>0</v>
      </c>
      <c r="Q266" s="289">
        <f t="shared" ca="1" si="22"/>
        <v>0</v>
      </c>
      <c r="R266" s="289">
        <f t="shared" ca="1" si="22"/>
        <v>0</v>
      </c>
      <c r="S266" s="289">
        <f t="shared" ca="1" si="22"/>
        <v>0</v>
      </c>
      <c r="T266" s="289">
        <f t="shared" ca="1" si="22"/>
        <v>0</v>
      </c>
      <c r="U266" s="295" t="s">
        <v>6</v>
      </c>
      <c r="V266" s="289">
        <f t="shared" ca="1" si="23"/>
        <v>0</v>
      </c>
      <c r="W266" s="289">
        <f t="shared" ca="1" si="23"/>
        <v>0</v>
      </c>
      <c r="X266" s="289">
        <f t="shared" ca="1" si="23"/>
        <v>0</v>
      </c>
      <c r="Y266" s="289">
        <f t="shared" ca="1" si="23"/>
        <v>0</v>
      </c>
      <c r="Z266" s="292">
        <f t="shared" ca="1" si="23"/>
        <v>0</v>
      </c>
    </row>
    <row r="267" spans="2:26">
      <c r="B267" s="282" t="s">
        <v>17</v>
      </c>
      <c r="C267" s="278">
        <f t="shared" ca="1" si="24"/>
        <v>0</v>
      </c>
      <c r="D267" s="278">
        <f t="shared" ca="1" si="24"/>
        <v>0</v>
      </c>
      <c r="E267" s="278">
        <f t="shared" ca="1" si="24"/>
        <v>0</v>
      </c>
      <c r="F267" s="278">
        <f t="shared" ca="1" si="24"/>
        <v>0</v>
      </c>
      <c r="G267" s="278">
        <f t="shared" ca="1" si="24"/>
        <v>0</v>
      </c>
      <c r="H267" s="278">
        <f t="shared" ca="1" si="24"/>
        <v>0</v>
      </c>
      <c r="I267" s="278">
        <f t="shared" ca="1" si="24"/>
        <v>0</v>
      </c>
      <c r="J267" s="278">
        <f t="shared" ca="1" si="24"/>
        <v>0</v>
      </c>
      <c r="K267" s="278">
        <f t="shared" ca="1" si="24"/>
        <v>0</v>
      </c>
      <c r="L267" s="278">
        <f t="shared" ca="1" si="24"/>
        <v>0</v>
      </c>
      <c r="M267" s="279" t="s">
        <v>6</v>
      </c>
      <c r="O267" s="282" t="s">
        <v>17</v>
      </c>
      <c r="P267" s="289">
        <f t="shared" ca="1" si="25"/>
        <v>0</v>
      </c>
      <c r="Q267" s="289">
        <f t="shared" ca="1" si="22"/>
        <v>0</v>
      </c>
      <c r="R267" s="289">
        <f t="shared" ca="1" si="22"/>
        <v>0</v>
      </c>
      <c r="S267" s="289">
        <f t="shared" ca="1" si="22"/>
        <v>0</v>
      </c>
      <c r="T267" s="289">
        <f t="shared" ca="1" si="22"/>
        <v>0</v>
      </c>
      <c r="U267" s="295" t="s">
        <v>6</v>
      </c>
      <c r="V267" s="289">
        <f t="shared" ca="1" si="23"/>
        <v>0</v>
      </c>
      <c r="W267" s="289">
        <f t="shared" ca="1" si="23"/>
        <v>0</v>
      </c>
      <c r="X267" s="289">
        <f t="shared" ca="1" si="23"/>
        <v>0</v>
      </c>
      <c r="Y267" s="289">
        <f t="shared" ca="1" si="23"/>
        <v>0</v>
      </c>
      <c r="Z267" s="292">
        <f t="shared" ca="1" si="23"/>
        <v>0</v>
      </c>
    </row>
    <row r="268" spans="2:26">
      <c r="B268" s="282" t="s">
        <v>15</v>
      </c>
      <c r="C268" s="278">
        <f t="shared" ca="1" si="24"/>
        <v>0</v>
      </c>
      <c r="D268" s="278">
        <f t="shared" ca="1" si="24"/>
        <v>0</v>
      </c>
      <c r="E268" s="278">
        <f t="shared" ca="1" si="24"/>
        <v>0</v>
      </c>
      <c r="F268" s="278">
        <f t="shared" ca="1" si="24"/>
        <v>0</v>
      </c>
      <c r="G268" s="278">
        <f t="shared" ca="1" si="24"/>
        <v>0</v>
      </c>
      <c r="H268" s="278">
        <f t="shared" ca="1" si="24"/>
        <v>0</v>
      </c>
      <c r="I268" s="278">
        <f t="shared" ca="1" si="24"/>
        <v>0</v>
      </c>
      <c r="J268" s="278">
        <f t="shared" ca="1" si="24"/>
        <v>0</v>
      </c>
      <c r="K268" s="278">
        <f t="shared" ca="1" si="24"/>
        <v>0</v>
      </c>
      <c r="L268" s="278">
        <f t="shared" ca="1" si="24"/>
        <v>0</v>
      </c>
      <c r="M268" s="279" t="s">
        <v>6</v>
      </c>
      <c r="O268" s="282" t="s">
        <v>15</v>
      </c>
      <c r="P268" s="289">
        <f t="shared" ca="1" si="25"/>
        <v>0</v>
      </c>
      <c r="Q268" s="289">
        <f t="shared" ca="1" si="22"/>
        <v>0</v>
      </c>
      <c r="R268" s="289">
        <f t="shared" ca="1" si="22"/>
        <v>0</v>
      </c>
      <c r="S268" s="289">
        <f t="shared" ca="1" si="22"/>
        <v>0</v>
      </c>
      <c r="T268" s="289">
        <f t="shared" ca="1" si="22"/>
        <v>0</v>
      </c>
      <c r="U268" s="295" t="s">
        <v>6</v>
      </c>
      <c r="V268" s="289">
        <f t="shared" ca="1" si="23"/>
        <v>0</v>
      </c>
      <c r="W268" s="289">
        <f t="shared" ca="1" si="23"/>
        <v>0</v>
      </c>
      <c r="X268" s="289">
        <f t="shared" ca="1" si="23"/>
        <v>0</v>
      </c>
      <c r="Y268" s="289">
        <f t="shared" ca="1" si="23"/>
        <v>0</v>
      </c>
      <c r="Z268" s="292">
        <f t="shared" ca="1" si="23"/>
        <v>0</v>
      </c>
    </row>
    <row r="269" spans="2:26">
      <c r="B269" s="282" t="s">
        <v>14</v>
      </c>
      <c r="C269" s="278">
        <f t="shared" ca="1" si="24"/>
        <v>0</v>
      </c>
      <c r="D269" s="278">
        <f t="shared" ca="1" si="24"/>
        <v>0</v>
      </c>
      <c r="E269" s="278">
        <f t="shared" ca="1" si="24"/>
        <v>0</v>
      </c>
      <c r="F269" s="278">
        <f t="shared" ca="1" si="24"/>
        <v>0</v>
      </c>
      <c r="G269" s="278">
        <f t="shared" ca="1" si="24"/>
        <v>0</v>
      </c>
      <c r="H269" s="278">
        <f t="shared" ca="1" si="24"/>
        <v>0</v>
      </c>
      <c r="I269" s="278">
        <f t="shared" ca="1" si="24"/>
        <v>0</v>
      </c>
      <c r="J269" s="278">
        <f t="shared" ca="1" si="24"/>
        <v>0</v>
      </c>
      <c r="K269" s="278">
        <f t="shared" ca="1" si="24"/>
        <v>0</v>
      </c>
      <c r="L269" s="278">
        <f t="shared" ca="1" si="24"/>
        <v>0</v>
      </c>
      <c r="M269" s="279" t="s">
        <v>6</v>
      </c>
      <c r="O269" s="282" t="s">
        <v>14</v>
      </c>
      <c r="P269" s="295" t="s">
        <v>6</v>
      </c>
      <c r="Q269" s="289" t="s">
        <v>6</v>
      </c>
      <c r="R269" s="289" t="s">
        <v>6</v>
      </c>
      <c r="S269" s="289" t="s">
        <v>6</v>
      </c>
      <c r="T269" s="289" t="s">
        <v>6</v>
      </c>
      <c r="U269" s="295" t="s">
        <v>6</v>
      </c>
      <c r="V269" s="289" t="s">
        <v>6</v>
      </c>
      <c r="W269" s="289" t="s">
        <v>6</v>
      </c>
      <c r="X269" s="289" t="s">
        <v>6</v>
      </c>
      <c r="Y269" s="289" t="s">
        <v>6</v>
      </c>
      <c r="Z269" s="292" t="s">
        <v>6</v>
      </c>
    </row>
    <row r="270" spans="2:26">
      <c r="B270" s="282"/>
      <c r="C270" s="278"/>
      <c r="D270" s="278"/>
      <c r="E270" s="278"/>
      <c r="F270" s="278"/>
      <c r="G270" s="278"/>
      <c r="H270" s="278"/>
      <c r="I270" s="278"/>
      <c r="J270" s="278"/>
      <c r="K270" s="278"/>
      <c r="L270" s="278"/>
      <c r="M270" s="279"/>
      <c r="O270" s="282"/>
      <c r="P270" s="289"/>
      <c r="Q270" s="289"/>
      <c r="R270" s="289"/>
      <c r="S270" s="289"/>
      <c r="T270" s="289"/>
      <c r="U270" s="295"/>
      <c r="V270" s="289"/>
      <c r="W270" s="289"/>
      <c r="X270" s="289"/>
      <c r="Y270" s="289"/>
      <c r="Z270" s="292"/>
    </row>
    <row r="271" spans="2:26">
      <c r="B271" s="282"/>
      <c r="C271" s="278"/>
      <c r="D271" s="278"/>
      <c r="E271" s="278"/>
      <c r="F271" s="278"/>
      <c r="G271" s="278"/>
      <c r="H271" s="278"/>
      <c r="I271" s="278"/>
      <c r="J271" s="278"/>
      <c r="K271" s="278"/>
      <c r="L271" s="278"/>
      <c r="M271" s="279"/>
      <c r="O271" s="282"/>
      <c r="P271" s="289"/>
      <c r="Q271" s="289"/>
      <c r="R271" s="289"/>
      <c r="S271" s="289"/>
      <c r="T271" s="289"/>
      <c r="U271" s="295"/>
      <c r="V271" s="289"/>
      <c r="W271" s="289"/>
      <c r="X271" s="289"/>
      <c r="Y271" s="289"/>
      <c r="Z271" s="292"/>
    </row>
    <row r="272" spans="2:26">
      <c r="B272" s="282"/>
      <c r="C272" s="278"/>
      <c r="D272" s="278"/>
      <c r="E272" s="278"/>
      <c r="F272" s="278"/>
      <c r="G272" s="278"/>
      <c r="H272" s="278"/>
      <c r="I272" s="278"/>
      <c r="J272" s="278"/>
      <c r="K272" s="278"/>
      <c r="L272" s="278"/>
      <c r="M272" s="279"/>
      <c r="O272" s="282"/>
      <c r="P272" s="289"/>
      <c r="Q272" s="289"/>
      <c r="R272" s="289"/>
      <c r="S272" s="289"/>
      <c r="T272" s="289"/>
      <c r="U272" s="295"/>
      <c r="V272" s="289"/>
      <c r="W272" s="289"/>
      <c r="X272" s="289"/>
      <c r="Y272" s="289"/>
      <c r="Z272" s="292"/>
    </row>
    <row r="273" spans="1:26">
      <c r="B273" s="283"/>
      <c r="C273" s="280"/>
      <c r="D273" s="280"/>
      <c r="E273" s="280"/>
      <c r="F273" s="280"/>
      <c r="G273" s="280"/>
      <c r="H273" s="280"/>
      <c r="I273" s="280"/>
      <c r="J273" s="280"/>
      <c r="K273" s="280"/>
      <c r="L273" s="280"/>
      <c r="M273" s="281"/>
      <c r="O273" s="283"/>
      <c r="P273" s="293"/>
      <c r="Q273" s="293"/>
      <c r="R273" s="293"/>
      <c r="S273" s="293"/>
      <c r="T273" s="293"/>
      <c r="U273" s="296"/>
      <c r="V273" s="293"/>
      <c r="W273" s="293"/>
      <c r="X273" s="293"/>
      <c r="Y273" s="293"/>
      <c r="Z273" s="294"/>
    </row>
    <row r="276" spans="1:26">
      <c r="A276" s="224" t="s">
        <v>497</v>
      </c>
      <c r="B276" s="290" t="s">
        <v>495</v>
      </c>
      <c r="C276" s="284"/>
      <c r="G276" s="290" t="s">
        <v>495</v>
      </c>
    </row>
    <row r="277" spans="1:26">
      <c r="B277" s="284" t="s">
        <v>498</v>
      </c>
      <c r="C277" s="284"/>
      <c r="G277" s="284" t="s">
        <v>499</v>
      </c>
    </row>
    <row r="278" spans="1:26">
      <c r="B278" s="258" t="s">
        <v>474</v>
      </c>
      <c r="C278" s="286">
        <f ca="1">SUM(C304:L322)</f>
        <v>0</v>
      </c>
      <c r="G278" s="258" t="s">
        <v>474</v>
      </c>
      <c r="H278" s="286">
        <f ca="1">SUM(P304:Z322)</f>
        <v>0</v>
      </c>
    </row>
    <row r="280" spans="1:26">
      <c r="B280" s="258" t="s">
        <v>479</v>
      </c>
      <c r="C280" s="258"/>
    </row>
    <row r="281" spans="1:26">
      <c r="B281" s="254" t="s">
        <v>468</v>
      </c>
      <c r="C281" s="287">
        <v>500</v>
      </c>
      <c r="D281" s="287">
        <v>400</v>
      </c>
      <c r="E281" s="287">
        <v>300</v>
      </c>
      <c r="F281" s="287">
        <v>200</v>
      </c>
      <c r="G281" s="287">
        <v>100</v>
      </c>
      <c r="H281" s="287">
        <v>0</v>
      </c>
      <c r="I281" s="287">
        <v>-100</v>
      </c>
      <c r="J281" s="287">
        <v>-200</v>
      </c>
      <c r="K281" s="287">
        <v>-300</v>
      </c>
      <c r="L281" s="287">
        <v>-400</v>
      </c>
      <c r="M281" s="288">
        <v>-500</v>
      </c>
    </row>
    <row r="282" spans="1:26">
      <c r="B282" s="282" t="s">
        <v>35</v>
      </c>
      <c r="C282" s="278">
        <f ca="1">'USD Swap PVs'!N77</f>
        <v>-198777.426464966</v>
      </c>
      <c r="D282" s="278">
        <f ca="1">'USD Swap PVs'!O77</f>
        <v>-159021.94117197287</v>
      </c>
      <c r="E282" s="278">
        <f ca="1">'USD Swap PVs'!P77</f>
        <v>-119266.45587897966</v>
      </c>
      <c r="F282" s="278">
        <f ca="1">'USD Swap PVs'!Q77</f>
        <v>-79510.970585986419</v>
      </c>
      <c r="G282" s="278">
        <f ca="1">'USD Swap PVs'!R77</f>
        <v>-39755.485292993217</v>
      </c>
      <c r="H282" s="278">
        <f ca="1">'USD Swap PVs'!S77</f>
        <v>-6.9388939039072284E-12</v>
      </c>
      <c r="I282" s="278">
        <f ca="1">'USD Swap PVs'!T77</f>
        <v>39755.485292993202</v>
      </c>
      <c r="J282" s="278">
        <f ca="1">'USD Swap PVs'!U77</f>
        <v>79510.970585986404</v>
      </c>
      <c r="K282" s="278">
        <f ca="1">'USD Swap PVs'!V77</f>
        <v>119266.45587897963</v>
      </c>
      <c r="L282" s="278">
        <f ca="1">'USD Swap PVs'!W77</f>
        <v>159021.94117197284</v>
      </c>
      <c r="M282" s="279">
        <f ca="1">'USD Swap PVs'!X77</f>
        <v>198777.42646496603</v>
      </c>
    </row>
    <row r="283" spans="1:26">
      <c r="B283" s="282" t="s">
        <v>33</v>
      </c>
      <c r="C283" s="278">
        <f ca="1">'USD Swap PVs'!N78</f>
        <v>-246131.73696146879</v>
      </c>
      <c r="D283" s="278">
        <f ca="1">'USD Swap PVs'!O78</f>
        <v>-196905.38956917502</v>
      </c>
      <c r="E283" s="278">
        <f ca="1">'USD Swap PVs'!P78</f>
        <v>-147679.04217688134</v>
      </c>
      <c r="F283" s="278">
        <f ca="1">'USD Swap PVs'!Q78</f>
        <v>-98452.694784587467</v>
      </c>
      <c r="G283" s="278">
        <f ca="1">'USD Swap PVs'!R78</f>
        <v>-49226.347392293741</v>
      </c>
      <c r="H283" s="278">
        <f ca="1">'USD Swap PVs'!S78</f>
        <v>1.3877787807814457E-11</v>
      </c>
      <c r="I283" s="278">
        <f ca="1">'USD Swap PVs'!T78</f>
        <v>49226.347392293777</v>
      </c>
      <c r="J283" s="278">
        <f ca="1">'USD Swap PVs'!U78</f>
        <v>98452.69478458754</v>
      </c>
      <c r="K283" s="278">
        <f ca="1">'USD Swap PVs'!V78</f>
        <v>147679.04217688134</v>
      </c>
      <c r="L283" s="278">
        <f ca="1">'USD Swap PVs'!W78</f>
        <v>196905.38956917508</v>
      </c>
      <c r="M283" s="279">
        <f ca="1">'USD Swap PVs'!X78</f>
        <v>246131.73696146885</v>
      </c>
    </row>
    <row r="284" spans="1:26">
      <c r="B284" s="282" t="s">
        <v>131</v>
      </c>
      <c r="C284" s="278">
        <f ca="1">'USD Swap PVs'!N79</f>
        <v>-292058.13024354144</v>
      </c>
      <c r="D284" s="278">
        <f ca="1">'USD Swap PVs'!O79</f>
        <v>-233646.50419483325</v>
      </c>
      <c r="E284" s="278">
        <f ca="1">'USD Swap PVs'!P79</f>
        <v>-175234.87814612495</v>
      </c>
      <c r="F284" s="278">
        <f ca="1">'USD Swap PVs'!Q79</f>
        <v>-116823.2520974166</v>
      </c>
      <c r="G284" s="278">
        <f ca="1">'USD Swap PVs'!R79</f>
        <v>-58411.626048708313</v>
      </c>
      <c r="H284" s="278">
        <f ca="1">'USD Swap PVs'!S79</f>
        <v>-1.3877787807814457E-11</v>
      </c>
      <c r="I284" s="278">
        <f ca="1">'USD Swap PVs'!T79</f>
        <v>58411.626048708284</v>
      </c>
      <c r="J284" s="278">
        <f ca="1">'USD Swap PVs'!U79</f>
        <v>116823.25209741658</v>
      </c>
      <c r="K284" s="278">
        <f ca="1">'USD Swap PVs'!V79</f>
        <v>175234.87814612489</v>
      </c>
      <c r="L284" s="278">
        <f ca="1">'USD Swap PVs'!W79</f>
        <v>233646.50419483319</v>
      </c>
      <c r="M284" s="279">
        <f ca="1">'USD Swap PVs'!X79</f>
        <v>292058.13024354156</v>
      </c>
    </row>
    <row r="285" spans="1:26">
      <c r="B285" s="282" t="s">
        <v>31</v>
      </c>
      <c r="C285" s="278">
        <f ca="1">'USD Swap PVs'!N80</f>
        <v>-336636.27902883606</v>
      </c>
      <c r="D285" s="278">
        <f ca="1">'USD Swap PVs'!O80</f>
        <v>-269309.02322306891</v>
      </c>
      <c r="E285" s="278">
        <f ca="1">'USD Swap PVs'!P80</f>
        <v>-201981.76741730174</v>
      </c>
      <c r="F285" s="278">
        <f ca="1">'USD Swap PVs'!Q80</f>
        <v>-134654.51161153449</v>
      </c>
      <c r="G285" s="278">
        <f ca="1">'USD Swap PVs'!R80</f>
        <v>-67327.255805767229</v>
      </c>
      <c r="H285" s="278">
        <f ca="1">'USD Swap PVs'!S80</f>
        <v>0</v>
      </c>
      <c r="I285" s="278">
        <f ca="1">'USD Swap PVs'!T80</f>
        <v>67327.255805767243</v>
      </c>
      <c r="J285" s="278">
        <f ca="1">'USD Swap PVs'!U80</f>
        <v>134654.51161153449</v>
      </c>
      <c r="K285" s="278">
        <f ca="1">'USD Swap PVs'!V80</f>
        <v>201981.76741730174</v>
      </c>
      <c r="L285" s="278">
        <f ca="1">'USD Swap PVs'!W80</f>
        <v>269309.02322306897</v>
      </c>
      <c r="M285" s="279">
        <f ca="1">'USD Swap PVs'!X80</f>
        <v>336636.27902883629</v>
      </c>
    </row>
    <row r="286" spans="1:26">
      <c r="B286" s="282" t="s">
        <v>119</v>
      </c>
      <c r="C286" s="278">
        <f ca="1">'USD Swap PVs'!N81</f>
        <v>-380086.43747963931</v>
      </c>
      <c r="D286" s="278">
        <f ca="1">'USD Swap PVs'!O81</f>
        <v>-304069.14998371148</v>
      </c>
      <c r="E286" s="278">
        <f ca="1">'USD Swap PVs'!P81</f>
        <v>-228051.86248778363</v>
      </c>
      <c r="F286" s="278">
        <f ca="1">'USD Swap PVs'!Q81</f>
        <v>-152034.57499185577</v>
      </c>
      <c r="G286" s="278">
        <f ca="1">'USD Swap PVs'!R81</f>
        <v>-76017.287495927871</v>
      </c>
      <c r="H286" s="278">
        <f ca="1">'USD Swap PVs'!S81</f>
        <v>0</v>
      </c>
      <c r="I286" s="278">
        <f ca="1">'USD Swap PVs'!T81</f>
        <v>76017.287495927871</v>
      </c>
      <c r="J286" s="278">
        <f ca="1">'USD Swap PVs'!U81</f>
        <v>152034.57499185571</v>
      </c>
      <c r="K286" s="278">
        <f ca="1">'USD Swap PVs'!V81</f>
        <v>228051.86248778363</v>
      </c>
      <c r="L286" s="278">
        <f ca="1">'USD Swap PVs'!W81</f>
        <v>304069.14998371148</v>
      </c>
      <c r="M286" s="279">
        <f ca="1">'USD Swap PVs'!X81</f>
        <v>380086.43747963931</v>
      </c>
    </row>
    <row r="287" spans="1:26">
      <c r="B287" s="282" t="s">
        <v>113</v>
      </c>
      <c r="C287" s="278">
        <f ca="1">'USD Swap PVs'!N82</f>
        <v>-421837.79507817933</v>
      </c>
      <c r="D287" s="278">
        <f ca="1">'USD Swap PVs'!O82</f>
        <v>-337470.23606254335</v>
      </c>
      <c r="E287" s="278">
        <f ca="1">'USD Swap PVs'!P82</f>
        <v>-253102.67704690754</v>
      </c>
      <c r="F287" s="278">
        <f ca="1">'USD Swap PVs'!Q82</f>
        <v>-168735.11803127173</v>
      </c>
      <c r="G287" s="278">
        <f ca="1">'USD Swap PVs'!R82</f>
        <v>-84367.559015635808</v>
      </c>
      <c r="H287" s="278">
        <f ca="1">'USD Swap PVs'!S82</f>
        <v>0</v>
      </c>
      <c r="I287" s="278">
        <f ca="1">'USD Swap PVs'!T82</f>
        <v>84367.55901563591</v>
      </c>
      <c r="J287" s="278">
        <f ca="1">'USD Swap PVs'!U82</f>
        <v>168735.11803127173</v>
      </c>
      <c r="K287" s="278">
        <f ca="1">'USD Swap PVs'!V82</f>
        <v>253102.6770469076</v>
      </c>
      <c r="L287" s="278">
        <f ca="1">'USD Swap PVs'!W82</f>
        <v>337470.23606254347</v>
      </c>
      <c r="M287" s="279">
        <f ca="1">'USD Swap PVs'!X82</f>
        <v>421837.79507817933</v>
      </c>
    </row>
    <row r="288" spans="1:26">
      <c r="B288" s="282" t="s">
        <v>28</v>
      </c>
      <c r="C288" s="278">
        <f ca="1">'USD Swap PVs'!N83</f>
        <v>-462388.14162659738</v>
      </c>
      <c r="D288" s="278">
        <f ca="1">'USD Swap PVs'!O83</f>
        <v>-369910.51330127788</v>
      </c>
      <c r="E288" s="278">
        <f ca="1">'USD Swap PVs'!P83</f>
        <v>-277432.88497595844</v>
      </c>
      <c r="F288" s="278">
        <f ca="1">'USD Swap PVs'!Q83</f>
        <v>-184955.25665063897</v>
      </c>
      <c r="G288" s="278">
        <f ca="1">'USD Swap PVs'!R83</f>
        <v>-92477.628325319442</v>
      </c>
      <c r="H288" s="278">
        <f ca="1">'USD Swap PVs'!S83</f>
        <v>0</v>
      </c>
      <c r="I288" s="278">
        <f ca="1">'USD Swap PVs'!T83</f>
        <v>92477.628325319558</v>
      </c>
      <c r="J288" s="278">
        <f ca="1">'USD Swap PVs'!U83</f>
        <v>184955.25665063897</v>
      </c>
      <c r="K288" s="278">
        <f ca="1">'USD Swap PVs'!V83</f>
        <v>277432.8849759585</v>
      </c>
      <c r="L288" s="278">
        <f ca="1">'USD Swap PVs'!W83</f>
        <v>369910.51330127788</v>
      </c>
      <c r="M288" s="279">
        <f ca="1">'USD Swap PVs'!X83</f>
        <v>462388.1416265975</v>
      </c>
    </row>
    <row r="289" spans="2:26">
      <c r="B289" s="282" t="s">
        <v>366</v>
      </c>
      <c r="C289" s="278">
        <f ca="1">'USD Swap PVs'!N84</f>
        <v>-501653.57340943185</v>
      </c>
      <c r="D289" s="278">
        <f ca="1">'USD Swap PVs'!O84</f>
        <v>-401322.85872754542</v>
      </c>
      <c r="E289" s="278">
        <f ca="1">'USD Swap PVs'!P84</f>
        <v>-300992.14404565905</v>
      </c>
      <c r="F289" s="278">
        <f ca="1">'USD Swap PVs'!Q84</f>
        <v>-200661.42936377268</v>
      </c>
      <c r="G289" s="278">
        <f ca="1">'USD Swap PVs'!R84</f>
        <v>-100330.71468188631</v>
      </c>
      <c r="H289" s="278">
        <f ca="1">'USD Swap PVs'!S84</f>
        <v>0</v>
      </c>
      <c r="I289" s="278">
        <f ca="1">'USD Swap PVs'!T84</f>
        <v>100330.71468188649</v>
      </c>
      <c r="J289" s="278">
        <f ca="1">'USD Swap PVs'!U84</f>
        <v>200661.42936377277</v>
      </c>
      <c r="K289" s="278">
        <f ca="1">'USD Swap PVs'!V84</f>
        <v>300992.14404565917</v>
      </c>
      <c r="L289" s="278">
        <f ca="1">'USD Swap PVs'!W84</f>
        <v>401322.85872754548</v>
      </c>
      <c r="M289" s="279">
        <f ca="1">'USD Swap PVs'!X84</f>
        <v>501653.57340943196</v>
      </c>
    </row>
    <row r="290" spans="2:26">
      <c r="B290" s="282" t="s">
        <v>26</v>
      </c>
      <c r="C290" s="278">
        <f ca="1">'USD Swap PVs'!N85</f>
        <v>-539672.51174194494</v>
      </c>
      <c r="D290" s="278">
        <f ca="1">'USD Swap PVs'!O85</f>
        <v>-431738.00939355604</v>
      </c>
      <c r="E290" s="278">
        <f ca="1">'USD Swap PVs'!P85</f>
        <v>-323803.50704516686</v>
      </c>
      <c r="F290" s="278">
        <f ca="1">'USD Swap PVs'!Q85</f>
        <v>-215869.00469677793</v>
      </c>
      <c r="G290" s="278">
        <f ca="1">'USD Swap PVs'!R85</f>
        <v>-107934.50234838892</v>
      </c>
      <c r="H290" s="278">
        <f ca="1">'USD Swap PVs'!S85</f>
        <v>0</v>
      </c>
      <c r="I290" s="278">
        <f ca="1">'USD Swap PVs'!T85</f>
        <v>107934.50234838908</v>
      </c>
      <c r="J290" s="278">
        <f ca="1">'USD Swap PVs'!U85</f>
        <v>215869.00469677799</v>
      </c>
      <c r="K290" s="278">
        <f ca="1">'USD Swap PVs'!V85</f>
        <v>323803.50704516703</v>
      </c>
      <c r="L290" s="278">
        <f ca="1">'USD Swap PVs'!W85</f>
        <v>431738.00939355599</v>
      </c>
      <c r="M290" s="279">
        <f ca="1">'USD Swap PVs'!X85</f>
        <v>539672.51174194494</v>
      </c>
    </row>
    <row r="291" spans="2:26">
      <c r="B291" s="282" t="s">
        <v>24</v>
      </c>
      <c r="C291" s="278">
        <f ca="1">'USD Swap PVs'!N86</f>
        <v>-646763.03135862527</v>
      </c>
      <c r="D291" s="278">
        <f ca="1">'USD Swap PVs'!O86</f>
        <v>-517410.42508689995</v>
      </c>
      <c r="E291" s="278">
        <f ca="1">'USD Swap PVs'!P86</f>
        <v>-388057.81881517486</v>
      </c>
      <c r="F291" s="278">
        <f ca="1">'USD Swap PVs'!Q86</f>
        <v>-258705.2125434498</v>
      </c>
      <c r="G291" s="278">
        <f ca="1">'USD Swap PVs'!R86</f>
        <v>-129352.60627172496</v>
      </c>
      <c r="H291" s="278">
        <f ca="1">'USD Swap PVs'!S86</f>
        <v>0</v>
      </c>
      <c r="I291" s="278">
        <f ca="1">'USD Swap PVs'!T86</f>
        <v>129352.60627172512</v>
      </c>
      <c r="J291" s="278">
        <f ca="1">'USD Swap PVs'!U86</f>
        <v>258705.21254345015</v>
      </c>
      <c r="K291" s="278">
        <f ca="1">'USD Swap PVs'!V86</f>
        <v>388057.81881517515</v>
      </c>
      <c r="L291" s="278">
        <f ca="1">'USD Swap PVs'!W86</f>
        <v>517410.42508690018</v>
      </c>
      <c r="M291" s="279">
        <f ca="1">'USD Swap PVs'!X86</f>
        <v>646763.03135862527</v>
      </c>
    </row>
    <row r="292" spans="2:26">
      <c r="B292" s="282" t="s">
        <v>20</v>
      </c>
      <c r="C292" s="278">
        <f ca="1">'USD Swap PVs'!N87</f>
        <v>-804037.65725514793</v>
      </c>
      <c r="D292" s="278">
        <f ca="1">'USD Swap PVs'!O87</f>
        <v>-643230.12580411846</v>
      </c>
      <c r="E292" s="278">
        <f ca="1">'USD Swap PVs'!P87</f>
        <v>-482422.59435308882</v>
      </c>
      <c r="F292" s="278">
        <f ca="1">'USD Swap PVs'!Q87</f>
        <v>-321615.06290205906</v>
      </c>
      <c r="G292" s="278">
        <f ca="1">'USD Swap PVs'!R87</f>
        <v>-160807.5314510297</v>
      </c>
      <c r="H292" s="278">
        <f ca="1">'USD Swap PVs'!S87</f>
        <v>0</v>
      </c>
      <c r="I292" s="278">
        <f ca="1">'USD Swap PVs'!T87</f>
        <v>160807.53145102976</v>
      </c>
      <c r="J292" s="278">
        <f ca="1">'USD Swap PVs'!U87</f>
        <v>321615.06290205941</v>
      </c>
      <c r="K292" s="278">
        <f ca="1">'USD Swap PVs'!V87</f>
        <v>482422.59435308911</v>
      </c>
      <c r="L292" s="278">
        <f ca="1">'USD Swap PVs'!W87</f>
        <v>643230.12580411881</v>
      </c>
      <c r="M292" s="279">
        <f ca="1">'USD Swap PVs'!X87</f>
        <v>804037.6572551484</v>
      </c>
    </row>
    <row r="293" spans="2:26">
      <c r="B293" s="282" t="s">
        <v>18</v>
      </c>
      <c r="C293" s="278">
        <f ca="1">'USD Swap PVs'!N88</f>
        <v>-938667.92003639555</v>
      </c>
      <c r="D293" s="278">
        <f ca="1">'USD Swap PVs'!O88</f>
        <v>-750934.33602911618</v>
      </c>
      <c r="E293" s="278">
        <f ca="1">'USD Swap PVs'!P88</f>
        <v>-563200.75202183705</v>
      </c>
      <c r="F293" s="278">
        <f ca="1">'USD Swap PVs'!Q88</f>
        <v>-375467.16801455768</v>
      </c>
      <c r="G293" s="278">
        <f ca="1">'USD Swap PVs'!R88</f>
        <v>-187733.58400727945</v>
      </c>
      <c r="H293" s="278">
        <f ca="1">'USD Swap PVs'!S88</f>
        <v>0</v>
      </c>
      <c r="I293" s="278">
        <f ca="1">'USD Swap PVs'!T88</f>
        <v>187733.58400727937</v>
      </c>
      <c r="J293" s="278">
        <f ca="1">'USD Swap PVs'!U88</f>
        <v>375467.16801455838</v>
      </c>
      <c r="K293" s="278">
        <f ca="1">'USD Swap PVs'!V88</f>
        <v>563200.75202183763</v>
      </c>
      <c r="L293" s="278">
        <f ca="1">'USD Swap PVs'!W88</f>
        <v>750934.33602911676</v>
      </c>
      <c r="M293" s="279">
        <f ca="1">'USD Swap PVs'!X88</f>
        <v>938667.9200363959</v>
      </c>
    </row>
    <row r="294" spans="2:26">
      <c r="B294" s="282" t="s">
        <v>17</v>
      </c>
      <c r="C294" s="278">
        <f ca="1">'USD Swap PVs'!N89</f>
        <v>-1054277.2388134073</v>
      </c>
      <c r="D294" s="278">
        <f ca="1">'USD Swap PVs'!O89</f>
        <v>-843421.79105072538</v>
      </c>
      <c r="E294" s="278">
        <f ca="1">'USD Swap PVs'!P89</f>
        <v>-632566.34328804398</v>
      </c>
      <c r="F294" s="278">
        <f ca="1">'USD Swap PVs'!Q89</f>
        <v>-421710.89552536234</v>
      </c>
      <c r="G294" s="278">
        <f ca="1">'USD Swap PVs'!R89</f>
        <v>-210855.44776268172</v>
      </c>
      <c r="H294" s="278">
        <f ca="1">'USD Swap PVs'!S89</f>
        <v>0</v>
      </c>
      <c r="I294" s="278">
        <f ca="1">'USD Swap PVs'!T89</f>
        <v>210855.44776268172</v>
      </c>
      <c r="J294" s="278">
        <f ca="1">'USD Swap PVs'!U89</f>
        <v>421710.8955253631</v>
      </c>
      <c r="K294" s="278">
        <f ca="1">'USD Swap PVs'!V89</f>
        <v>632566.34328804479</v>
      </c>
      <c r="L294" s="278">
        <f ca="1">'USD Swap PVs'!W89</f>
        <v>843421.7910507262</v>
      </c>
      <c r="M294" s="279">
        <f ca="1">'USD Swap PVs'!X89</f>
        <v>1054277.2388134082</v>
      </c>
    </row>
    <row r="295" spans="2:26">
      <c r="B295" s="282" t="s">
        <v>15</v>
      </c>
      <c r="C295" s="278">
        <f ca="1">'USD Swap PVs'!N90</f>
        <v>-1239840.6415149069</v>
      </c>
      <c r="D295" s="278">
        <f ca="1">'USD Swap PVs'!O90</f>
        <v>-991872.51321192528</v>
      </c>
      <c r="E295" s="278">
        <f ca="1">'USD Swap PVs'!P90</f>
        <v>-743904.38490894309</v>
      </c>
      <c r="F295" s="278">
        <f ca="1">'USD Swap PVs'!Q90</f>
        <v>-495936.25660596177</v>
      </c>
      <c r="G295" s="278">
        <f ca="1">'USD Swap PVs'!R90</f>
        <v>-247968.12830298155</v>
      </c>
      <c r="H295" s="278">
        <f ca="1">'USD Swap PVs'!S90</f>
        <v>0</v>
      </c>
      <c r="I295" s="278">
        <f ca="1">'USD Swap PVs'!T90</f>
        <v>247968.12830298214</v>
      </c>
      <c r="J295" s="278">
        <f ca="1">'USD Swap PVs'!U90</f>
        <v>495936.2566059634</v>
      </c>
      <c r="K295" s="278">
        <f ca="1">'USD Swap PVs'!V90</f>
        <v>743904.38490894507</v>
      </c>
      <c r="L295" s="278">
        <f ca="1">'USD Swap PVs'!W90</f>
        <v>991872.51321192645</v>
      </c>
      <c r="M295" s="279">
        <f ca="1">'USD Swap PVs'!X90</f>
        <v>1239840.6415149078</v>
      </c>
    </row>
    <row r="296" spans="2:26">
      <c r="B296" s="282" t="s">
        <v>14</v>
      </c>
      <c r="C296" s="278">
        <f ca="1">'USD Swap PVs'!N91</f>
        <v>-1381003.7389991134</v>
      </c>
      <c r="D296" s="278">
        <f ca="1">'USD Swap PVs'!O91</f>
        <v>-1104802.9911992906</v>
      </c>
      <c r="E296" s="278">
        <f ca="1">'USD Swap PVs'!P91</f>
        <v>-828602.24339946732</v>
      </c>
      <c r="F296" s="278">
        <f ca="1">'USD Swap PVs'!Q91</f>
        <v>-552401.49559964368</v>
      </c>
      <c r="G296" s="278">
        <f ca="1">'USD Swap PVs'!R91</f>
        <v>-276200.7477998223</v>
      </c>
      <c r="H296" s="278">
        <f ca="1">'USD Swap PVs'!S91</f>
        <v>0</v>
      </c>
      <c r="I296" s="278">
        <f ca="1">'USD Swap PVs'!T91</f>
        <v>276200.74779982376</v>
      </c>
      <c r="J296" s="278">
        <f ca="1">'USD Swap PVs'!U91</f>
        <v>552401.49559964647</v>
      </c>
      <c r="K296" s="278">
        <f ca="1">'USD Swap PVs'!V91</f>
        <v>828602.24339946965</v>
      </c>
      <c r="L296" s="278">
        <f ca="1">'USD Swap PVs'!W91</f>
        <v>1104802.9911992927</v>
      </c>
      <c r="M296" s="279">
        <f ca="1">'USD Swap PVs'!X91</f>
        <v>1381003.7389991158</v>
      </c>
    </row>
    <row r="297" spans="2:26">
      <c r="B297" s="282"/>
      <c r="C297" s="278"/>
      <c r="D297" s="278"/>
      <c r="E297" s="278"/>
      <c r="F297" s="278"/>
      <c r="G297" s="278"/>
      <c r="H297" s="278"/>
      <c r="I297" s="278"/>
      <c r="J297" s="278"/>
      <c r="K297" s="278"/>
      <c r="L297" s="278"/>
      <c r="M297" s="279"/>
    </row>
    <row r="298" spans="2:26">
      <c r="B298" s="282"/>
      <c r="C298" s="278"/>
      <c r="D298" s="278"/>
      <c r="E298" s="278"/>
      <c r="F298" s="278"/>
      <c r="G298" s="278"/>
      <c r="H298" s="278"/>
      <c r="I298" s="278"/>
      <c r="J298" s="278"/>
      <c r="K298" s="278"/>
      <c r="L298" s="278"/>
      <c r="M298" s="279"/>
    </row>
    <row r="299" spans="2:26">
      <c r="B299" s="282"/>
      <c r="C299" s="278"/>
      <c r="D299" s="278"/>
      <c r="E299" s="278"/>
      <c r="F299" s="278"/>
      <c r="G299" s="278"/>
      <c r="H299" s="278"/>
      <c r="I299" s="278"/>
      <c r="J299" s="278"/>
      <c r="K299" s="278"/>
      <c r="L299" s="278"/>
      <c r="M299" s="279"/>
    </row>
    <row r="300" spans="2:26">
      <c r="B300" s="283"/>
      <c r="C300" s="280"/>
      <c r="D300" s="280"/>
      <c r="E300" s="280"/>
      <c r="F300" s="280"/>
      <c r="G300" s="280"/>
      <c r="H300" s="280"/>
      <c r="I300" s="280"/>
      <c r="J300" s="280"/>
      <c r="K300" s="280"/>
      <c r="L300" s="280"/>
      <c r="M300" s="281"/>
    </row>
    <row r="302" spans="2:26">
      <c r="B302" s="258" t="s">
        <v>472</v>
      </c>
      <c r="O302" s="258" t="s">
        <v>472</v>
      </c>
    </row>
    <row r="303" spans="2:26">
      <c r="B303" s="254" t="s">
        <v>468</v>
      </c>
      <c r="C303" s="287">
        <v>500</v>
      </c>
      <c r="D303" s="287">
        <v>400</v>
      </c>
      <c r="E303" s="287">
        <v>300</v>
      </c>
      <c r="F303" s="287">
        <v>200</v>
      </c>
      <c r="G303" s="287">
        <v>100</v>
      </c>
      <c r="H303" s="287">
        <v>0</v>
      </c>
      <c r="I303" s="287">
        <v>-100</v>
      </c>
      <c r="J303" s="287">
        <v>-200</v>
      </c>
      <c r="K303" s="287">
        <v>-300</v>
      </c>
      <c r="L303" s="287">
        <v>-400</v>
      </c>
      <c r="M303" s="288">
        <v>-500</v>
      </c>
      <c r="O303" s="254" t="s">
        <v>468</v>
      </c>
      <c r="P303" s="276">
        <v>-0.05</v>
      </c>
      <c r="Q303" s="276">
        <v>-0.04</v>
      </c>
      <c r="R303" s="276">
        <v>-0.03</v>
      </c>
      <c r="S303" s="276">
        <v>-1.9999999999999997E-2</v>
      </c>
      <c r="T303" s="276">
        <v>-9.9999999999999967E-3</v>
      </c>
      <c r="U303" s="276">
        <v>0</v>
      </c>
      <c r="V303" s="276">
        <v>0.01</v>
      </c>
      <c r="W303" s="276">
        <v>0.02</v>
      </c>
      <c r="X303" s="276">
        <v>0.03</v>
      </c>
      <c r="Y303" s="276">
        <v>0.04</v>
      </c>
      <c r="Z303" s="277">
        <v>0.05</v>
      </c>
    </row>
    <row r="304" spans="2:26">
      <c r="B304" s="282" t="s">
        <v>35</v>
      </c>
      <c r="C304" s="278">
        <f ca="1">IF(C282&lt;D282,0,1)</f>
        <v>0</v>
      </c>
      <c r="D304" s="278">
        <f t="shared" ref="D304:L304" ca="1" si="26">IF(D282&lt;E282,0,1)</f>
        <v>0</v>
      </c>
      <c r="E304" s="278">
        <f t="shared" ca="1" si="26"/>
        <v>0</v>
      </c>
      <c r="F304" s="278">
        <f t="shared" ca="1" si="26"/>
        <v>0</v>
      </c>
      <c r="G304" s="278">
        <f t="shared" ca="1" si="26"/>
        <v>0</v>
      </c>
      <c r="H304" s="278">
        <f t="shared" ca="1" si="26"/>
        <v>0</v>
      </c>
      <c r="I304" s="278">
        <f t="shared" ca="1" si="26"/>
        <v>0</v>
      </c>
      <c r="J304" s="278">
        <f t="shared" ca="1" si="26"/>
        <v>0</v>
      </c>
      <c r="K304" s="278">
        <f t="shared" ca="1" si="26"/>
        <v>0</v>
      </c>
      <c r="L304" s="278">
        <f t="shared" ca="1" si="26"/>
        <v>0</v>
      </c>
      <c r="M304" s="285" t="s">
        <v>6</v>
      </c>
      <c r="O304" s="282" t="s">
        <v>35</v>
      </c>
      <c r="P304" s="289">
        <f ca="1">IF(ABS(C283)&gt;ABS(C282),0,1)</f>
        <v>0</v>
      </c>
      <c r="Q304" s="289">
        <f t="shared" ref="Q304:T319" ca="1" si="27">IF(ABS(D283)&gt;ABS(D282),0,1)</f>
        <v>0</v>
      </c>
      <c r="R304" s="289">
        <f t="shared" ca="1" si="27"/>
        <v>0</v>
      </c>
      <c r="S304" s="289">
        <f t="shared" ca="1" si="27"/>
        <v>0</v>
      </c>
      <c r="T304" s="289">
        <f t="shared" ca="1" si="27"/>
        <v>0</v>
      </c>
      <c r="U304" s="295" t="s">
        <v>6</v>
      </c>
      <c r="V304" s="289">
        <f t="shared" ref="V304:Z319" ca="1" si="28">IF(ABS(I283)&gt;ABS(I282),0,1)</f>
        <v>0</v>
      </c>
      <c r="W304" s="289">
        <f t="shared" ca="1" si="28"/>
        <v>0</v>
      </c>
      <c r="X304" s="289">
        <f t="shared" ca="1" si="28"/>
        <v>0</v>
      </c>
      <c r="Y304" s="289">
        <f t="shared" ca="1" si="28"/>
        <v>0</v>
      </c>
      <c r="Z304" s="291">
        <f t="shared" ca="1" si="28"/>
        <v>0</v>
      </c>
    </row>
    <row r="305" spans="2:26">
      <c r="B305" s="282" t="s">
        <v>33</v>
      </c>
      <c r="C305" s="278">
        <f t="shared" ref="C305:L320" ca="1" si="29">IF(C283&lt;D283,0,1)</f>
        <v>0</v>
      </c>
      <c r="D305" s="278">
        <f t="shared" ca="1" si="29"/>
        <v>0</v>
      </c>
      <c r="E305" s="278">
        <f t="shared" ca="1" si="29"/>
        <v>0</v>
      </c>
      <c r="F305" s="278">
        <f t="shared" ca="1" si="29"/>
        <v>0</v>
      </c>
      <c r="G305" s="278">
        <f t="shared" ca="1" si="29"/>
        <v>0</v>
      </c>
      <c r="H305" s="278">
        <f t="shared" ca="1" si="29"/>
        <v>0</v>
      </c>
      <c r="I305" s="278">
        <f t="shared" ca="1" si="29"/>
        <v>0</v>
      </c>
      <c r="J305" s="278">
        <f t="shared" ca="1" si="29"/>
        <v>0</v>
      </c>
      <c r="K305" s="278">
        <f t="shared" ca="1" si="29"/>
        <v>0</v>
      </c>
      <c r="L305" s="278">
        <f t="shared" ca="1" si="29"/>
        <v>0</v>
      </c>
      <c r="M305" s="279" t="s">
        <v>6</v>
      </c>
      <c r="O305" s="282" t="s">
        <v>33</v>
      </c>
      <c r="P305" s="289">
        <f t="shared" ref="P305:T320" ca="1" si="30">IF(ABS(C284)&gt;ABS(C283),0,1)</f>
        <v>0</v>
      </c>
      <c r="Q305" s="289">
        <f t="shared" ca="1" si="27"/>
        <v>0</v>
      </c>
      <c r="R305" s="289">
        <f t="shared" ca="1" si="27"/>
        <v>0</v>
      </c>
      <c r="S305" s="289">
        <f t="shared" ca="1" si="27"/>
        <v>0</v>
      </c>
      <c r="T305" s="289">
        <f t="shared" ca="1" si="27"/>
        <v>0</v>
      </c>
      <c r="U305" s="295" t="s">
        <v>6</v>
      </c>
      <c r="V305" s="289">
        <f t="shared" ca="1" si="28"/>
        <v>0</v>
      </c>
      <c r="W305" s="289">
        <f t="shared" ca="1" si="28"/>
        <v>0</v>
      </c>
      <c r="X305" s="289">
        <f t="shared" ca="1" si="28"/>
        <v>0</v>
      </c>
      <c r="Y305" s="289">
        <f t="shared" ca="1" si="28"/>
        <v>0</v>
      </c>
      <c r="Z305" s="292">
        <f t="shared" ca="1" si="28"/>
        <v>0</v>
      </c>
    </row>
    <row r="306" spans="2:26">
      <c r="B306" s="282" t="s">
        <v>131</v>
      </c>
      <c r="C306" s="278">
        <f t="shared" ca="1" si="29"/>
        <v>0</v>
      </c>
      <c r="D306" s="278">
        <f t="shared" ca="1" si="29"/>
        <v>0</v>
      </c>
      <c r="E306" s="278">
        <f t="shared" ca="1" si="29"/>
        <v>0</v>
      </c>
      <c r="F306" s="278">
        <f t="shared" ca="1" si="29"/>
        <v>0</v>
      </c>
      <c r="G306" s="278">
        <f t="shared" ca="1" si="29"/>
        <v>0</v>
      </c>
      <c r="H306" s="278">
        <f t="shared" ca="1" si="29"/>
        <v>0</v>
      </c>
      <c r="I306" s="278">
        <f t="shared" ca="1" si="29"/>
        <v>0</v>
      </c>
      <c r="J306" s="278">
        <f t="shared" ca="1" si="29"/>
        <v>0</v>
      </c>
      <c r="K306" s="278">
        <f t="shared" ca="1" si="29"/>
        <v>0</v>
      </c>
      <c r="L306" s="278">
        <f t="shared" ca="1" si="29"/>
        <v>0</v>
      </c>
      <c r="M306" s="279" t="s">
        <v>6</v>
      </c>
      <c r="O306" s="282" t="s">
        <v>131</v>
      </c>
      <c r="P306" s="289">
        <f t="shared" ca="1" si="30"/>
        <v>0</v>
      </c>
      <c r="Q306" s="289">
        <f t="shared" ca="1" si="27"/>
        <v>0</v>
      </c>
      <c r="R306" s="289">
        <f t="shared" ca="1" si="27"/>
        <v>0</v>
      </c>
      <c r="S306" s="289">
        <f t="shared" ca="1" si="27"/>
        <v>0</v>
      </c>
      <c r="T306" s="289">
        <f t="shared" ca="1" si="27"/>
        <v>0</v>
      </c>
      <c r="U306" s="295" t="s">
        <v>6</v>
      </c>
      <c r="V306" s="289">
        <f t="shared" ca="1" si="28"/>
        <v>0</v>
      </c>
      <c r="W306" s="289">
        <f t="shared" ca="1" si="28"/>
        <v>0</v>
      </c>
      <c r="X306" s="289">
        <f t="shared" ca="1" si="28"/>
        <v>0</v>
      </c>
      <c r="Y306" s="289">
        <f t="shared" ca="1" si="28"/>
        <v>0</v>
      </c>
      <c r="Z306" s="292">
        <f t="shared" ca="1" si="28"/>
        <v>0</v>
      </c>
    </row>
    <row r="307" spans="2:26">
      <c r="B307" s="282" t="s">
        <v>31</v>
      </c>
      <c r="C307" s="278">
        <f t="shared" ca="1" si="29"/>
        <v>0</v>
      </c>
      <c r="D307" s="278">
        <f t="shared" ca="1" si="29"/>
        <v>0</v>
      </c>
      <c r="E307" s="278">
        <f t="shared" ca="1" si="29"/>
        <v>0</v>
      </c>
      <c r="F307" s="278">
        <f t="shared" ca="1" si="29"/>
        <v>0</v>
      </c>
      <c r="G307" s="278">
        <f t="shared" ca="1" si="29"/>
        <v>0</v>
      </c>
      <c r="H307" s="278">
        <f t="shared" ca="1" si="29"/>
        <v>0</v>
      </c>
      <c r="I307" s="278">
        <f t="shared" ca="1" si="29"/>
        <v>0</v>
      </c>
      <c r="J307" s="278">
        <f t="shared" ca="1" si="29"/>
        <v>0</v>
      </c>
      <c r="K307" s="278">
        <f t="shared" ca="1" si="29"/>
        <v>0</v>
      </c>
      <c r="L307" s="278">
        <f t="shared" ca="1" si="29"/>
        <v>0</v>
      </c>
      <c r="M307" s="279" t="s">
        <v>6</v>
      </c>
      <c r="O307" s="282" t="s">
        <v>31</v>
      </c>
      <c r="P307" s="289">
        <f t="shared" ca="1" si="30"/>
        <v>0</v>
      </c>
      <c r="Q307" s="289">
        <f t="shared" ca="1" si="27"/>
        <v>0</v>
      </c>
      <c r="R307" s="289">
        <f t="shared" ca="1" si="27"/>
        <v>0</v>
      </c>
      <c r="S307" s="289">
        <f t="shared" ca="1" si="27"/>
        <v>0</v>
      </c>
      <c r="T307" s="289">
        <f t="shared" ca="1" si="27"/>
        <v>0</v>
      </c>
      <c r="U307" s="295" t="s">
        <v>6</v>
      </c>
      <c r="V307" s="289">
        <f t="shared" ca="1" si="28"/>
        <v>0</v>
      </c>
      <c r="W307" s="289">
        <f t="shared" ca="1" si="28"/>
        <v>0</v>
      </c>
      <c r="X307" s="289">
        <f t="shared" ca="1" si="28"/>
        <v>0</v>
      </c>
      <c r="Y307" s="289">
        <f t="shared" ca="1" si="28"/>
        <v>0</v>
      </c>
      <c r="Z307" s="292">
        <f t="shared" ca="1" si="28"/>
        <v>0</v>
      </c>
    </row>
    <row r="308" spans="2:26">
      <c r="B308" s="282" t="s">
        <v>119</v>
      </c>
      <c r="C308" s="278">
        <f t="shared" ca="1" si="29"/>
        <v>0</v>
      </c>
      <c r="D308" s="278">
        <f t="shared" ca="1" si="29"/>
        <v>0</v>
      </c>
      <c r="E308" s="278">
        <f t="shared" ca="1" si="29"/>
        <v>0</v>
      </c>
      <c r="F308" s="278">
        <f t="shared" ca="1" si="29"/>
        <v>0</v>
      </c>
      <c r="G308" s="278">
        <f t="shared" ca="1" si="29"/>
        <v>0</v>
      </c>
      <c r="H308" s="278">
        <f t="shared" ca="1" si="29"/>
        <v>0</v>
      </c>
      <c r="I308" s="278">
        <f t="shared" ca="1" si="29"/>
        <v>0</v>
      </c>
      <c r="J308" s="278">
        <f t="shared" ca="1" si="29"/>
        <v>0</v>
      </c>
      <c r="K308" s="278">
        <f t="shared" ca="1" si="29"/>
        <v>0</v>
      </c>
      <c r="L308" s="278">
        <f t="shared" ca="1" si="29"/>
        <v>0</v>
      </c>
      <c r="M308" s="279" t="s">
        <v>6</v>
      </c>
      <c r="O308" s="282" t="s">
        <v>119</v>
      </c>
      <c r="P308" s="289">
        <f t="shared" ca="1" si="30"/>
        <v>0</v>
      </c>
      <c r="Q308" s="289">
        <f t="shared" ca="1" si="27"/>
        <v>0</v>
      </c>
      <c r="R308" s="289">
        <f t="shared" ca="1" si="27"/>
        <v>0</v>
      </c>
      <c r="S308" s="289">
        <f t="shared" ca="1" si="27"/>
        <v>0</v>
      </c>
      <c r="T308" s="289">
        <f t="shared" ca="1" si="27"/>
        <v>0</v>
      </c>
      <c r="U308" s="295" t="s">
        <v>6</v>
      </c>
      <c r="V308" s="289">
        <f t="shared" ca="1" si="28"/>
        <v>0</v>
      </c>
      <c r="W308" s="289">
        <f t="shared" ca="1" si="28"/>
        <v>0</v>
      </c>
      <c r="X308" s="289">
        <f t="shared" ca="1" si="28"/>
        <v>0</v>
      </c>
      <c r="Y308" s="289">
        <f t="shared" ca="1" si="28"/>
        <v>0</v>
      </c>
      <c r="Z308" s="292">
        <f t="shared" ca="1" si="28"/>
        <v>0</v>
      </c>
    </row>
    <row r="309" spans="2:26">
      <c r="B309" s="282" t="s">
        <v>113</v>
      </c>
      <c r="C309" s="278">
        <f t="shared" ca="1" si="29"/>
        <v>0</v>
      </c>
      <c r="D309" s="278">
        <f t="shared" ca="1" si="29"/>
        <v>0</v>
      </c>
      <c r="E309" s="278">
        <f t="shared" ca="1" si="29"/>
        <v>0</v>
      </c>
      <c r="F309" s="278">
        <f t="shared" ca="1" si="29"/>
        <v>0</v>
      </c>
      <c r="G309" s="278">
        <f t="shared" ca="1" si="29"/>
        <v>0</v>
      </c>
      <c r="H309" s="278">
        <f t="shared" ca="1" si="29"/>
        <v>0</v>
      </c>
      <c r="I309" s="278">
        <f t="shared" ca="1" si="29"/>
        <v>0</v>
      </c>
      <c r="J309" s="278">
        <f t="shared" ca="1" si="29"/>
        <v>0</v>
      </c>
      <c r="K309" s="278">
        <f t="shared" ca="1" si="29"/>
        <v>0</v>
      </c>
      <c r="L309" s="278">
        <f t="shared" ca="1" si="29"/>
        <v>0</v>
      </c>
      <c r="M309" s="279" t="s">
        <v>6</v>
      </c>
      <c r="O309" s="282" t="s">
        <v>113</v>
      </c>
      <c r="P309" s="289">
        <f t="shared" ca="1" si="30"/>
        <v>0</v>
      </c>
      <c r="Q309" s="289">
        <f t="shared" ca="1" si="27"/>
        <v>0</v>
      </c>
      <c r="R309" s="289">
        <f t="shared" ca="1" si="27"/>
        <v>0</v>
      </c>
      <c r="S309" s="289">
        <f t="shared" ca="1" si="27"/>
        <v>0</v>
      </c>
      <c r="T309" s="289">
        <f t="shared" ca="1" si="27"/>
        <v>0</v>
      </c>
      <c r="U309" s="295" t="s">
        <v>6</v>
      </c>
      <c r="V309" s="289">
        <f t="shared" ca="1" si="28"/>
        <v>0</v>
      </c>
      <c r="W309" s="289">
        <f t="shared" ca="1" si="28"/>
        <v>0</v>
      </c>
      <c r="X309" s="289">
        <f t="shared" ca="1" si="28"/>
        <v>0</v>
      </c>
      <c r="Y309" s="289">
        <f t="shared" ca="1" si="28"/>
        <v>0</v>
      </c>
      <c r="Z309" s="292">
        <f t="shared" ca="1" si="28"/>
        <v>0</v>
      </c>
    </row>
    <row r="310" spans="2:26">
      <c r="B310" s="282" t="s">
        <v>28</v>
      </c>
      <c r="C310" s="278">
        <f t="shared" ca="1" si="29"/>
        <v>0</v>
      </c>
      <c r="D310" s="278">
        <f t="shared" ca="1" si="29"/>
        <v>0</v>
      </c>
      <c r="E310" s="278">
        <f t="shared" ca="1" si="29"/>
        <v>0</v>
      </c>
      <c r="F310" s="278">
        <f t="shared" ca="1" si="29"/>
        <v>0</v>
      </c>
      <c r="G310" s="278">
        <f t="shared" ca="1" si="29"/>
        <v>0</v>
      </c>
      <c r="H310" s="278">
        <f t="shared" ca="1" si="29"/>
        <v>0</v>
      </c>
      <c r="I310" s="278">
        <f t="shared" ca="1" si="29"/>
        <v>0</v>
      </c>
      <c r="J310" s="278">
        <f t="shared" ca="1" si="29"/>
        <v>0</v>
      </c>
      <c r="K310" s="278">
        <f t="shared" ca="1" si="29"/>
        <v>0</v>
      </c>
      <c r="L310" s="278">
        <f t="shared" ca="1" si="29"/>
        <v>0</v>
      </c>
      <c r="M310" s="279" t="s">
        <v>6</v>
      </c>
      <c r="O310" s="282" t="s">
        <v>28</v>
      </c>
      <c r="P310" s="289">
        <f t="shared" ca="1" si="30"/>
        <v>0</v>
      </c>
      <c r="Q310" s="289">
        <f t="shared" ca="1" si="27"/>
        <v>0</v>
      </c>
      <c r="R310" s="289">
        <f t="shared" ca="1" si="27"/>
        <v>0</v>
      </c>
      <c r="S310" s="289">
        <f t="shared" ca="1" si="27"/>
        <v>0</v>
      </c>
      <c r="T310" s="289">
        <f t="shared" ca="1" si="27"/>
        <v>0</v>
      </c>
      <c r="U310" s="295" t="s">
        <v>6</v>
      </c>
      <c r="V310" s="289">
        <f t="shared" ca="1" si="28"/>
        <v>0</v>
      </c>
      <c r="W310" s="289">
        <f t="shared" ca="1" si="28"/>
        <v>0</v>
      </c>
      <c r="X310" s="289">
        <f t="shared" ca="1" si="28"/>
        <v>0</v>
      </c>
      <c r="Y310" s="289">
        <f t="shared" ca="1" si="28"/>
        <v>0</v>
      </c>
      <c r="Z310" s="292">
        <f t="shared" ca="1" si="28"/>
        <v>0</v>
      </c>
    </row>
    <row r="311" spans="2:26">
      <c r="B311" s="282" t="s">
        <v>366</v>
      </c>
      <c r="C311" s="278">
        <f t="shared" ca="1" si="29"/>
        <v>0</v>
      </c>
      <c r="D311" s="278">
        <f t="shared" ca="1" si="29"/>
        <v>0</v>
      </c>
      <c r="E311" s="278">
        <f t="shared" ca="1" si="29"/>
        <v>0</v>
      </c>
      <c r="F311" s="278">
        <f t="shared" ca="1" si="29"/>
        <v>0</v>
      </c>
      <c r="G311" s="278">
        <f t="shared" ca="1" si="29"/>
        <v>0</v>
      </c>
      <c r="H311" s="278">
        <f t="shared" ca="1" si="29"/>
        <v>0</v>
      </c>
      <c r="I311" s="278">
        <f t="shared" ca="1" si="29"/>
        <v>0</v>
      </c>
      <c r="J311" s="278">
        <f t="shared" ca="1" si="29"/>
        <v>0</v>
      </c>
      <c r="K311" s="278">
        <f t="shared" ca="1" si="29"/>
        <v>0</v>
      </c>
      <c r="L311" s="278">
        <f t="shared" ca="1" si="29"/>
        <v>0</v>
      </c>
      <c r="M311" s="279" t="s">
        <v>6</v>
      </c>
      <c r="O311" s="282" t="s">
        <v>366</v>
      </c>
      <c r="P311" s="289">
        <f t="shared" ca="1" si="30"/>
        <v>0</v>
      </c>
      <c r="Q311" s="289">
        <f t="shared" ca="1" si="27"/>
        <v>0</v>
      </c>
      <c r="R311" s="289">
        <f t="shared" ca="1" si="27"/>
        <v>0</v>
      </c>
      <c r="S311" s="289">
        <f t="shared" ca="1" si="27"/>
        <v>0</v>
      </c>
      <c r="T311" s="289">
        <f t="shared" ca="1" si="27"/>
        <v>0</v>
      </c>
      <c r="U311" s="295" t="s">
        <v>6</v>
      </c>
      <c r="V311" s="289">
        <f t="shared" ca="1" si="28"/>
        <v>0</v>
      </c>
      <c r="W311" s="289">
        <f t="shared" ca="1" si="28"/>
        <v>0</v>
      </c>
      <c r="X311" s="289">
        <f t="shared" ca="1" si="28"/>
        <v>0</v>
      </c>
      <c r="Y311" s="289">
        <f t="shared" ca="1" si="28"/>
        <v>0</v>
      </c>
      <c r="Z311" s="292">
        <f t="shared" ca="1" si="28"/>
        <v>0</v>
      </c>
    </row>
    <row r="312" spans="2:26">
      <c r="B312" s="282" t="s">
        <v>26</v>
      </c>
      <c r="C312" s="278">
        <f t="shared" ca="1" si="29"/>
        <v>0</v>
      </c>
      <c r="D312" s="278">
        <f t="shared" ca="1" si="29"/>
        <v>0</v>
      </c>
      <c r="E312" s="278">
        <f t="shared" ca="1" si="29"/>
        <v>0</v>
      </c>
      <c r="F312" s="278">
        <f t="shared" ca="1" si="29"/>
        <v>0</v>
      </c>
      <c r="G312" s="278">
        <f t="shared" ca="1" si="29"/>
        <v>0</v>
      </c>
      <c r="H312" s="278">
        <f t="shared" ca="1" si="29"/>
        <v>0</v>
      </c>
      <c r="I312" s="278">
        <f t="shared" ca="1" si="29"/>
        <v>0</v>
      </c>
      <c r="J312" s="278">
        <f t="shared" ca="1" si="29"/>
        <v>0</v>
      </c>
      <c r="K312" s="278">
        <f t="shared" ca="1" si="29"/>
        <v>0</v>
      </c>
      <c r="L312" s="278">
        <f t="shared" ca="1" si="29"/>
        <v>0</v>
      </c>
      <c r="M312" s="279" t="s">
        <v>6</v>
      </c>
      <c r="O312" s="282" t="s">
        <v>26</v>
      </c>
      <c r="P312" s="289">
        <f t="shared" ca="1" si="30"/>
        <v>0</v>
      </c>
      <c r="Q312" s="289">
        <f t="shared" ca="1" si="27"/>
        <v>0</v>
      </c>
      <c r="R312" s="289">
        <f t="shared" ca="1" si="27"/>
        <v>0</v>
      </c>
      <c r="S312" s="289">
        <f t="shared" ca="1" si="27"/>
        <v>0</v>
      </c>
      <c r="T312" s="289">
        <f t="shared" ca="1" si="27"/>
        <v>0</v>
      </c>
      <c r="U312" s="295" t="s">
        <v>6</v>
      </c>
      <c r="V312" s="289">
        <f t="shared" ca="1" si="28"/>
        <v>0</v>
      </c>
      <c r="W312" s="289">
        <f t="shared" ca="1" si="28"/>
        <v>0</v>
      </c>
      <c r="X312" s="289">
        <f t="shared" ca="1" si="28"/>
        <v>0</v>
      </c>
      <c r="Y312" s="289">
        <f t="shared" ca="1" si="28"/>
        <v>0</v>
      </c>
      <c r="Z312" s="292">
        <f t="shared" ca="1" si="28"/>
        <v>0</v>
      </c>
    </row>
    <row r="313" spans="2:26">
      <c r="B313" s="282" t="s">
        <v>24</v>
      </c>
      <c r="C313" s="278">
        <f t="shared" ca="1" si="29"/>
        <v>0</v>
      </c>
      <c r="D313" s="278">
        <f t="shared" ca="1" si="29"/>
        <v>0</v>
      </c>
      <c r="E313" s="278">
        <f t="shared" ca="1" si="29"/>
        <v>0</v>
      </c>
      <c r="F313" s="278">
        <f t="shared" ca="1" si="29"/>
        <v>0</v>
      </c>
      <c r="G313" s="278">
        <f t="shared" ca="1" si="29"/>
        <v>0</v>
      </c>
      <c r="H313" s="278">
        <f t="shared" ca="1" si="29"/>
        <v>0</v>
      </c>
      <c r="I313" s="278">
        <f t="shared" ca="1" si="29"/>
        <v>0</v>
      </c>
      <c r="J313" s="278">
        <f t="shared" ca="1" si="29"/>
        <v>0</v>
      </c>
      <c r="K313" s="278">
        <f t="shared" ca="1" si="29"/>
        <v>0</v>
      </c>
      <c r="L313" s="278">
        <f t="shared" ca="1" si="29"/>
        <v>0</v>
      </c>
      <c r="M313" s="279" t="s">
        <v>6</v>
      </c>
      <c r="O313" s="282" t="s">
        <v>24</v>
      </c>
      <c r="P313" s="289">
        <f t="shared" ca="1" si="30"/>
        <v>0</v>
      </c>
      <c r="Q313" s="289">
        <f t="shared" ca="1" si="27"/>
        <v>0</v>
      </c>
      <c r="R313" s="289">
        <f t="shared" ca="1" si="27"/>
        <v>0</v>
      </c>
      <c r="S313" s="289">
        <f t="shared" ca="1" si="27"/>
        <v>0</v>
      </c>
      <c r="T313" s="289">
        <f t="shared" ca="1" si="27"/>
        <v>0</v>
      </c>
      <c r="U313" s="295" t="s">
        <v>6</v>
      </c>
      <c r="V313" s="289">
        <f t="shared" ca="1" si="28"/>
        <v>0</v>
      </c>
      <c r="W313" s="289">
        <f t="shared" ca="1" si="28"/>
        <v>0</v>
      </c>
      <c r="X313" s="289">
        <f t="shared" ca="1" si="28"/>
        <v>0</v>
      </c>
      <c r="Y313" s="289">
        <f t="shared" ca="1" si="28"/>
        <v>0</v>
      </c>
      <c r="Z313" s="292">
        <f t="shared" ca="1" si="28"/>
        <v>0</v>
      </c>
    </row>
    <row r="314" spans="2:26">
      <c r="B314" s="282" t="s">
        <v>20</v>
      </c>
      <c r="C314" s="278">
        <f t="shared" ca="1" si="29"/>
        <v>0</v>
      </c>
      <c r="D314" s="278">
        <f t="shared" ca="1" si="29"/>
        <v>0</v>
      </c>
      <c r="E314" s="278">
        <f t="shared" ca="1" si="29"/>
        <v>0</v>
      </c>
      <c r="F314" s="278">
        <f t="shared" ca="1" si="29"/>
        <v>0</v>
      </c>
      <c r="G314" s="278">
        <f t="shared" ca="1" si="29"/>
        <v>0</v>
      </c>
      <c r="H314" s="278">
        <f t="shared" ca="1" si="29"/>
        <v>0</v>
      </c>
      <c r="I314" s="278">
        <f t="shared" ca="1" si="29"/>
        <v>0</v>
      </c>
      <c r="J314" s="278">
        <f t="shared" ca="1" si="29"/>
        <v>0</v>
      </c>
      <c r="K314" s="278">
        <f t="shared" ca="1" si="29"/>
        <v>0</v>
      </c>
      <c r="L314" s="278">
        <f t="shared" ca="1" si="29"/>
        <v>0</v>
      </c>
      <c r="M314" s="279" t="s">
        <v>6</v>
      </c>
      <c r="O314" s="282" t="s">
        <v>20</v>
      </c>
      <c r="P314" s="289">
        <f t="shared" ca="1" si="30"/>
        <v>0</v>
      </c>
      <c r="Q314" s="289">
        <f t="shared" ca="1" si="27"/>
        <v>0</v>
      </c>
      <c r="R314" s="289">
        <f t="shared" ca="1" si="27"/>
        <v>0</v>
      </c>
      <c r="S314" s="289">
        <f t="shared" ca="1" si="27"/>
        <v>0</v>
      </c>
      <c r="T314" s="289">
        <f t="shared" ca="1" si="27"/>
        <v>0</v>
      </c>
      <c r="U314" s="295" t="s">
        <v>6</v>
      </c>
      <c r="V314" s="289">
        <f t="shared" ca="1" si="28"/>
        <v>0</v>
      </c>
      <c r="W314" s="289">
        <f t="shared" ca="1" si="28"/>
        <v>0</v>
      </c>
      <c r="X314" s="289">
        <f t="shared" ca="1" si="28"/>
        <v>0</v>
      </c>
      <c r="Y314" s="289">
        <f t="shared" ca="1" si="28"/>
        <v>0</v>
      </c>
      <c r="Z314" s="292">
        <f t="shared" ca="1" si="28"/>
        <v>0</v>
      </c>
    </row>
    <row r="315" spans="2:26">
      <c r="B315" s="282" t="s">
        <v>18</v>
      </c>
      <c r="C315" s="278">
        <f t="shared" ca="1" si="29"/>
        <v>0</v>
      </c>
      <c r="D315" s="278">
        <f t="shared" ca="1" si="29"/>
        <v>0</v>
      </c>
      <c r="E315" s="278">
        <f t="shared" ca="1" si="29"/>
        <v>0</v>
      </c>
      <c r="F315" s="278">
        <f t="shared" ca="1" si="29"/>
        <v>0</v>
      </c>
      <c r="G315" s="278">
        <f t="shared" ca="1" si="29"/>
        <v>0</v>
      </c>
      <c r="H315" s="278">
        <f t="shared" ca="1" si="29"/>
        <v>0</v>
      </c>
      <c r="I315" s="278">
        <f t="shared" ca="1" si="29"/>
        <v>0</v>
      </c>
      <c r="J315" s="278">
        <f t="shared" ca="1" si="29"/>
        <v>0</v>
      </c>
      <c r="K315" s="278">
        <f t="shared" ca="1" si="29"/>
        <v>0</v>
      </c>
      <c r="L315" s="278">
        <f t="shared" ca="1" si="29"/>
        <v>0</v>
      </c>
      <c r="M315" s="279" t="s">
        <v>6</v>
      </c>
      <c r="O315" s="282" t="s">
        <v>18</v>
      </c>
      <c r="P315" s="289">
        <f t="shared" ca="1" si="30"/>
        <v>0</v>
      </c>
      <c r="Q315" s="289">
        <f t="shared" ca="1" si="27"/>
        <v>0</v>
      </c>
      <c r="R315" s="289">
        <f t="shared" ca="1" si="27"/>
        <v>0</v>
      </c>
      <c r="S315" s="289">
        <f t="shared" ca="1" si="27"/>
        <v>0</v>
      </c>
      <c r="T315" s="289">
        <f t="shared" ca="1" si="27"/>
        <v>0</v>
      </c>
      <c r="U315" s="295" t="s">
        <v>6</v>
      </c>
      <c r="V315" s="289">
        <f t="shared" ca="1" si="28"/>
        <v>0</v>
      </c>
      <c r="W315" s="289">
        <f t="shared" ca="1" si="28"/>
        <v>0</v>
      </c>
      <c r="X315" s="289">
        <f t="shared" ca="1" si="28"/>
        <v>0</v>
      </c>
      <c r="Y315" s="289">
        <f t="shared" ca="1" si="28"/>
        <v>0</v>
      </c>
      <c r="Z315" s="292">
        <f t="shared" ca="1" si="28"/>
        <v>0</v>
      </c>
    </row>
    <row r="316" spans="2:26">
      <c r="B316" s="282" t="s">
        <v>17</v>
      </c>
      <c r="C316" s="278">
        <f t="shared" ca="1" si="29"/>
        <v>0</v>
      </c>
      <c r="D316" s="278">
        <f t="shared" ca="1" si="29"/>
        <v>0</v>
      </c>
      <c r="E316" s="278">
        <f t="shared" ca="1" si="29"/>
        <v>0</v>
      </c>
      <c r="F316" s="278">
        <f t="shared" ca="1" si="29"/>
        <v>0</v>
      </c>
      <c r="G316" s="278">
        <f t="shared" ca="1" si="29"/>
        <v>0</v>
      </c>
      <c r="H316" s="278">
        <f t="shared" ca="1" si="29"/>
        <v>0</v>
      </c>
      <c r="I316" s="278">
        <f t="shared" ca="1" si="29"/>
        <v>0</v>
      </c>
      <c r="J316" s="278">
        <f t="shared" ca="1" si="29"/>
        <v>0</v>
      </c>
      <c r="K316" s="278">
        <f t="shared" ca="1" si="29"/>
        <v>0</v>
      </c>
      <c r="L316" s="278">
        <f t="shared" ca="1" si="29"/>
        <v>0</v>
      </c>
      <c r="M316" s="279" t="s">
        <v>6</v>
      </c>
      <c r="O316" s="282" t="s">
        <v>17</v>
      </c>
      <c r="P316" s="289">
        <f t="shared" ca="1" si="30"/>
        <v>0</v>
      </c>
      <c r="Q316" s="289">
        <f t="shared" ca="1" si="27"/>
        <v>0</v>
      </c>
      <c r="R316" s="289">
        <f t="shared" ca="1" si="27"/>
        <v>0</v>
      </c>
      <c r="S316" s="289">
        <f t="shared" ca="1" si="27"/>
        <v>0</v>
      </c>
      <c r="T316" s="289">
        <f t="shared" ca="1" si="27"/>
        <v>0</v>
      </c>
      <c r="U316" s="295" t="s">
        <v>6</v>
      </c>
      <c r="V316" s="289">
        <f t="shared" ca="1" si="28"/>
        <v>0</v>
      </c>
      <c r="W316" s="289">
        <f t="shared" ca="1" si="28"/>
        <v>0</v>
      </c>
      <c r="X316" s="289">
        <f t="shared" ca="1" si="28"/>
        <v>0</v>
      </c>
      <c r="Y316" s="289">
        <f t="shared" ca="1" si="28"/>
        <v>0</v>
      </c>
      <c r="Z316" s="292">
        <f t="shared" ca="1" si="28"/>
        <v>0</v>
      </c>
    </row>
    <row r="317" spans="2:26">
      <c r="B317" s="282" t="s">
        <v>15</v>
      </c>
      <c r="C317" s="278">
        <f t="shared" ca="1" si="29"/>
        <v>0</v>
      </c>
      <c r="D317" s="278">
        <f t="shared" ca="1" si="29"/>
        <v>0</v>
      </c>
      <c r="E317" s="278">
        <f t="shared" ca="1" si="29"/>
        <v>0</v>
      </c>
      <c r="F317" s="278">
        <f t="shared" ca="1" si="29"/>
        <v>0</v>
      </c>
      <c r="G317" s="278">
        <f t="shared" ca="1" si="29"/>
        <v>0</v>
      </c>
      <c r="H317" s="278">
        <f t="shared" ca="1" si="29"/>
        <v>0</v>
      </c>
      <c r="I317" s="278">
        <f t="shared" ca="1" si="29"/>
        <v>0</v>
      </c>
      <c r="J317" s="278">
        <f t="shared" ca="1" si="29"/>
        <v>0</v>
      </c>
      <c r="K317" s="278">
        <f t="shared" ca="1" si="29"/>
        <v>0</v>
      </c>
      <c r="L317" s="278">
        <f t="shared" ca="1" si="29"/>
        <v>0</v>
      </c>
      <c r="M317" s="279" t="s">
        <v>6</v>
      </c>
      <c r="O317" s="282" t="s">
        <v>15</v>
      </c>
      <c r="P317" s="289">
        <f t="shared" ca="1" si="30"/>
        <v>0</v>
      </c>
      <c r="Q317" s="289">
        <f t="shared" ca="1" si="27"/>
        <v>0</v>
      </c>
      <c r="R317" s="289">
        <f t="shared" ca="1" si="27"/>
        <v>0</v>
      </c>
      <c r="S317" s="289">
        <f t="shared" ca="1" si="27"/>
        <v>0</v>
      </c>
      <c r="T317" s="289">
        <f t="shared" ca="1" si="27"/>
        <v>0</v>
      </c>
      <c r="U317" s="295" t="s">
        <v>6</v>
      </c>
      <c r="V317" s="289">
        <f t="shared" ca="1" si="28"/>
        <v>0</v>
      </c>
      <c r="W317" s="289">
        <f t="shared" ca="1" si="28"/>
        <v>0</v>
      </c>
      <c r="X317" s="289">
        <f t="shared" ca="1" si="28"/>
        <v>0</v>
      </c>
      <c r="Y317" s="289">
        <f t="shared" ca="1" si="28"/>
        <v>0</v>
      </c>
      <c r="Z317" s="292">
        <f t="shared" ca="1" si="28"/>
        <v>0</v>
      </c>
    </row>
    <row r="318" spans="2:26">
      <c r="B318" s="282" t="s">
        <v>14</v>
      </c>
      <c r="C318" s="278">
        <f t="shared" ca="1" si="29"/>
        <v>0</v>
      </c>
      <c r="D318" s="278">
        <f t="shared" ca="1" si="29"/>
        <v>0</v>
      </c>
      <c r="E318" s="278">
        <f t="shared" ca="1" si="29"/>
        <v>0</v>
      </c>
      <c r="F318" s="278">
        <f t="shared" ca="1" si="29"/>
        <v>0</v>
      </c>
      <c r="G318" s="278">
        <f t="shared" ca="1" si="29"/>
        <v>0</v>
      </c>
      <c r="H318" s="278">
        <f t="shared" ca="1" si="29"/>
        <v>0</v>
      </c>
      <c r="I318" s="278">
        <f t="shared" ca="1" si="29"/>
        <v>0</v>
      </c>
      <c r="J318" s="278">
        <f t="shared" ca="1" si="29"/>
        <v>0</v>
      </c>
      <c r="K318" s="278">
        <f t="shared" ca="1" si="29"/>
        <v>0</v>
      </c>
      <c r="L318" s="278">
        <f t="shared" ca="1" si="29"/>
        <v>0</v>
      </c>
      <c r="M318" s="279" t="s">
        <v>6</v>
      </c>
      <c r="O318" s="282" t="s">
        <v>14</v>
      </c>
      <c r="P318" s="295" t="s">
        <v>6</v>
      </c>
      <c r="Q318" s="289" t="s">
        <v>6</v>
      </c>
      <c r="R318" s="289" t="s">
        <v>6</v>
      </c>
      <c r="S318" s="289" t="s">
        <v>6</v>
      </c>
      <c r="T318" s="289" t="s">
        <v>6</v>
      </c>
      <c r="U318" s="295" t="s">
        <v>6</v>
      </c>
      <c r="V318" s="289" t="s">
        <v>6</v>
      </c>
      <c r="W318" s="289" t="s">
        <v>6</v>
      </c>
      <c r="X318" s="289" t="s">
        <v>6</v>
      </c>
      <c r="Y318" s="289" t="s">
        <v>6</v>
      </c>
      <c r="Z318" s="292" t="s">
        <v>6</v>
      </c>
    </row>
    <row r="319" spans="2:26">
      <c r="B319" s="282"/>
      <c r="C319" s="278"/>
      <c r="D319" s="278"/>
      <c r="E319" s="278"/>
      <c r="F319" s="278"/>
      <c r="G319" s="278"/>
      <c r="H319" s="278"/>
      <c r="I319" s="278"/>
      <c r="J319" s="278"/>
      <c r="K319" s="278"/>
      <c r="L319" s="278"/>
      <c r="M319" s="279"/>
      <c r="O319" s="282"/>
      <c r="P319" s="289"/>
      <c r="Q319" s="289"/>
      <c r="R319" s="289"/>
      <c r="S319" s="289"/>
      <c r="T319" s="289"/>
      <c r="U319" s="295"/>
      <c r="V319" s="289"/>
      <c r="W319" s="289"/>
      <c r="X319" s="289"/>
      <c r="Y319" s="289"/>
      <c r="Z319" s="292"/>
    </row>
    <row r="320" spans="2:26">
      <c r="B320" s="282"/>
      <c r="C320" s="278"/>
      <c r="D320" s="278"/>
      <c r="E320" s="278"/>
      <c r="F320" s="278"/>
      <c r="G320" s="278"/>
      <c r="H320" s="278"/>
      <c r="I320" s="278"/>
      <c r="J320" s="278"/>
      <c r="K320" s="278"/>
      <c r="L320" s="278"/>
      <c r="M320" s="279"/>
      <c r="O320" s="282"/>
      <c r="P320" s="289"/>
      <c r="Q320" s="289"/>
      <c r="R320" s="289"/>
      <c r="S320" s="289"/>
      <c r="T320" s="289"/>
      <c r="U320" s="295"/>
      <c r="V320" s="289"/>
      <c r="W320" s="289"/>
      <c r="X320" s="289"/>
      <c r="Y320" s="289"/>
      <c r="Z320" s="292"/>
    </row>
    <row r="321" spans="1:26">
      <c r="B321" s="282"/>
      <c r="C321" s="278"/>
      <c r="D321" s="278"/>
      <c r="E321" s="278"/>
      <c r="F321" s="278"/>
      <c r="G321" s="278"/>
      <c r="H321" s="278"/>
      <c r="I321" s="278"/>
      <c r="J321" s="278"/>
      <c r="K321" s="278"/>
      <c r="L321" s="278"/>
      <c r="M321" s="279"/>
      <c r="O321" s="282"/>
      <c r="P321" s="289"/>
      <c r="Q321" s="289"/>
      <c r="R321" s="289"/>
      <c r="S321" s="289"/>
      <c r="T321" s="289"/>
      <c r="U321" s="295"/>
      <c r="V321" s="289"/>
      <c r="W321" s="289"/>
      <c r="X321" s="289"/>
      <c r="Y321" s="289"/>
      <c r="Z321" s="292"/>
    </row>
    <row r="322" spans="1:26">
      <c r="B322" s="283"/>
      <c r="C322" s="280"/>
      <c r="D322" s="280"/>
      <c r="E322" s="280"/>
      <c r="F322" s="280"/>
      <c r="G322" s="280"/>
      <c r="H322" s="280"/>
      <c r="I322" s="280"/>
      <c r="J322" s="280"/>
      <c r="K322" s="280"/>
      <c r="L322" s="280"/>
      <c r="M322" s="281"/>
      <c r="O322" s="283"/>
      <c r="P322" s="293"/>
      <c r="Q322" s="293"/>
      <c r="R322" s="293"/>
      <c r="S322" s="293"/>
      <c r="T322" s="293"/>
      <c r="U322" s="296"/>
      <c r="V322" s="293"/>
      <c r="W322" s="293"/>
      <c r="X322" s="293"/>
      <c r="Y322" s="293"/>
      <c r="Z322" s="294"/>
    </row>
    <row r="325" spans="1:26">
      <c r="A325" s="224" t="s">
        <v>500</v>
      </c>
      <c r="B325" s="290" t="s">
        <v>502</v>
      </c>
      <c r="C325" s="284"/>
      <c r="G325" s="290" t="s">
        <v>502</v>
      </c>
    </row>
    <row r="326" spans="1:26">
      <c r="B326" s="284" t="s">
        <v>503</v>
      </c>
      <c r="C326" s="284"/>
      <c r="G326" s="284" t="s">
        <v>501</v>
      </c>
      <c r="H326" s="284"/>
    </row>
    <row r="327" spans="1:26">
      <c r="B327" s="258" t="s">
        <v>474</v>
      </c>
      <c r="C327" s="286">
        <f ca="1">SUM(C353:L371)</f>
        <v>0</v>
      </c>
      <c r="G327" s="258" t="s">
        <v>474</v>
      </c>
      <c r="H327" s="286">
        <f ca="1">SUM(P353:Z371)</f>
        <v>0</v>
      </c>
    </row>
    <row r="329" spans="1:26">
      <c r="B329" s="258" t="s">
        <v>477</v>
      </c>
      <c r="C329" s="258"/>
    </row>
    <row r="330" spans="1:26">
      <c r="B330" s="254" t="s">
        <v>468</v>
      </c>
      <c r="C330" s="276">
        <v>-0.05</v>
      </c>
      <c r="D330" s="276">
        <v>-0.04</v>
      </c>
      <c r="E330" s="276">
        <v>-0.03</v>
      </c>
      <c r="F330" s="276">
        <v>-1.9999999999999997E-2</v>
      </c>
      <c r="G330" s="276">
        <v>-9.9999999999999967E-3</v>
      </c>
      <c r="H330" s="276">
        <v>0</v>
      </c>
      <c r="I330" s="276">
        <v>0.01</v>
      </c>
      <c r="J330" s="276">
        <v>0.02</v>
      </c>
      <c r="K330" s="276">
        <v>0.03</v>
      </c>
      <c r="L330" s="276">
        <v>0.04</v>
      </c>
      <c r="M330" s="277">
        <v>0.05</v>
      </c>
    </row>
    <row r="331" spans="1:26">
      <c r="B331" s="282" t="s">
        <v>35</v>
      </c>
      <c r="C331" s="278">
        <f ca="1">'USD Swap PVs'!AH52</f>
        <v>-195562.52171450306</v>
      </c>
      <c r="D331" s="278">
        <f ca="1">'USD Swap PVs'!AI52</f>
        <v>-156450.01737160247</v>
      </c>
      <c r="E331" s="278">
        <f ca="1">'USD Swap PVs'!AJ52</f>
        <v>-117337.51302870183</v>
      </c>
      <c r="F331" s="278">
        <f ca="1">'USD Swap PVs'!AK52</f>
        <v>-78225.008685801207</v>
      </c>
      <c r="G331" s="278">
        <f ca="1">'USD Swap PVs'!AL52</f>
        <v>-39112.504342900604</v>
      </c>
      <c r="H331" s="278">
        <f ca="1">'USD Swap PVs'!AM52</f>
        <v>0</v>
      </c>
      <c r="I331" s="278">
        <f ca="1">'USD Swap PVs'!AN52</f>
        <v>39112.504342900604</v>
      </c>
      <c r="J331" s="278">
        <f ca="1">'USD Swap PVs'!AO52</f>
        <v>78225.008685801222</v>
      </c>
      <c r="K331" s="278">
        <f ca="1">'USD Swap PVs'!AP52</f>
        <v>117337.51302870181</v>
      </c>
      <c r="L331" s="278">
        <f ca="1">'USD Swap PVs'!AQ52</f>
        <v>156450.01737160247</v>
      </c>
      <c r="M331" s="279">
        <f ca="1">'USD Swap PVs'!AR52</f>
        <v>195562.52171450306</v>
      </c>
    </row>
    <row r="332" spans="1:26">
      <c r="B332" s="282" t="s">
        <v>33</v>
      </c>
      <c r="C332" s="278">
        <f ca="1">'USD Swap PVs'!AH53</f>
        <v>-241983.52432274877</v>
      </c>
      <c r="D332" s="278">
        <f ca="1">'USD Swap PVs'!AI53</f>
        <v>-193586.819458199</v>
      </c>
      <c r="E332" s="278">
        <f ca="1">'USD Swap PVs'!AJ53</f>
        <v>-145190.11459364922</v>
      </c>
      <c r="F332" s="278">
        <f ca="1">'USD Swap PVs'!AK53</f>
        <v>-96793.409729099469</v>
      </c>
      <c r="G332" s="278">
        <f ca="1">'USD Swap PVs'!AL53</f>
        <v>-48396.704864549727</v>
      </c>
      <c r="H332" s="278">
        <f ca="1">'USD Swap PVs'!AM53</f>
        <v>0</v>
      </c>
      <c r="I332" s="278">
        <f ca="1">'USD Swap PVs'!AN53</f>
        <v>48396.704864549734</v>
      </c>
      <c r="J332" s="278">
        <f ca="1">'USD Swap PVs'!AO53</f>
        <v>96793.409729099512</v>
      </c>
      <c r="K332" s="278">
        <f ca="1">'USD Swap PVs'!AP53</f>
        <v>145190.11459364922</v>
      </c>
      <c r="L332" s="278">
        <f ca="1">'USD Swap PVs'!AQ53</f>
        <v>193586.819458199</v>
      </c>
      <c r="M332" s="279">
        <f ca="1">'USD Swap PVs'!AR53</f>
        <v>241983.52432274871</v>
      </c>
    </row>
    <row r="333" spans="1:26">
      <c r="B333" s="282" t="s">
        <v>131</v>
      </c>
      <c r="C333" s="278">
        <f ca="1">'USD Swap PVs'!AH54</f>
        <v>-287114.0853050882</v>
      </c>
      <c r="D333" s="278">
        <f ca="1">'USD Swap PVs'!AI54</f>
        <v>-229691.26824407055</v>
      </c>
      <c r="E333" s="278">
        <f ca="1">'USD Swap PVs'!AJ54</f>
        <v>-172268.45118305294</v>
      </c>
      <c r="F333" s="278">
        <f ca="1">'USD Swap PVs'!AK54</f>
        <v>-114845.63412203526</v>
      </c>
      <c r="G333" s="278">
        <f ca="1">'USD Swap PVs'!AL54</f>
        <v>-57422.817061017624</v>
      </c>
      <c r="H333" s="278">
        <f ca="1">'USD Swap PVs'!AM54</f>
        <v>0</v>
      </c>
      <c r="I333" s="278">
        <f ca="1">'USD Swap PVs'!AN54</f>
        <v>57422.817061017638</v>
      </c>
      <c r="J333" s="278">
        <f ca="1">'USD Swap PVs'!AO54</f>
        <v>114845.63412203529</v>
      </c>
      <c r="K333" s="278">
        <f ca="1">'USD Swap PVs'!AP54</f>
        <v>172268.45118305291</v>
      </c>
      <c r="L333" s="278">
        <f ca="1">'USD Swap PVs'!AQ54</f>
        <v>229691.26824407055</v>
      </c>
      <c r="M333" s="279">
        <f ca="1">'USD Swap PVs'!AR54</f>
        <v>287114.0853050882</v>
      </c>
    </row>
    <row r="334" spans="1:26">
      <c r="B334" s="282" t="s">
        <v>31</v>
      </c>
      <c r="C334" s="278">
        <f ca="1">'USD Swap PVs'!AH55</f>
        <v>-330911.35818384035</v>
      </c>
      <c r="D334" s="278">
        <f ca="1">'USD Swap PVs'!AI55</f>
        <v>-264729.08654707228</v>
      </c>
      <c r="E334" s="278">
        <f ca="1">'USD Swap PVs'!AJ55</f>
        <v>-198546.81491030421</v>
      </c>
      <c r="F334" s="278">
        <f ca="1">'USD Swap PVs'!AK55</f>
        <v>-132364.54327353611</v>
      </c>
      <c r="G334" s="278">
        <f ca="1">'USD Swap PVs'!AL55</f>
        <v>-66182.27163676804</v>
      </c>
      <c r="H334" s="278">
        <f ca="1">'USD Swap PVs'!AM55</f>
        <v>0</v>
      </c>
      <c r="I334" s="278">
        <f ca="1">'USD Swap PVs'!AN55</f>
        <v>66182.27163676807</v>
      </c>
      <c r="J334" s="278">
        <f ca="1">'USD Swap PVs'!AO55</f>
        <v>132364.54327353614</v>
      </c>
      <c r="K334" s="278">
        <f ca="1">'USD Swap PVs'!AP55</f>
        <v>198546.81491030418</v>
      </c>
      <c r="L334" s="278">
        <f ca="1">'USD Swap PVs'!AQ55</f>
        <v>264729.08654707234</v>
      </c>
      <c r="M334" s="279">
        <f ca="1">'USD Swap PVs'!AR55</f>
        <v>330911.35818384035</v>
      </c>
    </row>
    <row r="335" spans="1:26">
      <c r="B335" s="282" t="s">
        <v>119</v>
      </c>
      <c r="C335" s="278">
        <f ca="1">'USD Swap PVs'!AH56</f>
        <v>-373597.61650791444</v>
      </c>
      <c r="D335" s="278">
        <f ca="1">'USD Swap PVs'!AI56</f>
        <v>-298878.09320633154</v>
      </c>
      <c r="E335" s="278">
        <f ca="1">'USD Swap PVs'!AJ56</f>
        <v>-224158.56990474864</v>
      </c>
      <c r="F335" s="278">
        <f ca="1">'USD Swap PVs'!AK56</f>
        <v>-149439.04660316574</v>
      </c>
      <c r="G335" s="278">
        <f ca="1">'USD Swap PVs'!AL56</f>
        <v>-74719.523301582856</v>
      </c>
      <c r="H335" s="278">
        <f ca="1">'USD Swap PVs'!AM56</f>
        <v>0</v>
      </c>
      <c r="I335" s="278">
        <f ca="1">'USD Swap PVs'!AN56</f>
        <v>74719.523301582914</v>
      </c>
      <c r="J335" s="278">
        <f ca="1">'USD Swap PVs'!AO56</f>
        <v>149439.04660316577</v>
      </c>
      <c r="K335" s="278">
        <f ca="1">'USD Swap PVs'!AP56</f>
        <v>224158.56990474864</v>
      </c>
      <c r="L335" s="278">
        <f ca="1">'USD Swap PVs'!AQ56</f>
        <v>298878.09320633154</v>
      </c>
      <c r="M335" s="279">
        <f ca="1">'USD Swap PVs'!AR56</f>
        <v>373597.6165079145</v>
      </c>
    </row>
    <row r="336" spans="1:26">
      <c r="B336" s="282" t="s">
        <v>113</v>
      </c>
      <c r="C336" s="278">
        <f ca="1">'USD Swap PVs'!AH57</f>
        <v>-414495.955924846</v>
      </c>
      <c r="D336" s="278">
        <f ca="1">'USD Swap PVs'!AI57</f>
        <v>-331596.76473987679</v>
      </c>
      <c r="E336" s="278">
        <f ca="1">'USD Swap PVs'!AJ57</f>
        <v>-248697.57355490761</v>
      </c>
      <c r="F336" s="278">
        <f ca="1">'USD Swap PVs'!AK57</f>
        <v>-165798.38236993839</v>
      </c>
      <c r="G336" s="278">
        <f ca="1">'USD Swap PVs'!AL57</f>
        <v>-82899.191184969197</v>
      </c>
      <c r="H336" s="278">
        <f ca="1">'USD Swap PVs'!AM57</f>
        <v>0</v>
      </c>
      <c r="I336" s="278">
        <f ca="1">'USD Swap PVs'!AN57</f>
        <v>82899.191184969211</v>
      </c>
      <c r="J336" s="278">
        <f ca="1">'USD Swap PVs'!AO57</f>
        <v>165798.38236993839</v>
      </c>
      <c r="K336" s="278">
        <f ca="1">'USD Swap PVs'!AP57</f>
        <v>248697.57355490761</v>
      </c>
      <c r="L336" s="278">
        <f ca="1">'USD Swap PVs'!AQ57</f>
        <v>331596.76473987679</v>
      </c>
      <c r="M336" s="279">
        <f ca="1">'USD Swap PVs'!AR57</f>
        <v>414495.955924846</v>
      </c>
    </row>
    <row r="337" spans="2:26">
      <c r="B337" s="282" t="s">
        <v>28</v>
      </c>
      <c r="C337" s="278">
        <f ca="1">'USD Swap PVs'!AH58</f>
        <v>-454327.72847923241</v>
      </c>
      <c r="D337" s="278">
        <f ca="1">'USD Swap PVs'!AI58</f>
        <v>-363462.18278338586</v>
      </c>
      <c r="E337" s="278">
        <f ca="1">'USD Swap PVs'!AJ58</f>
        <v>-272596.63708753942</v>
      </c>
      <c r="F337" s="278">
        <f ca="1">'USD Swap PVs'!AK58</f>
        <v>-181731.0913916929</v>
      </c>
      <c r="G337" s="278">
        <f ca="1">'USD Swap PVs'!AL58</f>
        <v>-90865.545695846435</v>
      </c>
      <c r="H337" s="278">
        <f ca="1">'USD Swap PVs'!AM58</f>
        <v>2.7755575615628914E-11</v>
      </c>
      <c r="I337" s="278">
        <f ca="1">'USD Swap PVs'!AN58</f>
        <v>90865.545695846478</v>
      </c>
      <c r="J337" s="278">
        <f ca="1">'USD Swap PVs'!AO58</f>
        <v>181731.09139169301</v>
      </c>
      <c r="K337" s="278">
        <f ca="1">'USD Swap PVs'!AP58</f>
        <v>272596.63708753942</v>
      </c>
      <c r="L337" s="278">
        <f ca="1">'USD Swap PVs'!AQ58</f>
        <v>363462.18278338597</v>
      </c>
      <c r="M337" s="279">
        <f ca="1">'USD Swap PVs'!AR58</f>
        <v>454327.72847923235</v>
      </c>
    </row>
    <row r="338" spans="2:26">
      <c r="B338" s="282" t="s">
        <v>366</v>
      </c>
      <c r="C338" s="278">
        <f ca="1">'USD Swap PVs'!AH59</f>
        <v>-492896.57612352079</v>
      </c>
      <c r="D338" s="278">
        <f ca="1">'USD Swap PVs'!AI59</f>
        <v>-394317.26089881657</v>
      </c>
      <c r="E338" s="278">
        <f ca="1">'USD Swap PVs'!AJ59</f>
        <v>-295737.94567411242</v>
      </c>
      <c r="F338" s="278">
        <f ca="1">'USD Swap PVs'!AK59</f>
        <v>-197158.63044940826</v>
      </c>
      <c r="G338" s="278">
        <f ca="1">'USD Swap PVs'!AL59</f>
        <v>-98579.315224704114</v>
      </c>
      <c r="H338" s="278">
        <f ca="1">'USD Swap PVs'!AM59</f>
        <v>0</v>
      </c>
      <c r="I338" s="278">
        <f ca="1">'USD Swap PVs'!AN59</f>
        <v>98579.315224704143</v>
      </c>
      <c r="J338" s="278">
        <f ca="1">'USD Swap PVs'!AO59</f>
        <v>197158.63044940829</v>
      </c>
      <c r="K338" s="278">
        <f ca="1">'USD Swap PVs'!AP59</f>
        <v>295737.94567411236</v>
      </c>
      <c r="L338" s="278">
        <f ca="1">'USD Swap PVs'!AQ59</f>
        <v>394317.26089881657</v>
      </c>
      <c r="M338" s="279">
        <f ca="1">'USD Swap PVs'!AR59</f>
        <v>492896.57612352067</v>
      </c>
    </row>
    <row r="339" spans="2:26">
      <c r="B339" s="282" t="s">
        <v>26</v>
      </c>
      <c r="C339" s="278">
        <f ca="1">'USD Swap PVs'!AH60</f>
        <v>-530241.07095762773</v>
      </c>
      <c r="D339" s="278">
        <f ca="1">'USD Swap PVs'!AI60</f>
        <v>-424192.8567661022</v>
      </c>
      <c r="E339" s="278">
        <f ca="1">'USD Swap PVs'!AJ60</f>
        <v>-318144.64257457666</v>
      </c>
      <c r="F339" s="278">
        <f ca="1">'USD Swap PVs'!AK60</f>
        <v>-212096.42838305104</v>
      </c>
      <c r="G339" s="278">
        <f ca="1">'USD Swap PVs'!AL60</f>
        <v>-106048.21419152549</v>
      </c>
      <c r="H339" s="278">
        <f ca="1">'USD Swap PVs'!AM60</f>
        <v>0</v>
      </c>
      <c r="I339" s="278">
        <f ca="1">'USD Swap PVs'!AN60</f>
        <v>106048.21419152555</v>
      </c>
      <c r="J339" s="278">
        <f ca="1">'USD Swap PVs'!AO60</f>
        <v>212096.42838305104</v>
      </c>
      <c r="K339" s="278">
        <f ca="1">'USD Swap PVs'!AP60</f>
        <v>318144.6425745766</v>
      </c>
      <c r="L339" s="278">
        <f ca="1">'USD Swap PVs'!AQ60</f>
        <v>424192.85676610214</v>
      </c>
      <c r="M339" s="279">
        <f ca="1">'USD Swap PVs'!AR60</f>
        <v>530241.07095762773</v>
      </c>
    </row>
    <row r="340" spans="2:26">
      <c r="B340" s="282" t="s">
        <v>24</v>
      </c>
      <c r="C340" s="278">
        <f ca="1">'USD Swap PVs'!AH61</f>
        <v>-635336.21014256682</v>
      </c>
      <c r="D340" s="278">
        <f ca="1">'USD Swap PVs'!AI61</f>
        <v>-508268.96811405331</v>
      </c>
      <c r="E340" s="278">
        <f ca="1">'USD Swap PVs'!AJ61</f>
        <v>-381201.72608554002</v>
      </c>
      <c r="F340" s="278">
        <f ca="1">'USD Swap PVs'!AK61</f>
        <v>-254134.48405702665</v>
      </c>
      <c r="G340" s="278">
        <f ca="1">'USD Swap PVs'!AL61</f>
        <v>-127067.24202851333</v>
      </c>
      <c r="H340" s="278">
        <f ca="1">'USD Swap PVs'!AM61</f>
        <v>0</v>
      </c>
      <c r="I340" s="278">
        <f ca="1">'USD Swap PVs'!AN61</f>
        <v>127067.24202851327</v>
      </c>
      <c r="J340" s="278">
        <f ca="1">'USD Swap PVs'!AO61</f>
        <v>254134.4840570266</v>
      </c>
      <c r="K340" s="278">
        <f ca="1">'USD Swap PVs'!AP61</f>
        <v>381201.72608553985</v>
      </c>
      <c r="L340" s="278">
        <f ca="1">'USD Swap PVs'!AQ61</f>
        <v>508268.96811405331</v>
      </c>
      <c r="M340" s="279">
        <f ca="1">'USD Swap PVs'!AR61</f>
        <v>635336.21014256659</v>
      </c>
    </row>
    <row r="341" spans="2:26">
      <c r="B341" s="282" t="s">
        <v>20</v>
      </c>
      <c r="C341" s="278">
        <f ca="1">'USD Swap PVs'!AH62</f>
        <v>-789748.5521188787</v>
      </c>
      <c r="D341" s="278">
        <f ca="1">'USD Swap PVs'!AI62</f>
        <v>-631798.84169510298</v>
      </c>
      <c r="E341" s="278">
        <f ca="1">'USD Swap PVs'!AJ62</f>
        <v>-473849.13127132721</v>
      </c>
      <c r="F341" s="278">
        <f ca="1">'USD Swap PVs'!AK62</f>
        <v>-315899.42084755143</v>
      </c>
      <c r="G341" s="278">
        <f ca="1">'USD Swap PVs'!AL62</f>
        <v>-157949.71042377566</v>
      </c>
      <c r="H341" s="278">
        <f ca="1">'USD Swap PVs'!AM62</f>
        <v>0</v>
      </c>
      <c r="I341" s="278">
        <f ca="1">'USD Swap PVs'!AN62</f>
        <v>157949.71042377574</v>
      </c>
      <c r="J341" s="278">
        <f ca="1">'USD Swap PVs'!AO62</f>
        <v>315899.42084755143</v>
      </c>
      <c r="K341" s="278">
        <f ca="1">'USD Swap PVs'!AP62</f>
        <v>473849.13127132726</v>
      </c>
      <c r="L341" s="278">
        <f ca="1">'USD Swap PVs'!AQ62</f>
        <v>631798.84169510298</v>
      </c>
      <c r="M341" s="279">
        <f ca="1">'USD Swap PVs'!AR62</f>
        <v>789748.55211887893</v>
      </c>
    </row>
    <row r="342" spans="2:26">
      <c r="B342" s="282" t="s">
        <v>18</v>
      </c>
      <c r="C342" s="278">
        <f ca="1">'USD Swap PVs'!AH63</f>
        <v>-921873.98517284018</v>
      </c>
      <c r="D342" s="278">
        <f ca="1">'USD Swap PVs'!AI63</f>
        <v>-737499.18813827203</v>
      </c>
      <c r="E342" s="278">
        <f ca="1">'USD Swap PVs'!AJ63</f>
        <v>-553124.39110370399</v>
      </c>
      <c r="F342" s="278">
        <f ca="1">'USD Swap PVs'!AK63</f>
        <v>-368749.59406913602</v>
      </c>
      <c r="G342" s="278">
        <f ca="1">'USD Swap PVs'!AL63</f>
        <v>-184374.79703456801</v>
      </c>
      <c r="H342" s="278">
        <f ca="1">'USD Swap PVs'!AM63</f>
        <v>0</v>
      </c>
      <c r="I342" s="278">
        <f ca="1">'USD Swap PVs'!AN63</f>
        <v>184374.79703456795</v>
      </c>
      <c r="J342" s="278">
        <f ca="1">'USD Swap PVs'!AO63</f>
        <v>368749.59406913602</v>
      </c>
      <c r="K342" s="278">
        <f ca="1">'USD Swap PVs'!AP63</f>
        <v>553124.39110370399</v>
      </c>
      <c r="L342" s="278">
        <f ca="1">'USD Swap PVs'!AQ63</f>
        <v>737499.18813827215</v>
      </c>
      <c r="M342" s="279">
        <f ca="1">'USD Swap PVs'!AR63</f>
        <v>921873.98517284018</v>
      </c>
    </row>
    <row r="343" spans="2:26">
      <c r="B343" s="282" t="s">
        <v>17</v>
      </c>
      <c r="C343" s="278">
        <f ca="1">'USD Swap PVs'!AH64</f>
        <v>-1035401.1460912416</v>
      </c>
      <c r="D343" s="278">
        <f ca="1">'USD Swap PVs'!AI64</f>
        <v>-828320.91687299323</v>
      </c>
      <c r="E343" s="278">
        <f ca="1">'USD Swap PVs'!AJ64</f>
        <v>-621240.68765474495</v>
      </c>
      <c r="F343" s="278">
        <f ca="1">'USD Swap PVs'!AK64</f>
        <v>-414160.4584364965</v>
      </c>
      <c r="G343" s="278">
        <f ca="1">'USD Swap PVs'!AL64</f>
        <v>-207080.22921824819</v>
      </c>
      <c r="H343" s="278">
        <f ca="1">'USD Swap PVs'!AM64</f>
        <v>0</v>
      </c>
      <c r="I343" s="278">
        <f ca="1">'USD Swap PVs'!AN64</f>
        <v>207080.22921824842</v>
      </c>
      <c r="J343" s="278">
        <f ca="1">'USD Swap PVs'!AO64</f>
        <v>414160.45843649661</v>
      </c>
      <c r="K343" s="278">
        <f ca="1">'USD Swap PVs'!AP64</f>
        <v>621240.68765474495</v>
      </c>
      <c r="L343" s="278">
        <f ca="1">'USD Swap PVs'!AQ64</f>
        <v>828320.91687299323</v>
      </c>
      <c r="M343" s="279">
        <f ca="1">'USD Swap PVs'!AR64</f>
        <v>1035401.1460912417</v>
      </c>
    </row>
    <row r="344" spans="2:26">
      <c r="B344" s="282" t="s">
        <v>15</v>
      </c>
      <c r="C344" s="278">
        <f ca="1">'USD Swap PVs'!AH65</f>
        <v>-1217652.1488595277</v>
      </c>
      <c r="D344" s="278">
        <f ca="1">'USD Swap PVs'!AI65</f>
        <v>-974121.71908762201</v>
      </c>
      <c r="E344" s="278">
        <f ca="1">'USD Swap PVs'!AJ65</f>
        <v>-730591.28931571648</v>
      </c>
      <c r="F344" s="278">
        <f ca="1">'USD Swap PVs'!AK65</f>
        <v>-487060.85954381095</v>
      </c>
      <c r="G344" s="278">
        <f ca="1">'USD Swap PVs'!AL65</f>
        <v>-243530.42977190547</v>
      </c>
      <c r="H344" s="278">
        <f ca="1">'USD Swap PVs'!AM65</f>
        <v>0</v>
      </c>
      <c r="I344" s="278">
        <f ca="1">'USD Swap PVs'!AN65</f>
        <v>243530.42977190553</v>
      </c>
      <c r="J344" s="278">
        <f ca="1">'USD Swap PVs'!AO65</f>
        <v>487060.85954381106</v>
      </c>
      <c r="K344" s="278">
        <f ca="1">'USD Swap PVs'!AP65</f>
        <v>730591.28931571648</v>
      </c>
      <c r="L344" s="278">
        <f ca="1">'USD Swap PVs'!AQ65</f>
        <v>974121.71908762213</v>
      </c>
      <c r="M344" s="279">
        <f ca="1">'USD Swap PVs'!AR65</f>
        <v>1217652.1488595277</v>
      </c>
    </row>
    <row r="345" spans="2:26">
      <c r="B345" s="282" t="s">
        <v>14</v>
      </c>
      <c r="C345" s="278">
        <f ca="1">'USD Swap PVs'!AH66</f>
        <v>-1356303.3835327972</v>
      </c>
      <c r="D345" s="278">
        <f ca="1">'USD Swap PVs'!AI66</f>
        <v>-1085042.7068262377</v>
      </c>
      <c r="E345" s="278">
        <f ca="1">'USD Swap PVs'!AJ66</f>
        <v>-813782.03011967835</v>
      </c>
      <c r="F345" s="278">
        <f ca="1">'USD Swap PVs'!AK66</f>
        <v>-542521.35341311875</v>
      </c>
      <c r="G345" s="278">
        <f ca="1">'USD Swap PVs'!AL66</f>
        <v>-271260.67670655937</v>
      </c>
      <c r="H345" s="278">
        <f ca="1">'USD Swap PVs'!AM66</f>
        <v>0</v>
      </c>
      <c r="I345" s="278">
        <f ca="1">'USD Swap PVs'!AN66</f>
        <v>271260.67670655937</v>
      </c>
      <c r="J345" s="278">
        <f ca="1">'USD Swap PVs'!AO66</f>
        <v>542521.35341311886</v>
      </c>
      <c r="K345" s="278">
        <f ca="1">'USD Swap PVs'!AP66</f>
        <v>813782.03011967824</v>
      </c>
      <c r="L345" s="278">
        <f ca="1">'USD Swap PVs'!AQ66</f>
        <v>1085042.706826238</v>
      </c>
      <c r="M345" s="279">
        <f ca="1">'USD Swap PVs'!AR66</f>
        <v>1356303.3835327975</v>
      </c>
    </row>
    <row r="346" spans="2:26">
      <c r="B346" s="282"/>
      <c r="C346" s="278"/>
      <c r="D346" s="278"/>
      <c r="E346" s="278"/>
      <c r="F346" s="278"/>
      <c r="G346" s="278"/>
      <c r="H346" s="278"/>
      <c r="I346" s="278"/>
      <c r="J346" s="278"/>
      <c r="K346" s="278"/>
      <c r="L346" s="278"/>
      <c r="M346" s="279"/>
    </row>
    <row r="347" spans="2:26">
      <c r="B347" s="282"/>
      <c r="C347" s="278"/>
      <c r="D347" s="278"/>
      <c r="E347" s="278"/>
      <c r="F347" s="278"/>
      <c r="G347" s="278"/>
      <c r="H347" s="278"/>
      <c r="I347" s="278"/>
      <c r="J347" s="278"/>
      <c r="K347" s="278"/>
      <c r="L347" s="278"/>
      <c r="M347" s="279"/>
    </row>
    <row r="348" spans="2:26">
      <c r="B348" s="282"/>
      <c r="C348" s="278"/>
      <c r="D348" s="278"/>
      <c r="E348" s="278"/>
      <c r="F348" s="278"/>
      <c r="G348" s="278"/>
      <c r="H348" s="278"/>
      <c r="I348" s="278"/>
      <c r="J348" s="278"/>
      <c r="K348" s="278"/>
      <c r="L348" s="278"/>
      <c r="M348" s="279"/>
    </row>
    <row r="349" spans="2:26">
      <c r="B349" s="283"/>
      <c r="C349" s="280"/>
      <c r="D349" s="280"/>
      <c r="E349" s="280"/>
      <c r="F349" s="280"/>
      <c r="G349" s="280"/>
      <c r="H349" s="280"/>
      <c r="I349" s="280"/>
      <c r="J349" s="280"/>
      <c r="K349" s="280"/>
      <c r="L349" s="280"/>
      <c r="M349" s="281"/>
    </row>
    <row r="351" spans="2:26">
      <c r="B351" s="258" t="s">
        <v>472</v>
      </c>
      <c r="O351" s="258" t="s">
        <v>472</v>
      </c>
    </row>
    <row r="352" spans="2:26">
      <c r="B352" s="254" t="s">
        <v>468</v>
      </c>
      <c r="C352" s="276">
        <v>-0.05</v>
      </c>
      <c r="D352" s="276">
        <v>-0.04</v>
      </c>
      <c r="E352" s="276">
        <v>-0.03</v>
      </c>
      <c r="F352" s="276">
        <v>-1.9999999999999997E-2</v>
      </c>
      <c r="G352" s="276">
        <v>-9.9999999999999967E-3</v>
      </c>
      <c r="H352" s="276">
        <v>0</v>
      </c>
      <c r="I352" s="276">
        <v>0.01</v>
      </c>
      <c r="J352" s="276">
        <v>0.02</v>
      </c>
      <c r="K352" s="276">
        <v>0.03</v>
      </c>
      <c r="L352" s="276">
        <v>0.04</v>
      </c>
      <c r="M352" s="277">
        <v>0.05</v>
      </c>
      <c r="O352" s="254" t="s">
        <v>468</v>
      </c>
      <c r="P352" s="276">
        <v>-0.05</v>
      </c>
      <c r="Q352" s="276">
        <v>-0.04</v>
      </c>
      <c r="R352" s="276">
        <v>-0.03</v>
      </c>
      <c r="S352" s="276">
        <v>-1.9999999999999997E-2</v>
      </c>
      <c r="T352" s="276">
        <v>-9.9999999999999967E-3</v>
      </c>
      <c r="U352" s="276">
        <v>0</v>
      </c>
      <c r="V352" s="276">
        <v>0.01</v>
      </c>
      <c r="W352" s="276">
        <v>0.02</v>
      </c>
      <c r="X352" s="276">
        <v>0.03</v>
      </c>
      <c r="Y352" s="276">
        <v>0.04</v>
      </c>
      <c r="Z352" s="277">
        <v>0.05</v>
      </c>
    </row>
    <row r="353" spans="2:26">
      <c r="B353" s="282" t="s">
        <v>35</v>
      </c>
      <c r="C353" s="278">
        <f ca="1">IF(C331&lt;D331,0,1)</f>
        <v>0</v>
      </c>
      <c r="D353" s="278">
        <f t="shared" ref="D353:L353" ca="1" si="31">IF(D331&lt;E331,0,1)</f>
        <v>0</v>
      </c>
      <c r="E353" s="278">
        <f t="shared" ca="1" si="31"/>
        <v>0</v>
      </c>
      <c r="F353" s="278">
        <f t="shared" ca="1" si="31"/>
        <v>0</v>
      </c>
      <c r="G353" s="278">
        <f t="shared" ca="1" si="31"/>
        <v>0</v>
      </c>
      <c r="H353" s="278">
        <f t="shared" ca="1" si="31"/>
        <v>0</v>
      </c>
      <c r="I353" s="278">
        <f t="shared" ca="1" si="31"/>
        <v>0</v>
      </c>
      <c r="J353" s="278">
        <f t="shared" ca="1" si="31"/>
        <v>0</v>
      </c>
      <c r="K353" s="278">
        <f t="shared" ca="1" si="31"/>
        <v>0</v>
      </c>
      <c r="L353" s="278">
        <f t="shared" ca="1" si="31"/>
        <v>0</v>
      </c>
      <c r="M353" s="285" t="s">
        <v>6</v>
      </c>
      <c r="O353" s="282" t="s">
        <v>35</v>
      </c>
      <c r="P353" s="289">
        <f ca="1">IF(ABS(C332)&gt;ABS(C331),0,1)</f>
        <v>0</v>
      </c>
      <c r="Q353" s="289">
        <f t="shared" ref="Q353:T368" ca="1" si="32">IF(ABS(D332)&gt;ABS(D331),0,1)</f>
        <v>0</v>
      </c>
      <c r="R353" s="289">
        <f t="shared" ca="1" si="32"/>
        <v>0</v>
      </c>
      <c r="S353" s="289">
        <f t="shared" ca="1" si="32"/>
        <v>0</v>
      </c>
      <c r="T353" s="289">
        <f t="shared" ca="1" si="32"/>
        <v>0</v>
      </c>
      <c r="U353" s="295" t="s">
        <v>6</v>
      </c>
      <c r="V353" s="289">
        <f t="shared" ref="V353:Z368" ca="1" si="33">IF(ABS(I332)&gt;ABS(I331),0,1)</f>
        <v>0</v>
      </c>
      <c r="W353" s="289">
        <f t="shared" ca="1" si="33"/>
        <v>0</v>
      </c>
      <c r="X353" s="289">
        <f t="shared" ca="1" si="33"/>
        <v>0</v>
      </c>
      <c r="Y353" s="289">
        <f t="shared" ca="1" si="33"/>
        <v>0</v>
      </c>
      <c r="Z353" s="291">
        <f t="shared" ca="1" si="33"/>
        <v>0</v>
      </c>
    </row>
    <row r="354" spans="2:26">
      <c r="B354" s="282" t="s">
        <v>33</v>
      </c>
      <c r="C354" s="278">
        <f t="shared" ref="C354:L369" ca="1" si="34">IF(C332&lt;D332,0,1)</f>
        <v>0</v>
      </c>
      <c r="D354" s="278">
        <f t="shared" ca="1" si="34"/>
        <v>0</v>
      </c>
      <c r="E354" s="278">
        <f t="shared" ca="1" si="34"/>
        <v>0</v>
      </c>
      <c r="F354" s="278">
        <f t="shared" ca="1" si="34"/>
        <v>0</v>
      </c>
      <c r="G354" s="278">
        <f t="shared" ca="1" si="34"/>
        <v>0</v>
      </c>
      <c r="H354" s="278">
        <f t="shared" ca="1" si="34"/>
        <v>0</v>
      </c>
      <c r="I354" s="278">
        <f t="shared" ca="1" si="34"/>
        <v>0</v>
      </c>
      <c r="J354" s="278">
        <f t="shared" ca="1" si="34"/>
        <v>0</v>
      </c>
      <c r="K354" s="278">
        <f t="shared" ca="1" si="34"/>
        <v>0</v>
      </c>
      <c r="L354" s="278">
        <f t="shared" ca="1" si="34"/>
        <v>0</v>
      </c>
      <c r="M354" s="279" t="s">
        <v>6</v>
      </c>
      <c r="O354" s="282" t="s">
        <v>33</v>
      </c>
      <c r="P354" s="289">
        <f t="shared" ref="P354:T369" ca="1" si="35">IF(ABS(C333)&gt;ABS(C332),0,1)</f>
        <v>0</v>
      </c>
      <c r="Q354" s="289">
        <f t="shared" ca="1" si="32"/>
        <v>0</v>
      </c>
      <c r="R354" s="289">
        <f t="shared" ca="1" si="32"/>
        <v>0</v>
      </c>
      <c r="S354" s="289">
        <f t="shared" ca="1" si="32"/>
        <v>0</v>
      </c>
      <c r="T354" s="289">
        <f t="shared" ca="1" si="32"/>
        <v>0</v>
      </c>
      <c r="U354" s="295" t="s">
        <v>6</v>
      </c>
      <c r="V354" s="289">
        <f t="shared" ca="1" si="33"/>
        <v>0</v>
      </c>
      <c r="W354" s="289">
        <f t="shared" ca="1" si="33"/>
        <v>0</v>
      </c>
      <c r="X354" s="289">
        <f t="shared" ca="1" si="33"/>
        <v>0</v>
      </c>
      <c r="Y354" s="289">
        <f t="shared" ca="1" si="33"/>
        <v>0</v>
      </c>
      <c r="Z354" s="292">
        <f t="shared" ca="1" si="33"/>
        <v>0</v>
      </c>
    </row>
    <row r="355" spans="2:26">
      <c r="B355" s="282" t="s">
        <v>131</v>
      </c>
      <c r="C355" s="278">
        <f t="shared" ca="1" si="34"/>
        <v>0</v>
      </c>
      <c r="D355" s="278">
        <f t="shared" ca="1" si="34"/>
        <v>0</v>
      </c>
      <c r="E355" s="278">
        <f t="shared" ca="1" si="34"/>
        <v>0</v>
      </c>
      <c r="F355" s="278">
        <f t="shared" ca="1" si="34"/>
        <v>0</v>
      </c>
      <c r="G355" s="278">
        <f t="shared" ca="1" si="34"/>
        <v>0</v>
      </c>
      <c r="H355" s="278">
        <f t="shared" ca="1" si="34"/>
        <v>0</v>
      </c>
      <c r="I355" s="278">
        <f t="shared" ca="1" si="34"/>
        <v>0</v>
      </c>
      <c r="J355" s="278">
        <f t="shared" ca="1" si="34"/>
        <v>0</v>
      </c>
      <c r="K355" s="278">
        <f t="shared" ca="1" si="34"/>
        <v>0</v>
      </c>
      <c r="L355" s="278">
        <f t="shared" ca="1" si="34"/>
        <v>0</v>
      </c>
      <c r="M355" s="279" t="s">
        <v>6</v>
      </c>
      <c r="O355" s="282" t="s">
        <v>131</v>
      </c>
      <c r="P355" s="289">
        <f t="shared" ca="1" si="35"/>
        <v>0</v>
      </c>
      <c r="Q355" s="289">
        <f t="shared" ca="1" si="32"/>
        <v>0</v>
      </c>
      <c r="R355" s="289">
        <f t="shared" ca="1" si="32"/>
        <v>0</v>
      </c>
      <c r="S355" s="289">
        <f t="shared" ca="1" si="32"/>
        <v>0</v>
      </c>
      <c r="T355" s="289">
        <f t="shared" ca="1" si="32"/>
        <v>0</v>
      </c>
      <c r="U355" s="295" t="s">
        <v>6</v>
      </c>
      <c r="V355" s="289">
        <f t="shared" ca="1" si="33"/>
        <v>0</v>
      </c>
      <c r="W355" s="289">
        <f t="shared" ca="1" si="33"/>
        <v>0</v>
      </c>
      <c r="X355" s="289">
        <f t="shared" ca="1" si="33"/>
        <v>0</v>
      </c>
      <c r="Y355" s="289">
        <f t="shared" ca="1" si="33"/>
        <v>0</v>
      </c>
      <c r="Z355" s="292">
        <f t="shared" ca="1" si="33"/>
        <v>0</v>
      </c>
    </row>
    <row r="356" spans="2:26">
      <c r="B356" s="282" t="s">
        <v>31</v>
      </c>
      <c r="C356" s="278">
        <f t="shared" ca="1" si="34"/>
        <v>0</v>
      </c>
      <c r="D356" s="278">
        <f t="shared" ca="1" si="34"/>
        <v>0</v>
      </c>
      <c r="E356" s="278">
        <f t="shared" ca="1" si="34"/>
        <v>0</v>
      </c>
      <c r="F356" s="278">
        <f t="shared" ca="1" si="34"/>
        <v>0</v>
      </c>
      <c r="G356" s="278">
        <f t="shared" ca="1" si="34"/>
        <v>0</v>
      </c>
      <c r="H356" s="278">
        <f t="shared" ca="1" si="34"/>
        <v>0</v>
      </c>
      <c r="I356" s="278">
        <f t="shared" ca="1" si="34"/>
        <v>0</v>
      </c>
      <c r="J356" s="278">
        <f t="shared" ca="1" si="34"/>
        <v>0</v>
      </c>
      <c r="K356" s="278">
        <f t="shared" ca="1" si="34"/>
        <v>0</v>
      </c>
      <c r="L356" s="278">
        <f t="shared" ca="1" si="34"/>
        <v>0</v>
      </c>
      <c r="M356" s="279" t="s">
        <v>6</v>
      </c>
      <c r="O356" s="282" t="s">
        <v>31</v>
      </c>
      <c r="P356" s="289">
        <f t="shared" ca="1" si="35"/>
        <v>0</v>
      </c>
      <c r="Q356" s="289">
        <f t="shared" ca="1" si="32"/>
        <v>0</v>
      </c>
      <c r="R356" s="289">
        <f t="shared" ca="1" si="32"/>
        <v>0</v>
      </c>
      <c r="S356" s="289">
        <f t="shared" ca="1" si="32"/>
        <v>0</v>
      </c>
      <c r="T356" s="289">
        <f t="shared" ca="1" si="32"/>
        <v>0</v>
      </c>
      <c r="U356" s="295" t="s">
        <v>6</v>
      </c>
      <c r="V356" s="289">
        <f t="shared" ca="1" si="33"/>
        <v>0</v>
      </c>
      <c r="W356" s="289">
        <f t="shared" ca="1" si="33"/>
        <v>0</v>
      </c>
      <c r="X356" s="289">
        <f t="shared" ca="1" si="33"/>
        <v>0</v>
      </c>
      <c r="Y356" s="289">
        <f t="shared" ca="1" si="33"/>
        <v>0</v>
      </c>
      <c r="Z356" s="292">
        <f t="shared" ca="1" si="33"/>
        <v>0</v>
      </c>
    </row>
    <row r="357" spans="2:26">
      <c r="B357" s="282" t="s">
        <v>119</v>
      </c>
      <c r="C357" s="278">
        <f t="shared" ca="1" si="34"/>
        <v>0</v>
      </c>
      <c r="D357" s="278">
        <f t="shared" ca="1" si="34"/>
        <v>0</v>
      </c>
      <c r="E357" s="278">
        <f t="shared" ca="1" si="34"/>
        <v>0</v>
      </c>
      <c r="F357" s="278">
        <f t="shared" ca="1" si="34"/>
        <v>0</v>
      </c>
      <c r="G357" s="278">
        <f t="shared" ca="1" si="34"/>
        <v>0</v>
      </c>
      <c r="H357" s="278">
        <f t="shared" ca="1" si="34"/>
        <v>0</v>
      </c>
      <c r="I357" s="278">
        <f t="shared" ca="1" si="34"/>
        <v>0</v>
      </c>
      <c r="J357" s="278">
        <f t="shared" ca="1" si="34"/>
        <v>0</v>
      </c>
      <c r="K357" s="278">
        <f t="shared" ca="1" si="34"/>
        <v>0</v>
      </c>
      <c r="L357" s="278">
        <f t="shared" ca="1" si="34"/>
        <v>0</v>
      </c>
      <c r="M357" s="279" t="s">
        <v>6</v>
      </c>
      <c r="O357" s="282" t="s">
        <v>119</v>
      </c>
      <c r="P357" s="289">
        <f t="shared" ca="1" si="35"/>
        <v>0</v>
      </c>
      <c r="Q357" s="289">
        <f t="shared" ca="1" si="32"/>
        <v>0</v>
      </c>
      <c r="R357" s="289">
        <f t="shared" ca="1" si="32"/>
        <v>0</v>
      </c>
      <c r="S357" s="289">
        <f t="shared" ca="1" si="32"/>
        <v>0</v>
      </c>
      <c r="T357" s="289">
        <f t="shared" ca="1" si="32"/>
        <v>0</v>
      </c>
      <c r="U357" s="295" t="s">
        <v>6</v>
      </c>
      <c r="V357" s="289">
        <f t="shared" ca="1" si="33"/>
        <v>0</v>
      </c>
      <c r="W357" s="289">
        <f t="shared" ca="1" si="33"/>
        <v>0</v>
      </c>
      <c r="X357" s="289">
        <f t="shared" ca="1" si="33"/>
        <v>0</v>
      </c>
      <c r="Y357" s="289">
        <f t="shared" ca="1" si="33"/>
        <v>0</v>
      </c>
      <c r="Z357" s="292">
        <f t="shared" ca="1" si="33"/>
        <v>0</v>
      </c>
    </row>
    <row r="358" spans="2:26">
      <c r="B358" s="282" t="s">
        <v>113</v>
      </c>
      <c r="C358" s="278">
        <f t="shared" ca="1" si="34"/>
        <v>0</v>
      </c>
      <c r="D358" s="278">
        <f t="shared" ca="1" si="34"/>
        <v>0</v>
      </c>
      <c r="E358" s="278">
        <f t="shared" ca="1" si="34"/>
        <v>0</v>
      </c>
      <c r="F358" s="278">
        <f t="shared" ca="1" si="34"/>
        <v>0</v>
      </c>
      <c r="G358" s="278">
        <f t="shared" ca="1" si="34"/>
        <v>0</v>
      </c>
      <c r="H358" s="278">
        <f t="shared" ca="1" si="34"/>
        <v>0</v>
      </c>
      <c r="I358" s="278">
        <f t="shared" ca="1" si="34"/>
        <v>0</v>
      </c>
      <c r="J358" s="278">
        <f t="shared" ca="1" si="34"/>
        <v>0</v>
      </c>
      <c r="K358" s="278">
        <f t="shared" ca="1" si="34"/>
        <v>0</v>
      </c>
      <c r="L358" s="278">
        <f t="shared" ca="1" si="34"/>
        <v>0</v>
      </c>
      <c r="M358" s="279" t="s">
        <v>6</v>
      </c>
      <c r="O358" s="282" t="s">
        <v>113</v>
      </c>
      <c r="P358" s="289">
        <f t="shared" ca="1" si="35"/>
        <v>0</v>
      </c>
      <c r="Q358" s="289">
        <f t="shared" ca="1" si="32"/>
        <v>0</v>
      </c>
      <c r="R358" s="289">
        <f t="shared" ca="1" si="32"/>
        <v>0</v>
      </c>
      <c r="S358" s="289">
        <f t="shared" ca="1" si="32"/>
        <v>0</v>
      </c>
      <c r="T358" s="289">
        <f t="shared" ca="1" si="32"/>
        <v>0</v>
      </c>
      <c r="U358" s="295" t="s">
        <v>6</v>
      </c>
      <c r="V358" s="289">
        <f t="shared" ca="1" si="33"/>
        <v>0</v>
      </c>
      <c r="W358" s="289">
        <f t="shared" ca="1" si="33"/>
        <v>0</v>
      </c>
      <c r="X358" s="289">
        <f t="shared" ca="1" si="33"/>
        <v>0</v>
      </c>
      <c r="Y358" s="289">
        <f t="shared" ca="1" si="33"/>
        <v>0</v>
      </c>
      <c r="Z358" s="292">
        <f t="shared" ca="1" si="33"/>
        <v>0</v>
      </c>
    </row>
    <row r="359" spans="2:26">
      <c r="B359" s="282" t="s">
        <v>28</v>
      </c>
      <c r="C359" s="278">
        <f t="shared" ca="1" si="34"/>
        <v>0</v>
      </c>
      <c r="D359" s="278">
        <f t="shared" ca="1" si="34"/>
        <v>0</v>
      </c>
      <c r="E359" s="278">
        <f t="shared" ca="1" si="34"/>
        <v>0</v>
      </c>
      <c r="F359" s="278">
        <f t="shared" ca="1" si="34"/>
        <v>0</v>
      </c>
      <c r="G359" s="278">
        <f t="shared" ca="1" si="34"/>
        <v>0</v>
      </c>
      <c r="H359" s="278">
        <f t="shared" ca="1" si="34"/>
        <v>0</v>
      </c>
      <c r="I359" s="278">
        <f t="shared" ca="1" si="34"/>
        <v>0</v>
      </c>
      <c r="J359" s="278">
        <f t="shared" ca="1" si="34"/>
        <v>0</v>
      </c>
      <c r="K359" s="278">
        <f t="shared" ca="1" si="34"/>
        <v>0</v>
      </c>
      <c r="L359" s="278">
        <f t="shared" ca="1" si="34"/>
        <v>0</v>
      </c>
      <c r="M359" s="279" t="s">
        <v>6</v>
      </c>
      <c r="O359" s="282" t="s">
        <v>28</v>
      </c>
      <c r="P359" s="289">
        <f t="shared" ca="1" si="35"/>
        <v>0</v>
      </c>
      <c r="Q359" s="289">
        <f t="shared" ca="1" si="32"/>
        <v>0</v>
      </c>
      <c r="R359" s="289">
        <f t="shared" ca="1" si="32"/>
        <v>0</v>
      </c>
      <c r="S359" s="289">
        <f t="shared" ca="1" si="32"/>
        <v>0</v>
      </c>
      <c r="T359" s="289">
        <f t="shared" ca="1" si="32"/>
        <v>0</v>
      </c>
      <c r="U359" s="295" t="s">
        <v>6</v>
      </c>
      <c r="V359" s="289">
        <f t="shared" ca="1" si="33"/>
        <v>0</v>
      </c>
      <c r="W359" s="289">
        <f t="shared" ca="1" si="33"/>
        <v>0</v>
      </c>
      <c r="X359" s="289">
        <f t="shared" ca="1" si="33"/>
        <v>0</v>
      </c>
      <c r="Y359" s="289">
        <f t="shared" ca="1" si="33"/>
        <v>0</v>
      </c>
      <c r="Z359" s="292">
        <f t="shared" ca="1" si="33"/>
        <v>0</v>
      </c>
    </row>
    <row r="360" spans="2:26">
      <c r="B360" s="282" t="s">
        <v>366</v>
      </c>
      <c r="C360" s="278">
        <f t="shared" ca="1" si="34"/>
        <v>0</v>
      </c>
      <c r="D360" s="278">
        <f t="shared" ca="1" si="34"/>
        <v>0</v>
      </c>
      <c r="E360" s="278">
        <f t="shared" ca="1" si="34"/>
        <v>0</v>
      </c>
      <c r="F360" s="278">
        <f t="shared" ca="1" si="34"/>
        <v>0</v>
      </c>
      <c r="G360" s="278">
        <f t="shared" ca="1" si="34"/>
        <v>0</v>
      </c>
      <c r="H360" s="278">
        <f t="shared" ca="1" si="34"/>
        <v>0</v>
      </c>
      <c r="I360" s="278">
        <f t="shared" ca="1" si="34"/>
        <v>0</v>
      </c>
      <c r="J360" s="278">
        <f t="shared" ca="1" si="34"/>
        <v>0</v>
      </c>
      <c r="K360" s="278">
        <f t="shared" ca="1" si="34"/>
        <v>0</v>
      </c>
      <c r="L360" s="278">
        <f t="shared" ca="1" si="34"/>
        <v>0</v>
      </c>
      <c r="M360" s="279" t="s">
        <v>6</v>
      </c>
      <c r="O360" s="282" t="s">
        <v>366</v>
      </c>
      <c r="P360" s="289">
        <f t="shared" ca="1" si="35"/>
        <v>0</v>
      </c>
      <c r="Q360" s="289">
        <f t="shared" ca="1" si="32"/>
        <v>0</v>
      </c>
      <c r="R360" s="289">
        <f t="shared" ca="1" si="32"/>
        <v>0</v>
      </c>
      <c r="S360" s="289">
        <f t="shared" ca="1" si="32"/>
        <v>0</v>
      </c>
      <c r="T360" s="289">
        <f t="shared" ca="1" si="32"/>
        <v>0</v>
      </c>
      <c r="U360" s="295" t="s">
        <v>6</v>
      </c>
      <c r="V360" s="289">
        <f t="shared" ca="1" si="33"/>
        <v>0</v>
      </c>
      <c r="W360" s="289">
        <f t="shared" ca="1" si="33"/>
        <v>0</v>
      </c>
      <c r="X360" s="289">
        <f t="shared" ca="1" si="33"/>
        <v>0</v>
      </c>
      <c r="Y360" s="289">
        <f t="shared" ca="1" si="33"/>
        <v>0</v>
      </c>
      <c r="Z360" s="292">
        <f t="shared" ca="1" si="33"/>
        <v>0</v>
      </c>
    </row>
    <row r="361" spans="2:26">
      <c r="B361" s="282" t="s">
        <v>26</v>
      </c>
      <c r="C361" s="278">
        <f t="shared" ca="1" si="34"/>
        <v>0</v>
      </c>
      <c r="D361" s="278">
        <f t="shared" ca="1" si="34"/>
        <v>0</v>
      </c>
      <c r="E361" s="278">
        <f t="shared" ca="1" si="34"/>
        <v>0</v>
      </c>
      <c r="F361" s="278">
        <f t="shared" ca="1" si="34"/>
        <v>0</v>
      </c>
      <c r="G361" s="278">
        <f t="shared" ca="1" si="34"/>
        <v>0</v>
      </c>
      <c r="H361" s="278">
        <f t="shared" ca="1" si="34"/>
        <v>0</v>
      </c>
      <c r="I361" s="278">
        <f t="shared" ca="1" si="34"/>
        <v>0</v>
      </c>
      <c r="J361" s="278">
        <f t="shared" ca="1" si="34"/>
        <v>0</v>
      </c>
      <c r="K361" s="278">
        <f t="shared" ca="1" si="34"/>
        <v>0</v>
      </c>
      <c r="L361" s="278">
        <f t="shared" ca="1" si="34"/>
        <v>0</v>
      </c>
      <c r="M361" s="279" t="s">
        <v>6</v>
      </c>
      <c r="O361" s="282" t="s">
        <v>26</v>
      </c>
      <c r="P361" s="289">
        <f t="shared" ca="1" si="35"/>
        <v>0</v>
      </c>
      <c r="Q361" s="289">
        <f t="shared" ca="1" si="32"/>
        <v>0</v>
      </c>
      <c r="R361" s="289">
        <f t="shared" ca="1" si="32"/>
        <v>0</v>
      </c>
      <c r="S361" s="289">
        <f t="shared" ca="1" si="32"/>
        <v>0</v>
      </c>
      <c r="T361" s="289">
        <f t="shared" ca="1" si="32"/>
        <v>0</v>
      </c>
      <c r="U361" s="295" t="s">
        <v>6</v>
      </c>
      <c r="V361" s="289">
        <f t="shared" ca="1" si="33"/>
        <v>0</v>
      </c>
      <c r="W361" s="289">
        <f t="shared" ca="1" si="33"/>
        <v>0</v>
      </c>
      <c r="X361" s="289">
        <f t="shared" ca="1" si="33"/>
        <v>0</v>
      </c>
      <c r="Y361" s="289">
        <f t="shared" ca="1" si="33"/>
        <v>0</v>
      </c>
      <c r="Z361" s="292">
        <f t="shared" ca="1" si="33"/>
        <v>0</v>
      </c>
    </row>
    <row r="362" spans="2:26">
      <c r="B362" s="282" t="s">
        <v>24</v>
      </c>
      <c r="C362" s="278">
        <f t="shared" ca="1" si="34"/>
        <v>0</v>
      </c>
      <c r="D362" s="278">
        <f t="shared" ca="1" si="34"/>
        <v>0</v>
      </c>
      <c r="E362" s="278">
        <f t="shared" ca="1" si="34"/>
        <v>0</v>
      </c>
      <c r="F362" s="278">
        <f t="shared" ca="1" si="34"/>
        <v>0</v>
      </c>
      <c r="G362" s="278">
        <f t="shared" ca="1" si="34"/>
        <v>0</v>
      </c>
      <c r="H362" s="278">
        <f t="shared" ca="1" si="34"/>
        <v>0</v>
      </c>
      <c r="I362" s="278">
        <f t="shared" ca="1" si="34"/>
        <v>0</v>
      </c>
      <c r="J362" s="278">
        <f t="shared" ca="1" si="34"/>
        <v>0</v>
      </c>
      <c r="K362" s="278">
        <f t="shared" ca="1" si="34"/>
        <v>0</v>
      </c>
      <c r="L362" s="278">
        <f t="shared" ca="1" si="34"/>
        <v>0</v>
      </c>
      <c r="M362" s="279" t="s">
        <v>6</v>
      </c>
      <c r="O362" s="282" t="s">
        <v>24</v>
      </c>
      <c r="P362" s="289">
        <f t="shared" ca="1" si="35"/>
        <v>0</v>
      </c>
      <c r="Q362" s="289">
        <f t="shared" ca="1" si="32"/>
        <v>0</v>
      </c>
      <c r="R362" s="289">
        <f t="shared" ca="1" si="32"/>
        <v>0</v>
      </c>
      <c r="S362" s="289">
        <f t="shared" ca="1" si="32"/>
        <v>0</v>
      </c>
      <c r="T362" s="289">
        <f t="shared" ca="1" si="32"/>
        <v>0</v>
      </c>
      <c r="U362" s="295" t="s">
        <v>6</v>
      </c>
      <c r="V362" s="289">
        <f t="shared" ca="1" si="33"/>
        <v>0</v>
      </c>
      <c r="W362" s="289">
        <f t="shared" ca="1" si="33"/>
        <v>0</v>
      </c>
      <c r="X362" s="289">
        <f t="shared" ca="1" si="33"/>
        <v>0</v>
      </c>
      <c r="Y362" s="289">
        <f t="shared" ca="1" si="33"/>
        <v>0</v>
      </c>
      <c r="Z362" s="292">
        <f t="shared" ca="1" si="33"/>
        <v>0</v>
      </c>
    </row>
    <row r="363" spans="2:26">
      <c r="B363" s="282" t="s">
        <v>20</v>
      </c>
      <c r="C363" s="278">
        <f t="shared" ca="1" si="34"/>
        <v>0</v>
      </c>
      <c r="D363" s="278">
        <f t="shared" ca="1" si="34"/>
        <v>0</v>
      </c>
      <c r="E363" s="278">
        <f t="shared" ca="1" si="34"/>
        <v>0</v>
      </c>
      <c r="F363" s="278">
        <f t="shared" ca="1" si="34"/>
        <v>0</v>
      </c>
      <c r="G363" s="278">
        <f t="shared" ca="1" si="34"/>
        <v>0</v>
      </c>
      <c r="H363" s="278">
        <f t="shared" ca="1" si="34"/>
        <v>0</v>
      </c>
      <c r="I363" s="278">
        <f t="shared" ca="1" si="34"/>
        <v>0</v>
      </c>
      <c r="J363" s="278">
        <f t="shared" ca="1" si="34"/>
        <v>0</v>
      </c>
      <c r="K363" s="278">
        <f t="shared" ca="1" si="34"/>
        <v>0</v>
      </c>
      <c r="L363" s="278">
        <f t="shared" ca="1" si="34"/>
        <v>0</v>
      </c>
      <c r="M363" s="279" t="s">
        <v>6</v>
      </c>
      <c r="O363" s="282" t="s">
        <v>20</v>
      </c>
      <c r="P363" s="289">
        <f t="shared" ca="1" si="35"/>
        <v>0</v>
      </c>
      <c r="Q363" s="289">
        <f t="shared" ca="1" si="32"/>
        <v>0</v>
      </c>
      <c r="R363" s="289">
        <f t="shared" ca="1" si="32"/>
        <v>0</v>
      </c>
      <c r="S363" s="289">
        <f t="shared" ca="1" si="32"/>
        <v>0</v>
      </c>
      <c r="T363" s="289">
        <f t="shared" ca="1" si="32"/>
        <v>0</v>
      </c>
      <c r="U363" s="295" t="s">
        <v>6</v>
      </c>
      <c r="V363" s="289">
        <f t="shared" ca="1" si="33"/>
        <v>0</v>
      </c>
      <c r="W363" s="289">
        <f t="shared" ca="1" si="33"/>
        <v>0</v>
      </c>
      <c r="X363" s="289">
        <f t="shared" ca="1" si="33"/>
        <v>0</v>
      </c>
      <c r="Y363" s="289">
        <f t="shared" ca="1" si="33"/>
        <v>0</v>
      </c>
      <c r="Z363" s="292">
        <f t="shared" ca="1" si="33"/>
        <v>0</v>
      </c>
    </row>
    <row r="364" spans="2:26">
      <c r="B364" s="282" t="s">
        <v>18</v>
      </c>
      <c r="C364" s="278">
        <f t="shared" ca="1" si="34"/>
        <v>0</v>
      </c>
      <c r="D364" s="278">
        <f t="shared" ca="1" si="34"/>
        <v>0</v>
      </c>
      <c r="E364" s="278">
        <f t="shared" ca="1" si="34"/>
        <v>0</v>
      </c>
      <c r="F364" s="278">
        <f t="shared" ca="1" si="34"/>
        <v>0</v>
      </c>
      <c r="G364" s="278">
        <f t="shared" ca="1" si="34"/>
        <v>0</v>
      </c>
      <c r="H364" s="278">
        <f t="shared" ca="1" si="34"/>
        <v>0</v>
      </c>
      <c r="I364" s="278">
        <f t="shared" ca="1" si="34"/>
        <v>0</v>
      </c>
      <c r="J364" s="278">
        <f t="shared" ca="1" si="34"/>
        <v>0</v>
      </c>
      <c r="K364" s="278">
        <f t="shared" ca="1" si="34"/>
        <v>0</v>
      </c>
      <c r="L364" s="278">
        <f t="shared" ca="1" si="34"/>
        <v>0</v>
      </c>
      <c r="M364" s="279" t="s">
        <v>6</v>
      </c>
      <c r="O364" s="282" t="s">
        <v>18</v>
      </c>
      <c r="P364" s="289">
        <f t="shared" ca="1" si="35"/>
        <v>0</v>
      </c>
      <c r="Q364" s="289">
        <f t="shared" ca="1" si="32"/>
        <v>0</v>
      </c>
      <c r="R364" s="289">
        <f t="shared" ca="1" si="32"/>
        <v>0</v>
      </c>
      <c r="S364" s="289">
        <f t="shared" ca="1" si="32"/>
        <v>0</v>
      </c>
      <c r="T364" s="289">
        <f t="shared" ca="1" si="32"/>
        <v>0</v>
      </c>
      <c r="U364" s="295" t="s">
        <v>6</v>
      </c>
      <c r="V364" s="289">
        <f t="shared" ca="1" si="33"/>
        <v>0</v>
      </c>
      <c r="W364" s="289">
        <f t="shared" ca="1" si="33"/>
        <v>0</v>
      </c>
      <c r="X364" s="289">
        <f t="shared" ca="1" si="33"/>
        <v>0</v>
      </c>
      <c r="Y364" s="289">
        <f t="shared" ca="1" si="33"/>
        <v>0</v>
      </c>
      <c r="Z364" s="292">
        <f t="shared" ca="1" si="33"/>
        <v>0</v>
      </c>
    </row>
    <row r="365" spans="2:26">
      <c r="B365" s="282" t="s">
        <v>17</v>
      </c>
      <c r="C365" s="278">
        <f t="shared" ca="1" si="34"/>
        <v>0</v>
      </c>
      <c r="D365" s="278">
        <f t="shared" ca="1" si="34"/>
        <v>0</v>
      </c>
      <c r="E365" s="278">
        <f t="shared" ca="1" si="34"/>
        <v>0</v>
      </c>
      <c r="F365" s="278">
        <f t="shared" ca="1" si="34"/>
        <v>0</v>
      </c>
      <c r="G365" s="278">
        <f t="shared" ca="1" si="34"/>
        <v>0</v>
      </c>
      <c r="H365" s="278">
        <f t="shared" ca="1" si="34"/>
        <v>0</v>
      </c>
      <c r="I365" s="278">
        <f t="shared" ca="1" si="34"/>
        <v>0</v>
      </c>
      <c r="J365" s="278">
        <f t="shared" ca="1" si="34"/>
        <v>0</v>
      </c>
      <c r="K365" s="278">
        <f t="shared" ca="1" si="34"/>
        <v>0</v>
      </c>
      <c r="L365" s="278">
        <f t="shared" ca="1" si="34"/>
        <v>0</v>
      </c>
      <c r="M365" s="279" t="s">
        <v>6</v>
      </c>
      <c r="O365" s="282" t="s">
        <v>17</v>
      </c>
      <c r="P365" s="289">
        <f t="shared" ca="1" si="35"/>
        <v>0</v>
      </c>
      <c r="Q365" s="289">
        <f t="shared" ca="1" si="32"/>
        <v>0</v>
      </c>
      <c r="R365" s="289">
        <f t="shared" ca="1" si="32"/>
        <v>0</v>
      </c>
      <c r="S365" s="289">
        <f t="shared" ca="1" si="32"/>
        <v>0</v>
      </c>
      <c r="T365" s="289">
        <f t="shared" ca="1" si="32"/>
        <v>0</v>
      </c>
      <c r="U365" s="295" t="s">
        <v>6</v>
      </c>
      <c r="V365" s="289">
        <f t="shared" ca="1" si="33"/>
        <v>0</v>
      </c>
      <c r="W365" s="289">
        <f t="shared" ca="1" si="33"/>
        <v>0</v>
      </c>
      <c r="X365" s="289">
        <f t="shared" ca="1" si="33"/>
        <v>0</v>
      </c>
      <c r="Y365" s="289">
        <f t="shared" ca="1" si="33"/>
        <v>0</v>
      </c>
      <c r="Z365" s="292">
        <f t="shared" ca="1" si="33"/>
        <v>0</v>
      </c>
    </row>
    <row r="366" spans="2:26">
      <c r="B366" s="282" t="s">
        <v>15</v>
      </c>
      <c r="C366" s="278">
        <f t="shared" ca="1" si="34"/>
        <v>0</v>
      </c>
      <c r="D366" s="278">
        <f t="shared" ca="1" si="34"/>
        <v>0</v>
      </c>
      <c r="E366" s="278">
        <f t="shared" ca="1" si="34"/>
        <v>0</v>
      </c>
      <c r="F366" s="278">
        <f t="shared" ca="1" si="34"/>
        <v>0</v>
      </c>
      <c r="G366" s="278">
        <f t="shared" ca="1" si="34"/>
        <v>0</v>
      </c>
      <c r="H366" s="278">
        <f t="shared" ca="1" si="34"/>
        <v>0</v>
      </c>
      <c r="I366" s="278">
        <f t="shared" ca="1" si="34"/>
        <v>0</v>
      </c>
      <c r="J366" s="278">
        <f t="shared" ca="1" si="34"/>
        <v>0</v>
      </c>
      <c r="K366" s="278">
        <f t="shared" ca="1" si="34"/>
        <v>0</v>
      </c>
      <c r="L366" s="278">
        <f t="shared" ca="1" si="34"/>
        <v>0</v>
      </c>
      <c r="M366" s="279" t="s">
        <v>6</v>
      </c>
      <c r="O366" s="282" t="s">
        <v>15</v>
      </c>
      <c r="P366" s="289">
        <f t="shared" ca="1" si="35"/>
        <v>0</v>
      </c>
      <c r="Q366" s="289">
        <f t="shared" ca="1" si="32"/>
        <v>0</v>
      </c>
      <c r="R366" s="289">
        <f t="shared" ca="1" si="32"/>
        <v>0</v>
      </c>
      <c r="S366" s="289">
        <f t="shared" ca="1" si="32"/>
        <v>0</v>
      </c>
      <c r="T366" s="289">
        <f t="shared" ca="1" si="32"/>
        <v>0</v>
      </c>
      <c r="U366" s="295" t="s">
        <v>6</v>
      </c>
      <c r="V366" s="289">
        <f t="shared" ca="1" si="33"/>
        <v>0</v>
      </c>
      <c r="W366" s="289">
        <f t="shared" ca="1" si="33"/>
        <v>0</v>
      </c>
      <c r="X366" s="289">
        <f t="shared" ca="1" si="33"/>
        <v>0</v>
      </c>
      <c r="Y366" s="289">
        <f t="shared" ca="1" si="33"/>
        <v>0</v>
      </c>
      <c r="Z366" s="292">
        <f t="shared" ca="1" si="33"/>
        <v>0</v>
      </c>
    </row>
    <row r="367" spans="2:26">
      <c r="B367" s="282" t="s">
        <v>14</v>
      </c>
      <c r="C367" s="278">
        <f t="shared" ca="1" si="34"/>
        <v>0</v>
      </c>
      <c r="D367" s="278">
        <f t="shared" ca="1" si="34"/>
        <v>0</v>
      </c>
      <c r="E367" s="278">
        <f t="shared" ca="1" si="34"/>
        <v>0</v>
      </c>
      <c r="F367" s="278">
        <f t="shared" ca="1" si="34"/>
        <v>0</v>
      </c>
      <c r="G367" s="278">
        <f t="shared" ca="1" si="34"/>
        <v>0</v>
      </c>
      <c r="H367" s="278">
        <f t="shared" ca="1" si="34"/>
        <v>0</v>
      </c>
      <c r="I367" s="278">
        <f t="shared" ca="1" si="34"/>
        <v>0</v>
      </c>
      <c r="J367" s="278">
        <f t="shared" ca="1" si="34"/>
        <v>0</v>
      </c>
      <c r="K367" s="278">
        <f t="shared" ca="1" si="34"/>
        <v>0</v>
      </c>
      <c r="L367" s="278">
        <f t="shared" ca="1" si="34"/>
        <v>0</v>
      </c>
      <c r="M367" s="279" t="s">
        <v>6</v>
      </c>
      <c r="O367" s="282" t="s">
        <v>14</v>
      </c>
      <c r="P367" s="295" t="s">
        <v>6</v>
      </c>
      <c r="Q367" s="289" t="s">
        <v>6</v>
      </c>
      <c r="R367" s="289" t="s">
        <v>6</v>
      </c>
      <c r="S367" s="289" t="s">
        <v>6</v>
      </c>
      <c r="T367" s="289" t="s">
        <v>6</v>
      </c>
      <c r="U367" s="295" t="s">
        <v>6</v>
      </c>
      <c r="V367" s="289" t="s">
        <v>6</v>
      </c>
      <c r="W367" s="289" t="s">
        <v>6</v>
      </c>
      <c r="X367" s="289" t="s">
        <v>6</v>
      </c>
      <c r="Y367" s="289" t="s">
        <v>6</v>
      </c>
      <c r="Z367" s="292" t="s">
        <v>6</v>
      </c>
    </row>
    <row r="368" spans="2:26">
      <c r="B368" s="282"/>
      <c r="C368" s="278"/>
      <c r="D368" s="278"/>
      <c r="E368" s="278"/>
      <c r="F368" s="278"/>
      <c r="G368" s="278"/>
      <c r="H368" s="278"/>
      <c r="I368" s="278"/>
      <c r="J368" s="278"/>
      <c r="K368" s="278"/>
      <c r="L368" s="278"/>
      <c r="M368" s="279"/>
      <c r="O368" s="282"/>
      <c r="P368" s="289"/>
      <c r="Q368" s="289"/>
      <c r="R368" s="289"/>
      <c r="S368" s="289"/>
      <c r="T368" s="289"/>
      <c r="U368" s="295"/>
      <c r="V368" s="289"/>
      <c r="W368" s="289"/>
      <c r="X368" s="289"/>
      <c r="Y368" s="289"/>
      <c r="Z368" s="292"/>
    </row>
    <row r="369" spans="1:26">
      <c r="B369" s="282"/>
      <c r="C369" s="278"/>
      <c r="D369" s="278"/>
      <c r="E369" s="278"/>
      <c r="F369" s="278"/>
      <c r="G369" s="278"/>
      <c r="H369" s="278"/>
      <c r="I369" s="278"/>
      <c r="J369" s="278"/>
      <c r="K369" s="278"/>
      <c r="L369" s="278"/>
      <c r="M369" s="279"/>
      <c r="O369" s="282"/>
      <c r="P369" s="289"/>
      <c r="Q369" s="289"/>
      <c r="R369" s="289"/>
      <c r="S369" s="289"/>
      <c r="T369" s="289"/>
      <c r="U369" s="295"/>
      <c r="V369" s="289"/>
      <c r="W369" s="289"/>
      <c r="X369" s="289"/>
      <c r="Y369" s="289"/>
      <c r="Z369" s="292"/>
    </row>
    <row r="370" spans="1:26">
      <c r="B370" s="282"/>
      <c r="C370" s="278"/>
      <c r="D370" s="278"/>
      <c r="E370" s="278"/>
      <c r="F370" s="278"/>
      <c r="G370" s="278"/>
      <c r="H370" s="278"/>
      <c r="I370" s="278"/>
      <c r="J370" s="278"/>
      <c r="K370" s="278"/>
      <c r="L370" s="278"/>
      <c r="M370" s="279"/>
      <c r="O370" s="282"/>
      <c r="P370" s="289"/>
      <c r="Q370" s="289"/>
      <c r="R370" s="289"/>
      <c r="S370" s="289"/>
      <c r="T370" s="289"/>
      <c r="U370" s="295"/>
      <c r="V370" s="289"/>
      <c r="W370" s="289"/>
      <c r="X370" s="289"/>
      <c r="Y370" s="289"/>
      <c r="Z370" s="292"/>
    </row>
    <row r="371" spans="1:26">
      <c r="B371" s="283"/>
      <c r="C371" s="280"/>
      <c r="D371" s="280"/>
      <c r="E371" s="280"/>
      <c r="F371" s="280"/>
      <c r="G371" s="280"/>
      <c r="H371" s="280"/>
      <c r="I371" s="280"/>
      <c r="J371" s="280"/>
      <c r="K371" s="280"/>
      <c r="L371" s="280"/>
      <c r="M371" s="281"/>
      <c r="O371" s="283"/>
      <c r="P371" s="293"/>
      <c r="Q371" s="293"/>
      <c r="R371" s="293"/>
      <c r="S371" s="293"/>
      <c r="T371" s="293"/>
      <c r="U371" s="296"/>
      <c r="V371" s="293"/>
      <c r="W371" s="293"/>
      <c r="X371" s="293"/>
      <c r="Y371" s="293"/>
      <c r="Z371" s="294"/>
    </row>
    <row r="374" spans="1:26">
      <c r="A374" s="224" t="s">
        <v>504</v>
      </c>
      <c r="B374" s="290" t="s">
        <v>489</v>
      </c>
      <c r="C374" s="284"/>
      <c r="G374" s="290" t="s">
        <v>489</v>
      </c>
    </row>
    <row r="375" spans="1:26">
      <c r="B375" s="284" t="s">
        <v>505</v>
      </c>
      <c r="C375" s="284"/>
      <c r="G375" s="284" t="s">
        <v>506</v>
      </c>
      <c r="H375" s="284"/>
    </row>
    <row r="376" spans="1:26">
      <c r="B376" s="258" t="s">
        <v>474</v>
      </c>
      <c r="C376" s="286">
        <f ca="1">SUM(C402:L420)</f>
        <v>0</v>
      </c>
      <c r="G376" s="258" t="s">
        <v>474</v>
      </c>
      <c r="H376" s="286">
        <f ca="1">SUM(P402:Z420)</f>
        <v>0</v>
      </c>
    </row>
    <row r="378" spans="1:26">
      <c r="B378" s="258" t="s">
        <v>479</v>
      </c>
      <c r="C378" s="258"/>
    </row>
    <row r="379" spans="1:26">
      <c r="B379" s="254" t="s">
        <v>468</v>
      </c>
      <c r="C379" s="287">
        <v>500</v>
      </c>
      <c r="D379" s="287">
        <v>400</v>
      </c>
      <c r="E379" s="287">
        <v>300</v>
      </c>
      <c r="F379" s="287">
        <v>200</v>
      </c>
      <c r="G379" s="287">
        <v>100</v>
      </c>
      <c r="H379" s="287">
        <v>0</v>
      </c>
      <c r="I379" s="287">
        <v>-100</v>
      </c>
      <c r="J379" s="287">
        <v>-200</v>
      </c>
      <c r="K379" s="287">
        <v>-300</v>
      </c>
      <c r="L379" s="287">
        <v>-400</v>
      </c>
      <c r="M379" s="288">
        <v>-500</v>
      </c>
    </row>
    <row r="380" spans="1:26">
      <c r="B380" s="282" t="s">
        <v>35</v>
      </c>
      <c r="C380" s="278">
        <f ca="1">'USD Swap PVs'!AH77</f>
        <v>-198777.42646496603</v>
      </c>
      <c r="D380" s="278">
        <f ca="1">'USD Swap PVs'!AI77</f>
        <v>-159021.94117197284</v>
      </c>
      <c r="E380" s="278">
        <f ca="1">'USD Swap PVs'!AJ77</f>
        <v>-119266.45587897961</v>
      </c>
      <c r="F380" s="278">
        <f ca="1">'USD Swap PVs'!AK77</f>
        <v>-79510.970585986433</v>
      </c>
      <c r="G380" s="278">
        <f ca="1">'USD Swap PVs'!AL77</f>
        <v>-39755.485292993209</v>
      </c>
      <c r="H380" s="278">
        <f ca="1">'USD Swap PVs'!AM77</f>
        <v>0</v>
      </c>
      <c r="I380" s="278">
        <f ca="1">'USD Swap PVs'!AN77</f>
        <v>39755.485292993209</v>
      </c>
      <c r="J380" s="278">
        <f ca="1">'USD Swap PVs'!AO77</f>
        <v>79510.970585986433</v>
      </c>
      <c r="K380" s="278">
        <f ca="1">'USD Swap PVs'!AP77</f>
        <v>119266.45587897963</v>
      </c>
      <c r="L380" s="278">
        <f ca="1">'USD Swap PVs'!AQ77</f>
        <v>159021.94117197284</v>
      </c>
      <c r="M380" s="279">
        <f ca="1">'USD Swap PVs'!AR77</f>
        <v>198777.42646496603</v>
      </c>
    </row>
    <row r="381" spans="1:26">
      <c r="B381" s="282" t="s">
        <v>33</v>
      </c>
      <c r="C381" s="278">
        <f ca="1">'USD Swap PVs'!AH78</f>
        <v>-246131.73696146879</v>
      </c>
      <c r="D381" s="278">
        <f ca="1">'USD Swap PVs'!AI78</f>
        <v>-196905.38956917508</v>
      </c>
      <c r="E381" s="278">
        <f ca="1">'USD Swap PVs'!AJ78</f>
        <v>-147679.04217688134</v>
      </c>
      <c r="F381" s="278">
        <f ca="1">'USD Swap PVs'!AK78</f>
        <v>-98452.694784587526</v>
      </c>
      <c r="G381" s="278">
        <f ca="1">'USD Swap PVs'!AL78</f>
        <v>-49226.34739229377</v>
      </c>
      <c r="H381" s="278">
        <f ca="1">'USD Swap PVs'!AM78</f>
        <v>0</v>
      </c>
      <c r="I381" s="278">
        <f ca="1">'USD Swap PVs'!AN78</f>
        <v>49226.347392293763</v>
      </c>
      <c r="J381" s="278">
        <f ca="1">'USD Swap PVs'!AO78</f>
        <v>98452.694784587526</v>
      </c>
      <c r="K381" s="278">
        <f ca="1">'USD Swap PVs'!AP78</f>
        <v>147679.04217688128</v>
      </c>
      <c r="L381" s="278">
        <f ca="1">'USD Swap PVs'!AQ78</f>
        <v>196905.38956917502</v>
      </c>
      <c r="M381" s="279">
        <f ca="1">'USD Swap PVs'!AR78</f>
        <v>246131.73696146885</v>
      </c>
    </row>
    <row r="382" spans="1:26">
      <c r="B382" s="282" t="s">
        <v>131</v>
      </c>
      <c r="C382" s="278">
        <f ca="1">'USD Swap PVs'!AH79</f>
        <v>-292058.13024354144</v>
      </c>
      <c r="D382" s="278">
        <f ca="1">'USD Swap PVs'!AI79</f>
        <v>-233646.50419483319</v>
      </c>
      <c r="E382" s="278">
        <f ca="1">'USD Swap PVs'!AJ79</f>
        <v>-175234.87814612489</v>
      </c>
      <c r="F382" s="278">
        <f ca="1">'USD Swap PVs'!AK79</f>
        <v>-116823.25209741658</v>
      </c>
      <c r="G382" s="278">
        <f ca="1">'USD Swap PVs'!AL79</f>
        <v>-58411.626048708298</v>
      </c>
      <c r="H382" s="278">
        <f ca="1">'USD Swap PVs'!AM79</f>
        <v>0</v>
      </c>
      <c r="I382" s="278">
        <f ca="1">'USD Swap PVs'!AN79</f>
        <v>58411.626048708298</v>
      </c>
      <c r="J382" s="278">
        <f ca="1">'USD Swap PVs'!AO79</f>
        <v>116823.2520974166</v>
      </c>
      <c r="K382" s="278">
        <f ca="1">'USD Swap PVs'!AP79</f>
        <v>175234.87814612489</v>
      </c>
      <c r="L382" s="278">
        <f ca="1">'USD Swap PVs'!AQ79</f>
        <v>233646.50419483319</v>
      </c>
      <c r="M382" s="279">
        <f ca="1">'USD Swap PVs'!AR79</f>
        <v>292058.1302435415</v>
      </c>
    </row>
    <row r="383" spans="1:26">
      <c r="B383" s="282" t="s">
        <v>31</v>
      </c>
      <c r="C383" s="278">
        <f ca="1">'USD Swap PVs'!AH80</f>
        <v>-336636.27902883617</v>
      </c>
      <c r="D383" s="278">
        <f ca="1">'USD Swap PVs'!AI80</f>
        <v>-269309.02322306897</v>
      </c>
      <c r="E383" s="278">
        <f ca="1">'USD Swap PVs'!AJ80</f>
        <v>-201981.76741730169</v>
      </c>
      <c r="F383" s="278">
        <f ca="1">'USD Swap PVs'!AK80</f>
        <v>-134654.5116115344</v>
      </c>
      <c r="G383" s="278">
        <f ca="1">'USD Swap PVs'!AL80</f>
        <v>-67327.255805767229</v>
      </c>
      <c r="H383" s="278">
        <f ca="1">'USD Swap PVs'!AM80</f>
        <v>0</v>
      </c>
      <c r="I383" s="278">
        <f ca="1">'USD Swap PVs'!AN80</f>
        <v>67327.255805767258</v>
      </c>
      <c r="J383" s="278">
        <f ca="1">'USD Swap PVs'!AO80</f>
        <v>134654.51161153449</v>
      </c>
      <c r="K383" s="278">
        <f ca="1">'USD Swap PVs'!AP80</f>
        <v>201981.76741730171</v>
      </c>
      <c r="L383" s="278">
        <f ca="1">'USD Swap PVs'!AQ80</f>
        <v>269309.02322306891</v>
      </c>
      <c r="M383" s="279">
        <f ca="1">'USD Swap PVs'!AR80</f>
        <v>336636.27902883617</v>
      </c>
    </row>
    <row r="384" spans="1:26">
      <c r="B384" s="282" t="s">
        <v>119</v>
      </c>
      <c r="C384" s="278">
        <f ca="1">'USD Swap PVs'!AH81</f>
        <v>-380086.43747963925</v>
      </c>
      <c r="D384" s="278">
        <f ca="1">'USD Swap PVs'!AI81</f>
        <v>-304069.14998371142</v>
      </c>
      <c r="E384" s="278">
        <f ca="1">'USD Swap PVs'!AJ81</f>
        <v>-228051.86248778354</v>
      </c>
      <c r="F384" s="278">
        <f ca="1">'USD Swap PVs'!AK81</f>
        <v>-152034.57499185568</v>
      </c>
      <c r="G384" s="278">
        <f ca="1">'USD Swap PVs'!AL81</f>
        <v>-76017.287495927842</v>
      </c>
      <c r="H384" s="278">
        <f ca="1">'USD Swap PVs'!AM81</f>
        <v>0</v>
      </c>
      <c r="I384" s="278">
        <f ca="1">'USD Swap PVs'!AN81</f>
        <v>76017.287495927885</v>
      </c>
      <c r="J384" s="278">
        <f ca="1">'USD Swap PVs'!AO81</f>
        <v>152034.57499185574</v>
      </c>
      <c r="K384" s="278">
        <f ca="1">'USD Swap PVs'!AP81</f>
        <v>228051.8624877836</v>
      </c>
      <c r="L384" s="278">
        <f ca="1">'USD Swap PVs'!AQ81</f>
        <v>304069.14998371142</v>
      </c>
      <c r="M384" s="279">
        <f ca="1">'USD Swap PVs'!AR81</f>
        <v>380086.43747963931</v>
      </c>
    </row>
    <row r="385" spans="2:15">
      <c r="B385" s="282" t="s">
        <v>113</v>
      </c>
      <c r="C385" s="278">
        <f ca="1">'USD Swap PVs'!AH82</f>
        <v>-421837.7950781791</v>
      </c>
      <c r="D385" s="278">
        <f ca="1">'USD Swap PVs'!AI82</f>
        <v>-337470.23606254335</v>
      </c>
      <c r="E385" s="278">
        <f ca="1">'USD Swap PVs'!AJ82</f>
        <v>-253102.67704690748</v>
      </c>
      <c r="F385" s="278">
        <f ca="1">'USD Swap PVs'!AK82</f>
        <v>-168735.11803127159</v>
      </c>
      <c r="G385" s="278">
        <f ca="1">'USD Swap PVs'!AL82</f>
        <v>-84367.559015635838</v>
      </c>
      <c r="H385" s="278">
        <f ca="1">'USD Swap PVs'!AM82</f>
        <v>0</v>
      </c>
      <c r="I385" s="278">
        <f ca="1">'USD Swap PVs'!AN82</f>
        <v>84367.559015635896</v>
      </c>
      <c r="J385" s="278">
        <f ca="1">'USD Swap PVs'!AO82</f>
        <v>168735.11803127173</v>
      </c>
      <c r="K385" s="278">
        <f ca="1">'USD Swap PVs'!AP82</f>
        <v>253102.6770469076</v>
      </c>
      <c r="L385" s="278">
        <f ca="1">'USD Swap PVs'!AQ82</f>
        <v>337470.23606254341</v>
      </c>
      <c r="M385" s="279">
        <f ca="1">'USD Swap PVs'!AR82</f>
        <v>421837.79507817933</v>
      </c>
    </row>
    <row r="386" spans="2:15">
      <c r="B386" s="282" t="s">
        <v>28</v>
      </c>
      <c r="C386" s="278">
        <f ca="1">'USD Swap PVs'!AH83</f>
        <v>-462388.14162659715</v>
      </c>
      <c r="D386" s="278">
        <f ca="1">'USD Swap PVs'!AI83</f>
        <v>-369910.51330127788</v>
      </c>
      <c r="E386" s="278">
        <f ca="1">'USD Swap PVs'!AJ83</f>
        <v>-277432.88497595832</v>
      </c>
      <c r="F386" s="278">
        <f ca="1">'USD Swap PVs'!AK83</f>
        <v>-184955.25665063885</v>
      </c>
      <c r="G386" s="278">
        <f ca="1">'USD Swap PVs'!AL83</f>
        <v>-92477.628325319383</v>
      </c>
      <c r="H386" s="278">
        <f ca="1">'USD Swap PVs'!AM83</f>
        <v>2.7755575615628914E-11</v>
      </c>
      <c r="I386" s="278">
        <f ca="1">'USD Swap PVs'!AN83</f>
        <v>92477.628325319558</v>
      </c>
      <c r="J386" s="278">
        <f ca="1">'USD Swap PVs'!AO83</f>
        <v>184955.25665063903</v>
      </c>
      <c r="K386" s="278">
        <f ca="1">'USD Swap PVs'!AP83</f>
        <v>277432.8849759585</v>
      </c>
      <c r="L386" s="278">
        <f ca="1">'USD Swap PVs'!AQ83</f>
        <v>369910.51330127788</v>
      </c>
      <c r="M386" s="279">
        <f ca="1">'USD Swap PVs'!AR83</f>
        <v>462388.1416265975</v>
      </c>
    </row>
    <row r="387" spans="2:15">
      <c r="B387" s="282" t="s">
        <v>366</v>
      </c>
      <c r="C387" s="278">
        <f ca="1">'USD Swap PVs'!AH84</f>
        <v>-501653.5734094315</v>
      </c>
      <c r="D387" s="278">
        <f ca="1">'USD Swap PVs'!AI84</f>
        <v>-401322.85872754548</v>
      </c>
      <c r="E387" s="278">
        <f ca="1">'USD Swap PVs'!AJ84</f>
        <v>-300992.14404565899</v>
      </c>
      <c r="F387" s="278">
        <f ca="1">'USD Swap PVs'!AK84</f>
        <v>-200661.42936377268</v>
      </c>
      <c r="G387" s="278">
        <f ca="1">'USD Swap PVs'!AL84</f>
        <v>-100330.71468188631</v>
      </c>
      <c r="H387" s="278">
        <f ca="1">'USD Swap PVs'!AM84</f>
        <v>0</v>
      </c>
      <c r="I387" s="278">
        <f ca="1">'USD Swap PVs'!AN84</f>
        <v>100330.71468188643</v>
      </c>
      <c r="J387" s="278">
        <f ca="1">'USD Swap PVs'!AO84</f>
        <v>200661.4293637728</v>
      </c>
      <c r="K387" s="278">
        <f ca="1">'USD Swap PVs'!AP84</f>
        <v>300992.14404565917</v>
      </c>
      <c r="L387" s="278">
        <f ca="1">'USD Swap PVs'!AQ84</f>
        <v>401322.85872754548</v>
      </c>
      <c r="M387" s="279">
        <f ca="1">'USD Swap PVs'!AR84</f>
        <v>501653.57340943185</v>
      </c>
    </row>
    <row r="388" spans="2:15">
      <c r="B388" s="282" t="s">
        <v>26</v>
      </c>
      <c r="C388" s="278">
        <f ca="1">'USD Swap PVs'!AH85</f>
        <v>-539672.51174194447</v>
      </c>
      <c r="D388" s="278">
        <f ca="1">'USD Swap PVs'!AI85</f>
        <v>-431738.00939355581</v>
      </c>
      <c r="E388" s="278">
        <f ca="1">'USD Swap PVs'!AJ85</f>
        <v>-323803.50704516686</v>
      </c>
      <c r="F388" s="278">
        <f ca="1">'USD Swap PVs'!AK85</f>
        <v>-215869.00469677785</v>
      </c>
      <c r="G388" s="278">
        <f ca="1">'USD Swap PVs'!AL85</f>
        <v>-107934.50234838887</v>
      </c>
      <c r="H388" s="278">
        <f ca="1">'USD Swap PVs'!AM85</f>
        <v>0</v>
      </c>
      <c r="I388" s="278">
        <f ca="1">'USD Swap PVs'!AN85</f>
        <v>107934.50234838911</v>
      </c>
      <c r="J388" s="278">
        <f ca="1">'USD Swap PVs'!AO85</f>
        <v>215869.00469677811</v>
      </c>
      <c r="K388" s="278">
        <f ca="1">'USD Swap PVs'!AP85</f>
        <v>323803.50704516709</v>
      </c>
      <c r="L388" s="278">
        <f ca="1">'USD Swap PVs'!AQ85</f>
        <v>431738.00939355599</v>
      </c>
      <c r="M388" s="279">
        <f ca="1">'USD Swap PVs'!AR85</f>
        <v>539672.51174194494</v>
      </c>
    </row>
    <row r="389" spans="2:15">
      <c r="B389" s="282" t="s">
        <v>24</v>
      </c>
      <c r="C389" s="278">
        <f ca="1">'USD Swap PVs'!AH86</f>
        <v>-646763.03135862458</v>
      </c>
      <c r="D389" s="278">
        <f ca="1">'USD Swap PVs'!AI86</f>
        <v>-517410.42508690007</v>
      </c>
      <c r="E389" s="278">
        <f ca="1">'USD Swap PVs'!AJ86</f>
        <v>-388057.81881517492</v>
      </c>
      <c r="F389" s="278">
        <f ca="1">'USD Swap PVs'!AK86</f>
        <v>-258705.21254345009</v>
      </c>
      <c r="G389" s="278">
        <f ca="1">'USD Swap PVs'!AL86</f>
        <v>-129352.60627172496</v>
      </c>
      <c r="H389" s="278">
        <f ca="1">'USD Swap PVs'!AM86</f>
        <v>0</v>
      </c>
      <c r="I389" s="278">
        <f ca="1">'USD Swap PVs'!AN86</f>
        <v>129352.60627172515</v>
      </c>
      <c r="J389" s="278">
        <f ca="1">'USD Swap PVs'!AO86</f>
        <v>258705.21254345018</v>
      </c>
      <c r="K389" s="278">
        <f ca="1">'USD Swap PVs'!AP86</f>
        <v>388057.81881517521</v>
      </c>
      <c r="L389" s="278">
        <f ca="1">'USD Swap PVs'!AQ86</f>
        <v>517410.42508690018</v>
      </c>
      <c r="M389" s="279">
        <f ca="1">'USD Swap PVs'!AR86</f>
        <v>646763.03135862527</v>
      </c>
    </row>
    <row r="390" spans="2:15">
      <c r="B390" s="282" t="s">
        <v>20</v>
      </c>
      <c r="C390" s="278">
        <f ca="1">'USD Swap PVs'!AH87</f>
        <v>-804037.6572551477</v>
      </c>
      <c r="D390" s="278">
        <f ca="1">'USD Swap PVs'!AI87</f>
        <v>-643230.1258041187</v>
      </c>
      <c r="E390" s="278">
        <f ca="1">'USD Swap PVs'!AJ87</f>
        <v>-482422.59435308882</v>
      </c>
      <c r="F390" s="278">
        <f ca="1">'USD Swap PVs'!AK87</f>
        <v>-321615.06290205917</v>
      </c>
      <c r="G390" s="278">
        <f ca="1">'USD Swap PVs'!AL87</f>
        <v>-160807.53145102982</v>
      </c>
      <c r="H390" s="278">
        <f ca="1">'USD Swap PVs'!AM87</f>
        <v>0</v>
      </c>
      <c r="I390" s="278">
        <f ca="1">'USD Swap PVs'!AN87</f>
        <v>160807.53145102988</v>
      </c>
      <c r="J390" s="278">
        <f ca="1">'USD Swap PVs'!AO87</f>
        <v>321615.06290205941</v>
      </c>
      <c r="K390" s="278">
        <f ca="1">'USD Swap PVs'!AP87</f>
        <v>482422.59435308917</v>
      </c>
      <c r="L390" s="278">
        <f ca="1">'USD Swap PVs'!AQ87</f>
        <v>643230.1258041187</v>
      </c>
      <c r="M390" s="279">
        <f ca="1">'USD Swap PVs'!AR87</f>
        <v>804037.6572551484</v>
      </c>
    </row>
    <row r="391" spans="2:15">
      <c r="B391" s="282" t="s">
        <v>18</v>
      </c>
      <c r="C391" s="278">
        <f ca="1">'USD Swap PVs'!AH88</f>
        <v>-938667.9200363959</v>
      </c>
      <c r="D391" s="278">
        <f ca="1">'USD Swap PVs'!AI88</f>
        <v>-750934.3360291163</v>
      </c>
      <c r="E391" s="278">
        <f ca="1">'USD Swap PVs'!AJ88</f>
        <v>-563200.75202183786</v>
      </c>
      <c r="F391" s="278">
        <f ca="1">'USD Swap PVs'!AK88</f>
        <v>-375467.1680145585</v>
      </c>
      <c r="G391" s="278">
        <f ca="1">'USD Swap PVs'!AL88</f>
        <v>-187733.5840072798</v>
      </c>
      <c r="H391" s="278">
        <f ca="1">'USD Swap PVs'!AM88</f>
        <v>0</v>
      </c>
      <c r="I391" s="278">
        <f ca="1">'USD Swap PVs'!AN88</f>
        <v>187733.58400727931</v>
      </c>
      <c r="J391" s="278">
        <f ca="1">'USD Swap PVs'!AO88</f>
        <v>375467.16801455821</v>
      </c>
      <c r="K391" s="278">
        <f ca="1">'USD Swap PVs'!AP88</f>
        <v>563200.7520218374</v>
      </c>
      <c r="L391" s="278">
        <f ca="1">'USD Swap PVs'!AQ88</f>
        <v>750934.33602911641</v>
      </c>
      <c r="M391" s="279">
        <f ca="1">'USD Swap PVs'!AR88</f>
        <v>938667.92003639566</v>
      </c>
    </row>
    <row r="392" spans="2:15">
      <c r="B392" s="282" t="s">
        <v>17</v>
      </c>
      <c r="C392" s="278">
        <f ca="1">'USD Swap PVs'!AH89</f>
        <v>-1054277.238813408</v>
      </c>
      <c r="D392" s="278">
        <f ca="1">'USD Swap PVs'!AI89</f>
        <v>-843421.79105072562</v>
      </c>
      <c r="E392" s="278">
        <f ca="1">'USD Swap PVs'!AJ89</f>
        <v>-632566.34328804526</v>
      </c>
      <c r="F392" s="278">
        <f ca="1">'USD Swap PVs'!AK89</f>
        <v>-421710.89552536298</v>
      </c>
      <c r="G392" s="278">
        <f ca="1">'USD Swap PVs'!AL89</f>
        <v>-210855.44776268251</v>
      </c>
      <c r="H392" s="278">
        <f ca="1">'USD Swap PVs'!AM89</f>
        <v>0</v>
      </c>
      <c r="I392" s="278">
        <f ca="1">'USD Swap PVs'!AN89</f>
        <v>210855.44776268149</v>
      </c>
      <c r="J392" s="278">
        <f ca="1">'USD Swap PVs'!AO89</f>
        <v>421710.89552536281</v>
      </c>
      <c r="K392" s="278">
        <f ca="1">'USD Swap PVs'!AP89</f>
        <v>632566.34328804445</v>
      </c>
      <c r="L392" s="278">
        <f ca="1">'USD Swap PVs'!AQ89</f>
        <v>843421.79105072573</v>
      </c>
      <c r="M392" s="279">
        <f ca="1">'USD Swap PVs'!AR89</f>
        <v>1054277.2388134075</v>
      </c>
    </row>
    <row r="393" spans="2:15">
      <c r="B393" s="282" t="s">
        <v>15</v>
      </c>
      <c r="C393" s="278">
        <f ca="1">'USD Swap PVs'!AH90</f>
        <v>-1239840.6415149074</v>
      </c>
      <c r="D393" s="278">
        <f ca="1">'USD Swap PVs'!AI90</f>
        <v>-991872.51321192575</v>
      </c>
      <c r="E393" s="278">
        <f ca="1">'USD Swap PVs'!AJ90</f>
        <v>-743904.38490894553</v>
      </c>
      <c r="F393" s="278">
        <f ca="1">'USD Swap PVs'!AK90</f>
        <v>-495936.25660596328</v>
      </c>
      <c r="G393" s="278">
        <f ca="1">'USD Swap PVs'!AL90</f>
        <v>-247968.12830298286</v>
      </c>
      <c r="H393" s="278">
        <f ca="1">'USD Swap PVs'!AM90</f>
        <v>0</v>
      </c>
      <c r="I393" s="278">
        <f ca="1">'USD Swap PVs'!AN90</f>
        <v>247968.12830298138</v>
      </c>
      <c r="J393" s="278">
        <f ca="1">'USD Swap PVs'!AO90</f>
        <v>495936.25660596264</v>
      </c>
      <c r="K393" s="278">
        <f ca="1">'USD Swap PVs'!AP90</f>
        <v>743904.38490894414</v>
      </c>
      <c r="L393" s="278">
        <f ca="1">'USD Swap PVs'!AQ90</f>
        <v>991872.51321192551</v>
      </c>
      <c r="M393" s="279">
        <f ca="1">'USD Swap PVs'!AR90</f>
        <v>1239840.6415149071</v>
      </c>
    </row>
    <row r="394" spans="2:15">
      <c r="B394" s="282" t="s">
        <v>14</v>
      </c>
      <c r="C394" s="278">
        <f ca="1">'USD Swap PVs'!AH91</f>
        <v>-1381003.7389991141</v>
      </c>
      <c r="D394" s="278">
        <f ca="1">'USD Swap PVs'!AI91</f>
        <v>-1104802.9911992913</v>
      </c>
      <c r="E394" s="278">
        <f ca="1">'USD Swap PVs'!AJ91</f>
        <v>-828602.24339946965</v>
      </c>
      <c r="F394" s="278">
        <f ca="1">'USD Swap PVs'!AK91</f>
        <v>-552401.49559964647</v>
      </c>
      <c r="G394" s="278">
        <f ca="1">'USD Swap PVs'!AL91</f>
        <v>-276200.74779982487</v>
      </c>
      <c r="H394" s="278">
        <f ca="1">'USD Swap PVs'!AM91</f>
        <v>0</v>
      </c>
      <c r="I394" s="278">
        <f ca="1">'USD Swap PVs'!AN91</f>
        <v>276200.74779982283</v>
      </c>
      <c r="J394" s="278">
        <f ca="1">'USD Swap PVs'!AO91</f>
        <v>552401.49559964542</v>
      </c>
      <c r="K394" s="278">
        <f ca="1">'USD Swap PVs'!AP91</f>
        <v>828602.24339946848</v>
      </c>
      <c r="L394" s="278">
        <f ca="1">'USD Swap PVs'!AQ91</f>
        <v>1104802.9911992911</v>
      </c>
      <c r="M394" s="279">
        <f ca="1">'USD Swap PVs'!AR91</f>
        <v>1381003.7389991141</v>
      </c>
    </row>
    <row r="395" spans="2:15">
      <c r="B395" s="282"/>
      <c r="C395" s="278"/>
      <c r="D395" s="278"/>
      <c r="E395" s="278"/>
      <c r="F395" s="278"/>
      <c r="G395" s="278"/>
      <c r="H395" s="278"/>
      <c r="I395" s="278"/>
      <c r="J395" s="278"/>
      <c r="K395" s="278"/>
      <c r="L395" s="278"/>
      <c r="M395" s="279"/>
    </row>
    <row r="396" spans="2:15">
      <c r="B396" s="282"/>
      <c r="C396" s="278"/>
      <c r="D396" s="278"/>
      <c r="E396" s="278"/>
      <c r="F396" s="278"/>
      <c r="G396" s="278"/>
      <c r="H396" s="278"/>
      <c r="I396" s="278"/>
      <c r="J396" s="278"/>
      <c r="K396" s="278"/>
      <c r="L396" s="278"/>
      <c r="M396" s="279"/>
    </row>
    <row r="397" spans="2:15">
      <c r="B397" s="282"/>
      <c r="C397" s="278"/>
      <c r="D397" s="278"/>
      <c r="E397" s="278"/>
      <c r="F397" s="278"/>
      <c r="G397" s="278"/>
      <c r="H397" s="278"/>
      <c r="I397" s="278"/>
      <c r="J397" s="278"/>
      <c r="K397" s="278"/>
      <c r="L397" s="278"/>
      <c r="M397" s="279"/>
    </row>
    <row r="398" spans="2:15">
      <c r="B398" s="283"/>
      <c r="C398" s="280"/>
      <c r="D398" s="280"/>
      <c r="E398" s="280"/>
      <c r="F398" s="280"/>
      <c r="G398" s="280"/>
      <c r="H398" s="280"/>
      <c r="I398" s="280"/>
      <c r="J398" s="280"/>
      <c r="K398" s="280"/>
      <c r="L398" s="280"/>
      <c r="M398" s="281"/>
    </row>
    <row r="400" spans="2:15">
      <c r="B400" s="258" t="s">
        <v>472</v>
      </c>
      <c r="O400" s="258" t="s">
        <v>472</v>
      </c>
    </row>
    <row r="401" spans="2:26">
      <c r="B401" s="254" t="s">
        <v>468</v>
      </c>
      <c r="C401" s="287">
        <v>500</v>
      </c>
      <c r="D401" s="287">
        <v>400</v>
      </c>
      <c r="E401" s="287">
        <v>300</v>
      </c>
      <c r="F401" s="287">
        <v>200</v>
      </c>
      <c r="G401" s="287">
        <v>100</v>
      </c>
      <c r="H401" s="287">
        <v>0</v>
      </c>
      <c r="I401" s="287">
        <v>-100</v>
      </c>
      <c r="J401" s="287">
        <v>-200</v>
      </c>
      <c r="K401" s="287">
        <v>-300</v>
      </c>
      <c r="L401" s="287">
        <v>-400</v>
      </c>
      <c r="M401" s="288">
        <v>-500</v>
      </c>
      <c r="O401" s="254" t="s">
        <v>468</v>
      </c>
      <c r="P401" s="276">
        <v>-0.05</v>
      </c>
      <c r="Q401" s="276">
        <v>-0.04</v>
      </c>
      <c r="R401" s="276">
        <v>-0.03</v>
      </c>
      <c r="S401" s="276">
        <v>-1.9999999999999997E-2</v>
      </c>
      <c r="T401" s="276">
        <v>-9.9999999999999967E-3</v>
      </c>
      <c r="U401" s="276">
        <v>0</v>
      </c>
      <c r="V401" s="276">
        <v>0.01</v>
      </c>
      <c r="W401" s="276">
        <v>0.02</v>
      </c>
      <c r="X401" s="276">
        <v>0.03</v>
      </c>
      <c r="Y401" s="276">
        <v>0.04</v>
      </c>
      <c r="Z401" s="277">
        <v>0.05</v>
      </c>
    </row>
    <row r="402" spans="2:26">
      <c r="B402" s="282" t="s">
        <v>35</v>
      </c>
      <c r="C402" s="278">
        <f ca="1">IF(C380&lt;D380,0,1)</f>
        <v>0</v>
      </c>
      <c r="D402" s="278">
        <f t="shared" ref="D402:L402" ca="1" si="36">IF(D380&lt;E380,0,1)</f>
        <v>0</v>
      </c>
      <c r="E402" s="278">
        <f t="shared" ca="1" si="36"/>
        <v>0</v>
      </c>
      <c r="F402" s="278">
        <f t="shared" ca="1" si="36"/>
        <v>0</v>
      </c>
      <c r="G402" s="278">
        <f t="shared" ca="1" si="36"/>
        <v>0</v>
      </c>
      <c r="H402" s="278">
        <f t="shared" ca="1" si="36"/>
        <v>0</v>
      </c>
      <c r="I402" s="278">
        <f t="shared" ca="1" si="36"/>
        <v>0</v>
      </c>
      <c r="J402" s="278">
        <f t="shared" ca="1" si="36"/>
        <v>0</v>
      </c>
      <c r="K402" s="278">
        <f t="shared" ca="1" si="36"/>
        <v>0</v>
      </c>
      <c r="L402" s="278">
        <f t="shared" ca="1" si="36"/>
        <v>0</v>
      </c>
      <c r="M402" s="285" t="s">
        <v>6</v>
      </c>
      <c r="O402" s="282" t="s">
        <v>35</v>
      </c>
      <c r="P402" s="289">
        <f ca="1">IF(ABS(C381)&gt;ABS(C380),0,1)</f>
        <v>0</v>
      </c>
      <c r="Q402" s="289">
        <f t="shared" ref="Q402:T417" ca="1" si="37">IF(ABS(D381)&gt;ABS(D380),0,1)</f>
        <v>0</v>
      </c>
      <c r="R402" s="289">
        <f t="shared" ca="1" si="37"/>
        <v>0</v>
      </c>
      <c r="S402" s="289">
        <f t="shared" ca="1" si="37"/>
        <v>0</v>
      </c>
      <c r="T402" s="289">
        <f t="shared" ca="1" si="37"/>
        <v>0</v>
      </c>
      <c r="U402" s="295" t="s">
        <v>6</v>
      </c>
      <c r="V402" s="289">
        <f t="shared" ref="V402:Z417" ca="1" si="38">IF(ABS(I381)&gt;ABS(I380),0,1)</f>
        <v>0</v>
      </c>
      <c r="W402" s="289">
        <f t="shared" ca="1" si="38"/>
        <v>0</v>
      </c>
      <c r="X402" s="289">
        <f t="shared" ca="1" si="38"/>
        <v>0</v>
      </c>
      <c r="Y402" s="289">
        <f t="shared" ca="1" si="38"/>
        <v>0</v>
      </c>
      <c r="Z402" s="291">
        <f t="shared" ca="1" si="38"/>
        <v>0</v>
      </c>
    </row>
    <row r="403" spans="2:26">
      <c r="B403" s="282" t="s">
        <v>33</v>
      </c>
      <c r="C403" s="278">
        <f t="shared" ref="C403:L418" ca="1" si="39">IF(C381&lt;D381,0,1)</f>
        <v>0</v>
      </c>
      <c r="D403" s="278">
        <f t="shared" ca="1" si="39"/>
        <v>0</v>
      </c>
      <c r="E403" s="278">
        <f t="shared" ca="1" si="39"/>
        <v>0</v>
      </c>
      <c r="F403" s="278">
        <f t="shared" ca="1" si="39"/>
        <v>0</v>
      </c>
      <c r="G403" s="278">
        <f t="shared" ca="1" si="39"/>
        <v>0</v>
      </c>
      <c r="H403" s="278">
        <f t="shared" ca="1" si="39"/>
        <v>0</v>
      </c>
      <c r="I403" s="278">
        <f t="shared" ca="1" si="39"/>
        <v>0</v>
      </c>
      <c r="J403" s="278">
        <f t="shared" ca="1" si="39"/>
        <v>0</v>
      </c>
      <c r="K403" s="278">
        <f t="shared" ca="1" si="39"/>
        <v>0</v>
      </c>
      <c r="L403" s="278">
        <f t="shared" ca="1" si="39"/>
        <v>0</v>
      </c>
      <c r="M403" s="279" t="s">
        <v>6</v>
      </c>
      <c r="O403" s="282" t="s">
        <v>33</v>
      </c>
      <c r="P403" s="289">
        <f t="shared" ref="P403:T418" ca="1" si="40">IF(ABS(C382)&gt;ABS(C381),0,1)</f>
        <v>0</v>
      </c>
      <c r="Q403" s="289">
        <f t="shared" ca="1" si="37"/>
        <v>0</v>
      </c>
      <c r="R403" s="289">
        <f t="shared" ca="1" si="37"/>
        <v>0</v>
      </c>
      <c r="S403" s="289">
        <f t="shared" ca="1" si="37"/>
        <v>0</v>
      </c>
      <c r="T403" s="289">
        <f t="shared" ca="1" si="37"/>
        <v>0</v>
      </c>
      <c r="U403" s="295" t="s">
        <v>6</v>
      </c>
      <c r="V403" s="289">
        <f t="shared" ca="1" si="38"/>
        <v>0</v>
      </c>
      <c r="W403" s="289">
        <f t="shared" ca="1" si="38"/>
        <v>0</v>
      </c>
      <c r="X403" s="289">
        <f t="shared" ca="1" si="38"/>
        <v>0</v>
      </c>
      <c r="Y403" s="289">
        <f t="shared" ca="1" si="38"/>
        <v>0</v>
      </c>
      <c r="Z403" s="292">
        <f t="shared" ca="1" si="38"/>
        <v>0</v>
      </c>
    </row>
    <row r="404" spans="2:26">
      <c r="B404" s="282" t="s">
        <v>131</v>
      </c>
      <c r="C404" s="278">
        <f t="shared" ca="1" si="39"/>
        <v>0</v>
      </c>
      <c r="D404" s="278">
        <f t="shared" ca="1" si="39"/>
        <v>0</v>
      </c>
      <c r="E404" s="278">
        <f t="shared" ca="1" si="39"/>
        <v>0</v>
      </c>
      <c r="F404" s="278">
        <f t="shared" ca="1" si="39"/>
        <v>0</v>
      </c>
      <c r="G404" s="278">
        <f t="shared" ca="1" si="39"/>
        <v>0</v>
      </c>
      <c r="H404" s="278">
        <f t="shared" ca="1" si="39"/>
        <v>0</v>
      </c>
      <c r="I404" s="278">
        <f t="shared" ca="1" si="39"/>
        <v>0</v>
      </c>
      <c r="J404" s="278">
        <f t="shared" ca="1" si="39"/>
        <v>0</v>
      </c>
      <c r="K404" s="278">
        <f t="shared" ca="1" si="39"/>
        <v>0</v>
      </c>
      <c r="L404" s="278">
        <f t="shared" ca="1" si="39"/>
        <v>0</v>
      </c>
      <c r="M404" s="279" t="s">
        <v>6</v>
      </c>
      <c r="O404" s="282" t="s">
        <v>131</v>
      </c>
      <c r="P404" s="289">
        <f t="shared" ca="1" si="40"/>
        <v>0</v>
      </c>
      <c r="Q404" s="289">
        <f t="shared" ca="1" si="37"/>
        <v>0</v>
      </c>
      <c r="R404" s="289">
        <f t="shared" ca="1" si="37"/>
        <v>0</v>
      </c>
      <c r="S404" s="289">
        <f t="shared" ca="1" si="37"/>
        <v>0</v>
      </c>
      <c r="T404" s="289">
        <f t="shared" ca="1" si="37"/>
        <v>0</v>
      </c>
      <c r="U404" s="295" t="s">
        <v>6</v>
      </c>
      <c r="V404" s="289">
        <f t="shared" ca="1" si="38"/>
        <v>0</v>
      </c>
      <c r="W404" s="289">
        <f t="shared" ca="1" si="38"/>
        <v>0</v>
      </c>
      <c r="X404" s="289">
        <f t="shared" ca="1" si="38"/>
        <v>0</v>
      </c>
      <c r="Y404" s="289">
        <f t="shared" ca="1" si="38"/>
        <v>0</v>
      </c>
      <c r="Z404" s="292">
        <f t="shared" ca="1" si="38"/>
        <v>0</v>
      </c>
    </row>
    <row r="405" spans="2:26">
      <c r="B405" s="282" t="s">
        <v>31</v>
      </c>
      <c r="C405" s="278">
        <f t="shared" ca="1" si="39"/>
        <v>0</v>
      </c>
      <c r="D405" s="278">
        <f t="shared" ca="1" si="39"/>
        <v>0</v>
      </c>
      <c r="E405" s="278">
        <f t="shared" ca="1" si="39"/>
        <v>0</v>
      </c>
      <c r="F405" s="278">
        <f t="shared" ca="1" si="39"/>
        <v>0</v>
      </c>
      <c r="G405" s="278">
        <f t="shared" ca="1" si="39"/>
        <v>0</v>
      </c>
      <c r="H405" s="278">
        <f t="shared" ca="1" si="39"/>
        <v>0</v>
      </c>
      <c r="I405" s="278">
        <f t="shared" ca="1" si="39"/>
        <v>0</v>
      </c>
      <c r="J405" s="278">
        <f t="shared" ca="1" si="39"/>
        <v>0</v>
      </c>
      <c r="K405" s="278">
        <f t="shared" ca="1" si="39"/>
        <v>0</v>
      </c>
      <c r="L405" s="278">
        <f t="shared" ca="1" si="39"/>
        <v>0</v>
      </c>
      <c r="M405" s="279" t="s">
        <v>6</v>
      </c>
      <c r="O405" s="282" t="s">
        <v>31</v>
      </c>
      <c r="P405" s="289">
        <f t="shared" ca="1" si="40"/>
        <v>0</v>
      </c>
      <c r="Q405" s="289">
        <f t="shared" ca="1" si="37"/>
        <v>0</v>
      </c>
      <c r="R405" s="289">
        <f t="shared" ca="1" si="37"/>
        <v>0</v>
      </c>
      <c r="S405" s="289">
        <f t="shared" ca="1" si="37"/>
        <v>0</v>
      </c>
      <c r="T405" s="289">
        <f t="shared" ca="1" si="37"/>
        <v>0</v>
      </c>
      <c r="U405" s="295" t="s">
        <v>6</v>
      </c>
      <c r="V405" s="289">
        <f t="shared" ca="1" si="38"/>
        <v>0</v>
      </c>
      <c r="W405" s="289">
        <f t="shared" ca="1" si="38"/>
        <v>0</v>
      </c>
      <c r="X405" s="289">
        <f t="shared" ca="1" si="38"/>
        <v>0</v>
      </c>
      <c r="Y405" s="289">
        <f t="shared" ca="1" si="38"/>
        <v>0</v>
      </c>
      <c r="Z405" s="292">
        <f t="shared" ca="1" si="38"/>
        <v>0</v>
      </c>
    </row>
    <row r="406" spans="2:26">
      <c r="B406" s="282" t="s">
        <v>119</v>
      </c>
      <c r="C406" s="278">
        <f t="shared" ca="1" si="39"/>
        <v>0</v>
      </c>
      <c r="D406" s="278">
        <f t="shared" ca="1" si="39"/>
        <v>0</v>
      </c>
      <c r="E406" s="278">
        <f t="shared" ca="1" si="39"/>
        <v>0</v>
      </c>
      <c r="F406" s="278">
        <f t="shared" ca="1" si="39"/>
        <v>0</v>
      </c>
      <c r="G406" s="278">
        <f t="shared" ca="1" si="39"/>
        <v>0</v>
      </c>
      <c r="H406" s="278">
        <f t="shared" ca="1" si="39"/>
        <v>0</v>
      </c>
      <c r="I406" s="278">
        <f t="shared" ca="1" si="39"/>
        <v>0</v>
      </c>
      <c r="J406" s="278">
        <f t="shared" ca="1" si="39"/>
        <v>0</v>
      </c>
      <c r="K406" s="278">
        <f t="shared" ca="1" si="39"/>
        <v>0</v>
      </c>
      <c r="L406" s="278">
        <f t="shared" ca="1" si="39"/>
        <v>0</v>
      </c>
      <c r="M406" s="279" t="s">
        <v>6</v>
      </c>
      <c r="O406" s="282" t="s">
        <v>119</v>
      </c>
      <c r="P406" s="289">
        <f t="shared" ca="1" si="40"/>
        <v>0</v>
      </c>
      <c r="Q406" s="289">
        <f t="shared" ca="1" si="37"/>
        <v>0</v>
      </c>
      <c r="R406" s="289">
        <f t="shared" ca="1" si="37"/>
        <v>0</v>
      </c>
      <c r="S406" s="289">
        <f t="shared" ca="1" si="37"/>
        <v>0</v>
      </c>
      <c r="T406" s="289">
        <f t="shared" ca="1" si="37"/>
        <v>0</v>
      </c>
      <c r="U406" s="295" t="s">
        <v>6</v>
      </c>
      <c r="V406" s="289">
        <f t="shared" ca="1" si="38"/>
        <v>0</v>
      </c>
      <c r="W406" s="289">
        <f t="shared" ca="1" si="38"/>
        <v>0</v>
      </c>
      <c r="X406" s="289">
        <f t="shared" ca="1" si="38"/>
        <v>0</v>
      </c>
      <c r="Y406" s="289">
        <f t="shared" ca="1" si="38"/>
        <v>0</v>
      </c>
      <c r="Z406" s="292">
        <f t="shared" ca="1" si="38"/>
        <v>0</v>
      </c>
    </row>
    <row r="407" spans="2:26">
      <c r="B407" s="282" t="s">
        <v>113</v>
      </c>
      <c r="C407" s="278">
        <f t="shared" ca="1" si="39"/>
        <v>0</v>
      </c>
      <c r="D407" s="278">
        <f t="shared" ca="1" si="39"/>
        <v>0</v>
      </c>
      <c r="E407" s="278">
        <f t="shared" ca="1" si="39"/>
        <v>0</v>
      </c>
      <c r="F407" s="278">
        <f t="shared" ca="1" si="39"/>
        <v>0</v>
      </c>
      <c r="G407" s="278">
        <f t="shared" ca="1" si="39"/>
        <v>0</v>
      </c>
      <c r="H407" s="278">
        <f t="shared" ca="1" si="39"/>
        <v>0</v>
      </c>
      <c r="I407" s="278">
        <f t="shared" ca="1" si="39"/>
        <v>0</v>
      </c>
      <c r="J407" s="278">
        <f t="shared" ca="1" si="39"/>
        <v>0</v>
      </c>
      <c r="K407" s="278">
        <f t="shared" ca="1" si="39"/>
        <v>0</v>
      </c>
      <c r="L407" s="278">
        <f t="shared" ca="1" si="39"/>
        <v>0</v>
      </c>
      <c r="M407" s="279" t="s">
        <v>6</v>
      </c>
      <c r="O407" s="282" t="s">
        <v>113</v>
      </c>
      <c r="P407" s="289">
        <f t="shared" ca="1" si="40"/>
        <v>0</v>
      </c>
      <c r="Q407" s="289">
        <f t="shared" ca="1" si="37"/>
        <v>0</v>
      </c>
      <c r="R407" s="289">
        <f t="shared" ca="1" si="37"/>
        <v>0</v>
      </c>
      <c r="S407" s="289">
        <f t="shared" ca="1" si="37"/>
        <v>0</v>
      </c>
      <c r="T407" s="289">
        <f t="shared" ca="1" si="37"/>
        <v>0</v>
      </c>
      <c r="U407" s="295" t="s">
        <v>6</v>
      </c>
      <c r="V407" s="289">
        <f t="shared" ca="1" si="38"/>
        <v>0</v>
      </c>
      <c r="W407" s="289">
        <f t="shared" ca="1" si="38"/>
        <v>0</v>
      </c>
      <c r="X407" s="289">
        <f t="shared" ca="1" si="38"/>
        <v>0</v>
      </c>
      <c r="Y407" s="289">
        <f t="shared" ca="1" si="38"/>
        <v>0</v>
      </c>
      <c r="Z407" s="292">
        <f t="shared" ca="1" si="38"/>
        <v>0</v>
      </c>
    </row>
    <row r="408" spans="2:26">
      <c r="B408" s="282" t="s">
        <v>28</v>
      </c>
      <c r="C408" s="278">
        <f t="shared" ca="1" si="39"/>
        <v>0</v>
      </c>
      <c r="D408" s="278">
        <f t="shared" ca="1" si="39"/>
        <v>0</v>
      </c>
      <c r="E408" s="278">
        <f t="shared" ca="1" si="39"/>
        <v>0</v>
      </c>
      <c r="F408" s="278">
        <f t="shared" ca="1" si="39"/>
        <v>0</v>
      </c>
      <c r="G408" s="278">
        <f t="shared" ca="1" si="39"/>
        <v>0</v>
      </c>
      <c r="H408" s="278">
        <f t="shared" ca="1" si="39"/>
        <v>0</v>
      </c>
      <c r="I408" s="278">
        <f t="shared" ca="1" si="39"/>
        <v>0</v>
      </c>
      <c r="J408" s="278">
        <f t="shared" ca="1" si="39"/>
        <v>0</v>
      </c>
      <c r="K408" s="278">
        <f t="shared" ca="1" si="39"/>
        <v>0</v>
      </c>
      <c r="L408" s="278">
        <f t="shared" ca="1" si="39"/>
        <v>0</v>
      </c>
      <c r="M408" s="279" t="s">
        <v>6</v>
      </c>
      <c r="O408" s="282" t="s">
        <v>28</v>
      </c>
      <c r="P408" s="289">
        <f t="shared" ca="1" si="40"/>
        <v>0</v>
      </c>
      <c r="Q408" s="289">
        <f t="shared" ca="1" si="37"/>
        <v>0</v>
      </c>
      <c r="R408" s="289">
        <f t="shared" ca="1" si="37"/>
        <v>0</v>
      </c>
      <c r="S408" s="289">
        <f t="shared" ca="1" si="37"/>
        <v>0</v>
      </c>
      <c r="T408" s="289">
        <f t="shared" ca="1" si="37"/>
        <v>0</v>
      </c>
      <c r="U408" s="295" t="s">
        <v>6</v>
      </c>
      <c r="V408" s="289">
        <f t="shared" ca="1" si="38"/>
        <v>0</v>
      </c>
      <c r="W408" s="289">
        <f t="shared" ca="1" si="38"/>
        <v>0</v>
      </c>
      <c r="X408" s="289">
        <f t="shared" ca="1" si="38"/>
        <v>0</v>
      </c>
      <c r="Y408" s="289">
        <f t="shared" ca="1" si="38"/>
        <v>0</v>
      </c>
      <c r="Z408" s="292">
        <f t="shared" ca="1" si="38"/>
        <v>0</v>
      </c>
    </row>
    <row r="409" spans="2:26">
      <c r="B409" s="282" t="s">
        <v>366</v>
      </c>
      <c r="C409" s="278">
        <f t="shared" ca="1" si="39"/>
        <v>0</v>
      </c>
      <c r="D409" s="278">
        <f t="shared" ca="1" si="39"/>
        <v>0</v>
      </c>
      <c r="E409" s="278">
        <f t="shared" ca="1" si="39"/>
        <v>0</v>
      </c>
      <c r="F409" s="278">
        <f t="shared" ca="1" si="39"/>
        <v>0</v>
      </c>
      <c r="G409" s="278">
        <f t="shared" ca="1" si="39"/>
        <v>0</v>
      </c>
      <c r="H409" s="278">
        <f t="shared" ca="1" si="39"/>
        <v>0</v>
      </c>
      <c r="I409" s="278">
        <f t="shared" ca="1" si="39"/>
        <v>0</v>
      </c>
      <c r="J409" s="278">
        <f t="shared" ca="1" si="39"/>
        <v>0</v>
      </c>
      <c r="K409" s="278">
        <f t="shared" ca="1" si="39"/>
        <v>0</v>
      </c>
      <c r="L409" s="278">
        <f t="shared" ca="1" si="39"/>
        <v>0</v>
      </c>
      <c r="M409" s="279" t="s">
        <v>6</v>
      </c>
      <c r="O409" s="282" t="s">
        <v>366</v>
      </c>
      <c r="P409" s="289">
        <f t="shared" ca="1" si="40"/>
        <v>0</v>
      </c>
      <c r="Q409" s="289">
        <f t="shared" ca="1" si="37"/>
        <v>0</v>
      </c>
      <c r="R409" s="289">
        <f t="shared" ca="1" si="37"/>
        <v>0</v>
      </c>
      <c r="S409" s="289">
        <f t="shared" ca="1" si="37"/>
        <v>0</v>
      </c>
      <c r="T409" s="289">
        <f t="shared" ca="1" si="37"/>
        <v>0</v>
      </c>
      <c r="U409" s="295" t="s">
        <v>6</v>
      </c>
      <c r="V409" s="289">
        <f t="shared" ca="1" si="38"/>
        <v>0</v>
      </c>
      <c r="W409" s="289">
        <f t="shared" ca="1" si="38"/>
        <v>0</v>
      </c>
      <c r="X409" s="289">
        <f t="shared" ca="1" si="38"/>
        <v>0</v>
      </c>
      <c r="Y409" s="289">
        <f t="shared" ca="1" si="38"/>
        <v>0</v>
      </c>
      <c r="Z409" s="292">
        <f t="shared" ca="1" si="38"/>
        <v>0</v>
      </c>
    </row>
    <row r="410" spans="2:26">
      <c r="B410" s="282" t="s">
        <v>26</v>
      </c>
      <c r="C410" s="278">
        <f t="shared" ca="1" si="39"/>
        <v>0</v>
      </c>
      <c r="D410" s="278">
        <f t="shared" ca="1" si="39"/>
        <v>0</v>
      </c>
      <c r="E410" s="278">
        <f t="shared" ca="1" si="39"/>
        <v>0</v>
      </c>
      <c r="F410" s="278">
        <f t="shared" ca="1" si="39"/>
        <v>0</v>
      </c>
      <c r="G410" s="278">
        <f t="shared" ca="1" si="39"/>
        <v>0</v>
      </c>
      <c r="H410" s="278">
        <f t="shared" ca="1" si="39"/>
        <v>0</v>
      </c>
      <c r="I410" s="278">
        <f t="shared" ca="1" si="39"/>
        <v>0</v>
      </c>
      <c r="J410" s="278">
        <f t="shared" ca="1" si="39"/>
        <v>0</v>
      </c>
      <c r="K410" s="278">
        <f t="shared" ca="1" si="39"/>
        <v>0</v>
      </c>
      <c r="L410" s="278">
        <f t="shared" ca="1" si="39"/>
        <v>0</v>
      </c>
      <c r="M410" s="279" t="s">
        <v>6</v>
      </c>
      <c r="O410" s="282" t="s">
        <v>26</v>
      </c>
      <c r="P410" s="289">
        <f t="shared" ca="1" si="40"/>
        <v>0</v>
      </c>
      <c r="Q410" s="289">
        <f t="shared" ca="1" si="37"/>
        <v>0</v>
      </c>
      <c r="R410" s="289">
        <f t="shared" ca="1" si="37"/>
        <v>0</v>
      </c>
      <c r="S410" s="289">
        <f t="shared" ca="1" si="37"/>
        <v>0</v>
      </c>
      <c r="T410" s="289">
        <f t="shared" ca="1" si="37"/>
        <v>0</v>
      </c>
      <c r="U410" s="295" t="s">
        <v>6</v>
      </c>
      <c r="V410" s="289">
        <f t="shared" ca="1" si="38"/>
        <v>0</v>
      </c>
      <c r="W410" s="289">
        <f t="shared" ca="1" si="38"/>
        <v>0</v>
      </c>
      <c r="X410" s="289">
        <f t="shared" ca="1" si="38"/>
        <v>0</v>
      </c>
      <c r="Y410" s="289">
        <f t="shared" ca="1" si="38"/>
        <v>0</v>
      </c>
      <c r="Z410" s="292">
        <f t="shared" ca="1" si="38"/>
        <v>0</v>
      </c>
    </row>
    <row r="411" spans="2:26">
      <c r="B411" s="282" t="s">
        <v>24</v>
      </c>
      <c r="C411" s="278">
        <f t="shared" ca="1" si="39"/>
        <v>0</v>
      </c>
      <c r="D411" s="278">
        <f t="shared" ca="1" si="39"/>
        <v>0</v>
      </c>
      <c r="E411" s="278">
        <f t="shared" ca="1" si="39"/>
        <v>0</v>
      </c>
      <c r="F411" s="278">
        <f t="shared" ca="1" si="39"/>
        <v>0</v>
      </c>
      <c r="G411" s="278">
        <f t="shared" ca="1" si="39"/>
        <v>0</v>
      </c>
      <c r="H411" s="278">
        <f t="shared" ca="1" si="39"/>
        <v>0</v>
      </c>
      <c r="I411" s="278">
        <f t="shared" ca="1" si="39"/>
        <v>0</v>
      </c>
      <c r="J411" s="278">
        <f t="shared" ca="1" si="39"/>
        <v>0</v>
      </c>
      <c r="K411" s="278">
        <f t="shared" ca="1" si="39"/>
        <v>0</v>
      </c>
      <c r="L411" s="278">
        <f t="shared" ca="1" si="39"/>
        <v>0</v>
      </c>
      <c r="M411" s="279" t="s">
        <v>6</v>
      </c>
      <c r="O411" s="282" t="s">
        <v>24</v>
      </c>
      <c r="P411" s="289">
        <f t="shared" ca="1" si="40"/>
        <v>0</v>
      </c>
      <c r="Q411" s="289">
        <f t="shared" ca="1" si="37"/>
        <v>0</v>
      </c>
      <c r="R411" s="289">
        <f t="shared" ca="1" si="37"/>
        <v>0</v>
      </c>
      <c r="S411" s="289">
        <f t="shared" ca="1" si="37"/>
        <v>0</v>
      </c>
      <c r="T411" s="289">
        <f t="shared" ca="1" si="37"/>
        <v>0</v>
      </c>
      <c r="U411" s="295" t="s">
        <v>6</v>
      </c>
      <c r="V411" s="289">
        <f t="shared" ca="1" si="38"/>
        <v>0</v>
      </c>
      <c r="W411" s="289">
        <f t="shared" ca="1" si="38"/>
        <v>0</v>
      </c>
      <c r="X411" s="289">
        <f t="shared" ca="1" si="38"/>
        <v>0</v>
      </c>
      <c r="Y411" s="289">
        <f t="shared" ca="1" si="38"/>
        <v>0</v>
      </c>
      <c r="Z411" s="292">
        <f t="shared" ca="1" si="38"/>
        <v>0</v>
      </c>
    </row>
    <row r="412" spans="2:26">
      <c r="B412" s="282" t="s">
        <v>20</v>
      </c>
      <c r="C412" s="278">
        <f t="shared" ca="1" si="39"/>
        <v>0</v>
      </c>
      <c r="D412" s="278">
        <f t="shared" ca="1" si="39"/>
        <v>0</v>
      </c>
      <c r="E412" s="278">
        <f t="shared" ca="1" si="39"/>
        <v>0</v>
      </c>
      <c r="F412" s="278">
        <f t="shared" ca="1" si="39"/>
        <v>0</v>
      </c>
      <c r="G412" s="278">
        <f t="shared" ca="1" si="39"/>
        <v>0</v>
      </c>
      <c r="H412" s="278">
        <f t="shared" ca="1" si="39"/>
        <v>0</v>
      </c>
      <c r="I412" s="278">
        <f t="shared" ca="1" si="39"/>
        <v>0</v>
      </c>
      <c r="J412" s="278">
        <f t="shared" ca="1" si="39"/>
        <v>0</v>
      </c>
      <c r="K412" s="278">
        <f t="shared" ca="1" si="39"/>
        <v>0</v>
      </c>
      <c r="L412" s="278">
        <f t="shared" ca="1" si="39"/>
        <v>0</v>
      </c>
      <c r="M412" s="279" t="s">
        <v>6</v>
      </c>
      <c r="O412" s="282" t="s">
        <v>20</v>
      </c>
      <c r="P412" s="289">
        <f t="shared" ca="1" si="40"/>
        <v>0</v>
      </c>
      <c r="Q412" s="289">
        <f t="shared" ca="1" si="37"/>
        <v>0</v>
      </c>
      <c r="R412" s="289">
        <f t="shared" ca="1" si="37"/>
        <v>0</v>
      </c>
      <c r="S412" s="289">
        <f t="shared" ca="1" si="37"/>
        <v>0</v>
      </c>
      <c r="T412" s="289">
        <f t="shared" ca="1" si="37"/>
        <v>0</v>
      </c>
      <c r="U412" s="295" t="s">
        <v>6</v>
      </c>
      <c r="V412" s="289">
        <f t="shared" ca="1" si="38"/>
        <v>0</v>
      </c>
      <c r="W412" s="289">
        <f t="shared" ca="1" si="38"/>
        <v>0</v>
      </c>
      <c r="X412" s="289">
        <f t="shared" ca="1" si="38"/>
        <v>0</v>
      </c>
      <c r="Y412" s="289">
        <f t="shared" ca="1" si="38"/>
        <v>0</v>
      </c>
      <c r="Z412" s="292">
        <f t="shared" ca="1" si="38"/>
        <v>0</v>
      </c>
    </row>
    <row r="413" spans="2:26">
      <c r="B413" s="282" t="s">
        <v>18</v>
      </c>
      <c r="C413" s="278">
        <f t="shared" ca="1" si="39"/>
        <v>0</v>
      </c>
      <c r="D413" s="278">
        <f t="shared" ca="1" si="39"/>
        <v>0</v>
      </c>
      <c r="E413" s="278">
        <f t="shared" ca="1" si="39"/>
        <v>0</v>
      </c>
      <c r="F413" s="278">
        <f t="shared" ca="1" si="39"/>
        <v>0</v>
      </c>
      <c r="G413" s="278">
        <f t="shared" ca="1" si="39"/>
        <v>0</v>
      </c>
      <c r="H413" s="278">
        <f t="shared" ca="1" si="39"/>
        <v>0</v>
      </c>
      <c r="I413" s="278">
        <f t="shared" ca="1" si="39"/>
        <v>0</v>
      </c>
      <c r="J413" s="278">
        <f t="shared" ca="1" si="39"/>
        <v>0</v>
      </c>
      <c r="K413" s="278">
        <f t="shared" ca="1" si="39"/>
        <v>0</v>
      </c>
      <c r="L413" s="278">
        <f t="shared" ca="1" si="39"/>
        <v>0</v>
      </c>
      <c r="M413" s="279" t="s">
        <v>6</v>
      </c>
      <c r="O413" s="282" t="s">
        <v>18</v>
      </c>
      <c r="P413" s="289">
        <f t="shared" ca="1" si="40"/>
        <v>0</v>
      </c>
      <c r="Q413" s="289">
        <f t="shared" ca="1" si="37"/>
        <v>0</v>
      </c>
      <c r="R413" s="289">
        <f t="shared" ca="1" si="37"/>
        <v>0</v>
      </c>
      <c r="S413" s="289">
        <f t="shared" ca="1" si="37"/>
        <v>0</v>
      </c>
      <c r="T413" s="289">
        <f t="shared" ca="1" si="37"/>
        <v>0</v>
      </c>
      <c r="U413" s="295" t="s">
        <v>6</v>
      </c>
      <c r="V413" s="289">
        <f t="shared" ca="1" si="38"/>
        <v>0</v>
      </c>
      <c r="W413" s="289">
        <f t="shared" ca="1" si="38"/>
        <v>0</v>
      </c>
      <c r="X413" s="289">
        <f t="shared" ca="1" si="38"/>
        <v>0</v>
      </c>
      <c r="Y413" s="289">
        <f t="shared" ca="1" si="38"/>
        <v>0</v>
      </c>
      <c r="Z413" s="292">
        <f t="shared" ca="1" si="38"/>
        <v>0</v>
      </c>
    </row>
    <row r="414" spans="2:26">
      <c r="B414" s="282" t="s">
        <v>17</v>
      </c>
      <c r="C414" s="278">
        <f t="shared" ca="1" si="39"/>
        <v>0</v>
      </c>
      <c r="D414" s="278">
        <f t="shared" ca="1" si="39"/>
        <v>0</v>
      </c>
      <c r="E414" s="278">
        <f t="shared" ca="1" si="39"/>
        <v>0</v>
      </c>
      <c r="F414" s="278">
        <f t="shared" ca="1" si="39"/>
        <v>0</v>
      </c>
      <c r="G414" s="278">
        <f t="shared" ca="1" si="39"/>
        <v>0</v>
      </c>
      <c r="H414" s="278">
        <f t="shared" ca="1" si="39"/>
        <v>0</v>
      </c>
      <c r="I414" s="278">
        <f t="shared" ca="1" si="39"/>
        <v>0</v>
      </c>
      <c r="J414" s="278">
        <f t="shared" ca="1" si="39"/>
        <v>0</v>
      </c>
      <c r="K414" s="278">
        <f t="shared" ca="1" si="39"/>
        <v>0</v>
      </c>
      <c r="L414" s="278">
        <f t="shared" ca="1" si="39"/>
        <v>0</v>
      </c>
      <c r="M414" s="279" t="s">
        <v>6</v>
      </c>
      <c r="O414" s="282" t="s">
        <v>17</v>
      </c>
      <c r="P414" s="289">
        <f t="shared" ca="1" si="40"/>
        <v>0</v>
      </c>
      <c r="Q414" s="289">
        <f t="shared" ca="1" si="37"/>
        <v>0</v>
      </c>
      <c r="R414" s="289">
        <f t="shared" ca="1" si="37"/>
        <v>0</v>
      </c>
      <c r="S414" s="289">
        <f t="shared" ca="1" si="37"/>
        <v>0</v>
      </c>
      <c r="T414" s="289">
        <f t="shared" ca="1" si="37"/>
        <v>0</v>
      </c>
      <c r="U414" s="295" t="s">
        <v>6</v>
      </c>
      <c r="V414" s="289">
        <f t="shared" ca="1" si="38"/>
        <v>0</v>
      </c>
      <c r="W414" s="289">
        <f t="shared" ca="1" si="38"/>
        <v>0</v>
      </c>
      <c r="X414" s="289">
        <f t="shared" ca="1" si="38"/>
        <v>0</v>
      </c>
      <c r="Y414" s="289">
        <f t="shared" ca="1" si="38"/>
        <v>0</v>
      </c>
      <c r="Z414" s="292">
        <f t="shared" ca="1" si="38"/>
        <v>0</v>
      </c>
    </row>
    <row r="415" spans="2:26">
      <c r="B415" s="282" t="s">
        <v>15</v>
      </c>
      <c r="C415" s="278">
        <f t="shared" ca="1" si="39"/>
        <v>0</v>
      </c>
      <c r="D415" s="278">
        <f t="shared" ca="1" si="39"/>
        <v>0</v>
      </c>
      <c r="E415" s="278">
        <f t="shared" ca="1" si="39"/>
        <v>0</v>
      </c>
      <c r="F415" s="278">
        <f t="shared" ca="1" si="39"/>
        <v>0</v>
      </c>
      <c r="G415" s="278">
        <f t="shared" ca="1" si="39"/>
        <v>0</v>
      </c>
      <c r="H415" s="278">
        <f t="shared" ca="1" si="39"/>
        <v>0</v>
      </c>
      <c r="I415" s="278">
        <f t="shared" ca="1" si="39"/>
        <v>0</v>
      </c>
      <c r="J415" s="278">
        <f t="shared" ca="1" si="39"/>
        <v>0</v>
      </c>
      <c r="K415" s="278">
        <f t="shared" ca="1" si="39"/>
        <v>0</v>
      </c>
      <c r="L415" s="278">
        <f t="shared" ca="1" si="39"/>
        <v>0</v>
      </c>
      <c r="M415" s="279" t="s">
        <v>6</v>
      </c>
      <c r="O415" s="282" t="s">
        <v>15</v>
      </c>
      <c r="P415" s="289">
        <f t="shared" ca="1" si="40"/>
        <v>0</v>
      </c>
      <c r="Q415" s="289">
        <f t="shared" ca="1" si="37"/>
        <v>0</v>
      </c>
      <c r="R415" s="289">
        <f t="shared" ca="1" si="37"/>
        <v>0</v>
      </c>
      <c r="S415" s="289">
        <f t="shared" ca="1" si="37"/>
        <v>0</v>
      </c>
      <c r="T415" s="289">
        <f t="shared" ca="1" si="37"/>
        <v>0</v>
      </c>
      <c r="U415" s="295" t="s">
        <v>6</v>
      </c>
      <c r="V415" s="289">
        <f t="shared" ca="1" si="38"/>
        <v>0</v>
      </c>
      <c r="W415" s="289">
        <f t="shared" ca="1" si="38"/>
        <v>0</v>
      </c>
      <c r="X415" s="289">
        <f t="shared" ca="1" si="38"/>
        <v>0</v>
      </c>
      <c r="Y415" s="289">
        <f t="shared" ca="1" si="38"/>
        <v>0</v>
      </c>
      <c r="Z415" s="292">
        <f t="shared" ca="1" si="38"/>
        <v>0</v>
      </c>
    </row>
    <row r="416" spans="2:26">
      <c r="B416" s="282" t="s">
        <v>14</v>
      </c>
      <c r="C416" s="278">
        <f t="shared" ca="1" si="39"/>
        <v>0</v>
      </c>
      <c r="D416" s="278">
        <f t="shared" ca="1" si="39"/>
        <v>0</v>
      </c>
      <c r="E416" s="278">
        <f t="shared" ca="1" si="39"/>
        <v>0</v>
      </c>
      <c r="F416" s="278">
        <f t="shared" ca="1" si="39"/>
        <v>0</v>
      </c>
      <c r="G416" s="278">
        <f t="shared" ca="1" si="39"/>
        <v>0</v>
      </c>
      <c r="H416" s="278">
        <f t="shared" ca="1" si="39"/>
        <v>0</v>
      </c>
      <c r="I416" s="278">
        <f t="shared" ca="1" si="39"/>
        <v>0</v>
      </c>
      <c r="J416" s="278">
        <f t="shared" ca="1" si="39"/>
        <v>0</v>
      </c>
      <c r="K416" s="278">
        <f t="shared" ca="1" si="39"/>
        <v>0</v>
      </c>
      <c r="L416" s="278">
        <f t="shared" ca="1" si="39"/>
        <v>0</v>
      </c>
      <c r="M416" s="279" t="s">
        <v>6</v>
      </c>
      <c r="O416" s="282" t="s">
        <v>14</v>
      </c>
      <c r="P416" s="295" t="s">
        <v>6</v>
      </c>
      <c r="Q416" s="289" t="s">
        <v>6</v>
      </c>
      <c r="R416" s="289" t="s">
        <v>6</v>
      </c>
      <c r="S416" s="289" t="s">
        <v>6</v>
      </c>
      <c r="T416" s="289" t="s">
        <v>6</v>
      </c>
      <c r="U416" s="295" t="s">
        <v>6</v>
      </c>
      <c r="V416" s="289" t="s">
        <v>6</v>
      </c>
      <c r="W416" s="289" t="s">
        <v>6</v>
      </c>
      <c r="X416" s="289" t="s">
        <v>6</v>
      </c>
      <c r="Y416" s="289" t="s">
        <v>6</v>
      </c>
      <c r="Z416" s="292" t="s">
        <v>6</v>
      </c>
    </row>
    <row r="417" spans="2:26">
      <c r="B417" s="282"/>
      <c r="C417" s="278"/>
      <c r="D417" s="278"/>
      <c r="E417" s="278"/>
      <c r="F417" s="278"/>
      <c r="G417" s="278"/>
      <c r="H417" s="278"/>
      <c r="I417" s="278"/>
      <c r="J417" s="278"/>
      <c r="K417" s="278"/>
      <c r="L417" s="278"/>
      <c r="M417" s="279"/>
      <c r="O417" s="282"/>
      <c r="P417" s="289"/>
      <c r="Q417" s="289"/>
      <c r="R417" s="289"/>
      <c r="S417" s="289"/>
      <c r="T417" s="289"/>
      <c r="U417" s="295"/>
      <c r="V417" s="289"/>
      <c r="W417" s="289"/>
      <c r="X417" s="289"/>
      <c r="Y417" s="289"/>
      <c r="Z417" s="292"/>
    </row>
    <row r="418" spans="2:26">
      <c r="B418" s="282"/>
      <c r="C418" s="278"/>
      <c r="D418" s="278"/>
      <c r="E418" s="278"/>
      <c r="F418" s="278"/>
      <c r="G418" s="278"/>
      <c r="H418" s="278"/>
      <c r="I418" s="278"/>
      <c r="J418" s="278"/>
      <c r="K418" s="278"/>
      <c r="L418" s="278"/>
      <c r="M418" s="279"/>
      <c r="O418" s="282"/>
      <c r="P418" s="289"/>
      <c r="Q418" s="289"/>
      <c r="R418" s="289"/>
      <c r="S418" s="289"/>
      <c r="T418" s="289"/>
      <c r="U418" s="295"/>
      <c r="V418" s="289"/>
      <c r="W418" s="289"/>
      <c r="X418" s="289"/>
      <c r="Y418" s="289"/>
      <c r="Z418" s="292"/>
    </row>
    <row r="419" spans="2:26">
      <c r="B419" s="282"/>
      <c r="C419" s="278"/>
      <c r="D419" s="278"/>
      <c r="E419" s="278"/>
      <c r="F419" s="278"/>
      <c r="G419" s="278"/>
      <c r="H419" s="278"/>
      <c r="I419" s="278"/>
      <c r="J419" s="278"/>
      <c r="K419" s="278"/>
      <c r="L419" s="278"/>
      <c r="M419" s="279"/>
      <c r="O419" s="282"/>
      <c r="P419" s="289"/>
      <c r="Q419" s="289"/>
      <c r="R419" s="289"/>
      <c r="S419" s="289"/>
      <c r="T419" s="289"/>
      <c r="U419" s="295"/>
      <c r="V419" s="289"/>
      <c r="W419" s="289"/>
      <c r="X419" s="289"/>
      <c r="Y419" s="289"/>
      <c r="Z419" s="292"/>
    </row>
    <row r="420" spans="2:26">
      <c r="B420" s="283"/>
      <c r="C420" s="280"/>
      <c r="D420" s="280"/>
      <c r="E420" s="280"/>
      <c r="F420" s="280"/>
      <c r="G420" s="280"/>
      <c r="H420" s="280"/>
      <c r="I420" s="280"/>
      <c r="J420" s="280"/>
      <c r="K420" s="280"/>
      <c r="L420" s="280"/>
      <c r="M420" s="281"/>
      <c r="O420" s="283"/>
      <c r="P420" s="293"/>
      <c r="Q420" s="293"/>
      <c r="R420" s="293"/>
      <c r="S420" s="293"/>
      <c r="T420" s="293"/>
      <c r="U420" s="296"/>
      <c r="V420" s="293"/>
      <c r="W420" s="293"/>
      <c r="X420" s="293"/>
      <c r="Y420" s="293"/>
      <c r="Z420" s="29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A2:Z420"/>
  <sheetViews>
    <sheetView showGridLines="0" workbookViewId="0"/>
  </sheetViews>
  <sheetFormatPr defaultRowHeight="15"/>
  <cols>
    <col min="1" max="32" width="10.7109375" style="224" customWidth="1"/>
    <col min="33" max="16384" width="9.140625" style="224"/>
  </cols>
  <sheetData>
    <row r="2" spans="1:10">
      <c r="B2" s="258" t="s">
        <v>508</v>
      </c>
    </row>
    <row r="4" spans="1:10">
      <c r="A4" s="224" t="s">
        <v>467</v>
      </c>
      <c r="B4" s="284" t="s">
        <v>475</v>
      </c>
      <c r="C4" s="284"/>
    </row>
    <row r="5" spans="1:10">
      <c r="B5" s="258" t="s">
        <v>474</v>
      </c>
      <c r="C5" s="266">
        <f ca="1">SUM(E10:E28)+SUM(J10:J28)</f>
        <v>0</v>
      </c>
    </row>
    <row r="8" spans="1:10">
      <c r="B8" s="258" t="s">
        <v>437</v>
      </c>
      <c r="E8" s="9" t="b">
        <v>1</v>
      </c>
      <c r="G8" s="258" t="s">
        <v>437</v>
      </c>
      <c r="J8" s="9" t="b">
        <v>0</v>
      </c>
    </row>
    <row r="9" spans="1:10">
      <c r="B9" s="267" t="s">
        <v>468</v>
      </c>
      <c r="C9" s="268" t="s">
        <v>469</v>
      </c>
      <c r="D9" s="268" t="s">
        <v>470</v>
      </c>
      <c r="E9" s="269" t="s">
        <v>472</v>
      </c>
      <c r="G9" s="267" t="s">
        <v>468</v>
      </c>
      <c r="H9" s="268" t="s">
        <v>469</v>
      </c>
      <c r="I9" s="268" t="s">
        <v>470</v>
      </c>
      <c r="J9" s="269" t="s">
        <v>472</v>
      </c>
    </row>
    <row r="10" spans="1:10">
      <c r="B10" s="270" t="s">
        <v>42</v>
      </c>
      <c r="C10" s="271">
        <f ca="1">'GBP Swap PVs'!S4</f>
        <v>0</v>
      </c>
      <c r="D10" s="271">
        <v>0</v>
      </c>
      <c r="E10" s="272">
        <f t="shared" ref="E10:E28" ca="1" si="0">IF(ABS(D10-C10)&gt;PriceTolerance,1,0)</f>
        <v>0</v>
      </c>
      <c r="G10" s="270" t="s">
        <v>42</v>
      </c>
      <c r="H10" s="271">
        <f ca="1">'GBP Swap PVs'!AM4</f>
        <v>-3.4694469519536142E-12</v>
      </c>
      <c r="I10" s="271">
        <v>0</v>
      </c>
      <c r="J10" s="272">
        <f t="shared" ref="J10:J28" ca="1" si="1">IF(ABS(I10-H10)&gt;PriceTolerance,1,0)</f>
        <v>0</v>
      </c>
    </row>
    <row r="11" spans="1:10">
      <c r="B11" s="270" t="s">
        <v>39</v>
      </c>
      <c r="C11" s="271">
        <f ca="1">'GBP Swap PVs'!S5</f>
        <v>0</v>
      </c>
      <c r="D11" s="271">
        <v>0</v>
      </c>
      <c r="E11" s="272">
        <f t="shared" ca="1" si="0"/>
        <v>0</v>
      </c>
      <c r="G11" s="270" t="s">
        <v>39</v>
      </c>
      <c r="H11" s="271">
        <f ca="1">'GBP Swap PVs'!AM5</f>
        <v>4.163336342344337E-11</v>
      </c>
      <c r="I11" s="271">
        <v>0</v>
      </c>
      <c r="J11" s="272">
        <f t="shared" ca="1" si="1"/>
        <v>0</v>
      </c>
    </row>
    <row r="12" spans="1:10">
      <c r="B12" s="270" t="s">
        <v>35</v>
      </c>
      <c r="C12" s="271">
        <f ca="1">'GBP Swap PVs'!S6</f>
        <v>0</v>
      </c>
      <c r="D12" s="271">
        <v>0</v>
      </c>
      <c r="E12" s="272">
        <f t="shared" ca="1" si="0"/>
        <v>0</v>
      </c>
      <c r="G12" s="270" t="s">
        <v>35</v>
      </c>
      <c r="H12" s="271">
        <f ca="1">'GBP Swap PVs'!AM6</f>
        <v>0</v>
      </c>
      <c r="I12" s="271">
        <v>0</v>
      </c>
      <c r="J12" s="272">
        <f t="shared" ca="1" si="1"/>
        <v>0</v>
      </c>
    </row>
    <row r="13" spans="1:10">
      <c r="B13" s="270" t="s">
        <v>33</v>
      </c>
      <c r="C13" s="271">
        <f ca="1">'GBP Swap PVs'!S7</f>
        <v>0</v>
      </c>
      <c r="D13" s="271">
        <v>0</v>
      </c>
      <c r="E13" s="272">
        <f t="shared" ca="1" si="0"/>
        <v>0</v>
      </c>
      <c r="G13" s="270" t="s">
        <v>33</v>
      </c>
      <c r="H13" s="271">
        <f ca="1">'GBP Swap PVs'!AM7</f>
        <v>1.1102230246251565E-10</v>
      </c>
      <c r="I13" s="271">
        <v>0</v>
      </c>
      <c r="J13" s="272">
        <f t="shared" ca="1" si="1"/>
        <v>0</v>
      </c>
    </row>
    <row r="14" spans="1:10">
      <c r="B14" s="270" t="s">
        <v>131</v>
      </c>
      <c r="C14" s="271">
        <f ca="1">'GBP Swap PVs'!S8</f>
        <v>0</v>
      </c>
      <c r="D14" s="271">
        <v>0</v>
      </c>
      <c r="E14" s="272">
        <f t="shared" ca="1" si="0"/>
        <v>0</v>
      </c>
      <c r="G14" s="270" t="s">
        <v>131</v>
      </c>
      <c r="H14" s="271">
        <f ca="1">'GBP Swap PVs'!AM8</f>
        <v>5.5511151231257827E-11</v>
      </c>
      <c r="I14" s="271">
        <v>0</v>
      </c>
      <c r="J14" s="272">
        <f t="shared" ca="1" si="1"/>
        <v>0</v>
      </c>
    </row>
    <row r="15" spans="1:10">
      <c r="B15" s="270" t="s">
        <v>31</v>
      </c>
      <c r="C15" s="271">
        <f ca="1">'GBP Swap PVs'!S9</f>
        <v>0</v>
      </c>
      <c r="D15" s="271">
        <v>0</v>
      </c>
      <c r="E15" s="272">
        <f t="shared" ca="1" si="0"/>
        <v>0</v>
      </c>
      <c r="G15" s="270" t="s">
        <v>31</v>
      </c>
      <c r="H15" s="271">
        <f ca="1">'GBP Swap PVs'!AM9</f>
        <v>1.1102230246251565E-10</v>
      </c>
      <c r="I15" s="271">
        <v>0</v>
      </c>
      <c r="J15" s="272">
        <f t="shared" ca="1" si="1"/>
        <v>0</v>
      </c>
    </row>
    <row r="16" spans="1:10">
      <c r="B16" s="270" t="s">
        <v>119</v>
      </c>
      <c r="C16" s="271">
        <f ca="1">'GBP Swap PVs'!S10</f>
        <v>0</v>
      </c>
      <c r="D16" s="271">
        <v>0</v>
      </c>
      <c r="E16" s="272">
        <f t="shared" ca="1" si="0"/>
        <v>0</v>
      </c>
      <c r="G16" s="270" t="s">
        <v>119</v>
      </c>
      <c r="H16" s="271">
        <f ca="1">'GBP Swap PVs'!AM10</f>
        <v>1.9428902930940239E-10</v>
      </c>
      <c r="I16" s="271">
        <v>0</v>
      </c>
      <c r="J16" s="272">
        <f t="shared" ca="1" si="1"/>
        <v>0</v>
      </c>
    </row>
    <row r="17" spans="1:10">
      <c r="B17" s="270" t="s">
        <v>113</v>
      </c>
      <c r="C17" s="271">
        <f ca="1">'GBP Swap PVs'!S11</f>
        <v>0</v>
      </c>
      <c r="D17" s="271">
        <v>0</v>
      </c>
      <c r="E17" s="272">
        <f t="shared" ca="1" si="0"/>
        <v>0</v>
      </c>
      <c r="G17" s="270" t="s">
        <v>113</v>
      </c>
      <c r="H17" s="271">
        <f ca="1">'GBP Swap PVs'!AM11</f>
        <v>1.9428902930940239E-10</v>
      </c>
      <c r="I17" s="271">
        <v>0</v>
      </c>
      <c r="J17" s="272">
        <f t="shared" ca="1" si="1"/>
        <v>0</v>
      </c>
    </row>
    <row r="18" spans="1:10">
      <c r="B18" s="270" t="s">
        <v>28</v>
      </c>
      <c r="C18" s="271">
        <f ca="1">'GBP Swap PVs'!S12</f>
        <v>0</v>
      </c>
      <c r="D18" s="271">
        <v>0</v>
      </c>
      <c r="E18" s="272">
        <f t="shared" ca="1" si="0"/>
        <v>0</v>
      </c>
      <c r="G18" s="270" t="s">
        <v>28</v>
      </c>
      <c r="H18" s="271">
        <f ca="1">'GBP Swap PVs'!AM12</f>
        <v>5.5511151231257827E-11</v>
      </c>
      <c r="I18" s="271">
        <v>0</v>
      </c>
      <c r="J18" s="272">
        <f t="shared" ca="1" si="1"/>
        <v>0</v>
      </c>
    </row>
    <row r="19" spans="1:10">
      <c r="B19" s="270" t="s">
        <v>26</v>
      </c>
      <c r="C19" s="271">
        <f ca="1">'GBP Swap PVs'!S13</f>
        <v>0</v>
      </c>
      <c r="D19" s="271">
        <v>0</v>
      </c>
      <c r="E19" s="272">
        <f t="shared" ca="1" si="0"/>
        <v>0</v>
      </c>
      <c r="G19" s="270" t="s">
        <v>26</v>
      </c>
      <c r="H19" s="271">
        <f ca="1">'GBP Swap PVs'!AM13</f>
        <v>5.5511151231257827E-11</v>
      </c>
      <c r="I19" s="271">
        <v>0</v>
      </c>
      <c r="J19" s="272">
        <f t="shared" ca="1" si="1"/>
        <v>0</v>
      </c>
    </row>
    <row r="20" spans="1:10">
      <c r="B20" s="270" t="s">
        <v>24</v>
      </c>
      <c r="C20" s="271">
        <f ca="1">'GBP Swap PVs'!S14</f>
        <v>0</v>
      </c>
      <c r="D20" s="271">
        <v>0</v>
      </c>
      <c r="E20" s="272">
        <f t="shared" ca="1" si="0"/>
        <v>0</v>
      </c>
      <c r="G20" s="270" t="s">
        <v>24</v>
      </c>
      <c r="H20" s="271">
        <f ca="1">'GBP Swap PVs'!AM14</f>
        <v>-5.5511151231257827E-11</v>
      </c>
      <c r="I20" s="271">
        <v>0</v>
      </c>
      <c r="J20" s="272">
        <f t="shared" ca="1" si="1"/>
        <v>0</v>
      </c>
    </row>
    <row r="21" spans="1:10">
      <c r="B21" s="270" t="s">
        <v>20</v>
      </c>
      <c r="C21" s="271">
        <f ca="1">'GBP Swap PVs'!S15</f>
        <v>0</v>
      </c>
      <c r="D21" s="271">
        <v>0</v>
      </c>
      <c r="E21" s="272">
        <f t="shared" ca="1" si="0"/>
        <v>0</v>
      </c>
      <c r="G21" s="270" t="s">
        <v>20</v>
      </c>
      <c r="H21" s="271">
        <f ca="1">'GBP Swap PVs'!AM15</f>
        <v>-1.1102230246251565E-10</v>
      </c>
      <c r="I21" s="271">
        <v>0</v>
      </c>
      <c r="J21" s="272">
        <f t="shared" ca="1" si="1"/>
        <v>0</v>
      </c>
    </row>
    <row r="22" spans="1:10">
      <c r="B22" s="270" t="s">
        <v>18</v>
      </c>
      <c r="C22" s="271">
        <f ca="1">'GBP Swap PVs'!S16</f>
        <v>0</v>
      </c>
      <c r="D22" s="271">
        <v>0</v>
      </c>
      <c r="E22" s="272">
        <f t="shared" ca="1" si="0"/>
        <v>0</v>
      </c>
      <c r="G22" s="270" t="s">
        <v>18</v>
      </c>
      <c r="H22" s="271">
        <f ca="1">'GBP Swap PVs'!AM16</f>
        <v>-1.1102230246251565E-10</v>
      </c>
      <c r="I22" s="271">
        <v>0</v>
      </c>
      <c r="J22" s="272">
        <f t="shared" ca="1" si="1"/>
        <v>0</v>
      </c>
    </row>
    <row r="23" spans="1:10">
      <c r="B23" s="270" t="s">
        <v>17</v>
      </c>
      <c r="C23" s="271">
        <f ca="1">'GBP Swap PVs'!S17</f>
        <v>0</v>
      </c>
      <c r="D23" s="271">
        <v>0</v>
      </c>
      <c r="E23" s="272">
        <f t="shared" ca="1" si="0"/>
        <v>0</v>
      </c>
      <c r="G23" s="270" t="s">
        <v>17</v>
      </c>
      <c r="H23" s="271">
        <f ca="1">'GBP Swap PVs'!AM17</f>
        <v>-1.1102230246251565E-10</v>
      </c>
      <c r="I23" s="271">
        <v>0</v>
      </c>
      <c r="J23" s="272">
        <f t="shared" ca="1" si="1"/>
        <v>0</v>
      </c>
    </row>
    <row r="24" spans="1:10">
      <c r="B24" s="270" t="s">
        <v>15</v>
      </c>
      <c r="C24" s="271">
        <f ca="1">'GBP Swap PVs'!S18</f>
        <v>0</v>
      </c>
      <c r="D24" s="271">
        <v>0</v>
      </c>
      <c r="E24" s="272">
        <f t="shared" ca="1" si="0"/>
        <v>0</v>
      </c>
      <c r="G24" s="270" t="s">
        <v>15</v>
      </c>
      <c r="H24" s="271">
        <f ca="1">'GBP Swap PVs'!AM18</f>
        <v>1.1102230246251565E-10</v>
      </c>
      <c r="I24" s="271">
        <v>0</v>
      </c>
      <c r="J24" s="272">
        <f t="shared" ca="1" si="1"/>
        <v>0</v>
      </c>
    </row>
    <row r="25" spans="1:10">
      <c r="B25" s="270" t="s">
        <v>14</v>
      </c>
      <c r="C25" s="271">
        <f ca="1">'GBP Swap PVs'!S19</f>
        <v>0</v>
      </c>
      <c r="D25" s="271">
        <v>0</v>
      </c>
      <c r="E25" s="272">
        <f t="shared" ca="1" si="0"/>
        <v>0</v>
      </c>
      <c r="G25" s="270" t="s">
        <v>14</v>
      </c>
      <c r="H25" s="271">
        <f ca="1">'GBP Swap PVs'!AM19</f>
        <v>-1.1102230246251565E-10</v>
      </c>
      <c r="I25" s="271">
        <v>0</v>
      </c>
      <c r="J25" s="272">
        <f t="shared" ca="1" si="1"/>
        <v>0</v>
      </c>
    </row>
    <row r="26" spans="1:10">
      <c r="B26" s="270"/>
      <c r="C26" s="271"/>
      <c r="D26" s="271"/>
      <c r="E26" s="272"/>
      <c r="G26" s="270"/>
      <c r="H26" s="271"/>
      <c r="I26" s="271"/>
      <c r="J26" s="272"/>
    </row>
    <row r="27" spans="1:10">
      <c r="B27" s="270"/>
      <c r="C27" s="271"/>
      <c r="D27" s="271"/>
      <c r="E27" s="272"/>
      <c r="G27" s="270"/>
      <c r="H27" s="271"/>
      <c r="I27" s="271"/>
      <c r="J27" s="272"/>
    </row>
    <row r="28" spans="1:10">
      <c r="B28" s="273"/>
      <c r="C28" s="274"/>
      <c r="D28" s="274"/>
      <c r="E28" s="275"/>
      <c r="G28" s="273"/>
      <c r="H28" s="274"/>
      <c r="I28" s="274"/>
      <c r="J28" s="275"/>
    </row>
    <row r="31" spans="1:10">
      <c r="A31" s="224" t="s">
        <v>476</v>
      </c>
      <c r="B31" s="290" t="s">
        <v>490</v>
      </c>
      <c r="C31" s="284"/>
      <c r="G31" s="290" t="s">
        <v>490</v>
      </c>
    </row>
    <row r="32" spans="1:10">
      <c r="B32" s="284" t="s">
        <v>483</v>
      </c>
      <c r="C32" s="284"/>
      <c r="G32" s="284" t="s">
        <v>484</v>
      </c>
      <c r="H32" s="284"/>
    </row>
    <row r="33" spans="2:16">
      <c r="B33" s="258" t="s">
        <v>474</v>
      </c>
      <c r="C33" s="286">
        <f ca="1">SUM(C59:L77)</f>
        <v>0</v>
      </c>
      <c r="G33" s="258" t="s">
        <v>474</v>
      </c>
      <c r="H33" s="286">
        <f ca="1">SUM(P59:Z77)</f>
        <v>0</v>
      </c>
    </row>
    <row r="35" spans="2:16">
      <c r="B35" s="258" t="s">
        <v>477</v>
      </c>
      <c r="C35" s="258"/>
    </row>
    <row r="36" spans="2:16">
      <c r="B36" s="254" t="s">
        <v>468</v>
      </c>
      <c r="C36" s="276">
        <v>-0.05</v>
      </c>
      <c r="D36" s="276">
        <v>-0.04</v>
      </c>
      <c r="E36" s="276">
        <v>-0.03</v>
      </c>
      <c r="F36" s="276">
        <v>-1.9999999999999997E-2</v>
      </c>
      <c r="G36" s="276">
        <v>-9.9999999999999967E-3</v>
      </c>
      <c r="H36" s="276">
        <v>0</v>
      </c>
      <c r="I36" s="276">
        <v>0.01</v>
      </c>
      <c r="J36" s="276">
        <v>0.02</v>
      </c>
      <c r="K36" s="276">
        <v>0.03</v>
      </c>
      <c r="L36" s="276">
        <v>0.04</v>
      </c>
      <c r="M36" s="277">
        <v>0.05</v>
      </c>
      <c r="N36" s="256"/>
      <c r="O36" s="256"/>
      <c r="P36" s="256"/>
    </row>
    <row r="37" spans="2:16">
      <c r="B37" s="282" t="s">
        <v>42</v>
      </c>
      <c r="C37" s="278">
        <f ca="1">'GBP Swap PVs'!N4</f>
        <v>99258.437527978211</v>
      </c>
      <c r="D37" s="278">
        <f ca="1">'GBP Swap PVs'!O4</f>
        <v>79406.750022382563</v>
      </c>
      <c r="E37" s="278">
        <f ca="1">'GBP Swap PVs'!P4</f>
        <v>59555.062516786915</v>
      </c>
      <c r="F37" s="278">
        <f ca="1">'GBP Swap PVs'!Q4</f>
        <v>39703.375011191274</v>
      </c>
      <c r="G37" s="278">
        <f ca="1">'GBP Swap PVs'!R4</f>
        <v>19851.687505595633</v>
      </c>
      <c r="H37" s="278">
        <f ca="1">'GBP Swap PVs'!S4</f>
        <v>0</v>
      </c>
      <c r="I37" s="278">
        <f ca="1">'GBP Swap PVs'!T4</f>
        <v>-19851.687505595641</v>
      </c>
      <c r="J37" s="278">
        <f ca="1">'GBP Swap PVs'!U4</f>
        <v>-39703.375011191274</v>
      </c>
      <c r="K37" s="278">
        <f ca="1">'GBP Swap PVs'!V4</f>
        <v>-59555.062516786922</v>
      </c>
      <c r="L37" s="278">
        <f ca="1">'GBP Swap PVs'!W4</f>
        <v>-79406.750022382563</v>
      </c>
      <c r="M37" s="279">
        <f ca="1">'GBP Swap PVs'!X4</f>
        <v>-99258.437527978211</v>
      </c>
    </row>
    <row r="38" spans="2:16">
      <c r="B38" s="282" t="s">
        <v>39</v>
      </c>
      <c r="C38" s="278">
        <f ca="1">'GBP Swap PVs'!N5</f>
        <v>147865.36992561395</v>
      </c>
      <c r="D38" s="278">
        <f ca="1">'GBP Swap PVs'!O5</f>
        <v>118292.29594049114</v>
      </c>
      <c r="E38" s="278">
        <f ca="1">'GBP Swap PVs'!P5</f>
        <v>88719.221955368354</v>
      </c>
      <c r="F38" s="278">
        <f ca="1">'GBP Swap PVs'!Q5</f>
        <v>59146.147970245562</v>
      </c>
      <c r="G38" s="278">
        <f ca="1">'GBP Swap PVs'!R5</f>
        <v>29573.073985122774</v>
      </c>
      <c r="H38" s="278">
        <f ca="1">'GBP Swap PVs'!S5</f>
        <v>0</v>
      </c>
      <c r="I38" s="278">
        <f ca="1">'GBP Swap PVs'!T5</f>
        <v>-29573.073985122795</v>
      </c>
      <c r="J38" s="278">
        <f ca="1">'GBP Swap PVs'!U5</f>
        <v>-59146.147970245576</v>
      </c>
      <c r="K38" s="278">
        <f ca="1">'GBP Swap PVs'!V5</f>
        <v>-88719.221955368354</v>
      </c>
      <c r="L38" s="278">
        <f ca="1">'GBP Swap PVs'!W5</f>
        <v>-118292.29594049115</v>
      </c>
      <c r="M38" s="279">
        <f ca="1">'GBP Swap PVs'!X5</f>
        <v>-147865.36992561395</v>
      </c>
    </row>
    <row r="39" spans="2:16">
      <c r="B39" s="282" t="s">
        <v>35</v>
      </c>
      <c r="C39" s="278">
        <f ca="1">'GBP Swap PVs'!N6</f>
        <v>195848.7564848233</v>
      </c>
      <c r="D39" s="278">
        <f ca="1">'GBP Swap PVs'!O6</f>
        <v>156679.00518785865</v>
      </c>
      <c r="E39" s="278">
        <f ca="1">'GBP Swap PVs'!P6</f>
        <v>117509.25389089398</v>
      </c>
      <c r="F39" s="278">
        <f ca="1">'GBP Swap PVs'!Q6</f>
        <v>78339.502593929312</v>
      </c>
      <c r="G39" s="278">
        <f ca="1">'GBP Swap PVs'!R6</f>
        <v>39169.751296964649</v>
      </c>
      <c r="H39" s="278">
        <f ca="1">'GBP Swap PVs'!S6</f>
        <v>0</v>
      </c>
      <c r="I39" s="278">
        <f ca="1">'GBP Swap PVs'!T6</f>
        <v>-39169.751296964649</v>
      </c>
      <c r="J39" s="278">
        <f ca="1">'GBP Swap PVs'!U6</f>
        <v>-78339.502593929326</v>
      </c>
      <c r="K39" s="278">
        <f ca="1">'GBP Swap PVs'!V6</f>
        <v>-117509.25389089398</v>
      </c>
      <c r="L39" s="278">
        <f ca="1">'GBP Swap PVs'!W6</f>
        <v>-156679.00518785862</v>
      </c>
      <c r="M39" s="279">
        <f ca="1">'GBP Swap PVs'!X6</f>
        <v>-195848.7564848233</v>
      </c>
    </row>
    <row r="40" spans="2:16">
      <c r="B40" s="282" t="s">
        <v>33</v>
      </c>
      <c r="C40" s="278">
        <f ca="1">'GBP Swap PVs'!N7</f>
        <v>242457.13075464792</v>
      </c>
      <c r="D40" s="278">
        <f ca="1">'GBP Swap PVs'!O7</f>
        <v>193965.70460371833</v>
      </c>
      <c r="E40" s="278">
        <f ca="1">'GBP Swap PVs'!P7</f>
        <v>145474.27845278874</v>
      </c>
      <c r="F40" s="278">
        <f ca="1">'GBP Swap PVs'!Q7</f>
        <v>96982.852301859137</v>
      </c>
      <c r="G40" s="278">
        <f ca="1">'GBP Swap PVs'!R7</f>
        <v>48491.426150929561</v>
      </c>
      <c r="H40" s="278">
        <f ca="1">'GBP Swap PVs'!S7</f>
        <v>0</v>
      </c>
      <c r="I40" s="278">
        <f ca="1">'GBP Swap PVs'!T7</f>
        <v>-48491.42615092959</v>
      </c>
      <c r="J40" s="278">
        <f ca="1">'GBP Swap PVs'!U7</f>
        <v>-96982.852301859166</v>
      </c>
      <c r="K40" s="278">
        <f ca="1">'GBP Swap PVs'!V7</f>
        <v>-145474.27845278877</v>
      </c>
      <c r="L40" s="278">
        <f ca="1">'GBP Swap PVs'!W7</f>
        <v>-193965.7046037183</v>
      </c>
      <c r="M40" s="279">
        <f ca="1">'GBP Swap PVs'!X7</f>
        <v>-242457.13075464792</v>
      </c>
    </row>
    <row r="41" spans="2:16">
      <c r="B41" s="282" t="s">
        <v>131</v>
      </c>
      <c r="C41" s="278">
        <f ca="1">'GBP Swap PVs'!N8</f>
        <v>288154.79235869751</v>
      </c>
      <c r="D41" s="278">
        <f ca="1">'GBP Swap PVs'!O8</f>
        <v>230523.83388695802</v>
      </c>
      <c r="E41" s="278">
        <f ca="1">'GBP Swap PVs'!P8</f>
        <v>172892.8754152185</v>
      </c>
      <c r="F41" s="278">
        <f ca="1">'GBP Swap PVs'!Q8</f>
        <v>115261.91694347899</v>
      </c>
      <c r="G41" s="278">
        <f ca="1">'GBP Swap PVs'!R8</f>
        <v>57630.958471739483</v>
      </c>
      <c r="H41" s="278">
        <f ca="1">'GBP Swap PVs'!S8</f>
        <v>0</v>
      </c>
      <c r="I41" s="278">
        <f ca="1">'GBP Swap PVs'!T8</f>
        <v>-57630.958471739505</v>
      </c>
      <c r="J41" s="278">
        <f ca="1">'GBP Swap PVs'!U8</f>
        <v>-115261.91694347902</v>
      </c>
      <c r="K41" s="278">
        <f ca="1">'GBP Swap PVs'!V8</f>
        <v>-172892.87541521847</v>
      </c>
      <c r="L41" s="278">
        <f ca="1">'GBP Swap PVs'!W8</f>
        <v>-230523.83388695802</v>
      </c>
      <c r="M41" s="279">
        <f ca="1">'GBP Swap PVs'!X8</f>
        <v>-288154.79235869751</v>
      </c>
    </row>
    <row r="42" spans="2:16">
      <c r="B42" s="282" t="s">
        <v>31</v>
      </c>
      <c r="C42" s="278">
        <f ca="1">'GBP Swap PVs'!N9</f>
        <v>332777.29112241004</v>
      </c>
      <c r="D42" s="278">
        <f ca="1">'GBP Swap PVs'!O9</f>
        <v>266221.83289792808</v>
      </c>
      <c r="E42" s="278">
        <f ca="1">'GBP Swap PVs'!P9</f>
        <v>199666.37467344603</v>
      </c>
      <c r="F42" s="278">
        <f ca="1">'GBP Swap PVs'!Q9</f>
        <v>133110.91644896401</v>
      </c>
      <c r="G42" s="278">
        <f ca="1">'GBP Swap PVs'!R9</f>
        <v>66555.45822448199</v>
      </c>
      <c r="H42" s="278">
        <f ca="1">'GBP Swap PVs'!S9</f>
        <v>0</v>
      </c>
      <c r="I42" s="278">
        <f ca="1">'GBP Swap PVs'!T9</f>
        <v>-66555.458224482005</v>
      </c>
      <c r="J42" s="278">
        <f ca="1">'GBP Swap PVs'!U9</f>
        <v>-133110.91644896407</v>
      </c>
      <c r="K42" s="278">
        <f ca="1">'GBP Swap PVs'!V9</f>
        <v>-199666.37467344606</v>
      </c>
      <c r="L42" s="278">
        <f ca="1">'GBP Swap PVs'!W9</f>
        <v>-266221.83289792808</v>
      </c>
      <c r="M42" s="279">
        <f ca="1">'GBP Swap PVs'!X9</f>
        <v>-332777.2911224101</v>
      </c>
    </row>
    <row r="43" spans="2:16">
      <c r="B43" s="282" t="s">
        <v>119</v>
      </c>
      <c r="C43" s="278">
        <f ca="1">'GBP Swap PVs'!N10</f>
        <v>376308.72409313201</v>
      </c>
      <c r="D43" s="278">
        <f ca="1">'GBP Swap PVs'!O10</f>
        <v>301046.97927450557</v>
      </c>
      <c r="E43" s="278">
        <f ca="1">'GBP Swap PVs'!P10</f>
        <v>225785.23445587917</v>
      </c>
      <c r="F43" s="278">
        <f ca="1">'GBP Swap PVs'!Q10</f>
        <v>150523.48963725276</v>
      </c>
      <c r="G43" s="278">
        <f ca="1">'GBP Swap PVs'!R10</f>
        <v>75261.744818626365</v>
      </c>
      <c r="H43" s="278">
        <f ca="1">'GBP Swap PVs'!S10</f>
        <v>0</v>
      </c>
      <c r="I43" s="278">
        <f ca="1">'GBP Swap PVs'!T10</f>
        <v>-75261.744818626408</v>
      </c>
      <c r="J43" s="278">
        <f ca="1">'GBP Swap PVs'!U10</f>
        <v>-150523.48963725282</v>
      </c>
      <c r="K43" s="278">
        <f ca="1">'GBP Swap PVs'!V10</f>
        <v>-225785.23445587917</v>
      </c>
      <c r="L43" s="278">
        <f ca="1">'GBP Swap PVs'!W10</f>
        <v>-301046.97927450563</v>
      </c>
      <c r="M43" s="279">
        <f ca="1">'GBP Swap PVs'!X10</f>
        <v>-376308.72409313201</v>
      </c>
    </row>
    <row r="44" spans="2:16">
      <c r="B44" s="282" t="s">
        <v>113</v>
      </c>
      <c r="C44" s="278">
        <f ca="1">'GBP Swap PVs'!N11</f>
        <v>419096.32897531765</v>
      </c>
      <c r="D44" s="278">
        <f ca="1">'GBP Swap PVs'!O11</f>
        <v>335277.06318025407</v>
      </c>
      <c r="E44" s="278">
        <f ca="1">'GBP Swap PVs'!P11</f>
        <v>251457.79738519058</v>
      </c>
      <c r="F44" s="278">
        <f ca="1">'GBP Swap PVs'!Q11</f>
        <v>167638.53159012704</v>
      </c>
      <c r="G44" s="278">
        <f ca="1">'GBP Swap PVs'!R11</f>
        <v>83819.265795063504</v>
      </c>
      <c r="H44" s="278">
        <f ca="1">'GBP Swap PVs'!S11</f>
        <v>0</v>
      </c>
      <c r="I44" s="278">
        <f ca="1">'GBP Swap PVs'!T11</f>
        <v>-83819.265795063489</v>
      </c>
      <c r="J44" s="278">
        <f ca="1">'GBP Swap PVs'!U11</f>
        <v>-167638.53159012704</v>
      </c>
      <c r="K44" s="278">
        <f ca="1">'GBP Swap PVs'!V11</f>
        <v>-251457.79738519053</v>
      </c>
      <c r="L44" s="278">
        <f ca="1">'GBP Swap PVs'!W11</f>
        <v>-335277.06318025407</v>
      </c>
      <c r="M44" s="279">
        <f ca="1">'GBP Swap PVs'!X11</f>
        <v>-419096.32897531759</v>
      </c>
    </row>
    <row r="45" spans="2:16">
      <c r="B45" s="282" t="s">
        <v>28</v>
      </c>
      <c r="C45" s="278">
        <f ca="1">'GBP Swap PVs'!N12</f>
        <v>460336.45975731342</v>
      </c>
      <c r="D45" s="278">
        <f ca="1">'GBP Swap PVs'!O12</f>
        <v>368269.16780585074</v>
      </c>
      <c r="E45" s="278">
        <f ca="1">'GBP Swap PVs'!P12</f>
        <v>276201.87585438805</v>
      </c>
      <c r="F45" s="278">
        <f ca="1">'GBP Swap PVs'!Q12</f>
        <v>184134.58390292534</v>
      </c>
      <c r="G45" s="278">
        <f ca="1">'GBP Swap PVs'!R12</f>
        <v>92067.291951462641</v>
      </c>
      <c r="H45" s="278">
        <f ca="1">'GBP Swap PVs'!S12</f>
        <v>0</v>
      </c>
      <c r="I45" s="278">
        <f ca="1">'GBP Swap PVs'!T12</f>
        <v>-92067.291951462685</v>
      </c>
      <c r="J45" s="278">
        <f ca="1">'GBP Swap PVs'!U12</f>
        <v>-184134.58390292537</v>
      </c>
      <c r="K45" s="278">
        <f ca="1">'GBP Swap PVs'!V12</f>
        <v>-276201.87585438805</v>
      </c>
      <c r="L45" s="278">
        <f ca="1">'GBP Swap PVs'!W12</f>
        <v>-368269.16780585074</v>
      </c>
      <c r="M45" s="279">
        <f ca="1">'GBP Swap PVs'!X12</f>
        <v>-460336.45975731354</v>
      </c>
    </row>
    <row r="46" spans="2:16">
      <c r="B46" s="282" t="s">
        <v>26</v>
      </c>
      <c r="C46" s="278">
        <f ca="1">'GBP Swap PVs'!N13</f>
        <v>539672.60962191247</v>
      </c>
      <c r="D46" s="278">
        <f ca="1">'GBP Swap PVs'!O13</f>
        <v>431738.08769752987</v>
      </c>
      <c r="E46" s="278">
        <f ca="1">'GBP Swap PVs'!P13</f>
        <v>323803.56577314739</v>
      </c>
      <c r="F46" s="278">
        <f ca="1">'GBP Swap PVs'!Q13</f>
        <v>215869.04384876491</v>
      </c>
      <c r="G46" s="278">
        <f ca="1">'GBP Swap PVs'!R13</f>
        <v>107934.52192438244</v>
      </c>
      <c r="H46" s="278">
        <f ca="1">'GBP Swap PVs'!S13</f>
        <v>0</v>
      </c>
      <c r="I46" s="278">
        <f ca="1">'GBP Swap PVs'!T13</f>
        <v>-107934.52192438247</v>
      </c>
      <c r="J46" s="278">
        <f ca="1">'GBP Swap PVs'!U13</f>
        <v>-215869.04384876488</v>
      </c>
      <c r="K46" s="278">
        <f ca="1">'GBP Swap PVs'!V13</f>
        <v>-323803.56577314739</v>
      </c>
      <c r="L46" s="278">
        <f ca="1">'GBP Swap PVs'!W13</f>
        <v>-431738.08769752987</v>
      </c>
      <c r="M46" s="279">
        <f ca="1">'GBP Swap PVs'!X13</f>
        <v>-539672.60962191236</v>
      </c>
    </row>
    <row r="47" spans="2:16">
      <c r="B47" s="282" t="s">
        <v>24</v>
      </c>
      <c r="C47" s="278">
        <f ca="1">'GBP Swap PVs'!N14</f>
        <v>651221.71456541598</v>
      </c>
      <c r="D47" s="278">
        <f ca="1">'GBP Swap PVs'!O14</f>
        <v>520977.37165233272</v>
      </c>
      <c r="E47" s="278">
        <f ca="1">'GBP Swap PVs'!P14</f>
        <v>390733.02873924951</v>
      </c>
      <c r="F47" s="278">
        <f ca="1">'GBP Swap PVs'!Q14</f>
        <v>260488.68582616636</v>
      </c>
      <c r="G47" s="278">
        <f ca="1">'GBP Swap PVs'!R14</f>
        <v>130244.34291308315</v>
      </c>
      <c r="H47" s="278">
        <f ca="1">'GBP Swap PVs'!S14</f>
        <v>0</v>
      </c>
      <c r="I47" s="278">
        <f ca="1">'GBP Swap PVs'!T14</f>
        <v>-130244.34291308318</v>
      </c>
      <c r="J47" s="278">
        <f ca="1">'GBP Swap PVs'!U14</f>
        <v>-260488.68582616642</v>
      </c>
      <c r="K47" s="278">
        <f ca="1">'GBP Swap PVs'!V14</f>
        <v>-390733.02873924945</v>
      </c>
      <c r="L47" s="278">
        <f ca="1">'GBP Swap PVs'!W14</f>
        <v>-520977.37165233248</v>
      </c>
      <c r="M47" s="279">
        <f ca="1">'GBP Swap PVs'!X14</f>
        <v>-651221.71456541575</v>
      </c>
    </row>
    <row r="48" spans="2:16">
      <c r="B48" s="282" t="s">
        <v>20</v>
      </c>
      <c r="C48" s="278">
        <f ca="1">'GBP Swap PVs'!N15</f>
        <v>817694.6631231932</v>
      </c>
      <c r="D48" s="278">
        <f ca="1">'GBP Swap PVs'!O15</f>
        <v>654155.73049855453</v>
      </c>
      <c r="E48" s="278">
        <f ca="1">'GBP Swap PVs'!P15</f>
        <v>490616.79787391587</v>
      </c>
      <c r="F48" s="278">
        <f ca="1">'GBP Swap PVs'!Q15</f>
        <v>327077.86524927715</v>
      </c>
      <c r="G48" s="278">
        <f ca="1">'GBP Swap PVs'!R15</f>
        <v>163538.93262463858</v>
      </c>
      <c r="H48" s="278">
        <f ca="1">'GBP Swap PVs'!S15</f>
        <v>0</v>
      </c>
      <c r="I48" s="278">
        <f ca="1">'GBP Swap PVs'!T15</f>
        <v>-163538.93262463863</v>
      </c>
      <c r="J48" s="278">
        <f ca="1">'GBP Swap PVs'!U15</f>
        <v>-327077.86524927733</v>
      </c>
      <c r="K48" s="278">
        <f ca="1">'GBP Swap PVs'!V15</f>
        <v>-490616.79787391593</v>
      </c>
      <c r="L48" s="278">
        <f ca="1">'GBP Swap PVs'!W15</f>
        <v>-654155.73049855453</v>
      </c>
      <c r="M48" s="279">
        <f ca="1">'GBP Swap PVs'!X15</f>
        <v>-817694.66312319343</v>
      </c>
    </row>
    <row r="49" spans="2:26">
      <c r="B49" s="282" t="s">
        <v>18</v>
      </c>
      <c r="C49" s="278">
        <f ca="1">'GBP Swap PVs'!N16</f>
        <v>964946.47158325405</v>
      </c>
      <c r="D49" s="278">
        <f ca="1">'GBP Swap PVs'!O16</f>
        <v>771957.17726660322</v>
      </c>
      <c r="E49" s="278">
        <f ca="1">'GBP Swap PVs'!P16</f>
        <v>578967.88294995239</v>
      </c>
      <c r="F49" s="278">
        <f ca="1">'GBP Swap PVs'!Q16</f>
        <v>385978.58863330155</v>
      </c>
      <c r="G49" s="278">
        <f ca="1">'GBP Swap PVs'!R16</f>
        <v>192989.29431665075</v>
      </c>
      <c r="H49" s="278">
        <f ca="1">'GBP Swap PVs'!S16</f>
        <v>0</v>
      </c>
      <c r="I49" s="278">
        <f ca="1">'GBP Swap PVs'!T16</f>
        <v>-192989.29431665075</v>
      </c>
      <c r="J49" s="278">
        <f ca="1">'GBP Swap PVs'!U16</f>
        <v>-385978.58863330167</v>
      </c>
      <c r="K49" s="278">
        <f ca="1">'GBP Swap PVs'!V16</f>
        <v>-578967.8829499525</v>
      </c>
      <c r="L49" s="278">
        <f ca="1">'GBP Swap PVs'!W16</f>
        <v>-771957.17726660322</v>
      </c>
      <c r="M49" s="279">
        <f ca="1">'GBP Swap PVs'!X16</f>
        <v>-964946.47158325405</v>
      </c>
    </row>
    <row r="50" spans="2:26">
      <c r="B50" s="282" t="s">
        <v>17</v>
      </c>
      <c r="C50" s="278">
        <f ca="1">'GBP Swap PVs'!N17</f>
        <v>1095875.5704726891</v>
      </c>
      <c r="D50" s="278">
        <f ca="1">'GBP Swap PVs'!O17</f>
        <v>876700.45637815108</v>
      </c>
      <c r="E50" s="278">
        <f ca="1">'GBP Swap PVs'!P17</f>
        <v>657525.34228361328</v>
      </c>
      <c r="F50" s="278">
        <f ca="1">'GBP Swap PVs'!Q17</f>
        <v>438350.22818907542</v>
      </c>
      <c r="G50" s="278">
        <f ca="1">'GBP Swap PVs'!R17</f>
        <v>219175.11409453765</v>
      </c>
      <c r="H50" s="278">
        <f ca="1">'GBP Swap PVs'!S17</f>
        <v>0</v>
      </c>
      <c r="I50" s="278">
        <f ca="1">'GBP Swap PVs'!T17</f>
        <v>-219175.11409453771</v>
      </c>
      <c r="J50" s="278">
        <f ca="1">'GBP Swap PVs'!U17</f>
        <v>-438350.22818907554</v>
      </c>
      <c r="K50" s="278">
        <f ca="1">'GBP Swap PVs'!V17</f>
        <v>-657525.34228361351</v>
      </c>
      <c r="L50" s="278">
        <f ca="1">'GBP Swap PVs'!W17</f>
        <v>-876700.45637815096</v>
      </c>
      <c r="M50" s="279">
        <f ca="1">'GBP Swap PVs'!X17</f>
        <v>-1095875.5704726891</v>
      </c>
    </row>
    <row r="51" spans="2:26">
      <c r="B51" s="282" t="s">
        <v>15</v>
      </c>
      <c r="C51" s="278">
        <f ca="1">'GBP Swap PVs'!N18</f>
        <v>1318174.9079456276</v>
      </c>
      <c r="D51" s="278">
        <f ca="1">'GBP Swap PVs'!O18</f>
        <v>1054539.9263565021</v>
      </c>
      <c r="E51" s="278">
        <f ca="1">'GBP Swap PVs'!P18</f>
        <v>790904.94476737652</v>
      </c>
      <c r="F51" s="278">
        <f ca="1">'GBP Swap PVs'!Q18</f>
        <v>527269.96317825094</v>
      </c>
      <c r="G51" s="278">
        <f ca="1">'GBP Swap PVs'!R18</f>
        <v>263634.98158912541</v>
      </c>
      <c r="H51" s="278">
        <f ca="1">'GBP Swap PVs'!S18</f>
        <v>0</v>
      </c>
      <c r="I51" s="278">
        <f ca="1">'GBP Swap PVs'!T18</f>
        <v>-263634.98158912547</v>
      </c>
      <c r="J51" s="278">
        <f ca="1">'GBP Swap PVs'!U18</f>
        <v>-527269.96317825106</v>
      </c>
      <c r="K51" s="278">
        <f ca="1">'GBP Swap PVs'!V18</f>
        <v>-790904.94476737629</v>
      </c>
      <c r="L51" s="278">
        <f ca="1">'GBP Swap PVs'!W18</f>
        <v>-1054539.9263565019</v>
      </c>
      <c r="M51" s="279">
        <f ca="1">'GBP Swap PVs'!X18</f>
        <v>-1318174.9079456276</v>
      </c>
    </row>
    <row r="52" spans="2:26">
      <c r="B52" s="282" t="s">
        <v>14</v>
      </c>
      <c r="C52" s="278">
        <f ca="1">'GBP Swap PVs'!N19</f>
        <v>1498623.2347463313</v>
      </c>
      <c r="D52" s="278">
        <f ca="1">'GBP Swap PVs'!O19</f>
        <v>1198898.587797065</v>
      </c>
      <c r="E52" s="278">
        <f ca="1">'GBP Swap PVs'!P19</f>
        <v>899173.94084779872</v>
      </c>
      <c r="F52" s="278">
        <f ca="1">'GBP Swap PVs'!Q19</f>
        <v>599449.2938985324</v>
      </c>
      <c r="G52" s="278">
        <f ca="1">'GBP Swap PVs'!R19</f>
        <v>299724.64694926614</v>
      </c>
      <c r="H52" s="278">
        <f ca="1">'GBP Swap PVs'!S19</f>
        <v>0</v>
      </c>
      <c r="I52" s="278">
        <f ca="1">'GBP Swap PVs'!T19</f>
        <v>-299724.64694926626</v>
      </c>
      <c r="J52" s="278">
        <f ca="1">'GBP Swap PVs'!U19</f>
        <v>-599449.29389853252</v>
      </c>
      <c r="K52" s="278">
        <f ca="1">'GBP Swap PVs'!V19</f>
        <v>-899173.94084779883</v>
      </c>
      <c r="L52" s="278">
        <f ca="1">'GBP Swap PVs'!W19</f>
        <v>-1198898.587797065</v>
      </c>
      <c r="M52" s="279">
        <f ca="1">'GBP Swap PVs'!X19</f>
        <v>-1498623.2347463313</v>
      </c>
    </row>
    <row r="53" spans="2:26">
      <c r="B53" s="282"/>
      <c r="C53" s="278"/>
      <c r="D53" s="278"/>
      <c r="E53" s="278"/>
      <c r="F53" s="278"/>
      <c r="G53" s="278"/>
      <c r="H53" s="278"/>
      <c r="I53" s="278"/>
      <c r="J53" s="278"/>
      <c r="K53" s="278"/>
      <c r="L53" s="278"/>
      <c r="M53" s="279"/>
    </row>
    <row r="54" spans="2:26">
      <c r="B54" s="282"/>
      <c r="C54" s="278"/>
      <c r="D54" s="278"/>
      <c r="E54" s="278"/>
      <c r="F54" s="278"/>
      <c r="G54" s="278"/>
      <c r="H54" s="278"/>
      <c r="I54" s="278"/>
      <c r="J54" s="278"/>
      <c r="K54" s="278"/>
      <c r="L54" s="278"/>
      <c r="M54" s="279"/>
    </row>
    <row r="55" spans="2:26">
      <c r="B55" s="283"/>
      <c r="C55" s="280"/>
      <c r="D55" s="280"/>
      <c r="E55" s="280"/>
      <c r="F55" s="280"/>
      <c r="G55" s="280"/>
      <c r="H55" s="280"/>
      <c r="I55" s="280"/>
      <c r="J55" s="280"/>
      <c r="K55" s="280"/>
      <c r="L55" s="280"/>
      <c r="M55" s="281"/>
    </row>
    <row r="57" spans="2:26">
      <c r="B57" s="258" t="s">
        <v>472</v>
      </c>
      <c r="O57" s="258" t="s">
        <v>472</v>
      </c>
    </row>
    <row r="58" spans="2:26">
      <c r="B58" s="254" t="s">
        <v>468</v>
      </c>
      <c r="C58" s="276">
        <v>-0.05</v>
      </c>
      <c r="D58" s="276">
        <v>-0.04</v>
      </c>
      <c r="E58" s="276">
        <v>-0.03</v>
      </c>
      <c r="F58" s="276">
        <v>-1.9999999999999997E-2</v>
      </c>
      <c r="G58" s="276">
        <v>-9.9999999999999967E-3</v>
      </c>
      <c r="H58" s="276">
        <v>0</v>
      </c>
      <c r="I58" s="276">
        <v>0.01</v>
      </c>
      <c r="J58" s="276">
        <v>0.02</v>
      </c>
      <c r="K58" s="276">
        <v>0.03</v>
      </c>
      <c r="L58" s="276">
        <v>0.04</v>
      </c>
      <c r="M58" s="277">
        <v>0.05</v>
      </c>
      <c r="O58" s="254" t="s">
        <v>468</v>
      </c>
      <c r="P58" s="276">
        <v>-0.05</v>
      </c>
      <c r="Q58" s="276">
        <v>-0.04</v>
      </c>
      <c r="R58" s="276">
        <v>-0.03</v>
      </c>
      <c r="S58" s="276">
        <v>-1.9999999999999997E-2</v>
      </c>
      <c r="T58" s="276">
        <v>-9.9999999999999967E-3</v>
      </c>
      <c r="U58" s="276">
        <v>0</v>
      </c>
      <c r="V58" s="276">
        <v>0.01</v>
      </c>
      <c r="W58" s="276">
        <v>0.02</v>
      </c>
      <c r="X58" s="276">
        <v>0.03</v>
      </c>
      <c r="Y58" s="276">
        <v>0.04</v>
      </c>
      <c r="Z58" s="277">
        <v>0.05</v>
      </c>
    </row>
    <row r="59" spans="2:26">
      <c r="B59" s="282" t="s">
        <v>42</v>
      </c>
      <c r="C59" s="278">
        <f ca="1">IF(C37&gt;D37,0,1)</f>
        <v>0</v>
      </c>
      <c r="D59" s="278">
        <f t="shared" ref="D59:L59" ca="1" si="2">IF(D37&gt;E37,0,1)</f>
        <v>0</v>
      </c>
      <c r="E59" s="278">
        <f t="shared" ca="1" si="2"/>
        <v>0</v>
      </c>
      <c r="F59" s="278">
        <f t="shared" ca="1" si="2"/>
        <v>0</v>
      </c>
      <c r="G59" s="278">
        <f t="shared" ca="1" si="2"/>
        <v>0</v>
      </c>
      <c r="H59" s="278">
        <f t="shared" ca="1" si="2"/>
        <v>0</v>
      </c>
      <c r="I59" s="278">
        <f t="shared" ca="1" si="2"/>
        <v>0</v>
      </c>
      <c r="J59" s="278">
        <f t="shared" ca="1" si="2"/>
        <v>0</v>
      </c>
      <c r="K59" s="278">
        <f t="shared" ca="1" si="2"/>
        <v>0</v>
      </c>
      <c r="L59" s="278">
        <f t="shared" ca="1" si="2"/>
        <v>0</v>
      </c>
      <c r="M59" s="285" t="s">
        <v>6</v>
      </c>
      <c r="O59" s="282" t="s">
        <v>42</v>
      </c>
      <c r="P59" s="289">
        <f ca="1">IF(ABS(C38)&gt;ABS(C37),0,1)</f>
        <v>0</v>
      </c>
      <c r="Q59" s="289">
        <f t="shared" ref="Q59:Q73" ca="1" si="3">IF(ABS(D38)&gt;ABS(D37),0,1)</f>
        <v>0</v>
      </c>
      <c r="R59" s="289">
        <f t="shared" ref="R59:R73" ca="1" si="4">IF(ABS(E38)&gt;ABS(E37),0,1)</f>
        <v>0</v>
      </c>
      <c r="S59" s="289">
        <f t="shared" ref="S59:S73" ca="1" si="5">IF(ABS(F38)&gt;ABS(F37),0,1)</f>
        <v>0</v>
      </c>
      <c r="T59" s="289">
        <f t="shared" ref="T59:T73" ca="1" si="6">IF(ABS(G38)&gt;ABS(G37),0,1)</f>
        <v>0</v>
      </c>
      <c r="U59" s="295" t="s">
        <v>6</v>
      </c>
      <c r="V59" s="289">
        <f t="shared" ref="V59:V73" ca="1" si="7">IF(ABS(I38)&gt;ABS(I37),0,1)</f>
        <v>0</v>
      </c>
      <c r="W59" s="289">
        <f t="shared" ref="W59:W73" ca="1" si="8">IF(ABS(J38)&gt;ABS(J37),0,1)</f>
        <v>0</v>
      </c>
      <c r="X59" s="289">
        <f t="shared" ref="X59:X73" ca="1" si="9">IF(ABS(K38)&gt;ABS(K37),0,1)</f>
        <v>0</v>
      </c>
      <c r="Y59" s="289">
        <f t="shared" ref="Y59:Y73" ca="1" si="10">IF(ABS(L38)&gt;ABS(L37),0,1)</f>
        <v>0</v>
      </c>
      <c r="Z59" s="291">
        <f t="shared" ref="Z59:Z73" ca="1" si="11">IF(ABS(M38)&gt;ABS(M37),0,1)</f>
        <v>0</v>
      </c>
    </row>
    <row r="60" spans="2:26">
      <c r="B60" s="282" t="s">
        <v>39</v>
      </c>
      <c r="C60" s="278">
        <f t="shared" ref="C60:L75" ca="1" si="12">IF(C38&gt;D38,0,1)</f>
        <v>0</v>
      </c>
      <c r="D60" s="278">
        <f t="shared" ca="1" si="12"/>
        <v>0</v>
      </c>
      <c r="E60" s="278">
        <f t="shared" ca="1" si="12"/>
        <v>0</v>
      </c>
      <c r="F60" s="278">
        <f t="shared" ca="1" si="12"/>
        <v>0</v>
      </c>
      <c r="G60" s="278">
        <f t="shared" ca="1" si="12"/>
        <v>0</v>
      </c>
      <c r="H60" s="278">
        <f t="shared" ca="1" si="12"/>
        <v>0</v>
      </c>
      <c r="I60" s="278">
        <f t="shared" ca="1" si="12"/>
        <v>0</v>
      </c>
      <c r="J60" s="278">
        <f t="shared" ca="1" si="12"/>
        <v>0</v>
      </c>
      <c r="K60" s="278">
        <f t="shared" ca="1" si="12"/>
        <v>0</v>
      </c>
      <c r="L60" s="278">
        <f t="shared" ca="1" si="12"/>
        <v>0</v>
      </c>
      <c r="M60" s="279" t="s">
        <v>6</v>
      </c>
      <c r="O60" s="282" t="s">
        <v>39</v>
      </c>
      <c r="P60" s="289">
        <f t="shared" ref="P60:P73" ca="1" si="13">IF(ABS(C39)&gt;ABS(C38),0,1)</f>
        <v>0</v>
      </c>
      <c r="Q60" s="289">
        <f t="shared" ca="1" si="3"/>
        <v>0</v>
      </c>
      <c r="R60" s="289">
        <f t="shared" ca="1" si="4"/>
        <v>0</v>
      </c>
      <c r="S60" s="289">
        <f t="shared" ca="1" si="5"/>
        <v>0</v>
      </c>
      <c r="T60" s="289">
        <f t="shared" ca="1" si="6"/>
        <v>0</v>
      </c>
      <c r="U60" s="295" t="s">
        <v>6</v>
      </c>
      <c r="V60" s="289">
        <f t="shared" ca="1" si="7"/>
        <v>0</v>
      </c>
      <c r="W60" s="289">
        <f t="shared" ca="1" si="8"/>
        <v>0</v>
      </c>
      <c r="X60" s="289">
        <f t="shared" ca="1" si="9"/>
        <v>0</v>
      </c>
      <c r="Y60" s="289">
        <f t="shared" ca="1" si="10"/>
        <v>0</v>
      </c>
      <c r="Z60" s="292">
        <f t="shared" ca="1" si="11"/>
        <v>0</v>
      </c>
    </row>
    <row r="61" spans="2:26">
      <c r="B61" s="282" t="s">
        <v>35</v>
      </c>
      <c r="C61" s="278">
        <f t="shared" ca="1" si="12"/>
        <v>0</v>
      </c>
      <c r="D61" s="278">
        <f t="shared" ca="1" si="12"/>
        <v>0</v>
      </c>
      <c r="E61" s="278">
        <f t="shared" ca="1" si="12"/>
        <v>0</v>
      </c>
      <c r="F61" s="278">
        <f t="shared" ca="1" si="12"/>
        <v>0</v>
      </c>
      <c r="G61" s="278">
        <f t="shared" ca="1" si="12"/>
        <v>0</v>
      </c>
      <c r="H61" s="278">
        <f t="shared" ca="1" si="12"/>
        <v>0</v>
      </c>
      <c r="I61" s="278">
        <f t="shared" ca="1" si="12"/>
        <v>0</v>
      </c>
      <c r="J61" s="278">
        <f t="shared" ca="1" si="12"/>
        <v>0</v>
      </c>
      <c r="K61" s="278">
        <f t="shared" ca="1" si="12"/>
        <v>0</v>
      </c>
      <c r="L61" s="278">
        <f t="shared" ca="1" si="12"/>
        <v>0</v>
      </c>
      <c r="M61" s="279" t="s">
        <v>6</v>
      </c>
      <c r="O61" s="282" t="s">
        <v>35</v>
      </c>
      <c r="P61" s="289">
        <f t="shared" ca="1" si="13"/>
        <v>0</v>
      </c>
      <c r="Q61" s="289">
        <f t="shared" ca="1" si="3"/>
        <v>0</v>
      </c>
      <c r="R61" s="289">
        <f t="shared" ca="1" si="4"/>
        <v>0</v>
      </c>
      <c r="S61" s="289">
        <f t="shared" ca="1" si="5"/>
        <v>0</v>
      </c>
      <c r="T61" s="289">
        <f t="shared" ca="1" si="6"/>
        <v>0</v>
      </c>
      <c r="U61" s="295" t="s">
        <v>6</v>
      </c>
      <c r="V61" s="289">
        <f t="shared" ca="1" si="7"/>
        <v>0</v>
      </c>
      <c r="W61" s="289">
        <f t="shared" ca="1" si="8"/>
        <v>0</v>
      </c>
      <c r="X61" s="289">
        <f t="shared" ca="1" si="9"/>
        <v>0</v>
      </c>
      <c r="Y61" s="289">
        <f t="shared" ca="1" si="10"/>
        <v>0</v>
      </c>
      <c r="Z61" s="292">
        <f t="shared" ca="1" si="11"/>
        <v>0</v>
      </c>
    </row>
    <row r="62" spans="2:26">
      <c r="B62" s="282" t="s">
        <v>33</v>
      </c>
      <c r="C62" s="278">
        <f t="shared" ca="1" si="12"/>
        <v>0</v>
      </c>
      <c r="D62" s="278">
        <f t="shared" ca="1" si="12"/>
        <v>0</v>
      </c>
      <c r="E62" s="278">
        <f t="shared" ca="1" si="12"/>
        <v>0</v>
      </c>
      <c r="F62" s="278">
        <f t="shared" ca="1" si="12"/>
        <v>0</v>
      </c>
      <c r="G62" s="278">
        <f t="shared" ca="1" si="12"/>
        <v>0</v>
      </c>
      <c r="H62" s="278">
        <f t="shared" ca="1" si="12"/>
        <v>0</v>
      </c>
      <c r="I62" s="278">
        <f t="shared" ca="1" si="12"/>
        <v>0</v>
      </c>
      <c r="J62" s="278">
        <f t="shared" ca="1" si="12"/>
        <v>0</v>
      </c>
      <c r="K62" s="278">
        <f t="shared" ca="1" si="12"/>
        <v>0</v>
      </c>
      <c r="L62" s="278">
        <f t="shared" ca="1" si="12"/>
        <v>0</v>
      </c>
      <c r="M62" s="279" t="s">
        <v>6</v>
      </c>
      <c r="O62" s="282" t="s">
        <v>33</v>
      </c>
      <c r="P62" s="289">
        <f t="shared" ca="1" si="13"/>
        <v>0</v>
      </c>
      <c r="Q62" s="289">
        <f t="shared" ca="1" si="3"/>
        <v>0</v>
      </c>
      <c r="R62" s="289">
        <f t="shared" ca="1" si="4"/>
        <v>0</v>
      </c>
      <c r="S62" s="289">
        <f t="shared" ca="1" si="5"/>
        <v>0</v>
      </c>
      <c r="T62" s="289">
        <f t="shared" ca="1" si="6"/>
        <v>0</v>
      </c>
      <c r="U62" s="295" t="s">
        <v>6</v>
      </c>
      <c r="V62" s="289">
        <f t="shared" ca="1" si="7"/>
        <v>0</v>
      </c>
      <c r="W62" s="289">
        <f t="shared" ca="1" si="8"/>
        <v>0</v>
      </c>
      <c r="X62" s="289">
        <f t="shared" ca="1" si="9"/>
        <v>0</v>
      </c>
      <c r="Y62" s="289">
        <f t="shared" ca="1" si="10"/>
        <v>0</v>
      </c>
      <c r="Z62" s="292">
        <f t="shared" ca="1" si="11"/>
        <v>0</v>
      </c>
    </row>
    <row r="63" spans="2:26">
      <c r="B63" s="282" t="s">
        <v>131</v>
      </c>
      <c r="C63" s="278">
        <f t="shared" ca="1" si="12"/>
        <v>0</v>
      </c>
      <c r="D63" s="278">
        <f t="shared" ca="1" si="12"/>
        <v>0</v>
      </c>
      <c r="E63" s="278">
        <f t="shared" ca="1" si="12"/>
        <v>0</v>
      </c>
      <c r="F63" s="278">
        <f t="shared" ca="1" si="12"/>
        <v>0</v>
      </c>
      <c r="G63" s="278">
        <f t="shared" ca="1" si="12"/>
        <v>0</v>
      </c>
      <c r="H63" s="278">
        <f t="shared" ca="1" si="12"/>
        <v>0</v>
      </c>
      <c r="I63" s="278">
        <f t="shared" ca="1" si="12"/>
        <v>0</v>
      </c>
      <c r="J63" s="278">
        <f t="shared" ca="1" si="12"/>
        <v>0</v>
      </c>
      <c r="K63" s="278">
        <f t="shared" ca="1" si="12"/>
        <v>0</v>
      </c>
      <c r="L63" s="278">
        <f t="shared" ca="1" si="12"/>
        <v>0</v>
      </c>
      <c r="M63" s="279" t="s">
        <v>6</v>
      </c>
      <c r="O63" s="282" t="s">
        <v>131</v>
      </c>
      <c r="P63" s="289">
        <f t="shared" ca="1" si="13"/>
        <v>0</v>
      </c>
      <c r="Q63" s="289">
        <f t="shared" ca="1" si="3"/>
        <v>0</v>
      </c>
      <c r="R63" s="289">
        <f t="shared" ca="1" si="4"/>
        <v>0</v>
      </c>
      <c r="S63" s="289">
        <f t="shared" ca="1" si="5"/>
        <v>0</v>
      </c>
      <c r="T63" s="289">
        <f t="shared" ca="1" si="6"/>
        <v>0</v>
      </c>
      <c r="U63" s="295" t="s">
        <v>6</v>
      </c>
      <c r="V63" s="289">
        <f t="shared" ca="1" si="7"/>
        <v>0</v>
      </c>
      <c r="W63" s="289">
        <f t="shared" ca="1" si="8"/>
        <v>0</v>
      </c>
      <c r="X63" s="289">
        <f t="shared" ca="1" si="9"/>
        <v>0</v>
      </c>
      <c r="Y63" s="289">
        <f t="shared" ca="1" si="10"/>
        <v>0</v>
      </c>
      <c r="Z63" s="292">
        <f t="shared" ca="1" si="11"/>
        <v>0</v>
      </c>
    </row>
    <row r="64" spans="2:26">
      <c r="B64" s="282" t="s">
        <v>31</v>
      </c>
      <c r="C64" s="278">
        <f t="shared" ca="1" si="12"/>
        <v>0</v>
      </c>
      <c r="D64" s="278">
        <f t="shared" ca="1" si="12"/>
        <v>0</v>
      </c>
      <c r="E64" s="278">
        <f t="shared" ca="1" si="12"/>
        <v>0</v>
      </c>
      <c r="F64" s="278">
        <f t="shared" ca="1" si="12"/>
        <v>0</v>
      </c>
      <c r="G64" s="278">
        <f t="shared" ca="1" si="12"/>
        <v>0</v>
      </c>
      <c r="H64" s="278">
        <f t="shared" ca="1" si="12"/>
        <v>0</v>
      </c>
      <c r="I64" s="278">
        <f t="shared" ca="1" si="12"/>
        <v>0</v>
      </c>
      <c r="J64" s="278">
        <f t="shared" ca="1" si="12"/>
        <v>0</v>
      </c>
      <c r="K64" s="278">
        <f t="shared" ca="1" si="12"/>
        <v>0</v>
      </c>
      <c r="L64" s="278">
        <f t="shared" ca="1" si="12"/>
        <v>0</v>
      </c>
      <c r="M64" s="279" t="s">
        <v>6</v>
      </c>
      <c r="O64" s="282" t="s">
        <v>31</v>
      </c>
      <c r="P64" s="289">
        <f t="shared" ca="1" si="13"/>
        <v>0</v>
      </c>
      <c r="Q64" s="289">
        <f t="shared" ca="1" si="3"/>
        <v>0</v>
      </c>
      <c r="R64" s="289">
        <f t="shared" ca="1" si="4"/>
        <v>0</v>
      </c>
      <c r="S64" s="289">
        <f t="shared" ca="1" si="5"/>
        <v>0</v>
      </c>
      <c r="T64" s="289">
        <f t="shared" ca="1" si="6"/>
        <v>0</v>
      </c>
      <c r="U64" s="295" t="s">
        <v>6</v>
      </c>
      <c r="V64" s="289">
        <f t="shared" ca="1" si="7"/>
        <v>0</v>
      </c>
      <c r="W64" s="289">
        <f t="shared" ca="1" si="8"/>
        <v>0</v>
      </c>
      <c r="X64" s="289">
        <f t="shared" ca="1" si="9"/>
        <v>0</v>
      </c>
      <c r="Y64" s="289">
        <f t="shared" ca="1" si="10"/>
        <v>0</v>
      </c>
      <c r="Z64" s="292">
        <f t="shared" ca="1" si="11"/>
        <v>0</v>
      </c>
    </row>
    <row r="65" spans="1:26">
      <c r="B65" s="282" t="s">
        <v>119</v>
      </c>
      <c r="C65" s="278">
        <f t="shared" ca="1" si="12"/>
        <v>0</v>
      </c>
      <c r="D65" s="278">
        <f t="shared" ca="1" si="12"/>
        <v>0</v>
      </c>
      <c r="E65" s="278">
        <f t="shared" ca="1" si="12"/>
        <v>0</v>
      </c>
      <c r="F65" s="278">
        <f t="shared" ca="1" si="12"/>
        <v>0</v>
      </c>
      <c r="G65" s="278">
        <f t="shared" ca="1" si="12"/>
        <v>0</v>
      </c>
      <c r="H65" s="278">
        <f t="shared" ca="1" si="12"/>
        <v>0</v>
      </c>
      <c r="I65" s="278">
        <f t="shared" ca="1" si="12"/>
        <v>0</v>
      </c>
      <c r="J65" s="278">
        <f t="shared" ca="1" si="12"/>
        <v>0</v>
      </c>
      <c r="K65" s="278">
        <f t="shared" ca="1" si="12"/>
        <v>0</v>
      </c>
      <c r="L65" s="278">
        <f t="shared" ca="1" si="12"/>
        <v>0</v>
      </c>
      <c r="M65" s="279" t="s">
        <v>6</v>
      </c>
      <c r="O65" s="282" t="s">
        <v>119</v>
      </c>
      <c r="P65" s="289">
        <f t="shared" ca="1" si="13"/>
        <v>0</v>
      </c>
      <c r="Q65" s="289">
        <f t="shared" ca="1" si="3"/>
        <v>0</v>
      </c>
      <c r="R65" s="289">
        <f t="shared" ca="1" si="4"/>
        <v>0</v>
      </c>
      <c r="S65" s="289">
        <f t="shared" ca="1" si="5"/>
        <v>0</v>
      </c>
      <c r="T65" s="289">
        <f t="shared" ca="1" si="6"/>
        <v>0</v>
      </c>
      <c r="U65" s="295" t="s">
        <v>6</v>
      </c>
      <c r="V65" s="289">
        <f t="shared" ca="1" si="7"/>
        <v>0</v>
      </c>
      <c r="W65" s="289">
        <f t="shared" ca="1" si="8"/>
        <v>0</v>
      </c>
      <c r="X65" s="289">
        <f t="shared" ca="1" si="9"/>
        <v>0</v>
      </c>
      <c r="Y65" s="289">
        <f t="shared" ca="1" si="10"/>
        <v>0</v>
      </c>
      <c r="Z65" s="292">
        <f t="shared" ca="1" si="11"/>
        <v>0</v>
      </c>
    </row>
    <row r="66" spans="1:26">
      <c r="B66" s="282" t="s">
        <v>113</v>
      </c>
      <c r="C66" s="278">
        <f t="shared" ca="1" si="12"/>
        <v>0</v>
      </c>
      <c r="D66" s="278">
        <f t="shared" ca="1" si="12"/>
        <v>0</v>
      </c>
      <c r="E66" s="278">
        <f t="shared" ca="1" si="12"/>
        <v>0</v>
      </c>
      <c r="F66" s="278">
        <f t="shared" ca="1" si="12"/>
        <v>0</v>
      </c>
      <c r="G66" s="278">
        <f t="shared" ca="1" si="12"/>
        <v>0</v>
      </c>
      <c r="H66" s="278">
        <f t="shared" ca="1" si="12"/>
        <v>0</v>
      </c>
      <c r="I66" s="278">
        <f t="shared" ca="1" si="12"/>
        <v>0</v>
      </c>
      <c r="J66" s="278">
        <f t="shared" ca="1" si="12"/>
        <v>0</v>
      </c>
      <c r="K66" s="278">
        <f t="shared" ca="1" si="12"/>
        <v>0</v>
      </c>
      <c r="L66" s="278">
        <f t="shared" ca="1" si="12"/>
        <v>0</v>
      </c>
      <c r="M66" s="279" t="s">
        <v>6</v>
      </c>
      <c r="O66" s="282" t="s">
        <v>113</v>
      </c>
      <c r="P66" s="289">
        <f t="shared" ca="1" si="13"/>
        <v>0</v>
      </c>
      <c r="Q66" s="289">
        <f t="shared" ca="1" si="3"/>
        <v>0</v>
      </c>
      <c r="R66" s="289">
        <f t="shared" ca="1" si="4"/>
        <v>0</v>
      </c>
      <c r="S66" s="289">
        <f t="shared" ca="1" si="5"/>
        <v>0</v>
      </c>
      <c r="T66" s="289">
        <f t="shared" ca="1" si="6"/>
        <v>0</v>
      </c>
      <c r="U66" s="295" t="s">
        <v>6</v>
      </c>
      <c r="V66" s="289">
        <f t="shared" ca="1" si="7"/>
        <v>0</v>
      </c>
      <c r="W66" s="289">
        <f t="shared" ca="1" si="8"/>
        <v>0</v>
      </c>
      <c r="X66" s="289">
        <f t="shared" ca="1" si="9"/>
        <v>0</v>
      </c>
      <c r="Y66" s="289">
        <f t="shared" ca="1" si="10"/>
        <v>0</v>
      </c>
      <c r="Z66" s="292">
        <f t="shared" ca="1" si="11"/>
        <v>0</v>
      </c>
    </row>
    <row r="67" spans="1:26">
      <c r="B67" s="282" t="s">
        <v>28</v>
      </c>
      <c r="C67" s="278">
        <f t="shared" ca="1" si="12"/>
        <v>0</v>
      </c>
      <c r="D67" s="278">
        <f t="shared" ca="1" si="12"/>
        <v>0</v>
      </c>
      <c r="E67" s="278">
        <f t="shared" ca="1" si="12"/>
        <v>0</v>
      </c>
      <c r="F67" s="278">
        <f t="shared" ca="1" si="12"/>
        <v>0</v>
      </c>
      <c r="G67" s="278">
        <f t="shared" ca="1" si="12"/>
        <v>0</v>
      </c>
      <c r="H67" s="278">
        <f t="shared" ca="1" si="12"/>
        <v>0</v>
      </c>
      <c r="I67" s="278">
        <f t="shared" ca="1" si="12"/>
        <v>0</v>
      </c>
      <c r="J67" s="278">
        <f t="shared" ca="1" si="12"/>
        <v>0</v>
      </c>
      <c r="K67" s="278">
        <f t="shared" ca="1" si="12"/>
        <v>0</v>
      </c>
      <c r="L67" s="278">
        <f t="shared" ca="1" si="12"/>
        <v>0</v>
      </c>
      <c r="M67" s="279" t="s">
        <v>6</v>
      </c>
      <c r="O67" s="282" t="s">
        <v>28</v>
      </c>
      <c r="P67" s="289">
        <f t="shared" ca="1" si="13"/>
        <v>0</v>
      </c>
      <c r="Q67" s="289">
        <f t="shared" ca="1" si="3"/>
        <v>0</v>
      </c>
      <c r="R67" s="289">
        <f t="shared" ca="1" si="4"/>
        <v>0</v>
      </c>
      <c r="S67" s="289">
        <f t="shared" ca="1" si="5"/>
        <v>0</v>
      </c>
      <c r="T67" s="289">
        <f t="shared" ca="1" si="6"/>
        <v>0</v>
      </c>
      <c r="U67" s="295" t="s">
        <v>6</v>
      </c>
      <c r="V67" s="289">
        <f t="shared" ca="1" si="7"/>
        <v>0</v>
      </c>
      <c r="W67" s="289">
        <f t="shared" ca="1" si="8"/>
        <v>0</v>
      </c>
      <c r="X67" s="289">
        <f t="shared" ca="1" si="9"/>
        <v>0</v>
      </c>
      <c r="Y67" s="289">
        <f t="shared" ca="1" si="10"/>
        <v>0</v>
      </c>
      <c r="Z67" s="292">
        <f t="shared" ca="1" si="11"/>
        <v>0</v>
      </c>
    </row>
    <row r="68" spans="1:26">
      <c r="B68" s="282" t="s">
        <v>26</v>
      </c>
      <c r="C68" s="278">
        <f t="shared" ca="1" si="12"/>
        <v>0</v>
      </c>
      <c r="D68" s="278">
        <f t="shared" ca="1" si="12"/>
        <v>0</v>
      </c>
      <c r="E68" s="278">
        <f t="shared" ca="1" si="12"/>
        <v>0</v>
      </c>
      <c r="F68" s="278">
        <f t="shared" ca="1" si="12"/>
        <v>0</v>
      </c>
      <c r="G68" s="278">
        <f t="shared" ca="1" si="12"/>
        <v>0</v>
      </c>
      <c r="H68" s="278">
        <f t="shared" ca="1" si="12"/>
        <v>0</v>
      </c>
      <c r="I68" s="278">
        <f t="shared" ca="1" si="12"/>
        <v>0</v>
      </c>
      <c r="J68" s="278">
        <f t="shared" ca="1" si="12"/>
        <v>0</v>
      </c>
      <c r="K68" s="278">
        <f t="shared" ca="1" si="12"/>
        <v>0</v>
      </c>
      <c r="L68" s="278">
        <f t="shared" ca="1" si="12"/>
        <v>0</v>
      </c>
      <c r="M68" s="279" t="s">
        <v>6</v>
      </c>
      <c r="O68" s="282" t="s">
        <v>26</v>
      </c>
      <c r="P68" s="289">
        <f t="shared" ca="1" si="13"/>
        <v>0</v>
      </c>
      <c r="Q68" s="289">
        <f t="shared" ca="1" si="3"/>
        <v>0</v>
      </c>
      <c r="R68" s="289">
        <f t="shared" ca="1" si="4"/>
        <v>0</v>
      </c>
      <c r="S68" s="289">
        <f t="shared" ca="1" si="5"/>
        <v>0</v>
      </c>
      <c r="T68" s="289">
        <f t="shared" ca="1" si="6"/>
        <v>0</v>
      </c>
      <c r="U68" s="295" t="s">
        <v>6</v>
      </c>
      <c r="V68" s="289">
        <f t="shared" ca="1" si="7"/>
        <v>0</v>
      </c>
      <c r="W68" s="289">
        <f t="shared" ca="1" si="8"/>
        <v>0</v>
      </c>
      <c r="X68" s="289">
        <f t="shared" ca="1" si="9"/>
        <v>0</v>
      </c>
      <c r="Y68" s="289">
        <f t="shared" ca="1" si="10"/>
        <v>0</v>
      </c>
      <c r="Z68" s="292">
        <f t="shared" ca="1" si="11"/>
        <v>0</v>
      </c>
    </row>
    <row r="69" spans="1:26">
      <c r="B69" s="282" t="s">
        <v>24</v>
      </c>
      <c r="C69" s="278">
        <f t="shared" ca="1" si="12"/>
        <v>0</v>
      </c>
      <c r="D69" s="278">
        <f t="shared" ca="1" si="12"/>
        <v>0</v>
      </c>
      <c r="E69" s="278">
        <f t="shared" ca="1" si="12"/>
        <v>0</v>
      </c>
      <c r="F69" s="278">
        <f t="shared" ca="1" si="12"/>
        <v>0</v>
      </c>
      <c r="G69" s="278">
        <f t="shared" ca="1" si="12"/>
        <v>0</v>
      </c>
      <c r="H69" s="278">
        <f t="shared" ca="1" si="12"/>
        <v>0</v>
      </c>
      <c r="I69" s="278">
        <f t="shared" ca="1" si="12"/>
        <v>0</v>
      </c>
      <c r="J69" s="278">
        <f t="shared" ca="1" si="12"/>
        <v>0</v>
      </c>
      <c r="K69" s="278">
        <f t="shared" ca="1" si="12"/>
        <v>0</v>
      </c>
      <c r="L69" s="278">
        <f t="shared" ca="1" si="12"/>
        <v>0</v>
      </c>
      <c r="M69" s="279" t="s">
        <v>6</v>
      </c>
      <c r="O69" s="282" t="s">
        <v>24</v>
      </c>
      <c r="P69" s="289">
        <f t="shared" ca="1" si="13"/>
        <v>0</v>
      </c>
      <c r="Q69" s="289">
        <f t="shared" ca="1" si="3"/>
        <v>0</v>
      </c>
      <c r="R69" s="289">
        <f t="shared" ca="1" si="4"/>
        <v>0</v>
      </c>
      <c r="S69" s="289">
        <f t="shared" ca="1" si="5"/>
        <v>0</v>
      </c>
      <c r="T69" s="289">
        <f t="shared" ca="1" si="6"/>
        <v>0</v>
      </c>
      <c r="U69" s="295" t="s">
        <v>6</v>
      </c>
      <c r="V69" s="289">
        <f t="shared" ca="1" si="7"/>
        <v>0</v>
      </c>
      <c r="W69" s="289">
        <f t="shared" ca="1" si="8"/>
        <v>0</v>
      </c>
      <c r="X69" s="289">
        <f t="shared" ca="1" si="9"/>
        <v>0</v>
      </c>
      <c r="Y69" s="289">
        <f t="shared" ca="1" si="10"/>
        <v>0</v>
      </c>
      <c r="Z69" s="292">
        <f t="shared" ca="1" si="11"/>
        <v>0</v>
      </c>
    </row>
    <row r="70" spans="1:26">
      <c r="B70" s="282" t="s">
        <v>20</v>
      </c>
      <c r="C70" s="278">
        <f t="shared" ca="1" si="12"/>
        <v>0</v>
      </c>
      <c r="D70" s="278">
        <f t="shared" ca="1" si="12"/>
        <v>0</v>
      </c>
      <c r="E70" s="278">
        <f t="shared" ca="1" si="12"/>
        <v>0</v>
      </c>
      <c r="F70" s="278">
        <f t="shared" ca="1" si="12"/>
        <v>0</v>
      </c>
      <c r="G70" s="278">
        <f t="shared" ca="1" si="12"/>
        <v>0</v>
      </c>
      <c r="H70" s="278">
        <f t="shared" ca="1" si="12"/>
        <v>0</v>
      </c>
      <c r="I70" s="278">
        <f t="shared" ca="1" si="12"/>
        <v>0</v>
      </c>
      <c r="J70" s="278">
        <f t="shared" ca="1" si="12"/>
        <v>0</v>
      </c>
      <c r="K70" s="278">
        <f t="shared" ca="1" si="12"/>
        <v>0</v>
      </c>
      <c r="L70" s="278">
        <f t="shared" ca="1" si="12"/>
        <v>0</v>
      </c>
      <c r="M70" s="279" t="s">
        <v>6</v>
      </c>
      <c r="O70" s="282" t="s">
        <v>20</v>
      </c>
      <c r="P70" s="289">
        <f t="shared" ca="1" si="13"/>
        <v>0</v>
      </c>
      <c r="Q70" s="289">
        <f t="shared" ca="1" si="3"/>
        <v>0</v>
      </c>
      <c r="R70" s="289">
        <f t="shared" ca="1" si="4"/>
        <v>0</v>
      </c>
      <c r="S70" s="289">
        <f t="shared" ca="1" si="5"/>
        <v>0</v>
      </c>
      <c r="T70" s="289">
        <f t="shared" ca="1" si="6"/>
        <v>0</v>
      </c>
      <c r="U70" s="295" t="s">
        <v>6</v>
      </c>
      <c r="V70" s="289">
        <f t="shared" ca="1" si="7"/>
        <v>0</v>
      </c>
      <c r="W70" s="289">
        <f t="shared" ca="1" si="8"/>
        <v>0</v>
      </c>
      <c r="X70" s="289">
        <f t="shared" ca="1" si="9"/>
        <v>0</v>
      </c>
      <c r="Y70" s="289">
        <f t="shared" ca="1" si="10"/>
        <v>0</v>
      </c>
      <c r="Z70" s="292">
        <f t="shared" ca="1" si="11"/>
        <v>0</v>
      </c>
    </row>
    <row r="71" spans="1:26">
      <c r="B71" s="282" t="s">
        <v>18</v>
      </c>
      <c r="C71" s="278">
        <f t="shared" ca="1" si="12"/>
        <v>0</v>
      </c>
      <c r="D71" s="278">
        <f t="shared" ca="1" si="12"/>
        <v>0</v>
      </c>
      <c r="E71" s="278">
        <f t="shared" ca="1" si="12"/>
        <v>0</v>
      </c>
      <c r="F71" s="278">
        <f t="shared" ca="1" si="12"/>
        <v>0</v>
      </c>
      <c r="G71" s="278">
        <f t="shared" ca="1" si="12"/>
        <v>0</v>
      </c>
      <c r="H71" s="278">
        <f t="shared" ca="1" si="12"/>
        <v>0</v>
      </c>
      <c r="I71" s="278">
        <f t="shared" ca="1" si="12"/>
        <v>0</v>
      </c>
      <c r="J71" s="278">
        <f t="shared" ca="1" si="12"/>
        <v>0</v>
      </c>
      <c r="K71" s="278">
        <f t="shared" ca="1" si="12"/>
        <v>0</v>
      </c>
      <c r="L71" s="278">
        <f t="shared" ca="1" si="12"/>
        <v>0</v>
      </c>
      <c r="M71" s="279" t="s">
        <v>6</v>
      </c>
      <c r="O71" s="282" t="s">
        <v>18</v>
      </c>
      <c r="P71" s="289">
        <f t="shared" ca="1" si="13"/>
        <v>0</v>
      </c>
      <c r="Q71" s="289">
        <f t="shared" ca="1" si="3"/>
        <v>0</v>
      </c>
      <c r="R71" s="289">
        <f t="shared" ca="1" si="4"/>
        <v>0</v>
      </c>
      <c r="S71" s="289">
        <f t="shared" ca="1" si="5"/>
        <v>0</v>
      </c>
      <c r="T71" s="289">
        <f t="shared" ca="1" si="6"/>
        <v>0</v>
      </c>
      <c r="U71" s="295" t="s">
        <v>6</v>
      </c>
      <c r="V71" s="289">
        <f t="shared" ca="1" si="7"/>
        <v>0</v>
      </c>
      <c r="W71" s="289">
        <f t="shared" ca="1" si="8"/>
        <v>0</v>
      </c>
      <c r="X71" s="289">
        <f t="shared" ca="1" si="9"/>
        <v>0</v>
      </c>
      <c r="Y71" s="289">
        <f t="shared" ca="1" si="10"/>
        <v>0</v>
      </c>
      <c r="Z71" s="292">
        <f t="shared" ca="1" si="11"/>
        <v>0</v>
      </c>
    </row>
    <row r="72" spans="1:26">
      <c r="B72" s="282" t="s">
        <v>17</v>
      </c>
      <c r="C72" s="278">
        <f t="shared" ca="1" si="12"/>
        <v>0</v>
      </c>
      <c r="D72" s="278">
        <f t="shared" ca="1" si="12"/>
        <v>0</v>
      </c>
      <c r="E72" s="278">
        <f t="shared" ca="1" si="12"/>
        <v>0</v>
      </c>
      <c r="F72" s="278">
        <f t="shared" ca="1" si="12"/>
        <v>0</v>
      </c>
      <c r="G72" s="278">
        <f t="shared" ca="1" si="12"/>
        <v>0</v>
      </c>
      <c r="H72" s="278">
        <f t="shared" ca="1" si="12"/>
        <v>0</v>
      </c>
      <c r="I72" s="278">
        <f t="shared" ca="1" si="12"/>
        <v>0</v>
      </c>
      <c r="J72" s="278">
        <f t="shared" ca="1" si="12"/>
        <v>0</v>
      </c>
      <c r="K72" s="278">
        <f t="shared" ca="1" si="12"/>
        <v>0</v>
      </c>
      <c r="L72" s="278">
        <f t="shared" ca="1" si="12"/>
        <v>0</v>
      </c>
      <c r="M72" s="279" t="s">
        <v>6</v>
      </c>
      <c r="O72" s="282" t="s">
        <v>17</v>
      </c>
      <c r="P72" s="289">
        <f t="shared" ca="1" si="13"/>
        <v>0</v>
      </c>
      <c r="Q72" s="289">
        <f t="shared" ca="1" si="3"/>
        <v>0</v>
      </c>
      <c r="R72" s="289">
        <f t="shared" ca="1" si="4"/>
        <v>0</v>
      </c>
      <c r="S72" s="289">
        <f t="shared" ca="1" si="5"/>
        <v>0</v>
      </c>
      <c r="T72" s="289">
        <f t="shared" ca="1" si="6"/>
        <v>0</v>
      </c>
      <c r="U72" s="295" t="s">
        <v>6</v>
      </c>
      <c r="V72" s="289">
        <f t="shared" ca="1" si="7"/>
        <v>0</v>
      </c>
      <c r="W72" s="289">
        <f t="shared" ca="1" si="8"/>
        <v>0</v>
      </c>
      <c r="X72" s="289">
        <f t="shared" ca="1" si="9"/>
        <v>0</v>
      </c>
      <c r="Y72" s="289">
        <f t="shared" ca="1" si="10"/>
        <v>0</v>
      </c>
      <c r="Z72" s="292">
        <f t="shared" ca="1" si="11"/>
        <v>0</v>
      </c>
    </row>
    <row r="73" spans="1:26">
      <c r="B73" s="282" t="s">
        <v>15</v>
      </c>
      <c r="C73" s="278">
        <f t="shared" ca="1" si="12"/>
        <v>0</v>
      </c>
      <c r="D73" s="278">
        <f t="shared" ca="1" si="12"/>
        <v>0</v>
      </c>
      <c r="E73" s="278">
        <f t="shared" ca="1" si="12"/>
        <v>0</v>
      </c>
      <c r="F73" s="278">
        <f t="shared" ca="1" si="12"/>
        <v>0</v>
      </c>
      <c r="G73" s="278">
        <f t="shared" ca="1" si="12"/>
        <v>0</v>
      </c>
      <c r="H73" s="278">
        <f t="shared" ca="1" si="12"/>
        <v>0</v>
      </c>
      <c r="I73" s="278">
        <f t="shared" ca="1" si="12"/>
        <v>0</v>
      </c>
      <c r="J73" s="278">
        <f t="shared" ca="1" si="12"/>
        <v>0</v>
      </c>
      <c r="K73" s="278">
        <f t="shared" ca="1" si="12"/>
        <v>0</v>
      </c>
      <c r="L73" s="278">
        <f t="shared" ca="1" si="12"/>
        <v>0</v>
      </c>
      <c r="M73" s="279" t="s">
        <v>6</v>
      </c>
      <c r="O73" s="282" t="s">
        <v>15</v>
      </c>
      <c r="P73" s="289">
        <f t="shared" ca="1" si="13"/>
        <v>0</v>
      </c>
      <c r="Q73" s="289">
        <f t="shared" ca="1" si="3"/>
        <v>0</v>
      </c>
      <c r="R73" s="289">
        <f t="shared" ca="1" si="4"/>
        <v>0</v>
      </c>
      <c r="S73" s="289">
        <f t="shared" ca="1" si="5"/>
        <v>0</v>
      </c>
      <c r="T73" s="289">
        <f t="shared" ca="1" si="6"/>
        <v>0</v>
      </c>
      <c r="U73" s="295" t="s">
        <v>6</v>
      </c>
      <c r="V73" s="289">
        <f t="shared" ca="1" si="7"/>
        <v>0</v>
      </c>
      <c r="W73" s="289">
        <f t="shared" ca="1" si="8"/>
        <v>0</v>
      </c>
      <c r="X73" s="289">
        <f t="shared" ca="1" si="9"/>
        <v>0</v>
      </c>
      <c r="Y73" s="289">
        <f t="shared" ca="1" si="10"/>
        <v>0</v>
      </c>
      <c r="Z73" s="292">
        <f t="shared" ca="1" si="11"/>
        <v>0</v>
      </c>
    </row>
    <row r="74" spans="1:26">
      <c r="B74" s="282" t="s">
        <v>14</v>
      </c>
      <c r="C74" s="278">
        <f t="shared" ca="1" si="12"/>
        <v>0</v>
      </c>
      <c r="D74" s="278">
        <f t="shared" ca="1" si="12"/>
        <v>0</v>
      </c>
      <c r="E74" s="278">
        <f t="shared" ca="1" si="12"/>
        <v>0</v>
      </c>
      <c r="F74" s="278">
        <f t="shared" ca="1" si="12"/>
        <v>0</v>
      </c>
      <c r="G74" s="278">
        <f t="shared" ca="1" si="12"/>
        <v>0</v>
      </c>
      <c r="H74" s="278">
        <f t="shared" ca="1" si="12"/>
        <v>0</v>
      </c>
      <c r="I74" s="278">
        <f t="shared" ca="1" si="12"/>
        <v>0</v>
      </c>
      <c r="J74" s="278">
        <f t="shared" ca="1" si="12"/>
        <v>0</v>
      </c>
      <c r="K74" s="278">
        <f t="shared" ca="1" si="12"/>
        <v>0</v>
      </c>
      <c r="L74" s="278">
        <f t="shared" ca="1" si="12"/>
        <v>0</v>
      </c>
      <c r="M74" s="279" t="s">
        <v>6</v>
      </c>
      <c r="O74" s="282" t="s">
        <v>14</v>
      </c>
      <c r="P74" s="295" t="s">
        <v>6</v>
      </c>
      <c r="Q74" s="295" t="s">
        <v>6</v>
      </c>
      <c r="R74" s="295" t="s">
        <v>6</v>
      </c>
      <c r="S74" s="295" t="s">
        <v>6</v>
      </c>
      <c r="T74" s="295" t="s">
        <v>6</v>
      </c>
      <c r="U74" s="295" t="s">
        <v>6</v>
      </c>
      <c r="V74" s="295" t="s">
        <v>6</v>
      </c>
      <c r="W74" s="295" t="s">
        <v>6</v>
      </c>
      <c r="X74" s="295" t="s">
        <v>6</v>
      </c>
      <c r="Y74" s="295" t="s">
        <v>6</v>
      </c>
      <c r="Z74" s="291" t="s">
        <v>6</v>
      </c>
    </row>
    <row r="75" spans="1:26">
      <c r="B75" s="282"/>
      <c r="C75" s="278"/>
      <c r="D75" s="278"/>
      <c r="E75" s="278"/>
      <c r="F75" s="278"/>
      <c r="G75" s="278"/>
      <c r="H75" s="278"/>
      <c r="I75" s="278"/>
      <c r="J75" s="278"/>
      <c r="K75" s="278"/>
      <c r="L75" s="278"/>
      <c r="M75" s="279"/>
      <c r="O75" s="282"/>
      <c r="P75" s="289"/>
      <c r="Q75" s="289"/>
      <c r="R75" s="289"/>
      <c r="S75" s="289"/>
      <c r="T75" s="289"/>
      <c r="U75" s="295"/>
      <c r="V75" s="289"/>
      <c r="W75" s="289"/>
      <c r="X75" s="289"/>
      <c r="Y75" s="289"/>
      <c r="Z75" s="292"/>
    </row>
    <row r="76" spans="1:26">
      <c r="B76" s="282"/>
      <c r="C76" s="278"/>
      <c r="D76" s="278"/>
      <c r="E76" s="278"/>
      <c r="F76" s="278"/>
      <c r="G76" s="278"/>
      <c r="H76" s="278"/>
      <c r="I76" s="278"/>
      <c r="J76" s="278"/>
      <c r="K76" s="278"/>
      <c r="L76" s="278"/>
      <c r="M76" s="279"/>
      <c r="O76" s="282"/>
      <c r="P76" s="289"/>
      <c r="Q76" s="289"/>
      <c r="R76" s="289"/>
      <c r="S76" s="289"/>
      <c r="T76" s="289"/>
      <c r="U76" s="295"/>
      <c r="V76" s="289"/>
      <c r="W76" s="289"/>
      <c r="X76" s="289"/>
      <c r="Y76" s="289"/>
      <c r="Z76" s="292"/>
    </row>
    <row r="77" spans="1:26">
      <c r="B77" s="283"/>
      <c r="C77" s="280"/>
      <c r="D77" s="280"/>
      <c r="E77" s="280"/>
      <c r="F77" s="280"/>
      <c r="G77" s="280"/>
      <c r="H77" s="280"/>
      <c r="I77" s="280"/>
      <c r="J77" s="280"/>
      <c r="K77" s="280"/>
      <c r="L77" s="280"/>
      <c r="M77" s="281"/>
      <c r="O77" s="283"/>
      <c r="P77" s="293"/>
      <c r="Q77" s="293"/>
      <c r="R77" s="293"/>
      <c r="S77" s="293"/>
      <c r="T77" s="293"/>
      <c r="U77" s="296"/>
      <c r="V77" s="293"/>
      <c r="W77" s="293"/>
      <c r="X77" s="293"/>
      <c r="Y77" s="293"/>
      <c r="Z77" s="294"/>
    </row>
    <row r="80" spans="1:26">
      <c r="A80" s="224" t="s">
        <v>478</v>
      </c>
      <c r="B80" s="290" t="s">
        <v>490</v>
      </c>
      <c r="C80" s="284"/>
      <c r="G80" s="290" t="s">
        <v>490</v>
      </c>
    </row>
    <row r="81" spans="2:13">
      <c r="B81" s="284" t="s">
        <v>486</v>
      </c>
      <c r="C81" s="284"/>
      <c r="G81" s="284" t="s">
        <v>485</v>
      </c>
    </row>
    <row r="82" spans="2:13">
      <c r="B82" s="258" t="s">
        <v>474</v>
      </c>
      <c r="C82" s="286">
        <f ca="1">SUM(C108:L126)</f>
        <v>0</v>
      </c>
      <c r="G82" s="258" t="s">
        <v>474</v>
      </c>
      <c r="H82" s="286">
        <f ca="1">SUM(P108:Z126)</f>
        <v>0</v>
      </c>
    </row>
    <row r="84" spans="2:13">
      <c r="B84" s="258" t="s">
        <v>479</v>
      </c>
      <c r="C84" s="258"/>
    </row>
    <row r="85" spans="2:13">
      <c r="B85" s="254" t="s">
        <v>468</v>
      </c>
      <c r="C85" s="287">
        <v>500</v>
      </c>
      <c r="D85" s="287">
        <v>400</v>
      </c>
      <c r="E85" s="287">
        <v>300</v>
      </c>
      <c r="F85" s="287">
        <v>200</v>
      </c>
      <c r="G85" s="287">
        <v>100</v>
      </c>
      <c r="H85" s="287">
        <v>0</v>
      </c>
      <c r="I85" s="287">
        <v>-100</v>
      </c>
      <c r="J85" s="287">
        <v>-200</v>
      </c>
      <c r="K85" s="287">
        <v>-300</v>
      </c>
      <c r="L85" s="287">
        <v>-400</v>
      </c>
      <c r="M85" s="288">
        <v>-500</v>
      </c>
    </row>
    <row r="86" spans="2:13">
      <c r="B86" s="282" t="s">
        <v>42</v>
      </c>
      <c r="C86" s="278">
        <f ca="1">'GBP Swap PVs'!N29</f>
        <v>99258.437527978225</v>
      </c>
      <c r="D86" s="278">
        <f ca="1">'GBP Swap PVs'!O29</f>
        <v>79406.750022382563</v>
      </c>
      <c r="E86" s="278">
        <f ca="1">'GBP Swap PVs'!P29</f>
        <v>59555.062516786937</v>
      </c>
      <c r="F86" s="278">
        <f ca="1">'GBP Swap PVs'!Q29</f>
        <v>39703.375011191281</v>
      </c>
      <c r="G86" s="278">
        <f ca="1">'GBP Swap PVs'!R29</f>
        <v>19851.687505595641</v>
      </c>
      <c r="H86" s="278">
        <f ca="1">'GBP Swap PVs'!S29</f>
        <v>0</v>
      </c>
      <c r="I86" s="278">
        <f ca="1">'GBP Swap PVs'!T29</f>
        <v>-19851.687505595641</v>
      </c>
      <c r="J86" s="278">
        <f ca="1">'GBP Swap PVs'!U29</f>
        <v>-39703.375011191281</v>
      </c>
      <c r="K86" s="278">
        <f ca="1">'GBP Swap PVs'!V29</f>
        <v>-59555.062516786929</v>
      </c>
      <c r="L86" s="278">
        <f ca="1">'GBP Swap PVs'!W29</f>
        <v>-79406.750022382563</v>
      </c>
      <c r="M86" s="279">
        <f ca="1">'GBP Swap PVs'!X29</f>
        <v>-99258.437527978225</v>
      </c>
    </row>
    <row r="87" spans="2:13">
      <c r="B87" s="282" t="s">
        <v>39</v>
      </c>
      <c r="C87" s="278">
        <f ca="1">'GBP Swap PVs'!N30</f>
        <v>147865.36992561392</v>
      </c>
      <c r="D87" s="278">
        <f ca="1">'GBP Swap PVs'!O30</f>
        <v>118292.29594049112</v>
      </c>
      <c r="E87" s="278">
        <f ca="1">'GBP Swap PVs'!P30</f>
        <v>88719.221955368354</v>
      </c>
      <c r="F87" s="278">
        <f ca="1">'GBP Swap PVs'!Q30</f>
        <v>59146.147970245562</v>
      </c>
      <c r="G87" s="278">
        <f ca="1">'GBP Swap PVs'!R30</f>
        <v>29573.073985122781</v>
      </c>
      <c r="H87" s="278">
        <f ca="1">'GBP Swap PVs'!S30</f>
        <v>0</v>
      </c>
      <c r="I87" s="278">
        <f ca="1">'GBP Swap PVs'!T30</f>
        <v>-29573.073985122788</v>
      </c>
      <c r="J87" s="278">
        <f ca="1">'GBP Swap PVs'!U30</f>
        <v>-59146.147970245576</v>
      </c>
      <c r="K87" s="278">
        <f ca="1">'GBP Swap PVs'!V30</f>
        <v>-88719.221955368354</v>
      </c>
      <c r="L87" s="278">
        <f ca="1">'GBP Swap PVs'!W30</f>
        <v>-118292.29594049114</v>
      </c>
      <c r="M87" s="279">
        <f ca="1">'GBP Swap PVs'!X30</f>
        <v>-147865.36992561395</v>
      </c>
    </row>
    <row r="88" spans="2:13">
      <c r="B88" s="282" t="s">
        <v>35</v>
      </c>
      <c r="C88" s="278">
        <f ca="1">'GBP Swap PVs'!N31</f>
        <v>195848.7564848233</v>
      </c>
      <c r="D88" s="278">
        <f ca="1">'GBP Swap PVs'!O31</f>
        <v>156679.00518785859</v>
      </c>
      <c r="E88" s="278">
        <f ca="1">'GBP Swap PVs'!P31</f>
        <v>117509.253890894</v>
      </c>
      <c r="F88" s="278">
        <f ca="1">'GBP Swap PVs'!Q31</f>
        <v>78339.502593929326</v>
      </c>
      <c r="G88" s="278">
        <f ca="1">'GBP Swap PVs'!R31</f>
        <v>39169.751296964649</v>
      </c>
      <c r="H88" s="278">
        <f ca="1">'GBP Swap PVs'!S31</f>
        <v>0</v>
      </c>
      <c r="I88" s="278">
        <f ca="1">'GBP Swap PVs'!T31</f>
        <v>-39169.751296964656</v>
      </c>
      <c r="J88" s="278">
        <f ca="1">'GBP Swap PVs'!U31</f>
        <v>-78339.502593929312</v>
      </c>
      <c r="K88" s="278">
        <f ca="1">'GBP Swap PVs'!V31</f>
        <v>-117509.25389089398</v>
      </c>
      <c r="L88" s="278">
        <f ca="1">'GBP Swap PVs'!W31</f>
        <v>-156679.00518785859</v>
      </c>
      <c r="M88" s="279">
        <f ca="1">'GBP Swap PVs'!X31</f>
        <v>-195848.7564848233</v>
      </c>
    </row>
    <row r="89" spans="2:13">
      <c r="B89" s="282" t="s">
        <v>33</v>
      </c>
      <c r="C89" s="278">
        <f ca="1">'GBP Swap PVs'!N32</f>
        <v>242457.13075464786</v>
      </c>
      <c r="D89" s="278">
        <f ca="1">'GBP Swap PVs'!O32</f>
        <v>193965.70460371824</v>
      </c>
      <c r="E89" s="278">
        <f ca="1">'GBP Swap PVs'!P32</f>
        <v>145474.27845278877</v>
      </c>
      <c r="F89" s="278">
        <f ca="1">'GBP Swap PVs'!Q32</f>
        <v>96982.852301859166</v>
      </c>
      <c r="G89" s="278">
        <f ca="1">'GBP Swap PVs'!R32</f>
        <v>48491.426150929561</v>
      </c>
      <c r="H89" s="278">
        <f ca="1">'GBP Swap PVs'!S32</f>
        <v>0</v>
      </c>
      <c r="I89" s="278">
        <f ca="1">'GBP Swap PVs'!T32</f>
        <v>-48491.426150929576</v>
      </c>
      <c r="J89" s="278">
        <f ca="1">'GBP Swap PVs'!U32</f>
        <v>-96982.852301859151</v>
      </c>
      <c r="K89" s="278">
        <f ca="1">'GBP Swap PVs'!V32</f>
        <v>-145474.27845278874</v>
      </c>
      <c r="L89" s="278">
        <f ca="1">'GBP Swap PVs'!W32</f>
        <v>-193965.70460371827</v>
      </c>
      <c r="M89" s="279">
        <f ca="1">'GBP Swap PVs'!X32</f>
        <v>-242457.13075464792</v>
      </c>
    </row>
    <row r="90" spans="2:13">
      <c r="B90" s="282" t="s">
        <v>131</v>
      </c>
      <c r="C90" s="278">
        <f ca="1">'GBP Swap PVs'!N33</f>
        <v>288154.79235869745</v>
      </c>
      <c r="D90" s="278">
        <f ca="1">'GBP Swap PVs'!O33</f>
        <v>230523.8338869579</v>
      </c>
      <c r="E90" s="278">
        <f ca="1">'GBP Swap PVs'!P33</f>
        <v>172892.87541521853</v>
      </c>
      <c r="F90" s="278">
        <f ca="1">'GBP Swap PVs'!Q33</f>
        <v>115261.91694347902</v>
      </c>
      <c r="G90" s="278">
        <f ca="1">'GBP Swap PVs'!R33</f>
        <v>57630.958471739475</v>
      </c>
      <c r="H90" s="278">
        <f ca="1">'GBP Swap PVs'!S33</f>
        <v>0</v>
      </c>
      <c r="I90" s="278">
        <f ca="1">'GBP Swap PVs'!T33</f>
        <v>-57630.958471739483</v>
      </c>
      <c r="J90" s="278">
        <f ca="1">'GBP Swap PVs'!U33</f>
        <v>-115261.91694347898</v>
      </c>
      <c r="K90" s="278">
        <f ca="1">'GBP Swap PVs'!V33</f>
        <v>-172892.87541521847</v>
      </c>
      <c r="L90" s="278">
        <f ca="1">'GBP Swap PVs'!W33</f>
        <v>-230523.83388695796</v>
      </c>
      <c r="M90" s="279">
        <f ca="1">'GBP Swap PVs'!X33</f>
        <v>-288154.79235869751</v>
      </c>
    </row>
    <row r="91" spans="2:13">
      <c r="B91" s="282" t="s">
        <v>31</v>
      </c>
      <c r="C91" s="278">
        <f ca="1">'GBP Swap PVs'!N34</f>
        <v>332777.29112241004</v>
      </c>
      <c r="D91" s="278">
        <f ca="1">'GBP Swap PVs'!O34</f>
        <v>266221.83289792796</v>
      </c>
      <c r="E91" s="278">
        <f ca="1">'GBP Swap PVs'!P34</f>
        <v>199666.37467344612</v>
      </c>
      <c r="F91" s="278">
        <f ca="1">'GBP Swap PVs'!Q34</f>
        <v>133110.91644896407</v>
      </c>
      <c r="G91" s="278">
        <f ca="1">'GBP Swap PVs'!R34</f>
        <v>66555.458224482005</v>
      </c>
      <c r="H91" s="278">
        <f ca="1">'GBP Swap PVs'!S34</f>
        <v>0</v>
      </c>
      <c r="I91" s="278">
        <f ca="1">'GBP Swap PVs'!T34</f>
        <v>-66555.45822448199</v>
      </c>
      <c r="J91" s="278">
        <f ca="1">'GBP Swap PVs'!U34</f>
        <v>-133110.91644896401</v>
      </c>
      <c r="K91" s="278">
        <f ca="1">'GBP Swap PVs'!V34</f>
        <v>-199666.374673446</v>
      </c>
      <c r="L91" s="278">
        <f ca="1">'GBP Swap PVs'!W34</f>
        <v>-266221.83289792802</v>
      </c>
      <c r="M91" s="279">
        <f ca="1">'GBP Swap PVs'!X34</f>
        <v>-332777.29112241004</v>
      </c>
    </row>
    <row r="92" spans="2:13">
      <c r="B92" s="282" t="s">
        <v>119</v>
      </c>
      <c r="C92" s="278">
        <f ca="1">'GBP Swap PVs'!N35</f>
        <v>376308.72409313201</v>
      </c>
      <c r="D92" s="278">
        <f ca="1">'GBP Swap PVs'!O35</f>
        <v>301046.97927450552</v>
      </c>
      <c r="E92" s="278">
        <f ca="1">'GBP Swap PVs'!P35</f>
        <v>225785.23445587928</v>
      </c>
      <c r="F92" s="278">
        <f ca="1">'GBP Swap PVs'!Q35</f>
        <v>150523.48963725287</v>
      </c>
      <c r="G92" s="278">
        <f ca="1">'GBP Swap PVs'!R35</f>
        <v>75261.744818626408</v>
      </c>
      <c r="H92" s="278">
        <f ca="1">'GBP Swap PVs'!S35</f>
        <v>0</v>
      </c>
      <c r="I92" s="278">
        <f ca="1">'GBP Swap PVs'!T35</f>
        <v>-75261.744818626365</v>
      </c>
      <c r="J92" s="278">
        <f ca="1">'GBP Swap PVs'!U35</f>
        <v>-150523.48963725276</v>
      </c>
      <c r="K92" s="278">
        <f ca="1">'GBP Swap PVs'!V35</f>
        <v>-225785.23445587917</v>
      </c>
      <c r="L92" s="278">
        <f ca="1">'GBP Swap PVs'!W35</f>
        <v>-301046.97927450552</v>
      </c>
      <c r="M92" s="279">
        <f ca="1">'GBP Swap PVs'!X35</f>
        <v>-376308.72409313201</v>
      </c>
    </row>
    <row r="93" spans="2:13">
      <c r="B93" s="282" t="s">
        <v>113</v>
      </c>
      <c r="C93" s="278">
        <f ca="1">'GBP Swap PVs'!N36</f>
        <v>419096.32897531765</v>
      </c>
      <c r="D93" s="278">
        <f ca="1">'GBP Swap PVs'!O36</f>
        <v>335277.06318025396</v>
      </c>
      <c r="E93" s="278">
        <f ca="1">'GBP Swap PVs'!P36</f>
        <v>251457.79738519064</v>
      </c>
      <c r="F93" s="278">
        <f ca="1">'GBP Swap PVs'!Q36</f>
        <v>167638.53159012715</v>
      </c>
      <c r="G93" s="278">
        <f ca="1">'GBP Swap PVs'!R36</f>
        <v>83819.265795063548</v>
      </c>
      <c r="H93" s="278">
        <f ca="1">'GBP Swap PVs'!S36</f>
        <v>0</v>
      </c>
      <c r="I93" s="278">
        <f ca="1">'GBP Swap PVs'!T36</f>
        <v>-83819.265795063475</v>
      </c>
      <c r="J93" s="278">
        <f ca="1">'GBP Swap PVs'!U36</f>
        <v>-167638.53159012698</v>
      </c>
      <c r="K93" s="278">
        <f ca="1">'GBP Swap PVs'!V36</f>
        <v>-251457.79738519053</v>
      </c>
      <c r="L93" s="278">
        <f ca="1">'GBP Swap PVs'!W36</f>
        <v>-335277.06318025402</v>
      </c>
      <c r="M93" s="279">
        <f ca="1">'GBP Swap PVs'!X36</f>
        <v>-419096.32897531759</v>
      </c>
    </row>
    <row r="94" spans="2:13">
      <c r="B94" s="282" t="s">
        <v>28</v>
      </c>
      <c r="C94" s="278">
        <f ca="1">'GBP Swap PVs'!N37</f>
        <v>460336.45975731354</v>
      </c>
      <c r="D94" s="278">
        <f ca="1">'GBP Swap PVs'!O37</f>
        <v>368269.16780585062</v>
      </c>
      <c r="E94" s="278">
        <f ca="1">'GBP Swap PVs'!P37</f>
        <v>276201.87585438817</v>
      </c>
      <c r="F94" s="278">
        <f ca="1">'GBP Swap PVs'!Q37</f>
        <v>184134.58390292549</v>
      </c>
      <c r="G94" s="278">
        <f ca="1">'GBP Swap PVs'!R37</f>
        <v>92067.291951462685</v>
      </c>
      <c r="H94" s="278">
        <f ca="1">'GBP Swap PVs'!S37</f>
        <v>0</v>
      </c>
      <c r="I94" s="278">
        <f ca="1">'GBP Swap PVs'!T37</f>
        <v>-92067.29195146267</v>
      </c>
      <c r="J94" s="278">
        <f ca="1">'GBP Swap PVs'!U37</f>
        <v>-184134.58390292537</v>
      </c>
      <c r="K94" s="278">
        <f ca="1">'GBP Swap PVs'!V37</f>
        <v>-276201.87585438805</v>
      </c>
      <c r="L94" s="278">
        <f ca="1">'GBP Swap PVs'!W37</f>
        <v>-368269.16780585074</v>
      </c>
      <c r="M94" s="279">
        <f ca="1">'GBP Swap PVs'!X37</f>
        <v>-460336.45975731348</v>
      </c>
    </row>
    <row r="95" spans="2:13">
      <c r="B95" s="282" t="s">
        <v>26</v>
      </c>
      <c r="C95" s="278">
        <f ca="1">'GBP Swap PVs'!N38</f>
        <v>539672.60962191247</v>
      </c>
      <c r="D95" s="278">
        <f ca="1">'GBP Swap PVs'!O38</f>
        <v>431738.08769752976</v>
      </c>
      <c r="E95" s="278">
        <f ca="1">'GBP Swap PVs'!P38</f>
        <v>323803.56577314751</v>
      </c>
      <c r="F95" s="278">
        <f ca="1">'GBP Swap PVs'!Q38</f>
        <v>215869.04384876505</v>
      </c>
      <c r="G95" s="278">
        <f ca="1">'GBP Swap PVs'!R38</f>
        <v>107934.52192438247</v>
      </c>
      <c r="H95" s="278">
        <f ca="1">'GBP Swap PVs'!S38</f>
        <v>0</v>
      </c>
      <c r="I95" s="278">
        <f ca="1">'GBP Swap PVs'!T38</f>
        <v>-107934.5219243825</v>
      </c>
      <c r="J95" s="278">
        <f ca="1">'GBP Swap PVs'!U38</f>
        <v>-215869.04384876497</v>
      </c>
      <c r="K95" s="278">
        <f ca="1">'GBP Swap PVs'!V38</f>
        <v>-323803.56577314751</v>
      </c>
      <c r="L95" s="278">
        <f ca="1">'GBP Swap PVs'!W38</f>
        <v>-431738.08769752993</v>
      </c>
      <c r="M95" s="279">
        <f ca="1">'GBP Swap PVs'!X38</f>
        <v>-539672.60962191247</v>
      </c>
    </row>
    <row r="96" spans="2:13">
      <c r="B96" s="282" t="s">
        <v>24</v>
      </c>
      <c r="C96" s="278">
        <f ca="1">'GBP Swap PVs'!N39</f>
        <v>651221.71456541598</v>
      </c>
      <c r="D96" s="278">
        <f ca="1">'GBP Swap PVs'!O39</f>
        <v>520977.37165233248</v>
      </c>
      <c r="E96" s="278">
        <f ca="1">'GBP Swap PVs'!P39</f>
        <v>390733.02873924957</v>
      </c>
      <c r="F96" s="278">
        <f ca="1">'GBP Swap PVs'!Q39</f>
        <v>260488.68582616653</v>
      </c>
      <c r="G96" s="278">
        <f ca="1">'GBP Swap PVs'!R39</f>
        <v>130244.34291308312</v>
      </c>
      <c r="H96" s="278">
        <f ca="1">'GBP Swap PVs'!S39</f>
        <v>0</v>
      </c>
      <c r="I96" s="278">
        <f ca="1">'GBP Swap PVs'!T39</f>
        <v>-130244.34291308318</v>
      </c>
      <c r="J96" s="278">
        <f ca="1">'GBP Swap PVs'!U39</f>
        <v>-260488.68582616636</v>
      </c>
      <c r="K96" s="278">
        <f ca="1">'GBP Swap PVs'!V39</f>
        <v>-390733.02873924951</v>
      </c>
      <c r="L96" s="278">
        <f ca="1">'GBP Swap PVs'!W39</f>
        <v>-520977.37165233272</v>
      </c>
      <c r="M96" s="279">
        <f ca="1">'GBP Swap PVs'!X39</f>
        <v>-651221.71456541587</v>
      </c>
    </row>
    <row r="97" spans="2:26">
      <c r="B97" s="282" t="s">
        <v>20</v>
      </c>
      <c r="C97" s="278">
        <f ca="1">'GBP Swap PVs'!N40</f>
        <v>817694.66312319343</v>
      </c>
      <c r="D97" s="278">
        <f ca="1">'GBP Swap PVs'!O40</f>
        <v>654155.73049855419</v>
      </c>
      <c r="E97" s="278">
        <f ca="1">'GBP Swap PVs'!P40</f>
        <v>490616.79787391581</v>
      </c>
      <c r="F97" s="278">
        <f ca="1">'GBP Swap PVs'!Q40</f>
        <v>327077.86524927733</v>
      </c>
      <c r="G97" s="278">
        <f ca="1">'GBP Swap PVs'!R40</f>
        <v>163538.93262463843</v>
      </c>
      <c r="H97" s="278">
        <f ca="1">'GBP Swap PVs'!S40</f>
        <v>0</v>
      </c>
      <c r="I97" s="278">
        <f ca="1">'GBP Swap PVs'!T40</f>
        <v>-163538.9326246386</v>
      </c>
      <c r="J97" s="278">
        <f ca="1">'GBP Swap PVs'!U40</f>
        <v>-327077.86524927715</v>
      </c>
      <c r="K97" s="278">
        <f ca="1">'GBP Swap PVs'!V40</f>
        <v>-490616.79787391587</v>
      </c>
      <c r="L97" s="278">
        <f ca="1">'GBP Swap PVs'!W40</f>
        <v>-654155.73049855442</v>
      </c>
      <c r="M97" s="279">
        <f ca="1">'GBP Swap PVs'!X40</f>
        <v>-817694.66312319308</v>
      </c>
    </row>
    <row r="98" spans="2:26">
      <c r="B98" s="282" t="s">
        <v>18</v>
      </c>
      <c r="C98" s="278">
        <f ca="1">'GBP Swap PVs'!N41</f>
        <v>964946.47158325405</v>
      </c>
      <c r="D98" s="278">
        <f ca="1">'GBP Swap PVs'!O41</f>
        <v>771957.17726660275</v>
      </c>
      <c r="E98" s="278">
        <f ca="1">'GBP Swap PVs'!P41</f>
        <v>578967.88294995227</v>
      </c>
      <c r="F98" s="278">
        <f ca="1">'GBP Swap PVs'!Q41</f>
        <v>385978.58863330167</v>
      </c>
      <c r="G98" s="278">
        <f ca="1">'GBP Swap PVs'!R41</f>
        <v>192989.29431665063</v>
      </c>
      <c r="H98" s="278">
        <f ca="1">'GBP Swap PVs'!S41</f>
        <v>0</v>
      </c>
      <c r="I98" s="278">
        <f ca="1">'GBP Swap PVs'!T41</f>
        <v>-192989.29431665089</v>
      </c>
      <c r="J98" s="278">
        <f ca="1">'GBP Swap PVs'!U41</f>
        <v>-385978.58863330167</v>
      </c>
      <c r="K98" s="278">
        <f ca="1">'GBP Swap PVs'!V41</f>
        <v>-578967.8829499525</v>
      </c>
      <c r="L98" s="278">
        <f ca="1">'GBP Swap PVs'!W41</f>
        <v>-771957.17726660334</v>
      </c>
      <c r="M98" s="279">
        <f ca="1">'GBP Swap PVs'!X41</f>
        <v>-964946.47158325405</v>
      </c>
    </row>
    <row r="99" spans="2:26">
      <c r="B99" s="282" t="s">
        <v>17</v>
      </c>
      <c r="C99" s="278">
        <f ca="1">'GBP Swap PVs'!N42</f>
        <v>1095875.5704726886</v>
      </c>
      <c r="D99" s="278">
        <f ca="1">'GBP Swap PVs'!O42</f>
        <v>876700.4563781505</v>
      </c>
      <c r="E99" s="278">
        <f ca="1">'GBP Swap PVs'!P42</f>
        <v>657525.34228361258</v>
      </c>
      <c r="F99" s="278">
        <f ca="1">'GBP Swap PVs'!Q42</f>
        <v>438350.22818907542</v>
      </c>
      <c r="G99" s="278">
        <f ca="1">'GBP Swap PVs'!R42</f>
        <v>219175.11409453748</v>
      </c>
      <c r="H99" s="278">
        <f ca="1">'GBP Swap PVs'!S42</f>
        <v>0</v>
      </c>
      <c r="I99" s="278">
        <f ca="1">'GBP Swap PVs'!T42</f>
        <v>-219175.11409453789</v>
      </c>
      <c r="J99" s="278">
        <f ca="1">'GBP Swap PVs'!U42</f>
        <v>-438350.22818907554</v>
      </c>
      <c r="K99" s="278">
        <f ca="1">'GBP Swap PVs'!V42</f>
        <v>-657525.3422836134</v>
      </c>
      <c r="L99" s="278">
        <f ca="1">'GBP Swap PVs'!W42</f>
        <v>-876700.4563781512</v>
      </c>
      <c r="M99" s="279">
        <f ca="1">'GBP Swap PVs'!X42</f>
        <v>-1095875.5704726889</v>
      </c>
    </row>
    <row r="100" spans="2:26">
      <c r="B100" s="282" t="s">
        <v>15</v>
      </c>
      <c r="C100" s="278">
        <f ca="1">'GBP Swap PVs'!N43</f>
        <v>1318174.9079456266</v>
      </c>
      <c r="D100" s="278">
        <f ca="1">'GBP Swap PVs'!O43</f>
        <v>1054539.9263565014</v>
      </c>
      <c r="E100" s="278">
        <f ca="1">'GBP Swap PVs'!P43</f>
        <v>790904.94476737559</v>
      </c>
      <c r="F100" s="278">
        <f ca="1">'GBP Swap PVs'!Q43</f>
        <v>527269.96317825082</v>
      </c>
      <c r="G100" s="278">
        <f ca="1">'GBP Swap PVs'!R43</f>
        <v>263634.98158912512</v>
      </c>
      <c r="H100" s="278">
        <f ca="1">'GBP Swap PVs'!S43</f>
        <v>0</v>
      </c>
      <c r="I100" s="278">
        <f ca="1">'GBP Swap PVs'!T43</f>
        <v>-263634.98158912576</v>
      </c>
      <c r="J100" s="278">
        <f ca="1">'GBP Swap PVs'!U43</f>
        <v>-527269.96317825106</v>
      </c>
      <c r="K100" s="278">
        <f ca="1">'GBP Swap PVs'!V43</f>
        <v>-790904.94476737664</v>
      </c>
      <c r="L100" s="278">
        <f ca="1">'GBP Swap PVs'!W43</f>
        <v>-1054539.9263565021</v>
      </c>
      <c r="M100" s="279">
        <f ca="1">'GBP Swap PVs'!X43</f>
        <v>-1318174.9079456276</v>
      </c>
    </row>
    <row r="101" spans="2:26">
      <c r="B101" s="282" t="s">
        <v>14</v>
      </c>
      <c r="C101" s="278">
        <f ca="1">'GBP Swap PVs'!N44</f>
        <v>1498623.2347463313</v>
      </c>
      <c r="D101" s="278">
        <f ca="1">'GBP Swap PVs'!O44</f>
        <v>1198898.5877970648</v>
      </c>
      <c r="E101" s="278">
        <f ca="1">'GBP Swap PVs'!P44</f>
        <v>899173.9408477979</v>
      </c>
      <c r="F101" s="278">
        <f ca="1">'GBP Swap PVs'!Q44</f>
        <v>599449.29389853252</v>
      </c>
      <c r="G101" s="278">
        <f ca="1">'GBP Swap PVs'!R44</f>
        <v>299724.64694926603</v>
      </c>
      <c r="H101" s="278">
        <f ca="1">'GBP Swap PVs'!S44</f>
        <v>0</v>
      </c>
      <c r="I101" s="278">
        <f ca="1">'GBP Swap PVs'!T44</f>
        <v>-299724.64694926655</v>
      </c>
      <c r="J101" s="278">
        <f ca="1">'GBP Swap PVs'!U44</f>
        <v>-599449.29389853263</v>
      </c>
      <c r="K101" s="278">
        <f ca="1">'GBP Swap PVs'!V44</f>
        <v>-899173.94084779895</v>
      </c>
      <c r="L101" s="278">
        <f ca="1">'GBP Swap PVs'!W44</f>
        <v>-1198898.5877970655</v>
      </c>
      <c r="M101" s="279">
        <f ca="1">'GBP Swap PVs'!X44</f>
        <v>-1498623.2347463316</v>
      </c>
    </row>
    <row r="102" spans="2:26">
      <c r="B102" s="282"/>
      <c r="C102" s="278">
        <f>'GBP Swap PVs'!N45</f>
        <v>0</v>
      </c>
      <c r="D102" s="278">
        <f>'GBP Swap PVs'!O45</f>
        <v>0</v>
      </c>
      <c r="E102" s="278">
        <f>'GBP Swap PVs'!P45</f>
        <v>0</v>
      </c>
      <c r="F102" s="278">
        <f>'GBP Swap PVs'!Q45</f>
        <v>0</v>
      </c>
      <c r="G102" s="278">
        <f>'GBP Swap PVs'!R45</f>
        <v>0</v>
      </c>
      <c r="H102" s="278">
        <f>'GBP Swap PVs'!S45</f>
        <v>0</v>
      </c>
      <c r="I102" s="278">
        <f>'GBP Swap PVs'!T45</f>
        <v>0</v>
      </c>
      <c r="J102" s="278">
        <f>'GBP Swap PVs'!U45</f>
        <v>0</v>
      </c>
      <c r="K102" s="278">
        <f>'GBP Swap PVs'!V45</f>
        <v>0</v>
      </c>
      <c r="L102" s="278">
        <f>'GBP Swap PVs'!W45</f>
        <v>0</v>
      </c>
      <c r="M102" s="279">
        <f>'GBP Swap PVs'!X45</f>
        <v>0</v>
      </c>
    </row>
    <row r="103" spans="2:26">
      <c r="B103" s="282"/>
      <c r="C103" s="278">
        <f>'GBP Swap PVs'!N46</f>
        <v>0</v>
      </c>
      <c r="D103" s="278">
        <f>'GBP Swap PVs'!O46</f>
        <v>0</v>
      </c>
      <c r="E103" s="278">
        <f>'GBP Swap PVs'!P46</f>
        <v>0</v>
      </c>
      <c r="F103" s="278">
        <f>'GBP Swap PVs'!Q46</f>
        <v>0</v>
      </c>
      <c r="G103" s="278">
        <f>'GBP Swap PVs'!R46</f>
        <v>0</v>
      </c>
      <c r="H103" s="278">
        <f>'GBP Swap PVs'!S46</f>
        <v>0</v>
      </c>
      <c r="I103" s="278">
        <f>'GBP Swap PVs'!T46</f>
        <v>0</v>
      </c>
      <c r="J103" s="278">
        <f>'GBP Swap PVs'!U46</f>
        <v>0</v>
      </c>
      <c r="K103" s="278">
        <f>'GBP Swap PVs'!V46</f>
        <v>0</v>
      </c>
      <c r="L103" s="278">
        <f>'GBP Swap PVs'!W46</f>
        <v>0</v>
      </c>
      <c r="M103" s="279">
        <f>'GBP Swap PVs'!X46</f>
        <v>0</v>
      </c>
    </row>
    <row r="104" spans="2:26">
      <c r="B104" s="283"/>
      <c r="C104" s="280">
        <f>'GBP Swap PVs'!N47</f>
        <v>0</v>
      </c>
      <c r="D104" s="280">
        <f>'GBP Swap PVs'!O47</f>
        <v>0</v>
      </c>
      <c r="E104" s="280">
        <f>'GBP Swap PVs'!P47</f>
        <v>0</v>
      </c>
      <c r="F104" s="280">
        <f>'GBP Swap PVs'!Q47</f>
        <v>0</v>
      </c>
      <c r="G104" s="280">
        <f>'GBP Swap PVs'!R47</f>
        <v>0</v>
      </c>
      <c r="H104" s="280">
        <f>'GBP Swap PVs'!S47</f>
        <v>0</v>
      </c>
      <c r="I104" s="280">
        <f>'GBP Swap PVs'!T47</f>
        <v>0</v>
      </c>
      <c r="J104" s="280">
        <f>'GBP Swap PVs'!U47</f>
        <v>0</v>
      </c>
      <c r="K104" s="280">
        <f>'GBP Swap PVs'!V47</f>
        <v>0</v>
      </c>
      <c r="L104" s="280">
        <f>'GBP Swap PVs'!W47</f>
        <v>0</v>
      </c>
      <c r="M104" s="281">
        <f>'GBP Swap PVs'!X47</f>
        <v>0</v>
      </c>
    </row>
    <row r="106" spans="2:26">
      <c r="B106" s="258" t="s">
        <v>472</v>
      </c>
      <c r="O106" s="258" t="s">
        <v>472</v>
      </c>
    </row>
    <row r="107" spans="2:26">
      <c r="B107" s="254" t="s">
        <v>468</v>
      </c>
      <c r="C107" s="287">
        <v>500</v>
      </c>
      <c r="D107" s="287">
        <v>400</v>
      </c>
      <c r="E107" s="287">
        <v>300</v>
      </c>
      <c r="F107" s="287">
        <v>200</v>
      </c>
      <c r="G107" s="287">
        <v>100</v>
      </c>
      <c r="H107" s="287">
        <v>0</v>
      </c>
      <c r="I107" s="287">
        <v>-100</v>
      </c>
      <c r="J107" s="287">
        <v>-200</v>
      </c>
      <c r="K107" s="287">
        <v>-300</v>
      </c>
      <c r="L107" s="287">
        <v>-400</v>
      </c>
      <c r="M107" s="288">
        <v>-500</v>
      </c>
      <c r="O107" s="254" t="s">
        <v>468</v>
      </c>
      <c r="P107" s="276">
        <v>-0.05</v>
      </c>
      <c r="Q107" s="276">
        <v>-0.04</v>
      </c>
      <c r="R107" s="276">
        <v>-0.03</v>
      </c>
      <c r="S107" s="276">
        <v>-1.9999999999999997E-2</v>
      </c>
      <c r="T107" s="276">
        <v>-9.9999999999999967E-3</v>
      </c>
      <c r="U107" s="276">
        <v>0</v>
      </c>
      <c r="V107" s="276">
        <v>0.01</v>
      </c>
      <c r="W107" s="276">
        <v>0.02</v>
      </c>
      <c r="X107" s="276">
        <v>0.03</v>
      </c>
      <c r="Y107" s="276">
        <v>0.04</v>
      </c>
      <c r="Z107" s="277">
        <v>0.05</v>
      </c>
    </row>
    <row r="108" spans="2:26">
      <c r="B108" s="282" t="s">
        <v>42</v>
      </c>
      <c r="C108" s="278">
        <f ca="1">IF(C86&gt;D86,0,1)</f>
        <v>0</v>
      </c>
      <c r="D108" s="278">
        <f t="shared" ref="D108:M108" ca="1" si="14">IF(D86&gt;E86,0,1)</f>
        <v>0</v>
      </c>
      <c r="E108" s="278">
        <f t="shared" ca="1" si="14"/>
        <v>0</v>
      </c>
      <c r="F108" s="278">
        <f t="shared" ca="1" si="14"/>
        <v>0</v>
      </c>
      <c r="G108" s="278">
        <f t="shared" ca="1" si="14"/>
        <v>0</v>
      </c>
      <c r="H108" s="278">
        <f t="shared" ca="1" si="14"/>
        <v>0</v>
      </c>
      <c r="I108" s="278">
        <f t="shared" ca="1" si="14"/>
        <v>0</v>
      </c>
      <c r="J108" s="278">
        <f t="shared" ca="1" si="14"/>
        <v>0</v>
      </c>
      <c r="K108" s="278">
        <f t="shared" ca="1" si="14"/>
        <v>0</v>
      </c>
      <c r="L108" s="278">
        <f t="shared" ca="1" si="14"/>
        <v>0</v>
      </c>
      <c r="M108" s="285" t="s">
        <v>6</v>
      </c>
      <c r="O108" s="282" t="s">
        <v>42</v>
      </c>
      <c r="P108" s="289">
        <f ca="1">IF(ABS(C87)&gt;ABS(C86),0,1)</f>
        <v>0</v>
      </c>
      <c r="Q108" s="289">
        <f t="shared" ref="Q108:T123" ca="1" si="15">IF(ABS(D87)&gt;ABS(D86),0,1)</f>
        <v>0</v>
      </c>
      <c r="R108" s="289">
        <f t="shared" ca="1" si="15"/>
        <v>0</v>
      </c>
      <c r="S108" s="289">
        <f t="shared" ca="1" si="15"/>
        <v>0</v>
      </c>
      <c r="T108" s="289">
        <f t="shared" ca="1" si="15"/>
        <v>0</v>
      </c>
      <c r="U108" s="295" t="s">
        <v>6</v>
      </c>
      <c r="V108" s="289">
        <f t="shared" ref="V108:Z123" ca="1" si="16">IF(ABS(I87)&gt;ABS(I86),0,1)</f>
        <v>0</v>
      </c>
      <c r="W108" s="289">
        <f t="shared" ca="1" si="16"/>
        <v>0</v>
      </c>
      <c r="X108" s="289">
        <f t="shared" ca="1" si="16"/>
        <v>0</v>
      </c>
      <c r="Y108" s="289">
        <f t="shared" ca="1" si="16"/>
        <v>0</v>
      </c>
      <c r="Z108" s="291">
        <f t="shared" ca="1" si="16"/>
        <v>0</v>
      </c>
    </row>
    <row r="109" spans="2:26">
      <c r="B109" s="282" t="s">
        <v>39</v>
      </c>
      <c r="C109" s="278">
        <f t="shared" ref="C109:M124" ca="1" si="17">IF(C87&gt;D87,0,1)</f>
        <v>0</v>
      </c>
      <c r="D109" s="278">
        <f t="shared" ca="1" si="17"/>
        <v>0</v>
      </c>
      <c r="E109" s="278">
        <f t="shared" ca="1" si="17"/>
        <v>0</v>
      </c>
      <c r="F109" s="278">
        <f t="shared" ca="1" si="17"/>
        <v>0</v>
      </c>
      <c r="G109" s="278">
        <f t="shared" ca="1" si="17"/>
        <v>0</v>
      </c>
      <c r="H109" s="278">
        <f t="shared" ca="1" si="17"/>
        <v>0</v>
      </c>
      <c r="I109" s="278">
        <f t="shared" ca="1" si="17"/>
        <v>0</v>
      </c>
      <c r="J109" s="278">
        <f t="shared" ca="1" si="17"/>
        <v>0</v>
      </c>
      <c r="K109" s="278">
        <f t="shared" ca="1" si="17"/>
        <v>0</v>
      </c>
      <c r="L109" s="278">
        <f t="shared" ca="1" si="17"/>
        <v>0</v>
      </c>
      <c r="M109" s="279" t="s">
        <v>6</v>
      </c>
      <c r="O109" s="282" t="s">
        <v>39</v>
      </c>
      <c r="P109" s="289">
        <f t="shared" ref="P109:T124" ca="1" si="18">IF(ABS(C88)&gt;ABS(C87),0,1)</f>
        <v>0</v>
      </c>
      <c r="Q109" s="289">
        <f t="shared" ca="1" si="15"/>
        <v>0</v>
      </c>
      <c r="R109" s="289">
        <f t="shared" ca="1" si="15"/>
        <v>0</v>
      </c>
      <c r="S109" s="289">
        <f t="shared" ca="1" si="15"/>
        <v>0</v>
      </c>
      <c r="T109" s="289">
        <f t="shared" ca="1" si="15"/>
        <v>0</v>
      </c>
      <c r="U109" s="295" t="s">
        <v>6</v>
      </c>
      <c r="V109" s="289">
        <f t="shared" ca="1" si="16"/>
        <v>0</v>
      </c>
      <c r="W109" s="289">
        <f t="shared" ca="1" si="16"/>
        <v>0</v>
      </c>
      <c r="X109" s="289">
        <f t="shared" ca="1" si="16"/>
        <v>0</v>
      </c>
      <c r="Y109" s="289">
        <f t="shared" ca="1" si="16"/>
        <v>0</v>
      </c>
      <c r="Z109" s="292">
        <f t="shared" ca="1" si="16"/>
        <v>0</v>
      </c>
    </row>
    <row r="110" spans="2:26">
      <c r="B110" s="282" t="s">
        <v>35</v>
      </c>
      <c r="C110" s="278">
        <f t="shared" ca="1" si="17"/>
        <v>0</v>
      </c>
      <c r="D110" s="278">
        <f t="shared" ca="1" si="17"/>
        <v>0</v>
      </c>
      <c r="E110" s="278">
        <f t="shared" ca="1" si="17"/>
        <v>0</v>
      </c>
      <c r="F110" s="278">
        <f t="shared" ca="1" si="17"/>
        <v>0</v>
      </c>
      <c r="G110" s="278">
        <f t="shared" ca="1" si="17"/>
        <v>0</v>
      </c>
      <c r="H110" s="278">
        <f t="shared" ca="1" si="17"/>
        <v>0</v>
      </c>
      <c r="I110" s="278">
        <f t="shared" ca="1" si="17"/>
        <v>0</v>
      </c>
      <c r="J110" s="278">
        <f t="shared" ca="1" si="17"/>
        <v>0</v>
      </c>
      <c r="K110" s="278">
        <f t="shared" ca="1" si="17"/>
        <v>0</v>
      </c>
      <c r="L110" s="278">
        <f t="shared" ca="1" si="17"/>
        <v>0</v>
      </c>
      <c r="M110" s="279" t="s">
        <v>6</v>
      </c>
      <c r="O110" s="282" t="s">
        <v>35</v>
      </c>
      <c r="P110" s="289">
        <f t="shared" ca="1" si="18"/>
        <v>0</v>
      </c>
      <c r="Q110" s="289">
        <f t="shared" ca="1" si="15"/>
        <v>0</v>
      </c>
      <c r="R110" s="289">
        <f t="shared" ca="1" si="15"/>
        <v>0</v>
      </c>
      <c r="S110" s="289">
        <f t="shared" ca="1" si="15"/>
        <v>0</v>
      </c>
      <c r="T110" s="289">
        <f t="shared" ca="1" si="15"/>
        <v>0</v>
      </c>
      <c r="U110" s="295" t="s">
        <v>6</v>
      </c>
      <c r="V110" s="289">
        <f t="shared" ca="1" si="16"/>
        <v>0</v>
      </c>
      <c r="W110" s="289">
        <f t="shared" ca="1" si="16"/>
        <v>0</v>
      </c>
      <c r="X110" s="289">
        <f t="shared" ca="1" si="16"/>
        <v>0</v>
      </c>
      <c r="Y110" s="289">
        <f t="shared" ca="1" si="16"/>
        <v>0</v>
      </c>
      <c r="Z110" s="292">
        <f t="shared" ca="1" si="16"/>
        <v>0</v>
      </c>
    </row>
    <row r="111" spans="2:26">
      <c r="B111" s="282" t="s">
        <v>33</v>
      </c>
      <c r="C111" s="278">
        <f t="shared" ca="1" si="17"/>
        <v>0</v>
      </c>
      <c r="D111" s="278">
        <f t="shared" ca="1" si="17"/>
        <v>0</v>
      </c>
      <c r="E111" s="278">
        <f t="shared" ca="1" si="17"/>
        <v>0</v>
      </c>
      <c r="F111" s="278">
        <f t="shared" ca="1" si="17"/>
        <v>0</v>
      </c>
      <c r="G111" s="278">
        <f t="shared" ca="1" si="17"/>
        <v>0</v>
      </c>
      <c r="H111" s="278">
        <f t="shared" ca="1" si="17"/>
        <v>0</v>
      </c>
      <c r="I111" s="278">
        <f t="shared" ca="1" si="17"/>
        <v>0</v>
      </c>
      <c r="J111" s="278">
        <f t="shared" ca="1" si="17"/>
        <v>0</v>
      </c>
      <c r="K111" s="278">
        <f t="shared" ca="1" si="17"/>
        <v>0</v>
      </c>
      <c r="L111" s="278">
        <f t="shared" ca="1" si="17"/>
        <v>0</v>
      </c>
      <c r="M111" s="279" t="s">
        <v>6</v>
      </c>
      <c r="O111" s="282" t="s">
        <v>33</v>
      </c>
      <c r="P111" s="289">
        <f t="shared" ca="1" si="18"/>
        <v>0</v>
      </c>
      <c r="Q111" s="289">
        <f t="shared" ca="1" si="15"/>
        <v>0</v>
      </c>
      <c r="R111" s="289">
        <f t="shared" ca="1" si="15"/>
        <v>0</v>
      </c>
      <c r="S111" s="289">
        <f t="shared" ca="1" si="15"/>
        <v>0</v>
      </c>
      <c r="T111" s="289">
        <f t="shared" ca="1" si="15"/>
        <v>0</v>
      </c>
      <c r="U111" s="295" t="s">
        <v>6</v>
      </c>
      <c r="V111" s="289">
        <f t="shared" ca="1" si="16"/>
        <v>0</v>
      </c>
      <c r="W111" s="289">
        <f t="shared" ca="1" si="16"/>
        <v>0</v>
      </c>
      <c r="X111" s="289">
        <f t="shared" ca="1" si="16"/>
        <v>0</v>
      </c>
      <c r="Y111" s="289">
        <f t="shared" ca="1" si="16"/>
        <v>0</v>
      </c>
      <c r="Z111" s="292">
        <f t="shared" ca="1" si="16"/>
        <v>0</v>
      </c>
    </row>
    <row r="112" spans="2:26">
      <c r="B112" s="282" t="s">
        <v>131</v>
      </c>
      <c r="C112" s="278">
        <f t="shared" ca="1" si="17"/>
        <v>0</v>
      </c>
      <c r="D112" s="278">
        <f t="shared" ca="1" si="17"/>
        <v>0</v>
      </c>
      <c r="E112" s="278">
        <f t="shared" ca="1" si="17"/>
        <v>0</v>
      </c>
      <c r="F112" s="278">
        <f t="shared" ca="1" si="17"/>
        <v>0</v>
      </c>
      <c r="G112" s="278">
        <f t="shared" ca="1" si="17"/>
        <v>0</v>
      </c>
      <c r="H112" s="278">
        <f t="shared" ca="1" si="17"/>
        <v>0</v>
      </c>
      <c r="I112" s="278">
        <f t="shared" ca="1" si="17"/>
        <v>0</v>
      </c>
      <c r="J112" s="278">
        <f t="shared" ca="1" si="17"/>
        <v>0</v>
      </c>
      <c r="K112" s="278">
        <f t="shared" ca="1" si="17"/>
        <v>0</v>
      </c>
      <c r="L112" s="278">
        <f t="shared" ca="1" si="17"/>
        <v>0</v>
      </c>
      <c r="M112" s="279" t="s">
        <v>6</v>
      </c>
      <c r="O112" s="282" t="s">
        <v>131</v>
      </c>
      <c r="P112" s="289">
        <f t="shared" ca="1" si="18"/>
        <v>0</v>
      </c>
      <c r="Q112" s="289">
        <f t="shared" ca="1" si="15"/>
        <v>0</v>
      </c>
      <c r="R112" s="289">
        <f t="shared" ca="1" si="15"/>
        <v>0</v>
      </c>
      <c r="S112" s="289">
        <f t="shared" ca="1" si="15"/>
        <v>0</v>
      </c>
      <c r="T112" s="289">
        <f t="shared" ca="1" si="15"/>
        <v>0</v>
      </c>
      <c r="U112" s="295" t="s">
        <v>6</v>
      </c>
      <c r="V112" s="289">
        <f t="shared" ca="1" si="16"/>
        <v>0</v>
      </c>
      <c r="W112" s="289">
        <f t="shared" ca="1" si="16"/>
        <v>0</v>
      </c>
      <c r="X112" s="289">
        <f t="shared" ca="1" si="16"/>
        <v>0</v>
      </c>
      <c r="Y112" s="289">
        <f t="shared" ca="1" si="16"/>
        <v>0</v>
      </c>
      <c r="Z112" s="292">
        <f t="shared" ca="1" si="16"/>
        <v>0</v>
      </c>
    </row>
    <row r="113" spans="2:26">
      <c r="B113" s="282" t="s">
        <v>31</v>
      </c>
      <c r="C113" s="278">
        <f t="shared" ca="1" si="17"/>
        <v>0</v>
      </c>
      <c r="D113" s="278">
        <f t="shared" ca="1" si="17"/>
        <v>0</v>
      </c>
      <c r="E113" s="278">
        <f t="shared" ca="1" si="17"/>
        <v>0</v>
      </c>
      <c r="F113" s="278">
        <f t="shared" ca="1" si="17"/>
        <v>0</v>
      </c>
      <c r="G113" s="278">
        <f t="shared" ca="1" si="17"/>
        <v>0</v>
      </c>
      <c r="H113" s="278">
        <f t="shared" ca="1" si="17"/>
        <v>0</v>
      </c>
      <c r="I113" s="278">
        <f t="shared" ca="1" si="17"/>
        <v>0</v>
      </c>
      <c r="J113" s="278">
        <f t="shared" ca="1" si="17"/>
        <v>0</v>
      </c>
      <c r="K113" s="278">
        <f t="shared" ca="1" si="17"/>
        <v>0</v>
      </c>
      <c r="L113" s="278">
        <f t="shared" ca="1" si="17"/>
        <v>0</v>
      </c>
      <c r="M113" s="279" t="s">
        <v>6</v>
      </c>
      <c r="O113" s="282" t="s">
        <v>31</v>
      </c>
      <c r="P113" s="289">
        <f t="shared" ca="1" si="18"/>
        <v>0</v>
      </c>
      <c r="Q113" s="289">
        <f t="shared" ca="1" si="15"/>
        <v>0</v>
      </c>
      <c r="R113" s="289">
        <f t="shared" ca="1" si="15"/>
        <v>0</v>
      </c>
      <c r="S113" s="289">
        <f t="shared" ca="1" si="15"/>
        <v>0</v>
      </c>
      <c r="T113" s="289">
        <f t="shared" ca="1" si="15"/>
        <v>0</v>
      </c>
      <c r="U113" s="295" t="s">
        <v>6</v>
      </c>
      <c r="V113" s="289">
        <f t="shared" ca="1" si="16"/>
        <v>0</v>
      </c>
      <c r="W113" s="289">
        <f t="shared" ca="1" si="16"/>
        <v>0</v>
      </c>
      <c r="X113" s="289">
        <f t="shared" ca="1" si="16"/>
        <v>0</v>
      </c>
      <c r="Y113" s="289">
        <f t="shared" ca="1" si="16"/>
        <v>0</v>
      </c>
      <c r="Z113" s="292">
        <f t="shared" ca="1" si="16"/>
        <v>0</v>
      </c>
    </row>
    <row r="114" spans="2:26">
      <c r="B114" s="282" t="s">
        <v>119</v>
      </c>
      <c r="C114" s="278">
        <f t="shared" ca="1" si="17"/>
        <v>0</v>
      </c>
      <c r="D114" s="278">
        <f t="shared" ca="1" si="17"/>
        <v>0</v>
      </c>
      <c r="E114" s="278">
        <f t="shared" ca="1" si="17"/>
        <v>0</v>
      </c>
      <c r="F114" s="278">
        <f t="shared" ca="1" si="17"/>
        <v>0</v>
      </c>
      <c r="G114" s="278">
        <f t="shared" ca="1" si="17"/>
        <v>0</v>
      </c>
      <c r="H114" s="278">
        <f t="shared" ca="1" si="17"/>
        <v>0</v>
      </c>
      <c r="I114" s="278">
        <f t="shared" ca="1" si="17"/>
        <v>0</v>
      </c>
      <c r="J114" s="278">
        <f t="shared" ca="1" si="17"/>
        <v>0</v>
      </c>
      <c r="K114" s="278">
        <f t="shared" ca="1" si="17"/>
        <v>0</v>
      </c>
      <c r="L114" s="278">
        <f t="shared" ca="1" si="17"/>
        <v>0</v>
      </c>
      <c r="M114" s="279" t="s">
        <v>6</v>
      </c>
      <c r="O114" s="282" t="s">
        <v>119</v>
      </c>
      <c r="P114" s="289">
        <f t="shared" ca="1" si="18"/>
        <v>0</v>
      </c>
      <c r="Q114" s="289">
        <f t="shared" ca="1" si="15"/>
        <v>0</v>
      </c>
      <c r="R114" s="289">
        <f t="shared" ca="1" si="15"/>
        <v>0</v>
      </c>
      <c r="S114" s="289">
        <f t="shared" ca="1" si="15"/>
        <v>0</v>
      </c>
      <c r="T114" s="289">
        <f t="shared" ca="1" si="15"/>
        <v>0</v>
      </c>
      <c r="U114" s="295" t="s">
        <v>6</v>
      </c>
      <c r="V114" s="289">
        <f t="shared" ca="1" si="16"/>
        <v>0</v>
      </c>
      <c r="W114" s="289">
        <f t="shared" ca="1" si="16"/>
        <v>0</v>
      </c>
      <c r="X114" s="289">
        <f t="shared" ca="1" si="16"/>
        <v>0</v>
      </c>
      <c r="Y114" s="289">
        <f t="shared" ca="1" si="16"/>
        <v>0</v>
      </c>
      <c r="Z114" s="292">
        <f t="shared" ca="1" si="16"/>
        <v>0</v>
      </c>
    </row>
    <row r="115" spans="2:26">
      <c r="B115" s="282" t="s">
        <v>113</v>
      </c>
      <c r="C115" s="278">
        <f t="shared" ca="1" si="17"/>
        <v>0</v>
      </c>
      <c r="D115" s="278">
        <f t="shared" ca="1" si="17"/>
        <v>0</v>
      </c>
      <c r="E115" s="278">
        <f t="shared" ca="1" si="17"/>
        <v>0</v>
      </c>
      <c r="F115" s="278">
        <f t="shared" ca="1" si="17"/>
        <v>0</v>
      </c>
      <c r="G115" s="278">
        <f t="shared" ca="1" si="17"/>
        <v>0</v>
      </c>
      <c r="H115" s="278">
        <f t="shared" ca="1" si="17"/>
        <v>0</v>
      </c>
      <c r="I115" s="278">
        <f t="shared" ca="1" si="17"/>
        <v>0</v>
      </c>
      <c r="J115" s="278">
        <f t="shared" ca="1" si="17"/>
        <v>0</v>
      </c>
      <c r="K115" s="278">
        <f t="shared" ca="1" si="17"/>
        <v>0</v>
      </c>
      <c r="L115" s="278">
        <f t="shared" ca="1" si="17"/>
        <v>0</v>
      </c>
      <c r="M115" s="279" t="s">
        <v>6</v>
      </c>
      <c r="O115" s="282" t="s">
        <v>113</v>
      </c>
      <c r="P115" s="289">
        <f t="shared" ca="1" si="18"/>
        <v>0</v>
      </c>
      <c r="Q115" s="289">
        <f t="shared" ca="1" si="15"/>
        <v>0</v>
      </c>
      <c r="R115" s="289">
        <f t="shared" ca="1" si="15"/>
        <v>0</v>
      </c>
      <c r="S115" s="289">
        <f t="shared" ca="1" si="15"/>
        <v>0</v>
      </c>
      <c r="T115" s="289">
        <f t="shared" ca="1" si="15"/>
        <v>0</v>
      </c>
      <c r="U115" s="295" t="s">
        <v>6</v>
      </c>
      <c r="V115" s="289">
        <f t="shared" ca="1" si="16"/>
        <v>0</v>
      </c>
      <c r="W115" s="289">
        <f t="shared" ca="1" si="16"/>
        <v>0</v>
      </c>
      <c r="X115" s="289">
        <f t="shared" ca="1" si="16"/>
        <v>0</v>
      </c>
      <c r="Y115" s="289">
        <f t="shared" ca="1" si="16"/>
        <v>0</v>
      </c>
      <c r="Z115" s="292">
        <f t="shared" ca="1" si="16"/>
        <v>0</v>
      </c>
    </row>
    <row r="116" spans="2:26">
      <c r="B116" s="282" t="s">
        <v>28</v>
      </c>
      <c r="C116" s="278">
        <f t="shared" ca="1" si="17"/>
        <v>0</v>
      </c>
      <c r="D116" s="278">
        <f t="shared" ca="1" si="17"/>
        <v>0</v>
      </c>
      <c r="E116" s="278">
        <f t="shared" ca="1" si="17"/>
        <v>0</v>
      </c>
      <c r="F116" s="278">
        <f t="shared" ca="1" si="17"/>
        <v>0</v>
      </c>
      <c r="G116" s="278">
        <f t="shared" ca="1" si="17"/>
        <v>0</v>
      </c>
      <c r="H116" s="278">
        <f t="shared" ca="1" si="17"/>
        <v>0</v>
      </c>
      <c r="I116" s="278">
        <f t="shared" ca="1" si="17"/>
        <v>0</v>
      </c>
      <c r="J116" s="278">
        <f t="shared" ca="1" si="17"/>
        <v>0</v>
      </c>
      <c r="K116" s="278">
        <f t="shared" ca="1" si="17"/>
        <v>0</v>
      </c>
      <c r="L116" s="278">
        <f t="shared" ca="1" si="17"/>
        <v>0</v>
      </c>
      <c r="M116" s="279" t="s">
        <v>6</v>
      </c>
      <c r="O116" s="282" t="s">
        <v>28</v>
      </c>
      <c r="P116" s="289">
        <f t="shared" ca="1" si="18"/>
        <v>0</v>
      </c>
      <c r="Q116" s="289">
        <f t="shared" ca="1" si="15"/>
        <v>0</v>
      </c>
      <c r="R116" s="289">
        <f t="shared" ca="1" si="15"/>
        <v>0</v>
      </c>
      <c r="S116" s="289">
        <f t="shared" ca="1" si="15"/>
        <v>0</v>
      </c>
      <c r="T116" s="289">
        <f t="shared" ca="1" si="15"/>
        <v>0</v>
      </c>
      <c r="U116" s="295" t="s">
        <v>6</v>
      </c>
      <c r="V116" s="289">
        <f t="shared" ca="1" si="16"/>
        <v>0</v>
      </c>
      <c r="W116" s="289">
        <f t="shared" ca="1" si="16"/>
        <v>0</v>
      </c>
      <c r="X116" s="289">
        <f t="shared" ca="1" si="16"/>
        <v>0</v>
      </c>
      <c r="Y116" s="289">
        <f t="shared" ca="1" si="16"/>
        <v>0</v>
      </c>
      <c r="Z116" s="292">
        <f t="shared" ca="1" si="16"/>
        <v>0</v>
      </c>
    </row>
    <row r="117" spans="2:26">
      <c r="B117" s="282" t="s">
        <v>26</v>
      </c>
      <c r="C117" s="278">
        <f t="shared" ca="1" si="17"/>
        <v>0</v>
      </c>
      <c r="D117" s="278">
        <f t="shared" ca="1" si="17"/>
        <v>0</v>
      </c>
      <c r="E117" s="278">
        <f t="shared" ca="1" si="17"/>
        <v>0</v>
      </c>
      <c r="F117" s="278">
        <f t="shared" ca="1" si="17"/>
        <v>0</v>
      </c>
      <c r="G117" s="278">
        <f t="shared" ca="1" si="17"/>
        <v>0</v>
      </c>
      <c r="H117" s="278">
        <f t="shared" ca="1" si="17"/>
        <v>0</v>
      </c>
      <c r="I117" s="278">
        <f t="shared" ca="1" si="17"/>
        <v>0</v>
      </c>
      <c r="J117" s="278">
        <f t="shared" ca="1" si="17"/>
        <v>0</v>
      </c>
      <c r="K117" s="278">
        <f t="shared" ca="1" si="17"/>
        <v>0</v>
      </c>
      <c r="L117" s="278">
        <f t="shared" ca="1" si="17"/>
        <v>0</v>
      </c>
      <c r="M117" s="279" t="s">
        <v>6</v>
      </c>
      <c r="O117" s="282" t="s">
        <v>26</v>
      </c>
      <c r="P117" s="289">
        <f t="shared" ca="1" si="18"/>
        <v>0</v>
      </c>
      <c r="Q117" s="289">
        <f t="shared" ca="1" si="15"/>
        <v>0</v>
      </c>
      <c r="R117" s="289">
        <f t="shared" ca="1" si="15"/>
        <v>0</v>
      </c>
      <c r="S117" s="289">
        <f t="shared" ca="1" si="15"/>
        <v>0</v>
      </c>
      <c r="T117" s="289">
        <f t="shared" ca="1" si="15"/>
        <v>0</v>
      </c>
      <c r="U117" s="295" t="s">
        <v>6</v>
      </c>
      <c r="V117" s="289">
        <f t="shared" ca="1" si="16"/>
        <v>0</v>
      </c>
      <c r="W117" s="289">
        <f t="shared" ca="1" si="16"/>
        <v>0</v>
      </c>
      <c r="X117" s="289">
        <f t="shared" ca="1" si="16"/>
        <v>0</v>
      </c>
      <c r="Y117" s="289">
        <f t="shared" ca="1" si="16"/>
        <v>0</v>
      </c>
      <c r="Z117" s="292">
        <f t="shared" ca="1" si="16"/>
        <v>0</v>
      </c>
    </row>
    <row r="118" spans="2:26">
      <c r="B118" s="282" t="s">
        <v>24</v>
      </c>
      <c r="C118" s="278">
        <f t="shared" ca="1" si="17"/>
        <v>0</v>
      </c>
      <c r="D118" s="278">
        <f t="shared" ca="1" si="17"/>
        <v>0</v>
      </c>
      <c r="E118" s="278">
        <f t="shared" ca="1" si="17"/>
        <v>0</v>
      </c>
      <c r="F118" s="278">
        <f t="shared" ca="1" si="17"/>
        <v>0</v>
      </c>
      <c r="G118" s="278">
        <f t="shared" ca="1" si="17"/>
        <v>0</v>
      </c>
      <c r="H118" s="278">
        <f t="shared" ca="1" si="17"/>
        <v>0</v>
      </c>
      <c r="I118" s="278">
        <f t="shared" ca="1" si="17"/>
        <v>0</v>
      </c>
      <c r="J118" s="278">
        <f t="shared" ca="1" si="17"/>
        <v>0</v>
      </c>
      <c r="K118" s="278">
        <f t="shared" ca="1" si="17"/>
        <v>0</v>
      </c>
      <c r="L118" s="278">
        <f t="shared" ca="1" si="17"/>
        <v>0</v>
      </c>
      <c r="M118" s="279" t="s">
        <v>6</v>
      </c>
      <c r="O118" s="282" t="s">
        <v>24</v>
      </c>
      <c r="P118" s="289">
        <f t="shared" ca="1" si="18"/>
        <v>0</v>
      </c>
      <c r="Q118" s="289">
        <f t="shared" ca="1" si="15"/>
        <v>0</v>
      </c>
      <c r="R118" s="289">
        <f t="shared" ca="1" si="15"/>
        <v>0</v>
      </c>
      <c r="S118" s="289">
        <f t="shared" ca="1" si="15"/>
        <v>0</v>
      </c>
      <c r="T118" s="289">
        <f t="shared" ca="1" si="15"/>
        <v>0</v>
      </c>
      <c r="U118" s="295" t="s">
        <v>6</v>
      </c>
      <c r="V118" s="289">
        <f t="shared" ca="1" si="16"/>
        <v>0</v>
      </c>
      <c r="W118" s="289">
        <f t="shared" ca="1" si="16"/>
        <v>0</v>
      </c>
      <c r="X118" s="289">
        <f t="shared" ca="1" si="16"/>
        <v>0</v>
      </c>
      <c r="Y118" s="289">
        <f t="shared" ca="1" si="16"/>
        <v>0</v>
      </c>
      <c r="Z118" s="292">
        <f t="shared" ca="1" si="16"/>
        <v>0</v>
      </c>
    </row>
    <row r="119" spans="2:26">
      <c r="B119" s="282" t="s">
        <v>20</v>
      </c>
      <c r="C119" s="278">
        <f t="shared" ca="1" si="17"/>
        <v>0</v>
      </c>
      <c r="D119" s="278">
        <f t="shared" ca="1" si="17"/>
        <v>0</v>
      </c>
      <c r="E119" s="278">
        <f t="shared" ca="1" si="17"/>
        <v>0</v>
      </c>
      <c r="F119" s="278">
        <f t="shared" ca="1" si="17"/>
        <v>0</v>
      </c>
      <c r="G119" s="278">
        <f t="shared" ca="1" si="17"/>
        <v>0</v>
      </c>
      <c r="H119" s="278">
        <f t="shared" ca="1" si="17"/>
        <v>0</v>
      </c>
      <c r="I119" s="278">
        <f t="shared" ca="1" si="17"/>
        <v>0</v>
      </c>
      <c r="J119" s="278">
        <f t="shared" ca="1" si="17"/>
        <v>0</v>
      </c>
      <c r="K119" s="278">
        <f t="shared" ca="1" si="17"/>
        <v>0</v>
      </c>
      <c r="L119" s="278">
        <f t="shared" ca="1" si="17"/>
        <v>0</v>
      </c>
      <c r="M119" s="279" t="s">
        <v>6</v>
      </c>
      <c r="O119" s="282" t="s">
        <v>20</v>
      </c>
      <c r="P119" s="289">
        <f t="shared" ca="1" si="18"/>
        <v>0</v>
      </c>
      <c r="Q119" s="289">
        <f t="shared" ca="1" si="15"/>
        <v>0</v>
      </c>
      <c r="R119" s="289">
        <f t="shared" ca="1" si="15"/>
        <v>0</v>
      </c>
      <c r="S119" s="289">
        <f t="shared" ca="1" si="15"/>
        <v>0</v>
      </c>
      <c r="T119" s="289">
        <f t="shared" ca="1" si="15"/>
        <v>0</v>
      </c>
      <c r="U119" s="295" t="s">
        <v>6</v>
      </c>
      <c r="V119" s="289">
        <f t="shared" ca="1" si="16"/>
        <v>0</v>
      </c>
      <c r="W119" s="289">
        <f t="shared" ca="1" si="16"/>
        <v>0</v>
      </c>
      <c r="X119" s="289">
        <f t="shared" ca="1" si="16"/>
        <v>0</v>
      </c>
      <c r="Y119" s="289">
        <f t="shared" ca="1" si="16"/>
        <v>0</v>
      </c>
      <c r="Z119" s="292">
        <f t="shared" ca="1" si="16"/>
        <v>0</v>
      </c>
    </row>
    <row r="120" spans="2:26">
      <c r="B120" s="282" t="s">
        <v>18</v>
      </c>
      <c r="C120" s="278">
        <f t="shared" ca="1" si="17"/>
        <v>0</v>
      </c>
      <c r="D120" s="278">
        <f t="shared" ca="1" si="17"/>
        <v>0</v>
      </c>
      <c r="E120" s="278">
        <f t="shared" ca="1" si="17"/>
        <v>0</v>
      </c>
      <c r="F120" s="278">
        <f t="shared" ca="1" si="17"/>
        <v>0</v>
      </c>
      <c r="G120" s="278">
        <f t="shared" ca="1" si="17"/>
        <v>0</v>
      </c>
      <c r="H120" s="278">
        <f t="shared" ca="1" si="17"/>
        <v>0</v>
      </c>
      <c r="I120" s="278">
        <f t="shared" ca="1" si="17"/>
        <v>0</v>
      </c>
      <c r="J120" s="278">
        <f t="shared" ca="1" si="17"/>
        <v>0</v>
      </c>
      <c r="K120" s="278">
        <f t="shared" ca="1" si="17"/>
        <v>0</v>
      </c>
      <c r="L120" s="278">
        <f t="shared" ca="1" si="17"/>
        <v>0</v>
      </c>
      <c r="M120" s="279" t="s">
        <v>6</v>
      </c>
      <c r="O120" s="282" t="s">
        <v>18</v>
      </c>
      <c r="P120" s="289">
        <f t="shared" ca="1" si="18"/>
        <v>0</v>
      </c>
      <c r="Q120" s="289">
        <f t="shared" ca="1" si="15"/>
        <v>0</v>
      </c>
      <c r="R120" s="289">
        <f t="shared" ca="1" si="15"/>
        <v>0</v>
      </c>
      <c r="S120" s="289">
        <f t="shared" ca="1" si="15"/>
        <v>0</v>
      </c>
      <c r="T120" s="289">
        <f t="shared" ca="1" si="15"/>
        <v>0</v>
      </c>
      <c r="U120" s="295" t="s">
        <v>6</v>
      </c>
      <c r="V120" s="289">
        <f t="shared" ca="1" si="16"/>
        <v>0</v>
      </c>
      <c r="W120" s="289">
        <f t="shared" ca="1" si="16"/>
        <v>0</v>
      </c>
      <c r="X120" s="289">
        <f t="shared" ca="1" si="16"/>
        <v>0</v>
      </c>
      <c r="Y120" s="289">
        <f t="shared" ca="1" si="16"/>
        <v>0</v>
      </c>
      <c r="Z120" s="292">
        <f t="shared" ca="1" si="16"/>
        <v>0</v>
      </c>
    </row>
    <row r="121" spans="2:26">
      <c r="B121" s="282" t="s">
        <v>17</v>
      </c>
      <c r="C121" s="278">
        <f t="shared" ca="1" si="17"/>
        <v>0</v>
      </c>
      <c r="D121" s="278">
        <f t="shared" ca="1" si="17"/>
        <v>0</v>
      </c>
      <c r="E121" s="278">
        <f t="shared" ca="1" si="17"/>
        <v>0</v>
      </c>
      <c r="F121" s="278">
        <f t="shared" ca="1" si="17"/>
        <v>0</v>
      </c>
      <c r="G121" s="278">
        <f t="shared" ca="1" si="17"/>
        <v>0</v>
      </c>
      <c r="H121" s="278">
        <f t="shared" ca="1" si="17"/>
        <v>0</v>
      </c>
      <c r="I121" s="278">
        <f t="shared" ca="1" si="17"/>
        <v>0</v>
      </c>
      <c r="J121" s="278">
        <f t="shared" ca="1" si="17"/>
        <v>0</v>
      </c>
      <c r="K121" s="278">
        <f t="shared" ca="1" si="17"/>
        <v>0</v>
      </c>
      <c r="L121" s="278">
        <f t="shared" ca="1" si="17"/>
        <v>0</v>
      </c>
      <c r="M121" s="279" t="s">
        <v>6</v>
      </c>
      <c r="O121" s="282" t="s">
        <v>17</v>
      </c>
      <c r="P121" s="289">
        <f t="shared" ca="1" si="18"/>
        <v>0</v>
      </c>
      <c r="Q121" s="289">
        <f t="shared" ca="1" si="15"/>
        <v>0</v>
      </c>
      <c r="R121" s="289">
        <f t="shared" ca="1" si="15"/>
        <v>0</v>
      </c>
      <c r="S121" s="289">
        <f t="shared" ca="1" si="15"/>
        <v>0</v>
      </c>
      <c r="T121" s="289">
        <f t="shared" ca="1" si="15"/>
        <v>0</v>
      </c>
      <c r="U121" s="295" t="s">
        <v>6</v>
      </c>
      <c r="V121" s="289">
        <f t="shared" ca="1" si="16"/>
        <v>0</v>
      </c>
      <c r="W121" s="289">
        <f t="shared" ca="1" si="16"/>
        <v>0</v>
      </c>
      <c r="X121" s="289">
        <f t="shared" ca="1" si="16"/>
        <v>0</v>
      </c>
      <c r="Y121" s="289">
        <f t="shared" ca="1" si="16"/>
        <v>0</v>
      </c>
      <c r="Z121" s="292">
        <f t="shared" ca="1" si="16"/>
        <v>0</v>
      </c>
    </row>
    <row r="122" spans="2:26">
      <c r="B122" s="282" t="s">
        <v>15</v>
      </c>
      <c r="C122" s="278">
        <f t="shared" ca="1" si="17"/>
        <v>0</v>
      </c>
      <c r="D122" s="278">
        <f t="shared" ca="1" si="17"/>
        <v>0</v>
      </c>
      <c r="E122" s="278">
        <f t="shared" ca="1" si="17"/>
        <v>0</v>
      </c>
      <c r="F122" s="278">
        <f t="shared" ca="1" si="17"/>
        <v>0</v>
      </c>
      <c r="G122" s="278">
        <f t="shared" ca="1" si="17"/>
        <v>0</v>
      </c>
      <c r="H122" s="278">
        <f t="shared" ca="1" si="17"/>
        <v>0</v>
      </c>
      <c r="I122" s="278">
        <f t="shared" ca="1" si="17"/>
        <v>0</v>
      </c>
      <c r="J122" s="278">
        <f t="shared" ca="1" si="17"/>
        <v>0</v>
      </c>
      <c r="K122" s="278">
        <f t="shared" ca="1" si="17"/>
        <v>0</v>
      </c>
      <c r="L122" s="278">
        <f t="shared" ca="1" si="17"/>
        <v>0</v>
      </c>
      <c r="M122" s="279" t="s">
        <v>6</v>
      </c>
      <c r="O122" s="282" t="s">
        <v>15</v>
      </c>
      <c r="P122" s="289">
        <f t="shared" ca="1" si="18"/>
        <v>0</v>
      </c>
      <c r="Q122" s="289">
        <f t="shared" ca="1" si="15"/>
        <v>0</v>
      </c>
      <c r="R122" s="289">
        <f t="shared" ca="1" si="15"/>
        <v>0</v>
      </c>
      <c r="S122" s="289">
        <f t="shared" ca="1" si="15"/>
        <v>0</v>
      </c>
      <c r="T122" s="289">
        <f t="shared" ca="1" si="15"/>
        <v>0</v>
      </c>
      <c r="U122" s="295" t="s">
        <v>6</v>
      </c>
      <c r="V122" s="289">
        <f t="shared" ca="1" si="16"/>
        <v>0</v>
      </c>
      <c r="W122" s="289">
        <f t="shared" ca="1" si="16"/>
        <v>0</v>
      </c>
      <c r="X122" s="289">
        <f t="shared" ca="1" si="16"/>
        <v>0</v>
      </c>
      <c r="Y122" s="289">
        <f t="shared" ca="1" si="16"/>
        <v>0</v>
      </c>
      <c r="Z122" s="292">
        <f t="shared" ca="1" si="16"/>
        <v>0</v>
      </c>
    </row>
    <row r="123" spans="2:26">
      <c r="B123" s="282" t="s">
        <v>14</v>
      </c>
      <c r="C123" s="278">
        <f t="shared" ca="1" si="17"/>
        <v>0</v>
      </c>
      <c r="D123" s="278">
        <f t="shared" ca="1" si="17"/>
        <v>0</v>
      </c>
      <c r="E123" s="278">
        <f t="shared" ca="1" si="17"/>
        <v>0</v>
      </c>
      <c r="F123" s="278">
        <f t="shared" ca="1" si="17"/>
        <v>0</v>
      </c>
      <c r="G123" s="278">
        <f t="shared" ca="1" si="17"/>
        <v>0</v>
      </c>
      <c r="H123" s="278">
        <f t="shared" ca="1" si="17"/>
        <v>0</v>
      </c>
      <c r="I123" s="278">
        <f t="shared" ca="1" si="17"/>
        <v>0</v>
      </c>
      <c r="J123" s="278">
        <f t="shared" ca="1" si="17"/>
        <v>0</v>
      </c>
      <c r="K123" s="278">
        <f t="shared" ca="1" si="17"/>
        <v>0</v>
      </c>
      <c r="L123" s="278">
        <f t="shared" ca="1" si="17"/>
        <v>0</v>
      </c>
      <c r="M123" s="279" t="s">
        <v>6</v>
      </c>
      <c r="O123" s="282" t="s">
        <v>14</v>
      </c>
      <c r="P123" s="295" t="s">
        <v>6</v>
      </c>
      <c r="Q123" s="295" t="s">
        <v>6</v>
      </c>
      <c r="R123" s="295" t="s">
        <v>6</v>
      </c>
      <c r="S123" s="295" t="s">
        <v>6</v>
      </c>
      <c r="T123" s="295" t="s">
        <v>6</v>
      </c>
      <c r="U123" s="295" t="s">
        <v>6</v>
      </c>
      <c r="V123" s="295" t="s">
        <v>6</v>
      </c>
      <c r="W123" s="295" t="s">
        <v>6</v>
      </c>
      <c r="X123" s="295" t="s">
        <v>6</v>
      </c>
      <c r="Y123" s="295" t="s">
        <v>6</v>
      </c>
      <c r="Z123" s="291" t="s">
        <v>6</v>
      </c>
    </row>
    <row r="124" spans="2:26">
      <c r="B124" s="282"/>
      <c r="C124" s="278"/>
      <c r="D124" s="278"/>
      <c r="E124" s="278"/>
      <c r="F124" s="278"/>
      <c r="G124" s="278"/>
      <c r="H124" s="278"/>
      <c r="I124" s="278"/>
      <c r="J124" s="278"/>
      <c r="K124" s="278"/>
      <c r="L124" s="278"/>
      <c r="M124" s="279"/>
      <c r="O124" s="282"/>
      <c r="P124" s="289"/>
      <c r="Q124" s="289"/>
      <c r="R124" s="289"/>
      <c r="S124" s="289"/>
      <c r="T124" s="289"/>
      <c r="U124" s="295"/>
      <c r="V124" s="289"/>
      <c r="W124" s="289"/>
      <c r="X124" s="289"/>
      <c r="Y124" s="289"/>
      <c r="Z124" s="292"/>
    </row>
    <row r="125" spans="2:26">
      <c r="B125" s="282"/>
      <c r="C125" s="278"/>
      <c r="D125" s="278"/>
      <c r="E125" s="278"/>
      <c r="F125" s="278"/>
      <c r="G125" s="278"/>
      <c r="H125" s="278"/>
      <c r="I125" s="278"/>
      <c r="J125" s="278"/>
      <c r="K125" s="278"/>
      <c r="L125" s="278"/>
      <c r="M125" s="279"/>
      <c r="O125" s="282"/>
      <c r="P125" s="289"/>
      <c r="Q125" s="289"/>
      <c r="R125" s="289"/>
      <c r="S125" s="289"/>
      <c r="T125" s="289"/>
      <c r="U125" s="295"/>
      <c r="V125" s="289"/>
      <c r="W125" s="289"/>
      <c r="X125" s="289"/>
      <c r="Y125" s="289"/>
      <c r="Z125" s="292"/>
    </row>
    <row r="126" spans="2:26">
      <c r="B126" s="283"/>
      <c r="C126" s="280"/>
      <c r="D126" s="280"/>
      <c r="E126" s="280"/>
      <c r="F126" s="280"/>
      <c r="G126" s="280"/>
      <c r="H126" s="280"/>
      <c r="I126" s="280"/>
      <c r="J126" s="280"/>
      <c r="K126" s="280"/>
      <c r="L126" s="280"/>
      <c r="M126" s="281"/>
      <c r="O126" s="283"/>
      <c r="P126" s="293"/>
      <c r="Q126" s="293"/>
      <c r="R126" s="293"/>
      <c r="S126" s="293"/>
      <c r="T126" s="293"/>
      <c r="U126" s="296"/>
      <c r="V126" s="293"/>
      <c r="W126" s="293"/>
      <c r="X126" s="293"/>
      <c r="Y126" s="293"/>
      <c r="Z126" s="294"/>
    </row>
    <row r="129" spans="1:13">
      <c r="A129" s="224" t="s">
        <v>480</v>
      </c>
      <c r="B129" s="290" t="s">
        <v>489</v>
      </c>
      <c r="C129" s="284"/>
      <c r="G129" s="290" t="s">
        <v>489</v>
      </c>
    </row>
    <row r="130" spans="1:13">
      <c r="B130" s="284" t="s">
        <v>487</v>
      </c>
      <c r="C130" s="284"/>
      <c r="G130" s="284" t="s">
        <v>488</v>
      </c>
      <c r="H130" s="284"/>
    </row>
    <row r="131" spans="1:13">
      <c r="B131" s="258" t="s">
        <v>474</v>
      </c>
      <c r="C131" s="286">
        <f ca="1">SUM(C157:L175)</f>
        <v>0</v>
      </c>
      <c r="G131" s="258" t="s">
        <v>474</v>
      </c>
      <c r="H131" s="286">
        <f ca="1">SUM(P157:Z175)</f>
        <v>0</v>
      </c>
    </row>
    <row r="133" spans="1:13">
      <c r="B133" s="258" t="s">
        <v>477</v>
      </c>
      <c r="C133" s="258"/>
    </row>
    <row r="134" spans="1:13">
      <c r="B134" s="254" t="s">
        <v>468</v>
      </c>
      <c r="C134" s="276">
        <v>-0.05</v>
      </c>
      <c r="D134" s="276">
        <v>-0.04</v>
      </c>
      <c r="E134" s="276">
        <v>-0.03</v>
      </c>
      <c r="F134" s="276">
        <v>-1.9999999999999997E-2</v>
      </c>
      <c r="G134" s="276">
        <v>-9.9999999999999967E-3</v>
      </c>
      <c r="H134" s="276">
        <v>0</v>
      </c>
      <c r="I134" s="276">
        <v>0.01</v>
      </c>
      <c r="J134" s="276">
        <v>0.02</v>
      </c>
      <c r="K134" s="276">
        <v>0.03</v>
      </c>
      <c r="L134" s="276">
        <v>0.04</v>
      </c>
      <c r="M134" s="277">
        <v>0.05</v>
      </c>
    </row>
    <row r="135" spans="1:13">
      <c r="B135" s="282" t="s">
        <v>42</v>
      </c>
      <c r="C135" s="278">
        <f ca="1">'GBP Swap PVs'!AH4</f>
        <v>99258.437527978211</v>
      </c>
      <c r="D135" s="278">
        <f ca="1">'GBP Swap PVs'!AI4</f>
        <v>79406.750022382563</v>
      </c>
      <c r="E135" s="278">
        <f ca="1">'GBP Swap PVs'!AJ4</f>
        <v>59555.062516786908</v>
      </c>
      <c r="F135" s="278">
        <f ca="1">'GBP Swap PVs'!AK4</f>
        <v>39703.375011191267</v>
      </c>
      <c r="G135" s="278">
        <f ca="1">'GBP Swap PVs'!AL4</f>
        <v>19851.68750559563</v>
      </c>
      <c r="H135" s="278">
        <f ca="1">'GBP Swap PVs'!AM4</f>
        <v>-3.4694469519536142E-12</v>
      </c>
      <c r="I135" s="278">
        <f ca="1">'GBP Swap PVs'!AN4</f>
        <v>-19851.687505595644</v>
      </c>
      <c r="J135" s="278">
        <f ca="1">'GBP Swap PVs'!AO4</f>
        <v>-39703.375011191281</v>
      </c>
      <c r="K135" s="278">
        <f ca="1">'GBP Swap PVs'!AP4</f>
        <v>-59555.062516786922</v>
      </c>
      <c r="L135" s="278">
        <f ca="1">'GBP Swap PVs'!AQ4</f>
        <v>-79406.750022382563</v>
      </c>
      <c r="M135" s="279">
        <f ca="1">'GBP Swap PVs'!AR4</f>
        <v>-99258.437527978211</v>
      </c>
    </row>
    <row r="136" spans="1:13">
      <c r="B136" s="282" t="s">
        <v>39</v>
      </c>
      <c r="C136" s="278">
        <f ca="1">'GBP Swap PVs'!AH5</f>
        <v>147865.36992561398</v>
      </c>
      <c r="D136" s="278">
        <f ca="1">'GBP Swap PVs'!AI5</f>
        <v>118292.29594049118</v>
      </c>
      <c r="E136" s="278">
        <f ca="1">'GBP Swap PVs'!AJ5</f>
        <v>88719.221955368397</v>
      </c>
      <c r="F136" s="278">
        <f ca="1">'GBP Swap PVs'!AK5</f>
        <v>59146.147970245605</v>
      </c>
      <c r="G136" s="278">
        <f ca="1">'GBP Swap PVs'!AL5</f>
        <v>29573.073985122814</v>
      </c>
      <c r="H136" s="278">
        <f ca="1">'GBP Swap PVs'!AM5</f>
        <v>4.163336342344337E-11</v>
      </c>
      <c r="I136" s="278">
        <f ca="1">'GBP Swap PVs'!AN5</f>
        <v>-29573.073985122752</v>
      </c>
      <c r="J136" s="278">
        <f ca="1">'GBP Swap PVs'!AO5</f>
        <v>-59146.147970245533</v>
      </c>
      <c r="K136" s="278">
        <f ca="1">'GBP Swap PVs'!AP5</f>
        <v>-88719.22195536831</v>
      </c>
      <c r="L136" s="278">
        <f ca="1">'GBP Swap PVs'!AQ5</f>
        <v>-118292.29594049111</v>
      </c>
      <c r="M136" s="279">
        <f ca="1">'GBP Swap PVs'!AR5</f>
        <v>-147865.36992561389</v>
      </c>
    </row>
    <row r="137" spans="1:13">
      <c r="B137" s="282" t="s">
        <v>35</v>
      </c>
      <c r="C137" s="278">
        <f ca="1">'GBP Swap PVs'!AH6</f>
        <v>195848.7564848233</v>
      </c>
      <c r="D137" s="278">
        <f ca="1">'GBP Swap PVs'!AI6</f>
        <v>156679.00518785865</v>
      </c>
      <c r="E137" s="278">
        <f ca="1">'GBP Swap PVs'!AJ6</f>
        <v>117509.25389089398</v>
      </c>
      <c r="F137" s="278">
        <f ca="1">'GBP Swap PVs'!AK6</f>
        <v>78339.502593929312</v>
      </c>
      <c r="G137" s="278">
        <f ca="1">'GBP Swap PVs'!AL6</f>
        <v>39169.751296964649</v>
      </c>
      <c r="H137" s="278">
        <f ca="1">'GBP Swap PVs'!AM6</f>
        <v>0</v>
      </c>
      <c r="I137" s="278">
        <f ca="1">'GBP Swap PVs'!AN6</f>
        <v>-39169.751296964649</v>
      </c>
      <c r="J137" s="278">
        <f ca="1">'GBP Swap PVs'!AO6</f>
        <v>-78339.502593929326</v>
      </c>
      <c r="K137" s="278">
        <f ca="1">'GBP Swap PVs'!AP6</f>
        <v>-117509.25389089398</v>
      </c>
      <c r="L137" s="278">
        <f ca="1">'GBP Swap PVs'!AQ6</f>
        <v>-156679.00518785862</v>
      </c>
      <c r="M137" s="279">
        <f ca="1">'GBP Swap PVs'!AR6</f>
        <v>-195848.7564848233</v>
      </c>
    </row>
    <row r="138" spans="1:13">
      <c r="B138" s="282" t="s">
        <v>33</v>
      </c>
      <c r="C138" s="278">
        <f ca="1">'GBP Swap PVs'!AH7</f>
        <v>242457.13075464804</v>
      </c>
      <c r="D138" s="278">
        <f ca="1">'GBP Swap PVs'!AI7</f>
        <v>193965.70460371845</v>
      </c>
      <c r="E138" s="278">
        <f ca="1">'GBP Swap PVs'!AJ7</f>
        <v>145474.27845278886</v>
      </c>
      <c r="F138" s="278">
        <f ca="1">'GBP Swap PVs'!AK7</f>
        <v>96982.852301859253</v>
      </c>
      <c r="G138" s="278">
        <f ca="1">'GBP Swap PVs'!AL7</f>
        <v>48491.426150929678</v>
      </c>
      <c r="H138" s="278">
        <f ca="1">'GBP Swap PVs'!AM7</f>
        <v>1.1102230246251565E-10</v>
      </c>
      <c r="I138" s="278">
        <f ca="1">'GBP Swap PVs'!AN7</f>
        <v>-48491.426150929481</v>
      </c>
      <c r="J138" s="278">
        <f ca="1">'GBP Swap PVs'!AO7</f>
        <v>-96982.852301859064</v>
      </c>
      <c r="K138" s="278">
        <f ca="1">'GBP Swap PVs'!AP7</f>
        <v>-145474.27845278865</v>
      </c>
      <c r="L138" s="278">
        <f ca="1">'GBP Swap PVs'!AQ7</f>
        <v>-193965.70460371822</v>
      </c>
      <c r="M138" s="279">
        <f ca="1">'GBP Swap PVs'!AR7</f>
        <v>-242457.13075464781</v>
      </c>
    </row>
    <row r="139" spans="1:13">
      <c r="B139" s="282" t="s">
        <v>131</v>
      </c>
      <c r="C139" s="278">
        <f ca="1">'GBP Swap PVs'!AH8</f>
        <v>288154.79235869757</v>
      </c>
      <c r="D139" s="278">
        <f ca="1">'GBP Swap PVs'!AI8</f>
        <v>230523.83388695808</v>
      </c>
      <c r="E139" s="278">
        <f ca="1">'GBP Swap PVs'!AJ8</f>
        <v>172892.87541521856</v>
      </c>
      <c r="F139" s="278">
        <f ca="1">'GBP Swap PVs'!AK8</f>
        <v>115261.91694347905</v>
      </c>
      <c r="G139" s="278">
        <f ca="1">'GBP Swap PVs'!AL8</f>
        <v>57630.958471739541</v>
      </c>
      <c r="H139" s="278">
        <f ca="1">'GBP Swap PVs'!AM8</f>
        <v>5.5511151231257827E-11</v>
      </c>
      <c r="I139" s="278">
        <f ca="1">'GBP Swap PVs'!AN8</f>
        <v>-57630.958471739446</v>
      </c>
      <c r="J139" s="278">
        <f ca="1">'GBP Swap PVs'!AO8</f>
        <v>-115261.91694347897</v>
      </c>
      <c r="K139" s="278">
        <f ca="1">'GBP Swap PVs'!AP8</f>
        <v>-172892.87541521841</v>
      </c>
      <c r="L139" s="278">
        <f ca="1">'GBP Swap PVs'!AQ8</f>
        <v>-230523.83388695796</v>
      </c>
      <c r="M139" s="279">
        <f ca="1">'GBP Swap PVs'!AR8</f>
        <v>-288154.79235869745</v>
      </c>
    </row>
    <row r="140" spans="1:13">
      <c r="B140" s="282" t="s">
        <v>31</v>
      </c>
      <c r="C140" s="278">
        <f ca="1">'GBP Swap PVs'!AH9</f>
        <v>332777.29112241016</v>
      </c>
      <c r="D140" s="278">
        <f ca="1">'GBP Swap PVs'!AI9</f>
        <v>266221.83289792819</v>
      </c>
      <c r="E140" s="278">
        <f ca="1">'GBP Swap PVs'!AJ9</f>
        <v>199666.37467344615</v>
      </c>
      <c r="F140" s="278">
        <f ca="1">'GBP Swap PVs'!AK9</f>
        <v>133110.91644896413</v>
      </c>
      <c r="G140" s="278">
        <f ca="1">'GBP Swap PVs'!AL9</f>
        <v>66555.458224482092</v>
      </c>
      <c r="H140" s="278">
        <f ca="1">'GBP Swap PVs'!AM9</f>
        <v>1.1102230246251565E-10</v>
      </c>
      <c r="I140" s="278">
        <f ca="1">'GBP Swap PVs'!AN9</f>
        <v>-66555.458224481888</v>
      </c>
      <c r="J140" s="278">
        <f ca="1">'GBP Swap PVs'!AO9</f>
        <v>-133110.91644896395</v>
      </c>
      <c r="K140" s="278">
        <f ca="1">'GBP Swap PVs'!AP9</f>
        <v>-199666.37467344594</v>
      </c>
      <c r="L140" s="278">
        <f ca="1">'GBP Swap PVs'!AQ9</f>
        <v>-266221.83289792796</v>
      </c>
      <c r="M140" s="279">
        <f ca="1">'GBP Swap PVs'!AR9</f>
        <v>-332777.29112240998</v>
      </c>
    </row>
    <row r="141" spans="1:13">
      <c r="B141" s="282" t="s">
        <v>119</v>
      </c>
      <c r="C141" s="278">
        <f ca="1">'GBP Swap PVs'!AH10</f>
        <v>376308.72409313219</v>
      </c>
      <c r="D141" s="278">
        <f ca="1">'GBP Swap PVs'!AI10</f>
        <v>301046.97927450575</v>
      </c>
      <c r="E141" s="278">
        <f ca="1">'GBP Swap PVs'!AJ10</f>
        <v>225785.23445587937</v>
      </c>
      <c r="F141" s="278">
        <f ca="1">'GBP Swap PVs'!AK10</f>
        <v>150523.48963725296</v>
      </c>
      <c r="G141" s="278">
        <f ca="1">'GBP Swap PVs'!AL10</f>
        <v>75261.744818626554</v>
      </c>
      <c r="H141" s="278">
        <f ca="1">'GBP Swap PVs'!AM10</f>
        <v>1.9428902930940239E-10</v>
      </c>
      <c r="I141" s="278">
        <f ca="1">'GBP Swap PVs'!AN10</f>
        <v>-75261.744818626219</v>
      </c>
      <c r="J141" s="278">
        <f ca="1">'GBP Swap PVs'!AO10</f>
        <v>-150523.48963725261</v>
      </c>
      <c r="K141" s="278">
        <f ca="1">'GBP Swap PVs'!AP10</f>
        <v>-225785.23445587896</v>
      </c>
      <c r="L141" s="278">
        <f ca="1">'GBP Swap PVs'!AQ10</f>
        <v>-301046.9792745054</v>
      </c>
      <c r="M141" s="279">
        <f ca="1">'GBP Swap PVs'!AR10</f>
        <v>-376308.7240931319</v>
      </c>
    </row>
    <row r="142" spans="1:13">
      <c r="B142" s="282" t="s">
        <v>113</v>
      </c>
      <c r="C142" s="278">
        <f ca="1">'GBP Swap PVs'!AH11</f>
        <v>419096.32897531783</v>
      </c>
      <c r="D142" s="278">
        <f ca="1">'GBP Swap PVs'!AI11</f>
        <v>335277.06318025431</v>
      </c>
      <c r="E142" s="278">
        <f ca="1">'GBP Swap PVs'!AJ11</f>
        <v>251457.79738519076</v>
      </c>
      <c r="F142" s="278">
        <f ca="1">'GBP Swap PVs'!AK11</f>
        <v>167638.53159012724</v>
      </c>
      <c r="G142" s="278">
        <f ca="1">'GBP Swap PVs'!AL11</f>
        <v>83819.265795063693</v>
      </c>
      <c r="H142" s="278">
        <f ca="1">'GBP Swap PVs'!AM11</f>
        <v>1.9428902930940239E-10</v>
      </c>
      <c r="I142" s="278">
        <f ca="1">'GBP Swap PVs'!AN11</f>
        <v>-83819.2657950633</v>
      </c>
      <c r="J142" s="278">
        <f ca="1">'GBP Swap PVs'!AO11</f>
        <v>-167638.53159012683</v>
      </c>
      <c r="K142" s="278">
        <f ca="1">'GBP Swap PVs'!AP11</f>
        <v>-251457.79738519035</v>
      </c>
      <c r="L142" s="278">
        <f ca="1">'GBP Swap PVs'!AQ11</f>
        <v>-335277.06318025384</v>
      </c>
      <c r="M142" s="279">
        <f ca="1">'GBP Swap PVs'!AR11</f>
        <v>-419096.32897531736</v>
      </c>
    </row>
    <row r="143" spans="1:13">
      <c r="B143" s="282" t="s">
        <v>28</v>
      </c>
      <c r="C143" s="278">
        <f ca="1">'GBP Swap PVs'!AH12</f>
        <v>460336.45975731348</v>
      </c>
      <c r="D143" s="278">
        <f ca="1">'GBP Swap PVs'!AI12</f>
        <v>368269.1678058508</v>
      </c>
      <c r="E143" s="278">
        <f ca="1">'GBP Swap PVs'!AJ12</f>
        <v>276201.87585438811</v>
      </c>
      <c r="F143" s="278">
        <f ca="1">'GBP Swap PVs'!AK12</f>
        <v>184134.5839029254</v>
      </c>
      <c r="G143" s="278">
        <f ca="1">'GBP Swap PVs'!AL12</f>
        <v>92067.291951462699</v>
      </c>
      <c r="H143" s="278">
        <f ca="1">'GBP Swap PVs'!AM12</f>
        <v>5.5511151231257827E-11</v>
      </c>
      <c r="I143" s="278">
        <f ca="1">'GBP Swap PVs'!AN12</f>
        <v>-92067.291951462626</v>
      </c>
      <c r="J143" s="278">
        <f ca="1">'GBP Swap PVs'!AO12</f>
        <v>-184134.58390292531</v>
      </c>
      <c r="K143" s="278">
        <f ca="1">'GBP Swap PVs'!AP12</f>
        <v>-276201.875854388</v>
      </c>
      <c r="L143" s="278">
        <f ca="1">'GBP Swap PVs'!AQ12</f>
        <v>-368269.16780585068</v>
      </c>
      <c r="M143" s="279">
        <f ca="1">'GBP Swap PVs'!AR12</f>
        <v>-460336.45975731348</v>
      </c>
    </row>
    <row r="144" spans="1:13">
      <c r="B144" s="282" t="s">
        <v>26</v>
      </c>
      <c r="C144" s="278">
        <f ca="1">'GBP Swap PVs'!AH13</f>
        <v>539672.60962191247</v>
      </c>
      <c r="D144" s="278">
        <f ca="1">'GBP Swap PVs'!AI13</f>
        <v>431738.08769752999</v>
      </c>
      <c r="E144" s="278">
        <f ca="1">'GBP Swap PVs'!AJ13</f>
        <v>323803.56577314745</v>
      </c>
      <c r="F144" s="278">
        <f ca="1">'GBP Swap PVs'!AK13</f>
        <v>215869.04384876497</v>
      </c>
      <c r="G144" s="278">
        <f ca="1">'GBP Swap PVs'!AL13</f>
        <v>107934.5219243825</v>
      </c>
      <c r="H144" s="278">
        <f ca="1">'GBP Swap PVs'!AM13</f>
        <v>5.5511151231257827E-11</v>
      </c>
      <c r="I144" s="278">
        <f ca="1">'GBP Swap PVs'!AN13</f>
        <v>-107934.52192438241</v>
      </c>
      <c r="J144" s="278">
        <f ca="1">'GBP Swap PVs'!AO13</f>
        <v>-215869.04384876482</v>
      </c>
      <c r="K144" s="278">
        <f ca="1">'GBP Swap PVs'!AP13</f>
        <v>-323803.56577314733</v>
      </c>
      <c r="L144" s="278">
        <f ca="1">'GBP Swap PVs'!AQ13</f>
        <v>-431738.08769752982</v>
      </c>
      <c r="M144" s="279">
        <f ca="1">'GBP Swap PVs'!AR13</f>
        <v>-539672.60962191224</v>
      </c>
    </row>
    <row r="145" spans="2:26">
      <c r="B145" s="282" t="s">
        <v>24</v>
      </c>
      <c r="C145" s="278">
        <f ca="1">'GBP Swap PVs'!AH14</f>
        <v>651221.71456541587</v>
      </c>
      <c r="D145" s="278">
        <f ca="1">'GBP Swap PVs'!AI14</f>
        <v>520977.37165233272</v>
      </c>
      <c r="E145" s="278">
        <f ca="1">'GBP Swap PVs'!AJ14</f>
        <v>390733.02873924945</v>
      </c>
      <c r="F145" s="278">
        <f ca="1">'GBP Swap PVs'!AK14</f>
        <v>260488.68582616624</v>
      </c>
      <c r="G145" s="278">
        <f ca="1">'GBP Swap PVs'!AL14</f>
        <v>130244.34291308309</v>
      </c>
      <c r="H145" s="278">
        <f ca="1">'GBP Swap PVs'!AM14</f>
        <v>-5.5511151231257827E-11</v>
      </c>
      <c r="I145" s="278">
        <f ca="1">'GBP Swap PVs'!AN14</f>
        <v>-130244.34291308324</v>
      </c>
      <c r="J145" s="278">
        <f ca="1">'GBP Swap PVs'!AO14</f>
        <v>-260488.68582616647</v>
      </c>
      <c r="K145" s="278">
        <f ca="1">'GBP Swap PVs'!AP14</f>
        <v>-390733.02873924951</v>
      </c>
      <c r="L145" s="278">
        <f ca="1">'GBP Swap PVs'!AQ14</f>
        <v>-520977.3716523326</v>
      </c>
      <c r="M145" s="279">
        <f ca="1">'GBP Swap PVs'!AR14</f>
        <v>-651221.71456541587</v>
      </c>
    </row>
    <row r="146" spans="2:26">
      <c r="B146" s="282" t="s">
        <v>20</v>
      </c>
      <c r="C146" s="278">
        <f ca="1">'GBP Swap PVs'!AH15</f>
        <v>817694.66312319308</v>
      </c>
      <c r="D146" s="278">
        <f ca="1">'GBP Swap PVs'!AI15</f>
        <v>654155.7304985543</v>
      </c>
      <c r="E146" s="278">
        <f ca="1">'GBP Swap PVs'!AJ15</f>
        <v>490616.79787391576</v>
      </c>
      <c r="F146" s="278">
        <f ca="1">'GBP Swap PVs'!AK15</f>
        <v>327077.86524927709</v>
      </c>
      <c r="G146" s="278">
        <f ca="1">'GBP Swap PVs'!AL15</f>
        <v>163538.93262463846</v>
      </c>
      <c r="H146" s="278">
        <f ca="1">'GBP Swap PVs'!AM15</f>
        <v>-1.1102230246251565E-10</v>
      </c>
      <c r="I146" s="278">
        <f ca="1">'GBP Swap PVs'!AN15</f>
        <v>-163538.93262463875</v>
      </c>
      <c r="J146" s="278">
        <f ca="1">'GBP Swap PVs'!AO15</f>
        <v>-327077.86524927744</v>
      </c>
      <c r="K146" s="278">
        <f ca="1">'GBP Swap PVs'!AP15</f>
        <v>-490616.79787391605</v>
      </c>
      <c r="L146" s="278">
        <f ca="1">'GBP Swap PVs'!AQ15</f>
        <v>-654155.73049855453</v>
      </c>
      <c r="M146" s="279">
        <f ca="1">'GBP Swap PVs'!AR15</f>
        <v>-817694.66312319343</v>
      </c>
    </row>
    <row r="147" spans="2:26">
      <c r="B147" s="282" t="s">
        <v>18</v>
      </c>
      <c r="C147" s="278">
        <f ca="1">'GBP Swap PVs'!AH16</f>
        <v>964946.47158325394</v>
      </c>
      <c r="D147" s="278">
        <f ca="1">'GBP Swap PVs'!AI16</f>
        <v>771957.17726660322</v>
      </c>
      <c r="E147" s="278">
        <f ca="1">'GBP Swap PVs'!AJ16</f>
        <v>578967.88294995227</v>
      </c>
      <c r="F147" s="278">
        <f ca="1">'GBP Swap PVs'!AK16</f>
        <v>385978.58863330144</v>
      </c>
      <c r="G147" s="278">
        <f ca="1">'GBP Swap PVs'!AL16</f>
        <v>192989.29431665063</v>
      </c>
      <c r="H147" s="278">
        <f ca="1">'GBP Swap PVs'!AM16</f>
        <v>-1.1102230246251565E-10</v>
      </c>
      <c r="I147" s="278">
        <f ca="1">'GBP Swap PVs'!AN16</f>
        <v>-192989.29431665086</v>
      </c>
      <c r="J147" s="278">
        <f ca="1">'GBP Swap PVs'!AO16</f>
        <v>-385978.58863330178</v>
      </c>
      <c r="K147" s="278">
        <f ca="1">'GBP Swap PVs'!AP16</f>
        <v>-578967.8829499525</v>
      </c>
      <c r="L147" s="278">
        <f ca="1">'GBP Swap PVs'!AQ16</f>
        <v>-771957.17726660322</v>
      </c>
      <c r="M147" s="279">
        <f ca="1">'GBP Swap PVs'!AR16</f>
        <v>-964946.47158325405</v>
      </c>
    </row>
    <row r="148" spans="2:26">
      <c r="B148" s="282" t="s">
        <v>17</v>
      </c>
      <c r="C148" s="278">
        <f ca="1">'GBP Swap PVs'!AH17</f>
        <v>1095875.5704726889</v>
      </c>
      <c r="D148" s="278">
        <f ca="1">'GBP Swap PVs'!AI17</f>
        <v>876700.45637815096</v>
      </c>
      <c r="E148" s="278">
        <f ca="1">'GBP Swap PVs'!AJ17</f>
        <v>657525.34228361316</v>
      </c>
      <c r="F148" s="278">
        <f ca="1">'GBP Swap PVs'!AK17</f>
        <v>438350.22818907531</v>
      </c>
      <c r="G148" s="278">
        <f ca="1">'GBP Swap PVs'!AL17</f>
        <v>219175.11409453754</v>
      </c>
      <c r="H148" s="278">
        <f ca="1">'GBP Swap PVs'!AM17</f>
        <v>-1.1102230246251565E-10</v>
      </c>
      <c r="I148" s="278">
        <f ca="1">'GBP Swap PVs'!AN17</f>
        <v>-219175.11409453783</v>
      </c>
      <c r="J148" s="278">
        <f ca="1">'GBP Swap PVs'!AO17</f>
        <v>-438350.22818907566</v>
      </c>
      <c r="K148" s="278">
        <f ca="1">'GBP Swap PVs'!AP17</f>
        <v>-657525.34228361363</v>
      </c>
      <c r="L148" s="278">
        <f ca="1">'GBP Swap PVs'!AQ17</f>
        <v>-876700.45637815108</v>
      </c>
      <c r="M148" s="279">
        <f ca="1">'GBP Swap PVs'!AR17</f>
        <v>-1095875.5704726891</v>
      </c>
    </row>
    <row r="149" spans="2:26">
      <c r="B149" s="282" t="s">
        <v>15</v>
      </c>
      <c r="C149" s="278">
        <f ca="1">'GBP Swap PVs'!AH18</f>
        <v>1318174.9079456276</v>
      </c>
      <c r="D149" s="278">
        <f ca="1">'GBP Swap PVs'!AI18</f>
        <v>1054539.9263565021</v>
      </c>
      <c r="E149" s="278">
        <f ca="1">'GBP Swap PVs'!AJ18</f>
        <v>790904.94476737664</v>
      </c>
      <c r="F149" s="278">
        <f ca="1">'GBP Swap PVs'!AK18</f>
        <v>527269.96317825106</v>
      </c>
      <c r="G149" s="278">
        <f ca="1">'GBP Swap PVs'!AL18</f>
        <v>263634.98158912553</v>
      </c>
      <c r="H149" s="278">
        <f ca="1">'GBP Swap PVs'!AM18</f>
        <v>1.1102230246251565E-10</v>
      </c>
      <c r="I149" s="278">
        <f ca="1">'GBP Swap PVs'!AN18</f>
        <v>-263634.98158912535</v>
      </c>
      <c r="J149" s="278">
        <f ca="1">'GBP Swap PVs'!AO18</f>
        <v>-527269.96317825094</v>
      </c>
      <c r="K149" s="278">
        <f ca="1">'GBP Swap PVs'!AP18</f>
        <v>-790904.94476737618</v>
      </c>
      <c r="L149" s="278">
        <f ca="1">'GBP Swap PVs'!AQ18</f>
        <v>-1054539.9263565019</v>
      </c>
      <c r="M149" s="279">
        <f ca="1">'GBP Swap PVs'!AR18</f>
        <v>-1318174.9079456273</v>
      </c>
    </row>
    <row r="150" spans="2:26">
      <c r="B150" s="282" t="s">
        <v>14</v>
      </c>
      <c r="C150" s="278">
        <f ca="1">'GBP Swap PVs'!AH19</f>
        <v>1498623.2347463311</v>
      </c>
      <c r="D150" s="278">
        <f ca="1">'GBP Swap PVs'!AI19</f>
        <v>1198898.587797065</v>
      </c>
      <c r="E150" s="278">
        <f ca="1">'GBP Swap PVs'!AJ19</f>
        <v>899173.9408477986</v>
      </c>
      <c r="F150" s="278">
        <f ca="1">'GBP Swap PVs'!AK19</f>
        <v>599449.29389853228</v>
      </c>
      <c r="G150" s="278">
        <f ca="1">'GBP Swap PVs'!AL19</f>
        <v>299724.64694926603</v>
      </c>
      <c r="H150" s="278">
        <f ca="1">'GBP Swap PVs'!AM19</f>
        <v>-1.1102230246251565E-10</v>
      </c>
      <c r="I150" s="278">
        <f ca="1">'GBP Swap PVs'!AN19</f>
        <v>-299724.64694926637</v>
      </c>
      <c r="J150" s="278">
        <f ca="1">'GBP Swap PVs'!AO19</f>
        <v>-599449.29389853263</v>
      </c>
      <c r="K150" s="278">
        <f ca="1">'GBP Swap PVs'!AP19</f>
        <v>-899173.94084779895</v>
      </c>
      <c r="L150" s="278">
        <f ca="1">'GBP Swap PVs'!AQ19</f>
        <v>-1198898.587797065</v>
      </c>
      <c r="M150" s="279">
        <f ca="1">'GBP Swap PVs'!AR19</f>
        <v>-1498623.2347463316</v>
      </c>
    </row>
    <row r="151" spans="2:26">
      <c r="B151" s="282"/>
      <c r="C151" s="278"/>
      <c r="D151" s="278"/>
      <c r="E151" s="278"/>
      <c r="F151" s="278"/>
      <c r="G151" s="278"/>
      <c r="H151" s="278"/>
      <c r="I151" s="278"/>
      <c r="J151" s="278"/>
      <c r="K151" s="278"/>
      <c r="L151" s="278"/>
      <c r="M151" s="279"/>
    </row>
    <row r="152" spans="2:26">
      <c r="B152" s="282"/>
      <c r="C152" s="278"/>
      <c r="D152" s="278"/>
      <c r="E152" s="278"/>
      <c r="F152" s="278"/>
      <c r="G152" s="278"/>
      <c r="H152" s="278"/>
      <c r="I152" s="278"/>
      <c r="J152" s="278"/>
      <c r="K152" s="278"/>
      <c r="L152" s="278"/>
      <c r="M152" s="279"/>
    </row>
    <row r="153" spans="2:26">
      <c r="B153" s="283"/>
      <c r="C153" s="280"/>
      <c r="D153" s="280"/>
      <c r="E153" s="280"/>
      <c r="F153" s="280"/>
      <c r="G153" s="280"/>
      <c r="H153" s="280"/>
      <c r="I153" s="280"/>
      <c r="J153" s="280"/>
      <c r="K153" s="280"/>
      <c r="L153" s="280"/>
      <c r="M153" s="281"/>
    </row>
    <row r="155" spans="2:26">
      <c r="B155" s="258" t="s">
        <v>472</v>
      </c>
      <c r="O155" s="258" t="s">
        <v>472</v>
      </c>
    </row>
    <row r="156" spans="2:26">
      <c r="B156" s="254" t="s">
        <v>468</v>
      </c>
      <c r="C156" s="276">
        <v>-0.05</v>
      </c>
      <c r="D156" s="276">
        <v>-0.04</v>
      </c>
      <c r="E156" s="276">
        <v>-0.03</v>
      </c>
      <c r="F156" s="276">
        <v>-1.9999999999999997E-2</v>
      </c>
      <c r="G156" s="276">
        <v>-9.9999999999999967E-3</v>
      </c>
      <c r="H156" s="276">
        <v>0</v>
      </c>
      <c r="I156" s="276">
        <v>0.01</v>
      </c>
      <c r="J156" s="276">
        <v>0.02</v>
      </c>
      <c r="K156" s="276">
        <v>0.03</v>
      </c>
      <c r="L156" s="276">
        <v>0.04</v>
      </c>
      <c r="M156" s="277">
        <v>0.05</v>
      </c>
      <c r="O156" s="254" t="s">
        <v>468</v>
      </c>
      <c r="P156" s="276">
        <v>-0.05</v>
      </c>
      <c r="Q156" s="276">
        <v>-0.04</v>
      </c>
      <c r="R156" s="276">
        <v>-0.03</v>
      </c>
      <c r="S156" s="276">
        <v>-1.9999999999999997E-2</v>
      </c>
      <c r="T156" s="276">
        <v>-9.9999999999999967E-3</v>
      </c>
      <c r="U156" s="276">
        <v>0</v>
      </c>
      <c r="V156" s="276">
        <v>0.01</v>
      </c>
      <c r="W156" s="276">
        <v>0.02</v>
      </c>
      <c r="X156" s="276">
        <v>0.03</v>
      </c>
      <c r="Y156" s="276">
        <v>0.04</v>
      </c>
      <c r="Z156" s="277">
        <v>0.05</v>
      </c>
    </row>
    <row r="157" spans="2:26">
      <c r="B157" s="282" t="s">
        <v>42</v>
      </c>
      <c r="C157" s="278">
        <f ca="1">IF(C135&gt;D135,0,1)</f>
        <v>0</v>
      </c>
      <c r="D157" s="278">
        <f t="shared" ref="D157:L157" ca="1" si="19">IF(D135&gt;E135,0,1)</f>
        <v>0</v>
      </c>
      <c r="E157" s="278">
        <f t="shared" ca="1" si="19"/>
        <v>0</v>
      </c>
      <c r="F157" s="278">
        <f t="shared" ca="1" si="19"/>
        <v>0</v>
      </c>
      <c r="G157" s="278">
        <f t="shared" ca="1" si="19"/>
        <v>0</v>
      </c>
      <c r="H157" s="278">
        <f t="shared" ca="1" si="19"/>
        <v>0</v>
      </c>
      <c r="I157" s="278">
        <f t="shared" ca="1" si="19"/>
        <v>0</v>
      </c>
      <c r="J157" s="278">
        <f t="shared" ca="1" si="19"/>
        <v>0</v>
      </c>
      <c r="K157" s="278">
        <f t="shared" ca="1" si="19"/>
        <v>0</v>
      </c>
      <c r="L157" s="278">
        <f t="shared" ca="1" si="19"/>
        <v>0</v>
      </c>
      <c r="M157" s="285" t="s">
        <v>6</v>
      </c>
      <c r="O157" s="282" t="s">
        <v>42</v>
      </c>
      <c r="P157" s="289">
        <f ca="1">IF(ABS(C136)&gt;ABS(C135),0,1)</f>
        <v>0</v>
      </c>
      <c r="Q157" s="289">
        <f t="shared" ref="Q157:T172" ca="1" si="20">IF(ABS(D136)&gt;ABS(D135),0,1)</f>
        <v>0</v>
      </c>
      <c r="R157" s="289">
        <f t="shared" ca="1" si="20"/>
        <v>0</v>
      </c>
      <c r="S157" s="289">
        <f t="shared" ca="1" si="20"/>
        <v>0</v>
      </c>
      <c r="T157" s="289">
        <f t="shared" ca="1" si="20"/>
        <v>0</v>
      </c>
      <c r="U157" s="295" t="s">
        <v>6</v>
      </c>
      <c r="V157" s="289">
        <f t="shared" ref="V157:Z172" ca="1" si="21">IF(ABS(I136)&gt;ABS(I135),0,1)</f>
        <v>0</v>
      </c>
      <c r="W157" s="289">
        <f t="shared" ca="1" si="21"/>
        <v>0</v>
      </c>
      <c r="X157" s="289">
        <f t="shared" ca="1" si="21"/>
        <v>0</v>
      </c>
      <c r="Y157" s="289">
        <f t="shared" ca="1" si="21"/>
        <v>0</v>
      </c>
      <c r="Z157" s="291">
        <f t="shared" ca="1" si="21"/>
        <v>0</v>
      </c>
    </row>
    <row r="158" spans="2:26">
      <c r="B158" s="282" t="s">
        <v>39</v>
      </c>
      <c r="C158" s="278">
        <f t="shared" ref="C158:L173" ca="1" si="22">IF(C136&gt;D136,0,1)</f>
        <v>0</v>
      </c>
      <c r="D158" s="278">
        <f t="shared" ca="1" si="22"/>
        <v>0</v>
      </c>
      <c r="E158" s="278">
        <f t="shared" ca="1" si="22"/>
        <v>0</v>
      </c>
      <c r="F158" s="278">
        <f t="shared" ca="1" si="22"/>
        <v>0</v>
      </c>
      <c r="G158" s="278">
        <f t="shared" ca="1" si="22"/>
        <v>0</v>
      </c>
      <c r="H158" s="278">
        <f t="shared" ca="1" si="22"/>
        <v>0</v>
      </c>
      <c r="I158" s="278">
        <f t="shared" ca="1" si="22"/>
        <v>0</v>
      </c>
      <c r="J158" s="278">
        <f t="shared" ca="1" si="22"/>
        <v>0</v>
      </c>
      <c r="K158" s="278">
        <f t="shared" ca="1" si="22"/>
        <v>0</v>
      </c>
      <c r="L158" s="278">
        <f t="shared" ca="1" si="22"/>
        <v>0</v>
      </c>
      <c r="M158" s="279" t="s">
        <v>6</v>
      </c>
      <c r="O158" s="282" t="s">
        <v>39</v>
      </c>
      <c r="P158" s="289">
        <f t="shared" ref="P158:T173" ca="1" si="23">IF(ABS(C137)&gt;ABS(C136),0,1)</f>
        <v>0</v>
      </c>
      <c r="Q158" s="289">
        <f t="shared" ca="1" si="20"/>
        <v>0</v>
      </c>
      <c r="R158" s="289">
        <f t="shared" ca="1" si="20"/>
        <v>0</v>
      </c>
      <c r="S158" s="289">
        <f t="shared" ca="1" si="20"/>
        <v>0</v>
      </c>
      <c r="T158" s="289">
        <f t="shared" ca="1" si="20"/>
        <v>0</v>
      </c>
      <c r="U158" s="295" t="s">
        <v>6</v>
      </c>
      <c r="V158" s="289">
        <f t="shared" ca="1" si="21"/>
        <v>0</v>
      </c>
      <c r="W158" s="289">
        <f t="shared" ca="1" si="21"/>
        <v>0</v>
      </c>
      <c r="X158" s="289">
        <f t="shared" ca="1" si="21"/>
        <v>0</v>
      </c>
      <c r="Y158" s="289">
        <f t="shared" ca="1" si="21"/>
        <v>0</v>
      </c>
      <c r="Z158" s="292">
        <f t="shared" ca="1" si="21"/>
        <v>0</v>
      </c>
    </row>
    <row r="159" spans="2:26">
      <c r="B159" s="282" t="s">
        <v>35</v>
      </c>
      <c r="C159" s="278">
        <f t="shared" ca="1" si="22"/>
        <v>0</v>
      </c>
      <c r="D159" s="278">
        <f t="shared" ca="1" si="22"/>
        <v>0</v>
      </c>
      <c r="E159" s="278">
        <f t="shared" ca="1" si="22"/>
        <v>0</v>
      </c>
      <c r="F159" s="278">
        <f t="shared" ca="1" si="22"/>
        <v>0</v>
      </c>
      <c r="G159" s="278">
        <f t="shared" ca="1" si="22"/>
        <v>0</v>
      </c>
      <c r="H159" s="278">
        <f t="shared" ca="1" si="22"/>
        <v>0</v>
      </c>
      <c r="I159" s="278">
        <f t="shared" ca="1" si="22"/>
        <v>0</v>
      </c>
      <c r="J159" s="278">
        <f t="shared" ca="1" si="22"/>
        <v>0</v>
      </c>
      <c r="K159" s="278">
        <f t="shared" ca="1" si="22"/>
        <v>0</v>
      </c>
      <c r="L159" s="278">
        <f t="shared" ca="1" si="22"/>
        <v>0</v>
      </c>
      <c r="M159" s="279" t="s">
        <v>6</v>
      </c>
      <c r="O159" s="282" t="s">
        <v>35</v>
      </c>
      <c r="P159" s="289">
        <f t="shared" ca="1" si="23"/>
        <v>0</v>
      </c>
      <c r="Q159" s="289">
        <f t="shared" ca="1" si="20"/>
        <v>0</v>
      </c>
      <c r="R159" s="289">
        <f t="shared" ca="1" si="20"/>
        <v>0</v>
      </c>
      <c r="S159" s="289">
        <f t="shared" ca="1" si="20"/>
        <v>0</v>
      </c>
      <c r="T159" s="289">
        <f t="shared" ca="1" si="20"/>
        <v>0</v>
      </c>
      <c r="U159" s="295" t="s">
        <v>6</v>
      </c>
      <c r="V159" s="289">
        <f t="shared" ca="1" si="21"/>
        <v>0</v>
      </c>
      <c r="W159" s="289">
        <f t="shared" ca="1" si="21"/>
        <v>0</v>
      </c>
      <c r="X159" s="289">
        <f t="shared" ca="1" si="21"/>
        <v>0</v>
      </c>
      <c r="Y159" s="289">
        <f t="shared" ca="1" si="21"/>
        <v>0</v>
      </c>
      <c r="Z159" s="292">
        <f t="shared" ca="1" si="21"/>
        <v>0</v>
      </c>
    </row>
    <row r="160" spans="2:26">
      <c r="B160" s="282" t="s">
        <v>33</v>
      </c>
      <c r="C160" s="278">
        <f t="shared" ca="1" si="22"/>
        <v>0</v>
      </c>
      <c r="D160" s="278">
        <f t="shared" ca="1" si="22"/>
        <v>0</v>
      </c>
      <c r="E160" s="278">
        <f t="shared" ca="1" si="22"/>
        <v>0</v>
      </c>
      <c r="F160" s="278">
        <f t="shared" ca="1" si="22"/>
        <v>0</v>
      </c>
      <c r="G160" s="278">
        <f t="shared" ca="1" si="22"/>
        <v>0</v>
      </c>
      <c r="H160" s="278">
        <f t="shared" ca="1" si="22"/>
        <v>0</v>
      </c>
      <c r="I160" s="278">
        <f t="shared" ca="1" si="22"/>
        <v>0</v>
      </c>
      <c r="J160" s="278">
        <f t="shared" ca="1" si="22"/>
        <v>0</v>
      </c>
      <c r="K160" s="278">
        <f t="shared" ca="1" si="22"/>
        <v>0</v>
      </c>
      <c r="L160" s="278">
        <f t="shared" ca="1" si="22"/>
        <v>0</v>
      </c>
      <c r="M160" s="279" t="s">
        <v>6</v>
      </c>
      <c r="O160" s="282" t="s">
        <v>33</v>
      </c>
      <c r="P160" s="289">
        <f t="shared" ca="1" si="23"/>
        <v>0</v>
      </c>
      <c r="Q160" s="289">
        <f t="shared" ca="1" si="20"/>
        <v>0</v>
      </c>
      <c r="R160" s="289">
        <f t="shared" ca="1" si="20"/>
        <v>0</v>
      </c>
      <c r="S160" s="289">
        <f t="shared" ca="1" si="20"/>
        <v>0</v>
      </c>
      <c r="T160" s="289">
        <f t="shared" ca="1" si="20"/>
        <v>0</v>
      </c>
      <c r="U160" s="295" t="s">
        <v>6</v>
      </c>
      <c r="V160" s="289">
        <f t="shared" ca="1" si="21"/>
        <v>0</v>
      </c>
      <c r="W160" s="289">
        <f t="shared" ca="1" si="21"/>
        <v>0</v>
      </c>
      <c r="X160" s="289">
        <f t="shared" ca="1" si="21"/>
        <v>0</v>
      </c>
      <c r="Y160" s="289">
        <f t="shared" ca="1" si="21"/>
        <v>0</v>
      </c>
      <c r="Z160" s="292">
        <f t="shared" ca="1" si="21"/>
        <v>0</v>
      </c>
    </row>
    <row r="161" spans="2:26">
      <c r="B161" s="282" t="s">
        <v>131</v>
      </c>
      <c r="C161" s="278">
        <f t="shared" ca="1" si="22"/>
        <v>0</v>
      </c>
      <c r="D161" s="278">
        <f t="shared" ca="1" si="22"/>
        <v>0</v>
      </c>
      <c r="E161" s="278">
        <f t="shared" ca="1" si="22"/>
        <v>0</v>
      </c>
      <c r="F161" s="278">
        <f t="shared" ca="1" si="22"/>
        <v>0</v>
      </c>
      <c r="G161" s="278">
        <f t="shared" ca="1" si="22"/>
        <v>0</v>
      </c>
      <c r="H161" s="278">
        <f t="shared" ca="1" si="22"/>
        <v>0</v>
      </c>
      <c r="I161" s="278">
        <f t="shared" ca="1" si="22"/>
        <v>0</v>
      </c>
      <c r="J161" s="278">
        <f t="shared" ca="1" si="22"/>
        <v>0</v>
      </c>
      <c r="K161" s="278">
        <f t="shared" ca="1" si="22"/>
        <v>0</v>
      </c>
      <c r="L161" s="278">
        <f t="shared" ca="1" si="22"/>
        <v>0</v>
      </c>
      <c r="M161" s="279" t="s">
        <v>6</v>
      </c>
      <c r="O161" s="282" t="s">
        <v>131</v>
      </c>
      <c r="P161" s="289">
        <f t="shared" ca="1" si="23"/>
        <v>0</v>
      </c>
      <c r="Q161" s="289">
        <f t="shared" ca="1" si="20"/>
        <v>0</v>
      </c>
      <c r="R161" s="289">
        <f t="shared" ca="1" si="20"/>
        <v>0</v>
      </c>
      <c r="S161" s="289">
        <f t="shared" ca="1" si="20"/>
        <v>0</v>
      </c>
      <c r="T161" s="289">
        <f t="shared" ca="1" si="20"/>
        <v>0</v>
      </c>
      <c r="U161" s="295" t="s">
        <v>6</v>
      </c>
      <c r="V161" s="289">
        <f t="shared" ca="1" si="21"/>
        <v>0</v>
      </c>
      <c r="W161" s="289">
        <f t="shared" ca="1" si="21"/>
        <v>0</v>
      </c>
      <c r="X161" s="289">
        <f t="shared" ca="1" si="21"/>
        <v>0</v>
      </c>
      <c r="Y161" s="289">
        <f t="shared" ca="1" si="21"/>
        <v>0</v>
      </c>
      <c r="Z161" s="292">
        <f t="shared" ca="1" si="21"/>
        <v>0</v>
      </c>
    </row>
    <row r="162" spans="2:26">
      <c r="B162" s="282" t="s">
        <v>31</v>
      </c>
      <c r="C162" s="278">
        <f t="shared" ca="1" si="22"/>
        <v>0</v>
      </c>
      <c r="D162" s="278">
        <f t="shared" ca="1" si="22"/>
        <v>0</v>
      </c>
      <c r="E162" s="278">
        <f t="shared" ca="1" si="22"/>
        <v>0</v>
      </c>
      <c r="F162" s="278">
        <f t="shared" ca="1" si="22"/>
        <v>0</v>
      </c>
      <c r="G162" s="278">
        <f t="shared" ca="1" si="22"/>
        <v>0</v>
      </c>
      <c r="H162" s="278">
        <f t="shared" ca="1" si="22"/>
        <v>0</v>
      </c>
      <c r="I162" s="278">
        <f t="shared" ca="1" si="22"/>
        <v>0</v>
      </c>
      <c r="J162" s="278">
        <f t="shared" ca="1" si="22"/>
        <v>0</v>
      </c>
      <c r="K162" s="278">
        <f t="shared" ca="1" si="22"/>
        <v>0</v>
      </c>
      <c r="L162" s="278">
        <f t="shared" ca="1" si="22"/>
        <v>0</v>
      </c>
      <c r="M162" s="279" t="s">
        <v>6</v>
      </c>
      <c r="O162" s="282" t="s">
        <v>31</v>
      </c>
      <c r="P162" s="289">
        <f t="shared" ca="1" si="23"/>
        <v>0</v>
      </c>
      <c r="Q162" s="289">
        <f t="shared" ca="1" si="20"/>
        <v>0</v>
      </c>
      <c r="R162" s="289">
        <f t="shared" ca="1" si="20"/>
        <v>0</v>
      </c>
      <c r="S162" s="289">
        <f t="shared" ca="1" si="20"/>
        <v>0</v>
      </c>
      <c r="T162" s="289">
        <f t="shared" ca="1" si="20"/>
        <v>0</v>
      </c>
      <c r="U162" s="295" t="s">
        <v>6</v>
      </c>
      <c r="V162" s="289">
        <f t="shared" ca="1" si="21"/>
        <v>0</v>
      </c>
      <c r="W162" s="289">
        <f t="shared" ca="1" si="21"/>
        <v>0</v>
      </c>
      <c r="X162" s="289">
        <f t="shared" ca="1" si="21"/>
        <v>0</v>
      </c>
      <c r="Y162" s="289">
        <f t="shared" ca="1" si="21"/>
        <v>0</v>
      </c>
      <c r="Z162" s="292">
        <f t="shared" ca="1" si="21"/>
        <v>0</v>
      </c>
    </row>
    <row r="163" spans="2:26">
      <c r="B163" s="282" t="s">
        <v>119</v>
      </c>
      <c r="C163" s="278">
        <f t="shared" ca="1" si="22"/>
        <v>0</v>
      </c>
      <c r="D163" s="278">
        <f t="shared" ca="1" si="22"/>
        <v>0</v>
      </c>
      <c r="E163" s="278">
        <f t="shared" ca="1" si="22"/>
        <v>0</v>
      </c>
      <c r="F163" s="278">
        <f t="shared" ca="1" si="22"/>
        <v>0</v>
      </c>
      <c r="G163" s="278">
        <f t="shared" ca="1" si="22"/>
        <v>0</v>
      </c>
      <c r="H163" s="278">
        <f t="shared" ca="1" si="22"/>
        <v>0</v>
      </c>
      <c r="I163" s="278">
        <f t="shared" ca="1" si="22"/>
        <v>0</v>
      </c>
      <c r="J163" s="278">
        <f t="shared" ca="1" si="22"/>
        <v>0</v>
      </c>
      <c r="K163" s="278">
        <f t="shared" ca="1" si="22"/>
        <v>0</v>
      </c>
      <c r="L163" s="278">
        <f t="shared" ca="1" si="22"/>
        <v>0</v>
      </c>
      <c r="M163" s="279" t="s">
        <v>6</v>
      </c>
      <c r="O163" s="282" t="s">
        <v>119</v>
      </c>
      <c r="P163" s="289">
        <f t="shared" ca="1" si="23"/>
        <v>0</v>
      </c>
      <c r="Q163" s="289">
        <f t="shared" ca="1" si="20"/>
        <v>0</v>
      </c>
      <c r="R163" s="289">
        <f t="shared" ca="1" si="20"/>
        <v>0</v>
      </c>
      <c r="S163" s="289">
        <f t="shared" ca="1" si="20"/>
        <v>0</v>
      </c>
      <c r="T163" s="289">
        <f t="shared" ca="1" si="20"/>
        <v>0</v>
      </c>
      <c r="U163" s="295" t="s">
        <v>6</v>
      </c>
      <c r="V163" s="289">
        <f t="shared" ca="1" si="21"/>
        <v>0</v>
      </c>
      <c r="W163" s="289">
        <f t="shared" ca="1" si="21"/>
        <v>0</v>
      </c>
      <c r="X163" s="289">
        <f t="shared" ca="1" si="21"/>
        <v>0</v>
      </c>
      <c r="Y163" s="289">
        <f t="shared" ca="1" si="21"/>
        <v>0</v>
      </c>
      <c r="Z163" s="292">
        <f t="shared" ca="1" si="21"/>
        <v>0</v>
      </c>
    </row>
    <row r="164" spans="2:26">
      <c r="B164" s="282" t="s">
        <v>113</v>
      </c>
      <c r="C164" s="278">
        <f t="shared" ca="1" si="22"/>
        <v>0</v>
      </c>
      <c r="D164" s="278">
        <f t="shared" ca="1" si="22"/>
        <v>0</v>
      </c>
      <c r="E164" s="278">
        <f t="shared" ca="1" si="22"/>
        <v>0</v>
      </c>
      <c r="F164" s="278">
        <f t="shared" ca="1" si="22"/>
        <v>0</v>
      </c>
      <c r="G164" s="278">
        <f t="shared" ca="1" si="22"/>
        <v>0</v>
      </c>
      <c r="H164" s="278">
        <f t="shared" ca="1" si="22"/>
        <v>0</v>
      </c>
      <c r="I164" s="278">
        <f t="shared" ca="1" si="22"/>
        <v>0</v>
      </c>
      <c r="J164" s="278">
        <f t="shared" ca="1" si="22"/>
        <v>0</v>
      </c>
      <c r="K164" s="278">
        <f t="shared" ca="1" si="22"/>
        <v>0</v>
      </c>
      <c r="L164" s="278">
        <f t="shared" ca="1" si="22"/>
        <v>0</v>
      </c>
      <c r="M164" s="279" t="s">
        <v>6</v>
      </c>
      <c r="O164" s="282" t="s">
        <v>113</v>
      </c>
      <c r="P164" s="289">
        <f t="shared" ca="1" si="23"/>
        <v>0</v>
      </c>
      <c r="Q164" s="289">
        <f t="shared" ca="1" si="20"/>
        <v>0</v>
      </c>
      <c r="R164" s="289">
        <f t="shared" ca="1" si="20"/>
        <v>0</v>
      </c>
      <c r="S164" s="289">
        <f t="shared" ca="1" si="20"/>
        <v>0</v>
      </c>
      <c r="T164" s="289">
        <f t="shared" ca="1" si="20"/>
        <v>0</v>
      </c>
      <c r="U164" s="295" t="s">
        <v>6</v>
      </c>
      <c r="V164" s="289">
        <f t="shared" ca="1" si="21"/>
        <v>0</v>
      </c>
      <c r="W164" s="289">
        <f t="shared" ca="1" si="21"/>
        <v>0</v>
      </c>
      <c r="X164" s="289">
        <f t="shared" ca="1" si="21"/>
        <v>0</v>
      </c>
      <c r="Y164" s="289">
        <f t="shared" ca="1" si="21"/>
        <v>0</v>
      </c>
      <c r="Z164" s="292">
        <f t="shared" ca="1" si="21"/>
        <v>0</v>
      </c>
    </row>
    <row r="165" spans="2:26">
      <c r="B165" s="282" t="s">
        <v>28</v>
      </c>
      <c r="C165" s="278">
        <f t="shared" ca="1" si="22"/>
        <v>0</v>
      </c>
      <c r="D165" s="278">
        <f t="shared" ca="1" si="22"/>
        <v>0</v>
      </c>
      <c r="E165" s="278">
        <f t="shared" ca="1" si="22"/>
        <v>0</v>
      </c>
      <c r="F165" s="278">
        <f t="shared" ca="1" si="22"/>
        <v>0</v>
      </c>
      <c r="G165" s="278">
        <f t="shared" ca="1" si="22"/>
        <v>0</v>
      </c>
      <c r="H165" s="278">
        <f t="shared" ca="1" si="22"/>
        <v>0</v>
      </c>
      <c r="I165" s="278">
        <f t="shared" ca="1" si="22"/>
        <v>0</v>
      </c>
      <c r="J165" s="278">
        <f t="shared" ca="1" si="22"/>
        <v>0</v>
      </c>
      <c r="K165" s="278">
        <f t="shared" ca="1" si="22"/>
        <v>0</v>
      </c>
      <c r="L165" s="278">
        <f t="shared" ca="1" si="22"/>
        <v>0</v>
      </c>
      <c r="M165" s="279" t="s">
        <v>6</v>
      </c>
      <c r="O165" s="282" t="s">
        <v>28</v>
      </c>
      <c r="P165" s="289">
        <f t="shared" ca="1" si="23"/>
        <v>0</v>
      </c>
      <c r="Q165" s="289">
        <f t="shared" ca="1" si="20"/>
        <v>0</v>
      </c>
      <c r="R165" s="289">
        <f t="shared" ca="1" si="20"/>
        <v>0</v>
      </c>
      <c r="S165" s="289">
        <f t="shared" ca="1" si="20"/>
        <v>0</v>
      </c>
      <c r="T165" s="289">
        <f t="shared" ca="1" si="20"/>
        <v>0</v>
      </c>
      <c r="U165" s="295" t="s">
        <v>6</v>
      </c>
      <c r="V165" s="289">
        <f t="shared" ca="1" si="21"/>
        <v>0</v>
      </c>
      <c r="W165" s="289">
        <f t="shared" ca="1" si="21"/>
        <v>0</v>
      </c>
      <c r="X165" s="289">
        <f t="shared" ca="1" si="21"/>
        <v>0</v>
      </c>
      <c r="Y165" s="289">
        <f t="shared" ca="1" si="21"/>
        <v>0</v>
      </c>
      <c r="Z165" s="292">
        <f t="shared" ca="1" si="21"/>
        <v>0</v>
      </c>
    </row>
    <row r="166" spans="2:26">
      <c r="B166" s="282" t="s">
        <v>26</v>
      </c>
      <c r="C166" s="278">
        <f t="shared" ca="1" si="22"/>
        <v>0</v>
      </c>
      <c r="D166" s="278">
        <f t="shared" ca="1" si="22"/>
        <v>0</v>
      </c>
      <c r="E166" s="278">
        <f t="shared" ca="1" si="22"/>
        <v>0</v>
      </c>
      <c r="F166" s="278">
        <f t="shared" ca="1" si="22"/>
        <v>0</v>
      </c>
      <c r="G166" s="278">
        <f t="shared" ca="1" si="22"/>
        <v>0</v>
      </c>
      <c r="H166" s="278">
        <f t="shared" ca="1" si="22"/>
        <v>0</v>
      </c>
      <c r="I166" s="278">
        <f t="shared" ca="1" si="22"/>
        <v>0</v>
      </c>
      <c r="J166" s="278">
        <f t="shared" ca="1" si="22"/>
        <v>0</v>
      </c>
      <c r="K166" s="278">
        <f t="shared" ca="1" si="22"/>
        <v>0</v>
      </c>
      <c r="L166" s="278">
        <f t="shared" ca="1" si="22"/>
        <v>0</v>
      </c>
      <c r="M166" s="279" t="s">
        <v>6</v>
      </c>
      <c r="O166" s="282" t="s">
        <v>26</v>
      </c>
      <c r="P166" s="289">
        <f t="shared" ca="1" si="23"/>
        <v>0</v>
      </c>
      <c r="Q166" s="289">
        <f t="shared" ca="1" si="20"/>
        <v>0</v>
      </c>
      <c r="R166" s="289">
        <f t="shared" ca="1" si="20"/>
        <v>0</v>
      </c>
      <c r="S166" s="289">
        <f t="shared" ca="1" si="20"/>
        <v>0</v>
      </c>
      <c r="T166" s="289">
        <f t="shared" ca="1" si="20"/>
        <v>0</v>
      </c>
      <c r="U166" s="295" t="s">
        <v>6</v>
      </c>
      <c r="V166" s="289">
        <f t="shared" ca="1" si="21"/>
        <v>0</v>
      </c>
      <c r="W166" s="289">
        <f t="shared" ca="1" si="21"/>
        <v>0</v>
      </c>
      <c r="X166" s="289">
        <f t="shared" ca="1" si="21"/>
        <v>0</v>
      </c>
      <c r="Y166" s="289">
        <f t="shared" ca="1" si="21"/>
        <v>0</v>
      </c>
      <c r="Z166" s="292">
        <f t="shared" ca="1" si="21"/>
        <v>0</v>
      </c>
    </row>
    <row r="167" spans="2:26">
      <c r="B167" s="282" t="s">
        <v>24</v>
      </c>
      <c r="C167" s="278">
        <f t="shared" ca="1" si="22"/>
        <v>0</v>
      </c>
      <c r="D167" s="278">
        <f t="shared" ca="1" si="22"/>
        <v>0</v>
      </c>
      <c r="E167" s="278">
        <f t="shared" ca="1" si="22"/>
        <v>0</v>
      </c>
      <c r="F167" s="278">
        <f t="shared" ca="1" si="22"/>
        <v>0</v>
      </c>
      <c r="G167" s="278">
        <f t="shared" ca="1" si="22"/>
        <v>0</v>
      </c>
      <c r="H167" s="278">
        <f t="shared" ca="1" si="22"/>
        <v>0</v>
      </c>
      <c r="I167" s="278">
        <f t="shared" ca="1" si="22"/>
        <v>0</v>
      </c>
      <c r="J167" s="278">
        <f t="shared" ca="1" si="22"/>
        <v>0</v>
      </c>
      <c r="K167" s="278">
        <f t="shared" ca="1" si="22"/>
        <v>0</v>
      </c>
      <c r="L167" s="278">
        <f t="shared" ca="1" si="22"/>
        <v>0</v>
      </c>
      <c r="M167" s="279" t="s">
        <v>6</v>
      </c>
      <c r="O167" s="282" t="s">
        <v>24</v>
      </c>
      <c r="P167" s="289">
        <f t="shared" ca="1" si="23"/>
        <v>0</v>
      </c>
      <c r="Q167" s="289">
        <f t="shared" ca="1" si="20"/>
        <v>0</v>
      </c>
      <c r="R167" s="289">
        <f t="shared" ca="1" si="20"/>
        <v>0</v>
      </c>
      <c r="S167" s="289">
        <f t="shared" ca="1" si="20"/>
        <v>0</v>
      </c>
      <c r="T167" s="289">
        <f t="shared" ca="1" si="20"/>
        <v>0</v>
      </c>
      <c r="U167" s="295" t="s">
        <v>6</v>
      </c>
      <c r="V167" s="289">
        <f t="shared" ca="1" si="21"/>
        <v>0</v>
      </c>
      <c r="W167" s="289">
        <f t="shared" ca="1" si="21"/>
        <v>0</v>
      </c>
      <c r="X167" s="289">
        <f t="shared" ca="1" si="21"/>
        <v>0</v>
      </c>
      <c r="Y167" s="289">
        <f t="shared" ca="1" si="21"/>
        <v>0</v>
      </c>
      <c r="Z167" s="292">
        <f t="shared" ca="1" si="21"/>
        <v>0</v>
      </c>
    </row>
    <row r="168" spans="2:26">
      <c r="B168" s="282" t="s">
        <v>20</v>
      </c>
      <c r="C168" s="278">
        <f t="shared" ca="1" si="22"/>
        <v>0</v>
      </c>
      <c r="D168" s="278">
        <f t="shared" ca="1" si="22"/>
        <v>0</v>
      </c>
      <c r="E168" s="278">
        <f t="shared" ca="1" si="22"/>
        <v>0</v>
      </c>
      <c r="F168" s="278">
        <f t="shared" ca="1" si="22"/>
        <v>0</v>
      </c>
      <c r="G168" s="278">
        <f t="shared" ca="1" si="22"/>
        <v>0</v>
      </c>
      <c r="H168" s="278">
        <f t="shared" ca="1" si="22"/>
        <v>0</v>
      </c>
      <c r="I168" s="278">
        <f t="shared" ca="1" si="22"/>
        <v>0</v>
      </c>
      <c r="J168" s="278">
        <f t="shared" ca="1" si="22"/>
        <v>0</v>
      </c>
      <c r="K168" s="278">
        <f t="shared" ca="1" si="22"/>
        <v>0</v>
      </c>
      <c r="L168" s="278">
        <f t="shared" ca="1" si="22"/>
        <v>0</v>
      </c>
      <c r="M168" s="279" t="s">
        <v>6</v>
      </c>
      <c r="O168" s="282" t="s">
        <v>20</v>
      </c>
      <c r="P168" s="289">
        <f t="shared" ca="1" si="23"/>
        <v>0</v>
      </c>
      <c r="Q168" s="289">
        <f t="shared" ca="1" si="20"/>
        <v>0</v>
      </c>
      <c r="R168" s="289">
        <f t="shared" ca="1" si="20"/>
        <v>0</v>
      </c>
      <c r="S168" s="289">
        <f t="shared" ca="1" si="20"/>
        <v>0</v>
      </c>
      <c r="T168" s="289">
        <f t="shared" ca="1" si="20"/>
        <v>0</v>
      </c>
      <c r="U168" s="295" t="s">
        <v>6</v>
      </c>
      <c r="V168" s="289">
        <f t="shared" ca="1" si="21"/>
        <v>0</v>
      </c>
      <c r="W168" s="289">
        <f t="shared" ca="1" si="21"/>
        <v>0</v>
      </c>
      <c r="X168" s="289">
        <f t="shared" ca="1" si="21"/>
        <v>0</v>
      </c>
      <c r="Y168" s="289">
        <f t="shared" ca="1" si="21"/>
        <v>0</v>
      </c>
      <c r="Z168" s="292">
        <f t="shared" ca="1" si="21"/>
        <v>0</v>
      </c>
    </row>
    <row r="169" spans="2:26">
      <c r="B169" s="282" t="s">
        <v>18</v>
      </c>
      <c r="C169" s="278">
        <f t="shared" ca="1" si="22"/>
        <v>0</v>
      </c>
      <c r="D169" s="278">
        <f t="shared" ca="1" si="22"/>
        <v>0</v>
      </c>
      <c r="E169" s="278">
        <f t="shared" ca="1" si="22"/>
        <v>0</v>
      </c>
      <c r="F169" s="278">
        <f t="shared" ca="1" si="22"/>
        <v>0</v>
      </c>
      <c r="G169" s="278">
        <f t="shared" ca="1" si="22"/>
        <v>0</v>
      </c>
      <c r="H169" s="278">
        <f t="shared" ca="1" si="22"/>
        <v>0</v>
      </c>
      <c r="I169" s="278">
        <f t="shared" ca="1" si="22"/>
        <v>0</v>
      </c>
      <c r="J169" s="278">
        <f t="shared" ca="1" si="22"/>
        <v>0</v>
      </c>
      <c r="K169" s="278">
        <f t="shared" ca="1" si="22"/>
        <v>0</v>
      </c>
      <c r="L169" s="278">
        <f t="shared" ca="1" si="22"/>
        <v>0</v>
      </c>
      <c r="M169" s="279" t="s">
        <v>6</v>
      </c>
      <c r="O169" s="282" t="s">
        <v>18</v>
      </c>
      <c r="P169" s="289">
        <f t="shared" ca="1" si="23"/>
        <v>0</v>
      </c>
      <c r="Q169" s="289">
        <f t="shared" ca="1" si="20"/>
        <v>0</v>
      </c>
      <c r="R169" s="289">
        <f t="shared" ca="1" si="20"/>
        <v>0</v>
      </c>
      <c r="S169" s="289">
        <f t="shared" ca="1" si="20"/>
        <v>0</v>
      </c>
      <c r="T169" s="289">
        <f t="shared" ca="1" si="20"/>
        <v>0</v>
      </c>
      <c r="U169" s="295" t="s">
        <v>6</v>
      </c>
      <c r="V169" s="289">
        <f t="shared" ca="1" si="21"/>
        <v>0</v>
      </c>
      <c r="W169" s="289">
        <f t="shared" ca="1" si="21"/>
        <v>0</v>
      </c>
      <c r="X169" s="289">
        <f t="shared" ca="1" si="21"/>
        <v>0</v>
      </c>
      <c r="Y169" s="289">
        <f t="shared" ca="1" si="21"/>
        <v>0</v>
      </c>
      <c r="Z169" s="292">
        <f t="shared" ca="1" si="21"/>
        <v>0</v>
      </c>
    </row>
    <row r="170" spans="2:26">
      <c r="B170" s="282" t="s">
        <v>17</v>
      </c>
      <c r="C170" s="278">
        <f t="shared" ca="1" si="22"/>
        <v>0</v>
      </c>
      <c r="D170" s="278">
        <f t="shared" ca="1" si="22"/>
        <v>0</v>
      </c>
      <c r="E170" s="278">
        <f t="shared" ca="1" si="22"/>
        <v>0</v>
      </c>
      <c r="F170" s="278">
        <f t="shared" ca="1" si="22"/>
        <v>0</v>
      </c>
      <c r="G170" s="278">
        <f t="shared" ca="1" si="22"/>
        <v>0</v>
      </c>
      <c r="H170" s="278">
        <f t="shared" ca="1" si="22"/>
        <v>0</v>
      </c>
      <c r="I170" s="278">
        <f t="shared" ca="1" si="22"/>
        <v>0</v>
      </c>
      <c r="J170" s="278">
        <f t="shared" ca="1" si="22"/>
        <v>0</v>
      </c>
      <c r="K170" s="278">
        <f t="shared" ca="1" si="22"/>
        <v>0</v>
      </c>
      <c r="L170" s="278">
        <f t="shared" ca="1" si="22"/>
        <v>0</v>
      </c>
      <c r="M170" s="279" t="s">
        <v>6</v>
      </c>
      <c r="O170" s="282" t="s">
        <v>17</v>
      </c>
      <c r="P170" s="289">
        <f t="shared" ca="1" si="23"/>
        <v>0</v>
      </c>
      <c r="Q170" s="289">
        <f t="shared" ca="1" si="20"/>
        <v>0</v>
      </c>
      <c r="R170" s="289">
        <f t="shared" ca="1" si="20"/>
        <v>0</v>
      </c>
      <c r="S170" s="289">
        <f t="shared" ca="1" si="20"/>
        <v>0</v>
      </c>
      <c r="T170" s="289">
        <f t="shared" ca="1" si="20"/>
        <v>0</v>
      </c>
      <c r="U170" s="295" t="s">
        <v>6</v>
      </c>
      <c r="V170" s="289">
        <f t="shared" ca="1" si="21"/>
        <v>0</v>
      </c>
      <c r="W170" s="289">
        <f t="shared" ca="1" si="21"/>
        <v>0</v>
      </c>
      <c r="X170" s="289">
        <f t="shared" ca="1" si="21"/>
        <v>0</v>
      </c>
      <c r="Y170" s="289">
        <f t="shared" ca="1" si="21"/>
        <v>0</v>
      </c>
      <c r="Z170" s="292">
        <f t="shared" ca="1" si="21"/>
        <v>0</v>
      </c>
    </row>
    <row r="171" spans="2:26">
      <c r="B171" s="282" t="s">
        <v>15</v>
      </c>
      <c r="C171" s="278">
        <f t="shared" ca="1" si="22"/>
        <v>0</v>
      </c>
      <c r="D171" s="278">
        <f t="shared" ca="1" si="22"/>
        <v>0</v>
      </c>
      <c r="E171" s="278">
        <f t="shared" ca="1" si="22"/>
        <v>0</v>
      </c>
      <c r="F171" s="278">
        <f t="shared" ca="1" si="22"/>
        <v>0</v>
      </c>
      <c r="G171" s="278">
        <f t="shared" ca="1" si="22"/>
        <v>0</v>
      </c>
      <c r="H171" s="278">
        <f t="shared" ca="1" si="22"/>
        <v>0</v>
      </c>
      <c r="I171" s="278">
        <f t="shared" ca="1" si="22"/>
        <v>0</v>
      </c>
      <c r="J171" s="278">
        <f t="shared" ca="1" si="22"/>
        <v>0</v>
      </c>
      <c r="K171" s="278">
        <f t="shared" ca="1" si="22"/>
        <v>0</v>
      </c>
      <c r="L171" s="278">
        <f t="shared" ca="1" si="22"/>
        <v>0</v>
      </c>
      <c r="M171" s="279" t="s">
        <v>6</v>
      </c>
      <c r="O171" s="282" t="s">
        <v>15</v>
      </c>
      <c r="P171" s="289">
        <f t="shared" ca="1" si="23"/>
        <v>0</v>
      </c>
      <c r="Q171" s="289">
        <f t="shared" ca="1" si="20"/>
        <v>0</v>
      </c>
      <c r="R171" s="289">
        <f t="shared" ca="1" si="20"/>
        <v>0</v>
      </c>
      <c r="S171" s="289">
        <f t="shared" ca="1" si="20"/>
        <v>0</v>
      </c>
      <c r="T171" s="289">
        <f t="shared" ca="1" si="20"/>
        <v>0</v>
      </c>
      <c r="U171" s="295" t="s">
        <v>6</v>
      </c>
      <c r="V171" s="289">
        <f t="shared" ca="1" si="21"/>
        <v>0</v>
      </c>
      <c r="W171" s="289">
        <f t="shared" ca="1" si="21"/>
        <v>0</v>
      </c>
      <c r="X171" s="289">
        <f t="shared" ca="1" si="21"/>
        <v>0</v>
      </c>
      <c r="Y171" s="289">
        <f t="shared" ca="1" si="21"/>
        <v>0</v>
      </c>
      <c r="Z171" s="292">
        <f t="shared" ca="1" si="21"/>
        <v>0</v>
      </c>
    </row>
    <row r="172" spans="2:26">
      <c r="B172" s="282" t="s">
        <v>14</v>
      </c>
      <c r="C172" s="278">
        <f t="shared" ca="1" si="22"/>
        <v>0</v>
      </c>
      <c r="D172" s="278">
        <f t="shared" ca="1" si="22"/>
        <v>0</v>
      </c>
      <c r="E172" s="278">
        <f t="shared" ca="1" si="22"/>
        <v>0</v>
      </c>
      <c r="F172" s="278">
        <f t="shared" ca="1" si="22"/>
        <v>0</v>
      </c>
      <c r="G172" s="278">
        <f t="shared" ca="1" si="22"/>
        <v>0</v>
      </c>
      <c r="H172" s="278">
        <f t="shared" ca="1" si="22"/>
        <v>0</v>
      </c>
      <c r="I172" s="278">
        <f t="shared" ca="1" si="22"/>
        <v>0</v>
      </c>
      <c r="J172" s="278">
        <f t="shared" ca="1" si="22"/>
        <v>0</v>
      </c>
      <c r="K172" s="278">
        <f t="shared" ca="1" si="22"/>
        <v>0</v>
      </c>
      <c r="L172" s="278">
        <f t="shared" ca="1" si="22"/>
        <v>0</v>
      </c>
      <c r="M172" s="279" t="s">
        <v>6</v>
      </c>
      <c r="O172" s="282" t="s">
        <v>14</v>
      </c>
      <c r="P172" s="295" t="s">
        <v>6</v>
      </c>
      <c r="Q172" s="295" t="s">
        <v>6</v>
      </c>
      <c r="R172" s="295" t="s">
        <v>6</v>
      </c>
      <c r="S172" s="295" t="s">
        <v>6</v>
      </c>
      <c r="T172" s="295" t="s">
        <v>6</v>
      </c>
      <c r="U172" s="295" t="s">
        <v>6</v>
      </c>
      <c r="V172" s="295" t="s">
        <v>6</v>
      </c>
      <c r="W172" s="295" t="s">
        <v>6</v>
      </c>
      <c r="X172" s="295" t="s">
        <v>6</v>
      </c>
      <c r="Y172" s="295" t="s">
        <v>6</v>
      </c>
      <c r="Z172" s="291" t="s">
        <v>6</v>
      </c>
    </row>
    <row r="173" spans="2:26">
      <c r="B173" s="282"/>
      <c r="C173" s="278"/>
      <c r="D173" s="278"/>
      <c r="E173" s="278"/>
      <c r="F173" s="278"/>
      <c r="G173" s="278"/>
      <c r="H173" s="278"/>
      <c r="I173" s="278"/>
      <c r="J173" s="278"/>
      <c r="K173" s="278"/>
      <c r="L173" s="278"/>
      <c r="M173" s="279"/>
      <c r="O173" s="282"/>
      <c r="P173" s="289"/>
      <c r="Q173" s="289"/>
      <c r="R173" s="289"/>
      <c r="S173" s="289"/>
      <c r="T173" s="289"/>
      <c r="U173" s="295"/>
      <c r="V173" s="289"/>
      <c r="W173" s="289"/>
      <c r="X173" s="289"/>
      <c r="Y173" s="289"/>
      <c r="Z173" s="292"/>
    </row>
    <row r="174" spans="2:26">
      <c r="B174" s="282"/>
      <c r="C174" s="278"/>
      <c r="D174" s="278"/>
      <c r="E174" s="278"/>
      <c r="F174" s="278"/>
      <c r="G174" s="278"/>
      <c r="H174" s="278"/>
      <c r="I174" s="278"/>
      <c r="J174" s="278"/>
      <c r="K174" s="278"/>
      <c r="L174" s="278"/>
      <c r="M174" s="279"/>
      <c r="O174" s="282"/>
      <c r="P174" s="289"/>
      <c r="Q174" s="289"/>
      <c r="R174" s="289"/>
      <c r="S174" s="289"/>
      <c r="T174" s="289"/>
      <c r="U174" s="295"/>
      <c r="V174" s="289"/>
      <c r="W174" s="289"/>
      <c r="X174" s="289"/>
      <c r="Y174" s="289"/>
      <c r="Z174" s="292"/>
    </row>
    <row r="175" spans="2:26">
      <c r="B175" s="283"/>
      <c r="C175" s="280"/>
      <c r="D175" s="280"/>
      <c r="E175" s="280"/>
      <c r="F175" s="280"/>
      <c r="G175" s="280"/>
      <c r="H175" s="280"/>
      <c r="I175" s="280"/>
      <c r="J175" s="280"/>
      <c r="K175" s="280"/>
      <c r="L175" s="280"/>
      <c r="M175" s="281"/>
      <c r="O175" s="283"/>
      <c r="P175" s="293"/>
      <c r="Q175" s="293"/>
      <c r="R175" s="293"/>
      <c r="S175" s="293"/>
      <c r="T175" s="293"/>
      <c r="U175" s="296"/>
      <c r="V175" s="293"/>
      <c r="W175" s="293"/>
      <c r="X175" s="293"/>
      <c r="Y175" s="293"/>
      <c r="Z175" s="294"/>
    </row>
    <row r="178" spans="1:13">
      <c r="A178" s="224" t="s">
        <v>481</v>
      </c>
      <c r="B178" s="290" t="s">
        <v>489</v>
      </c>
      <c r="C178" s="284"/>
      <c r="G178" s="290" t="s">
        <v>489</v>
      </c>
    </row>
    <row r="179" spans="1:13">
      <c r="B179" s="284" t="s">
        <v>491</v>
      </c>
      <c r="C179" s="284"/>
      <c r="G179" s="284" t="s">
        <v>492</v>
      </c>
      <c r="H179" s="284"/>
    </row>
    <row r="180" spans="1:13">
      <c r="B180" s="258" t="s">
        <v>474</v>
      </c>
      <c r="C180" s="286">
        <f ca="1">SUM(C206:L224)</f>
        <v>0</v>
      </c>
      <c r="G180" s="258" t="s">
        <v>474</v>
      </c>
      <c r="H180" s="286">
        <f ca="1">SUM(P206:Z224)</f>
        <v>0</v>
      </c>
    </row>
    <row r="182" spans="1:13">
      <c r="B182" s="258" t="s">
        <v>479</v>
      </c>
      <c r="C182" s="258"/>
    </row>
    <row r="183" spans="1:13">
      <c r="B183" s="254" t="s">
        <v>468</v>
      </c>
      <c r="C183" s="287">
        <v>500</v>
      </c>
      <c r="D183" s="287">
        <v>400</v>
      </c>
      <c r="E183" s="287">
        <v>300</v>
      </c>
      <c r="F183" s="287">
        <v>200</v>
      </c>
      <c r="G183" s="287">
        <v>100</v>
      </c>
      <c r="H183" s="287">
        <v>0</v>
      </c>
      <c r="I183" s="287">
        <v>-100</v>
      </c>
      <c r="J183" s="287">
        <v>-200</v>
      </c>
      <c r="K183" s="287">
        <v>-300</v>
      </c>
      <c r="L183" s="287">
        <v>-400</v>
      </c>
      <c r="M183" s="288">
        <v>-500</v>
      </c>
    </row>
    <row r="184" spans="1:13">
      <c r="B184" s="282" t="s">
        <v>42</v>
      </c>
      <c r="C184" s="278">
        <f ca="1">'GBP Swap PVs'!AH29</f>
        <v>99258.437527978211</v>
      </c>
      <c r="D184" s="278">
        <f ca="1">'GBP Swap PVs'!AI29</f>
        <v>79406.750022382577</v>
      </c>
      <c r="E184" s="278">
        <f ca="1">'GBP Swap PVs'!AJ29</f>
        <v>59555.062516786922</v>
      </c>
      <c r="F184" s="278">
        <f ca="1">'GBP Swap PVs'!AK29</f>
        <v>39703.375011191281</v>
      </c>
      <c r="G184" s="278">
        <f ca="1">'GBP Swap PVs'!AL29</f>
        <v>19851.687505595637</v>
      </c>
      <c r="H184" s="278">
        <f ca="1">'GBP Swap PVs'!AM29</f>
        <v>0</v>
      </c>
      <c r="I184" s="278">
        <f ca="1">'GBP Swap PVs'!AN29</f>
        <v>-19851.687505595641</v>
      </c>
      <c r="J184" s="278">
        <f ca="1">'GBP Swap PVs'!AO29</f>
        <v>-39703.375011191281</v>
      </c>
      <c r="K184" s="278">
        <f ca="1">'GBP Swap PVs'!AP29</f>
        <v>-59555.062516786922</v>
      </c>
      <c r="L184" s="278">
        <f ca="1">'GBP Swap PVs'!AQ29</f>
        <v>-79406.750022382563</v>
      </c>
      <c r="M184" s="279">
        <f ca="1">'GBP Swap PVs'!AR29</f>
        <v>-99258.437527978225</v>
      </c>
    </row>
    <row r="185" spans="1:13">
      <c r="B185" s="282" t="s">
        <v>39</v>
      </c>
      <c r="C185" s="278">
        <f ca="1">'GBP Swap PVs'!AH30</f>
        <v>147865.36992561389</v>
      </c>
      <c r="D185" s="278">
        <f ca="1">'GBP Swap PVs'!AI30</f>
        <v>118292.29594049114</v>
      </c>
      <c r="E185" s="278">
        <f ca="1">'GBP Swap PVs'!AJ30</f>
        <v>88719.221955368339</v>
      </c>
      <c r="F185" s="278">
        <f ca="1">'GBP Swap PVs'!AK30</f>
        <v>59146.147970245576</v>
      </c>
      <c r="G185" s="278">
        <f ca="1">'GBP Swap PVs'!AL30</f>
        <v>29573.073985122781</v>
      </c>
      <c r="H185" s="278">
        <f ca="1">'GBP Swap PVs'!AM30</f>
        <v>0</v>
      </c>
      <c r="I185" s="278">
        <f ca="1">'GBP Swap PVs'!AN30</f>
        <v>-29573.073985122785</v>
      </c>
      <c r="J185" s="278">
        <f ca="1">'GBP Swap PVs'!AO30</f>
        <v>-59146.147970245562</v>
      </c>
      <c r="K185" s="278">
        <f ca="1">'GBP Swap PVs'!AP30</f>
        <v>-88719.221955368354</v>
      </c>
      <c r="L185" s="278">
        <f ca="1">'GBP Swap PVs'!AQ30</f>
        <v>-118292.29594049114</v>
      </c>
      <c r="M185" s="279">
        <f ca="1">'GBP Swap PVs'!AR30</f>
        <v>-147865.36992561395</v>
      </c>
    </row>
    <row r="186" spans="1:13">
      <c r="B186" s="282" t="s">
        <v>35</v>
      </c>
      <c r="C186" s="278">
        <f ca="1">'GBP Swap PVs'!AH31</f>
        <v>195848.75648482324</v>
      </c>
      <c r="D186" s="278">
        <f ca="1">'GBP Swap PVs'!AI31</f>
        <v>156679.00518785862</v>
      </c>
      <c r="E186" s="278">
        <f ca="1">'GBP Swap PVs'!AJ31</f>
        <v>117509.25389089395</v>
      </c>
      <c r="F186" s="278">
        <f ca="1">'GBP Swap PVs'!AK31</f>
        <v>78339.502593929297</v>
      </c>
      <c r="G186" s="278">
        <f ca="1">'GBP Swap PVs'!AL31</f>
        <v>39169.751296964649</v>
      </c>
      <c r="H186" s="278">
        <f ca="1">'GBP Swap PVs'!AM31</f>
        <v>0</v>
      </c>
      <c r="I186" s="278">
        <f ca="1">'GBP Swap PVs'!AN31</f>
        <v>-39169.751296964656</v>
      </c>
      <c r="J186" s="278">
        <f ca="1">'GBP Swap PVs'!AO31</f>
        <v>-78339.502593929312</v>
      </c>
      <c r="K186" s="278">
        <f ca="1">'GBP Swap PVs'!AP31</f>
        <v>-117509.25389089398</v>
      </c>
      <c r="L186" s="278">
        <f ca="1">'GBP Swap PVs'!AQ31</f>
        <v>-156679.00518785862</v>
      </c>
      <c r="M186" s="279">
        <f ca="1">'GBP Swap PVs'!AR31</f>
        <v>-195848.7564848233</v>
      </c>
    </row>
    <row r="187" spans="1:13">
      <c r="B187" s="282" t="s">
        <v>33</v>
      </c>
      <c r="C187" s="278">
        <f ca="1">'GBP Swap PVs'!AH32</f>
        <v>242457.13075464786</v>
      </c>
      <c r="D187" s="278">
        <f ca="1">'GBP Swap PVs'!AI32</f>
        <v>193965.7046037183</v>
      </c>
      <c r="E187" s="278">
        <f ca="1">'GBP Swap PVs'!AJ32</f>
        <v>145474.27845278871</v>
      </c>
      <c r="F187" s="278">
        <f ca="1">'GBP Swap PVs'!AK32</f>
        <v>96982.852301859137</v>
      </c>
      <c r="G187" s="278">
        <f ca="1">'GBP Swap PVs'!AL32</f>
        <v>48491.426150929561</v>
      </c>
      <c r="H187" s="278">
        <f ca="1">'GBP Swap PVs'!AM32</f>
        <v>0</v>
      </c>
      <c r="I187" s="278">
        <f ca="1">'GBP Swap PVs'!AN32</f>
        <v>-48491.426150929568</v>
      </c>
      <c r="J187" s="278">
        <f ca="1">'GBP Swap PVs'!AO32</f>
        <v>-96982.852301859137</v>
      </c>
      <c r="K187" s="278">
        <f ca="1">'GBP Swap PVs'!AP32</f>
        <v>-145474.27845278874</v>
      </c>
      <c r="L187" s="278">
        <f ca="1">'GBP Swap PVs'!AQ32</f>
        <v>-193965.7046037183</v>
      </c>
      <c r="M187" s="279">
        <f ca="1">'GBP Swap PVs'!AR32</f>
        <v>-242457.13075464786</v>
      </c>
    </row>
    <row r="188" spans="1:13">
      <c r="B188" s="282" t="s">
        <v>131</v>
      </c>
      <c r="C188" s="278">
        <f ca="1">'GBP Swap PVs'!AH33</f>
        <v>288154.79235869745</v>
      </c>
      <c r="D188" s="278">
        <f ca="1">'GBP Swap PVs'!AI33</f>
        <v>230523.83388695796</v>
      </c>
      <c r="E188" s="278">
        <f ca="1">'GBP Swap PVs'!AJ33</f>
        <v>172892.87541521847</v>
      </c>
      <c r="F188" s="278">
        <f ca="1">'GBP Swap PVs'!AK33</f>
        <v>115261.91694347897</v>
      </c>
      <c r="G188" s="278">
        <f ca="1">'GBP Swap PVs'!AL33</f>
        <v>57630.958471739505</v>
      </c>
      <c r="H188" s="278">
        <f ca="1">'GBP Swap PVs'!AM33</f>
        <v>0</v>
      </c>
      <c r="I188" s="278">
        <f ca="1">'GBP Swap PVs'!AN33</f>
        <v>-57630.958471739483</v>
      </c>
      <c r="J188" s="278">
        <f ca="1">'GBP Swap PVs'!AO33</f>
        <v>-115261.91694347898</v>
      </c>
      <c r="K188" s="278">
        <f ca="1">'GBP Swap PVs'!AP33</f>
        <v>-172892.87541521847</v>
      </c>
      <c r="L188" s="278">
        <f ca="1">'GBP Swap PVs'!AQ33</f>
        <v>-230523.83388695796</v>
      </c>
      <c r="M188" s="279">
        <f ca="1">'GBP Swap PVs'!AR33</f>
        <v>-288154.79235869745</v>
      </c>
    </row>
    <row r="189" spans="1:13">
      <c r="B189" s="282" t="s">
        <v>31</v>
      </c>
      <c r="C189" s="278">
        <f ca="1">'GBP Swap PVs'!AH34</f>
        <v>332777.29112241004</v>
      </c>
      <c r="D189" s="278">
        <f ca="1">'GBP Swap PVs'!AI34</f>
        <v>266221.83289792808</v>
      </c>
      <c r="E189" s="278">
        <f ca="1">'GBP Swap PVs'!AJ34</f>
        <v>199666.374673446</v>
      </c>
      <c r="F189" s="278">
        <f ca="1">'GBP Swap PVs'!AK34</f>
        <v>133110.91644896401</v>
      </c>
      <c r="G189" s="278">
        <f ca="1">'GBP Swap PVs'!AL34</f>
        <v>66555.458224482034</v>
      </c>
      <c r="H189" s="278">
        <f ca="1">'GBP Swap PVs'!AM34</f>
        <v>0</v>
      </c>
      <c r="I189" s="278">
        <f ca="1">'GBP Swap PVs'!AN34</f>
        <v>-66555.45822448199</v>
      </c>
      <c r="J189" s="278">
        <f ca="1">'GBP Swap PVs'!AO34</f>
        <v>-133110.91644896401</v>
      </c>
      <c r="K189" s="278">
        <f ca="1">'GBP Swap PVs'!AP34</f>
        <v>-199666.374673446</v>
      </c>
      <c r="L189" s="278">
        <f ca="1">'GBP Swap PVs'!AQ34</f>
        <v>-266221.83289792802</v>
      </c>
      <c r="M189" s="279">
        <f ca="1">'GBP Swap PVs'!AR34</f>
        <v>-332777.29112240998</v>
      </c>
    </row>
    <row r="190" spans="1:13">
      <c r="B190" s="282" t="s">
        <v>119</v>
      </c>
      <c r="C190" s="278">
        <f ca="1">'GBP Swap PVs'!AH35</f>
        <v>376308.72409313201</v>
      </c>
      <c r="D190" s="278">
        <f ca="1">'GBP Swap PVs'!AI35</f>
        <v>301046.97927450552</v>
      </c>
      <c r="E190" s="278">
        <f ca="1">'GBP Swap PVs'!AJ35</f>
        <v>225785.23445587914</v>
      </c>
      <c r="F190" s="278">
        <f ca="1">'GBP Swap PVs'!AK35</f>
        <v>150523.48963725279</v>
      </c>
      <c r="G190" s="278">
        <f ca="1">'GBP Swap PVs'!AL35</f>
        <v>75261.744818626437</v>
      </c>
      <c r="H190" s="278">
        <f ca="1">'GBP Swap PVs'!AM35</f>
        <v>0</v>
      </c>
      <c r="I190" s="278">
        <f ca="1">'GBP Swap PVs'!AN35</f>
        <v>-75261.744818626379</v>
      </c>
      <c r="J190" s="278">
        <f ca="1">'GBP Swap PVs'!AO35</f>
        <v>-150523.48963725276</v>
      </c>
      <c r="K190" s="278">
        <f ca="1">'GBP Swap PVs'!AP35</f>
        <v>-225785.23445587917</v>
      </c>
      <c r="L190" s="278">
        <f ca="1">'GBP Swap PVs'!AQ35</f>
        <v>-301046.97927450552</v>
      </c>
      <c r="M190" s="279">
        <f ca="1">'GBP Swap PVs'!AR35</f>
        <v>-376308.72409313201</v>
      </c>
    </row>
    <row r="191" spans="1:13">
      <c r="B191" s="282" t="s">
        <v>113</v>
      </c>
      <c r="C191" s="278">
        <f ca="1">'GBP Swap PVs'!AH36</f>
        <v>419096.32897531759</v>
      </c>
      <c r="D191" s="278">
        <f ca="1">'GBP Swap PVs'!AI36</f>
        <v>335277.06318025407</v>
      </c>
      <c r="E191" s="278">
        <f ca="1">'GBP Swap PVs'!AJ36</f>
        <v>251457.79738519047</v>
      </c>
      <c r="F191" s="278">
        <f ca="1">'GBP Swap PVs'!AK36</f>
        <v>167638.53159012707</v>
      </c>
      <c r="G191" s="278">
        <f ca="1">'GBP Swap PVs'!AL36</f>
        <v>83819.265795063577</v>
      </c>
      <c r="H191" s="278">
        <f ca="1">'GBP Swap PVs'!AM36</f>
        <v>0</v>
      </c>
      <c r="I191" s="278">
        <f ca="1">'GBP Swap PVs'!AN36</f>
        <v>-83819.265795063489</v>
      </c>
      <c r="J191" s="278">
        <f ca="1">'GBP Swap PVs'!AO36</f>
        <v>-167638.53159012701</v>
      </c>
      <c r="K191" s="278">
        <f ca="1">'GBP Swap PVs'!AP36</f>
        <v>-251457.79738519053</v>
      </c>
      <c r="L191" s="278">
        <f ca="1">'GBP Swap PVs'!AQ36</f>
        <v>-335277.06318025402</v>
      </c>
      <c r="M191" s="279">
        <f ca="1">'GBP Swap PVs'!AR36</f>
        <v>-419096.32897531759</v>
      </c>
    </row>
    <row r="192" spans="1:13">
      <c r="B192" s="282" t="s">
        <v>28</v>
      </c>
      <c r="C192" s="278">
        <f ca="1">'GBP Swap PVs'!AH37</f>
        <v>460336.45975731342</v>
      </c>
      <c r="D192" s="278">
        <f ca="1">'GBP Swap PVs'!AI37</f>
        <v>368269.16780585086</v>
      </c>
      <c r="E192" s="278">
        <f ca="1">'GBP Swap PVs'!AJ37</f>
        <v>276201.87585438794</v>
      </c>
      <c r="F192" s="278">
        <f ca="1">'GBP Swap PVs'!AK37</f>
        <v>184134.5839029254</v>
      </c>
      <c r="G192" s="278">
        <f ca="1">'GBP Swap PVs'!AL37</f>
        <v>92067.291951462714</v>
      </c>
      <c r="H192" s="278">
        <f ca="1">'GBP Swap PVs'!AM37</f>
        <v>-2.7755575615628914E-11</v>
      </c>
      <c r="I192" s="278">
        <f ca="1">'GBP Swap PVs'!AN37</f>
        <v>-92067.291951462685</v>
      </c>
      <c r="J192" s="278">
        <f ca="1">'GBP Swap PVs'!AO37</f>
        <v>-184134.58390292537</v>
      </c>
      <c r="K192" s="278">
        <f ca="1">'GBP Swap PVs'!AP37</f>
        <v>-276201.87585438805</v>
      </c>
      <c r="L192" s="278">
        <f ca="1">'GBP Swap PVs'!AQ37</f>
        <v>-368269.16780585074</v>
      </c>
      <c r="M192" s="279">
        <f ca="1">'GBP Swap PVs'!AR37</f>
        <v>-460336.45975731342</v>
      </c>
    </row>
    <row r="193" spans="2:26">
      <c r="B193" s="282" t="s">
        <v>26</v>
      </c>
      <c r="C193" s="278">
        <f ca="1">'GBP Swap PVs'!AH38</f>
        <v>539672.60962191247</v>
      </c>
      <c r="D193" s="278">
        <f ca="1">'GBP Swap PVs'!AI38</f>
        <v>431738.08769753017</v>
      </c>
      <c r="E193" s="278">
        <f ca="1">'GBP Swap PVs'!AJ38</f>
        <v>323803.56577314722</v>
      </c>
      <c r="F193" s="278">
        <f ca="1">'GBP Swap PVs'!AK38</f>
        <v>215869.04384876505</v>
      </c>
      <c r="G193" s="278">
        <f ca="1">'GBP Swap PVs'!AL38</f>
        <v>107934.52192438257</v>
      </c>
      <c r="H193" s="278">
        <f ca="1">'GBP Swap PVs'!AM38</f>
        <v>0</v>
      </c>
      <c r="I193" s="278">
        <f ca="1">'GBP Swap PVs'!AN38</f>
        <v>-107934.52192438247</v>
      </c>
      <c r="J193" s="278">
        <f ca="1">'GBP Swap PVs'!AO38</f>
        <v>-215869.04384876494</v>
      </c>
      <c r="K193" s="278">
        <f ca="1">'GBP Swap PVs'!AP38</f>
        <v>-323803.56577314739</v>
      </c>
      <c r="L193" s="278">
        <f ca="1">'GBP Swap PVs'!AQ38</f>
        <v>-431738.08769752987</v>
      </c>
      <c r="M193" s="279">
        <f ca="1">'GBP Swap PVs'!AR38</f>
        <v>-539672.60962191247</v>
      </c>
    </row>
    <row r="194" spans="2:26">
      <c r="B194" s="282" t="s">
        <v>24</v>
      </c>
      <c r="C194" s="278">
        <f ca="1">'GBP Swap PVs'!AH39</f>
        <v>651221.71456541598</v>
      </c>
      <c r="D194" s="278">
        <f ca="1">'GBP Swap PVs'!AI39</f>
        <v>520977.37165233283</v>
      </c>
      <c r="E194" s="278">
        <f ca="1">'GBP Swap PVs'!AJ39</f>
        <v>390733.02873924933</v>
      </c>
      <c r="F194" s="278">
        <f ca="1">'GBP Swap PVs'!AK39</f>
        <v>260488.68582616636</v>
      </c>
      <c r="G194" s="278">
        <f ca="1">'GBP Swap PVs'!AL39</f>
        <v>130244.3429130833</v>
      </c>
      <c r="H194" s="278">
        <f ca="1">'GBP Swap PVs'!AM39</f>
        <v>0</v>
      </c>
      <c r="I194" s="278">
        <f ca="1">'GBP Swap PVs'!AN39</f>
        <v>-130244.34291308318</v>
      </c>
      <c r="J194" s="278">
        <f ca="1">'GBP Swap PVs'!AO39</f>
        <v>-260488.6858261663</v>
      </c>
      <c r="K194" s="278">
        <f ca="1">'GBP Swap PVs'!AP39</f>
        <v>-390733.02873924951</v>
      </c>
      <c r="L194" s="278">
        <f ca="1">'GBP Swap PVs'!AQ39</f>
        <v>-520977.3716523326</v>
      </c>
      <c r="M194" s="279">
        <f ca="1">'GBP Swap PVs'!AR39</f>
        <v>-651221.71456541587</v>
      </c>
    </row>
    <row r="195" spans="2:26">
      <c r="B195" s="282" t="s">
        <v>20</v>
      </c>
      <c r="C195" s="278">
        <f ca="1">'GBP Swap PVs'!AH40</f>
        <v>817694.6631231932</v>
      </c>
      <c r="D195" s="278">
        <f ca="1">'GBP Swap PVs'!AI40</f>
        <v>654155.73049855453</v>
      </c>
      <c r="E195" s="278">
        <f ca="1">'GBP Swap PVs'!AJ40</f>
        <v>490616.79787391546</v>
      </c>
      <c r="F195" s="278">
        <f ca="1">'GBP Swap PVs'!AK40</f>
        <v>327077.86524927721</v>
      </c>
      <c r="G195" s="278">
        <f ca="1">'GBP Swap PVs'!AL40</f>
        <v>163538.93262463863</v>
      </c>
      <c r="H195" s="278">
        <f ca="1">'GBP Swap PVs'!AM40</f>
        <v>0</v>
      </c>
      <c r="I195" s="278">
        <f ca="1">'GBP Swap PVs'!AN40</f>
        <v>-163538.93262463858</v>
      </c>
      <c r="J195" s="278">
        <f ca="1">'GBP Swap PVs'!AO40</f>
        <v>-327077.86524927715</v>
      </c>
      <c r="K195" s="278">
        <f ca="1">'GBP Swap PVs'!AP40</f>
        <v>-490616.79787391576</v>
      </c>
      <c r="L195" s="278">
        <f ca="1">'GBP Swap PVs'!AQ40</f>
        <v>-654155.7304985543</v>
      </c>
      <c r="M195" s="279">
        <f ca="1">'GBP Swap PVs'!AR40</f>
        <v>-817694.66312319296</v>
      </c>
    </row>
    <row r="196" spans="2:26">
      <c r="B196" s="282" t="s">
        <v>18</v>
      </c>
      <c r="C196" s="278">
        <f ca="1">'GBP Swap PVs'!AH41</f>
        <v>964946.47158325429</v>
      </c>
      <c r="D196" s="278">
        <f ca="1">'GBP Swap PVs'!AI41</f>
        <v>771957.17726660299</v>
      </c>
      <c r="E196" s="278">
        <f ca="1">'GBP Swap PVs'!AJ41</f>
        <v>578967.8829499518</v>
      </c>
      <c r="F196" s="278">
        <f ca="1">'GBP Swap PVs'!AK41</f>
        <v>385978.58863330149</v>
      </c>
      <c r="G196" s="278">
        <f ca="1">'GBP Swap PVs'!AL41</f>
        <v>192989.2943166508</v>
      </c>
      <c r="H196" s="278">
        <f ca="1">'GBP Swap PVs'!AM41</f>
        <v>-5.5511151231257827E-11</v>
      </c>
      <c r="I196" s="278">
        <f ca="1">'GBP Swap PVs'!AN41</f>
        <v>-192989.29431665089</v>
      </c>
      <c r="J196" s="278">
        <f ca="1">'GBP Swap PVs'!AO41</f>
        <v>-385978.58863330167</v>
      </c>
      <c r="K196" s="278">
        <f ca="1">'GBP Swap PVs'!AP41</f>
        <v>-578967.8829499525</v>
      </c>
      <c r="L196" s="278">
        <f ca="1">'GBP Swap PVs'!AQ41</f>
        <v>-771957.17726660322</v>
      </c>
      <c r="M196" s="279">
        <f ca="1">'GBP Swap PVs'!AR41</f>
        <v>-964946.47158325405</v>
      </c>
    </row>
    <row r="197" spans="2:26">
      <c r="B197" s="282" t="s">
        <v>17</v>
      </c>
      <c r="C197" s="278">
        <f ca="1">'GBP Swap PVs'!AH42</f>
        <v>1095875.5704726891</v>
      </c>
      <c r="D197" s="278">
        <f ca="1">'GBP Swap PVs'!AI42</f>
        <v>876700.45637815085</v>
      </c>
      <c r="E197" s="278">
        <f ca="1">'GBP Swap PVs'!AJ42</f>
        <v>657525.34228361223</v>
      </c>
      <c r="F197" s="278">
        <f ca="1">'GBP Swap PVs'!AK42</f>
        <v>438350.22818907531</v>
      </c>
      <c r="G197" s="278">
        <f ca="1">'GBP Swap PVs'!AL42</f>
        <v>219175.1140945376</v>
      </c>
      <c r="H197" s="278">
        <f ca="1">'GBP Swap PVs'!AM42</f>
        <v>0</v>
      </c>
      <c r="I197" s="278">
        <f ca="1">'GBP Swap PVs'!AN42</f>
        <v>-219175.11409453783</v>
      </c>
      <c r="J197" s="278">
        <f ca="1">'GBP Swap PVs'!AO42</f>
        <v>-438350.22818907548</v>
      </c>
      <c r="K197" s="278">
        <f ca="1">'GBP Swap PVs'!AP42</f>
        <v>-657525.34228361328</v>
      </c>
      <c r="L197" s="278">
        <f ca="1">'GBP Swap PVs'!AQ42</f>
        <v>-876700.45637815096</v>
      </c>
      <c r="M197" s="279">
        <f ca="1">'GBP Swap PVs'!AR42</f>
        <v>-1095875.5704726886</v>
      </c>
    </row>
    <row r="198" spans="2:26">
      <c r="B198" s="282" t="s">
        <v>15</v>
      </c>
      <c r="C198" s="278">
        <f ca="1">'GBP Swap PVs'!AH43</f>
        <v>1318174.9079456271</v>
      </c>
      <c r="D198" s="278">
        <f ca="1">'GBP Swap PVs'!AI43</f>
        <v>1054539.9263565014</v>
      </c>
      <c r="E198" s="278">
        <f ca="1">'GBP Swap PVs'!AJ43</f>
        <v>790904.94476737524</v>
      </c>
      <c r="F198" s="278">
        <f ca="1">'GBP Swap PVs'!AK43</f>
        <v>527269.96317825071</v>
      </c>
      <c r="G198" s="278">
        <f ca="1">'GBP Swap PVs'!AL43</f>
        <v>263634.98158912512</v>
      </c>
      <c r="H198" s="278">
        <f ca="1">'GBP Swap PVs'!AM43</f>
        <v>0</v>
      </c>
      <c r="I198" s="278">
        <f ca="1">'GBP Swap PVs'!AN43</f>
        <v>-263634.98158912588</v>
      </c>
      <c r="J198" s="278">
        <f ca="1">'GBP Swap PVs'!AO43</f>
        <v>-527269.96317825117</v>
      </c>
      <c r="K198" s="278">
        <f ca="1">'GBP Swap PVs'!AP43</f>
        <v>-790904.94476737664</v>
      </c>
      <c r="L198" s="278">
        <f ca="1">'GBP Swap PVs'!AQ43</f>
        <v>-1054539.9263565021</v>
      </c>
      <c r="M198" s="279">
        <f ca="1">'GBP Swap PVs'!AR43</f>
        <v>-1318174.9079456273</v>
      </c>
    </row>
    <row r="199" spans="2:26">
      <c r="B199" s="282" t="s">
        <v>14</v>
      </c>
      <c r="C199" s="278">
        <f ca="1">'GBP Swap PVs'!AH44</f>
        <v>1498623.2347463325</v>
      </c>
      <c r="D199" s="278">
        <f ca="1">'GBP Swap PVs'!AI44</f>
        <v>1198898.5877970646</v>
      </c>
      <c r="E199" s="278">
        <f ca="1">'GBP Swap PVs'!AJ44</f>
        <v>899173.94084779778</v>
      </c>
      <c r="F199" s="278">
        <f ca="1">'GBP Swap PVs'!AK44</f>
        <v>599449.29389853217</v>
      </c>
      <c r="G199" s="278">
        <f ca="1">'GBP Swap PVs'!AL44</f>
        <v>299724.64694926614</v>
      </c>
      <c r="H199" s="278">
        <f ca="1">'GBP Swap PVs'!AM44</f>
        <v>0</v>
      </c>
      <c r="I199" s="278">
        <f ca="1">'GBP Swap PVs'!AN44</f>
        <v>-299724.64694926643</v>
      </c>
      <c r="J199" s="278">
        <f ca="1">'GBP Swap PVs'!AO44</f>
        <v>-599449.29389853252</v>
      </c>
      <c r="K199" s="278">
        <f ca="1">'GBP Swap PVs'!AP44</f>
        <v>-899173.94084779872</v>
      </c>
      <c r="L199" s="278">
        <f ca="1">'GBP Swap PVs'!AQ44</f>
        <v>-1198898.5877970648</v>
      </c>
      <c r="M199" s="279">
        <f ca="1">'GBP Swap PVs'!AR44</f>
        <v>-1498623.2347463311</v>
      </c>
    </row>
    <row r="200" spans="2:26">
      <c r="B200" s="282"/>
      <c r="C200" s="278"/>
      <c r="D200" s="278"/>
      <c r="E200" s="278"/>
      <c r="F200" s="278"/>
      <c r="G200" s="278"/>
      <c r="H200" s="278"/>
      <c r="I200" s="278"/>
      <c r="J200" s="278"/>
      <c r="K200" s="278"/>
      <c r="L200" s="278"/>
      <c r="M200" s="279"/>
    </row>
    <row r="201" spans="2:26">
      <c r="B201" s="282"/>
      <c r="C201" s="278"/>
      <c r="D201" s="278"/>
      <c r="E201" s="278"/>
      <c r="F201" s="278"/>
      <c r="G201" s="278"/>
      <c r="H201" s="278"/>
      <c r="I201" s="278"/>
      <c r="J201" s="278"/>
      <c r="K201" s="278"/>
      <c r="L201" s="278"/>
      <c r="M201" s="279"/>
    </row>
    <row r="202" spans="2:26">
      <c r="B202" s="283"/>
      <c r="C202" s="280"/>
      <c r="D202" s="280"/>
      <c r="E202" s="280"/>
      <c r="F202" s="280"/>
      <c r="G202" s="280"/>
      <c r="H202" s="280"/>
      <c r="I202" s="280"/>
      <c r="J202" s="280"/>
      <c r="K202" s="280"/>
      <c r="L202" s="280"/>
      <c r="M202" s="281"/>
    </row>
    <row r="204" spans="2:26">
      <c r="B204" s="258" t="s">
        <v>472</v>
      </c>
      <c r="O204" s="258" t="s">
        <v>472</v>
      </c>
    </row>
    <row r="205" spans="2:26">
      <c r="B205" s="254" t="s">
        <v>468</v>
      </c>
      <c r="C205" s="287">
        <v>500</v>
      </c>
      <c r="D205" s="287">
        <v>400</v>
      </c>
      <c r="E205" s="287">
        <v>300</v>
      </c>
      <c r="F205" s="287">
        <v>200</v>
      </c>
      <c r="G205" s="287">
        <v>100</v>
      </c>
      <c r="H205" s="287">
        <v>0</v>
      </c>
      <c r="I205" s="287">
        <v>-100</v>
      </c>
      <c r="J205" s="287">
        <v>-200</v>
      </c>
      <c r="K205" s="287">
        <v>-300</v>
      </c>
      <c r="L205" s="287">
        <v>-400</v>
      </c>
      <c r="M205" s="288">
        <v>-500</v>
      </c>
      <c r="O205" s="254" t="s">
        <v>468</v>
      </c>
      <c r="P205" s="276">
        <v>-0.05</v>
      </c>
      <c r="Q205" s="276">
        <v>-0.04</v>
      </c>
      <c r="R205" s="276">
        <v>-0.03</v>
      </c>
      <c r="S205" s="276">
        <v>-1.9999999999999997E-2</v>
      </c>
      <c r="T205" s="276">
        <v>-9.9999999999999967E-3</v>
      </c>
      <c r="U205" s="276">
        <v>0</v>
      </c>
      <c r="V205" s="276">
        <v>0.01</v>
      </c>
      <c r="W205" s="276">
        <v>0.02</v>
      </c>
      <c r="X205" s="276">
        <v>0.03</v>
      </c>
      <c r="Y205" s="276">
        <v>0.04</v>
      </c>
      <c r="Z205" s="277">
        <v>0.05</v>
      </c>
    </row>
    <row r="206" spans="2:26">
      <c r="B206" s="282" t="s">
        <v>42</v>
      </c>
      <c r="C206" s="278">
        <f ca="1">IF(C184&gt;D184,0,1)</f>
        <v>0</v>
      </c>
      <c r="D206" s="278">
        <f t="shared" ref="D206:L206" ca="1" si="24">IF(D184&gt;E184,0,1)</f>
        <v>0</v>
      </c>
      <c r="E206" s="278">
        <f t="shared" ca="1" si="24"/>
        <v>0</v>
      </c>
      <c r="F206" s="278">
        <f t="shared" ca="1" si="24"/>
        <v>0</v>
      </c>
      <c r="G206" s="278">
        <f t="shared" ca="1" si="24"/>
        <v>0</v>
      </c>
      <c r="H206" s="278">
        <f t="shared" ca="1" si="24"/>
        <v>0</v>
      </c>
      <c r="I206" s="278">
        <f t="shared" ca="1" si="24"/>
        <v>0</v>
      </c>
      <c r="J206" s="278">
        <f t="shared" ca="1" si="24"/>
        <v>0</v>
      </c>
      <c r="K206" s="278">
        <f t="shared" ca="1" si="24"/>
        <v>0</v>
      </c>
      <c r="L206" s="278">
        <f t="shared" ca="1" si="24"/>
        <v>0</v>
      </c>
      <c r="M206" s="285" t="s">
        <v>6</v>
      </c>
      <c r="O206" s="282" t="s">
        <v>42</v>
      </c>
      <c r="P206" s="289">
        <f ca="1">IF(ABS(C185)&gt;ABS(C184),0,1)</f>
        <v>0</v>
      </c>
      <c r="Q206" s="289">
        <f t="shared" ref="Q206:T221" ca="1" si="25">IF(ABS(D185)&gt;ABS(D184),0,1)</f>
        <v>0</v>
      </c>
      <c r="R206" s="289">
        <f t="shared" ca="1" si="25"/>
        <v>0</v>
      </c>
      <c r="S206" s="289">
        <f t="shared" ca="1" si="25"/>
        <v>0</v>
      </c>
      <c r="T206" s="289">
        <f t="shared" ca="1" si="25"/>
        <v>0</v>
      </c>
      <c r="U206" s="295" t="s">
        <v>6</v>
      </c>
      <c r="V206" s="289">
        <f t="shared" ref="V206:Z221" ca="1" si="26">IF(ABS(I185)&gt;ABS(I184),0,1)</f>
        <v>0</v>
      </c>
      <c r="W206" s="289">
        <f t="shared" ca="1" si="26"/>
        <v>0</v>
      </c>
      <c r="X206" s="289">
        <f t="shared" ca="1" si="26"/>
        <v>0</v>
      </c>
      <c r="Y206" s="289">
        <f t="shared" ca="1" si="26"/>
        <v>0</v>
      </c>
      <c r="Z206" s="291">
        <f t="shared" ca="1" si="26"/>
        <v>0</v>
      </c>
    </row>
    <row r="207" spans="2:26">
      <c r="B207" s="282" t="s">
        <v>39</v>
      </c>
      <c r="C207" s="278">
        <f t="shared" ref="C207:L222" ca="1" si="27">IF(C185&gt;D185,0,1)</f>
        <v>0</v>
      </c>
      <c r="D207" s="278">
        <f t="shared" ca="1" si="27"/>
        <v>0</v>
      </c>
      <c r="E207" s="278">
        <f t="shared" ca="1" si="27"/>
        <v>0</v>
      </c>
      <c r="F207" s="278">
        <f t="shared" ca="1" si="27"/>
        <v>0</v>
      </c>
      <c r="G207" s="278">
        <f t="shared" ca="1" si="27"/>
        <v>0</v>
      </c>
      <c r="H207" s="278">
        <f t="shared" ca="1" si="27"/>
        <v>0</v>
      </c>
      <c r="I207" s="278">
        <f t="shared" ca="1" si="27"/>
        <v>0</v>
      </c>
      <c r="J207" s="278">
        <f t="shared" ca="1" si="27"/>
        <v>0</v>
      </c>
      <c r="K207" s="278">
        <f t="shared" ca="1" si="27"/>
        <v>0</v>
      </c>
      <c r="L207" s="278">
        <f t="shared" ca="1" si="27"/>
        <v>0</v>
      </c>
      <c r="M207" s="279" t="s">
        <v>6</v>
      </c>
      <c r="O207" s="282" t="s">
        <v>39</v>
      </c>
      <c r="P207" s="289">
        <f t="shared" ref="P207:T222" ca="1" si="28">IF(ABS(C186)&gt;ABS(C185),0,1)</f>
        <v>0</v>
      </c>
      <c r="Q207" s="289">
        <f t="shared" ca="1" si="25"/>
        <v>0</v>
      </c>
      <c r="R207" s="289">
        <f t="shared" ca="1" si="25"/>
        <v>0</v>
      </c>
      <c r="S207" s="289">
        <f t="shared" ca="1" si="25"/>
        <v>0</v>
      </c>
      <c r="T207" s="289">
        <f t="shared" ca="1" si="25"/>
        <v>0</v>
      </c>
      <c r="U207" s="295" t="s">
        <v>6</v>
      </c>
      <c r="V207" s="289">
        <f t="shared" ca="1" si="26"/>
        <v>0</v>
      </c>
      <c r="W207" s="289">
        <f t="shared" ca="1" si="26"/>
        <v>0</v>
      </c>
      <c r="X207" s="289">
        <f t="shared" ca="1" si="26"/>
        <v>0</v>
      </c>
      <c r="Y207" s="289">
        <f t="shared" ca="1" si="26"/>
        <v>0</v>
      </c>
      <c r="Z207" s="292">
        <f t="shared" ca="1" si="26"/>
        <v>0</v>
      </c>
    </row>
    <row r="208" spans="2:26">
      <c r="B208" s="282" t="s">
        <v>35</v>
      </c>
      <c r="C208" s="278">
        <f t="shared" ca="1" si="27"/>
        <v>0</v>
      </c>
      <c r="D208" s="278">
        <f t="shared" ca="1" si="27"/>
        <v>0</v>
      </c>
      <c r="E208" s="278">
        <f t="shared" ca="1" si="27"/>
        <v>0</v>
      </c>
      <c r="F208" s="278">
        <f t="shared" ca="1" si="27"/>
        <v>0</v>
      </c>
      <c r="G208" s="278">
        <f t="shared" ca="1" si="27"/>
        <v>0</v>
      </c>
      <c r="H208" s="278">
        <f t="shared" ca="1" si="27"/>
        <v>0</v>
      </c>
      <c r="I208" s="278">
        <f t="shared" ca="1" si="27"/>
        <v>0</v>
      </c>
      <c r="J208" s="278">
        <f t="shared" ca="1" si="27"/>
        <v>0</v>
      </c>
      <c r="K208" s="278">
        <f t="shared" ca="1" si="27"/>
        <v>0</v>
      </c>
      <c r="L208" s="278">
        <f t="shared" ca="1" si="27"/>
        <v>0</v>
      </c>
      <c r="M208" s="279" t="s">
        <v>6</v>
      </c>
      <c r="O208" s="282" t="s">
        <v>35</v>
      </c>
      <c r="P208" s="289">
        <f t="shared" ca="1" si="28"/>
        <v>0</v>
      </c>
      <c r="Q208" s="289">
        <f t="shared" ca="1" si="25"/>
        <v>0</v>
      </c>
      <c r="R208" s="289">
        <f t="shared" ca="1" si="25"/>
        <v>0</v>
      </c>
      <c r="S208" s="289">
        <f t="shared" ca="1" si="25"/>
        <v>0</v>
      </c>
      <c r="T208" s="289">
        <f t="shared" ca="1" si="25"/>
        <v>0</v>
      </c>
      <c r="U208" s="295" t="s">
        <v>6</v>
      </c>
      <c r="V208" s="289">
        <f t="shared" ca="1" si="26"/>
        <v>0</v>
      </c>
      <c r="W208" s="289">
        <f t="shared" ca="1" si="26"/>
        <v>0</v>
      </c>
      <c r="X208" s="289">
        <f t="shared" ca="1" si="26"/>
        <v>0</v>
      </c>
      <c r="Y208" s="289">
        <f t="shared" ca="1" si="26"/>
        <v>0</v>
      </c>
      <c r="Z208" s="292">
        <f t="shared" ca="1" si="26"/>
        <v>0</v>
      </c>
    </row>
    <row r="209" spans="2:26">
      <c r="B209" s="282" t="s">
        <v>33</v>
      </c>
      <c r="C209" s="278">
        <f t="shared" ca="1" si="27"/>
        <v>0</v>
      </c>
      <c r="D209" s="278">
        <f t="shared" ca="1" si="27"/>
        <v>0</v>
      </c>
      <c r="E209" s="278">
        <f t="shared" ca="1" si="27"/>
        <v>0</v>
      </c>
      <c r="F209" s="278">
        <f t="shared" ca="1" si="27"/>
        <v>0</v>
      </c>
      <c r="G209" s="278">
        <f t="shared" ca="1" si="27"/>
        <v>0</v>
      </c>
      <c r="H209" s="278">
        <f t="shared" ca="1" si="27"/>
        <v>0</v>
      </c>
      <c r="I209" s="278">
        <f t="shared" ca="1" si="27"/>
        <v>0</v>
      </c>
      <c r="J209" s="278">
        <f t="shared" ca="1" si="27"/>
        <v>0</v>
      </c>
      <c r="K209" s="278">
        <f t="shared" ca="1" si="27"/>
        <v>0</v>
      </c>
      <c r="L209" s="278">
        <f t="shared" ca="1" si="27"/>
        <v>0</v>
      </c>
      <c r="M209" s="279" t="s">
        <v>6</v>
      </c>
      <c r="O209" s="282" t="s">
        <v>33</v>
      </c>
      <c r="P209" s="289">
        <f t="shared" ca="1" si="28"/>
        <v>0</v>
      </c>
      <c r="Q209" s="289">
        <f t="shared" ca="1" si="25"/>
        <v>0</v>
      </c>
      <c r="R209" s="289">
        <f t="shared" ca="1" si="25"/>
        <v>0</v>
      </c>
      <c r="S209" s="289">
        <f t="shared" ca="1" si="25"/>
        <v>0</v>
      </c>
      <c r="T209" s="289">
        <f t="shared" ca="1" si="25"/>
        <v>0</v>
      </c>
      <c r="U209" s="295" t="s">
        <v>6</v>
      </c>
      <c r="V209" s="289">
        <f t="shared" ca="1" si="26"/>
        <v>0</v>
      </c>
      <c r="W209" s="289">
        <f t="shared" ca="1" si="26"/>
        <v>0</v>
      </c>
      <c r="X209" s="289">
        <f t="shared" ca="1" si="26"/>
        <v>0</v>
      </c>
      <c r="Y209" s="289">
        <f t="shared" ca="1" si="26"/>
        <v>0</v>
      </c>
      <c r="Z209" s="292">
        <f t="shared" ca="1" si="26"/>
        <v>0</v>
      </c>
    </row>
    <row r="210" spans="2:26">
      <c r="B210" s="282" t="s">
        <v>131</v>
      </c>
      <c r="C210" s="278">
        <f t="shared" ca="1" si="27"/>
        <v>0</v>
      </c>
      <c r="D210" s="278">
        <f t="shared" ca="1" si="27"/>
        <v>0</v>
      </c>
      <c r="E210" s="278">
        <f t="shared" ca="1" si="27"/>
        <v>0</v>
      </c>
      <c r="F210" s="278">
        <f t="shared" ca="1" si="27"/>
        <v>0</v>
      </c>
      <c r="G210" s="278">
        <f t="shared" ca="1" si="27"/>
        <v>0</v>
      </c>
      <c r="H210" s="278">
        <f t="shared" ca="1" si="27"/>
        <v>0</v>
      </c>
      <c r="I210" s="278">
        <f t="shared" ca="1" si="27"/>
        <v>0</v>
      </c>
      <c r="J210" s="278">
        <f t="shared" ca="1" si="27"/>
        <v>0</v>
      </c>
      <c r="K210" s="278">
        <f t="shared" ca="1" si="27"/>
        <v>0</v>
      </c>
      <c r="L210" s="278">
        <f t="shared" ca="1" si="27"/>
        <v>0</v>
      </c>
      <c r="M210" s="279" t="s">
        <v>6</v>
      </c>
      <c r="O210" s="282" t="s">
        <v>131</v>
      </c>
      <c r="P210" s="289">
        <f t="shared" ca="1" si="28"/>
        <v>0</v>
      </c>
      <c r="Q210" s="289">
        <f t="shared" ca="1" si="25"/>
        <v>0</v>
      </c>
      <c r="R210" s="289">
        <f t="shared" ca="1" si="25"/>
        <v>0</v>
      </c>
      <c r="S210" s="289">
        <f t="shared" ca="1" si="25"/>
        <v>0</v>
      </c>
      <c r="T210" s="289">
        <f t="shared" ca="1" si="25"/>
        <v>0</v>
      </c>
      <c r="U210" s="295" t="s">
        <v>6</v>
      </c>
      <c r="V210" s="289">
        <f t="shared" ca="1" si="26"/>
        <v>0</v>
      </c>
      <c r="W210" s="289">
        <f t="shared" ca="1" si="26"/>
        <v>0</v>
      </c>
      <c r="X210" s="289">
        <f t="shared" ca="1" si="26"/>
        <v>0</v>
      </c>
      <c r="Y210" s="289">
        <f t="shared" ca="1" si="26"/>
        <v>0</v>
      </c>
      <c r="Z210" s="292">
        <f t="shared" ca="1" si="26"/>
        <v>0</v>
      </c>
    </row>
    <row r="211" spans="2:26">
      <c r="B211" s="282" t="s">
        <v>31</v>
      </c>
      <c r="C211" s="278">
        <f t="shared" ca="1" si="27"/>
        <v>0</v>
      </c>
      <c r="D211" s="278">
        <f t="shared" ca="1" si="27"/>
        <v>0</v>
      </c>
      <c r="E211" s="278">
        <f t="shared" ca="1" si="27"/>
        <v>0</v>
      </c>
      <c r="F211" s="278">
        <f t="shared" ca="1" si="27"/>
        <v>0</v>
      </c>
      <c r="G211" s="278">
        <f t="shared" ca="1" si="27"/>
        <v>0</v>
      </c>
      <c r="H211" s="278">
        <f t="shared" ca="1" si="27"/>
        <v>0</v>
      </c>
      <c r="I211" s="278">
        <f t="shared" ca="1" si="27"/>
        <v>0</v>
      </c>
      <c r="J211" s="278">
        <f t="shared" ca="1" si="27"/>
        <v>0</v>
      </c>
      <c r="K211" s="278">
        <f t="shared" ca="1" si="27"/>
        <v>0</v>
      </c>
      <c r="L211" s="278">
        <f t="shared" ca="1" si="27"/>
        <v>0</v>
      </c>
      <c r="M211" s="279" t="s">
        <v>6</v>
      </c>
      <c r="O211" s="282" t="s">
        <v>31</v>
      </c>
      <c r="P211" s="289">
        <f t="shared" ca="1" si="28"/>
        <v>0</v>
      </c>
      <c r="Q211" s="289">
        <f t="shared" ca="1" si="25"/>
        <v>0</v>
      </c>
      <c r="R211" s="289">
        <f t="shared" ca="1" si="25"/>
        <v>0</v>
      </c>
      <c r="S211" s="289">
        <f t="shared" ca="1" si="25"/>
        <v>0</v>
      </c>
      <c r="T211" s="289">
        <f t="shared" ca="1" si="25"/>
        <v>0</v>
      </c>
      <c r="U211" s="295" t="s">
        <v>6</v>
      </c>
      <c r="V211" s="289">
        <f t="shared" ca="1" si="26"/>
        <v>0</v>
      </c>
      <c r="W211" s="289">
        <f t="shared" ca="1" si="26"/>
        <v>0</v>
      </c>
      <c r="X211" s="289">
        <f t="shared" ca="1" si="26"/>
        <v>0</v>
      </c>
      <c r="Y211" s="289">
        <f t="shared" ca="1" si="26"/>
        <v>0</v>
      </c>
      <c r="Z211" s="292">
        <f t="shared" ca="1" si="26"/>
        <v>0</v>
      </c>
    </row>
    <row r="212" spans="2:26">
      <c r="B212" s="282" t="s">
        <v>119</v>
      </c>
      <c r="C212" s="278">
        <f t="shared" ca="1" si="27"/>
        <v>0</v>
      </c>
      <c r="D212" s="278">
        <f t="shared" ca="1" si="27"/>
        <v>0</v>
      </c>
      <c r="E212" s="278">
        <f t="shared" ca="1" si="27"/>
        <v>0</v>
      </c>
      <c r="F212" s="278">
        <f t="shared" ca="1" si="27"/>
        <v>0</v>
      </c>
      <c r="G212" s="278">
        <f t="shared" ca="1" si="27"/>
        <v>0</v>
      </c>
      <c r="H212" s="278">
        <f t="shared" ca="1" si="27"/>
        <v>0</v>
      </c>
      <c r="I212" s="278">
        <f t="shared" ca="1" si="27"/>
        <v>0</v>
      </c>
      <c r="J212" s="278">
        <f t="shared" ca="1" si="27"/>
        <v>0</v>
      </c>
      <c r="K212" s="278">
        <f t="shared" ca="1" si="27"/>
        <v>0</v>
      </c>
      <c r="L212" s="278">
        <f t="shared" ca="1" si="27"/>
        <v>0</v>
      </c>
      <c r="M212" s="279" t="s">
        <v>6</v>
      </c>
      <c r="O212" s="282" t="s">
        <v>119</v>
      </c>
      <c r="P212" s="289">
        <f t="shared" ca="1" si="28"/>
        <v>0</v>
      </c>
      <c r="Q212" s="289">
        <f t="shared" ca="1" si="25"/>
        <v>0</v>
      </c>
      <c r="R212" s="289">
        <f t="shared" ca="1" si="25"/>
        <v>0</v>
      </c>
      <c r="S212" s="289">
        <f t="shared" ca="1" si="25"/>
        <v>0</v>
      </c>
      <c r="T212" s="289">
        <f t="shared" ca="1" si="25"/>
        <v>0</v>
      </c>
      <c r="U212" s="295" t="s">
        <v>6</v>
      </c>
      <c r="V212" s="289">
        <f t="shared" ca="1" si="26"/>
        <v>0</v>
      </c>
      <c r="W212" s="289">
        <f t="shared" ca="1" si="26"/>
        <v>0</v>
      </c>
      <c r="X212" s="289">
        <f t="shared" ca="1" si="26"/>
        <v>0</v>
      </c>
      <c r="Y212" s="289">
        <f t="shared" ca="1" si="26"/>
        <v>0</v>
      </c>
      <c r="Z212" s="292">
        <f t="shared" ca="1" si="26"/>
        <v>0</v>
      </c>
    </row>
    <row r="213" spans="2:26">
      <c r="B213" s="282" t="s">
        <v>113</v>
      </c>
      <c r="C213" s="278">
        <f t="shared" ca="1" si="27"/>
        <v>0</v>
      </c>
      <c r="D213" s="278">
        <f t="shared" ca="1" si="27"/>
        <v>0</v>
      </c>
      <c r="E213" s="278">
        <f t="shared" ca="1" si="27"/>
        <v>0</v>
      </c>
      <c r="F213" s="278">
        <f t="shared" ca="1" si="27"/>
        <v>0</v>
      </c>
      <c r="G213" s="278">
        <f t="shared" ca="1" si="27"/>
        <v>0</v>
      </c>
      <c r="H213" s="278">
        <f t="shared" ca="1" si="27"/>
        <v>0</v>
      </c>
      <c r="I213" s="278">
        <f t="shared" ca="1" si="27"/>
        <v>0</v>
      </c>
      <c r="J213" s="278">
        <f t="shared" ca="1" si="27"/>
        <v>0</v>
      </c>
      <c r="K213" s="278">
        <f t="shared" ca="1" si="27"/>
        <v>0</v>
      </c>
      <c r="L213" s="278">
        <f t="shared" ca="1" si="27"/>
        <v>0</v>
      </c>
      <c r="M213" s="279" t="s">
        <v>6</v>
      </c>
      <c r="O213" s="282" t="s">
        <v>113</v>
      </c>
      <c r="P213" s="289">
        <f t="shared" ca="1" si="28"/>
        <v>0</v>
      </c>
      <c r="Q213" s="289">
        <f t="shared" ca="1" si="25"/>
        <v>0</v>
      </c>
      <c r="R213" s="289">
        <f t="shared" ca="1" si="25"/>
        <v>0</v>
      </c>
      <c r="S213" s="289">
        <f t="shared" ca="1" si="25"/>
        <v>0</v>
      </c>
      <c r="T213" s="289">
        <f t="shared" ca="1" si="25"/>
        <v>0</v>
      </c>
      <c r="U213" s="295" t="s">
        <v>6</v>
      </c>
      <c r="V213" s="289">
        <f t="shared" ca="1" si="26"/>
        <v>0</v>
      </c>
      <c r="W213" s="289">
        <f t="shared" ca="1" si="26"/>
        <v>0</v>
      </c>
      <c r="X213" s="289">
        <f t="shared" ca="1" si="26"/>
        <v>0</v>
      </c>
      <c r="Y213" s="289">
        <f t="shared" ca="1" si="26"/>
        <v>0</v>
      </c>
      <c r="Z213" s="292">
        <f t="shared" ca="1" si="26"/>
        <v>0</v>
      </c>
    </row>
    <row r="214" spans="2:26">
      <c r="B214" s="282" t="s">
        <v>28</v>
      </c>
      <c r="C214" s="278">
        <f t="shared" ca="1" si="27"/>
        <v>0</v>
      </c>
      <c r="D214" s="278">
        <f t="shared" ca="1" si="27"/>
        <v>0</v>
      </c>
      <c r="E214" s="278">
        <f t="shared" ca="1" si="27"/>
        <v>0</v>
      </c>
      <c r="F214" s="278">
        <f t="shared" ca="1" si="27"/>
        <v>0</v>
      </c>
      <c r="G214" s="278">
        <f t="shared" ca="1" si="27"/>
        <v>0</v>
      </c>
      <c r="H214" s="278">
        <f t="shared" ca="1" si="27"/>
        <v>0</v>
      </c>
      <c r="I214" s="278">
        <f t="shared" ca="1" si="27"/>
        <v>0</v>
      </c>
      <c r="J214" s="278">
        <f t="shared" ca="1" si="27"/>
        <v>0</v>
      </c>
      <c r="K214" s="278">
        <f t="shared" ca="1" si="27"/>
        <v>0</v>
      </c>
      <c r="L214" s="278">
        <f t="shared" ca="1" si="27"/>
        <v>0</v>
      </c>
      <c r="M214" s="279" t="s">
        <v>6</v>
      </c>
      <c r="O214" s="282" t="s">
        <v>28</v>
      </c>
      <c r="P214" s="289">
        <f t="shared" ca="1" si="28"/>
        <v>0</v>
      </c>
      <c r="Q214" s="289">
        <f t="shared" ca="1" si="25"/>
        <v>0</v>
      </c>
      <c r="R214" s="289">
        <f t="shared" ca="1" si="25"/>
        <v>0</v>
      </c>
      <c r="S214" s="289">
        <f t="shared" ca="1" si="25"/>
        <v>0</v>
      </c>
      <c r="T214" s="289">
        <f t="shared" ca="1" si="25"/>
        <v>0</v>
      </c>
      <c r="U214" s="295" t="s">
        <v>6</v>
      </c>
      <c r="V214" s="289">
        <f t="shared" ca="1" si="26"/>
        <v>0</v>
      </c>
      <c r="W214" s="289">
        <f t="shared" ca="1" si="26"/>
        <v>0</v>
      </c>
      <c r="X214" s="289">
        <f t="shared" ca="1" si="26"/>
        <v>0</v>
      </c>
      <c r="Y214" s="289">
        <f t="shared" ca="1" si="26"/>
        <v>0</v>
      </c>
      <c r="Z214" s="292">
        <f t="shared" ca="1" si="26"/>
        <v>0</v>
      </c>
    </row>
    <row r="215" spans="2:26">
      <c r="B215" s="282" t="s">
        <v>26</v>
      </c>
      <c r="C215" s="278">
        <f t="shared" ca="1" si="27"/>
        <v>0</v>
      </c>
      <c r="D215" s="278">
        <f t="shared" ca="1" si="27"/>
        <v>0</v>
      </c>
      <c r="E215" s="278">
        <f t="shared" ca="1" si="27"/>
        <v>0</v>
      </c>
      <c r="F215" s="278">
        <f t="shared" ca="1" si="27"/>
        <v>0</v>
      </c>
      <c r="G215" s="278">
        <f t="shared" ca="1" si="27"/>
        <v>0</v>
      </c>
      <c r="H215" s="278">
        <f t="shared" ca="1" si="27"/>
        <v>0</v>
      </c>
      <c r="I215" s="278">
        <f t="shared" ca="1" si="27"/>
        <v>0</v>
      </c>
      <c r="J215" s="278">
        <f t="shared" ca="1" si="27"/>
        <v>0</v>
      </c>
      <c r="K215" s="278">
        <f t="shared" ca="1" si="27"/>
        <v>0</v>
      </c>
      <c r="L215" s="278">
        <f t="shared" ca="1" si="27"/>
        <v>0</v>
      </c>
      <c r="M215" s="279" t="s">
        <v>6</v>
      </c>
      <c r="O215" s="282" t="s">
        <v>26</v>
      </c>
      <c r="P215" s="289">
        <f t="shared" ca="1" si="28"/>
        <v>0</v>
      </c>
      <c r="Q215" s="289">
        <f t="shared" ca="1" si="25"/>
        <v>0</v>
      </c>
      <c r="R215" s="289">
        <f t="shared" ca="1" si="25"/>
        <v>0</v>
      </c>
      <c r="S215" s="289">
        <f t="shared" ca="1" si="25"/>
        <v>0</v>
      </c>
      <c r="T215" s="289">
        <f t="shared" ca="1" si="25"/>
        <v>0</v>
      </c>
      <c r="U215" s="295" t="s">
        <v>6</v>
      </c>
      <c r="V215" s="289">
        <f t="shared" ca="1" si="26"/>
        <v>0</v>
      </c>
      <c r="W215" s="289">
        <f t="shared" ca="1" si="26"/>
        <v>0</v>
      </c>
      <c r="X215" s="289">
        <f t="shared" ca="1" si="26"/>
        <v>0</v>
      </c>
      <c r="Y215" s="289">
        <f t="shared" ca="1" si="26"/>
        <v>0</v>
      </c>
      <c r="Z215" s="292">
        <f t="shared" ca="1" si="26"/>
        <v>0</v>
      </c>
    </row>
    <row r="216" spans="2:26">
      <c r="B216" s="282" t="s">
        <v>24</v>
      </c>
      <c r="C216" s="278">
        <f t="shared" ca="1" si="27"/>
        <v>0</v>
      </c>
      <c r="D216" s="278">
        <f t="shared" ca="1" si="27"/>
        <v>0</v>
      </c>
      <c r="E216" s="278">
        <f t="shared" ca="1" si="27"/>
        <v>0</v>
      </c>
      <c r="F216" s="278">
        <f t="shared" ca="1" si="27"/>
        <v>0</v>
      </c>
      <c r="G216" s="278">
        <f t="shared" ca="1" si="27"/>
        <v>0</v>
      </c>
      <c r="H216" s="278">
        <f t="shared" ca="1" si="27"/>
        <v>0</v>
      </c>
      <c r="I216" s="278">
        <f t="shared" ca="1" si="27"/>
        <v>0</v>
      </c>
      <c r="J216" s="278">
        <f t="shared" ca="1" si="27"/>
        <v>0</v>
      </c>
      <c r="K216" s="278">
        <f t="shared" ca="1" si="27"/>
        <v>0</v>
      </c>
      <c r="L216" s="278">
        <f t="shared" ca="1" si="27"/>
        <v>0</v>
      </c>
      <c r="M216" s="279" t="s">
        <v>6</v>
      </c>
      <c r="O216" s="282" t="s">
        <v>24</v>
      </c>
      <c r="P216" s="289">
        <f t="shared" ca="1" si="28"/>
        <v>0</v>
      </c>
      <c r="Q216" s="289">
        <f t="shared" ca="1" si="25"/>
        <v>0</v>
      </c>
      <c r="R216" s="289">
        <f t="shared" ca="1" si="25"/>
        <v>0</v>
      </c>
      <c r="S216" s="289">
        <f t="shared" ca="1" si="25"/>
        <v>0</v>
      </c>
      <c r="T216" s="289">
        <f t="shared" ca="1" si="25"/>
        <v>0</v>
      </c>
      <c r="U216" s="295" t="s">
        <v>6</v>
      </c>
      <c r="V216" s="289">
        <f t="shared" ca="1" si="26"/>
        <v>0</v>
      </c>
      <c r="W216" s="289">
        <f t="shared" ca="1" si="26"/>
        <v>0</v>
      </c>
      <c r="X216" s="289">
        <f t="shared" ca="1" si="26"/>
        <v>0</v>
      </c>
      <c r="Y216" s="289">
        <f t="shared" ca="1" si="26"/>
        <v>0</v>
      </c>
      <c r="Z216" s="292">
        <f t="shared" ca="1" si="26"/>
        <v>0</v>
      </c>
    </row>
    <row r="217" spans="2:26">
      <c r="B217" s="282" t="s">
        <v>20</v>
      </c>
      <c r="C217" s="278">
        <f t="shared" ca="1" si="27"/>
        <v>0</v>
      </c>
      <c r="D217" s="278">
        <f t="shared" ca="1" si="27"/>
        <v>0</v>
      </c>
      <c r="E217" s="278">
        <f t="shared" ca="1" si="27"/>
        <v>0</v>
      </c>
      <c r="F217" s="278">
        <f t="shared" ca="1" si="27"/>
        <v>0</v>
      </c>
      <c r="G217" s="278">
        <f t="shared" ca="1" si="27"/>
        <v>0</v>
      </c>
      <c r="H217" s="278">
        <f t="shared" ca="1" si="27"/>
        <v>0</v>
      </c>
      <c r="I217" s="278">
        <f t="shared" ca="1" si="27"/>
        <v>0</v>
      </c>
      <c r="J217" s="278">
        <f t="shared" ca="1" si="27"/>
        <v>0</v>
      </c>
      <c r="K217" s="278">
        <f t="shared" ca="1" si="27"/>
        <v>0</v>
      </c>
      <c r="L217" s="278">
        <f t="shared" ca="1" si="27"/>
        <v>0</v>
      </c>
      <c r="M217" s="279" t="s">
        <v>6</v>
      </c>
      <c r="O217" s="282" t="s">
        <v>20</v>
      </c>
      <c r="P217" s="289">
        <f t="shared" ca="1" si="28"/>
        <v>0</v>
      </c>
      <c r="Q217" s="289">
        <f t="shared" ca="1" si="25"/>
        <v>0</v>
      </c>
      <c r="R217" s="289">
        <f t="shared" ca="1" si="25"/>
        <v>0</v>
      </c>
      <c r="S217" s="289">
        <f t="shared" ca="1" si="25"/>
        <v>0</v>
      </c>
      <c r="T217" s="289">
        <f t="shared" ca="1" si="25"/>
        <v>0</v>
      </c>
      <c r="U217" s="295" t="s">
        <v>6</v>
      </c>
      <c r="V217" s="289">
        <f t="shared" ca="1" si="26"/>
        <v>0</v>
      </c>
      <c r="W217" s="289">
        <f t="shared" ca="1" si="26"/>
        <v>0</v>
      </c>
      <c r="X217" s="289">
        <f t="shared" ca="1" si="26"/>
        <v>0</v>
      </c>
      <c r="Y217" s="289">
        <f t="shared" ca="1" si="26"/>
        <v>0</v>
      </c>
      <c r="Z217" s="292">
        <f t="shared" ca="1" si="26"/>
        <v>0</v>
      </c>
    </row>
    <row r="218" spans="2:26">
      <c r="B218" s="282" t="s">
        <v>18</v>
      </c>
      <c r="C218" s="278">
        <f t="shared" ca="1" si="27"/>
        <v>0</v>
      </c>
      <c r="D218" s="278">
        <f t="shared" ca="1" si="27"/>
        <v>0</v>
      </c>
      <c r="E218" s="278">
        <f t="shared" ca="1" si="27"/>
        <v>0</v>
      </c>
      <c r="F218" s="278">
        <f t="shared" ca="1" si="27"/>
        <v>0</v>
      </c>
      <c r="G218" s="278">
        <f t="shared" ca="1" si="27"/>
        <v>0</v>
      </c>
      <c r="H218" s="278">
        <f t="shared" ca="1" si="27"/>
        <v>0</v>
      </c>
      <c r="I218" s="278">
        <f t="shared" ca="1" si="27"/>
        <v>0</v>
      </c>
      <c r="J218" s="278">
        <f t="shared" ca="1" si="27"/>
        <v>0</v>
      </c>
      <c r="K218" s="278">
        <f t="shared" ca="1" si="27"/>
        <v>0</v>
      </c>
      <c r="L218" s="278">
        <f t="shared" ca="1" si="27"/>
        <v>0</v>
      </c>
      <c r="M218" s="279" t="s">
        <v>6</v>
      </c>
      <c r="O218" s="282" t="s">
        <v>18</v>
      </c>
      <c r="P218" s="289">
        <f t="shared" ca="1" si="28"/>
        <v>0</v>
      </c>
      <c r="Q218" s="289">
        <f t="shared" ca="1" si="25"/>
        <v>0</v>
      </c>
      <c r="R218" s="289">
        <f t="shared" ca="1" si="25"/>
        <v>0</v>
      </c>
      <c r="S218" s="289">
        <f t="shared" ca="1" si="25"/>
        <v>0</v>
      </c>
      <c r="T218" s="289">
        <f t="shared" ca="1" si="25"/>
        <v>0</v>
      </c>
      <c r="U218" s="295" t="s">
        <v>6</v>
      </c>
      <c r="V218" s="289">
        <f t="shared" ca="1" si="26"/>
        <v>0</v>
      </c>
      <c r="W218" s="289">
        <f t="shared" ca="1" si="26"/>
        <v>0</v>
      </c>
      <c r="X218" s="289">
        <f t="shared" ca="1" si="26"/>
        <v>0</v>
      </c>
      <c r="Y218" s="289">
        <f t="shared" ca="1" si="26"/>
        <v>0</v>
      </c>
      <c r="Z218" s="292">
        <f t="shared" ca="1" si="26"/>
        <v>0</v>
      </c>
    </row>
    <row r="219" spans="2:26">
      <c r="B219" s="282" t="s">
        <v>17</v>
      </c>
      <c r="C219" s="278">
        <f t="shared" ca="1" si="27"/>
        <v>0</v>
      </c>
      <c r="D219" s="278">
        <f t="shared" ca="1" si="27"/>
        <v>0</v>
      </c>
      <c r="E219" s="278">
        <f t="shared" ca="1" si="27"/>
        <v>0</v>
      </c>
      <c r="F219" s="278">
        <f t="shared" ca="1" si="27"/>
        <v>0</v>
      </c>
      <c r="G219" s="278">
        <f t="shared" ca="1" si="27"/>
        <v>0</v>
      </c>
      <c r="H219" s="278">
        <f t="shared" ca="1" si="27"/>
        <v>0</v>
      </c>
      <c r="I219" s="278">
        <f t="shared" ca="1" si="27"/>
        <v>0</v>
      </c>
      <c r="J219" s="278">
        <f t="shared" ca="1" si="27"/>
        <v>0</v>
      </c>
      <c r="K219" s="278">
        <f t="shared" ca="1" si="27"/>
        <v>0</v>
      </c>
      <c r="L219" s="278">
        <f t="shared" ca="1" si="27"/>
        <v>0</v>
      </c>
      <c r="M219" s="279" t="s">
        <v>6</v>
      </c>
      <c r="O219" s="282" t="s">
        <v>17</v>
      </c>
      <c r="P219" s="289">
        <f t="shared" ca="1" si="28"/>
        <v>0</v>
      </c>
      <c r="Q219" s="289">
        <f t="shared" ca="1" si="25"/>
        <v>0</v>
      </c>
      <c r="R219" s="289">
        <f t="shared" ca="1" si="25"/>
        <v>0</v>
      </c>
      <c r="S219" s="289">
        <f t="shared" ca="1" si="25"/>
        <v>0</v>
      </c>
      <c r="T219" s="289">
        <f t="shared" ca="1" si="25"/>
        <v>0</v>
      </c>
      <c r="U219" s="295" t="s">
        <v>6</v>
      </c>
      <c r="V219" s="289">
        <f t="shared" ca="1" si="26"/>
        <v>0</v>
      </c>
      <c r="W219" s="289">
        <f t="shared" ca="1" si="26"/>
        <v>0</v>
      </c>
      <c r="X219" s="289">
        <f t="shared" ca="1" si="26"/>
        <v>0</v>
      </c>
      <c r="Y219" s="289">
        <f t="shared" ca="1" si="26"/>
        <v>0</v>
      </c>
      <c r="Z219" s="292">
        <f t="shared" ca="1" si="26"/>
        <v>0</v>
      </c>
    </row>
    <row r="220" spans="2:26">
      <c r="B220" s="282" t="s">
        <v>15</v>
      </c>
      <c r="C220" s="278">
        <f t="shared" ca="1" si="27"/>
        <v>0</v>
      </c>
      <c r="D220" s="278">
        <f t="shared" ca="1" si="27"/>
        <v>0</v>
      </c>
      <c r="E220" s="278">
        <f t="shared" ca="1" si="27"/>
        <v>0</v>
      </c>
      <c r="F220" s="278">
        <f t="shared" ca="1" si="27"/>
        <v>0</v>
      </c>
      <c r="G220" s="278">
        <f t="shared" ca="1" si="27"/>
        <v>0</v>
      </c>
      <c r="H220" s="278">
        <f t="shared" ca="1" si="27"/>
        <v>0</v>
      </c>
      <c r="I220" s="278">
        <f t="shared" ca="1" si="27"/>
        <v>0</v>
      </c>
      <c r="J220" s="278">
        <f t="shared" ca="1" si="27"/>
        <v>0</v>
      </c>
      <c r="K220" s="278">
        <f t="shared" ca="1" si="27"/>
        <v>0</v>
      </c>
      <c r="L220" s="278">
        <f t="shared" ca="1" si="27"/>
        <v>0</v>
      </c>
      <c r="M220" s="279" t="s">
        <v>6</v>
      </c>
      <c r="O220" s="282" t="s">
        <v>15</v>
      </c>
      <c r="P220" s="289">
        <f t="shared" ca="1" si="28"/>
        <v>0</v>
      </c>
      <c r="Q220" s="289">
        <f t="shared" ca="1" si="25"/>
        <v>0</v>
      </c>
      <c r="R220" s="289">
        <f t="shared" ca="1" si="25"/>
        <v>0</v>
      </c>
      <c r="S220" s="289">
        <f t="shared" ca="1" si="25"/>
        <v>0</v>
      </c>
      <c r="T220" s="289">
        <f t="shared" ca="1" si="25"/>
        <v>0</v>
      </c>
      <c r="U220" s="295" t="s">
        <v>6</v>
      </c>
      <c r="V220" s="289">
        <f t="shared" ca="1" si="26"/>
        <v>0</v>
      </c>
      <c r="W220" s="289">
        <f t="shared" ca="1" si="26"/>
        <v>0</v>
      </c>
      <c r="X220" s="289">
        <f t="shared" ca="1" si="26"/>
        <v>0</v>
      </c>
      <c r="Y220" s="289">
        <f t="shared" ca="1" si="26"/>
        <v>0</v>
      </c>
      <c r="Z220" s="292">
        <f t="shared" ca="1" si="26"/>
        <v>0</v>
      </c>
    </row>
    <row r="221" spans="2:26">
      <c r="B221" s="282" t="s">
        <v>14</v>
      </c>
      <c r="C221" s="278">
        <f t="shared" ca="1" si="27"/>
        <v>0</v>
      </c>
      <c r="D221" s="278">
        <f t="shared" ca="1" si="27"/>
        <v>0</v>
      </c>
      <c r="E221" s="278">
        <f t="shared" ca="1" si="27"/>
        <v>0</v>
      </c>
      <c r="F221" s="278">
        <f t="shared" ca="1" si="27"/>
        <v>0</v>
      </c>
      <c r="G221" s="278">
        <f t="shared" ca="1" si="27"/>
        <v>0</v>
      </c>
      <c r="H221" s="278">
        <f t="shared" ca="1" si="27"/>
        <v>0</v>
      </c>
      <c r="I221" s="278">
        <f t="shared" ca="1" si="27"/>
        <v>0</v>
      </c>
      <c r="J221" s="278">
        <f t="shared" ca="1" si="27"/>
        <v>0</v>
      </c>
      <c r="K221" s="278">
        <f t="shared" ca="1" si="27"/>
        <v>0</v>
      </c>
      <c r="L221" s="278">
        <f t="shared" ca="1" si="27"/>
        <v>0</v>
      </c>
      <c r="M221" s="279" t="s">
        <v>6</v>
      </c>
      <c r="O221" s="282" t="s">
        <v>14</v>
      </c>
      <c r="P221" s="295" t="s">
        <v>6</v>
      </c>
      <c r="Q221" s="295" t="s">
        <v>6</v>
      </c>
      <c r="R221" s="295" t="s">
        <v>6</v>
      </c>
      <c r="S221" s="295" t="s">
        <v>6</v>
      </c>
      <c r="T221" s="295" t="s">
        <v>6</v>
      </c>
      <c r="U221" s="295" t="s">
        <v>6</v>
      </c>
      <c r="V221" s="295" t="s">
        <v>6</v>
      </c>
      <c r="W221" s="295" t="s">
        <v>6</v>
      </c>
      <c r="X221" s="295" t="s">
        <v>6</v>
      </c>
      <c r="Y221" s="295" t="s">
        <v>6</v>
      </c>
      <c r="Z221" s="291" t="s">
        <v>6</v>
      </c>
    </row>
    <row r="222" spans="2:26">
      <c r="B222" s="282"/>
      <c r="C222" s="278"/>
      <c r="D222" s="278"/>
      <c r="E222" s="278"/>
      <c r="F222" s="278"/>
      <c r="G222" s="278"/>
      <c r="H222" s="278"/>
      <c r="I222" s="278"/>
      <c r="J222" s="278"/>
      <c r="K222" s="278"/>
      <c r="L222" s="278"/>
      <c r="M222" s="279"/>
      <c r="O222" s="282"/>
      <c r="P222" s="289"/>
      <c r="Q222" s="289"/>
      <c r="R222" s="289"/>
      <c r="S222" s="289"/>
      <c r="T222" s="289"/>
      <c r="U222" s="295"/>
      <c r="V222" s="289"/>
      <c r="W222" s="289"/>
      <c r="X222" s="289"/>
      <c r="Y222" s="289"/>
      <c r="Z222" s="292"/>
    </row>
    <row r="223" spans="2:26">
      <c r="B223" s="282"/>
      <c r="C223" s="278"/>
      <c r="D223" s="278"/>
      <c r="E223" s="278"/>
      <c r="F223" s="278"/>
      <c r="G223" s="278"/>
      <c r="H223" s="278"/>
      <c r="I223" s="278"/>
      <c r="J223" s="278"/>
      <c r="K223" s="278"/>
      <c r="L223" s="278"/>
      <c r="M223" s="279"/>
      <c r="O223" s="282"/>
      <c r="P223" s="289"/>
      <c r="Q223" s="289"/>
      <c r="R223" s="289"/>
      <c r="S223" s="289"/>
      <c r="T223" s="289"/>
      <c r="U223" s="295"/>
      <c r="V223" s="289"/>
      <c r="W223" s="289"/>
      <c r="X223" s="289"/>
      <c r="Y223" s="289"/>
      <c r="Z223" s="292"/>
    </row>
    <row r="224" spans="2:26">
      <c r="B224" s="283"/>
      <c r="C224" s="280"/>
      <c r="D224" s="280"/>
      <c r="E224" s="280"/>
      <c r="F224" s="280"/>
      <c r="G224" s="280"/>
      <c r="H224" s="280"/>
      <c r="I224" s="280"/>
      <c r="J224" s="280"/>
      <c r="K224" s="280"/>
      <c r="L224" s="280"/>
      <c r="M224" s="281"/>
      <c r="O224" s="283"/>
      <c r="P224" s="293"/>
      <c r="Q224" s="293"/>
      <c r="R224" s="293"/>
      <c r="S224" s="293"/>
      <c r="T224" s="293"/>
      <c r="U224" s="296"/>
      <c r="V224" s="293"/>
      <c r="W224" s="293"/>
      <c r="X224" s="293"/>
      <c r="Y224" s="293"/>
      <c r="Z224" s="294"/>
    </row>
    <row r="227" spans="1:16">
      <c r="A227" s="224" t="s">
        <v>493</v>
      </c>
      <c r="B227" s="290" t="s">
        <v>495</v>
      </c>
      <c r="C227" s="284"/>
      <c r="G227" s="290" t="s">
        <v>495</v>
      </c>
    </row>
    <row r="228" spans="1:16">
      <c r="B228" s="284" t="s">
        <v>496</v>
      </c>
      <c r="C228" s="284"/>
      <c r="G228" s="284" t="s">
        <v>494</v>
      </c>
      <c r="H228" s="284"/>
    </row>
    <row r="229" spans="1:16">
      <c r="B229" s="258" t="s">
        <v>474</v>
      </c>
      <c r="C229" s="286">
        <f ca="1">SUM(C255:L273)</f>
        <v>0</v>
      </c>
      <c r="G229" s="258" t="s">
        <v>474</v>
      </c>
      <c r="H229" s="286">
        <f ca="1">SUM(P255:Z273)</f>
        <v>0</v>
      </c>
    </row>
    <row r="231" spans="1:16">
      <c r="B231" s="258" t="s">
        <v>477</v>
      </c>
      <c r="C231" s="258"/>
    </row>
    <row r="232" spans="1:16">
      <c r="B232" s="254" t="s">
        <v>468</v>
      </c>
      <c r="C232" s="276">
        <v>-0.05</v>
      </c>
      <c r="D232" s="276">
        <v>-0.04</v>
      </c>
      <c r="E232" s="276">
        <v>-0.03</v>
      </c>
      <c r="F232" s="276">
        <v>-1.9999999999999997E-2</v>
      </c>
      <c r="G232" s="276">
        <v>-9.9999999999999967E-3</v>
      </c>
      <c r="H232" s="276">
        <v>0</v>
      </c>
      <c r="I232" s="276">
        <v>0.01</v>
      </c>
      <c r="J232" s="276">
        <v>0.02</v>
      </c>
      <c r="K232" s="276">
        <v>0.03</v>
      </c>
      <c r="L232" s="276">
        <v>0.04</v>
      </c>
      <c r="M232" s="277">
        <v>0.05</v>
      </c>
      <c r="N232" s="256"/>
      <c r="O232" s="256"/>
      <c r="P232" s="256"/>
    </row>
    <row r="233" spans="1:16">
      <c r="B233" s="282" t="s">
        <v>42</v>
      </c>
      <c r="C233" s="278">
        <f ca="1">'GBP Swap PVs'!N52</f>
        <v>-98985.127372311268</v>
      </c>
      <c r="D233" s="278">
        <f ca="1">'GBP Swap PVs'!O52</f>
        <v>-79188.101897849003</v>
      </c>
      <c r="E233" s="278">
        <f ca="1">'GBP Swap PVs'!P52</f>
        <v>-59391.076423386752</v>
      </c>
      <c r="F233" s="278">
        <f ca="1">'GBP Swap PVs'!Q52</f>
        <v>-39594.050948924501</v>
      </c>
      <c r="G233" s="278">
        <f ca="1">'GBP Swap PVs'!R52</f>
        <v>-19797.025474462243</v>
      </c>
      <c r="H233" s="278">
        <f ca="1">'GBP Swap PVs'!S52</f>
        <v>0</v>
      </c>
      <c r="I233" s="278">
        <f ca="1">'GBP Swap PVs'!T52</f>
        <v>19797.025474462251</v>
      </c>
      <c r="J233" s="278">
        <f ca="1">'GBP Swap PVs'!U52</f>
        <v>39594.050948924501</v>
      </c>
      <c r="K233" s="278">
        <f ca="1">'GBP Swap PVs'!V52</f>
        <v>59391.076423386752</v>
      </c>
      <c r="L233" s="278">
        <f ca="1">'GBP Swap PVs'!W52</f>
        <v>79188.101897849003</v>
      </c>
      <c r="M233" s="279">
        <f ca="1">'GBP Swap PVs'!X52</f>
        <v>98985.127372311239</v>
      </c>
    </row>
    <row r="234" spans="1:16">
      <c r="B234" s="282" t="s">
        <v>39</v>
      </c>
      <c r="C234" s="278">
        <f ca="1">'GBP Swap PVs'!N53</f>
        <v>-147592.05976994697</v>
      </c>
      <c r="D234" s="278">
        <f ca="1">'GBP Swap PVs'!O53</f>
        <v>-118073.64781595756</v>
      </c>
      <c r="E234" s="278">
        <f ca="1">'GBP Swap PVs'!P53</f>
        <v>-88555.235861968176</v>
      </c>
      <c r="F234" s="278">
        <f ca="1">'GBP Swap PVs'!Q53</f>
        <v>-59036.823907978775</v>
      </c>
      <c r="G234" s="278">
        <f ca="1">'GBP Swap PVs'!R53</f>
        <v>-29518.411953989384</v>
      </c>
      <c r="H234" s="278">
        <f ca="1">'GBP Swap PVs'!S53</f>
        <v>0</v>
      </c>
      <c r="I234" s="278">
        <f ca="1">'GBP Swap PVs'!T53</f>
        <v>29518.411953989395</v>
      </c>
      <c r="J234" s="278">
        <f ca="1">'GBP Swap PVs'!U53</f>
        <v>59036.823907978789</v>
      </c>
      <c r="K234" s="278">
        <f ca="1">'GBP Swap PVs'!V53</f>
        <v>88555.235861968162</v>
      </c>
      <c r="L234" s="278">
        <f ca="1">'GBP Swap PVs'!W53</f>
        <v>118073.64781595756</v>
      </c>
      <c r="M234" s="279">
        <f ca="1">'GBP Swap PVs'!X53</f>
        <v>147592.05976994699</v>
      </c>
    </row>
    <row r="235" spans="1:16">
      <c r="B235" s="282" t="s">
        <v>35</v>
      </c>
      <c r="C235" s="278">
        <f ca="1">'GBP Swap PVs'!N54</f>
        <v>-195575.44632915634</v>
      </c>
      <c r="D235" s="278">
        <f ca="1">'GBP Swap PVs'!O54</f>
        <v>-156460.35706332506</v>
      </c>
      <c r="E235" s="278">
        <f ca="1">'GBP Swap PVs'!P54</f>
        <v>-117345.2677974938</v>
      </c>
      <c r="F235" s="278">
        <f ca="1">'GBP Swap PVs'!Q54</f>
        <v>-78230.178531662532</v>
      </c>
      <c r="G235" s="278">
        <f ca="1">'GBP Swap PVs'!R54</f>
        <v>-39115.089265831259</v>
      </c>
      <c r="H235" s="278">
        <f ca="1">'GBP Swap PVs'!S54</f>
        <v>0</v>
      </c>
      <c r="I235" s="278">
        <f ca="1">'GBP Swap PVs'!T54</f>
        <v>39115.089265831266</v>
      </c>
      <c r="J235" s="278">
        <f ca="1">'GBP Swap PVs'!U54</f>
        <v>78230.178531662517</v>
      </c>
      <c r="K235" s="278">
        <f ca="1">'GBP Swap PVs'!V54</f>
        <v>117345.26779749378</v>
      </c>
      <c r="L235" s="278">
        <f ca="1">'GBP Swap PVs'!W54</f>
        <v>156460.35706332506</v>
      </c>
      <c r="M235" s="279">
        <f ca="1">'GBP Swap PVs'!X54</f>
        <v>195575.44632915634</v>
      </c>
    </row>
    <row r="236" spans="1:16">
      <c r="B236" s="282" t="s">
        <v>33</v>
      </c>
      <c r="C236" s="278">
        <f ca="1">'GBP Swap PVs'!N55</f>
        <v>-242183.82059898094</v>
      </c>
      <c r="D236" s="278">
        <f ca="1">'GBP Swap PVs'!O55</f>
        <v>-193747.05647918474</v>
      </c>
      <c r="E236" s="278">
        <f ca="1">'GBP Swap PVs'!P55</f>
        <v>-145310.29235938855</v>
      </c>
      <c r="F236" s="278">
        <f ca="1">'GBP Swap PVs'!Q55</f>
        <v>-96873.528239592357</v>
      </c>
      <c r="G236" s="278">
        <f ca="1">'GBP Swap PVs'!R55</f>
        <v>-48436.764119796164</v>
      </c>
      <c r="H236" s="278">
        <f ca="1">'GBP Swap PVs'!S55</f>
        <v>0</v>
      </c>
      <c r="I236" s="278">
        <f ca="1">'GBP Swap PVs'!T55</f>
        <v>48436.764119796193</v>
      </c>
      <c r="J236" s="278">
        <f ca="1">'GBP Swap PVs'!U55</f>
        <v>96873.528239592386</v>
      </c>
      <c r="K236" s="278">
        <f ca="1">'GBP Swap PVs'!V55</f>
        <v>145310.29235938855</v>
      </c>
      <c r="L236" s="278">
        <f ca="1">'GBP Swap PVs'!W55</f>
        <v>193747.05647918477</v>
      </c>
      <c r="M236" s="279">
        <f ca="1">'GBP Swap PVs'!X55</f>
        <v>242183.82059898096</v>
      </c>
    </row>
    <row r="237" spans="1:16">
      <c r="B237" s="282" t="s">
        <v>131</v>
      </c>
      <c r="C237" s="278">
        <f ca="1">'GBP Swap PVs'!N56</f>
        <v>-287881.48220303055</v>
      </c>
      <c r="D237" s="278">
        <f ca="1">'GBP Swap PVs'!O56</f>
        <v>-230305.18576242443</v>
      </c>
      <c r="E237" s="278">
        <f ca="1">'GBP Swap PVs'!P56</f>
        <v>-172728.88932181828</v>
      </c>
      <c r="F237" s="278">
        <f ca="1">'GBP Swap PVs'!Q56</f>
        <v>-115152.5928812122</v>
      </c>
      <c r="G237" s="278">
        <f ca="1">'GBP Swap PVs'!R56</f>
        <v>-57576.296440606086</v>
      </c>
      <c r="H237" s="278">
        <f ca="1">'GBP Swap PVs'!S56</f>
        <v>0</v>
      </c>
      <c r="I237" s="278">
        <f ca="1">'GBP Swap PVs'!T56</f>
        <v>57576.296440606107</v>
      </c>
      <c r="J237" s="278">
        <f ca="1">'GBP Swap PVs'!U56</f>
        <v>115152.59288121221</v>
      </c>
      <c r="K237" s="278">
        <f ca="1">'GBP Swap PVs'!V56</f>
        <v>172728.88932181834</v>
      </c>
      <c r="L237" s="278">
        <f ca="1">'GBP Swap PVs'!W56</f>
        <v>230305.18576242443</v>
      </c>
      <c r="M237" s="279">
        <f ca="1">'GBP Swap PVs'!X56</f>
        <v>287881.48220303055</v>
      </c>
    </row>
    <row r="238" spans="1:16">
      <c r="B238" s="282" t="s">
        <v>31</v>
      </c>
      <c r="C238" s="278">
        <f ca="1">'GBP Swap PVs'!N57</f>
        <v>-332503.98096674308</v>
      </c>
      <c r="D238" s="278">
        <f ca="1">'GBP Swap PVs'!O57</f>
        <v>-266003.18477339449</v>
      </c>
      <c r="E238" s="278">
        <f ca="1">'GBP Swap PVs'!P57</f>
        <v>-199502.38858004584</v>
      </c>
      <c r="F238" s="278">
        <f ca="1">'GBP Swap PVs'!Q57</f>
        <v>-133001.59238669722</v>
      </c>
      <c r="G238" s="278">
        <f ca="1">'GBP Swap PVs'!R57</f>
        <v>-66500.796193348608</v>
      </c>
      <c r="H238" s="278">
        <f ca="1">'GBP Swap PVs'!S57</f>
        <v>0</v>
      </c>
      <c r="I238" s="278">
        <f ca="1">'GBP Swap PVs'!T57</f>
        <v>66500.796193348593</v>
      </c>
      <c r="J238" s="278">
        <f ca="1">'GBP Swap PVs'!U57</f>
        <v>133001.59238669722</v>
      </c>
      <c r="K238" s="278">
        <f ca="1">'GBP Swap PVs'!V57</f>
        <v>199502.38858004584</v>
      </c>
      <c r="L238" s="278">
        <f ca="1">'GBP Swap PVs'!W57</f>
        <v>266003.18477339449</v>
      </c>
      <c r="M238" s="279">
        <f ca="1">'GBP Swap PVs'!X57</f>
        <v>332503.98096674314</v>
      </c>
    </row>
    <row r="239" spans="1:16">
      <c r="B239" s="282" t="s">
        <v>119</v>
      </c>
      <c r="C239" s="278">
        <f ca="1">'GBP Swap PVs'!N58</f>
        <v>-376035.41393746505</v>
      </c>
      <c r="D239" s="278">
        <f ca="1">'GBP Swap PVs'!O58</f>
        <v>-300828.33114997199</v>
      </c>
      <c r="E239" s="278">
        <f ca="1">'GBP Swap PVs'!P58</f>
        <v>-225621.24836247897</v>
      </c>
      <c r="F239" s="278">
        <f ca="1">'GBP Swap PVs'!Q58</f>
        <v>-150414.16557498599</v>
      </c>
      <c r="G239" s="278">
        <f ca="1">'GBP Swap PVs'!R58</f>
        <v>-75207.082787492982</v>
      </c>
      <c r="H239" s="278">
        <f ca="1">'GBP Swap PVs'!S58</f>
        <v>0</v>
      </c>
      <c r="I239" s="278">
        <f ca="1">'GBP Swap PVs'!T58</f>
        <v>75207.082787492967</v>
      </c>
      <c r="J239" s="278">
        <f ca="1">'GBP Swap PVs'!U58</f>
        <v>150414.16557498599</v>
      </c>
      <c r="K239" s="278">
        <f ca="1">'GBP Swap PVs'!V58</f>
        <v>225621.24836247895</v>
      </c>
      <c r="L239" s="278">
        <f ca="1">'GBP Swap PVs'!W58</f>
        <v>300828.33114997204</v>
      </c>
      <c r="M239" s="279">
        <f ca="1">'GBP Swap PVs'!X58</f>
        <v>376035.413937465</v>
      </c>
    </row>
    <row r="240" spans="1:16">
      <c r="B240" s="282" t="s">
        <v>113</v>
      </c>
      <c r="C240" s="278">
        <f ca="1">'GBP Swap PVs'!N59</f>
        <v>-418823.01881965069</v>
      </c>
      <c r="D240" s="278">
        <f ca="1">'GBP Swap PVs'!O59</f>
        <v>-335058.41505572054</v>
      </c>
      <c r="E240" s="278">
        <f ca="1">'GBP Swap PVs'!P59</f>
        <v>-251293.81129179033</v>
      </c>
      <c r="F240" s="278">
        <f ca="1">'GBP Swap PVs'!Q59</f>
        <v>-167529.20752786021</v>
      </c>
      <c r="G240" s="278">
        <f ca="1">'GBP Swap PVs'!R59</f>
        <v>-83764.603763930092</v>
      </c>
      <c r="H240" s="278">
        <f ca="1">'GBP Swap PVs'!S59</f>
        <v>0</v>
      </c>
      <c r="I240" s="278">
        <f ca="1">'GBP Swap PVs'!T59</f>
        <v>83764.603763930136</v>
      </c>
      <c r="J240" s="278">
        <f ca="1">'GBP Swap PVs'!U59</f>
        <v>167529.20752786027</v>
      </c>
      <c r="K240" s="278">
        <f ca="1">'GBP Swap PVs'!V59</f>
        <v>251293.81129179039</v>
      </c>
      <c r="L240" s="278">
        <f ca="1">'GBP Swap PVs'!W59</f>
        <v>335058.41505572048</v>
      </c>
      <c r="M240" s="279">
        <f ca="1">'GBP Swap PVs'!X59</f>
        <v>418823.01881965064</v>
      </c>
    </row>
    <row r="241" spans="2:26">
      <c r="B241" s="282" t="s">
        <v>28</v>
      </c>
      <c r="C241" s="278">
        <f ca="1">'GBP Swap PVs'!N60</f>
        <v>-460063.14960164647</v>
      </c>
      <c r="D241" s="278">
        <f ca="1">'GBP Swap PVs'!O60</f>
        <v>-368050.51968131715</v>
      </c>
      <c r="E241" s="278">
        <f ca="1">'GBP Swap PVs'!P60</f>
        <v>-276037.88976098789</v>
      </c>
      <c r="F241" s="278">
        <f ca="1">'GBP Swap PVs'!Q60</f>
        <v>-184025.25984065855</v>
      </c>
      <c r="G241" s="278">
        <f ca="1">'GBP Swap PVs'!R60</f>
        <v>-92012.629920329244</v>
      </c>
      <c r="H241" s="278">
        <f ca="1">'GBP Swap PVs'!S60</f>
        <v>0</v>
      </c>
      <c r="I241" s="278">
        <f ca="1">'GBP Swap PVs'!T60</f>
        <v>92012.629920329273</v>
      </c>
      <c r="J241" s="278">
        <f ca="1">'GBP Swap PVs'!U60</f>
        <v>184025.2598406586</v>
      </c>
      <c r="K241" s="278">
        <f ca="1">'GBP Swap PVs'!V60</f>
        <v>276037.88976098789</v>
      </c>
      <c r="L241" s="278">
        <f ca="1">'GBP Swap PVs'!W60</f>
        <v>368050.51968131715</v>
      </c>
      <c r="M241" s="279">
        <f ca="1">'GBP Swap PVs'!X60</f>
        <v>460063.14960164647</v>
      </c>
    </row>
    <row r="242" spans="2:26">
      <c r="B242" s="282" t="s">
        <v>26</v>
      </c>
      <c r="C242" s="278">
        <f ca="1">'GBP Swap PVs'!N61</f>
        <v>-539399.29946624546</v>
      </c>
      <c r="D242" s="278">
        <f ca="1">'GBP Swap PVs'!O61</f>
        <v>-431519.43957299634</v>
      </c>
      <c r="E242" s="278">
        <f ca="1">'GBP Swap PVs'!P61</f>
        <v>-323639.57967974723</v>
      </c>
      <c r="F242" s="278">
        <f ca="1">'GBP Swap PVs'!Q61</f>
        <v>-215759.71978649814</v>
      </c>
      <c r="G242" s="278">
        <f ca="1">'GBP Swap PVs'!R61</f>
        <v>-107879.85989324906</v>
      </c>
      <c r="H242" s="278">
        <f ca="1">'GBP Swap PVs'!S61</f>
        <v>0</v>
      </c>
      <c r="I242" s="278">
        <f ca="1">'GBP Swap PVs'!T61</f>
        <v>107879.85989324906</v>
      </c>
      <c r="J242" s="278">
        <f ca="1">'GBP Swap PVs'!U61</f>
        <v>215759.71978649817</v>
      </c>
      <c r="K242" s="278">
        <f ca="1">'GBP Swap PVs'!V61</f>
        <v>323639.57967974729</v>
      </c>
      <c r="L242" s="278">
        <f ca="1">'GBP Swap PVs'!W61</f>
        <v>431519.43957299629</v>
      </c>
      <c r="M242" s="279">
        <f ca="1">'GBP Swap PVs'!X61</f>
        <v>539399.29946624534</v>
      </c>
    </row>
    <row r="243" spans="2:26">
      <c r="B243" s="282" t="s">
        <v>24</v>
      </c>
      <c r="C243" s="278">
        <f ca="1">'GBP Swap PVs'!N62</f>
        <v>-650948.40440974885</v>
      </c>
      <c r="D243" s="278">
        <f ca="1">'GBP Swap PVs'!O62</f>
        <v>-520758.72352779919</v>
      </c>
      <c r="E243" s="278">
        <f ca="1">'GBP Swap PVs'!P62</f>
        <v>-390569.04264584935</v>
      </c>
      <c r="F243" s="278">
        <f ca="1">'GBP Swap PVs'!Q62</f>
        <v>-260379.36176389953</v>
      </c>
      <c r="G243" s="278">
        <f ca="1">'GBP Swap PVs'!R62</f>
        <v>-130189.68088194974</v>
      </c>
      <c r="H243" s="278">
        <f ca="1">'GBP Swap PVs'!S62</f>
        <v>0</v>
      </c>
      <c r="I243" s="278">
        <f ca="1">'GBP Swap PVs'!T62</f>
        <v>130189.68088194977</v>
      </c>
      <c r="J243" s="278">
        <f ca="1">'GBP Swap PVs'!U62</f>
        <v>260379.36176389953</v>
      </c>
      <c r="K243" s="278">
        <f ca="1">'GBP Swap PVs'!V62</f>
        <v>390569.04264584923</v>
      </c>
      <c r="L243" s="278">
        <f ca="1">'GBP Swap PVs'!W62</f>
        <v>520758.72352779919</v>
      </c>
      <c r="M243" s="279">
        <f ca="1">'GBP Swap PVs'!X62</f>
        <v>650948.40440974885</v>
      </c>
    </row>
    <row r="244" spans="2:26">
      <c r="B244" s="282" t="s">
        <v>20</v>
      </c>
      <c r="C244" s="278">
        <f ca="1">'GBP Swap PVs'!N63</f>
        <v>-817421.3529675263</v>
      </c>
      <c r="D244" s="278">
        <f ca="1">'GBP Swap PVs'!O63</f>
        <v>-653937.08237402095</v>
      </c>
      <c r="E244" s="278">
        <f ca="1">'GBP Swap PVs'!P63</f>
        <v>-490452.81178051571</v>
      </c>
      <c r="F244" s="278">
        <f ca="1">'GBP Swap PVs'!Q63</f>
        <v>-326968.54118701041</v>
      </c>
      <c r="G244" s="278">
        <f ca="1">'GBP Swap PVs'!R63</f>
        <v>-163484.27059350518</v>
      </c>
      <c r="H244" s="278">
        <f ca="1">'GBP Swap PVs'!S63</f>
        <v>0</v>
      </c>
      <c r="I244" s="278">
        <f ca="1">'GBP Swap PVs'!T63</f>
        <v>163484.27059350524</v>
      </c>
      <c r="J244" s="278">
        <f ca="1">'GBP Swap PVs'!U63</f>
        <v>326968.54118701047</v>
      </c>
      <c r="K244" s="278">
        <f ca="1">'GBP Swap PVs'!V63</f>
        <v>490452.81178051559</v>
      </c>
      <c r="L244" s="278">
        <f ca="1">'GBP Swap PVs'!W63</f>
        <v>653937.08237402095</v>
      </c>
      <c r="M244" s="279">
        <f ca="1">'GBP Swap PVs'!X63</f>
        <v>817421.3529675263</v>
      </c>
    </row>
    <row r="245" spans="2:26">
      <c r="B245" s="282" t="s">
        <v>18</v>
      </c>
      <c r="C245" s="278">
        <f ca="1">'GBP Swap PVs'!N64</f>
        <v>-964673.16142758704</v>
      </c>
      <c r="D245" s="278">
        <f ca="1">'GBP Swap PVs'!O64</f>
        <v>-771738.52914206963</v>
      </c>
      <c r="E245" s="278">
        <f ca="1">'GBP Swap PVs'!P64</f>
        <v>-578803.89685655222</v>
      </c>
      <c r="F245" s="278">
        <f ca="1">'GBP Swap PVs'!Q64</f>
        <v>-385869.26457103476</v>
      </c>
      <c r="G245" s="278">
        <f ca="1">'GBP Swap PVs'!R64</f>
        <v>-192934.63228551732</v>
      </c>
      <c r="H245" s="278">
        <f ca="1">'GBP Swap PVs'!S64</f>
        <v>0</v>
      </c>
      <c r="I245" s="278">
        <f ca="1">'GBP Swap PVs'!T64</f>
        <v>192934.63228551744</v>
      </c>
      <c r="J245" s="278">
        <f ca="1">'GBP Swap PVs'!U64</f>
        <v>385869.26457103476</v>
      </c>
      <c r="K245" s="278">
        <f ca="1">'GBP Swap PVs'!V64</f>
        <v>578803.89685655211</v>
      </c>
      <c r="L245" s="278">
        <f ca="1">'GBP Swap PVs'!W64</f>
        <v>771738.52914206951</v>
      </c>
      <c r="M245" s="279">
        <f ca="1">'GBP Swap PVs'!X64</f>
        <v>964673.16142758692</v>
      </c>
    </row>
    <row r="246" spans="2:26">
      <c r="B246" s="282" t="s">
        <v>17</v>
      </c>
      <c r="C246" s="278">
        <f ca="1">'GBP Swap PVs'!N65</f>
        <v>-1095602.260317022</v>
      </c>
      <c r="D246" s="278">
        <f ca="1">'GBP Swap PVs'!O65</f>
        <v>-876481.80825361749</v>
      </c>
      <c r="E246" s="278">
        <f ca="1">'GBP Swap PVs'!P65</f>
        <v>-657361.35619021312</v>
      </c>
      <c r="F246" s="278">
        <f ca="1">'GBP Swap PVs'!Q65</f>
        <v>-438240.90412680875</v>
      </c>
      <c r="G246" s="278">
        <f ca="1">'GBP Swap PVs'!R65</f>
        <v>-219120.45206340431</v>
      </c>
      <c r="H246" s="278">
        <f ca="1">'GBP Swap PVs'!S65</f>
        <v>0</v>
      </c>
      <c r="I246" s="278">
        <f ca="1">'GBP Swap PVs'!T65</f>
        <v>219120.45206340437</v>
      </c>
      <c r="J246" s="278">
        <f ca="1">'GBP Swap PVs'!U65</f>
        <v>438240.90412680875</v>
      </c>
      <c r="K246" s="278">
        <f ca="1">'GBP Swap PVs'!V65</f>
        <v>657361.356190213</v>
      </c>
      <c r="L246" s="278">
        <f ca="1">'GBP Swap PVs'!W65</f>
        <v>876481.80825361761</v>
      </c>
      <c r="M246" s="279">
        <f ca="1">'GBP Swap PVs'!X65</f>
        <v>1095602.260317022</v>
      </c>
    </row>
    <row r="247" spans="2:26">
      <c r="B247" s="282" t="s">
        <v>15</v>
      </c>
      <c r="C247" s="278">
        <f ca="1">'GBP Swap PVs'!N66</f>
        <v>-1317901.5977899607</v>
      </c>
      <c r="D247" s="278">
        <f ca="1">'GBP Swap PVs'!O66</f>
        <v>-1054321.2782319684</v>
      </c>
      <c r="E247" s="278">
        <f ca="1">'GBP Swap PVs'!P66</f>
        <v>-790740.95867397625</v>
      </c>
      <c r="F247" s="278">
        <f ca="1">'GBP Swap PVs'!Q66</f>
        <v>-527160.63911598409</v>
      </c>
      <c r="G247" s="278">
        <f ca="1">'GBP Swap PVs'!R66</f>
        <v>-263580.31955799198</v>
      </c>
      <c r="H247" s="278">
        <f ca="1">'GBP Swap PVs'!S66</f>
        <v>0</v>
      </c>
      <c r="I247" s="278">
        <f ca="1">'GBP Swap PVs'!T66</f>
        <v>263580.3195579921</v>
      </c>
      <c r="J247" s="278">
        <f ca="1">'GBP Swap PVs'!U66</f>
        <v>527160.6391159842</v>
      </c>
      <c r="K247" s="278">
        <f ca="1">'GBP Swap PVs'!V66</f>
        <v>790740.95867397625</v>
      </c>
      <c r="L247" s="278">
        <f ca="1">'GBP Swap PVs'!W66</f>
        <v>1054321.2782319684</v>
      </c>
      <c r="M247" s="279">
        <f ca="1">'GBP Swap PVs'!X66</f>
        <v>1317901.5977899604</v>
      </c>
    </row>
    <row r="248" spans="2:26">
      <c r="B248" s="282" t="s">
        <v>14</v>
      </c>
      <c r="C248" s="278">
        <f ca="1">'GBP Swap PVs'!N67</f>
        <v>-1498349.9245906647</v>
      </c>
      <c r="D248" s="278">
        <f ca="1">'GBP Swap PVs'!O67</f>
        <v>-1198679.9396725316</v>
      </c>
      <c r="E248" s="278">
        <f ca="1">'GBP Swap PVs'!P67</f>
        <v>-899009.95475439855</v>
      </c>
      <c r="F248" s="278">
        <f ca="1">'GBP Swap PVs'!Q67</f>
        <v>-599339.96983626566</v>
      </c>
      <c r="G248" s="278">
        <f ca="1">'GBP Swap PVs'!R67</f>
        <v>-299669.98491813277</v>
      </c>
      <c r="H248" s="278">
        <f ca="1">'GBP Swap PVs'!S67</f>
        <v>0</v>
      </c>
      <c r="I248" s="278">
        <f ca="1">'GBP Swap PVs'!T67</f>
        <v>299669.98491813289</v>
      </c>
      <c r="J248" s="278">
        <f ca="1">'GBP Swap PVs'!U67</f>
        <v>599339.9698362659</v>
      </c>
      <c r="K248" s="278">
        <f ca="1">'GBP Swap PVs'!V67</f>
        <v>899009.95475439867</v>
      </c>
      <c r="L248" s="278">
        <f ca="1">'GBP Swap PVs'!W67</f>
        <v>1198679.9396725316</v>
      </c>
      <c r="M248" s="279">
        <f ca="1">'GBP Swap PVs'!X67</f>
        <v>1498349.9245906647</v>
      </c>
    </row>
    <row r="249" spans="2:26">
      <c r="B249" s="282"/>
      <c r="C249" s="278"/>
      <c r="D249" s="278"/>
      <c r="E249" s="278"/>
      <c r="F249" s="278"/>
      <c r="G249" s="278"/>
      <c r="H249" s="278"/>
      <c r="I249" s="278"/>
      <c r="J249" s="278"/>
      <c r="K249" s="278"/>
      <c r="L249" s="278"/>
      <c r="M249" s="279"/>
    </row>
    <row r="250" spans="2:26">
      <c r="B250" s="282"/>
      <c r="C250" s="278"/>
      <c r="D250" s="278"/>
      <c r="E250" s="278"/>
      <c r="F250" s="278"/>
      <c r="G250" s="278"/>
      <c r="H250" s="278"/>
      <c r="I250" s="278"/>
      <c r="J250" s="278"/>
      <c r="K250" s="278"/>
      <c r="L250" s="278"/>
      <c r="M250" s="279"/>
    </row>
    <row r="251" spans="2:26">
      <c r="B251" s="283"/>
      <c r="C251" s="280"/>
      <c r="D251" s="280"/>
      <c r="E251" s="280"/>
      <c r="F251" s="280"/>
      <c r="G251" s="280"/>
      <c r="H251" s="280"/>
      <c r="I251" s="280"/>
      <c r="J251" s="280"/>
      <c r="K251" s="280"/>
      <c r="L251" s="280"/>
      <c r="M251" s="281"/>
    </row>
    <row r="253" spans="2:26">
      <c r="B253" s="258" t="s">
        <v>472</v>
      </c>
      <c r="O253" s="258" t="s">
        <v>472</v>
      </c>
    </row>
    <row r="254" spans="2:26">
      <c r="B254" s="254" t="s">
        <v>468</v>
      </c>
      <c r="C254" s="276">
        <v>-0.05</v>
      </c>
      <c r="D254" s="276">
        <v>-0.04</v>
      </c>
      <c r="E254" s="276">
        <v>-0.03</v>
      </c>
      <c r="F254" s="276">
        <v>-1.9999999999999997E-2</v>
      </c>
      <c r="G254" s="276">
        <v>-9.9999999999999967E-3</v>
      </c>
      <c r="H254" s="276">
        <v>0</v>
      </c>
      <c r="I254" s="276">
        <v>0.01</v>
      </c>
      <c r="J254" s="276">
        <v>0.02</v>
      </c>
      <c r="K254" s="276">
        <v>0.03</v>
      </c>
      <c r="L254" s="276">
        <v>0.04</v>
      </c>
      <c r="M254" s="277">
        <v>0.05</v>
      </c>
      <c r="O254" s="254" t="s">
        <v>468</v>
      </c>
      <c r="P254" s="276">
        <v>-0.05</v>
      </c>
      <c r="Q254" s="276">
        <v>-0.04</v>
      </c>
      <c r="R254" s="276">
        <v>-0.03</v>
      </c>
      <c r="S254" s="276">
        <v>-1.9999999999999997E-2</v>
      </c>
      <c r="T254" s="276">
        <v>-9.9999999999999967E-3</v>
      </c>
      <c r="U254" s="276">
        <v>0</v>
      </c>
      <c r="V254" s="276">
        <v>0.01</v>
      </c>
      <c r="W254" s="276">
        <v>0.02</v>
      </c>
      <c r="X254" s="276">
        <v>0.03</v>
      </c>
      <c r="Y254" s="276">
        <v>0.04</v>
      </c>
      <c r="Z254" s="277">
        <v>0.05</v>
      </c>
    </row>
    <row r="255" spans="2:26">
      <c r="B255" s="282" t="s">
        <v>42</v>
      </c>
      <c r="C255" s="278">
        <f ca="1">IF(C233&lt;D233,0,1)</f>
        <v>0</v>
      </c>
      <c r="D255" s="278">
        <f t="shared" ref="D255:L255" ca="1" si="29">IF(D233&lt;E233,0,1)</f>
        <v>0</v>
      </c>
      <c r="E255" s="278">
        <f t="shared" ca="1" si="29"/>
        <v>0</v>
      </c>
      <c r="F255" s="278">
        <f t="shared" ca="1" si="29"/>
        <v>0</v>
      </c>
      <c r="G255" s="278">
        <f t="shared" ca="1" si="29"/>
        <v>0</v>
      </c>
      <c r="H255" s="278">
        <f t="shared" ca="1" si="29"/>
        <v>0</v>
      </c>
      <c r="I255" s="278">
        <f t="shared" ca="1" si="29"/>
        <v>0</v>
      </c>
      <c r="J255" s="278">
        <f t="shared" ca="1" si="29"/>
        <v>0</v>
      </c>
      <c r="K255" s="278">
        <f t="shared" ca="1" si="29"/>
        <v>0</v>
      </c>
      <c r="L255" s="278">
        <f t="shared" ca="1" si="29"/>
        <v>0</v>
      </c>
      <c r="M255" s="285" t="s">
        <v>6</v>
      </c>
      <c r="O255" s="282" t="s">
        <v>42</v>
      </c>
      <c r="P255" s="289">
        <f ca="1">IF(ABS(C234)&gt;ABS(C233),0,1)</f>
        <v>0</v>
      </c>
      <c r="Q255" s="289">
        <f t="shared" ref="Q255:T270" ca="1" si="30">IF(ABS(D234)&gt;ABS(D233),0,1)</f>
        <v>0</v>
      </c>
      <c r="R255" s="289">
        <f t="shared" ca="1" si="30"/>
        <v>0</v>
      </c>
      <c r="S255" s="289">
        <f t="shared" ca="1" si="30"/>
        <v>0</v>
      </c>
      <c r="T255" s="289">
        <f t="shared" ca="1" si="30"/>
        <v>0</v>
      </c>
      <c r="U255" s="295" t="s">
        <v>6</v>
      </c>
      <c r="V255" s="289">
        <f t="shared" ref="V255:Z270" ca="1" si="31">IF(ABS(I234)&gt;ABS(I233),0,1)</f>
        <v>0</v>
      </c>
      <c r="W255" s="289">
        <f t="shared" ca="1" si="31"/>
        <v>0</v>
      </c>
      <c r="X255" s="289">
        <f t="shared" ca="1" si="31"/>
        <v>0</v>
      </c>
      <c r="Y255" s="289">
        <f t="shared" ca="1" si="31"/>
        <v>0</v>
      </c>
      <c r="Z255" s="291">
        <f t="shared" ca="1" si="31"/>
        <v>0</v>
      </c>
    </row>
    <row r="256" spans="2:26">
      <c r="B256" s="282" t="s">
        <v>39</v>
      </c>
      <c r="C256" s="278">
        <f t="shared" ref="C256:L271" ca="1" si="32">IF(C234&lt;D234,0,1)</f>
        <v>0</v>
      </c>
      <c r="D256" s="278">
        <f t="shared" ca="1" si="32"/>
        <v>0</v>
      </c>
      <c r="E256" s="278">
        <f t="shared" ca="1" si="32"/>
        <v>0</v>
      </c>
      <c r="F256" s="278">
        <f t="shared" ca="1" si="32"/>
        <v>0</v>
      </c>
      <c r="G256" s="278">
        <f t="shared" ca="1" si="32"/>
        <v>0</v>
      </c>
      <c r="H256" s="278">
        <f t="shared" ca="1" si="32"/>
        <v>0</v>
      </c>
      <c r="I256" s="278">
        <f t="shared" ca="1" si="32"/>
        <v>0</v>
      </c>
      <c r="J256" s="278">
        <f t="shared" ca="1" si="32"/>
        <v>0</v>
      </c>
      <c r="K256" s="278">
        <f t="shared" ca="1" si="32"/>
        <v>0</v>
      </c>
      <c r="L256" s="278">
        <f t="shared" ca="1" si="32"/>
        <v>0</v>
      </c>
      <c r="M256" s="279" t="s">
        <v>6</v>
      </c>
      <c r="O256" s="282" t="s">
        <v>39</v>
      </c>
      <c r="P256" s="289">
        <f t="shared" ref="P256:T271" ca="1" si="33">IF(ABS(C235)&gt;ABS(C234),0,1)</f>
        <v>0</v>
      </c>
      <c r="Q256" s="289">
        <f t="shared" ca="1" si="30"/>
        <v>0</v>
      </c>
      <c r="R256" s="289">
        <f t="shared" ca="1" si="30"/>
        <v>0</v>
      </c>
      <c r="S256" s="289">
        <f t="shared" ca="1" si="30"/>
        <v>0</v>
      </c>
      <c r="T256" s="289">
        <f t="shared" ca="1" si="30"/>
        <v>0</v>
      </c>
      <c r="U256" s="295" t="s">
        <v>6</v>
      </c>
      <c r="V256" s="289">
        <f t="shared" ca="1" si="31"/>
        <v>0</v>
      </c>
      <c r="W256" s="289">
        <f t="shared" ca="1" si="31"/>
        <v>0</v>
      </c>
      <c r="X256" s="289">
        <f t="shared" ca="1" si="31"/>
        <v>0</v>
      </c>
      <c r="Y256" s="289">
        <f t="shared" ca="1" si="31"/>
        <v>0</v>
      </c>
      <c r="Z256" s="292">
        <f t="shared" ca="1" si="31"/>
        <v>0</v>
      </c>
    </row>
    <row r="257" spans="2:26">
      <c r="B257" s="282" t="s">
        <v>35</v>
      </c>
      <c r="C257" s="278">
        <f t="shared" ca="1" si="32"/>
        <v>0</v>
      </c>
      <c r="D257" s="278">
        <f t="shared" ca="1" si="32"/>
        <v>0</v>
      </c>
      <c r="E257" s="278">
        <f t="shared" ca="1" si="32"/>
        <v>0</v>
      </c>
      <c r="F257" s="278">
        <f t="shared" ca="1" si="32"/>
        <v>0</v>
      </c>
      <c r="G257" s="278">
        <f t="shared" ca="1" si="32"/>
        <v>0</v>
      </c>
      <c r="H257" s="278">
        <f t="shared" ca="1" si="32"/>
        <v>0</v>
      </c>
      <c r="I257" s="278">
        <f t="shared" ca="1" si="32"/>
        <v>0</v>
      </c>
      <c r="J257" s="278">
        <f t="shared" ca="1" si="32"/>
        <v>0</v>
      </c>
      <c r="K257" s="278">
        <f t="shared" ca="1" si="32"/>
        <v>0</v>
      </c>
      <c r="L257" s="278">
        <f t="shared" ca="1" si="32"/>
        <v>0</v>
      </c>
      <c r="M257" s="279" t="s">
        <v>6</v>
      </c>
      <c r="O257" s="282" t="s">
        <v>35</v>
      </c>
      <c r="P257" s="289">
        <f t="shared" ca="1" si="33"/>
        <v>0</v>
      </c>
      <c r="Q257" s="289">
        <f t="shared" ca="1" si="30"/>
        <v>0</v>
      </c>
      <c r="R257" s="289">
        <f t="shared" ca="1" si="30"/>
        <v>0</v>
      </c>
      <c r="S257" s="289">
        <f t="shared" ca="1" si="30"/>
        <v>0</v>
      </c>
      <c r="T257" s="289">
        <f t="shared" ca="1" si="30"/>
        <v>0</v>
      </c>
      <c r="U257" s="295" t="s">
        <v>6</v>
      </c>
      <c r="V257" s="289">
        <f t="shared" ca="1" si="31"/>
        <v>0</v>
      </c>
      <c r="W257" s="289">
        <f t="shared" ca="1" si="31"/>
        <v>0</v>
      </c>
      <c r="X257" s="289">
        <f t="shared" ca="1" si="31"/>
        <v>0</v>
      </c>
      <c r="Y257" s="289">
        <f t="shared" ca="1" si="31"/>
        <v>0</v>
      </c>
      <c r="Z257" s="292">
        <f t="shared" ca="1" si="31"/>
        <v>0</v>
      </c>
    </row>
    <row r="258" spans="2:26">
      <c r="B258" s="282" t="s">
        <v>33</v>
      </c>
      <c r="C258" s="278">
        <f t="shared" ca="1" si="32"/>
        <v>0</v>
      </c>
      <c r="D258" s="278">
        <f t="shared" ca="1" si="32"/>
        <v>0</v>
      </c>
      <c r="E258" s="278">
        <f t="shared" ca="1" si="32"/>
        <v>0</v>
      </c>
      <c r="F258" s="278">
        <f t="shared" ca="1" si="32"/>
        <v>0</v>
      </c>
      <c r="G258" s="278">
        <f t="shared" ca="1" si="32"/>
        <v>0</v>
      </c>
      <c r="H258" s="278">
        <f t="shared" ca="1" si="32"/>
        <v>0</v>
      </c>
      <c r="I258" s="278">
        <f t="shared" ca="1" si="32"/>
        <v>0</v>
      </c>
      <c r="J258" s="278">
        <f t="shared" ca="1" si="32"/>
        <v>0</v>
      </c>
      <c r="K258" s="278">
        <f t="shared" ca="1" si="32"/>
        <v>0</v>
      </c>
      <c r="L258" s="278">
        <f t="shared" ca="1" si="32"/>
        <v>0</v>
      </c>
      <c r="M258" s="279" t="s">
        <v>6</v>
      </c>
      <c r="O258" s="282" t="s">
        <v>33</v>
      </c>
      <c r="P258" s="289">
        <f t="shared" ca="1" si="33"/>
        <v>0</v>
      </c>
      <c r="Q258" s="289">
        <f t="shared" ca="1" si="30"/>
        <v>0</v>
      </c>
      <c r="R258" s="289">
        <f t="shared" ca="1" si="30"/>
        <v>0</v>
      </c>
      <c r="S258" s="289">
        <f t="shared" ca="1" si="30"/>
        <v>0</v>
      </c>
      <c r="T258" s="289">
        <f t="shared" ca="1" si="30"/>
        <v>0</v>
      </c>
      <c r="U258" s="295" t="s">
        <v>6</v>
      </c>
      <c r="V258" s="289">
        <f t="shared" ca="1" si="31"/>
        <v>0</v>
      </c>
      <c r="W258" s="289">
        <f t="shared" ca="1" si="31"/>
        <v>0</v>
      </c>
      <c r="X258" s="289">
        <f t="shared" ca="1" si="31"/>
        <v>0</v>
      </c>
      <c r="Y258" s="289">
        <f t="shared" ca="1" si="31"/>
        <v>0</v>
      </c>
      <c r="Z258" s="292">
        <f t="shared" ca="1" si="31"/>
        <v>0</v>
      </c>
    </row>
    <row r="259" spans="2:26">
      <c r="B259" s="282" t="s">
        <v>131</v>
      </c>
      <c r="C259" s="278">
        <f t="shared" ca="1" si="32"/>
        <v>0</v>
      </c>
      <c r="D259" s="278">
        <f t="shared" ca="1" si="32"/>
        <v>0</v>
      </c>
      <c r="E259" s="278">
        <f t="shared" ca="1" si="32"/>
        <v>0</v>
      </c>
      <c r="F259" s="278">
        <f t="shared" ca="1" si="32"/>
        <v>0</v>
      </c>
      <c r="G259" s="278">
        <f t="shared" ca="1" si="32"/>
        <v>0</v>
      </c>
      <c r="H259" s="278">
        <f t="shared" ca="1" si="32"/>
        <v>0</v>
      </c>
      <c r="I259" s="278">
        <f t="shared" ca="1" si="32"/>
        <v>0</v>
      </c>
      <c r="J259" s="278">
        <f t="shared" ca="1" si="32"/>
        <v>0</v>
      </c>
      <c r="K259" s="278">
        <f t="shared" ca="1" si="32"/>
        <v>0</v>
      </c>
      <c r="L259" s="278">
        <f t="shared" ca="1" si="32"/>
        <v>0</v>
      </c>
      <c r="M259" s="279" t="s">
        <v>6</v>
      </c>
      <c r="O259" s="282" t="s">
        <v>131</v>
      </c>
      <c r="P259" s="289">
        <f t="shared" ca="1" si="33"/>
        <v>0</v>
      </c>
      <c r="Q259" s="289">
        <f t="shared" ca="1" si="30"/>
        <v>0</v>
      </c>
      <c r="R259" s="289">
        <f t="shared" ca="1" si="30"/>
        <v>0</v>
      </c>
      <c r="S259" s="289">
        <f t="shared" ca="1" si="30"/>
        <v>0</v>
      </c>
      <c r="T259" s="289">
        <f t="shared" ca="1" si="30"/>
        <v>0</v>
      </c>
      <c r="U259" s="295" t="s">
        <v>6</v>
      </c>
      <c r="V259" s="289">
        <f t="shared" ca="1" si="31"/>
        <v>0</v>
      </c>
      <c r="W259" s="289">
        <f t="shared" ca="1" si="31"/>
        <v>0</v>
      </c>
      <c r="X259" s="289">
        <f t="shared" ca="1" si="31"/>
        <v>0</v>
      </c>
      <c r="Y259" s="289">
        <f t="shared" ca="1" si="31"/>
        <v>0</v>
      </c>
      <c r="Z259" s="292">
        <f t="shared" ca="1" si="31"/>
        <v>0</v>
      </c>
    </row>
    <row r="260" spans="2:26">
      <c r="B260" s="282" t="s">
        <v>31</v>
      </c>
      <c r="C260" s="278">
        <f t="shared" ca="1" si="32"/>
        <v>0</v>
      </c>
      <c r="D260" s="278">
        <f t="shared" ca="1" si="32"/>
        <v>0</v>
      </c>
      <c r="E260" s="278">
        <f t="shared" ca="1" si="32"/>
        <v>0</v>
      </c>
      <c r="F260" s="278">
        <f t="shared" ca="1" si="32"/>
        <v>0</v>
      </c>
      <c r="G260" s="278">
        <f t="shared" ca="1" si="32"/>
        <v>0</v>
      </c>
      <c r="H260" s="278">
        <f t="shared" ca="1" si="32"/>
        <v>0</v>
      </c>
      <c r="I260" s="278">
        <f t="shared" ca="1" si="32"/>
        <v>0</v>
      </c>
      <c r="J260" s="278">
        <f t="shared" ca="1" si="32"/>
        <v>0</v>
      </c>
      <c r="K260" s="278">
        <f t="shared" ca="1" si="32"/>
        <v>0</v>
      </c>
      <c r="L260" s="278">
        <f t="shared" ca="1" si="32"/>
        <v>0</v>
      </c>
      <c r="M260" s="279" t="s">
        <v>6</v>
      </c>
      <c r="O260" s="282" t="s">
        <v>31</v>
      </c>
      <c r="P260" s="289">
        <f t="shared" ca="1" si="33"/>
        <v>0</v>
      </c>
      <c r="Q260" s="289">
        <f t="shared" ca="1" si="30"/>
        <v>0</v>
      </c>
      <c r="R260" s="289">
        <f t="shared" ca="1" si="30"/>
        <v>0</v>
      </c>
      <c r="S260" s="289">
        <f t="shared" ca="1" si="30"/>
        <v>0</v>
      </c>
      <c r="T260" s="289">
        <f t="shared" ca="1" si="30"/>
        <v>0</v>
      </c>
      <c r="U260" s="295" t="s">
        <v>6</v>
      </c>
      <c r="V260" s="289">
        <f t="shared" ca="1" si="31"/>
        <v>0</v>
      </c>
      <c r="W260" s="289">
        <f t="shared" ca="1" si="31"/>
        <v>0</v>
      </c>
      <c r="X260" s="289">
        <f t="shared" ca="1" si="31"/>
        <v>0</v>
      </c>
      <c r="Y260" s="289">
        <f t="shared" ca="1" si="31"/>
        <v>0</v>
      </c>
      <c r="Z260" s="292">
        <f t="shared" ca="1" si="31"/>
        <v>0</v>
      </c>
    </row>
    <row r="261" spans="2:26">
      <c r="B261" s="282" t="s">
        <v>119</v>
      </c>
      <c r="C261" s="278">
        <f t="shared" ca="1" si="32"/>
        <v>0</v>
      </c>
      <c r="D261" s="278">
        <f t="shared" ca="1" si="32"/>
        <v>0</v>
      </c>
      <c r="E261" s="278">
        <f t="shared" ca="1" si="32"/>
        <v>0</v>
      </c>
      <c r="F261" s="278">
        <f t="shared" ca="1" si="32"/>
        <v>0</v>
      </c>
      <c r="G261" s="278">
        <f t="shared" ca="1" si="32"/>
        <v>0</v>
      </c>
      <c r="H261" s="278">
        <f t="shared" ca="1" si="32"/>
        <v>0</v>
      </c>
      <c r="I261" s="278">
        <f t="shared" ca="1" si="32"/>
        <v>0</v>
      </c>
      <c r="J261" s="278">
        <f t="shared" ca="1" si="32"/>
        <v>0</v>
      </c>
      <c r="K261" s="278">
        <f t="shared" ca="1" si="32"/>
        <v>0</v>
      </c>
      <c r="L261" s="278">
        <f t="shared" ca="1" si="32"/>
        <v>0</v>
      </c>
      <c r="M261" s="279" t="s">
        <v>6</v>
      </c>
      <c r="O261" s="282" t="s">
        <v>119</v>
      </c>
      <c r="P261" s="289">
        <f t="shared" ca="1" si="33"/>
        <v>0</v>
      </c>
      <c r="Q261" s="289">
        <f t="shared" ca="1" si="30"/>
        <v>0</v>
      </c>
      <c r="R261" s="289">
        <f t="shared" ca="1" si="30"/>
        <v>0</v>
      </c>
      <c r="S261" s="289">
        <f t="shared" ca="1" si="30"/>
        <v>0</v>
      </c>
      <c r="T261" s="289">
        <f t="shared" ca="1" si="30"/>
        <v>0</v>
      </c>
      <c r="U261" s="295" t="s">
        <v>6</v>
      </c>
      <c r="V261" s="289">
        <f t="shared" ca="1" si="31"/>
        <v>0</v>
      </c>
      <c r="W261" s="289">
        <f t="shared" ca="1" si="31"/>
        <v>0</v>
      </c>
      <c r="X261" s="289">
        <f t="shared" ca="1" si="31"/>
        <v>0</v>
      </c>
      <c r="Y261" s="289">
        <f t="shared" ca="1" si="31"/>
        <v>0</v>
      </c>
      <c r="Z261" s="292">
        <f t="shared" ca="1" si="31"/>
        <v>0</v>
      </c>
    </row>
    <row r="262" spans="2:26">
      <c r="B262" s="282" t="s">
        <v>113</v>
      </c>
      <c r="C262" s="278">
        <f t="shared" ca="1" si="32"/>
        <v>0</v>
      </c>
      <c r="D262" s="278">
        <f t="shared" ca="1" si="32"/>
        <v>0</v>
      </c>
      <c r="E262" s="278">
        <f t="shared" ca="1" si="32"/>
        <v>0</v>
      </c>
      <c r="F262" s="278">
        <f t="shared" ca="1" si="32"/>
        <v>0</v>
      </c>
      <c r="G262" s="278">
        <f t="shared" ca="1" si="32"/>
        <v>0</v>
      </c>
      <c r="H262" s="278">
        <f t="shared" ca="1" si="32"/>
        <v>0</v>
      </c>
      <c r="I262" s="278">
        <f t="shared" ca="1" si="32"/>
        <v>0</v>
      </c>
      <c r="J262" s="278">
        <f t="shared" ca="1" si="32"/>
        <v>0</v>
      </c>
      <c r="K262" s="278">
        <f t="shared" ca="1" si="32"/>
        <v>0</v>
      </c>
      <c r="L262" s="278">
        <f t="shared" ca="1" si="32"/>
        <v>0</v>
      </c>
      <c r="M262" s="279" t="s">
        <v>6</v>
      </c>
      <c r="O262" s="282" t="s">
        <v>113</v>
      </c>
      <c r="P262" s="289">
        <f t="shared" ca="1" si="33"/>
        <v>0</v>
      </c>
      <c r="Q262" s="289">
        <f t="shared" ca="1" si="30"/>
        <v>0</v>
      </c>
      <c r="R262" s="289">
        <f t="shared" ca="1" si="30"/>
        <v>0</v>
      </c>
      <c r="S262" s="289">
        <f t="shared" ca="1" si="30"/>
        <v>0</v>
      </c>
      <c r="T262" s="289">
        <f t="shared" ca="1" si="30"/>
        <v>0</v>
      </c>
      <c r="U262" s="295" t="s">
        <v>6</v>
      </c>
      <c r="V262" s="289">
        <f t="shared" ca="1" si="31"/>
        <v>0</v>
      </c>
      <c r="W262" s="289">
        <f t="shared" ca="1" si="31"/>
        <v>0</v>
      </c>
      <c r="X262" s="289">
        <f t="shared" ca="1" si="31"/>
        <v>0</v>
      </c>
      <c r="Y262" s="289">
        <f t="shared" ca="1" si="31"/>
        <v>0</v>
      </c>
      <c r="Z262" s="292">
        <f t="shared" ca="1" si="31"/>
        <v>0</v>
      </c>
    </row>
    <row r="263" spans="2:26">
      <c r="B263" s="282" t="s">
        <v>28</v>
      </c>
      <c r="C263" s="278">
        <f t="shared" ca="1" si="32"/>
        <v>0</v>
      </c>
      <c r="D263" s="278">
        <f t="shared" ca="1" si="32"/>
        <v>0</v>
      </c>
      <c r="E263" s="278">
        <f t="shared" ca="1" si="32"/>
        <v>0</v>
      </c>
      <c r="F263" s="278">
        <f t="shared" ca="1" si="32"/>
        <v>0</v>
      </c>
      <c r="G263" s="278">
        <f t="shared" ca="1" si="32"/>
        <v>0</v>
      </c>
      <c r="H263" s="278">
        <f t="shared" ca="1" si="32"/>
        <v>0</v>
      </c>
      <c r="I263" s="278">
        <f t="shared" ca="1" si="32"/>
        <v>0</v>
      </c>
      <c r="J263" s="278">
        <f t="shared" ca="1" si="32"/>
        <v>0</v>
      </c>
      <c r="K263" s="278">
        <f t="shared" ca="1" si="32"/>
        <v>0</v>
      </c>
      <c r="L263" s="278">
        <f t="shared" ca="1" si="32"/>
        <v>0</v>
      </c>
      <c r="M263" s="279" t="s">
        <v>6</v>
      </c>
      <c r="O263" s="282" t="s">
        <v>28</v>
      </c>
      <c r="P263" s="289">
        <f t="shared" ca="1" si="33"/>
        <v>0</v>
      </c>
      <c r="Q263" s="289">
        <f t="shared" ca="1" si="30"/>
        <v>0</v>
      </c>
      <c r="R263" s="289">
        <f t="shared" ca="1" si="30"/>
        <v>0</v>
      </c>
      <c r="S263" s="289">
        <f t="shared" ca="1" si="30"/>
        <v>0</v>
      </c>
      <c r="T263" s="289">
        <f t="shared" ca="1" si="30"/>
        <v>0</v>
      </c>
      <c r="U263" s="295" t="s">
        <v>6</v>
      </c>
      <c r="V263" s="289">
        <f t="shared" ca="1" si="31"/>
        <v>0</v>
      </c>
      <c r="W263" s="289">
        <f t="shared" ca="1" si="31"/>
        <v>0</v>
      </c>
      <c r="X263" s="289">
        <f t="shared" ca="1" si="31"/>
        <v>0</v>
      </c>
      <c r="Y263" s="289">
        <f t="shared" ca="1" si="31"/>
        <v>0</v>
      </c>
      <c r="Z263" s="292">
        <f t="shared" ca="1" si="31"/>
        <v>0</v>
      </c>
    </row>
    <row r="264" spans="2:26">
      <c r="B264" s="282" t="s">
        <v>26</v>
      </c>
      <c r="C264" s="278">
        <f t="shared" ca="1" si="32"/>
        <v>0</v>
      </c>
      <c r="D264" s="278">
        <f t="shared" ca="1" si="32"/>
        <v>0</v>
      </c>
      <c r="E264" s="278">
        <f t="shared" ca="1" si="32"/>
        <v>0</v>
      </c>
      <c r="F264" s="278">
        <f t="shared" ca="1" si="32"/>
        <v>0</v>
      </c>
      <c r="G264" s="278">
        <f t="shared" ca="1" si="32"/>
        <v>0</v>
      </c>
      <c r="H264" s="278">
        <f t="shared" ca="1" si="32"/>
        <v>0</v>
      </c>
      <c r="I264" s="278">
        <f t="shared" ca="1" si="32"/>
        <v>0</v>
      </c>
      <c r="J264" s="278">
        <f t="shared" ca="1" si="32"/>
        <v>0</v>
      </c>
      <c r="K264" s="278">
        <f t="shared" ca="1" si="32"/>
        <v>0</v>
      </c>
      <c r="L264" s="278">
        <f t="shared" ca="1" si="32"/>
        <v>0</v>
      </c>
      <c r="M264" s="279" t="s">
        <v>6</v>
      </c>
      <c r="O264" s="282" t="s">
        <v>26</v>
      </c>
      <c r="P264" s="289">
        <f t="shared" ca="1" si="33"/>
        <v>0</v>
      </c>
      <c r="Q264" s="289">
        <f t="shared" ca="1" si="30"/>
        <v>0</v>
      </c>
      <c r="R264" s="289">
        <f t="shared" ca="1" si="30"/>
        <v>0</v>
      </c>
      <c r="S264" s="289">
        <f t="shared" ca="1" si="30"/>
        <v>0</v>
      </c>
      <c r="T264" s="289">
        <f t="shared" ca="1" si="30"/>
        <v>0</v>
      </c>
      <c r="U264" s="295" t="s">
        <v>6</v>
      </c>
      <c r="V264" s="289">
        <f t="shared" ca="1" si="31"/>
        <v>0</v>
      </c>
      <c r="W264" s="289">
        <f t="shared" ca="1" si="31"/>
        <v>0</v>
      </c>
      <c r="X264" s="289">
        <f t="shared" ca="1" si="31"/>
        <v>0</v>
      </c>
      <c r="Y264" s="289">
        <f t="shared" ca="1" si="31"/>
        <v>0</v>
      </c>
      <c r="Z264" s="292">
        <f t="shared" ca="1" si="31"/>
        <v>0</v>
      </c>
    </row>
    <row r="265" spans="2:26">
      <c r="B265" s="282" t="s">
        <v>24</v>
      </c>
      <c r="C265" s="278">
        <f t="shared" ca="1" si="32"/>
        <v>0</v>
      </c>
      <c r="D265" s="278">
        <f t="shared" ca="1" si="32"/>
        <v>0</v>
      </c>
      <c r="E265" s="278">
        <f t="shared" ca="1" si="32"/>
        <v>0</v>
      </c>
      <c r="F265" s="278">
        <f t="shared" ca="1" si="32"/>
        <v>0</v>
      </c>
      <c r="G265" s="278">
        <f t="shared" ca="1" si="32"/>
        <v>0</v>
      </c>
      <c r="H265" s="278">
        <f t="shared" ca="1" si="32"/>
        <v>0</v>
      </c>
      <c r="I265" s="278">
        <f t="shared" ca="1" si="32"/>
        <v>0</v>
      </c>
      <c r="J265" s="278">
        <f t="shared" ca="1" si="32"/>
        <v>0</v>
      </c>
      <c r="K265" s="278">
        <f t="shared" ca="1" si="32"/>
        <v>0</v>
      </c>
      <c r="L265" s="278">
        <f t="shared" ca="1" si="32"/>
        <v>0</v>
      </c>
      <c r="M265" s="279" t="s">
        <v>6</v>
      </c>
      <c r="O265" s="282" t="s">
        <v>24</v>
      </c>
      <c r="P265" s="289">
        <f t="shared" ca="1" si="33"/>
        <v>0</v>
      </c>
      <c r="Q265" s="289">
        <f t="shared" ca="1" si="30"/>
        <v>0</v>
      </c>
      <c r="R265" s="289">
        <f t="shared" ca="1" si="30"/>
        <v>0</v>
      </c>
      <c r="S265" s="289">
        <f t="shared" ca="1" si="30"/>
        <v>0</v>
      </c>
      <c r="T265" s="289">
        <f t="shared" ca="1" si="30"/>
        <v>0</v>
      </c>
      <c r="U265" s="295" t="s">
        <v>6</v>
      </c>
      <c r="V265" s="289">
        <f t="shared" ca="1" si="31"/>
        <v>0</v>
      </c>
      <c r="W265" s="289">
        <f t="shared" ca="1" si="31"/>
        <v>0</v>
      </c>
      <c r="X265" s="289">
        <f t="shared" ca="1" si="31"/>
        <v>0</v>
      </c>
      <c r="Y265" s="289">
        <f t="shared" ca="1" si="31"/>
        <v>0</v>
      </c>
      <c r="Z265" s="292">
        <f t="shared" ca="1" si="31"/>
        <v>0</v>
      </c>
    </row>
    <row r="266" spans="2:26">
      <c r="B266" s="282" t="s">
        <v>20</v>
      </c>
      <c r="C266" s="278">
        <f t="shared" ca="1" si="32"/>
        <v>0</v>
      </c>
      <c r="D266" s="278">
        <f t="shared" ca="1" si="32"/>
        <v>0</v>
      </c>
      <c r="E266" s="278">
        <f t="shared" ca="1" si="32"/>
        <v>0</v>
      </c>
      <c r="F266" s="278">
        <f t="shared" ca="1" si="32"/>
        <v>0</v>
      </c>
      <c r="G266" s="278">
        <f t="shared" ca="1" si="32"/>
        <v>0</v>
      </c>
      <c r="H266" s="278">
        <f t="shared" ca="1" si="32"/>
        <v>0</v>
      </c>
      <c r="I266" s="278">
        <f t="shared" ca="1" si="32"/>
        <v>0</v>
      </c>
      <c r="J266" s="278">
        <f t="shared" ca="1" si="32"/>
        <v>0</v>
      </c>
      <c r="K266" s="278">
        <f t="shared" ca="1" si="32"/>
        <v>0</v>
      </c>
      <c r="L266" s="278">
        <f t="shared" ca="1" si="32"/>
        <v>0</v>
      </c>
      <c r="M266" s="279" t="s">
        <v>6</v>
      </c>
      <c r="O266" s="282" t="s">
        <v>20</v>
      </c>
      <c r="P266" s="289">
        <f t="shared" ca="1" si="33"/>
        <v>0</v>
      </c>
      <c r="Q266" s="289">
        <f t="shared" ca="1" si="30"/>
        <v>0</v>
      </c>
      <c r="R266" s="289">
        <f t="shared" ca="1" si="30"/>
        <v>0</v>
      </c>
      <c r="S266" s="289">
        <f t="shared" ca="1" si="30"/>
        <v>0</v>
      </c>
      <c r="T266" s="289">
        <f t="shared" ca="1" si="30"/>
        <v>0</v>
      </c>
      <c r="U266" s="295" t="s">
        <v>6</v>
      </c>
      <c r="V266" s="289">
        <f t="shared" ca="1" si="31"/>
        <v>0</v>
      </c>
      <c r="W266" s="289">
        <f t="shared" ca="1" si="31"/>
        <v>0</v>
      </c>
      <c r="X266" s="289">
        <f t="shared" ca="1" si="31"/>
        <v>0</v>
      </c>
      <c r="Y266" s="289">
        <f t="shared" ca="1" si="31"/>
        <v>0</v>
      </c>
      <c r="Z266" s="292">
        <f t="shared" ca="1" si="31"/>
        <v>0</v>
      </c>
    </row>
    <row r="267" spans="2:26">
      <c r="B267" s="282" t="s">
        <v>18</v>
      </c>
      <c r="C267" s="278">
        <f t="shared" ca="1" si="32"/>
        <v>0</v>
      </c>
      <c r="D267" s="278">
        <f t="shared" ca="1" si="32"/>
        <v>0</v>
      </c>
      <c r="E267" s="278">
        <f t="shared" ca="1" si="32"/>
        <v>0</v>
      </c>
      <c r="F267" s="278">
        <f t="shared" ca="1" si="32"/>
        <v>0</v>
      </c>
      <c r="G267" s="278">
        <f t="shared" ca="1" si="32"/>
        <v>0</v>
      </c>
      <c r="H267" s="278">
        <f t="shared" ca="1" si="32"/>
        <v>0</v>
      </c>
      <c r="I267" s="278">
        <f t="shared" ca="1" si="32"/>
        <v>0</v>
      </c>
      <c r="J267" s="278">
        <f t="shared" ca="1" si="32"/>
        <v>0</v>
      </c>
      <c r="K267" s="278">
        <f t="shared" ca="1" si="32"/>
        <v>0</v>
      </c>
      <c r="L267" s="278">
        <f t="shared" ca="1" si="32"/>
        <v>0</v>
      </c>
      <c r="M267" s="279" t="s">
        <v>6</v>
      </c>
      <c r="O267" s="282" t="s">
        <v>18</v>
      </c>
      <c r="P267" s="289">
        <f t="shared" ca="1" si="33"/>
        <v>0</v>
      </c>
      <c r="Q267" s="289">
        <f t="shared" ca="1" si="30"/>
        <v>0</v>
      </c>
      <c r="R267" s="289">
        <f t="shared" ca="1" si="30"/>
        <v>0</v>
      </c>
      <c r="S267" s="289">
        <f t="shared" ca="1" si="30"/>
        <v>0</v>
      </c>
      <c r="T267" s="289">
        <f t="shared" ca="1" si="30"/>
        <v>0</v>
      </c>
      <c r="U267" s="295" t="s">
        <v>6</v>
      </c>
      <c r="V267" s="289">
        <f t="shared" ca="1" si="31"/>
        <v>0</v>
      </c>
      <c r="W267" s="289">
        <f t="shared" ca="1" si="31"/>
        <v>0</v>
      </c>
      <c r="X267" s="289">
        <f t="shared" ca="1" si="31"/>
        <v>0</v>
      </c>
      <c r="Y267" s="289">
        <f t="shared" ca="1" si="31"/>
        <v>0</v>
      </c>
      <c r="Z267" s="292">
        <f t="shared" ca="1" si="31"/>
        <v>0</v>
      </c>
    </row>
    <row r="268" spans="2:26">
      <c r="B268" s="282" t="s">
        <v>17</v>
      </c>
      <c r="C268" s="278">
        <f t="shared" ca="1" si="32"/>
        <v>0</v>
      </c>
      <c r="D268" s="278">
        <f t="shared" ca="1" si="32"/>
        <v>0</v>
      </c>
      <c r="E268" s="278">
        <f t="shared" ca="1" si="32"/>
        <v>0</v>
      </c>
      <c r="F268" s="278">
        <f t="shared" ca="1" si="32"/>
        <v>0</v>
      </c>
      <c r="G268" s="278">
        <f t="shared" ca="1" si="32"/>
        <v>0</v>
      </c>
      <c r="H268" s="278">
        <f t="shared" ca="1" si="32"/>
        <v>0</v>
      </c>
      <c r="I268" s="278">
        <f t="shared" ca="1" si="32"/>
        <v>0</v>
      </c>
      <c r="J268" s="278">
        <f t="shared" ca="1" si="32"/>
        <v>0</v>
      </c>
      <c r="K268" s="278">
        <f t="shared" ca="1" si="32"/>
        <v>0</v>
      </c>
      <c r="L268" s="278">
        <f t="shared" ca="1" si="32"/>
        <v>0</v>
      </c>
      <c r="M268" s="279" t="s">
        <v>6</v>
      </c>
      <c r="O268" s="282" t="s">
        <v>17</v>
      </c>
      <c r="P268" s="289">
        <f t="shared" ca="1" si="33"/>
        <v>0</v>
      </c>
      <c r="Q268" s="289">
        <f t="shared" ca="1" si="30"/>
        <v>0</v>
      </c>
      <c r="R268" s="289">
        <f t="shared" ca="1" si="30"/>
        <v>0</v>
      </c>
      <c r="S268" s="289">
        <f t="shared" ca="1" si="30"/>
        <v>0</v>
      </c>
      <c r="T268" s="289">
        <f t="shared" ca="1" si="30"/>
        <v>0</v>
      </c>
      <c r="U268" s="295" t="s">
        <v>6</v>
      </c>
      <c r="V268" s="289">
        <f t="shared" ca="1" si="31"/>
        <v>0</v>
      </c>
      <c r="W268" s="289">
        <f t="shared" ca="1" si="31"/>
        <v>0</v>
      </c>
      <c r="X268" s="289">
        <f t="shared" ca="1" si="31"/>
        <v>0</v>
      </c>
      <c r="Y268" s="289">
        <f t="shared" ca="1" si="31"/>
        <v>0</v>
      </c>
      <c r="Z268" s="292">
        <f t="shared" ca="1" si="31"/>
        <v>0</v>
      </c>
    </row>
    <row r="269" spans="2:26">
      <c r="B269" s="282" t="s">
        <v>15</v>
      </c>
      <c r="C269" s="278">
        <f t="shared" ca="1" si="32"/>
        <v>0</v>
      </c>
      <c r="D269" s="278">
        <f t="shared" ca="1" si="32"/>
        <v>0</v>
      </c>
      <c r="E269" s="278">
        <f t="shared" ca="1" si="32"/>
        <v>0</v>
      </c>
      <c r="F269" s="278">
        <f t="shared" ca="1" si="32"/>
        <v>0</v>
      </c>
      <c r="G269" s="278">
        <f t="shared" ca="1" si="32"/>
        <v>0</v>
      </c>
      <c r="H269" s="278">
        <f t="shared" ca="1" si="32"/>
        <v>0</v>
      </c>
      <c r="I269" s="278">
        <f t="shared" ca="1" si="32"/>
        <v>0</v>
      </c>
      <c r="J269" s="278">
        <f t="shared" ca="1" si="32"/>
        <v>0</v>
      </c>
      <c r="K269" s="278">
        <f t="shared" ca="1" si="32"/>
        <v>0</v>
      </c>
      <c r="L269" s="278">
        <f t="shared" ca="1" si="32"/>
        <v>0</v>
      </c>
      <c r="M269" s="279" t="s">
        <v>6</v>
      </c>
      <c r="O269" s="282" t="s">
        <v>15</v>
      </c>
      <c r="P269" s="289">
        <f t="shared" ca="1" si="33"/>
        <v>0</v>
      </c>
      <c r="Q269" s="289">
        <f t="shared" ca="1" si="30"/>
        <v>0</v>
      </c>
      <c r="R269" s="289">
        <f t="shared" ca="1" si="30"/>
        <v>0</v>
      </c>
      <c r="S269" s="289">
        <f t="shared" ca="1" si="30"/>
        <v>0</v>
      </c>
      <c r="T269" s="289">
        <f t="shared" ca="1" si="30"/>
        <v>0</v>
      </c>
      <c r="U269" s="295" t="s">
        <v>6</v>
      </c>
      <c r="V269" s="289">
        <f t="shared" ca="1" si="31"/>
        <v>0</v>
      </c>
      <c r="W269" s="289">
        <f t="shared" ca="1" si="31"/>
        <v>0</v>
      </c>
      <c r="X269" s="289">
        <f t="shared" ca="1" si="31"/>
        <v>0</v>
      </c>
      <c r="Y269" s="289">
        <f t="shared" ca="1" si="31"/>
        <v>0</v>
      </c>
      <c r="Z269" s="292">
        <f t="shared" ca="1" si="31"/>
        <v>0</v>
      </c>
    </row>
    <row r="270" spans="2:26">
      <c r="B270" s="282" t="s">
        <v>14</v>
      </c>
      <c r="C270" s="278">
        <f t="shared" ca="1" si="32"/>
        <v>0</v>
      </c>
      <c r="D270" s="278">
        <f t="shared" ca="1" si="32"/>
        <v>0</v>
      </c>
      <c r="E270" s="278">
        <f t="shared" ca="1" si="32"/>
        <v>0</v>
      </c>
      <c r="F270" s="278">
        <f t="shared" ca="1" si="32"/>
        <v>0</v>
      </c>
      <c r="G270" s="278">
        <f t="shared" ca="1" si="32"/>
        <v>0</v>
      </c>
      <c r="H270" s="278">
        <f t="shared" ca="1" si="32"/>
        <v>0</v>
      </c>
      <c r="I270" s="278">
        <f t="shared" ca="1" si="32"/>
        <v>0</v>
      </c>
      <c r="J270" s="278">
        <f t="shared" ca="1" si="32"/>
        <v>0</v>
      </c>
      <c r="K270" s="278">
        <f t="shared" ca="1" si="32"/>
        <v>0</v>
      </c>
      <c r="L270" s="278">
        <f t="shared" ca="1" si="32"/>
        <v>0</v>
      </c>
      <c r="M270" s="279" t="s">
        <v>6</v>
      </c>
      <c r="O270" s="282" t="s">
        <v>14</v>
      </c>
      <c r="P270" s="295" t="s">
        <v>6</v>
      </c>
      <c r="Q270" s="295" t="s">
        <v>6</v>
      </c>
      <c r="R270" s="295" t="s">
        <v>6</v>
      </c>
      <c r="S270" s="295" t="s">
        <v>6</v>
      </c>
      <c r="T270" s="295" t="s">
        <v>6</v>
      </c>
      <c r="U270" s="295" t="s">
        <v>6</v>
      </c>
      <c r="V270" s="295" t="s">
        <v>6</v>
      </c>
      <c r="W270" s="295" t="s">
        <v>6</v>
      </c>
      <c r="X270" s="295" t="s">
        <v>6</v>
      </c>
      <c r="Y270" s="295" t="s">
        <v>6</v>
      </c>
      <c r="Z270" s="291" t="s">
        <v>6</v>
      </c>
    </row>
    <row r="271" spans="2:26">
      <c r="B271" s="282"/>
      <c r="C271" s="278"/>
      <c r="D271" s="278"/>
      <c r="E271" s="278"/>
      <c r="F271" s="278"/>
      <c r="G271" s="278"/>
      <c r="H271" s="278"/>
      <c r="I271" s="278"/>
      <c r="J271" s="278"/>
      <c r="K271" s="278"/>
      <c r="L271" s="278"/>
      <c r="M271" s="279"/>
      <c r="O271" s="282"/>
      <c r="P271" s="289"/>
      <c r="Q271" s="289"/>
      <c r="R271" s="289"/>
      <c r="S271" s="289"/>
      <c r="T271" s="289"/>
      <c r="U271" s="295"/>
      <c r="V271" s="289"/>
      <c r="W271" s="289"/>
      <c r="X271" s="289"/>
      <c r="Y271" s="289"/>
      <c r="Z271" s="292"/>
    </row>
    <row r="272" spans="2:26">
      <c r="B272" s="282"/>
      <c r="C272" s="278"/>
      <c r="D272" s="278"/>
      <c r="E272" s="278"/>
      <c r="F272" s="278"/>
      <c r="G272" s="278"/>
      <c r="H272" s="278"/>
      <c r="I272" s="278"/>
      <c r="J272" s="278"/>
      <c r="K272" s="278"/>
      <c r="L272" s="278"/>
      <c r="M272" s="279"/>
      <c r="O272" s="282"/>
      <c r="P272" s="289"/>
      <c r="Q272" s="289"/>
      <c r="R272" s="289"/>
      <c r="S272" s="289"/>
      <c r="T272" s="289"/>
      <c r="U272" s="295"/>
      <c r="V272" s="289"/>
      <c r="W272" s="289"/>
      <c r="X272" s="289"/>
      <c r="Y272" s="289"/>
      <c r="Z272" s="292"/>
    </row>
    <row r="273" spans="1:26">
      <c r="B273" s="283"/>
      <c r="C273" s="280"/>
      <c r="D273" s="280"/>
      <c r="E273" s="280"/>
      <c r="F273" s="280"/>
      <c r="G273" s="280"/>
      <c r="H273" s="280"/>
      <c r="I273" s="280"/>
      <c r="J273" s="280"/>
      <c r="K273" s="280"/>
      <c r="L273" s="280"/>
      <c r="M273" s="281"/>
      <c r="O273" s="283"/>
      <c r="P273" s="293"/>
      <c r="Q273" s="293"/>
      <c r="R273" s="293"/>
      <c r="S273" s="293"/>
      <c r="T273" s="293"/>
      <c r="U273" s="296"/>
      <c r="V273" s="293"/>
      <c r="W273" s="293"/>
      <c r="X273" s="293"/>
      <c r="Y273" s="293"/>
      <c r="Z273" s="294"/>
    </row>
    <row r="276" spans="1:26">
      <c r="A276" s="224" t="s">
        <v>497</v>
      </c>
      <c r="B276" s="290" t="s">
        <v>495</v>
      </c>
      <c r="C276" s="284"/>
      <c r="G276" s="290" t="s">
        <v>495</v>
      </c>
    </row>
    <row r="277" spans="1:26">
      <c r="B277" s="284" t="s">
        <v>498</v>
      </c>
      <c r="C277" s="284"/>
      <c r="G277" s="284" t="s">
        <v>499</v>
      </c>
    </row>
    <row r="278" spans="1:26">
      <c r="B278" s="258" t="s">
        <v>474</v>
      </c>
      <c r="C278" s="286">
        <f ca="1">SUM(C304:L322)</f>
        <v>0</v>
      </c>
      <c r="G278" s="258" t="s">
        <v>474</v>
      </c>
      <c r="H278" s="286">
        <f ca="1">SUM(P304:Z322)</f>
        <v>0</v>
      </c>
    </row>
    <row r="280" spans="1:26">
      <c r="B280" s="258" t="s">
        <v>479</v>
      </c>
      <c r="C280" s="258"/>
    </row>
    <row r="281" spans="1:26">
      <c r="B281" s="254" t="s">
        <v>468</v>
      </c>
      <c r="C281" s="287">
        <v>500</v>
      </c>
      <c r="D281" s="287">
        <v>400</v>
      </c>
      <c r="E281" s="287">
        <v>300</v>
      </c>
      <c r="F281" s="287">
        <v>200</v>
      </c>
      <c r="G281" s="287">
        <v>100</v>
      </c>
      <c r="H281" s="287">
        <v>0</v>
      </c>
      <c r="I281" s="287">
        <v>-100</v>
      </c>
      <c r="J281" s="287">
        <v>-200</v>
      </c>
      <c r="K281" s="287">
        <v>-300</v>
      </c>
      <c r="L281" s="287">
        <v>-400</v>
      </c>
      <c r="M281" s="288">
        <v>-500</v>
      </c>
    </row>
    <row r="282" spans="1:26">
      <c r="B282" s="282" t="s">
        <v>42</v>
      </c>
      <c r="C282" s="278">
        <f ca="1">'GBP Swap PVs'!N77</f>
        <v>-98985.127372311268</v>
      </c>
      <c r="D282" s="278">
        <f ca="1">'GBP Swap PVs'!O77</f>
        <v>-79188.101897849032</v>
      </c>
      <c r="E282" s="278">
        <f ca="1">'GBP Swap PVs'!P77</f>
        <v>-59391.076423386767</v>
      </c>
      <c r="F282" s="278">
        <f ca="1">'GBP Swap PVs'!Q77</f>
        <v>-39594.050948924509</v>
      </c>
      <c r="G282" s="278">
        <f ca="1">'GBP Swap PVs'!R77</f>
        <v>-19797.025474462258</v>
      </c>
      <c r="H282" s="278">
        <f ca="1">'GBP Swap PVs'!S77</f>
        <v>0</v>
      </c>
      <c r="I282" s="278">
        <f ca="1">'GBP Swap PVs'!T77</f>
        <v>19797.025474462251</v>
      </c>
      <c r="J282" s="278">
        <f ca="1">'GBP Swap PVs'!U77</f>
        <v>39594.050948924501</v>
      </c>
      <c r="K282" s="278">
        <f ca="1">'GBP Swap PVs'!V77</f>
        <v>59391.076423386767</v>
      </c>
      <c r="L282" s="278">
        <f ca="1">'GBP Swap PVs'!W77</f>
        <v>79188.101897849003</v>
      </c>
      <c r="M282" s="279">
        <f ca="1">'GBP Swap PVs'!X77</f>
        <v>98985.127372311268</v>
      </c>
    </row>
    <row r="283" spans="1:26">
      <c r="B283" s="282" t="s">
        <v>39</v>
      </c>
      <c r="C283" s="278">
        <f ca="1">'GBP Swap PVs'!N78</f>
        <v>-147592.05976994699</v>
      </c>
      <c r="D283" s="278">
        <f ca="1">'GBP Swap PVs'!O78</f>
        <v>-118073.64781595759</v>
      </c>
      <c r="E283" s="278">
        <f ca="1">'GBP Swap PVs'!P78</f>
        <v>-88555.235861968191</v>
      </c>
      <c r="F283" s="278">
        <f ca="1">'GBP Swap PVs'!Q78</f>
        <v>-59036.823907978789</v>
      </c>
      <c r="G283" s="278">
        <f ca="1">'GBP Swap PVs'!R78</f>
        <v>-29518.411953989395</v>
      </c>
      <c r="H283" s="278">
        <f ca="1">'GBP Swap PVs'!S78</f>
        <v>0</v>
      </c>
      <c r="I283" s="278">
        <f ca="1">'GBP Swap PVs'!T78</f>
        <v>29518.411953989387</v>
      </c>
      <c r="J283" s="278">
        <f ca="1">'GBP Swap PVs'!U78</f>
        <v>59036.823907978782</v>
      </c>
      <c r="K283" s="278">
        <f ca="1">'GBP Swap PVs'!V78</f>
        <v>88555.235861968191</v>
      </c>
      <c r="L283" s="278">
        <f ca="1">'GBP Swap PVs'!W78</f>
        <v>118073.64781595756</v>
      </c>
      <c r="M283" s="279">
        <f ca="1">'GBP Swap PVs'!X78</f>
        <v>147592.05976994697</v>
      </c>
    </row>
    <row r="284" spans="1:26">
      <c r="B284" s="282" t="s">
        <v>35</v>
      </c>
      <c r="C284" s="278">
        <f ca="1">'GBP Swap PVs'!N79</f>
        <v>-195575.44632915634</v>
      </c>
      <c r="D284" s="278">
        <f ca="1">'GBP Swap PVs'!O79</f>
        <v>-156460.35706332506</v>
      </c>
      <c r="E284" s="278">
        <f ca="1">'GBP Swap PVs'!P79</f>
        <v>-117345.26779749381</v>
      </c>
      <c r="F284" s="278">
        <f ca="1">'GBP Swap PVs'!Q79</f>
        <v>-78230.178531662546</v>
      </c>
      <c r="G284" s="278">
        <f ca="1">'GBP Swap PVs'!R79</f>
        <v>-39115.08926583128</v>
      </c>
      <c r="H284" s="278">
        <f ca="1">'GBP Swap PVs'!S79</f>
        <v>0</v>
      </c>
      <c r="I284" s="278">
        <f ca="1">'GBP Swap PVs'!T79</f>
        <v>39115.089265831251</v>
      </c>
      <c r="J284" s="278">
        <f ca="1">'GBP Swap PVs'!U79</f>
        <v>78230.178531662532</v>
      </c>
      <c r="K284" s="278">
        <f ca="1">'GBP Swap PVs'!V79</f>
        <v>117345.2677974938</v>
      </c>
      <c r="L284" s="278">
        <f ca="1">'GBP Swap PVs'!W79</f>
        <v>156460.35706332506</v>
      </c>
      <c r="M284" s="279">
        <f ca="1">'GBP Swap PVs'!X79</f>
        <v>195575.44632915634</v>
      </c>
    </row>
    <row r="285" spans="1:26">
      <c r="B285" s="282" t="s">
        <v>33</v>
      </c>
      <c r="C285" s="278">
        <f ca="1">'GBP Swap PVs'!N80</f>
        <v>-242183.82059898091</v>
      </c>
      <c r="D285" s="278">
        <f ca="1">'GBP Swap PVs'!O80</f>
        <v>-193747.05647918477</v>
      </c>
      <c r="E285" s="278">
        <f ca="1">'GBP Swap PVs'!P80</f>
        <v>-145310.29235938855</v>
      </c>
      <c r="F285" s="278">
        <f ca="1">'GBP Swap PVs'!Q80</f>
        <v>-96873.528239592386</v>
      </c>
      <c r="G285" s="278">
        <f ca="1">'GBP Swap PVs'!R80</f>
        <v>-48436.764119796193</v>
      </c>
      <c r="H285" s="278">
        <f ca="1">'GBP Swap PVs'!S80</f>
        <v>0</v>
      </c>
      <c r="I285" s="278">
        <f ca="1">'GBP Swap PVs'!T80</f>
        <v>48436.764119796171</v>
      </c>
      <c r="J285" s="278">
        <f ca="1">'GBP Swap PVs'!U80</f>
        <v>96873.528239592357</v>
      </c>
      <c r="K285" s="278">
        <f ca="1">'GBP Swap PVs'!V80</f>
        <v>145310.29235938858</v>
      </c>
      <c r="L285" s="278">
        <f ca="1">'GBP Swap PVs'!W80</f>
        <v>193747.05647918471</v>
      </c>
      <c r="M285" s="279">
        <f ca="1">'GBP Swap PVs'!X80</f>
        <v>242183.82059898094</v>
      </c>
    </row>
    <row r="286" spans="1:26">
      <c r="B286" s="282" t="s">
        <v>131</v>
      </c>
      <c r="C286" s="278">
        <f ca="1">'GBP Swap PVs'!N81</f>
        <v>-287881.48220303049</v>
      </c>
      <c r="D286" s="278">
        <f ca="1">'GBP Swap PVs'!O81</f>
        <v>-230305.18576242443</v>
      </c>
      <c r="E286" s="278">
        <f ca="1">'GBP Swap PVs'!P81</f>
        <v>-172728.88932181834</v>
      </c>
      <c r="F286" s="278">
        <f ca="1">'GBP Swap PVs'!Q81</f>
        <v>-115152.59288121224</v>
      </c>
      <c r="G286" s="278">
        <f ca="1">'GBP Swap PVs'!R81</f>
        <v>-57576.296440606107</v>
      </c>
      <c r="H286" s="278">
        <f ca="1">'GBP Swap PVs'!S81</f>
        <v>0</v>
      </c>
      <c r="I286" s="278">
        <f ca="1">'GBP Swap PVs'!T81</f>
        <v>57576.296440606078</v>
      </c>
      <c r="J286" s="278">
        <f ca="1">'GBP Swap PVs'!U81</f>
        <v>115152.59288121219</v>
      </c>
      <c r="K286" s="278">
        <f ca="1">'GBP Swap PVs'!V81</f>
        <v>172728.88932181828</v>
      </c>
      <c r="L286" s="278">
        <f ca="1">'GBP Swap PVs'!W81</f>
        <v>230305.18576242437</v>
      </c>
      <c r="M286" s="279">
        <f ca="1">'GBP Swap PVs'!X81</f>
        <v>287881.48220303055</v>
      </c>
    </row>
    <row r="287" spans="1:26">
      <c r="B287" s="282" t="s">
        <v>31</v>
      </c>
      <c r="C287" s="278">
        <f ca="1">'GBP Swap PVs'!N82</f>
        <v>-332503.98096674302</v>
      </c>
      <c r="D287" s="278">
        <f ca="1">'GBP Swap PVs'!O82</f>
        <v>-266003.18477339449</v>
      </c>
      <c r="E287" s="278">
        <f ca="1">'GBP Swap PVs'!P82</f>
        <v>-199502.3885800459</v>
      </c>
      <c r="F287" s="278">
        <f ca="1">'GBP Swap PVs'!Q82</f>
        <v>-133001.59238669727</v>
      </c>
      <c r="G287" s="278">
        <f ca="1">'GBP Swap PVs'!R82</f>
        <v>-66500.796193348622</v>
      </c>
      <c r="H287" s="278">
        <f ca="1">'GBP Swap PVs'!S82</f>
        <v>0</v>
      </c>
      <c r="I287" s="278">
        <f ca="1">'GBP Swap PVs'!T82</f>
        <v>66500.796193348593</v>
      </c>
      <c r="J287" s="278">
        <f ca="1">'GBP Swap PVs'!U82</f>
        <v>133001.59238669724</v>
      </c>
      <c r="K287" s="278">
        <f ca="1">'GBP Swap PVs'!V82</f>
        <v>199502.38858004584</v>
      </c>
      <c r="L287" s="278">
        <f ca="1">'GBP Swap PVs'!W82</f>
        <v>266003.18477339449</v>
      </c>
      <c r="M287" s="279">
        <f ca="1">'GBP Swap PVs'!X82</f>
        <v>332503.98096674308</v>
      </c>
    </row>
    <row r="288" spans="1:26">
      <c r="B288" s="282" t="s">
        <v>119</v>
      </c>
      <c r="C288" s="278">
        <f ca="1">'GBP Swap PVs'!N83</f>
        <v>-376035.413937465</v>
      </c>
      <c r="D288" s="278">
        <f ca="1">'GBP Swap PVs'!O83</f>
        <v>-300828.33114997199</v>
      </c>
      <c r="E288" s="278">
        <f ca="1">'GBP Swap PVs'!P83</f>
        <v>-225621.24836247903</v>
      </c>
      <c r="F288" s="278">
        <f ca="1">'GBP Swap PVs'!Q83</f>
        <v>-150414.16557498605</v>
      </c>
      <c r="G288" s="278">
        <f ca="1">'GBP Swap PVs'!R83</f>
        <v>-75207.082787492996</v>
      </c>
      <c r="H288" s="278">
        <f ca="1">'GBP Swap PVs'!S83</f>
        <v>0</v>
      </c>
      <c r="I288" s="278">
        <f ca="1">'GBP Swap PVs'!T83</f>
        <v>75207.082787492996</v>
      </c>
      <c r="J288" s="278">
        <f ca="1">'GBP Swap PVs'!U83</f>
        <v>150414.16557498602</v>
      </c>
      <c r="K288" s="278">
        <f ca="1">'GBP Swap PVs'!V83</f>
        <v>225621.24836247903</v>
      </c>
      <c r="L288" s="278">
        <f ca="1">'GBP Swap PVs'!W83</f>
        <v>300828.33114997199</v>
      </c>
      <c r="M288" s="279">
        <f ca="1">'GBP Swap PVs'!X83</f>
        <v>376035.41393746511</v>
      </c>
    </row>
    <row r="289" spans="2:26">
      <c r="B289" s="282" t="s">
        <v>113</v>
      </c>
      <c r="C289" s="278">
        <f ca="1">'GBP Swap PVs'!N84</f>
        <v>-418823.01881965064</v>
      </c>
      <c r="D289" s="278">
        <f ca="1">'GBP Swap PVs'!O84</f>
        <v>-335058.41505572048</v>
      </c>
      <c r="E289" s="278">
        <f ca="1">'GBP Swap PVs'!P84</f>
        <v>-251293.81129179039</v>
      </c>
      <c r="F289" s="278">
        <f ca="1">'GBP Swap PVs'!Q84</f>
        <v>-167529.20752786033</v>
      </c>
      <c r="G289" s="278">
        <f ca="1">'GBP Swap PVs'!R84</f>
        <v>-83764.603763930136</v>
      </c>
      <c r="H289" s="278">
        <f ca="1">'GBP Swap PVs'!S84</f>
        <v>0</v>
      </c>
      <c r="I289" s="278">
        <f ca="1">'GBP Swap PVs'!T84</f>
        <v>83764.603763930107</v>
      </c>
      <c r="J289" s="278">
        <f ca="1">'GBP Swap PVs'!U84</f>
        <v>167529.20752786024</v>
      </c>
      <c r="K289" s="278">
        <f ca="1">'GBP Swap PVs'!V84</f>
        <v>251293.81129179039</v>
      </c>
      <c r="L289" s="278">
        <f ca="1">'GBP Swap PVs'!W84</f>
        <v>335058.41505572048</v>
      </c>
      <c r="M289" s="279">
        <f ca="1">'GBP Swap PVs'!X84</f>
        <v>418823.01881965069</v>
      </c>
    </row>
    <row r="290" spans="2:26">
      <c r="B290" s="282" t="s">
        <v>28</v>
      </c>
      <c r="C290" s="278">
        <f ca="1">'GBP Swap PVs'!N85</f>
        <v>-460063.14960164647</v>
      </c>
      <c r="D290" s="278">
        <f ca="1">'GBP Swap PVs'!O85</f>
        <v>-368050.51968131715</v>
      </c>
      <c r="E290" s="278">
        <f ca="1">'GBP Swap PVs'!P85</f>
        <v>-276037.88976098789</v>
      </c>
      <c r="F290" s="278">
        <f ca="1">'GBP Swap PVs'!Q85</f>
        <v>-184025.25984065866</v>
      </c>
      <c r="G290" s="278">
        <f ca="1">'GBP Swap PVs'!R85</f>
        <v>-92012.629920329273</v>
      </c>
      <c r="H290" s="278">
        <f ca="1">'GBP Swap PVs'!S85</f>
        <v>0</v>
      </c>
      <c r="I290" s="278">
        <f ca="1">'GBP Swap PVs'!T85</f>
        <v>92012.629920329302</v>
      </c>
      <c r="J290" s="278">
        <f ca="1">'GBP Swap PVs'!U85</f>
        <v>184025.2598406586</v>
      </c>
      <c r="K290" s="278">
        <f ca="1">'GBP Swap PVs'!V85</f>
        <v>276037.88976098789</v>
      </c>
      <c r="L290" s="278">
        <f ca="1">'GBP Swap PVs'!W85</f>
        <v>368050.51968131721</v>
      </c>
      <c r="M290" s="279">
        <f ca="1">'GBP Swap PVs'!X85</f>
        <v>460063.14960164658</v>
      </c>
    </row>
    <row r="291" spans="2:26">
      <c r="B291" s="282" t="s">
        <v>26</v>
      </c>
      <c r="C291" s="278">
        <f ca="1">'GBP Swap PVs'!N86</f>
        <v>-539399.29946624534</v>
      </c>
      <c r="D291" s="278">
        <f ca="1">'GBP Swap PVs'!O86</f>
        <v>-431519.43957299629</v>
      </c>
      <c r="E291" s="278">
        <f ca="1">'GBP Swap PVs'!P86</f>
        <v>-323639.57967974729</v>
      </c>
      <c r="F291" s="278">
        <f ca="1">'GBP Swap PVs'!Q86</f>
        <v>-215759.71978649823</v>
      </c>
      <c r="G291" s="278">
        <f ca="1">'GBP Swap PVs'!R86</f>
        <v>-107879.85989324906</v>
      </c>
      <c r="H291" s="278">
        <f ca="1">'GBP Swap PVs'!S86</f>
        <v>0</v>
      </c>
      <c r="I291" s="278">
        <f ca="1">'GBP Swap PVs'!T86</f>
        <v>107879.85989324911</v>
      </c>
      <c r="J291" s="278">
        <f ca="1">'GBP Swap PVs'!U86</f>
        <v>215759.71978649823</v>
      </c>
      <c r="K291" s="278">
        <f ca="1">'GBP Swap PVs'!V86</f>
        <v>323639.57967974734</v>
      </c>
      <c r="L291" s="278">
        <f ca="1">'GBP Swap PVs'!W86</f>
        <v>431519.4395729964</v>
      </c>
      <c r="M291" s="279">
        <f ca="1">'GBP Swap PVs'!X86</f>
        <v>539399.29946624557</v>
      </c>
    </row>
    <row r="292" spans="2:26">
      <c r="B292" s="282" t="s">
        <v>24</v>
      </c>
      <c r="C292" s="278">
        <f ca="1">'GBP Swap PVs'!N87</f>
        <v>-650948.40440974885</v>
      </c>
      <c r="D292" s="278">
        <f ca="1">'GBP Swap PVs'!O87</f>
        <v>-520758.72352779895</v>
      </c>
      <c r="E292" s="278">
        <f ca="1">'GBP Swap PVs'!P87</f>
        <v>-390569.04264584935</v>
      </c>
      <c r="F292" s="278">
        <f ca="1">'GBP Swap PVs'!Q87</f>
        <v>-260379.36176389965</v>
      </c>
      <c r="G292" s="278">
        <f ca="1">'GBP Swap PVs'!R87</f>
        <v>-130189.68088194971</v>
      </c>
      <c r="H292" s="278">
        <f ca="1">'GBP Swap PVs'!S87</f>
        <v>0</v>
      </c>
      <c r="I292" s="278">
        <f ca="1">'GBP Swap PVs'!T87</f>
        <v>130189.6808819498</v>
      </c>
      <c r="J292" s="278">
        <f ca="1">'GBP Swap PVs'!U87</f>
        <v>260379.36176389959</v>
      </c>
      <c r="K292" s="278">
        <f ca="1">'GBP Swap PVs'!V87</f>
        <v>390569.0426458494</v>
      </c>
      <c r="L292" s="278">
        <f ca="1">'GBP Swap PVs'!W87</f>
        <v>520758.72352779919</v>
      </c>
      <c r="M292" s="279">
        <f ca="1">'GBP Swap PVs'!X87</f>
        <v>650948.40440974897</v>
      </c>
    </row>
    <row r="293" spans="2:26">
      <c r="B293" s="282" t="s">
        <v>20</v>
      </c>
      <c r="C293" s="278">
        <f ca="1">'GBP Swap PVs'!N88</f>
        <v>-817421.3529675263</v>
      </c>
      <c r="D293" s="278">
        <f ca="1">'GBP Swap PVs'!O88</f>
        <v>-653937.08237402071</v>
      </c>
      <c r="E293" s="278">
        <f ca="1">'GBP Swap PVs'!P88</f>
        <v>-490452.81178051559</v>
      </c>
      <c r="F293" s="278">
        <f ca="1">'GBP Swap PVs'!Q88</f>
        <v>-326968.54118701047</v>
      </c>
      <c r="G293" s="278">
        <f ca="1">'GBP Swap PVs'!R88</f>
        <v>-163484.270593505</v>
      </c>
      <c r="H293" s="278">
        <f ca="1">'GBP Swap PVs'!S88</f>
        <v>0</v>
      </c>
      <c r="I293" s="278">
        <f ca="1">'GBP Swap PVs'!T88</f>
        <v>163484.27059350524</v>
      </c>
      <c r="J293" s="278">
        <f ca="1">'GBP Swap PVs'!U88</f>
        <v>326968.54118701047</v>
      </c>
      <c r="K293" s="278">
        <f ca="1">'GBP Swap PVs'!V88</f>
        <v>490452.81178051577</v>
      </c>
      <c r="L293" s="278">
        <f ca="1">'GBP Swap PVs'!W88</f>
        <v>653937.08237402095</v>
      </c>
      <c r="M293" s="279">
        <f ca="1">'GBP Swap PVs'!X88</f>
        <v>817421.35296752618</v>
      </c>
    </row>
    <row r="294" spans="2:26">
      <c r="B294" s="282" t="s">
        <v>18</v>
      </c>
      <c r="C294" s="278">
        <f ca="1">'GBP Swap PVs'!N89</f>
        <v>-964673.16142758692</v>
      </c>
      <c r="D294" s="278">
        <f ca="1">'GBP Swap PVs'!O89</f>
        <v>-771738.52914206928</v>
      </c>
      <c r="E294" s="278">
        <f ca="1">'GBP Swap PVs'!P89</f>
        <v>-578803.89685655187</v>
      </c>
      <c r="F294" s="278">
        <f ca="1">'GBP Swap PVs'!Q89</f>
        <v>-385869.26457103476</v>
      </c>
      <c r="G294" s="278">
        <f ca="1">'GBP Swap PVs'!R89</f>
        <v>-192934.6322855172</v>
      </c>
      <c r="H294" s="278">
        <f ca="1">'GBP Swap PVs'!S89</f>
        <v>0</v>
      </c>
      <c r="I294" s="278">
        <f ca="1">'GBP Swap PVs'!T89</f>
        <v>192934.63228551755</v>
      </c>
      <c r="J294" s="278">
        <f ca="1">'GBP Swap PVs'!U89</f>
        <v>385869.26457103487</v>
      </c>
      <c r="K294" s="278">
        <f ca="1">'GBP Swap PVs'!V89</f>
        <v>578803.89685655234</v>
      </c>
      <c r="L294" s="278">
        <f ca="1">'GBP Swap PVs'!W89</f>
        <v>771738.52914206975</v>
      </c>
      <c r="M294" s="279">
        <f ca="1">'GBP Swap PVs'!X89</f>
        <v>964673.16142758715</v>
      </c>
    </row>
    <row r="295" spans="2:26">
      <c r="B295" s="282" t="s">
        <v>17</v>
      </c>
      <c r="C295" s="278">
        <f ca="1">'GBP Swap PVs'!N90</f>
        <v>-1095602.2603170215</v>
      </c>
      <c r="D295" s="278">
        <f ca="1">'GBP Swap PVs'!O90</f>
        <v>-876481.80825361726</v>
      </c>
      <c r="E295" s="278">
        <f ca="1">'GBP Swap PVs'!P90</f>
        <v>-657361.3561902123</v>
      </c>
      <c r="F295" s="278">
        <f ca="1">'GBP Swap PVs'!Q90</f>
        <v>-438240.90412680863</v>
      </c>
      <c r="G295" s="278">
        <f ca="1">'GBP Swap PVs'!R90</f>
        <v>-219120.45206340414</v>
      </c>
      <c r="H295" s="278">
        <f ca="1">'GBP Swap PVs'!S90</f>
        <v>0</v>
      </c>
      <c r="I295" s="278">
        <f ca="1">'GBP Swap PVs'!T90</f>
        <v>219120.45206340446</v>
      </c>
      <c r="J295" s="278">
        <f ca="1">'GBP Swap PVs'!U90</f>
        <v>438240.90412680875</v>
      </c>
      <c r="K295" s="278">
        <f ca="1">'GBP Swap PVs'!V90</f>
        <v>657361.35619021324</v>
      </c>
      <c r="L295" s="278">
        <f ca="1">'GBP Swap PVs'!W90</f>
        <v>876481.80825361749</v>
      </c>
      <c r="M295" s="279">
        <f ca="1">'GBP Swap PVs'!X90</f>
        <v>1095602.260317022</v>
      </c>
    </row>
    <row r="296" spans="2:26">
      <c r="B296" s="282" t="s">
        <v>15</v>
      </c>
      <c r="C296" s="278">
        <f ca="1">'GBP Swap PVs'!N91</f>
        <v>-1317901.5977899595</v>
      </c>
      <c r="D296" s="278">
        <f ca="1">'GBP Swap PVs'!O91</f>
        <v>-1054321.2782319679</v>
      </c>
      <c r="E296" s="278">
        <f ca="1">'GBP Swap PVs'!P91</f>
        <v>-790740.95867397531</v>
      </c>
      <c r="F296" s="278">
        <f ca="1">'GBP Swap PVs'!Q91</f>
        <v>-527160.63911598397</v>
      </c>
      <c r="G296" s="278">
        <f ca="1">'GBP Swap PVs'!R91</f>
        <v>-263580.31955799175</v>
      </c>
      <c r="H296" s="278">
        <f ca="1">'GBP Swap PVs'!S91</f>
        <v>0</v>
      </c>
      <c r="I296" s="278">
        <f ca="1">'GBP Swap PVs'!T91</f>
        <v>263580.31955799233</v>
      </c>
      <c r="J296" s="278">
        <f ca="1">'GBP Swap PVs'!U91</f>
        <v>527160.63911598432</v>
      </c>
      <c r="K296" s="278">
        <f ca="1">'GBP Swap PVs'!V91</f>
        <v>790740.95867397648</v>
      </c>
      <c r="L296" s="278">
        <f ca="1">'GBP Swap PVs'!W91</f>
        <v>1054321.2782319684</v>
      </c>
      <c r="M296" s="279">
        <f ca="1">'GBP Swap PVs'!X91</f>
        <v>1317901.5977899607</v>
      </c>
    </row>
    <row r="297" spans="2:26">
      <c r="B297" s="282" t="s">
        <v>14</v>
      </c>
      <c r="C297" s="278">
        <f ca="1">'GBP Swap PVs'!N92</f>
        <v>-1498349.9245906642</v>
      </c>
      <c r="D297" s="278">
        <f ca="1">'GBP Swap PVs'!O92</f>
        <v>-1198679.9396725316</v>
      </c>
      <c r="E297" s="278">
        <f ca="1">'GBP Swap PVs'!P92</f>
        <v>-899009.95475439762</v>
      </c>
      <c r="F297" s="278">
        <f ca="1">'GBP Swap PVs'!Q92</f>
        <v>-599339.96983626566</v>
      </c>
      <c r="G297" s="278">
        <f ca="1">'GBP Swap PVs'!R92</f>
        <v>-299669.98491813266</v>
      </c>
      <c r="H297" s="278">
        <f ca="1">'GBP Swap PVs'!S92</f>
        <v>0</v>
      </c>
      <c r="I297" s="278">
        <f ca="1">'GBP Swap PVs'!T92</f>
        <v>299669.98491813318</v>
      </c>
      <c r="J297" s="278">
        <f ca="1">'GBP Swap PVs'!U92</f>
        <v>599339.9698362659</v>
      </c>
      <c r="K297" s="278">
        <f ca="1">'GBP Swap PVs'!V92</f>
        <v>899009.95475439879</v>
      </c>
      <c r="L297" s="278">
        <f ca="1">'GBP Swap PVs'!W92</f>
        <v>1198679.9396725316</v>
      </c>
      <c r="M297" s="279">
        <f ca="1">'GBP Swap PVs'!X92</f>
        <v>1498349.9245906647</v>
      </c>
    </row>
    <row r="298" spans="2:26">
      <c r="B298" s="282"/>
      <c r="C298" s="278"/>
      <c r="D298" s="278"/>
      <c r="E298" s="278"/>
      <c r="F298" s="278"/>
      <c r="G298" s="278"/>
      <c r="H298" s="278"/>
      <c r="I298" s="278"/>
      <c r="J298" s="278"/>
      <c r="K298" s="278"/>
      <c r="L298" s="278"/>
      <c r="M298" s="279"/>
    </row>
    <row r="299" spans="2:26">
      <c r="B299" s="282"/>
      <c r="C299" s="278"/>
      <c r="D299" s="278"/>
      <c r="E299" s="278"/>
      <c r="F299" s="278"/>
      <c r="G299" s="278"/>
      <c r="H299" s="278"/>
      <c r="I299" s="278"/>
      <c r="J299" s="278"/>
      <c r="K299" s="278"/>
      <c r="L299" s="278"/>
      <c r="M299" s="279"/>
    </row>
    <row r="300" spans="2:26">
      <c r="B300" s="283"/>
      <c r="C300" s="280"/>
      <c r="D300" s="280"/>
      <c r="E300" s="280"/>
      <c r="F300" s="280"/>
      <c r="G300" s="280"/>
      <c r="H300" s="280"/>
      <c r="I300" s="280"/>
      <c r="J300" s="280"/>
      <c r="K300" s="280"/>
      <c r="L300" s="280"/>
      <c r="M300" s="281"/>
    </row>
    <row r="302" spans="2:26">
      <c r="B302" s="258" t="s">
        <v>472</v>
      </c>
      <c r="O302" s="258" t="s">
        <v>472</v>
      </c>
    </row>
    <row r="303" spans="2:26">
      <c r="B303" s="254" t="s">
        <v>468</v>
      </c>
      <c r="C303" s="287">
        <v>500</v>
      </c>
      <c r="D303" s="287">
        <v>400</v>
      </c>
      <c r="E303" s="287">
        <v>300</v>
      </c>
      <c r="F303" s="287">
        <v>200</v>
      </c>
      <c r="G303" s="287">
        <v>100</v>
      </c>
      <c r="H303" s="287">
        <v>0</v>
      </c>
      <c r="I303" s="287">
        <v>-100</v>
      </c>
      <c r="J303" s="287">
        <v>-200</v>
      </c>
      <c r="K303" s="287">
        <v>-300</v>
      </c>
      <c r="L303" s="287">
        <v>-400</v>
      </c>
      <c r="M303" s="288">
        <v>-500</v>
      </c>
      <c r="O303" s="254" t="s">
        <v>468</v>
      </c>
      <c r="P303" s="276">
        <v>-0.05</v>
      </c>
      <c r="Q303" s="276">
        <v>-0.04</v>
      </c>
      <c r="R303" s="276">
        <v>-0.03</v>
      </c>
      <c r="S303" s="276">
        <v>-1.9999999999999997E-2</v>
      </c>
      <c r="T303" s="276">
        <v>-9.9999999999999967E-3</v>
      </c>
      <c r="U303" s="276">
        <v>0</v>
      </c>
      <c r="V303" s="276">
        <v>0.01</v>
      </c>
      <c r="W303" s="276">
        <v>0.02</v>
      </c>
      <c r="X303" s="276">
        <v>0.03</v>
      </c>
      <c r="Y303" s="276">
        <v>0.04</v>
      </c>
      <c r="Z303" s="277">
        <v>0.05</v>
      </c>
    </row>
    <row r="304" spans="2:26">
      <c r="B304" s="282" t="s">
        <v>42</v>
      </c>
      <c r="C304" s="278">
        <f ca="1">IF(C282&lt;D282,0,1)</f>
        <v>0</v>
      </c>
      <c r="D304" s="278">
        <f t="shared" ref="D304:L304" ca="1" si="34">IF(D282&lt;E282,0,1)</f>
        <v>0</v>
      </c>
      <c r="E304" s="278">
        <f t="shared" ca="1" si="34"/>
        <v>0</v>
      </c>
      <c r="F304" s="278">
        <f t="shared" ca="1" si="34"/>
        <v>0</v>
      </c>
      <c r="G304" s="278">
        <f t="shared" ca="1" si="34"/>
        <v>0</v>
      </c>
      <c r="H304" s="278">
        <f t="shared" ca="1" si="34"/>
        <v>0</v>
      </c>
      <c r="I304" s="278">
        <f t="shared" ca="1" si="34"/>
        <v>0</v>
      </c>
      <c r="J304" s="278">
        <f t="shared" ca="1" si="34"/>
        <v>0</v>
      </c>
      <c r="K304" s="278">
        <f t="shared" ca="1" si="34"/>
        <v>0</v>
      </c>
      <c r="L304" s="278">
        <f t="shared" ca="1" si="34"/>
        <v>0</v>
      </c>
      <c r="M304" s="285" t="s">
        <v>6</v>
      </c>
      <c r="O304" s="282" t="s">
        <v>42</v>
      </c>
      <c r="P304" s="289">
        <f ca="1">IF(ABS(C283)&gt;ABS(C282),0,1)</f>
        <v>0</v>
      </c>
      <c r="Q304" s="289">
        <f t="shared" ref="Q304:T319" ca="1" si="35">IF(ABS(D283)&gt;ABS(D282),0,1)</f>
        <v>0</v>
      </c>
      <c r="R304" s="289">
        <f t="shared" ca="1" si="35"/>
        <v>0</v>
      </c>
      <c r="S304" s="289">
        <f t="shared" ca="1" si="35"/>
        <v>0</v>
      </c>
      <c r="T304" s="289">
        <f t="shared" ca="1" si="35"/>
        <v>0</v>
      </c>
      <c r="U304" s="295" t="s">
        <v>6</v>
      </c>
      <c r="V304" s="289">
        <f t="shared" ref="V304:Z319" ca="1" si="36">IF(ABS(I283)&gt;ABS(I282),0,1)</f>
        <v>0</v>
      </c>
      <c r="W304" s="289">
        <f t="shared" ca="1" si="36"/>
        <v>0</v>
      </c>
      <c r="X304" s="289">
        <f t="shared" ca="1" si="36"/>
        <v>0</v>
      </c>
      <c r="Y304" s="289">
        <f t="shared" ca="1" si="36"/>
        <v>0</v>
      </c>
      <c r="Z304" s="291">
        <f t="shared" ca="1" si="36"/>
        <v>0</v>
      </c>
    </row>
    <row r="305" spans="2:26">
      <c r="B305" s="282" t="s">
        <v>39</v>
      </c>
      <c r="C305" s="278">
        <f t="shared" ref="C305:L320" ca="1" si="37">IF(C283&lt;D283,0,1)</f>
        <v>0</v>
      </c>
      <c r="D305" s="278">
        <f t="shared" ca="1" si="37"/>
        <v>0</v>
      </c>
      <c r="E305" s="278">
        <f t="shared" ca="1" si="37"/>
        <v>0</v>
      </c>
      <c r="F305" s="278">
        <f t="shared" ca="1" si="37"/>
        <v>0</v>
      </c>
      <c r="G305" s="278">
        <f t="shared" ca="1" si="37"/>
        <v>0</v>
      </c>
      <c r="H305" s="278">
        <f t="shared" ca="1" si="37"/>
        <v>0</v>
      </c>
      <c r="I305" s="278">
        <f t="shared" ca="1" si="37"/>
        <v>0</v>
      </c>
      <c r="J305" s="278">
        <f t="shared" ca="1" si="37"/>
        <v>0</v>
      </c>
      <c r="K305" s="278">
        <f t="shared" ca="1" si="37"/>
        <v>0</v>
      </c>
      <c r="L305" s="278">
        <f t="shared" ca="1" si="37"/>
        <v>0</v>
      </c>
      <c r="M305" s="279" t="s">
        <v>6</v>
      </c>
      <c r="O305" s="282" t="s">
        <v>39</v>
      </c>
      <c r="P305" s="289">
        <f t="shared" ref="P305:T320" ca="1" si="38">IF(ABS(C284)&gt;ABS(C283),0,1)</f>
        <v>0</v>
      </c>
      <c r="Q305" s="289">
        <f t="shared" ca="1" si="35"/>
        <v>0</v>
      </c>
      <c r="R305" s="289">
        <f t="shared" ca="1" si="35"/>
        <v>0</v>
      </c>
      <c r="S305" s="289">
        <f t="shared" ca="1" si="35"/>
        <v>0</v>
      </c>
      <c r="T305" s="289">
        <f t="shared" ca="1" si="35"/>
        <v>0</v>
      </c>
      <c r="U305" s="295" t="s">
        <v>6</v>
      </c>
      <c r="V305" s="289">
        <f t="shared" ca="1" si="36"/>
        <v>0</v>
      </c>
      <c r="W305" s="289">
        <f t="shared" ca="1" si="36"/>
        <v>0</v>
      </c>
      <c r="X305" s="289">
        <f t="shared" ca="1" si="36"/>
        <v>0</v>
      </c>
      <c r="Y305" s="289">
        <f t="shared" ca="1" si="36"/>
        <v>0</v>
      </c>
      <c r="Z305" s="292">
        <f t="shared" ca="1" si="36"/>
        <v>0</v>
      </c>
    </row>
    <row r="306" spans="2:26">
      <c r="B306" s="282" t="s">
        <v>35</v>
      </c>
      <c r="C306" s="278">
        <f t="shared" ca="1" si="37"/>
        <v>0</v>
      </c>
      <c r="D306" s="278">
        <f t="shared" ca="1" si="37"/>
        <v>0</v>
      </c>
      <c r="E306" s="278">
        <f t="shared" ca="1" si="37"/>
        <v>0</v>
      </c>
      <c r="F306" s="278">
        <f t="shared" ca="1" si="37"/>
        <v>0</v>
      </c>
      <c r="G306" s="278">
        <f t="shared" ca="1" si="37"/>
        <v>0</v>
      </c>
      <c r="H306" s="278">
        <f t="shared" ca="1" si="37"/>
        <v>0</v>
      </c>
      <c r="I306" s="278">
        <f t="shared" ca="1" si="37"/>
        <v>0</v>
      </c>
      <c r="J306" s="278">
        <f t="shared" ca="1" si="37"/>
        <v>0</v>
      </c>
      <c r="K306" s="278">
        <f t="shared" ca="1" si="37"/>
        <v>0</v>
      </c>
      <c r="L306" s="278">
        <f t="shared" ca="1" si="37"/>
        <v>0</v>
      </c>
      <c r="M306" s="279" t="s">
        <v>6</v>
      </c>
      <c r="O306" s="282" t="s">
        <v>35</v>
      </c>
      <c r="P306" s="289">
        <f t="shared" ca="1" si="38"/>
        <v>0</v>
      </c>
      <c r="Q306" s="289">
        <f t="shared" ca="1" si="35"/>
        <v>0</v>
      </c>
      <c r="R306" s="289">
        <f t="shared" ca="1" si="35"/>
        <v>0</v>
      </c>
      <c r="S306" s="289">
        <f t="shared" ca="1" si="35"/>
        <v>0</v>
      </c>
      <c r="T306" s="289">
        <f t="shared" ca="1" si="35"/>
        <v>0</v>
      </c>
      <c r="U306" s="295" t="s">
        <v>6</v>
      </c>
      <c r="V306" s="289">
        <f t="shared" ca="1" si="36"/>
        <v>0</v>
      </c>
      <c r="W306" s="289">
        <f t="shared" ca="1" si="36"/>
        <v>0</v>
      </c>
      <c r="X306" s="289">
        <f t="shared" ca="1" si="36"/>
        <v>0</v>
      </c>
      <c r="Y306" s="289">
        <f t="shared" ca="1" si="36"/>
        <v>0</v>
      </c>
      <c r="Z306" s="292">
        <f t="shared" ca="1" si="36"/>
        <v>0</v>
      </c>
    </row>
    <row r="307" spans="2:26">
      <c r="B307" s="282" t="s">
        <v>33</v>
      </c>
      <c r="C307" s="278">
        <f t="shared" ca="1" si="37"/>
        <v>0</v>
      </c>
      <c r="D307" s="278">
        <f t="shared" ca="1" si="37"/>
        <v>0</v>
      </c>
      <c r="E307" s="278">
        <f t="shared" ca="1" si="37"/>
        <v>0</v>
      </c>
      <c r="F307" s="278">
        <f t="shared" ca="1" si="37"/>
        <v>0</v>
      </c>
      <c r="G307" s="278">
        <f t="shared" ca="1" si="37"/>
        <v>0</v>
      </c>
      <c r="H307" s="278">
        <f t="shared" ca="1" si="37"/>
        <v>0</v>
      </c>
      <c r="I307" s="278">
        <f t="shared" ca="1" si="37"/>
        <v>0</v>
      </c>
      <c r="J307" s="278">
        <f t="shared" ca="1" si="37"/>
        <v>0</v>
      </c>
      <c r="K307" s="278">
        <f t="shared" ca="1" si="37"/>
        <v>0</v>
      </c>
      <c r="L307" s="278">
        <f t="shared" ca="1" si="37"/>
        <v>0</v>
      </c>
      <c r="M307" s="279" t="s">
        <v>6</v>
      </c>
      <c r="O307" s="282" t="s">
        <v>33</v>
      </c>
      <c r="P307" s="289">
        <f t="shared" ca="1" si="38"/>
        <v>0</v>
      </c>
      <c r="Q307" s="289">
        <f t="shared" ca="1" si="35"/>
        <v>0</v>
      </c>
      <c r="R307" s="289">
        <f t="shared" ca="1" si="35"/>
        <v>0</v>
      </c>
      <c r="S307" s="289">
        <f t="shared" ca="1" si="35"/>
        <v>0</v>
      </c>
      <c r="T307" s="289">
        <f t="shared" ca="1" si="35"/>
        <v>0</v>
      </c>
      <c r="U307" s="295" t="s">
        <v>6</v>
      </c>
      <c r="V307" s="289">
        <f t="shared" ca="1" si="36"/>
        <v>0</v>
      </c>
      <c r="W307" s="289">
        <f t="shared" ca="1" si="36"/>
        <v>0</v>
      </c>
      <c r="X307" s="289">
        <f t="shared" ca="1" si="36"/>
        <v>0</v>
      </c>
      <c r="Y307" s="289">
        <f t="shared" ca="1" si="36"/>
        <v>0</v>
      </c>
      <c r="Z307" s="292">
        <f t="shared" ca="1" si="36"/>
        <v>0</v>
      </c>
    </row>
    <row r="308" spans="2:26">
      <c r="B308" s="282" t="s">
        <v>131</v>
      </c>
      <c r="C308" s="278">
        <f t="shared" ca="1" si="37"/>
        <v>0</v>
      </c>
      <c r="D308" s="278">
        <f t="shared" ca="1" si="37"/>
        <v>0</v>
      </c>
      <c r="E308" s="278">
        <f t="shared" ca="1" si="37"/>
        <v>0</v>
      </c>
      <c r="F308" s="278">
        <f t="shared" ca="1" si="37"/>
        <v>0</v>
      </c>
      <c r="G308" s="278">
        <f t="shared" ca="1" si="37"/>
        <v>0</v>
      </c>
      <c r="H308" s="278">
        <f t="shared" ca="1" si="37"/>
        <v>0</v>
      </c>
      <c r="I308" s="278">
        <f t="shared" ca="1" si="37"/>
        <v>0</v>
      </c>
      <c r="J308" s="278">
        <f t="shared" ca="1" si="37"/>
        <v>0</v>
      </c>
      <c r="K308" s="278">
        <f t="shared" ca="1" si="37"/>
        <v>0</v>
      </c>
      <c r="L308" s="278">
        <f t="shared" ca="1" si="37"/>
        <v>0</v>
      </c>
      <c r="M308" s="279" t="s">
        <v>6</v>
      </c>
      <c r="O308" s="282" t="s">
        <v>131</v>
      </c>
      <c r="P308" s="289">
        <f t="shared" ca="1" si="38"/>
        <v>0</v>
      </c>
      <c r="Q308" s="289">
        <f t="shared" ca="1" si="35"/>
        <v>0</v>
      </c>
      <c r="R308" s="289">
        <f t="shared" ca="1" si="35"/>
        <v>0</v>
      </c>
      <c r="S308" s="289">
        <f t="shared" ca="1" si="35"/>
        <v>0</v>
      </c>
      <c r="T308" s="289">
        <f t="shared" ca="1" si="35"/>
        <v>0</v>
      </c>
      <c r="U308" s="295" t="s">
        <v>6</v>
      </c>
      <c r="V308" s="289">
        <f t="shared" ca="1" si="36"/>
        <v>0</v>
      </c>
      <c r="W308" s="289">
        <f t="shared" ca="1" si="36"/>
        <v>0</v>
      </c>
      <c r="X308" s="289">
        <f t="shared" ca="1" si="36"/>
        <v>0</v>
      </c>
      <c r="Y308" s="289">
        <f t="shared" ca="1" si="36"/>
        <v>0</v>
      </c>
      <c r="Z308" s="292">
        <f t="shared" ca="1" si="36"/>
        <v>0</v>
      </c>
    </row>
    <row r="309" spans="2:26">
      <c r="B309" s="282" t="s">
        <v>31</v>
      </c>
      <c r="C309" s="278">
        <f t="shared" ca="1" si="37"/>
        <v>0</v>
      </c>
      <c r="D309" s="278">
        <f t="shared" ca="1" si="37"/>
        <v>0</v>
      </c>
      <c r="E309" s="278">
        <f t="shared" ca="1" si="37"/>
        <v>0</v>
      </c>
      <c r="F309" s="278">
        <f t="shared" ca="1" si="37"/>
        <v>0</v>
      </c>
      <c r="G309" s="278">
        <f t="shared" ca="1" si="37"/>
        <v>0</v>
      </c>
      <c r="H309" s="278">
        <f t="shared" ca="1" si="37"/>
        <v>0</v>
      </c>
      <c r="I309" s="278">
        <f t="shared" ca="1" si="37"/>
        <v>0</v>
      </c>
      <c r="J309" s="278">
        <f t="shared" ca="1" si="37"/>
        <v>0</v>
      </c>
      <c r="K309" s="278">
        <f t="shared" ca="1" si="37"/>
        <v>0</v>
      </c>
      <c r="L309" s="278">
        <f t="shared" ca="1" si="37"/>
        <v>0</v>
      </c>
      <c r="M309" s="279" t="s">
        <v>6</v>
      </c>
      <c r="O309" s="282" t="s">
        <v>31</v>
      </c>
      <c r="P309" s="289">
        <f t="shared" ca="1" si="38"/>
        <v>0</v>
      </c>
      <c r="Q309" s="289">
        <f t="shared" ca="1" si="35"/>
        <v>0</v>
      </c>
      <c r="R309" s="289">
        <f t="shared" ca="1" si="35"/>
        <v>0</v>
      </c>
      <c r="S309" s="289">
        <f t="shared" ca="1" si="35"/>
        <v>0</v>
      </c>
      <c r="T309" s="289">
        <f t="shared" ca="1" si="35"/>
        <v>0</v>
      </c>
      <c r="U309" s="295" t="s">
        <v>6</v>
      </c>
      <c r="V309" s="289">
        <f t="shared" ca="1" si="36"/>
        <v>0</v>
      </c>
      <c r="W309" s="289">
        <f t="shared" ca="1" si="36"/>
        <v>0</v>
      </c>
      <c r="X309" s="289">
        <f t="shared" ca="1" si="36"/>
        <v>0</v>
      </c>
      <c r="Y309" s="289">
        <f t="shared" ca="1" si="36"/>
        <v>0</v>
      </c>
      <c r="Z309" s="292">
        <f t="shared" ca="1" si="36"/>
        <v>0</v>
      </c>
    </row>
    <row r="310" spans="2:26">
      <c r="B310" s="282" t="s">
        <v>119</v>
      </c>
      <c r="C310" s="278">
        <f t="shared" ca="1" si="37"/>
        <v>0</v>
      </c>
      <c r="D310" s="278">
        <f t="shared" ca="1" si="37"/>
        <v>0</v>
      </c>
      <c r="E310" s="278">
        <f t="shared" ca="1" si="37"/>
        <v>0</v>
      </c>
      <c r="F310" s="278">
        <f t="shared" ca="1" si="37"/>
        <v>0</v>
      </c>
      <c r="G310" s="278">
        <f t="shared" ca="1" si="37"/>
        <v>0</v>
      </c>
      <c r="H310" s="278">
        <f t="shared" ca="1" si="37"/>
        <v>0</v>
      </c>
      <c r="I310" s="278">
        <f t="shared" ca="1" si="37"/>
        <v>0</v>
      </c>
      <c r="J310" s="278">
        <f t="shared" ca="1" si="37"/>
        <v>0</v>
      </c>
      <c r="K310" s="278">
        <f t="shared" ca="1" si="37"/>
        <v>0</v>
      </c>
      <c r="L310" s="278">
        <f t="shared" ca="1" si="37"/>
        <v>0</v>
      </c>
      <c r="M310" s="279" t="s">
        <v>6</v>
      </c>
      <c r="O310" s="282" t="s">
        <v>119</v>
      </c>
      <c r="P310" s="289">
        <f t="shared" ca="1" si="38"/>
        <v>0</v>
      </c>
      <c r="Q310" s="289">
        <f t="shared" ca="1" si="35"/>
        <v>0</v>
      </c>
      <c r="R310" s="289">
        <f t="shared" ca="1" si="35"/>
        <v>0</v>
      </c>
      <c r="S310" s="289">
        <f t="shared" ca="1" si="35"/>
        <v>0</v>
      </c>
      <c r="T310" s="289">
        <f t="shared" ca="1" si="35"/>
        <v>0</v>
      </c>
      <c r="U310" s="295" t="s">
        <v>6</v>
      </c>
      <c r="V310" s="289">
        <f t="shared" ca="1" si="36"/>
        <v>0</v>
      </c>
      <c r="W310" s="289">
        <f t="shared" ca="1" si="36"/>
        <v>0</v>
      </c>
      <c r="X310" s="289">
        <f t="shared" ca="1" si="36"/>
        <v>0</v>
      </c>
      <c r="Y310" s="289">
        <f t="shared" ca="1" si="36"/>
        <v>0</v>
      </c>
      <c r="Z310" s="292">
        <f t="shared" ca="1" si="36"/>
        <v>0</v>
      </c>
    </row>
    <row r="311" spans="2:26">
      <c r="B311" s="282" t="s">
        <v>113</v>
      </c>
      <c r="C311" s="278">
        <f t="shared" ca="1" si="37"/>
        <v>0</v>
      </c>
      <c r="D311" s="278">
        <f t="shared" ca="1" si="37"/>
        <v>0</v>
      </c>
      <c r="E311" s="278">
        <f t="shared" ca="1" si="37"/>
        <v>0</v>
      </c>
      <c r="F311" s="278">
        <f t="shared" ca="1" si="37"/>
        <v>0</v>
      </c>
      <c r="G311" s="278">
        <f t="shared" ca="1" si="37"/>
        <v>0</v>
      </c>
      <c r="H311" s="278">
        <f t="shared" ca="1" si="37"/>
        <v>0</v>
      </c>
      <c r="I311" s="278">
        <f t="shared" ca="1" si="37"/>
        <v>0</v>
      </c>
      <c r="J311" s="278">
        <f t="shared" ca="1" si="37"/>
        <v>0</v>
      </c>
      <c r="K311" s="278">
        <f t="shared" ca="1" si="37"/>
        <v>0</v>
      </c>
      <c r="L311" s="278">
        <f t="shared" ca="1" si="37"/>
        <v>0</v>
      </c>
      <c r="M311" s="279" t="s">
        <v>6</v>
      </c>
      <c r="O311" s="282" t="s">
        <v>113</v>
      </c>
      <c r="P311" s="289">
        <f t="shared" ca="1" si="38"/>
        <v>0</v>
      </c>
      <c r="Q311" s="289">
        <f t="shared" ca="1" si="35"/>
        <v>0</v>
      </c>
      <c r="R311" s="289">
        <f t="shared" ca="1" si="35"/>
        <v>0</v>
      </c>
      <c r="S311" s="289">
        <f t="shared" ca="1" si="35"/>
        <v>0</v>
      </c>
      <c r="T311" s="289">
        <f t="shared" ca="1" si="35"/>
        <v>0</v>
      </c>
      <c r="U311" s="295" t="s">
        <v>6</v>
      </c>
      <c r="V311" s="289">
        <f t="shared" ca="1" si="36"/>
        <v>0</v>
      </c>
      <c r="W311" s="289">
        <f t="shared" ca="1" si="36"/>
        <v>0</v>
      </c>
      <c r="X311" s="289">
        <f t="shared" ca="1" si="36"/>
        <v>0</v>
      </c>
      <c r="Y311" s="289">
        <f t="shared" ca="1" si="36"/>
        <v>0</v>
      </c>
      <c r="Z311" s="292">
        <f t="shared" ca="1" si="36"/>
        <v>0</v>
      </c>
    </row>
    <row r="312" spans="2:26">
      <c r="B312" s="282" t="s">
        <v>28</v>
      </c>
      <c r="C312" s="278">
        <f t="shared" ca="1" si="37"/>
        <v>0</v>
      </c>
      <c r="D312" s="278">
        <f t="shared" ca="1" si="37"/>
        <v>0</v>
      </c>
      <c r="E312" s="278">
        <f t="shared" ca="1" si="37"/>
        <v>0</v>
      </c>
      <c r="F312" s="278">
        <f t="shared" ca="1" si="37"/>
        <v>0</v>
      </c>
      <c r="G312" s="278">
        <f t="shared" ca="1" si="37"/>
        <v>0</v>
      </c>
      <c r="H312" s="278">
        <f t="shared" ca="1" si="37"/>
        <v>0</v>
      </c>
      <c r="I312" s="278">
        <f t="shared" ca="1" si="37"/>
        <v>0</v>
      </c>
      <c r="J312" s="278">
        <f t="shared" ca="1" si="37"/>
        <v>0</v>
      </c>
      <c r="K312" s="278">
        <f t="shared" ca="1" si="37"/>
        <v>0</v>
      </c>
      <c r="L312" s="278">
        <f t="shared" ca="1" si="37"/>
        <v>0</v>
      </c>
      <c r="M312" s="279" t="s">
        <v>6</v>
      </c>
      <c r="O312" s="282" t="s">
        <v>28</v>
      </c>
      <c r="P312" s="289">
        <f t="shared" ca="1" si="38"/>
        <v>0</v>
      </c>
      <c r="Q312" s="289">
        <f t="shared" ca="1" si="35"/>
        <v>0</v>
      </c>
      <c r="R312" s="289">
        <f t="shared" ca="1" si="35"/>
        <v>0</v>
      </c>
      <c r="S312" s="289">
        <f t="shared" ca="1" si="35"/>
        <v>0</v>
      </c>
      <c r="T312" s="289">
        <f t="shared" ca="1" si="35"/>
        <v>0</v>
      </c>
      <c r="U312" s="295" t="s">
        <v>6</v>
      </c>
      <c r="V312" s="289">
        <f t="shared" ca="1" si="36"/>
        <v>0</v>
      </c>
      <c r="W312" s="289">
        <f t="shared" ca="1" si="36"/>
        <v>0</v>
      </c>
      <c r="X312" s="289">
        <f t="shared" ca="1" si="36"/>
        <v>0</v>
      </c>
      <c r="Y312" s="289">
        <f t="shared" ca="1" si="36"/>
        <v>0</v>
      </c>
      <c r="Z312" s="292">
        <f t="shared" ca="1" si="36"/>
        <v>0</v>
      </c>
    </row>
    <row r="313" spans="2:26">
      <c r="B313" s="282" t="s">
        <v>26</v>
      </c>
      <c r="C313" s="278">
        <f t="shared" ca="1" si="37"/>
        <v>0</v>
      </c>
      <c r="D313" s="278">
        <f t="shared" ca="1" si="37"/>
        <v>0</v>
      </c>
      <c r="E313" s="278">
        <f t="shared" ca="1" si="37"/>
        <v>0</v>
      </c>
      <c r="F313" s="278">
        <f t="shared" ca="1" si="37"/>
        <v>0</v>
      </c>
      <c r="G313" s="278">
        <f t="shared" ca="1" si="37"/>
        <v>0</v>
      </c>
      <c r="H313" s="278">
        <f t="shared" ca="1" si="37"/>
        <v>0</v>
      </c>
      <c r="I313" s="278">
        <f t="shared" ca="1" si="37"/>
        <v>0</v>
      </c>
      <c r="J313" s="278">
        <f t="shared" ca="1" si="37"/>
        <v>0</v>
      </c>
      <c r="K313" s="278">
        <f t="shared" ca="1" si="37"/>
        <v>0</v>
      </c>
      <c r="L313" s="278">
        <f t="shared" ca="1" si="37"/>
        <v>0</v>
      </c>
      <c r="M313" s="279" t="s">
        <v>6</v>
      </c>
      <c r="O313" s="282" t="s">
        <v>26</v>
      </c>
      <c r="P313" s="289">
        <f t="shared" ca="1" si="38"/>
        <v>0</v>
      </c>
      <c r="Q313" s="289">
        <f t="shared" ca="1" si="35"/>
        <v>0</v>
      </c>
      <c r="R313" s="289">
        <f t="shared" ca="1" si="35"/>
        <v>0</v>
      </c>
      <c r="S313" s="289">
        <f t="shared" ca="1" si="35"/>
        <v>0</v>
      </c>
      <c r="T313" s="289">
        <f t="shared" ca="1" si="35"/>
        <v>0</v>
      </c>
      <c r="U313" s="295" t="s">
        <v>6</v>
      </c>
      <c r="V313" s="289">
        <f t="shared" ca="1" si="36"/>
        <v>0</v>
      </c>
      <c r="W313" s="289">
        <f t="shared" ca="1" si="36"/>
        <v>0</v>
      </c>
      <c r="X313" s="289">
        <f t="shared" ca="1" si="36"/>
        <v>0</v>
      </c>
      <c r="Y313" s="289">
        <f t="shared" ca="1" si="36"/>
        <v>0</v>
      </c>
      <c r="Z313" s="292">
        <f t="shared" ca="1" si="36"/>
        <v>0</v>
      </c>
    </row>
    <row r="314" spans="2:26">
      <c r="B314" s="282" t="s">
        <v>24</v>
      </c>
      <c r="C314" s="278">
        <f t="shared" ca="1" si="37"/>
        <v>0</v>
      </c>
      <c r="D314" s="278">
        <f t="shared" ca="1" si="37"/>
        <v>0</v>
      </c>
      <c r="E314" s="278">
        <f t="shared" ca="1" si="37"/>
        <v>0</v>
      </c>
      <c r="F314" s="278">
        <f t="shared" ca="1" si="37"/>
        <v>0</v>
      </c>
      <c r="G314" s="278">
        <f t="shared" ca="1" si="37"/>
        <v>0</v>
      </c>
      <c r="H314" s="278">
        <f t="shared" ca="1" si="37"/>
        <v>0</v>
      </c>
      <c r="I314" s="278">
        <f t="shared" ca="1" si="37"/>
        <v>0</v>
      </c>
      <c r="J314" s="278">
        <f t="shared" ca="1" si="37"/>
        <v>0</v>
      </c>
      <c r="K314" s="278">
        <f t="shared" ca="1" si="37"/>
        <v>0</v>
      </c>
      <c r="L314" s="278">
        <f t="shared" ca="1" si="37"/>
        <v>0</v>
      </c>
      <c r="M314" s="279" t="s">
        <v>6</v>
      </c>
      <c r="O314" s="282" t="s">
        <v>24</v>
      </c>
      <c r="P314" s="289">
        <f t="shared" ca="1" si="38"/>
        <v>0</v>
      </c>
      <c r="Q314" s="289">
        <f t="shared" ca="1" si="35"/>
        <v>0</v>
      </c>
      <c r="R314" s="289">
        <f t="shared" ca="1" si="35"/>
        <v>0</v>
      </c>
      <c r="S314" s="289">
        <f t="shared" ca="1" si="35"/>
        <v>0</v>
      </c>
      <c r="T314" s="289">
        <f t="shared" ca="1" si="35"/>
        <v>0</v>
      </c>
      <c r="U314" s="295" t="s">
        <v>6</v>
      </c>
      <c r="V314" s="289">
        <f t="shared" ca="1" si="36"/>
        <v>0</v>
      </c>
      <c r="W314" s="289">
        <f t="shared" ca="1" si="36"/>
        <v>0</v>
      </c>
      <c r="X314" s="289">
        <f t="shared" ca="1" si="36"/>
        <v>0</v>
      </c>
      <c r="Y314" s="289">
        <f t="shared" ca="1" si="36"/>
        <v>0</v>
      </c>
      <c r="Z314" s="292">
        <f t="shared" ca="1" si="36"/>
        <v>0</v>
      </c>
    </row>
    <row r="315" spans="2:26">
      <c r="B315" s="282" t="s">
        <v>20</v>
      </c>
      <c r="C315" s="278">
        <f t="shared" ca="1" si="37"/>
        <v>0</v>
      </c>
      <c r="D315" s="278">
        <f t="shared" ca="1" si="37"/>
        <v>0</v>
      </c>
      <c r="E315" s="278">
        <f t="shared" ca="1" si="37"/>
        <v>0</v>
      </c>
      <c r="F315" s="278">
        <f t="shared" ca="1" si="37"/>
        <v>0</v>
      </c>
      <c r="G315" s="278">
        <f t="shared" ca="1" si="37"/>
        <v>0</v>
      </c>
      <c r="H315" s="278">
        <f t="shared" ca="1" si="37"/>
        <v>0</v>
      </c>
      <c r="I315" s="278">
        <f t="shared" ca="1" si="37"/>
        <v>0</v>
      </c>
      <c r="J315" s="278">
        <f t="shared" ca="1" si="37"/>
        <v>0</v>
      </c>
      <c r="K315" s="278">
        <f t="shared" ca="1" si="37"/>
        <v>0</v>
      </c>
      <c r="L315" s="278">
        <f t="shared" ca="1" si="37"/>
        <v>0</v>
      </c>
      <c r="M315" s="279" t="s">
        <v>6</v>
      </c>
      <c r="O315" s="282" t="s">
        <v>20</v>
      </c>
      <c r="P315" s="289">
        <f t="shared" ca="1" si="38"/>
        <v>0</v>
      </c>
      <c r="Q315" s="289">
        <f t="shared" ca="1" si="35"/>
        <v>0</v>
      </c>
      <c r="R315" s="289">
        <f t="shared" ca="1" si="35"/>
        <v>0</v>
      </c>
      <c r="S315" s="289">
        <f t="shared" ca="1" si="35"/>
        <v>0</v>
      </c>
      <c r="T315" s="289">
        <f t="shared" ca="1" si="35"/>
        <v>0</v>
      </c>
      <c r="U315" s="295" t="s">
        <v>6</v>
      </c>
      <c r="V315" s="289">
        <f t="shared" ca="1" si="36"/>
        <v>0</v>
      </c>
      <c r="W315" s="289">
        <f t="shared" ca="1" si="36"/>
        <v>0</v>
      </c>
      <c r="X315" s="289">
        <f t="shared" ca="1" si="36"/>
        <v>0</v>
      </c>
      <c r="Y315" s="289">
        <f t="shared" ca="1" si="36"/>
        <v>0</v>
      </c>
      <c r="Z315" s="292">
        <f t="shared" ca="1" si="36"/>
        <v>0</v>
      </c>
    </row>
    <row r="316" spans="2:26">
      <c r="B316" s="282" t="s">
        <v>18</v>
      </c>
      <c r="C316" s="278">
        <f t="shared" ca="1" si="37"/>
        <v>0</v>
      </c>
      <c r="D316" s="278">
        <f t="shared" ca="1" si="37"/>
        <v>0</v>
      </c>
      <c r="E316" s="278">
        <f t="shared" ca="1" si="37"/>
        <v>0</v>
      </c>
      <c r="F316" s="278">
        <f t="shared" ca="1" si="37"/>
        <v>0</v>
      </c>
      <c r="G316" s="278">
        <f t="shared" ca="1" si="37"/>
        <v>0</v>
      </c>
      <c r="H316" s="278">
        <f t="shared" ca="1" si="37"/>
        <v>0</v>
      </c>
      <c r="I316" s="278">
        <f t="shared" ca="1" si="37"/>
        <v>0</v>
      </c>
      <c r="J316" s="278">
        <f t="shared" ca="1" si="37"/>
        <v>0</v>
      </c>
      <c r="K316" s="278">
        <f t="shared" ca="1" si="37"/>
        <v>0</v>
      </c>
      <c r="L316" s="278">
        <f t="shared" ca="1" si="37"/>
        <v>0</v>
      </c>
      <c r="M316" s="279" t="s">
        <v>6</v>
      </c>
      <c r="O316" s="282" t="s">
        <v>18</v>
      </c>
      <c r="P316" s="289">
        <f t="shared" ca="1" si="38"/>
        <v>0</v>
      </c>
      <c r="Q316" s="289">
        <f t="shared" ca="1" si="35"/>
        <v>0</v>
      </c>
      <c r="R316" s="289">
        <f t="shared" ca="1" si="35"/>
        <v>0</v>
      </c>
      <c r="S316" s="289">
        <f t="shared" ca="1" si="35"/>
        <v>0</v>
      </c>
      <c r="T316" s="289">
        <f t="shared" ca="1" si="35"/>
        <v>0</v>
      </c>
      <c r="U316" s="295" t="s">
        <v>6</v>
      </c>
      <c r="V316" s="289">
        <f t="shared" ca="1" si="36"/>
        <v>0</v>
      </c>
      <c r="W316" s="289">
        <f t="shared" ca="1" si="36"/>
        <v>0</v>
      </c>
      <c r="X316" s="289">
        <f t="shared" ca="1" si="36"/>
        <v>0</v>
      </c>
      <c r="Y316" s="289">
        <f t="shared" ca="1" si="36"/>
        <v>0</v>
      </c>
      <c r="Z316" s="292">
        <f t="shared" ca="1" si="36"/>
        <v>0</v>
      </c>
    </row>
    <row r="317" spans="2:26">
      <c r="B317" s="282" t="s">
        <v>17</v>
      </c>
      <c r="C317" s="278">
        <f t="shared" ca="1" si="37"/>
        <v>0</v>
      </c>
      <c r="D317" s="278">
        <f t="shared" ca="1" si="37"/>
        <v>0</v>
      </c>
      <c r="E317" s="278">
        <f t="shared" ca="1" si="37"/>
        <v>0</v>
      </c>
      <c r="F317" s="278">
        <f t="shared" ca="1" si="37"/>
        <v>0</v>
      </c>
      <c r="G317" s="278">
        <f t="shared" ca="1" si="37"/>
        <v>0</v>
      </c>
      <c r="H317" s="278">
        <f t="shared" ca="1" si="37"/>
        <v>0</v>
      </c>
      <c r="I317" s="278">
        <f t="shared" ca="1" si="37"/>
        <v>0</v>
      </c>
      <c r="J317" s="278">
        <f t="shared" ca="1" si="37"/>
        <v>0</v>
      </c>
      <c r="K317" s="278">
        <f t="shared" ca="1" si="37"/>
        <v>0</v>
      </c>
      <c r="L317" s="278">
        <f t="shared" ca="1" si="37"/>
        <v>0</v>
      </c>
      <c r="M317" s="279" t="s">
        <v>6</v>
      </c>
      <c r="O317" s="282" t="s">
        <v>17</v>
      </c>
      <c r="P317" s="289">
        <f t="shared" ca="1" si="38"/>
        <v>0</v>
      </c>
      <c r="Q317" s="289">
        <f t="shared" ca="1" si="35"/>
        <v>0</v>
      </c>
      <c r="R317" s="289">
        <f t="shared" ca="1" si="35"/>
        <v>0</v>
      </c>
      <c r="S317" s="289">
        <f t="shared" ca="1" si="35"/>
        <v>0</v>
      </c>
      <c r="T317" s="289">
        <f t="shared" ca="1" si="35"/>
        <v>0</v>
      </c>
      <c r="U317" s="295" t="s">
        <v>6</v>
      </c>
      <c r="V317" s="289">
        <f t="shared" ca="1" si="36"/>
        <v>0</v>
      </c>
      <c r="W317" s="289">
        <f t="shared" ca="1" si="36"/>
        <v>0</v>
      </c>
      <c r="X317" s="289">
        <f t="shared" ca="1" si="36"/>
        <v>0</v>
      </c>
      <c r="Y317" s="289">
        <f t="shared" ca="1" si="36"/>
        <v>0</v>
      </c>
      <c r="Z317" s="292">
        <f t="shared" ca="1" si="36"/>
        <v>0</v>
      </c>
    </row>
    <row r="318" spans="2:26">
      <c r="B318" s="282" t="s">
        <v>15</v>
      </c>
      <c r="C318" s="278">
        <f t="shared" ca="1" si="37"/>
        <v>0</v>
      </c>
      <c r="D318" s="278">
        <f t="shared" ca="1" si="37"/>
        <v>0</v>
      </c>
      <c r="E318" s="278">
        <f t="shared" ca="1" si="37"/>
        <v>0</v>
      </c>
      <c r="F318" s="278">
        <f t="shared" ca="1" si="37"/>
        <v>0</v>
      </c>
      <c r="G318" s="278">
        <f t="shared" ca="1" si="37"/>
        <v>0</v>
      </c>
      <c r="H318" s="278">
        <f t="shared" ca="1" si="37"/>
        <v>0</v>
      </c>
      <c r="I318" s="278">
        <f t="shared" ca="1" si="37"/>
        <v>0</v>
      </c>
      <c r="J318" s="278">
        <f t="shared" ca="1" si="37"/>
        <v>0</v>
      </c>
      <c r="K318" s="278">
        <f t="shared" ca="1" si="37"/>
        <v>0</v>
      </c>
      <c r="L318" s="278">
        <f t="shared" ca="1" si="37"/>
        <v>0</v>
      </c>
      <c r="M318" s="279" t="s">
        <v>6</v>
      </c>
      <c r="O318" s="282" t="s">
        <v>15</v>
      </c>
      <c r="P318" s="289">
        <f t="shared" ca="1" si="38"/>
        <v>0</v>
      </c>
      <c r="Q318" s="289">
        <f t="shared" ca="1" si="35"/>
        <v>0</v>
      </c>
      <c r="R318" s="289">
        <f t="shared" ca="1" si="35"/>
        <v>0</v>
      </c>
      <c r="S318" s="289">
        <f t="shared" ca="1" si="35"/>
        <v>0</v>
      </c>
      <c r="T318" s="289">
        <f t="shared" ca="1" si="35"/>
        <v>0</v>
      </c>
      <c r="U318" s="295" t="s">
        <v>6</v>
      </c>
      <c r="V318" s="289">
        <f t="shared" ca="1" si="36"/>
        <v>0</v>
      </c>
      <c r="W318" s="289">
        <f t="shared" ca="1" si="36"/>
        <v>0</v>
      </c>
      <c r="X318" s="289">
        <f t="shared" ca="1" si="36"/>
        <v>0</v>
      </c>
      <c r="Y318" s="289">
        <f t="shared" ca="1" si="36"/>
        <v>0</v>
      </c>
      <c r="Z318" s="292">
        <f t="shared" ca="1" si="36"/>
        <v>0</v>
      </c>
    </row>
    <row r="319" spans="2:26">
      <c r="B319" s="282" t="s">
        <v>14</v>
      </c>
      <c r="C319" s="278">
        <f t="shared" ca="1" si="37"/>
        <v>0</v>
      </c>
      <c r="D319" s="278">
        <f t="shared" ca="1" si="37"/>
        <v>0</v>
      </c>
      <c r="E319" s="278">
        <f t="shared" ca="1" si="37"/>
        <v>0</v>
      </c>
      <c r="F319" s="278">
        <f t="shared" ca="1" si="37"/>
        <v>0</v>
      </c>
      <c r="G319" s="278">
        <f t="shared" ca="1" si="37"/>
        <v>0</v>
      </c>
      <c r="H319" s="278">
        <f t="shared" ca="1" si="37"/>
        <v>0</v>
      </c>
      <c r="I319" s="278">
        <f t="shared" ca="1" si="37"/>
        <v>0</v>
      </c>
      <c r="J319" s="278">
        <f t="shared" ca="1" si="37"/>
        <v>0</v>
      </c>
      <c r="K319" s="278">
        <f t="shared" ca="1" si="37"/>
        <v>0</v>
      </c>
      <c r="L319" s="278">
        <f t="shared" ca="1" si="37"/>
        <v>0</v>
      </c>
      <c r="M319" s="279" t="s">
        <v>6</v>
      </c>
      <c r="O319" s="282" t="s">
        <v>14</v>
      </c>
      <c r="P319" s="295" t="s">
        <v>6</v>
      </c>
      <c r="Q319" s="295" t="s">
        <v>6</v>
      </c>
      <c r="R319" s="295" t="s">
        <v>6</v>
      </c>
      <c r="S319" s="295" t="s">
        <v>6</v>
      </c>
      <c r="T319" s="295" t="s">
        <v>6</v>
      </c>
      <c r="U319" s="295" t="s">
        <v>6</v>
      </c>
      <c r="V319" s="295" t="s">
        <v>6</v>
      </c>
      <c r="W319" s="295" t="s">
        <v>6</v>
      </c>
      <c r="X319" s="295" t="s">
        <v>6</v>
      </c>
      <c r="Y319" s="295" t="s">
        <v>6</v>
      </c>
      <c r="Z319" s="291" t="s">
        <v>6</v>
      </c>
    </row>
    <row r="320" spans="2:26">
      <c r="B320" s="282"/>
      <c r="C320" s="278"/>
      <c r="D320" s="278"/>
      <c r="E320" s="278"/>
      <c r="F320" s="278"/>
      <c r="G320" s="278"/>
      <c r="H320" s="278"/>
      <c r="I320" s="278"/>
      <c r="J320" s="278"/>
      <c r="K320" s="278"/>
      <c r="L320" s="278"/>
      <c r="M320" s="279"/>
      <c r="O320" s="282"/>
      <c r="P320" s="289"/>
      <c r="Q320" s="289"/>
      <c r="R320" s="289"/>
      <c r="S320" s="289"/>
      <c r="T320" s="289"/>
      <c r="U320" s="295"/>
      <c r="V320" s="289"/>
      <c r="W320" s="289"/>
      <c r="X320" s="289"/>
      <c r="Y320" s="289"/>
      <c r="Z320" s="292"/>
    </row>
    <row r="321" spans="1:26">
      <c r="B321" s="282"/>
      <c r="C321" s="278"/>
      <c r="D321" s="278"/>
      <c r="E321" s="278"/>
      <c r="F321" s="278"/>
      <c r="G321" s="278"/>
      <c r="H321" s="278"/>
      <c r="I321" s="278"/>
      <c r="J321" s="278"/>
      <c r="K321" s="278"/>
      <c r="L321" s="278"/>
      <c r="M321" s="279"/>
      <c r="O321" s="282"/>
      <c r="P321" s="289"/>
      <c r="Q321" s="289"/>
      <c r="R321" s="289"/>
      <c r="S321" s="289"/>
      <c r="T321" s="289"/>
      <c r="U321" s="295"/>
      <c r="V321" s="289"/>
      <c r="W321" s="289"/>
      <c r="X321" s="289"/>
      <c r="Y321" s="289"/>
      <c r="Z321" s="292"/>
    </row>
    <row r="322" spans="1:26">
      <c r="B322" s="283"/>
      <c r="C322" s="280"/>
      <c r="D322" s="280"/>
      <c r="E322" s="280"/>
      <c r="F322" s="280"/>
      <c r="G322" s="280"/>
      <c r="H322" s="280"/>
      <c r="I322" s="280"/>
      <c r="J322" s="280"/>
      <c r="K322" s="280"/>
      <c r="L322" s="280"/>
      <c r="M322" s="281"/>
      <c r="O322" s="283"/>
      <c r="P322" s="293"/>
      <c r="Q322" s="293"/>
      <c r="R322" s="293"/>
      <c r="S322" s="293"/>
      <c r="T322" s="293"/>
      <c r="U322" s="296"/>
      <c r="V322" s="293"/>
      <c r="W322" s="293"/>
      <c r="X322" s="293"/>
      <c r="Y322" s="293"/>
      <c r="Z322" s="294"/>
    </row>
    <row r="325" spans="1:26">
      <c r="A325" s="224" t="s">
        <v>500</v>
      </c>
      <c r="B325" s="290" t="s">
        <v>502</v>
      </c>
      <c r="C325" s="284"/>
      <c r="G325" s="290" t="s">
        <v>502</v>
      </c>
    </row>
    <row r="326" spans="1:26">
      <c r="B326" s="284" t="s">
        <v>503</v>
      </c>
      <c r="C326" s="284"/>
      <c r="G326" s="284" t="s">
        <v>501</v>
      </c>
      <c r="H326" s="284"/>
    </row>
    <row r="327" spans="1:26">
      <c r="B327" s="258" t="s">
        <v>474</v>
      </c>
      <c r="C327" s="286">
        <f ca="1">SUM(C353:L371)</f>
        <v>0</v>
      </c>
      <c r="G327" s="258" t="s">
        <v>474</v>
      </c>
      <c r="H327" s="286">
        <f ca="1">SUM(P353:Z371)</f>
        <v>0</v>
      </c>
    </row>
    <row r="329" spans="1:26">
      <c r="B329" s="258" t="s">
        <v>477</v>
      </c>
      <c r="C329" s="258"/>
    </row>
    <row r="330" spans="1:26">
      <c r="B330" s="254" t="s">
        <v>468</v>
      </c>
      <c r="C330" s="276">
        <v>-0.05</v>
      </c>
      <c r="D330" s="276">
        <v>-0.04</v>
      </c>
      <c r="E330" s="276">
        <v>-0.03</v>
      </c>
      <c r="F330" s="276">
        <v>-1.9999999999999997E-2</v>
      </c>
      <c r="G330" s="276">
        <v>-9.9999999999999967E-3</v>
      </c>
      <c r="H330" s="276">
        <v>0</v>
      </c>
      <c r="I330" s="276">
        <v>0.01</v>
      </c>
      <c r="J330" s="276">
        <v>0.02</v>
      </c>
      <c r="K330" s="276">
        <v>0.03</v>
      </c>
      <c r="L330" s="276">
        <v>0.04</v>
      </c>
      <c r="M330" s="277">
        <v>0.05</v>
      </c>
    </row>
    <row r="331" spans="1:26">
      <c r="B331" s="282" t="s">
        <v>42</v>
      </c>
      <c r="C331" s="278">
        <f ca="1">'GBP Swap PVs'!AH52</f>
        <v>-98985.127372311268</v>
      </c>
      <c r="D331" s="278">
        <f ca="1">'GBP Swap PVs'!AI52</f>
        <v>-79188.101897849003</v>
      </c>
      <c r="E331" s="278">
        <f ca="1">'GBP Swap PVs'!AJ52</f>
        <v>-59391.076423386752</v>
      </c>
      <c r="F331" s="278">
        <f ca="1">'GBP Swap PVs'!AK52</f>
        <v>-39594.050948924501</v>
      </c>
      <c r="G331" s="278">
        <f ca="1">'GBP Swap PVs'!AL52</f>
        <v>-19797.025474462243</v>
      </c>
      <c r="H331" s="278">
        <f ca="1">'GBP Swap PVs'!AM52</f>
        <v>0</v>
      </c>
      <c r="I331" s="278">
        <f ca="1">'GBP Swap PVs'!AN52</f>
        <v>19797.025474462251</v>
      </c>
      <c r="J331" s="278">
        <f ca="1">'GBP Swap PVs'!AO52</f>
        <v>39594.050948924501</v>
      </c>
      <c r="K331" s="278">
        <f ca="1">'GBP Swap PVs'!AP52</f>
        <v>59391.076423386752</v>
      </c>
      <c r="L331" s="278">
        <f ca="1">'GBP Swap PVs'!AQ52</f>
        <v>79188.101897849003</v>
      </c>
      <c r="M331" s="279">
        <f ca="1">'GBP Swap PVs'!AR52</f>
        <v>98985.127372311239</v>
      </c>
    </row>
    <row r="332" spans="1:26">
      <c r="B332" s="282" t="s">
        <v>39</v>
      </c>
      <c r="C332" s="278">
        <f ca="1">'GBP Swap PVs'!AH53</f>
        <v>-147592.05976994697</v>
      </c>
      <c r="D332" s="278">
        <f ca="1">'GBP Swap PVs'!AI53</f>
        <v>-118073.64781595756</v>
      </c>
      <c r="E332" s="278">
        <f ca="1">'GBP Swap PVs'!AJ53</f>
        <v>-88555.235861968176</v>
      </c>
      <c r="F332" s="278">
        <f ca="1">'GBP Swap PVs'!AK53</f>
        <v>-59036.823907978775</v>
      </c>
      <c r="G332" s="278">
        <f ca="1">'GBP Swap PVs'!AL53</f>
        <v>-29518.411953989384</v>
      </c>
      <c r="H332" s="278">
        <f ca="1">'GBP Swap PVs'!AM53</f>
        <v>0</v>
      </c>
      <c r="I332" s="278">
        <f ca="1">'GBP Swap PVs'!AN53</f>
        <v>29518.411953989395</v>
      </c>
      <c r="J332" s="278">
        <f ca="1">'GBP Swap PVs'!AO53</f>
        <v>59036.823907978775</v>
      </c>
      <c r="K332" s="278">
        <f ca="1">'GBP Swap PVs'!AP53</f>
        <v>88555.235861968191</v>
      </c>
      <c r="L332" s="278">
        <f ca="1">'GBP Swap PVs'!AQ53</f>
        <v>118073.64781595756</v>
      </c>
      <c r="M332" s="279">
        <f ca="1">'GBP Swap PVs'!AR53</f>
        <v>147592.05976994694</v>
      </c>
    </row>
    <row r="333" spans="1:26">
      <c r="B333" s="282" t="s">
        <v>35</v>
      </c>
      <c r="C333" s="278">
        <f ca="1">'GBP Swap PVs'!AH54</f>
        <v>-195575.44632915632</v>
      </c>
      <c r="D333" s="278">
        <f ca="1">'GBP Swap PVs'!AI54</f>
        <v>-156460.35706332506</v>
      </c>
      <c r="E333" s="278">
        <f ca="1">'GBP Swap PVs'!AJ54</f>
        <v>-117345.2677974938</v>
      </c>
      <c r="F333" s="278">
        <f ca="1">'GBP Swap PVs'!AK54</f>
        <v>-78230.178531662532</v>
      </c>
      <c r="G333" s="278">
        <f ca="1">'GBP Swap PVs'!AL54</f>
        <v>-39115.089265831259</v>
      </c>
      <c r="H333" s="278">
        <f ca="1">'GBP Swap PVs'!AM54</f>
        <v>0</v>
      </c>
      <c r="I333" s="278">
        <f ca="1">'GBP Swap PVs'!AN54</f>
        <v>39115.089265831251</v>
      </c>
      <c r="J333" s="278">
        <f ca="1">'GBP Swap PVs'!AO54</f>
        <v>78230.178531662532</v>
      </c>
      <c r="K333" s="278">
        <f ca="1">'GBP Swap PVs'!AP54</f>
        <v>117345.2677974938</v>
      </c>
      <c r="L333" s="278">
        <f ca="1">'GBP Swap PVs'!AQ54</f>
        <v>156460.35706332506</v>
      </c>
      <c r="M333" s="279">
        <f ca="1">'GBP Swap PVs'!AR54</f>
        <v>195575.44632915632</v>
      </c>
    </row>
    <row r="334" spans="1:26">
      <c r="B334" s="282" t="s">
        <v>33</v>
      </c>
      <c r="C334" s="278">
        <f ca="1">'GBP Swap PVs'!AH55</f>
        <v>-242183.82059898091</v>
      </c>
      <c r="D334" s="278">
        <f ca="1">'GBP Swap PVs'!AI55</f>
        <v>-193747.05647918477</v>
      </c>
      <c r="E334" s="278">
        <f ca="1">'GBP Swap PVs'!AJ55</f>
        <v>-145310.29235938855</v>
      </c>
      <c r="F334" s="278">
        <f ca="1">'GBP Swap PVs'!AK55</f>
        <v>-96873.528239592357</v>
      </c>
      <c r="G334" s="278">
        <f ca="1">'GBP Swap PVs'!AL55</f>
        <v>-48436.764119796171</v>
      </c>
      <c r="H334" s="278">
        <f ca="1">'GBP Swap PVs'!AM55</f>
        <v>0</v>
      </c>
      <c r="I334" s="278">
        <f ca="1">'GBP Swap PVs'!AN55</f>
        <v>48436.764119796178</v>
      </c>
      <c r="J334" s="278">
        <f ca="1">'GBP Swap PVs'!AO55</f>
        <v>96873.528239592371</v>
      </c>
      <c r="K334" s="278">
        <f ca="1">'GBP Swap PVs'!AP55</f>
        <v>145310.29235938858</v>
      </c>
      <c r="L334" s="278">
        <f ca="1">'GBP Swap PVs'!AQ55</f>
        <v>193747.05647918471</v>
      </c>
      <c r="M334" s="279">
        <f ca="1">'GBP Swap PVs'!AR55</f>
        <v>242183.82059898096</v>
      </c>
    </row>
    <row r="335" spans="1:26">
      <c r="B335" s="282" t="s">
        <v>131</v>
      </c>
      <c r="C335" s="278">
        <f ca="1">'GBP Swap PVs'!AH56</f>
        <v>-287881.48220303055</v>
      </c>
      <c r="D335" s="278">
        <f ca="1">'GBP Swap PVs'!AI56</f>
        <v>-230305.18576242443</v>
      </c>
      <c r="E335" s="278">
        <f ca="1">'GBP Swap PVs'!AJ56</f>
        <v>-172728.88932181831</v>
      </c>
      <c r="F335" s="278">
        <f ca="1">'GBP Swap PVs'!AK56</f>
        <v>-115152.5928812122</v>
      </c>
      <c r="G335" s="278">
        <f ca="1">'GBP Swap PVs'!AL56</f>
        <v>-57576.296440606093</v>
      </c>
      <c r="H335" s="278">
        <f ca="1">'GBP Swap PVs'!AM56</f>
        <v>0</v>
      </c>
      <c r="I335" s="278">
        <f ca="1">'GBP Swap PVs'!AN56</f>
        <v>57576.296440606122</v>
      </c>
      <c r="J335" s="278">
        <f ca="1">'GBP Swap PVs'!AO56</f>
        <v>115152.5928812122</v>
      </c>
      <c r="K335" s="278">
        <f ca="1">'GBP Swap PVs'!AP56</f>
        <v>172728.88932181834</v>
      </c>
      <c r="L335" s="278">
        <f ca="1">'GBP Swap PVs'!AQ56</f>
        <v>230305.18576242443</v>
      </c>
      <c r="M335" s="279">
        <f ca="1">'GBP Swap PVs'!AR56</f>
        <v>287881.48220303049</v>
      </c>
    </row>
    <row r="336" spans="1:26">
      <c r="B336" s="282" t="s">
        <v>31</v>
      </c>
      <c r="C336" s="278">
        <f ca="1">'GBP Swap PVs'!AH57</f>
        <v>-332503.98096674302</v>
      </c>
      <c r="D336" s="278">
        <f ca="1">'GBP Swap PVs'!AI57</f>
        <v>-266003.18477339449</v>
      </c>
      <c r="E336" s="278">
        <f ca="1">'GBP Swap PVs'!AJ57</f>
        <v>-199502.38858004581</v>
      </c>
      <c r="F336" s="278">
        <f ca="1">'GBP Swap PVs'!AK57</f>
        <v>-133001.59238669722</v>
      </c>
      <c r="G336" s="278">
        <f ca="1">'GBP Swap PVs'!AL57</f>
        <v>-66500.796193348593</v>
      </c>
      <c r="H336" s="278">
        <f ca="1">'GBP Swap PVs'!AM57</f>
        <v>0</v>
      </c>
      <c r="I336" s="278">
        <f ca="1">'GBP Swap PVs'!AN57</f>
        <v>66500.796193348622</v>
      </c>
      <c r="J336" s="278">
        <f ca="1">'GBP Swap PVs'!AO57</f>
        <v>133001.59238669727</v>
      </c>
      <c r="K336" s="278">
        <f ca="1">'GBP Swap PVs'!AP57</f>
        <v>199502.38858004584</v>
      </c>
      <c r="L336" s="278">
        <f ca="1">'GBP Swap PVs'!AQ57</f>
        <v>266003.18477339449</v>
      </c>
      <c r="M336" s="279">
        <f ca="1">'GBP Swap PVs'!AR57</f>
        <v>332503.98096674302</v>
      </c>
    </row>
    <row r="337" spans="2:26">
      <c r="B337" s="282" t="s">
        <v>119</v>
      </c>
      <c r="C337" s="278">
        <f ca="1">'GBP Swap PVs'!AH58</f>
        <v>-376035.413937465</v>
      </c>
      <c r="D337" s="278">
        <f ca="1">'GBP Swap PVs'!AI58</f>
        <v>-300828.33114997199</v>
      </c>
      <c r="E337" s="278">
        <f ca="1">'GBP Swap PVs'!AJ58</f>
        <v>-225621.24836247897</v>
      </c>
      <c r="F337" s="278">
        <f ca="1">'GBP Swap PVs'!AK58</f>
        <v>-150414.16557498596</v>
      </c>
      <c r="G337" s="278">
        <f ca="1">'GBP Swap PVs'!AL58</f>
        <v>-75207.082787492967</v>
      </c>
      <c r="H337" s="278">
        <f ca="1">'GBP Swap PVs'!AM58</f>
        <v>0</v>
      </c>
      <c r="I337" s="278">
        <f ca="1">'GBP Swap PVs'!AN58</f>
        <v>75207.082787493026</v>
      </c>
      <c r="J337" s="278">
        <f ca="1">'GBP Swap PVs'!AO58</f>
        <v>150414.16557498605</v>
      </c>
      <c r="K337" s="278">
        <f ca="1">'GBP Swap PVs'!AP58</f>
        <v>225621.24836247897</v>
      </c>
      <c r="L337" s="278">
        <f ca="1">'GBP Swap PVs'!AQ58</f>
        <v>300828.33114997204</v>
      </c>
      <c r="M337" s="279">
        <f ca="1">'GBP Swap PVs'!AR58</f>
        <v>376035.41393746505</v>
      </c>
    </row>
    <row r="338" spans="2:26">
      <c r="B338" s="282" t="s">
        <v>113</v>
      </c>
      <c r="C338" s="278">
        <f ca="1">'GBP Swap PVs'!AH59</f>
        <v>-418823.01881965069</v>
      </c>
      <c r="D338" s="278">
        <f ca="1">'GBP Swap PVs'!AI59</f>
        <v>-335058.41505572054</v>
      </c>
      <c r="E338" s="278">
        <f ca="1">'GBP Swap PVs'!AJ59</f>
        <v>-251293.81129179039</v>
      </c>
      <c r="F338" s="278">
        <f ca="1">'GBP Swap PVs'!AK59</f>
        <v>-167529.20752786024</v>
      </c>
      <c r="G338" s="278">
        <f ca="1">'GBP Swap PVs'!AL59</f>
        <v>-83764.603763930107</v>
      </c>
      <c r="H338" s="278">
        <f ca="1">'GBP Swap PVs'!AM59</f>
        <v>0</v>
      </c>
      <c r="I338" s="278">
        <f ca="1">'GBP Swap PVs'!AN59</f>
        <v>83764.603763930078</v>
      </c>
      <c r="J338" s="278">
        <f ca="1">'GBP Swap PVs'!AO59</f>
        <v>167529.20752786027</v>
      </c>
      <c r="K338" s="278">
        <f ca="1">'GBP Swap PVs'!AP59</f>
        <v>251293.81129179033</v>
      </c>
      <c r="L338" s="278">
        <f ca="1">'GBP Swap PVs'!AQ59</f>
        <v>335058.41505572054</v>
      </c>
      <c r="M338" s="279">
        <f ca="1">'GBP Swap PVs'!AR59</f>
        <v>418823.01881965058</v>
      </c>
    </row>
    <row r="339" spans="2:26">
      <c r="B339" s="282" t="s">
        <v>28</v>
      </c>
      <c r="C339" s="278">
        <f ca="1">'GBP Swap PVs'!AH60</f>
        <v>-460063.14960164641</v>
      </c>
      <c r="D339" s="278">
        <f ca="1">'GBP Swap PVs'!AI60</f>
        <v>-368050.51968131715</v>
      </c>
      <c r="E339" s="278">
        <f ca="1">'GBP Swap PVs'!AJ60</f>
        <v>-276037.88976098789</v>
      </c>
      <c r="F339" s="278">
        <f ca="1">'GBP Swap PVs'!AK60</f>
        <v>-184025.25984065855</v>
      </c>
      <c r="G339" s="278">
        <f ca="1">'GBP Swap PVs'!AL60</f>
        <v>-92012.629920329244</v>
      </c>
      <c r="H339" s="278">
        <f ca="1">'GBP Swap PVs'!AM60</f>
        <v>0</v>
      </c>
      <c r="I339" s="278">
        <f ca="1">'GBP Swap PVs'!AN60</f>
        <v>92012.629920329302</v>
      </c>
      <c r="J339" s="278">
        <f ca="1">'GBP Swap PVs'!AO60</f>
        <v>184025.25984065863</v>
      </c>
      <c r="K339" s="278">
        <f ca="1">'GBP Swap PVs'!AP60</f>
        <v>276037.88976098789</v>
      </c>
      <c r="L339" s="278">
        <f ca="1">'GBP Swap PVs'!AQ60</f>
        <v>368050.51968131721</v>
      </c>
      <c r="M339" s="279">
        <f ca="1">'GBP Swap PVs'!AR60</f>
        <v>460063.14960164641</v>
      </c>
    </row>
    <row r="340" spans="2:26">
      <c r="B340" s="282" t="s">
        <v>26</v>
      </c>
      <c r="C340" s="278">
        <f ca="1">'GBP Swap PVs'!AH61</f>
        <v>-539399.29946624534</v>
      </c>
      <c r="D340" s="278">
        <f ca="1">'GBP Swap PVs'!AI61</f>
        <v>-431519.43957299634</v>
      </c>
      <c r="E340" s="278">
        <f ca="1">'GBP Swap PVs'!AJ61</f>
        <v>-323639.57967974723</v>
      </c>
      <c r="F340" s="278">
        <f ca="1">'GBP Swap PVs'!AK61</f>
        <v>-215759.71978649811</v>
      </c>
      <c r="G340" s="278">
        <f ca="1">'GBP Swap PVs'!AL61</f>
        <v>-107879.85989324903</v>
      </c>
      <c r="H340" s="278">
        <f ca="1">'GBP Swap PVs'!AM61</f>
        <v>0</v>
      </c>
      <c r="I340" s="278">
        <f ca="1">'GBP Swap PVs'!AN61</f>
        <v>107879.85989324906</v>
      </c>
      <c r="J340" s="278">
        <f ca="1">'GBP Swap PVs'!AO61</f>
        <v>215759.71978649817</v>
      </c>
      <c r="K340" s="278">
        <f ca="1">'GBP Swap PVs'!AP61</f>
        <v>323639.57967974723</v>
      </c>
      <c r="L340" s="278">
        <f ca="1">'GBP Swap PVs'!AQ61</f>
        <v>431519.43957299634</v>
      </c>
      <c r="M340" s="279">
        <f ca="1">'GBP Swap PVs'!AR61</f>
        <v>539399.29946624534</v>
      </c>
    </row>
    <row r="341" spans="2:26">
      <c r="B341" s="282" t="s">
        <v>24</v>
      </c>
      <c r="C341" s="278">
        <f ca="1">'GBP Swap PVs'!AH62</f>
        <v>-650948.40440974885</v>
      </c>
      <c r="D341" s="278">
        <f ca="1">'GBP Swap PVs'!AI62</f>
        <v>-520758.72352779907</v>
      </c>
      <c r="E341" s="278">
        <f ca="1">'GBP Swap PVs'!AJ62</f>
        <v>-390569.04264584935</v>
      </c>
      <c r="F341" s="278">
        <f ca="1">'GBP Swap PVs'!AK62</f>
        <v>-260379.36176389953</v>
      </c>
      <c r="G341" s="278">
        <f ca="1">'GBP Swap PVs'!AL62</f>
        <v>-130189.68088194974</v>
      </c>
      <c r="H341" s="278">
        <f ca="1">'GBP Swap PVs'!AM62</f>
        <v>0</v>
      </c>
      <c r="I341" s="278">
        <f ca="1">'GBP Swap PVs'!AN62</f>
        <v>130189.68088194983</v>
      </c>
      <c r="J341" s="278">
        <f ca="1">'GBP Swap PVs'!AO62</f>
        <v>260379.36176389959</v>
      </c>
      <c r="K341" s="278">
        <f ca="1">'GBP Swap PVs'!AP62</f>
        <v>390569.04264584929</v>
      </c>
      <c r="L341" s="278">
        <f ca="1">'GBP Swap PVs'!AQ62</f>
        <v>520758.7235277993</v>
      </c>
      <c r="M341" s="279">
        <f ca="1">'GBP Swap PVs'!AR62</f>
        <v>650948.40440974885</v>
      </c>
    </row>
    <row r="342" spans="2:26">
      <c r="B342" s="282" t="s">
        <v>20</v>
      </c>
      <c r="C342" s="278">
        <f ca="1">'GBP Swap PVs'!AH63</f>
        <v>-817421.3529675263</v>
      </c>
      <c r="D342" s="278">
        <f ca="1">'GBP Swap PVs'!AI63</f>
        <v>-653937.08237402095</v>
      </c>
      <c r="E342" s="278">
        <f ca="1">'GBP Swap PVs'!AJ63</f>
        <v>-490452.81178051571</v>
      </c>
      <c r="F342" s="278">
        <f ca="1">'GBP Swap PVs'!AK63</f>
        <v>-326968.54118701041</v>
      </c>
      <c r="G342" s="278">
        <f ca="1">'GBP Swap PVs'!AL63</f>
        <v>-163484.27059350518</v>
      </c>
      <c r="H342" s="278">
        <f ca="1">'GBP Swap PVs'!AM63</f>
        <v>0</v>
      </c>
      <c r="I342" s="278">
        <f ca="1">'GBP Swap PVs'!AN63</f>
        <v>163484.27059350529</v>
      </c>
      <c r="J342" s="278">
        <f ca="1">'GBP Swap PVs'!AO63</f>
        <v>326968.54118701053</v>
      </c>
      <c r="K342" s="278">
        <f ca="1">'GBP Swap PVs'!AP63</f>
        <v>490452.81178051565</v>
      </c>
      <c r="L342" s="278">
        <f ca="1">'GBP Swap PVs'!AQ63</f>
        <v>653937.08237402071</v>
      </c>
      <c r="M342" s="279">
        <f ca="1">'GBP Swap PVs'!AR63</f>
        <v>817421.3529675263</v>
      </c>
    </row>
    <row r="343" spans="2:26">
      <c r="B343" s="282" t="s">
        <v>18</v>
      </c>
      <c r="C343" s="278">
        <f ca="1">'GBP Swap PVs'!AH64</f>
        <v>-964673.16142758704</v>
      </c>
      <c r="D343" s="278">
        <f ca="1">'GBP Swap PVs'!AI64</f>
        <v>-771738.52914206963</v>
      </c>
      <c r="E343" s="278">
        <f ca="1">'GBP Swap PVs'!AJ64</f>
        <v>-578803.89685655222</v>
      </c>
      <c r="F343" s="278">
        <f ca="1">'GBP Swap PVs'!AK64</f>
        <v>-385869.26457103476</v>
      </c>
      <c r="G343" s="278">
        <f ca="1">'GBP Swap PVs'!AL64</f>
        <v>-192934.63228551732</v>
      </c>
      <c r="H343" s="278">
        <f ca="1">'GBP Swap PVs'!AM64</f>
        <v>0</v>
      </c>
      <c r="I343" s="278">
        <f ca="1">'GBP Swap PVs'!AN64</f>
        <v>192934.63228551738</v>
      </c>
      <c r="J343" s="278">
        <f ca="1">'GBP Swap PVs'!AO64</f>
        <v>385869.26457103482</v>
      </c>
      <c r="K343" s="278">
        <f ca="1">'GBP Swap PVs'!AP64</f>
        <v>578803.89685655211</v>
      </c>
      <c r="L343" s="278">
        <f ca="1">'GBP Swap PVs'!AQ64</f>
        <v>771738.52914206951</v>
      </c>
      <c r="M343" s="279">
        <f ca="1">'GBP Swap PVs'!AR64</f>
        <v>964673.16142758692</v>
      </c>
    </row>
    <row r="344" spans="2:26">
      <c r="B344" s="282" t="s">
        <v>17</v>
      </c>
      <c r="C344" s="278">
        <f ca="1">'GBP Swap PVs'!AH65</f>
        <v>-1095602.260317022</v>
      </c>
      <c r="D344" s="278">
        <f ca="1">'GBP Swap PVs'!AI65</f>
        <v>-876481.80825361749</v>
      </c>
      <c r="E344" s="278">
        <f ca="1">'GBP Swap PVs'!AJ65</f>
        <v>-657361.35619021312</v>
      </c>
      <c r="F344" s="278">
        <f ca="1">'GBP Swap PVs'!AK65</f>
        <v>-438240.90412680875</v>
      </c>
      <c r="G344" s="278">
        <f ca="1">'GBP Swap PVs'!AL65</f>
        <v>-219120.45206340431</v>
      </c>
      <c r="H344" s="278">
        <f ca="1">'GBP Swap PVs'!AM65</f>
        <v>0</v>
      </c>
      <c r="I344" s="278">
        <f ca="1">'GBP Swap PVs'!AN65</f>
        <v>219120.45206340437</v>
      </c>
      <c r="J344" s="278">
        <f ca="1">'GBP Swap PVs'!AO65</f>
        <v>438240.90412680875</v>
      </c>
      <c r="K344" s="278">
        <f ca="1">'GBP Swap PVs'!AP65</f>
        <v>657361.356190213</v>
      </c>
      <c r="L344" s="278">
        <f ca="1">'GBP Swap PVs'!AQ65</f>
        <v>876481.80825361761</v>
      </c>
      <c r="M344" s="279">
        <f ca="1">'GBP Swap PVs'!AR65</f>
        <v>1095602.260317022</v>
      </c>
    </row>
    <row r="345" spans="2:26">
      <c r="B345" s="282" t="s">
        <v>15</v>
      </c>
      <c r="C345" s="278">
        <f ca="1">'GBP Swap PVs'!AH66</f>
        <v>-1317901.5977899607</v>
      </c>
      <c r="D345" s="278">
        <f ca="1">'GBP Swap PVs'!AI66</f>
        <v>-1054321.2782319684</v>
      </c>
      <c r="E345" s="278">
        <f ca="1">'GBP Swap PVs'!AJ66</f>
        <v>-790740.95867397625</v>
      </c>
      <c r="F345" s="278">
        <f ca="1">'GBP Swap PVs'!AK66</f>
        <v>-527160.63911598409</v>
      </c>
      <c r="G345" s="278">
        <f ca="1">'GBP Swap PVs'!AL66</f>
        <v>-263580.31955799198</v>
      </c>
      <c r="H345" s="278">
        <f ca="1">'GBP Swap PVs'!AM66</f>
        <v>0</v>
      </c>
      <c r="I345" s="278">
        <f ca="1">'GBP Swap PVs'!AN66</f>
        <v>263580.31955799198</v>
      </c>
      <c r="J345" s="278">
        <f ca="1">'GBP Swap PVs'!AO66</f>
        <v>527160.6391159842</v>
      </c>
      <c r="K345" s="278">
        <f ca="1">'GBP Swap PVs'!AP66</f>
        <v>790740.95867397648</v>
      </c>
      <c r="L345" s="278">
        <f ca="1">'GBP Swap PVs'!AQ66</f>
        <v>1054321.2782319682</v>
      </c>
      <c r="M345" s="279">
        <f ca="1">'GBP Swap PVs'!AR66</f>
        <v>1317901.5977899607</v>
      </c>
    </row>
    <row r="346" spans="2:26">
      <c r="B346" s="282" t="s">
        <v>14</v>
      </c>
      <c r="C346" s="278">
        <f ca="1">'GBP Swap PVs'!AH67</f>
        <v>-1498349.9245906647</v>
      </c>
      <c r="D346" s="278">
        <f ca="1">'GBP Swap PVs'!AI67</f>
        <v>-1198679.9396725316</v>
      </c>
      <c r="E346" s="278">
        <f ca="1">'GBP Swap PVs'!AJ67</f>
        <v>-899009.95475439855</v>
      </c>
      <c r="F346" s="278">
        <f ca="1">'GBP Swap PVs'!AK67</f>
        <v>-599339.96983626566</v>
      </c>
      <c r="G346" s="278">
        <f ca="1">'GBP Swap PVs'!AL67</f>
        <v>-299669.98491813277</v>
      </c>
      <c r="H346" s="278">
        <f ca="1">'GBP Swap PVs'!AM67</f>
        <v>0</v>
      </c>
      <c r="I346" s="278">
        <f ca="1">'GBP Swap PVs'!AN67</f>
        <v>299669.98491813289</v>
      </c>
      <c r="J346" s="278">
        <f ca="1">'GBP Swap PVs'!AO67</f>
        <v>599339.9698362659</v>
      </c>
      <c r="K346" s="278">
        <f ca="1">'GBP Swap PVs'!AP67</f>
        <v>899009.95475439867</v>
      </c>
      <c r="L346" s="278">
        <f ca="1">'GBP Swap PVs'!AQ67</f>
        <v>1198679.9396725316</v>
      </c>
      <c r="M346" s="279">
        <f ca="1">'GBP Swap PVs'!AR67</f>
        <v>1498349.9245906647</v>
      </c>
    </row>
    <row r="347" spans="2:26">
      <c r="B347" s="282"/>
      <c r="C347" s="278"/>
      <c r="D347" s="278"/>
      <c r="E347" s="278"/>
      <c r="F347" s="278"/>
      <c r="G347" s="278"/>
      <c r="H347" s="278"/>
      <c r="I347" s="278"/>
      <c r="J347" s="278"/>
      <c r="K347" s="278"/>
      <c r="L347" s="278"/>
      <c r="M347" s="279"/>
    </row>
    <row r="348" spans="2:26">
      <c r="B348" s="282"/>
      <c r="C348" s="278"/>
      <c r="D348" s="278"/>
      <c r="E348" s="278"/>
      <c r="F348" s="278"/>
      <c r="G348" s="278"/>
      <c r="H348" s="278"/>
      <c r="I348" s="278"/>
      <c r="J348" s="278"/>
      <c r="K348" s="278"/>
      <c r="L348" s="278"/>
      <c r="M348" s="279"/>
    </row>
    <row r="349" spans="2:26">
      <c r="B349" s="283"/>
      <c r="C349" s="280"/>
      <c r="D349" s="280"/>
      <c r="E349" s="280"/>
      <c r="F349" s="280"/>
      <c r="G349" s="280"/>
      <c r="H349" s="280"/>
      <c r="I349" s="280"/>
      <c r="J349" s="280"/>
      <c r="K349" s="280"/>
      <c r="L349" s="280"/>
      <c r="M349" s="281"/>
    </row>
    <row r="351" spans="2:26">
      <c r="B351" s="258" t="s">
        <v>472</v>
      </c>
      <c r="O351" s="258" t="s">
        <v>472</v>
      </c>
    </row>
    <row r="352" spans="2:26">
      <c r="B352" s="254" t="s">
        <v>468</v>
      </c>
      <c r="C352" s="276">
        <v>-0.05</v>
      </c>
      <c r="D352" s="276">
        <v>-0.04</v>
      </c>
      <c r="E352" s="276">
        <v>-0.03</v>
      </c>
      <c r="F352" s="276">
        <v>-1.9999999999999997E-2</v>
      </c>
      <c r="G352" s="276">
        <v>-9.9999999999999967E-3</v>
      </c>
      <c r="H352" s="276">
        <v>0</v>
      </c>
      <c r="I352" s="276">
        <v>0.01</v>
      </c>
      <c r="J352" s="276">
        <v>0.02</v>
      </c>
      <c r="K352" s="276">
        <v>0.03</v>
      </c>
      <c r="L352" s="276">
        <v>0.04</v>
      </c>
      <c r="M352" s="277">
        <v>0.05</v>
      </c>
      <c r="O352" s="254" t="s">
        <v>468</v>
      </c>
      <c r="P352" s="276">
        <v>-0.05</v>
      </c>
      <c r="Q352" s="276">
        <v>-0.04</v>
      </c>
      <c r="R352" s="276">
        <v>-0.03</v>
      </c>
      <c r="S352" s="276">
        <v>-1.9999999999999997E-2</v>
      </c>
      <c r="T352" s="276">
        <v>-9.9999999999999967E-3</v>
      </c>
      <c r="U352" s="276">
        <v>0</v>
      </c>
      <c r="V352" s="276">
        <v>0.01</v>
      </c>
      <c r="W352" s="276">
        <v>0.02</v>
      </c>
      <c r="X352" s="276">
        <v>0.03</v>
      </c>
      <c r="Y352" s="276">
        <v>0.04</v>
      </c>
      <c r="Z352" s="277">
        <v>0.05</v>
      </c>
    </row>
    <row r="353" spans="2:26">
      <c r="B353" s="282" t="s">
        <v>42</v>
      </c>
      <c r="C353" s="278">
        <f ca="1">IF(C331&lt;D331,0,1)</f>
        <v>0</v>
      </c>
      <c r="D353" s="278">
        <f t="shared" ref="D353:L353" ca="1" si="39">IF(D331&lt;E331,0,1)</f>
        <v>0</v>
      </c>
      <c r="E353" s="278">
        <f t="shared" ca="1" si="39"/>
        <v>0</v>
      </c>
      <c r="F353" s="278">
        <f t="shared" ca="1" si="39"/>
        <v>0</v>
      </c>
      <c r="G353" s="278">
        <f t="shared" ca="1" si="39"/>
        <v>0</v>
      </c>
      <c r="H353" s="278">
        <f t="shared" ca="1" si="39"/>
        <v>0</v>
      </c>
      <c r="I353" s="278">
        <f t="shared" ca="1" si="39"/>
        <v>0</v>
      </c>
      <c r="J353" s="278">
        <f t="shared" ca="1" si="39"/>
        <v>0</v>
      </c>
      <c r="K353" s="278">
        <f t="shared" ca="1" si="39"/>
        <v>0</v>
      </c>
      <c r="L353" s="278">
        <f t="shared" ca="1" si="39"/>
        <v>0</v>
      </c>
      <c r="M353" s="285" t="s">
        <v>6</v>
      </c>
      <c r="O353" s="282" t="s">
        <v>42</v>
      </c>
      <c r="P353" s="289">
        <f ca="1">IF(ABS(C332)&gt;ABS(C331),0,1)</f>
        <v>0</v>
      </c>
      <c r="Q353" s="289">
        <f t="shared" ref="Q353:T368" ca="1" si="40">IF(ABS(D332)&gt;ABS(D331),0,1)</f>
        <v>0</v>
      </c>
      <c r="R353" s="289">
        <f t="shared" ca="1" si="40"/>
        <v>0</v>
      </c>
      <c r="S353" s="289">
        <f t="shared" ca="1" si="40"/>
        <v>0</v>
      </c>
      <c r="T353" s="289">
        <f t="shared" ca="1" si="40"/>
        <v>0</v>
      </c>
      <c r="U353" s="295" t="s">
        <v>6</v>
      </c>
      <c r="V353" s="289">
        <f t="shared" ref="V353:Z368" ca="1" si="41">IF(ABS(I332)&gt;ABS(I331),0,1)</f>
        <v>0</v>
      </c>
      <c r="W353" s="289">
        <f t="shared" ca="1" si="41"/>
        <v>0</v>
      </c>
      <c r="X353" s="289">
        <f t="shared" ca="1" si="41"/>
        <v>0</v>
      </c>
      <c r="Y353" s="289">
        <f t="shared" ca="1" si="41"/>
        <v>0</v>
      </c>
      <c r="Z353" s="291">
        <f t="shared" ca="1" si="41"/>
        <v>0</v>
      </c>
    </row>
    <row r="354" spans="2:26">
      <c r="B354" s="282" t="s">
        <v>39</v>
      </c>
      <c r="C354" s="278">
        <f t="shared" ref="C354:L369" ca="1" si="42">IF(C332&lt;D332,0,1)</f>
        <v>0</v>
      </c>
      <c r="D354" s="278">
        <f t="shared" ca="1" si="42"/>
        <v>0</v>
      </c>
      <c r="E354" s="278">
        <f t="shared" ca="1" si="42"/>
        <v>0</v>
      </c>
      <c r="F354" s="278">
        <f t="shared" ca="1" si="42"/>
        <v>0</v>
      </c>
      <c r="G354" s="278">
        <f t="shared" ca="1" si="42"/>
        <v>0</v>
      </c>
      <c r="H354" s="278">
        <f t="shared" ca="1" si="42"/>
        <v>0</v>
      </c>
      <c r="I354" s="278">
        <f t="shared" ca="1" si="42"/>
        <v>0</v>
      </c>
      <c r="J354" s="278">
        <f t="shared" ca="1" si="42"/>
        <v>0</v>
      </c>
      <c r="K354" s="278">
        <f t="shared" ca="1" si="42"/>
        <v>0</v>
      </c>
      <c r="L354" s="278">
        <f t="shared" ca="1" si="42"/>
        <v>0</v>
      </c>
      <c r="M354" s="279" t="s">
        <v>6</v>
      </c>
      <c r="O354" s="282" t="s">
        <v>39</v>
      </c>
      <c r="P354" s="289">
        <f t="shared" ref="P354:T369" ca="1" si="43">IF(ABS(C333)&gt;ABS(C332),0,1)</f>
        <v>0</v>
      </c>
      <c r="Q354" s="289">
        <f t="shared" ca="1" si="40"/>
        <v>0</v>
      </c>
      <c r="R354" s="289">
        <f t="shared" ca="1" si="40"/>
        <v>0</v>
      </c>
      <c r="S354" s="289">
        <f t="shared" ca="1" si="40"/>
        <v>0</v>
      </c>
      <c r="T354" s="289">
        <f t="shared" ca="1" si="40"/>
        <v>0</v>
      </c>
      <c r="U354" s="295" t="s">
        <v>6</v>
      </c>
      <c r="V354" s="289">
        <f t="shared" ca="1" si="41"/>
        <v>0</v>
      </c>
      <c r="W354" s="289">
        <f t="shared" ca="1" si="41"/>
        <v>0</v>
      </c>
      <c r="X354" s="289">
        <f t="shared" ca="1" si="41"/>
        <v>0</v>
      </c>
      <c r="Y354" s="289">
        <f t="shared" ca="1" si="41"/>
        <v>0</v>
      </c>
      <c r="Z354" s="292">
        <f t="shared" ca="1" si="41"/>
        <v>0</v>
      </c>
    </row>
    <row r="355" spans="2:26">
      <c r="B355" s="282" t="s">
        <v>35</v>
      </c>
      <c r="C355" s="278">
        <f t="shared" ca="1" si="42"/>
        <v>0</v>
      </c>
      <c r="D355" s="278">
        <f t="shared" ca="1" si="42"/>
        <v>0</v>
      </c>
      <c r="E355" s="278">
        <f t="shared" ca="1" si="42"/>
        <v>0</v>
      </c>
      <c r="F355" s="278">
        <f t="shared" ca="1" si="42"/>
        <v>0</v>
      </c>
      <c r="G355" s="278">
        <f t="shared" ca="1" si="42"/>
        <v>0</v>
      </c>
      <c r="H355" s="278">
        <f t="shared" ca="1" si="42"/>
        <v>0</v>
      </c>
      <c r="I355" s="278">
        <f t="shared" ca="1" si="42"/>
        <v>0</v>
      </c>
      <c r="J355" s="278">
        <f t="shared" ca="1" si="42"/>
        <v>0</v>
      </c>
      <c r="K355" s="278">
        <f t="shared" ca="1" si="42"/>
        <v>0</v>
      </c>
      <c r="L355" s="278">
        <f t="shared" ca="1" si="42"/>
        <v>0</v>
      </c>
      <c r="M355" s="279" t="s">
        <v>6</v>
      </c>
      <c r="O355" s="282" t="s">
        <v>35</v>
      </c>
      <c r="P355" s="289">
        <f t="shared" ca="1" si="43"/>
        <v>0</v>
      </c>
      <c r="Q355" s="289">
        <f t="shared" ca="1" si="40"/>
        <v>0</v>
      </c>
      <c r="R355" s="289">
        <f t="shared" ca="1" si="40"/>
        <v>0</v>
      </c>
      <c r="S355" s="289">
        <f t="shared" ca="1" si="40"/>
        <v>0</v>
      </c>
      <c r="T355" s="289">
        <f t="shared" ca="1" si="40"/>
        <v>0</v>
      </c>
      <c r="U355" s="295" t="s">
        <v>6</v>
      </c>
      <c r="V355" s="289">
        <f t="shared" ca="1" si="41"/>
        <v>0</v>
      </c>
      <c r="W355" s="289">
        <f t="shared" ca="1" si="41"/>
        <v>0</v>
      </c>
      <c r="X355" s="289">
        <f t="shared" ca="1" si="41"/>
        <v>0</v>
      </c>
      <c r="Y355" s="289">
        <f t="shared" ca="1" si="41"/>
        <v>0</v>
      </c>
      <c r="Z355" s="292">
        <f t="shared" ca="1" si="41"/>
        <v>0</v>
      </c>
    </row>
    <row r="356" spans="2:26">
      <c r="B356" s="282" t="s">
        <v>33</v>
      </c>
      <c r="C356" s="278">
        <f t="shared" ca="1" si="42"/>
        <v>0</v>
      </c>
      <c r="D356" s="278">
        <f t="shared" ca="1" si="42"/>
        <v>0</v>
      </c>
      <c r="E356" s="278">
        <f t="shared" ca="1" si="42"/>
        <v>0</v>
      </c>
      <c r="F356" s="278">
        <f t="shared" ca="1" si="42"/>
        <v>0</v>
      </c>
      <c r="G356" s="278">
        <f t="shared" ca="1" si="42"/>
        <v>0</v>
      </c>
      <c r="H356" s="278">
        <f t="shared" ca="1" si="42"/>
        <v>0</v>
      </c>
      <c r="I356" s="278">
        <f t="shared" ca="1" si="42"/>
        <v>0</v>
      </c>
      <c r="J356" s="278">
        <f t="shared" ca="1" si="42"/>
        <v>0</v>
      </c>
      <c r="K356" s="278">
        <f t="shared" ca="1" si="42"/>
        <v>0</v>
      </c>
      <c r="L356" s="278">
        <f t="shared" ca="1" si="42"/>
        <v>0</v>
      </c>
      <c r="M356" s="279" t="s">
        <v>6</v>
      </c>
      <c r="O356" s="282" t="s">
        <v>33</v>
      </c>
      <c r="P356" s="289">
        <f t="shared" ca="1" si="43"/>
        <v>0</v>
      </c>
      <c r="Q356" s="289">
        <f t="shared" ca="1" si="40"/>
        <v>0</v>
      </c>
      <c r="R356" s="289">
        <f t="shared" ca="1" si="40"/>
        <v>0</v>
      </c>
      <c r="S356" s="289">
        <f t="shared" ca="1" si="40"/>
        <v>0</v>
      </c>
      <c r="T356" s="289">
        <f t="shared" ca="1" si="40"/>
        <v>0</v>
      </c>
      <c r="U356" s="295" t="s">
        <v>6</v>
      </c>
      <c r="V356" s="289">
        <f t="shared" ca="1" si="41"/>
        <v>0</v>
      </c>
      <c r="W356" s="289">
        <f t="shared" ca="1" si="41"/>
        <v>0</v>
      </c>
      <c r="X356" s="289">
        <f t="shared" ca="1" si="41"/>
        <v>0</v>
      </c>
      <c r="Y356" s="289">
        <f t="shared" ca="1" si="41"/>
        <v>0</v>
      </c>
      <c r="Z356" s="292">
        <f t="shared" ca="1" si="41"/>
        <v>0</v>
      </c>
    </row>
    <row r="357" spans="2:26">
      <c r="B357" s="282" t="s">
        <v>131</v>
      </c>
      <c r="C357" s="278">
        <f t="shared" ca="1" si="42"/>
        <v>0</v>
      </c>
      <c r="D357" s="278">
        <f t="shared" ca="1" si="42"/>
        <v>0</v>
      </c>
      <c r="E357" s="278">
        <f t="shared" ca="1" si="42"/>
        <v>0</v>
      </c>
      <c r="F357" s="278">
        <f t="shared" ca="1" si="42"/>
        <v>0</v>
      </c>
      <c r="G357" s="278">
        <f t="shared" ca="1" si="42"/>
        <v>0</v>
      </c>
      <c r="H357" s="278">
        <f t="shared" ca="1" si="42"/>
        <v>0</v>
      </c>
      <c r="I357" s="278">
        <f t="shared" ca="1" si="42"/>
        <v>0</v>
      </c>
      <c r="J357" s="278">
        <f t="shared" ca="1" si="42"/>
        <v>0</v>
      </c>
      <c r="K357" s="278">
        <f t="shared" ca="1" si="42"/>
        <v>0</v>
      </c>
      <c r="L357" s="278">
        <f t="shared" ca="1" si="42"/>
        <v>0</v>
      </c>
      <c r="M357" s="279" t="s">
        <v>6</v>
      </c>
      <c r="O357" s="282" t="s">
        <v>131</v>
      </c>
      <c r="P357" s="289">
        <f t="shared" ca="1" si="43"/>
        <v>0</v>
      </c>
      <c r="Q357" s="289">
        <f t="shared" ca="1" si="40"/>
        <v>0</v>
      </c>
      <c r="R357" s="289">
        <f t="shared" ca="1" si="40"/>
        <v>0</v>
      </c>
      <c r="S357" s="289">
        <f t="shared" ca="1" si="40"/>
        <v>0</v>
      </c>
      <c r="T357" s="289">
        <f t="shared" ca="1" si="40"/>
        <v>0</v>
      </c>
      <c r="U357" s="295" t="s">
        <v>6</v>
      </c>
      <c r="V357" s="289">
        <f t="shared" ca="1" si="41"/>
        <v>0</v>
      </c>
      <c r="W357" s="289">
        <f t="shared" ca="1" si="41"/>
        <v>0</v>
      </c>
      <c r="X357" s="289">
        <f t="shared" ca="1" si="41"/>
        <v>0</v>
      </c>
      <c r="Y357" s="289">
        <f t="shared" ca="1" si="41"/>
        <v>0</v>
      </c>
      <c r="Z357" s="292">
        <f t="shared" ca="1" si="41"/>
        <v>0</v>
      </c>
    </row>
    <row r="358" spans="2:26">
      <c r="B358" s="282" t="s">
        <v>31</v>
      </c>
      <c r="C358" s="278">
        <f t="shared" ca="1" si="42"/>
        <v>0</v>
      </c>
      <c r="D358" s="278">
        <f t="shared" ca="1" si="42"/>
        <v>0</v>
      </c>
      <c r="E358" s="278">
        <f t="shared" ca="1" si="42"/>
        <v>0</v>
      </c>
      <c r="F358" s="278">
        <f t="shared" ca="1" si="42"/>
        <v>0</v>
      </c>
      <c r="G358" s="278">
        <f t="shared" ca="1" si="42"/>
        <v>0</v>
      </c>
      <c r="H358" s="278">
        <f t="shared" ca="1" si="42"/>
        <v>0</v>
      </c>
      <c r="I358" s="278">
        <f t="shared" ca="1" si="42"/>
        <v>0</v>
      </c>
      <c r="J358" s="278">
        <f t="shared" ca="1" si="42"/>
        <v>0</v>
      </c>
      <c r="K358" s="278">
        <f t="shared" ca="1" si="42"/>
        <v>0</v>
      </c>
      <c r="L358" s="278">
        <f t="shared" ca="1" si="42"/>
        <v>0</v>
      </c>
      <c r="M358" s="279" t="s">
        <v>6</v>
      </c>
      <c r="O358" s="282" t="s">
        <v>31</v>
      </c>
      <c r="P358" s="289">
        <f t="shared" ca="1" si="43"/>
        <v>0</v>
      </c>
      <c r="Q358" s="289">
        <f t="shared" ca="1" si="40"/>
        <v>0</v>
      </c>
      <c r="R358" s="289">
        <f t="shared" ca="1" si="40"/>
        <v>0</v>
      </c>
      <c r="S358" s="289">
        <f t="shared" ca="1" si="40"/>
        <v>0</v>
      </c>
      <c r="T358" s="289">
        <f t="shared" ca="1" si="40"/>
        <v>0</v>
      </c>
      <c r="U358" s="295" t="s">
        <v>6</v>
      </c>
      <c r="V358" s="289">
        <f t="shared" ca="1" si="41"/>
        <v>0</v>
      </c>
      <c r="W358" s="289">
        <f t="shared" ca="1" si="41"/>
        <v>0</v>
      </c>
      <c r="X358" s="289">
        <f t="shared" ca="1" si="41"/>
        <v>0</v>
      </c>
      <c r="Y358" s="289">
        <f t="shared" ca="1" si="41"/>
        <v>0</v>
      </c>
      <c r="Z358" s="292">
        <f t="shared" ca="1" si="41"/>
        <v>0</v>
      </c>
    </row>
    <row r="359" spans="2:26">
      <c r="B359" s="282" t="s">
        <v>119</v>
      </c>
      <c r="C359" s="278">
        <f t="shared" ca="1" si="42"/>
        <v>0</v>
      </c>
      <c r="D359" s="278">
        <f t="shared" ca="1" si="42"/>
        <v>0</v>
      </c>
      <c r="E359" s="278">
        <f t="shared" ca="1" si="42"/>
        <v>0</v>
      </c>
      <c r="F359" s="278">
        <f t="shared" ca="1" si="42"/>
        <v>0</v>
      </c>
      <c r="G359" s="278">
        <f t="shared" ca="1" si="42"/>
        <v>0</v>
      </c>
      <c r="H359" s="278">
        <f t="shared" ca="1" si="42"/>
        <v>0</v>
      </c>
      <c r="I359" s="278">
        <f t="shared" ca="1" si="42"/>
        <v>0</v>
      </c>
      <c r="J359" s="278">
        <f t="shared" ca="1" si="42"/>
        <v>0</v>
      </c>
      <c r="K359" s="278">
        <f t="shared" ca="1" si="42"/>
        <v>0</v>
      </c>
      <c r="L359" s="278">
        <f t="shared" ca="1" si="42"/>
        <v>0</v>
      </c>
      <c r="M359" s="279" t="s">
        <v>6</v>
      </c>
      <c r="O359" s="282" t="s">
        <v>119</v>
      </c>
      <c r="P359" s="289">
        <f t="shared" ca="1" si="43"/>
        <v>0</v>
      </c>
      <c r="Q359" s="289">
        <f t="shared" ca="1" si="40"/>
        <v>0</v>
      </c>
      <c r="R359" s="289">
        <f t="shared" ca="1" si="40"/>
        <v>0</v>
      </c>
      <c r="S359" s="289">
        <f t="shared" ca="1" si="40"/>
        <v>0</v>
      </c>
      <c r="T359" s="289">
        <f t="shared" ca="1" si="40"/>
        <v>0</v>
      </c>
      <c r="U359" s="295" t="s">
        <v>6</v>
      </c>
      <c r="V359" s="289">
        <f t="shared" ca="1" si="41"/>
        <v>0</v>
      </c>
      <c r="W359" s="289">
        <f t="shared" ca="1" si="41"/>
        <v>0</v>
      </c>
      <c r="X359" s="289">
        <f t="shared" ca="1" si="41"/>
        <v>0</v>
      </c>
      <c r="Y359" s="289">
        <f t="shared" ca="1" si="41"/>
        <v>0</v>
      </c>
      <c r="Z359" s="292">
        <f t="shared" ca="1" si="41"/>
        <v>0</v>
      </c>
    </row>
    <row r="360" spans="2:26">
      <c r="B360" s="282" t="s">
        <v>113</v>
      </c>
      <c r="C360" s="278">
        <f t="shared" ca="1" si="42"/>
        <v>0</v>
      </c>
      <c r="D360" s="278">
        <f t="shared" ca="1" si="42"/>
        <v>0</v>
      </c>
      <c r="E360" s="278">
        <f t="shared" ca="1" si="42"/>
        <v>0</v>
      </c>
      <c r="F360" s="278">
        <f t="shared" ca="1" si="42"/>
        <v>0</v>
      </c>
      <c r="G360" s="278">
        <f t="shared" ca="1" si="42"/>
        <v>0</v>
      </c>
      <c r="H360" s="278">
        <f t="shared" ca="1" si="42"/>
        <v>0</v>
      </c>
      <c r="I360" s="278">
        <f t="shared" ca="1" si="42"/>
        <v>0</v>
      </c>
      <c r="J360" s="278">
        <f t="shared" ca="1" si="42"/>
        <v>0</v>
      </c>
      <c r="K360" s="278">
        <f t="shared" ca="1" si="42"/>
        <v>0</v>
      </c>
      <c r="L360" s="278">
        <f t="shared" ca="1" si="42"/>
        <v>0</v>
      </c>
      <c r="M360" s="279" t="s">
        <v>6</v>
      </c>
      <c r="O360" s="282" t="s">
        <v>113</v>
      </c>
      <c r="P360" s="289">
        <f t="shared" ca="1" si="43"/>
        <v>0</v>
      </c>
      <c r="Q360" s="289">
        <f t="shared" ca="1" si="40"/>
        <v>0</v>
      </c>
      <c r="R360" s="289">
        <f t="shared" ca="1" si="40"/>
        <v>0</v>
      </c>
      <c r="S360" s="289">
        <f t="shared" ca="1" si="40"/>
        <v>0</v>
      </c>
      <c r="T360" s="289">
        <f t="shared" ca="1" si="40"/>
        <v>0</v>
      </c>
      <c r="U360" s="295" t="s">
        <v>6</v>
      </c>
      <c r="V360" s="289">
        <f t="shared" ca="1" si="41"/>
        <v>0</v>
      </c>
      <c r="W360" s="289">
        <f t="shared" ca="1" si="41"/>
        <v>0</v>
      </c>
      <c r="X360" s="289">
        <f t="shared" ca="1" si="41"/>
        <v>0</v>
      </c>
      <c r="Y360" s="289">
        <f t="shared" ca="1" si="41"/>
        <v>0</v>
      </c>
      <c r="Z360" s="292">
        <f t="shared" ca="1" si="41"/>
        <v>0</v>
      </c>
    </row>
    <row r="361" spans="2:26">
      <c r="B361" s="282" t="s">
        <v>28</v>
      </c>
      <c r="C361" s="278">
        <f t="shared" ca="1" si="42"/>
        <v>0</v>
      </c>
      <c r="D361" s="278">
        <f t="shared" ca="1" si="42"/>
        <v>0</v>
      </c>
      <c r="E361" s="278">
        <f t="shared" ca="1" si="42"/>
        <v>0</v>
      </c>
      <c r="F361" s="278">
        <f t="shared" ca="1" si="42"/>
        <v>0</v>
      </c>
      <c r="G361" s="278">
        <f t="shared" ca="1" si="42"/>
        <v>0</v>
      </c>
      <c r="H361" s="278">
        <f t="shared" ca="1" si="42"/>
        <v>0</v>
      </c>
      <c r="I361" s="278">
        <f t="shared" ca="1" si="42"/>
        <v>0</v>
      </c>
      <c r="J361" s="278">
        <f t="shared" ca="1" si="42"/>
        <v>0</v>
      </c>
      <c r="K361" s="278">
        <f t="shared" ca="1" si="42"/>
        <v>0</v>
      </c>
      <c r="L361" s="278">
        <f t="shared" ca="1" si="42"/>
        <v>0</v>
      </c>
      <c r="M361" s="279" t="s">
        <v>6</v>
      </c>
      <c r="O361" s="282" t="s">
        <v>28</v>
      </c>
      <c r="P361" s="289">
        <f t="shared" ca="1" si="43"/>
        <v>0</v>
      </c>
      <c r="Q361" s="289">
        <f t="shared" ca="1" si="40"/>
        <v>0</v>
      </c>
      <c r="R361" s="289">
        <f t="shared" ca="1" si="40"/>
        <v>0</v>
      </c>
      <c r="S361" s="289">
        <f t="shared" ca="1" si="40"/>
        <v>0</v>
      </c>
      <c r="T361" s="289">
        <f t="shared" ca="1" si="40"/>
        <v>0</v>
      </c>
      <c r="U361" s="295" t="s">
        <v>6</v>
      </c>
      <c r="V361" s="289">
        <f t="shared" ca="1" si="41"/>
        <v>0</v>
      </c>
      <c r="W361" s="289">
        <f t="shared" ca="1" si="41"/>
        <v>0</v>
      </c>
      <c r="X361" s="289">
        <f t="shared" ca="1" si="41"/>
        <v>0</v>
      </c>
      <c r="Y361" s="289">
        <f t="shared" ca="1" si="41"/>
        <v>0</v>
      </c>
      <c r="Z361" s="292">
        <f t="shared" ca="1" si="41"/>
        <v>0</v>
      </c>
    </row>
    <row r="362" spans="2:26">
      <c r="B362" s="282" t="s">
        <v>26</v>
      </c>
      <c r="C362" s="278">
        <f t="shared" ca="1" si="42"/>
        <v>0</v>
      </c>
      <c r="D362" s="278">
        <f t="shared" ca="1" si="42"/>
        <v>0</v>
      </c>
      <c r="E362" s="278">
        <f t="shared" ca="1" si="42"/>
        <v>0</v>
      </c>
      <c r="F362" s="278">
        <f t="shared" ca="1" si="42"/>
        <v>0</v>
      </c>
      <c r="G362" s="278">
        <f t="shared" ca="1" si="42"/>
        <v>0</v>
      </c>
      <c r="H362" s="278">
        <f t="shared" ca="1" si="42"/>
        <v>0</v>
      </c>
      <c r="I362" s="278">
        <f t="shared" ca="1" si="42"/>
        <v>0</v>
      </c>
      <c r="J362" s="278">
        <f t="shared" ca="1" si="42"/>
        <v>0</v>
      </c>
      <c r="K362" s="278">
        <f t="shared" ca="1" si="42"/>
        <v>0</v>
      </c>
      <c r="L362" s="278">
        <f t="shared" ca="1" si="42"/>
        <v>0</v>
      </c>
      <c r="M362" s="279" t="s">
        <v>6</v>
      </c>
      <c r="O362" s="282" t="s">
        <v>26</v>
      </c>
      <c r="P362" s="289">
        <f t="shared" ca="1" si="43"/>
        <v>0</v>
      </c>
      <c r="Q362" s="289">
        <f t="shared" ca="1" si="40"/>
        <v>0</v>
      </c>
      <c r="R362" s="289">
        <f t="shared" ca="1" si="40"/>
        <v>0</v>
      </c>
      <c r="S362" s="289">
        <f t="shared" ca="1" si="40"/>
        <v>0</v>
      </c>
      <c r="T362" s="289">
        <f t="shared" ca="1" si="40"/>
        <v>0</v>
      </c>
      <c r="U362" s="295" t="s">
        <v>6</v>
      </c>
      <c r="V362" s="289">
        <f t="shared" ca="1" si="41"/>
        <v>0</v>
      </c>
      <c r="W362" s="289">
        <f t="shared" ca="1" si="41"/>
        <v>0</v>
      </c>
      <c r="X362" s="289">
        <f t="shared" ca="1" si="41"/>
        <v>0</v>
      </c>
      <c r="Y362" s="289">
        <f t="shared" ca="1" si="41"/>
        <v>0</v>
      </c>
      <c r="Z362" s="292">
        <f t="shared" ca="1" si="41"/>
        <v>0</v>
      </c>
    </row>
    <row r="363" spans="2:26">
      <c r="B363" s="282" t="s">
        <v>24</v>
      </c>
      <c r="C363" s="278">
        <f t="shared" ca="1" si="42"/>
        <v>0</v>
      </c>
      <c r="D363" s="278">
        <f t="shared" ca="1" si="42"/>
        <v>0</v>
      </c>
      <c r="E363" s="278">
        <f t="shared" ca="1" si="42"/>
        <v>0</v>
      </c>
      <c r="F363" s="278">
        <f t="shared" ca="1" si="42"/>
        <v>0</v>
      </c>
      <c r="G363" s="278">
        <f t="shared" ca="1" si="42"/>
        <v>0</v>
      </c>
      <c r="H363" s="278">
        <f t="shared" ca="1" si="42"/>
        <v>0</v>
      </c>
      <c r="I363" s="278">
        <f t="shared" ca="1" si="42"/>
        <v>0</v>
      </c>
      <c r="J363" s="278">
        <f t="shared" ca="1" si="42"/>
        <v>0</v>
      </c>
      <c r="K363" s="278">
        <f t="shared" ca="1" si="42"/>
        <v>0</v>
      </c>
      <c r="L363" s="278">
        <f t="shared" ca="1" si="42"/>
        <v>0</v>
      </c>
      <c r="M363" s="279" t="s">
        <v>6</v>
      </c>
      <c r="O363" s="282" t="s">
        <v>24</v>
      </c>
      <c r="P363" s="289">
        <f t="shared" ca="1" si="43"/>
        <v>0</v>
      </c>
      <c r="Q363" s="289">
        <f t="shared" ca="1" si="40"/>
        <v>0</v>
      </c>
      <c r="R363" s="289">
        <f t="shared" ca="1" si="40"/>
        <v>0</v>
      </c>
      <c r="S363" s="289">
        <f t="shared" ca="1" si="40"/>
        <v>0</v>
      </c>
      <c r="T363" s="289">
        <f t="shared" ca="1" si="40"/>
        <v>0</v>
      </c>
      <c r="U363" s="295" t="s">
        <v>6</v>
      </c>
      <c r="V363" s="289">
        <f t="shared" ca="1" si="41"/>
        <v>0</v>
      </c>
      <c r="W363" s="289">
        <f t="shared" ca="1" si="41"/>
        <v>0</v>
      </c>
      <c r="X363" s="289">
        <f t="shared" ca="1" si="41"/>
        <v>0</v>
      </c>
      <c r="Y363" s="289">
        <f t="shared" ca="1" si="41"/>
        <v>0</v>
      </c>
      <c r="Z363" s="292">
        <f t="shared" ca="1" si="41"/>
        <v>0</v>
      </c>
    </row>
    <row r="364" spans="2:26">
      <c r="B364" s="282" t="s">
        <v>20</v>
      </c>
      <c r="C364" s="278">
        <f t="shared" ca="1" si="42"/>
        <v>0</v>
      </c>
      <c r="D364" s="278">
        <f t="shared" ca="1" si="42"/>
        <v>0</v>
      </c>
      <c r="E364" s="278">
        <f t="shared" ca="1" si="42"/>
        <v>0</v>
      </c>
      <c r="F364" s="278">
        <f t="shared" ca="1" si="42"/>
        <v>0</v>
      </c>
      <c r="G364" s="278">
        <f t="shared" ca="1" si="42"/>
        <v>0</v>
      </c>
      <c r="H364" s="278">
        <f t="shared" ca="1" si="42"/>
        <v>0</v>
      </c>
      <c r="I364" s="278">
        <f t="shared" ca="1" si="42"/>
        <v>0</v>
      </c>
      <c r="J364" s="278">
        <f t="shared" ca="1" si="42"/>
        <v>0</v>
      </c>
      <c r="K364" s="278">
        <f t="shared" ca="1" si="42"/>
        <v>0</v>
      </c>
      <c r="L364" s="278">
        <f t="shared" ca="1" si="42"/>
        <v>0</v>
      </c>
      <c r="M364" s="279" t="s">
        <v>6</v>
      </c>
      <c r="O364" s="282" t="s">
        <v>20</v>
      </c>
      <c r="P364" s="289">
        <f t="shared" ca="1" si="43"/>
        <v>0</v>
      </c>
      <c r="Q364" s="289">
        <f t="shared" ca="1" si="40"/>
        <v>0</v>
      </c>
      <c r="R364" s="289">
        <f t="shared" ca="1" si="40"/>
        <v>0</v>
      </c>
      <c r="S364" s="289">
        <f t="shared" ca="1" si="40"/>
        <v>0</v>
      </c>
      <c r="T364" s="289">
        <f t="shared" ca="1" si="40"/>
        <v>0</v>
      </c>
      <c r="U364" s="295" t="s">
        <v>6</v>
      </c>
      <c r="V364" s="289">
        <f t="shared" ca="1" si="41"/>
        <v>0</v>
      </c>
      <c r="W364" s="289">
        <f t="shared" ca="1" si="41"/>
        <v>0</v>
      </c>
      <c r="X364" s="289">
        <f t="shared" ca="1" si="41"/>
        <v>0</v>
      </c>
      <c r="Y364" s="289">
        <f t="shared" ca="1" si="41"/>
        <v>0</v>
      </c>
      <c r="Z364" s="292">
        <f t="shared" ca="1" si="41"/>
        <v>0</v>
      </c>
    </row>
    <row r="365" spans="2:26">
      <c r="B365" s="282" t="s">
        <v>18</v>
      </c>
      <c r="C365" s="278">
        <f t="shared" ca="1" si="42"/>
        <v>0</v>
      </c>
      <c r="D365" s="278">
        <f t="shared" ca="1" si="42"/>
        <v>0</v>
      </c>
      <c r="E365" s="278">
        <f t="shared" ca="1" si="42"/>
        <v>0</v>
      </c>
      <c r="F365" s="278">
        <f t="shared" ca="1" si="42"/>
        <v>0</v>
      </c>
      <c r="G365" s="278">
        <f t="shared" ca="1" si="42"/>
        <v>0</v>
      </c>
      <c r="H365" s="278">
        <f t="shared" ca="1" si="42"/>
        <v>0</v>
      </c>
      <c r="I365" s="278">
        <f t="shared" ca="1" si="42"/>
        <v>0</v>
      </c>
      <c r="J365" s="278">
        <f t="shared" ca="1" si="42"/>
        <v>0</v>
      </c>
      <c r="K365" s="278">
        <f t="shared" ca="1" si="42"/>
        <v>0</v>
      </c>
      <c r="L365" s="278">
        <f t="shared" ca="1" si="42"/>
        <v>0</v>
      </c>
      <c r="M365" s="279" t="s">
        <v>6</v>
      </c>
      <c r="O365" s="282" t="s">
        <v>18</v>
      </c>
      <c r="P365" s="289">
        <f t="shared" ca="1" si="43"/>
        <v>0</v>
      </c>
      <c r="Q365" s="289">
        <f t="shared" ca="1" si="40"/>
        <v>0</v>
      </c>
      <c r="R365" s="289">
        <f t="shared" ca="1" si="40"/>
        <v>0</v>
      </c>
      <c r="S365" s="289">
        <f t="shared" ca="1" si="40"/>
        <v>0</v>
      </c>
      <c r="T365" s="289">
        <f t="shared" ca="1" si="40"/>
        <v>0</v>
      </c>
      <c r="U365" s="295" t="s">
        <v>6</v>
      </c>
      <c r="V365" s="289">
        <f t="shared" ca="1" si="41"/>
        <v>0</v>
      </c>
      <c r="W365" s="289">
        <f t="shared" ca="1" si="41"/>
        <v>0</v>
      </c>
      <c r="X365" s="289">
        <f t="shared" ca="1" si="41"/>
        <v>0</v>
      </c>
      <c r="Y365" s="289">
        <f t="shared" ca="1" si="41"/>
        <v>0</v>
      </c>
      <c r="Z365" s="292">
        <f t="shared" ca="1" si="41"/>
        <v>0</v>
      </c>
    </row>
    <row r="366" spans="2:26">
      <c r="B366" s="282" t="s">
        <v>17</v>
      </c>
      <c r="C366" s="278">
        <f t="shared" ca="1" si="42"/>
        <v>0</v>
      </c>
      <c r="D366" s="278">
        <f t="shared" ca="1" si="42"/>
        <v>0</v>
      </c>
      <c r="E366" s="278">
        <f t="shared" ca="1" si="42"/>
        <v>0</v>
      </c>
      <c r="F366" s="278">
        <f t="shared" ca="1" si="42"/>
        <v>0</v>
      </c>
      <c r="G366" s="278">
        <f t="shared" ca="1" si="42"/>
        <v>0</v>
      </c>
      <c r="H366" s="278">
        <f t="shared" ca="1" si="42"/>
        <v>0</v>
      </c>
      <c r="I366" s="278">
        <f t="shared" ca="1" si="42"/>
        <v>0</v>
      </c>
      <c r="J366" s="278">
        <f t="shared" ca="1" si="42"/>
        <v>0</v>
      </c>
      <c r="K366" s="278">
        <f t="shared" ca="1" si="42"/>
        <v>0</v>
      </c>
      <c r="L366" s="278">
        <f t="shared" ca="1" si="42"/>
        <v>0</v>
      </c>
      <c r="M366" s="279" t="s">
        <v>6</v>
      </c>
      <c r="O366" s="282" t="s">
        <v>17</v>
      </c>
      <c r="P366" s="289">
        <f t="shared" ca="1" si="43"/>
        <v>0</v>
      </c>
      <c r="Q366" s="289">
        <f t="shared" ca="1" si="40"/>
        <v>0</v>
      </c>
      <c r="R366" s="289">
        <f t="shared" ca="1" si="40"/>
        <v>0</v>
      </c>
      <c r="S366" s="289">
        <f t="shared" ca="1" si="40"/>
        <v>0</v>
      </c>
      <c r="T366" s="289">
        <f t="shared" ca="1" si="40"/>
        <v>0</v>
      </c>
      <c r="U366" s="295" t="s">
        <v>6</v>
      </c>
      <c r="V366" s="289">
        <f t="shared" ca="1" si="41"/>
        <v>0</v>
      </c>
      <c r="W366" s="289">
        <f t="shared" ca="1" si="41"/>
        <v>0</v>
      </c>
      <c r="X366" s="289">
        <f t="shared" ca="1" si="41"/>
        <v>0</v>
      </c>
      <c r="Y366" s="289">
        <f t="shared" ca="1" si="41"/>
        <v>0</v>
      </c>
      <c r="Z366" s="292">
        <f t="shared" ca="1" si="41"/>
        <v>0</v>
      </c>
    </row>
    <row r="367" spans="2:26">
      <c r="B367" s="282" t="s">
        <v>15</v>
      </c>
      <c r="C367" s="278">
        <f t="shared" ca="1" si="42"/>
        <v>0</v>
      </c>
      <c r="D367" s="278">
        <f t="shared" ca="1" si="42"/>
        <v>0</v>
      </c>
      <c r="E367" s="278">
        <f t="shared" ca="1" si="42"/>
        <v>0</v>
      </c>
      <c r="F367" s="278">
        <f t="shared" ca="1" si="42"/>
        <v>0</v>
      </c>
      <c r="G367" s="278">
        <f t="shared" ca="1" si="42"/>
        <v>0</v>
      </c>
      <c r="H367" s="278">
        <f t="shared" ca="1" si="42"/>
        <v>0</v>
      </c>
      <c r="I367" s="278">
        <f t="shared" ca="1" si="42"/>
        <v>0</v>
      </c>
      <c r="J367" s="278">
        <f t="shared" ca="1" si="42"/>
        <v>0</v>
      </c>
      <c r="K367" s="278">
        <f t="shared" ca="1" si="42"/>
        <v>0</v>
      </c>
      <c r="L367" s="278">
        <f t="shared" ca="1" si="42"/>
        <v>0</v>
      </c>
      <c r="M367" s="279" t="s">
        <v>6</v>
      </c>
      <c r="O367" s="282" t="s">
        <v>15</v>
      </c>
      <c r="P367" s="289">
        <f t="shared" ca="1" si="43"/>
        <v>0</v>
      </c>
      <c r="Q367" s="289">
        <f t="shared" ca="1" si="40"/>
        <v>0</v>
      </c>
      <c r="R367" s="289">
        <f t="shared" ca="1" si="40"/>
        <v>0</v>
      </c>
      <c r="S367" s="289">
        <f t="shared" ca="1" si="40"/>
        <v>0</v>
      </c>
      <c r="T367" s="289">
        <f t="shared" ca="1" si="40"/>
        <v>0</v>
      </c>
      <c r="U367" s="295" t="s">
        <v>6</v>
      </c>
      <c r="V367" s="289">
        <f t="shared" ca="1" si="41"/>
        <v>0</v>
      </c>
      <c r="W367" s="289">
        <f t="shared" ca="1" si="41"/>
        <v>0</v>
      </c>
      <c r="X367" s="289">
        <f t="shared" ca="1" si="41"/>
        <v>0</v>
      </c>
      <c r="Y367" s="289">
        <f t="shared" ca="1" si="41"/>
        <v>0</v>
      </c>
      <c r="Z367" s="292">
        <f t="shared" ca="1" si="41"/>
        <v>0</v>
      </c>
    </row>
    <row r="368" spans="2:26">
      <c r="B368" s="282" t="s">
        <v>14</v>
      </c>
      <c r="C368" s="278">
        <f t="shared" ca="1" si="42"/>
        <v>0</v>
      </c>
      <c r="D368" s="278">
        <f t="shared" ca="1" si="42"/>
        <v>0</v>
      </c>
      <c r="E368" s="278">
        <f t="shared" ca="1" si="42"/>
        <v>0</v>
      </c>
      <c r="F368" s="278">
        <f t="shared" ca="1" si="42"/>
        <v>0</v>
      </c>
      <c r="G368" s="278">
        <f t="shared" ca="1" si="42"/>
        <v>0</v>
      </c>
      <c r="H368" s="278">
        <f t="shared" ca="1" si="42"/>
        <v>0</v>
      </c>
      <c r="I368" s="278">
        <f t="shared" ca="1" si="42"/>
        <v>0</v>
      </c>
      <c r="J368" s="278">
        <f t="shared" ca="1" si="42"/>
        <v>0</v>
      </c>
      <c r="K368" s="278">
        <f t="shared" ca="1" si="42"/>
        <v>0</v>
      </c>
      <c r="L368" s="278">
        <f t="shared" ca="1" si="42"/>
        <v>0</v>
      </c>
      <c r="M368" s="279" t="s">
        <v>6</v>
      </c>
      <c r="O368" s="282" t="s">
        <v>14</v>
      </c>
      <c r="P368" s="295" t="s">
        <v>6</v>
      </c>
      <c r="Q368" s="295" t="s">
        <v>6</v>
      </c>
      <c r="R368" s="295" t="s">
        <v>6</v>
      </c>
      <c r="S368" s="295" t="s">
        <v>6</v>
      </c>
      <c r="T368" s="295" t="s">
        <v>6</v>
      </c>
      <c r="U368" s="295" t="s">
        <v>6</v>
      </c>
      <c r="V368" s="295" t="s">
        <v>6</v>
      </c>
      <c r="W368" s="295" t="s">
        <v>6</v>
      </c>
      <c r="X368" s="295" t="s">
        <v>6</v>
      </c>
      <c r="Y368" s="295" t="s">
        <v>6</v>
      </c>
      <c r="Z368" s="291" t="s">
        <v>6</v>
      </c>
    </row>
    <row r="369" spans="1:26">
      <c r="B369" s="282"/>
      <c r="C369" s="278"/>
      <c r="D369" s="278"/>
      <c r="E369" s="278"/>
      <c r="F369" s="278"/>
      <c r="G369" s="278"/>
      <c r="H369" s="278"/>
      <c r="I369" s="278"/>
      <c r="J369" s="278"/>
      <c r="K369" s="278"/>
      <c r="L369" s="278"/>
      <c r="M369" s="279"/>
      <c r="O369" s="282"/>
      <c r="P369" s="289"/>
      <c r="Q369" s="289"/>
      <c r="R369" s="289"/>
      <c r="S369" s="289"/>
      <c r="T369" s="289"/>
      <c r="U369" s="295"/>
      <c r="V369" s="289"/>
      <c r="W369" s="289"/>
      <c r="X369" s="289"/>
      <c r="Y369" s="289"/>
      <c r="Z369" s="292"/>
    </row>
    <row r="370" spans="1:26">
      <c r="B370" s="282"/>
      <c r="C370" s="278"/>
      <c r="D370" s="278"/>
      <c r="E370" s="278"/>
      <c r="F370" s="278"/>
      <c r="G370" s="278"/>
      <c r="H370" s="278"/>
      <c r="I370" s="278"/>
      <c r="J370" s="278"/>
      <c r="K370" s="278"/>
      <c r="L370" s="278"/>
      <c r="M370" s="279"/>
      <c r="O370" s="282"/>
      <c r="P370" s="289"/>
      <c r="Q370" s="289"/>
      <c r="R370" s="289"/>
      <c r="S370" s="289"/>
      <c r="T370" s="289"/>
      <c r="U370" s="295"/>
      <c r="V370" s="289"/>
      <c r="W370" s="289"/>
      <c r="X370" s="289"/>
      <c r="Y370" s="289"/>
      <c r="Z370" s="292"/>
    </row>
    <row r="371" spans="1:26">
      <c r="B371" s="283"/>
      <c r="C371" s="280"/>
      <c r="D371" s="280"/>
      <c r="E371" s="280"/>
      <c r="F371" s="280"/>
      <c r="G371" s="280"/>
      <c r="H371" s="280"/>
      <c r="I371" s="280"/>
      <c r="J371" s="280"/>
      <c r="K371" s="280"/>
      <c r="L371" s="280"/>
      <c r="M371" s="281"/>
      <c r="O371" s="283"/>
      <c r="P371" s="293"/>
      <c r="Q371" s="293"/>
      <c r="R371" s="293"/>
      <c r="S371" s="293"/>
      <c r="T371" s="293"/>
      <c r="U371" s="296"/>
      <c r="V371" s="293"/>
      <c r="W371" s="293"/>
      <c r="X371" s="293"/>
      <c r="Y371" s="293"/>
      <c r="Z371" s="294"/>
    </row>
    <row r="374" spans="1:26">
      <c r="A374" s="224" t="s">
        <v>504</v>
      </c>
      <c r="B374" s="290" t="s">
        <v>489</v>
      </c>
      <c r="C374" s="284"/>
      <c r="G374" s="290" t="s">
        <v>489</v>
      </c>
    </row>
    <row r="375" spans="1:26">
      <c r="B375" s="284" t="s">
        <v>505</v>
      </c>
      <c r="C375" s="284"/>
      <c r="G375" s="284" t="s">
        <v>506</v>
      </c>
      <c r="H375" s="284"/>
    </row>
    <row r="376" spans="1:26">
      <c r="B376" s="258" t="s">
        <v>474</v>
      </c>
      <c r="C376" s="286">
        <f ca="1">SUM(C402:L420)</f>
        <v>0</v>
      </c>
      <c r="G376" s="258" t="s">
        <v>474</v>
      </c>
      <c r="H376" s="286">
        <f ca="1">SUM(P402:Z420)</f>
        <v>0</v>
      </c>
    </row>
    <row r="378" spans="1:26">
      <c r="B378" s="258" t="s">
        <v>479</v>
      </c>
      <c r="C378" s="258"/>
    </row>
    <row r="379" spans="1:26">
      <c r="B379" s="254" t="s">
        <v>468</v>
      </c>
      <c r="C379" s="287">
        <v>500</v>
      </c>
      <c r="D379" s="287">
        <v>400</v>
      </c>
      <c r="E379" s="287">
        <v>300</v>
      </c>
      <c r="F379" s="287">
        <v>200</v>
      </c>
      <c r="G379" s="287">
        <v>100</v>
      </c>
      <c r="H379" s="287">
        <v>0</v>
      </c>
      <c r="I379" s="287">
        <v>-100</v>
      </c>
      <c r="J379" s="287">
        <v>-200</v>
      </c>
      <c r="K379" s="287">
        <v>-300</v>
      </c>
      <c r="L379" s="287">
        <v>-400</v>
      </c>
      <c r="M379" s="288">
        <v>-500</v>
      </c>
    </row>
    <row r="380" spans="1:26">
      <c r="B380" s="282" t="s">
        <v>42</v>
      </c>
      <c r="C380" s="278">
        <f ca="1">'GBP Swap PVs'!AH77</f>
        <v>-98985.127372311268</v>
      </c>
      <c r="D380" s="278">
        <f ca="1">'GBP Swap PVs'!AI77</f>
        <v>-79188.101897849032</v>
      </c>
      <c r="E380" s="278">
        <f ca="1">'GBP Swap PVs'!AJ77</f>
        <v>-59391.076423386752</v>
      </c>
      <c r="F380" s="278">
        <f ca="1">'GBP Swap PVs'!AK77</f>
        <v>-39594.050948924501</v>
      </c>
      <c r="G380" s="278">
        <f ca="1">'GBP Swap PVs'!AL77</f>
        <v>-19797.025474462251</v>
      </c>
      <c r="H380" s="278">
        <f ca="1">'GBP Swap PVs'!AM77</f>
        <v>0</v>
      </c>
      <c r="I380" s="278">
        <f ca="1">'GBP Swap PVs'!AN77</f>
        <v>19797.025474462254</v>
      </c>
      <c r="J380" s="278">
        <f ca="1">'GBP Swap PVs'!AO77</f>
        <v>39594.050948924501</v>
      </c>
      <c r="K380" s="278">
        <f ca="1">'GBP Swap PVs'!AP77</f>
        <v>59391.076423386767</v>
      </c>
      <c r="L380" s="278">
        <f ca="1">'GBP Swap PVs'!AQ77</f>
        <v>79188.101897849003</v>
      </c>
      <c r="M380" s="279">
        <f ca="1">'GBP Swap PVs'!AR77</f>
        <v>98985.127372311268</v>
      </c>
    </row>
    <row r="381" spans="1:26">
      <c r="B381" s="282" t="s">
        <v>39</v>
      </c>
      <c r="C381" s="278">
        <f ca="1">'GBP Swap PVs'!AH78</f>
        <v>-147592.05976994699</v>
      </c>
      <c r="D381" s="278">
        <f ca="1">'GBP Swap PVs'!AI78</f>
        <v>-118073.64781595756</v>
      </c>
      <c r="E381" s="278">
        <f ca="1">'GBP Swap PVs'!AJ78</f>
        <v>-88555.235861968162</v>
      </c>
      <c r="F381" s="278">
        <f ca="1">'GBP Swap PVs'!AK78</f>
        <v>-59036.823907978775</v>
      </c>
      <c r="G381" s="278">
        <f ca="1">'GBP Swap PVs'!AL78</f>
        <v>-29518.411953989395</v>
      </c>
      <c r="H381" s="278">
        <f ca="1">'GBP Swap PVs'!AM78</f>
        <v>0</v>
      </c>
      <c r="I381" s="278">
        <f ca="1">'GBP Swap PVs'!AN78</f>
        <v>29518.411953989398</v>
      </c>
      <c r="J381" s="278">
        <f ca="1">'GBP Swap PVs'!AO78</f>
        <v>59036.823907978789</v>
      </c>
      <c r="K381" s="278">
        <f ca="1">'GBP Swap PVs'!AP78</f>
        <v>88555.235861968191</v>
      </c>
      <c r="L381" s="278">
        <f ca="1">'GBP Swap PVs'!AQ78</f>
        <v>118073.64781595756</v>
      </c>
      <c r="M381" s="279">
        <f ca="1">'GBP Swap PVs'!AR78</f>
        <v>147592.05976994699</v>
      </c>
    </row>
    <row r="382" spans="1:26">
      <c r="B382" s="282" t="s">
        <v>35</v>
      </c>
      <c r="C382" s="278">
        <f ca="1">'GBP Swap PVs'!AH79</f>
        <v>-195575.44632915632</v>
      </c>
      <c r="D382" s="278">
        <f ca="1">'GBP Swap PVs'!AI79</f>
        <v>-156460.35706332506</v>
      </c>
      <c r="E382" s="278">
        <f ca="1">'GBP Swap PVs'!AJ79</f>
        <v>-117345.26779749377</v>
      </c>
      <c r="F382" s="278">
        <f ca="1">'GBP Swap PVs'!AK79</f>
        <v>-78230.178531662503</v>
      </c>
      <c r="G382" s="278">
        <f ca="1">'GBP Swap PVs'!AL79</f>
        <v>-39115.089265831266</v>
      </c>
      <c r="H382" s="278">
        <f ca="1">'GBP Swap PVs'!AM79</f>
        <v>0</v>
      </c>
      <c r="I382" s="278">
        <f ca="1">'GBP Swap PVs'!AN79</f>
        <v>39115.089265831273</v>
      </c>
      <c r="J382" s="278">
        <f ca="1">'GBP Swap PVs'!AO79</f>
        <v>78230.178531662532</v>
      </c>
      <c r="K382" s="278">
        <f ca="1">'GBP Swap PVs'!AP79</f>
        <v>117345.26779749381</v>
      </c>
      <c r="L382" s="278">
        <f ca="1">'GBP Swap PVs'!AQ79</f>
        <v>156460.35706332506</v>
      </c>
      <c r="M382" s="279">
        <f ca="1">'GBP Swap PVs'!AR79</f>
        <v>195575.44632915632</v>
      </c>
    </row>
    <row r="383" spans="1:26">
      <c r="B383" s="282" t="s">
        <v>33</v>
      </c>
      <c r="C383" s="278">
        <f ca="1">'GBP Swap PVs'!AH80</f>
        <v>-242183.82059898096</v>
      </c>
      <c r="D383" s="278">
        <f ca="1">'GBP Swap PVs'!AI80</f>
        <v>-193747.05647918477</v>
      </c>
      <c r="E383" s="278">
        <f ca="1">'GBP Swap PVs'!AJ80</f>
        <v>-145310.29235938852</v>
      </c>
      <c r="F383" s="278">
        <f ca="1">'GBP Swap PVs'!AK80</f>
        <v>-96873.528239592342</v>
      </c>
      <c r="G383" s="278">
        <f ca="1">'GBP Swap PVs'!AL80</f>
        <v>-48436.764119796178</v>
      </c>
      <c r="H383" s="278">
        <f ca="1">'GBP Swap PVs'!AM80</f>
        <v>0</v>
      </c>
      <c r="I383" s="278">
        <f ca="1">'GBP Swap PVs'!AN80</f>
        <v>48436.764119796186</v>
      </c>
      <c r="J383" s="278">
        <f ca="1">'GBP Swap PVs'!AO80</f>
        <v>96873.528239592371</v>
      </c>
      <c r="K383" s="278">
        <f ca="1">'GBP Swap PVs'!AP80</f>
        <v>145310.29235938858</v>
      </c>
      <c r="L383" s="278">
        <f ca="1">'GBP Swap PVs'!AQ80</f>
        <v>193747.05647918471</v>
      </c>
      <c r="M383" s="279">
        <f ca="1">'GBP Swap PVs'!AR80</f>
        <v>242183.82059898091</v>
      </c>
    </row>
    <row r="384" spans="1:26">
      <c r="B384" s="282" t="s">
        <v>131</v>
      </c>
      <c r="C384" s="278">
        <f ca="1">'GBP Swap PVs'!AH81</f>
        <v>-287881.48220303055</v>
      </c>
      <c r="D384" s="278">
        <f ca="1">'GBP Swap PVs'!AI81</f>
        <v>-230305.18576242443</v>
      </c>
      <c r="E384" s="278">
        <f ca="1">'GBP Swap PVs'!AJ81</f>
        <v>-172728.88932181828</v>
      </c>
      <c r="F384" s="278">
        <f ca="1">'GBP Swap PVs'!AK81</f>
        <v>-115152.59288121217</v>
      </c>
      <c r="G384" s="278">
        <f ca="1">'GBP Swap PVs'!AL81</f>
        <v>-57576.296440606122</v>
      </c>
      <c r="H384" s="278">
        <f ca="1">'GBP Swap PVs'!AM81</f>
        <v>0</v>
      </c>
      <c r="I384" s="278">
        <f ca="1">'GBP Swap PVs'!AN81</f>
        <v>57576.2964406061</v>
      </c>
      <c r="J384" s="278">
        <f ca="1">'GBP Swap PVs'!AO81</f>
        <v>115152.5928812122</v>
      </c>
      <c r="K384" s="278">
        <f ca="1">'GBP Swap PVs'!AP81</f>
        <v>172728.88932181828</v>
      </c>
      <c r="L384" s="278">
        <f ca="1">'GBP Swap PVs'!AQ81</f>
        <v>230305.1857624244</v>
      </c>
      <c r="M384" s="279">
        <f ca="1">'GBP Swap PVs'!AR81</f>
        <v>287881.48220303043</v>
      </c>
    </row>
    <row r="385" spans="2:15">
      <c r="B385" s="282" t="s">
        <v>31</v>
      </c>
      <c r="C385" s="278">
        <f ca="1">'GBP Swap PVs'!AH82</f>
        <v>-332503.98096674314</v>
      </c>
      <c r="D385" s="278">
        <f ca="1">'GBP Swap PVs'!AI82</f>
        <v>-266003.18477339449</v>
      </c>
      <c r="E385" s="278">
        <f ca="1">'GBP Swap PVs'!AJ82</f>
        <v>-199502.38858004578</v>
      </c>
      <c r="F385" s="278">
        <f ca="1">'GBP Swap PVs'!AK82</f>
        <v>-133001.59238669722</v>
      </c>
      <c r="G385" s="278">
        <f ca="1">'GBP Swap PVs'!AL82</f>
        <v>-66500.796193348637</v>
      </c>
      <c r="H385" s="278">
        <f ca="1">'GBP Swap PVs'!AM82</f>
        <v>0</v>
      </c>
      <c r="I385" s="278">
        <f ca="1">'GBP Swap PVs'!AN82</f>
        <v>66500.796193348608</v>
      </c>
      <c r="J385" s="278">
        <f ca="1">'GBP Swap PVs'!AO82</f>
        <v>133001.59238669724</v>
      </c>
      <c r="K385" s="278">
        <f ca="1">'GBP Swap PVs'!AP82</f>
        <v>199502.38858004581</v>
      </c>
      <c r="L385" s="278">
        <f ca="1">'GBP Swap PVs'!AQ82</f>
        <v>266003.18477339449</v>
      </c>
      <c r="M385" s="279">
        <f ca="1">'GBP Swap PVs'!AR82</f>
        <v>332503.98096674302</v>
      </c>
    </row>
    <row r="386" spans="2:15">
      <c r="B386" s="282" t="s">
        <v>119</v>
      </c>
      <c r="C386" s="278">
        <f ca="1">'GBP Swap PVs'!AH83</f>
        <v>-376035.41393746505</v>
      </c>
      <c r="D386" s="278">
        <f ca="1">'GBP Swap PVs'!AI83</f>
        <v>-300828.33114997199</v>
      </c>
      <c r="E386" s="278">
        <f ca="1">'GBP Swap PVs'!AJ83</f>
        <v>-225621.24836247895</v>
      </c>
      <c r="F386" s="278">
        <f ca="1">'GBP Swap PVs'!AK83</f>
        <v>-150414.16557498599</v>
      </c>
      <c r="G386" s="278">
        <f ca="1">'GBP Swap PVs'!AL83</f>
        <v>-75207.082787493055</v>
      </c>
      <c r="H386" s="278">
        <f ca="1">'GBP Swap PVs'!AM83</f>
        <v>0</v>
      </c>
      <c r="I386" s="278">
        <f ca="1">'GBP Swap PVs'!AN83</f>
        <v>75207.082787492996</v>
      </c>
      <c r="J386" s="278">
        <f ca="1">'GBP Swap PVs'!AO83</f>
        <v>150414.16557498599</v>
      </c>
      <c r="K386" s="278">
        <f ca="1">'GBP Swap PVs'!AP83</f>
        <v>225621.24836247897</v>
      </c>
      <c r="L386" s="278">
        <f ca="1">'GBP Swap PVs'!AQ83</f>
        <v>300828.33114997199</v>
      </c>
      <c r="M386" s="279">
        <f ca="1">'GBP Swap PVs'!AR83</f>
        <v>376035.413937465</v>
      </c>
    </row>
    <row r="387" spans="2:15">
      <c r="B387" s="282" t="s">
        <v>113</v>
      </c>
      <c r="C387" s="278">
        <f ca="1">'GBP Swap PVs'!AH84</f>
        <v>-418823.01881965069</v>
      </c>
      <c r="D387" s="278">
        <f ca="1">'GBP Swap PVs'!AI84</f>
        <v>-335058.41505572054</v>
      </c>
      <c r="E387" s="278">
        <f ca="1">'GBP Swap PVs'!AJ84</f>
        <v>-251293.81129179031</v>
      </c>
      <c r="F387" s="278">
        <f ca="1">'GBP Swap PVs'!AK84</f>
        <v>-167529.20752786027</v>
      </c>
      <c r="G387" s="278">
        <f ca="1">'GBP Swap PVs'!AL84</f>
        <v>-83764.603763930194</v>
      </c>
      <c r="H387" s="278">
        <f ca="1">'GBP Swap PVs'!AM84</f>
        <v>0</v>
      </c>
      <c r="I387" s="278">
        <f ca="1">'GBP Swap PVs'!AN84</f>
        <v>83764.603763930107</v>
      </c>
      <c r="J387" s="278">
        <f ca="1">'GBP Swap PVs'!AO84</f>
        <v>167529.20752786021</v>
      </c>
      <c r="K387" s="278">
        <f ca="1">'GBP Swap PVs'!AP84</f>
        <v>251293.81129179033</v>
      </c>
      <c r="L387" s="278">
        <f ca="1">'GBP Swap PVs'!AQ84</f>
        <v>335058.41505572043</v>
      </c>
      <c r="M387" s="279">
        <f ca="1">'GBP Swap PVs'!AR84</f>
        <v>418823.01881965058</v>
      </c>
    </row>
    <row r="388" spans="2:15">
      <c r="B388" s="282" t="s">
        <v>28</v>
      </c>
      <c r="C388" s="278">
        <f ca="1">'GBP Swap PVs'!AH85</f>
        <v>-460063.14960164652</v>
      </c>
      <c r="D388" s="278">
        <f ca="1">'GBP Swap PVs'!AI85</f>
        <v>-368050.51968131732</v>
      </c>
      <c r="E388" s="278">
        <f ca="1">'GBP Swap PVs'!AJ85</f>
        <v>-276037.88976098777</v>
      </c>
      <c r="F388" s="278">
        <f ca="1">'GBP Swap PVs'!AK85</f>
        <v>-184025.25984065863</v>
      </c>
      <c r="G388" s="278">
        <f ca="1">'GBP Swap PVs'!AL85</f>
        <v>-92012.62992032936</v>
      </c>
      <c r="H388" s="278">
        <f ca="1">'GBP Swap PVs'!AM85</f>
        <v>0</v>
      </c>
      <c r="I388" s="278">
        <f ca="1">'GBP Swap PVs'!AN85</f>
        <v>92012.629920329273</v>
      </c>
      <c r="J388" s="278">
        <f ca="1">'GBP Swap PVs'!AO85</f>
        <v>184025.25984065857</v>
      </c>
      <c r="K388" s="278">
        <f ca="1">'GBP Swap PVs'!AP85</f>
        <v>276037.88976098789</v>
      </c>
      <c r="L388" s="278">
        <f ca="1">'GBP Swap PVs'!AQ85</f>
        <v>368050.51968131715</v>
      </c>
      <c r="M388" s="279">
        <f ca="1">'GBP Swap PVs'!AR85</f>
        <v>460063.14960164641</v>
      </c>
    </row>
    <row r="389" spans="2:15">
      <c r="B389" s="282" t="s">
        <v>26</v>
      </c>
      <c r="C389" s="278">
        <f ca="1">'GBP Swap PVs'!AH86</f>
        <v>-539399.29946624557</v>
      </c>
      <c r="D389" s="278">
        <f ca="1">'GBP Swap PVs'!AI86</f>
        <v>-431519.43957299652</v>
      </c>
      <c r="E389" s="278">
        <f ca="1">'GBP Swap PVs'!AJ86</f>
        <v>-323639.579679747</v>
      </c>
      <c r="F389" s="278">
        <f ca="1">'GBP Swap PVs'!AK86</f>
        <v>-215759.71978649823</v>
      </c>
      <c r="G389" s="278">
        <f ca="1">'GBP Swap PVs'!AL86</f>
        <v>-107879.85989324916</v>
      </c>
      <c r="H389" s="278">
        <f ca="1">'GBP Swap PVs'!AM86</f>
        <v>0</v>
      </c>
      <c r="I389" s="278">
        <f ca="1">'GBP Swap PVs'!AN86</f>
        <v>107879.85989324911</v>
      </c>
      <c r="J389" s="278">
        <f ca="1">'GBP Swap PVs'!AO86</f>
        <v>215759.7197864982</v>
      </c>
      <c r="K389" s="278">
        <f ca="1">'GBP Swap PVs'!AP86</f>
        <v>323639.57967974729</v>
      </c>
      <c r="L389" s="278">
        <f ca="1">'GBP Swap PVs'!AQ86</f>
        <v>431519.43957299634</v>
      </c>
      <c r="M389" s="279">
        <f ca="1">'GBP Swap PVs'!AR86</f>
        <v>539399.29946624546</v>
      </c>
    </row>
    <row r="390" spans="2:15">
      <c r="B390" s="282" t="s">
        <v>24</v>
      </c>
      <c r="C390" s="278">
        <f ca="1">'GBP Swap PVs'!AH87</f>
        <v>-650948.40440974908</v>
      </c>
      <c r="D390" s="278">
        <f ca="1">'GBP Swap PVs'!AI87</f>
        <v>-520758.7235277993</v>
      </c>
      <c r="E390" s="278">
        <f ca="1">'GBP Swap PVs'!AJ87</f>
        <v>-390569.04264584905</v>
      </c>
      <c r="F390" s="278">
        <f ca="1">'GBP Swap PVs'!AK87</f>
        <v>-260379.36176389959</v>
      </c>
      <c r="G390" s="278">
        <f ca="1">'GBP Swap PVs'!AL87</f>
        <v>-130189.68088194987</v>
      </c>
      <c r="H390" s="278">
        <f ca="1">'GBP Swap PVs'!AM87</f>
        <v>0</v>
      </c>
      <c r="I390" s="278">
        <f ca="1">'GBP Swap PVs'!AN87</f>
        <v>130189.68088194983</v>
      </c>
      <c r="J390" s="278">
        <f ca="1">'GBP Swap PVs'!AO87</f>
        <v>260379.36176389959</v>
      </c>
      <c r="K390" s="278">
        <f ca="1">'GBP Swap PVs'!AP87</f>
        <v>390569.04264584935</v>
      </c>
      <c r="L390" s="278">
        <f ca="1">'GBP Swap PVs'!AQ87</f>
        <v>520758.72352779907</v>
      </c>
      <c r="M390" s="279">
        <f ca="1">'GBP Swap PVs'!AR87</f>
        <v>650948.40440974885</v>
      </c>
    </row>
    <row r="391" spans="2:15">
      <c r="B391" s="282" t="s">
        <v>20</v>
      </c>
      <c r="C391" s="278">
        <f ca="1">'GBP Swap PVs'!AH88</f>
        <v>-817421.3529675263</v>
      </c>
      <c r="D391" s="278">
        <f ca="1">'GBP Swap PVs'!AI88</f>
        <v>-653937.08237402095</v>
      </c>
      <c r="E391" s="278">
        <f ca="1">'GBP Swap PVs'!AJ88</f>
        <v>-490452.81178051507</v>
      </c>
      <c r="F391" s="278">
        <f ca="1">'GBP Swap PVs'!AK88</f>
        <v>-326968.5411870103</v>
      </c>
      <c r="G391" s="278">
        <f ca="1">'GBP Swap PVs'!AL88</f>
        <v>-163484.27059350518</v>
      </c>
      <c r="H391" s="278">
        <f ca="1">'GBP Swap PVs'!AM88</f>
        <v>0</v>
      </c>
      <c r="I391" s="278">
        <f ca="1">'GBP Swap PVs'!AN88</f>
        <v>163484.27059350529</v>
      </c>
      <c r="J391" s="278">
        <f ca="1">'GBP Swap PVs'!AO88</f>
        <v>326968.54118701047</v>
      </c>
      <c r="K391" s="278">
        <f ca="1">'GBP Swap PVs'!AP88</f>
        <v>490452.81178051571</v>
      </c>
      <c r="L391" s="278">
        <f ca="1">'GBP Swap PVs'!AQ88</f>
        <v>653937.08237402083</v>
      </c>
      <c r="M391" s="279">
        <f ca="1">'GBP Swap PVs'!AR88</f>
        <v>817421.35296752607</v>
      </c>
    </row>
    <row r="392" spans="2:15">
      <c r="B392" s="282" t="s">
        <v>18</v>
      </c>
      <c r="C392" s="278">
        <f ca="1">'GBP Swap PVs'!AH89</f>
        <v>-964673.16142758739</v>
      </c>
      <c r="D392" s="278">
        <f ca="1">'GBP Swap PVs'!AI89</f>
        <v>-771738.52914206928</v>
      </c>
      <c r="E392" s="278">
        <f ca="1">'GBP Swap PVs'!AJ89</f>
        <v>-578803.89685655141</v>
      </c>
      <c r="F392" s="278">
        <f ca="1">'GBP Swap PVs'!AK89</f>
        <v>-385869.26457103458</v>
      </c>
      <c r="G392" s="278">
        <f ca="1">'GBP Swap PVs'!AL89</f>
        <v>-192934.63228551738</v>
      </c>
      <c r="H392" s="278">
        <f ca="1">'GBP Swap PVs'!AM89</f>
        <v>0</v>
      </c>
      <c r="I392" s="278">
        <f ca="1">'GBP Swap PVs'!AN89</f>
        <v>192934.63228551755</v>
      </c>
      <c r="J392" s="278">
        <f ca="1">'GBP Swap PVs'!AO89</f>
        <v>385869.26457103487</v>
      </c>
      <c r="K392" s="278">
        <f ca="1">'GBP Swap PVs'!AP89</f>
        <v>578803.89685655234</v>
      </c>
      <c r="L392" s="278">
        <f ca="1">'GBP Swap PVs'!AQ89</f>
        <v>771738.52914206951</v>
      </c>
      <c r="M392" s="279">
        <f ca="1">'GBP Swap PVs'!AR89</f>
        <v>964673.16142758715</v>
      </c>
    </row>
    <row r="393" spans="2:15">
      <c r="B393" s="282" t="s">
        <v>17</v>
      </c>
      <c r="C393" s="278">
        <f ca="1">'GBP Swap PVs'!AH90</f>
        <v>-1095602.2603170222</v>
      </c>
      <c r="D393" s="278">
        <f ca="1">'GBP Swap PVs'!AI90</f>
        <v>-876481.80825361726</v>
      </c>
      <c r="E393" s="278">
        <f ca="1">'GBP Swap PVs'!AJ90</f>
        <v>-657361.35619021184</v>
      </c>
      <c r="F393" s="278">
        <f ca="1">'GBP Swap PVs'!AK90</f>
        <v>-438240.9041268084</v>
      </c>
      <c r="G393" s="278">
        <f ca="1">'GBP Swap PVs'!AL90</f>
        <v>-219120.45206340414</v>
      </c>
      <c r="H393" s="278">
        <f ca="1">'GBP Swap PVs'!AM90</f>
        <v>0</v>
      </c>
      <c r="I393" s="278">
        <f ca="1">'GBP Swap PVs'!AN90</f>
        <v>219120.45206340452</v>
      </c>
      <c r="J393" s="278">
        <f ca="1">'GBP Swap PVs'!AO90</f>
        <v>438240.9041268088</v>
      </c>
      <c r="K393" s="278">
        <f ca="1">'GBP Swap PVs'!AP90</f>
        <v>657361.35619021324</v>
      </c>
      <c r="L393" s="278">
        <f ca="1">'GBP Swap PVs'!AQ90</f>
        <v>876481.80825361749</v>
      </c>
      <c r="M393" s="279">
        <f ca="1">'GBP Swap PVs'!AR90</f>
        <v>1095602.2603170217</v>
      </c>
    </row>
    <row r="394" spans="2:15">
      <c r="B394" s="282" t="s">
        <v>15</v>
      </c>
      <c r="C394" s="278">
        <f ca="1">'GBP Swap PVs'!AH91</f>
        <v>-1317901.5977899602</v>
      </c>
      <c r="D394" s="278">
        <f ca="1">'GBP Swap PVs'!AI91</f>
        <v>-1054321.2782319677</v>
      </c>
      <c r="E394" s="278">
        <f ca="1">'GBP Swap PVs'!AJ91</f>
        <v>-790740.95867397485</v>
      </c>
      <c r="F394" s="278">
        <f ca="1">'GBP Swap PVs'!AK91</f>
        <v>-527160.63911598374</v>
      </c>
      <c r="G394" s="278">
        <f ca="1">'GBP Swap PVs'!AL91</f>
        <v>-263580.31955799164</v>
      </c>
      <c r="H394" s="278">
        <f ca="1">'GBP Swap PVs'!AM91</f>
        <v>0</v>
      </c>
      <c r="I394" s="278">
        <f ca="1">'GBP Swap PVs'!AN91</f>
        <v>263580.31955799257</v>
      </c>
      <c r="J394" s="278">
        <f ca="1">'GBP Swap PVs'!AO91</f>
        <v>527160.63911598444</v>
      </c>
      <c r="K394" s="278">
        <f ca="1">'GBP Swap PVs'!AP91</f>
        <v>790740.95867397648</v>
      </c>
      <c r="L394" s="278">
        <f ca="1">'GBP Swap PVs'!AQ91</f>
        <v>1054321.2782319684</v>
      </c>
      <c r="M394" s="279">
        <f ca="1">'GBP Swap PVs'!AR91</f>
        <v>1317901.5977899604</v>
      </c>
    </row>
    <row r="395" spans="2:15">
      <c r="B395" s="282" t="s">
        <v>14</v>
      </c>
      <c r="C395" s="278">
        <f ca="1">'GBP Swap PVs'!AH92</f>
        <v>-1498349.9245906656</v>
      </c>
      <c r="D395" s="278">
        <f ca="1">'GBP Swap PVs'!AI92</f>
        <v>-1198679.9396725311</v>
      </c>
      <c r="E395" s="278">
        <f ca="1">'GBP Swap PVs'!AJ92</f>
        <v>-899009.95475439739</v>
      </c>
      <c r="F395" s="278">
        <f ca="1">'GBP Swap PVs'!AK92</f>
        <v>-599339.9698362652</v>
      </c>
      <c r="G395" s="278">
        <f ca="1">'GBP Swap PVs'!AL92</f>
        <v>-299669.98491813266</v>
      </c>
      <c r="H395" s="278">
        <f ca="1">'GBP Swap PVs'!AM92</f>
        <v>0</v>
      </c>
      <c r="I395" s="278">
        <f ca="1">'GBP Swap PVs'!AN92</f>
        <v>299669.98491813318</v>
      </c>
      <c r="J395" s="278">
        <f ca="1">'GBP Swap PVs'!AO92</f>
        <v>599339.96983626578</v>
      </c>
      <c r="K395" s="278">
        <f ca="1">'GBP Swap PVs'!AP92</f>
        <v>899009.95475439855</v>
      </c>
      <c r="L395" s="278">
        <f ca="1">'GBP Swap PVs'!AQ92</f>
        <v>1198679.9396725311</v>
      </c>
      <c r="M395" s="279">
        <f ca="1">'GBP Swap PVs'!AR92</f>
        <v>1498349.9245906642</v>
      </c>
    </row>
    <row r="396" spans="2:15">
      <c r="B396" s="282"/>
      <c r="C396" s="278"/>
      <c r="D396" s="278"/>
      <c r="E396" s="278"/>
      <c r="F396" s="278"/>
      <c r="G396" s="278"/>
      <c r="H396" s="278"/>
      <c r="I396" s="278"/>
      <c r="J396" s="278"/>
      <c r="K396" s="278"/>
      <c r="L396" s="278"/>
      <c r="M396" s="279"/>
    </row>
    <row r="397" spans="2:15">
      <c r="B397" s="282"/>
      <c r="C397" s="278"/>
      <c r="D397" s="278"/>
      <c r="E397" s="278"/>
      <c r="F397" s="278"/>
      <c r="G397" s="278"/>
      <c r="H397" s="278"/>
      <c r="I397" s="278"/>
      <c r="J397" s="278"/>
      <c r="K397" s="278"/>
      <c r="L397" s="278"/>
      <c r="M397" s="279"/>
    </row>
    <row r="398" spans="2:15">
      <c r="B398" s="283"/>
      <c r="C398" s="280"/>
      <c r="D398" s="280"/>
      <c r="E398" s="280"/>
      <c r="F398" s="280"/>
      <c r="G398" s="280"/>
      <c r="H398" s="280"/>
      <c r="I398" s="280"/>
      <c r="J398" s="280"/>
      <c r="K398" s="280"/>
      <c r="L398" s="280"/>
      <c r="M398" s="281"/>
    </row>
    <row r="400" spans="2:15">
      <c r="B400" s="258" t="s">
        <v>472</v>
      </c>
      <c r="O400" s="258" t="s">
        <v>472</v>
      </c>
    </row>
    <row r="401" spans="2:26">
      <c r="B401" s="254" t="s">
        <v>468</v>
      </c>
      <c r="C401" s="287">
        <v>500</v>
      </c>
      <c r="D401" s="287">
        <v>400</v>
      </c>
      <c r="E401" s="287">
        <v>300</v>
      </c>
      <c r="F401" s="287">
        <v>200</v>
      </c>
      <c r="G401" s="287">
        <v>100</v>
      </c>
      <c r="H401" s="287">
        <v>0</v>
      </c>
      <c r="I401" s="287">
        <v>-100</v>
      </c>
      <c r="J401" s="287">
        <v>-200</v>
      </c>
      <c r="K401" s="287">
        <v>-300</v>
      </c>
      <c r="L401" s="287">
        <v>-400</v>
      </c>
      <c r="M401" s="288">
        <v>-500</v>
      </c>
      <c r="O401" s="254" t="s">
        <v>468</v>
      </c>
      <c r="P401" s="276">
        <v>-0.05</v>
      </c>
      <c r="Q401" s="276">
        <v>-0.04</v>
      </c>
      <c r="R401" s="276">
        <v>-0.03</v>
      </c>
      <c r="S401" s="276">
        <v>-1.9999999999999997E-2</v>
      </c>
      <c r="T401" s="276">
        <v>-9.9999999999999967E-3</v>
      </c>
      <c r="U401" s="276">
        <v>0</v>
      </c>
      <c r="V401" s="276">
        <v>0.01</v>
      </c>
      <c r="W401" s="276">
        <v>0.02</v>
      </c>
      <c r="X401" s="276">
        <v>0.03</v>
      </c>
      <c r="Y401" s="276">
        <v>0.04</v>
      </c>
      <c r="Z401" s="277">
        <v>0.05</v>
      </c>
    </row>
    <row r="402" spans="2:26">
      <c r="B402" s="282" t="s">
        <v>42</v>
      </c>
      <c r="C402" s="278">
        <f ca="1">IF(C380&lt;D380,0,1)</f>
        <v>0</v>
      </c>
      <c r="D402" s="278">
        <f t="shared" ref="D402:L402" ca="1" si="44">IF(D380&lt;E380,0,1)</f>
        <v>0</v>
      </c>
      <c r="E402" s="278">
        <f t="shared" ca="1" si="44"/>
        <v>0</v>
      </c>
      <c r="F402" s="278">
        <f t="shared" ca="1" si="44"/>
        <v>0</v>
      </c>
      <c r="G402" s="278">
        <f t="shared" ca="1" si="44"/>
        <v>0</v>
      </c>
      <c r="H402" s="278">
        <f t="shared" ca="1" si="44"/>
        <v>0</v>
      </c>
      <c r="I402" s="278">
        <f t="shared" ca="1" si="44"/>
        <v>0</v>
      </c>
      <c r="J402" s="278">
        <f t="shared" ca="1" si="44"/>
        <v>0</v>
      </c>
      <c r="K402" s="278">
        <f t="shared" ca="1" si="44"/>
        <v>0</v>
      </c>
      <c r="L402" s="278">
        <f t="shared" ca="1" si="44"/>
        <v>0</v>
      </c>
      <c r="M402" s="285" t="s">
        <v>6</v>
      </c>
      <c r="O402" s="282" t="s">
        <v>42</v>
      </c>
      <c r="P402" s="289">
        <f ca="1">IF(ABS(C381)&gt;ABS(C380),0,1)</f>
        <v>0</v>
      </c>
      <c r="Q402" s="289">
        <f t="shared" ref="Q402:T417" ca="1" si="45">IF(ABS(D381)&gt;ABS(D380),0,1)</f>
        <v>0</v>
      </c>
      <c r="R402" s="289">
        <f t="shared" ca="1" si="45"/>
        <v>0</v>
      </c>
      <c r="S402" s="289">
        <f t="shared" ca="1" si="45"/>
        <v>0</v>
      </c>
      <c r="T402" s="289">
        <f t="shared" ca="1" si="45"/>
        <v>0</v>
      </c>
      <c r="U402" s="295" t="s">
        <v>6</v>
      </c>
      <c r="V402" s="289">
        <f t="shared" ref="V402:Z417" ca="1" si="46">IF(ABS(I381)&gt;ABS(I380),0,1)</f>
        <v>0</v>
      </c>
      <c r="W402" s="289">
        <f t="shared" ca="1" si="46"/>
        <v>0</v>
      </c>
      <c r="X402" s="289">
        <f t="shared" ca="1" si="46"/>
        <v>0</v>
      </c>
      <c r="Y402" s="289">
        <f t="shared" ca="1" si="46"/>
        <v>0</v>
      </c>
      <c r="Z402" s="291">
        <f t="shared" ca="1" si="46"/>
        <v>0</v>
      </c>
    </row>
    <row r="403" spans="2:26">
      <c r="B403" s="282" t="s">
        <v>39</v>
      </c>
      <c r="C403" s="278">
        <f t="shared" ref="C403:L418" ca="1" si="47">IF(C381&lt;D381,0,1)</f>
        <v>0</v>
      </c>
      <c r="D403" s="278">
        <f t="shared" ca="1" si="47"/>
        <v>0</v>
      </c>
      <c r="E403" s="278">
        <f t="shared" ca="1" si="47"/>
        <v>0</v>
      </c>
      <c r="F403" s="278">
        <f t="shared" ca="1" si="47"/>
        <v>0</v>
      </c>
      <c r="G403" s="278">
        <f t="shared" ca="1" si="47"/>
        <v>0</v>
      </c>
      <c r="H403" s="278">
        <f t="shared" ca="1" si="47"/>
        <v>0</v>
      </c>
      <c r="I403" s="278">
        <f t="shared" ca="1" si="47"/>
        <v>0</v>
      </c>
      <c r="J403" s="278">
        <f t="shared" ca="1" si="47"/>
        <v>0</v>
      </c>
      <c r="K403" s="278">
        <f t="shared" ca="1" si="47"/>
        <v>0</v>
      </c>
      <c r="L403" s="278">
        <f t="shared" ca="1" si="47"/>
        <v>0</v>
      </c>
      <c r="M403" s="279" t="s">
        <v>6</v>
      </c>
      <c r="O403" s="282" t="s">
        <v>39</v>
      </c>
      <c r="P403" s="289">
        <f t="shared" ref="P403:T418" ca="1" si="48">IF(ABS(C382)&gt;ABS(C381),0,1)</f>
        <v>0</v>
      </c>
      <c r="Q403" s="289">
        <f t="shared" ca="1" si="45"/>
        <v>0</v>
      </c>
      <c r="R403" s="289">
        <f t="shared" ca="1" si="45"/>
        <v>0</v>
      </c>
      <c r="S403" s="289">
        <f t="shared" ca="1" si="45"/>
        <v>0</v>
      </c>
      <c r="T403" s="289">
        <f t="shared" ca="1" si="45"/>
        <v>0</v>
      </c>
      <c r="U403" s="295" t="s">
        <v>6</v>
      </c>
      <c r="V403" s="289">
        <f t="shared" ca="1" si="46"/>
        <v>0</v>
      </c>
      <c r="W403" s="289">
        <f t="shared" ca="1" si="46"/>
        <v>0</v>
      </c>
      <c r="X403" s="289">
        <f t="shared" ca="1" si="46"/>
        <v>0</v>
      </c>
      <c r="Y403" s="289">
        <f t="shared" ca="1" si="46"/>
        <v>0</v>
      </c>
      <c r="Z403" s="292">
        <f t="shared" ca="1" si="46"/>
        <v>0</v>
      </c>
    </row>
    <row r="404" spans="2:26">
      <c r="B404" s="282" t="s">
        <v>35</v>
      </c>
      <c r="C404" s="278">
        <f t="shared" ca="1" si="47"/>
        <v>0</v>
      </c>
      <c r="D404" s="278">
        <f t="shared" ca="1" si="47"/>
        <v>0</v>
      </c>
      <c r="E404" s="278">
        <f t="shared" ca="1" si="47"/>
        <v>0</v>
      </c>
      <c r="F404" s="278">
        <f t="shared" ca="1" si="47"/>
        <v>0</v>
      </c>
      <c r="G404" s="278">
        <f t="shared" ca="1" si="47"/>
        <v>0</v>
      </c>
      <c r="H404" s="278">
        <f t="shared" ca="1" si="47"/>
        <v>0</v>
      </c>
      <c r="I404" s="278">
        <f t="shared" ca="1" si="47"/>
        <v>0</v>
      </c>
      <c r="J404" s="278">
        <f t="shared" ca="1" si="47"/>
        <v>0</v>
      </c>
      <c r="K404" s="278">
        <f t="shared" ca="1" si="47"/>
        <v>0</v>
      </c>
      <c r="L404" s="278">
        <f t="shared" ca="1" si="47"/>
        <v>0</v>
      </c>
      <c r="M404" s="279" t="s">
        <v>6</v>
      </c>
      <c r="O404" s="282" t="s">
        <v>35</v>
      </c>
      <c r="P404" s="289">
        <f t="shared" ca="1" si="48"/>
        <v>0</v>
      </c>
      <c r="Q404" s="289">
        <f t="shared" ca="1" si="45"/>
        <v>0</v>
      </c>
      <c r="R404" s="289">
        <f t="shared" ca="1" si="45"/>
        <v>0</v>
      </c>
      <c r="S404" s="289">
        <f t="shared" ca="1" si="45"/>
        <v>0</v>
      </c>
      <c r="T404" s="289">
        <f t="shared" ca="1" si="45"/>
        <v>0</v>
      </c>
      <c r="U404" s="295" t="s">
        <v>6</v>
      </c>
      <c r="V404" s="289">
        <f t="shared" ca="1" si="46"/>
        <v>0</v>
      </c>
      <c r="W404" s="289">
        <f t="shared" ca="1" si="46"/>
        <v>0</v>
      </c>
      <c r="X404" s="289">
        <f t="shared" ca="1" si="46"/>
        <v>0</v>
      </c>
      <c r="Y404" s="289">
        <f t="shared" ca="1" si="46"/>
        <v>0</v>
      </c>
      <c r="Z404" s="292">
        <f t="shared" ca="1" si="46"/>
        <v>0</v>
      </c>
    </row>
    <row r="405" spans="2:26">
      <c r="B405" s="282" t="s">
        <v>33</v>
      </c>
      <c r="C405" s="278">
        <f t="shared" ca="1" si="47"/>
        <v>0</v>
      </c>
      <c r="D405" s="278">
        <f t="shared" ca="1" si="47"/>
        <v>0</v>
      </c>
      <c r="E405" s="278">
        <f t="shared" ca="1" si="47"/>
        <v>0</v>
      </c>
      <c r="F405" s="278">
        <f t="shared" ca="1" si="47"/>
        <v>0</v>
      </c>
      <c r="G405" s="278">
        <f t="shared" ca="1" si="47"/>
        <v>0</v>
      </c>
      <c r="H405" s="278">
        <f t="shared" ca="1" si="47"/>
        <v>0</v>
      </c>
      <c r="I405" s="278">
        <f t="shared" ca="1" si="47"/>
        <v>0</v>
      </c>
      <c r="J405" s="278">
        <f t="shared" ca="1" si="47"/>
        <v>0</v>
      </c>
      <c r="K405" s="278">
        <f t="shared" ca="1" si="47"/>
        <v>0</v>
      </c>
      <c r="L405" s="278">
        <f t="shared" ca="1" si="47"/>
        <v>0</v>
      </c>
      <c r="M405" s="279" t="s">
        <v>6</v>
      </c>
      <c r="O405" s="282" t="s">
        <v>33</v>
      </c>
      <c r="P405" s="289">
        <f t="shared" ca="1" si="48"/>
        <v>0</v>
      </c>
      <c r="Q405" s="289">
        <f t="shared" ca="1" si="45"/>
        <v>0</v>
      </c>
      <c r="R405" s="289">
        <f t="shared" ca="1" si="45"/>
        <v>0</v>
      </c>
      <c r="S405" s="289">
        <f t="shared" ca="1" si="45"/>
        <v>0</v>
      </c>
      <c r="T405" s="289">
        <f t="shared" ca="1" si="45"/>
        <v>0</v>
      </c>
      <c r="U405" s="295" t="s">
        <v>6</v>
      </c>
      <c r="V405" s="289">
        <f t="shared" ca="1" si="46"/>
        <v>0</v>
      </c>
      <c r="W405" s="289">
        <f t="shared" ca="1" si="46"/>
        <v>0</v>
      </c>
      <c r="X405" s="289">
        <f t="shared" ca="1" si="46"/>
        <v>0</v>
      </c>
      <c r="Y405" s="289">
        <f t="shared" ca="1" si="46"/>
        <v>0</v>
      </c>
      <c r="Z405" s="292">
        <f t="shared" ca="1" si="46"/>
        <v>0</v>
      </c>
    </row>
    <row r="406" spans="2:26">
      <c r="B406" s="282" t="s">
        <v>131</v>
      </c>
      <c r="C406" s="278">
        <f t="shared" ca="1" si="47"/>
        <v>0</v>
      </c>
      <c r="D406" s="278">
        <f t="shared" ca="1" si="47"/>
        <v>0</v>
      </c>
      <c r="E406" s="278">
        <f t="shared" ca="1" si="47"/>
        <v>0</v>
      </c>
      <c r="F406" s="278">
        <f t="shared" ca="1" si="47"/>
        <v>0</v>
      </c>
      <c r="G406" s="278">
        <f t="shared" ca="1" si="47"/>
        <v>0</v>
      </c>
      <c r="H406" s="278">
        <f t="shared" ca="1" si="47"/>
        <v>0</v>
      </c>
      <c r="I406" s="278">
        <f t="shared" ca="1" si="47"/>
        <v>0</v>
      </c>
      <c r="J406" s="278">
        <f t="shared" ca="1" si="47"/>
        <v>0</v>
      </c>
      <c r="K406" s="278">
        <f t="shared" ca="1" si="47"/>
        <v>0</v>
      </c>
      <c r="L406" s="278">
        <f t="shared" ca="1" si="47"/>
        <v>0</v>
      </c>
      <c r="M406" s="279" t="s">
        <v>6</v>
      </c>
      <c r="O406" s="282" t="s">
        <v>131</v>
      </c>
      <c r="P406" s="289">
        <f t="shared" ca="1" si="48"/>
        <v>0</v>
      </c>
      <c r="Q406" s="289">
        <f t="shared" ca="1" si="45"/>
        <v>0</v>
      </c>
      <c r="R406" s="289">
        <f t="shared" ca="1" si="45"/>
        <v>0</v>
      </c>
      <c r="S406" s="289">
        <f t="shared" ca="1" si="45"/>
        <v>0</v>
      </c>
      <c r="T406" s="289">
        <f t="shared" ca="1" si="45"/>
        <v>0</v>
      </c>
      <c r="U406" s="295" t="s">
        <v>6</v>
      </c>
      <c r="V406" s="289">
        <f t="shared" ca="1" si="46"/>
        <v>0</v>
      </c>
      <c r="W406" s="289">
        <f t="shared" ca="1" si="46"/>
        <v>0</v>
      </c>
      <c r="X406" s="289">
        <f t="shared" ca="1" si="46"/>
        <v>0</v>
      </c>
      <c r="Y406" s="289">
        <f t="shared" ca="1" si="46"/>
        <v>0</v>
      </c>
      <c r="Z406" s="292">
        <f t="shared" ca="1" si="46"/>
        <v>0</v>
      </c>
    </row>
    <row r="407" spans="2:26">
      <c r="B407" s="282" t="s">
        <v>31</v>
      </c>
      <c r="C407" s="278">
        <f t="shared" ca="1" si="47"/>
        <v>0</v>
      </c>
      <c r="D407" s="278">
        <f t="shared" ca="1" si="47"/>
        <v>0</v>
      </c>
      <c r="E407" s="278">
        <f t="shared" ca="1" si="47"/>
        <v>0</v>
      </c>
      <c r="F407" s="278">
        <f t="shared" ca="1" si="47"/>
        <v>0</v>
      </c>
      <c r="G407" s="278">
        <f t="shared" ca="1" si="47"/>
        <v>0</v>
      </c>
      <c r="H407" s="278">
        <f t="shared" ca="1" si="47"/>
        <v>0</v>
      </c>
      <c r="I407" s="278">
        <f t="shared" ca="1" si="47"/>
        <v>0</v>
      </c>
      <c r="J407" s="278">
        <f t="shared" ca="1" si="47"/>
        <v>0</v>
      </c>
      <c r="K407" s="278">
        <f t="shared" ca="1" si="47"/>
        <v>0</v>
      </c>
      <c r="L407" s="278">
        <f t="shared" ca="1" si="47"/>
        <v>0</v>
      </c>
      <c r="M407" s="279" t="s">
        <v>6</v>
      </c>
      <c r="O407" s="282" t="s">
        <v>31</v>
      </c>
      <c r="P407" s="289">
        <f t="shared" ca="1" si="48"/>
        <v>0</v>
      </c>
      <c r="Q407" s="289">
        <f t="shared" ca="1" si="45"/>
        <v>0</v>
      </c>
      <c r="R407" s="289">
        <f t="shared" ca="1" si="45"/>
        <v>0</v>
      </c>
      <c r="S407" s="289">
        <f t="shared" ca="1" si="45"/>
        <v>0</v>
      </c>
      <c r="T407" s="289">
        <f t="shared" ca="1" si="45"/>
        <v>0</v>
      </c>
      <c r="U407" s="295" t="s">
        <v>6</v>
      </c>
      <c r="V407" s="289">
        <f t="shared" ca="1" si="46"/>
        <v>0</v>
      </c>
      <c r="W407" s="289">
        <f t="shared" ca="1" si="46"/>
        <v>0</v>
      </c>
      <c r="X407" s="289">
        <f t="shared" ca="1" si="46"/>
        <v>0</v>
      </c>
      <c r="Y407" s="289">
        <f t="shared" ca="1" si="46"/>
        <v>0</v>
      </c>
      <c r="Z407" s="292">
        <f t="shared" ca="1" si="46"/>
        <v>0</v>
      </c>
    </row>
    <row r="408" spans="2:26">
      <c r="B408" s="282" t="s">
        <v>119</v>
      </c>
      <c r="C408" s="278">
        <f t="shared" ca="1" si="47"/>
        <v>0</v>
      </c>
      <c r="D408" s="278">
        <f t="shared" ca="1" si="47"/>
        <v>0</v>
      </c>
      <c r="E408" s="278">
        <f t="shared" ca="1" si="47"/>
        <v>0</v>
      </c>
      <c r="F408" s="278">
        <f t="shared" ca="1" si="47"/>
        <v>0</v>
      </c>
      <c r="G408" s="278">
        <f t="shared" ca="1" si="47"/>
        <v>0</v>
      </c>
      <c r="H408" s="278">
        <f t="shared" ca="1" si="47"/>
        <v>0</v>
      </c>
      <c r="I408" s="278">
        <f t="shared" ca="1" si="47"/>
        <v>0</v>
      </c>
      <c r="J408" s="278">
        <f t="shared" ca="1" si="47"/>
        <v>0</v>
      </c>
      <c r="K408" s="278">
        <f t="shared" ca="1" si="47"/>
        <v>0</v>
      </c>
      <c r="L408" s="278">
        <f t="shared" ca="1" si="47"/>
        <v>0</v>
      </c>
      <c r="M408" s="279" t="s">
        <v>6</v>
      </c>
      <c r="O408" s="282" t="s">
        <v>119</v>
      </c>
      <c r="P408" s="289">
        <f t="shared" ca="1" si="48"/>
        <v>0</v>
      </c>
      <c r="Q408" s="289">
        <f t="shared" ca="1" si="45"/>
        <v>0</v>
      </c>
      <c r="R408" s="289">
        <f t="shared" ca="1" si="45"/>
        <v>0</v>
      </c>
      <c r="S408" s="289">
        <f t="shared" ca="1" si="45"/>
        <v>0</v>
      </c>
      <c r="T408" s="289">
        <f t="shared" ca="1" si="45"/>
        <v>0</v>
      </c>
      <c r="U408" s="295" t="s">
        <v>6</v>
      </c>
      <c r="V408" s="289">
        <f t="shared" ca="1" si="46"/>
        <v>0</v>
      </c>
      <c r="W408" s="289">
        <f t="shared" ca="1" si="46"/>
        <v>0</v>
      </c>
      <c r="X408" s="289">
        <f t="shared" ca="1" si="46"/>
        <v>0</v>
      </c>
      <c r="Y408" s="289">
        <f t="shared" ca="1" si="46"/>
        <v>0</v>
      </c>
      <c r="Z408" s="292">
        <f t="shared" ca="1" si="46"/>
        <v>0</v>
      </c>
    </row>
    <row r="409" spans="2:26">
      <c r="B409" s="282" t="s">
        <v>113</v>
      </c>
      <c r="C409" s="278">
        <f t="shared" ca="1" si="47"/>
        <v>0</v>
      </c>
      <c r="D409" s="278">
        <f t="shared" ca="1" si="47"/>
        <v>0</v>
      </c>
      <c r="E409" s="278">
        <f t="shared" ca="1" si="47"/>
        <v>0</v>
      </c>
      <c r="F409" s="278">
        <f t="shared" ca="1" si="47"/>
        <v>0</v>
      </c>
      <c r="G409" s="278">
        <f t="shared" ca="1" si="47"/>
        <v>0</v>
      </c>
      <c r="H409" s="278">
        <f t="shared" ca="1" si="47"/>
        <v>0</v>
      </c>
      <c r="I409" s="278">
        <f t="shared" ca="1" si="47"/>
        <v>0</v>
      </c>
      <c r="J409" s="278">
        <f t="shared" ca="1" si="47"/>
        <v>0</v>
      </c>
      <c r="K409" s="278">
        <f t="shared" ca="1" si="47"/>
        <v>0</v>
      </c>
      <c r="L409" s="278">
        <f t="shared" ca="1" si="47"/>
        <v>0</v>
      </c>
      <c r="M409" s="279" t="s">
        <v>6</v>
      </c>
      <c r="O409" s="282" t="s">
        <v>113</v>
      </c>
      <c r="P409" s="289">
        <f t="shared" ca="1" si="48"/>
        <v>0</v>
      </c>
      <c r="Q409" s="289">
        <f t="shared" ca="1" si="45"/>
        <v>0</v>
      </c>
      <c r="R409" s="289">
        <f t="shared" ca="1" si="45"/>
        <v>0</v>
      </c>
      <c r="S409" s="289">
        <f t="shared" ca="1" si="45"/>
        <v>0</v>
      </c>
      <c r="T409" s="289">
        <f t="shared" ca="1" si="45"/>
        <v>0</v>
      </c>
      <c r="U409" s="295" t="s">
        <v>6</v>
      </c>
      <c r="V409" s="289">
        <f t="shared" ca="1" si="46"/>
        <v>0</v>
      </c>
      <c r="W409" s="289">
        <f t="shared" ca="1" si="46"/>
        <v>0</v>
      </c>
      <c r="X409" s="289">
        <f t="shared" ca="1" si="46"/>
        <v>0</v>
      </c>
      <c r="Y409" s="289">
        <f t="shared" ca="1" si="46"/>
        <v>0</v>
      </c>
      <c r="Z409" s="292">
        <f t="shared" ca="1" si="46"/>
        <v>0</v>
      </c>
    </row>
    <row r="410" spans="2:26">
      <c r="B410" s="282" t="s">
        <v>28</v>
      </c>
      <c r="C410" s="278">
        <f t="shared" ca="1" si="47"/>
        <v>0</v>
      </c>
      <c r="D410" s="278">
        <f t="shared" ca="1" si="47"/>
        <v>0</v>
      </c>
      <c r="E410" s="278">
        <f t="shared" ca="1" si="47"/>
        <v>0</v>
      </c>
      <c r="F410" s="278">
        <f t="shared" ca="1" si="47"/>
        <v>0</v>
      </c>
      <c r="G410" s="278">
        <f t="shared" ca="1" si="47"/>
        <v>0</v>
      </c>
      <c r="H410" s="278">
        <f t="shared" ca="1" si="47"/>
        <v>0</v>
      </c>
      <c r="I410" s="278">
        <f t="shared" ca="1" si="47"/>
        <v>0</v>
      </c>
      <c r="J410" s="278">
        <f t="shared" ca="1" si="47"/>
        <v>0</v>
      </c>
      <c r="K410" s="278">
        <f t="shared" ca="1" si="47"/>
        <v>0</v>
      </c>
      <c r="L410" s="278">
        <f t="shared" ca="1" si="47"/>
        <v>0</v>
      </c>
      <c r="M410" s="279" t="s">
        <v>6</v>
      </c>
      <c r="O410" s="282" t="s">
        <v>28</v>
      </c>
      <c r="P410" s="289">
        <f t="shared" ca="1" si="48"/>
        <v>0</v>
      </c>
      <c r="Q410" s="289">
        <f t="shared" ca="1" si="45"/>
        <v>0</v>
      </c>
      <c r="R410" s="289">
        <f t="shared" ca="1" si="45"/>
        <v>0</v>
      </c>
      <c r="S410" s="289">
        <f t="shared" ca="1" si="45"/>
        <v>0</v>
      </c>
      <c r="T410" s="289">
        <f t="shared" ca="1" si="45"/>
        <v>0</v>
      </c>
      <c r="U410" s="295" t="s">
        <v>6</v>
      </c>
      <c r="V410" s="289">
        <f t="shared" ca="1" si="46"/>
        <v>0</v>
      </c>
      <c r="W410" s="289">
        <f t="shared" ca="1" si="46"/>
        <v>0</v>
      </c>
      <c r="X410" s="289">
        <f t="shared" ca="1" si="46"/>
        <v>0</v>
      </c>
      <c r="Y410" s="289">
        <f t="shared" ca="1" si="46"/>
        <v>0</v>
      </c>
      <c r="Z410" s="292">
        <f t="shared" ca="1" si="46"/>
        <v>0</v>
      </c>
    </row>
    <row r="411" spans="2:26">
      <c r="B411" s="282" t="s">
        <v>26</v>
      </c>
      <c r="C411" s="278">
        <f t="shared" ca="1" si="47"/>
        <v>0</v>
      </c>
      <c r="D411" s="278">
        <f t="shared" ca="1" si="47"/>
        <v>0</v>
      </c>
      <c r="E411" s="278">
        <f t="shared" ca="1" si="47"/>
        <v>0</v>
      </c>
      <c r="F411" s="278">
        <f t="shared" ca="1" si="47"/>
        <v>0</v>
      </c>
      <c r="G411" s="278">
        <f t="shared" ca="1" si="47"/>
        <v>0</v>
      </c>
      <c r="H411" s="278">
        <f t="shared" ca="1" si="47"/>
        <v>0</v>
      </c>
      <c r="I411" s="278">
        <f t="shared" ca="1" si="47"/>
        <v>0</v>
      </c>
      <c r="J411" s="278">
        <f t="shared" ca="1" si="47"/>
        <v>0</v>
      </c>
      <c r="K411" s="278">
        <f t="shared" ca="1" si="47"/>
        <v>0</v>
      </c>
      <c r="L411" s="278">
        <f t="shared" ca="1" si="47"/>
        <v>0</v>
      </c>
      <c r="M411" s="279" t="s">
        <v>6</v>
      </c>
      <c r="O411" s="282" t="s">
        <v>26</v>
      </c>
      <c r="P411" s="289">
        <f t="shared" ca="1" si="48"/>
        <v>0</v>
      </c>
      <c r="Q411" s="289">
        <f t="shared" ca="1" si="45"/>
        <v>0</v>
      </c>
      <c r="R411" s="289">
        <f t="shared" ca="1" si="45"/>
        <v>0</v>
      </c>
      <c r="S411" s="289">
        <f t="shared" ca="1" si="45"/>
        <v>0</v>
      </c>
      <c r="T411" s="289">
        <f t="shared" ca="1" si="45"/>
        <v>0</v>
      </c>
      <c r="U411" s="295" t="s">
        <v>6</v>
      </c>
      <c r="V411" s="289">
        <f t="shared" ca="1" si="46"/>
        <v>0</v>
      </c>
      <c r="W411" s="289">
        <f t="shared" ca="1" si="46"/>
        <v>0</v>
      </c>
      <c r="X411" s="289">
        <f t="shared" ca="1" si="46"/>
        <v>0</v>
      </c>
      <c r="Y411" s="289">
        <f t="shared" ca="1" si="46"/>
        <v>0</v>
      </c>
      <c r="Z411" s="292">
        <f t="shared" ca="1" si="46"/>
        <v>0</v>
      </c>
    </row>
    <row r="412" spans="2:26">
      <c r="B412" s="282" t="s">
        <v>24</v>
      </c>
      <c r="C412" s="278">
        <f t="shared" ca="1" si="47"/>
        <v>0</v>
      </c>
      <c r="D412" s="278">
        <f t="shared" ca="1" si="47"/>
        <v>0</v>
      </c>
      <c r="E412" s="278">
        <f t="shared" ca="1" si="47"/>
        <v>0</v>
      </c>
      <c r="F412" s="278">
        <f t="shared" ca="1" si="47"/>
        <v>0</v>
      </c>
      <c r="G412" s="278">
        <f t="shared" ca="1" si="47"/>
        <v>0</v>
      </c>
      <c r="H412" s="278">
        <f t="shared" ca="1" si="47"/>
        <v>0</v>
      </c>
      <c r="I412" s="278">
        <f t="shared" ca="1" si="47"/>
        <v>0</v>
      </c>
      <c r="J412" s="278">
        <f t="shared" ca="1" si="47"/>
        <v>0</v>
      </c>
      <c r="K412" s="278">
        <f t="shared" ca="1" si="47"/>
        <v>0</v>
      </c>
      <c r="L412" s="278">
        <f t="shared" ca="1" si="47"/>
        <v>0</v>
      </c>
      <c r="M412" s="279" t="s">
        <v>6</v>
      </c>
      <c r="O412" s="282" t="s">
        <v>24</v>
      </c>
      <c r="P412" s="289">
        <f t="shared" ca="1" si="48"/>
        <v>0</v>
      </c>
      <c r="Q412" s="289">
        <f t="shared" ca="1" si="45"/>
        <v>0</v>
      </c>
      <c r="R412" s="289">
        <f t="shared" ca="1" si="45"/>
        <v>0</v>
      </c>
      <c r="S412" s="289">
        <f t="shared" ca="1" si="45"/>
        <v>0</v>
      </c>
      <c r="T412" s="289">
        <f t="shared" ca="1" si="45"/>
        <v>0</v>
      </c>
      <c r="U412" s="295" t="s">
        <v>6</v>
      </c>
      <c r="V412" s="289">
        <f t="shared" ca="1" si="46"/>
        <v>0</v>
      </c>
      <c r="W412" s="289">
        <f t="shared" ca="1" si="46"/>
        <v>0</v>
      </c>
      <c r="X412" s="289">
        <f t="shared" ca="1" si="46"/>
        <v>0</v>
      </c>
      <c r="Y412" s="289">
        <f t="shared" ca="1" si="46"/>
        <v>0</v>
      </c>
      <c r="Z412" s="292">
        <f t="shared" ca="1" si="46"/>
        <v>0</v>
      </c>
    </row>
    <row r="413" spans="2:26">
      <c r="B413" s="282" t="s">
        <v>20</v>
      </c>
      <c r="C413" s="278">
        <f t="shared" ca="1" si="47"/>
        <v>0</v>
      </c>
      <c r="D413" s="278">
        <f t="shared" ca="1" si="47"/>
        <v>0</v>
      </c>
      <c r="E413" s="278">
        <f t="shared" ca="1" si="47"/>
        <v>0</v>
      </c>
      <c r="F413" s="278">
        <f t="shared" ca="1" si="47"/>
        <v>0</v>
      </c>
      <c r="G413" s="278">
        <f t="shared" ca="1" si="47"/>
        <v>0</v>
      </c>
      <c r="H413" s="278">
        <f t="shared" ca="1" si="47"/>
        <v>0</v>
      </c>
      <c r="I413" s="278">
        <f t="shared" ca="1" si="47"/>
        <v>0</v>
      </c>
      <c r="J413" s="278">
        <f t="shared" ca="1" si="47"/>
        <v>0</v>
      </c>
      <c r="K413" s="278">
        <f t="shared" ca="1" si="47"/>
        <v>0</v>
      </c>
      <c r="L413" s="278">
        <f t="shared" ca="1" si="47"/>
        <v>0</v>
      </c>
      <c r="M413" s="279" t="s">
        <v>6</v>
      </c>
      <c r="O413" s="282" t="s">
        <v>20</v>
      </c>
      <c r="P413" s="289">
        <f t="shared" ca="1" si="48"/>
        <v>0</v>
      </c>
      <c r="Q413" s="289">
        <f t="shared" ca="1" si="45"/>
        <v>0</v>
      </c>
      <c r="R413" s="289">
        <f t="shared" ca="1" si="45"/>
        <v>0</v>
      </c>
      <c r="S413" s="289">
        <f t="shared" ca="1" si="45"/>
        <v>0</v>
      </c>
      <c r="T413" s="289">
        <f t="shared" ca="1" si="45"/>
        <v>0</v>
      </c>
      <c r="U413" s="295" t="s">
        <v>6</v>
      </c>
      <c r="V413" s="289">
        <f t="shared" ca="1" si="46"/>
        <v>0</v>
      </c>
      <c r="W413" s="289">
        <f t="shared" ca="1" si="46"/>
        <v>0</v>
      </c>
      <c r="X413" s="289">
        <f t="shared" ca="1" si="46"/>
        <v>0</v>
      </c>
      <c r="Y413" s="289">
        <f t="shared" ca="1" si="46"/>
        <v>0</v>
      </c>
      <c r="Z413" s="292">
        <f t="shared" ca="1" si="46"/>
        <v>0</v>
      </c>
    </row>
    <row r="414" spans="2:26">
      <c r="B414" s="282" t="s">
        <v>18</v>
      </c>
      <c r="C414" s="278">
        <f t="shared" ca="1" si="47"/>
        <v>0</v>
      </c>
      <c r="D414" s="278">
        <f t="shared" ca="1" si="47"/>
        <v>0</v>
      </c>
      <c r="E414" s="278">
        <f t="shared" ca="1" si="47"/>
        <v>0</v>
      </c>
      <c r="F414" s="278">
        <f t="shared" ca="1" si="47"/>
        <v>0</v>
      </c>
      <c r="G414" s="278">
        <f t="shared" ca="1" si="47"/>
        <v>0</v>
      </c>
      <c r="H414" s="278">
        <f t="shared" ca="1" si="47"/>
        <v>0</v>
      </c>
      <c r="I414" s="278">
        <f t="shared" ca="1" si="47"/>
        <v>0</v>
      </c>
      <c r="J414" s="278">
        <f t="shared" ca="1" si="47"/>
        <v>0</v>
      </c>
      <c r="K414" s="278">
        <f t="shared" ca="1" si="47"/>
        <v>0</v>
      </c>
      <c r="L414" s="278">
        <f t="shared" ca="1" si="47"/>
        <v>0</v>
      </c>
      <c r="M414" s="279" t="s">
        <v>6</v>
      </c>
      <c r="O414" s="282" t="s">
        <v>18</v>
      </c>
      <c r="P414" s="289">
        <f t="shared" ca="1" si="48"/>
        <v>0</v>
      </c>
      <c r="Q414" s="289">
        <f t="shared" ca="1" si="45"/>
        <v>0</v>
      </c>
      <c r="R414" s="289">
        <f t="shared" ca="1" si="45"/>
        <v>0</v>
      </c>
      <c r="S414" s="289">
        <f t="shared" ca="1" si="45"/>
        <v>0</v>
      </c>
      <c r="T414" s="289">
        <f t="shared" ca="1" si="45"/>
        <v>0</v>
      </c>
      <c r="U414" s="295" t="s">
        <v>6</v>
      </c>
      <c r="V414" s="289">
        <f t="shared" ca="1" si="46"/>
        <v>0</v>
      </c>
      <c r="W414" s="289">
        <f t="shared" ca="1" si="46"/>
        <v>0</v>
      </c>
      <c r="X414" s="289">
        <f t="shared" ca="1" si="46"/>
        <v>0</v>
      </c>
      <c r="Y414" s="289">
        <f t="shared" ca="1" si="46"/>
        <v>0</v>
      </c>
      <c r="Z414" s="292">
        <f t="shared" ca="1" si="46"/>
        <v>0</v>
      </c>
    </row>
    <row r="415" spans="2:26">
      <c r="B415" s="282" t="s">
        <v>17</v>
      </c>
      <c r="C415" s="278">
        <f t="shared" ca="1" si="47"/>
        <v>0</v>
      </c>
      <c r="D415" s="278">
        <f t="shared" ca="1" si="47"/>
        <v>0</v>
      </c>
      <c r="E415" s="278">
        <f t="shared" ca="1" si="47"/>
        <v>0</v>
      </c>
      <c r="F415" s="278">
        <f t="shared" ca="1" si="47"/>
        <v>0</v>
      </c>
      <c r="G415" s="278">
        <f t="shared" ca="1" si="47"/>
        <v>0</v>
      </c>
      <c r="H415" s="278">
        <f t="shared" ca="1" si="47"/>
        <v>0</v>
      </c>
      <c r="I415" s="278">
        <f t="shared" ca="1" si="47"/>
        <v>0</v>
      </c>
      <c r="J415" s="278">
        <f t="shared" ca="1" si="47"/>
        <v>0</v>
      </c>
      <c r="K415" s="278">
        <f t="shared" ca="1" si="47"/>
        <v>0</v>
      </c>
      <c r="L415" s="278">
        <f t="shared" ca="1" si="47"/>
        <v>0</v>
      </c>
      <c r="M415" s="279" t="s">
        <v>6</v>
      </c>
      <c r="O415" s="282" t="s">
        <v>17</v>
      </c>
      <c r="P415" s="289">
        <f t="shared" ca="1" si="48"/>
        <v>0</v>
      </c>
      <c r="Q415" s="289">
        <f t="shared" ca="1" si="45"/>
        <v>0</v>
      </c>
      <c r="R415" s="289">
        <f t="shared" ca="1" si="45"/>
        <v>0</v>
      </c>
      <c r="S415" s="289">
        <f t="shared" ca="1" si="45"/>
        <v>0</v>
      </c>
      <c r="T415" s="289">
        <f t="shared" ca="1" si="45"/>
        <v>0</v>
      </c>
      <c r="U415" s="295" t="s">
        <v>6</v>
      </c>
      <c r="V415" s="289">
        <f t="shared" ca="1" si="46"/>
        <v>0</v>
      </c>
      <c r="W415" s="289">
        <f t="shared" ca="1" si="46"/>
        <v>0</v>
      </c>
      <c r="X415" s="289">
        <f t="shared" ca="1" si="46"/>
        <v>0</v>
      </c>
      <c r="Y415" s="289">
        <f t="shared" ca="1" si="46"/>
        <v>0</v>
      </c>
      <c r="Z415" s="292">
        <f t="shared" ca="1" si="46"/>
        <v>0</v>
      </c>
    </row>
    <row r="416" spans="2:26">
      <c r="B416" s="282" t="s">
        <v>15</v>
      </c>
      <c r="C416" s="278">
        <f t="shared" ca="1" si="47"/>
        <v>0</v>
      </c>
      <c r="D416" s="278">
        <f t="shared" ca="1" si="47"/>
        <v>0</v>
      </c>
      <c r="E416" s="278">
        <f t="shared" ca="1" si="47"/>
        <v>0</v>
      </c>
      <c r="F416" s="278">
        <f t="shared" ca="1" si="47"/>
        <v>0</v>
      </c>
      <c r="G416" s="278">
        <f t="shared" ca="1" si="47"/>
        <v>0</v>
      </c>
      <c r="H416" s="278">
        <f t="shared" ca="1" si="47"/>
        <v>0</v>
      </c>
      <c r="I416" s="278">
        <f t="shared" ca="1" si="47"/>
        <v>0</v>
      </c>
      <c r="J416" s="278">
        <f t="shared" ca="1" si="47"/>
        <v>0</v>
      </c>
      <c r="K416" s="278">
        <f t="shared" ca="1" si="47"/>
        <v>0</v>
      </c>
      <c r="L416" s="278">
        <f t="shared" ca="1" si="47"/>
        <v>0</v>
      </c>
      <c r="M416" s="279" t="s">
        <v>6</v>
      </c>
      <c r="O416" s="282" t="s">
        <v>15</v>
      </c>
      <c r="P416" s="289">
        <f t="shared" ca="1" si="48"/>
        <v>0</v>
      </c>
      <c r="Q416" s="289">
        <f t="shared" ca="1" si="45"/>
        <v>0</v>
      </c>
      <c r="R416" s="289">
        <f t="shared" ca="1" si="45"/>
        <v>0</v>
      </c>
      <c r="S416" s="289">
        <f t="shared" ca="1" si="45"/>
        <v>0</v>
      </c>
      <c r="T416" s="289">
        <f t="shared" ca="1" si="45"/>
        <v>0</v>
      </c>
      <c r="U416" s="295" t="s">
        <v>6</v>
      </c>
      <c r="V416" s="289">
        <f t="shared" ca="1" si="46"/>
        <v>0</v>
      </c>
      <c r="W416" s="289">
        <f t="shared" ca="1" si="46"/>
        <v>0</v>
      </c>
      <c r="X416" s="289">
        <f t="shared" ca="1" si="46"/>
        <v>0</v>
      </c>
      <c r="Y416" s="289">
        <f t="shared" ca="1" si="46"/>
        <v>0</v>
      </c>
      <c r="Z416" s="292">
        <f t="shared" ca="1" si="46"/>
        <v>0</v>
      </c>
    </row>
    <row r="417" spans="2:26">
      <c r="B417" s="282" t="s">
        <v>14</v>
      </c>
      <c r="C417" s="278">
        <f t="shared" ca="1" si="47"/>
        <v>0</v>
      </c>
      <c r="D417" s="278">
        <f t="shared" ca="1" si="47"/>
        <v>0</v>
      </c>
      <c r="E417" s="278">
        <f t="shared" ca="1" si="47"/>
        <v>0</v>
      </c>
      <c r="F417" s="278">
        <f t="shared" ca="1" si="47"/>
        <v>0</v>
      </c>
      <c r="G417" s="278">
        <f t="shared" ca="1" si="47"/>
        <v>0</v>
      </c>
      <c r="H417" s="278">
        <f t="shared" ca="1" si="47"/>
        <v>0</v>
      </c>
      <c r="I417" s="278">
        <f t="shared" ca="1" si="47"/>
        <v>0</v>
      </c>
      <c r="J417" s="278">
        <f t="shared" ca="1" si="47"/>
        <v>0</v>
      </c>
      <c r="K417" s="278">
        <f t="shared" ca="1" si="47"/>
        <v>0</v>
      </c>
      <c r="L417" s="278">
        <f t="shared" ca="1" si="47"/>
        <v>0</v>
      </c>
      <c r="M417" s="279" t="s">
        <v>6</v>
      </c>
      <c r="O417" s="282" t="s">
        <v>14</v>
      </c>
      <c r="P417" s="295" t="s">
        <v>6</v>
      </c>
      <c r="Q417" s="295" t="s">
        <v>6</v>
      </c>
      <c r="R417" s="295" t="s">
        <v>6</v>
      </c>
      <c r="S417" s="295" t="s">
        <v>6</v>
      </c>
      <c r="T417" s="295" t="s">
        <v>6</v>
      </c>
      <c r="U417" s="295" t="s">
        <v>6</v>
      </c>
      <c r="V417" s="295" t="s">
        <v>6</v>
      </c>
      <c r="W417" s="295" t="s">
        <v>6</v>
      </c>
      <c r="X417" s="295" t="s">
        <v>6</v>
      </c>
      <c r="Y417" s="295" t="s">
        <v>6</v>
      </c>
      <c r="Z417" s="291" t="s">
        <v>6</v>
      </c>
    </row>
    <row r="418" spans="2:26">
      <c r="B418" s="282"/>
      <c r="C418" s="278"/>
      <c r="D418" s="278"/>
      <c r="E418" s="278"/>
      <c r="F418" s="278"/>
      <c r="G418" s="278"/>
      <c r="H418" s="278"/>
      <c r="I418" s="278"/>
      <c r="J418" s="278"/>
      <c r="K418" s="278"/>
      <c r="L418" s="278"/>
      <c r="M418" s="279"/>
      <c r="O418" s="282"/>
      <c r="P418" s="289"/>
      <c r="Q418" s="289"/>
      <c r="R418" s="289"/>
      <c r="S418" s="289"/>
      <c r="T418" s="289"/>
      <c r="U418" s="295"/>
      <c r="V418" s="289"/>
      <c r="W418" s="289"/>
      <c r="X418" s="289"/>
      <c r="Y418" s="289"/>
      <c r="Z418" s="292"/>
    </row>
    <row r="419" spans="2:26">
      <c r="B419" s="282"/>
      <c r="C419" s="278"/>
      <c r="D419" s="278"/>
      <c r="E419" s="278"/>
      <c r="F419" s="278"/>
      <c r="G419" s="278"/>
      <c r="H419" s="278"/>
      <c r="I419" s="278"/>
      <c r="J419" s="278"/>
      <c r="K419" s="278"/>
      <c r="L419" s="278"/>
      <c r="M419" s="279"/>
      <c r="O419" s="282"/>
      <c r="P419" s="289"/>
      <c r="Q419" s="289"/>
      <c r="R419" s="289"/>
      <c r="S419" s="289"/>
      <c r="T419" s="289"/>
      <c r="U419" s="295"/>
      <c r="V419" s="289"/>
      <c r="W419" s="289"/>
      <c r="X419" s="289"/>
      <c r="Y419" s="289"/>
      <c r="Z419" s="292"/>
    </row>
    <row r="420" spans="2:26">
      <c r="B420" s="283"/>
      <c r="C420" s="280"/>
      <c r="D420" s="280"/>
      <c r="E420" s="280"/>
      <c r="F420" s="280"/>
      <c r="G420" s="280"/>
      <c r="H420" s="280"/>
      <c r="I420" s="280"/>
      <c r="J420" s="280"/>
      <c r="K420" s="280"/>
      <c r="L420" s="280"/>
      <c r="M420" s="281"/>
      <c r="O420" s="283"/>
      <c r="P420" s="293"/>
      <c r="Q420" s="293"/>
      <c r="R420" s="293"/>
      <c r="S420" s="293"/>
      <c r="T420" s="293"/>
      <c r="U420" s="296"/>
      <c r="V420" s="293"/>
      <c r="W420" s="293"/>
      <c r="X420" s="293"/>
      <c r="Y420" s="293"/>
      <c r="Z420" s="29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2:Z420"/>
  <sheetViews>
    <sheetView showGridLines="0" workbookViewId="0"/>
  </sheetViews>
  <sheetFormatPr defaultRowHeight="15"/>
  <cols>
    <col min="1" max="32" width="10.7109375" style="224" customWidth="1"/>
    <col min="33" max="16384" width="9.140625" style="224"/>
  </cols>
  <sheetData>
    <row r="2" spans="1:10">
      <c r="B2" s="258" t="s">
        <v>509</v>
      </c>
    </row>
    <row r="4" spans="1:10">
      <c r="A4" s="224" t="s">
        <v>467</v>
      </c>
      <c r="B4" s="284" t="s">
        <v>475</v>
      </c>
      <c r="C4" s="284"/>
    </row>
    <row r="5" spans="1:10">
      <c r="B5" s="258" t="s">
        <v>474</v>
      </c>
      <c r="C5" s="266">
        <f ca="1">SUM(E10:E28)+SUM(J10:J28)</f>
        <v>0</v>
      </c>
    </row>
    <row r="8" spans="1:10">
      <c r="B8" s="258" t="s">
        <v>437</v>
      </c>
      <c r="E8" s="9" t="b">
        <v>1</v>
      </c>
      <c r="G8" s="258" t="s">
        <v>437</v>
      </c>
      <c r="J8" s="9" t="b">
        <v>0</v>
      </c>
    </row>
    <row r="9" spans="1:10">
      <c r="B9" s="267" t="s">
        <v>468</v>
      </c>
      <c r="C9" s="268" t="s">
        <v>469</v>
      </c>
      <c r="D9" s="268" t="s">
        <v>470</v>
      </c>
      <c r="E9" s="269" t="s">
        <v>472</v>
      </c>
      <c r="G9" s="267" t="s">
        <v>468</v>
      </c>
      <c r="H9" s="268" t="s">
        <v>469</v>
      </c>
      <c r="I9" s="268" t="s">
        <v>470</v>
      </c>
      <c r="J9" s="269" t="s">
        <v>472</v>
      </c>
    </row>
    <row r="10" spans="1:10">
      <c r="B10" s="270" t="s">
        <v>39</v>
      </c>
      <c r="C10" s="271">
        <f ca="1">'JPY Swap PVs'!S4</f>
        <v>0</v>
      </c>
      <c r="D10" s="271">
        <v>0</v>
      </c>
      <c r="E10" s="272">
        <f t="shared" ref="E10:E28" ca="1" si="0">IF(ABS(D10-C10)&gt;PriceTolerance,1,0)</f>
        <v>0</v>
      </c>
      <c r="G10" s="270" t="s">
        <v>39</v>
      </c>
      <c r="H10" s="271">
        <f ca="1">'JPY Swap PVs'!AM4</f>
        <v>4.4235448637408581E-11</v>
      </c>
      <c r="I10" s="271">
        <v>0</v>
      </c>
      <c r="J10" s="272">
        <f t="shared" ref="J10:J28" ca="1" si="1">IF(ABS(I10-H10)&gt;PriceTolerance,1,0)</f>
        <v>0</v>
      </c>
    </row>
    <row r="11" spans="1:10">
      <c r="B11" s="270" t="s">
        <v>35</v>
      </c>
      <c r="C11" s="271">
        <f ca="1">'JPY Swap PVs'!S5</f>
        <v>0</v>
      </c>
      <c r="D11" s="271">
        <v>0</v>
      </c>
      <c r="E11" s="272">
        <f t="shared" ca="1" si="0"/>
        <v>0</v>
      </c>
      <c r="G11" s="270" t="s">
        <v>35</v>
      </c>
      <c r="H11" s="271">
        <f ca="1">'JPY Swap PVs'!AM5</f>
        <v>5.8980598183211441E-11</v>
      </c>
      <c r="I11" s="271">
        <v>0</v>
      </c>
      <c r="J11" s="272">
        <f t="shared" ca="1" si="1"/>
        <v>0</v>
      </c>
    </row>
    <row r="12" spans="1:10">
      <c r="B12" s="270" t="s">
        <v>33</v>
      </c>
      <c r="C12" s="271">
        <f ca="1">'JPY Swap PVs'!S6</f>
        <v>0</v>
      </c>
      <c r="D12" s="271">
        <v>0</v>
      </c>
      <c r="E12" s="272">
        <f t="shared" ca="1" si="0"/>
        <v>0</v>
      </c>
      <c r="G12" s="270" t="s">
        <v>33</v>
      </c>
      <c r="H12" s="271">
        <f ca="1">'JPY Swap PVs'!AM6</f>
        <v>1.8561541192951836E-10</v>
      </c>
      <c r="I12" s="271">
        <v>0</v>
      </c>
      <c r="J12" s="272">
        <f t="shared" ca="1" si="1"/>
        <v>0</v>
      </c>
    </row>
    <row r="13" spans="1:10">
      <c r="B13" s="270" t="s">
        <v>131</v>
      </c>
      <c r="C13" s="271">
        <f ca="1">'JPY Swap PVs'!S7</f>
        <v>0</v>
      </c>
      <c r="D13" s="271">
        <v>0</v>
      </c>
      <c r="E13" s="272">
        <f t="shared" ca="1" si="0"/>
        <v>0</v>
      </c>
      <c r="G13" s="270" t="s">
        <v>131</v>
      </c>
      <c r="H13" s="271">
        <f ca="1">'JPY Swap PVs'!AM7</f>
        <v>5.2041704279304213E-11</v>
      </c>
      <c r="I13" s="271">
        <v>0</v>
      </c>
      <c r="J13" s="272">
        <f t="shared" ca="1" si="1"/>
        <v>0</v>
      </c>
    </row>
    <row r="14" spans="1:10">
      <c r="B14" s="270" t="s">
        <v>31</v>
      </c>
      <c r="C14" s="271">
        <f ca="1">'JPY Swap PVs'!S8</f>
        <v>0</v>
      </c>
      <c r="D14" s="271">
        <v>0</v>
      </c>
      <c r="E14" s="272">
        <f t="shared" ca="1" si="0"/>
        <v>0</v>
      </c>
      <c r="G14" s="270" t="s">
        <v>31</v>
      </c>
      <c r="H14" s="271">
        <f ca="1">'JPY Swap PVs'!AM8</f>
        <v>3.8163916471489756E-11</v>
      </c>
      <c r="I14" s="271">
        <v>0</v>
      </c>
      <c r="J14" s="272">
        <f t="shared" ca="1" si="1"/>
        <v>0</v>
      </c>
    </row>
    <row r="15" spans="1:10">
      <c r="B15" s="270" t="s">
        <v>119</v>
      </c>
      <c r="C15" s="271">
        <f ca="1">'JPY Swap PVs'!S9</f>
        <v>0</v>
      </c>
      <c r="D15" s="271">
        <v>0</v>
      </c>
      <c r="E15" s="272">
        <f t="shared" ca="1" si="0"/>
        <v>0</v>
      </c>
      <c r="G15" s="270" t="s">
        <v>119</v>
      </c>
      <c r="H15" s="271">
        <f ca="1">'JPY Swap PVs'!AM9</f>
        <v>-3.4694469519536142E-11</v>
      </c>
      <c r="I15" s="271">
        <v>0</v>
      </c>
      <c r="J15" s="272">
        <f t="shared" ca="1" si="1"/>
        <v>0</v>
      </c>
    </row>
    <row r="16" spans="1:10">
      <c r="B16" s="270" t="s">
        <v>113</v>
      </c>
      <c r="C16" s="271">
        <f ca="1">'JPY Swap PVs'!S10</f>
        <v>0</v>
      </c>
      <c r="D16" s="271">
        <v>0</v>
      </c>
      <c r="E16" s="272">
        <f t="shared" ca="1" si="0"/>
        <v>0</v>
      </c>
      <c r="G16" s="270" t="s">
        <v>113</v>
      </c>
      <c r="H16" s="271">
        <f ca="1">'JPY Swap PVs'!AM10</f>
        <v>6.9388939039072284E-11</v>
      </c>
      <c r="I16" s="271">
        <v>0</v>
      </c>
      <c r="J16" s="272">
        <f t="shared" ca="1" si="1"/>
        <v>0</v>
      </c>
    </row>
    <row r="17" spans="1:10">
      <c r="B17" s="270" t="s">
        <v>28</v>
      </c>
      <c r="C17" s="271">
        <f ca="1">'JPY Swap PVs'!S11</f>
        <v>0</v>
      </c>
      <c r="D17" s="271">
        <v>0</v>
      </c>
      <c r="E17" s="272">
        <f t="shared" ca="1" si="0"/>
        <v>0</v>
      </c>
      <c r="G17" s="270" t="s">
        <v>28</v>
      </c>
      <c r="H17" s="271">
        <f ca="1">'JPY Swap PVs'!AM11</f>
        <v>1.3877787807814457E-11</v>
      </c>
      <c r="I17" s="271">
        <v>0</v>
      </c>
      <c r="J17" s="272">
        <f t="shared" ca="1" si="1"/>
        <v>0</v>
      </c>
    </row>
    <row r="18" spans="1:10">
      <c r="B18" s="270" t="s">
        <v>26</v>
      </c>
      <c r="C18" s="271">
        <f ca="1">'JPY Swap PVs'!S12</f>
        <v>0</v>
      </c>
      <c r="D18" s="271">
        <v>0</v>
      </c>
      <c r="E18" s="272">
        <f t="shared" ca="1" si="0"/>
        <v>0</v>
      </c>
      <c r="G18" s="270" t="s">
        <v>26</v>
      </c>
      <c r="H18" s="271">
        <f ca="1">'JPY Swap PVs'!AM12</f>
        <v>-5.5511151231257827E-11</v>
      </c>
      <c r="I18" s="271">
        <v>0</v>
      </c>
      <c r="J18" s="272">
        <f t="shared" ca="1" si="1"/>
        <v>0</v>
      </c>
    </row>
    <row r="19" spans="1:10">
      <c r="B19" s="270" t="s">
        <v>24</v>
      </c>
      <c r="C19" s="271">
        <f ca="1">'JPY Swap PVs'!S13</f>
        <v>0</v>
      </c>
      <c r="D19" s="271">
        <v>0</v>
      </c>
      <c r="E19" s="272">
        <f t="shared" ca="1" si="0"/>
        <v>0</v>
      </c>
      <c r="G19" s="270" t="s">
        <v>24</v>
      </c>
      <c r="H19" s="271">
        <f ca="1">'JPY Swap PVs'!AM13</f>
        <v>-2.2204460492503131E-10</v>
      </c>
      <c r="I19" s="271">
        <v>0</v>
      </c>
      <c r="J19" s="272">
        <f t="shared" ca="1" si="1"/>
        <v>0</v>
      </c>
    </row>
    <row r="20" spans="1:10">
      <c r="B20" s="270" t="s">
        <v>20</v>
      </c>
      <c r="C20" s="271">
        <f ca="1">'JPY Swap PVs'!S14</f>
        <v>0</v>
      </c>
      <c r="D20" s="271">
        <v>0</v>
      </c>
      <c r="E20" s="272">
        <f t="shared" ca="1" si="0"/>
        <v>0</v>
      </c>
      <c r="G20" s="270" t="s">
        <v>20</v>
      </c>
      <c r="H20" s="271">
        <f ca="1">'JPY Swap PVs'!AM14</f>
        <v>2.7755575615628914E-11</v>
      </c>
      <c r="I20" s="271">
        <v>0</v>
      </c>
      <c r="J20" s="272">
        <f t="shared" ca="1" si="1"/>
        <v>0</v>
      </c>
    </row>
    <row r="21" spans="1:10">
      <c r="B21" s="270" t="s">
        <v>18</v>
      </c>
      <c r="C21" s="271">
        <f ca="1">'JPY Swap PVs'!S15</f>
        <v>0</v>
      </c>
      <c r="D21" s="271">
        <v>0</v>
      </c>
      <c r="E21" s="272">
        <f t="shared" ca="1" si="0"/>
        <v>0</v>
      </c>
      <c r="G21" s="270" t="s">
        <v>18</v>
      </c>
      <c r="H21" s="271">
        <f ca="1">'JPY Swap PVs'!AM15</f>
        <v>0</v>
      </c>
      <c r="I21" s="271">
        <v>0</v>
      </c>
      <c r="J21" s="272">
        <f t="shared" ca="1" si="1"/>
        <v>0</v>
      </c>
    </row>
    <row r="22" spans="1:10">
      <c r="B22" s="270" t="s">
        <v>17</v>
      </c>
      <c r="C22" s="271">
        <f ca="1">'JPY Swap PVs'!S16</f>
        <v>0</v>
      </c>
      <c r="D22" s="271">
        <v>0</v>
      </c>
      <c r="E22" s="272">
        <f t="shared" ca="1" si="0"/>
        <v>0</v>
      </c>
      <c r="G22" s="270" t="s">
        <v>17</v>
      </c>
      <c r="H22" s="271">
        <f ca="1">'JPY Swap PVs'!AM16</f>
        <v>-1.1102230246251565E-10</v>
      </c>
      <c r="I22" s="271">
        <v>0</v>
      </c>
      <c r="J22" s="272">
        <f t="shared" ca="1" si="1"/>
        <v>0</v>
      </c>
    </row>
    <row r="23" spans="1:10">
      <c r="B23" s="270" t="s">
        <v>16</v>
      </c>
      <c r="C23" s="271">
        <f ca="1">'JPY Swap PVs'!S17</f>
        <v>0</v>
      </c>
      <c r="D23" s="271">
        <v>0</v>
      </c>
      <c r="E23" s="272">
        <f t="shared" ca="1" si="0"/>
        <v>0</v>
      </c>
      <c r="G23" s="270" t="s">
        <v>16</v>
      </c>
      <c r="H23" s="271">
        <f ca="1">'JPY Swap PVs'!AM17</f>
        <v>5.5511151231257827E-11</v>
      </c>
      <c r="I23" s="271">
        <v>0</v>
      </c>
      <c r="J23" s="272">
        <f t="shared" ca="1" si="1"/>
        <v>0</v>
      </c>
    </row>
    <row r="24" spans="1:10">
      <c r="B24" s="270" t="s">
        <v>15</v>
      </c>
      <c r="C24" s="271">
        <f ca="1">'JPY Swap PVs'!S18</f>
        <v>0</v>
      </c>
      <c r="D24" s="271">
        <v>0</v>
      </c>
      <c r="E24" s="272">
        <f t="shared" ca="1" si="0"/>
        <v>0</v>
      </c>
      <c r="G24" s="270" t="s">
        <v>15</v>
      </c>
      <c r="H24" s="271">
        <f ca="1">'JPY Swap PVs'!AM18</f>
        <v>-1.1102230246251565E-10</v>
      </c>
      <c r="I24" s="271">
        <v>0</v>
      </c>
      <c r="J24" s="272">
        <f t="shared" ca="1" si="1"/>
        <v>0</v>
      </c>
    </row>
    <row r="25" spans="1:10">
      <c r="B25" s="270"/>
      <c r="C25" s="271"/>
      <c r="D25" s="271"/>
      <c r="E25" s="272"/>
      <c r="G25" s="270"/>
      <c r="H25" s="271"/>
      <c r="I25" s="271"/>
      <c r="J25" s="272"/>
    </row>
    <row r="26" spans="1:10">
      <c r="B26" s="270"/>
      <c r="C26" s="271"/>
      <c r="D26" s="271"/>
      <c r="E26" s="272"/>
      <c r="G26" s="270"/>
      <c r="H26" s="271"/>
      <c r="I26" s="271"/>
      <c r="J26" s="272"/>
    </row>
    <row r="27" spans="1:10">
      <c r="B27" s="270"/>
      <c r="C27" s="271"/>
      <c r="D27" s="271"/>
      <c r="E27" s="272"/>
      <c r="G27" s="270"/>
      <c r="H27" s="271"/>
      <c r="I27" s="271"/>
      <c r="J27" s="272"/>
    </row>
    <row r="28" spans="1:10">
      <c r="B28" s="273"/>
      <c r="C28" s="274"/>
      <c r="D28" s="274"/>
      <c r="E28" s="275"/>
      <c r="G28" s="273"/>
      <c r="H28" s="274"/>
      <c r="I28" s="274"/>
      <c r="J28" s="275"/>
    </row>
    <row r="31" spans="1:10">
      <c r="A31" s="224" t="s">
        <v>476</v>
      </c>
      <c r="B31" s="290" t="s">
        <v>490</v>
      </c>
      <c r="C31" s="284"/>
      <c r="G31" s="290" t="s">
        <v>490</v>
      </c>
    </row>
    <row r="32" spans="1:10">
      <c r="B32" s="284" t="s">
        <v>483</v>
      </c>
      <c r="C32" s="284"/>
      <c r="G32" s="284" t="s">
        <v>484</v>
      </c>
      <c r="H32" s="284"/>
    </row>
    <row r="33" spans="2:16">
      <c r="B33" s="258" t="s">
        <v>474</v>
      </c>
      <c r="C33" s="286">
        <f ca="1">SUM(C59:L77)</f>
        <v>0</v>
      </c>
      <c r="G33" s="258" t="s">
        <v>474</v>
      </c>
      <c r="H33" s="286">
        <f ca="1">SUM(P59:Z77)</f>
        <v>0</v>
      </c>
    </row>
    <row r="35" spans="2:16">
      <c r="B35" s="258" t="s">
        <v>477</v>
      </c>
      <c r="C35" s="258"/>
    </row>
    <row r="36" spans="2:16">
      <c r="B36" s="254" t="s">
        <v>468</v>
      </c>
      <c r="C36" s="276">
        <v>-0.05</v>
      </c>
      <c r="D36" s="276">
        <v>-0.04</v>
      </c>
      <c r="E36" s="276">
        <v>-0.03</v>
      </c>
      <c r="F36" s="276">
        <v>-1.9999999999999997E-2</v>
      </c>
      <c r="G36" s="276">
        <v>-9.9999999999999967E-3</v>
      </c>
      <c r="H36" s="276">
        <v>0</v>
      </c>
      <c r="I36" s="276">
        <v>0.01</v>
      </c>
      <c r="J36" s="276">
        <v>0.02</v>
      </c>
      <c r="K36" s="276">
        <v>0.03</v>
      </c>
      <c r="L36" s="276">
        <v>0.04</v>
      </c>
      <c r="M36" s="277">
        <v>0.05</v>
      </c>
      <c r="N36" s="256"/>
      <c r="O36" s="256"/>
      <c r="P36" s="256"/>
    </row>
    <row r="37" spans="2:16">
      <c r="B37" s="282" t="s">
        <v>39</v>
      </c>
      <c r="C37" s="278">
        <f ca="1">'JPY Swap PVs'!N4</f>
        <v>150218.91320938815</v>
      </c>
      <c r="D37" s="278">
        <f ca="1">'JPY Swap PVs'!O4</f>
        <v>120175.13056751051</v>
      </c>
      <c r="E37" s="278">
        <f ca="1">'JPY Swap PVs'!P4</f>
        <v>90131.347925632872</v>
      </c>
      <c r="F37" s="278">
        <f ca="1">'JPY Swap PVs'!Q4</f>
        <v>60087.565283755241</v>
      </c>
      <c r="G37" s="278">
        <f ca="1">'JPY Swap PVs'!R4</f>
        <v>30043.78264187762</v>
      </c>
      <c r="H37" s="278">
        <f ca="1">'JPY Swap PVs'!S4</f>
        <v>0</v>
      </c>
      <c r="I37" s="278">
        <f ca="1">'JPY Swap PVs'!T4</f>
        <v>-30043.782641877624</v>
      </c>
      <c r="J37" s="278">
        <f ca="1">'JPY Swap PVs'!U4</f>
        <v>-60087.565283755262</v>
      </c>
      <c r="K37" s="278">
        <f ca="1">'JPY Swap PVs'!V4</f>
        <v>-90131.347925632872</v>
      </c>
      <c r="L37" s="278">
        <f ca="1">'JPY Swap PVs'!W4</f>
        <v>-120175.13056751051</v>
      </c>
      <c r="M37" s="279">
        <f ca="1">'JPY Swap PVs'!X4</f>
        <v>-150218.91320938815</v>
      </c>
    </row>
    <row r="38" spans="2:16">
      <c r="B38" s="282" t="s">
        <v>35</v>
      </c>
      <c r="C38" s="278">
        <f ca="1">'JPY Swap PVs'!N5</f>
        <v>199875.20207088441</v>
      </c>
      <c r="D38" s="278">
        <f ca="1">'JPY Swap PVs'!O5</f>
        <v>159900.16165670753</v>
      </c>
      <c r="E38" s="278">
        <f ca="1">'JPY Swap PVs'!P5</f>
        <v>119925.12124253063</v>
      </c>
      <c r="F38" s="278">
        <f ca="1">'JPY Swap PVs'!Q5</f>
        <v>79950.080828353748</v>
      </c>
      <c r="G38" s="278">
        <f ca="1">'JPY Swap PVs'!R5</f>
        <v>39975.040414176867</v>
      </c>
      <c r="H38" s="278">
        <f ca="1">'JPY Swap PVs'!S5</f>
        <v>0</v>
      </c>
      <c r="I38" s="278">
        <f ca="1">'JPY Swap PVs'!T5</f>
        <v>-39975.040414176881</v>
      </c>
      <c r="J38" s="278">
        <f ca="1">'JPY Swap PVs'!U5</f>
        <v>-79950.080828353748</v>
      </c>
      <c r="K38" s="278">
        <f ca="1">'JPY Swap PVs'!V5</f>
        <v>-119925.12124253063</v>
      </c>
      <c r="L38" s="278">
        <f ca="1">'JPY Swap PVs'!W5</f>
        <v>-159900.16165670753</v>
      </c>
      <c r="M38" s="279">
        <f ca="1">'JPY Swap PVs'!X5</f>
        <v>-199875.20207088441</v>
      </c>
    </row>
    <row r="39" spans="2:16">
      <c r="B39" s="282" t="s">
        <v>33</v>
      </c>
      <c r="C39" s="278">
        <f ca="1">'JPY Swap PVs'!N6</f>
        <v>249500.07077146322</v>
      </c>
      <c r="D39" s="278">
        <f ca="1">'JPY Swap PVs'!O6</f>
        <v>199600.05661717057</v>
      </c>
      <c r="E39" s="278">
        <f ca="1">'JPY Swap PVs'!P6</f>
        <v>149700.04246287787</v>
      </c>
      <c r="F39" s="278">
        <f ca="1">'JPY Swap PVs'!Q6</f>
        <v>99800.028308585257</v>
      </c>
      <c r="G39" s="278">
        <f ca="1">'JPY Swap PVs'!R6</f>
        <v>49900.014154292621</v>
      </c>
      <c r="H39" s="278">
        <f ca="1">'JPY Swap PVs'!S6</f>
        <v>0</v>
      </c>
      <c r="I39" s="278">
        <f ca="1">'JPY Swap PVs'!T6</f>
        <v>-49900.014154292643</v>
      </c>
      <c r="J39" s="278">
        <f ca="1">'JPY Swap PVs'!U6</f>
        <v>-99800.028308585286</v>
      </c>
      <c r="K39" s="278">
        <f ca="1">'JPY Swap PVs'!V6</f>
        <v>-149700.0424628779</v>
      </c>
      <c r="L39" s="278">
        <f ca="1">'JPY Swap PVs'!W6</f>
        <v>-199600.05661717057</v>
      </c>
      <c r="M39" s="279">
        <f ca="1">'JPY Swap PVs'!X6</f>
        <v>-249500.07077146322</v>
      </c>
    </row>
    <row r="40" spans="2:16">
      <c r="B40" s="282" t="s">
        <v>131</v>
      </c>
      <c r="C40" s="278">
        <f ca="1">'JPY Swap PVs'!N7</f>
        <v>298872.69664936647</v>
      </c>
      <c r="D40" s="278">
        <f ca="1">'JPY Swap PVs'!O7</f>
        <v>239098.15731949316</v>
      </c>
      <c r="E40" s="278">
        <f ca="1">'JPY Swap PVs'!P7</f>
        <v>179323.61798961987</v>
      </c>
      <c r="F40" s="278">
        <f ca="1">'JPY Swap PVs'!Q7</f>
        <v>119549.07865974656</v>
      </c>
      <c r="G40" s="278">
        <f ca="1">'JPY Swap PVs'!R7</f>
        <v>59774.539329873267</v>
      </c>
      <c r="H40" s="278">
        <f ca="1">'JPY Swap PVs'!S7</f>
        <v>0</v>
      </c>
      <c r="I40" s="278">
        <f ca="1">'JPY Swap PVs'!T7</f>
        <v>-59774.539329873282</v>
      </c>
      <c r="J40" s="278">
        <f ca="1">'JPY Swap PVs'!U7</f>
        <v>-119549.07865974656</v>
      </c>
      <c r="K40" s="278">
        <f ca="1">'JPY Swap PVs'!V7</f>
        <v>-179323.61798961987</v>
      </c>
      <c r="L40" s="278">
        <f ca="1">'JPY Swap PVs'!W7</f>
        <v>-239098.15731949318</v>
      </c>
      <c r="M40" s="279">
        <f ca="1">'JPY Swap PVs'!X7</f>
        <v>-298872.69664936647</v>
      </c>
    </row>
    <row r="41" spans="2:16">
      <c r="B41" s="282" t="s">
        <v>31</v>
      </c>
      <c r="C41" s="278">
        <f ca="1">'JPY Swap PVs'!N8</f>
        <v>347927.2637247782</v>
      </c>
      <c r="D41" s="278">
        <f ca="1">'JPY Swap PVs'!O8</f>
        <v>278341.81097982253</v>
      </c>
      <c r="E41" s="278">
        <f ca="1">'JPY Swap PVs'!P8</f>
        <v>208756.3582348669</v>
      </c>
      <c r="F41" s="278">
        <f ca="1">'JPY Swap PVs'!Q8</f>
        <v>139170.90548991124</v>
      </c>
      <c r="G41" s="278">
        <f ca="1">'JPY Swap PVs'!R8</f>
        <v>69585.452744955604</v>
      </c>
      <c r="H41" s="278">
        <f ca="1">'JPY Swap PVs'!S8</f>
        <v>0</v>
      </c>
      <c r="I41" s="278">
        <f ca="1">'JPY Swap PVs'!T8</f>
        <v>-69585.452744955634</v>
      </c>
      <c r="J41" s="278">
        <f ca="1">'JPY Swap PVs'!U8</f>
        <v>-139170.90548991127</v>
      </c>
      <c r="K41" s="278">
        <f ca="1">'JPY Swap PVs'!V8</f>
        <v>-208756.35823486687</v>
      </c>
      <c r="L41" s="278">
        <f ca="1">'JPY Swap PVs'!W8</f>
        <v>-278341.81097982253</v>
      </c>
      <c r="M41" s="279">
        <f ca="1">'JPY Swap PVs'!X8</f>
        <v>-347927.2637247782</v>
      </c>
    </row>
    <row r="42" spans="2:16">
      <c r="B42" s="282" t="s">
        <v>119</v>
      </c>
      <c r="C42" s="278">
        <f ca="1">'JPY Swap PVs'!N9</f>
        <v>396998.30049385119</v>
      </c>
      <c r="D42" s="278">
        <f ca="1">'JPY Swap PVs'!O9</f>
        <v>317598.64039508096</v>
      </c>
      <c r="E42" s="278">
        <f ca="1">'JPY Swap PVs'!P9</f>
        <v>238198.98029631071</v>
      </c>
      <c r="F42" s="278">
        <f ca="1">'JPY Swap PVs'!Q9</f>
        <v>158799.32019754045</v>
      </c>
      <c r="G42" s="278">
        <f ca="1">'JPY Swap PVs'!R9</f>
        <v>79399.660098770211</v>
      </c>
      <c r="H42" s="278">
        <f ca="1">'JPY Swap PVs'!S9</f>
        <v>0</v>
      </c>
      <c r="I42" s="278">
        <f ca="1">'JPY Swap PVs'!T9</f>
        <v>-79399.660098770226</v>
      </c>
      <c r="J42" s="278">
        <f ca="1">'JPY Swap PVs'!U9</f>
        <v>-158799.32019754051</v>
      </c>
      <c r="K42" s="278">
        <f ca="1">'JPY Swap PVs'!V9</f>
        <v>-238198.98029631071</v>
      </c>
      <c r="L42" s="278">
        <f ca="1">'JPY Swap PVs'!W9</f>
        <v>-317598.64039508096</v>
      </c>
      <c r="M42" s="279">
        <f ca="1">'JPY Swap PVs'!X9</f>
        <v>-396998.30049385119</v>
      </c>
    </row>
    <row r="43" spans="2:16">
      <c r="B43" s="282" t="s">
        <v>113</v>
      </c>
      <c r="C43" s="278">
        <f ca="1">'JPY Swap PVs'!N10</f>
        <v>445100.62572520418</v>
      </c>
      <c r="D43" s="278">
        <f ca="1">'JPY Swap PVs'!O10</f>
        <v>356080.50058016332</v>
      </c>
      <c r="E43" s="278">
        <f ca="1">'JPY Swap PVs'!P10</f>
        <v>267060.37543512246</v>
      </c>
      <c r="F43" s="278">
        <f ca="1">'JPY Swap PVs'!Q10</f>
        <v>178040.25029008163</v>
      </c>
      <c r="G43" s="278">
        <f ca="1">'JPY Swap PVs'!R10</f>
        <v>89020.125145040787</v>
      </c>
      <c r="H43" s="278">
        <f ca="1">'JPY Swap PVs'!S10</f>
        <v>0</v>
      </c>
      <c r="I43" s="278">
        <f ca="1">'JPY Swap PVs'!T10</f>
        <v>-89020.125145040831</v>
      </c>
      <c r="J43" s="278">
        <f ca="1">'JPY Swap PVs'!U10</f>
        <v>-178040.25029008169</v>
      </c>
      <c r="K43" s="278">
        <f ca="1">'JPY Swap PVs'!V10</f>
        <v>-267060.37543512246</v>
      </c>
      <c r="L43" s="278">
        <f ca="1">'JPY Swap PVs'!W10</f>
        <v>-356080.50058016332</v>
      </c>
      <c r="M43" s="279">
        <f ca="1">'JPY Swap PVs'!X10</f>
        <v>-445100.62572520413</v>
      </c>
    </row>
    <row r="44" spans="2:16">
      <c r="B44" s="282" t="s">
        <v>28</v>
      </c>
      <c r="C44" s="278">
        <f ca="1">'JPY Swap PVs'!N11</f>
        <v>492704.81837934424</v>
      </c>
      <c r="D44" s="278">
        <f ca="1">'JPY Swap PVs'!O11</f>
        <v>394163.85470347531</v>
      </c>
      <c r="E44" s="278">
        <f ca="1">'JPY Swap PVs'!P11</f>
        <v>295622.8910276065</v>
      </c>
      <c r="F44" s="278">
        <f ca="1">'JPY Swap PVs'!Q11</f>
        <v>197081.92735173763</v>
      </c>
      <c r="G44" s="278">
        <f ca="1">'JPY Swap PVs'!R11</f>
        <v>98540.963675868814</v>
      </c>
      <c r="H44" s="278">
        <f ca="1">'JPY Swap PVs'!S11</f>
        <v>0</v>
      </c>
      <c r="I44" s="278">
        <f ca="1">'JPY Swap PVs'!T11</f>
        <v>-98540.963675868828</v>
      </c>
      <c r="J44" s="278">
        <f ca="1">'JPY Swap PVs'!U11</f>
        <v>-197081.92735173769</v>
      </c>
      <c r="K44" s="278">
        <f ca="1">'JPY Swap PVs'!V11</f>
        <v>-295622.8910276065</v>
      </c>
      <c r="L44" s="278">
        <f ca="1">'JPY Swap PVs'!W11</f>
        <v>-394163.85470347543</v>
      </c>
      <c r="M44" s="279">
        <f ca="1">'JPY Swap PVs'!X11</f>
        <v>-492704.81837934413</v>
      </c>
    </row>
    <row r="45" spans="2:16">
      <c r="B45" s="282" t="s">
        <v>26</v>
      </c>
      <c r="C45" s="278">
        <f ca="1">'JPY Swap PVs'!N12</f>
        <v>586427.41626273922</v>
      </c>
      <c r="D45" s="278">
        <f ca="1">'JPY Swap PVs'!O12</f>
        <v>469141.93301019131</v>
      </c>
      <c r="E45" s="278">
        <f ca="1">'JPY Swap PVs'!P12</f>
        <v>351856.44975764345</v>
      </c>
      <c r="F45" s="278">
        <f ca="1">'JPY Swap PVs'!Q12</f>
        <v>234570.96650509562</v>
      </c>
      <c r="G45" s="278">
        <f ca="1">'JPY Swap PVs'!R12</f>
        <v>117285.48325254778</v>
      </c>
      <c r="H45" s="278">
        <f ca="1">'JPY Swap PVs'!S12</f>
        <v>0</v>
      </c>
      <c r="I45" s="278">
        <f ca="1">'JPY Swap PVs'!T12</f>
        <v>-117285.48325254784</v>
      </c>
      <c r="J45" s="278">
        <f ca="1">'JPY Swap PVs'!U12</f>
        <v>-234570.96650509568</v>
      </c>
      <c r="K45" s="278">
        <f ca="1">'JPY Swap PVs'!V12</f>
        <v>-351856.44975764351</v>
      </c>
      <c r="L45" s="278">
        <f ca="1">'JPY Swap PVs'!W12</f>
        <v>-469141.93301019131</v>
      </c>
      <c r="M45" s="279">
        <f ca="1">'JPY Swap PVs'!X12</f>
        <v>-586427.41626273922</v>
      </c>
    </row>
    <row r="46" spans="2:16">
      <c r="B46" s="282" t="s">
        <v>24</v>
      </c>
      <c r="C46" s="278">
        <f ca="1">'JPY Swap PVs'!N13</f>
        <v>721861.46365523851</v>
      </c>
      <c r="D46" s="278">
        <f ca="1">'JPY Swap PVs'!O13</f>
        <v>577489.17092419066</v>
      </c>
      <c r="E46" s="278">
        <f ca="1">'JPY Swap PVs'!P13</f>
        <v>433116.87819314306</v>
      </c>
      <c r="F46" s="278">
        <f ca="1">'JPY Swap PVs'!Q13</f>
        <v>288744.58546209533</v>
      </c>
      <c r="G46" s="278">
        <f ca="1">'JPY Swap PVs'!R13</f>
        <v>144372.29273104767</v>
      </c>
      <c r="H46" s="278">
        <f ca="1">'JPY Swap PVs'!S13</f>
        <v>0</v>
      </c>
      <c r="I46" s="278">
        <f ca="1">'JPY Swap PVs'!T13</f>
        <v>-144372.29273104767</v>
      </c>
      <c r="J46" s="278">
        <f ca="1">'JPY Swap PVs'!U13</f>
        <v>-288744.58546209533</v>
      </c>
      <c r="K46" s="278">
        <f ca="1">'JPY Swap PVs'!V13</f>
        <v>-433116.87819314294</v>
      </c>
      <c r="L46" s="278">
        <f ca="1">'JPY Swap PVs'!W13</f>
        <v>-577489.17092419066</v>
      </c>
      <c r="M46" s="279">
        <f ca="1">'JPY Swap PVs'!X13</f>
        <v>-721861.46365523827</v>
      </c>
    </row>
    <row r="47" spans="2:16">
      <c r="B47" s="282" t="s">
        <v>20</v>
      </c>
      <c r="C47" s="278">
        <f ca="1">'JPY Swap PVs'!N14</f>
        <v>930300.79110236035</v>
      </c>
      <c r="D47" s="278">
        <f ca="1">'JPY Swap PVs'!O14</f>
        <v>744240.63288188819</v>
      </c>
      <c r="E47" s="278">
        <f ca="1">'JPY Swap PVs'!P14</f>
        <v>558180.47466141602</v>
      </c>
      <c r="F47" s="278">
        <f ca="1">'JPY Swap PVs'!Q14</f>
        <v>372120.31644094404</v>
      </c>
      <c r="G47" s="278">
        <f ca="1">'JPY Swap PVs'!R14</f>
        <v>186060.15822047199</v>
      </c>
      <c r="H47" s="278">
        <f ca="1">'JPY Swap PVs'!S14</f>
        <v>0</v>
      </c>
      <c r="I47" s="278">
        <f ca="1">'JPY Swap PVs'!T14</f>
        <v>-186060.15822047211</v>
      </c>
      <c r="J47" s="278">
        <f ca="1">'JPY Swap PVs'!U14</f>
        <v>-372120.31644094409</v>
      </c>
      <c r="K47" s="278">
        <f ca="1">'JPY Swap PVs'!V14</f>
        <v>-558180.47466141614</v>
      </c>
      <c r="L47" s="278">
        <f ca="1">'JPY Swap PVs'!W14</f>
        <v>-744240.63288188819</v>
      </c>
      <c r="M47" s="279">
        <f ca="1">'JPY Swap PVs'!X14</f>
        <v>-930300.79110236024</v>
      </c>
    </row>
    <row r="48" spans="2:16">
      <c r="B48" s="282" t="s">
        <v>18</v>
      </c>
      <c r="C48" s="278">
        <f ca="1">'JPY Swap PVs'!N15</f>
        <v>1118749.5923696093</v>
      </c>
      <c r="D48" s="278">
        <f ca="1">'JPY Swap PVs'!O15</f>
        <v>894999.67389568756</v>
      </c>
      <c r="E48" s="278">
        <f ca="1">'JPY Swap PVs'!P15</f>
        <v>671249.75542176561</v>
      </c>
      <c r="F48" s="278">
        <f ca="1">'JPY Swap PVs'!Q15</f>
        <v>447499.83694784367</v>
      </c>
      <c r="G48" s="278">
        <f ca="1">'JPY Swap PVs'!R15</f>
        <v>223749.91847392177</v>
      </c>
      <c r="H48" s="278">
        <f ca="1">'JPY Swap PVs'!S15</f>
        <v>0</v>
      </c>
      <c r="I48" s="278">
        <f ca="1">'JPY Swap PVs'!T15</f>
        <v>-223749.91847392195</v>
      </c>
      <c r="J48" s="278">
        <f ca="1">'JPY Swap PVs'!U15</f>
        <v>-447499.83694784372</v>
      </c>
      <c r="K48" s="278">
        <f ca="1">'JPY Swap PVs'!V15</f>
        <v>-671249.75542176561</v>
      </c>
      <c r="L48" s="278">
        <f ca="1">'JPY Swap PVs'!W15</f>
        <v>-894999.67389568756</v>
      </c>
      <c r="M48" s="279">
        <f ca="1">'JPY Swap PVs'!X15</f>
        <v>-1118749.5923696093</v>
      </c>
    </row>
    <row r="49" spans="2:26">
      <c r="B49" s="282" t="s">
        <v>17</v>
      </c>
      <c r="C49" s="278">
        <f ca="1">'JPY Swap PVs'!N16</f>
        <v>1290632.4929388375</v>
      </c>
      <c r="D49" s="278">
        <f ca="1">'JPY Swap PVs'!O16</f>
        <v>1032505.9943510699</v>
      </c>
      <c r="E49" s="278">
        <f ca="1">'JPY Swap PVs'!P16</f>
        <v>774379.49576330232</v>
      </c>
      <c r="F49" s="278">
        <f ca="1">'JPY Swap PVs'!Q16</f>
        <v>516252.99717553484</v>
      </c>
      <c r="G49" s="278">
        <f ca="1">'JPY Swap PVs'!R16</f>
        <v>258126.49858776736</v>
      </c>
      <c r="H49" s="278">
        <f ca="1">'JPY Swap PVs'!S16</f>
        <v>0</v>
      </c>
      <c r="I49" s="278">
        <f ca="1">'JPY Swap PVs'!T16</f>
        <v>-258126.49858776754</v>
      </c>
      <c r="J49" s="278">
        <f ca="1">'JPY Swap PVs'!U16</f>
        <v>-516252.99717553495</v>
      </c>
      <c r="K49" s="278">
        <f ca="1">'JPY Swap PVs'!V16</f>
        <v>-774379.49576330255</v>
      </c>
      <c r="L49" s="278">
        <f ca="1">'JPY Swap PVs'!W16</f>
        <v>-1032505.9943510699</v>
      </c>
      <c r="M49" s="279">
        <f ca="1">'JPY Swap PVs'!X16</f>
        <v>-1290632.4929388377</v>
      </c>
    </row>
    <row r="50" spans="2:26">
      <c r="B50" s="282" t="s">
        <v>16</v>
      </c>
      <c r="C50" s="278">
        <f ca="1">'JPY Swap PVs'!N17</f>
        <v>1446702.4249023667</v>
      </c>
      <c r="D50" s="278">
        <f ca="1">'JPY Swap PVs'!O17</f>
        <v>1157361.9399218934</v>
      </c>
      <c r="E50" s="278">
        <f ca="1">'JPY Swap PVs'!P17</f>
        <v>868021.45494142</v>
      </c>
      <c r="F50" s="278">
        <f ca="1">'JPY Swap PVs'!Q17</f>
        <v>578680.96996094659</v>
      </c>
      <c r="G50" s="278">
        <f ca="1">'JPY Swap PVs'!R17</f>
        <v>289340.48498047329</v>
      </c>
      <c r="H50" s="278">
        <f ca="1">'JPY Swap PVs'!S17</f>
        <v>0</v>
      </c>
      <c r="I50" s="278">
        <f ca="1">'JPY Swap PVs'!T17</f>
        <v>-289340.48498047335</v>
      </c>
      <c r="J50" s="278">
        <f ca="1">'JPY Swap PVs'!U17</f>
        <v>-578680.96996094659</v>
      </c>
      <c r="K50" s="278">
        <f ca="1">'JPY Swap PVs'!V17</f>
        <v>-868021.45494142</v>
      </c>
      <c r="L50" s="278">
        <f ca="1">'JPY Swap PVs'!W17</f>
        <v>-1157361.9399218934</v>
      </c>
      <c r="M50" s="279">
        <f ca="1">'JPY Swap PVs'!X17</f>
        <v>-1446702.4249023665</v>
      </c>
    </row>
    <row r="51" spans="2:26">
      <c r="B51" s="282" t="s">
        <v>15</v>
      </c>
      <c r="C51" s="278">
        <f ca="1">'JPY Swap PVs'!N18</f>
        <v>1588249.3628229061</v>
      </c>
      <c r="D51" s="278">
        <f ca="1">'JPY Swap PVs'!O18</f>
        <v>1270599.4902583249</v>
      </c>
      <c r="E51" s="278">
        <f ca="1">'JPY Swap PVs'!P18</f>
        <v>952949.61769374367</v>
      </c>
      <c r="F51" s="278">
        <f ca="1">'JPY Swap PVs'!Q18</f>
        <v>635299.74512916233</v>
      </c>
      <c r="G51" s="278">
        <f ca="1">'JPY Swap PVs'!R18</f>
        <v>317649.87256458111</v>
      </c>
      <c r="H51" s="278">
        <f ca="1">'JPY Swap PVs'!S18</f>
        <v>0</v>
      </c>
      <c r="I51" s="278">
        <f ca="1">'JPY Swap PVs'!T18</f>
        <v>-317649.87256458134</v>
      </c>
      <c r="J51" s="278">
        <f ca="1">'JPY Swap PVs'!U18</f>
        <v>-635299.74512916245</v>
      </c>
      <c r="K51" s="278">
        <f ca="1">'JPY Swap PVs'!V18</f>
        <v>-952949.61769374378</v>
      </c>
      <c r="L51" s="278">
        <f ca="1">'JPY Swap PVs'!W18</f>
        <v>-1270599.4902583251</v>
      </c>
      <c r="M51" s="279">
        <f ca="1">'JPY Swap PVs'!X18</f>
        <v>-1588249.3628229066</v>
      </c>
    </row>
    <row r="52" spans="2:26">
      <c r="B52" s="282"/>
      <c r="C52" s="278"/>
      <c r="D52" s="278"/>
      <c r="E52" s="278"/>
      <c r="F52" s="278"/>
      <c r="G52" s="278"/>
      <c r="H52" s="278"/>
      <c r="I52" s="278"/>
      <c r="J52" s="278"/>
      <c r="K52" s="278"/>
      <c r="L52" s="278"/>
      <c r="M52" s="279"/>
    </row>
    <row r="53" spans="2:26">
      <c r="B53" s="282"/>
      <c r="C53" s="278"/>
      <c r="D53" s="278"/>
      <c r="E53" s="278"/>
      <c r="F53" s="278"/>
      <c r="G53" s="278"/>
      <c r="H53" s="278"/>
      <c r="I53" s="278"/>
      <c r="J53" s="278"/>
      <c r="K53" s="278"/>
      <c r="L53" s="278"/>
      <c r="M53" s="279"/>
    </row>
    <row r="54" spans="2:26">
      <c r="B54" s="282"/>
      <c r="C54" s="278"/>
      <c r="D54" s="278"/>
      <c r="E54" s="278"/>
      <c r="F54" s="278"/>
      <c r="G54" s="278"/>
      <c r="H54" s="278"/>
      <c r="I54" s="278"/>
      <c r="J54" s="278"/>
      <c r="K54" s="278"/>
      <c r="L54" s="278"/>
      <c r="M54" s="279"/>
    </row>
    <row r="55" spans="2:26">
      <c r="B55" s="283"/>
      <c r="C55" s="280"/>
      <c r="D55" s="280"/>
      <c r="E55" s="280"/>
      <c r="F55" s="280"/>
      <c r="G55" s="280"/>
      <c r="H55" s="280"/>
      <c r="I55" s="280"/>
      <c r="J55" s="280"/>
      <c r="K55" s="280"/>
      <c r="L55" s="280"/>
      <c r="M55" s="281"/>
    </row>
    <row r="57" spans="2:26">
      <c r="B57" s="258" t="s">
        <v>472</v>
      </c>
      <c r="O57" s="258" t="s">
        <v>472</v>
      </c>
    </row>
    <row r="58" spans="2:26">
      <c r="B58" s="254" t="s">
        <v>468</v>
      </c>
      <c r="C58" s="276">
        <v>-0.05</v>
      </c>
      <c r="D58" s="276">
        <v>-0.04</v>
      </c>
      <c r="E58" s="276">
        <v>-0.03</v>
      </c>
      <c r="F58" s="276">
        <v>-1.9999999999999997E-2</v>
      </c>
      <c r="G58" s="276">
        <v>-9.9999999999999967E-3</v>
      </c>
      <c r="H58" s="276">
        <v>0</v>
      </c>
      <c r="I58" s="276">
        <v>0.01</v>
      </c>
      <c r="J58" s="276">
        <v>0.02</v>
      </c>
      <c r="K58" s="276">
        <v>0.03</v>
      </c>
      <c r="L58" s="276">
        <v>0.04</v>
      </c>
      <c r="M58" s="277">
        <v>0.05</v>
      </c>
      <c r="O58" s="254" t="s">
        <v>468</v>
      </c>
      <c r="P58" s="276">
        <v>-0.05</v>
      </c>
      <c r="Q58" s="276">
        <v>-0.04</v>
      </c>
      <c r="R58" s="276">
        <v>-0.03</v>
      </c>
      <c r="S58" s="276">
        <v>-1.9999999999999997E-2</v>
      </c>
      <c r="T58" s="276">
        <v>-9.9999999999999967E-3</v>
      </c>
      <c r="U58" s="276">
        <v>0</v>
      </c>
      <c r="V58" s="276">
        <v>0.01</v>
      </c>
      <c r="W58" s="276">
        <v>0.02</v>
      </c>
      <c r="X58" s="276">
        <v>0.03</v>
      </c>
      <c r="Y58" s="276">
        <v>0.04</v>
      </c>
      <c r="Z58" s="277">
        <v>0.05</v>
      </c>
    </row>
    <row r="59" spans="2:26">
      <c r="B59" s="282" t="s">
        <v>39</v>
      </c>
      <c r="C59" s="278">
        <f ca="1">IF(C37&gt;D37,0,1)</f>
        <v>0</v>
      </c>
      <c r="D59" s="278">
        <f t="shared" ref="D59:L59" ca="1" si="2">IF(D37&gt;E37,0,1)</f>
        <v>0</v>
      </c>
      <c r="E59" s="278">
        <f t="shared" ca="1" si="2"/>
        <v>0</v>
      </c>
      <c r="F59" s="278">
        <f t="shared" ca="1" si="2"/>
        <v>0</v>
      </c>
      <c r="G59" s="278">
        <f t="shared" ca="1" si="2"/>
        <v>0</v>
      </c>
      <c r="H59" s="278">
        <f t="shared" ca="1" si="2"/>
        <v>0</v>
      </c>
      <c r="I59" s="278">
        <f t="shared" ca="1" si="2"/>
        <v>0</v>
      </c>
      <c r="J59" s="278">
        <f t="shared" ca="1" si="2"/>
        <v>0</v>
      </c>
      <c r="K59" s="278">
        <f t="shared" ca="1" si="2"/>
        <v>0</v>
      </c>
      <c r="L59" s="278">
        <f t="shared" ca="1" si="2"/>
        <v>0</v>
      </c>
      <c r="M59" s="285" t="s">
        <v>6</v>
      </c>
      <c r="O59" s="282" t="s">
        <v>39</v>
      </c>
      <c r="P59" s="289">
        <f ca="1">IF(ABS(C38)&gt;ABS(C37),0,1)</f>
        <v>0</v>
      </c>
      <c r="Q59" s="289">
        <f t="shared" ref="Q59:Q72" ca="1" si="3">IF(ABS(D38)&gt;ABS(D37),0,1)</f>
        <v>0</v>
      </c>
      <c r="R59" s="289">
        <f t="shared" ref="R59:R72" ca="1" si="4">IF(ABS(E38)&gt;ABS(E37),0,1)</f>
        <v>0</v>
      </c>
      <c r="S59" s="289">
        <f t="shared" ref="S59:S72" ca="1" si="5">IF(ABS(F38)&gt;ABS(F37),0,1)</f>
        <v>0</v>
      </c>
      <c r="T59" s="289">
        <f t="shared" ref="T59:T72" ca="1" si="6">IF(ABS(G38)&gt;ABS(G37),0,1)</f>
        <v>0</v>
      </c>
      <c r="U59" s="295" t="s">
        <v>6</v>
      </c>
      <c r="V59" s="289">
        <f t="shared" ref="V59:V72" ca="1" si="7">IF(ABS(I38)&gt;ABS(I37),0,1)</f>
        <v>0</v>
      </c>
      <c r="W59" s="289">
        <f t="shared" ref="W59:W72" ca="1" si="8">IF(ABS(J38)&gt;ABS(J37),0,1)</f>
        <v>0</v>
      </c>
      <c r="X59" s="289">
        <f t="shared" ref="X59:X72" ca="1" si="9">IF(ABS(K38)&gt;ABS(K37),0,1)</f>
        <v>0</v>
      </c>
      <c r="Y59" s="289">
        <f t="shared" ref="Y59:Y72" ca="1" si="10">IF(ABS(L38)&gt;ABS(L37),0,1)</f>
        <v>0</v>
      </c>
      <c r="Z59" s="291">
        <f t="shared" ref="Z59:Z72" ca="1" si="11">IF(ABS(M38)&gt;ABS(M37),0,1)</f>
        <v>0</v>
      </c>
    </row>
    <row r="60" spans="2:26">
      <c r="B60" s="282" t="s">
        <v>35</v>
      </c>
      <c r="C60" s="278">
        <f t="shared" ref="C60:L75" ca="1" si="12">IF(C38&gt;D38,0,1)</f>
        <v>0</v>
      </c>
      <c r="D60" s="278">
        <f t="shared" ca="1" si="12"/>
        <v>0</v>
      </c>
      <c r="E60" s="278">
        <f t="shared" ca="1" si="12"/>
        <v>0</v>
      </c>
      <c r="F60" s="278">
        <f t="shared" ca="1" si="12"/>
        <v>0</v>
      </c>
      <c r="G60" s="278">
        <f t="shared" ca="1" si="12"/>
        <v>0</v>
      </c>
      <c r="H60" s="278">
        <f t="shared" ca="1" si="12"/>
        <v>0</v>
      </c>
      <c r="I60" s="278">
        <f t="shared" ca="1" si="12"/>
        <v>0</v>
      </c>
      <c r="J60" s="278">
        <f t="shared" ca="1" si="12"/>
        <v>0</v>
      </c>
      <c r="K60" s="278">
        <f t="shared" ca="1" si="12"/>
        <v>0</v>
      </c>
      <c r="L60" s="278">
        <f t="shared" ca="1" si="12"/>
        <v>0</v>
      </c>
      <c r="M60" s="279" t="s">
        <v>6</v>
      </c>
      <c r="O60" s="282" t="s">
        <v>35</v>
      </c>
      <c r="P60" s="289">
        <f t="shared" ref="P60:P72" ca="1" si="13">IF(ABS(C39)&gt;ABS(C38),0,1)</f>
        <v>0</v>
      </c>
      <c r="Q60" s="289">
        <f t="shared" ca="1" si="3"/>
        <v>0</v>
      </c>
      <c r="R60" s="289">
        <f t="shared" ca="1" si="4"/>
        <v>0</v>
      </c>
      <c r="S60" s="289">
        <f t="shared" ca="1" si="5"/>
        <v>0</v>
      </c>
      <c r="T60" s="289">
        <f t="shared" ca="1" si="6"/>
        <v>0</v>
      </c>
      <c r="U60" s="295" t="s">
        <v>6</v>
      </c>
      <c r="V60" s="289">
        <f t="shared" ca="1" si="7"/>
        <v>0</v>
      </c>
      <c r="W60" s="289">
        <f t="shared" ca="1" si="8"/>
        <v>0</v>
      </c>
      <c r="X60" s="289">
        <f t="shared" ca="1" si="9"/>
        <v>0</v>
      </c>
      <c r="Y60" s="289">
        <f t="shared" ca="1" si="10"/>
        <v>0</v>
      </c>
      <c r="Z60" s="292">
        <f t="shared" ca="1" si="11"/>
        <v>0</v>
      </c>
    </row>
    <row r="61" spans="2:26">
      <c r="B61" s="282" t="s">
        <v>33</v>
      </c>
      <c r="C61" s="278">
        <f t="shared" ca="1" si="12"/>
        <v>0</v>
      </c>
      <c r="D61" s="278">
        <f t="shared" ca="1" si="12"/>
        <v>0</v>
      </c>
      <c r="E61" s="278">
        <f t="shared" ca="1" si="12"/>
        <v>0</v>
      </c>
      <c r="F61" s="278">
        <f t="shared" ca="1" si="12"/>
        <v>0</v>
      </c>
      <c r="G61" s="278">
        <f t="shared" ca="1" si="12"/>
        <v>0</v>
      </c>
      <c r="H61" s="278">
        <f t="shared" ca="1" si="12"/>
        <v>0</v>
      </c>
      <c r="I61" s="278">
        <f t="shared" ca="1" si="12"/>
        <v>0</v>
      </c>
      <c r="J61" s="278">
        <f t="shared" ca="1" si="12"/>
        <v>0</v>
      </c>
      <c r="K61" s="278">
        <f t="shared" ca="1" si="12"/>
        <v>0</v>
      </c>
      <c r="L61" s="278">
        <f t="shared" ca="1" si="12"/>
        <v>0</v>
      </c>
      <c r="M61" s="279" t="s">
        <v>6</v>
      </c>
      <c r="O61" s="282" t="s">
        <v>33</v>
      </c>
      <c r="P61" s="289">
        <f t="shared" ca="1" si="13"/>
        <v>0</v>
      </c>
      <c r="Q61" s="289">
        <f t="shared" ca="1" si="3"/>
        <v>0</v>
      </c>
      <c r="R61" s="289">
        <f t="shared" ca="1" si="4"/>
        <v>0</v>
      </c>
      <c r="S61" s="289">
        <f t="shared" ca="1" si="5"/>
        <v>0</v>
      </c>
      <c r="T61" s="289">
        <f t="shared" ca="1" si="6"/>
        <v>0</v>
      </c>
      <c r="U61" s="295" t="s">
        <v>6</v>
      </c>
      <c r="V61" s="289">
        <f t="shared" ca="1" si="7"/>
        <v>0</v>
      </c>
      <c r="W61" s="289">
        <f t="shared" ca="1" si="8"/>
        <v>0</v>
      </c>
      <c r="X61" s="289">
        <f t="shared" ca="1" si="9"/>
        <v>0</v>
      </c>
      <c r="Y61" s="289">
        <f t="shared" ca="1" si="10"/>
        <v>0</v>
      </c>
      <c r="Z61" s="292">
        <f t="shared" ca="1" si="11"/>
        <v>0</v>
      </c>
    </row>
    <row r="62" spans="2:26">
      <c r="B62" s="282" t="s">
        <v>131</v>
      </c>
      <c r="C62" s="278">
        <f t="shared" ca="1" si="12"/>
        <v>0</v>
      </c>
      <c r="D62" s="278">
        <f t="shared" ca="1" si="12"/>
        <v>0</v>
      </c>
      <c r="E62" s="278">
        <f t="shared" ca="1" si="12"/>
        <v>0</v>
      </c>
      <c r="F62" s="278">
        <f t="shared" ca="1" si="12"/>
        <v>0</v>
      </c>
      <c r="G62" s="278">
        <f t="shared" ca="1" si="12"/>
        <v>0</v>
      </c>
      <c r="H62" s="278">
        <f t="shared" ca="1" si="12"/>
        <v>0</v>
      </c>
      <c r="I62" s="278">
        <f t="shared" ca="1" si="12"/>
        <v>0</v>
      </c>
      <c r="J62" s="278">
        <f t="shared" ca="1" si="12"/>
        <v>0</v>
      </c>
      <c r="K62" s="278">
        <f t="shared" ca="1" si="12"/>
        <v>0</v>
      </c>
      <c r="L62" s="278">
        <f t="shared" ca="1" si="12"/>
        <v>0</v>
      </c>
      <c r="M62" s="279" t="s">
        <v>6</v>
      </c>
      <c r="O62" s="282" t="s">
        <v>131</v>
      </c>
      <c r="P62" s="289">
        <f t="shared" ca="1" si="13"/>
        <v>0</v>
      </c>
      <c r="Q62" s="289">
        <f t="shared" ca="1" si="3"/>
        <v>0</v>
      </c>
      <c r="R62" s="289">
        <f t="shared" ca="1" si="4"/>
        <v>0</v>
      </c>
      <c r="S62" s="289">
        <f t="shared" ca="1" si="5"/>
        <v>0</v>
      </c>
      <c r="T62" s="289">
        <f t="shared" ca="1" si="6"/>
        <v>0</v>
      </c>
      <c r="U62" s="295" t="s">
        <v>6</v>
      </c>
      <c r="V62" s="289">
        <f t="shared" ca="1" si="7"/>
        <v>0</v>
      </c>
      <c r="W62" s="289">
        <f t="shared" ca="1" si="8"/>
        <v>0</v>
      </c>
      <c r="X62" s="289">
        <f t="shared" ca="1" si="9"/>
        <v>0</v>
      </c>
      <c r="Y62" s="289">
        <f t="shared" ca="1" si="10"/>
        <v>0</v>
      </c>
      <c r="Z62" s="292">
        <f t="shared" ca="1" si="11"/>
        <v>0</v>
      </c>
    </row>
    <row r="63" spans="2:26">
      <c r="B63" s="282" t="s">
        <v>31</v>
      </c>
      <c r="C63" s="278">
        <f t="shared" ca="1" si="12"/>
        <v>0</v>
      </c>
      <c r="D63" s="278">
        <f t="shared" ca="1" si="12"/>
        <v>0</v>
      </c>
      <c r="E63" s="278">
        <f t="shared" ca="1" si="12"/>
        <v>0</v>
      </c>
      <c r="F63" s="278">
        <f t="shared" ca="1" si="12"/>
        <v>0</v>
      </c>
      <c r="G63" s="278">
        <f t="shared" ca="1" si="12"/>
        <v>0</v>
      </c>
      <c r="H63" s="278">
        <f t="shared" ca="1" si="12"/>
        <v>0</v>
      </c>
      <c r="I63" s="278">
        <f t="shared" ca="1" si="12"/>
        <v>0</v>
      </c>
      <c r="J63" s="278">
        <f t="shared" ca="1" si="12"/>
        <v>0</v>
      </c>
      <c r="K63" s="278">
        <f t="shared" ca="1" si="12"/>
        <v>0</v>
      </c>
      <c r="L63" s="278">
        <f t="shared" ca="1" si="12"/>
        <v>0</v>
      </c>
      <c r="M63" s="279" t="s">
        <v>6</v>
      </c>
      <c r="O63" s="282" t="s">
        <v>31</v>
      </c>
      <c r="P63" s="289">
        <f t="shared" ca="1" si="13"/>
        <v>0</v>
      </c>
      <c r="Q63" s="289">
        <f t="shared" ca="1" si="3"/>
        <v>0</v>
      </c>
      <c r="R63" s="289">
        <f t="shared" ca="1" si="4"/>
        <v>0</v>
      </c>
      <c r="S63" s="289">
        <f t="shared" ca="1" si="5"/>
        <v>0</v>
      </c>
      <c r="T63" s="289">
        <f t="shared" ca="1" si="6"/>
        <v>0</v>
      </c>
      <c r="U63" s="295" t="s">
        <v>6</v>
      </c>
      <c r="V63" s="289">
        <f t="shared" ca="1" si="7"/>
        <v>0</v>
      </c>
      <c r="W63" s="289">
        <f t="shared" ca="1" si="8"/>
        <v>0</v>
      </c>
      <c r="X63" s="289">
        <f t="shared" ca="1" si="9"/>
        <v>0</v>
      </c>
      <c r="Y63" s="289">
        <f t="shared" ca="1" si="10"/>
        <v>0</v>
      </c>
      <c r="Z63" s="292">
        <f t="shared" ca="1" si="11"/>
        <v>0</v>
      </c>
    </row>
    <row r="64" spans="2:26">
      <c r="B64" s="282" t="s">
        <v>119</v>
      </c>
      <c r="C64" s="278">
        <f t="shared" ca="1" si="12"/>
        <v>0</v>
      </c>
      <c r="D64" s="278">
        <f t="shared" ca="1" si="12"/>
        <v>0</v>
      </c>
      <c r="E64" s="278">
        <f t="shared" ca="1" si="12"/>
        <v>0</v>
      </c>
      <c r="F64" s="278">
        <f t="shared" ca="1" si="12"/>
        <v>0</v>
      </c>
      <c r="G64" s="278">
        <f t="shared" ca="1" si="12"/>
        <v>0</v>
      </c>
      <c r="H64" s="278">
        <f t="shared" ca="1" si="12"/>
        <v>0</v>
      </c>
      <c r="I64" s="278">
        <f t="shared" ca="1" si="12"/>
        <v>0</v>
      </c>
      <c r="J64" s="278">
        <f t="shared" ca="1" si="12"/>
        <v>0</v>
      </c>
      <c r="K64" s="278">
        <f t="shared" ca="1" si="12"/>
        <v>0</v>
      </c>
      <c r="L64" s="278">
        <f t="shared" ca="1" si="12"/>
        <v>0</v>
      </c>
      <c r="M64" s="279" t="s">
        <v>6</v>
      </c>
      <c r="O64" s="282" t="s">
        <v>119</v>
      </c>
      <c r="P64" s="289">
        <f t="shared" ca="1" si="13"/>
        <v>0</v>
      </c>
      <c r="Q64" s="289">
        <f t="shared" ca="1" si="3"/>
        <v>0</v>
      </c>
      <c r="R64" s="289">
        <f t="shared" ca="1" si="4"/>
        <v>0</v>
      </c>
      <c r="S64" s="289">
        <f t="shared" ca="1" si="5"/>
        <v>0</v>
      </c>
      <c r="T64" s="289">
        <f t="shared" ca="1" si="6"/>
        <v>0</v>
      </c>
      <c r="U64" s="295" t="s">
        <v>6</v>
      </c>
      <c r="V64" s="289">
        <f t="shared" ca="1" si="7"/>
        <v>0</v>
      </c>
      <c r="W64" s="289">
        <f t="shared" ca="1" si="8"/>
        <v>0</v>
      </c>
      <c r="X64" s="289">
        <f t="shared" ca="1" si="9"/>
        <v>0</v>
      </c>
      <c r="Y64" s="289">
        <f t="shared" ca="1" si="10"/>
        <v>0</v>
      </c>
      <c r="Z64" s="292">
        <f t="shared" ca="1" si="11"/>
        <v>0</v>
      </c>
    </row>
    <row r="65" spans="1:26">
      <c r="B65" s="282" t="s">
        <v>113</v>
      </c>
      <c r="C65" s="278">
        <f t="shared" ca="1" si="12"/>
        <v>0</v>
      </c>
      <c r="D65" s="278">
        <f t="shared" ca="1" si="12"/>
        <v>0</v>
      </c>
      <c r="E65" s="278">
        <f t="shared" ca="1" si="12"/>
        <v>0</v>
      </c>
      <c r="F65" s="278">
        <f t="shared" ca="1" si="12"/>
        <v>0</v>
      </c>
      <c r="G65" s="278">
        <f t="shared" ca="1" si="12"/>
        <v>0</v>
      </c>
      <c r="H65" s="278">
        <f t="shared" ca="1" si="12"/>
        <v>0</v>
      </c>
      <c r="I65" s="278">
        <f t="shared" ca="1" si="12"/>
        <v>0</v>
      </c>
      <c r="J65" s="278">
        <f t="shared" ca="1" si="12"/>
        <v>0</v>
      </c>
      <c r="K65" s="278">
        <f t="shared" ca="1" si="12"/>
        <v>0</v>
      </c>
      <c r="L65" s="278">
        <f t="shared" ca="1" si="12"/>
        <v>0</v>
      </c>
      <c r="M65" s="279" t="s">
        <v>6</v>
      </c>
      <c r="O65" s="282" t="s">
        <v>113</v>
      </c>
      <c r="P65" s="289">
        <f t="shared" ca="1" si="13"/>
        <v>0</v>
      </c>
      <c r="Q65" s="289">
        <f t="shared" ca="1" si="3"/>
        <v>0</v>
      </c>
      <c r="R65" s="289">
        <f t="shared" ca="1" si="4"/>
        <v>0</v>
      </c>
      <c r="S65" s="289">
        <f t="shared" ca="1" si="5"/>
        <v>0</v>
      </c>
      <c r="T65" s="289">
        <f t="shared" ca="1" si="6"/>
        <v>0</v>
      </c>
      <c r="U65" s="295" t="s">
        <v>6</v>
      </c>
      <c r="V65" s="289">
        <f t="shared" ca="1" si="7"/>
        <v>0</v>
      </c>
      <c r="W65" s="289">
        <f t="shared" ca="1" si="8"/>
        <v>0</v>
      </c>
      <c r="X65" s="289">
        <f t="shared" ca="1" si="9"/>
        <v>0</v>
      </c>
      <c r="Y65" s="289">
        <f t="shared" ca="1" si="10"/>
        <v>0</v>
      </c>
      <c r="Z65" s="292">
        <f t="shared" ca="1" si="11"/>
        <v>0</v>
      </c>
    </row>
    <row r="66" spans="1:26">
      <c r="B66" s="282" t="s">
        <v>28</v>
      </c>
      <c r="C66" s="278">
        <f t="shared" ca="1" si="12"/>
        <v>0</v>
      </c>
      <c r="D66" s="278">
        <f t="shared" ca="1" si="12"/>
        <v>0</v>
      </c>
      <c r="E66" s="278">
        <f t="shared" ca="1" si="12"/>
        <v>0</v>
      </c>
      <c r="F66" s="278">
        <f t="shared" ca="1" si="12"/>
        <v>0</v>
      </c>
      <c r="G66" s="278">
        <f t="shared" ca="1" si="12"/>
        <v>0</v>
      </c>
      <c r="H66" s="278">
        <f t="shared" ca="1" si="12"/>
        <v>0</v>
      </c>
      <c r="I66" s="278">
        <f t="shared" ca="1" si="12"/>
        <v>0</v>
      </c>
      <c r="J66" s="278">
        <f t="shared" ca="1" si="12"/>
        <v>0</v>
      </c>
      <c r="K66" s="278">
        <f t="shared" ca="1" si="12"/>
        <v>0</v>
      </c>
      <c r="L66" s="278">
        <f t="shared" ca="1" si="12"/>
        <v>0</v>
      </c>
      <c r="M66" s="279" t="s">
        <v>6</v>
      </c>
      <c r="O66" s="282" t="s">
        <v>28</v>
      </c>
      <c r="P66" s="289">
        <f t="shared" ca="1" si="13"/>
        <v>0</v>
      </c>
      <c r="Q66" s="289">
        <f t="shared" ca="1" si="3"/>
        <v>0</v>
      </c>
      <c r="R66" s="289">
        <f t="shared" ca="1" si="4"/>
        <v>0</v>
      </c>
      <c r="S66" s="289">
        <f t="shared" ca="1" si="5"/>
        <v>0</v>
      </c>
      <c r="T66" s="289">
        <f t="shared" ca="1" si="6"/>
        <v>0</v>
      </c>
      <c r="U66" s="295" t="s">
        <v>6</v>
      </c>
      <c r="V66" s="289">
        <f t="shared" ca="1" si="7"/>
        <v>0</v>
      </c>
      <c r="W66" s="289">
        <f t="shared" ca="1" si="8"/>
        <v>0</v>
      </c>
      <c r="X66" s="289">
        <f t="shared" ca="1" si="9"/>
        <v>0</v>
      </c>
      <c r="Y66" s="289">
        <f t="shared" ca="1" si="10"/>
        <v>0</v>
      </c>
      <c r="Z66" s="292">
        <f t="shared" ca="1" si="11"/>
        <v>0</v>
      </c>
    </row>
    <row r="67" spans="1:26">
      <c r="B67" s="282" t="s">
        <v>26</v>
      </c>
      <c r="C67" s="278">
        <f t="shared" ca="1" si="12"/>
        <v>0</v>
      </c>
      <c r="D67" s="278">
        <f t="shared" ca="1" si="12"/>
        <v>0</v>
      </c>
      <c r="E67" s="278">
        <f t="shared" ca="1" si="12"/>
        <v>0</v>
      </c>
      <c r="F67" s="278">
        <f t="shared" ca="1" si="12"/>
        <v>0</v>
      </c>
      <c r="G67" s="278">
        <f t="shared" ca="1" si="12"/>
        <v>0</v>
      </c>
      <c r="H67" s="278">
        <f t="shared" ca="1" si="12"/>
        <v>0</v>
      </c>
      <c r="I67" s="278">
        <f t="shared" ca="1" si="12"/>
        <v>0</v>
      </c>
      <c r="J67" s="278">
        <f t="shared" ca="1" si="12"/>
        <v>0</v>
      </c>
      <c r="K67" s="278">
        <f t="shared" ca="1" si="12"/>
        <v>0</v>
      </c>
      <c r="L67" s="278">
        <f t="shared" ca="1" si="12"/>
        <v>0</v>
      </c>
      <c r="M67" s="279" t="s">
        <v>6</v>
      </c>
      <c r="O67" s="282" t="s">
        <v>26</v>
      </c>
      <c r="P67" s="289">
        <f t="shared" ca="1" si="13"/>
        <v>0</v>
      </c>
      <c r="Q67" s="289">
        <f t="shared" ca="1" si="3"/>
        <v>0</v>
      </c>
      <c r="R67" s="289">
        <f t="shared" ca="1" si="4"/>
        <v>0</v>
      </c>
      <c r="S67" s="289">
        <f t="shared" ca="1" si="5"/>
        <v>0</v>
      </c>
      <c r="T67" s="289">
        <f t="shared" ca="1" si="6"/>
        <v>0</v>
      </c>
      <c r="U67" s="295" t="s">
        <v>6</v>
      </c>
      <c r="V67" s="289">
        <f t="shared" ca="1" si="7"/>
        <v>0</v>
      </c>
      <c r="W67" s="289">
        <f t="shared" ca="1" si="8"/>
        <v>0</v>
      </c>
      <c r="X67" s="289">
        <f t="shared" ca="1" si="9"/>
        <v>0</v>
      </c>
      <c r="Y67" s="289">
        <f t="shared" ca="1" si="10"/>
        <v>0</v>
      </c>
      <c r="Z67" s="292">
        <f t="shared" ca="1" si="11"/>
        <v>0</v>
      </c>
    </row>
    <row r="68" spans="1:26">
      <c r="B68" s="282" t="s">
        <v>24</v>
      </c>
      <c r="C68" s="278">
        <f t="shared" ca="1" si="12"/>
        <v>0</v>
      </c>
      <c r="D68" s="278">
        <f t="shared" ca="1" si="12"/>
        <v>0</v>
      </c>
      <c r="E68" s="278">
        <f t="shared" ca="1" si="12"/>
        <v>0</v>
      </c>
      <c r="F68" s="278">
        <f t="shared" ca="1" si="12"/>
        <v>0</v>
      </c>
      <c r="G68" s="278">
        <f t="shared" ca="1" si="12"/>
        <v>0</v>
      </c>
      <c r="H68" s="278">
        <f t="shared" ca="1" si="12"/>
        <v>0</v>
      </c>
      <c r="I68" s="278">
        <f t="shared" ca="1" si="12"/>
        <v>0</v>
      </c>
      <c r="J68" s="278">
        <f t="shared" ca="1" si="12"/>
        <v>0</v>
      </c>
      <c r="K68" s="278">
        <f t="shared" ca="1" si="12"/>
        <v>0</v>
      </c>
      <c r="L68" s="278">
        <f t="shared" ca="1" si="12"/>
        <v>0</v>
      </c>
      <c r="M68" s="279" t="s">
        <v>6</v>
      </c>
      <c r="O68" s="282" t="s">
        <v>24</v>
      </c>
      <c r="P68" s="289">
        <f t="shared" ca="1" si="13"/>
        <v>0</v>
      </c>
      <c r="Q68" s="289">
        <f t="shared" ca="1" si="3"/>
        <v>0</v>
      </c>
      <c r="R68" s="289">
        <f t="shared" ca="1" si="4"/>
        <v>0</v>
      </c>
      <c r="S68" s="289">
        <f t="shared" ca="1" si="5"/>
        <v>0</v>
      </c>
      <c r="T68" s="289">
        <f t="shared" ca="1" si="6"/>
        <v>0</v>
      </c>
      <c r="U68" s="295" t="s">
        <v>6</v>
      </c>
      <c r="V68" s="289">
        <f t="shared" ca="1" si="7"/>
        <v>0</v>
      </c>
      <c r="W68" s="289">
        <f t="shared" ca="1" si="8"/>
        <v>0</v>
      </c>
      <c r="X68" s="289">
        <f t="shared" ca="1" si="9"/>
        <v>0</v>
      </c>
      <c r="Y68" s="289">
        <f t="shared" ca="1" si="10"/>
        <v>0</v>
      </c>
      <c r="Z68" s="292">
        <f t="shared" ca="1" si="11"/>
        <v>0</v>
      </c>
    </row>
    <row r="69" spans="1:26">
      <c r="B69" s="282" t="s">
        <v>20</v>
      </c>
      <c r="C69" s="278">
        <f t="shared" ca="1" si="12"/>
        <v>0</v>
      </c>
      <c r="D69" s="278">
        <f t="shared" ca="1" si="12"/>
        <v>0</v>
      </c>
      <c r="E69" s="278">
        <f t="shared" ca="1" si="12"/>
        <v>0</v>
      </c>
      <c r="F69" s="278">
        <f t="shared" ca="1" si="12"/>
        <v>0</v>
      </c>
      <c r="G69" s="278">
        <f t="shared" ca="1" si="12"/>
        <v>0</v>
      </c>
      <c r="H69" s="278">
        <f t="shared" ca="1" si="12"/>
        <v>0</v>
      </c>
      <c r="I69" s="278">
        <f t="shared" ca="1" si="12"/>
        <v>0</v>
      </c>
      <c r="J69" s="278">
        <f t="shared" ca="1" si="12"/>
        <v>0</v>
      </c>
      <c r="K69" s="278">
        <f t="shared" ca="1" si="12"/>
        <v>0</v>
      </c>
      <c r="L69" s="278">
        <f t="shared" ca="1" si="12"/>
        <v>0</v>
      </c>
      <c r="M69" s="279" t="s">
        <v>6</v>
      </c>
      <c r="O69" s="282" t="s">
        <v>20</v>
      </c>
      <c r="P69" s="289">
        <f t="shared" ca="1" si="13"/>
        <v>0</v>
      </c>
      <c r="Q69" s="289">
        <f t="shared" ca="1" si="3"/>
        <v>0</v>
      </c>
      <c r="R69" s="289">
        <f t="shared" ca="1" si="4"/>
        <v>0</v>
      </c>
      <c r="S69" s="289">
        <f t="shared" ca="1" si="5"/>
        <v>0</v>
      </c>
      <c r="T69" s="289">
        <f t="shared" ca="1" si="6"/>
        <v>0</v>
      </c>
      <c r="U69" s="295" t="s">
        <v>6</v>
      </c>
      <c r="V69" s="289">
        <f t="shared" ca="1" si="7"/>
        <v>0</v>
      </c>
      <c r="W69" s="289">
        <f t="shared" ca="1" si="8"/>
        <v>0</v>
      </c>
      <c r="X69" s="289">
        <f t="shared" ca="1" si="9"/>
        <v>0</v>
      </c>
      <c r="Y69" s="289">
        <f t="shared" ca="1" si="10"/>
        <v>0</v>
      </c>
      <c r="Z69" s="292">
        <f t="shared" ca="1" si="11"/>
        <v>0</v>
      </c>
    </row>
    <row r="70" spans="1:26">
      <c r="B70" s="282" t="s">
        <v>18</v>
      </c>
      <c r="C70" s="278">
        <f t="shared" ca="1" si="12"/>
        <v>0</v>
      </c>
      <c r="D70" s="278">
        <f t="shared" ca="1" si="12"/>
        <v>0</v>
      </c>
      <c r="E70" s="278">
        <f t="shared" ca="1" si="12"/>
        <v>0</v>
      </c>
      <c r="F70" s="278">
        <f t="shared" ca="1" si="12"/>
        <v>0</v>
      </c>
      <c r="G70" s="278">
        <f t="shared" ca="1" si="12"/>
        <v>0</v>
      </c>
      <c r="H70" s="278">
        <f t="shared" ca="1" si="12"/>
        <v>0</v>
      </c>
      <c r="I70" s="278">
        <f t="shared" ca="1" si="12"/>
        <v>0</v>
      </c>
      <c r="J70" s="278">
        <f t="shared" ca="1" si="12"/>
        <v>0</v>
      </c>
      <c r="K70" s="278">
        <f t="shared" ca="1" si="12"/>
        <v>0</v>
      </c>
      <c r="L70" s="278">
        <f t="shared" ca="1" si="12"/>
        <v>0</v>
      </c>
      <c r="M70" s="279" t="s">
        <v>6</v>
      </c>
      <c r="O70" s="282" t="s">
        <v>18</v>
      </c>
      <c r="P70" s="289">
        <f t="shared" ca="1" si="13"/>
        <v>0</v>
      </c>
      <c r="Q70" s="289">
        <f t="shared" ca="1" si="3"/>
        <v>0</v>
      </c>
      <c r="R70" s="289">
        <f t="shared" ca="1" si="4"/>
        <v>0</v>
      </c>
      <c r="S70" s="289">
        <f t="shared" ca="1" si="5"/>
        <v>0</v>
      </c>
      <c r="T70" s="289">
        <f t="shared" ca="1" si="6"/>
        <v>0</v>
      </c>
      <c r="U70" s="295" t="s">
        <v>6</v>
      </c>
      <c r="V70" s="289">
        <f t="shared" ca="1" si="7"/>
        <v>0</v>
      </c>
      <c r="W70" s="289">
        <f t="shared" ca="1" si="8"/>
        <v>0</v>
      </c>
      <c r="X70" s="289">
        <f t="shared" ca="1" si="9"/>
        <v>0</v>
      </c>
      <c r="Y70" s="289">
        <f t="shared" ca="1" si="10"/>
        <v>0</v>
      </c>
      <c r="Z70" s="292">
        <f t="shared" ca="1" si="11"/>
        <v>0</v>
      </c>
    </row>
    <row r="71" spans="1:26">
      <c r="B71" s="282" t="s">
        <v>17</v>
      </c>
      <c r="C71" s="278">
        <f t="shared" ca="1" si="12"/>
        <v>0</v>
      </c>
      <c r="D71" s="278">
        <f t="shared" ca="1" si="12"/>
        <v>0</v>
      </c>
      <c r="E71" s="278">
        <f t="shared" ca="1" si="12"/>
        <v>0</v>
      </c>
      <c r="F71" s="278">
        <f t="shared" ca="1" si="12"/>
        <v>0</v>
      </c>
      <c r="G71" s="278">
        <f t="shared" ca="1" si="12"/>
        <v>0</v>
      </c>
      <c r="H71" s="278">
        <f t="shared" ca="1" si="12"/>
        <v>0</v>
      </c>
      <c r="I71" s="278">
        <f t="shared" ca="1" si="12"/>
        <v>0</v>
      </c>
      <c r="J71" s="278">
        <f t="shared" ca="1" si="12"/>
        <v>0</v>
      </c>
      <c r="K71" s="278">
        <f t="shared" ca="1" si="12"/>
        <v>0</v>
      </c>
      <c r="L71" s="278">
        <f t="shared" ca="1" si="12"/>
        <v>0</v>
      </c>
      <c r="M71" s="279" t="s">
        <v>6</v>
      </c>
      <c r="O71" s="282" t="s">
        <v>17</v>
      </c>
      <c r="P71" s="289">
        <f t="shared" ca="1" si="13"/>
        <v>0</v>
      </c>
      <c r="Q71" s="289">
        <f t="shared" ca="1" si="3"/>
        <v>0</v>
      </c>
      <c r="R71" s="289">
        <f t="shared" ca="1" si="4"/>
        <v>0</v>
      </c>
      <c r="S71" s="289">
        <f t="shared" ca="1" si="5"/>
        <v>0</v>
      </c>
      <c r="T71" s="289">
        <f t="shared" ca="1" si="6"/>
        <v>0</v>
      </c>
      <c r="U71" s="295" t="s">
        <v>6</v>
      </c>
      <c r="V71" s="289">
        <f t="shared" ca="1" si="7"/>
        <v>0</v>
      </c>
      <c r="W71" s="289">
        <f t="shared" ca="1" si="8"/>
        <v>0</v>
      </c>
      <c r="X71" s="289">
        <f t="shared" ca="1" si="9"/>
        <v>0</v>
      </c>
      <c r="Y71" s="289">
        <f t="shared" ca="1" si="10"/>
        <v>0</v>
      </c>
      <c r="Z71" s="292">
        <f t="shared" ca="1" si="11"/>
        <v>0</v>
      </c>
    </row>
    <row r="72" spans="1:26">
      <c r="B72" s="282" t="s">
        <v>16</v>
      </c>
      <c r="C72" s="278">
        <f t="shared" ca="1" si="12"/>
        <v>0</v>
      </c>
      <c r="D72" s="278">
        <f t="shared" ca="1" si="12"/>
        <v>0</v>
      </c>
      <c r="E72" s="278">
        <f t="shared" ca="1" si="12"/>
        <v>0</v>
      </c>
      <c r="F72" s="278">
        <f t="shared" ca="1" si="12"/>
        <v>0</v>
      </c>
      <c r="G72" s="278">
        <f t="shared" ca="1" si="12"/>
        <v>0</v>
      </c>
      <c r="H72" s="278">
        <f t="shared" ca="1" si="12"/>
        <v>0</v>
      </c>
      <c r="I72" s="278">
        <f t="shared" ca="1" si="12"/>
        <v>0</v>
      </c>
      <c r="J72" s="278">
        <f t="shared" ca="1" si="12"/>
        <v>0</v>
      </c>
      <c r="K72" s="278">
        <f t="shared" ca="1" si="12"/>
        <v>0</v>
      </c>
      <c r="L72" s="278">
        <f t="shared" ca="1" si="12"/>
        <v>0</v>
      </c>
      <c r="M72" s="279" t="s">
        <v>6</v>
      </c>
      <c r="O72" s="282" t="s">
        <v>16</v>
      </c>
      <c r="P72" s="289">
        <f t="shared" ca="1" si="13"/>
        <v>0</v>
      </c>
      <c r="Q72" s="289">
        <f t="shared" ca="1" si="3"/>
        <v>0</v>
      </c>
      <c r="R72" s="289">
        <f t="shared" ca="1" si="4"/>
        <v>0</v>
      </c>
      <c r="S72" s="289">
        <f t="shared" ca="1" si="5"/>
        <v>0</v>
      </c>
      <c r="T72" s="289">
        <f t="shared" ca="1" si="6"/>
        <v>0</v>
      </c>
      <c r="U72" s="295" t="s">
        <v>6</v>
      </c>
      <c r="V72" s="289">
        <f t="shared" ca="1" si="7"/>
        <v>0</v>
      </c>
      <c r="W72" s="289">
        <f t="shared" ca="1" si="8"/>
        <v>0</v>
      </c>
      <c r="X72" s="289">
        <f t="shared" ca="1" si="9"/>
        <v>0</v>
      </c>
      <c r="Y72" s="289">
        <f t="shared" ca="1" si="10"/>
        <v>0</v>
      </c>
      <c r="Z72" s="292">
        <f t="shared" ca="1" si="11"/>
        <v>0</v>
      </c>
    </row>
    <row r="73" spans="1:26">
      <c r="B73" s="282" t="s">
        <v>15</v>
      </c>
      <c r="C73" s="278">
        <f t="shared" ca="1" si="12"/>
        <v>0</v>
      </c>
      <c r="D73" s="278">
        <f t="shared" ca="1" si="12"/>
        <v>0</v>
      </c>
      <c r="E73" s="278">
        <f t="shared" ca="1" si="12"/>
        <v>0</v>
      </c>
      <c r="F73" s="278">
        <f t="shared" ca="1" si="12"/>
        <v>0</v>
      </c>
      <c r="G73" s="278">
        <f t="shared" ca="1" si="12"/>
        <v>0</v>
      </c>
      <c r="H73" s="278">
        <f t="shared" ca="1" si="12"/>
        <v>0</v>
      </c>
      <c r="I73" s="278">
        <f t="shared" ca="1" si="12"/>
        <v>0</v>
      </c>
      <c r="J73" s="278">
        <f t="shared" ca="1" si="12"/>
        <v>0</v>
      </c>
      <c r="K73" s="278">
        <f t="shared" ca="1" si="12"/>
        <v>0</v>
      </c>
      <c r="L73" s="278">
        <f t="shared" ca="1" si="12"/>
        <v>0</v>
      </c>
      <c r="M73" s="279" t="s">
        <v>6</v>
      </c>
      <c r="O73" s="282" t="s">
        <v>15</v>
      </c>
      <c r="P73" s="295" t="s">
        <v>6</v>
      </c>
      <c r="Q73" s="295" t="s">
        <v>6</v>
      </c>
      <c r="R73" s="295" t="s">
        <v>6</v>
      </c>
      <c r="S73" s="295" t="s">
        <v>6</v>
      </c>
      <c r="T73" s="295" t="s">
        <v>6</v>
      </c>
      <c r="U73" s="295" t="s">
        <v>6</v>
      </c>
      <c r="V73" s="295" t="s">
        <v>6</v>
      </c>
      <c r="W73" s="295" t="s">
        <v>6</v>
      </c>
      <c r="X73" s="295" t="s">
        <v>6</v>
      </c>
      <c r="Y73" s="295" t="s">
        <v>6</v>
      </c>
      <c r="Z73" s="291" t="s">
        <v>6</v>
      </c>
    </row>
    <row r="74" spans="1:26">
      <c r="B74" s="282"/>
      <c r="C74" s="278"/>
      <c r="D74" s="278"/>
      <c r="E74" s="278"/>
      <c r="F74" s="278"/>
      <c r="G74" s="278"/>
      <c r="H74" s="278"/>
      <c r="I74" s="278"/>
      <c r="J74" s="278"/>
      <c r="K74" s="278"/>
      <c r="L74" s="278"/>
      <c r="M74" s="279"/>
      <c r="O74" s="282"/>
      <c r="P74" s="289"/>
      <c r="Q74" s="289"/>
      <c r="R74" s="289"/>
      <c r="S74" s="289"/>
      <c r="T74" s="289"/>
      <c r="U74" s="295"/>
      <c r="V74" s="289"/>
      <c r="W74" s="289"/>
      <c r="X74" s="289"/>
      <c r="Y74" s="289"/>
      <c r="Z74" s="292"/>
    </row>
    <row r="75" spans="1:26">
      <c r="B75" s="282"/>
      <c r="C75" s="278"/>
      <c r="D75" s="278"/>
      <c r="E75" s="278"/>
      <c r="F75" s="278"/>
      <c r="G75" s="278"/>
      <c r="H75" s="278"/>
      <c r="I75" s="278"/>
      <c r="J75" s="278"/>
      <c r="K75" s="278"/>
      <c r="L75" s="278"/>
      <c r="M75" s="279"/>
      <c r="O75" s="282"/>
      <c r="P75" s="289"/>
      <c r="Q75" s="289"/>
      <c r="R75" s="289"/>
      <c r="S75" s="289"/>
      <c r="T75" s="289"/>
      <c r="U75" s="295"/>
      <c r="V75" s="289"/>
      <c r="W75" s="289"/>
      <c r="X75" s="289"/>
      <c r="Y75" s="289"/>
      <c r="Z75" s="292"/>
    </row>
    <row r="76" spans="1:26">
      <c r="B76" s="282"/>
      <c r="C76" s="278"/>
      <c r="D76" s="278"/>
      <c r="E76" s="278"/>
      <c r="F76" s="278"/>
      <c r="G76" s="278"/>
      <c r="H76" s="278"/>
      <c r="I76" s="278"/>
      <c r="J76" s="278"/>
      <c r="K76" s="278"/>
      <c r="L76" s="278"/>
      <c r="M76" s="279"/>
      <c r="O76" s="282"/>
      <c r="P76" s="289"/>
      <c r="Q76" s="289"/>
      <c r="R76" s="289"/>
      <c r="S76" s="289"/>
      <c r="T76" s="289"/>
      <c r="U76" s="295"/>
      <c r="V76" s="289"/>
      <c r="W76" s="289"/>
      <c r="X76" s="289"/>
      <c r="Y76" s="289"/>
      <c r="Z76" s="292"/>
    </row>
    <row r="77" spans="1:26">
      <c r="B77" s="283"/>
      <c r="C77" s="280"/>
      <c r="D77" s="280"/>
      <c r="E77" s="280"/>
      <c r="F77" s="280"/>
      <c r="G77" s="280"/>
      <c r="H77" s="280"/>
      <c r="I77" s="280"/>
      <c r="J77" s="280"/>
      <c r="K77" s="280"/>
      <c r="L77" s="280"/>
      <c r="M77" s="281"/>
      <c r="O77" s="283"/>
      <c r="P77" s="293"/>
      <c r="Q77" s="293"/>
      <c r="R77" s="293"/>
      <c r="S77" s="293"/>
      <c r="T77" s="293"/>
      <c r="U77" s="296"/>
      <c r="V77" s="293"/>
      <c r="W77" s="293"/>
      <c r="X77" s="293"/>
      <c r="Y77" s="293"/>
      <c r="Z77" s="294"/>
    </row>
    <row r="80" spans="1:26">
      <c r="A80" s="224" t="s">
        <v>478</v>
      </c>
      <c r="B80" s="290" t="s">
        <v>490</v>
      </c>
      <c r="C80" s="284"/>
      <c r="G80" s="290" t="s">
        <v>490</v>
      </c>
    </row>
    <row r="81" spans="2:13">
      <c r="B81" s="284" t="s">
        <v>486</v>
      </c>
      <c r="C81" s="284"/>
      <c r="G81" s="284" t="s">
        <v>485</v>
      </c>
    </row>
    <row r="82" spans="2:13">
      <c r="B82" s="258" t="s">
        <v>474</v>
      </c>
      <c r="C82" s="286">
        <f ca="1">SUM(C108:L126)</f>
        <v>0</v>
      </c>
      <c r="G82" s="258" t="s">
        <v>474</v>
      </c>
      <c r="H82" s="286">
        <f ca="1">SUM(P108:Z126)</f>
        <v>0</v>
      </c>
    </row>
    <row r="84" spans="2:13">
      <c r="B84" s="258" t="s">
        <v>479</v>
      </c>
      <c r="C84" s="258"/>
    </row>
    <row r="85" spans="2:13">
      <c r="B85" s="254" t="s">
        <v>468</v>
      </c>
      <c r="C85" s="287">
        <v>500</v>
      </c>
      <c r="D85" s="287">
        <v>400</v>
      </c>
      <c r="E85" s="287">
        <v>300</v>
      </c>
      <c r="F85" s="287">
        <v>200</v>
      </c>
      <c r="G85" s="287">
        <v>100</v>
      </c>
      <c r="H85" s="287">
        <v>0</v>
      </c>
      <c r="I85" s="287">
        <v>-100</v>
      </c>
      <c r="J85" s="287">
        <v>-200</v>
      </c>
      <c r="K85" s="287">
        <v>-300</v>
      </c>
      <c r="L85" s="287">
        <v>-400</v>
      </c>
      <c r="M85" s="288">
        <v>-500</v>
      </c>
    </row>
    <row r="86" spans="2:13">
      <c r="B86" s="282" t="s">
        <v>39</v>
      </c>
      <c r="C86" s="278">
        <f ca="1">'JPY Swap PVs'!N29</f>
        <v>152305.28700396299</v>
      </c>
      <c r="D86" s="278">
        <f ca="1">'JPY Swap PVs'!O29</f>
        <v>121844.22960317036</v>
      </c>
      <c r="E86" s="278">
        <f ca="1">'JPY Swap PVs'!P29</f>
        <v>91383.172202377784</v>
      </c>
      <c r="F86" s="278">
        <f ca="1">'JPY Swap PVs'!Q29</f>
        <v>60922.114801585172</v>
      </c>
      <c r="G86" s="278">
        <f ca="1">'JPY Swap PVs'!R29</f>
        <v>30461.057400792586</v>
      </c>
      <c r="H86" s="278">
        <f ca="1">'JPY Swap PVs'!S29</f>
        <v>0</v>
      </c>
      <c r="I86" s="278">
        <f ca="1">'JPY Swap PVs'!T29</f>
        <v>-30461.057400792597</v>
      </c>
      <c r="J86" s="278">
        <f ca="1">'JPY Swap PVs'!U29</f>
        <v>-60922.114801585172</v>
      </c>
      <c r="K86" s="278">
        <f ca="1">'JPY Swap PVs'!V29</f>
        <v>-91383.172202377784</v>
      </c>
      <c r="L86" s="278">
        <f ca="1">'JPY Swap PVs'!W29</f>
        <v>-121844.22960317036</v>
      </c>
      <c r="M86" s="279">
        <f ca="1">'JPY Swap PVs'!X29</f>
        <v>-152305.28700396296</v>
      </c>
    </row>
    <row r="87" spans="2:13">
      <c r="B87" s="282" t="s">
        <v>35</v>
      </c>
      <c r="C87" s="278">
        <f ca="1">'JPY Swap PVs'!N30</f>
        <v>202651.24654409112</v>
      </c>
      <c r="D87" s="278">
        <f ca="1">'JPY Swap PVs'!O30</f>
        <v>162120.99723527287</v>
      </c>
      <c r="E87" s="278">
        <f ca="1">'JPY Swap PVs'!P30</f>
        <v>121590.74792645466</v>
      </c>
      <c r="F87" s="278">
        <f ca="1">'JPY Swap PVs'!Q30</f>
        <v>81060.498617636447</v>
      </c>
      <c r="G87" s="278">
        <f ca="1">'JPY Swap PVs'!R30</f>
        <v>40530.249308818209</v>
      </c>
      <c r="H87" s="278">
        <f ca="1">'JPY Swap PVs'!S30</f>
        <v>0</v>
      </c>
      <c r="I87" s="278">
        <f ca="1">'JPY Swap PVs'!T30</f>
        <v>-40530.249308818224</v>
      </c>
      <c r="J87" s="278">
        <f ca="1">'JPY Swap PVs'!U30</f>
        <v>-81060.498617636418</v>
      </c>
      <c r="K87" s="278">
        <f ca="1">'JPY Swap PVs'!V30</f>
        <v>-121590.74792645466</v>
      </c>
      <c r="L87" s="278">
        <f ca="1">'JPY Swap PVs'!W30</f>
        <v>-162120.99723527289</v>
      </c>
      <c r="M87" s="279">
        <f ca="1">'JPY Swap PVs'!X30</f>
        <v>-202651.24654409112</v>
      </c>
    </row>
    <row r="88" spans="2:13">
      <c r="B88" s="282" t="s">
        <v>33</v>
      </c>
      <c r="C88" s="278">
        <f ca="1">'JPY Swap PVs'!N31</f>
        <v>252965.3495321779</v>
      </c>
      <c r="D88" s="278">
        <f ca="1">'JPY Swap PVs'!O31</f>
        <v>202372.27962574238</v>
      </c>
      <c r="E88" s="278">
        <f ca="1">'JPY Swap PVs'!P31</f>
        <v>151779.20971930679</v>
      </c>
      <c r="F88" s="278">
        <f ca="1">'JPY Swap PVs'!Q31</f>
        <v>101186.13981287117</v>
      </c>
      <c r="G88" s="278">
        <f ca="1">'JPY Swap PVs'!R31</f>
        <v>50593.069906435572</v>
      </c>
      <c r="H88" s="278">
        <f ca="1">'JPY Swap PVs'!S31</f>
        <v>0</v>
      </c>
      <c r="I88" s="278">
        <f ca="1">'JPY Swap PVs'!T31</f>
        <v>-50593.069906435594</v>
      </c>
      <c r="J88" s="278">
        <f ca="1">'JPY Swap PVs'!U31</f>
        <v>-101186.13981287116</v>
      </c>
      <c r="K88" s="278">
        <f ca="1">'JPY Swap PVs'!V31</f>
        <v>-151779.20971930676</v>
      </c>
      <c r="L88" s="278">
        <f ca="1">'JPY Swap PVs'!W31</f>
        <v>-202372.27962574235</v>
      </c>
      <c r="M88" s="279">
        <f ca="1">'JPY Swap PVs'!X31</f>
        <v>-252965.3495321779</v>
      </c>
    </row>
    <row r="89" spans="2:13">
      <c r="B89" s="282" t="s">
        <v>131</v>
      </c>
      <c r="C89" s="278">
        <f ca="1">'JPY Swap PVs'!N32</f>
        <v>303023.70632505207</v>
      </c>
      <c r="D89" s="278">
        <f ca="1">'JPY Swap PVs'!O32</f>
        <v>242418.96506004169</v>
      </c>
      <c r="E89" s="278">
        <f ca="1">'JPY Swap PVs'!P32</f>
        <v>181814.22379503126</v>
      </c>
      <c r="F89" s="278">
        <f ca="1">'JPY Swap PVs'!Q32</f>
        <v>121209.48253002085</v>
      </c>
      <c r="G89" s="278">
        <f ca="1">'JPY Swap PVs'!R32</f>
        <v>60604.741265010394</v>
      </c>
      <c r="H89" s="278">
        <f ca="1">'JPY Swap PVs'!S32</f>
        <v>0</v>
      </c>
      <c r="I89" s="278">
        <f ca="1">'JPY Swap PVs'!T32</f>
        <v>-60604.741265010423</v>
      </c>
      <c r="J89" s="278">
        <f ca="1">'JPY Swap PVs'!U32</f>
        <v>-121209.48253002082</v>
      </c>
      <c r="K89" s="278">
        <f ca="1">'JPY Swap PVs'!V32</f>
        <v>-181814.22379503128</v>
      </c>
      <c r="L89" s="278">
        <f ca="1">'JPY Swap PVs'!W32</f>
        <v>-242418.96506004169</v>
      </c>
      <c r="M89" s="279">
        <f ca="1">'JPY Swap PVs'!X32</f>
        <v>-303023.70632505207</v>
      </c>
    </row>
    <row r="90" spans="2:13">
      <c r="B90" s="282" t="s">
        <v>31</v>
      </c>
      <c r="C90" s="278">
        <f ca="1">'JPY Swap PVs'!N33</f>
        <v>352759.58683206677</v>
      </c>
      <c r="D90" s="278">
        <f ca="1">'JPY Swap PVs'!O33</f>
        <v>282207.66946565348</v>
      </c>
      <c r="E90" s="278">
        <f ca="1">'JPY Swap PVs'!P33</f>
        <v>211655.75209924005</v>
      </c>
      <c r="F90" s="278">
        <f ca="1">'JPY Swap PVs'!Q33</f>
        <v>141103.83473282671</v>
      </c>
      <c r="G90" s="278">
        <f ca="1">'JPY Swap PVs'!R33</f>
        <v>70551.917366413327</v>
      </c>
      <c r="H90" s="278">
        <f ca="1">'JPY Swap PVs'!S33</f>
        <v>0</v>
      </c>
      <c r="I90" s="278">
        <f ca="1">'JPY Swap PVs'!T33</f>
        <v>-70551.917366413356</v>
      </c>
      <c r="J90" s="278">
        <f ca="1">'JPY Swap PVs'!U33</f>
        <v>-141103.83473282668</v>
      </c>
      <c r="K90" s="278">
        <f ca="1">'JPY Swap PVs'!V33</f>
        <v>-211655.75209924005</v>
      </c>
      <c r="L90" s="278">
        <f ca="1">'JPY Swap PVs'!W33</f>
        <v>-282207.66946565337</v>
      </c>
      <c r="M90" s="279">
        <f ca="1">'JPY Swap PVs'!X33</f>
        <v>-352759.58683206671</v>
      </c>
    </row>
    <row r="91" spans="2:13">
      <c r="B91" s="282" t="s">
        <v>119</v>
      </c>
      <c r="C91" s="278">
        <f ca="1">'JPY Swap PVs'!N34</f>
        <v>402512.16577848804</v>
      </c>
      <c r="D91" s="278">
        <f ca="1">'JPY Swap PVs'!O34</f>
        <v>322009.7326227905</v>
      </c>
      <c r="E91" s="278">
        <f ca="1">'JPY Swap PVs'!P34</f>
        <v>241507.29946709282</v>
      </c>
      <c r="F91" s="278">
        <f ca="1">'JPY Swap PVs'!Q34</f>
        <v>161004.86631139525</v>
      </c>
      <c r="G91" s="278">
        <f ca="1">'JPY Swap PVs'!R34</f>
        <v>80502.433155697581</v>
      </c>
      <c r="H91" s="278">
        <f ca="1">'JPY Swap PVs'!S34</f>
        <v>0</v>
      </c>
      <c r="I91" s="278">
        <f ca="1">'JPY Swap PVs'!T34</f>
        <v>-80502.43315569761</v>
      </c>
      <c r="J91" s="278">
        <f ca="1">'JPY Swap PVs'!U34</f>
        <v>-161004.86631139519</v>
      </c>
      <c r="K91" s="278">
        <f ca="1">'JPY Swap PVs'!V34</f>
        <v>-241507.29946709282</v>
      </c>
      <c r="L91" s="278">
        <f ca="1">'JPY Swap PVs'!W34</f>
        <v>-322009.73262279038</v>
      </c>
      <c r="M91" s="279">
        <f ca="1">'JPY Swap PVs'!X34</f>
        <v>-402512.16577848804</v>
      </c>
    </row>
    <row r="92" spans="2:13">
      <c r="B92" s="282" t="s">
        <v>113</v>
      </c>
      <c r="C92" s="278">
        <f ca="1">'JPY Swap PVs'!N35</f>
        <v>451282.57886027644</v>
      </c>
      <c r="D92" s="278">
        <f ca="1">'JPY Swap PVs'!O35</f>
        <v>361026.06308822124</v>
      </c>
      <c r="E92" s="278">
        <f ca="1">'JPY Swap PVs'!P35</f>
        <v>270769.54731616587</v>
      </c>
      <c r="F92" s="278">
        <f ca="1">'JPY Swap PVs'!Q35</f>
        <v>180513.03154411059</v>
      </c>
      <c r="G92" s="278">
        <f ca="1">'JPY Swap PVs'!R35</f>
        <v>90256.515772055282</v>
      </c>
      <c r="H92" s="278">
        <f ca="1">'JPY Swap PVs'!S35</f>
        <v>0</v>
      </c>
      <c r="I92" s="278">
        <f ca="1">'JPY Swap PVs'!T35</f>
        <v>-90256.515772055296</v>
      </c>
      <c r="J92" s="278">
        <f ca="1">'JPY Swap PVs'!U35</f>
        <v>-180513.03154411053</v>
      </c>
      <c r="K92" s="278">
        <f ca="1">'JPY Swap PVs'!V35</f>
        <v>-270769.54731616587</v>
      </c>
      <c r="L92" s="278">
        <f ca="1">'JPY Swap PVs'!W35</f>
        <v>-361026.06308822113</v>
      </c>
      <c r="M92" s="279">
        <f ca="1">'JPY Swap PVs'!X35</f>
        <v>-451282.57886027638</v>
      </c>
    </row>
    <row r="93" spans="2:13">
      <c r="B93" s="282" t="s">
        <v>28</v>
      </c>
      <c r="C93" s="278">
        <f ca="1">'JPY Swap PVs'!N36</f>
        <v>499547.94085683511</v>
      </c>
      <c r="D93" s="278">
        <f ca="1">'JPY Swap PVs'!O36</f>
        <v>399638.3526854681</v>
      </c>
      <c r="E93" s="278">
        <f ca="1">'JPY Swap PVs'!P36</f>
        <v>299728.76451410103</v>
      </c>
      <c r="F93" s="278">
        <f ca="1">'JPY Swap PVs'!Q36</f>
        <v>199819.17634273405</v>
      </c>
      <c r="G93" s="278">
        <f ca="1">'JPY Swap PVs'!R36</f>
        <v>99909.58817136701</v>
      </c>
      <c r="H93" s="278">
        <f ca="1">'JPY Swap PVs'!S36</f>
        <v>0</v>
      </c>
      <c r="I93" s="278">
        <f ca="1">'JPY Swap PVs'!T36</f>
        <v>-99909.588171367024</v>
      </c>
      <c r="J93" s="278">
        <f ca="1">'JPY Swap PVs'!U36</f>
        <v>-199819.17634273399</v>
      </c>
      <c r="K93" s="278">
        <f ca="1">'JPY Swap PVs'!V36</f>
        <v>-299728.76451410103</v>
      </c>
      <c r="L93" s="278">
        <f ca="1">'JPY Swap PVs'!W36</f>
        <v>-399638.35268546798</v>
      </c>
      <c r="M93" s="279">
        <f ca="1">'JPY Swap PVs'!X36</f>
        <v>-499547.94085683499</v>
      </c>
    </row>
    <row r="94" spans="2:13">
      <c r="B94" s="282" t="s">
        <v>26</v>
      </c>
      <c r="C94" s="278">
        <f ca="1">'JPY Swap PVs'!N37</f>
        <v>594572.24148861051</v>
      </c>
      <c r="D94" s="278">
        <f ca="1">'JPY Swap PVs'!O37</f>
        <v>475657.79319088848</v>
      </c>
      <c r="E94" s="278">
        <f ca="1">'JPY Swap PVs'!P37</f>
        <v>356743.34489316633</v>
      </c>
      <c r="F94" s="278">
        <f ca="1">'JPY Swap PVs'!Q37</f>
        <v>237828.89659544421</v>
      </c>
      <c r="G94" s="278">
        <f ca="1">'JPY Swap PVs'!R37</f>
        <v>118914.44829772211</v>
      </c>
      <c r="H94" s="278">
        <f ca="1">'JPY Swap PVs'!S37</f>
        <v>0</v>
      </c>
      <c r="I94" s="278">
        <f ca="1">'JPY Swap PVs'!T37</f>
        <v>-118914.44829772212</v>
      </c>
      <c r="J94" s="278">
        <f ca="1">'JPY Swap PVs'!U37</f>
        <v>-237828.89659544424</v>
      </c>
      <c r="K94" s="278">
        <f ca="1">'JPY Swap PVs'!V37</f>
        <v>-356743.34489316627</v>
      </c>
      <c r="L94" s="278">
        <f ca="1">'JPY Swap PVs'!W37</f>
        <v>-475657.79319088842</v>
      </c>
      <c r="M94" s="279">
        <f ca="1">'JPY Swap PVs'!X37</f>
        <v>-594572.24148861051</v>
      </c>
    </row>
    <row r="95" spans="2:13">
      <c r="B95" s="282" t="s">
        <v>24</v>
      </c>
      <c r="C95" s="278">
        <f ca="1">'JPY Swap PVs'!N38</f>
        <v>731887.31731711689</v>
      </c>
      <c r="D95" s="278">
        <f ca="1">'JPY Swap PVs'!O38</f>
        <v>585509.85385369346</v>
      </c>
      <c r="E95" s="278">
        <f ca="1">'JPY Swap PVs'!P38</f>
        <v>439132.3903902701</v>
      </c>
      <c r="F95" s="278">
        <f ca="1">'JPY Swap PVs'!Q38</f>
        <v>292754.92692684667</v>
      </c>
      <c r="G95" s="278">
        <f ca="1">'JPY Swap PVs'!R38</f>
        <v>146377.46346342337</v>
      </c>
      <c r="H95" s="278">
        <f ca="1">'JPY Swap PVs'!S38</f>
        <v>0</v>
      </c>
      <c r="I95" s="278">
        <f ca="1">'JPY Swap PVs'!T38</f>
        <v>-146377.4634634234</v>
      </c>
      <c r="J95" s="278">
        <f ca="1">'JPY Swap PVs'!U38</f>
        <v>-292754.92692684679</v>
      </c>
      <c r="K95" s="278">
        <f ca="1">'JPY Swap PVs'!V38</f>
        <v>-439132.3903902701</v>
      </c>
      <c r="L95" s="278">
        <f ca="1">'JPY Swap PVs'!W38</f>
        <v>-585509.85385369346</v>
      </c>
      <c r="M95" s="279">
        <f ca="1">'JPY Swap PVs'!X38</f>
        <v>-731887.31731711677</v>
      </c>
    </row>
    <row r="96" spans="2:13">
      <c r="B96" s="282" t="s">
        <v>20</v>
      </c>
      <c r="C96" s="278">
        <f ca="1">'JPY Swap PVs'!N39</f>
        <v>943221.6354232264</v>
      </c>
      <c r="D96" s="278">
        <f ca="1">'JPY Swap PVs'!O39</f>
        <v>754577.30833858089</v>
      </c>
      <c r="E96" s="278">
        <f ca="1">'JPY Swap PVs'!P39</f>
        <v>565932.98125393596</v>
      </c>
      <c r="F96" s="278">
        <f ca="1">'JPY Swap PVs'!Q39</f>
        <v>377288.65416929038</v>
      </c>
      <c r="G96" s="278">
        <f ca="1">'JPY Swap PVs'!R39</f>
        <v>188644.32708464528</v>
      </c>
      <c r="H96" s="278">
        <f ca="1">'JPY Swap PVs'!S39</f>
        <v>0</v>
      </c>
      <c r="I96" s="278">
        <f ca="1">'JPY Swap PVs'!T39</f>
        <v>-188644.32708464528</v>
      </c>
      <c r="J96" s="278">
        <f ca="1">'JPY Swap PVs'!U39</f>
        <v>-377288.65416929056</v>
      </c>
      <c r="K96" s="278">
        <f ca="1">'JPY Swap PVs'!V39</f>
        <v>-565932.98125393561</v>
      </c>
      <c r="L96" s="278">
        <f ca="1">'JPY Swap PVs'!W39</f>
        <v>-754577.308338581</v>
      </c>
      <c r="M96" s="279">
        <f ca="1">'JPY Swap PVs'!X39</f>
        <v>-943221.63542322617</v>
      </c>
    </row>
    <row r="97" spans="2:26">
      <c r="B97" s="282" t="s">
        <v>18</v>
      </c>
      <c r="C97" s="278">
        <f ca="1">'JPY Swap PVs'!N40</f>
        <v>1134287.781152521</v>
      </c>
      <c r="D97" s="278">
        <f ca="1">'JPY Swap PVs'!O40</f>
        <v>907430.22492201673</v>
      </c>
      <c r="E97" s="278">
        <f ca="1">'JPY Swap PVs'!P40</f>
        <v>680572.66869151255</v>
      </c>
      <c r="F97" s="278">
        <f ca="1">'JPY Swap PVs'!Q40</f>
        <v>453715.11246100807</v>
      </c>
      <c r="G97" s="278">
        <f ca="1">'JPY Swap PVs'!R40</f>
        <v>226857.55623050412</v>
      </c>
      <c r="H97" s="278">
        <f ca="1">'JPY Swap PVs'!S40</f>
        <v>0</v>
      </c>
      <c r="I97" s="278">
        <f ca="1">'JPY Swap PVs'!T40</f>
        <v>-226857.55623050424</v>
      </c>
      <c r="J97" s="278">
        <f ca="1">'JPY Swap PVs'!U40</f>
        <v>-453715.11246100836</v>
      </c>
      <c r="K97" s="278">
        <f ca="1">'JPY Swap PVs'!V40</f>
        <v>-680572.66869151231</v>
      </c>
      <c r="L97" s="278">
        <f ca="1">'JPY Swap PVs'!W40</f>
        <v>-907430.22492201673</v>
      </c>
      <c r="M97" s="279">
        <f ca="1">'JPY Swap PVs'!X40</f>
        <v>-1134287.7811525206</v>
      </c>
    </row>
    <row r="98" spans="2:26">
      <c r="B98" s="282" t="s">
        <v>17</v>
      </c>
      <c r="C98" s="278">
        <f ca="1">'JPY Swap PVs'!N41</f>
        <v>1308557.9442296547</v>
      </c>
      <c r="D98" s="278">
        <f ca="1">'JPY Swap PVs'!O41</f>
        <v>1046846.3553837237</v>
      </c>
      <c r="E98" s="278">
        <f ca="1">'JPY Swap PVs'!P41</f>
        <v>785134.76653779252</v>
      </c>
      <c r="F98" s="278">
        <f ca="1">'JPY Swap PVs'!Q41</f>
        <v>523423.17769186164</v>
      </c>
      <c r="G98" s="278">
        <f ca="1">'JPY Swap PVs'!R41</f>
        <v>261711.58884593076</v>
      </c>
      <c r="H98" s="278">
        <f ca="1">'JPY Swap PVs'!S41</f>
        <v>0</v>
      </c>
      <c r="I98" s="278">
        <f ca="1">'JPY Swap PVs'!T41</f>
        <v>-261711.58884593094</v>
      </c>
      <c r="J98" s="278">
        <f ca="1">'JPY Swap PVs'!U41</f>
        <v>-523423.17769186187</v>
      </c>
      <c r="K98" s="278">
        <f ca="1">'JPY Swap PVs'!V41</f>
        <v>-785134.76653779252</v>
      </c>
      <c r="L98" s="278">
        <f ca="1">'JPY Swap PVs'!W41</f>
        <v>-1046846.3553837237</v>
      </c>
      <c r="M98" s="279">
        <f ca="1">'JPY Swap PVs'!X41</f>
        <v>-1308557.9442296545</v>
      </c>
    </row>
    <row r="99" spans="2:26">
      <c r="B99" s="282" t="s">
        <v>16</v>
      </c>
      <c r="C99" s="278">
        <f ca="1">'JPY Swap PVs'!N42</f>
        <v>1466795.5141371223</v>
      </c>
      <c r="D99" s="278">
        <f ca="1">'JPY Swap PVs'!O42</f>
        <v>1173436.4113096977</v>
      </c>
      <c r="E99" s="278">
        <f ca="1">'JPY Swap PVs'!P42</f>
        <v>880077.30848227302</v>
      </c>
      <c r="F99" s="278">
        <f ca="1">'JPY Swap PVs'!Q42</f>
        <v>586718.20565484883</v>
      </c>
      <c r="G99" s="278">
        <f ca="1">'JPY Swap PVs'!R42</f>
        <v>293359.10282742442</v>
      </c>
      <c r="H99" s="278">
        <f ca="1">'JPY Swap PVs'!S42</f>
        <v>0</v>
      </c>
      <c r="I99" s="278">
        <f ca="1">'JPY Swap PVs'!T42</f>
        <v>-293359.10282742436</v>
      </c>
      <c r="J99" s="278">
        <f ca="1">'JPY Swap PVs'!U42</f>
        <v>-586718.20565484883</v>
      </c>
      <c r="K99" s="278">
        <f ca="1">'JPY Swap PVs'!V42</f>
        <v>-880077.3084822729</v>
      </c>
      <c r="L99" s="278">
        <f ca="1">'JPY Swap PVs'!W42</f>
        <v>-1173436.4113096977</v>
      </c>
      <c r="M99" s="279">
        <f ca="1">'JPY Swap PVs'!X42</f>
        <v>-1466795.5141371218</v>
      </c>
    </row>
    <row r="100" spans="2:26">
      <c r="B100" s="282" t="s">
        <v>15</v>
      </c>
      <c r="C100" s="278">
        <f ca="1">'JPY Swap PVs'!N43</f>
        <v>1610308.3817510027</v>
      </c>
      <c r="D100" s="278">
        <f ca="1">'JPY Swap PVs'!O43</f>
        <v>1288246.7054008022</v>
      </c>
      <c r="E100" s="278">
        <f ca="1">'JPY Swap PVs'!P43</f>
        <v>966185.0290506013</v>
      </c>
      <c r="F100" s="278">
        <f ca="1">'JPY Swap PVs'!Q43</f>
        <v>644123.35270040063</v>
      </c>
      <c r="G100" s="278">
        <f ca="1">'JPY Swap PVs'!R43</f>
        <v>322061.67635020055</v>
      </c>
      <c r="H100" s="278">
        <f ca="1">'JPY Swap PVs'!S43</f>
        <v>0</v>
      </c>
      <c r="I100" s="278">
        <f ca="1">'JPY Swap PVs'!T43</f>
        <v>-322061.67635020032</v>
      </c>
      <c r="J100" s="278">
        <f ca="1">'JPY Swap PVs'!U43</f>
        <v>-644123.35270040075</v>
      </c>
      <c r="K100" s="278">
        <f ca="1">'JPY Swap PVs'!V43</f>
        <v>-966185.02905060106</v>
      </c>
      <c r="L100" s="278">
        <f ca="1">'JPY Swap PVs'!W43</f>
        <v>-1288246.7054008017</v>
      </c>
      <c r="M100" s="279">
        <f ca="1">'JPY Swap PVs'!X43</f>
        <v>-1610308.3817510018</v>
      </c>
    </row>
    <row r="101" spans="2:26">
      <c r="B101" s="282"/>
      <c r="C101" s="278"/>
      <c r="D101" s="278"/>
      <c r="E101" s="278"/>
      <c r="F101" s="278"/>
      <c r="G101" s="278"/>
      <c r="H101" s="278"/>
      <c r="I101" s="278"/>
      <c r="J101" s="278"/>
      <c r="K101" s="278"/>
      <c r="L101" s="278"/>
      <c r="M101" s="279"/>
    </row>
    <row r="102" spans="2:26">
      <c r="B102" s="282"/>
      <c r="C102" s="278"/>
      <c r="D102" s="278"/>
      <c r="E102" s="278"/>
      <c r="F102" s="278"/>
      <c r="G102" s="278"/>
      <c r="H102" s="278"/>
      <c r="I102" s="278"/>
      <c r="J102" s="278"/>
      <c r="K102" s="278"/>
      <c r="L102" s="278"/>
      <c r="M102" s="279"/>
    </row>
    <row r="103" spans="2:26">
      <c r="B103" s="282"/>
      <c r="C103" s="278"/>
      <c r="D103" s="278"/>
      <c r="E103" s="278"/>
      <c r="F103" s="278"/>
      <c r="G103" s="278"/>
      <c r="H103" s="278"/>
      <c r="I103" s="278"/>
      <c r="J103" s="278"/>
      <c r="K103" s="278"/>
      <c r="L103" s="278"/>
      <c r="M103" s="279"/>
    </row>
    <row r="104" spans="2:26">
      <c r="B104" s="283"/>
      <c r="C104" s="280"/>
      <c r="D104" s="280"/>
      <c r="E104" s="280"/>
      <c r="F104" s="280"/>
      <c r="G104" s="280"/>
      <c r="H104" s="280"/>
      <c r="I104" s="280"/>
      <c r="J104" s="280"/>
      <c r="K104" s="280"/>
      <c r="L104" s="280"/>
      <c r="M104" s="281"/>
    </row>
    <row r="106" spans="2:26">
      <c r="B106" s="258" t="s">
        <v>472</v>
      </c>
      <c r="O106" s="258" t="s">
        <v>472</v>
      </c>
    </row>
    <row r="107" spans="2:26">
      <c r="B107" s="254" t="s">
        <v>468</v>
      </c>
      <c r="C107" s="287">
        <v>500</v>
      </c>
      <c r="D107" s="287">
        <v>400</v>
      </c>
      <c r="E107" s="287">
        <v>300</v>
      </c>
      <c r="F107" s="287">
        <v>200</v>
      </c>
      <c r="G107" s="287">
        <v>100</v>
      </c>
      <c r="H107" s="287">
        <v>0</v>
      </c>
      <c r="I107" s="287">
        <v>-100</v>
      </c>
      <c r="J107" s="287">
        <v>-200</v>
      </c>
      <c r="K107" s="287">
        <v>-300</v>
      </c>
      <c r="L107" s="287">
        <v>-400</v>
      </c>
      <c r="M107" s="288">
        <v>-500</v>
      </c>
      <c r="O107" s="254" t="s">
        <v>468</v>
      </c>
      <c r="P107" s="276">
        <v>-0.05</v>
      </c>
      <c r="Q107" s="276">
        <v>-0.04</v>
      </c>
      <c r="R107" s="276">
        <v>-0.03</v>
      </c>
      <c r="S107" s="276">
        <v>-1.9999999999999997E-2</v>
      </c>
      <c r="T107" s="276">
        <v>-9.9999999999999967E-3</v>
      </c>
      <c r="U107" s="276">
        <v>0</v>
      </c>
      <c r="V107" s="276">
        <v>0.01</v>
      </c>
      <c r="W107" s="276">
        <v>0.02</v>
      </c>
      <c r="X107" s="276">
        <v>0.03</v>
      </c>
      <c r="Y107" s="276">
        <v>0.04</v>
      </c>
      <c r="Z107" s="277">
        <v>0.05</v>
      </c>
    </row>
    <row r="108" spans="2:26">
      <c r="B108" s="282" t="s">
        <v>39</v>
      </c>
      <c r="C108" s="278">
        <f ca="1">IF(C86&gt;D86,0,1)</f>
        <v>0</v>
      </c>
      <c r="D108" s="278">
        <f t="shared" ref="D108:M108" ca="1" si="14">IF(D86&gt;E86,0,1)</f>
        <v>0</v>
      </c>
      <c r="E108" s="278">
        <f t="shared" ca="1" si="14"/>
        <v>0</v>
      </c>
      <c r="F108" s="278">
        <f t="shared" ca="1" si="14"/>
        <v>0</v>
      </c>
      <c r="G108" s="278">
        <f t="shared" ca="1" si="14"/>
        <v>0</v>
      </c>
      <c r="H108" s="278">
        <f t="shared" ca="1" si="14"/>
        <v>0</v>
      </c>
      <c r="I108" s="278">
        <f t="shared" ca="1" si="14"/>
        <v>0</v>
      </c>
      <c r="J108" s="278">
        <f t="shared" ca="1" si="14"/>
        <v>0</v>
      </c>
      <c r="K108" s="278">
        <f t="shared" ca="1" si="14"/>
        <v>0</v>
      </c>
      <c r="L108" s="278">
        <f t="shared" ca="1" si="14"/>
        <v>0</v>
      </c>
      <c r="M108" s="285" t="s">
        <v>6</v>
      </c>
      <c r="O108" s="282" t="s">
        <v>39</v>
      </c>
      <c r="P108" s="289">
        <f ca="1">IF(ABS(C87)&gt;ABS(C86),0,1)</f>
        <v>0</v>
      </c>
      <c r="Q108" s="289">
        <f t="shared" ref="Q108:Q121" ca="1" si="15">IF(ABS(D87)&gt;ABS(D86),0,1)</f>
        <v>0</v>
      </c>
      <c r="R108" s="289">
        <f t="shared" ref="R108:R121" ca="1" si="16">IF(ABS(E87)&gt;ABS(E86),0,1)</f>
        <v>0</v>
      </c>
      <c r="S108" s="289">
        <f t="shared" ref="S108:S121" ca="1" si="17">IF(ABS(F87)&gt;ABS(F86),0,1)</f>
        <v>0</v>
      </c>
      <c r="T108" s="289">
        <f t="shared" ref="T108:T121" ca="1" si="18">IF(ABS(G87)&gt;ABS(G86),0,1)</f>
        <v>0</v>
      </c>
      <c r="U108" s="295" t="s">
        <v>6</v>
      </c>
      <c r="V108" s="289">
        <f t="shared" ref="V108:V121" ca="1" si="19">IF(ABS(I87)&gt;ABS(I86),0,1)</f>
        <v>0</v>
      </c>
      <c r="W108" s="289">
        <f t="shared" ref="W108:W121" ca="1" si="20">IF(ABS(J87)&gt;ABS(J86),0,1)</f>
        <v>0</v>
      </c>
      <c r="X108" s="289">
        <f t="shared" ref="X108:X121" ca="1" si="21">IF(ABS(K87)&gt;ABS(K86),0,1)</f>
        <v>0</v>
      </c>
      <c r="Y108" s="289">
        <f t="shared" ref="Y108:Y121" ca="1" si="22">IF(ABS(L87)&gt;ABS(L86),0,1)</f>
        <v>0</v>
      </c>
      <c r="Z108" s="291">
        <f t="shared" ref="Z108:Z121" ca="1" si="23">IF(ABS(M87)&gt;ABS(M86),0,1)</f>
        <v>0</v>
      </c>
    </row>
    <row r="109" spans="2:26">
      <c r="B109" s="282" t="s">
        <v>35</v>
      </c>
      <c r="C109" s="278">
        <f t="shared" ref="C109:M124" ca="1" si="24">IF(C87&gt;D87,0,1)</f>
        <v>0</v>
      </c>
      <c r="D109" s="278">
        <f t="shared" ca="1" si="24"/>
        <v>0</v>
      </c>
      <c r="E109" s="278">
        <f t="shared" ca="1" si="24"/>
        <v>0</v>
      </c>
      <c r="F109" s="278">
        <f t="shared" ca="1" si="24"/>
        <v>0</v>
      </c>
      <c r="G109" s="278">
        <f t="shared" ca="1" si="24"/>
        <v>0</v>
      </c>
      <c r="H109" s="278">
        <f t="shared" ca="1" si="24"/>
        <v>0</v>
      </c>
      <c r="I109" s="278">
        <f t="shared" ca="1" si="24"/>
        <v>0</v>
      </c>
      <c r="J109" s="278">
        <f t="shared" ca="1" si="24"/>
        <v>0</v>
      </c>
      <c r="K109" s="278">
        <f t="shared" ca="1" si="24"/>
        <v>0</v>
      </c>
      <c r="L109" s="278">
        <f t="shared" ca="1" si="24"/>
        <v>0</v>
      </c>
      <c r="M109" s="279" t="s">
        <v>6</v>
      </c>
      <c r="O109" s="282" t="s">
        <v>35</v>
      </c>
      <c r="P109" s="289">
        <f t="shared" ref="P109:P121" ca="1" si="25">IF(ABS(C88)&gt;ABS(C87),0,1)</f>
        <v>0</v>
      </c>
      <c r="Q109" s="289">
        <f t="shared" ca="1" si="15"/>
        <v>0</v>
      </c>
      <c r="R109" s="289">
        <f t="shared" ca="1" si="16"/>
        <v>0</v>
      </c>
      <c r="S109" s="289">
        <f t="shared" ca="1" si="17"/>
        <v>0</v>
      </c>
      <c r="T109" s="289">
        <f t="shared" ca="1" si="18"/>
        <v>0</v>
      </c>
      <c r="U109" s="295" t="s">
        <v>6</v>
      </c>
      <c r="V109" s="289">
        <f t="shared" ca="1" si="19"/>
        <v>0</v>
      </c>
      <c r="W109" s="289">
        <f t="shared" ca="1" si="20"/>
        <v>0</v>
      </c>
      <c r="X109" s="289">
        <f t="shared" ca="1" si="21"/>
        <v>0</v>
      </c>
      <c r="Y109" s="289">
        <f t="shared" ca="1" si="22"/>
        <v>0</v>
      </c>
      <c r="Z109" s="292">
        <f t="shared" ca="1" si="23"/>
        <v>0</v>
      </c>
    </row>
    <row r="110" spans="2:26">
      <c r="B110" s="282" t="s">
        <v>33</v>
      </c>
      <c r="C110" s="278">
        <f t="shared" ca="1" si="24"/>
        <v>0</v>
      </c>
      <c r="D110" s="278">
        <f t="shared" ca="1" si="24"/>
        <v>0</v>
      </c>
      <c r="E110" s="278">
        <f t="shared" ca="1" si="24"/>
        <v>0</v>
      </c>
      <c r="F110" s="278">
        <f t="shared" ca="1" si="24"/>
        <v>0</v>
      </c>
      <c r="G110" s="278">
        <f t="shared" ca="1" si="24"/>
        <v>0</v>
      </c>
      <c r="H110" s="278">
        <f t="shared" ca="1" si="24"/>
        <v>0</v>
      </c>
      <c r="I110" s="278">
        <f t="shared" ca="1" si="24"/>
        <v>0</v>
      </c>
      <c r="J110" s="278">
        <f t="shared" ca="1" si="24"/>
        <v>0</v>
      </c>
      <c r="K110" s="278">
        <f t="shared" ca="1" si="24"/>
        <v>0</v>
      </c>
      <c r="L110" s="278">
        <f t="shared" ca="1" si="24"/>
        <v>0</v>
      </c>
      <c r="M110" s="279" t="s">
        <v>6</v>
      </c>
      <c r="O110" s="282" t="s">
        <v>33</v>
      </c>
      <c r="P110" s="289">
        <f t="shared" ca="1" si="25"/>
        <v>0</v>
      </c>
      <c r="Q110" s="289">
        <f t="shared" ca="1" si="15"/>
        <v>0</v>
      </c>
      <c r="R110" s="289">
        <f t="shared" ca="1" si="16"/>
        <v>0</v>
      </c>
      <c r="S110" s="289">
        <f t="shared" ca="1" si="17"/>
        <v>0</v>
      </c>
      <c r="T110" s="289">
        <f t="shared" ca="1" si="18"/>
        <v>0</v>
      </c>
      <c r="U110" s="295" t="s">
        <v>6</v>
      </c>
      <c r="V110" s="289">
        <f t="shared" ca="1" si="19"/>
        <v>0</v>
      </c>
      <c r="W110" s="289">
        <f t="shared" ca="1" si="20"/>
        <v>0</v>
      </c>
      <c r="X110" s="289">
        <f t="shared" ca="1" si="21"/>
        <v>0</v>
      </c>
      <c r="Y110" s="289">
        <f t="shared" ca="1" si="22"/>
        <v>0</v>
      </c>
      <c r="Z110" s="292">
        <f t="shared" ca="1" si="23"/>
        <v>0</v>
      </c>
    </row>
    <row r="111" spans="2:26">
      <c r="B111" s="282" t="s">
        <v>131</v>
      </c>
      <c r="C111" s="278">
        <f t="shared" ca="1" si="24"/>
        <v>0</v>
      </c>
      <c r="D111" s="278">
        <f t="shared" ca="1" si="24"/>
        <v>0</v>
      </c>
      <c r="E111" s="278">
        <f t="shared" ca="1" si="24"/>
        <v>0</v>
      </c>
      <c r="F111" s="278">
        <f t="shared" ca="1" si="24"/>
        <v>0</v>
      </c>
      <c r="G111" s="278">
        <f t="shared" ca="1" si="24"/>
        <v>0</v>
      </c>
      <c r="H111" s="278">
        <f t="shared" ca="1" si="24"/>
        <v>0</v>
      </c>
      <c r="I111" s="278">
        <f t="shared" ca="1" si="24"/>
        <v>0</v>
      </c>
      <c r="J111" s="278">
        <f t="shared" ca="1" si="24"/>
        <v>0</v>
      </c>
      <c r="K111" s="278">
        <f t="shared" ca="1" si="24"/>
        <v>0</v>
      </c>
      <c r="L111" s="278">
        <f t="shared" ca="1" si="24"/>
        <v>0</v>
      </c>
      <c r="M111" s="279" t="s">
        <v>6</v>
      </c>
      <c r="O111" s="282" t="s">
        <v>131</v>
      </c>
      <c r="P111" s="289">
        <f t="shared" ca="1" si="25"/>
        <v>0</v>
      </c>
      <c r="Q111" s="289">
        <f t="shared" ca="1" si="15"/>
        <v>0</v>
      </c>
      <c r="R111" s="289">
        <f t="shared" ca="1" si="16"/>
        <v>0</v>
      </c>
      <c r="S111" s="289">
        <f t="shared" ca="1" si="17"/>
        <v>0</v>
      </c>
      <c r="T111" s="289">
        <f t="shared" ca="1" si="18"/>
        <v>0</v>
      </c>
      <c r="U111" s="295" t="s">
        <v>6</v>
      </c>
      <c r="V111" s="289">
        <f t="shared" ca="1" si="19"/>
        <v>0</v>
      </c>
      <c r="W111" s="289">
        <f t="shared" ca="1" si="20"/>
        <v>0</v>
      </c>
      <c r="X111" s="289">
        <f t="shared" ca="1" si="21"/>
        <v>0</v>
      </c>
      <c r="Y111" s="289">
        <f t="shared" ca="1" si="22"/>
        <v>0</v>
      </c>
      <c r="Z111" s="292">
        <f t="shared" ca="1" si="23"/>
        <v>0</v>
      </c>
    </row>
    <row r="112" spans="2:26">
      <c r="B112" s="282" t="s">
        <v>31</v>
      </c>
      <c r="C112" s="278">
        <f t="shared" ca="1" si="24"/>
        <v>0</v>
      </c>
      <c r="D112" s="278">
        <f t="shared" ca="1" si="24"/>
        <v>0</v>
      </c>
      <c r="E112" s="278">
        <f t="shared" ca="1" si="24"/>
        <v>0</v>
      </c>
      <c r="F112" s="278">
        <f t="shared" ca="1" si="24"/>
        <v>0</v>
      </c>
      <c r="G112" s="278">
        <f t="shared" ca="1" si="24"/>
        <v>0</v>
      </c>
      <c r="H112" s="278">
        <f t="shared" ca="1" si="24"/>
        <v>0</v>
      </c>
      <c r="I112" s="278">
        <f t="shared" ca="1" si="24"/>
        <v>0</v>
      </c>
      <c r="J112" s="278">
        <f t="shared" ca="1" si="24"/>
        <v>0</v>
      </c>
      <c r="K112" s="278">
        <f t="shared" ca="1" si="24"/>
        <v>0</v>
      </c>
      <c r="L112" s="278">
        <f t="shared" ca="1" si="24"/>
        <v>0</v>
      </c>
      <c r="M112" s="279" t="s">
        <v>6</v>
      </c>
      <c r="O112" s="282" t="s">
        <v>31</v>
      </c>
      <c r="P112" s="289">
        <f t="shared" ca="1" si="25"/>
        <v>0</v>
      </c>
      <c r="Q112" s="289">
        <f t="shared" ca="1" si="15"/>
        <v>0</v>
      </c>
      <c r="R112" s="289">
        <f t="shared" ca="1" si="16"/>
        <v>0</v>
      </c>
      <c r="S112" s="289">
        <f t="shared" ca="1" si="17"/>
        <v>0</v>
      </c>
      <c r="T112" s="289">
        <f t="shared" ca="1" si="18"/>
        <v>0</v>
      </c>
      <c r="U112" s="295" t="s">
        <v>6</v>
      </c>
      <c r="V112" s="289">
        <f t="shared" ca="1" si="19"/>
        <v>0</v>
      </c>
      <c r="W112" s="289">
        <f t="shared" ca="1" si="20"/>
        <v>0</v>
      </c>
      <c r="X112" s="289">
        <f t="shared" ca="1" si="21"/>
        <v>0</v>
      </c>
      <c r="Y112" s="289">
        <f t="shared" ca="1" si="22"/>
        <v>0</v>
      </c>
      <c r="Z112" s="292">
        <f t="shared" ca="1" si="23"/>
        <v>0</v>
      </c>
    </row>
    <row r="113" spans="2:26">
      <c r="B113" s="282" t="s">
        <v>119</v>
      </c>
      <c r="C113" s="278">
        <f t="shared" ca="1" si="24"/>
        <v>0</v>
      </c>
      <c r="D113" s="278">
        <f t="shared" ca="1" si="24"/>
        <v>0</v>
      </c>
      <c r="E113" s="278">
        <f t="shared" ca="1" si="24"/>
        <v>0</v>
      </c>
      <c r="F113" s="278">
        <f t="shared" ca="1" si="24"/>
        <v>0</v>
      </c>
      <c r="G113" s="278">
        <f t="shared" ca="1" si="24"/>
        <v>0</v>
      </c>
      <c r="H113" s="278">
        <f t="shared" ca="1" si="24"/>
        <v>0</v>
      </c>
      <c r="I113" s="278">
        <f t="shared" ca="1" si="24"/>
        <v>0</v>
      </c>
      <c r="J113" s="278">
        <f t="shared" ca="1" si="24"/>
        <v>0</v>
      </c>
      <c r="K113" s="278">
        <f t="shared" ca="1" si="24"/>
        <v>0</v>
      </c>
      <c r="L113" s="278">
        <f t="shared" ca="1" si="24"/>
        <v>0</v>
      </c>
      <c r="M113" s="279" t="s">
        <v>6</v>
      </c>
      <c r="O113" s="282" t="s">
        <v>119</v>
      </c>
      <c r="P113" s="289">
        <f t="shared" ca="1" si="25"/>
        <v>0</v>
      </c>
      <c r="Q113" s="289">
        <f t="shared" ca="1" si="15"/>
        <v>0</v>
      </c>
      <c r="R113" s="289">
        <f t="shared" ca="1" si="16"/>
        <v>0</v>
      </c>
      <c r="S113" s="289">
        <f t="shared" ca="1" si="17"/>
        <v>0</v>
      </c>
      <c r="T113" s="289">
        <f t="shared" ca="1" si="18"/>
        <v>0</v>
      </c>
      <c r="U113" s="295" t="s">
        <v>6</v>
      </c>
      <c r="V113" s="289">
        <f t="shared" ca="1" si="19"/>
        <v>0</v>
      </c>
      <c r="W113" s="289">
        <f t="shared" ca="1" si="20"/>
        <v>0</v>
      </c>
      <c r="X113" s="289">
        <f t="shared" ca="1" si="21"/>
        <v>0</v>
      </c>
      <c r="Y113" s="289">
        <f t="shared" ca="1" si="22"/>
        <v>0</v>
      </c>
      <c r="Z113" s="292">
        <f t="shared" ca="1" si="23"/>
        <v>0</v>
      </c>
    </row>
    <row r="114" spans="2:26">
      <c r="B114" s="282" t="s">
        <v>113</v>
      </c>
      <c r="C114" s="278">
        <f t="shared" ca="1" si="24"/>
        <v>0</v>
      </c>
      <c r="D114" s="278">
        <f t="shared" ca="1" si="24"/>
        <v>0</v>
      </c>
      <c r="E114" s="278">
        <f t="shared" ca="1" si="24"/>
        <v>0</v>
      </c>
      <c r="F114" s="278">
        <f t="shared" ca="1" si="24"/>
        <v>0</v>
      </c>
      <c r="G114" s="278">
        <f t="shared" ca="1" si="24"/>
        <v>0</v>
      </c>
      <c r="H114" s="278">
        <f t="shared" ca="1" si="24"/>
        <v>0</v>
      </c>
      <c r="I114" s="278">
        <f t="shared" ca="1" si="24"/>
        <v>0</v>
      </c>
      <c r="J114" s="278">
        <f t="shared" ca="1" si="24"/>
        <v>0</v>
      </c>
      <c r="K114" s="278">
        <f t="shared" ca="1" si="24"/>
        <v>0</v>
      </c>
      <c r="L114" s="278">
        <f t="shared" ca="1" si="24"/>
        <v>0</v>
      </c>
      <c r="M114" s="279" t="s">
        <v>6</v>
      </c>
      <c r="O114" s="282" t="s">
        <v>113</v>
      </c>
      <c r="P114" s="289">
        <f t="shared" ca="1" si="25"/>
        <v>0</v>
      </c>
      <c r="Q114" s="289">
        <f t="shared" ca="1" si="15"/>
        <v>0</v>
      </c>
      <c r="R114" s="289">
        <f t="shared" ca="1" si="16"/>
        <v>0</v>
      </c>
      <c r="S114" s="289">
        <f t="shared" ca="1" si="17"/>
        <v>0</v>
      </c>
      <c r="T114" s="289">
        <f t="shared" ca="1" si="18"/>
        <v>0</v>
      </c>
      <c r="U114" s="295" t="s">
        <v>6</v>
      </c>
      <c r="V114" s="289">
        <f t="shared" ca="1" si="19"/>
        <v>0</v>
      </c>
      <c r="W114" s="289">
        <f t="shared" ca="1" si="20"/>
        <v>0</v>
      </c>
      <c r="X114" s="289">
        <f t="shared" ca="1" si="21"/>
        <v>0</v>
      </c>
      <c r="Y114" s="289">
        <f t="shared" ca="1" si="22"/>
        <v>0</v>
      </c>
      <c r="Z114" s="292">
        <f t="shared" ca="1" si="23"/>
        <v>0</v>
      </c>
    </row>
    <row r="115" spans="2:26">
      <c r="B115" s="282" t="s">
        <v>28</v>
      </c>
      <c r="C115" s="278">
        <f t="shared" ca="1" si="24"/>
        <v>0</v>
      </c>
      <c r="D115" s="278">
        <f t="shared" ca="1" si="24"/>
        <v>0</v>
      </c>
      <c r="E115" s="278">
        <f t="shared" ca="1" si="24"/>
        <v>0</v>
      </c>
      <c r="F115" s="278">
        <f t="shared" ca="1" si="24"/>
        <v>0</v>
      </c>
      <c r="G115" s="278">
        <f t="shared" ca="1" si="24"/>
        <v>0</v>
      </c>
      <c r="H115" s="278">
        <f t="shared" ca="1" si="24"/>
        <v>0</v>
      </c>
      <c r="I115" s="278">
        <f t="shared" ca="1" si="24"/>
        <v>0</v>
      </c>
      <c r="J115" s="278">
        <f t="shared" ca="1" si="24"/>
        <v>0</v>
      </c>
      <c r="K115" s="278">
        <f t="shared" ca="1" si="24"/>
        <v>0</v>
      </c>
      <c r="L115" s="278">
        <f t="shared" ca="1" si="24"/>
        <v>0</v>
      </c>
      <c r="M115" s="279" t="s">
        <v>6</v>
      </c>
      <c r="O115" s="282" t="s">
        <v>28</v>
      </c>
      <c r="P115" s="289">
        <f t="shared" ca="1" si="25"/>
        <v>0</v>
      </c>
      <c r="Q115" s="289">
        <f t="shared" ca="1" si="15"/>
        <v>0</v>
      </c>
      <c r="R115" s="289">
        <f t="shared" ca="1" si="16"/>
        <v>0</v>
      </c>
      <c r="S115" s="289">
        <f t="shared" ca="1" si="17"/>
        <v>0</v>
      </c>
      <c r="T115" s="289">
        <f t="shared" ca="1" si="18"/>
        <v>0</v>
      </c>
      <c r="U115" s="295" t="s">
        <v>6</v>
      </c>
      <c r="V115" s="289">
        <f t="shared" ca="1" si="19"/>
        <v>0</v>
      </c>
      <c r="W115" s="289">
        <f t="shared" ca="1" si="20"/>
        <v>0</v>
      </c>
      <c r="X115" s="289">
        <f t="shared" ca="1" si="21"/>
        <v>0</v>
      </c>
      <c r="Y115" s="289">
        <f t="shared" ca="1" si="22"/>
        <v>0</v>
      </c>
      <c r="Z115" s="292">
        <f t="shared" ca="1" si="23"/>
        <v>0</v>
      </c>
    </row>
    <row r="116" spans="2:26">
      <c r="B116" s="282" t="s">
        <v>26</v>
      </c>
      <c r="C116" s="278">
        <f t="shared" ca="1" si="24"/>
        <v>0</v>
      </c>
      <c r="D116" s="278">
        <f t="shared" ca="1" si="24"/>
        <v>0</v>
      </c>
      <c r="E116" s="278">
        <f t="shared" ca="1" si="24"/>
        <v>0</v>
      </c>
      <c r="F116" s="278">
        <f t="shared" ca="1" si="24"/>
        <v>0</v>
      </c>
      <c r="G116" s="278">
        <f t="shared" ca="1" si="24"/>
        <v>0</v>
      </c>
      <c r="H116" s="278">
        <f t="shared" ca="1" si="24"/>
        <v>0</v>
      </c>
      <c r="I116" s="278">
        <f t="shared" ca="1" si="24"/>
        <v>0</v>
      </c>
      <c r="J116" s="278">
        <f t="shared" ca="1" si="24"/>
        <v>0</v>
      </c>
      <c r="K116" s="278">
        <f t="shared" ca="1" si="24"/>
        <v>0</v>
      </c>
      <c r="L116" s="278">
        <f t="shared" ca="1" si="24"/>
        <v>0</v>
      </c>
      <c r="M116" s="279" t="s">
        <v>6</v>
      </c>
      <c r="O116" s="282" t="s">
        <v>26</v>
      </c>
      <c r="P116" s="289">
        <f t="shared" ca="1" si="25"/>
        <v>0</v>
      </c>
      <c r="Q116" s="289">
        <f t="shared" ca="1" si="15"/>
        <v>0</v>
      </c>
      <c r="R116" s="289">
        <f t="shared" ca="1" si="16"/>
        <v>0</v>
      </c>
      <c r="S116" s="289">
        <f t="shared" ca="1" si="17"/>
        <v>0</v>
      </c>
      <c r="T116" s="289">
        <f t="shared" ca="1" si="18"/>
        <v>0</v>
      </c>
      <c r="U116" s="295" t="s">
        <v>6</v>
      </c>
      <c r="V116" s="289">
        <f t="shared" ca="1" si="19"/>
        <v>0</v>
      </c>
      <c r="W116" s="289">
        <f t="shared" ca="1" si="20"/>
        <v>0</v>
      </c>
      <c r="X116" s="289">
        <f t="shared" ca="1" si="21"/>
        <v>0</v>
      </c>
      <c r="Y116" s="289">
        <f t="shared" ca="1" si="22"/>
        <v>0</v>
      </c>
      <c r="Z116" s="292">
        <f t="shared" ca="1" si="23"/>
        <v>0</v>
      </c>
    </row>
    <row r="117" spans="2:26">
      <c r="B117" s="282" t="s">
        <v>24</v>
      </c>
      <c r="C117" s="278">
        <f t="shared" ca="1" si="24"/>
        <v>0</v>
      </c>
      <c r="D117" s="278">
        <f t="shared" ca="1" si="24"/>
        <v>0</v>
      </c>
      <c r="E117" s="278">
        <f t="shared" ca="1" si="24"/>
        <v>0</v>
      </c>
      <c r="F117" s="278">
        <f t="shared" ca="1" si="24"/>
        <v>0</v>
      </c>
      <c r="G117" s="278">
        <f t="shared" ca="1" si="24"/>
        <v>0</v>
      </c>
      <c r="H117" s="278">
        <f t="shared" ca="1" si="24"/>
        <v>0</v>
      </c>
      <c r="I117" s="278">
        <f t="shared" ca="1" si="24"/>
        <v>0</v>
      </c>
      <c r="J117" s="278">
        <f t="shared" ca="1" si="24"/>
        <v>0</v>
      </c>
      <c r="K117" s="278">
        <f t="shared" ca="1" si="24"/>
        <v>0</v>
      </c>
      <c r="L117" s="278">
        <f t="shared" ca="1" si="24"/>
        <v>0</v>
      </c>
      <c r="M117" s="279" t="s">
        <v>6</v>
      </c>
      <c r="O117" s="282" t="s">
        <v>24</v>
      </c>
      <c r="P117" s="289">
        <f t="shared" ca="1" si="25"/>
        <v>0</v>
      </c>
      <c r="Q117" s="289">
        <f t="shared" ca="1" si="15"/>
        <v>0</v>
      </c>
      <c r="R117" s="289">
        <f t="shared" ca="1" si="16"/>
        <v>0</v>
      </c>
      <c r="S117" s="289">
        <f t="shared" ca="1" si="17"/>
        <v>0</v>
      </c>
      <c r="T117" s="289">
        <f t="shared" ca="1" si="18"/>
        <v>0</v>
      </c>
      <c r="U117" s="295" t="s">
        <v>6</v>
      </c>
      <c r="V117" s="289">
        <f t="shared" ca="1" si="19"/>
        <v>0</v>
      </c>
      <c r="W117" s="289">
        <f t="shared" ca="1" si="20"/>
        <v>0</v>
      </c>
      <c r="X117" s="289">
        <f t="shared" ca="1" si="21"/>
        <v>0</v>
      </c>
      <c r="Y117" s="289">
        <f t="shared" ca="1" si="22"/>
        <v>0</v>
      </c>
      <c r="Z117" s="292">
        <f t="shared" ca="1" si="23"/>
        <v>0</v>
      </c>
    </row>
    <row r="118" spans="2:26">
      <c r="B118" s="282" t="s">
        <v>20</v>
      </c>
      <c r="C118" s="278">
        <f t="shared" ca="1" si="24"/>
        <v>0</v>
      </c>
      <c r="D118" s="278">
        <f t="shared" ca="1" si="24"/>
        <v>0</v>
      </c>
      <c r="E118" s="278">
        <f t="shared" ca="1" si="24"/>
        <v>0</v>
      </c>
      <c r="F118" s="278">
        <f t="shared" ca="1" si="24"/>
        <v>0</v>
      </c>
      <c r="G118" s="278">
        <f t="shared" ca="1" si="24"/>
        <v>0</v>
      </c>
      <c r="H118" s="278">
        <f t="shared" ca="1" si="24"/>
        <v>0</v>
      </c>
      <c r="I118" s="278">
        <f t="shared" ca="1" si="24"/>
        <v>0</v>
      </c>
      <c r="J118" s="278">
        <f t="shared" ca="1" si="24"/>
        <v>0</v>
      </c>
      <c r="K118" s="278">
        <f t="shared" ca="1" si="24"/>
        <v>0</v>
      </c>
      <c r="L118" s="278">
        <f t="shared" ca="1" si="24"/>
        <v>0</v>
      </c>
      <c r="M118" s="279" t="s">
        <v>6</v>
      </c>
      <c r="O118" s="282" t="s">
        <v>20</v>
      </c>
      <c r="P118" s="289">
        <f t="shared" ca="1" si="25"/>
        <v>0</v>
      </c>
      <c r="Q118" s="289">
        <f t="shared" ca="1" si="15"/>
        <v>0</v>
      </c>
      <c r="R118" s="289">
        <f t="shared" ca="1" si="16"/>
        <v>0</v>
      </c>
      <c r="S118" s="289">
        <f t="shared" ca="1" si="17"/>
        <v>0</v>
      </c>
      <c r="T118" s="289">
        <f t="shared" ca="1" si="18"/>
        <v>0</v>
      </c>
      <c r="U118" s="295" t="s">
        <v>6</v>
      </c>
      <c r="V118" s="289">
        <f t="shared" ca="1" si="19"/>
        <v>0</v>
      </c>
      <c r="W118" s="289">
        <f t="shared" ca="1" si="20"/>
        <v>0</v>
      </c>
      <c r="X118" s="289">
        <f t="shared" ca="1" si="21"/>
        <v>0</v>
      </c>
      <c r="Y118" s="289">
        <f t="shared" ca="1" si="22"/>
        <v>0</v>
      </c>
      <c r="Z118" s="292">
        <f t="shared" ca="1" si="23"/>
        <v>0</v>
      </c>
    </row>
    <row r="119" spans="2:26">
      <c r="B119" s="282" t="s">
        <v>18</v>
      </c>
      <c r="C119" s="278">
        <f t="shared" ca="1" si="24"/>
        <v>0</v>
      </c>
      <c r="D119" s="278">
        <f t="shared" ca="1" si="24"/>
        <v>0</v>
      </c>
      <c r="E119" s="278">
        <f t="shared" ca="1" si="24"/>
        <v>0</v>
      </c>
      <c r="F119" s="278">
        <f t="shared" ca="1" si="24"/>
        <v>0</v>
      </c>
      <c r="G119" s="278">
        <f t="shared" ca="1" si="24"/>
        <v>0</v>
      </c>
      <c r="H119" s="278">
        <f t="shared" ca="1" si="24"/>
        <v>0</v>
      </c>
      <c r="I119" s="278">
        <f t="shared" ca="1" si="24"/>
        <v>0</v>
      </c>
      <c r="J119" s="278">
        <f t="shared" ca="1" si="24"/>
        <v>0</v>
      </c>
      <c r="K119" s="278">
        <f t="shared" ca="1" si="24"/>
        <v>0</v>
      </c>
      <c r="L119" s="278">
        <f t="shared" ca="1" si="24"/>
        <v>0</v>
      </c>
      <c r="M119" s="279" t="s">
        <v>6</v>
      </c>
      <c r="O119" s="282" t="s">
        <v>18</v>
      </c>
      <c r="P119" s="289">
        <f t="shared" ca="1" si="25"/>
        <v>0</v>
      </c>
      <c r="Q119" s="289">
        <f t="shared" ca="1" si="15"/>
        <v>0</v>
      </c>
      <c r="R119" s="289">
        <f t="shared" ca="1" si="16"/>
        <v>0</v>
      </c>
      <c r="S119" s="289">
        <f t="shared" ca="1" si="17"/>
        <v>0</v>
      </c>
      <c r="T119" s="289">
        <f t="shared" ca="1" si="18"/>
        <v>0</v>
      </c>
      <c r="U119" s="295" t="s">
        <v>6</v>
      </c>
      <c r="V119" s="289">
        <f t="shared" ca="1" si="19"/>
        <v>0</v>
      </c>
      <c r="W119" s="289">
        <f t="shared" ca="1" si="20"/>
        <v>0</v>
      </c>
      <c r="X119" s="289">
        <f t="shared" ca="1" si="21"/>
        <v>0</v>
      </c>
      <c r="Y119" s="289">
        <f t="shared" ca="1" si="22"/>
        <v>0</v>
      </c>
      <c r="Z119" s="292">
        <f t="shared" ca="1" si="23"/>
        <v>0</v>
      </c>
    </row>
    <row r="120" spans="2:26">
      <c r="B120" s="282" t="s">
        <v>17</v>
      </c>
      <c r="C120" s="278">
        <f t="shared" ca="1" si="24"/>
        <v>0</v>
      </c>
      <c r="D120" s="278">
        <f t="shared" ca="1" si="24"/>
        <v>0</v>
      </c>
      <c r="E120" s="278">
        <f t="shared" ca="1" si="24"/>
        <v>0</v>
      </c>
      <c r="F120" s="278">
        <f t="shared" ca="1" si="24"/>
        <v>0</v>
      </c>
      <c r="G120" s="278">
        <f t="shared" ca="1" si="24"/>
        <v>0</v>
      </c>
      <c r="H120" s="278">
        <f t="shared" ca="1" si="24"/>
        <v>0</v>
      </c>
      <c r="I120" s="278">
        <f t="shared" ca="1" si="24"/>
        <v>0</v>
      </c>
      <c r="J120" s="278">
        <f t="shared" ca="1" si="24"/>
        <v>0</v>
      </c>
      <c r="K120" s="278">
        <f t="shared" ca="1" si="24"/>
        <v>0</v>
      </c>
      <c r="L120" s="278">
        <f t="shared" ca="1" si="24"/>
        <v>0</v>
      </c>
      <c r="M120" s="279" t="s">
        <v>6</v>
      </c>
      <c r="O120" s="282" t="s">
        <v>17</v>
      </c>
      <c r="P120" s="289">
        <f t="shared" ca="1" si="25"/>
        <v>0</v>
      </c>
      <c r="Q120" s="289">
        <f t="shared" ca="1" si="15"/>
        <v>0</v>
      </c>
      <c r="R120" s="289">
        <f t="shared" ca="1" si="16"/>
        <v>0</v>
      </c>
      <c r="S120" s="289">
        <f t="shared" ca="1" si="17"/>
        <v>0</v>
      </c>
      <c r="T120" s="289">
        <f t="shared" ca="1" si="18"/>
        <v>0</v>
      </c>
      <c r="U120" s="295" t="s">
        <v>6</v>
      </c>
      <c r="V120" s="289">
        <f t="shared" ca="1" si="19"/>
        <v>0</v>
      </c>
      <c r="W120" s="289">
        <f t="shared" ca="1" si="20"/>
        <v>0</v>
      </c>
      <c r="X120" s="289">
        <f t="shared" ca="1" si="21"/>
        <v>0</v>
      </c>
      <c r="Y120" s="289">
        <f t="shared" ca="1" si="22"/>
        <v>0</v>
      </c>
      <c r="Z120" s="292">
        <f t="shared" ca="1" si="23"/>
        <v>0</v>
      </c>
    </row>
    <row r="121" spans="2:26">
      <c r="B121" s="282" t="s">
        <v>16</v>
      </c>
      <c r="C121" s="278">
        <f t="shared" ca="1" si="24"/>
        <v>0</v>
      </c>
      <c r="D121" s="278">
        <f t="shared" ca="1" si="24"/>
        <v>0</v>
      </c>
      <c r="E121" s="278">
        <f t="shared" ca="1" si="24"/>
        <v>0</v>
      </c>
      <c r="F121" s="278">
        <f t="shared" ca="1" si="24"/>
        <v>0</v>
      </c>
      <c r="G121" s="278">
        <f t="shared" ca="1" si="24"/>
        <v>0</v>
      </c>
      <c r="H121" s="278">
        <f t="shared" ca="1" si="24"/>
        <v>0</v>
      </c>
      <c r="I121" s="278">
        <f t="shared" ca="1" si="24"/>
        <v>0</v>
      </c>
      <c r="J121" s="278">
        <f t="shared" ca="1" si="24"/>
        <v>0</v>
      </c>
      <c r="K121" s="278">
        <f t="shared" ca="1" si="24"/>
        <v>0</v>
      </c>
      <c r="L121" s="278">
        <f t="shared" ca="1" si="24"/>
        <v>0</v>
      </c>
      <c r="M121" s="279" t="s">
        <v>6</v>
      </c>
      <c r="O121" s="282" t="s">
        <v>16</v>
      </c>
      <c r="P121" s="289">
        <f t="shared" ca="1" si="25"/>
        <v>0</v>
      </c>
      <c r="Q121" s="289">
        <f t="shared" ca="1" si="15"/>
        <v>0</v>
      </c>
      <c r="R121" s="289">
        <f t="shared" ca="1" si="16"/>
        <v>0</v>
      </c>
      <c r="S121" s="289">
        <f t="shared" ca="1" si="17"/>
        <v>0</v>
      </c>
      <c r="T121" s="289">
        <f t="shared" ca="1" si="18"/>
        <v>0</v>
      </c>
      <c r="U121" s="295" t="s">
        <v>6</v>
      </c>
      <c r="V121" s="289">
        <f t="shared" ca="1" si="19"/>
        <v>0</v>
      </c>
      <c r="W121" s="289">
        <f t="shared" ca="1" si="20"/>
        <v>0</v>
      </c>
      <c r="X121" s="289">
        <f t="shared" ca="1" si="21"/>
        <v>0</v>
      </c>
      <c r="Y121" s="289">
        <f t="shared" ca="1" si="22"/>
        <v>0</v>
      </c>
      <c r="Z121" s="292">
        <f t="shared" ca="1" si="23"/>
        <v>0</v>
      </c>
    </row>
    <row r="122" spans="2:26">
      <c r="B122" s="282" t="s">
        <v>15</v>
      </c>
      <c r="C122" s="278">
        <f t="shared" ca="1" si="24"/>
        <v>0</v>
      </c>
      <c r="D122" s="278">
        <f t="shared" ca="1" si="24"/>
        <v>0</v>
      </c>
      <c r="E122" s="278">
        <f t="shared" ca="1" si="24"/>
        <v>0</v>
      </c>
      <c r="F122" s="278">
        <f t="shared" ca="1" si="24"/>
        <v>0</v>
      </c>
      <c r="G122" s="278">
        <f t="shared" ca="1" si="24"/>
        <v>0</v>
      </c>
      <c r="H122" s="278">
        <f t="shared" ca="1" si="24"/>
        <v>0</v>
      </c>
      <c r="I122" s="278">
        <f t="shared" ca="1" si="24"/>
        <v>0</v>
      </c>
      <c r="J122" s="278">
        <f t="shared" ca="1" si="24"/>
        <v>0</v>
      </c>
      <c r="K122" s="278">
        <f t="shared" ca="1" si="24"/>
        <v>0</v>
      </c>
      <c r="L122" s="278">
        <f t="shared" ca="1" si="24"/>
        <v>0</v>
      </c>
      <c r="M122" s="279" t="s">
        <v>6</v>
      </c>
      <c r="O122" s="282" t="s">
        <v>15</v>
      </c>
      <c r="P122" s="295" t="s">
        <v>6</v>
      </c>
      <c r="Q122" s="295" t="s">
        <v>6</v>
      </c>
      <c r="R122" s="295" t="s">
        <v>6</v>
      </c>
      <c r="S122" s="295" t="s">
        <v>6</v>
      </c>
      <c r="T122" s="295" t="s">
        <v>6</v>
      </c>
      <c r="U122" s="295" t="s">
        <v>6</v>
      </c>
      <c r="V122" s="295" t="s">
        <v>6</v>
      </c>
      <c r="W122" s="295" t="s">
        <v>6</v>
      </c>
      <c r="X122" s="295" t="s">
        <v>6</v>
      </c>
      <c r="Y122" s="295" t="s">
        <v>6</v>
      </c>
      <c r="Z122" s="291" t="s">
        <v>6</v>
      </c>
    </row>
    <row r="123" spans="2:26">
      <c r="B123" s="282"/>
      <c r="C123" s="278"/>
      <c r="D123" s="278"/>
      <c r="E123" s="278"/>
      <c r="F123" s="278"/>
      <c r="G123" s="278"/>
      <c r="H123" s="278"/>
      <c r="I123" s="278"/>
      <c r="J123" s="278"/>
      <c r="K123" s="278"/>
      <c r="L123" s="278"/>
      <c r="M123" s="279"/>
      <c r="O123" s="282"/>
      <c r="P123" s="289"/>
      <c r="Q123" s="289"/>
      <c r="R123" s="289"/>
      <c r="S123" s="289"/>
      <c r="T123" s="289"/>
      <c r="U123" s="295"/>
      <c r="V123" s="289"/>
      <c r="W123" s="289"/>
      <c r="X123" s="289"/>
      <c r="Y123" s="289"/>
      <c r="Z123" s="292"/>
    </row>
    <row r="124" spans="2:26">
      <c r="B124" s="282"/>
      <c r="C124" s="278"/>
      <c r="D124" s="278"/>
      <c r="E124" s="278"/>
      <c r="F124" s="278"/>
      <c r="G124" s="278"/>
      <c r="H124" s="278"/>
      <c r="I124" s="278"/>
      <c r="J124" s="278"/>
      <c r="K124" s="278"/>
      <c r="L124" s="278"/>
      <c r="M124" s="279"/>
      <c r="O124" s="282"/>
      <c r="P124" s="289"/>
      <c r="Q124" s="289"/>
      <c r="R124" s="289"/>
      <c r="S124" s="289"/>
      <c r="T124" s="289"/>
      <c r="U124" s="295"/>
      <c r="V124" s="289"/>
      <c r="W124" s="289"/>
      <c r="X124" s="289"/>
      <c r="Y124" s="289"/>
      <c r="Z124" s="292"/>
    </row>
    <row r="125" spans="2:26">
      <c r="B125" s="282"/>
      <c r="C125" s="278"/>
      <c r="D125" s="278"/>
      <c r="E125" s="278"/>
      <c r="F125" s="278"/>
      <c r="G125" s="278"/>
      <c r="H125" s="278"/>
      <c r="I125" s="278"/>
      <c r="J125" s="278"/>
      <c r="K125" s="278"/>
      <c r="L125" s="278"/>
      <c r="M125" s="279"/>
      <c r="O125" s="282"/>
      <c r="P125" s="289"/>
      <c r="Q125" s="289"/>
      <c r="R125" s="289"/>
      <c r="S125" s="289"/>
      <c r="T125" s="289"/>
      <c r="U125" s="295"/>
      <c r="V125" s="289"/>
      <c r="W125" s="289"/>
      <c r="X125" s="289"/>
      <c r="Y125" s="289"/>
      <c r="Z125" s="292"/>
    </row>
    <row r="126" spans="2:26">
      <c r="B126" s="283"/>
      <c r="C126" s="280"/>
      <c r="D126" s="280"/>
      <c r="E126" s="280"/>
      <c r="F126" s="280"/>
      <c r="G126" s="280"/>
      <c r="H126" s="280"/>
      <c r="I126" s="280"/>
      <c r="J126" s="280"/>
      <c r="K126" s="280"/>
      <c r="L126" s="280"/>
      <c r="M126" s="281"/>
      <c r="O126" s="283"/>
      <c r="P126" s="293"/>
      <c r="Q126" s="293"/>
      <c r="R126" s="293"/>
      <c r="S126" s="293"/>
      <c r="T126" s="293"/>
      <c r="U126" s="296"/>
      <c r="V126" s="293"/>
      <c r="W126" s="293"/>
      <c r="X126" s="293"/>
      <c r="Y126" s="293"/>
      <c r="Z126" s="294"/>
    </row>
    <row r="129" spans="1:13">
      <c r="A129" s="224" t="s">
        <v>480</v>
      </c>
      <c r="B129" s="290" t="s">
        <v>489</v>
      </c>
      <c r="C129" s="284"/>
      <c r="G129" s="290" t="s">
        <v>489</v>
      </c>
    </row>
    <row r="130" spans="1:13">
      <c r="B130" s="284" t="s">
        <v>487</v>
      </c>
      <c r="C130" s="284"/>
      <c r="G130" s="284" t="s">
        <v>488</v>
      </c>
      <c r="H130" s="284"/>
    </row>
    <row r="131" spans="1:13">
      <c r="B131" s="258" t="s">
        <v>474</v>
      </c>
      <c r="C131" s="286">
        <f ca="1">SUM(C157:L175)</f>
        <v>0</v>
      </c>
      <c r="G131" s="258" t="s">
        <v>474</v>
      </c>
      <c r="H131" s="286">
        <f ca="1">SUM(P157:Z175)</f>
        <v>0</v>
      </c>
    </row>
    <row r="133" spans="1:13">
      <c r="B133" s="258" t="s">
        <v>477</v>
      </c>
      <c r="C133" s="258"/>
    </row>
    <row r="134" spans="1:13">
      <c r="B134" s="254" t="s">
        <v>468</v>
      </c>
      <c r="C134" s="276">
        <v>-0.05</v>
      </c>
      <c r="D134" s="276">
        <v>-0.04</v>
      </c>
      <c r="E134" s="276">
        <v>-0.03</v>
      </c>
      <c r="F134" s="276">
        <v>-1.9999999999999997E-2</v>
      </c>
      <c r="G134" s="276">
        <v>-9.9999999999999967E-3</v>
      </c>
      <c r="H134" s="276">
        <v>0</v>
      </c>
      <c r="I134" s="276">
        <v>0.01</v>
      </c>
      <c r="J134" s="276">
        <v>0.02</v>
      </c>
      <c r="K134" s="276">
        <v>0.03</v>
      </c>
      <c r="L134" s="276">
        <v>0.04</v>
      </c>
      <c r="M134" s="277">
        <v>0.05</v>
      </c>
    </row>
    <row r="135" spans="1:13">
      <c r="B135" s="282" t="s">
        <v>39</v>
      </c>
      <c r="C135" s="278">
        <f ca="1">'JPY Swap PVs'!AH4</f>
        <v>150218.91320938821</v>
      </c>
      <c r="D135" s="278">
        <f ca="1">'JPY Swap PVs'!AI4</f>
        <v>120175.13056751055</v>
      </c>
      <c r="E135" s="278">
        <f ca="1">'JPY Swap PVs'!AJ4</f>
        <v>90131.347925632916</v>
      </c>
      <c r="F135" s="278">
        <f ca="1">'JPY Swap PVs'!AK4</f>
        <v>60087.565283755284</v>
      </c>
      <c r="G135" s="278">
        <f ca="1">'JPY Swap PVs'!AL4</f>
        <v>30043.782641877668</v>
      </c>
      <c r="H135" s="278">
        <f ca="1">'JPY Swap PVs'!AM4</f>
        <v>4.4235448637408581E-11</v>
      </c>
      <c r="I135" s="278">
        <f ca="1">'JPY Swap PVs'!AN4</f>
        <v>-30043.782641877584</v>
      </c>
      <c r="J135" s="278">
        <f ca="1">'JPY Swap PVs'!AO4</f>
        <v>-60087.565283755226</v>
      </c>
      <c r="K135" s="278">
        <f ca="1">'JPY Swap PVs'!AP4</f>
        <v>-90131.347925632828</v>
      </c>
      <c r="L135" s="278">
        <f ca="1">'JPY Swap PVs'!AQ4</f>
        <v>-120175.13056751048</v>
      </c>
      <c r="M135" s="279">
        <f ca="1">'JPY Swap PVs'!AR4</f>
        <v>-150218.91320938809</v>
      </c>
    </row>
    <row r="136" spans="1:13">
      <c r="B136" s="282" t="s">
        <v>35</v>
      </c>
      <c r="C136" s="278">
        <f ca="1">'JPY Swap PVs'!AH5</f>
        <v>199875.20207088446</v>
      </c>
      <c r="D136" s="278">
        <f ca="1">'JPY Swap PVs'!AI5</f>
        <v>159900.16165670758</v>
      </c>
      <c r="E136" s="278">
        <f ca="1">'JPY Swap PVs'!AJ5</f>
        <v>119925.1212425307</v>
      </c>
      <c r="F136" s="278">
        <f ca="1">'JPY Swap PVs'!AK5</f>
        <v>79950.080828353821</v>
      </c>
      <c r="G136" s="278">
        <f ca="1">'JPY Swap PVs'!AL5</f>
        <v>39975.040414176932</v>
      </c>
      <c r="H136" s="278">
        <f ca="1">'JPY Swap PVs'!AM5</f>
        <v>5.8980598183211441E-11</v>
      </c>
      <c r="I136" s="278">
        <f ca="1">'JPY Swap PVs'!AN5</f>
        <v>-39975.040414176823</v>
      </c>
      <c r="J136" s="278">
        <f ca="1">'JPY Swap PVs'!AO5</f>
        <v>-79950.080828353704</v>
      </c>
      <c r="K136" s="278">
        <f ca="1">'JPY Swap PVs'!AP5</f>
        <v>-119925.12124253057</v>
      </c>
      <c r="L136" s="278">
        <f ca="1">'JPY Swap PVs'!AQ5</f>
        <v>-159900.16165670747</v>
      </c>
      <c r="M136" s="279">
        <f ca="1">'JPY Swap PVs'!AR5</f>
        <v>-199875.20207088435</v>
      </c>
    </row>
    <row r="137" spans="1:13">
      <c r="B137" s="282" t="s">
        <v>33</v>
      </c>
      <c r="C137" s="278">
        <f ca="1">'JPY Swap PVs'!AH6</f>
        <v>249500.07077146342</v>
      </c>
      <c r="D137" s="278">
        <f ca="1">'JPY Swap PVs'!AI6</f>
        <v>199600.05661717075</v>
      </c>
      <c r="E137" s="278">
        <f ca="1">'JPY Swap PVs'!AJ6</f>
        <v>149700.04246287807</v>
      </c>
      <c r="F137" s="278">
        <f ca="1">'JPY Swap PVs'!AK6</f>
        <v>99800.028308585432</v>
      </c>
      <c r="G137" s="278">
        <f ca="1">'JPY Swap PVs'!AL6</f>
        <v>49900.01415429281</v>
      </c>
      <c r="H137" s="278">
        <f ca="1">'JPY Swap PVs'!AM6</f>
        <v>1.8561541192951836E-10</v>
      </c>
      <c r="I137" s="278">
        <f ca="1">'JPY Swap PVs'!AN6</f>
        <v>-49900.014154292461</v>
      </c>
      <c r="J137" s="278">
        <f ca="1">'JPY Swap PVs'!AO6</f>
        <v>-99800.028308585097</v>
      </c>
      <c r="K137" s="278">
        <f ca="1">'JPY Swap PVs'!AP6</f>
        <v>-149700.04246287773</v>
      </c>
      <c r="L137" s="278">
        <f ca="1">'JPY Swap PVs'!AQ6</f>
        <v>-199600.05661717037</v>
      </c>
      <c r="M137" s="279">
        <f ca="1">'JPY Swap PVs'!AR6</f>
        <v>-249500.07077146301</v>
      </c>
    </row>
    <row r="138" spans="1:13">
      <c r="B138" s="282" t="s">
        <v>131</v>
      </c>
      <c r="C138" s="278">
        <f ca="1">'JPY Swap PVs'!AH7</f>
        <v>298872.69664936652</v>
      </c>
      <c r="D138" s="278">
        <f ca="1">'JPY Swap PVs'!AI7</f>
        <v>239098.15731949321</v>
      </c>
      <c r="E138" s="278">
        <f ca="1">'JPY Swap PVs'!AJ7</f>
        <v>179323.61798961993</v>
      </c>
      <c r="F138" s="278">
        <f ca="1">'JPY Swap PVs'!AK7</f>
        <v>119549.07865974662</v>
      </c>
      <c r="G138" s="278">
        <f ca="1">'JPY Swap PVs'!AL7</f>
        <v>59774.539329873318</v>
      </c>
      <c r="H138" s="278">
        <f ca="1">'JPY Swap PVs'!AM7</f>
        <v>5.2041704279304213E-11</v>
      </c>
      <c r="I138" s="278">
        <f ca="1">'JPY Swap PVs'!AN7</f>
        <v>-59774.539329873238</v>
      </c>
      <c r="J138" s="278">
        <f ca="1">'JPY Swap PVs'!AO7</f>
        <v>-119549.0786597465</v>
      </c>
      <c r="K138" s="278">
        <f ca="1">'JPY Swap PVs'!AP7</f>
        <v>-179323.61798961982</v>
      </c>
      <c r="L138" s="278">
        <f ca="1">'JPY Swap PVs'!AQ7</f>
        <v>-239098.15731949313</v>
      </c>
      <c r="M138" s="279">
        <f ca="1">'JPY Swap PVs'!AR7</f>
        <v>-298872.69664936641</v>
      </c>
    </row>
    <row r="139" spans="1:13">
      <c r="B139" s="282" t="s">
        <v>31</v>
      </c>
      <c r="C139" s="278">
        <f ca="1">'JPY Swap PVs'!AH8</f>
        <v>347927.2637247782</v>
      </c>
      <c r="D139" s="278">
        <f ca="1">'JPY Swap PVs'!AI8</f>
        <v>278341.81097982259</v>
      </c>
      <c r="E139" s="278">
        <f ca="1">'JPY Swap PVs'!AJ8</f>
        <v>208756.35823486693</v>
      </c>
      <c r="F139" s="278">
        <f ca="1">'JPY Swap PVs'!AK8</f>
        <v>139170.9054899113</v>
      </c>
      <c r="G139" s="278">
        <f ca="1">'JPY Swap PVs'!AL8</f>
        <v>69585.452744955648</v>
      </c>
      <c r="H139" s="278">
        <f ca="1">'JPY Swap PVs'!AM8</f>
        <v>3.8163916471489756E-11</v>
      </c>
      <c r="I139" s="278">
        <f ca="1">'JPY Swap PVs'!AN8</f>
        <v>-69585.45274495559</v>
      </c>
      <c r="J139" s="278">
        <f ca="1">'JPY Swap PVs'!AO8</f>
        <v>-139170.90548991124</v>
      </c>
      <c r="K139" s="278">
        <f ca="1">'JPY Swap PVs'!AP8</f>
        <v>-208756.35823486684</v>
      </c>
      <c r="L139" s="278">
        <f ca="1">'JPY Swap PVs'!AQ8</f>
        <v>-278341.81097982248</v>
      </c>
      <c r="M139" s="279">
        <f ca="1">'JPY Swap PVs'!AR8</f>
        <v>-347927.26372477814</v>
      </c>
    </row>
    <row r="140" spans="1:13">
      <c r="B140" s="282" t="s">
        <v>119</v>
      </c>
      <c r="C140" s="278">
        <f ca="1">'JPY Swap PVs'!AH9</f>
        <v>396998.30049385119</v>
      </c>
      <c r="D140" s="278">
        <f ca="1">'JPY Swap PVs'!AI9</f>
        <v>317598.6403950809</v>
      </c>
      <c r="E140" s="278">
        <f ca="1">'JPY Swap PVs'!AJ9</f>
        <v>238198.98029631068</v>
      </c>
      <c r="F140" s="278">
        <f ca="1">'JPY Swap PVs'!AK9</f>
        <v>158799.32019754042</v>
      </c>
      <c r="G140" s="278">
        <f ca="1">'JPY Swap PVs'!AL9</f>
        <v>79399.660098770168</v>
      </c>
      <c r="H140" s="278">
        <f ca="1">'JPY Swap PVs'!AM9</f>
        <v>-3.4694469519536142E-11</v>
      </c>
      <c r="I140" s="278">
        <f ca="1">'JPY Swap PVs'!AN9</f>
        <v>-79399.66009877027</v>
      </c>
      <c r="J140" s="278">
        <f ca="1">'JPY Swap PVs'!AO9</f>
        <v>-158799.32019754054</v>
      </c>
      <c r="K140" s="278">
        <f ca="1">'JPY Swap PVs'!AP9</f>
        <v>-238198.98029631074</v>
      </c>
      <c r="L140" s="278">
        <f ca="1">'JPY Swap PVs'!AQ9</f>
        <v>-317598.64039508102</v>
      </c>
      <c r="M140" s="279">
        <f ca="1">'JPY Swap PVs'!AR9</f>
        <v>-396998.30049385119</v>
      </c>
    </row>
    <row r="141" spans="1:13">
      <c r="B141" s="282" t="s">
        <v>113</v>
      </c>
      <c r="C141" s="278">
        <f ca="1">'JPY Swap PVs'!AH10</f>
        <v>445100.62572520424</v>
      </c>
      <c r="D141" s="278">
        <f ca="1">'JPY Swap PVs'!AI10</f>
        <v>356080.50058016338</v>
      </c>
      <c r="E141" s="278">
        <f ca="1">'JPY Swap PVs'!AJ10</f>
        <v>267060.37543512252</v>
      </c>
      <c r="F141" s="278">
        <f ca="1">'JPY Swap PVs'!AK10</f>
        <v>178040.25029008169</v>
      </c>
      <c r="G141" s="278">
        <f ca="1">'JPY Swap PVs'!AL10</f>
        <v>89020.125145040874</v>
      </c>
      <c r="H141" s="278">
        <f ca="1">'JPY Swap PVs'!AM10</f>
        <v>6.9388939039072284E-11</v>
      </c>
      <c r="I141" s="278">
        <f ca="1">'JPY Swap PVs'!AN10</f>
        <v>-89020.125145040758</v>
      </c>
      <c r="J141" s="278">
        <f ca="1">'JPY Swap PVs'!AO10</f>
        <v>-178040.2502900816</v>
      </c>
      <c r="K141" s="278">
        <f ca="1">'JPY Swap PVs'!AP10</f>
        <v>-267060.37543512241</v>
      </c>
      <c r="L141" s="278">
        <f ca="1">'JPY Swap PVs'!AQ10</f>
        <v>-356080.50058016327</v>
      </c>
      <c r="M141" s="279">
        <f ca="1">'JPY Swap PVs'!AR10</f>
        <v>-445100.62572520401</v>
      </c>
    </row>
    <row r="142" spans="1:13">
      <c r="B142" s="282" t="s">
        <v>28</v>
      </c>
      <c r="C142" s="278">
        <f ca="1">'JPY Swap PVs'!AH11</f>
        <v>492704.8183793443</v>
      </c>
      <c r="D142" s="278">
        <f ca="1">'JPY Swap PVs'!AI11</f>
        <v>394163.85470347537</v>
      </c>
      <c r="E142" s="278">
        <f ca="1">'JPY Swap PVs'!AJ11</f>
        <v>295622.8910276065</v>
      </c>
      <c r="F142" s="278">
        <f ca="1">'JPY Swap PVs'!AK11</f>
        <v>197081.92735173766</v>
      </c>
      <c r="G142" s="278">
        <f ca="1">'JPY Swap PVs'!AL11</f>
        <v>98540.963675868814</v>
      </c>
      <c r="H142" s="278">
        <f ca="1">'JPY Swap PVs'!AM11</f>
        <v>1.3877787807814457E-11</v>
      </c>
      <c r="I142" s="278">
        <f ca="1">'JPY Swap PVs'!AN11</f>
        <v>-98540.963675868814</v>
      </c>
      <c r="J142" s="278">
        <f ca="1">'JPY Swap PVs'!AO11</f>
        <v>-197081.92735173766</v>
      </c>
      <c r="K142" s="278">
        <f ca="1">'JPY Swap PVs'!AP11</f>
        <v>-295622.89102760644</v>
      </c>
      <c r="L142" s="278">
        <f ca="1">'JPY Swap PVs'!AQ11</f>
        <v>-394163.85470347537</v>
      </c>
      <c r="M142" s="279">
        <f ca="1">'JPY Swap PVs'!AR11</f>
        <v>-492704.81837934413</v>
      </c>
    </row>
    <row r="143" spans="1:13">
      <c r="B143" s="282" t="s">
        <v>26</v>
      </c>
      <c r="C143" s="278">
        <f ca="1">'JPY Swap PVs'!AH12</f>
        <v>586427.41626273922</v>
      </c>
      <c r="D143" s="278">
        <f ca="1">'JPY Swap PVs'!AI12</f>
        <v>469141.93301019125</v>
      </c>
      <c r="E143" s="278">
        <f ca="1">'JPY Swap PVs'!AJ12</f>
        <v>351856.44975764339</v>
      </c>
      <c r="F143" s="278">
        <f ca="1">'JPY Swap PVs'!AK12</f>
        <v>234570.96650509557</v>
      </c>
      <c r="G143" s="278">
        <f ca="1">'JPY Swap PVs'!AL12</f>
        <v>117285.48325254772</v>
      </c>
      <c r="H143" s="278">
        <f ca="1">'JPY Swap PVs'!AM12</f>
        <v>-5.5511151231257827E-11</v>
      </c>
      <c r="I143" s="278">
        <f ca="1">'JPY Swap PVs'!AN12</f>
        <v>-117285.4832525479</v>
      </c>
      <c r="J143" s="278">
        <f ca="1">'JPY Swap PVs'!AO12</f>
        <v>-234570.96650509574</v>
      </c>
      <c r="K143" s="278">
        <f ca="1">'JPY Swap PVs'!AP12</f>
        <v>-351856.44975764357</v>
      </c>
      <c r="L143" s="278">
        <f ca="1">'JPY Swap PVs'!AQ12</f>
        <v>-469141.93301019137</v>
      </c>
      <c r="M143" s="279">
        <f ca="1">'JPY Swap PVs'!AR12</f>
        <v>-586427.41626273934</v>
      </c>
    </row>
    <row r="144" spans="1:13">
      <c r="B144" s="282" t="s">
        <v>24</v>
      </c>
      <c r="C144" s="278">
        <f ca="1">'JPY Swap PVs'!AH13</f>
        <v>721861.46365523827</v>
      </c>
      <c r="D144" s="278">
        <f ca="1">'JPY Swap PVs'!AI13</f>
        <v>577489.17092419055</v>
      </c>
      <c r="E144" s="278">
        <f ca="1">'JPY Swap PVs'!AJ13</f>
        <v>433116.87819314282</v>
      </c>
      <c r="F144" s="278">
        <f ca="1">'JPY Swap PVs'!AK13</f>
        <v>288744.5854620951</v>
      </c>
      <c r="G144" s="278">
        <f ca="1">'JPY Swap PVs'!AL13</f>
        <v>144372.29273104743</v>
      </c>
      <c r="H144" s="278">
        <f ca="1">'JPY Swap PVs'!AM13</f>
        <v>-2.2204460492503131E-10</v>
      </c>
      <c r="I144" s="278">
        <f ca="1">'JPY Swap PVs'!AN13</f>
        <v>-144372.29273104787</v>
      </c>
      <c r="J144" s="278">
        <f ca="1">'JPY Swap PVs'!AO13</f>
        <v>-288744.58546209557</v>
      </c>
      <c r="K144" s="278">
        <f ca="1">'JPY Swap PVs'!AP13</f>
        <v>-433116.87819314317</v>
      </c>
      <c r="L144" s="278">
        <f ca="1">'JPY Swap PVs'!AQ13</f>
        <v>-577489.1709241909</v>
      </c>
      <c r="M144" s="279">
        <f ca="1">'JPY Swap PVs'!AR13</f>
        <v>-721861.46365523851</v>
      </c>
    </row>
    <row r="145" spans="2:26">
      <c r="B145" s="282" t="s">
        <v>20</v>
      </c>
      <c r="C145" s="278">
        <f ca="1">'JPY Swap PVs'!AH14</f>
        <v>930300.79110236035</v>
      </c>
      <c r="D145" s="278">
        <f ca="1">'JPY Swap PVs'!AI14</f>
        <v>744240.63288188819</v>
      </c>
      <c r="E145" s="278">
        <f ca="1">'JPY Swap PVs'!AJ14</f>
        <v>558180.47466141614</v>
      </c>
      <c r="F145" s="278">
        <f ca="1">'JPY Swap PVs'!AK14</f>
        <v>372120.31644094409</v>
      </c>
      <c r="G145" s="278">
        <f ca="1">'JPY Swap PVs'!AL14</f>
        <v>186060.15822047202</v>
      </c>
      <c r="H145" s="278">
        <f ca="1">'JPY Swap PVs'!AM14</f>
        <v>2.7755575615628914E-11</v>
      </c>
      <c r="I145" s="278">
        <f ca="1">'JPY Swap PVs'!AN14</f>
        <v>-186060.15822047208</v>
      </c>
      <c r="J145" s="278">
        <f ca="1">'JPY Swap PVs'!AO14</f>
        <v>-372120.31644094409</v>
      </c>
      <c r="K145" s="278">
        <f ca="1">'JPY Swap PVs'!AP14</f>
        <v>-558180.47466141614</v>
      </c>
      <c r="L145" s="278">
        <f ca="1">'JPY Swap PVs'!AQ14</f>
        <v>-744240.63288188819</v>
      </c>
      <c r="M145" s="279">
        <f ca="1">'JPY Swap PVs'!AR14</f>
        <v>-930300.79110236024</v>
      </c>
    </row>
    <row r="146" spans="2:26">
      <c r="B146" s="282" t="s">
        <v>18</v>
      </c>
      <c r="C146" s="278">
        <f ca="1">'JPY Swap PVs'!AH15</f>
        <v>1118749.5923696093</v>
      </c>
      <c r="D146" s="278">
        <f ca="1">'JPY Swap PVs'!AI15</f>
        <v>894999.67389568756</v>
      </c>
      <c r="E146" s="278">
        <f ca="1">'JPY Swap PVs'!AJ15</f>
        <v>671249.75542176561</v>
      </c>
      <c r="F146" s="278">
        <f ca="1">'JPY Swap PVs'!AK15</f>
        <v>447499.83694784367</v>
      </c>
      <c r="G146" s="278">
        <f ca="1">'JPY Swap PVs'!AL15</f>
        <v>223749.91847392177</v>
      </c>
      <c r="H146" s="278">
        <f ca="1">'JPY Swap PVs'!AM15</f>
        <v>0</v>
      </c>
      <c r="I146" s="278">
        <f ca="1">'JPY Swap PVs'!AN15</f>
        <v>-223749.91847392195</v>
      </c>
      <c r="J146" s="278">
        <f ca="1">'JPY Swap PVs'!AO15</f>
        <v>-447499.83694784372</v>
      </c>
      <c r="K146" s="278">
        <f ca="1">'JPY Swap PVs'!AP15</f>
        <v>-671249.75542176561</v>
      </c>
      <c r="L146" s="278">
        <f ca="1">'JPY Swap PVs'!AQ15</f>
        <v>-894999.67389568756</v>
      </c>
      <c r="M146" s="279">
        <f ca="1">'JPY Swap PVs'!AR15</f>
        <v>-1118749.5923696093</v>
      </c>
    </row>
    <row r="147" spans="2:26">
      <c r="B147" s="282" t="s">
        <v>17</v>
      </c>
      <c r="C147" s="278">
        <f ca="1">'JPY Swap PVs'!AH16</f>
        <v>1290632.4929388373</v>
      </c>
      <c r="D147" s="278">
        <f ca="1">'JPY Swap PVs'!AI16</f>
        <v>1032505.9943510699</v>
      </c>
      <c r="E147" s="278">
        <f ca="1">'JPY Swap PVs'!AJ16</f>
        <v>774379.49576330232</v>
      </c>
      <c r="F147" s="278">
        <f ca="1">'JPY Swap PVs'!AK16</f>
        <v>516252.99717553472</v>
      </c>
      <c r="G147" s="278">
        <f ca="1">'JPY Swap PVs'!AL16</f>
        <v>258126.49858776727</v>
      </c>
      <c r="H147" s="278">
        <f ca="1">'JPY Swap PVs'!AM16</f>
        <v>-1.1102230246251565E-10</v>
      </c>
      <c r="I147" s="278">
        <f ca="1">'JPY Swap PVs'!AN16</f>
        <v>-258126.49858776765</v>
      </c>
      <c r="J147" s="278">
        <f ca="1">'JPY Swap PVs'!AO16</f>
        <v>-516252.99717553495</v>
      </c>
      <c r="K147" s="278">
        <f ca="1">'JPY Swap PVs'!AP16</f>
        <v>-774379.49576330255</v>
      </c>
      <c r="L147" s="278">
        <f ca="1">'JPY Swap PVs'!AQ16</f>
        <v>-1032505.9943510699</v>
      </c>
      <c r="M147" s="279">
        <f ca="1">'JPY Swap PVs'!AR16</f>
        <v>-1290632.4929388377</v>
      </c>
    </row>
    <row r="148" spans="2:26">
      <c r="B148" s="282" t="s">
        <v>16</v>
      </c>
      <c r="C148" s="278">
        <f ca="1">'JPY Swap PVs'!AH17</f>
        <v>1446702.4249023669</v>
      </c>
      <c r="D148" s="278">
        <f ca="1">'JPY Swap PVs'!AI17</f>
        <v>1157361.9399218934</v>
      </c>
      <c r="E148" s="278">
        <f ca="1">'JPY Swap PVs'!AJ17</f>
        <v>868021.45494142</v>
      </c>
      <c r="F148" s="278">
        <f ca="1">'JPY Swap PVs'!AK17</f>
        <v>578680.96996094659</v>
      </c>
      <c r="G148" s="278">
        <f ca="1">'JPY Swap PVs'!AL17</f>
        <v>289340.48498047329</v>
      </c>
      <c r="H148" s="278">
        <f ca="1">'JPY Swap PVs'!AM17</f>
        <v>5.5511151231257827E-11</v>
      </c>
      <c r="I148" s="278">
        <f ca="1">'JPY Swap PVs'!AN17</f>
        <v>-289340.48498047329</v>
      </c>
      <c r="J148" s="278">
        <f ca="1">'JPY Swap PVs'!AO17</f>
        <v>-578680.96996094659</v>
      </c>
      <c r="K148" s="278">
        <f ca="1">'JPY Swap PVs'!AP17</f>
        <v>-868021.45494142</v>
      </c>
      <c r="L148" s="278">
        <f ca="1">'JPY Swap PVs'!AQ17</f>
        <v>-1157361.9399218934</v>
      </c>
      <c r="M148" s="279">
        <f ca="1">'JPY Swap PVs'!AR17</f>
        <v>-1446702.4249023665</v>
      </c>
    </row>
    <row r="149" spans="2:26">
      <c r="B149" s="282" t="s">
        <v>15</v>
      </c>
      <c r="C149" s="278">
        <f ca="1">'JPY Swap PVs'!AH18</f>
        <v>1588249.3628229061</v>
      </c>
      <c r="D149" s="278">
        <f ca="1">'JPY Swap PVs'!AI18</f>
        <v>1270599.4902583249</v>
      </c>
      <c r="E149" s="278">
        <f ca="1">'JPY Swap PVs'!AJ18</f>
        <v>952949.61769374355</v>
      </c>
      <c r="F149" s="278">
        <f ca="1">'JPY Swap PVs'!AK18</f>
        <v>635299.74512916221</v>
      </c>
      <c r="G149" s="278">
        <f ca="1">'JPY Swap PVs'!AL18</f>
        <v>317649.87256458099</v>
      </c>
      <c r="H149" s="278">
        <f ca="1">'JPY Swap PVs'!AM18</f>
        <v>-1.1102230246251565E-10</v>
      </c>
      <c r="I149" s="278">
        <f ca="1">'JPY Swap PVs'!AN18</f>
        <v>-317649.87256458146</v>
      </c>
      <c r="J149" s="278">
        <f ca="1">'JPY Swap PVs'!AO18</f>
        <v>-635299.74512916256</v>
      </c>
      <c r="K149" s="278">
        <f ca="1">'JPY Swap PVs'!AP18</f>
        <v>-952949.6176937439</v>
      </c>
      <c r="L149" s="278">
        <f ca="1">'JPY Swap PVs'!AQ18</f>
        <v>-1270599.4902583254</v>
      </c>
      <c r="M149" s="279">
        <f ca="1">'JPY Swap PVs'!AR18</f>
        <v>-1588249.3628229066</v>
      </c>
    </row>
    <row r="150" spans="2:26">
      <c r="B150" s="282"/>
      <c r="C150" s="278"/>
      <c r="D150" s="278"/>
      <c r="E150" s="278"/>
      <c r="F150" s="278"/>
      <c r="G150" s="278"/>
      <c r="H150" s="278"/>
      <c r="I150" s="278"/>
      <c r="J150" s="278"/>
      <c r="K150" s="278"/>
      <c r="L150" s="278"/>
      <c r="M150" s="279"/>
    </row>
    <row r="151" spans="2:26">
      <c r="B151" s="282"/>
      <c r="C151" s="278"/>
      <c r="D151" s="278"/>
      <c r="E151" s="278"/>
      <c r="F151" s="278"/>
      <c r="G151" s="278"/>
      <c r="H151" s="278"/>
      <c r="I151" s="278"/>
      <c r="J151" s="278"/>
      <c r="K151" s="278"/>
      <c r="L151" s="278"/>
      <c r="M151" s="279"/>
    </row>
    <row r="152" spans="2:26">
      <c r="B152" s="282"/>
      <c r="C152" s="278"/>
      <c r="D152" s="278"/>
      <c r="E152" s="278"/>
      <c r="F152" s="278"/>
      <c r="G152" s="278"/>
      <c r="H152" s="278"/>
      <c r="I152" s="278"/>
      <c r="J152" s="278"/>
      <c r="K152" s="278"/>
      <c r="L152" s="278"/>
      <c r="M152" s="279"/>
    </row>
    <row r="153" spans="2:26">
      <c r="B153" s="283"/>
      <c r="C153" s="280"/>
      <c r="D153" s="280"/>
      <c r="E153" s="280"/>
      <c r="F153" s="280"/>
      <c r="G153" s="280"/>
      <c r="H153" s="280"/>
      <c r="I153" s="280"/>
      <c r="J153" s="280"/>
      <c r="K153" s="280"/>
      <c r="L153" s="280"/>
      <c r="M153" s="281"/>
    </row>
    <row r="155" spans="2:26">
      <c r="B155" s="258" t="s">
        <v>472</v>
      </c>
      <c r="O155" s="258" t="s">
        <v>472</v>
      </c>
    </row>
    <row r="156" spans="2:26">
      <c r="B156" s="254" t="s">
        <v>468</v>
      </c>
      <c r="C156" s="276">
        <v>-0.05</v>
      </c>
      <c r="D156" s="276">
        <v>-0.04</v>
      </c>
      <c r="E156" s="276">
        <v>-0.03</v>
      </c>
      <c r="F156" s="276">
        <v>-1.9999999999999997E-2</v>
      </c>
      <c r="G156" s="276">
        <v>-9.9999999999999967E-3</v>
      </c>
      <c r="H156" s="276">
        <v>0</v>
      </c>
      <c r="I156" s="276">
        <v>0.01</v>
      </c>
      <c r="J156" s="276">
        <v>0.02</v>
      </c>
      <c r="K156" s="276">
        <v>0.03</v>
      </c>
      <c r="L156" s="276">
        <v>0.04</v>
      </c>
      <c r="M156" s="277">
        <v>0.05</v>
      </c>
      <c r="O156" s="254" t="s">
        <v>468</v>
      </c>
      <c r="P156" s="276">
        <v>-0.05</v>
      </c>
      <c r="Q156" s="276">
        <v>-0.04</v>
      </c>
      <c r="R156" s="276">
        <v>-0.03</v>
      </c>
      <c r="S156" s="276">
        <v>-1.9999999999999997E-2</v>
      </c>
      <c r="T156" s="276">
        <v>-9.9999999999999967E-3</v>
      </c>
      <c r="U156" s="276">
        <v>0</v>
      </c>
      <c r="V156" s="276">
        <v>0.01</v>
      </c>
      <c r="W156" s="276">
        <v>0.02</v>
      </c>
      <c r="X156" s="276">
        <v>0.03</v>
      </c>
      <c r="Y156" s="276">
        <v>0.04</v>
      </c>
      <c r="Z156" s="277">
        <v>0.05</v>
      </c>
    </row>
    <row r="157" spans="2:26">
      <c r="B157" s="282" t="s">
        <v>39</v>
      </c>
      <c r="C157" s="278">
        <f ca="1">IF(C135&gt;D135,0,1)</f>
        <v>0</v>
      </c>
      <c r="D157" s="278">
        <f t="shared" ref="D157:L157" ca="1" si="26">IF(D135&gt;E135,0,1)</f>
        <v>0</v>
      </c>
      <c r="E157" s="278">
        <f t="shared" ca="1" si="26"/>
        <v>0</v>
      </c>
      <c r="F157" s="278">
        <f t="shared" ca="1" si="26"/>
        <v>0</v>
      </c>
      <c r="G157" s="278">
        <f t="shared" ca="1" si="26"/>
        <v>0</v>
      </c>
      <c r="H157" s="278">
        <f t="shared" ca="1" si="26"/>
        <v>0</v>
      </c>
      <c r="I157" s="278">
        <f t="shared" ca="1" si="26"/>
        <v>0</v>
      </c>
      <c r="J157" s="278">
        <f t="shared" ca="1" si="26"/>
        <v>0</v>
      </c>
      <c r="K157" s="278">
        <f t="shared" ca="1" si="26"/>
        <v>0</v>
      </c>
      <c r="L157" s="278">
        <f t="shared" ca="1" si="26"/>
        <v>0</v>
      </c>
      <c r="M157" s="285" t="s">
        <v>6</v>
      </c>
      <c r="O157" s="282" t="s">
        <v>39</v>
      </c>
      <c r="P157" s="289">
        <f ca="1">IF(ABS(C136)&gt;ABS(C135),0,1)</f>
        <v>0</v>
      </c>
      <c r="Q157" s="289">
        <f t="shared" ref="Q157:Q170" ca="1" si="27">IF(ABS(D136)&gt;ABS(D135),0,1)</f>
        <v>0</v>
      </c>
      <c r="R157" s="289">
        <f t="shared" ref="R157:R170" ca="1" si="28">IF(ABS(E136)&gt;ABS(E135),0,1)</f>
        <v>0</v>
      </c>
      <c r="S157" s="289">
        <f t="shared" ref="S157:S170" ca="1" si="29">IF(ABS(F136)&gt;ABS(F135),0,1)</f>
        <v>0</v>
      </c>
      <c r="T157" s="289">
        <f t="shared" ref="T157:T170" ca="1" si="30">IF(ABS(G136)&gt;ABS(G135),0,1)</f>
        <v>0</v>
      </c>
      <c r="U157" s="295" t="s">
        <v>6</v>
      </c>
      <c r="V157" s="289">
        <f t="shared" ref="V157:V170" ca="1" si="31">IF(ABS(I136)&gt;ABS(I135),0,1)</f>
        <v>0</v>
      </c>
      <c r="W157" s="289">
        <f t="shared" ref="W157:W170" ca="1" si="32">IF(ABS(J136)&gt;ABS(J135),0,1)</f>
        <v>0</v>
      </c>
      <c r="X157" s="289">
        <f t="shared" ref="X157:X170" ca="1" si="33">IF(ABS(K136)&gt;ABS(K135),0,1)</f>
        <v>0</v>
      </c>
      <c r="Y157" s="289">
        <f t="shared" ref="Y157:Y170" ca="1" si="34">IF(ABS(L136)&gt;ABS(L135),0,1)</f>
        <v>0</v>
      </c>
      <c r="Z157" s="291">
        <f t="shared" ref="Z157:Z170" ca="1" si="35">IF(ABS(M136)&gt;ABS(M135),0,1)</f>
        <v>0</v>
      </c>
    </row>
    <row r="158" spans="2:26">
      <c r="B158" s="282" t="s">
        <v>35</v>
      </c>
      <c r="C158" s="278">
        <f t="shared" ref="C158:L173" ca="1" si="36">IF(C136&gt;D136,0,1)</f>
        <v>0</v>
      </c>
      <c r="D158" s="278">
        <f t="shared" ca="1" si="36"/>
        <v>0</v>
      </c>
      <c r="E158" s="278">
        <f t="shared" ca="1" si="36"/>
        <v>0</v>
      </c>
      <c r="F158" s="278">
        <f t="shared" ca="1" si="36"/>
        <v>0</v>
      </c>
      <c r="G158" s="278">
        <f t="shared" ca="1" si="36"/>
        <v>0</v>
      </c>
      <c r="H158" s="278">
        <f t="shared" ca="1" si="36"/>
        <v>0</v>
      </c>
      <c r="I158" s="278">
        <f t="shared" ca="1" si="36"/>
        <v>0</v>
      </c>
      <c r="J158" s="278">
        <f t="shared" ca="1" si="36"/>
        <v>0</v>
      </c>
      <c r="K158" s="278">
        <f t="shared" ca="1" si="36"/>
        <v>0</v>
      </c>
      <c r="L158" s="278">
        <f t="shared" ca="1" si="36"/>
        <v>0</v>
      </c>
      <c r="M158" s="279" t="s">
        <v>6</v>
      </c>
      <c r="O158" s="282" t="s">
        <v>35</v>
      </c>
      <c r="P158" s="289">
        <f t="shared" ref="P158:P170" ca="1" si="37">IF(ABS(C137)&gt;ABS(C136),0,1)</f>
        <v>0</v>
      </c>
      <c r="Q158" s="289">
        <f t="shared" ca="1" si="27"/>
        <v>0</v>
      </c>
      <c r="R158" s="289">
        <f t="shared" ca="1" si="28"/>
        <v>0</v>
      </c>
      <c r="S158" s="289">
        <f t="shared" ca="1" si="29"/>
        <v>0</v>
      </c>
      <c r="T158" s="289">
        <f t="shared" ca="1" si="30"/>
        <v>0</v>
      </c>
      <c r="U158" s="295" t="s">
        <v>6</v>
      </c>
      <c r="V158" s="289">
        <f t="shared" ca="1" si="31"/>
        <v>0</v>
      </c>
      <c r="W158" s="289">
        <f t="shared" ca="1" si="32"/>
        <v>0</v>
      </c>
      <c r="X158" s="289">
        <f t="shared" ca="1" si="33"/>
        <v>0</v>
      </c>
      <c r="Y158" s="289">
        <f t="shared" ca="1" si="34"/>
        <v>0</v>
      </c>
      <c r="Z158" s="292">
        <f t="shared" ca="1" si="35"/>
        <v>0</v>
      </c>
    </row>
    <row r="159" spans="2:26">
      <c r="B159" s="282" t="s">
        <v>33</v>
      </c>
      <c r="C159" s="278">
        <f t="shared" ca="1" si="36"/>
        <v>0</v>
      </c>
      <c r="D159" s="278">
        <f t="shared" ca="1" si="36"/>
        <v>0</v>
      </c>
      <c r="E159" s="278">
        <f t="shared" ca="1" si="36"/>
        <v>0</v>
      </c>
      <c r="F159" s="278">
        <f t="shared" ca="1" si="36"/>
        <v>0</v>
      </c>
      <c r="G159" s="278">
        <f t="shared" ca="1" si="36"/>
        <v>0</v>
      </c>
      <c r="H159" s="278">
        <f t="shared" ca="1" si="36"/>
        <v>0</v>
      </c>
      <c r="I159" s="278">
        <f t="shared" ca="1" si="36"/>
        <v>0</v>
      </c>
      <c r="J159" s="278">
        <f t="shared" ca="1" si="36"/>
        <v>0</v>
      </c>
      <c r="K159" s="278">
        <f t="shared" ca="1" si="36"/>
        <v>0</v>
      </c>
      <c r="L159" s="278">
        <f t="shared" ca="1" si="36"/>
        <v>0</v>
      </c>
      <c r="M159" s="279" t="s">
        <v>6</v>
      </c>
      <c r="O159" s="282" t="s">
        <v>33</v>
      </c>
      <c r="P159" s="289">
        <f t="shared" ca="1" si="37"/>
        <v>0</v>
      </c>
      <c r="Q159" s="289">
        <f t="shared" ca="1" si="27"/>
        <v>0</v>
      </c>
      <c r="R159" s="289">
        <f t="shared" ca="1" si="28"/>
        <v>0</v>
      </c>
      <c r="S159" s="289">
        <f t="shared" ca="1" si="29"/>
        <v>0</v>
      </c>
      <c r="T159" s="289">
        <f t="shared" ca="1" si="30"/>
        <v>0</v>
      </c>
      <c r="U159" s="295" t="s">
        <v>6</v>
      </c>
      <c r="V159" s="289">
        <f t="shared" ca="1" si="31"/>
        <v>0</v>
      </c>
      <c r="W159" s="289">
        <f t="shared" ca="1" si="32"/>
        <v>0</v>
      </c>
      <c r="X159" s="289">
        <f t="shared" ca="1" si="33"/>
        <v>0</v>
      </c>
      <c r="Y159" s="289">
        <f t="shared" ca="1" si="34"/>
        <v>0</v>
      </c>
      <c r="Z159" s="292">
        <f t="shared" ca="1" si="35"/>
        <v>0</v>
      </c>
    </row>
    <row r="160" spans="2:26">
      <c r="B160" s="282" t="s">
        <v>131</v>
      </c>
      <c r="C160" s="278">
        <f t="shared" ca="1" si="36"/>
        <v>0</v>
      </c>
      <c r="D160" s="278">
        <f t="shared" ca="1" si="36"/>
        <v>0</v>
      </c>
      <c r="E160" s="278">
        <f t="shared" ca="1" si="36"/>
        <v>0</v>
      </c>
      <c r="F160" s="278">
        <f t="shared" ca="1" si="36"/>
        <v>0</v>
      </c>
      <c r="G160" s="278">
        <f t="shared" ca="1" si="36"/>
        <v>0</v>
      </c>
      <c r="H160" s="278">
        <f t="shared" ca="1" si="36"/>
        <v>0</v>
      </c>
      <c r="I160" s="278">
        <f t="shared" ca="1" si="36"/>
        <v>0</v>
      </c>
      <c r="J160" s="278">
        <f t="shared" ca="1" si="36"/>
        <v>0</v>
      </c>
      <c r="K160" s="278">
        <f t="shared" ca="1" si="36"/>
        <v>0</v>
      </c>
      <c r="L160" s="278">
        <f t="shared" ca="1" si="36"/>
        <v>0</v>
      </c>
      <c r="M160" s="279" t="s">
        <v>6</v>
      </c>
      <c r="O160" s="282" t="s">
        <v>131</v>
      </c>
      <c r="P160" s="289">
        <f t="shared" ca="1" si="37"/>
        <v>0</v>
      </c>
      <c r="Q160" s="289">
        <f t="shared" ca="1" si="27"/>
        <v>0</v>
      </c>
      <c r="R160" s="289">
        <f t="shared" ca="1" si="28"/>
        <v>0</v>
      </c>
      <c r="S160" s="289">
        <f t="shared" ca="1" si="29"/>
        <v>0</v>
      </c>
      <c r="T160" s="289">
        <f t="shared" ca="1" si="30"/>
        <v>0</v>
      </c>
      <c r="U160" s="295" t="s">
        <v>6</v>
      </c>
      <c r="V160" s="289">
        <f t="shared" ca="1" si="31"/>
        <v>0</v>
      </c>
      <c r="W160" s="289">
        <f t="shared" ca="1" si="32"/>
        <v>0</v>
      </c>
      <c r="X160" s="289">
        <f t="shared" ca="1" si="33"/>
        <v>0</v>
      </c>
      <c r="Y160" s="289">
        <f t="shared" ca="1" si="34"/>
        <v>0</v>
      </c>
      <c r="Z160" s="292">
        <f t="shared" ca="1" si="35"/>
        <v>0</v>
      </c>
    </row>
    <row r="161" spans="2:26">
      <c r="B161" s="282" t="s">
        <v>31</v>
      </c>
      <c r="C161" s="278">
        <f t="shared" ca="1" si="36"/>
        <v>0</v>
      </c>
      <c r="D161" s="278">
        <f t="shared" ca="1" si="36"/>
        <v>0</v>
      </c>
      <c r="E161" s="278">
        <f t="shared" ca="1" si="36"/>
        <v>0</v>
      </c>
      <c r="F161" s="278">
        <f t="shared" ca="1" si="36"/>
        <v>0</v>
      </c>
      <c r="G161" s="278">
        <f t="shared" ca="1" si="36"/>
        <v>0</v>
      </c>
      <c r="H161" s="278">
        <f t="shared" ca="1" si="36"/>
        <v>0</v>
      </c>
      <c r="I161" s="278">
        <f t="shared" ca="1" si="36"/>
        <v>0</v>
      </c>
      <c r="J161" s="278">
        <f t="shared" ca="1" si="36"/>
        <v>0</v>
      </c>
      <c r="K161" s="278">
        <f t="shared" ca="1" si="36"/>
        <v>0</v>
      </c>
      <c r="L161" s="278">
        <f t="shared" ca="1" si="36"/>
        <v>0</v>
      </c>
      <c r="M161" s="279" t="s">
        <v>6</v>
      </c>
      <c r="O161" s="282" t="s">
        <v>31</v>
      </c>
      <c r="P161" s="289">
        <f t="shared" ca="1" si="37"/>
        <v>0</v>
      </c>
      <c r="Q161" s="289">
        <f t="shared" ca="1" si="27"/>
        <v>0</v>
      </c>
      <c r="R161" s="289">
        <f t="shared" ca="1" si="28"/>
        <v>0</v>
      </c>
      <c r="S161" s="289">
        <f t="shared" ca="1" si="29"/>
        <v>0</v>
      </c>
      <c r="T161" s="289">
        <f t="shared" ca="1" si="30"/>
        <v>0</v>
      </c>
      <c r="U161" s="295" t="s">
        <v>6</v>
      </c>
      <c r="V161" s="289">
        <f t="shared" ca="1" si="31"/>
        <v>0</v>
      </c>
      <c r="W161" s="289">
        <f t="shared" ca="1" si="32"/>
        <v>0</v>
      </c>
      <c r="X161" s="289">
        <f t="shared" ca="1" si="33"/>
        <v>0</v>
      </c>
      <c r="Y161" s="289">
        <f t="shared" ca="1" si="34"/>
        <v>0</v>
      </c>
      <c r="Z161" s="292">
        <f t="shared" ca="1" si="35"/>
        <v>0</v>
      </c>
    </row>
    <row r="162" spans="2:26">
      <c r="B162" s="282" t="s">
        <v>119</v>
      </c>
      <c r="C162" s="278">
        <f t="shared" ca="1" si="36"/>
        <v>0</v>
      </c>
      <c r="D162" s="278">
        <f t="shared" ca="1" si="36"/>
        <v>0</v>
      </c>
      <c r="E162" s="278">
        <f t="shared" ca="1" si="36"/>
        <v>0</v>
      </c>
      <c r="F162" s="278">
        <f t="shared" ca="1" si="36"/>
        <v>0</v>
      </c>
      <c r="G162" s="278">
        <f t="shared" ca="1" si="36"/>
        <v>0</v>
      </c>
      <c r="H162" s="278">
        <f t="shared" ca="1" si="36"/>
        <v>0</v>
      </c>
      <c r="I162" s="278">
        <f t="shared" ca="1" si="36"/>
        <v>0</v>
      </c>
      <c r="J162" s="278">
        <f t="shared" ca="1" si="36"/>
        <v>0</v>
      </c>
      <c r="K162" s="278">
        <f t="shared" ca="1" si="36"/>
        <v>0</v>
      </c>
      <c r="L162" s="278">
        <f t="shared" ca="1" si="36"/>
        <v>0</v>
      </c>
      <c r="M162" s="279" t="s">
        <v>6</v>
      </c>
      <c r="O162" s="282" t="s">
        <v>119</v>
      </c>
      <c r="P162" s="289">
        <f t="shared" ca="1" si="37"/>
        <v>0</v>
      </c>
      <c r="Q162" s="289">
        <f t="shared" ca="1" si="27"/>
        <v>0</v>
      </c>
      <c r="R162" s="289">
        <f t="shared" ca="1" si="28"/>
        <v>0</v>
      </c>
      <c r="S162" s="289">
        <f t="shared" ca="1" si="29"/>
        <v>0</v>
      </c>
      <c r="T162" s="289">
        <f t="shared" ca="1" si="30"/>
        <v>0</v>
      </c>
      <c r="U162" s="295" t="s">
        <v>6</v>
      </c>
      <c r="V162" s="289">
        <f t="shared" ca="1" si="31"/>
        <v>0</v>
      </c>
      <c r="W162" s="289">
        <f t="shared" ca="1" si="32"/>
        <v>0</v>
      </c>
      <c r="X162" s="289">
        <f t="shared" ca="1" si="33"/>
        <v>0</v>
      </c>
      <c r="Y162" s="289">
        <f t="shared" ca="1" si="34"/>
        <v>0</v>
      </c>
      <c r="Z162" s="292">
        <f t="shared" ca="1" si="35"/>
        <v>0</v>
      </c>
    </row>
    <row r="163" spans="2:26">
      <c r="B163" s="282" t="s">
        <v>113</v>
      </c>
      <c r="C163" s="278">
        <f t="shared" ca="1" si="36"/>
        <v>0</v>
      </c>
      <c r="D163" s="278">
        <f t="shared" ca="1" si="36"/>
        <v>0</v>
      </c>
      <c r="E163" s="278">
        <f t="shared" ca="1" si="36"/>
        <v>0</v>
      </c>
      <c r="F163" s="278">
        <f t="shared" ca="1" si="36"/>
        <v>0</v>
      </c>
      <c r="G163" s="278">
        <f t="shared" ca="1" si="36"/>
        <v>0</v>
      </c>
      <c r="H163" s="278">
        <f t="shared" ca="1" si="36"/>
        <v>0</v>
      </c>
      <c r="I163" s="278">
        <f t="shared" ca="1" si="36"/>
        <v>0</v>
      </c>
      <c r="J163" s="278">
        <f t="shared" ca="1" si="36"/>
        <v>0</v>
      </c>
      <c r="K163" s="278">
        <f t="shared" ca="1" si="36"/>
        <v>0</v>
      </c>
      <c r="L163" s="278">
        <f t="shared" ca="1" si="36"/>
        <v>0</v>
      </c>
      <c r="M163" s="279" t="s">
        <v>6</v>
      </c>
      <c r="O163" s="282" t="s">
        <v>113</v>
      </c>
      <c r="P163" s="289">
        <f t="shared" ca="1" si="37"/>
        <v>0</v>
      </c>
      <c r="Q163" s="289">
        <f t="shared" ca="1" si="27"/>
        <v>0</v>
      </c>
      <c r="R163" s="289">
        <f t="shared" ca="1" si="28"/>
        <v>0</v>
      </c>
      <c r="S163" s="289">
        <f t="shared" ca="1" si="29"/>
        <v>0</v>
      </c>
      <c r="T163" s="289">
        <f t="shared" ca="1" si="30"/>
        <v>0</v>
      </c>
      <c r="U163" s="295" t="s">
        <v>6</v>
      </c>
      <c r="V163" s="289">
        <f t="shared" ca="1" si="31"/>
        <v>0</v>
      </c>
      <c r="W163" s="289">
        <f t="shared" ca="1" si="32"/>
        <v>0</v>
      </c>
      <c r="X163" s="289">
        <f t="shared" ca="1" si="33"/>
        <v>0</v>
      </c>
      <c r="Y163" s="289">
        <f t="shared" ca="1" si="34"/>
        <v>0</v>
      </c>
      <c r="Z163" s="292">
        <f t="shared" ca="1" si="35"/>
        <v>0</v>
      </c>
    </row>
    <row r="164" spans="2:26">
      <c r="B164" s="282" t="s">
        <v>28</v>
      </c>
      <c r="C164" s="278">
        <f t="shared" ca="1" si="36"/>
        <v>0</v>
      </c>
      <c r="D164" s="278">
        <f t="shared" ca="1" si="36"/>
        <v>0</v>
      </c>
      <c r="E164" s="278">
        <f t="shared" ca="1" si="36"/>
        <v>0</v>
      </c>
      <c r="F164" s="278">
        <f t="shared" ca="1" si="36"/>
        <v>0</v>
      </c>
      <c r="G164" s="278">
        <f t="shared" ca="1" si="36"/>
        <v>0</v>
      </c>
      <c r="H164" s="278">
        <f t="shared" ca="1" si="36"/>
        <v>0</v>
      </c>
      <c r="I164" s="278">
        <f t="shared" ca="1" si="36"/>
        <v>0</v>
      </c>
      <c r="J164" s="278">
        <f t="shared" ca="1" si="36"/>
        <v>0</v>
      </c>
      <c r="K164" s="278">
        <f t="shared" ca="1" si="36"/>
        <v>0</v>
      </c>
      <c r="L164" s="278">
        <f t="shared" ca="1" si="36"/>
        <v>0</v>
      </c>
      <c r="M164" s="279" t="s">
        <v>6</v>
      </c>
      <c r="O164" s="282" t="s">
        <v>28</v>
      </c>
      <c r="P164" s="289">
        <f t="shared" ca="1" si="37"/>
        <v>0</v>
      </c>
      <c r="Q164" s="289">
        <f t="shared" ca="1" si="27"/>
        <v>0</v>
      </c>
      <c r="R164" s="289">
        <f t="shared" ca="1" si="28"/>
        <v>0</v>
      </c>
      <c r="S164" s="289">
        <f t="shared" ca="1" si="29"/>
        <v>0</v>
      </c>
      <c r="T164" s="289">
        <f t="shared" ca="1" si="30"/>
        <v>0</v>
      </c>
      <c r="U164" s="295" t="s">
        <v>6</v>
      </c>
      <c r="V164" s="289">
        <f t="shared" ca="1" si="31"/>
        <v>0</v>
      </c>
      <c r="W164" s="289">
        <f t="shared" ca="1" si="32"/>
        <v>0</v>
      </c>
      <c r="X164" s="289">
        <f t="shared" ca="1" si="33"/>
        <v>0</v>
      </c>
      <c r="Y164" s="289">
        <f t="shared" ca="1" si="34"/>
        <v>0</v>
      </c>
      <c r="Z164" s="292">
        <f t="shared" ca="1" si="35"/>
        <v>0</v>
      </c>
    </row>
    <row r="165" spans="2:26">
      <c r="B165" s="282" t="s">
        <v>26</v>
      </c>
      <c r="C165" s="278">
        <f t="shared" ca="1" si="36"/>
        <v>0</v>
      </c>
      <c r="D165" s="278">
        <f t="shared" ca="1" si="36"/>
        <v>0</v>
      </c>
      <c r="E165" s="278">
        <f t="shared" ca="1" si="36"/>
        <v>0</v>
      </c>
      <c r="F165" s="278">
        <f t="shared" ca="1" si="36"/>
        <v>0</v>
      </c>
      <c r="G165" s="278">
        <f t="shared" ca="1" si="36"/>
        <v>0</v>
      </c>
      <c r="H165" s="278">
        <f t="shared" ca="1" si="36"/>
        <v>0</v>
      </c>
      <c r="I165" s="278">
        <f t="shared" ca="1" si="36"/>
        <v>0</v>
      </c>
      <c r="J165" s="278">
        <f t="shared" ca="1" si="36"/>
        <v>0</v>
      </c>
      <c r="K165" s="278">
        <f t="shared" ca="1" si="36"/>
        <v>0</v>
      </c>
      <c r="L165" s="278">
        <f t="shared" ca="1" si="36"/>
        <v>0</v>
      </c>
      <c r="M165" s="279" t="s">
        <v>6</v>
      </c>
      <c r="O165" s="282" t="s">
        <v>26</v>
      </c>
      <c r="P165" s="289">
        <f t="shared" ca="1" si="37"/>
        <v>0</v>
      </c>
      <c r="Q165" s="289">
        <f t="shared" ca="1" si="27"/>
        <v>0</v>
      </c>
      <c r="R165" s="289">
        <f t="shared" ca="1" si="28"/>
        <v>0</v>
      </c>
      <c r="S165" s="289">
        <f t="shared" ca="1" si="29"/>
        <v>0</v>
      </c>
      <c r="T165" s="289">
        <f t="shared" ca="1" si="30"/>
        <v>0</v>
      </c>
      <c r="U165" s="295" t="s">
        <v>6</v>
      </c>
      <c r="V165" s="289">
        <f t="shared" ca="1" si="31"/>
        <v>0</v>
      </c>
      <c r="W165" s="289">
        <f t="shared" ca="1" si="32"/>
        <v>0</v>
      </c>
      <c r="X165" s="289">
        <f t="shared" ca="1" si="33"/>
        <v>0</v>
      </c>
      <c r="Y165" s="289">
        <f t="shared" ca="1" si="34"/>
        <v>0</v>
      </c>
      <c r="Z165" s="292">
        <f t="shared" ca="1" si="35"/>
        <v>0</v>
      </c>
    </row>
    <row r="166" spans="2:26">
      <c r="B166" s="282" t="s">
        <v>24</v>
      </c>
      <c r="C166" s="278">
        <f t="shared" ca="1" si="36"/>
        <v>0</v>
      </c>
      <c r="D166" s="278">
        <f t="shared" ca="1" si="36"/>
        <v>0</v>
      </c>
      <c r="E166" s="278">
        <f t="shared" ca="1" si="36"/>
        <v>0</v>
      </c>
      <c r="F166" s="278">
        <f t="shared" ca="1" si="36"/>
        <v>0</v>
      </c>
      <c r="G166" s="278">
        <f t="shared" ca="1" si="36"/>
        <v>0</v>
      </c>
      <c r="H166" s="278">
        <f t="shared" ca="1" si="36"/>
        <v>0</v>
      </c>
      <c r="I166" s="278">
        <f t="shared" ca="1" si="36"/>
        <v>0</v>
      </c>
      <c r="J166" s="278">
        <f t="shared" ca="1" si="36"/>
        <v>0</v>
      </c>
      <c r="K166" s="278">
        <f t="shared" ca="1" si="36"/>
        <v>0</v>
      </c>
      <c r="L166" s="278">
        <f t="shared" ca="1" si="36"/>
        <v>0</v>
      </c>
      <c r="M166" s="279" t="s">
        <v>6</v>
      </c>
      <c r="O166" s="282" t="s">
        <v>24</v>
      </c>
      <c r="P166" s="289">
        <f t="shared" ca="1" si="37"/>
        <v>0</v>
      </c>
      <c r="Q166" s="289">
        <f t="shared" ca="1" si="27"/>
        <v>0</v>
      </c>
      <c r="R166" s="289">
        <f t="shared" ca="1" si="28"/>
        <v>0</v>
      </c>
      <c r="S166" s="289">
        <f t="shared" ca="1" si="29"/>
        <v>0</v>
      </c>
      <c r="T166" s="289">
        <f t="shared" ca="1" si="30"/>
        <v>0</v>
      </c>
      <c r="U166" s="295" t="s">
        <v>6</v>
      </c>
      <c r="V166" s="289">
        <f t="shared" ca="1" si="31"/>
        <v>0</v>
      </c>
      <c r="W166" s="289">
        <f t="shared" ca="1" si="32"/>
        <v>0</v>
      </c>
      <c r="X166" s="289">
        <f t="shared" ca="1" si="33"/>
        <v>0</v>
      </c>
      <c r="Y166" s="289">
        <f t="shared" ca="1" si="34"/>
        <v>0</v>
      </c>
      <c r="Z166" s="292">
        <f t="shared" ca="1" si="35"/>
        <v>0</v>
      </c>
    </row>
    <row r="167" spans="2:26">
      <c r="B167" s="282" t="s">
        <v>20</v>
      </c>
      <c r="C167" s="278">
        <f t="shared" ca="1" si="36"/>
        <v>0</v>
      </c>
      <c r="D167" s="278">
        <f t="shared" ca="1" si="36"/>
        <v>0</v>
      </c>
      <c r="E167" s="278">
        <f t="shared" ca="1" si="36"/>
        <v>0</v>
      </c>
      <c r="F167" s="278">
        <f t="shared" ca="1" si="36"/>
        <v>0</v>
      </c>
      <c r="G167" s="278">
        <f t="shared" ca="1" si="36"/>
        <v>0</v>
      </c>
      <c r="H167" s="278">
        <f t="shared" ca="1" si="36"/>
        <v>0</v>
      </c>
      <c r="I167" s="278">
        <f t="shared" ca="1" si="36"/>
        <v>0</v>
      </c>
      <c r="J167" s="278">
        <f t="shared" ca="1" si="36"/>
        <v>0</v>
      </c>
      <c r="K167" s="278">
        <f t="shared" ca="1" si="36"/>
        <v>0</v>
      </c>
      <c r="L167" s="278">
        <f t="shared" ca="1" si="36"/>
        <v>0</v>
      </c>
      <c r="M167" s="279" t="s">
        <v>6</v>
      </c>
      <c r="O167" s="282" t="s">
        <v>20</v>
      </c>
      <c r="P167" s="289">
        <f t="shared" ca="1" si="37"/>
        <v>0</v>
      </c>
      <c r="Q167" s="289">
        <f t="shared" ca="1" si="27"/>
        <v>0</v>
      </c>
      <c r="R167" s="289">
        <f t="shared" ca="1" si="28"/>
        <v>0</v>
      </c>
      <c r="S167" s="289">
        <f t="shared" ca="1" si="29"/>
        <v>0</v>
      </c>
      <c r="T167" s="289">
        <f t="shared" ca="1" si="30"/>
        <v>0</v>
      </c>
      <c r="U167" s="295" t="s">
        <v>6</v>
      </c>
      <c r="V167" s="289">
        <f t="shared" ca="1" si="31"/>
        <v>0</v>
      </c>
      <c r="W167" s="289">
        <f t="shared" ca="1" si="32"/>
        <v>0</v>
      </c>
      <c r="X167" s="289">
        <f t="shared" ca="1" si="33"/>
        <v>0</v>
      </c>
      <c r="Y167" s="289">
        <f t="shared" ca="1" si="34"/>
        <v>0</v>
      </c>
      <c r="Z167" s="292">
        <f t="shared" ca="1" si="35"/>
        <v>0</v>
      </c>
    </row>
    <row r="168" spans="2:26">
      <c r="B168" s="282" t="s">
        <v>18</v>
      </c>
      <c r="C168" s="278">
        <f t="shared" ca="1" si="36"/>
        <v>0</v>
      </c>
      <c r="D168" s="278">
        <f t="shared" ca="1" si="36"/>
        <v>0</v>
      </c>
      <c r="E168" s="278">
        <f t="shared" ca="1" si="36"/>
        <v>0</v>
      </c>
      <c r="F168" s="278">
        <f t="shared" ca="1" si="36"/>
        <v>0</v>
      </c>
      <c r="G168" s="278">
        <f t="shared" ca="1" si="36"/>
        <v>0</v>
      </c>
      <c r="H168" s="278">
        <f t="shared" ca="1" si="36"/>
        <v>0</v>
      </c>
      <c r="I168" s="278">
        <f t="shared" ca="1" si="36"/>
        <v>0</v>
      </c>
      <c r="J168" s="278">
        <f t="shared" ca="1" si="36"/>
        <v>0</v>
      </c>
      <c r="K168" s="278">
        <f t="shared" ca="1" si="36"/>
        <v>0</v>
      </c>
      <c r="L168" s="278">
        <f t="shared" ca="1" si="36"/>
        <v>0</v>
      </c>
      <c r="M168" s="279" t="s">
        <v>6</v>
      </c>
      <c r="O168" s="282" t="s">
        <v>18</v>
      </c>
      <c r="P168" s="289">
        <f t="shared" ca="1" si="37"/>
        <v>0</v>
      </c>
      <c r="Q168" s="289">
        <f t="shared" ca="1" si="27"/>
        <v>0</v>
      </c>
      <c r="R168" s="289">
        <f t="shared" ca="1" si="28"/>
        <v>0</v>
      </c>
      <c r="S168" s="289">
        <f t="shared" ca="1" si="29"/>
        <v>0</v>
      </c>
      <c r="T168" s="289">
        <f t="shared" ca="1" si="30"/>
        <v>0</v>
      </c>
      <c r="U168" s="295" t="s">
        <v>6</v>
      </c>
      <c r="V168" s="289">
        <f t="shared" ca="1" si="31"/>
        <v>0</v>
      </c>
      <c r="W168" s="289">
        <f t="shared" ca="1" si="32"/>
        <v>0</v>
      </c>
      <c r="X168" s="289">
        <f t="shared" ca="1" si="33"/>
        <v>0</v>
      </c>
      <c r="Y168" s="289">
        <f t="shared" ca="1" si="34"/>
        <v>0</v>
      </c>
      <c r="Z168" s="292">
        <f t="shared" ca="1" si="35"/>
        <v>0</v>
      </c>
    </row>
    <row r="169" spans="2:26">
      <c r="B169" s="282" t="s">
        <v>17</v>
      </c>
      <c r="C169" s="278">
        <f t="shared" ca="1" si="36"/>
        <v>0</v>
      </c>
      <c r="D169" s="278">
        <f t="shared" ca="1" si="36"/>
        <v>0</v>
      </c>
      <c r="E169" s="278">
        <f t="shared" ca="1" si="36"/>
        <v>0</v>
      </c>
      <c r="F169" s="278">
        <f t="shared" ca="1" si="36"/>
        <v>0</v>
      </c>
      <c r="G169" s="278">
        <f t="shared" ca="1" si="36"/>
        <v>0</v>
      </c>
      <c r="H169" s="278">
        <f t="shared" ca="1" si="36"/>
        <v>0</v>
      </c>
      <c r="I169" s="278">
        <f t="shared" ca="1" si="36"/>
        <v>0</v>
      </c>
      <c r="J169" s="278">
        <f t="shared" ca="1" si="36"/>
        <v>0</v>
      </c>
      <c r="K169" s="278">
        <f t="shared" ca="1" si="36"/>
        <v>0</v>
      </c>
      <c r="L169" s="278">
        <f t="shared" ca="1" si="36"/>
        <v>0</v>
      </c>
      <c r="M169" s="279" t="s">
        <v>6</v>
      </c>
      <c r="O169" s="282" t="s">
        <v>17</v>
      </c>
      <c r="P169" s="289">
        <f t="shared" ca="1" si="37"/>
        <v>0</v>
      </c>
      <c r="Q169" s="289">
        <f t="shared" ca="1" si="27"/>
        <v>0</v>
      </c>
      <c r="R169" s="289">
        <f t="shared" ca="1" si="28"/>
        <v>0</v>
      </c>
      <c r="S169" s="289">
        <f t="shared" ca="1" si="29"/>
        <v>0</v>
      </c>
      <c r="T169" s="289">
        <f t="shared" ca="1" si="30"/>
        <v>0</v>
      </c>
      <c r="U169" s="295" t="s">
        <v>6</v>
      </c>
      <c r="V169" s="289">
        <f t="shared" ca="1" si="31"/>
        <v>0</v>
      </c>
      <c r="W169" s="289">
        <f t="shared" ca="1" si="32"/>
        <v>0</v>
      </c>
      <c r="X169" s="289">
        <f t="shared" ca="1" si="33"/>
        <v>0</v>
      </c>
      <c r="Y169" s="289">
        <f t="shared" ca="1" si="34"/>
        <v>0</v>
      </c>
      <c r="Z169" s="292">
        <f t="shared" ca="1" si="35"/>
        <v>0</v>
      </c>
    </row>
    <row r="170" spans="2:26">
      <c r="B170" s="282" t="s">
        <v>16</v>
      </c>
      <c r="C170" s="278">
        <f t="shared" ca="1" si="36"/>
        <v>0</v>
      </c>
      <c r="D170" s="278">
        <f t="shared" ca="1" si="36"/>
        <v>0</v>
      </c>
      <c r="E170" s="278">
        <f t="shared" ca="1" si="36"/>
        <v>0</v>
      </c>
      <c r="F170" s="278">
        <f t="shared" ca="1" si="36"/>
        <v>0</v>
      </c>
      <c r="G170" s="278">
        <f t="shared" ca="1" si="36"/>
        <v>0</v>
      </c>
      <c r="H170" s="278">
        <f t="shared" ca="1" si="36"/>
        <v>0</v>
      </c>
      <c r="I170" s="278">
        <f t="shared" ca="1" si="36"/>
        <v>0</v>
      </c>
      <c r="J170" s="278">
        <f t="shared" ca="1" si="36"/>
        <v>0</v>
      </c>
      <c r="K170" s="278">
        <f t="shared" ca="1" si="36"/>
        <v>0</v>
      </c>
      <c r="L170" s="278">
        <f t="shared" ca="1" si="36"/>
        <v>0</v>
      </c>
      <c r="M170" s="279" t="s">
        <v>6</v>
      </c>
      <c r="O170" s="282" t="s">
        <v>16</v>
      </c>
      <c r="P170" s="289">
        <f t="shared" ca="1" si="37"/>
        <v>0</v>
      </c>
      <c r="Q170" s="289">
        <f t="shared" ca="1" si="27"/>
        <v>0</v>
      </c>
      <c r="R170" s="289">
        <f t="shared" ca="1" si="28"/>
        <v>0</v>
      </c>
      <c r="S170" s="289">
        <f t="shared" ca="1" si="29"/>
        <v>0</v>
      </c>
      <c r="T170" s="289">
        <f t="shared" ca="1" si="30"/>
        <v>0</v>
      </c>
      <c r="U170" s="295" t="s">
        <v>6</v>
      </c>
      <c r="V170" s="289">
        <f t="shared" ca="1" si="31"/>
        <v>0</v>
      </c>
      <c r="W170" s="289">
        <f t="shared" ca="1" si="32"/>
        <v>0</v>
      </c>
      <c r="X170" s="289">
        <f t="shared" ca="1" si="33"/>
        <v>0</v>
      </c>
      <c r="Y170" s="289">
        <f t="shared" ca="1" si="34"/>
        <v>0</v>
      </c>
      <c r="Z170" s="292">
        <f t="shared" ca="1" si="35"/>
        <v>0</v>
      </c>
    </row>
    <row r="171" spans="2:26">
      <c r="B171" s="282" t="s">
        <v>15</v>
      </c>
      <c r="C171" s="278">
        <f t="shared" ca="1" si="36"/>
        <v>0</v>
      </c>
      <c r="D171" s="278">
        <f t="shared" ca="1" si="36"/>
        <v>0</v>
      </c>
      <c r="E171" s="278">
        <f t="shared" ca="1" si="36"/>
        <v>0</v>
      </c>
      <c r="F171" s="278">
        <f t="shared" ca="1" si="36"/>
        <v>0</v>
      </c>
      <c r="G171" s="278">
        <f t="shared" ca="1" si="36"/>
        <v>0</v>
      </c>
      <c r="H171" s="278">
        <f t="shared" ca="1" si="36"/>
        <v>0</v>
      </c>
      <c r="I171" s="278">
        <f t="shared" ca="1" si="36"/>
        <v>0</v>
      </c>
      <c r="J171" s="278">
        <f t="shared" ca="1" si="36"/>
        <v>0</v>
      </c>
      <c r="K171" s="278">
        <f t="shared" ca="1" si="36"/>
        <v>0</v>
      </c>
      <c r="L171" s="278">
        <f t="shared" ca="1" si="36"/>
        <v>0</v>
      </c>
      <c r="M171" s="279" t="s">
        <v>6</v>
      </c>
      <c r="O171" s="282" t="s">
        <v>15</v>
      </c>
      <c r="P171" s="295" t="s">
        <v>6</v>
      </c>
      <c r="Q171" s="295" t="s">
        <v>6</v>
      </c>
      <c r="R171" s="295" t="s">
        <v>6</v>
      </c>
      <c r="S171" s="295" t="s">
        <v>6</v>
      </c>
      <c r="T171" s="295" t="s">
        <v>6</v>
      </c>
      <c r="U171" s="295" t="s">
        <v>6</v>
      </c>
      <c r="V171" s="295" t="s">
        <v>6</v>
      </c>
      <c r="W171" s="295" t="s">
        <v>6</v>
      </c>
      <c r="X171" s="295" t="s">
        <v>6</v>
      </c>
      <c r="Y171" s="295" t="s">
        <v>6</v>
      </c>
      <c r="Z171" s="291" t="s">
        <v>6</v>
      </c>
    </row>
    <row r="172" spans="2:26">
      <c r="B172" s="282"/>
      <c r="C172" s="278"/>
      <c r="D172" s="278"/>
      <c r="E172" s="278"/>
      <c r="F172" s="278"/>
      <c r="G172" s="278"/>
      <c r="H172" s="278"/>
      <c r="I172" s="278"/>
      <c r="J172" s="278"/>
      <c r="K172" s="278"/>
      <c r="L172" s="278"/>
      <c r="M172" s="279"/>
      <c r="O172" s="282"/>
      <c r="P172" s="289"/>
      <c r="Q172" s="289"/>
      <c r="R172" s="289"/>
      <c r="S172" s="289"/>
      <c r="T172" s="289"/>
      <c r="U172" s="295"/>
      <c r="V172" s="289"/>
      <c r="W172" s="289"/>
      <c r="X172" s="289"/>
      <c r="Y172" s="289"/>
      <c r="Z172" s="292"/>
    </row>
    <row r="173" spans="2:26">
      <c r="B173" s="282"/>
      <c r="C173" s="278"/>
      <c r="D173" s="278"/>
      <c r="E173" s="278"/>
      <c r="F173" s="278"/>
      <c r="G173" s="278"/>
      <c r="H173" s="278"/>
      <c r="I173" s="278"/>
      <c r="J173" s="278"/>
      <c r="K173" s="278"/>
      <c r="L173" s="278"/>
      <c r="M173" s="279"/>
      <c r="O173" s="282"/>
      <c r="P173" s="289"/>
      <c r="Q173" s="289"/>
      <c r="R173" s="289"/>
      <c r="S173" s="289"/>
      <c r="T173" s="289"/>
      <c r="U173" s="295"/>
      <c r="V173" s="289"/>
      <c r="W173" s="289"/>
      <c r="X173" s="289"/>
      <c r="Y173" s="289"/>
      <c r="Z173" s="292"/>
    </row>
    <row r="174" spans="2:26">
      <c r="B174" s="282"/>
      <c r="C174" s="278"/>
      <c r="D174" s="278"/>
      <c r="E174" s="278"/>
      <c r="F174" s="278"/>
      <c r="G174" s="278"/>
      <c r="H174" s="278"/>
      <c r="I174" s="278"/>
      <c r="J174" s="278"/>
      <c r="K174" s="278"/>
      <c r="L174" s="278"/>
      <c r="M174" s="279"/>
      <c r="O174" s="282"/>
      <c r="P174" s="289"/>
      <c r="Q174" s="289"/>
      <c r="R174" s="289"/>
      <c r="S174" s="289"/>
      <c r="T174" s="289"/>
      <c r="U174" s="295"/>
      <c r="V174" s="289"/>
      <c r="W174" s="289"/>
      <c r="X174" s="289"/>
      <c r="Y174" s="289"/>
      <c r="Z174" s="292"/>
    </row>
    <row r="175" spans="2:26">
      <c r="B175" s="283"/>
      <c r="C175" s="280"/>
      <c r="D175" s="280"/>
      <c r="E175" s="280"/>
      <c r="F175" s="280"/>
      <c r="G175" s="280"/>
      <c r="H175" s="280"/>
      <c r="I175" s="280"/>
      <c r="J175" s="280"/>
      <c r="K175" s="280"/>
      <c r="L175" s="280"/>
      <c r="M175" s="281"/>
      <c r="O175" s="283"/>
      <c r="P175" s="293"/>
      <c r="Q175" s="293"/>
      <c r="R175" s="293"/>
      <c r="S175" s="293"/>
      <c r="T175" s="293"/>
      <c r="U175" s="296"/>
      <c r="V175" s="293"/>
      <c r="W175" s="293"/>
      <c r="X175" s="293"/>
      <c r="Y175" s="293"/>
      <c r="Z175" s="294"/>
    </row>
    <row r="178" spans="1:13">
      <c r="A178" s="224" t="s">
        <v>481</v>
      </c>
      <c r="B178" s="290" t="s">
        <v>489</v>
      </c>
      <c r="C178" s="284"/>
      <c r="G178" s="290" t="s">
        <v>489</v>
      </c>
    </row>
    <row r="179" spans="1:13">
      <c r="B179" s="284" t="s">
        <v>491</v>
      </c>
      <c r="C179" s="284"/>
      <c r="G179" s="284" t="s">
        <v>492</v>
      </c>
      <c r="H179" s="284"/>
    </row>
    <row r="180" spans="1:13">
      <c r="B180" s="258" t="s">
        <v>474</v>
      </c>
      <c r="C180" s="286">
        <f ca="1">SUM(C206:L224)</f>
        <v>0</v>
      </c>
      <c r="G180" s="258" t="s">
        <v>474</v>
      </c>
      <c r="H180" s="286">
        <f ca="1">SUM(P206:Z224)</f>
        <v>0</v>
      </c>
    </row>
    <row r="182" spans="1:13">
      <c r="B182" s="258" t="s">
        <v>479</v>
      </c>
      <c r="C182" s="258"/>
    </row>
    <row r="183" spans="1:13">
      <c r="B183" s="254" t="s">
        <v>468</v>
      </c>
      <c r="C183" s="287">
        <v>500</v>
      </c>
      <c r="D183" s="287">
        <v>400</v>
      </c>
      <c r="E183" s="287">
        <v>300</v>
      </c>
      <c r="F183" s="287">
        <v>200</v>
      </c>
      <c r="G183" s="287">
        <v>100</v>
      </c>
      <c r="H183" s="287">
        <v>0</v>
      </c>
      <c r="I183" s="287">
        <v>-100</v>
      </c>
      <c r="J183" s="287">
        <v>-200</v>
      </c>
      <c r="K183" s="287">
        <v>-300</v>
      </c>
      <c r="L183" s="287">
        <v>-400</v>
      </c>
      <c r="M183" s="288">
        <v>-500</v>
      </c>
    </row>
    <row r="184" spans="1:13">
      <c r="B184" s="282" t="s">
        <v>39</v>
      </c>
      <c r="C184" s="278">
        <f ca="1">'JPY Swap PVs'!AH29</f>
        <v>152305.28700396296</v>
      </c>
      <c r="D184" s="278">
        <f ca="1">'JPY Swap PVs'!AI29</f>
        <v>121844.22960317037</v>
      </c>
      <c r="E184" s="278">
        <f ca="1">'JPY Swap PVs'!AJ29</f>
        <v>91383.172202377784</v>
      </c>
      <c r="F184" s="278">
        <f ca="1">'JPY Swap PVs'!AK29</f>
        <v>60922.114801585187</v>
      </c>
      <c r="G184" s="278">
        <f ca="1">'JPY Swap PVs'!AL29</f>
        <v>30461.057400792593</v>
      </c>
      <c r="H184" s="278">
        <f ca="1">'JPY Swap PVs'!AM29</f>
        <v>0</v>
      </c>
      <c r="I184" s="278">
        <f ca="1">'JPY Swap PVs'!AN29</f>
        <v>-30461.057400792593</v>
      </c>
      <c r="J184" s="278">
        <f ca="1">'JPY Swap PVs'!AO29</f>
        <v>-60922.11480158518</v>
      </c>
      <c r="K184" s="278">
        <f ca="1">'JPY Swap PVs'!AP29</f>
        <v>-91383.172202377769</v>
      </c>
      <c r="L184" s="278">
        <f ca="1">'JPY Swap PVs'!AQ29</f>
        <v>-121844.22960317034</v>
      </c>
      <c r="M184" s="279">
        <f ca="1">'JPY Swap PVs'!AR29</f>
        <v>-152305.28700396296</v>
      </c>
    </row>
    <row r="185" spans="1:13">
      <c r="B185" s="282" t="s">
        <v>35</v>
      </c>
      <c r="C185" s="278">
        <f ca="1">'JPY Swap PVs'!AH30</f>
        <v>202651.24654409109</v>
      </c>
      <c r="D185" s="278">
        <f ca="1">'JPY Swap PVs'!AI30</f>
        <v>162120.99723527287</v>
      </c>
      <c r="E185" s="278">
        <f ca="1">'JPY Swap PVs'!AJ30</f>
        <v>121590.74792645466</v>
      </c>
      <c r="F185" s="278">
        <f ca="1">'JPY Swap PVs'!AK30</f>
        <v>81060.498617636447</v>
      </c>
      <c r="G185" s="278">
        <f ca="1">'JPY Swap PVs'!AL30</f>
        <v>40530.249308818224</v>
      </c>
      <c r="H185" s="278">
        <f ca="1">'JPY Swap PVs'!AM30</f>
        <v>0</v>
      </c>
      <c r="I185" s="278">
        <f ca="1">'JPY Swap PVs'!AN30</f>
        <v>-40530.249308818224</v>
      </c>
      <c r="J185" s="278">
        <f ca="1">'JPY Swap PVs'!AO30</f>
        <v>-81060.498617636433</v>
      </c>
      <c r="K185" s="278">
        <f ca="1">'JPY Swap PVs'!AP30</f>
        <v>-121590.74792645466</v>
      </c>
      <c r="L185" s="278">
        <f ca="1">'JPY Swap PVs'!AQ30</f>
        <v>-162120.99723527284</v>
      </c>
      <c r="M185" s="279">
        <f ca="1">'JPY Swap PVs'!AR30</f>
        <v>-202651.24654409109</v>
      </c>
    </row>
    <row r="186" spans="1:13">
      <c r="B186" s="282" t="s">
        <v>33</v>
      </c>
      <c r="C186" s="278">
        <f ca="1">'JPY Swap PVs'!AH31</f>
        <v>252965.3495321779</v>
      </c>
      <c r="D186" s="278">
        <f ca="1">'JPY Swap PVs'!AI31</f>
        <v>202372.27962574235</v>
      </c>
      <c r="E186" s="278">
        <f ca="1">'JPY Swap PVs'!AJ31</f>
        <v>151779.20971930676</v>
      </c>
      <c r="F186" s="278">
        <f ca="1">'JPY Swap PVs'!AK31</f>
        <v>101186.13981287119</v>
      </c>
      <c r="G186" s="278">
        <f ca="1">'JPY Swap PVs'!AL31</f>
        <v>50593.069906435587</v>
      </c>
      <c r="H186" s="278">
        <f ca="1">'JPY Swap PVs'!AM31</f>
        <v>0</v>
      </c>
      <c r="I186" s="278">
        <f ca="1">'JPY Swap PVs'!AN31</f>
        <v>-50593.069906435587</v>
      </c>
      <c r="J186" s="278">
        <f ca="1">'JPY Swap PVs'!AO31</f>
        <v>-101186.13981287116</v>
      </c>
      <c r="K186" s="278">
        <f ca="1">'JPY Swap PVs'!AP31</f>
        <v>-151779.20971930676</v>
      </c>
      <c r="L186" s="278">
        <f ca="1">'JPY Swap PVs'!AQ31</f>
        <v>-202372.27962574232</v>
      </c>
      <c r="M186" s="279">
        <f ca="1">'JPY Swap PVs'!AR31</f>
        <v>-252965.3495321779</v>
      </c>
    </row>
    <row r="187" spans="1:13">
      <c r="B187" s="282" t="s">
        <v>131</v>
      </c>
      <c r="C187" s="278">
        <f ca="1">'JPY Swap PVs'!AH32</f>
        <v>303023.70632505207</v>
      </c>
      <c r="D187" s="278">
        <f ca="1">'JPY Swap PVs'!AI32</f>
        <v>242418.96506004164</v>
      </c>
      <c r="E187" s="278">
        <f ca="1">'JPY Swap PVs'!AJ32</f>
        <v>181814.2237950312</v>
      </c>
      <c r="F187" s="278">
        <f ca="1">'JPY Swap PVs'!AK32</f>
        <v>121209.48253002085</v>
      </c>
      <c r="G187" s="278">
        <f ca="1">'JPY Swap PVs'!AL32</f>
        <v>60604.741265010416</v>
      </c>
      <c r="H187" s="278">
        <f ca="1">'JPY Swap PVs'!AM32</f>
        <v>0</v>
      </c>
      <c r="I187" s="278">
        <f ca="1">'JPY Swap PVs'!AN32</f>
        <v>-60604.741265010423</v>
      </c>
      <c r="J187" s="278">
        <f ca="1">'JPY Swap PVs'!AO32</f>
        <v>-121209.48253002082</v>
      </c>
      <c r="K187" s="278">
        <f ca="1">'JPY Swap PVs'!AP32</f>
        <v>-181814.22379503126</v>
      </c>
      <c r="L187" s="278">
        <f ca="1">'JPY Swap PVs'!AQ32</f>
        <v>-242418.96506004164</v>
      </c>
      <c r="M187" s="279">
        <f ca="1">'JPY Swap PVs'!AR32</f>
        <v>-303023.70632505207</v>
      </c>
    </row>
    <row r="188" spans="1:13">
      <c r="B188" s="282" t="s">
        <v>31</v>
      </c>
      <c r="C188" s="278">
        <f ca="1">'JPY Swap PVs'!AH33</f>
        <v>352759.58683206677</v>
      </c>
      <c r="D188" s="278">
        <f ca="1">'JPY Swap PVs'!AI33</f>
        <v>282207.66946565337</v>
      </c>
      <c r="E188" s="278">
        <f ca="1">'JPY Swap PVs'!AJ33</f>
        <v>211655.75209924</v>
      </c>
      <c r="F188" s="278">
        <f ca="1">'JPY Swap PVs'!AK33</f>
        <v>141103.83473282674</v>
      </c>
      <c r="G188" s="278">
        <f ca="1">'JPY Swap PVs'!AL33</f>
        <v>70551.917366413341</v>
      </c>
      <c r="H188" s="278">
        <f ca="1">'JPY Swap PVs'!AM33</f>
        <v>0</v>
      </c>
      <c r="I188" s="278">
        <f ca="1">'JPY Swap PVs'!AN33</f>
        <v>-70551.917366413356</v>
      </c>
      <c r="J188" s="278">
        <f ca="1">'JPY Swap PVs'!AO33</f>
        <v>-141103.83473282668</v>
      </c>
      <c r="K188" s="278">
        <f ca="1">'JPY Swap PVs'!AP33</f>
        <v>-211655.75209924002</v>
      </c>
      <c r="L188" s="278">
        <f ca="1">'JPY Swap PVs'!AQ33</f>
        <v>-282207.66946565337</v>
      </c>
      <c r="M188" s="279">
        <f ca="1">'JPY Swap PVs'!AR33</f>
        <v>-352759.58683206677</v>
      </c>
    </row>
    <row r="189" spans="1:13">
      <c r="B189" s="282" t="s">
        <v>119</v>
      </c>
      <c r="C189" s="278">
        <f ca="1">'JPY Swap PVs'!AH34</f>
        <v>402512.16577848804</v>
      </c>
      <c r="D189" s="278">
        <f ca="1">'JPY Swap PVs'!AI34</f>
        <v>322009.73262279044</v>
      </c>
      <c r="E189" s="278">
        <f ca="1">'JPY Swap PVs'!AJ34</f>
        <v>241507.29946709273</v>
      </c>
      <c r="F189" s="278">
        <f ca="1">'JPY Swap PVs'!AK34</f>
        <v>161004.86631139525</v>
      </c>
      <c r="G189" s="278">
        <f ca="1">'JPY Swap PVs'!AL34</f>
        <v>80502.433155697596</v>
      </c>
      <c r="H189" s="278">
        <f ca="1">'JPY Swap PVs'!AM34</f>
        <v>0</v>
      </c>
      <c r="I189" s="278">
        <f ca="1">'JPY Swap PVs'!AN34</f>
        <v>-80502.43315569761</v>
      </c>
      <c r="J189" s="278">
        <f ca="1">'JPY Swap PVs'!AO34</f>
        <v>-161004.86631139519</v>
      </c>
      <c r="K189" s="278">
        <f ca="1">'JPY Swap PVs'!AP34</f>
        <v>-241507.29946709282</v>
      </c>
      <c r="L189" s="278">
        <f ca="1">'JPY Swap PVs'!AQ34</f>
        <v>-322009.73262279032</v>
      </c>
      <c r="M189" s="279">
        <f ca="1">'JPY Swap PVs'!AR34</f>
        <v>-402512.16577848804</v>
      </c>
    </row>
    <row r="190" spans="1:13">
      <c r="B190" s="282" t="s">
        <v>113</v>
      </c>
      <c r="C190" s="278">
        <f ca="1">'JPY Swap PVs'!AH35</f>
        <v>451282.57886027644</v>
      </c>
      <c r="D190" s="278">
        <f ca="1">'JPY Swap PVs'!AI35</f>
        <v>361026.06308822107</v>
      </c>
      <c r="E190" s="278">
        <f ca="1">'JPY Swap PVs'!AJ35</f>
        <v>270769.54731616576</v>
      </c>
      <c r="F190" s="278">
        <f ca="1">'JPY Swap PVs'!AK35</f>
        <v>180513.03154411062</v>
      </c>
      <c r="G190" s="278">
        <f ca="1">'JPY Swap PVs'!AL35</f>
        <v>90256.515772055267</v>
      </c>
      <c r="H190" s="278">
        <f ca="1">'JPY Swap PVs'!AM35</f>
        <v>0</v>
      </c>
      <c r="I190" s="278">
        <f ca="1">'JPY Swap PVs'!AN35</f>
        <v>-90256.515772055296</v>
      </c>
      <c r="J190" s="278">
        <f ca="1">'JPY Swap PVs'!AO35</f>
        <v>-180513.03154411056</v>
      </c>
      <c r="K190" s="278">
        <f ca="1">'JPY Swap PVs'!AP35</f>
        <v>-270769.54731616587</v>
      </c>
      <c r="L190" s="278">
        <f ca="1">'JPY Swap PVs'!AQ35</f>
        <v>-361026.06308822107</v>
      </c>
      <c r="M190" s="279">
        <f ca="1">'JPY Swap PVs'!AR35</f>
        <v>-451282.57886027644</v>
      </c>
    </row>
    <row r="191" spans="1:13">
      <c r="B191" s="282" t="s">
        <v>28</v>
      </c>
      <c r="C191" s="278">
        <f ca="1">'JPY Swap PVs'!AH36</f>
        <v>499547.94085683505</v>
      </c>
      <c r="D191" s="278">
        <f ca="1">'JPY Swap PVs'!AI36</f>
        <v>399638.35268546798</v>
      </c>
      <c r="E191" s="278">
        <f ca="1">'JPY Swap PVs'!AJ36</f>
        <v>299728.76451410091</v>
      </c>
      <c r="F191" s="278">
        <f ca="1">'JPY Swap PVs'!AK36</f>
        <v>199819.17634273408</v>
      </c>
      <c r="G191" s="278">
        <f ca="1">'JPY Swap PVs'!AL36</f>
        <v>99909.588171366995</v>
      </c>
      <c r="H191" s="278">
        <f ca="1">'JPY Swap PVs'!AM36</f>
        <v>0</v>
      </c>
      <c r="I191" s="278">
        <f ca="1">'JPY Swap PVs'!AN36</f>
        <v>-99909.588171367024</v>
      </c>
      <c r="J191" s="278">
        <f ca="1">'JPY Swap PVs'!AO36</f>
        <v>-199819.17634273399</v>
      </c>
      <c r="K191" s="278">
        <f ca="1">'JPY Swap PVs'!AP36</f>
        <v>-299728.76451410103</v>
      </c>
      <c r="L191" s="278">
        <f ca="1">'JPY Swap PVs'!AQ36</f>
        <v>-399638.35268546798</v>
      </c>
      <c r="M191" s="279">
        <f ca="1">'JPY Swap PVs'!AR36</f>
        <v>-499547.94085683505</v>
      </c>
    </row>
    <row r="192" spans="1:13">
      <c r="B192" s="282" t="s">
        <v>26</v>
      </c>
      <c r="C192" s="278">
        <f ca="1">'JPY Swap PVs'!AH37</f>
        <v>594572.24148861051</v>
      </c>
      <c r="D192" s="278">
        <f ca="1">'JPY Swap PVs'!AI37</f>
        <v>475657.79319088842</v>
      </c>
      <c r="E192" s="278">
        <f ca="1">'JPY Swap PVs'!AJ37</f>
        <v>356743.34489316616</v>
      </c>
      <c r="F192" s="278">
        <f ca="1">'JPY Swap PVs'!AK37</f>
        <v>237828.89659544433</v>
      </c>
      <c r="G192" s="278">
        <f ca="1">'JPY Swap PVs'!AL37</f>
        <v>118914.44829772211</v>
      </c>
      <c r="H192" s="278">
        <f ca="1">'JPY Swap PVs'!AM37</f>
        <v>0</v>
      </c>
      <c r="I192" s="278">
        <f ca="1">'JPY Swap PVs'!AN37</f>
        <v>-118914.44829772212</v>
      </c>
      <c r="J192" s="278">
        <f ca="1">'JPY Swap PVs'!AO37</f>
        <v>-237828.89659544418</v>
      </c>
      <c r="K192" s="278">
        <f ca="1">'JPY Swap PVs'!AP37</f>
        <v>-356743.34489316627</v>
      </c>
      <c r="L192" s="278">
        <f ca="1">'JPY Swap PVs'!AQ37</f>
        <v>-475657.7931908883</v>
      </c>
      <c r="M192" s="279">
        <f ca="1">'JPY Swap PVs'!AR37</f>
        <v>-594572.24148861051</v>
      </c>
    </row>
    <row r="193" spans="2:26">
      <c r="B193" s="282" t="s">
        <v>24</v>
      </c>
      <c r="C193" s="278">
        <f ca="1">'JPY Swap PVs'!AH38</f>
        <v>731887.31731711666</v>
      </c>
      <c r="D193" s="278">
        <f ca="1">'JPY Swap PVs'!AI38</f>
        <v>585509.85385369335</v>
      </c>
      <c r="E193" s="278">
        <f ca="1">'JPY Swap PVs'!AJ38</f>
        <v>439132.39039026987</v>
      </c>
      <c r="F193" s="278">
        <f ca="1">'JPY Swap PVs'!AK38</f>
        <v>292754.92692684679</v>
      </c>
      <c r="G193" s="278">
        <f ca="1">'JPY Swap PVs'!AL38</f>
        <v>146377.46346342331</v>
      </c>
      <c r="H193" s="278">
        <f ca="1">'JPY Swap PVs'!AM38</f>
        <v>0</v>
      </c>
      <c r="I193" s="278">
        <f ca="1">'JPY Swap PVs'!AN38</f>
        <v>-146377.46346342337</v>
      </c>
      <c r="J193" s="278">
        <f ca="1">'JPY Swap PVs'!AO38</f>
        <v>-292754.92692684667</v>
      </c>
      <c r="K193" s="278">
        <f ca="1">'JPY Swap PVs'!AP38</f>
        <v>-439132.3903902701</v>
      </c>
      <c r="L193" s="278">
        <f ca="1">'JPY Swap PVs'!AQ38</f>
        <v>-585509.85385369335</v>
      </c>
      <c r="M193" s="279">
        <f ca="1">'JPY Swap PVs'!AR38</f>
        <v>-731887.31731711677</v>
      </c>
    </row>
    <row r="194" spans="2:26">
      <c r="B194" s="282" t="s">
        <v>20</v>
      </c>
      <c r="C194" s="278">
        <f ca="1">'JPY Swap PVs'!AH39</f>
        <v>943221.63542322617</v>
      </c>
      <c r="D194" s="278">
        <f ca="1">'JPY Swap PVs'!AI39</f>
        <v>754577.30833858089</v>
      </c>
      <c r="E194" s="278">
        <f ca="1">'JPY Swap PVs'!AJ39</f>
        <v>565932.98125393537</v>
      </c>
      <c r="F194" s="278">
        <f ca="1">'JPY Swap PVs'!AK39</f>
        <v>377288.65416929068</v>
      </c>
      <c r="G194" s="278">
        <f ca="1">'JPY Swap PVs'!AL39</f>
        <v>188644.32708464522</v>
      </c>
      <c r="H194" s="278">
        <f ca="1">'JPY Swap PVs'!AM39</f>
        <v>0</v>
      </c>
      <c r="I194" s="278">
        <f ca="1">'JPY Swap PVs'!AN39</f>
        <v>-188644.32708464522</v>
      </c>
      <c r="J194" s="278">
        <f ca="1">'JPY Swap PVs'!AO39</f>
        <v>-377288.65416929044</v>
      </c>
      <c r="K194" s="278">
        <f ca="1">'JPY Swap PVs'!AP39</f>
        <v>-565932.98125393561</v>
      </c>
      <c r="L194" s="278">
        <f ca="1">'JPY Swap PVs'!AQ39</f>
        <v>-754577.30833858089</v>
      </c>
      <c r="M194" s="279">
        <f ca="1">'JPY Swap PVs'!AR39</f>
        <v>-943221.6354232264</v>
      </c>
    </row>
    <row r="195" spans="2:26">
      <c r="B195" s="282" t="s">
        <v>18</v>
      </c>
      <c r="C195" s="278">
        <f ca="1">'JPY Swap PVs'!AH40</f>
        <v>1134287.7811525208</v>
      </c>
      <c r="D195" s="278">
        <f ca="1">'JPY Swap PVs'!AI40</f>
        <v>907430.22492201626</v>
      </c>
      <c r="E195" s="278">
        <f ca="1">'JPY Swap PVs'!AJ40</f>
        <v>680572.66869151208</v>
      </c>
      <c r="F195" s="278">
        <f ca="1">'JPY Swap PVs'!AK40</f>
        <v>453715.11246100854</v>
      </c>
      <c r="G195" s="278">
        <f ca="1">'JPY Swap PVs'!AL40</f>
        <v>226857.55623050401</v>
      </c>
      <c r="H195" s="278">
        <f ca="1">'JPY Swap PVs'!AM40</f>
        <v>0</v>
      </c>
      <c r="I195" s="278">
        <f ca="1">'JPY Swap PVs'!AN40</f>
        <v>-226857.55623050407</v>
      </c>
      <c r="J195" s="278">
        <f ca="1">'JPY Swap PVs'!AO40</f>
        <v>-453715.11246100813</v>
      </c>
      <c r="K195" s="278">
        <f ca="1">'JPY Swap PVs'!AP40</f>
        <v>-680572.66869151231</v>
      </c>
      <c r="L195" s="278">
        <f ca="1">'JPY Swap PVs'!AQ40</f>
        <v>-907430.22492201626</v>
      </c>
      <c r="M195" s="279">
        <f ca="1">'JPY Swap PVs'!AR40</f>
        <v>-1134287.781152521</v>
      </c>
    </row>
    <row r="196" spans="2:26">
      <c r="B196" s="282" t="s">
        <v>17</v>
      </c>
      <c r="C196" s="278">
        <f ca="1">'JPY Swap PVs'!AH41</f>
        <v>1308557.944229654</v>
      </c>
      <c r="D196" s="278">
        <f ca="1">'JPY Swap PVs'!AI41</f>
        <v>1046846.3553837235</v>
      </c>
      <c r="E196" s="278">
        <f ca="1">'JPY Swap PVs'!AJ41</f>
        <v>785134.76653779217</v>
      </c>
      <c r="F196" s="278">
        <f ca="1">'JPY Swap PVs'!AK41</f>
        <v>523423.1776918621</v>
      </c>
      <c r="G196" s="278">
        <f ca="1">'JPY Swap PVs'!AL41</f>
        <v>261711.58884593076</v>
      </c>
      <c r="H196" s="278">
        <f ca="1">'JPY Swap PVs'!AM41</f>
        <v>0</v>
      </c>
      <c r="I196" s="278">
        <f ca="1">'JPY Swap PVs'!AN41</f>
        <v>-261711.58884593082</v>
      </c>
      <c r="J196" s="278">
        <f ca="1">'JPY Swap PVs'!AO41</f>
        <v>-523423.17769186164</v>
      </c>
      <c r="K196" s="278">
        <f ca="1">'JPY Swap PVs'!AP41</f>
        <v>-785134.76653779252</v>
      </c>
      <c r="L196" s="278">
        <f ca="1">'JPY Swap PVs'!AQ41</f>
        <v>-1046846.3553837233</v>
      </c>
      <c r="M196" s="279">
        <f ca="1">'JPY Swap PVs'!AR41</f>
        <v>-1308557.9442296547</v>
      </c>
    </row>
    <row r="197" spans="2:26">
      <c r="B197" s="282" t="s">
        <v>16</v>
      </c>
      <c r="C197" s="278">
        <f ca="1">'JPY Swap PVs'!AH42</f>
        <v>1466795.5141371216</v>
      </c>
      <c r="D197" s="278">
        <f ca="1">'JPY Swap PVs'!AI42</f>
        <v>1173436.4113096977</v>
      </c>
      <c r="E197" s="278">
        <f ca="1">'JPY Swap PVs'!AJ42</f>
        <v>880077.30848227267</v>
      </c>
      <c r="F197" s="278">
        <f ca="1">'JPY Swap PVs'!AK42</f>
        <v>586718.20565484872</v>
      </c>
      <c r="G197" s="278">
        <f ca="1">'JPY Swap PVs'!AL42</f>
        <v>293359.10282742418</v>
      </c>
      <c r="H197" s="278">
        <f ca="1">'JPY Swap PVs'!AM42</f>
        <v>-5.5511151231257827E-11</v>
      </c>
      <c r="I197" s="278">
        <f ca="1">'JPY Swap PVs'!AN42</f>
        <v>-293359.10282742442</v>
      </c>
      <c r="J197" s="278">
        <f ca="1">'JPY Swap PVs'!AO42</f>
        <v>-586718.20565484883</v>
      </c>
      <c r="K197" s="278">
        <f ca="1">'JPY Swap PVs'!AP42</f>
        <v>-880077.30848227313</v>
      </c>
      <c r="L197" s="278">
        <f ca="1">'JPY Swap PVs'!AQ42</f>
        <v>-1173436.4113096972</v>
      </c>
      <c r="M197" s="279">
        <f ca="1">'JPY Swap PVs'!AR42</f>
        <v>-1466795.5141371221</v>
      </c>
    </row>
    <row r="198" spans="2:26">
      <c r="B198" s="282" t="s">
        <v>15</v>
      </c>
      <c r="C198" s="278">
        <f ca="1">'JPY Swap PVs'!AH43</f>
        <v>1610308.3817510023</v>
      </c>
      <c r="D198" s="278">
        <f ca="1">'JPY Swap PVs'!AI43</f>
        <v>1288246.7054008017</v>
      </c>
      <c r="E198" s="278">
        <f ca="1">'JPY Swap PVs'!AJ43</f>
        <v>966185.02905060095</v>
      </c>
      <c r="F198" s="278">
        <f ca="1">'JPY Swap PVs'!AK43</f>
        <v>644123.35270040075</v>
      </c>
      <c r="G198" s="278">
        <f ca="1">'JPY Swap PVs'!AL43</f>
        <v>322061.6763502002</v>
      </c>
      <c r="H198" s="278">
        <f ca="1">'JPY Swap PVs'!AM43</f>
        <v>0</v>
      </c>
      <c r="I198" s="278">
        <f ca="1">'JPY Swap PVs'!AN43</f>
        <v>-322061.67635020043</v>
      </c>
      <c r="J198" s="278">
        <f ca="1">'JPY Swap PVs'!AO43</f>
        <v>-644123.35270040086</v>
      </c>
      <c r="K198" s="278">
        <f ca="1">'JPY Swap PVs'!AP43</f>
        <v>-966185.02905060118</v>
      </c>
      <c r="L198" s="278">
        <f ca="1">'JPY Swap PVs'!AQ43</f>
        <v>-1288246.7054008015</v>
      </c>
      <c r="M198" s="279">
        <f ca="1">'JPY Swap PVs'!AR43</f>
        <v>-1610308.3817510023</v>
      </c>
    </row>
    <row r="199" spans="2:26">
      <c r="B199" s="282"/>
      <c r="C199" s="278"/>
      <c r="D199" s="278"/>
      <c r="E199" s="278"/>
      <c r="F199" s="278"/>
      <c r="G199" s="278"/>
      <c r="H199" s="278"/>
      <c r="I199" s="278"/>
      <c r="J199" s="278"/>
      <c r="K199" s="278"/>
      <c r="L199" s="278"/>
      <c r="M199" s="279"/>
    </row>
    <row r="200" spans="2:26">
      <c r="B200" s="282"/>
      <c r="C200" s="278"/>
      <c r="D200" s="278"/>
      <c r="E200" s="278"/>
      <c r="F200" s="278"/>
      <c r="G200" s="278"/>
      <c r="H200" s="278"/>
      <c r="I200" s="278"/>
      <c r="J200" s="278"/>
      <c r="K200" s="278"/>
      <c r="L200" s="278"/>
      <c r="M200" s="279"/>
    </row>
    <row r="201" spans="2:26">
      <c r="B201" s="282"/>
      <c r="C201" s="278"/>
      <c r="D201" s="278"/>
      <c r="E201" s="278"/>
      <c r="F201" s="278"/>
      <c r="G201" s="278"/>
      <c r="H201" s="278"/>
      <c r="I201" s="278"/>
      <c r="J201" s="278"/>
      <c r="K201" s="278"/>
      <c r="L201" s="278"/>
      <c r="M201" s="279"/>
    </row>
    <row r="202" spans="2:26">
      <c r="B202" s="283"/>
      <c r="C202" s="280"/>
      <c r="D202" s="280"/>
      <c r="E202" s="280"/>
      <c r="F202" s="280"/>
      <c r="G202" s="280"/>
      <c r="H202" s="280"/>
      <c r="I202" s="280"/>
      <c r="J202" s="280"/>
      <c r="K202" s="280"/>
      <c r="L202" s="280"/>
      <c r="M202" s="281"/>
    </row>
    <row r="204" spans="2:26">
      <c r="B204" s="258" t="s">
        <v>472</v>
      </c>
      <c r="O204" s="258" t="s">
        <v>472</v>
      </c>
    </row>
    <row r="205" spans="2:26">
      <c r="B205" s="254" t="s">
        <v>468</v>
      </c>
      <c r="C205" s="287">
        <v>500</v>
      </c>
      <c r="D205" s="287">
        <v>400</v>
      </c>
      <c r="E205" s="287">
        <v>300</v>
      </c>
      <c r="F205" s="287">
        <v>200</v>
      </c>
      <c r="G205" s="287">
        <v>100</v>
      </c>
      <c r="H205" s="287">
        <v>0</v>
      </c>
      <c r="I205" s="287">
        <v>-100</v>
      </c>
      <c r="J205" s="287">
        <v>-200</v>
      </c>
      <c r="K205" s="287">
        <v>-300</v>
      </c>
      <c r="L205" s="287">
        <v>-400</v>
      </c>
      <c r="M205" s="288">
        <v>-500</v>
      </c>
      <c r="O205" s="254" t="s">
        <v>468</v>
      </c>
      <c r="P205" s="276">
        <v>-0.05</v>
      </c>
      <c r="Q205" s="276">
        <v>-0.04</v>
      </c>
      <c r="R205" s="276">
        <v>-0.03</v>
      </c>
      <c r="S205" s="276">
        <v>-1.9999999999999997E-2</v>
      </c>
      <c r="T205" s="276">
        <v>-9.9999999999999967E-3</v>
      </c>
      <c r="U205" s="276">
        <v>0</v>
      </c>
      <c r="V205" s="276">
        <v>0.01</v>
      </c>
      <c r="W205" s="276">
        <v>0.02</v>
      </c>
      <c r="X205" s="276">
        <v>0.03</v>
      </c>
      <c r="Y205" s="276">
        <v>0.04</v>
      </c>
      <c r="Z205" s="277">
        <v>0.05</v>
      </c>
    </row>
    <row r="206" spans="2:26">
      <c r="B206" s="282" t="s">
        <v>39</v>
      </c>
      <c r="C206" s="278">
        <f ca="1">IF(C184&gt;D184,0,1)</f>
        <v>0</v>
      </c>
      <c r="D206" s="278">
        <f t="shared" ref="D206:L206" ca="1" si="38">IF(D184&gt;E184,0,1)</f>
        <v>0</v>
      </c>
      <c r="E206" s="278">
        <f t="shared" ca="1" si="38"/>
        <v>0</v>
      </c>
      <c r="F206" s="278">
        <f t="shared" ca="1" si="38"/>
        <v>0</v>
      </c>
      <c r="G206" s="278">
        <f t="shared" ca="1" si="38"/>
        <v>0</v>
      </c>
      <c r="H206" s="278">
        <f t="shared" ca="1" si="38"/>
        <v>0</v>
      </c>
      <c r="I206" s="278">
        <f t="shared" ca="1" si="38"/>
        <v>0</v>
      </c>
      <c r="J206" s="278">
        <f t="shared" ca="1" si="38"/>
        <v>0</v>
      </c>
      <c r="K206" s="278">
        <f t="shared" ca="1" si="38"/>
        <v>0</v>
      </c>
      <c r="L206" s="278">
        <f t="shared" ca="1" si="38"/>
        <v>0</v>
      </c>
      <c r="M206" s="285" t="s">
        <v>6</v>
      </c>
      <c r="O206" s="282" t="s">
        <v>39</v>
      </c>
      <c r="P206" s="289">
        <f ca="1">IF(ABS(C185)&gt;ABS(C184),0,1)</f>
        <v>0</v>
      </c>
      <c r="Q206" s="289">
        <f t="shared" ref="Q206:Q219" ca="1" si="39">IF(ABS(D185)&gt;ABS(D184),0,1)</f>
        <v>0</v>
      </c>
      <c r="R206" s="289">
        <f t="shared" ref="R206:R219" ca="1" si="40">IF(ABS(E185)&gt;ABS(E184),0,1)</f>
        <v>0</v>
      </c>
      <c r="S206" s="289">
        <f t="shared" ref="S206:S219" ca="1" si="41">IF(ABS(F185)&gt;ABS(F184),0,1)</f>
        <v>0</v>
      </c>
      <c r="T206" s="289">
        <f t="shared" ref="T206:T219" ca="1" si="42">IF(ABS(G185)&gt;ABS(G184),0,1)</f>
        <v>0</v>
      </c>
      <c r="U206" s="295" t="s">
        <v>6</v>
      </c>
      <c r="V206" s="289">
        <f t="shared" ref="V206:V219" ca="1" si="43">IF(ABS(I185)&gt;ABS(I184),0,1)</f>
        <v>0</v>
      </c>
      <c r="W206" s="289">
        <f t="shared" ref="W206:W219" ca="1" si="44">IF(ABS(J185)&gt;ABS(J184),0,1)</f>
        <v>0</v>
      </c>
      <c r="X206" s="289">
        <f t="shared" ref="X206:X219" ca="1" si="45">IF(ABS(K185)&gt;ABS(K184),0,1)</f>
        <v>0</v>
      </c>
      <c r="Y206" s="289">
        <f t="shared" ref="Y206:Y219" ca="1" si="46">IF(ABS(L185)&gt;ABS(L184),0,1)</f>
        <v>0</v>
      </c>
      <c r="Z206" s="291">
        <f t="shared" ref="Z206:Z219" ca="1" si="47">IF(ABS(M185)&gt;ABS(M184),0,1)</f>
        <v>0</v>
      </c>
    </row>
    <row r="207" spans="2:26">
      <c r="B207" s="282" t="s">
        <v>35</v>
      </c>
      <c r="C207" s="278">
        <f t="shared" ref="C207:L222" ca="1" si="48">IF(C185&gt;D185,0,1)</f>
        <v>0</v>
      </c>
      <c r="D207" s="278">
        <f t="shared" ca="1" si="48"/>
        <v>0</v>
      </c>
      <c r="E207" s="278">
        <f t="shared" ca="1" si="48"/>
        <v>0</v>
      </c>
      <c r="F207" s="278">
        <f t="shared" ca="1" si="48"/>
        <v>0</v>
      </c>
      <c r="G207" s="278">
        <f t="shared" ca="1" si="48"/>
        <v>0</v>
      </c>
      <c r="H207" s="278">
        <f t="shared" ca="1" si="48"/>
        <v>0</v>
      </c>
      <c r="I207" s="278">
        <f t="shared" ca="1" si="48"/>
        <v>0</v>
      </c>
      <c r="J207" s="278">
        <f t="shared" ca="1" si="48"/>
        <v>0</v>
      </c>
      <c r="K207" s="278">
        <f t="shared" ca="1" si="48"/>
        <v>0</v>
      </c>
      <c r="L207" s="278">
        <f t="shared" ca="1" si="48"/>
        <v>0</v>
      </c>
      <c r="M207" s="279" t="s">
        <v>6</v>
      </c>
      <c r="O207" s="282" t="s">
        <v>35</v>
      </c>
      <c r="P207" s="289">
        <f t="shared" ref="P207:P219" ca="1" si="49">IF(ABS(C186)&gt;ABS(C185),0,1)</f>
        <v>0</v>
      </c>
      <c r="Q207" s="289">
        <f t="shared" ca="1" si="39"/>
        <v>0</v>
      </c>
      <c r="R207" s="289">
        <f t="shared" ca="1" si="40"/>
        <v>0</v>
      </c>
      <c r="S207" s="289">
        <f t="shared" ca="1" si="41"/>
        <v>0</v>
      </c>
      <c r="T207" s="289">
        <f t="shared" ca="1" si="42"/>
        <v>0</v>
      </c>
      <c r="U207" s="295" t="s">
        <v>6</v>
      </c>
      <c r="V207" s="289">
        <f t="shared" ca="1" si="43"/>
        <v>0</v>
      </c>
      <c r="W207" s="289">
        <f t="shared" ca="1" si="44"/>
        <v>0</v>
      </c>
      <c r="X207" s="289">
        <f t="shared" ca="1" si="45"/>
        <v>0</v>
      </c>
      <c r="Y207" s="289">
        <f t="shared" ca="1" si="46"/>
        <v>0</v>
      </c>
      <c r="Z207" s="292">
        <f t="shared" ca="1" si="47"/>
        <v>0</v>
      </c>
    </row>
    <row r="208" spans="2:26">
      <c r="B208" s="282" t="s">
        <v>33</v>
      </c>
      <c r="C208" s="278">
        <f t="shared" ca="1" si="48"/>
        <v>0</v>
      </c>
      <c r="D208" s="278">
        <f t="shared" ca="1" si="48"/>
        <v>0</v>
      </c>
      <c r="E208" s="278">
        <f t="shared" ca="1" si="48"/>
        <v>0</v>
      </c>
      <c r="F208" s="278">
        <f t="shared" ca="1" si="48"/>
        <v>0</v>
      </c>
      <c r="G208" s="278">
        <f t="shared" ca="1" si="48"/>
        <v>0</v>
      </c>
      <c r="H208" s="278">
        <f t="shared" ca="1" si="48"/>
        <v>0</v>
      </c>
      <c r="I208" s="278">
        <f t="shared" ca="1" si="48"/>
        <v>0</v>
      </c>
      <c r="J208" s="278">
        <f t="shared" ca="1" si="48"/>
        <v>0</v>
      </c>
      <c r="K208" s="278">
        <f t="shared" ca="1" si="48"/>
        <v>0</v>
      </c>
      <c r="L208" s="278">
        <f t="shared" ca="1" si="48"/>
        <v>0</v>
      </c>
      <c r="M208" s="279" t="s">
        <v>6</v>
      </c>
      <c r="O208" s="282" t="s">
        <v>33</v>
      </c>
      <c r="P208" s="289">
        <f t="shared" ca="1" si="49"/>
        <v>0</v>
      </c>
      <c r="Q208" s="289">
        <f t="shared" ca="1" si="39"/>
        <v>0</v>
      </c>
      <c r="R208" s="289">
        <f t="shared" ca="1" si="40"/>
        <v>0</v>
      </c>
      <c r="S208" s="289">
        <f t="shared" ca="1" si="41"/>
        <v>0</v>
      </c>
      <c r="T208" s="289">
        <f t="shared" ca="1" si="42"/>
        <v>0</v>
      </c>
      <c r="U208" s="295" t="s">
        <v>6</v>
      </c>
      <c r="V208" s="289">
        <f t="shared" ca="1" si="43"/>
        <v>0</v>
      </c>
      <c r="W208" s="289">
        <f t="shared" ca="1" si="44"/>
        <v>0</v>
      </c>
      <c r="X208" s="289">
        <f t="shared" ca="1" si="45"/>
        <v>0</v>
      </c>
      <c r="Y208" s="289">
        <f t="shared" ca="1" si="46"/>
        <v>0</v>
      </c>
      <c r="Z208" s="292">
        <f t="shared" ca="1" si="47"/>
        <v>0</v>
      </c>
    </row>
    <row r="209" spans="2:26">
      <c r="B209" s="282" t="s">
        <v>131</v>
      </c>
      <c r="C209" s="278">
        <f t="shared" ca="1" si="48"/>
        <v>0</v>
      </c>
      <c r="D209" s="278">
        <f t="shared" ca="1" si="48"/>
        <v>0</v>
      </c>
      <c r="E209" s="278">
        <f t="shared" ca="1" si="48"/>
        <v>0</v>
      </c>
      <c r="F209" s="278">
        <f t="shared" ca="1" si="48"/>
        <v>0</v>
      </c>
      <c r="G209" s="278">
        <f t="shared" ca="1" si="48"/>
        <v>0</v>
      </c>
      <c r="H209" s="278">
        <f t="shared" ca="1" si="48"/>
        <v>0</v>
      </c>
      <c r="I209" s="278">
        <f t="shared" ca="1" si="48"/>
        <v>0</v>
      </c>
      <c r="J209" s="278">
        <f t="shared" ca="1" si="48"/>
        <v>0</v>
      </c>
      <c r="K209" s="278">
        <f t="shared" ca="1" si="48"/>
        <v>0</v>
      </c>
      <c r="L209" s="278">
        <f t="shared" ca="1" si="48"/>
        <v>0</v>
      </c>
      <c r="M209" s="279" t="s">
        <v>6</v>
      </c>
      <c r="O209" s="282" t="s">
        <v>131</v>
      </c>
      <c r="P209" s="289">
        <f t="shared" ca="1" si="49"/>
        <v>0</v>
      </c>
      <c r="Q209" s="289">
        <f t="shared" ca="1" si="39"/>
        <v>0</v>
      </c>
      <c r="R209" s="289">
        <f t="shared" ca="1" si="40"/>
        <v>0</v>
      </c>
      <c r="S209" s="289">
        <f t="shared" ca="1" si="41"/>
        <v>0</v>
      </c>
      <c r="T209" s="289">
        <f t="shared" ca="1" si="42"/>
        <v>0</v>
      </c>
      <c r="U209" s="295" t="s">
        <v>6</v>
      </c>
      <c r="V209" s="289">
        <f t="shared" ca="1" si="43"/>
        <v>0</v>
      </c>
      <c r="W209" s="289">
        <f t="shared" ca="1" si="44"/>
        <v>0</v>
      </c>
      <c r="X209" s="289">
        <f t="shared" ca="1" si="45"/>
        <v>0</v>
      </c>
      <c r="Y209" s="289">
        <f t="shared" ca="1" si="46"/>
        <v>0</v>
      </c>
      <c r="Z209" s="292">
        <f t="shared" ca="1" si="47"/>
        <v>0</v>
      </c>
    </row>
    <row r="210" spans="2:26">
      <c r="B210" s="282" t="s">
        <v>31</v>
      </c>
      <c r="C210" s="278">
        <f t="shared" ca="1" si="48"/>
        <v>0</v>
      </c>
      <c r="D210" s="278">
        <f t="shared" ca="1" si="48"/>
        <v>0</v>
      </c>
      <c r="E210" s="278">
        <f t="shared" ca="1" si="48"/>
        <v>0</v>
      </c>
      <c r="F210" s="278">
        <f t="shared" ca="1" si="48"/>
        <v>0</v>
      </c>
      <c r="G210" s="278">
        <f t="shared" ca="1" si="48"/>
        <v>0</v>
      </c>
      <c r="H210" s="278">
        <f t="shared" ca="1" si="48"/>
        <v>0</v>
      </c>
      <c r="I210" s="278">
        <f t="shared" ca="1" si="48"/>
        <v>0</v>
      </c>
      <c r="J210" s="278">
        <f t="shared" ca="1" si="48"/>
        <v>0</v>
      </c>
      <c r="K210" s="278">
        <f t="shared" ca="1" si="48"/>
        <v>0</v>
      </c>
      <c r="L210" s="278">
        <f t="shared" ca="1" si="48"/>
        <v>0</v>
      </c>
      <c r="M210" s="279" t="s">
        <v>6</v>
      </c>
      <c r="O210" s="282" t="s">
        <v>31</v>
      </c>
      <c r="P210" s="289">
        <f t="shared" ca="1" si="49"/>
        <v>0</v>
      </c>
      <c r="Q210" s="289">
        <f t="shared" ca="1" si="39"/>
        <v>0</v>
      </c>
      <c r="R210" s="289">
        <f t="shared" ca="1" si="40"/>
        <v>0</v>
      </c>
      <c r="S210" s="289">
        <f t="shared" ca="1" si="41"/>
        <v>0</v>
      </c>
      <c r="T210" s="289">
        <f t="shared" ca="1" si="42"/>
        <v>0</v>
      </c>
      <c r="U210" s="295" t="s">
        <v>6</v>
      </c>
      <c r="V210" s="289">
        <f t="shared" ca="1" si="43"/>
        <v>0</v>
      </c>
      <c r="W210" s="289">
        <f t="shared" ca="1" si="44"/>
        <v>0</v>
      </c>
      <c r="X210" s="289">
        <f t="shared" ca="1" si="45"/>
        <v>0</v>
      </c>
      <c r="Y210" s="289">
        <f t="shared" ca="1" si="46"/>
        <v>0</v>
      </c>
      <c r="Z210" s="292">
        <f t="shared" ca="1" si="47"/>
        <v>0</v>
      </c>
    </row>
    <row r="211" spans="2:26">
      <c r="B211" s="282" t="s">
        <v>119</v>
      </c>
      <c r="C211" s="278">
        <f t="shared" ca="1" si="48"/>
        <v>0</v>
      </c>
      <c r="D211" s="278">
        <f t="shared" ca="1" si="48"/>
        <v>0</v>
      </c>
      <c r="E211" s="278">
        <f t="shared" ca="1" si="48"/>
        <v>0</v>
      </c>
      <c r="F211" s="278">
        <f t="shared" ca="1" si="48"/>
        <v>0</v>
      </c>
      <c r="G211" s="278">
        <f t="shared" ca="1" si="48"/>
        <v>0</v>
      </c>
      <c r="H211" s="278">
        <f t="shared" ca="1" si="48"/>
        <v>0</v>
      </c>
      <c r="I211" s="278">
        <f t="shared" ca="1" si="48"/>
        <v>0</v>
      </c>
      <c r="J211" s="278">
        <f t="shared" ca="1" si="48"/>
        <v>0</v>
      </c>
      <c r="K211" s="278">
        <f t="shared" ca="1" si="48"/>
        <v>0</v>
      </c>
      <c r="L211" s="278">
        <f t="shared" ca="1" si="48"/>
        <v>0</v>
      </c>
      <c r="M211" s="279" t="s">
        <v>6</v>
      </c>
      <c r="O211" s="282" t="s">
        <v>119</v>
      </c>
      <c r="P211" s="289">
        <f t="shared" ca="1" si="49"/>
        <v>0</v>
      </c>
      <c r="Q211" s="289">
        <f t="shared" ca="1" si="39"/>
        <v>0</v>
      </c>
      <c r="R211" s="289">
        <f t="shared" ca="1" si="40"/>
        <v>0</v>
      </c>
      <c r="S211" s="289">
        <f t="shared" ca="1" si="41"/>
        <v>0</v>
      </c>
      <c r="T211" s="289">
        <f t="shared" ca="1" si="42"/>
        <v>0</v>
      </c>
      <c r="U211" s="295" t="s">
        <v>6</v>
      </c>
      <c r="V211" s="289">
        <f t="shared" ca="1" si="43"/>
        <v>0</v>
      </c>
      <c r="W211" s="289">
        <f t="shared" ca="1" si="44"/>
        <v>0</v>
      </c>
      <c r="X211" s="289">
        <f t="shared" ca="1" si="45"/>
        <v>0</v>
      </c>
      <c r="Y211" s="289">
        <f t="shared" ca="1" si="46"/>
        <v>0</v>
      </c>
      <c r="Z211" s="292">
        <f t="shared" ca="1" si="47"/>
        <v>0</v>
      </c>
    </row>
    <row r="212" spans="2:26">
      <c r="B212" s="282" t="s">
        <v>113</v>
      </c>
      <c r="C212" s="278">
        <f t="shared" ca="1" si="48"/>
        <v>0</v>
      </c>
      <c r="D212" s="278">
        <f t="shared" ca="1" si="48"/>
        <v>0</v>
      </c>
      <c r="E212" s="278">
        <f t="shared" ca="1" si="48"/>
        <v>0</v>
      </c>
      <c r="F212" s="278">
        <f t="shared" ca="1" si="48"/>
        <v>0</v>
      </c>
      <c r="G212" s="278">
        <f t="shared" ca="1" si="48"/>
        <v>0</v>
      </c>
      <c r="H212" s="278">
        <f t="shared" ca="1" si="48"/>
        <v>0</v>
      </c>
      <c r="I212" s="278">
        <f t="shared" ca="1" si="48"/>
        <v>0</v>
      </c>
      <c r="J212" s="278">
        <f t="shared" ca="1" si="48"/>
        <v>0</v>
      </c>
      <c r="K212" s="278">
        <f t="shared" ca="1" si="48"/>
        <v>0</v>
      </c>
      <c r="L212" s="278">
        <f t="shared" ca="1" si="48"/>
        <v>0</v>
      </c>
      <c r="M212" s="279" t="s">
        <v>6</v>
      </c>
      <c r="O212" s="282" t="s">
        <v>113</v>
      </c>
      <c r="P212" s="289">
        <f t="shared" ca="1" si="49"/>
        <v>0</v>
      </c>
      <c r="Q212" s="289">
        <f t="shared" ca="1" si="39"/>
        <v>0</v>
      </c>
      <c r="R212" s="289">
        <f t="shared" ca="1" si="40"/>
        <v>0</v>
      </c>
      <c r="S212" s="289">
        <f t="shared" ca="1" si="41"/>
        <v>0</v>
      </c>
      <c r="T212" s="289">
        <f t="shared" ca="1" si="42"/>
        <v>0</v>
      </c>
      <c r="U212" s="295" t="s">
        <v>6</v>
      </c>
      <c r="V212" s="289">
        <f t="shared" ca="1" si="43"/>
        <v>0</v>
      </c>
      <c r="W212" s="289">
        <f t="shared" ca="1" si="44"/>
        <v>0</v>
      </c>
      <c r="X212" s="289">
        <f t="shared" ca="1" si="45"/>
        <v>0</v>
      </c>
      <c r="Y212" s="289">
        <f t="shared" ca="1" si="46"/>
        <v>0</v>
      </c>
      <c r="Z212" s="292">
        <f t="shared" ca="1" si="47"/>
        <v>0</v>
      </c>
    </row>
    <row r="213" spans="2:26">
      <c r="B213" s="282" t="s">
        <v>28</v>
      </c>
      <c r="C213" s="278">
        <f t="shared" ca="1" si="48"/>
        <v>0</v>
      </c>
      <c r="D213" s="278">
        <f t="shared" ca="1" si="48"/>
        <v>0</v>
      </c>
      <c r="E213" s="278">
        <f t="shared" ca="1" si="48"/>
        <v>0</v>
      </c>
      <c r="F213" s="278">
        <f t="shared" ca="1" si="48"/>
        <v>0</v>
      </c>
      <c r="G213" s="278">
        <f t="shared" ca="1" si="48"/>
        <v>0</v>
      </c>
      <c r="H213" s="278">
        <f t="shared" ca="1" si="48"/>
        <v>0</v>
      </c>
      <c r="I213" s="278">
        <f t="shared" ca="1" si="48"/>
        <v>0</v>
      </c>
      <c r="J213" s="278">
        <f t="shared" ca="1" si="48"/>
        <v>0</v>
      </c>
      <c r="K213" s="278">
        <f t="shared" ca="1" si="48"/>
        <v>0</v>
      </c>
      <c r="L213" s="278">
        <f t="shared" ca="1" si="48"/>
        <v>0</v>
      </c>
      <c r="M213" s="279" t="s">
        <v>6</v>
      </c>
      <c r="O213" s="282" t="s">
        <v>28</v>
      </c>
      <c r="P213" s="289">
        <f t="shared" ca="1" si="49"/>
        <v>0</v>
      </c>
      <c r="Q213" s="289">
        <f t="shared" ca="1" si="39"/>
        <v>0</v>
      </c>
      <c r="R213" s="289">
        <f t="shared" ca="1" si="40"/>
        <v>0</v>
      </c>
      <c r="S213" s="289">
        <f t="shared" ca="1" si="41"/>
        <v>0</v>
      </c>
      <c r="T213" s="289">
        <f t="shared" ca="1" si="42"/>
        <v>0</v>
      </c>
      <c r="U213" s="295" t="s">
        <v>6</v>
      </c>
      <c r="V213" s="289">
        <f t="shared" ca="1" si="43"/>
        <v>0</v>
      </c>
      <c r="W213" s="289">
        <f t="shared" ca="1" si="44"/>
        <v>0</v>
      </c>
      <c r="X213" s="289">
        <f t="shared" ca="1" si="45"/>
        <v>0</v>
      </c>
      <c r="Y213" s="289">
        <f t="shared" ca="1" si="46"/>
        <v>0</v>
      </c>
      <c r="Z213" s="292">
        <f t="shared" ca="1" si="47"/>
        <v>0</v>
      </c>
    </row>
    <row r="214" spans="2:26">
      <c r="B214" s="282" t="s">
        <v>26</v>
      </c>
      <c r="C214" s="278">
        <f t="shared" ca="1" si="48"/>
        <v>0</v>
      </c>
      <c r="D214" s="278">
        <f t="shared" ca="1" si="48"/>
        <v>0</v>
      </c>
      <c r="E214" s="278">
        <f t="shared" ca="1" si="48"/>
        <v>0</v>
      </c>
      <c r="F214" s="278">
        <f t="shared" ca="1" si="48"/>
        <v>0</v>
      </c>
      <c r="G214" s="278">
        <f t="shared" ca="1" si="48"/>
        <v>0</v>
      </c>
      <c r="H214" s="278">
        <f t="shared" ca="1" si="48"/>
        <v>0</v>
      </c>
      <c r="I214" s="278">
        <f t="shared" ca="1" si="48"/>
        <v>0</v>
      </c>
      <c r="J214" s="278">
        <f t="shared" ca="1" si="48"/>
        <v>0</v>
      </c>
      <c r="K214" s="278">
        <f t="shared" ca="1" si="48"/>
        <v>0</v>
      </c>
      <c r="L214" s="278">
        <f t="shared" ca="1" si="48"/>
        <v>0</v>
      </c>
      <c r="M214" s="279" t="s">
        <v>6</v>
      </c>
      <c r="O214" s="282" t="s">
        <v>26</v>
      </c>
      <c r="P214" s="289">
        <f t="shared" ca="1" si="49"/>
        <v>0</v>
      </c>
      <c r="Q214" s="289">
        <f t="shared" ca="1" si="39"/>
        <v>0</v>
      </c>
      <c r="R214" s="289">
        <f t="shared" ca="1" si="40"/>
        <v>0</v>
      </c>
      <c r="S214" s="289">
        <f t="shared" ca="1" si="41"/>
        <v>0</v>
      </c>
      <c r="T214" s="289">
        <f t="shared" ca="1" si="42"/>
        <v>0</v>
      </c>
      <c r="U214" s="295" t="s">
        <v>6</v>
      </c>
      <c r="V214" s="289">
        <f t="shared" ca="1" si="43"/>
        <v>0</v>
      </c>
      <c r="W214" s="289">
        <f t="shared" ca="1" si="44"/>
        <v>0</v>
      </c>
      <c r="X214" s="289">
        <f t="shared" ca="1" si="45"/>
        <v>0</v>
      </c>
      <c r="Y214" s="289">
        <f t="shared" ca="1" si="46"/>
        <v>0</v>
      </c>
      <c r="Z214" s="292">
        <f t="shared" ca="1" si="47"/>
        <v>0</v>
      </c>
    </row>
    <row r="215" spans="2:26">
      <c r="B215" s="282" t="s">
        <v>24</v>
      </c>
      <c r="C215" s="278">
        <f t="shared" ca="1" si="48"/>
        <v>0</v>
      </c>
      <c r="D215" s="278">
        <f t="shared" ca="1" si="48"/>
        <v>0</v>
      </c>
      <c r="E215" s="278">
        <f t="shared" ca="1" si="48"/>
        <v>0</v>
      </c>
      <c r="F215" s="278">
        <f t="shared" ca="1" si="48"/>
        <v>0</v>
      </c>
      <c r="G215" s="278">
        <f t="shared" ca="1" si="48"/>
        <v>0</v>
      </c>
      <c r="H215" s="278">
        <f t="shared" ca="1" si="48"/>
        <v>0</v>
      </c>
      <c r="I215" s="278">
        <f t="shared" ca="1" si="48"/>
        <v>0</v>
      </c>
      <c r="J215" s="278">
        <f t="shared" ca="1" si="48"/>
        <v>0</v>
      </c>
      <c r="K215" s="278">
        <f t="shared" ca="1" si="48"/>
        <v>0</v>
      </c>
      <c r="L215" s="278">
        <f t="shared" ca="1" si="48"/>
        <v>0</v>
      </c>
      <c r="M215" s="279" t="s">
        <v>6</v>
      </c>
      <c r="O215" s="282" t="s">
        <v>24</v>
      </c>
      <c r="P215" s="289">
        <f t="shared" ca="1" si="49"/>
        <v>0</v>
      </c>
      <c r="Q215" s="289">
        <f t="shared" ca="1" si="39"/>
        <v>0</v>
      </c>
      <c r="R215" s="289">
        <f t="shared" ca="1" si="40"/>
        <v>0</v>
      </c>
      <c r="S215" s="289">
        <f t="shared" ca="1" si="41"/>
        <v>0</v>
      </c>
      <c r="T215" s="289">
        <f t="shared" ca="1" si="42"/>
        <v>0</v>
      </c>
      <c r="U215" s="295" t="s">
        <v>6</v>
      </c>
      <c r="V215" s="289">
        <f t="shared" ca="1" si="43"/>
        <v>0</v>
      </c>
      <c r="W215" s="289">
        <f t="shared" ca="1" si="44"/>
        <v>0</v>
      </c>
      <c r="X215" s="289">
        <f t="shared" ca="1" si="45"/>
        <v>0</v>
      </c>
      <c r="Y215" s="289">
        <f t="shared" ca="1" si="46"/>
        <v>0</v>
      </c>
      <c r="Z215" s="292">
        <f t="shared" ca="1" si="47"/>
        <v>0</v>
      </c>
    </row>
    <row r="216" spans="2:26">
      <c r="B216" s="282" t="s">
        <v>20</v>
      </c>
      <c r="C216" s="278">
        <f t="shared" ca="1" si="48"/>
        <v>0</v>
      </c>
      <c r="D216" s="278">
        <f t="shared" ca="1" si="48"/>
        <v>0</v>
      </c>
      <c r="E216" s="278">
        <f t="shared" ca="1" si="48"/>
        <v>0</v>
      </c>
      <c r="F216" s="278">
        <f t="shared" ca="1" si="48"/>
        <v>0</v>
      </c>
      <c r="G216" s="278">
        <f t="shared" ca="1" si="48"/>
        <v>0</v>
      </c>
      <c r="H216" s="278">
        <f t="shared" ca="1" si="48"/>
        <v>0</v>
      </c>
      <c r="I216" s="278">
        <f t="shared" ca="1" si="48"/>
        <v>0</v>
      </c>
      <c r="J216" s="278">
        <f t="shared" ca="1" si="48"/>
        <v>0</v>
      </c>
      <c r="K216" s="278">
        <f t="shared" ca="1" si="48"/>
        <v>0</v>
      </c>
      <c r="L216" s="278">
        <f t="shared" ca="1" si="48"/>
        <v>0</v>
      </c>
      <c r="M216" s="279" t="s">
        <v>6</v>
      </c>
      <c r="O216" s="282" t="s">
        <v>20</v>
      </c>
      <c r="P216" s="289">
        <f t="shared" ca="1" si="49"/>
        <v>0</v>
      </c>
      <c r="Q216" s="289">
        <f t="shared" ca="1" si="39"/>
        <v>0</v>
      </c>
      <c r="R216" s="289">
        <f t="shared" ca="1" si="40"/>
        <v>0</v>
      </c>
      <c r="S216" s="289">
        <f t="shared" ca="1" si="41"/>
        <v>0</v>
      </c>
      <c r="T216" s="289">
        <f t="shared" ca="1" si="42"/>
        <v>0</v>
      </c>
      <c r="U216" s="295" t="s">
        <v>6</v>
      </c>
      <c r="V216" s="289">
        <f t="shared" ca="1" si="43"/>
        <v>0</v>
      </c>
      <c r="W216" s="289">
        <f t="shared" ca="1" si="44"/>
        <v>0</v>
      </c>
      <c r="X216" s="289">
        <f t="shared" ca="1" si="45"/>
        <v>0</v>
      </c>
      <c r="Y216" s="289">
        <f t="shared" ca="1" si="46"/>
        <v>0</v>
      </c>
      <c r="Z216" s="292">
        <f t="shared" ca="1" si="47"/>
        <v>0</v>
      </c>
    </row>
    <row r="217" spans="2:26">
      <c r="B217" s="282" t="s">
        <v>18</v>
      </c>
      <c r="C217" s="278">
        <f t="shared" ca="1" si="48"/>
        <v>0</v>
      </c>
      <c r="D217" s="278">
        <f t="shared" ca="1" si="48"/>
        <v>0</v>
      </c>
      <c r="E217" s="278">
        <f t="shared" ca="1" si="48"/>
        <v>0</v>
      </c>
      <c r="F217" s="278">
        <f t="shared" ca="1" si="48"/>
        <v>0</v>
      </c>
      <c r="G217" s="278">
        <f t="shared" ca="1" si="48"/>
        <v>0</v>
      </c>
      <c r="H217" s="278">
        <f t="shared" ca="1" si="48"/>
        <v>0</v>
      </c>
      <c r="I217" s="278">
        <f t="shared" ca="1" si="48"/>
        <v>0</v>
      </c>
      <c r="J217" s="278">
        <f t="shared" ca="1" si="48"/>
        <v>0</v>
      </c>
      <c r="K217" s="278">
        <f t="shared" ca="1" si="48"/>
        <v>0</v>
      </c>
      <c r="L217" s="278">
        <f t="shared" ca="1" si="48"/>
        <v>0</v>
      </c>
      <c r="M217" s="279" t="s">
        <v>6</v>
      </c>
      <c r="O217" s="282" t="s">
        <v>18</v>
      </c>
      <c r="P217" s="289">
        <f t="shared" ca="1" si="49"/>
        <v>0</v>
      </c>
      <c r="Q217" s="289">
        <f t="shared" ca="1" si="39"/>
        <v>0</v>
      </c>
      <c r="R217" s="289">
        <f t="shared" ca="1" si="40"/>
        <v>0</v>
      </c>
      <c r="S217" s="289">
        <f t="shared" ca="1" si="41"/>
        <v>0</v>
      </c>
      <c r="T217" s="289">
        <f t="shared" ca="1" si="42"/>
        <v>0</v>
      </c>
      <c r="U217" s="295" t="s">
        <v>6</v>
      </c>
      <c r="V217" s="289">
        <f t="shared" ca="1" si="43"/>
        <v>0</v>
      </c>
      <c r="W217" s="289">
        <f t="shared" ca="1" si="44"/>
        <v>0</v>
      </c>
      <c r="X217" s="289">
        <f t="shared" ca="1" si="45"/>
        <v>0</v>
      </c>
      <c r="Y217" s="289">
        <f t="shared" ca="1" si="46"/>
        <v>0</v>
      </c>
      <c r="Z217" s="292">
        <f t="shared" ca="1" si="47"/>
        <v>0</v>
      </c>
    </row>
    <row r="218" spans="2:26">
      <c r="B218" s="282" t="s">
        <v>17</v>
      </c>
      <c r="C218" s="278">
        <f t="shared" ca="1" si="48"/>
        <v>0</v>
      </c>
      <c r="D218" s="278">
        <f t="shared" ca="1" si="48"/>
        <v>0</v>
      </c>
      <c r="E218" s="278">
        <f t="shared" ca="1" si="48"/>
        <v>0</v>
      </c>
      <c r="F218" s="278">
        <f t="shared" ca="1" si="48"/>
        <v>0</v>
      </c>
      <c r="G218" s="278">
        <f t="shared" ca="1" si="48"/>
        <v>0</v>
      </c>
      <c r="H218" s="278">
        <f t="shared" ca="1" si="48"/>
        <v>0</v>
      </c>
      <c r="I218" s="278">
        <f t="shared" ca="1" si="48"/>
        <v>0</v>
      </c>
      <c r="J218" s="278">
        <f t="shared" ca="1" si="48"/>
        <v>0</v>
      </c>
      <c r="K218" s="278">
        <f t="shared" ca="1" si="48"/>
        <v>0</v>
      </c>
      <c r="L218" s="278">
        <f t="shared" ca="1" si="48"/>
        <v>0</v>
      </c>
      <c r="M218" s="279" t="s">
        <v>6</v>
      </c>
      <c r="O218" s="282" t="s">
        <v>17</v>
      </c>
      <c r="P218" s="289">
        <f t="shared" ca="1" si="49"/>
        <v>0</v>
      </c>
      <c r="Q218" s="289">
        <f t="shared" ca="1" si="39"/>
        <v>0</v>
      </c>
      <c r="R218" s="289">
        <f t="shared" ca="1" si="40"/>
        <v>0</v>
      </c>
      <c r="S218" s="289">
        <f t="shared" ca="1" si="41"/>
        <v>0</v>
      </c>
      <c r="T218" s="289">
        <f t="shared" ca="1" si="42"/>
        <v>0</v>
      </c>
      <c r="U218" s="295" t="s">
        <v>6</v>
      </c>
      <c r="V218" s="289">
        <f t="shared" ca="1" si="43"/>
        <v>0</v>
      </c>
      <c r="W218" s="289">
        <f t="shared" ca="1" si="44"/>
        <v>0</v>
      </c>
      <c r="X218" s="289">
        <f t="shared" ca="1" si="45"/>
        <v>0</v>
      </c>
      <c r="Y218" s="289">
        <f t="shared" ca="1" si="46"/>
        <v>0</v>
      </c>
      <c r="Z218" s="292">
        <f t="shared" ca="1" si="47"/>
        <v>0</v>
      </c>
    </row>
    <row r="219" spans="2:26">
      <c r="B219" s="282" t="s">
        <v>16</v>
      </c>
      <c r="C219" s="278">
        <f t="shared" ca="1" si="48"/>
        <v>0</v>
      </c>
      <c r="D219" s="278">
        <f t="shared" ca="1" si="48"/>
        <v>0</v>
      </c>
      <c r="E219" s="278">
        <f t="shared" ca="1" si="48"/>
        <v>0</v>
      </c>
      <c r="F219" s="278">
        <f t="shared" ca="1" si="48"/>
        <v>0</v>
      </c>
      <c r="G219" s="278">
        <f t="shared" ca="1" si="48"/>
        <v>0</v>
      </c>
      <c r="H219" s="278">
        <f t="shared" ca="1" si="48"/>
        <v>0</v>
      </c>
      <c r="I219" s="278">
        <f t="shared" ca="1" si="48"/>
        <v>0</v>
      </c>
      <c r="J219" s="278">
        <f t="shared" ca="1" si="48"/>
        <v>0</v>
      </c>
      <c r="K219" s="278">
        <f t="shared" ca="1" si="48"/>
        <v>0</v>
      </c>
      <c r="L219" s="278">
        <f t="shared" ca="1" si="48"/>
        <v>0</v>
      </c>
      <c r="M219" s="279" t="s">
        <v>6</v>
      </c>
      <c r="O219" s="282" t="s">
        <v>16</v>
      </c>
      <c r="P219" s="289">
        <f t="shared" ca="1" si="49"/>
        <v>0</v>
      </c>
      <c r="Q219" s="289">
        <f t="shared" ca="1" si="39"/>
        <v>0</v>
      </c>
      <c r="R219" s="289">
        <f t="shared" ca="1" si="40"/>
        <v>0</v>
      </c>
      <c r="S219" s="289">
        <f t="shared" ca="1" si="41"/>
        <v>0</v>
      </c>
      <c r="T219" s="289">
        <f t="shared" ca="1" si="42"/>
        <v>0</v>
      </c>
      <c r="U219" s="295" t="s">
        <v>6</v>
      </c>
      <c r="V219" s="289">
        <f t="shared" ca="1" si="43"/>
        <v>0</v>
      </c>
      <c r="W219" s="289">
        <f t="shared" ca="1" si="44"/>
        <v>0</v>
      </c>
      <c r="X219" s="289">
        <f t="shared" ca="1" si="45"/>
        <v>0</v>
      </c>
      <c r="Y219" s="289">
        <f t="shared" ca="1" si="46"/>
        <v>0</v>
      </c>
      <c r="Z219" s="292">
        <f t="shared" ca="1" si="47"/>
        <v>0</v>
      </c>
    </row>
    <row r="220" spans="2:26">
      <c r="B220" s="282" t="s">
        <v>15</v>
      </c>
      <c r="C220" s="278">
        <f t="shared" ca="1" si="48"/>
        <v>0</v>
      </c>
      <c r="D220" s="278">
        <f t="shared" ca="1" si="48"/>
        <v>0</v>
      </c>
      <c r="E220" s="278">
        <f t="shared" ca="1" si="48"/>
        <v>0</v>
      </c>
      <c r="F220" s="278">
        <f t="shared" ca="1" si="48"/>
        <v>0</v>
      </c>
      <c r="G220" s="278">
        <f t="shared" ca="1" si="48"/>
        <v>0</v>
      </c>
      <c r="H220" s="278">
        <f t="shared" ca="1" si="48"/>
        <v>0</v>
      </c>
      <c r="I220" s="278">
        <f t="shared" ca="1" si="48"/>
        <v>0</v>
      </c>
      <c r="J220" s="278">
        <f t="shared" ca="1" si="48"/>
        <v>0</v>
      </c>
      <c r="K220" s="278">
        <f t="shared" ca="1" si="48"/>
        <v>0</v>
      </c>
      <c r="L220" s="278">
        <f t="shared" ca="1" si="48"/>
        <v>0</v>
      </c>
      <c r="M220" s="279" t="s">
        <v>6</v>
      </c>
      <c r="O220" s="282" t="s">
        <v>15</v>
      </c>
      <c r="P220" s="295" t="s">
        <v>6</v>
      </c>
      <c r="Q220" s="295" t="s">
        <v>6</v>
      </c>
      <c r="R220" s="295" t="s">
        <v>6</v>
      </c>
      <c r="S220" s="295" t="s">
        <v>6</v>
      </c>
      <c r="T220" s="295" t="s">
        <v>6</v>
      </c>
      <c r="U220" s="295" t="s">
        <v>6</v>
      </c>
      <c r="V220" s="295" t="s">
        <v>6</v>
      </c>
      <c r="W220" s="295" t="s">
        <v>6</v>
      </c>
      <c r="X220" s="295" t="s">
        <v>6</v>
      </c>
      <c r="Y220" s="295" t="s">
        <v>6</v>
      </c>
      <c r="Z220" s="291" t="s">
        <v>6</v>
      </c>
    </row>
    <row r="221" spans="2:26">
      <c r="B221" s="282"/>
      <c r="C221" s="278"/>
      <c r="D221" s="278"/>
      <c r="E221" s="278"/>
      <c r="F221" s="278"/>
      <c r="G221" s="278"/>
      <c r="H221" s="278"/>
      <c r="I221" s="278"/>
      <c r="J221" s="278"/>
      <c r="K221" s="278"/>
      <c r="L221" s="278"/>
      <c r="M221" s="279"/>
      <c r="O221" s="282"/>
      <c r="P221" s="289"/>
      <c r="Q221" s="289"/>
      <c r="R221" s="289"/>
      <c r="S221" s="289"/>
      <c r="T221" s="289"/>
      <c r="U221" s="295"/>
      <c r="V221" s="289"/>
      <c r="W221" s="289"/>
      <c r="X221" s="289"/>
      <c r="Y221" s="289"/>
      <c r="Z221" s="292"/>
    </row>
    <row r="222" spans="2:26">
      <c r="B222" s="282"/>
      <c r="C222" s="278"/>
      <c r="D222" s="278"/>
      <c r="E222" s="278"/>
      <c r="F222" s="278"/>
      <c r="G222" s="278"/>
      <c r="H222" s="278"/>
      <c r="I222" s="278"/>
      <c r="J222" s="278"/>
      <c r="K222" s="278"/>
      <c r="L222" s="278"/>
      <c r="M222" s="279"/>
      <c r="O222" s="282"/>
      <c r="P222" s="289"/>
      <c r="Q222" s="289"/>
      <c r="R222" s="289"/>
      <c r="S222" s="289"/>
      <c r="T222" s="289"/>
      <c r="U222" s="295"/>
      <c r="V222" s="289"/>
      <c r="W222" s="289"/>
      <c r="X222" s="289"/>
      <c r="Y222" s="289"/>
      <c r="Z222" s="292"/>
    </row>
    <row r="223" spans="2:26">
      <c r="B223" s="282"/>
      <c r="C223" s="278"/>
      <c r="D223" s="278"/>
      <c r="E223" s="278"/>
      <c r="F223" s="278"/>
      <c r="G223" s="278"/>
      <c r="H223" s="278"/>
      <c r="I223" s="278"/>
      <c r="J223" s="278"/>
      <c r="K223" s="278"/>
      <c r="L223" s="278"/>
      <c r="M223" s="279"/>
      <c r="O223" s="282"/>
      <c r="P223" s="289"/>
      <c r="Q223" s="289"/>
      <c r="R223" s="289"/>
      <c r="S223" s="289"/>
      <c r="T223" s="289"/>
      <c r="U223" s="295"/>
      <c r="V223" s="289"/>
      <c r="W223" s="289"/>
      <c r="X223" s="289"/>
      <c r="Y223" s="289"/>
      <c r="Z223" s="292"/>
    </row>
    <row r="224" spans="2:26">
      <c r="B224" s="283"/>
      <c r="C224" s="280"/>
      <c r="D224" s="280"/>
      <c r="E224" s="280"/>
      <c r="F224" s="280"/>
      <c r="G224" s="280"/>
      <c r="H224" s="280"/>
      <c r="I224" s="280"/>
      <c r="J224" s="280"/>
      <c r="K224" s="280"/>
      <c r="L224" s="280"/>
      <c r="M224" s="281"/>
      <c r="O224" s="283"/>
      <c r="P224" s="293"/>
      <c r="Q224" s="293"/>
      <c r="R224" s="293"/>
      <c r="S224" s="293"/>
      <c r="T224" s="293"/>
      <c r="U224" s="296"/>
      <c r="V224" s="293"/>
      <c r="W224" s="293"/>
      <c r="X224" s="293"/>
      <c r="Y224" s="293"/>
      <c r="Z224" s="294"/>
    </row>
    <row r="227" spans="1:16">
      <c r="A227" s="224" t="s">
        <v>493</v>
      </c>
      <c r="B227" s="290" t="s">
        <v>495</v>
      </c>
      <c r="C227" s="284"/>
      <c r="G227" s="290" t="s">
        <v>495</v>
      </c>
    </row>
    <row r="228" spans="1:16">
      <c r="B228" s="284" t="s">
        <v>496</v>
      </c>
      <c r="C228" s="284"/>
      <c r="G228" s="284" t="s">
        <v>494</v>
      </c>
      <c r="H228" s="284"/>
    </row>
    <row r="229" spans="1:16">
      <c r="B229" s="258" t="s">
        <v>474</v>
      </c>
      <c r="C229" s="286">
        <f ca="1">SUM(C255:L273)</f>
        <v>0</v>
      </c>
      <c r="G229" s="258" t="s">
        <v>474</v>
      </c>
      <c r="H229" s="286">
        <f ca="1">SUM(P255:Z273)</f>
        <v>0</v>
      </c>
    </row>
    <row r="231" spans="1:16">
      <c r="B231" s="258" t="s">
        <v>477</v>
      </c>
      <c r="C231" s="258"/>
    </row>
    <row r="232" spans="1:16">
      <c r="B232" s="254" t="s">
        <v>468</v>
      </c>
      <c r="C232" s="276">
        <v>-0.05</v>
      </c>
      <c r="D232" s="276">
        <v>-0.04</v>
      </c>
      <c r="E232" s="276">
        <v>-0.03</v>
      </c>
      <c r="F232" s="276">
        <v>-1.9999999999999997E-2</v>
      </c>
      <c r="G232" s="276">
        <v>-9.9999999999999967E-3</v>
      </c>
      <c r="H232" s="276">
        <v>0</v>
      </c>
      <c r="I232" s="276">
        <v>0.01</v>
      </c>
      <c r="J232" s="276">
        <v>0.02</v>
      </c>
      <c r="K232" s="276">
        <v>0.03</v>
      </c>
      <c r="L232" s="276">
        <v>0.04</v>
      </c>
      <c r="M232" s="277">
        <v>0.05</v>
      </c>
      <c r="N232" s="256"/>
      <c r="O232" s="256"/>
      <c r="P232" s="256"/>
    </row>
    <row r="233" spans="1:16">
      <c r="B233" s="282" t="s">
        <v>39</v>
      </c>
      <c r="C233" s="278">
        <f ca="1">'JPY Swap PVs'!N52</f>
        <v>-150300.80743458591</v>
      </c>
      <c r="D233" s="278">
        <f ca="1">'JPY Swap PVs'!O52</f>
        <v>-120240.6459476687</v>
      </c>
      <c r="E233" s="278">
        <f ca="1">'JPY Swap PVs'!P52</f>
        <v>-90180.484460751526</v>
      </c>
      <c r="F233" s="278">
        <f ca="1">'JPY Swap PVs'!Q52</f>
        <v>-60120.322973834351</v>
      </c>
      <c r="G233" s="278">
        <f ca="1">'JPY Swap PVs'!R52</f>
        <v>-30060.161486917164</v>
      </c>
      <c r="H233" s="278">
        <f ca="1">'JPY Swap PVs'!S52</f>
        <v>0</v>
      </c>
      <c r="I233" s="278">
        <f ca="1">'JPY Swap PVs'!T52</f>
        <v>30060.161486917172</v>
      </c>
      <c r="J233" s="278">
        <f ca="1">'JPY Swap PVs'!U52</f>
        <v>60120.322973834365</v>
      </c>
      <c r="K233" s="278">
        <f ca="1">'JPY Swap PVs'!V52</f>
        <v>90180.484460751512</v>
      </c>
      <c r="L233" s="278">
        <f ca="1">'JPY Swap PVs'!W52</f>
        <v>120240.64594766869</v>
      </c>
      <c r="M233" s="279">
        <f ca="1">'JPY Swap PVs'!X52</f>
        <v>150300.80743458588</v>
      </c>
    </row>
    <row r="234" spans="1:16">
      <c r="B234" s="282" t="s">
        <v>35</v>
      </c>
      <c r="C234" s="278">
        <f ca="1">'JPY Swap PVs'!N53</f>
        <v>-199873.1557084099</v>
      </c>
      <c r="D234" s="278">
        <f ca="1">'JPY Swap PVs'!O53</f>
        <v>-159898.52456672792</v>
      </c>
      <c r="E234" s="278">
        <f ca="1">'JPY Swap PVs'!P53</f>
        <v>-119923.89342504591</v>
      </c>
      <c r="F234" s="278">
        <f ca="1">'JPY Swap PVs'!Q53</f>
        <v>-79949.262283363933</v>
      </c>
      <c r="G234" s="278">
        <f ca="1">'JPY Swap PVs'!R53</f>
        <v>-39974.631141681966</v>
      </c>
      <c r="H234" s="278">
        <f ca="1">'JPY Swap PVs'!S53</f>
        <v>0</v>
      </c>
      <c r="I234" s="278">
        <f ca="1">'JPY Swap PVs'!T53</f>
        <v>39974.631141681966</v>
      </c>
      <c r="J234" s="278">
        <f ca="1">'JPY Swap PVs'!U53</f>
        <v>79949.262283363962</v>
      </c>
      <c r="K234" s="278">
        <f ca="1">'JPY Swap PVs'!V53</f>
        <v>119923.89342504591</v>
      </c>
      <c r="L234" s="278">
        <f ca="1">'JPY Swap PVs'!W53</f>
        <v>159898.52456672789</v>
      </c>
      <c r="M234" s="279">
        <f ca="1">'JPY Swap PVs'!X53</f>
        <v>199873.15570840987</v>
      </c>
    </row>
    <row r="235" spans="1:16">
      <c r="B235" s="282" t="s">
        <v>33</v>
      </c>
      <c r="C235" s="278">
        <f ca="1">'JPY Swap PVs'!N54</f>
        <v>-249096.03223594063</v>
      </c>
      <c r="D235" s="278">
        <f ca="1">'JPY Swap PVs'!O54</f>
        <v>-199276.8257887525</v>
      </c>
      <c r="E235" s="278">
        <f ca="1">'JPY Swap PVs'!P54</f>
        <v>-149457.61934156436</v>
      </c>
      <c r="F235" s="278">
        <f ca="1">'JPY Swap PVs'!Q54</f>
        <v>-99638.412894376219</v>
      </c>
      <c r="G235" s="278">
        <f ca="1">'JPY Swap PVs'!R54</f>
        <v>-49819.206447188109</v>
      </c>
      <c r="H235" s="278">
        <f ca="1">'JPY Swap PVs'!S54</f>
        <v>0</v>
      </c>
      <c r="I235" s="278">
        <f ca="1">'JPY Swap PVs'!T54</f>
        <v>49819.206447188131</v>
      </c>
      <c r="J235" s="278">
        <f ca="1">'JPY Swap PVs'!U54</f>
        <v>99638.412894376248</v>
      </c>
      <c r="K235" s="278">
        <f ca="1">'JPY Swap PVs'!V54</f>
        <v>149457.61934156436</v>
      </c>
      <c r="L235" s="278">
        <f ca="1">'JPY Swap PVs'!W54</f>
        <v>199276.8257887525</v>
      </c>
      <c r="M235" s="279">
        <f ca="1">'JPY Swap PVs'!X54</f>
        <v>249096.03223594066</v>
      </c>
    </row>
    <row r="236" spans="1:16">
      <c r="B236" s="282" t="s">
        <v>131</v>
      </c>
      <c r="C236" s="278">
        <f ca="1">'JPY Swap PVs'!N55</f>
        <v>-297667.53869917651</v>
      </c>
      <c r="D236" s="278">
        <f ca="1">'JPY Swap PVs'!O55</f>
        <v>-238134.03095934118</v>
      </c>
      <c r="E236" s="278">
        <f ca="1">'JPY Swap PVs'!P55</f>
        <v>-178600.52321950588</v>
      </c>
      <c r="F236" s="278">
        <f ca="1">'JPY Swap PVs'!Q55</f>
        <v>-119067.01547967058</v>
      </c>
      <c r="G236" s="278">
        <f ca="1">'JPY Swap PVs'!R55</f>
        <v>-59533.507739835273</v>
      </c>
      <c r="H236" s="278">
        <f ca="1">'JPY Swap PVs'!S55</f>
        <v>0</v>
      </c>
      <c r="I236" s="278">
        <f ca="1">'JPY Swap PVs'!T55</f>
        <v>59533.507739835295</v>
      </c>
      <c r="J236" s="278">
        <f ca="1">'JPY Swap PVs'!U55</f>
        <v>119067.0154796706</v>
      </c>
      <c r="K236" s="278">
        <f ca="1">'JPY Swap PVs'!V55</f>
        <v>178600.52321950591</v>
      </c>
      <c r="L236" s="278">
        <f ca="1">'JPY Swap PVs'!W55</f>
        <v>238134.03095934121</v>
      </c>
      <c r="M236" s="279">
        <f ca="1">'JPY Swap PVs'!X55</f>
        <v>297667.53869917657</v>
      </c>
    </row>
    <row r="237" spans="1:16">
      <c r="B237" s="282" t="s">
        <v>31</v>
      </c>
      <c r="C237" s="278">
        <f ca="1">'JPY Swap PVs'!N56</f>
        <v>-345445.58092836302</v>
      </c>
      <c r="D237" s="278">
        <f ca="1">'JPY Swap PVs'!O56</f>
        <v>-276356.46474269044</v>
      </c>
      <c r="E237" s="278">
        <f ca="1">'JPY Swap PVs'!P56</f>
        <v>-207267.3485570178</v>
      </c>
      <c r="F237" s="278">
        <f ca="1">'JPY Swap PVs'!Q56</f>
        <v>-138178.23237134519</v>
      </c>
      <c r="G237" s="278">
        <f ca="1">'JPY Swap PVs'!R56</f>
        <v>-69089.116185672581</v>
      </c>
      <c r="H237" s="278">
        <f ca="1">'JPY Swap PVs'!S56</f>
        <v>-6.9388939039072284E-12</v>
      </c>
      <c r="I237" s="278">
        <f ca="1">'JPY Swap PVs'!T56</f>
        <v>69089.116185672596</v>
      </c>
      <c r="J237" s="278">
        <f ca="1">'JPY Swap PVs'!U56</f>
        <v>138178.23237134519</v>
      </c>
      <c r="K237" s="278">
        <f ca="1">'JPY Swap PVs'!V56</f>
        <v>207267.34855701777</v>
      </c>
      <c r="L237" s="278">
        <f ca="1">'JPY Swap PVs'!W56</f>
        <v>276356.46474269044</v>
      </c>
      <c r="M237" s="279">
        <f ca="1">'JPY Swap PVs'!X56</f>
        <v>345445.58092836302</v>
      </c>
    </row>
    <row r="238" spans="1:16">
      <c r="B238" s="282" t="s">
        <v>119</v>
      </c>
      <c r="C238" s="278">
        <f ca="1">'JPY Swap PVs'!N57</f>
        <v>-392585.59739955037</v>
      </c>
      <c r="D238" s="278">
        <f ca="1">'JPY Swap PVs'!O57</f>
        <v>-314068.47791964025</v>
      </c>
      <c r="E238" s="278">
        <f ca="1">'JPY Swap PVs'!P57</f>
        <v>-235551.35843973019</v>
      </c>
      <c r="F238" s="278">
        <f ca="1">'JPY Swap PVs'!Q57</f>
        <v>-157034.2389598201</v>
      </c>
      <c r="G238" s="278">
        <f ca="1">'JPY Swap PVs'!R57</f>
        <v>-78517.119479910034</v>
      </c>
      <c r="H238" s="278">
        <f ca="1">'JPY Swap PVs'!S57</f>
        <v>0</v>
      </c>
      <c r="I238" s="278">
        <f ca="1">'JPY Swap PVs'!T57</f>
        <v>78517.119479910078</v>
      </c>
      <c r="J238" s="278">
        <f ca="1">'JPY Swap PVs'!U57</f>
        <v>157034.23895982013</v>
      </c>
      <c r="K238" s="278">
        <f ca="1">'JPY Swap PVs'!V57</f>
        <v>235551.35843973019</v>
      </c>
      <c r="L238" s="278">
        <f ca="1">'JPY Swap PVs'!W57</f>
        <v>314068.47791964025</v>
      </c>
      <c r="M238" s="279">
        <f ca="1">'JPY Swap PVs'!X57</f>
        <v>392585.59739955037</v>
      </c>
    </row>
    <row r="239" spans="1:16">
      <c r="B239" s="282" t="s">
        <v>113</v>
      </c>
      <c r="C239" s="278">
        <f ca="1">'JPY Swap PVs'!N58</f>
        <v>-438252.52539896447</v>
      </c>
      <c r="D239" s="278">
        <f ca="1">'JPY Swap PVs'!O58</f>
        <v>-350602.02031917154</v>
      </c>
      <c r="E239" s="278">
        <f ca="1">'JPY Swap PVs'!P58</f>
        <v>-262951.51523937867</v>
      </c>
      <c r="F239" s="278">
        <f ca="1">'JPY Swap PVs'!Q58</f>
        <v>-175301.01015958577</v>
      </c>
      <c r="G239" s="278">
        <f ca="1">'JPY Swap PVs'!R58</f>
        <v>-87650.505079792856</v>
      </c>
      <c r="H239" s="278">
        <f ca="1">'JPY Swap PVs'!S58</f>
        <v>0</v>
      </c>
      <c r="I239" s="278">
        <f ca="1">'JPY Swap PVs'!T58</f>
        <v>87650.5050797929</v>
      </c>
      <c r="J239" s="278">
        <f ca="1">'JPY Swap PVs'!U58</f>
        <v>175301.01015958577</v>
      </c>
      <c r="K239" s="278">
        <f ca="1">'JPY Swap PVs'!V58</f>
        <v>262951.51523937873</v>
      </c>
      <c r="L239" s="278">
        <f ca="1">'JPY Swap PVs'!W58</f>
        <v>350602.0203191716</v>
      </c>
      <c r="M239" s="279">
        <f ca="1">'JPY Swap PVs'!X58</f>
        <v>438252.52539896447</v>
      </c>
    </row>
    <row r="240" spans="1:16">
      <c r="B240" s="282" t="s">
        <v>28</v>
      </c>
      <c r="C240" s="278">
        <f ca="1">'JPY Swap PVs'!N59</f>
        <v>-483168.64497448754</v>
      </c>
      <c r="D240" s="278">
        <f ca="1">'JPY Swap PVs'!O59</f>
        <v>-386534.91597958998</v>
      </c>
      <c r="E240" s="278">
        <f ca="1">'JPY Swap PVs'!P59</f>
        <v>-289901.18698469247</v>
      </c>
      <c r="F240" s="278">
        <f ca="1">'JPY Swap PVs'!Q59</f>
        <v>-193267.45798979493</v>
      </c>
      <c r="G240" s="278">
        <f ca="1">'JPY Swap PVs'!R59</f>
        <v>-96633.728994897465</v>
      </c>
      <c r="H240" s="278">
        <f ca="1">'JPY Swap PVs'!S59</f>
        <v>-1.3877787807814457E-11</v>
      </c>
      <c r="I240" s="278">
        <f ca="1">'JPY Swap PVs'!T59</f>
        <v>96633.728994897465</v>
      </c>
      <c r="J240" s="278">
        <f ca="1">'JPY Swap PVs'!U59</f>
        <v>193267.45798979493</v>
      </c>
      <c r="K240" s="278">
        <f ca="1">'JPY Swap PVs'!V59</f>
        <v>289901.18698469241</v>
      </c>
      <c r="L240" s="278">
        <f ca="1">'JPY Swap PVs'!W59</f>
        <v>386534.91597958998</v>
      </c>
      <c r="M240" s="279">
        <f ca="1">'JPY Swap PVs'!X59</f>
        <v>483168.64497448743</v>
      </c>
    </row>
    <row r="241" spans="2:26">
      <c r="B241" s="282" t="s">
        <v>26</v>
      </c>
      <c r="C241" s="278">
        <f ca="1">'JPY Swap PVs'!N60</f>
        <v>-569938.0308485931</v>
      </c>
      <c r="D241" s="278">
        <f ca="1">'JPY Swap PVs'!O60</f>
        <v>-455950.42467887449</v>
      </c>
      <c r="E241" s="278">
        <f ca="1">'JPY Swap PVs'!P60</f>
        <v>-341962.81850915583</v>
      </c>
      <c r="F241" s="278">
        <f ca="1">'JPY Swap PVs'!Q60</f>
        <v>-227975.21233943719</v>
      </c>
      <c r="G241" s="278">
        <f ca="1">'JPY Swap PVs'!R60</f>
        <v>-113987.60616971858</v>
      </c>
      <c r="H241" s="278">
        <f ca="1">'JPY Swap PVs'!S60</f>
        <v>0</v>
      </c>
      <c r="I241" s="278">
        <f ca="1">'JPY Swap PVs'!T60</f>
        <v>113987.60616971859</v>
      </c>
      <c r="J241" s="278">
        <f ca="1">'JPY Swap PVs'!U60</f>
        <v>227975.21233943725</v>
      </c>
      <c r="K241" s="278">
        <f ca="1">'JPY Swap PVs'!V60</f>
        <v>341962.81850915577</v>
      </c>
      <c r="L241" s="278">
        <f ca="1">'JPY Swap PVs'!W60</f>
        <v>455950.42467887449</v>
      </c>
      <c r="M241" s="279">
        <f ca="1">'JPY Swap PVs'!X60</f>
        <v>569938.0308485931</v>
      </c>
    </row>
    <row r="242" spans="2:26">
      <c r="B242" s="282" t="s">
        <v>24</v>
      </c>
      <c r="C242" s="278">
        <f ca="1">'JPY Swap PVs'!N61</f>
        <v>-692615.23399544926</v>
      </c>
      <c r="D242" s="278">
        <f ca="1">'JPY Swap PVs'!O61</f>
        <v>-554092.18719635939</v>
      </c>
      <c r="E242" s="278">
        <f ca="1">'JPY Swap PVs'!P61</f>
        <v>-415569.14039726957</v>
      </c>
      <c r="F242" s="278">
        <f ca="1">'JPY Swap PVs'!Q61</f>
        <v>-277046.09359817969</v>
      </c>
      <c r="G242" s="278">
        <f ca="1">'JPY Swap PVs'!R61</f>
        <v>-138523.04679908985</v>
      </c>
      <c r="H242" s="278">
        <f ca="1">'JPY Swap PVs'!S61</f>
        <v>-2.7755575615628914E-11</v>
      </c>
      <c r="I242" s="278">
        <f ca="1">'JPY Swap PVs'!T61</f>
        <v>138523.04679908985</v>
      </c>
      <c r="J242" s="278">
        <f ca="1">'JPY Swap PVs'!U61</f>
        <v>277046.09359817975</v>
      </c>
      <c r="K242" s="278">
        <f ca="1">'JPY Swap PVs'!V61</f>
        <v>415569.14039726957</v>
      </c>
      <c r="L242" s="278">
        <f ca="1">'JPY Swap PVs'!W61</f>
        <v>554092.18719635939</v>
      </c>
      <c r="M242" s="279">
        <f ca="1">'JPY Swap PVs'!X61</f>
        <v>692615.23399544926</v>
      </c>
    </row>
    <row r="243" spans="2:26">
      <c r="B243" s="282" t="s">
        <v>20</v>
      </c>
      <c r="C243" s="278">
        <f ca="1">'JPY Swap PVs'!N62</f>
        <v>-879086.65850046871</v>
      </c>
      <c r="D243" s="278">
        <f ca="1">'JPY Swap PVs'!O62</f>
        <v>-703269.32680037501</v>
      </c>
      <c r="E243" s="278">
        <f ca="1">'JPY Swap PVs'!P62</f>
        <v>-527451.9951002812</v>
      </c>
      <c r="F243" s="278">
        <f ca="1">'JPY Swap PVs'!Q62</f>
        <v>-351634.66340018745</v>
      </c>
      <c r="G243" s="278">
        <f ca="1">'JPY Swap PVs'!R62</f>
        <v>-175817.33170009367</v>
      </c>
      <c r="H243" s="278">
        <f ca="1">'JPY Swap PVs'!S62</f>
        <v>0</v>
      </c>
      <c r="I243" s="278">
        <f ca="1">'JPY Swap PVs'!T62</f>
        <v>175817.33170009372</v>
      </c>
      <c r="J243" s="278">
        <f ca="1">'JPY Swap PVs'!U62</f>
        <v>351634.66340018756</v>
      </c>
      <c r="K243" s="278">
        <f ca="1">'JPY Swap PVs'!V62</f>
        <v>527451.99510028132</v>
      </c>
      <c r="L243" s="278">
        <f ca="1">'JPY Swap PVs'!W62</f>
        <v>703269.3268003749</v>
      </c>
      <c r="M243" s="279">
        <f ca="1">'JPY Swap PVs'!X62</f>
        <v>879086.65850046882</v>
      </c>
    </row>
    <row r="244" spans="2:26">
      <c r="B244" s="282" t="s">
        <v>18</v>
      </c>
      <c r="C244" s="278">
        <f ca="1">'JPY Swap PVs'!N63</f>
        <v>-1047182.794682715</v>
      </c>
      <c r="D244" s="278">
        <f ca="1">'JPY Swap PVs'!O63</f>
        <v>-837746.23574617179</v>
      </c>
      <c r="E244" s="278">
        <f ca="1">'JPY Swap PVs'!P63</f>
        <v>-628309.67680962884</v>
      </c>
      <c r="F244" s="278">
        <f ca="1">'JPY Swap PVs'!Q63</f>
        <v>-418873.11787308584</v>
      </c>
      <c r="G244" s="278">
        <f ca="1">'JPY Swap PVs'!R63</f>
        <v>-209436.55893654286</v>
      </c>
      <c r="H244" s="278">
        <f ca="1">'JPY Swap PVs'!S63</f>
        <v>0</v>
      </c>
      <c r="I244" s="278">
        <f ca="1">'JPY Swap PVs'!T63</f>
        <v>209436.55893654289</v>
      </c>
      <c r="J244" s="278">
        <f ca="1">'JPY Swap PVs'!U63</f>
        <v>418873.1178730859</v>
      </c>
      <c r="K244" s="278">
        <f ca="1">'JPY Swap PVs'!V63</f>
        <v>628309.67680962873</v>
      </c>
      <c r="L244" s="278">
        <f ca="1">'JPY Swap PVs'!W63</f>
        <v>837746.23574617191</v>
      </c>
      <c r="M244" s="279">
        <f ca="1">'JPY Swap PVs'!X63</f>
        <v>1047182.7946827146</v>
      </c>
    </row>
    <row r="245" spans="2:26">
      <c r="B245" s="282" t="s">
        <v>17</v>
      </c>
      <c r="C245" s="278">
        <f ca="1">'JPY Swap PVs'!N64</f>
        <v>-1200253.8604142829</v>
      </c>
      <c r="D245" s="278">
        <f ca="1">'JPY Swap PVs'!O64</f>
        <v>-960203.08833142626</v>
      </c>
      <c r="E245" s="278">
        <f ca="1">'JPY Swap PVs'!P64</f>
        <v>-720152.31624856964</v>
      </c>
      <c r="F245" s="278">
        <f ca="1">'JPY Swap PVs'!Q64</f>
        <v>-480101.54416571307</v>
      </c>
      <c r="G245" s="278">
        <f ca="1">'JPY Swap PVs'!R64</f>
        <v>-240050.77208285654</v>
      </c>
      <c r="H245" s="278">
        <f ca="1">'JPY Swap PVs'!S64</f>
        <v>0</v>
      </c>
      <c r="I245" s="278">
        <f ca="1">'JPY Swap PVs'!T64</f>
        <v>240050.77208285657</v>
      </c>
      <c r="J245" s="278">
        <f ca="1">'JPY Swap PVs'!U64</f>
        <v>480101.54416571319</v>
      </c>
      <c r="K245" s="278">
        <f ca="1">'JPY Swap PVs'!V64</f>
        <v>720152.31624856987</v>
      </c>
      <c r="L245" s="278">
        <f ca="1">'JPY Swap PVs'!W64</f>
        <v>960203.08833142626</v>
      </c>
      <c r="M245" s="279">
        <f ca="1">'JPY Swap PVs'!X64</f>
        <v>1200253.8604142831</v>
      </c>
    </row>
    <row r="246" spans="2:26">
      <c r="B246" s="282" t="s">
        <v>16</v>
      </c>
      <c r="C246" s="278">
        <f ca="1">'JPY Swap PVs'!N65</f>
        <v>-1341179.2700771403</v>
      </c>
      <c r="D246" s="278">
        <f ca="1">'JPY Swap PVs'!O65</f>
        <v>-1072943.4160617122</v>
      </c>
      <c r="E246" s="278">
        <f ca="1">'JPY Swap PVs'!P65</f>
        <v>-804707.56204628409</v>
      </c>
      <c r="F246" s="278">
        <f ca="1">'JPY Swap PVs'!Q65</f>
        <v>-536471.70803085598</v>
      </c>
      <c r="G246" s="278">
        <f ca="1">'JPY Swap PVs'!R65</f>
        <v>-268235.85401542799</v>
      </c>
      <c r="H246" s="278">
        <f ca="1">'JPY Swap PVs'!S65</f>
        <v>-5.5511151231257827E-11</v>
      </c>
      <c r="I246" s="278">
        <f ca="1">'JPY Swap PVs'!T65</f>
        <v>268235.85401542811</v>
      </c>
      <c r="J246" s="278">
        <f ca="1">'JPY Swap PVs'!U65</f>
        <v>536471.70803085587</v>
      </c>
      <c r="K246" s="278">
        <f ca="1">'JPY Swap PVs'!V65</f>
        <v>804707.56204628397</v>
      </c>
      <c r="L246" s="278">
        <f ca="1">'JPY Swap PVs'!W65</f>
        <v>1072943.4160617122</v>
      </c>
      <c r="M246" s="279">
        <f ca="1">'JPY Swap PVs'!X65</f>
        <v>1341179.2700771401</v>
      </c>
    </row>
    <row r="247" spans="2:26">
      <c r="B247" s="282" t="s">
        <v>15</v>
      </c>
      <c r="C247" s="278">
        <f ca="1">'JPY Swap PVs'!N66</f>
        <v>-1471307.5991774679</v>
      </c>
      <c r="D247" s="278">
        <f ca="1">'JPY Swap PVs'!O66</f>
        <v>-1177046.0793419741</v>
      </c>
      <c r="E247" s="278">
        <f ca="1">'JPY Swap PVs'!P66</f>
        <v>-882784.55950648047</v>
      </c>
      <c r="F247" s="278">
        <f ca="1">'JPY Swap PVs'!Q66</f>
        <v>-588523.03967098694</v>
      </c>
      <c r="G247" s="278">
        <f ca="1">'JPY Swap PVs'!R66</f>
        <v>-294261.51983549341</v>
      </c>
      <c r="H247" s="278">
        <f ca="1">'JPY Swap PVs'!S66</f>
        <v>0</v>
      </c>
      <c r="I247" s="278">
        <f ca="1">'JPY Swap PVs'!T66</f>
        <v>294261.51983549353</v>
      </c>
      <c r="J247" s="278">
        <f ca="1">'JPY Swap PVs'!U66</f>
        <v>588523.03967098694</v>
      </c>
      <c r="K247" s="278">
        <f ca="1">'JPY Swap PVs'!V66</f>
        <v>882784.55950648058</v>
      </c>
      <c r="L247" s="278">
        <f ca="1">'JPY Swap PVs'!W66</f>
        <v>1177046.0793419741</v>
      </c>
      <c r="M247" s="279">
        <f ca="1">'JPY Swap PVs'!X66</f>
        <v>1471307.5991774681</v>
      </c>
    </row>
    <row r="248" spans="2:26">
      <c r="B248" s="282"/>
      <c r="C248" s="278"/>
      <c r="D248" s="278"/>
      <c r="E248" s="278"/>
      <c r="F248" s="278"/>
      <c r="G248" s="278"/>
      <c r="H248" s="278"/>
      <c r="I248" s="278"/>
      <c r="J248" s="278"/>
      <c r="K248" s="278"/>
      <c r="L248" s="278"/>
      <c r="M248" s="279"/>
    </row>
    <row r="249" spans="2:26">
      <c r="B249" s="282"/>
      <c r="C249" s="278"/>
      <c r="D249" s="278"/>
      <c r="E249" s="278"/>
      <c r="F249" s="278"/>
      <c r="G249" s="278"/>
      <c r="H249" s="278"/>
      <c r="I249" s="278"/>
      <c r="J249" s="278"/>
      <c r="K249" s="278"/>
      <c r="L249" s="278"/>
      <c r="M249" s="279"/>
    </row>
    <row r="250" spans="2:26">
      <c r="B250" s="282"/>
      <c r="C250" s="278"/>
      <c r="D250" s="278"/>
      <c r="E250" s="278"/>
      <c r="F250" s="278"/>
      <c r="G250" s="278"/>
      <c r="H250" s="278"/>
      <c r="I250" s="278"/>
      <c r="J250" s="278"/>
      <c r="K250" s="278"/>
      <c r="L250" s="278"/>
      <c r="M250" s="279"/>
    </row>
    <row r="251" spans="2:26">
      <c r="B251" s="283"/>
      <c r="C251" s="280"/>
      <c r="D251" s="280"/>
      <c r="E251" s="280"/>
      <c r="F251" s="280"/>
      <c r="G251" s="280"/>
      <c r="H251" s="280"/>
      <c r="I251" s="280"/>
      <c r="J251" s="280"/>
      <c r="K251" s="280"/>
      <c r="L251" s="280"/>
      <c r="M251" s="281"/>
    </row>
    <row r="253" spans="2:26">
      <c r="B253" s="258" t="s">
        <v>472</v>
      </c>
      <c r="O253" s="258" t="s">
        <v>472</v>
      </c>
    </row>
    <row r="254" spans="2:26">
      <c r="B254" s="254" t="s">
        <v>468</v>
      </c>
      <c r="C254" s="276">
        <v>-0.05</v>
      </c>
      <c r="D254" s="276">
        <v>-0.04</v>
      </c>
      <c r="E254" s="276">
        <v>-0.03</v>
      </c>
      <c r="F254" s="276">
        <v>-1.9999999999999997E-2</v>
      </c>
      <c r="G254" s="276">
        <v>-9.9999999999999967E-3</v>
      </c>
      <c r="H254" s="276">
        <v>0</v>
      </c>
      <c r="I254" s="276">
        <v>0.01</v>
      </c>
      <c r="J254" s="276">
        <v>0.02</v>
      </c>
      <c r="K254" s="276">
        <v>0.03</v>
      </c>
      <c r="L254" s="276">
        <v>0.04</v>
      </c>
      <c r="M254" s="277">
        <v>0.05</v>
      </c>
      <c r="O254" s="254" t="s">
        <v>468</v>
      </c>
      <c r="P254" s="276">
        <v>-0.05</v>
      </c>
      <c r="Q254" s="276">
        <v>-0.04</v>
      </c>
      <c r="R254" s="276">
        <v>-0.03</v>
      </c>
      <c r="S254" s="276">
        <v>-1.9999999999999997E-2</v>
      </c>
      <c r="T254" s="276">
        <v>-9.9999999999999967E-3</v>
      </c>
      <c r="U254" s="276">
        <v>0</v>
      </c>
      <c r="V254" s="276">
        <v>0.01</v>
      </c>
      <c r="W254" s="276">
        <v>0.02</v>
      </c>
      <c r="X254" s="276">
        <v>0.03</v>
      </c>
      <c r="Y254" s="276">
        <v>0.04</v>
      </c>
      <c r="Z254" s="277">
        <v>0.05</v>
      </c>
    </row>
    <row r="255" spans="2:26">
      <c r="B255" s="282" t="s">
        <v>39</v>
      </c>
      <c r="C255" s="278">
        <f ca="1">IF(C233&lt;D233,0,1)</f>
        <v>0</v>
      </c>
      <c r="D255" s="278">
        <f t="shared" ref="D255:L255" ca="1" si="50">IF(D233&lt;E233,0,1)</f>
        <v>0</v>
      </c>
      <c r="E255" s="278">
        <f t="shared" ca="1" si="50"/>
        <v>0</v>
      </c>
      <c r="F255" s="278">
        <f t="shared" ca="1" si="50"/>
        <v>0</v>
      </c>
      <c r="G255" s="278">
        <f t="shared" ca="1" si="50"/>
        <v>0</v>
      </c>
      <c r="H255" s="278">
        <f t="shared" ca="1" si="50"/>
        <v>0</v>
      </c>
      <c r="I255" s="278">
        <f t="shared" ca="1" si="50"/>
        <v>0</v>
      </c>
      <c r="J255" s="278">
        <f t="shared" ca="1" si="50"/>
        <v>0</v>
      </c>
      <c r="K255" s="278">
        <f t="shared" ca="1" si="50"/>
        <v>0</v>
      </c>
      <c r="L255" s="278">
        <f t="shared" ca="1" si="50"/>
        <v>0</v>
      </c>
      <c r="M255" s="285" t="s">
        <v>6</v>
      </c>
      <c r="O255" s="282" t="s">
        <v>39</v>
      </c>
      <c r="P255" s="289">
        <f ca="1">IF(ABS(C234)&gt;ABS(C233),0,1)</f>
        <v>0</v>
      </c>
      <c r="Q255" s="289">
        <f t="shared" ref="Q255:Q268" ca="1" si="51">IF(ABS(D234)&gt;ABS(D233),0,1)</f>
        <v>0</v>
      </c>
      <c r="R255" s="289">
        <f t="shared" ref="R255:R268" ca="1" si="52">IF(ABS(E234)&gt;ABS(E233),0,1)</f>
        <v>0</v>
      </c>
      <c r="S255" s="289">
        <f t="shared" ref="S255:S268" ca="1" si="53">IF(ABS(F234)&gt;ABS(F233),0,1)</f>
        <v>0</v>
      </c>
      <c r="T255" s="289">
        <f t="shared" ref="T255:T268" ca="1" si="54">IF(ABS(G234)&gt;ABS(G233),0,1)</f>
        <v>0</v>
      </c>
      <c r="U255" s="295" t="s">
        <v>6</v>
      </c>
      <c r="V255" s="289">
        <f t="shared" ref="V255:V268" ca="1" si="55">IF(ABS(I234)&gt;ABS(I233),0,1)</f>
        <v>0</v>
      </c>
      <c r="W255" s="289">
        <f t="shared" ref="W255:W268" ca="1" si="56">IF(ABS(J234)&gt;ABS(J233),0,1)</f>
        <v>0</v>
      </c>
      <c r="X255" s="289">
        <f t="shared" ref="X255:X268" ca="1" si="57">IF(ABS(K234)&gt;ABS(K233),0,1)</f>
        <v>0</v>
      </c>
      <c r="Y255" s="289">
        <f t="shared" ref="Y255:Y268" ca="1" si="58">IF(ABS(L234)&gt;ABS(L233),0,1)</f>
        <v>0</v>
      </c>
      <c r="Z255" s="291">
        <f t="shared" ref="Z255:Z268" ca="1" si="59">IF(ABS(M234)&gt;ABS(M233),0,1)</f>
        <v>0</v>
      </c>
    </row>
    <row r="256" spans="2:26">
      <c r="B256" s="282" t="s">
        <v>35</v>
      </c>
      <c r="C256" s="278">
        <f t="shared" ref="C256:L271" ca="1" si="60">IF(C234&lt;D234,0,1)</f>
        <v>0</v>
      </c>
      <c r="D256" s="278">
        <f t="shared" ca="1" si="60"/>
        <v>0</v>
      </c>
      <c r="E256" s="278">
        <f t="shared" ca="1" si="60"/>
        <v>0</v>
      </c>
      <c r="F256" s="278">
        <f t="shared" ca="1" si="60"/>
        <v>0</v>
      </c>
      <c r="G256" s="278">
        <f t="shared" ca="1" si="60"/>
        <v>0</v>
      </c>
      <c r="H256" s="278">
        <f t="shared" ca="1" si="60"/>
        <v>0</v>
      </c>
      <c r="I256" s="278">
        <f t="shared" ca="1" si="60"/>
        <v>0</v>
      </c>
      <c r="J256" s="278">
        <f t="shared" ca="1" si="60"/>
        <v>0</v>
      </c>
      <c r="K256" s="278">
        <f t="shared" ca="1" si="60"/>
        <v>0</v>
      </c>
      <c r="L256" s="278">
        <f t="shared" ca="1" si="60"/>
        <v>0</v>
      </c>
      <c r="M256" s="279" t="s">
        <v>6</v>
      </c>
      <c r="O256" s="282" t="s">
        <v>35</v>
      </c>
      <c r="P256" s="289">
        <f t="shared" ref="P256:P268" ca="1" si="61">IF(ABS(C235)&gt;ABS(C234),0,1)</f>
        <v>0</v>
      </c>
      <c r="Q256" s="289">
        <f t="shared" ca="1" si="51"/>
        <v>0</v>
      </c>
      <c r="R256" s="289">
        <f t="shared" ca="1" si="52"/>
        <v>0</v>
      </c>
      <c r="S256" s="289">
        <f t="shared" ca="1" si="53"/>
        <v>0</v>
      </c>
      <c r="T256" s="289">
        <f t="shared" ca="1" si="54"/>
        <v>0</v>
      </c>
      <c r="U256" s="295" t="s">
        <v>6</v>
      </c>
      <c r="V256" s="289">
        <f t="shared" ca="1" si="55"/>
        <v>0</v>
      </c>
      <c r="W256" s="289">
        <f t="shared" ca="1" si="56"/>
        <v>0</v>
      </c>
      <c r="X256" s="289">
        <f t="shared" ca="1" si="57"/>
        <v>0</v>
      </c>
      <c r="Y256" s="289">
        <f t="shared" ca="1" si="58"/>
        <v>0</v>
      </c>
      <c r="Z256" s="292">
        <f t="shared" ca="1" si="59"/>
        <v>0</v>
      </c>
    </row>
    <row r="257" spans="2:26">
      <c r="B257" s="282" t="s">
        <v>33</v>
      </c>
      <c r="C257" s="278">
        <f t="shared" ca="1" si="60"/>
        <v>0</v>
      </c>
      <c r="D257" s="278">
        <f t="shared" ca="1" si="60"/>
        <v>0</v>
      </c>
      <c r="E257" s="278">
        <f t="shared" ca="1" si="60"/>
        <v>0</v>
      </c>
      <c r="F257" s="278">
        <f t="shared" ca="1" si="60"/>
        <v>0</v>
      </c>
      <c r="G257" s="278">
        <f t="shared" ca="1" si="60"/>
        <v>0</v>
      </c>
      <c r="H257" s="278">
        <f t="shared" ca="1" si="60"/>
        <v>0</v>
      </c>
      <c r="I257" s="278">
        <f t="shared" ca="1" si="60"/>
        <v>0</v>
      </c>
      <c r="J257" s="278">
        <f t="shared" ca="1" si="60"/>
        <v>0</v>
      </c>
      <c r="K257" s="278">
        <f t="shared" ca="1" si="60"/>
        <v>0</v>
      </c>
      <c r="L257" s="278">
        <f t="shared" ca="1" si="60"/>
        <v>0</v>
      </c>
      <c r="M257" s="279" t="s">
        <v>6</v>
      </c>
      <c r="O257" s="282" t="s">
        <v>33</v>
      </c>
      <c r="P257" s="289">
        <f t="shared" ca="1" si="61"/>
        <v>0</v>
      </c>
      <c r="Q257" s="289">
        <f t="shared" ca="1" si="51"/>
        <v>0</v>
      </c>
      <c r="R257" s="289">
        <f t="shared" ca="1" si="52"/>
        <v>0</v>
      </c>
      <c r="S257" s="289">
        <f t="shared" ca="1" si="53"/>
        <v>0</v>
      </c>
      <c r="T257" s="289">
        <f t="shared" ca="1" si="54"/>
        <v>0</v>
      </c>
      <c r="U257" s="295" t="s">
        <v>6</v>
      </c>
      <c r="V257" s="289">
        <f t="shared" ca="1" si="55"/>
        <v>0</v>
      </c>
      <c r="W257" s="289">
        <f t="shared" ca="1" si="56"/>
        <v>0</v>
      </c>
      <c r="X257" s="289">
        <f t="shared" ca="1" si="57"/>
        <v>0</v>
      </c>
      <c r="Y257" s="289">
        <f t="shared" ca="1" si="58"/>
        <v>0</v>
      </c>
      <c r="Z257" s="292">
        <f t="shared" ca="1" si="59"/>
        <v>0</v>
      </c>
    </row>
    <row r="258" spans="2:26">
      <c r="B258" s="282" t="s">
        <v>131</v>
      </c>
      <c r="C258" s="278">
        <f t="shared" ca="1" si="60"/>
        <v>0</v>
      </c>
      <c r="D258" s="278">
        <f t="shared" ca="1" si="60"/>
        <v>0</v>
      </c>
      <c r="E258" s="278">
        <f t="shared" ca="1" si="60"/>
        <v>0</v>
      </c>
      <c r="F258" s="278">
        <f t="shared" ca="1" si="60"/>
        <v>0</v>
      </c>
      <c r="G258" s="278">
        <f t="shared" ca="1" si="60"/>
        <v>0</v>
      </c>
      <c r="H258" s="278">
        <f t="shared" ca="1" si="60"/>
        <v>0</v>
      </c>
      <c r="I258" s="278">
        <f t="shared" ca="1" si="60"/>
        <v>0</v>
      </c>
      <c r="J258" s="278">
        <f t="shared" ca="1" si="60"/>
        <v>0</v>
      </c>
      <c r="K258" s="278">
        <f t="shared" ca="1" si="60"/>
        <v>0</v>
      </c>
      <c r="L258" s="278">
        <f t="shared" ca="1" si="60"/>
        <v>0</v>
      </c>
      <c r="M258" s="279" t="s">
        <v>6</v>
      </c>
      <c r="O258" s="282" t="s">
        <v>131</v>
      </c>
      <c r="P258" s="289">
        <f t="shared" ca="1" si="61"/>
        <v>0</v>
      </c>
      <c r="Q258" s="289">
        <f t="shared" ca="1" si="51"/>
        <v>0</v>
      </c>
      <c r="R258" s="289">
        <f t="shared" ca="1" si="52"/>
        <v>0</v>
      </c>
      <c r="S258" s="289">
        <f t="shared" ca="1" si="53"/>
        <v>0</v>
      </c>
      <c r="T258" s="289">
        <f t="shared" ca="1" si="54"/>
        <v>0</v>
      </c>
      <c r="U258" s="295" t="s">
        <v>6</v>
      </c>
      <c r="V258" s="289">
        <f t="shared" ca="1" si="55"/>
        <v>0</v>
      </c>
      <c r="W258" s="289">
        <f t="shared" ca="1" si="56"/>
        <v>0</v>
      </c>
      <c r="X258" s="289">
        <f t="shared" ca="1" si="57"/>
        <v>0</v>
      </c>
      <c r="Y258" s="289">
        <f t="shared" ca="1" si="58"/>
        <v>0</v>
      </c>
      <c r="Z258" s="292">
        <f t="shared" ca="1" si="59"/>
        <v>0</v>
      </c>
    </row>
    <row r="259" spans="2:26">
      <c r="B259" s="282" t="s">
        <v>31</v>
      </c>
      <c r="C259" s="278">
        <f t="shared" ca="1" si="60"/>
        <v>0</v>
      </c>
      <c r="D259" s="278">
        <f t="shared" ca="1" si="60"/>
        <v>0</v>
      </c>
      <c r="E259" s="278">
        <f t="shared" ca="1" si="60"/>
        <v>0</v>
      </c>
      <c r="F259" s="278">
        <f t="shared" ca="1" si="60"/>
        <v>0</v>
      </c>
      <c r="G259" s="278">
        <f t="shared" ca="1" si="60"/>
        <v>0</v>
      </c>
      <c r="H259" s="278">
        <f t="shared" ca="1" si="60"/>
        <v>0</v>
      </c>
      <c r="I259" s="278">
        <f t="shared" ca="1" si="60"/>
        <v>0</v>
      </c>
      <c r="J259" s="278">
        <f t="shared" ca="1" si="60"/>
        <v>0</v>
      </c>
      <c r="K259" s="278">
        <f t="shared" ca="1" si="60"/>
        <v>0</v>
      </c>
      <c r="L259" s="278">
        <f t="shared" ca="1" si="60"/>
        <v>0</v>
      </c>
      <c r="M259" s="279" t="s">
        <v>6</v>
      </c>
      <c r="O259" s="282" t="s">
        <v>31</v>
      </c>
      <c r="P259" s="289">
        <f t="shared" ca="1" si="61"/>
        <v>0</v>
      </c>
      <c r="Q259" s="289">
        <f t="shared" ca="1" si="51"/>
        <v>0</v>
      </c>
      <c r="R259" s="289">
        <f t="shared" ca="1" si="52"/>
        <v>0</v>
      </c>
      <c r="S259" s="289">
        <f t="shared" ca="1" si="53"/>
        <v>0</v>
      </c>
      <c r="T259" s="289">
        <f t="shared" ca="1" si="54"/>
        <v>0</v>
      </c>
      <c r="U259" s="295" t="s">
        <v>6</v>
      </c>
      <c r="V259" s="289">
        <f t="shared" ca="1" si="55"/>
        <v>0</v>
      </c>
      <c r="W259" s="289">
        <f t="shared" ca="1" si="56"/>
        <v>0</v>
      </c>
      <c r="X259" s="289">
        <f t="shared" ca="1" si="57"/>
        <v>0</v>
      </c>
      <c r="Y259" s="289">
        <f t="shared" ca="1" si="58"/>
        <v>0</v>
      </c>
      <c r="Z259" s="292">
        <f t="shared" ca="1" si="59"/>
        <v>0</v>
      </c>
    </row>
    <row r="260" spans="2:26">
      <c r="B260" s="282" t="s">
        <v>119</v>
      </c>
      <c r="C260" s="278">
        <f t="shared" ca="1" si="60"/>
        <v>0</v>
      </c>
      <c r="D260" s="278">
        <f t="shared" ca="1" si="60"/>
        <v>0</v>
      </c>
      <c r="E260" s="278">
        <f t="shared" ca="1" si="60"/>
        <v>0</v>
      </c>
      <c r="F260" s="278">
        <f t="shared" ca="1" si="60"/>
        <v>0</v>
      </c>
      <c r="G260" s="278">
        <f t="shared" ca="1" si="60"/>
        <v>0</v>
      </c>
      <c r="H260" s="278">
        <f t="shared" ca="1" si="60"/>
        <v>0</v>
      </c>
      <c r="I260" s="278">
        <f t="shared" ca="1" si="60"/>
        <v>0</v>
      </c>
      <c r="J260" s="278">
        <f t="shared" ca="1" si="60"/>
        <v>0</v>
      </c>
      <c r="K260" s="278">
        <f t="shared" ca="1" si="60"/>
        <v>0</v>
      </c>
      <c r="L260" s="278">
        <f t="shared" ca="1" si="60"/>
        <v>0</v>
      </c>
      <c r="M260" s="279" t="s">
        <v>6</v>
      </c>
      <c r="O260" s="282" t="s">
        <v>119</v>
      </c>
      <c r="P260" s="289">
        <f t="shared" ca="1" si="61"/>
        <v>0</v>
      </c>
      <c r="Q260" s="289">
        <f t="shared" ca="1" si="51"/>
        <v>0</v>
      </c>
      <c r="R260" s="289">
        <f t="shared" ca="1" si="52"/>
        <v>0</v>
      </c>
      <c r="S260" s="289">
        <f t="shared" ca="1" si="53"/>
        <v>0</v>
      </c>
      <c r="T260" s="289">
        <f t="shared" ca="1" si="54"/>
        <v>0</v>
      </c>
      <c r="U260" s="295" t="s">
        <v>6</v>
      </c>
      <c r="V260" s="289">
        <f t="shared" ca="1" si="55"/>
        <v>0</v>
      </c>
      <c r="W260" s="289">
        <f t="shared" ca="1" si="56"/>
        <v>0</v>
      </c>
      <c r="X260" s="289">
        <f t="shared" ca="1" si="57"/>
        <v>0</v>
      </c>
      <c r="Y260" s="289">
        <f t="shared" ca="1" si="58"/>
        <v>0</v>
      </c>
      <c r="Z260" s="292">
        <f t="shared" ca="1" si="59"/>
        <v>0</v>
      </c>
    </row>
    <row r="261" spans="2:26">
      <c r="B261" s="282" t="s">
        <v>113</v>
      </c>
      <c r="C261" s="278">
        <f t="shared" ca="1" si="60"/>
        <v>0</v>
      </c>
      <c r="D261" s="278">
        <f t="shared" ca="1" si="60"/>
        <v>0</v>
      </c>
      <c r="E261" s="278">
        <f t="shared" ca="1" si="60"/>
        <v>0</v>
      </c>
      <c r="F261" s="278">
        <f t="shared" ca="1" si="60"/>
        <v>0</v>
      </c>
      <c r="G261" s="278">
        <f t="shared" ca="1" si="60"/>
        <v>0</v>
      </c>
      <c r="H261" s="278">
        <f t="shared" ca="1" si="60"/>
        <v>0</v>
      </c>
      <c r="I261" s="278">
        <f t="shared" ca="1" si="60"/>
        <v>0</v>
      </c>
      <c r="J261" s="278">
        <f t="shared" ca="1" si="60"/>
        <v>0</v>
      </c>
      <c r="K261" s="278">
        <f t="shared" ca="1" si="60"/>
        <v>0</v>
      </c>
      <c r="L261" s="278">
        <f t="shared" ca="1" si="60"/>
        <v>0</v>
      </c>
      <c r="M261" s="279" t="s">
        <v>6</v>
      </c>
      <c r="O261" s="282" t="s">
        <v>113</v>
      </c>
      <c r="P261" s="289">
        <f t="shared" ca="1" si="61"/>
        <v>0</v>
      </c>
      <c r="Q261" s="289">
        <f t="shared" ca="1" si="51"/>
        <v>0</v>
      </c>
      <c r="R261" s="289">
        <f t="shared" ca="1" si="52"/>
        <v>0</v>
      </c>
      <c r="S261" s="289">
        <f t="shared" ca="1" si="53"/>
        <v>0</v>
      </c>
      <c r="T261" s="289">
        <f t="shared" ca="1" si="54"/>
        <v>0</v>
      </c>
      <c r="U261" s="295" t="s">
        <v>6</v>
      </c>
      <c r="V261" s="289">
        <f t="shared" ca="1" si="55"/>
        <v>0</v>
      </c>
      <c r="W261" s="289">
        <f t="shared" ca="1" si="56"/>
        <v>0</v>
      </c>
      <c r="X261" s="289">
        <f t="shared" ca="1" si="57"/>
        <v>0</v>
      </c>
      <c r="Y261" s="289">
        <f t="shared" ca="1" si="58"/>
        <v>0</v>
      </c>
      <c r="Z261" s="292">
        <f t="shared" ca="1" si="59"/>
        <v>0</v>
      </c>
    </row>
    <row r="262" spans="2:26">
      <c r="B262" s="282" t="s">
        <v>28</v>
      </c>
      <c r="C262" s="278">
        <f t="shared" ca="1" si="60"/>
        <v>0</v>
      </c>
      <c r="D262" s="278">
        <f t="shared" ca="1" si="60"/>
        <v>0</v>
      </c>
      <c r="E262" s="278">
        <f t="shared" ca="1" si="60"/>
        <v>0</v>
      </c>
      <c r="F262" s="278">
        <f t="shared" ca="1" si="60"/>
        <v>0</v>
      </c>
      <c r="G262" s="278">
        <f t="shared" ca="1" si="60"/>
        <v>0</v>
      </c>
      <c r="H262" s="278">
        <f t="shared" ca="1" si="60"/>
        <v>0</v>
      </c>
      <c r="I262" s="278">
        <f t="shared" ca="1" si="60"/>
        <v>0</v>
      </c>
      <c r="J262" s="278">
        <f t="shared" ca="1" si="60"/>
        <v>0</v>
      </c>
      <c r="K262" s="278">
        <f t="shared" ca="1" si="60"/>
        <v>0</v>
      </c>
      <c r="L262" s="278">
        <f t="shared" ca="1" si="60"/>
        <v>0</v>
      </c>
      <c r="M262" s="279" t="s">
        <v>6</v>
      </c>
      <c r="O262" s="282" t="s">
        <v>28</v>
      </c>
      <c r="P262" s="289">
        <f t="shared" ca="1" si="61"/>
        <v>0</v>
      </c>
      <c r="Q262" s="289">
        <f t="shared" ca="1" si="51"/>
        <v>0</v>
      </c>
      <c r="R262" s="289">
        <f t="shared" ca="1" si="52"/>
        <v>0</v>
      </c>
      <c r="S262" s="289">
        <f t="shared" ca="1" si="53"/>
        <v>0</v>
      </c>
      <c r="T262" s="289">
        <f t="shared" ca="1" si="54"/>
        <v>0</v>
      </c>
      <c r="U262" s="295" t="s">
        <v>6</v>
      </c>
      <c r="V262" s="289">
        <f t="shared" ca="1" si="55"/>
        <v>0</v>
      </c>
      <c r="W262" s="289">
        <f t="shared" ca="1" si="56"/>
        <v>0</v>
      </c>
      <c r="X262" s="289">
        <f t="shared" ca="1" si="57"/>
        <v>0</v>
      </c>
      <c r="Y262" s="289">
        <f t="shared" ca="1" si="58"/>
        <v>0</v>
      </c>
      <c r="Z262" s="292">
        <f t="shared" ca="1" si="59"/>
        <v>0</v>
      </c>
    </row>
    <row r="263" spans="2:26">
      <c r="B263" s="282" t="s">
        <v>26</v>
      </c>
      <c r="C263" s="278">
        <f t="shared" ca="1" si="60"/>
        <v>0</v>
      </c>
      <c r="D263" s="278">
        <f t="shared" ca="1" si="60"/>
        <v>0</v>
      </c>
      <c r="E263" s="278">
        <f t="shared" ca="1" si="60"/>
        <v>0</v>
      </c>
      <c r="F263" s="278">
        <f t="shared" ca="1" si="60"/>
        <v>0</v>
      </c>
      <c r="G263" s="278">
        <f t="shared" ca="1" si="60"/>
        <v>0</v>
      </c>
      <c r="H263" s="278">
        <f t="shared" ca="1" si="60"/>
        <v>0</v>
      </c>
      <c r="I263" s="278">
        <f t="shared" ca="1" si="60"/>
        <v>0</v>
      </c>
      <c r="J263" s="278">
        <f t="shared" ca="1" si="60"/>
        <v>0</v>
      </c>
      <c r="K263" s="278">
        <f t="shared" ca="1" si="60"/>
        <v>0</v>
      </c>
      <c r="L263" s="278">
        <f t="shared" ca="1" si="60"/>
        <v>0</v>
      </c>
      <c r="M263" s="279" t="s">
        <v>6</v>
      </c>
      <c r="O263" s="282" t="s">
        <v>26</v>
      </c>
      <c r="P263" s="289">
        <f t="shared" ca="1" si="61"/>
        <v>0</v>
      </c>
      <c r="Q263" s="289">
        <f t="shared" ca="1" si="51"/>
        <v>0</v>
      </c>
      <c r="R263" s="289">
        <f t="shared" ca="1" si="52"/>
        <v>0</v>
      </c>
      <c r="S263" s="289">
        <f t="shared" ca="1" si="53"/>
        <v>0</v>
      </c>
      <c r="T263" s="289">
        <f t="shared" ca="1" si="54"/>
        <v>0</v>
      </c>
      <c r="U263" s="295" t="s">
        <v>6</v>
      </c>
      <c r="V263" s="289">
        <f t="shared" ca="1" si="55"/>
        <v>0</v>
      </c>
      <c r="W263" s="289">
        <f t="shared" ca="1" si="56"/>
        <v>0</v>
      </c>
      <c r="X263" s="289">
        <f t="shared" ca="1" si="57"/>
        <v>0</v>
      </c>
      <c r="Y263" s="289">
        <f t="shared" ca="1" si="58"/>
        <v>0</v>
      </c>
      <c r="Z263" s="292">
        <f t="shared" ca="1" si="59"/>
        <v>0</v>
      </c>
    </row>
    <row r="264" spans="2:26">
      <c r="B264" s="282" t="s">
        <v>24</v>
      </c>
      <c r="C264" s="278">
        <f t="shared" ca="1" si="60"/>
        <v>0</v>
      </c>
      <c r="D264" s="278">
        <f t="shared" ca="1" si="60"/>
        <v>0</v>
      </c>
      <c r="E264" s="278">
        <f t="shared" ca="1" si="60"/>
        <v>0</v>
      </c>
      <c r="F264" s="278">
        <f t="shared" ca="1" si="60"/>
        <v>0</v>
      </c>
      <c r="G264" s="278">
        <f t="shared" ca="1" si="60"/>
        <v>0</v>
      </c>
      <c r="H264" s="278">
        <f t="shared" ca="1" si="60"/>
        <v>0</v>
      </c>
      <c r="I264" s="278">
        <f t="shared" ca="1" si="60"/>
        <v>0</v>
      </c>
      <c r="J264" s="278">
        <f t="shared" ca="1" si="60"/>
        <v>0</v>
      </c>
      <c r="K264" s="278">
        <f t="shared" ca="1" si="60"/>
        <v>0</v>
      </c>
      <c r="L264" s="278">
        <f t="shared" ca="1" si="60"/>
        <v>0</v>
      </c>
      <c r="M264" s="279" t="s">
        <v>6</v>
      </c>
      <c r="O264" s="282" t="s">
        <v>24</v>
      </c>
      <c r="P264" s="289">
        <f t="shared" ca="1" si="61"/>
        <v>0</v>
      </c>
      <c r="Q264" s="289">
        <f t="shared" ca="1" si="51"/>
        <v>0</v>
      </c>
      <c r="R264" s="289">
        <f t="shared" ca="1" si="52"/>
        <v>0</v>
      </c>
      <c r="S264" s="289">
        <f t="shared" ca="1" si="53"/>
        <v>0</v>
      </c>
      <c r="T264" s="289">
        <f t="shared" ca="1" si="54"/>
        <v>0</v>
      </c>
      <c r="U264" s="295" t="s">
        <v>6</v>
      </c>
      <c r="V264" s="289">
        <f t="shared" ca="1" si="55"/>
        <v>0</v>
      </c>
      <c r="W264" s="289">
        <f t="shared" ca="1" si="56"/>
        <v>0</v>
      </c>
      <c r="X264" s="289">
        <f t="shared" ca="1" si="57"/>
        <v>0</v>
      </c>
      <c r="Y264" s="289">
        <f t="shared" ca="1" si="58"/>
        <v>0</v>
      </c>
      <c r="Z264" s="292">
        <f t="shared" ca="1" si="59"/>
        <v>0</v>
      </c>
    </row>
    <row r="265" spans="2:26">
      <c r="B265" s="282" t="s">
        <v>20</v>
      </c>
      <c r="C265" s="278">
        <f t="shared" ca="1" si="60"/>
        <v>0</v>
      </c>
      <c r="D265" s="278">
        <f t="shared" ca="1" si="60"/>
        <v>0</v>
      </c>
      <c r="E265" s="278">
        <f t="shared" ca="1" si="60"/>
        <v>0</v>
      </c>
      <c r="F265" s="278">
        <f t="shared" ca="1" si="60"/>
        <v>0</v>
      </c>
      <c r="G265" s="278">
        <f t="shared" ca="1" si="60"/>
        <v>0</v>
      </c>
      <c r="H265" s="278">
        <f t="shared" ca="1" si="60"/>
        <v>0</v>
      </c>
      <c r="I265" s="278">
        <f t="shared" ca="1" si="60"/>
        <v>0</v>
      </c>
      <c r="J265" s="278">
        <f t="shared" ca="1" si="60"/>
        <v>0</v>
      </c>
      <c r="K265" s="278">
        <f t="shared" ca="1" si="60"/>
        <v>0</v>
      </c>
      <c r="L265" s="278">
        <f t="shared" ca="1" si="60"/>
        <v>0</v>
      </c>
      <c r="M265" s="279" t="s">
        <v>6</v>
      </c>
      <c r="O265" s="282" t="s">
        <v>20</v>
      </c>
      <c r="P265" s="289">
        <f t="shared" ca="1" si="61"/>
        <v>0</v>
      </c>
      <c r="Q265" s="289">
        <f t="shared" ca="1" si="51"/>
        <v>0</v>
      </c>
      <c r="R265" s="289">
        <f t="shared" ca="1" si="52"/>
        <v>0</v>
      </c>
      <c r="S265" s="289">
        <f t="shared" ca="1" si="53"/>
        <v>0</v>
      </c>
      <c r="T265" s="289">
        <f t="shared" ca="1" si="54"/>
        <v>0</v>
      </c>
      <c r="U265" s="295" t="s">
        <v>6</v>
      </c>
      <c r="V265" s="289">
        <f t="shared" ca="1" si="55"/>
        <v>0</v>
      </c>
      <c r="W265" s="289">
        <f t="shared" ca="1" si="56"/>
        <v>0</v>
      </c>
      <c r="X265" s="289">
        <f t="shared" ca="1" si="57"/>
        <v>0</v>
      </c>
      <c r="Y265" s="289">
        <f t="shared" ca="1" si="58"/>
        <v>0</v>
      </c>
      <c r="Z265" s="292">
        <f t="shared" ca="1" si="59"/>
        <v>0</v>
      </c>
    </row>
    <row r="266" spans="2:26">
      <c r="B266" s="282" t="s">
        <v>18</v>
      </c>
      <c r="C266" s="278">
        <f t="shared" ca="1" si="60"/>
        <v>0</v>
      </c>
      <c r="D266" s="278">
        <f t="shared" ca="1" si="60"/>
        <v>0</v>
      </c>
      <c r="E266" s="278">
        <f t="shared" ca="1" si="60"/>
        <v>0</v>
      </c>
      <c r="F266" s="278">
        <f t="shared" ca="1" si="60"/>
        <v>0</v>
      </c>
      <c r="G266" s="278">
        <f t="shared" ca="1" si="60"/>
        <v>0</v>
      </c>
      <c r="H266" s="278">
        <f t="shared" ca="1" si="60"/>
        <v>0</v>
      </c>
      <c r="I266" s="278">
        <f t="shared" ca="1" si="60"/>
        <v>0</v>
      </c>
      <c r="J266" s="278">
        <f t="shared" ca="1" si="60"/>
        <v>0</v>
      </c>
      <c r="K266" s="278">
        <f t="shared" ca="1" si="60"/>
        <v>0</v>
      </c>
      <c r="L266" s="278">
        <f t="shared" ca="1" si="60"/>
        <v>0</v>
      </c>
      <c r="M266" s="279" t="s">
        <v>6</v>
      </c>
      <c r="O266" s="282" t="s">
        <v>18</v>
      </c>
      <c r="P266" s="289">
        <f t="shared" ca="1" si="61"/>
        <v>0</v>
      </c>
      <c r="Q266" s="289">
        <f t="shared" ca="1" si="51"/>
        <v>0</v>
      </c>
      <c r="R266" s="289">
        <f t="shared" ca="1" si="52"/>
        <v>0</v>
      </c>
      <c r="S266" s="289">
        <f t="shared" ca="1" si="53"/>
        <v>0</v>
      </c>
      <c r="T266" s="289">
        <f t="shared" ca="1" si="54"/>
        <v>0</v>
      </c>
      <c r="U266" s="295" t="s">
        <v>6</v>
      </c>
      <c r="V266" s="289">
        <f t="shared" ca="1" si="55"/>
        <v>0</v>
      </c>
      <c r="W266" s="289">
        <f t="shared" ca="1" si="56"/>
        <v>0</v>
      </c>
      <c r="X266" s="289">
        <f t="shared" ca="1" si="57"/>
        <v>0</v>
      </c>
      <c r="Y266" s="289">
        <f t="shared" ca="1" si="58"/>
        <v>0</v>
      </c>
      <c r="Z266" s="292">
        <f t="shared" ca="1" si="59"/>
        <v>0</v>
      </c>
    </row>
    <row r="267" spans="2:26">
      <c r="B267" s="282" t="s">
        <v>17</v>
      </c>
      <c r="C267" s="278">
        <f t="shared" ca="1" si="60"/>
        <v>0</v>
      </c>
      <c r="D267" s="278">
        <f t="shared" ca="1" si="60"/>
        <v>0</v>
      </c>
      <c r="E267" s="278">
        <f t="shared" ca="1" si="60"/>
        <v>0</v>
      </c>
      <c r="F267" s="278">
        <f t="shared" ca="1" si="60"/>
        <v>0</v>
      </c>
      <c r="G267" s="278">
        <f t="shared" ca="1" si="60"/>
        <v>0</v>
      </c>
      <c r="H267" s="278">
        <f t="shared" ca="1" si="60"/>
        <v>0</v>
      </c>
      <c r="I267" s="278">
        <f t="shared" ca="1" si="60"/>
        <v>0</v>
      </c>
      <c r="J267" s="278">
        <f t="shared" ca="1" si="60"/>
        <v>0</v>
      </c>
      <c r="K267" s="278">
        <f t="shared" ca="1" si="60"/>
        <v>0</v>
      </c>
      <c r="L267" s="278">
        <f t="shared" ca="1" si="60"/>
        <v>0</v>
      </c>
      <c r="M267" s="279" t="s">
        <v>6</v>
      </c>
      <c r="O267" s="282" t="s">
        <v>17</v>
      </c>
      <c r="P267" s="289">
        <f t="shared" ca="1" si="61"/>
        <v>0</v>
      </c>
      <c r="Q267" s="289">
        <f t="shared" ca="1" si="51"/>
        <v>0</v>
      </c>
      <c r="R267" s="289">
        <f t="shared" ca="1" si="52"/>
        <v>0</v>
      </c>
      <c r="S267" s="289">
        <f t="shared" ca="1" si="53"/>
        <v>0</v>
      </c>
      <c r="T267" s="289">
        <f t="shared" ca="1" si="54"/>
        <v>0</v>
      </c>
      <c r="U267" s="295" t="s">
        <v>6</v>
      </c>
      <c r="V267" s="289">
        <f t="shared" ca="1" si="55"/>
        <v>0</v>
      </c>
      <c r="W267" s="289">
        <f t="shared" ca="1" si="56"/>
        <v>0</v>
      </c>
      <c r="X267" s="289">
        <f t="shared" ca="1" si="57"/>
        <v>0</v>
      </c>
      <c r="Y267" s="289">
        <f t="shared" ca="1" si="58"/>
        <v>0</v>
      </c>
      <c r="Z267" s="292">
        <f t="shared" ca="1" si="59"/>
        <v>0</v>
      </c>
    </row>
    <row r="268" spans="2:26">
      <c r="B268" s="282" t="s">
        <v>16</v>
      </c>
      <c r="C268" s="278">
        <f t="shared" ca="1" si="60"/>
        <v>0</v>
      </c>
      <c r="D268" s="278">
        <f t="shared" ca="1" si="60"/>
        <v>0</v>
      </c>
      <c r="E268" s="278">
        <f t="shared" ca="1" si="60"/>
        <v>0</v>
      </c>
      <c r="F268" s="278">
        <f t="shared" ca="1" si="60"/>
        <v>0</v>
      </c>
      <c r="G268" s="278">
        <f t="shared" ca="1" si="60"/>
        <v>0</v>
      </c>
      <c r="H268" s="278">
        <f t="shared" ca="1" si="60"/>
        <v>0</v>
      </c>
      <c r="I268" s="278">
        <f t="shared" ca="1" si="60"/>
        <v>0</v>
      </c>
      <c r="J268" s="278">
        <f t="shared" ca="1" si="60"/>
        <v>0</v>
      </c>
      <c r="K268" s="278">
        <f t="shared" ca="1" si="60"/>
        <v>0</v>
      </c>
      <c r="L268" s="278">
        <f t="shared" ca="1" si="60"/>
        <v>0</v>
      </c>
      <c r="M268" s="279" t="s">
        <v>6</v>
      </c>
      <c r="O268" s="282" t="s">
        <v>16</v>
      </c>
      <c r="P268" s="289">
        <f t="shared" ca="1" si="61"/>
        <v>0</v>
      </c>
      <c r="Q268" s="289">
        <f t="shared" ca="1" si="51"/>
        <v>0</v>
      </c>
      <c r="R268" s="289">
        <f t="shared" ca="1" si="52"/>
        <v>0</v>
      </c>
      <c r="S268" s="289">
        <f t="shared" ca="1" si="53"/>
        <v>0</v>
      </c>
      <c r="T268" s="289">
        <f t="shared" ca="1" si="54"/>
        <v>0</v>
      </c>
      <c r="U268" s="295" t="s">
        <v>6</v>
      </c>
      <c r="V268" s="289">
        <f t="shared" ca="1" si="55"/>
        <v>0</v>
      </c>
      <c r="W268" s="289">
        <f t="shared" ca="1" si="56"/>
        <v>0</v>
      </c>
      <c r="X268" s="289">
        <f t="shared" ca="1" si="57"/>
        <v>0</v>
      </c>
      <c r="Y268" s="289">
        <f t="shared" ca="1" si="58"/>
        <v>0</v>
      </c>
      <c r="Z268" s="292">
        <f t="shared" ca="1" si="59"/>
        <v>0</v>
      </c>
    </row>
    <row r="269" spans="2:26">
      <c r="B269" s="282" t="s">
        <v>15</v>
      </c>
      <c r="C269" s="278">
        <f t="shared" ca="1" si="60"/>
        <v>0</v>
      </c>
      <c r="D269" s="278">
        <f t="shared" ca="1" si="60"/>
        <v>0</v>
      </c>
      <c r="E269" s="278">
        <f t="shared" ca="1" si="60"/>
        <v>0</v>
      </c>
      <c r="F269" s="278">
        <f t="shared" ca="1" si="60"/>
        <v>0</v>
      </c>
      <c r="G269" s="278">
        <f t="shared" ca="1" si="60"/>
        <v>0</v>
      </c>
      <c r="H269" s="278">
        <f t="shared" ca="1" si="60"/>
        <v>0</v>
      </c>
      <c r="I269" s="278">
        <f t="shared" ca="1" si="60"/>
        <v>0</v>
      </c>
      <c r="J269" s="278">
        <f t="shared" ca="1" si="60"/>
        <v>0</v>
      </c>
      <c r="K269" s="278">
        <f t="shared" ca="1" si="60"/>
        <v>0</v>
      </c>
      <c r="L269" s="278">
        <f t="shared" ca="1" si="60"/>
        <v>0</v>
      </c>
      <c r="M269" s="279" t="s">
        <v>6</v>
      </c>
      <c r="O269" s="282" t="s">
        <v>15</v>
      </c>
      <c r="P269" s="295" t="s">
        <v>6</v>
      </c>
      <c r="Q269" s="295" t="s">
        <v>6</v>
      </c>
      <c r="R269" s="295" t="s">
        <v>6</v>
      </c>
      <c r="S269" s="295" t="s">
        <v>6</v>
      </c>
      <c r="T269" s="295" t="s">
        <v>6</v>
      </c>
      <c r="U269" s="295" t="s">
        <v>6</v>
      </c>
      <c r="V269" s="295" t="s">
        <v>6</v>
      </c>
      <c r="W269" s="295" t="s">
        <v>6</v>
      </c>
      <c r="X269" s="295" t="s">
        <v>6</v>
      </c>
      <c r="Y269" s="295" t="s">
        <v>6</v>
      </c>
      <c r="Z269" s="291" t="s">
        <v>6</v>
      </c>
    </row>
    <row r="270" spans="2:26">
      <c r="B270" s="282"/>
      <c r="C270" s="278"/>
      <c r="D270" s="278"/>
      <c r="E270" s="278"/>
      <c r="F270" s="278"/>
      <c r="G270" s="278"/>
      <c r="H270" s="278"/>
      <c r="I270" s="278"/>
      <c r="J270" s="278"/>
      <c r="K270" s="278"/>
      <c r="L270" s="278"/>
      <c r="M270" s="279"/>
      <c r="O270" s="282"/>
      <c r="P270" s="289"/>
      <c r="Q270" s="289"/>
      <c r="R270" s="289"/>
      <c r="S270" s="289"/>
      <c r="T270" s="289"/>
      <c r="U270" s="295"/>
      <c r="V270" s="289"/>
      <c r="W270" s="289"/>
      <c r="X270" s="289"/>
      <c r="Y270" s="289"/>
      <c r="Z270" s="292"/>
    </row>
    <row r="271" spans="2:26">
      <c r="B271" s="282"/>
      <c r="C271" s="278"/>
      <c r="D271" s="278"/>
      <c r="E271" s="278"/>
      <c r="F271" s="278"/>
      <c r="G271" s="278"/>
      <c r="H271" s="278"/>
      <c r="I271" s="278"/>
      <c r="J271" s="278"/>
      <c r="K271" s="278"/>
      <c r="L271" s="278"/>
      <c r="M271" s="279"/>
      <c r="O271" s="282"/>
      <c r="P271" s="289"/>
      <c r="Q271" s="289"/>
      <c r="R271" s="289"/>
      <c r="S271" s="289"/>
      <c r="T271" s="289"/>
      <c r="U271" s="295"/>
      <c r="V271" s="289"/>
      <c r="W271" s="289"/>
      <c r="X271" s="289"/>
      <c r="Y271" s="289"/>
      <c r="Z271" s="292"/>
    </row>
    <row r="272" spans="2:26">
      <c r="B272" s="282"/>
      <c r="C272" s="278"/>
      <c r="D272" s="278"/>
      <c r="E272" s="278"/>
      <c r="F272" s="278"/>
      <c r="G272" s="278"/>
      <c r="H272" s="278"/>
      <c r="I272" s="278"/>
      <c r="J272" s="278"/>
      <c r="K272" s="278"/>
      <c r="L272" s="278"/>
      <c r="M272" s="279"/>
      <c r="O272" s="282"/>
      <c r="P272" s="289"/>
      <c r="Q272" s="289"/>
      <c r="R272" s="289"/>
      <c r="S272" s="289"/>
      <c r="T272" s="289"/>
      <c r="U272" s="295"/>
      <c r="V272" s="289"/>
      <c r="W272" s="289"/>
      <c r="X272" s="289"/>
      <c r="Y272" s="289"/>
      <c r="Z272" s="292"/>
    </row>
    <row r="273" spans="1:26">
      <c r="B273" s="283"/>
      <c r="C273" s="280"/>
      <c r="D273" s="280"/>
      <c r="E273" s="280"/>
      <c r="F273" s="280"/>
      <c r="G273" s="280"/>
      <c r="H273" s="280"/>
      <c r="I273" s="280"/>
      <c r="J273" s="280"/>
      <c r="K273" s="280"/>
      <c r="L273" s="280"/>
      <c r="M273" s="281"/>
      <c r="O273" s="283"/>
      <c r="P273" s="293"/>
      <c r="Q273" s="293"/>
      <c r="R273" s="293"/>
      <c r="S273" s="293"/>
      <c r="T273" s="293"/>
      <c r="U273" s="296"/>
      <c r="V273" s="293"/>
      <c r="W273" s="293"/>
      <c r="X273" s="293"/>
      <c r="Y273" s="293"/>
      <c r="Z273" s="294"/>
    </row>
    <row r="276" spans="1:26">
      <c r="A276" s="224" t="s">
        <v>497</v>
      </c>
      <c r="B276" s="290" t="s">
        <v>495</v>
      </c>
      <c r="C276" s="284"/>
      <c r="G276" s="290" t="s">
        <v>495</v>
      </c>
    </row>
    <row r="277" spans="1:26">
      <c r="B277" s="284" t="s">
        <v>498</v>
      </c>
      <c r="C277" s="284"/>
      <c r="G277" s="284" t="s">
        <v>499</v>
      </c>
    </row>
    <row r="278" spans="1:26">
      <c r="B278" s="258" t="s">
        <v>474</v>
      </c>
      <c r="C278" s="286">
        <f ca="1">SUM(C304:L322)</f>
        <v>0</v>
      </c>
      <c r="G278" s="258" t="s">
        <v>474</v>
      </c>
      <c r="H278" s="286">
        <f ca="1">SUM(P304:Z322)</f>
        <v>0</v>
      </c>
    </row>
    <row r="280" spans="1:26">
      <c r="B280" s="258" t="s">
        <v>479</v>
      </c>
      <c r="C280" s="258"/>
    </row>
    <row r="281" spans="1:26">
      <c r="B281" s="254" t="s">
        <v>468</v>
      </c>
      <c r="C281" s="287">
        <v>500</v>
      </c>
      <c r="D281" s="287">
        <v>400</v>
      </c>
      <c r="E281" s="287">
        <v>300</v>
      </c>
      <c r="F281" s="287">
        <v>200</v>
      </c>
      <c r="G281" s="287">
        <v>100</v>
      </c>
      <c r="H281" s="287">
        <v>0</v>
      </c>
      <c r="I281" s="287">
        <v>-100</v>
      </c>
      <c r="J281" s="287">
        <v>-200</v>
      </c>
      <c r="K281" s="287">
        <v>-300</v>
      </c>
      <c r="L281" s="287">
        <v>-400</v>
      </c>
      <c r="M281" s="288">
        <v>-500</v>
      </c>
    </row>
    <row r="282" spans="1:26">
      <c r="B282" s="282" t="s">
        <v>39</v>
      </c>
      <c r="C282" s="278">
        <f ca="1">'JPY Swap PVs'!N77</f>
        <v>-152542.46364885769</v>
      </c>
      <c r="D282" s="278">
        <f ca="1">'JPY Swap PVs'!O77</f>
        <v>-122033.97091908618</v>
      </c>
      <c r="E282" s="278">
        <f ca="1">'JPY Swap PVs'!P77</f>
        <v>-91525.478189314628</v>
      </c>
      <c r="F282" s="278">
        <f ca="1">'JPY Swap PVs'!Q77</f>
        <v>-61016.985459543095</v>
      </c>
      <c r="G282" s="278">
        <f ca="1">'JPY Swap PVs'!R77</f>
        <v>-30508.492729771544</v>
      </c>
      <c r="H282" s="278">
        <f ca="1">'JPY Swap PVs'!S77</f>
        <v>0</v>
      </c>
      <c r="I282" s="278">
        <f ca="1">'JPY Swap PVs'!T77</f>
        <v>30508.492729771544</v>
      </c>
      <c r="J282" s="278">
        <f ca="1">'JPY Swap PVs'!U77</f>
        <v>61016.985459543081</v>
      </c>
      <c r="K282" s="278">
        <f ca="1">'JPY Swap PVs'!V77</f>
        <v>91525.478189314628</v>
      </c>
      <c r="L282" s="278">
        <f ca="1">'JPY Swap PVs'!W77</f>
        <v>122033.97091908615</v>
      </c>
      <c r="M282" s="279">
        <f ca="1">'JPY Swap PVs'!X77</f>
        <v>152542.46364885769</v>
      </c>
    </row>
    <row r="283" spans="1:26">
      <c r="B283" s="282" t="s">
        <v>35</v>
      </c>
      <c r="C283" s="278">
        <f ca="1">'JPY Swap PVs'!N78</f>
        <v>-202890.72538400179</v>
      </c>
      <c r="D283" s="278">
        <f ca="1">'JPY Swap PVs'!O78</f>
        <v>-162312.58030720145</v>
      </c>
      <c r="E283" s="278">
        <f ca="1">'JPY Swap PVs'!P78</f>
        <v>-121734.43523040108</v>
      </c>
      <c r="F283" s="278">
        <f ca="1">'JPY Swap PVs'!Q78</f>
        <v>-81156.290153600741</v>
      </c>
      <c r="G283" s="278">
        <f ca="1">'JPY Swap PVs'!R78</f>
        <v>-40578.145076800356</v>
      </c>
      <c r="H283" s="278">
        <f ca="1">'JPY Swap PVs'!S78</f>
        <v>0</v>
      </c>
      <c r="I283" s="278">
        <f ca="1">'JPY Swap PVs'!T78</f>
        <v>40578.145076800363</v>
      </c>
      <c r="J283" s="278">
        <f ca="1">'JPY Swap PVs'!U78</f>
        <v>81156.290153600727</v>
      </c>
      <c r="K283" s="278">
        <f ca="1">'JPY Swap PVs'!V78</f>
        <v>121734.43523040108</v>
      </c>
      <c r="L283" s="278">
        <f ca="1">'JPY Swap PVs'!W78</f>
        <v>162312.58030720142</v>
      </c>
      <c r="M283" s="279">
        <f ca="1">'JPY Swap PVs'!X78</f>
        <v>202890.72538400179</v>
      </c>
    </row>
    <row r="284" spans="1:26">
      <c r="B284" s="282" t="s">
        <v>33</v>
      </c>
      <c r="C284" s="278">
        <f ca="1">'JPY Swap PVs'!N79</f>
        <v>-253069.5285075022</v>
      </c>
      <c r="D284" s="278">
        <f ca="1">'JPY Swap PVs'!O79</f>
        <v>-202455.6228060018</v>
      </c>
      <c r="E284" s="278">
        <f ca="1">'JPY Swap PVs'!P79</f>
        <v>-151841.71710450135</v>
      </c>
      <c r="F284" s="278">
        <f ca="1">'JPY Swap PVs'!Q79</f>
        <v>-101227.81140300092</v>
      </c>
      <c r="G284" s="278">
        <f ca="1">'JPY Swap PVs'!R79</f>
        <v>-50613.905701500436</v>
      </c>
      <c r="H284" s="278">
        <f ca="1">'JPY Swap PVs'!S79</f>
        <v>0</v>
      </c>
      <c r="I284" s="278">
        <f ca="1">'JPY Swap PVs'!T79</f>
        <v>50613.905701500444</v>
      </c>
      <c r="J284" s="278">
        <f ca="1">'JPY Swap PVs'!U79</f>
        <v>101227.81140300089</v>
      </c>
      <c r="K284" s="278">
        <f ca="1">'JPY Swap PVs'!V79</f>
        <v>151841.71710450135</v>
      </c>
      <c r="L284" s="278">
        <f ca="1">'JPY Swap PVs'!W79</f>
        <v>202455.62280600175</v>
      </c>
      <c r="M284" s="279">
        <f ca="1">'JPY Swap PVs'!X79</f>
        <v>253069.5285075022</v>
      </c>
    </row>
    <row r="285" spans="1:26">
      <c r="B285" s="282" t="s">
        <v>131</v>
      </c>
      <c r="C285" s="278">
        <f ca="1">'JPY Swap PVs'!N80</f>
        <v>-302490.7129720439</v>
      </c>
      <c r="D285" s="278">
        <f ca="1">'JPY Swap PVs'!O80</f>
        <v>-241992.57037763516</v>
      </c>
      <c r="E285" s="278">
        <f ca="1">'JPY Swap PVs'!P80</f>
        <v>-181494.42778322636</v>
      </c>
      <c r="F285" s="278">
        <f ca="1">'JPY Swap PVs'!Q80</f>
        <v>-120996.28518881758</v>
      </c>
      <c r="G285" s="278">
        <f ca="1">'JPY Swap PVs'!R80</f>
        <v>-60498.142594408768</v>
      </c>
      <c r="H285" s="278">
        <f ca="1">'JPY Swap PVs'!S80</f>
        <v>0</v>
      </c>
      <c r="I285" s="278">
        <f ca="1">'JPY Swap PVs'!T80</f>
        <v>60498.142594408775</v>
      </c>
      <c r="J285" s="278">
        <f ca="1">'JPY Swap PVs'!U80</f>
        <v>120996.28518881755</v>
      </c>
      <c r="K285" s="278">
        <f ca="1">'JPY Swap PVs'!V80</f>
        <v>181494.42778322633</v>
      </c>
      <c r="L285" s="278">
        <f ca="1">'JPY Swap PVs'!W80</f>
        <v>241992.57037763504</v>
      </c>
      <c r="M285" s="279">
        <f ca="1">'JPY Swap PVs'!X80</f>
        <v>302490.71297204384</v>
      </c>
    </row>
    <row r="286" spans="1:26">
      <c r="B286" s="282" t="s">
        <v>31</v>
      </c>
      <c r="C286" s="278">
        <f ca="1">'JPY Swap PVs'!N81</f>
        <v>-351141.27427565056</v>
      </c>
      <c r="D286" s="278">
        <f ca="1">'JPY Swap PVs'!O81</f>
        <v>-280913.01942052058</v>
      </c>
      <c r="E286" s="278">
        <f ca="1">'JPY Swap PVs'!P81</f>
        <v>-210684.76456539036</v>
      </c>
      <c r="F286" s="278">
        <f ca="1">'JPY Swap PVs'!Q81</f>
        <v>-140456.50971026026</v>
      </c>
      <c r="G286" s="278">
        <f ca="1">'JPY Swap PVs'!R81</f>
        <v>-70228.254855130115</v>
      </c>
      <c r="H286" s="278">
        <f ca="1">'JPY Swap PVs'!S81</f>
        <v>-6.9388939039072284E-12</v>
      </c>
      <c r="I286" s="278">
        <f ca="1">'JPY Swap PVs'!T81</f>
        <v>70228.254855130115</v>
      </c>
      <c r="J286" s="278">
        <f ca="1">'JPY Swap PVs'!U81</f>
        <v>140456.50971026023</v>
      </c>
      <c r="K286" s="278">
        <f ca="1">'JPY Swap PVs'!V81</f>
        <v>210684.76456539036</v>
      </c>
      <c r="L286" s="278">
        <f ca="1">'JPY Swap PVs'!W81</f>
        <v>280913.01942052046</v>
      </c>
      <c r="M286" s="279">
        <f ca="1">'JPY Swap PVs'!X81</f>
        <v>351141.27427565056</v>
      </c>
    </row>
    <row r="287" spans="1:26">
      <c r="B287" s="282" t="s">
        <v>119</v>
      </c>
      <c r="C287" s="278">
        <f ca="1">'JPY Swap PVs'!N82</f>
        <v>-399166.62011515006</v>
      </c>
      <c r="D287" s="278">
        <f ca="1">'JPY Swap PVs'!O82</f>
        <v>-319333.29609212012</v>
      </c>
      <c r="E287" s="278">
        <f ca="1">'JPY Swap PVs'!P82</f>
        <v>-239499.97206909009</v>
      </c>
      <c r="F287" s="278">
        <f ca="1">'JPY Swap PVs'!Q82</f>
        <v>-159666.64804606006</v>
      </c>
      <c r="G287" s="278">
        <f ca="1">'JPY Swap PVs'!R82</f>
        <v>-79833.32402303</v>
      </c>
      <c r="H287" s="278">
        <f ca="1">'JPY Swap PVs'!S82</f>
        <v>0</v>
      </c>
      <c r="I287" s="278">
        <f ca="1">'JPY Swap PVs'!T82</f>
        <v>79833.32402303</v>
      </c>
      <c r="J287" s="278">
        <f ca="1">'JPY Swap PVs'!U82</f>
        <v>159666.64804606</v>
      </c>
      <c r="K287" s="278">
        <f ca="1">'JPY Swap PVs'!V82</f>
        <v>239499.97206909006</v>
      </c>
      <c r="L287" s="278">
        <f ca="1">'JPY Swap PVs'!W82</f>
        <v>319333.29609212</v>
      </c>
      <c r="M287" s="279">
        <f ca="1">'JPY Swap PVs'!X82</f>
        <v>399166.62011515006</v>
      </c>
    </row>
    <row r="288" spans="1:26">
      <c r="B288" s="282" t="s">
        <v>113</v>
      </c>
      <c r="C288" s="278">
        <f ca="1">'JPY Swap PVs'!N83</f>
        <v>-445844.23518302292</v>
      </c>
      <c r="D288" s="278">
        <f ca="1">'JPY Swap PVs'!O83</f>
        <v>-356675.3881464185</v>
      </c>
      <c r="E288" s="278">
        <f ca="1">'JPY Swap PVs'!P83</f>
        <v>-267506.54110981378</v>
      </c>
      <c r="F288" s="278">
        <f ca="1">'JPY Swap PVs'!Q83</f>
        <v>-178337.69407320928</v>
      </c>
      <c r="G288" s="278">
        <f ca="1">'JPY Swap PVs'!R83</f>
        <v>-89168.847036604595</v>
      </c>
      <c r="H288" s="278">
        <f ca="1">'JPY Swap PVs'!S83</f>
        <v>0</v>
      </c>
      <c r="I288" s="278">
        <f ca="1">'JPY Swap PVs'!T83</f>
        <v>89168.847036604609</v>
      </c>
      <c r="J288" s="278">
        <f ca="1">'JPY Swap PVs'!U83</f>
        <v>178337.69407320919</v>
      </c>
      <c r="K288" s="278">
        <f ca="1">'JPY Swap PVs'!V83</f>
        <v>267506.54110981378</v>
      </c>
      <c r="L288" s="278">
        <f ca="1">'JPY Swap PVs'!W83</f>
        <v>356675.38814641832</v>
      </c>
      <c r="M288" s="279">
        <f ca="1">'JPY Swap PVs'!X83</f>
        <v>445844.23518302292</v>
      </c>
    </row>
    <row r="289" spans="2:26">
      <c r="B289" s="282" t="s">
        <v>28</v>
      </c>
      <c r="C289" s="278">
        <f ca="1">'JPY Swap PVs'!N84</f>
        <v>-491641.46924409922</v>
      </c>
      <c r="D289" s="278">
        <f ca="1">'JPY Swap PVs'!O84</f>
        <v>-393313.17539527954</v>
      </c>
      <c r="E289" s="278">
        <f ca="1">'JPY Swap PVs'!P84</f>
        <v>-294984.88154645963</v>
      </c>
      <c r="F289" s="278">
        <f ca="1">'JPY Swap PVs'!Q84</f>
        <v>-196656.5876976398</v>
      </c>
      <c r="G289" s="278">
        <f ca="1">'JPY Swap PVs'!R84</f>
        <v>-98328.293848819856</v>
      </c>
      <c r="H289" s="278">
        <f ca="1">'JPY Swap PVs'!S84</f>
        <v>-1.3877787807814457E-11</v>
      </c>
      <c r="I289" s="278">
        <f ca="1">'JPY Swap PVs'!T84</f>
        <v>98328.293848819856</v>
      </c>
      <c r="J289" s="278">
        <f ca="1">'JPY Swap PVs'!U84</f>
        <v>196656.58769763971</v>
      </c>
      <c r="K289" s="278">
        <f ca="1">'JPY Swap PVs'!V84</f>
        <v>294984.88154645963</v>
      </c>
      <c r="L289" s="278">
        <f ca="1">'JPY Swap PVs'!W84</f>
        <v>393313.17539527942</v>
      </c>
      <c r="M289" s="279">
        <f ca="1">'JPY Swap PVs'!X84</f>
        <v>491641.46924409922</v>
      </c>
    </row>
    <row r="290" spans="2:26">
      <c r="B290" s="282" t="s">
        <v>26</v>
      </c>
      <c r="C290" s="278">
        <f ca="1">'JPY Swap PVs'!N85</f>
        <v>-580132.46295708523</v>
      </c>
      <c r="D290" s="278">
        <f ca="1">'JPY Swap PVs'!O85</f>
        <v>-464105.97036566836</v>
      </c>
      <c r="E290" s="278">
        <f ca="1">'JPY Swap PVs'!P85</f>
        <v>-348079.47777425119</v>
      </c>
      <c r="F290" s="278">
        <f ca="1">'JPY Swap PVs'!Q85</f>
        <v>-232052.98518283424</v>
      </c>
      <c r="G290" s="278">
        <f ca="1">'JPY Swap PVs'!R85</f>
        <v>-116026.49259141712</v>
      </c>
      <c r="H290" s="278">
        <f ca="1">'JPY Swap PVs'!S85</f>
        <v>0</v>
      </c>
      <c r="I290" s="278">
        <f ca="1">'JPY Swap PVs'!T85</f>
        <v>116026.49259141709</v>
      </c>
      <c r="J290" s="278">
        <f ca="1">'JPY Swap PVs'!U85</f>
        <v>232052.98518283418</v>
      </c>
      <c r="K290" s="278">
        <f ca="1">'JPY Swap PVs'!V85</f>
        <v>348079.47777425125</v>
      </c>
      <c r="L290" s="278">
        <f ca="1">'JPY Swap PVs'!W85</f>
        <v>464105.97036566824</v>
      </c>
      <c r="M290" s="279">
        <f ca="1">'JPY Swap PVs'!X85</f>
        <v>580132.46295708546</v>
      </c>
    </row>
    <row r="291" spans="2:26">
      <c r="B291" s="282" t="s">
        <v>24</v>
      </c>
      <c r="C291" s="278">
        <f ca="1">'JPY Swap PVs'!N86</f>
        <v>-705375.04990592063</v>
      </c>
      <c r="D291" s="278">
        <f ca="1">'JPY Swap PVs'!O86</f>
        <v>-564300.03992473683</v>
      </c>
      <c r="E291" s="278">
        <f ca="1">'JPY Swap PVs'!P86</f>
        <v>-423225.02994355239</v>
      </c>
      <c r="F291" s="278">
        <f ca="1">'JPY Swap PVs'!Q86</f>
        <v>-282150.01996236842</v>
      </c>
      <c r="G291" s="278">
        <f ca="1">'JPY Swap PVs'!R86</f>
        <v>-141075.00998118418</v>
      </c>
      <c r="H291" s="278">
        <f ca="1">'JPY Swap PVs'!S86</f>
        <v>-2.7755575615628914E-11</v>
      </c>
      <c r="I291" s="278">
        <f ca="1">'JPY Swap PVs'!T86</f>
        <v>141075.00998118418</v>
      </c>
      <c r="J291" s="278">
        <f ca="1">'JPY Swap PVs'!U86</f>
        <v>282150.01996236836</v>
      </c>
      <c r="K291" s="278">
        <f ca="1">'JPY Swap PVs'!V86</f>
        <v>423225.02994355262</v>
      </c>
      <c r="L291" s="278">
        <f ca="1">'JPY Swap PVs'!W86</f>
        <v>564300.0399247366</v>
      </c>
      <c r="M291" s="279">
        <f ca="1">'JPY Swap PVs'!X86</f>
        <v>705375.04990592098</v>
      </c>
    </row>
    <row r="292" spans="2:26">
      <c r="B292" s="282" t="s">
        <v>20</v>
      </c>
      <c r="C292" s="278">
        <f ca="1">'JPY Swap PVs'!N87</f>
        <v>-895612.9666641826</v>
      </c>
      <c r="D292" s="278">
        <f ca="1">'JPY Swap PVs'!O87</f>
        <v>-716490.37333134655</v>
      </c>
      <c r="E292" s="278">
        <f ca="1">'JPY Swap PVs'!P87</f>
        <v>-537367.77999850968</v>
      </c>
      <c r="F292" s="278">
        <f ca="1">'JPY Swap PVs'!Q87</f>
        <v>-358245.18666567316</v>
      </c>
      <c r="G292" s="278">
        <f ca="1">'JPY Swap PVs'!R87</f>
        <v>-179122.59333283658</v>
      </c>
      <c r="H292" s="278">
        <f ca="1">'JPY Swap PVs'!S87</f>
        <v>0</v>
      </c>
      <c r="I292" s="278">
        <f ca="1">'JPY Swap PVs'!T87</f>
        <v>179122.5933328367</v>
      </c>
      <c r="J292" s="278">
        <f ca="1">'JPY Swap PVs'!U87</f>
        <v>358245.18666567327</v>
      </c>
      <c r="K292" s="278">
        <f ca="1">'JPY Swap PVs'!V87</f>
        <v>537367.77999850991</v>
      </c>
      <c r="L292" s="278">
        <f ca="1">'JPY Swap PVs'!W87</f>
        <v>716490.37333134632</v>
      </c>
      <c r="M292" s="279">
        <f ca="1">'JPY Swap PVs'!X87</f>
        <v>895612.96666418319</v>
      </c>
    </row>
    <row r="293" spans="2:26">
      <c r="B293" s="282" t="s">
        <v>18</v>
      </c>
      <c r="C293" s="278">
        <f ca="1">'JPY Swap PVs'!N88</f>
        <v>-1067055.5709118785</v>
      </c>
      <c r="D293" s="278">
        <f ca="1">'JPY Swap PVs'!O88</f>
        <v>-853644.45672950312</v>
      </c>
      <c r="E293" s="278">
        <f ca="1">'JPY Swap PVs'!P88</f>
        <v>-640233.34254712728</v>
      </c>
      <c r="F293" s="278">
        <f ca="1">'JPY Swap PVs'!Q88</f>
        <v>-426822.22836475162</v>
      </c>
      <c r="G293" s="278">
        <f ca="1">'JPY Swap PVs'!R88</f>
        <v>-213411.11418237581</v>
      </c>
      <c r="H293" s="278">
        <f ca="1">'JPY Swap PVs'!S88</f>
        <v>0</v>
      </c>
      <c r="I293" s="278">
        <f ca="1">'JPY Swap PVs'!T88</f>
        <v>213411.11418237592</v>
      </c>
      <c r="J293" s="278">
        <f ca="1">'JPY Swap PVs'!U88</f>
        <v>426822.22836475179</v>
      </c>
      <c r="K293" s="278">
        <f ca="1">'JPY Swap PVs'!V88</f>
        <v>640233.34254712763</v>
      </c>
      <c r="L293" s="278">
        <f ca="1">'JPY Swap PVs'!W88</f>
        <v>853644.45672950323</v>
      </c>
      <c r="M293" s="279">
        <f ca="1">'JPY Swap PVs'!X88</f>
        <v>1067055.5709118794</v>
      </c>
    </row>
    <row r="294" spans="2:26">
      <c r="B294" s="282" t="s">
        <v>17</v>
      </c>
      <c r="C294" s="278">
        <f ca="1">'JPY Swap PVs'!N89</f>
        <v>-1223051.9604093432</v>
      </c>
      <c r="D294" s="278">
        <f ca="1">'JPY Swap PVs'!O89</f>
        <v>-978441.56832747499</v>
      </c>
      <c r="E294" s="278">
        <f ca="1">'JPY Swap PVs'!P89</f>
        <v>-733831.1762456065</v>
      </c>
      <c r="F294" s="278">
        <f ca="1">'JPY Swap PVs'!Q89</f>
        <v>-489220.78416373755</v>
      </c>
      <c r="G294" s="278">
        <f ca="1">'JPY Swap PVs'!R89</f>
        <v>-244610.39208186869</v>
      </c>
      <c r="H294" s="278">
        <f ca="1">'JPY Swap PVs'!S89</f>
        <v>0</v>
      </c>
      <c r="I294" s="278">
        <f ca="1">'JPY Swap PVs'!T89</f>
        <v>244610.39208186892</v>
      </c>
      <c r="J294" s="278">
        <f ca="1">'JPY Swap PVs'!U89</f>
        <v>489220.78416373773</v>
      </c>
      <c r="K294" s="278">
        <f ca="1">'JPY Swap PVs'!V89</f>
        <v>733831.17624560662</v>
      </c>
      <c r="L294" s="278">
        <f ca="1">'JPY Swap PVs'!W89</f>
        <v>978441.56832747499</v>
      </c>
      <c r="M294" s="279">
        <f ca="1">'JPY Swap PVs'!X89</f>
        <v>1223051.9604093444</v>
      </c>
    </row>
    <row r="295" spans="2:26">
      <c r="B295" s="282" t="s">
        <v>16</v>
      </c>
      <c r="C295" s="278">
        <f ca="1">'JPY Swap PVs'!N90</f>
        <v>-1366543.0648706765</v>
      </c>
      <c r="D295" s="278">
        <f ca="1">'JPY Swap PVs'!O90</f>
        <v>-1093234.4518965422</v>
      </c>
      <c r="E295" s="278">
        <f ca="1">'JPY Swap PVs'!P90</f>
        <v>-819925.83892240631</v>
      </c>
      <c r="F295" s="278">
        <f ca="1">'JPY Swap PVs'!Q90</f>
        <v>-546617.22594827123</v>
      </c>
      <c r="G295" s="278">
        <f ca="1">'JPY Swap PVs'!R90</f>
        <v>-273308.61297413567</v>
      </c>
      <c r="H295" s="278">
        <f ca="1">'JPY Swap PVs'!S90</f>
        <v>-5.5511151231257827E-11</v>
      </c>
      <c r="I295" s="278">
        <f ca="1">'JPY Swap PVs'!T90</f>
        <v>273308.6129741355</v>
      </c>
      <c r="J295" s="278">
        <f ca="1">'JPY Swap PVs'!U90</f>
        <v>546617.22594827099</v>
      </c>
      <c r="K295" s="278">
        <f ca="1">'JPY Swap PVs'!V90</f>
        <v>819925.83892240643</v>
      </c>
      <c r="L295" s="278">
        <f ca="1">'JPY Swap PVs'!W90</f>
        <v>1093234.4518965418</v>
      </c>
      <c r="M295" s="279">
        <f ca="1">'JPY Swap PVs'!X90</f>
        <v>1366543.0648706774</v>
      </c>
    </row>
    <row r="296" spans="2:26">
      <c r="B296" s="282" t="s">
        <v>15</v>
      </c>
      <c r="C296" s="278">
        <f ca="1">'JPY Swap PVs'!N91</f>
        <v>-1499145.7303461705</v>
      </c>
      <c r="D296" s="278">
        <f ca="1">'JPY Swap PVs'!O91</f>
        <v>-1199316.5842769372</v>
      </c>
      <c r="E296" s="278">
        <f ca="1">'JPY Swap PVs'!P91</f>
        <v>-899487.43820770283</v>
      </c>
      <c r="F296" s="278">
        <f ca="1">'JPY Swap PVs'!Q91</f>
        <v>-599658.29213846894</v>
      </c>
      <c r="G296" s="278">
        <f ca="1">'JPY Swap PVs'!R91</f>
        <v>-299829.14606923447</v>
      </c>
      <c r="H296" s="278">
        <f ca="1">'JPY Swap PVs'!S91</f>
        <v>0</v>
      </c>
      <c r="I296" s="278">
        <f ca="1">'JPY Swap PVs'!T91</f>
        <v>299829.1460692343</v>
      </c>
      <c r="J296" s="278">
        <f ca="1">'JPY Swap PVs'!U91</f>
        <v>599658.29213846847</v>
      </c>
      <c r="K296" s="278">
        <f ca="1">'JPY Swap PVs'!V91</f>
        <v>899487.43820770271</v>
      </c>
      <c r="L296" s="278">
        <f ca="1">'JPY Swap PVs'!W91</f>
        <v>1199316.5842769367</v>
      </c>
      <c r="M296" s="279">
        <f ca="1">'JPY Swap PVs'!X91</f>
        <v>1499145.7303461712</v>
      </c>
    </row>
    <row r="297" spans="2:26">
      <c r="B297" s="282"/>
      <c r="C297" s="278"/>
      <c r="D297" s="278"/>
      <c r="E297" s="278"/>
      <c r="F297" s="278"/>
      <c r="G297" s="278"/>
      <c r="H297" s="278"/>
      <c r="I297" s="278"/>
      <c r="J297" s="278"/>
      <c r="K297" s="278"/>
      <c r="L297" s="278"/>
      <c r="M297" s="279"/>
    </row>
    <row r="298" spans="2:26">
      <c r="B298" s="282"/>
      <c r="C298" s="278"/>
      <c r="D298" s="278"/>
      <c r="E298" s="278"/>
      <c r="F298" s="278"/>
      <c r="G298" s="278"/>
      <c r="H298" s="278"/>
      <c r="I298" s="278"/>
      <c r="J298" s="278"/>
      <c r="K298" s="278"/>
      <c r="L298" s="278"/>
      <c r="M298" s="279"/>
    </row>
    <row r="299" spans="2:26">
      <c r="B299" s="282"/>
      <c r="C299" s="278"/>
      <c r="D299" s="278"/>
      <c r="E299" s="278"/>
      <c r="F299" s="278"/>
      <c r="G299" s="278"/>
      <c r="H299" s="278"/>
      <c r="I299" s="278"/>
      <c r="J299" s="278"/>
      <c r="K299" s="278"/>
      <c r="L299" s="278"/>
      <c r="M299" s="279"/>
    </row>
    <row r="300" spans="2:26">
      <c r="B300" s="283"/>
      <c r="C300" s="280"/>
      <c r="D300" s="280"/>
      <c r="E300" s="280"/>
      <c r="F300" s="280"/>
      <c r="G300" s="280"/>
      <c r="H300" s="280"/>
      <c r="I300" s="280"/>
      <c r="J300" s="280"/>
      <c r="K300" s="280"/>
      <c r="L300" s="280"/>
      <c r="M300" s="281"/>
    </row>
    <row r="302" spans="2:26">
      <c r="B302" s="258" t="s">
        <v>472</v>
      </c>
      <c r="O302" s="258" t="s">
        <v>472</v>
      </c>
    </row>
    <row r="303" spans="2:26">
      <c r="B303" s="254" t="s">
        <v>468</v>
      </c>
      <c r="C303" s="287">
        <v>500</v>
      </c>
      <c r="D303" s="287">
        <v>400</v>
      </c>
      <c r="E303" s="287">
        <v>300</v>
      </c>
      <c r="F303" s="287">
        <v>200</v>
      </c>
      <c r="G303" s="287">
        <v>100</v>
      </c>
      <c r="H303" s="287">
        <v>0</v>
      </c>
      <c r="I303" s="287">
        <v>-100</v>
      </c>
      <c r="J303" s="287">
        <v>-200</v>
      </c>
      <c r="K303" s="287">
        <v>-300</v>
      </c>
      <c r="L303" s="287">
        <v>-400</v>
      </c>
      <c r="M303" s="288">
        <v>-500</v>
      </c>
      <c r="O303" s="254" t="s">
        <v>468</v>
      </c>
      <c r="P303" s="276">
        <v>-0.05</v>
      </c>
      <c r="Q303" s="276">
        <v>-0.04</v>
      </c>
      <c r="R303" s="276">
        <v>-0.03</v>
      </c>
      <c r="S303" s="276">
        <v>-1.9999999999999997E-2</v>
      </c>
      <c r="T303" s="276">
        <v>-9.9999999999999967E-3</v>
      </c>
      <c r="U303" s="276">
        <v>0</v>
      </c>
      <c r="V303" s="276">
        <v>0.01</v>
      </c>
      <c r="W303" s="276">
        <v>0.02</v>
      </c>
      <c r="X303" s="276">
        <v>0.03</v>
      </c>
      <c r="Y303" s="276">
        <v>0.04</v>
      </c>
      <c r="Z303" s="277">
        <v>0.05</v>
      </c>
    </row>
    <row r="304" spans="2:26">
      <c r="B304" s="282" t="s">
        <v>39</v>
      </c>
      <c r="C304" s="278">
        <f ca="1">IF(C282&lt;D282,0,1)</f>
        <v>0</v>
      </c>
      <c r="D304" s="278">
        <f t="shared" ref="D304:L304" ca="1" si="62">IF(D282&lt;E282,0,1)</f>
        <v>0</v>
      </c>
      <c r="E304" s="278">
        <f t="shared" ca="1" si="62"/>
        <v>0</v>
      </c>
      <c r="F304" s="278">
        <f t="shared" ca="1" si="62"/>
        <v>0</v>
      </c>
      <c r="G304" s="278">
        <f t="shared" ca="1" si="62"/>
        <v>0</v>
      </c>
      <c r="H304" s="278">
        <f t="shared" ca="1" si="62"/>
        <v>0</v>
      </c>
      <c r="I304" s="278">
        <f t="shared" ca="1" si="62"/>
        <v>0</v>
      </c>
      <c r="J304" s="278">
        <f t="shared" ca="1" si="62"/>
        <v>0</v>
      </c>
      <c r="K304" s="278">
        <f t="shared" ca="1" si="62"/>
        <v>0</v>
      </c>
      <c r="L304" s="278">
        <f t="shared" ca="1" si="62"/>
        <v>0</v>
      </c>
      <c r="M304" s="285" t="s">
        <v>6</v>
      </c>
      <c r="O304" s="282" t="s">
        <v>39</v>
      </c>
      <c r="P304" s="289">
        <f ca="1">IF(ABS(C283)&gt;ABS(C282),0,1)</f>
        <v>0</v>
      </c>
      <c r="Q304" s="289">
        <f t="shared" ref="Q304:Q317" ca="1" si="63">IF(ABS(D283)&gt;ABS(D282),0,1)</f>
        <v>0</v>
      </c>
      <c r="R304" s="289">
        <f t="shared" ref="R304:R317" ca="1" si="64">IF(ABS(E283)&gt;ABS(E282),0,1)</f>
        <v>0</v>
      </c>
      <c r="S304" s="289">
        <f t="shared" ref="S304:S317" ca="1" si="65">IF(ABS(F283)&gt;ABS(F282),0,1)</f>
        <v>0</v>
      </c>
      <c r="T304" s="289">
        <f t="shared" ref="T304:T317" ca="1" si="66">IF(ABS(G283)&gt;ABS(G282),0,1)</f>
        <v>0</v>
      </c>
      <c r="U304" s="295" t="s">
        <v>6</v>
      </c>
      <c r="V304" s="289">
        <f t="shared" ref="V304:V317" ca="1" si="67">IF(ABS(I283)&gt;ABS(I282),0,1)</f>
        <v>0</v>
      </c>
      <c r="W304" s="289">
        <f t="shared" ref="W304:W317" ca="1" si="68">IF(ABS(J283)&gt;ABS(J282),0,1)</f>
        <v>0</v>
      </c>
      <c r="X304" s="289">
        <f t="shared" ref="X304:X317" ca="1" si="69">IF(ABS(K283)&gt;ABS(K282),0,1)</f>
        <v>0</v>
      </c>
      <c r="Y304" s="289">
        <f t="shared" ref="Y304:Y317" ca="1" si="70">IF(ABS(L283)&gt;ABS(L282),0,1)</f>
        <v>0</v>
      </c>
      <c r="Z304" s="291">
        <f t="shared" ref="Z304:Z317" ca="1" si="71">IF(ABS(M283)&gt;ABS(M282),0,1)</f>
        <v>0</v>
      </c>
    </row>
    <row r="305" spans="2:26">
      <c r="B305" s="282" t="s">
        <v>35</v>
      </c>
      <c r="C305" s="278">
        <f t="shared" ref="C305:L320" ca="1" si="72">IF(C283&lt;D283,0,1)</f>
        <v>0</v>
      </c>
      <c r="D305" s="278">
        <f t="shared" ca="1" si="72"/>
        <v>0</v>
      </c>
      <c r="E305" s="278">
        <f t="shared" ca="1" si="72"/>
        <v>0</v>
      </c>
      <c r="F305" s="278">
        <f t="shared" ca="1" si="72"/>
        <v>0</v>
      </c>
      <c r="G305" s="278">
        <f t="shared" ca="1" si="72"/>
        <v>0</v>
      </c>
      <c r="H305" s="278">
        <f t="shared" ca="1" si="72"/>
        <v>0</v>
      </c>
      <c r="I305" s="278">
        <f t="shared" ca="1" si="72"/>
        <v>0</v>
      </c>
      <c r="J305" s="278">
        <f t="shared" ca="1" si="72"/>
        <v>0</v>
      </c>
      <c r="K305" s="278">
        <f t="shared" ca="1" si="72"/>
        <v>0</v>
      </c>
      <c r="L305" s="278">
        <f t="shared" ca="1" si="72"/>
        <v>0</v>
      </c>
      <c r="M305" s="279" t="s">
        <v>6</v>
      </c>
      <c r="O305" s="282" t="s">
        <v>35</v>
      </c>
      <c r="P305" s="289">
        <f t="shared" ref="P305:P317" ca="1" si="73">IF(ABS(C284)&gt;ABS(C283),0,1)</f>
        <v>0</v>
      </c>
      <c r="Q305" s="289">
        <f t="shared" ca="1" si="63"/>
        <v>0</v>
      </c>
      <c r="R305" s="289">
        <f t="shared" ca="1" si="64"/>
        <v>0</v>
      </c>
      <c r="S305" s="289">
        <f t="shared" ca="1" si="65"/>
        <v>0</v>
      </c>
      <c r="T305" s="289">
        <f t="shared" ca="1" si="66"/>
        <v>0</v>
      </c>
      <c r="U305" s="295" t="s">
        <v>6</v>
      </c>
      <c r="V305" s="289">
        <f t="shared" ca="1" si="67"/>
        <v>0</v>
      </c>
      <c r="W305" s="289">
        <f t="shared" ca="1" si="68"/>
        <v>0</v>
      </c>
      <c r="X305" s="289">
        <f t="shared" ca="1" si="69"/>
        <v>0</v>
      </c>
      <c r="Y305" s="289">
        <f t="shared" ca="1" si="70"/>
        <v>0</v>
      </c>
      <c r="Z305" s="292">
        <f t="shared" ca="1" si="71"/>
        <v>0</v>
      </c>
    </row>
    <row r="306" spans="2:26">
      <c r="B306" s="282" t="s">
        <v>33</v>
      </c>
      <c r="C306" s="278">
        <f t="shared" ca="1" si="72"/>
        <v>0</v>
      </c>
      <c r="D306" s="278">
        <f t="shared" ca="1" si="72"/>
        <v>0</v>
      </c>
      <c r="E306" s="278">
        <f t="shared" ca="1" si="72"/>
        <v>0</v>
      </c>
      <c r="F306" s="278">
        <f t="shared" ca="1" si="72"/>
        <v>0</v>
      </c>
      <c r="G306" s="278">
        <f t="shared" ca="1" si="72"/>
        <v>0</v>
      </c>
      <c r="H306" s="278">
        <f t="shared" ca="1" si="72"/>
        <v>0</v>
      </c>
      <c r="I306" s="278">
        <f t="shared" ca="1" si="72"/>
        <v>0</v>
      </c>
      <c r="J306" s="278">
        <f t="shared" ca="1" si="72"/>
        <v>0</v>
      </c>
      <c r="K306" s="278">
        <f t="shared" ca="1" si="72"/>
        <v>0</v>
      </c>
      <c r="L306" s="278">
        <f t="shared" ca="1" si="72"/>
        <v>0</v>
      </c>
      <c r="M306" s="279" t="s">
        <v>6</v>
      </c>
      <c r="O306" s="282" t="s">
        <v>33</v>
      </c>
      <c r="P306" s="289">
        <f t="shared" ca="1" si="73"/>
        <v>0</v>
      </c>
      <c r="Q306" s="289">
        <f t="shared" ca="1" si="63"/>
        <v>0</v>
      </c>
      <c r="R306" s="289">
        <f t="shared" ca="1" si="64"/>
        <v>0</v>
      </c>
      <c r="S306" s="289">
        <f t="shared" ca="1" si="65"/>
        <v>0</v>
      </c>
      <c r="T306" s="289">
        <f t="shared" ca="1" si="66"/>
        <v>0</v>
      </c>
      <c r="U306" s="295" t="s">
        <v>6</v>
      </c>
      <c r="V306" s="289">
        <f t="shared" ca="1" si="67"/>
        <v>0</v>
      </c>
      <c r="W306" s="289">
        <f t="shared" ca="1" si="68"/>
        <v>0</v>
      </c>
      <c r="X306" s="289">
        <f t="shared" ca="1" si="69"/>
        <v>0</v>
      </c>
      <c r="Y306" s="289">
        <f t="shared" ca="1" si="70"/>
        <v>0</v>
      </c>
      <c r="Z306" s="292">
        <f t="shared" ca="1" si="71"/>
        <v>0</v>
      </c>
    </row>
    <row r="307" spans="2:26">
      <c r="B307" s="282" t="s">
        <v>131</v>
      </c>
      <c r="C307" s="278">
        <f t="shared" ca="1" si="72"/>
        <v>0</v>
      </c>
      <c r="D307" s="278">
        <f t="shared" ca="1" si="72"/>
        <v>0</v>
      </c>
      <c r="E307" s="278">
        <f t="shared" ca="1" si="72"/>
        <v>0</v>
      </c>
      <c r="F307" s="278">
        <f t="shared" ca="1" si="72"/>
        <v>0</v>
      </c>
      <c r="G307" s="278">
        <f t="shared" ca="1" si="72"/>
        <v>0</v>
      </c>
      <c r="H307" s="278">
        <f t="shared" ca="1" si="72"/>
        <v>0</v>
      </c>
      <c r="I307" s="278">
        <f t="shared" ca="1" si="72"/>
        <v>0</v>
      </c>
      <c r="J307" s="278">
        <f t="shared" ca="1" si="72"/>
        <v>0</v>
      </c>
      <c r="K307" s="278">
        <f t="shared" ca="1" si="72"/>
        <v>0</v>
      </c>
      <c r="L307" s="278">
        <f t="shared" ca="1" si="72"/>
        <v>0</v>
      </c>
      <c r="M307" s="279" t="s">
        <v>6</v>
      </c>
      <c r="O307" s="282" t="s">
        <v>131</v>
      </c>
      <c r="P307" s="289">
        <f t="shared" ca="1" si="73"/>
        <v>0</v>
      </c>
      <c r="Q307" s="289">
        <f t="shared" ca="1" si="63"/>
        <v>0</v>
      </c>
      <c r="R307" s="289">
        <f t="shared" ca="1" si="64"/>
        <v>0</v>
      </c>
      <c r="S307" s="289">
        <f t="shared" ca="1" si="65"/>
        <v>0</v>
      </c>
      <c r="T307" s="289">
        <f t="shared" ca="1" si="66"/>
        <v>0</v>
      </c>
      <c r="U307" s="295" t="s">
        <v>6</v>
      </c>
      <c r="V307" s="289">
        <f t="shared" ca="1" si="67"/>
        <v>0</v>
      </c>
      <c r="W307" s="289">
        <f t="shared" ca="1" si="68"/>
        <v>0</v>
      </c>
      <c r="X307" s="289">
        <f t="shared" ca="1" si="69"/>
        <v>0</v>
      </c>
      <c r="Y307" s="289">
        <f t="shared" ca="1" si="70"/>
        <v>0</v>
      </c>
      <c r="Z307" s="292">
        <f t="shared" ca="1" si="71"/>
        <v>0</v>
      </c>
    </row>
    <row r="308" spans="2:26">
      <c r="B308" s="282" t="s">
        <v>31</v>
      </c>
      <c r="C308" s="278">
        <f t="shared" ca="1" si="72"/>
        <v>0</v>
      </c>
      <c r="D308" s="278">
        <f t="shared" ca="1" si="72"/>
        <v>0</v>
      </c>
      <c r="E308" s="278">
        <f t="shared" ca="1" si="72"/>
        <v>0</v>
      </c>
      <c r="F308" s="278">
        <f t="shared" ca="1" si="72"/>
        <v>0</v>
      </c>
      <c r="G308" s="278">
        <f t="shared" ca="1" si="72"/>
        <v>0</v>
      </c>
      <c r="H308" s="278">
        <f t="shared" ca="1" si="72"/>
        <v>0</v>
      </c>
      <c r="I308" s="278">
        <f t="shared" ca="1" si="72"/>
        <v>0</v>
      </c>
      <c r="J308" s="278">
        <f t="shared" ca="1" si="72"/>
        <v>0</v>
      </c>
      <c r="K308" s="278">
        <f t="shared" ca="1" si="72"/>
        <v>0</v>
      </c>
      <c r="L308" s="278">
        <f t="shared" ca="1" si="72"/>
        <v>0</v>
      </c>
      <c r="M308" s="279" t="s">
        <v>6</v>
      </c>
      <c r="O308" s="282" t="s">
        <v>31</v>
      </c>
      <c r="P308" s="289">
        <f t="shared" ca="1" si="73"/>
        <v>0</v>
      </c>
      <c r="Q308" s="289">
        <f t="shared" ca="1" si="63"/>
        <v>0</v>
      </c>
      <c r="R308" s="289">
        <f t="shared" ca="1" si="64"/>
        <v>0</v>
      </c>
      <c r="S308" s="289">
        <f t="shared" ca="1" si="65"/>
        <v>0</v>
      </c>
      <c r="T308" s="289">
        <f t="shared" ca="1" si="66"/>
        <v>0</v>
      </c>
      <c r="U308" s="295" t="s">
        <v>6</v>
      </c>
      <c r="V308" s="289">
        <f t="shared" ca="1" si="67"/>
        <v>0</v>
      </c>
      <c r="W308" s="289">
        <f t="shared" ca="1" si="68"/>
        <v>0</v>
      </c>
      <c r="X308" s="289">
        <f t="shared" ca="1" si="69"/>
        <v>0</v>
      </c>
      <c r="Y308" s="289">
        <f t="shared" ca="1" si="70"/>
        <v>0</v>
      </c>
      <c r="Z308" s="292">
        <f t="shared" ca="1" si="71"/>
        <v>0</v>
      </c>
    </row>
    <row r="309" spans="2:26">
      <c r="B309" s="282" t="s">
        <v>119</v>
      </c>
      <c r="C309" s="278">
        <f t="shared" ca="1" si="72"/>
        <v>0</v>
      </c>
      <c r="D309" s="278">
        <f t="shared" ca="1" si="72"/>
        <v>0</v>
      </c>
      <c r="E309" s="278">
        <f t="shared" ca="1" si="72"/>
        <v>0</v>
      </c>
      <c r="F309" s="278">
        <f t="shared" ca="1" si="72"/>
        <v>0</v>
      </c>
      <c r="G309" s="278">
        <f t="shared" ca="1" si="72"/>
        <v>0</v>
      </c>
      <c r="H309" s="278">
        <f t="shared" ca="1" si="72"/>
        <v>0</v>
      </c>
      <c r="I309" s="278">
        <f t="shared" ca="1" si="72"/>
        <v>0</v>
      </c>
      <c r="J309" s="278">
        <f t="shared" ca="1" si="72"/>
        <v>0</v>
      </c>
      <c r="K309" s="278">
        <f t="shared" ca="1" si="72"/>
        <v>0</v>
      </c>
      <c r="L309" s="278">
        <f t="shared" ca="1" si="72"/>
        <v>0</v>
      </c>
      <c r="M309" s="279" t="s">
        <v>6</v>
      </c>
      <c r="O309" s="282" t="s">
        <v>119</v>
      </c>
      <c r="P309" s="289">
        <f t="shared" ca="1" si="73"/>
        <v>0</v>
      </c>
      <c r="Q309" s="289">
        <f t="shared" ca="1" si="63"/>
        <v>0</v>
      </c>
      <c r="R309" s="289">
        <f t="shared" ca="1" si="64"/>
        <v>0</v>
      </c>
      <c r="S309" s="289">
        <f t="shared" ca="1" si="65"/>
        <v>0</v>
      </c>
      <c r="T309" s="289">
        <f t="shared" ca="1" si="66"/>
        <v>0</v>
      </c>
      <c r="U309" s="295" t="s">
        <v>6</v>
      </c>
      <c r="V309" s="289">
        <f t="shared" ca="1" si="67"/>
        <v>0</v>
      </c>
      <c r="W309" s="289">
        <f t="shared" ca="1" si="68"/>
        <v>0</v>
      </c>
      <c r="X309" s="289">
        <f t="shared" ca="1" si="69"/>
        <v>0</v>
      </c>
      <c r="Y309" s="289">
        <f t="shared" ca="1" si="70"/>
        <v>0</v>
      </c>
      <c r="Z309" s="292">
        <f t="shared" ca="1" si="71"/>
        <v>0</v>
      </c>
    </row>
    <row r="310" spans="2:26">
      <c r="B310" s="282" t="s">
        <v>113</v>
      </c>
      <c r="C310" s="278">
        <f t="shared" ca="1" si="72"/>
        <v>0</v>
      </c>
      <c r="D310" s="278">
        <f t="shared" ca="1" si="72"/>
        <v>0</v>
      </c>
      <c r="E310" s="278">
        <f t="shared" ca="1" si="72"/>
        <v>0</v>
      </c>
      <c r="F310" s="278">
        <f t="shared" ca="1" si="72"/>
        <v>0</v>
      </c>
      <c r="G310" s="278">
        <f t="shared" ca="1" si="72"/>
        <v>0</v>
      </c>
      <c r="H310" s="278">
        <f t="shared" ca="1" si="72"/>
        <v>0</v>
      </c>
      <c r="I310" s="278">
        <f t="shared" ca="1" si="72"/>
        <v>0</v>
      </c>
      <c r="J310" s="278">
        <f t="shared" ca="1" si="72"/>
        <v>0</v>
      </c>
      <c r="K310" s="278">
        <f t="shared" ca="1" si="72"/>
        <v>0</v>
      </c>
      <c r="L310" s="278">
        <f t="shared" ca="1" si="72"/>
        <v>0</v>
      </c>
      <c r="M310" s="279" t="s">
        <v>6</v>
      </c>
      <c r="O310" s="282" t="s">
        <v>113</v>
      </c>
      <c r="P310" s="289">
        <f t="shared" ca="1" si="73"/>
        <v>0</v>
      </c>
      <c r="Q310" s="289">
        <f t="shared" ca="1" si="63"/>
        <v>0</v>
      </c>
      <c r="R310" s="289">
        <f t="shared" ca="1" si="64"/>
        <v>0</v>
      </c>
      <c r="S310" s="289">
        <f t="shared" ca="1" si="65"/>
        <v>0</v>
      </c>
      <c r="T310" s="289">
        <f t="shared" ca="1" si="66"/>
        <v>0</v>
      </c>
      <c r="U310" s="295" t="s">
        <v>6</v>
      </c>
      <c r="V310" s="289">
        <f t="shared" ca="1" si="67"/>
        <v>0</v>
      </c>
      <c r="W310" s="289">
        <f t="shared" ca="1" si="68"/>
        <v>0</v>
      </c>
      <c r="X310" s="289">
        <f t="shared" ca="1" si="69"/>
        <v>0</v>
      </c>
      <c r="Y310" s="289">
        <f t="shared" ca="1" si="70"/>
        <v>0</v>
      </c>
      <c r="Z310" s="292">
        <f t="shared" ca="1" si="71"/>
        <v>0</v>
      </c>
    </row>
    <row r="311" spans="2:26">
      <c r="B311" s="282" t="s">
        <v>28</v>
      </c>
      <c r="C311" s="278">
        <f t="shared" ca="1" si="72"/>
        <v>0</v>
      </c>
      <c r="D311" s="278">
        <f t="shared" ca="1" si="72"/>
        <v>0</v>
      </c>
      <c r="E311" s="278">
        <f t="shared" ca="1" si="72"/>
        <v>0</v>
      </c>
      <c r="F311" s="278">
        <f t="shared" ca="1" si="72"/>
        <v>0</v>
      </c>
      <c r="G311" s="278">
        <f t="shared" ca="1" si="72"/>
        <v>0</v>
      </c>
      <c r="H311" s="278">
        <f t="shared" ca="1" si="72"/>
        <v>0</v>
      </c>
      <c r="I311" s="278">
        <f t="shared" ca="1" si="72"/>
        <v>0</v>
      </c>
      <c r="J311" s="278">
        <f t="shared" ca="1" si="72"/>
        <v>0</v>
      </c>
      <c r="K311" s="278">
        <f t="shared" ca="1" si="72"/>
        <v>0</v>
      </c>
      <c r="L311" s="278">
        <f t="shared" ca="1" si="72"/>
        <v>0</v>
      </c>
      <c r="M311" s="279" t="s">
        <v>6</v>
      </c>
      <c r="O311" s="282" t="s">
        <v>28</v>
      </c>
      <c r="P311" s="289">
        <f t="shared" ca="1" si="73"/>
        <v>0</v>
      </c>
      <c r="Q311" s="289">
        <f t="shared" ca="1" si="63"/>
        <v>0</v>
      </c>
      <c r="R311" s="289">
        <f t="shared" ca="1" si="64"/>
        <v>0</v>
      </c>
      <c r="S311" s="289">
        <f t="shared" ca="1" si="65"/>
        <v>0</v>
      </c>
      <c r="T311" s="289">
        <f t="shared" ca="1" si="66"/>
        <v>0</v>
      </c>
      <c r="U311" s="295" t="s">
        <v>6</v>
      </c>
      <c r="V311" s="289">
        <f t="shared" ca="1" si="67"/>
        <v>0</v>
      </c>
      <c r="W311" s="289">
        <f t="shared" ca="1" si="68"/>
        <v>0</v>
      </c>
      <c r="X311" s="289">
        <f t="shared" ca="1" si="69"/>
        <v>0</v>
      </c>
      <c r="Y311" s="289">
        <f t="shared" ca="1" si="70"/>
        <v>0</v>
      </c>
      <c r="Z311" s="292">
        <f t="shared" ca="1" si="71"/>
        <v>0</v>
      </c>
    </row>
    <row r="312" spans="2:26">
      <c r="B312" s="282" t="s">
        <v>26</v>
      </c>
      <c r="C312" s="278">
        <f t="shared" ca="1" si="72"/>
        <v>0</v>
      </c>
      <c r="D312" s="278">
        <f t="shared" ca="1" si="72"/>
        <v>0</v>
      </c>
      <c r="E312" s="278">
        <f t="shared" ca="1" si="72"/>
        <v>0</v>
      </c>
      <c r="F312" s="278">
        <f t="shared" ca="1" si="72"/>
        <v>0</v>
      </c>
      <c r="G312" s="278">
        <f t="shared" ca="1" si="72"/>
        <v>0</v>
      </c>
      <c r="H312" s="278">
        <f t="shared" ca="1" si="72"/>
        <v>0</v>
      </c>
      <c r="I312" s="278">
        <f t="shared" ca="1" si="72"/>
        <v>0</v>
      </c>
      <c r="J312" s="278">
        <f t="shared" ca="1" si="72"/>
        <v>0</v>
      </c>
      <c r="K312" s="278">
        <f t="shared" ca="1" si="72"/>
        <v>0</v>
      </c>
      <c r="L312" s="278">
        <f t="shared" ca="1" si="72"/>
        <v>0</v>
      </c>
      <c r="M312" s="279" t="s">
        <v>6</v>
      </c>
      <c r="O312" s="282" t="s">
        <v>26</v>
      </c>
      <c r="P312" s="289">
        <f t="shared" ca="1" si="73"/>
        <v>0</v>
      </c>
      <c r="Q312" s="289">
        <f t="shared" ca="1" si="63"/>
        <v>0</v>
      </c>
      <c r="R312" s="289">
        <f t="shared" ca="1" si="64"/>
        <v>0</v>
      </c>
      <c r="S312" s="289">
        <f t="shared" ca="1" si="65"/>
        <v>0</v>
      </c>
      <c r="T312" s="289">
        <f t="shared" ca="1" si="66"/>
        <v>0</v>
      </c>
      <c r="U312" s="295" t="s">
        <v>6</v>
      </c>
      <c r="V312" s="289">
        <f t="shared" ca="1" si="67"/>
        <v>0</v>
      </c>
      <c r="W312" s="289">
        <f t="shared" ca="1" si="68"/>
        <v>0</v>
      </c>
      <c r="X312" s="289">
        <f t="shared" ca="1" si="69"/>
        <v>0</v>
      </c>
      <c r="Y312" s="289">
        <f t="shared" ca="1" si="70"/>
        <v>0</v>
      </c>
      <c r="Z312" s="292">
        <f t="shared" ca="1" si="71"/>
        <v>0</v>
      </c>
    </row>
    <row r="313" spans="2:26">
      <c r="B313" s="282" t="s">
        <v>24</v>
      </c>
      <c r="C313" s="278">
        <f t="shared" ca="1" si="72"/>
        <v>0</v>
      </c>
      <c r="D313" s="278">
        <f t="shared" ca="1" si="72"/>
        <v>0</v>
      </c>
      <c r="E313" s="278">
        <f t="shared" ca="1" si="72"/>
        <v>0</v>
      </c>
      <c r="F313" s="278">
        <f t="shared" ca="1" si="72"/>
        <v>0</v>
      </c>
      <c r="G313" s="278">
        <f t="shared" ca="1" si="72"/>
        <v>0</v>
      </c>
      <c r="H313" s="278">
        <f t="shared" ca="1" si="72"/>
        <v>0</v>
      </c>
      <c r="I313" s="278">
        <f t="shared" ca="1" si="72"/>
        <v>0</v>
      </c>
      <c r="J313" s="278">
        <f t="shared" ca="1" si="72"/>
        <v>0</v>
      </c>
      <c r="K313" s="278">
        <f t="shared" ca="1" si="72"/>
        <v>0</v>
      </c>
      <c r="L313" s="278">
        <f t="shared" ca="1" si="72"/>
        <v>0</v>
      </c>
      <c r="M313" s="279" t="s">
        <v>6</v>
      </c>
      <c r="O313" s="282" t="s">
        <v>24</v>
      </c>
      <c r="P313" s="289">
        <f t="shared" ca="1" si="73"/>
        <v>0</v>
      </c>
      <c r="Q313" s="289">
        <f t="shared" ca="1" si="63"/>
        <v>0</v>
      </c>
      <c r="R313" s="289">
        <f t="shared" ca="1" si="64"/>
        <v>0</v>
      </c>
      <c r="S313" s="289">
        <f t="shared" ca="1" si="65"/>
        <v>0</v>
      </c>
      <c r="T313" s="289">
        <f t="shared" ca="1" si="66"/>
        <v>0</v>
      </c>
      <c r="U313" s="295" t="s">
        <v>6</v>
      </c>
      <c r="V313" s="289">
        <f t="shared" ca="1" si="67"/>
        <v>0</v>
      </c>
      <c r="W313" s="289">
        <f t="shared" ca="1" si="68"/>
        <v>0</v>
      </c>
      <c r="X313" s="289">
        <f t="shared" ca="1" si="69"/>
        <v>0</v>
      </c>
      <c r="Y313" s="289">
        <f t="shared" ca="1" si="70"/>
        <v>0</v>
      </c>
      <c r="Z313" s="292">
        <f t="shared" ca="1" si="71"/>
        <v>0</v>
      </c>
    </row>
    <row r="314" spans="2:26">
      <c r="B314" s="282" t="s">
        <v>20</v>
      </c>
      <c r="C314" s="278">
        <f t="shared" ca="1" si="72"/>
        <v>0</v>
      </c>
      <c r="D314" s="278">
        <f t="shared" ca="1" si="72"/>
        <v>0</v>
      </c>
      <c r="E314" s="278">
        <f t="shared" ca="1" si="72"/>
        <v>0</v>
      </c>
      <c r="F314" s="278">
        <f t="shared" ca="1" si="72"/>
        <v>0</v>
      </c>
      <c r="G314" s="278">
        <f t="shared" ca="1" si="72"/>
        <v>0</v>
      </c>
      <c r="H314" s="278">
        <f t="shared" ca="1" si="72"/>
        <v>0</v>
      </c>
      <c r="I314" s="278">
        <f t="shared" ca="1" si="72"/>
        <v>0</v>
      </c>
      <c r="J314" s="278">
        <f t="shared" ca="1" si="72"/>
        <v>0</v>
      </c>
      <c r="K314" s="278">
        <f t="shared" ca="1" si="72"/>
        <v>0</v>
      </c>
      <c r="L314" s="278">
        <f t="shared" ca="1" si="72"/>
        <v>0</v>
      </c>
      <c r="M314" s="279" t="s">
        <v>6</v>
      </c>
      <c r="O314" s="282" t="s">
        <v>20</v>
      </c>
      <c r="P314" s="289">
        <f t="shared" ca="1" si="73"/>
        <v>0</v>
      </c>
      <c r="Q314" s="289">
        <f t="shared" ca="1" si="63"/>
        <v>0</v>
      </c>
      <c r="R314" s="289">
        <f t="shared" ca="1" si="64"/>
        <v>0</v>
      </c>
      <c r="S314" s="289">
        <f t="shared" ca="1" si="65"/>
        <v>0</v>
      </c>
      <c r="T314" s="289">
        <f t="shared" ca="1" si="66"/>
        <v>0</v>
      </c>
      <c r="U314" s="295" t="s">
        <v>6</v>
      </c>
      <c r="V314" s="289">
        <f t="shared" ca="1" si="67"/>
        <v>0</v>
      </c>
      <c r="W314" s="289">
        <f t="shared" ca="1" si="68"/>
        <v>0</v>
      </c>
      <c r="X314" s="289">
        <f t="shared" ca="1" si="69"/>
        <v>0</v>
      </c>
      <c r="Y314" s="289">
        <f t="shared" ca="1" si="70"/>
        <v>0</v>
      </c>
      <c r="Z314" s="292">
        <f t="shared" ca="1" si="71"/>
        <v>0</v>
      </c>
    </row>
    <row r="315" spans="2:26">
      <c r="B315" s="282" t="s">
        <v>18</v>
      </c>
      <c r="C315" s="278">
        <f t="shared" ca="1" si="72"/>
        <v>0</v>
      </c>
      <c r="D315" s="278">
        <f t="shared" ca="1" si="72"/>
        <v>0</v>
      </c>
      <c r="E315" s="278">
        <f t="shared" ca="1" si="72"/>
        <v>0</v>
      </c>
      <c r="F315" s="278">
        <f t="shared" ca="1" si="72"/>
        <v>0</v>
      </c>
      <c r="G315" s="278">
        <f t="shared" ca="1" si="72"/>
        <v>0</v>
      </c>
      <c r="H315" s="278">
        <f t="shared" ca="1" si="72"/>
        <v>0</v>
      </c>
      <c r="I315" s="278">
        <f t="shared" ca="1" si="72"/>
        <v>0</v>
      </c>
      <c r="J315" s="278">
        <f t="shared" ca="1" si="72"/>
        <v>0</v>
      </c>
      <c r="K315" s="278">
        <f t="shared" ca="1" si="72"/>
        <v>0</v>
      </c>
      <c r="L315" s="278">
        <f t="shared" ca="1" si="72"/>
        <v>0</v>
      </c>
      <c r="M315" s="279" t="s">
        <v>6</v>
      </c>
      <c r="O315" s="282" t="s">
        <v>18</v>
      </c>
      <c r="P315" s="289">
        <f t="shared" ca="1" si="73"/>
        <v>0</v>
      </c>
      <c r="Q315" s="289">
        <f t="shared" ca="1" si="63"/>
        <v>0</v>
      </c>
      <c r="R315" s="289">
        <f t="shared" ca="1" si="64"/>
        <v>0</v>
      </c>
      <c r="S315" s="289">
        <f t="shared" ca="1" si="65"/>
        <v>0</v>
      </c>
      <c r="T315" s="289">
        <f t="shared" ca="1" si="66"/>
        <v>0</v>
      </c>
      <c r="U315" s="295" t="s">
        <v>6</v>
      </c>
      <c r="V315" s="289">
        <f t="shared" ca="1" si="67"/>
        <v>0</v>
      </c>
      <c r="W315" s="289">
        <f t="shared" ca="1" si="68"/>
        <v>0</v>
      </c>
      <c r="X315" s="289">
        <f t="shared" ca="1" si="69"/>
        <v>0</v>
      </c>
      <c r="Y315" s="289">
        <f t="shared" ca="1" si="70"/>
        <v>0</v>
      </c>
      <c r="Z315" s="292">
        <f t="shared" ca="1" si="71"/>
        <v>0</v>
      </c>
    </row>
    <row r="316" spans="2:26">
      <c r="B316" s="282" t="s">
        <v>17</v>
      </c>
      <c r="C316" s="278">
        <f t="shared" ca="1" si="72"/>
        <v>0</v>
      </c>
      <c r="D316" s="278">
        <f t="shared" ca="1" si="72"/>
        <v>0</v>
      </c>
      <c r="E316" s="278">
        <f t="shared" ca="1" si="72"/>
        <v>0</v>
      </c>
      <c r="F316" s="278">
        <f t="shared" ca="1" si="72"/>
        <v>0</v>
      </c>
      <c r="G316" s="278">
        <f t="shared" ca="1" si="72"/>
        <v>0</v>
      </c>
      <c r="H316" s="278">
        <f t="shared" ca="1" si="72"/>
        <v>0</v>
      </c>
      <c r="I316" s="278">
        <f t="shared" ca="1" si="72"/>
        <v>0</v>
      </c>
      <c r="J316" s="278">
        <f t="shared" ca="1" si="72"/>
        <v>0</v>
      </c>
      <c r="K316" s="278">
        <f t="shared" ca="1" si="72"/>
        <v>0</v>
      </c>
      <c r="L316" s="278">
        <f t="shared" ca="1" si="72"/>
        <v>0</v>
      </c>
      <c r="M316" s="279" t="s">
        <v>6</v>
      </c>
      <c r="O316" s="282" t="s">
        <v>17</v>
      </c>
      <c r="P316" s="289">
        <f t="shared" ca="1" si="73"/>
        <v>0</v>
      </c>
      <c r="Q316" s="289">
        <f t="shared" ca="1" si="63"/>
        <v>0</v>
      </c>
      <c r="R316" s="289">
        <f t="shared" ca="1" si="64"/>
        <v>0</v>
      </c>
      <c r="S316" s="289">
        <f t="shared" ca="1" si="65"/>
        <v>0</v>
      </c>
      <c r="T316" s="289">
        <f t="shared" ca="1" si="66"/>
        <v>0</v>
      </c>
      <c r="U316" s="295" t="s">
        <v>6</v>
      </c>
      <c r="V316" s="289">
        <f t="shared" ca="1" si="67"/>
        <v>0</v>
      </c>
      <c r="W316" s="289">
        <f t="shared" ca="1" si="68"/>
        <v>0</v>
      </c>
      <c r="X316" s="289">
        <f t="shared" ca="1" si="69"/>
        <v>0</v>
      </c>
      <c r="Y316" s="289">
        <f t="shared" ca="1" si="70"/>
        <v>0</v>
      </c>
      <c r="Z316" s="292">
        <f t="shared" ca="1" si="71"/>
        <v>0</v>
      </c>
    </row>
    <row r="317" spans="2:26">
      <c r="B317" s="282" t="s">
        <v>16</v>
      </c>
      <c r="C317" s="278">
        <f t="shared" ca="1" si="72"/>
        <v>0</v>
      </c>
      <c r="D317" s="278">
        <f t="shared" ca="1" si="72"/>
        <v>0</v>
      </c>
      <c r="E317" s="278">
        <f t="shared" ca="1" si="72"/>
        <v>0</v>
      </c>
      <c r="F317" s="278">
        <f t="shared" ca="1" si="72"/>
        <v>0</v>
      </c>
      <c r="G317" s="278">
        <f t="shared" ca="1" si="72"/>
        <v>0</v>
      </c>
      <c r="H317" s="278">
        <f t="shared" ca="1" si="72"/>
        <v>0</v>
      </c>
      <c r="I317" s="278">
        <f t="shared" ca="1" si="72"/>
        <v>0</v>
      </c>
      <c r="J317" s="278">
        <f t="shared" ca="1" si="72"/>
        <v>0</v>
      </c>
      <c r="K317" s="278">
        <f t="shared" ca="1" si="72"/>
        <v>0</v>
      </c>
      <c r="L317" s="278">
        <f t="shared" ca="1" si="72"/>
        <v>0</v>
      </c>
      <c r="M317" s="279" t="s">
        <v>6</v>
      </c>
      <c r="O317" s="282" t="s">
        <v>16</v>
      </c>
      <c r="P317" s="289">
        <f t="shared" ca="1" si="73"/>
        <v>0</v>
      </c>
      <c r="Q317" s="289">
        <f t="shared" ca="1" si="63"/>
        <v>0</v>
      </c>
      <c r="R317" s="289">
        <f t="shared" ca="1" si="64"/>
        <v>0</v>
      </c>
      <c r="S317" s="289">
        <f t="shared" ca="1" si="65"/>
        <v>0</v>
      </c>
      <c r="T317" s="289">
        <f t="shared" ca="1" si="66"/>
        <v>0</v>
      </c>
      <c r="U317" s="295" t="s">
        <v>6</v>
      </c>
      <c r="V317" s="289">
        <f t="shared" ca="1" si="67"/>
        <v>0</v>
      </c>
      <c r="W317" s="289">
        <f t="shared" ca="1" si="68"/>
        <v>0</v>
      </c>
      <c r="X317" s="289">
        <f t="shared" ca="1" si="69"/>
        <v>0</v>
      </c>
      <c r="Y317" s="289">
        <f t="shared" ca="1" si="70"/>
        <v>0</v>
      </c>
      <c r="Z317" s="292">
        <f t="shared" ca="1" si="71"/>
        <v>0</v>
      </c>
    </row>
    <row r="318" spans="2:26">
      <c r="B318" s="282" t="s">
        <v>15</v>
      </c>
      <c r="C318" s="278">
        <f t="shared" ca="1" si="72"/>
        <v>0</v>
      </c>
      <c r="D318" s="278">
        <f t="shared" ca="1" si="72"/>
        <v>0</v>
      </c>
      <c r="E318" s="278">
        <f t="shared" ca="1" si="72"/>
        <v>0</v>
      </c>
      <c r="F318" s="278">
        <f t="shared" ca="1" si="72"/>
        <v>0</v>
      </c>
      <c r="G318" s="278">
        <f t="shared" ca="1" si="72"/>
        <v>0</v>
      </c>
      <c r="H318" s="278">
        <f t="shared" ca="1" si="72"/>
        <v>0</v>
      </c>
      <c r="I318" s="278">
        <f t="shared" ca="1" si="72"/>
        <v>0</v>
      </c>
      <c r="J318" s="278">
        <f t="shared" ca="1" si="72"/>
        <v>0</v>
      </c>
      <c r="K318" s="278">
        <f t="shared" ca="1" si="72"/>
        <v>0</v>
      </c>
      <c r="L318" s="278">
        <f t="shared" ca="1" si="72"/>
        <v>0</v>
      </c>
      <c r="M318" s="279" t="s">
        <v>6</v>
      </c>
      <c r="O318" s="282" t="s">
        <v>15</v>
      </c>
      <c r="P318" s="295" t="s">
        <v>6</v>
      </c>
      <c r="Q318" s="295" t="s">
        <v>6</v>
      </c>
      <c r="R318" s="295" t="s">
        <v>6</v>
      </c>
      <c r="S318" s="295" t="s">
        <v>6</v>
      </c>
      <c r="T318" s="295" t="s">
        <v>6</v>
      </c>
      <c r="U318" s="295" t="s">
        <v>6</v>
      </c>
      <c r="V318" s="295" t="s">
        <v>6</v>
      </c>
      <c r="W318" s="295" t="s">
        <v>6</v>
      </c>
      <c r="X318" s="295" t="s">
        <v>6</v>
      </c>
      <c r="Y318" s="295" t="s">
        <v>6</v>
      </c>
      <c r="Z318" s="291" t="s">
        <v>6</v>
      </c>
    </row>
    <row r="319" spans="2:26">
      <c r="B319" s="282"/>
      <c r="C319" s="278"/>
      <c r="D319" s="278"/>
      <c r="E319" s="278"/>
      <c r="F319" s="278"/>
      <c r="G319" s="278"/>
      <c r="H319" s="278"/>
      <c r="I319" s="278"/>
      <c r="J319" s="278"/>
      <c r="K319" s="278"/>
      <c r="L319" s="278"/>
      <c r="M319" s="279"/>
      <c r="O319" s="282"/>
      <c r="P319" s="289"/>
      <c r="Q319" s="289"/>
      <c r="R319" s="289"/>
      <c r="S319" s="289"/>
      <c r="T319" s="289"/>
      <c r="U319" s="295"/>
      <c r="V319" s="289"/>
      <c r="W319" s="289"/>
      <c r="X319" s="289"/>
      <c r="Y319" s="289"/>
      <c r="Z319" s="292"/>
    </row>
    <row r="320" spans="2:26">
      <c r="B320" s="282"/>
      <c r="C320" s="278"/>
      <c r="D320" s="278"/>
      <c r="E320" s="278"/>
      <c r="F320" s="278"/>
      <c r="G320" s="278"/>
      <c r="H320" s="278"/>
      <c r="I320" s="278"/>
      <c r="J320" s="278"/>
      <c r="K320" s="278"/>
      <c r="L320" s="278"/>
      <c r="M320" s="279"/>
      <c r="O320" s="282"/>
      <c r="P320" s="289"/>
      <c r="Q320" s="289"/>
      <c r="R320" s="289"/>
      <c r="S320" s="289"/>
      <c r="T320" s="289"/>
      <c r="U320" s="295"/>
      <c r="V320" s="289"/>
      <c r="W320" s="289"/>
      <c r="X320" s="289"/>
      <c r="Y320" s="289"/>
      <c r="Z320" s="292"/>
    </row>
    <row r="321" spans="1:26">
      <c r="B321" s="282"/>
      <c r="C321" s="278"/>
      <c r="D321" s="278"/>
      <c r="E321" s="278"/>
      <c r="F321" s="278"/>
      <c r="G321" s="278"/>
      <c r="H321" s="278"/>
      <c r="I321" s="278"/>
      <c r="J321" s="278"/>
      <c r="K321" s="278"/>
      <c r="L321" s="278"/>
      <c r="M321" s="279"/>
      <c r="O321" s="282"/>
      <c r="P321" s="289"/>
      <c r="Q321" s="289"/>
      <c r="R321" s="289"/>
      <c r="S321" s="289"/>
      <c r="T321" s="289"/>
      <c r="U321" s="295"/>
      <c r="V321" s="289"/>
      <c r="W321" s="289"/>
      <c r="X321" s="289"/>
      <c r="Y321" s="289"/>
      <c r="Z321" s="292"/>
    </row>
    <row r="322" spans="1:26">
      <c r="B322" s="283"/>
      <c r="C322" s="280"/>
      <c r="D322" s="280"/>
      <c r="E322" s="280"/>
      <c r="F322" s="280"/>
      <c r="G322" s="280"/>
      <c r="H322" s="280"/>
      <c r="I322" s="280"/>
      <c r="J322" s="280"/>
      <c r="K322" s="280"/>
      <c r="L322" s="280"/>
      <c r="M322" s="281"/>
      <c r="O322" s="283"/>
      <c r="P322" s="293"/>
      <c r="Q322" s="293"/>
      <c r="R322" s="293"/>
      <c r="S322" s="293"/>
      <c r="T322" s="293"/>
      <c r="U322" s="296"/>
      <c r="V322" s="293"/>
      <c r="W322" s="293"/>
      <c r="X322" s="293"/>
      <c r="Y322" s="293"/>
      <c r="Z322" s="294"/>
    </row>
    <row r="325" spans="1:26">
      <c r="A325" s="224" t="s">
        <v>500</v>
      </c>
      <c r="B325" s="290" t="s">
        <v>502</v>
      </c>
      <c r="C325" s="284"/>
      <c r="G325" s="290" t="s">
        <v>502</v>
      </c>
    </row>
    <row r="326" spans="1:26">
      <c r="B326" s="284" t="s">
        <v>503</v>
      </c>
      <c r="C326" s="284"/>
      <c r="G326" s="284" t="s">
        <v>501</v>
      </c>
      <c r="H326" s="284"/>
    </row>
    <row r="327" spans="1:26">
      <c r="B327" s="258" t="s">
        <v>474</v>
      </c>
      <c r="C327" s="286">
        <f ca="1">SUM(C353:L371)</f>
        <v>0</v>
      </c>
      <c r="G327" s="258" t="s">
        <v>474</v>
      </c>
      <c r="H327" s="286">
        <f ca="1">SUM(P353:Z371)</f>
        <v>0</v>
      </c>
    </row>
    <row r="329" spans="1:26">
      <c r="B329" s="258" t="s">
        <v>477</v>
      </c>
      <c r="C329" s="258"/>
    </row>
    <row r="330" spans="1:26">
      <c r="B330" s="254" t="s">
        <v>468</v>
      </c>
      <c r="C330" s="276">
        <v>-0.05</v>
      </c>
      <c r="D330" s="276">
        <v>-0.04</v>
      </c>
      <c r="E330" s="276">
        <v>-0.03</v>
      </c>
      <c r="F330" s="276">
        <v>-1.9999999999999997E-2</v>
      </c>
      <c r="G330" s="276">
        <v>-9.9999999999999967E-3</v>
      </c>
      <c r="H330" s="276">
        <v>0</v>
      </c>
      <c r="I330" s="276">
        <v>0.01</v>
      </c>
      <c r="J330" s="276">
        <v>0.02</v>
      </c>
      <c r="K330" s="276">
        <v>0.03</v>
      </c>
      <c r="L330" s="276">
        <v>0.04</v>
      </c>
      <c r="M330" s="277">
        <v>0.05</v>
      </c>
    </row>
    <row r="331" spans="1:26">
      <c r="B331" s="282" t="s">
        <v>39</v>
      </c>
      <c r="C331" s="278">
        <f ca="1">'JPY Swap PVs'!AH52</f>
        <v>-150300.80743458588</v>
      </c>
      <c r="D331" s="278">
        <f ca="1">'JPY Swap PVs'!AI52</f>
        <v>-120240.6459476687</v>
      </c>
      <c r="E331" s="278">
        <f ca="1">'JPY Swap PVs'!AJ52</f>
        <v>-90180.484460751526</v>
      </c>
      <c r="F331" s="278">
        <f ca="1">'JPY Swap PVs'!AK52</f>
        <v>-60120.322973834343</v>
      </c>
      <c r="G331" s="278">
        <f ca="1">'JPY Swap PVs'!AL52</f>
        <v>-30060.161486917164</v>
      </c>
      <c r="H331" s="278">
        <f ca="1">'JPY Swap PVs'!AM52</f>
        <v>0</v>
      </c>
      <c r="I331" s="278">
        <f ca="1">'JPY Swap PVs'!AN52</f>
        <v>30060.161486917175</v>
      </c>
      <c r="J331" s="278">
        <f ca="1">'JPY Swap PVs'!AO52</f>
        <v>60120.322973834343</v>
      </c>
      <c r="K331" s="278">
        <f ca="1">'JPY Swap PVs'!AP52</f>
        <v>90180.484460751526</v>
      </c>
      <c r="L331" s="278">
        <f ca="1">'JPY Swap PVs'!AQ52</f>
        <v>120240.6459476687</v>
      </c>
      <c r="M331" s="279">
        <f ca="1">'JPY Swap PVs'!AR52</f>
        <v>150300.80743458588</v>
      </c>
    </row>
    <row r="332" spans="1:26">
      <c r="B332" s="282" t="s">
        <v>35</v>
      </c>
      <c r="C332" s="278">
        <f ca="1">'JPY Swap PVs'!AH53</f>
        <v>-199873.1557084099</v>
      </c>
      <c r="D332" s="278">
        <f ca="1">'JPY Swap PVs'!AI53</f>
        <v>-159898.52456672792</v>
      </c>
      <c r="E332" s="278">
        <f ca="1">'JPY Swap PVs'!AJ53</f>
        <v>-119923.89342504591</v>
      </c>
      <c r="F332" s="278">
        <f ca="1">'JPY Swap PVs'!AK53</f>
        <v>-79949.262283363933</v>
      </c>
      <c r="G332" s="278">
        <f ca="1">'JPY Swap PVs'!AL53</f>
        <v>-39974.631141681966</v>
      </c>
      <c r="H332" s="278">
        <f ca="1">'JPY Swap PVs'!AM53</f>
        <v>0</v>
      </c>
      <c r="I332" s="278">
        <f ca="1">'JPY Swap PVs'!AN53</f>
        <v>39974.631141681974</v>
      </c>
      <c r="J332" s="278">
        <f ca="1">'JPY Swap PVs'!AO53</f>
        <v>79949.262283363962</v>
      </c>
      <c r="K332" s="278">
        <f ca="1">'JPY Swap PVs'!AP53</f>
        <v>119923.89342504591</v>
      </c>
      <c r="L332" s="278">
        <f ca="1">'JPY Swap PVs'!AQ53</f>
        <v>159898.52456672789</v>
      </c>
      <c r="M332" s="279">
        <f ca="1">'JPY Swap PVs'!AR53</f>
        <v>199873.15570840987</v>
      </c>
    </row>
    <row r="333" spans="1:26">
      <c r="B333" s="282" t="s">
        <v>33</v>
      </c>
      <c r="C333" s="278">
        <f ca="1">'JPY Swap PVs'!AH54</f>
        <v>-249096.03223594066</v>
      </c>
      <c r="D333" s="278">
        <f ca="1">'JPY Swap PVs'!AI54</f>
        <v>-199276.82578875253</v>
      </c>
      <c r="E333" s="278">
        <f ca="1">'JPY Swap PVs'!AJ54</f>
        <v>-149457.61934156436</v>
      </c>
      <c r="F333" s="278">
        <f ca="1">'JPY Swap PVs'!AK54</f>
        <v>-99638.412894376219</v>
      </c>
      <c r="G333" s="278">
        <f ca="1">'JPY Swap PVs'!AL54</f>
        <v>-49819.206447188109</v>
      </c>
      <c r="H333" s="278">
        <f ca="1">'JPY Swap PVs'!AM54</f>
        <v>0</v>
      </c>
      <c r="I333" s="278">
        <f ca="1">'JPY Swap PVs'!AN54</f>
        <v>49819.206447188124</v>
      </c>
      <c r="J333" s="278">
        <f ca="1">'JPY Swap PVs'!AO54</f>
        <v>99638.412894376263</v>
      </c>
      <c r="K333" s="278">
        <f ca="1">'JPY Swap PVs'!AP54</f>
        <v>149457.61934156434</v>
      </c>
      <c r="L333" s="278">
        <f ca="1">'JPY Swap PVs'!AQ54</f>
        <v>199276.82578875247</v>
      </c>
      <c r="M333" s="279">
        <f ca="1">'JPY Swap PVs'!AR54</f>
        <v>249096.03223594063</v>
      </c>
    </row>
    <row r="334" spans="1:26">
      <c r="B334" s="282" t="s">
        <v>131</v>
      </c>
      <c r="C334" s="278">
        <f ca="1">'JPY Swap PVs'!AH55</f>
        <v>-297667.53869917657</v>
      </c>
      <c r="D334" s="278">
        <f ca="1">'JPY Swap PVs'!AI55</f>
        <v>-238134.03095934118</v>
      </c>
      <c r="E334" s="278">
        <f ca="1">'JPY Swap PVs'!AJ55</f>
        <v>-178600.52321950591</v>
      </c>
      <c r="F334" s="278">
        <f ca="1">'JPY Swap PVs'!AK55</f>
        <v>-119067.01547967058</v>
      </c>
      <c r="G334" s="278">
        <f ca="1">'JPY Swap PVs'!AL55</f>
        <v>-59533.507739835273</v>
      </c>
      <c r="H334" s="278">
        <f ca="1">'JPY Swap PVs'!AM55</f>
        <v>0</v>
      </c>
      <c r="I334" s="278">
        <f ca="1">'JPY Swap PVs'!AN55</f>
        <v>59533.507739835295</v>
      </c>
      <c r="J334" s="278">
        <f ca="1">'JPY Swap PVs'!AO55</f>
        <v>119067.0154796706</v>
      </c>
      <c r="K334" s="278">
        <f ca="1">'JPY Swap PVs'!AP55</f>
        <v>178600.52321950588</v>
      </c>
      <c r="L334" s="278">
        <f ca="1">'JPY Swap PVs'!AQ55</f>
        <v>238134.03095934124</v>
      </c>
      <c r="M334" s="279">
        <f ca="1">'JPY Swap PVs'!AR55</f>
        <v>297667.53869917651</v>
      </c>
    </row>
    <row r="335" spans="1:26">
      <c r="B335" s="282" t="s">
        <v>31</v>
      </c>
      <c r="C335" s="278">
        <f ca="1">'JPY Swap PVs'!AH56</f>
        <v>-345445.58092836308</v>
      </c>
      <c r="D335" s="278">
        <f ca="1">'JPY Swap PVs'!AI56</f>
        <v>-276356.46474269038</v>
      </c>
      <c r="E335" s="278">
        <f ca="1">'JPY Swap PVs'!AJ56</f>
        <v>-207267.3485570178</v>
      </c>
      <c r="F335" s="278">
        <f ca="1">'JPY Swap PVs'!AK56</f>
        <v>-138178.23237134519</v>
      </c>
      <c r="G335" s="278">
        <f ca="1">'JPY Swap PVs'!AL56</f>
        <v>-69089.116185672581</v>
      </c>
      <c r="H335" s="278">
        <f ca="1">'JPY Swap PVs'!AM56</f>
        <v>0</v>
      </c>
      <c r="I335" s="278">
        <f ca="1">'JPY Swap PVs'!AN56</f>
        <v>69089.116185672596</v>
      </c>
      <c r="J335" s="278">
        <f ca="1">'JPY Swap PVs'!AO56</f>
        <v>138178.23237134522</v>
      </c>
      <c r="K335" s="278">
        <f ca="1">'JPY Swap PVs'!AP56</f>
        <v>207267.34855701774</v>
      </c>
      <c r="L335" s="278">
        <f ca="1">'JPY Swap PVs'!AQ56</f>
        <v>276356.4647426905</v>
      </c>
      <c r="M335" s="279">
        <f ca="1">'JPY Swap PVs'!AR56</f>
        <v>345445.58092836296</v>
      </c>
    </row>
    <row r="336" spans="1:26">
      <c r="B336" s="282" t="s">
        <v>119</v>
      </c>
      <c r="C336" s="278">
        <f ca="1">'JPY Swap PVs'!AH57</f>
        <v>-392585.59739955037</v>
      </c>
      <c r="D336" s="278">
        <f ca="1">'JPY Swap PVs'!AI57</f>
        <v>-314068.47791964025</v>
      </c>
      <c r="E336" s="278">
        <f ca="1">'JPY Swap PVs'!AJ57</f>
        <v>-235551.35843973019</v>
      </c>
      <c r="F336" s="278">
        <f ca="1">'JPY Swap PVs'!AK57</f>
        <v>-157034.2389598201</v>
      </c>
      <c r="G336" s="278">
        <f ca="1">'JPY Swap PVs'!AL57</f>
        <v>-78517.119479910034</v>
      </c>
      <c r="H336" s="278">
        <f ca="1">'JPY Swap PVs'!AM57</f>
        <v>0</v>
      </c>
      <c r="I336" s="278">
        <f ca="1">'JPY Swap PVs'!AN57</f>
        <v>78517.119479910078</v>
      </c>
      <c r="J336" s="278">
        <f ca="1">'JPY Swap PVs'!AO57</f>
        <v>157034.23895982013</v>
      </c>
      <c r="K336" s="278">
        <f ca="1">'JPY Swap PVs'!AP57</f>
        <v>235551.35843973019</v>
      </c>
      <c r="L336" s="278">
        <f ca="1">'JPY Swap PVs'!AQ57</f>
        <v>314068.47791964025</v>
      </c>
      <c r="M336" s="279">
        <f ca="1">'JPY Swap PVs'!AR57</f>
        <v>392585.59739955037</v>
      </c>
    </row>
    <row r="337" spans="2:26">
      <c r="B337" s="282" t="s">
        <v>113</v>
      </c>
      <c r="C337" s="278">
        <f ca="1">'JPY Swap PVs'!AH58</f>
        <v>-438252.52539896453</v>
      </c>
      <c r="D337" s="278">
        <f ca="1">'JPY Swap PVs'!AI58</f>
        <v>-350602.0203191716</v>
      </c>
      <c r="E337" s="278">
        <f ca="1">'JPY Swap PVs'!AJ58</f>
        <v>-262951.51523937873</v>
      </c>
      <c r="F337" s="278">
        <f ca="1">'JPY Swap PVs'!AK58</f>
        <v>-175301.01015958577</v>
      </c>
      <c r="G337" s="278">
        <f ca="1">'JPY Swap PVs'!AL58</f>
        <v>-87650.505079792871</v>
      </c>
      <c r="H337" s="278">
        <f ca="1">'JPY Swap PVs'!AM58</f>
        <v>0</v>
      </c>
      <c r="I337" s="278">
        <f ca="1">'JPY Swap PVs'!AN58</f>
        <v>87650.5050797929</v>
      </c>
      <c r="J337" s="278">
        <f ca="1">'JPY Swap PVs'!AO58</f>
        <v>175301.01015958577</v>
      </c>
      <c r="K337" s="278">
        <f ca="1">'JPY Swap PVs'!AP58</f>
        <v>262951.51523937867</v>
      </c>
      <c r="L337" s="278">
        <f ca="1">'JPY Swap PVs'!AQ58</f>
        <v>350602.02031917154</v>
      </c>
      <c r="M337" s="279">
        <f ca="1">'JPY Swap PVs'!AR58</f>
        <v>438252.52539896441</v>
      </c>
    </row>
    <row r="338" spans="2:26">
      <c r="B338" s="282" t="s">
        <v>28</v>
      </c>
      <c r="C338" s="278">
        <f ca="1">'JPY Swap PVs'!AH59</f>
        <v>-483168.64497448748</v>
      </c>
      <c r="D338" s="278">
        <f ca="1">'JPY Swap PVs'!AI59</f>
        <v>-386534.91597958992</v>
      </c>
      <c r="E338" s="278">
        <f ca="1">'JPY Swap PVs'!AJ59</f>
        <v>-289901.18698469247</v>
      </c>
      <c r="F338" s="278">
        <f ca="1">'JPY Swap PVs'!AK59</f>
        <v>-193267.45798979493</v>
      </c>
      <c r="G338" s="278">
        <f ca="1">'JPY Swap PVs'!AL59</f>
        <v>-96633.728994897465</v>
      </c>
      <c r="H338" s="278">
        <f ca="1">'JPY Swap PVs'!AM59</f>
        <v>0</v>
      </c>
      <c r="I338" s="278">
        <f ca="1">'JPY Swap PVs'!AN59</f>
        <v>96633.728994897479</v>
      </c>
      <c r="J338" s="278">
        <f ca="1">'JPY Swap PVs'!AO59</f>
        <v>193267.45798979499</v>
      </c>
      <c r="K338" s="278">
        <f ca="1">'JPY Swap PVs'!AP59</f>
        <v>289901.18698469253</v>
      </c>
      <c r="L338" s="278">
        <f ca="1">'JPY Swap PVs'!AQ59</f>
        <v>386534.91597958998</v>
      </c>
      <c r="M338" s="279">
        <f ca="1">'JPY Swap PVs'!AR59</f>
        <v>483168.64497448743</v>
      </c>
    </row>
    <row r="339" spans="2:26">
      <c r="B339" s="282" t="s">
        <v>26</v>
      </c>
      <c r="C339" s="278">
        <f ca="1">'JPY Swap PVs'!AH60</f>
        <v>-569938.0308485931</v>
      </c>
      <c r="D339" s="278">
        <f ca="1">'JPY Swap PVs'!AI60</f>
        <v>-455950.42467887449</v>
      </c>
      <c r="E339" s="278">
        <f ca="1">'JPY Swap PVs'!AJ60</f>
        <v>-341962.81850915583</v>
      </c>
      <c r="F339" s="278">
        <f ca="1">'JPY Swap PVs'!AK60</f>
        <v>-227975.21233943719</v>
      </c>
      <c r="G339" s="278">
        <f ca="1">'JPY Swap PVs'!AL60</f>
        <v>-113987.60616971857</v>
      </c>
      <c r="H339" s="278">
        <f ca="1">'JPY Swap PVs'!AM60</f>
        <v>0</v>
      </c>
      <c r="I339" s="278">
        <f ca="1">'JPY Swap PVs'!AN60</f>
        <v>113987.60616971865</v>
      </c>
      <c r="J339" s="278">
        <f ca="1">'JPY Swap PVs'!AO60</f>
        <v>227975.2123394373</v>
      </c>
      <c r="K339" s="278">
        <f ca="1">'JPY Swap PVs'!AP60</f>
        <v>341962.81850915588</v>
      </c>
      <c r="L339" s="278">
        <f ca="1">'JPY Swap PVs'!AQ60</f>
        <v>455950.42467887449</v>
      </c>
      <c r="M339" s="279">
        <f ca="1">'JPY Swap PVs'!AR60</f>
        <v>569938.0308485931</v>
      </c>
    </row>
    <row r="340" spans="2:26">
      <c r="B340" s="282" t="s">
        <v>24</v>
      </c>
      <c r="C340" s="278">
        <f ca="1">'JPY Swap PVs'!AH61</f>
        <v>-692615.23399544926</v>
      </c>
      <c r="D340" s="278">
        <f ca="1">'JPY Swap PVs'!AI61</f>
        <v>-554092.18719635939</v>
      </c>
      <c r="E340" s="278">
        <f ca="1">'JPY Swap PVs'!AJ61</f>
        <v>-415569.14039726951</v>
      </c>
      <c r="F340" s="278">
        <f ca="1">'JPY Swap PVs'!AK61</f>
        <v>-277046.09359817964</v>
      </c>
      <c r="G340" s="278">
        <f ca="1">'JPY Swap PVs'!AL61</f>
        <v>-138523.04679908979</v>
      </c>
      <c r="H340" s="278">
        <f ca="1">'JPY Swap PVs'!AM61</f>
        <v>2.7755575615628914E-11</v>
      </c>
      <c r="I340" s="278">
        <f ca="1">'JPY Swap PVs'!AN61</f>
        <v>138523.04679908985</v>
      </c>
      <c r="J340" s="278">
        <f ca="1">'JPY Swap PVs'!AO61</f>
        <v>277046.09359817969</v>
      </c>
      <c r="K340" s="278">
        <f ca="1">'JPY Swap PVs'!AP61</f>
        <v>415569.14039726957</v>
      </c>
      <c r="L340" s="278">
        <f ca="1">'JPY Swap PVs'!AQ61</f>
        <v>554092.18719635939</v>
      </c>
      <c r="M340" s="279">
        <f ca="1">'JPY Swap PVs'!AR61</f>
        <v>692615.23399544938</v>
      </c>
    </row>
    <row r="341" spans="2:26">
      <c r="B341" s="282" t="s">
        <v>20</v>
      </c>
      <c r="C341" s="278">
        <f ca="1">'JPY Swap PVs'!AH62</f>
        <v>-879086.65850046882</v>
      </c>
      <c r="D341" s="278">
        <f ca="1">'JPY Swap PVs'!AI62</f>
        <v>-703269.32680037513</v>
      </c>
      <c r="E341" s="278">
        <f ca="1">'JPY Swap PVs'!AJ62</f>
        <v>-527451.99510028132</v>
      </c>
      <c r="F341" s="278">
        <f ca="1">'JPY Swap PVs'!AK62</f>
        <v>-351634.66340018745</v>
      </c>
      <c r="G341" s="278">
        <f ca="1">'JPY Swap PVs'!AL62</f>
        <v>-175817.33170009372</v>
      </c>
      <c r="H341" s="278">
        <f ca="1">'JPY Swap PVs'!AM62</f>
        <v>-5.5511151231257827E-11</v>
      </c>
      <c r="I341" s="278">
        <f ca="1">'JPY Swap PVs'!AN62</f>
        <v>175817.33170009367</v>
      </c>
      <c r="J341" s="278">
        <f ca="1">'JPY Swap PVs'!AO62</f>
        <v>351634.66340018751</v>
      </c>
      <c r="K341" s="278">
        <f ca="1">'JPY Swap PVs'!AP62</f>
        <v>527451.9951002812</v>
      </c>
      <c r="L341" s="278">
        <f ca="1">'JPY Swap PVs'!AQ62</f>
        <v>703269.3268003749</v>
      </c>
      <c r="M341" s="279">
        <f ca="1">'JPY Swap PVs'!AR62</f>
        <v>879086.65850046882</v>
      </c>
    </row>
    <row r="342" spans="2:26">
      <c r="B342" s="282" t="s">
        <v>18</v>
      </c>
      <c r="C342" s="278">
        <f ca="1">'JPY Swap PVs'!AH63</f>
        <v>-1047182.7946827149</v>
      </c>
      <c r="D342" s="278">
        <f ca="1">'JPY Swap PVs'!AI63</f>
        <v>-837746.23574617179</v>
      </c>
      <c r="E342" s="278">
        <f ca="1">'JPY Swap PVs'!AJ63</f>
        <v>-628309.67680962884</v>
      </c>
      <c r="F342" s="278">
        <f ca="1">'JPY Swap PVs'!AK63</f>
        <v>-418873.11787308584</v>
      </c>
      <c r="G342" s="278">
        <f ca="1">'JPY Swap PVs'!AL63</f>
        <v>-209436.55893654292</v>
      </c>
      <c r="H342" s="278">
        <f ca="1">'JPY Swap PVs'!AM63</f>
        <v>0</v>
      </c>
      <c r="I342" s="278">
        <f ca="1">'JPY Swap PVs'!AN63</f>
        <v>209436.55893654289</v>
      </c>
      <c r="J342" s="278">
        <f ca="1">'JPY Swap PVs'!AO63</f>
        <v>418873.1178730859</v>
      </c>
      <c r="K342" s="278">
        <f ca="1">'JPY Swap PVs'!AP63</f>
        <v>628309.67680962884</v>
      </c>
      <c r="L342" s="278">
        <f ca="1">'JPY Swap PVs'!AQ63</f>
        <v>837746.23574617179</v>
      </c>
      <c r="M342" s="279">
        <f ca="1">'JPY Swap PVs'!AR63</f>
        <v>1047182.7946827149</v>
      </c>
    </row>
    <row r="343" spans="2:26">
      <c r="B343" s="282" t="s">
        <v>17</v>
      </c>
      <c r="C343" s="278">
        <f ca="1">'JPY Swap PVs'!AH64</f>
        <v>-1200253.8604142829</v>
      </c>
      <c r="D343" s="278">
        <f ca="1">'JPY Swap PVs'!AI64</f>
        <v>-960203.08833142626</v>
      </c>
      <c r="E343" s="278">
        <f ca="1">'JPY Swap PVs'!AJ64</f>
        <v>-720152.31624856964</v>
      </c>
      <c r="F343" s="278">
        <f ca="1">'JPY Swap PVs'!AK64</f>
        <v>-480101.54416571307</v>
      </c>
      <c r="G343" s="278">
        <f ca="1">'JPY Swap PVs'!AL64</f>
        <v>-240050.77208285651</v>
      </c>
      <c r="H343" s="278">
        <f ca="1">'JPY Swap PVs'!AM64</f>
        <v>0</v>
      </c>
      <c r="I343" s="278">
        <f ca="1">'JPY Swap PVs'!AN64</f>
        <v>240050.77208285668</v>
      </c>
      <c r="J343" s="278">
        <f ca="1">'JPY Swap PVs'!AO64</f>
        <v>480101.54416571307</v>
      </c>
      <c r="K343" s="278">
        <f ca="1">'JPY Swap PVs'!AP64</f>
        <v>720152.31624856964</v>
      </c>
      <c r="L343" s="278">
        <f ca="1">'JPY Swap PVs'!AQ64</f>
        <v>960203.08833142626</v>
      </c>
      <c r="M343" s="279">
        <f ca="1">'JPY Swap PVs'!AR64</f>
        <v>1200253.8604142831</v>
      </c>
    </row>
    <row r="344" spans="2:26">
      <c r="B344" s="282" t="s">
        <v>16</v>
      </c>
      <c r="C344" s="278">
        <f ca="1">'JPY Swap PVs'!AH65</f>
        <v>-1341179.2700771403</v>
      </c>
      <c r="D344" s="278">
        <f ca="1">'JPY Swap PVs'!AI65</f>
        <v>-1072943.4160617122</v>
      </c>
      <c r="E344" s="278">
        <f ca="1">'JPY Swap PVs'!AJ65</f>
        <v>-804707.56204628397</v>
      </c>
      <c r="F344" s="278">
        <f ca="1">'JPY Swap PVs'!AK65</f>
        <v>-536471.70803085598</v>
      </c>
      <c r="G344" s="278">
        <f ca="1">'JPY Swap PVs'!AL65</f>
        <v>-268235.85401542793</v>
      </c>
      <c r="H344" s="278">
        <f ca="1">'JPY Swap PVs'!AM65</f>
        <v>0</v>
      </c>
      <c r="I344" s="278">
        <f ca="1">'JPY Swap PVs'!AN65</f>
        <v>268235.85401542811</v>
      </c>
      <c r="J344" s="278">
        <f ca="1">'JPY Swap PVs'!AO65</f>
        <v>536471.7080308561</v>
      </c>
      <c r="K344" s="278">
        <f ca="1">'JPY Swap PVs'!AP65</f>
        <v>804707.56204628397</v>
      </c>
      <c r="L344" s="278">
        <f ca="1">'JPY Swap PVs'!AQ65</f>
        <v>1072943.4160617122</v>
      </c>
      <c r="M344" s="279">
        <f ca="1">'JPY Swap PVs'!AR65</f>
        <v>1341179.2700771403</v>
      </c>
    </row>
    <row r="345" spans="2:26">
      <c r="B345" s="282" t="s">
        <v>15</v>
      </c>
      <c r="C345" s="278">
        <f ca="1">'JPY Swap PVs'!AH66</f>
        <v>-1471307.5991774681</v>
      </c>
      <c r="D345" s="278">
        <f ca="1">'JPY Swap PVs'!AI66</f>
        <v>-1177046.0793419741</v>
      </c>
      <c r="E345" s="278">
        <f ca="1">'JPY Swap PVs'!AJ66</f>
        <v>-882784.55950648058</v>
      </c>
      <c r="F345" s="278">
        <f ca="1">'JPY Swap PVs'!AK66</f>
        <v>-588523.03967098694</v>
      </c>
      <c r="G345" s="278">
        <f ca="1">'JPY Swap PVs'!AL66</f>
        <v>-294261.51983549347</v>
      </c>
      <c r="H345" s="278">
        <f ca="1">'JPY Swap PVs'!AM66</f>
        <v>0</v>
      </c>
      <c r="I345" s="278">
        <f ca="1">'JPY Swap PVs'!AN66</f>
        <v>294261.51983549341</v>
      </c>
      <c r="J345" s="278">
        <f ca="1">'JPY Swap PVs'!AO66</f>
        <v>588523.03967098705</v>
      </c>
      <c r="K345" s="278">
        <f ca="1">'JPY Swap PVs'!AP66</f>
        <v>882784.55950648047</v>
      </c>
      <c r="L345" s="278">
        <f ca="1">'JPY Swap PVs'!AQ66</f>
        <v>1177046.0793419741</v>
      </c>
      <c r="M345" s="279">
        <f ca="1">'JPY Swap PVs'!AR66</f>
        <v>1471307.5991774676</v>
      </c>
    </row>
    <row r="346" spans="2:26">
      <c r="B346" s="282"/>
      <c r="C346" s="278"/>
      <c r="D346" s="278"/>
      <c r="E346" s="278"/>
      <c r="F346" s="278"/>
      <c r="G346" s="278"/>
      <c r="H346" s="278"/>
      <c r="I346" s="278"/>
      <c r="J346" s="278"/>
      <c r="K346" s="278"/>
      <c r="L346" s="278"/>
      <c r="M346" s="279"/>
    </row>
    <row r="347" spans="2:26">
      <c r="B347" s="282"/>
      <c r="C347" s="278"/>
      <c r="D347" s="278"/>
      <c r="E347" s="278"/>
      <c r="F347" s="278"/>
      <c r="G347" s="278"/>
      <c r="H347" s="278"/>
      <c r="I347" s="278"/>
      <c r="J347" s="278"/>
      <c r="K347" s="278"/>
      <c r="L347" s="278"/>
      <c r="M347" s="279"/>
    </row>
    <row r="348" spans="2:26">
      <c r="B348" s="282"/>
      <c r="C348" s="278"/>
      <c r="D348" s="278"/>
      <c r="E348" s="278"/>
      <c r="F348" s="278"/>
      <c r="G348" s="278"/>
      <c r="H348" s="278"/>
      <c r="I348" s="278"/>
      <c r="J348" s="278"/>
      <c r="K348" s="278"/>
      <c r="L348" s="278"/>
      <c r="M348" s="279"/>
    </row>
    <row r="349" spans="2:26">
      <c r="B349" s="283"/>
      <c r="C349" s="280"/>
      <c r="D349" s="280"/>
      <c r="E349" s="280"/>
      <c r="F349" s="280"/>
      <c r="G349" s="280"/>
      <c r="H349" s="280"/>
      <c r="I349" s="280"/>
      <c r="J349" s="280"/>
      <c r="K349" s="280"/>
      <c r="L349" s="280"/>
      <c r="M349" s="281"/>
    </row>
    <row r="351" spans="2:26">
      <c r="B351" s="258" t="s">
        <v>472</v>
      </c>
      <c r="O351" s="258" t="s">
        <v>472</v>
      </c>
    </row>
    <row r="352" spans="2:26">
      <c r="B352" s="254" t="s">
        <v>468</v>
      </c>
      <c r="C352" s="276">
        <v>-0.05</v>
      </c>
      <c r="D352" s="276">
        <v>-0.04</v>
      </c>
      <c r="E352" s="276">
        <v>-0.03</v>
      </c>
      <c r="F352" s="276">
        <v>-1.9999999999999997E-2</v>
      </c>
      <c r="G352" s="276">
        <v>-9.9999999999999967E-3</v>
      </c>
      <c r="H352" s="276">
        <v>0</v>
      </c>
      <c r="I352" s="276">
        <v>0.01</v>
      </c>
      <c r="J352" s="276">
        <v>0.02</v>
      </c>
      <c r="K352" s="276">
        <v>0.03</v>
      </c>
      <c r="L352" s="276">
        <v>0.04</v>
      </c>
      <c r="M352" s="277">
        <v>0.05</v>
      </c>
      <c r="O352" s="254" t="s">
        <v>468</v>
      </c>
      <c r="P352" s="276">
        <v>-0.05</v>
      </c>
      <c r="Q352" s="276">
        <v>-0.04</v>
      </c>
      <c r="R352" s="276">
        <v>-0.03</v>
      </c>
      <c r="S352" s="276">
        <v>-1.9999999999999997E-2</v>
      </c>
      <c r="T352" s="276">
        <v>-9.9999999999999967E-3</v>
      </c>
      <c r="U352" s="276">
        <v>0</v>
      </c>
      <c r="V352" s="276">
        <v>0.01</v>
      </c>
      <c r="W352" s="276">
        <v>0.02</v>
      </c>
      <c r="X352" s="276">
        <v>0.03</v>
      </c>
      <c r="Y352" s="276">
        <v>0.04</v>
      </c>
      <c r="Z352" s="277">
        <v>0.05</v>
      </c>
    </row>
    <row r="353" spans="2:26">
      <c r="B353" s="282" t="s">
        <v>39</v>
      </c>
      <c r="C353" s="278">
        <f ca="1">IF(C331&lt;D331,0,1)</f>
        <v>0</v>
      </c>
      <c r="D353" s="278">
        <f t="shared" ref="D353:L353" ca="1" si="74">IF(D331&lt;E331,0,1)</f>
        <v>0</v>
      </c>
      <c r="E353" s="278">
        <f t="shared" ca="1" si="74"/>
        <v>0</v>
      </c>
      <c r="F353" s="278">
        <f t="shared" ca="1" si="74"/>
        <v>0</v>
      </c>
      <c r="G353" s="278">
        <f t="shared" ca="1" si="74"/>
        <v>0</v>
      </c>
      <c r="H353" s="278">
        <f t="shared" ca="1" si="74"/>
        <v>0</v>
      </c>
      <c r="I353" s="278">
        <f t="shared" ca="1" si="74"/>
        <v>0</v>
      </c>
      <c r="J353" s="278">
        <f t="shared" ca="1" si="74"/>
        <v>0</v>
      </c>
      <c r="K353" s="278">
        <f t="shared" ca="1" si="74"/>
        <v>0</v>
      </c>
      <c r="L353" s="278">
        <f t="shared" ca="1" si="74"/>
        <v>0</v>
      </c>
      <c r="M353" s="285" t="s">
        <v>6</v>
      </c>
      <c r="O353" s="282" t="s">
        <v>39</v>
      </c>
      <c r="P353" s="289">
        <f ca="1">IF(ABS(C332)&gt;ABS(C331),0,1)</f>
        <v>0</v>
      </c>
      <c r="Q353" s="289">
        <f t="shared" ref="Q353:Q366" ca="1" si="75">IF(ABS(D332)&gt;ABS(D331),0,1)</f>
        <v>0</v>
      </c>
      <c r="R353" s="289">
        <f t="shared" ref="R353:R366" ca="1" si="76">IF(ABS(E332)&gt;ABS(E331),0,1)</f>
        <v>0</v>
      </c>
      <c r="S353" s="289">
        <f t="shared" ref="S353:S366" ca="1" si="77">IF(ABS(F332)&gt;ABS(F331),0,1)</f>
        <v>0</v>
      </c>
      <c r="T353" s="289">
        <f t="shared" ref="T353:T366" ca="1" si="78">IF(ABS(G332)&gt;ABS(G331),0,1)</f>
        <v>0</v>
      </c>
      <c r="U353" s="295" t="s">
        <v>6</v>
      </c>
      <c r="V353" s="289">
        <f t="shared" ref="V353:V366" ca="1" si="79">IF(ABS(I332)&gt;ABS(I331),0,1)</f>
        <v>0</v>
      </c>
      <c r="W353" s="289">
        <f t="shared" ref="W353:W366" ca="1" si="80">IF(ABS(J332)&gt;ABS(J331),0,1)</f>
        <v>0</v>
      </c>
      <c r="X353" s="289">
        <f t="shared" ref="X353:X366" ca="1" si="81">IF(ABS(K332)&gt;ABS(K331),0,1)</f>
        <v>0</v>
      </c>
      <c r="Y353" s="289">
        <f t="shared" ref="Y353:Y366" ca="1" si="82">IF(ABS(L332)&gt;ABS(L331),0,1)</f>
        <v>0</v>
      </c>
      <c r="Z353" s="291">
        <f t="shared" ref="Z353:Z366" ca="1" si="83">IF(ABS(M332)&gt;ABS(M331),0,1)</f>
        <v>0</v>
      </c>
    </row>
    <row r="354" spans="2:26">
      <c r="B354" s="282" t="s">
        <v>35</v>
      </c>
      <c r="C354" s="278">
        <f t="shared" ref="C354:L369" ca="1" si="84">IF(C332&lt;D332,0,1)</f>
        <v>0</v>
      </c>
      <c r="D354" s="278">
        <f t="shared" ca="1" si="84"/>
        <v>0</v>
      </c>
      <c r="E354" s="278">
        <f t="shared" ca="1" si="84"/>
        <v>0</v>
      </c>
      <c r="F354" s="278">
        <f t="shared" ca="1" si="84"/>
        <v>0</v>
      </c>
      <c r="G354" s="278">
        <f t="shared" ca="1" si="84"/>
        <v>0</v>
      </c>
      <c r="H354" s="278">
        <f t="shared" ca="1" si="84"/>
        <v>0</v>
      </c>
      <c r="I354" s="278">
        <f t="shared" ca="1" si="84"/>
        <v>0</v>
      </c>
      <c r="J354" s="278">
        <f t="shared" ca="1" si="84"/>
        <v>0</v>
      </c>
      <c r="K354" s="278">
        <f t="shared" ca="1" si="84"/>
        <v>0</v>
      </c>
      <c r="L354" s="278">
        <f t="shared" ca="1" si="84"/>
        <v>0</v>
      </c>
      <c r="M354" s="279" t="s">
        <v>6</v>
      </c>
      <c r="O354" s="282" t="s">
        <v>35</v>
      </c>
      <c r="P354" s="289">
        <f t="shared" ref="P354:P366" ca="1" si="85">IF(ABS(C333)&gt;ABS(C332),0,1)</f>
        <v>0</v>
      </c>
      <c r="Q354" s="289">
        <f t="shared" ca="1" si="75"/>
        <v>0</v>
      </c>
      <c r="R354" s="289">
        <f t="shared" ca="1" si="76"/>
        <v>0</v>
      </c>
      <c r="S354" s="289">
        <f t="shared" ca="1" si="77"/>
        <v>0</v>
      </c>
      <c r="T354" s="289">
        <f t="shared" ca="1" si="78"/>
        <v>0</v>
      </c>
      <c r="U354" s="295" t="s">
        <v>6</v>
      </c>
      <c r="V354" s="289">
        <f t="shared" ca="1" si="79"/>
        <v>0</v>
      </c>
      <c r="W354" s="289">
        <f t="shared" ca="1" si="80"/>
        <v>0</v>
      </c>
      <c r="X354" s="289">
        <f t="shared" ca="1" si="81"/>
        <v>0</v>
      </c>
      <c r="Y354" s="289">
        <f t="shared" ca="1" si="82"/>
        <v>0</v>
      </c>
      <c r="Z354" s="292">
        <f t="shared" ca="1" si="83"/>
        <v>0</v>
      </c>
    </row>
    <row r="355" spans="2:26">
      <c r="B355" s="282" t="s">
        <v>33</v>
      </c>
      <c r="C355" s="278">
        <f t="shared" ca="1" si="84"/>
        <v>0</v>
      </c>
      <c r="D355" s="278">
        <f t="shared" ca="1" si="84"/>
        <v>0</v>
      </c>
      <c r="E355" s="278">
        <f t="shared" ca="1" si="84"/>
        <v>0</v>
      </c>
      <c r="F355" s="278">
        <f t="shared" ca="1" si="84"/>
        <v>0</v>
      </c>
      <c r="G355" s="278">
        <f t="shared" ca="1" si="84"/>
        <v>0</v>
      </c>
      <c r="H355" s="278">
        <f t="shared" ca="1" si="84"/>
        <v>0</v>
      </c>
      <c r="I355" s="278">
        <f t="shared" ca="1" si="84"/>
        <v>0</v>
      </c>
      <c r="J355" s="278">
        <f t="shared" ca="1" si="84"/>
        <v>0</v>
      </c>
      <c r="K355" s="278">
        <f t="shared" ca="1" si="84"/>
        <v>0</v>
      </c>
      <c r="L355" s="278">
        <f t="shared" ca="1" si="84"/>
        <v>0</v>
      </c>
      <c r="M355" s="279" t="s">
        <v>6</v>
      </c>
      <c r="O355" s="282" t="s">
        <v>33</v>
      </c>
      <c r="P355" s="289">
        <f t="shared" ca="1" si="85"/>
        <v>0</v>
      </c>
      <c r="Q355" s="289">
        <f t="shared" ca="1" si="75"/>
        <v>0</v>
      </c>
      <c r="R355" s="289">
        <f t="shared" ca="1" si="76"/>
        <v>0</v>
      </c>
      <c r="S355" s="289">
        <f t="shared" ca="1" si="77"/>
        <v>0</v>
      </c>
      <c r="T355" s="289">
        <f t="shared" ca="1" si="78"/>
        <v>0</v>
      </c>
      <c r="U355" s="295" t="s">
        <v>6</v>
      </c>
      <c r="V355" s="289">
        <f t="shared" ca="1" si="79"/>
        <v>0</v>
      </c>
      <c r="W355" s="289">
        <f t="shared" ca="1" si="80"/>
        <v>0</v>
      </c>
      <c r="X355" s="289">
        <f t="shared" ca="1" si="81"/>
        <v>0</v>
      </c>
      <c r="Y355" s="289">
        <f t="shared" ca="1" si="82"/>
        <v>0</v>
      </c>
      <c r="Z355" s="292">
        <f t="shared" ca="1" si="83"/>
        <v>0</v>
      </c>
    </row>
    <row r="356" spans="2:26">
      <c r="B356" s="282" t="s">
        <v>131</v>
      </c>
      <c r="C356" s="278">
        <f t="shared" ca="1" si="84"/>
        <v>0</v>
      </c>
      <c r="D356" s="278">
        <f t="shared" ca="1" si="84"/>
        <v>0</v>
      </c>
      <c r="E356" s="278">
        <f t="shared" ca="1" si="84"/>
        <v>0</v>
      </c>
      <c r="F356" s="278">
        <f t="shared" ca="1" si="84"/>
        <v>0</v>
      </c>
      <c r="G356" s="278">
        <f t="shared" ca="1" si="84"/>
        <v>0</v>
      </c>
      <c r="H356" s="278">
        <f t="shared" ca="1" si="84"/>
        <v>0</v>
      </c>
      <c r="I356" s="278">
        <f t="shared" ca="1" si="84"/>
        <v>0</v>
      </c>
      <c r="J356" s="278">
        <f t="shared" ca="1" si="84"/>
        <v>0</v>
      </c>
      <c r="K356" s="278">
        <f t="shared" ca="1" si="84"/>
        <v>0</v>
      </c>
      <c r="L356" s="278">
        <f t="shared" ca="1" si="84"/>
        <v>0</v>
      </c>
      <c r="M356" s="279" t="s">
        <v>6</v>
      </c>
      <c r="O356" s="282" t="s">
        <v>131</v>
      </c>
      <c r="P356" s="289">
        <f t="shared" ca="1" si="85"/>
        <v>0</v>
      </c>
      <c r="Q356" s="289">
        <f t="shared" ca="1" si="75"/>
        <v>0</v>
      </c>
      <c r="R356" s="289">
        <f t="shared" ca="1" si="76"/>
        <v>0</v>
      </c>
      <c r="S356" s="289">
        <f t="shared" ca="1" si="77"/>
        <v>0</v>
      </c>
      <c r="T356" s="289">
        <f t="shared" ca="1" si="78"/>
        <v>0</v>
      </c>
      <c r="U356" s="295" t="s">
        <v>6</v>
      </c>
      <c r="V356" s="289">
        <f t="shared" ca="1" si="79"/>
        <v>0</v>
      </c>
      <c r="W356" s="289">
        <f t="shared" ca="1" si="80"/>
        <v>0</v>
      </c>
      <c r="X356" s="289">
        <f t="shared" ca="1" si="81"/>
        <v>0</v>
      </c>
      <c r="Y356" s="289">
        <f t="shared" ca="1" si="82"/>
        <v>0</v>
      </c>
      <c r="Z356" s="292">
        <f t="shared" ca="1" si="83"/>
        <v>0</v>
      </c>
    </row>
    <row r="357" spans="2:26">
      <c r="B357" s="282" t="s">
        <v>31</v>
      </c>
      <c r="C357" s="278">
        <f t="shared" ca="1" si="84"/>
        <v>0</v>
      </c>
      <c r="D357" s="278">
        <f t="shared" ca="1" si="84"/>
        <v>0</v>
      </c>
      <c r="E357" s="278">
        <f t="shared" ca="1" si="84"/>
        <v>0</v>
      </c>
      <c r="F357" s="278">
        <f t="shared" ca="1" si="84"/>
        <v>0</v>
      </c>
      <c r="G357" s="278">
        <f t="shared" ca="1" si="84"/>
        <v>0</v>
      </c>
      <c r="H357" s="278">
        <f t="shared" ca="1" si="84"/>
        <v>0</v>
      </c>
      <c r="I357" s="278">
        <f t="shared" ca="1" si="84"/>
        <v>0</v>
      </c>
      <c r="J357" s="278">
        <f t="shared" ca="1" si="84"/>
        <v>0</v>
      </c>
      <c r="K357" s="278">
        <f t="shared" ca="1" si="84"/>
        <v>0</v>
      </c>
      <c r="L357" s="278">
        <f t="shared" ca="1" si="84"/>
        <v>0</v>
      </c>
      <c r="M357" s="279" t="s">
        <v>6</v>
      </c>
      <c r="O357" s="282" t="s">
        <v>31</v>
      </c>
      <c r="P357" s="289">
        <f t="shared" ca="1" si="85"/>
        <v>0</v>
      </c>
      <c r="Q357" s="289">
        <f t="shared" ca="1" si="75"/>
        <v>0</v>
      </c>
      <c r="R357" s="289">
        <f t="shared" ca="1" si="76"/>
        <v>0</v>
      </c>
      <c r="S357" s="289">
        <f t="shared" ca="1" si="77"/>
        <v>0</v>
      </c>
      <c r="T357" s="289">
        <f t="shared" ca="1" si="78"/>
        <v>0</v>
      </c>
      <c r="U357" s="295" t="s">
        <v>6</v>
      </c>
      <c r="V357" s="289">
        <f t="shared" ca="1" si="79"/>
        <v>0</v>
      </c>
      <c r="W357" s="289">
        <f t="shared" ca="1" si="80"/>
        <v>0</v>
      </c>
      <c r="X357" s="289">
        <f t="shared" ca="1" si="81"/>
        <v>0</v>
      </c>
      <c r="Y357" s="289">
        <f t="shared" ca="1" si="82"/>
        <v>0</v>
      </c>
      <c r="Z357" s="292">
        <f t="shared" ca="1" si="83"/>
        <v>0</v>
      </c>
    </row>
    <row r="358" spans="2:26">
      <c r="B358" s="282" t="s">
        <v>119</v>
      </c>
      <c r="C358" s="278">
        <f t="shared" ca="1" si="84"/>
        <v>0</v>
      </c>
      <c r="D358" s="278">
        <f t="shared" ca="1" si="84"/>
        <v>0</v>
      </c>
      <c r="E358" s="278">
        <f t="shared" ca="1" si="84"/>
        <v>0</v>
      </c>
      <c r="F358" s="278">
        <f t="shared" ca="1" si="84"/>
        <v>0</v>
      </c>
      <c r="G358" s="278">
        <f t="shared" ca="1" si="84"/>
        <v>0</v>
      </c>
      <c r="H358" s="278">
        <f t="shared" ca="1" si="84"/>
        <v>0</v>
      </c>
      <c r="I358" s="278">
        <f t="shared" ca="1" si="84"/>
        <v>0</v>
      </c>
      <c r="J358" s="278">
        <f t="shared" ca="1" si="84"/>
        <v>0</v>
      </c>
      <c r="K358" s="278">
        <f t="shared" ca="1" si="84"/>
        <v>0</v>
      </c>
      <c r="L358" s="278">
        <f t="shared" ca="1" si="84"/>
        <v>0</v>
      </c>
      <c r="M358" s="279" t="s">
        <v>6</v>
      </c>
      <c r="O358" s="282" t="s">
        <v>119</v>
      </c>
      <c r="P358" s="289">
        <f t="shared" ca="1" si="85"/>
        <v>0</v>
      </c>
      <c r="Q358" s="289">
        <f t="shared" ca="1" si="75"/>
        <v>0</v>
      </c>
      <c r="R358" s="289">
        <f t="shared" ca="1" si="76"/>
        <v>0</v>
      </c>
      <c r="S358" s="289">
        <f t="shared" ca="1" si="77"/>
        <v>0</v>
      </c>
      <c r="T358" s="289">
        <f t="shared" ca="1" si="78"/>
        <v>0</v>
      </c>
      <c r="U358" s="295" t="s">
        <v>6</v>
      </c>
      <c r="V358" s="289">
        <f t="shared" ca="1" si="79"/>
        <v>0</v>
      </c>
      <c r="W358" s="289">
        <f t="shared" ca="1" si="80"/>
        <v>0</v>
      </c>
      <c r="X358" s="289">
        <f t="shared" ca="1" si="81"/>
        <v>0</v>
      </c>
      <c r="Y358" s="289">
        <f t="shared" ca="1" si="82"/>
        <v>0</v>
      </c>
      <c r="Z358" s="292">
        <f t="shared" ca="1" si="83"/>
        <v>0</v>
      </c>
    </row>
    <row r="359" spans="2:26">
      <c r="B359" s="282" t="s">
        <v>113</v>
      </c>
      <c r="C359" s="278">
        <f t="shared" ca="1" si="84"/>
        <v>0</v>
      </c>
      <c r="D359" s="278">
        <f t="shared" ca="1" si="84"/>
        <v>0</v>
      </c>
      <c r="E359" s="278">
        <f t="shared" ca="1" si="84"/>
        <v>0</v>
      </c>
      <c r="F359" s="278">
        <f t="shared" ca="1" si="84"/>
        <v>0</v>
      </c>
      <c r="G359" s="278">
        <f t="shared" ca="1" si="84"/>
        <v>0</v>
      </c>
      <c r="H359" s="278">
        <f t="shared" ca="1" si="84"/>
        <v>0</v>
      </c>
      <c r="I359" s="278">
        <f t="shared" ca="1" si="84"/>
        <v>0</v>
      </c>
      <c r="J359" s="278">
        <f t="shared" ca="1" si="84"/>
        <v>0</v>
      </c>
      <c r="K359" s="278">
        <f t="shared" ca="1" si="84"/>
        <v>0</v>
      </c>
      <c r="L359" s="278">
        <f t="shared" ca="1" si="84"/>
        <v>0</v>
      </c>
      <c r="M359" s="279" t="s">
        <v>6</v>
      </c>
      <c r="O359" s="282" t="s">
        <v>113</v>
      </c>
      <c r="P359" s="289">
        <f t="shared" ca="1" si="85"/>
        <v>0</v>
      </c>
      <c r="Q359" s="289">
        <f t="shared" ca="1" si="75"/>
        <v>0</v>
      </c>
      <c r="R359" s="289">
        <f t="shared" ca="1" si="76"/>
        <v>0</v>
      </c>
      <c r="S359" s="289">
        <f t="shared" ca="1" si="77"/>
        <v>0</v>
      </c>
      <c r="T359" s="289">
        <f t="shared" ca="1" si="78"/>
        <v>0</v>
      </c>
      <c r="U359" s="295" t="s">
        <v>6</v>
      </c>
      <c r="V359" s="289">
        <f t="shared" ca="1" si="79"/>
        <v>0</v>
      </c>
      <c r="W359" s="289">
        <f t="shared" ca="1" si="80"/>
        <v>0</v>
      </c>
      <c r="X359" s="289">
        <f t="shared" ca="1" si="81"/>
        <v>0</v>
      </c>
      <c r="Y359" s="289">
        <f t="shared" ca="1" si="82"/>
        <v>0</v>
      </c>
      <c r="Z359" s="292">
        <f t="shared" ca="1" si="83"/>
        <v>0</v>
      </c>
    </row>
    <row r="360" spans="2:26">
      <c r="B360" s="282" t="s">
        <v>28</v>
      </c>
      <c r="C360" s="278">
        <f t="shared" ca="1" si="84"/>
        <v>0</v>
      </c>
      <c r="D360" s="278">
        <f t="shared" ca="1" si="84"/>
        <v>0</v>
      </c>
      <c r="E360" s="278">
        <f t="shared" ca="1" si="84"/>
        <v>0</v>
      </c>
      <c r="F360" s="278">
        <f t="shared" ca="1" si="84"/>
        <v>0</v>
      </c>
      <c r="G360" s="278">
        <f t="shared" ca="1" si="84"/>
        <v>0</v>
      </c>
      <c r="H360" s="278">
        <f t="shared" ca="1" si="84"/>
        <v>0</v>
      </c>
      <c r="I360" s="278">
        <f t="shared" ca="1" si="84"/>
        <v>0</v>
      </c>
      <c r="J360" s="278">
        <f t="shared" ca="1" si="84"/>
        <v>0</v>
      </c>
      <c r="K360" s="278">
        <f t="shared" ca="1" si="84"/>
        <v>0</v>
      </c>
      <c r="L360" s="278">
        <f t="shared" ca="1" si="84"/>
        <v>0</v>
      </c>
      <c r="M360" s="279" t="s">
        <v>6</v>
      </c>
      <c r="O360" s="282" t="s">
        <v>28</v>
      </c>
      <c r="P360" s="289">
        <f t="shared" ca="1" si="85"/>
        <v>0</v>
      </c>
      <c r="Q360" s="289">
        <f t="shared" ca="1" si="75"/>
        <v>0</v>
      </c>
      <c r="R360" s="289">
        <f t="shared" ca="1" si="76"/>
        <v>0</v>
      </c>
      <c r="S360" s="289">
        <f t="shared" ca="1" si="77"/>
        <v>0</v>
      </c>
      <c r="T360" s="289">
        <f t="shared" ca="1" si="78"/>
        <v>0</v>
      </c>
      <c r="U360" s="295" t="s">
        <v>6</v>
      </c>
      <c r="V360" s="289">
        <f t="shared" ca="1" si="79"/>
        <v>0</v>
      </c>
      <c r="W360" s="289">
        <f t="shared" ca="1" si="80"/>
        <v>0</v>
      </c>
      <c r="X360" s="289">
        <f t="shared" ca="1" si="81"/>
        <v>0</v>
      </c>
      <c r="Y360" s="289">
        <f t="shared" ca="1" si="82"/>
        <v>0</v>
      </c>
      <c r="Z360" s="292">
        <f t="shared" ca="1" si="83"/>
        <v>0</v>
      </c>
    </row>
    <row r="361" spans="2:26">
      <c r="B361" s="282" t="s">
        <v>26</v>
      </c>
      <c r="C361" s="278">
        <f t="shared" ca="1" si="84"/>
        <v>0</v>
      </c>
      <c r="D361" s="278">
        <f t="shared" ca="1" si="84"/>
        <v>0</v>
      </c>
      <c r="E361" s="278">
        <f t="shared" ca="1" si="84"/>
        <v>0</v>
      </c>
      <c r="F361" s="278">
        <f t="shared" ca="1" si="84"/>
        <v>0</v>
      </c>
      <c r="G361" s="278">
        <f t="shared" ca="1" si="84"/>
        <v>0</v>
      </c>
      <c r="H361" s="278">
        <f t="shared" ca="1" si="84"/>
        <v>0</v>
      </c>
      <c r="I361" s="278">
        <f t="shared" ca="1" si="84"/>
        <v>0</v>
      </c>
      <c r="J361" s="278">
        <f t="shared" ca="1" si="84"/>
        <v>0</v>
      </c>
      <c r="K361" s="278">
        <f t="shared" ca="1" si="84"/>
        <v>0</v>
      </c>
      <c r="L361" s="278">
        <f t="shared" ca="1" si="84"/>
        <v>0</v>
      </c>
      <c r="M361" s="279" t="s">
        <v>6</v>
      </c>
      <c r="O361" s="282" t="s">
        <v>26</v>
      </c>
      <c r="P361" s="289">
        <f t="shared" ca="1" si="85"/>
        <v>0</v>
      </c>
      <c r="Q361" s="289">
        <f t="shared" ca="1" si="75"/>
        <v>0</v>
      </c>
      <c r="R361" s="289">
        <f t="shared" ca="1" si="76"/>
        <v>0</v>
      </c>
      <c r="S361" s="289">
        <f t="shared" ca="1" si="77"/>
        <v>0</v>
      </c>
      <c r="T361" s="289">
        <f t="shared" ca="1" si="78"/>
        <v>0</v>
      </c>
      <c r="U361" s="295" t="s">
        <v>6</v>
      </c>
      <c r="V361" s="289">
        <f t="shared" ca="1" si="79"/>
        <v>0</v>
      </c>
      <c r="W361" s="289">
        <f t="shared" ca="1" si="80"/>
        <v>0</v>
      </c>
      <c r="X361" s="289">
        <f t="shared" ca="1" si="81"/>
        <v>0</v>
      </c>
      <c r="Y361" s="289">
        <f t="shared" ca="1" si="82"/>
        <v>0</v>
      </c>
      <c r="Z361" s="292">
        <f t="shared" ca="1" si="83"/>
        <v>0</v>
      </c>
    </row>
    <row r="362" spans="2:26">
      <c r="B362" s="282" t="s">
        <v>24</v>
      </c>
      <c r="C362" s="278">
        <f t="shared" ca="1" si="84"/>
        <v>0</v>
      </c>
      <c r="D362" s="278">
        <f t="shared" ca="1" si="84"/>
        <v>0</v>
      </c>
      <c r="E362" s="278">
        <f t="shared" ca="1" si="84"/>
        <v>0</v>
      </c>
      <c r="F362" s="278">
        <f t="shared" ca="1" si="84"/>
        <v>0</v>
      </c>
      <c r="G362" s="278">
        <f t="shared" ca="1" si="84"/>
        <v>0</v>
      </c>
      <c r="H362" s="278">
        <f t="shared" ca="1" si="84"/>
        <v>0</v>
      </c>
      <c r="I362" s="278">
        <f t="shared" ca="1" si="84"/>
        <v>0</v>
      </c>
      <c r="J362" s="278">
        <f t="shared" ca="1" si="84"/>
        <v>0</v>
      </c>
      <c r="K362" s="278">
        <f t="shared" ca="1" si="84"/>
        <v>0</v>
      </c>
      <c r="L362" s="278">
        <f t="shared" ca="1" si="84"/>
        <v>0</v>
      </c>
      <c r="M362" s="279" t="s">
        <v>6</v>
      </c>
      <c r="O362" s="282" t="s">
        <v>24</v>
      </c>
      <c r="P362" s="289">
        <f t="shared" ca="1" si="85"/>
        <v>0</v>
      </c>
      <c r="Q362" s="289">
        <f t="shared" ca="1" si="75"/>
        <v>0</v>
      </c>
      <c r="R362" s="289">
        <f t="shared" ca="1" si="76"/>
        <v>0</v>
      </c>
      <c r="S362" s="289">
        <f t="shared" ca="1" si="77"/>
        <v>0</v>
      </c>
      <c r="T362" s="289">
        <f t="shared" ca="1" si="78"/>
        <v>0</v>
      </c>
      <c r="U362" s="295" t="s">
        <v>6</v>
      </c>
      <c r="V362" s="289">
        <f t="shared" ca="1" si="79"/>
        <v>0</v>
      </c>
      <c r="W362" s="289">
        <f t="shared" ca="1" si="80"/>
        <v>0</v>
      </c>
      <c r="X362" s="289">
        <f t="shared" ca="1" si="81"/>
        <v>0</v>
      </c>
      <c r="Y362" s="289">
        <f t="shared" ca="1" si="82"/>
        <v>0</v>
      </c>
      <c r="Z362" s="292">
        <f t="shared" ca="1" si="83"/>
        <v>0</v>
      </c>
    </row>
    <row r="363" spans="2:26">
      <c r="B363" s="282" t="s">
        <v>20</v>
      </c>
      <c r="C363" s="278">
        <f t="shared" ca="1" si="84"/>
        <v>0</v>
      </c>
      <c r="D363" s="278">
        <f t="shared" ca="1" si="84"/>
        <v>0</v>
      </c>
      <c r="E363" s="278">
        <f t="shared" ca="1" si="84"/>
        <v>0</v>
      </c>
      <c r="F363" s="278">
        <f t="shared" ca="1" si="84"/>
        <v>0</v>
      </c>
      <c r="G363" s="278">
        <f t="shared" ca="1" si="84"/>
        <v>0</v>
      </c>
      <c r="H363" s="278">
        <f t="shared" ca="1" si="84"/>
        <v>0</v>
      </c>
      <c r="I363" s="278">
        <f t="shared" ca="1" si="84"/>
        <v>0</v>
      </c>
      <c r="J363" s="278">
        <f t="shared" ca="1" si="84"/>
        <v>0</v>
      </c>
      <c r="K363" s="278">
        <f t="shared" ca="1" si="84"/>
        <v>0</v>
      </c>
      <c r="L363" s="278">
        <f t="shared" ca="1" si="84"/>
        <v>0</v>
      </c>
      <c r="M363" s="279" t="s">
        <v>6</v>
      </c>
      <c r="O363" s="282" t="s">
        <v>20</v>
      </c>
      <c r="P363" s="289">
        <f t="shared" ca="1" si="85"/>
        <v>0</v>
      </c>
      <c r="Q363" s="289">
        <f t="shared" ca="1" si="75"/>
        <v>0</v>
      </c>
      <c r="R363" s="289">
        <f t="shared" ca="1" si="76"/>
        <v>0</v>
      </c>
      <c r="S363" s="289">
        <f t="shared" ca="1" si="77"/>
        <v>0</v>
      </c>
      <c r="T363" s="289">
        <f t="shared" ca="1" si="78"/>
        <v>0</v>
      </c>
      <c r="U363" s="295" t="s">
        <v>6</v>
      </c>
      <c r="V363" s="289">
        <f t="shared" ca="1" si="79"/>
        <v>0</v>
      </c>
      <c r="W363" s="289">
        <f t="shared" ca="1" si="80"/>
        <v>0</v>
      </c>
      <c r="X363" s="289">
        <f t="shared" ca="1" si="81"/>
        <v>0</v>
      </c>
      <c r="Y363" s="289">
        <f t="shared" ca="1" si="82"/>
        <v>0</v>
      </c>
      <c r="Z363" s="292">
        <f t="shared" ca="1" si="83"/>
        <v>0</v>
      </c>
    </row>
    <row r="364" spans="2:26">
      <c r="B364" s="282" t="s">
        <v>18</v>
      </c>
      <c r="C364" s="278">
        <f t="shared" ca="1" si="84"/>
        <v>0</v>
      </c>
      <c r="D364" s="278">
        <f t="shared" ca="1" si="84"/>
        <v>0</v>
      </c>
      <c r="E364" s="278">
        <f t="shared" ca="1" si="84"/>
        <v>0</v>
      </c>
      <c r="F364" s="278">
        <f t="shared" ca="1" si="84"/>
        <v>0</v>
      </c>
      <c r="G364" s="278">
        <f t="shared" ca="1" si="84"/>
        <v>0</v>
      </c>
      <c r="H364" s="278">
        <f t="shared" ca="1" si="84"/>
        <v>0</v>
      </c>
      <c r="I364" s="278">
        <f t="shared" ca="1" si="84"/>
        <v>0</v>
      </c>
      <c r="J364" s="278">
        <f t="shared" ca="1" si="84"/>
        <v>0</v>
      </c>
      <c r="K364" s="278">
        <f t="shared" ca="1" si="84"/>
        <v>0</v>
      </c>
      <c r="L364" s="278">
        <f t="shared" ca="1" si="84"/>
        <v>0</v>
      </c>
      <c r="M364" s="279" t="s">
        <v>6</v>
      </c>
      <c r="O364" s="282" t="s">
        <v>18</v>
      </c>
      <c r="P364" s="289">
        <f t="shared" ca="1" si="85"/>
        <v>0</v>
      </c>
      <c r="Q364" s="289">
        <f t="shared" ca="1" si="75"/>
        <v>0</v>
      </c>
      <c r="R364" s="289">
        <f t="shared" ca="1" si="76"/>
        <v>0</v>
      </c>
      <c r="S364" s="289">
        <f t="shared" ca="1" si="77"/>
        <v>0</v>
      </c>
      <c r="T364" s="289">
        <f t="shared" ca="1" si="78"/>
        <v>0</v>
      </c>
      <c r="U364" s="295" t="s">
        <v>6</v>
      </c>
      <c r="V364" s="289">
        <f t="shared" ca="1" si="79"/>
        <v>0</v>
      </c>
      <c r="W364" s="289">
        <f t="shared" ca="1" si="80"/>
        <v>0</v>
      </c>
      <c r="X364" s="289">
        <f t="shared" ca="1" si="81"/>
        <v>0</v>
      </c>
      <c r="Y364" s="289">
        <f t="shared" ca="1" si="82"/>
        <v>0</v>
      </c>
      <c r="Z364" s="292">
        <f t="shared" ca="1" si="83"/>
        <v>0</v>
      </c>
    </row>
    <row r="365" spans="2:26">
      <c r="B365" s="282" t="s">
        <v>17</v>
      </c>
      <c r="C365" s="278">
        <f t="shared" ca="1" si="84"/>
        <v>0</v>
      </c>
      <c r="D365" s="278">
        <f t="shared" ca="1" si="84"/>
        <v>0</v>
      </c>
      <c r="E365" s="278">
        <f t="shared" ca="1" si="84"/>
        <v>0</v>
      </c>
      <c r="F365" s="278">
        <f t="shared" ca="1" si="84"/>
        <v>0</v>
      </c>
      <c r="G365" s="278">
        <f t="shared" ca="1" si="84"/>
        <v>0</v>
      </c>
      <c r="H365" s="278">
        <f t="shared" ca="1" si="84"/>
        <v>0</v>
      </c>
      <c r="I365" s="278">
        <f t="shared" ca="1" si="84"/>
        <v>0</v>
      </c>
      <c r="J365" s="278">
        <f t="shared" ca="1" si="84"/>
        <v>0</v>
      </c>
      <c r="K365" s="278">
        <f t="shared" ca="1" si="84"/>
        <v>0</v>
      </c>
      <c r="L365" s="278">
        <f t="shared" ca="1" si="84"/>
        <v>0</v>
      </c>
      <c r="M365" s="279" t="s">
        <v>6</v>
      </c>
      <c r="O365" s="282" t="s">
        <v>17</v>
      </c>
      <c r="P365" s="289">
        <f t="shared" ca="1" si="85"/>
        <v>0</v>
      </c>
      <c r="Q365" s="289">
        <f t="shared" ca="1" si="75"/>
        <v>0</v>
      </c>
      <c r="R365" s="289">
        <f t="shared" ca="1" si="76"/>
        <v>0</v>
      </c>
      <c r="S365" s="289">
        <f t="shared" ca="1" si="77"/>
        <v>0</v>
      </c>
      <c r="T365" s="289">
        <f t="shared" ca="1" si="78"/>
        <v>0</v>
      </c>
      <c r="U365" s="295" t="s">
        <v>6</v>
      </c>
      <c r="V365" s="289">
        <f t="shared" ca="1" si="79"/>
        <v>0</v>
      </c>
      <c r="W365" s="289">
        <f t="shared" ca="1" si="80"/>
        <v>0</v>
      </c>
      <c r="X365" s="289">
        <f t="shared" ca="1" si="81"/>
        <v>0</v>
      </c>
      <c r="Y365" s="289">
        <f t="shared" ca="1" si="82"/>
        <v>0</v>
      </c>
      <c r="Z365" s="292">
        <f t="shared" ca="1" si="83"/>
        <v>0</v>
      </c>
    </row>
    <row r="366" spans="2:26">
      <c r="B366" s="282" t="s">
        <v>16</v>
      </c>
      <c r="C366" s="278">
        <f t="shared" ca="1" si="84"/>
        <v>0</v>
      </c>
      <c r="D366" s="278">
        <f t="shared" ca="1" si="84"/>
        <v>0</v>
      </c>
      <c r="E366" s="278">
        <f t="shared" ca="1" si="84"/>
        <v>0</v>
      </c>
      <c r="F366" s="278">
        <f t="shared" ca="1" si="84"/>
        <v>0</v>
      </c>
      <c r="G366" s="278">
        <f t="shared" ca="1" si="84"/>
        <v>0</v>
      </c>
      <c r="H366" s="278">
        <f t="shared" ca="1" si="84"/>
        <v>0</v>
      </c>
      <c r="I366" s="278">
        <f t="shared" ca="1" si="84"/>
        <v>0</v>
      </c>
      <c r="J366" s="278">
        <f t="shared" ca="1" si="84"/>
        <v>0</v>
      </c>
      <c r="K366" s="278">
        <f t="shared" ca="1" si="84"/>
        <v>0</v>
      </c>
      <c r="L366" s="278">
        <f t="shared" ca="1" si="84"/>
        <v>0</v>
      </c>
      <c r="M366" s="279" t="s">
        <v>6</v>
      </c>
      <c r="O366" s="282" t="s">
        <v>16</v>
      </c>
      <c r="P366" s="289">
        <f t="shared" ca="1" si="85"/>
        <v>0</v>
      </c>
      <c r="Q366" s="289">
        <f t="shared" ca="1" si="75"/>
        <v>0</v>
      </c>
      <c r="R366" s="289">
        <f t="shared" ca="1" si="76"/>
        <v>0</v>
      </c>
      <c r="S366" s="289">
        <f t="shared" ca="1" si="77"/>
        <v>0</v>
      </c>
      <c r="T366" s="289">
        <f t="shared" ca="1" si="78"/>
        <v>0</v>
      </c>
      <c r="U366" s="295" t="s">
        <v>6</v>
      </c>
      <c r="V366" s="289">
        <f t="shared" ca="1" si="79"/>
        <v>0</v>
      </c>
      <c r="W366" s="289">
        <f t="shared" ca="1" si="80"/>
        <v>0</v>
      </c>
      <c r="X366" s="289">
        <f t="shared" ca="1" si="81"/>
        <v>0</v>
      </c>
      <c r="Y366" s="289">
        <f t="shared" ca="1" si="82"/>
        <v>0</v>
      </c>
      <c r="Z366" s="292">
        <f t="shared" ca="1" si="83"/>
        <v>0</v>
      </c>
    </row>
    <row r="367" spans="2:26">
      <c r="B367" s="282" t="s">
        <v>15</v>
      </c>
      <c r="C367" s="278">
        <f t="shared" ca="1" si="84"/>
        <v>0</v>
      </c>
      <c r="D367" s="278">
        <f t="shared" ca="1" si="84"/>
        <v>0</v>
      </c>
      <c r="E367" s="278">
        <f t="shared" ca="1" si="84"/>
        <v>0</v>
      </c>
      <c r="F367" s="278">
        <f t="shared" ca="1" si="84"/>
        <v>0</v>
      </c>
      <c r="G367" s="278">
        <f t="shared" ca="1" si="84"/>
        <v>0</v>
      </c>
      <c r="H367" s="278">
        <f t="shared" ca="1" si="84"/>
        <v>0</v>
      </c>
      <c r="I367" s="278">
        <f t="shared" ca="1" si="84"/>
        <v>0</v>
      </c>
      <c r="J367" s="278">
        <f t="shared" ca="1" si="84"/>
        <v>0</v>
      </c>
      <c r="K367" s="278">
        <f t="shared" ca="1" si="84"/>
        <v>0</v>
      </c>
      <c r="L367" s="278">
        <f t="shared" ca="1" si="84"/>
        <v>0</v>
      </c>
      <c r="M367" s="279" t="s">
        <v>6</v>
      </c>
      <c r="O367" s="282" t="s">
        <v>15</v>
      </c>
      <c r="P367" s="295" t="s">
        <v>6</v>
      </c>
      <c r="Q367" s="295" t="s">
        <v>6</v>
      </c>
      <c r="R367" s="295" t="s">
        <v>6</v>
      </c>
      <c r="S367" s="295" t="s">
        <v>6</v>
      </c>
      <c r="T367" s="295" t="s">
        <v>6</v>
      </c>
      <c r="U367" s="295" t="s">
        <v>6</v>
      </c>
      <c r="V367" s="295" t="s">
        <v>6</v>
      </c>
      <c r="W367" s="295" t="s">
        <v>6</v>
      </c>
      <c r="X367" s="295" t="s">
        <v>6</v>
      </c>
      <c r="Y367" s="295" t="s">
        <v>6</v>
      </c>
      <c r="Z367" s="291" t="s">
        <v>6</v>
      </c>
    </row>
    <row r="368" spans="2:26">
      <c r="B368" s="282"/>
      <c r="C368" s="278"/>
      <c r="D368" s="278"/>
      <c r="E368" s="278"/>
      <c r="F368" s="278"/>
      <c r="G368" s="278"/>
      <c r="H368" s="278"/>
      <c r="I368" s="278"/>
      <c r="J368" s="278"/>
      <c r="K368" s="278"/>
      <c r="L368" s="278"/>
      <c r="M368" s="279"/>
      <c r="O368" s="282"/>
      <c r="P368" s="289"/>
      <c r="Q368" s="289"/>
      <c r="R368" s="289"/>
      <c r="S368" s="289"/>
      <c r="T368" s="289"/>
      <c r="U368" s="295"/>
      <c r="V368" s="289"/>
      <c r="W368" s="289"/>
      <c r="X368" s="289"/>
      <c r="Y368" s="289"/>
      <c r="Z368" s="292"/>
    </row>
    <row r="369" spans="1:26">
      <c r="B369" s="282"/>
      <c r="C369" s="278"/>
      <c r="D369" s="278"/>
      <c r="E369" s="278"/>
      <c r="F369" s="278"/>
      <c r="G369" s="278"/>
      <c r="H369" s="278"/>
      <c r="I369" s="278"/>
      <c r="J369" s="278"/>
      <c r="K369" s="278"/>
      <c r="L369" s="278"/>
      <c r="M369" s="279"/>
      <c r="O369" s="282"/>
      <c r="P369" s="289"/>
      <c r="Q369" s="289"/>
      <c r="R369" s="289"/>
      <c r="S369" s="289"/>
      <c r="T369" s="289"/>
      <c r="U369" s="295"/>
      <c r="V369" s="289"/>
      <c r="W369" s="289"/>
      <c r="X369" s="289"/>
      <c r="Y369" s="289"/>
      <c r="Z369" s="292"/>
    </row>
    <row r="370" spans="1:26">
      <c r="B370" s="282"/>
      <c r="C370" s="278"/>
      <c r="D370" s="278"/>
      <c r="E370" s="278"/>
      <c r="F370" s="278"/>
      <c r="G370" s="278"/>
      <c r="H370" s="278"/>
      <c r="I370" s="278"/>
      <c r="J370" s="278"/>
      <c r="K370" s="278"/>
      <c r="L370" s="278"/>
      <c r="M370" s="279"/>
      <c r="O370" s="282"/>
      <c r="P370" s="289"/>
      <c r="Q370" s="289"/>
      <c r="R370" s="289"/>
      <c r="S370" s="289"/>
      <c r="T370" s="289"/>
      <c r="U370" s="295"/>
      <c r="V370" s="289"/>
      <c r="W370" s="289"/>
      <c r="X370" s="289"/>
      <c r="Y370" s="289"/>
      <c r="Z370" s="292"/>
    </row>
    <row r="371" spans="1:26">
      <c r="B371" s="283"/>
      <c r="C371" s="280"/>
      <c r="D371" s="280"/>
      <c r="E371" s="280"/>
      <c r="F371" s="280"/>
      <c r="G371" s="280"/>
      <c r="H371" s="280"/>
      <c r="I371" s="280"/>
      <c r="J371" s="280"/>
      <c r="K371" s="280"/>
      <c r="L371" s="280"/>
      <c r="M371" s="281"/>
      <c r="O371" s="283"/>
      <c r="P371" s="293"/>
      <c r="Q371" s="293"/>
      <c r="R371" s="293"/>
      <c r="S371" s="293"/>
      <c r="T371" s="293"/>
      <c r="U371" s="296"/>
      <c r="V371" s="293"/>
      <c r="W371" s="293"/>
      <c r="X371" s="293"/>
      <c r="Y371" s="293"/>
      <c r="Z371" s="294"/>
    </row>
    <row r="374" spans="1:26">
      <c r="A374" s="224" t="s">
        <v>504</v>
      </c>
      <c r="B374" s="290" t="s">
        <v>489</v>
      </c>
      <c r="C374" s="284"/>
      <c r="G374" s="290" t="s">
        <v>489</v>
      </c>
    </row>
    <row r="375" spans="1:26">
      <c r="B375" s="284" t="s">
        <v>505</v>
      </c>
      <c r="C375" s="284"/>
      <c r="G375" s="284" t="s">
        <v>506</v>
      </c>
      <c r="H375" s="284"/>
    </row>
    <row r="376" spans="1:26">
      <c r="B376" s="258" t="s">
        <v>474</v>
      </c>
      <c r="C376" s="286">
        <f ca="1">SUM(C402:L420)</f>
        <v>0</v>
      </c>
      <c r="G376" s="258" t="s">
        <v>474</v>
      </c>
      <c r="H376" s="286">
        <f ca="1">SUM(P402:Z420)</f>
        <v>0</v>
      </c>
    </row>
    <row r="378" spans="1:26">
      <c r="B378" s="258" t="s">
        <v>479</v>
      </c>
      <c r="C378" s="258"/>
    </row>
    <row r="379" spans="1:26">
      <c r="B379" s="254" t="s">
        <v>468</v>
      </c>
      <c r="C379" s="287">
        <v>500</v>
      </c>
      <c r="D379" s="287">
        <v>400</v>
      </c>
      <c r="E379" s="287">
        <v>300</v>
      </c>
      <c r="F379" s="287">
        <v>200</v>
      </c>
      <c r="G379" s="287">
        <v>100</v>
      </c>
      <c r="H379" s="287">
        <v>0</v>
      </c>
      <c r="I379" s="287">
        <v>-100</v>
      </c>
      <c r="J379" s="287">
        <v>-200</v>
      </c>
      <c r="K379" s="287">
        <v>-300</v>
      </c>
      <c r="L379" s="287">
        <v>-400</v>
      </c>
      <c r="M379" s="288">
        <v>-500</v>
      </c>
    </row>
    <row r="380" spans="1:26">
      <c r="B380" s="282" t="s">
        <v>39</v>
      </c>
      <c r="C380" s="278">
        <f ca="1">'JPY Swap PVs'!AH77</f>
        <v>-152542.46364885769</v>
      </c>
      <c r="D380" s="278">
        <f ca="1">'JPY Swap PVs'!AI77</f>
        <v>-122033.97091908616</v>
      </c>
      <c r="E380" s="278">
        <f ca="1">'JPY Swap PVs'!AJ77</f>
        <v>-91525.478189314643</v>
      </c>
      <c r="F380" s="278">
        <f ca="1">'JPY Swap PVs'!AK77</f>
        <v>-61016.985459543073</v>
      </c>
      <c r="G380" s="278">
        <f ca="1">'JPY Swap PVs'!AL77</f>
        <v>-30508.49272977154</v>
      </c>
      <c r="H380" s="278">
        <f ca="1">'JPY Swap PVs'!AM77</f>
        <v>0</v>
      </c>
      <c r="I380" s="278">
        <f ca="1">'JPY Swap PVs'!AN77</f>
        <v>30508.49272977154</v>
      </c>
      <c r="J380" s="278">
        <f ca="1">'JPY Swap PVs'!AO77</f>
        <v>61016.985459543081</v>
      </c>
      <c r="K380" s="278">
        <f ca="1">'JPY Swap PVs'!AP77</f>
        <v>91525.478189314643</v>
      </c>
      <c r="L380" s="278">
        <f ca="1">'JPY Swap PVs'!AQ77</f>
        <v>122033.97091908616</v>
      </c>
      <c r="M380" s="279">
        <f ca="1">'JPY Swap PVs'!AR77</f>
        <v>152542.46364885769</v>
      </c>
    </row>
    <row r="381" spans="1:26">
      <c r="B381" s="282" t="s">
        <v>35</v>
      </c>
      <c r="C381" s="278">
        <f ca="1">'JPY Swap PVs'!AH78</f>
        <v>-202890.72538400179</v>
      </c>
      <c r="D381" s="278">
        <f ca="1">'JPY Swap PVs'!AI78</f>
        <v>-162312.58030720142</v>
      </c>
      <c r="E381" s="278">
        <f ca="1">'JPY Swap PVs'!AJ78</f>
        <v>-121734.43523040108</v>
      </c>
      <c r="F381" s="278">
        <f ca="1">'JPY Swap PVs'!AK78</f>
        <v>-81156.290153600712</v>
      </c>
      <c r="G381" s="278">
        <f ca="1">'JPY Swap PVs'!AL78</f>
        <v>-40578.145076800363</v>
      </c>
      <c r="H381" s="278">
        <f ca="1">'JPY Swap PVs'!AM78</f>
        <v>0</v>
      </c>
      <c r="I381" s="278">
        <f ca="1">'JPY Swap PVs'!AN78</f>
        <v>40578.145076800356</v>
      </c>
      <c r="J381" s="278">
        <f ca="1">'JPY Swap PVs'!AO78</f>
        <v>81156.290153600712</v>
      </c>
      <c r="K381" s="278">
        <f ca="1">'JPY Swap PVs'!AP78</f>
        <v>121734.43523040108</v>
      </c>
      <c r="L381" s="278">
        <f ca="1">'JPY Swap PVs'!AQ78</f>
        <v>162312.58030720145</v>
      </c>
      <c r="M381" s="279">
        <f ca="1">'JPY Swap PVs'!AR78</f>
        <v>202890.72538400179</v>
      </c>
    </row>
    <row r="382" spans="1:26">
      <c r="B382" s="282" t="s">
        <v>33</v>
      </c>
      <c r="C382" s="278">
        <f ca="1">'JPY Swap PVs'!AH79</f>
        <v>-253069.52850750225</v>
      </c>
      <c r="D382" s="278">
        <f ca="1">'JPY Swap PVs'!AI79</f>
        <v>-202455.62280600175</v>
      </c>
      <c r="E382" s="278">
        <f ca="1">'JPY Swap PVs'!AJ79</f>
        <v>-151841.71710450135</v>
      </c>
      <c r="F382" s="278">
        <f ca="1">'JPY Swap PVs'!AK79</f>
        <v>-101227.81140300087</v>
      </c>
      <c r="G382" s="278">
        <f ca="1">'JPY Swap PVs'!AL79</f>
        <v>-50613.905701500444</v>
      </c>
      <c r="H382" s="278">
        <f ca="1">'JPY Swap PVs'!AM79</f>
        <v>0</v>
      </c>
      <c r="I382" s="278">
        <f ca="1">'JPY Swap PVs'!AN79</f>
        <v>50613.905701500444</v>
      </c>
      <c r="J382" s="278">
        <f ca="1">'JPY Swap PVs'!AO79</f>
        <v>101227.81140300089</v>
      </c>
      <c r="K382" s="278">
        <f ca="1">'JPY Swap PVs'!AP79</f>
        <v>151841.71710450135</v>
      </c>
      <c r="L382" s="278">
        <f ca="1">'JPY Swap PVs'!AQ79</f>
        <v>202455.6228060018</v>
      </c>
      <c r="M382" s="279">
        <f ca="1">'JPY Swap PVs'!AR79</f>
        <v>253069.5285075022</v>
      </c>
    </row>
    <row r="383" spans="1:26">
      <c r="B383" s="282" t="s">
        <v>131</v>
      </c>
      <c r="C383" s="278">
        <f ca="1">'JPY Swap PVs'!AH80</f>
        <v>-302490.7129720439</v>
      </c>
      <c r="D383" s="278">
        <f ca="1">'JPY Swap PVs'!AI80</f>
        <v>-241992.57037763507</v>
      </c>
      <c r="E383" s="278">
        <f ca="1">'JPY Swap PVs'!AJ80</f>
        <v>-181494.42778322636</v>
      </c>
      <c r="F383" s="278">
        <f ca="1">'JPY Swap PVs'!AK80</f>
        <v>-120996.28518881752</v>
      </c>
      <c r="G383" s="278">
        <f ca="1">'JPY Swap PVs'!AL80</f>
        <v>-60498.142594408753</v>
      </c>
      <c r="H383" s="278">
        <f ca="1">'JPY Swap PVs'!AM80</f>
        <v>0</v>
      </c>
      <c r="I383" s="278">
        <f ca="1">'JPY Swap PVs'!AN80</f>
        <v>60498.142594408775</v>
      </c>
      <c r="J383" s="278">
        <f ca="1">'JPY Swap PVs'!AO80</f>
        <v>120996.28518881755</v>
      </c>
      <c r="K383" s="278">
        <f ca="1">'JPY Swap PVs'!AP80</f>
        <v>181494.42778322633</v>
      </c>
      <c r="L383" s="278">
        <f ca="1">'JPY Swap PVs'!AQ80</f>
        <v>241992.5703776351</v>
      </c>
      <c r="M383" s="279">
        <f ca="1">'JPY Swap PVs'!AR80</f>
        <v>302490.7129720439</v>
      </c>
    </row>
    <row r="384" spans="1:26">
      <c r="B384" s="282" t="s">
        <v>31</v>
      </c>
      <c r="C384" s="278">
        <f ca="1">'JPY Swap PVs'!AH81</f>
        <v>-351141.27427565068</v>
      </c>
      <c r="D384" s="278">
        <f ca="1">'JPY Swap PVs'!AI81</f>
        <v>-280913.0194205204</v>
      </c>
      <c r="E384" s="278">
        <f ca="1">'JPY Swap PVs'!AJ81</f>
        <v>-210684.76456539039</v>
      </c>
      <c r="F384" s="278">
        <f ca="1">'JPY Swap PVs'!AK81</f>
        <v>-140456.5097102602</v>
      </c>
      <c r="G384" s="278">
        <f ca="1">'JPY Swap PVs'!AL81</f>
        <v>-70228.254855130101</v>
      </c>
      <c r="H384" s="278">
        <f ca="1">'JPY Swap PVs'!AM81</f>
        <v>0</v>
      </c>
      <c r="I384" s="278">
        <f ca="1">'JPY Swap PVs'!AN81</f>
        <v>70228.254855130115</v>
      </c>
      <c r="J384" s="278">
        <f ca="1">'JPY Swap PVs'!AO81</f>
        <v>140456.50971026023</v>
      </c>
      <c r="K384" s="278">
        <f ca="1">'JPY Swap PVs'!AP81</f>
        <v>210684.76456539036</v>
      </c>
      <c r="L384" s="278">
        <f ca="1">'JPY Swap PVs'!AQ81</f>
        <v>280913.01942052052</v>
      </c>
      <c r="M384" s="279">
        <f ca="1">'JPY Swap PVs'!AR81</f>
        <v>351141.27427565056</v>
      </c>
    </row>
    <row r="385" spans="2:15">
      <c r="B385" s="282" t="s">
        <v>119</v>
      </c>
      <c r="C385" s="278">
        <f ca="1">'JPY Swap PVs'!AH82</f>
        <v>-399166.62011515006</v>
      </c>
      <c r="D385" s="278">
        <f ca="1">'JPY Swap PVs'!AI82</f>
        <v>-319333.29609212</v>
      </c>
      <c r="E385" s="278">
        <f ca="1">'JPY Swap PVs'!AJ82</f>
        <v>-239499.97206909009</v>
      </c>
      <c r="F385" s="278">
        <f ca="1">'JPY Swap PVs'!AK82</f>
        <v>-159666.64804605997</v>
      </c>
      <c r="G385" s="278">
        <f ca="1">'JPY Swap PVs'!AL82</f>
        <v>-79833.324023029971</v>
      </c>
      <c r="H385" s="278">
        <f ca="1">'JPY Swap PVs'!AM82</f>
        <v>0</v>
      </c>
      <c r="I385" s="278">
        <f ca="1">'JPY Swap PVs'!AN82</f>
        <v>79833.32402303</v>
      </c>
      <c r="J385" s="278">
        <f ca="1">'JPY Swap PVs'!AO82</f>
        <v>159666.64804606</v>
      </c>
      <c r="K385" s="278">
        <f ca="1">'JPY Swap PVs'!AP82</f>
        <v>239499.97206909009</v>
      </c>
      <c r="L385" s="278">
        <f ca="1">'JPY Swap PVs'!AQ82</f>
        <v>319333.29609212</v>
      </c>
      <c r="M385" s="279">
        <f ca="1">'JPY Swap PVs'!AR82</f>
        <v>399166.62011515006</v>
      </c>
    </row>
    <row r="386" spans="2:15">
      <c r="B386" s="282" t="s">
        <v>113</v>
      </c>
      <c r="C386" s="278">
        <f ca="1">'JPY Swap PVs'!AH83</f>
        <v>-445844.23518302297</v>
      </c>
      <c r="D386" s="278">
        <f ca="1">'JPY Swap PVs'!AI83</f>
        <v>-356675.38814641832</v>
      </c>
      <c r="E386" s="278">
        <f ca="1">'JPY Swap PVs'!AJ83</f>
        <v>-267506.54110981378</v>
      </c>
      <c r="F386" s="278">
        <f ca="1">'JPY Swap PVs'!AK83</f>
        <v>-178337.6940732091</v>
      </c>
      <c r="G386" s="278">
        <f ca="1">'JPY Swap PVs'!AL83</f>
        <v>-89168.847036604537</v>
      </c>
      <c r="H386" s="278">
        <f ca="1">'JPY Swap PVs'!AM83</f>
        <v>0</v>
      </c>
      <c r="I386" s="278">
        <f ca="1">'JPY Swap PVs'!AN83</f>
        <v>89168.847036604609</v>
      </c>
      <c r="J386" s="278">
        <f ca="1">'JPY Swap PVs'!AO83</f>
        <v>178337.69407320922</v>
      </c>
      <c r="K386" s="278">
        <f ca="1">'JPY Swap PVs'!AP83</f>
        <v>267506.54110981378</v>
      </c>
      <c r="L386" s="278">
        <f ca="1">'JPY Swap PVs'!AQ83</f>
        <v>356675.38814641844</v>
      </c>
      <c r="M386" s="279">
        <f ca="1">'JPY Swap PVs'!AR83</f>
        <v>445844.23518302303</v>
      </c>
    </row>
    <row r="387" spans="2:15">
      <c r="B387" s="282" t="s">
        <v>28</v>
      </c>
      <c r="C387" s="278">
        <f ca="1">'JPY Swap PVs'!AH84</f>
        <v>-491641.46924409922</v>
      </c>
      <c r="D387" s="278">
        <f ca="1">'JPY Swap PVs'!AI84</f>
        <v>-393313.17539527931</v>
      </c>
      <c r="E387" s="278">
        <f ca="1">'JPY Swap PVs'!AJ84</f>
        <v>-294984.88154645963</v>
      </c>
      <c r="F387" s="278">
        <f ca="1">'JPY Swap PVs'!AK84</f>
        <v>-196656.58769763965</v>
      </c>
      <c r="G387" s="278">
        <f ca="1">'JPY Swap PVs'!AL84</f>
        <v>-98328.293848819783</v>
      </c>
      <c r="H387" s="278">
        <f ca="1">'JPY Swap PVs'!AM84</f>
        <v>0</v>
      </c>
      <c r="I387" s="278">
        <f ca="1">'JPY Swap PVs'!AN84</f>
        <v>98328.293848819885</v>
      </c>
      <c r="J387" s="278">
        <f ca="1">'JPY Swap PVs'!AO84</f>
        <v>196656.58769763974</v>
      </c>
      <c r="K387" s="278">
        <f ca="1">'JPY Swap PVs'!AP84</f>
        <v>294984.88154645963</v>
      </c>
      <c r="L387" s="278">
        <f ca="1">'JPY Swap PVs'!AQ84</f>
        <v>393313.17539527948</v>
      </c>
      <c r="M387" s="279">
        <f ca="1">'JPY Swap PVs'!AR84</f>
        <v>491641.46924409934</v>
      </c>
    </row>
    <row r="388" spans="2:15">
      <c r="B388" s="282" t="s">
        <v>26</v>
      </c>
      <c r="C388" s="278">
        <f ca="1">'JPY Swap PVs'!AH85</f>
        <v>-580132.46295708534</v>
      </c>
      <c r="D388" s="278">
        <f ca="1">'JPY Swap PVs'!AI85</f>
        <v>-464105.97036566824</v>
      </c>
      <c r="E388" s="278">
        <f ca="1">'JPY Swap PVs'!AJ85</f>
        <v>-348079.47777425131</v>
      </c>
      <c r="F388" s="278">
        <f ca="1">'JPY Swap PVs'!AK85</f>
        <v>-232052.98518283406</v>
      </c>
      <c r="G388" s="278">
        <f ca="1">'JPY Swap PVs'!AL85</f>
        <v>-116026.49259141696</v>
      </c>
      <c r="H388" s="278">
        <f ca="1">'JPY Swap PVs'!AM85</f>
        <v>0</v>
      </c>
      <c r="I388" s="278">
        <f ca="1">'JPY Swap PVs'!AN85</f>
        <v>116026.49259141713</v>
      </c>
      <c r="J388" s="278">
        <f ca="1">'JPY Swap PVs'!AO85</f>
        <v>232052.98518283421</v>
      </c>
      <c r="K388" s="278">
        <f ca="1">'JPY Swap PVs'!AP85</f>
        <v>348079.47777425137</v>
      </c>
      <c r="L388" s="278">
        <f ca="1">'JPY Swap PVs'!AQ85</f>
        <v>464105.97036566841</v>
      </c>
      <c r="M388" s="279">
        <f ca="1">'JPY Swap PVs'!AR85</f>
        <v>580132.46295708546</v>
      </c>
    </row>
    <row r="389" spans="2:15">
      <c r="B389" s="282" t="s">
        <v>24</v>
      </c>
      <c r="C389" s="278">
        <f ca="1">'JPY Swap PVs'!AH86</f>
        <v>-705375.04990592087</v>
      </c>
      <c r="D389" s="278">
        <f ca="1">'JPY Swap PVs'!AI86</f>
        <v>-564300.0399247366</v>
      </c>
      <c r="E389" s="278">
        <f ca="1">'JPY Swap PVs'!AJ86</f>
        <v>-423225.02994355251</v>
      </c>
      <c r="F389" s="278">
        <f ca="1">'JPY Swap PVs'!AK86</f>
        <v>-282150.0199623683</v>
      </c>
      <c r="G389" s="278">
        <f ca="1">'JPY Swap PVs'!AL86</f>
        <v>-141075.00998118403</v>
      </c>
      <c r="H389" s="278">
        <f ca="1">'JPY Swap PVs'!AM86</f>
        <v>2.7755575615628914E-11</v>
      </c>
      <c r="I389" s="278">
        <f ca="1">'JPY Swap PVs'!AN86</f>
        <v>141075.00998118427</v>
      </c>
      <c r="J389" s="278">
        <f ca="1">'JPY Swap PVs'!AO86</f>
        <v>282150.01996236842</v>
      </c>
      <c r="K389" s="278">
        <f ca="1">'JPY Swap PVs'!AP86</f>
        <v>423225.02994355268</v>
      </c>
      <c r="L389" s="278">
        <f ca="1">'JPY Swap PVs'!AQ86</f>
        <v>564300.03992473683</v>
      </c>
      <c r="M389" s="279">
        <f ca="1">'JPY Swap PVs'!AR86</f>
        <v>705375.04990592098</v>
      </c>
    </row>
    <row r="390" spans="2:15">
      <c r="B390" s="282" t="s">
        <v>20</v>
      </c>
      <c r="C390" s="278">
        <f ca="1">'JPY Swap PVs'!AH87</f>
        <v>-895612.96666418295</v>
      </c>
      <c r="D390" s="278">
        <f ca="1">'JPY Swap PVs'!AI87</f>
        <v>-716490.37333134632</v>
      </c>
      <c r="E390" s="278">
        <f ca="1">'JPY Swap PVs'!AJ87</f>
        <v>-537367.77999850968</v>
      </c>
      <c r="F390" s="278">
        <f ca="1">'JPY Swap PVs'!AK87</f>
        <v>-358245.18666567304</v>
      </c>
      <c r="G390" s="278">
        <f ca="1">'JPY Swap PVs'!AL87</f>
        <v>-179122.59333283643</v>
      </c>
      <c r="H390" s="278">
        <f ca="1">'JPY Swap PVs'!AM87</f>
        <v>-5.5511151231257827E-11</v>
      </c>
      <c r="I390" s="278">
        <f ca="1">'JPY Swap PVs'!AN87</f>
        <v>179122.59333283667</v>
      </c>
      <c r="J390" s="278">
        <f ca="1">'JPY Swap PVs'!AO87</f>
        <v>358245.18666567327</v>
      </c>
      <c r="K390" s="278">
        <f ca="1">'JPY Swap PVs'!AP87</f>
        <v>537367.77999850991</v>
      </c>
      <c r="L390" s="278">
        <f ca="1">'JPY Swap PVs'!AQ87</f>
        <v>716490.37333134643</v>
      </c>
      <c r="M390" s="279">
        <f ca="1">'JPY Swap PVs'!AR87</f>
        <v>895612.96666418307</v>
      </c>
    </row>
    <row r="391" spans="2:15">
      <c r="B391" s="282" t="s">
        <v>18</v>
      </c>
      <c r="C391" s="278">
        <f ca="1">'JPY Swap PVs'!AH88</f>
        <v>-1067055.5709118792</v>
      </c>
      <c r="D391" s="278">
        <f ca="1">'JPY Swap PVs'!AI88</f>
        <v>-853644.45672950323</v>
      </c>
      <c r="E391" s="278">
        <f ca="1">'JPY Swap PVs'!AJ88</f>
        <v>-640233.34254712739</v>
      </c>
      <c r="F391" s="278">
        <f ca="1">'JPY Swap PVs'!AK88</f>
        <v>-426822.2283647515</v>
      </c>
      <c r="G391" s="278">
        <f ca="1">'JPY Swap PVs'!AL88</f>
        <v>-213411.11418237569</v>
      </c>
      <c r="H391" s="278">
        <f ca="1">'JPY Swap PVs'!AM88</f>
        <v>0</v>
      </c>
      <c r="I391" s="278">
        <f ca="1">'JPY Swap PVs'!AN88</f>
        <v>213411.11418237587</v>
      </c>
      <c r="J391" s="278">
        <f ca="1">'JPY Swap PVs'!AO88</f>
        <v>426822.22836475173</v>
      </c>
      <c r="K391" s="278">
        <f ca="1">'JPY Swap PVs'!AP88</f>
        <v>640233.34254712763</v>
      </c>
      <c r="L391" s="278">
        <f ca="1">'JPY Swap PVs'!AQ88</f>
        <v>853644.45672950335</v>
      </c>
      <c r="M391" s="279">
        <f ca="1">'JPY Swap PVs'!AR88</f>
        <v>1067055.5709118794</v>
      </c>
    </row>
    <row r="392" spans="2:15">
      <c r="B392" s="282" t="s">
        <v>17</v>
      </c>
      <c r="C392" s="278">
        <f ca="1">'JPY Swap PVs'!AH89</f>
        <v>-1223051.9604093437</v>
      </c>
      <c r="D392" s="278">
        <f ca="1">'JPY Swap PVs'!AI89</f>
        <v>-978441.56832747499</v>
      </c>
      <c r="E392" s="278">
        <f ca="1">'JPY Swap PVs'!AJ89</f>
        <v>-733831.17624560627</v>
      </c>
      <c r="F392" s="278">
        <f ca="1">'JPY Swap PVs'!AK89</f>
        <v>-489220.78416373732</v>
      </c>
      <c r="G392" s="278">
        <f ca="1">'JPY Swap PVs'!AL89</f>
        <v>-244610.39208186857</v>
      </c>
      <c r="H392" s="278">
        <f ca="1">'JPY Swap PVs'!AM89</f>
        <v>0</v>
      </c>
      <c r="I392" s="278">
        <f ca="1">'JPY Swap PVs'!AN89</f>
        <v>244610.39208186892</v>
      </c>
      <c r="J392" s="278">
        <f ca="1">'JPY Swap PVs'!AO89</f>
        <v>489220.78416373779</v>
      </c>
      <c r="K392" s="278">
        <f ca="1">'JPY Swap PVs'!AP89</f>
        <v>733831.17624560662</v>
      </c>
      <c r="L392" s="278">
        <f ca="1">'JPY Swap PVs'!AQ89</f>
        <v>978441.56832747522</v>
      </c>
      <c r="M392" s="279">
        <f ca="1">'JPY Swap PVs'!AR89</f>
        <v>1223051.9604093446</v>
      </c>
    </row>
    <row r="393" spans="2:15">
      <c r="B393" s="282" t="s">
        <v>16</v>
      </c>
      <c r="C393" s="278">
        <f ca="1">'JPY Swap PVs'!AH90</f>
        <v>-1366543.064870677</v>
      </c>
      <c r="D393" s="278">
        <f ca="1">'JPY Swap PVs'!AI90</f>
        <v>-1093234.4518965415</v>
      </c>
      <c r="E393" s="278">
        <f ca="1">'JPY Swap PVs'!AJ90</f>
        <v>-819925.8389224062</v>
      </c>
      <c r="F393" s="278">
        <f ca="1">'JPY Swap PVs'!AK90</f>
        <v>-546617.22594827111</v>
      </c>
      <c r="G393" s="278">
        <f ca="1">'JPY Swap PVs'!AL90</f>
        <v>-273308.61297413526</v>
      </c>
      <c r="H393" s="278">
        <f ca="1">'JPY Swap PVs'!AM90</f>
        <v>0</v>
      </c>
      <c r="I393" s="278">
        <f ca="1">'JPY Swap PVs'!AN90</f>
        <v>273308.61297413561</v>
      </c>
      <c r="J393" s="278">
        <f ca="1">'JPY Swap PVs'!AO90</f>
        <v>546617.22594827111</v>
      </c>
      <c r="K393" s="278">
        <f ca="1">'JPY Swap PVs'!AP90</f>
        <v>819925.83892240666</v>
      </c>
      <c r="L393" s="278">
        <f ca="1">'JPY Swap PVs'!AQ90</f>
        <v>1093234.4518965418</v>
      </c>
      <c r="M393" s="279">
        <f ca="1">'JPY Swap PVs'!AR90</f>
        <v>1366543.0648706779</v>
      </c>
    </row>
    <row r="394" spans="2:15">
      <c r="B394" s="282" t="s">
        <v>15</v>
      </c>
      <c r="C394" s="278">
        <f ca="1">'JPY Swap PVs'!AH91</f>
        <v>-1499145.7303461705</v>
      </c>
      <c r="D394" s="278">
        <f ca="1">'JPY Swap PVs'!AI91</f>
        <v>-1199316.5842769365</v>
      </c>
      <c r="E394" s="278">
        <f ca="1">'JPY Swap PVs'!AJ91</f>
        <v>-899487.43820770248</v>
      </c>
      <c r="F394" s="278">
        <f ca="1">'JPY Swap PVs'!AK91</f>
        <v>-599658.29213846859</v>
      </c>
      <c r="G394" s="278">
        <f ca="1">'JPY Swap PVs'!AL91</f>
        <v>-299829.14606923383</v>
      </c>
      <c r="H394" s="278">
        <f ca="1">'JPY Swap PVs'!AM91</f>
        <v>0</v>
      </c>
      <c r="I394" s="278">
        <f ca="1">'JPY Swap PVs'!AN91</f>
        <v>299829.14606923453</v>
      </c>
      <c r="J394" s="278">
        <f ca="1">'JPY Swap PVs'!AO91</f>
        <v>599658.29213846894</v>
      </c>
      <c r="K394" s="278">
        <f ca="1">'JPY Swap PVs'!AP91</f>
        <v>899487.43820770318</v>
      </c>
      <c r="L394" s="278">
        <f ca="1">'JPY Swap PVs'!AQ91</f>
        <v>1199316.5842769372</v>
      </c>
      <c r="M394" s="279">
        <f ca="1">'JPY Swap PVs'!AR91</f>
        <v>1499145.7303461719</v>
      </c>
    </row>
    <row r="395" spans="2:15">
      <c r="B395" s="282"/>
      <c r="C395" s="278"/>
      <c r="D395" s="278"/>
      <c r="E395" s="278"/>
      <c r="F395" s="278"/>
      <c r="G395" s="278"/>
      <c r="H395" s="278"/>
      <c r="I395" s="278"/>
      <c r="J395" s="278"/>
      <c r="K395" s="278"/>
      <c r="L395" s="278"/>
      <c r="M395" s="279"/>
    </row>
    <row r="396" spans="2:15">
      <c r="B396" s="282"/>
      <c r="C396" s="278"/>
      <c r="D396" s="278"/>
      <c r="E396" s="278"/>
      <c r="F396" s="278"/>
      <c r="G396" s="278"/>
      <c r="H396" s="278"/>
      <c r="I396" s="278"/>
      <c r="J396" s="278"/>
      <c r="K396" s="278"/>
      <c r="L396" s="278"/>
      <c r="M396" s="279"/>
    </row>
    <row r="397" spans="2:15">
      <c r="B397" s="282"/>
      <c r="C397" s="278"/>
      <c r="D397" s="278"/>
      <c r="E397" s="278"/>
      <c r="F397" s="278"/>
      <c r="G397" s="278"/>
      <c r="H397" s="278"/>
      <c r="I397" s="278"/>
      <c r="J397" s="278"/>
      <c r="K397" s="278"/>
      <c r="L397" s="278"/>
      <c r="M397" s="279"/>
    </row>
    <row r="398" spans="2:15">
      <c r="B398" s="283"/>
      <c r="C398" s="280"/>
      <c r="D398" s="280"/>
      <c r="E398" s="280"/>
      <c r="F398" s="280"/>
      <c r="G398" s="280"/>
      <c r="H398" s="280"/>
      <c r="I398" s="280"/>
      <c r="J398" s="280"/>
      <c r="K398" s="280"/>
      <c r="L398" s="280"/>
      <c r="M398" s="281"/>
    </row>
    <row r="400" spans="2:15">
      <c r="B400" s="258" t="s">
        <v>472</v>
      </c>
      <c r="O400" s="258" t="s">
        <v>472</v>
      </c>
    </row>
    <row r="401" spans="2:26">
      <c r="B401" s="254" t="s">
        <v>468</v>
      </c>
      <c r="C401" s="287">
        <v>500</v>
      </c>
      <c r="D401" s="287">
        <v>400</v>
      </c>
      <c r="E401" s="287">
        <v>300</v>
      </c>
      <c r="F401" s="287">
        <v>200</v>
      </c>
      <c r="G401" s="287">
        <v>100</v>
      </c>
      <c r="H401" s="287">
        <v>0</v>
      </c>
      <c r="I401" s="287">
        <v>-100</v>
      </c>
      <c r="J401" s="287">
        <v>-200</v>
      </c>
      <c r="K401" s="287">
        <v>-300</v>
      </c>
      <c r="L401" s="287">
        <v>-400</v>
      </c>
      <c r="M401" s="288">
        <v>-500</v>
      </c>
      <c r="O401" s="254" t="s">
        <v>468</v>
      </c>
      <c r="P401" s="276">
        <v>-0.05</v>
      </c>
      <c r="Q401" s="276">
        <v>-0.04</v>
      </c>
      <c r="R401" s="276">
        <v>-0.03</v>
      </c>
      <c r="S401" s="276">
        <v>-1.9999999999999997E-2</v>
      </c>
      <c r="T401" s="276">
        <v>-9.9999999999999967E-3</v>
      </c>
      <c r="U401" s="276">
        <v>0</v>
      </c>
      <c r="V401" s="276">
        <v>0.01</v>
      </c>
      <c r="W401" s="276">
        <v>0.02</v>
      </c>
      <c r="X401" s="276">
        <v>0.03</v>
      </c>
      <c r="Y401" s="276">
        <v>0.04</v>
      </c>
      <c r="Z401" s="277">
        <v>0.05</v>
      </c>
    </row>
    <row r="402" spans="2:26">
      <c r="B402" s="282" t="s">
        <v>39</v>
      </c>
      <c r="C402" s="278">
        <f ca="1">IF(C380&lt;D380,0,1)</f>
        <v>0</v>
      </c>
      <c r="D402" s="278">
        <f t="shared" ref="D402:L402" ca="1" si="86">IF(D380&lt;E380,0,1)</f>
        <v>0</v>
      </c>
      <c r="E402" s="278">
        <f t="shared" ca="1" si="86"/>
        <v>0</v>
      </c>
      <c r="F402" s="278">
        <f t="shared" ca="1" si="86"/>
        <v>0</v>
      </c>
      <c r="G402" s="278">
        <f t="shared" ca="1" si="86"/>
        <v>0</v>
      </c>
      <c r="H402" s="278">
        <f t="shared" ca="1" si="86"/>
        <v>0</v>
      </c>
      <c r="I402" s="278">
        <f t="shared" ca="1" si="86"/>
        <v>0</v>
      </c>
      <c r="J402" s="278">
        <f t="shared" ca="1" si="86"/>
        <v>0</v>
      </c>
      <c r="K402" s="278">
        <f t="shared" ca="1" si="86"/>
        <v>0</v>
      </c>
      <c r="L402" s="278">
        <f t="shared" ca="1" si="86"/>
        <v>0</v>
      </c>
      <c r="M402" s="285" t="s">
        <v>6</v>
      </c>
      <c r="O402" s="282" t="s">
        <v>39</v>
      </c>
      <c r="P402" s="289">
        <f ca="1">IF(ABS(C381)&gt;ABS(C380),0,1)</f>
        <v>0</v>
      </c>
      <c r="Q402" s="289">
        <f t="shared" ref="Q402:T417" ca="1" si="87">IF(ABS(D381)&gt;ABS(D380),0,1)</f>
        <v>0</v>
      </c>
      <c r="R402" s="289">
        <f t="shared" ca="1" si="87"/>
        <v>0</v>
      </c>
      <c r="S402" s="289">
        <f t="shared" ca="1" si="87"/>
        <v>0</v>
      </c>
      <c r="T402" s="289">
        <f t="shared" ca="1" si="87"/>
        <v>0</v>
      </c>
      <c r="U402" s="295" t="s">
        <v>6</v>
      </c>
      <c r="V402" s="289">
        <f t="shared" ref="V402:Z417" ca="1" si="88">IF(ABS(I381)&gt;ABS(I380),0,1)</f>
        <v>0</v>
      </c>
      <c r="W402" s="289">
        <f t="shared" ca="1" si="88"/>
        <v>0</v>
      </c>
      <c r="X402" s="289">
        <f t="shared" ca="1" si="88"/>
        <v>0</v>
      </c>
      <c r="Y402" s="289">
        <f t="shared" ca="1" si="88"/>
        <v>0</v>
      </c>
      <c r="Z402" s="291">
        <f t="shared" ca="1" si="88"/>
        <v>0</v>
      </c>
    </row>
    <row r="403" spans="2:26">
      <c r="B403" s="282" t="s">
        <v>35</v>
      </c>
      <c r="C403" s="278">
        <f t="shared" ref="C403:L418" ca="1" si="89">IF(C381&lt;D381,0,1)</f>
        <v>0</v>
      </c>
      <c r="D403" s="278">
        <f t="shared" ca="1" si="89"/>
        <v>0</v>
      </c>
      <c r="E403" s="278">
        <f t="shared" ca="1" si="89"/>
        <v>0</v>
      </c>
      <c r="F403" s="278">
        <f t="shared" ca="1" si="89"/>
        <v>0</v>
      </c>
      <c r="G403" s="278">
        <f t="shared" ca="1" si="89"/>
        <v>0</v>
      </c>
      <c r="H403" s="278">
        <f t="shared" ca="1" si="89"/>
        <v>0</v>
      </c>
      <c r="I403" s="278">
        <f t="shared" ca="1" si="89"/>
        <v>0</v>
      </c>
      <c r="J403" s="278">
        <f t="shared" ca="1" si="89"/>
        <v>0</v>
      </c>
      <c r="K403" s="278">
        <f t="shared" ca="1" si="89"/>
        <v>0</v>
      </c>
      <c r="L403" s="278">
        <f t="shared" ca="1" si="89"/>
        <v>0</v>
      </c>
      <c r="M403" s="279" t="s">
        <v>6</v>
      </c>
      <c r="O403" s="282" t="s">
        <v>35</v>
      </c>
      <c r="P403" s="289">
        <f t="shared" ref="P403:T418" ca="1" si="90">IF(ABS(C382)&gt;ABS(C381),0,1)</f>
        <v>0</v>
      </c>
      <c r="Q403" s="289">
        <f t="shared" ca="1" si="87"/>
        <v>0</v>
      </c>
      <c r="R403" s="289">
        <f t="shared" ca="1" si="87"/>
        <v>0</v>
      </c>
      <c r="S403" s="289">
        <f t="shared" ca="1" si="87"/>
        <v>0</v>
      </c>
      <c r="T403" s="289">
        <f t="shared" ca="1" si="87"/>
        <v>0</v>
      </c>
      <c r="U403" s="295" t="s">
        <v>6</v>
      </c>
      <c r="V403" s="289">
        <f t="shared" ca="1" si="88"/>
        <v>0</v>
      </c>
      <c r="W403" s="289">
        <f t="shared" ca="1" si="88"/>
        <v>0</v>
      </c>
      <c r="X403" s="289">
        <f t="shared" ca="1" si="88"/>
        <v>0</v>
      </c>
      <c r="Y403" s="289">
        <f t="shared" ca="1" si="88"/>
        <v>0</v>
      </c>
      <c r="Z403" s="292">
        <f t="shared" ca="1" si="88"/>
        <v>0</v>
      </c>
    </row>
    <row r="404" spans="2:26">
      <c r="B404" s="282" t="s">
        <v>33</v>
      </c>
      <c r="C404" s="278">
        <f t="shared" ca="1" si="89"/>
        <v>0</v>
      </c>
      <c r="D404" s="278">
        <f t="shared" ca="1" si="89"/>
        <v>0</v>
      </c>
      <c r="E404" s="278">
        <f t="shared" ca="1" si="89"/>
        <v>0</v>
      </c>
      <c r="F404" s="278">
        <f t="shared" ca="1" si="89"/>
        <v>0</v>
      </c>
      <c r="G404" s="278">
        <f t="shared" ca="1" si="89"/>
        <v>0</v>
      </c>
      <c r="H404" s="278">
        <f t="shared" ca="1" si="89"/>
        <v>0</v>
      </c>
      <c r="I404" s="278">
        <f t="shared" ca="1" si="89"/>
        <v>0</v>
      </c>
      <c r="J404" s="278">
        <f t="shared" ca="1" si="89"/>
        <v>0</v>
      </c>
      <c r="K404" s="278">
        <f t="shared" ca="1" si="89"/>
        <v>0</v>
      </c>
      <c r="L404" s="278">
        <f t="shared" ca="1" si="89"/>
        <v>0</v>
      </c>
      <c r="M404" s="279" t="s">
        <v>6</v>
      </c>
      <c r="O404" s="282" t="s">
        <v>33</v>
      </c>
      <c r="P404" s="289">
        <f t="shared" ca="1" si="90"/>
        <v>0</v>
      </c>
      <c r="Q404" s="289">
        <f t="shared" ca="1" si="87"/>
        <v>0</v>
      </c>
      <c r="R404" s="289">
        <f t="shared" ca="1" si="87"/>
        <v>0</v>
      </c>
      <c r="S404" s="289">
        <f t="shared" ca="1" si="87"/>
        <v>0</v>
      </c>
      <c r="T404" s="289">
        <f t="shared" ca="1" si="87"/>
        <v>0</v>
      </c>
      <c r="U404" s="295" t="s">
        <v>6</v>
      </c>
      <c r="V404" s="289">
        <f t="shared" ca="1" si="88"/>
        <v>0</v>
      </c>
      <c r="W404" s="289">
        <f t="shared" ca="1" si="88"/>
        <v>0</v>
      </c>
      <c r="X404" s="289">
        <f t="shared" ca="1" si="88"/>
        <v>0</v>
      </c>
      <c r="Y404" s="289">
        <f t="shared" ca="1" si="88"/>
        <v>0</v>
      </c>
      <c r="Z404" s="292">
        <f t="shared" ca="1" si="88"/>
        <v>0</v>
      </c>
    </row>
    <row r="405" spans="2:26">
      <c r="B405" s="282" t="s">
        <v>131</v>
      </c>
      <c r="C405" s="278">
        <f t="shared" ca="1" si="89"/>
        <v>0</v>
      </c>
      <c r="D405" s="278">
        <f t="shared" ca="1" si="89"/>
        <v>0</v>
      </c>
      <c r="E405" s="278">
        <f t="shared" ca="1" si="89"/>
        <v>0</v>
      </c>
      <c r="F405" s="278">
        <f t="shared" ca="1" si="89"/>
        <v>0</v>
      </c>
      <c r="G405" s="278">
        <f t="shared" ca="1" si="89"/>
        <v>0</v>
      </c>
      <c r="H405" s="278">
        <f t="shared" ca="1" si="89"/>
        <v>0</v>
      </c>
      <c r="I405" s="278">
        <f t="shared" ca="1" si="89"/>
        <v>0</v>
      </c>
      <c r="J405" s="278">
        <f t="shared" ca="1" si="89"/>
        <v>0</v>
      </c>
      <c r="K405" s="278">
        <f t="shared" ca="1" si="89"/>
        <v>0</v>
      </c>
      <c r="L405" s="278">
        <f t="shared" ca="1" si="89"/>
        <v>0</v>
      </c>
      <c r="M405" s="279" t="s">
        <v>6</v>
      </c>
      <c r="O405" s="282" t="s">
        <v>131</v>
      </c>
      <c r="P405" s="289">
        <f t="shared" ca="1" si="90"/>
        <v>0</v>
      </c>
      <c r="Q405" s="289">
        <f t="shared" ca="1" si="87"/>
        <v>0</v>
      </c>
      <c r="R405" s="289">
        <f t="shared" ca="1" si="87"/>
        <v>0</v>
      </c>
      <c r="S405" s="289">
        <f t="shared" ca="1" si="87"/>
        <v>0</v>
      </c>
      <c r="T405" s="289">
        <f t="shared" ca="1" si="87"/>
        <v>0</v>
      </c>
      <c r="U405" s="295" t="s">
        <v>6</v>
      </c>
      <c r="V405" s="289">
        <f t="shared" ca="1" si="88"/>
        <v>0</v>
      </c>
      <c r="W405" s="289">
        <f t="shared" ca="1" si="88"/>
        <v>0</v>
      </c>
      <c r="X405" s="289">
        <f t="shared" ca="1" si="88"/>
        <v>0</v>
      </c>
      <c r="Y405" s="289">
        <f t="shared" ca="1" si="88"/>
        <v>0</v>
      </c>
      <c r="Z405" s="292">
        <f t="shared" ca="1" si="88"/>
        <v>0</v>
      </c>
    </row>
    <row r="406" spans="2:26">
      <c r="B406" s="282" t="s">
        <v>31</v>
      </c>
      <c r="C406" s="278">
        <f t="shared" ca="1" si="89"/>
        <v>0</v>
      </c>
      <c r="D406" s="278">
        <f t="shared" ca="1" si="89"/>
        <v>0</v>
      </c>
      <c r="E406" s="278">
        <f t="shared" ca="1" si="89"/>
        <v>0</v>
      </c>
      <c r="F406" s="278">
        <f t="shared" ca="1" si="89"/>
        <v>0</v>
      </c>
      <c r="G406" s="278">
        <f t="shared" ca="1" si="89"/>
        <v>0</v>
      </c>
      <c r="H406" s="278">
        <f t="shared" ca="1" si="89"/>
        <v>0</v>
      </c>
      <c r="I406" s="278">
        <f t="shared" ca="1" si="89"/>
        <v>0</v>
      </c>
      <c r="J406" s="278">
        <f t="shared" ca="1" si="89"/>
        <v>0</v>
      </c>
      <c r="K406" s="278">
        <f t="shared" ca="1" si="89"/>
        <v>0</v>
      </c>
      <c r="L406" s="278">
        <f t="shared" ca="1" si="89"/>
        <v>0</v>
      </c>
      <c r="M406" s="279" t="s">
        <v>6</v>
      </c>
      <c r="O406" s="282" t="s">
        <v>31</v>
      </c>
      <c r="P406" s="289">
        <f t="shared" ca="1" si="90"/>
        <v>0</v>
      </c>
      <c r="Q406" s="289">
        <f t="shared" ca="1" si="87"/>
        <v>0</v>
      </c>
      <c r="R406" s="289">
        <f t="shared" ca="1" si="87"/>
        <v>0</v>
      </c>
      <c r="S406" s="289">
        <f t="shared" ca="1" si="87"/>
        <v>0</v>
      </c>
      <c r="T406" s="289">
        <f t="shared" ca="1" si="87"/>
        <v>0</v>
      </c>
      <c r="U406" s="295" t="s">
        <v>6</v>
      </c>
      <c r="V406" s="289">
        <f t="shared" ca="1" si="88"/>
        <v>0</v>
      </c>
      <c r="W406" s="289">
        <f t="shared" ca="1" si="88"/>
        <v>0</v>
      </c>
      <c r="X406" s="289">
        <f t="shared" ca="1" si="88"/>
        <v>0</v>
      </c>
      <c r="Y406" s="289">
        <f t="shared" ca="1" si="88"/>
        <v>0</v>
      </c>
      <c r="Z406" s="292">
        <f t="shared" ca="1" si="88"/>
        <v>0</v>
      </c>
    </row>
    <row r="407" spans="2:26">
      <c r="B407" s="282" t="s">
        <v>119</v>
      </c>
      <c r="C407" s="278">
        <f t="shared" ca="1" si="89"/>
        <v>0</v>
      </c>
      <c r="D407" s="278">
        <f t="shared" ca="1" si="89"/>
        <v>0</v>
      </c>
      <c r="E407" s="278">
        <f t="shared" ca="1" si="89"/>
        <v>0</v>
      </c>
      <c r="F407" s="278">
        <f t="shared" ca="1" si="89"/>
        <v>0</v>
      </c>
      <c r="G407" s="278">
        <f t="shared" ca="1" si="89"/>
        <v>0</v>
      </c>
      <c r="H407" s="278">
        <f t="shared" ca="1" si="89"/>
        <v>0</v>
      </c>
      <c r="I407" s="278">
        <f t="shared" ca="1" si="89"/>
        <v>0</v>
      </c>
      <c r="J407" s="278">
        <f t="shared" ca="1" si="89"/>
        <v>0</v>
      </c>
      <c r="K407" s="278">
        <f t="shared" ca="1" si="89"/>
        <v>0</v>
      </c>
      <c r="L407" s="278">
        <f t="shared" ca="1" si="89"/>
        <v>0</v>
      </c>
      <c r="M407" s="279" t="s">
        <v>6</v>
      </c>
      <c r="O407" s="282" t="s">
        <v>119</v>
      </c>
      <c r="P407" s="289">
        <f t="shared" ca="1" si="90"/>
        <v>0</v>
      </c>
      <c r="Q407" s="289">
        <f t="shared" ca="1" si="87"/>
        <v>0</v>
      </c>
      <c r="R407" s="289">
        <f t="shared" ca="1" si="87"/>
        <v>0</v>
      </c>
      <c r="S407" s="289">
        <f t="shared" ca="1" si="87"/>
        <v>0</v>
      </c>
      <c r="T407" s="289">
        <f t="shared" ca="1" si="87"/>
        <v>0</v>
      </c>
      <c r="U407" s="295" t="s">
        <v>6</v>
      </c>
      <c r="V407" s="289">
        <f t="shared" ca="1" si="88"/>
        <v>0</v>
      </c>
      <c r="W407" s="289">
        <f t="shared" ca="1" si="88"/>
        <v>0</v>
      </c>
      <c r="X407" s="289">
        <f t="shared" ca="1" si="88"/>
        <v>0</v>
      </c>
      <c r="Y407" s="289">
        <f t="shared" ca="1" si="88"/>
        <v>0</v>
      </c>
      <c r="Z407" s="292">
        <f t="shared" ca="1" si="88"/>
        <v>0</v>
      </c>
    </row>
    <row r="408" spans="2:26">
      <c r="B408" s="282" t="s">
        <v>113</v>
      </c>
      <c r="C408" s="278">
        <f t="shared" ca="1" si="89"/>
        <v>0</v>
      </c>
      <c r="D408" s="278">
        <f t="shared" ca="1" si="89"/>
        <v>0</v>
      </c>
      <c r="E408" s="278">
        <f t="shared" ca="1" si="89"/>
        <v>0</v>
      </c>
      <c r="F408" s="278">
        <f t="shared" ca="1" si="89"/>
        <v>0</v>
      </c>
      <c r="G408" s="278">
        <f t="shared" ca="1" si="89"/>
        <v>0</v>
      </c>
      <c r="H408" s="278">
        <f t="shared" ca="1" si="89"/>
        <v>0</v>
      </c>
      <c r="I408" s="278">
        <f t="shared" ca="1" si="89"/>
        <v>0</v>
      </c>
      <c r="J408" s="278">
        <f t="shared" ca="1" si="89"/>
        <v>0</v>
      </c>
      <c r="K408" s="278">
        <f t="shared" ca="1" si="89"/>
        <v>0</v>
      </c>
      <c r="L408" s="278">
        <f t="shared" ca="1" si="89"/>
        <v>0</v>
      </c>
      <c r="M408" s="279" t="s">
        <v>6</v>
      </c>
      <c r="O408" s="282" t="s">
        <v>113</v>
      </c>
      <c r="P408" s="289">
        <f t="shared" ca="1" si="90"/>
        <v>0</v>
      </c>
      <c r="Q408" s="289">
        <f t="shared" ca="1" si="87"/>
        <v>0</v>
      </c>
      <c r="R408" s="289">
        <f t="shared" ca="1" si="87"/>
        <v>0</v>
      </c>
      <c r="S408" s="289">
        <f t="shared" ca="1" si="87"/>
        <v>0</v>
      </c>
      <c r="T408" s="289">
        <f t="shared" ca="1" si="87"/>
        <v>0</v>
      </c>
      <c r="U408" s="295" t="s">
        <v>6</v>
      </c>
      <c r="V408" s="289">
        <f t="shared" ca="1" si="88"/>
        <v>0</v>
      </c>
      <c r="W408" s="289">
        <f t="shared" ca="1" si="88"/>
        <v>0</v>
      </c>
      <c r="X408" s="289">
        <f t="shared" ca="1" si="88"/>
        <v>0</v>
      </c>
      <c r="Y408" s="289">
        <f t="shared" ca="1" si="88"/>
        <v>0</v>
      </c>
      <c r="Z408" s="292">
        <f t="shared" ca="1" si="88"/>
        <v>0</v>
      </c>
    </row>
    <row r="409" spans="2:26">
      <c r="B409" s="282" t="s">
        <v>28</v>
      </c>
      <c r="C409" s="278">
        <f t="shared" ca="1" si="89"/>
        <v>0</v>
      </c>
      <c r="D409" s="278">
        <f t="shared" ca="1" si="89"/>
        <v>0</v>
      </c>
      <c r="E409" s="278">
        <f t="shared" ca="1" si="89"/>
        <v>0</v>
      </c>
      <c r="F409" s="278">
        <f t="shared" ca="1" si="89"/>
        <v>0</v>
      </c>
      <c r="G409" s="278">
        <f t="shared" ca="1" si="89"/>
        <v>0</v>
      </c>
      <c r="H409" s="278">
        <f t="shared" ca="1" si="89"/>
        <v>0</v>
      </c>
      <c r="I409" s="278">
        <f t="shared" ca="1" si="89"/>
        <v>0</v>
      </c>
      <c r="J409" s="278">
        <f t="shared" ca="1" si="89"/>
        <v>0</v>
      </c>
      <c r="K409" s="278">
        <f t="shared" ca="1" si="89"/>
        <v>0</v>
      </c>
      <c r="L409" s="278">
        <f t="shared" ca="1" si="89"/>
        <v>0</v>
      </c>
      <c r="M409" s="279" t="s">
        <v>6</v>
      </c>
      <c r="O409" s="282" t="s">
        <v>28</v>
      </c>
      <c r="P409" s="289">
        <f t="shared" ca="1" si="90"/>
        <v>0</v>
      </c>
      <c r="Q409" s="289">
        <f t="shared" ca="1" si="87"/>
        <v>0</v>
      </c>
      <c r="R409" s="289">
        <f t="shared" ca="1" si="87"/>
        <v>0</v>
      </c>
      <c r="S409" s="289">
        <f t="shared" ca="1" si="87"/>
        <v>0</v>
      </c>
      <c r="T409" s="289">
        <f t="shared" ca="1" si="87"/>
        <v>0</v>
      </c>
      <c r="U409" s="295" t="s">
        <v>6</v>
      </c>
      <c r="V409" s="289">
        <f t="shared" ca="1" si="88"/>
        <v>0</v>
      </c>
      <c r="W409" s="289">
        <f t="shared" ca="1" si="88"/>
        <v>0</v>
      </c>
      <c r="X409" s="289">
        <f t="shared" ca="1" si="88"/>
        <v>0</v>
      </c>
      <c r="Y409" s="289">
        <f t="shared" ca="1" si="88"/>
        <v>0</v>
      </c>
      <c r="Z409" s="292">
        <f t="shared" ca="1" si="88"/>
        <v>0</v>
      </c>
    </row>
    <row r="410" spans="2:26">
      <c r="B410" s="282" t="s">
        <v>26</v>
      </c>
      <c r="C410" s="278">
        <f t="shared" ca="1" si="89"/>
        <v>0</v>
      </c>
      <c r="D410" s="278">
        <f t="shared" ca="1" si="89"/>
        <v>0</v>
      </c>
      <c r="E410" s="278">
        <f t="shared" ca="1" si="89"/>
        <v>0</v>
      </c>
      <c r="F410" s="278">
        <f t="shared" ca="1" si="89"/>
        <v>0</v>
      </c>
      <c r="G410" s="278">
        <f t="shared" ca="1" si="89"/>
        <v>0</v>
      </c>
      <c r="H410" s="278">
        <f t="shared" ca="1" si="89"/>
        <v>0</v>
      </c>
      <c r="I410" s="278">
        <f t="shared" ca="1" si="89"/>
        <v>0</v>
      </c>
      <c r="J410" s="278">
        <f t="shared" ca="1" si="89"/>
        <v>0</v>
      </c>
      <c r="K410" s="278">
        <f t="shared" ca="1" si="89"/>
        <v>0</v>
      </c>
      <c r="L410" s="278">
        <f t="shared" ca="1" si="89"/>
        <v>0</v>
      </c>
      <c r="M410" s="279" t="s">
        <v>6</v>
      </c>
      <c r="O410" s="282" t="s">
        <v>26</v>
      </c>
      <c r="P410" s="289">
        <f t="shared" ca="1" si="90"/>
        <v>0</v>
      </c>
      <c r="Q410" s="289">
        <f t="shared" ca="1" si="87"/>
        <v>0</v>
      </c>
      <c r="R410" s="289">
        <f t="shared" ca="1" si="87"/>
        <v>0</v>
      </c>
      <c r="S410" s="289">
        <f t="shared" ca="1" si="87"/>
        <v>0</v>
      </c>
      <c r="T410" s="289">
        <f t="shared" ca="1" si="87"/>
        <v>0</v>
      </c>
      <c r="U410" s="295" t="s">
        <v>6</v>
      </c>
      <c r="V410" s="289">
        <f t="shared" ca="1" si="88"/>
        <v>0</v>
      </c>
      <c r="W410" s="289">
        <f t="shared" ca="1" si="88"/>
        <v>0</v>
      </c>
      <c r="X410" s="289">
        <f t="shared" ca="1" si="88"/>
        <v>0</v>
      </c>
      <c r="Y410" s="289">
        <f t="shared" ca="1" si="88"/>
        <v>0</v>
      </c>
      <c r="Z410" s="292">
        <f t="shared" ca="1" si="88"/>
        <v>0</v>
      </c>
    </row>
    <row r="411" spans="2:26">
      <c r="B411" s="282" t="s">
        <v>24</v>
      </c>
      <c r="C411" s="278">
        <f t="shared" ca="1" si="89"/>
        <v>0</v>
      </c>
      <c r="D411" s="278">
        <f t="shared" ca="1" si="89"/>
        <v>0</v>
      </c>
      <c r="E411" s="278">
        <f t="shared" ca="1" si="89"/>
        <v>0</v>
      </c>
      <c r="F411" s="278">
        <f t="shared" ca="1" si="89"/>
        <v>0</v>
      </c>
      <c r="G411" s="278">
        <f t="shared" ca="1" si="89"/>
        <v>0</v>
      </c>
      <c r="H411" s="278">
        <f t="shared" ca="1" si="89"/>
        <v>0</v>
      </c>
      <c r="I411" s="278">
        <f t="shared" ca="1" si="89"/>
        <v>0</v>
      </c>
      <c r="J411" s="278">
        <f t="shared" ca="1" si="89"/>
        <v>0</v>
      </c>
      <c r="K411" s="278">
        <f t="shared" ca="1" si="89"/>
        <v>0</v>
      </c>
      <c r="L411" s="278">
        <f t="shared" ca="1" si="89"/>
        <v>0</v>
      </c>
      <c r="M411" s="279" t="s">
        <v>6</v>
      </c>
      <c r="O411" s="282" t="s">
        <v>24</v>
      </c>
      <c r="P411" s="289">
        <f t="shared" ca="1" si="90"/>
        <v>0</v>
      </c>
      <c r="Q411" s="289">
        <f t="shared" ca="1" si="87"/>
        <v>0</v>
      </c>
      <c r="R411" s="289">
        <f t="shared" ca="1" si="87"/>
        <v>0</v>
      </c>
      <c r="S411" s="289">
        <f t="shared" ca="1" si="87"/>
        <v>0</v>
      </c>
      <c r="T411" s="289">
        <f t="shared" ca="1" si="87"/>
        <v>0</v>
      </c>
      <c r="U411" s="295" t="s">
        <v>6</v>
      </c>
      <c r="V411" s="289">
        <f t="shared" ca="1" si="88"/>
        <v>0</v>
      </c>
      <c r="W411" s="289">
        <f t="shared" ca="1" si="88"/>
        <v>0</v>
      </c>
      <c r="X411" s="289">
        <f t="shared" ca="1" si="88"/>
        <v>0</v>
      </c>
      <c r="Y411" s="289">
        <f t="shared" ca="1" si="88"/>
        <v>0</v>
      </c>
      <c r="Z411" s="292">
        <f t="shared" ca="1" si="88"/>
        <v>0</v>
      </c>
    </row>
    <row r="412" spans="2:26">
      <c r="B412" s="282" t="s">
        <v>20</v>
      </c>
      <c r="C412" s="278">
        <f t="shared" ca="1" si="89"/>
        <v>0</v>
      </c>
      <c r="D412" s="278">
        <f t="shared" ca="1" si="89"/>
        <v>0</v>
      </c>
      <c r="E412" s="278">
        <f t="shared" ca="1" si="89"/>
        <v>0</v>
      </c>
      <c r="F412" s="278">
        <f t="shared" ca="1" si="89"/>
        <v>0</v>
      </c>
      <c r="G412" s="278">
        <f t="shared" ca="1" si="89"/>
        <v>0</v>
      </c>
      <c r="H412" s="278">
        <f t="shared" ca="1" si="89"/>
        <v>0</v>
      </c>
      <c r="I412" s="278">
        <f t="shared" ca="1" si="89"/>
        <v>0</v>
      </c>
      <c r="J412" s="278">
        <f t="shared" ca="1" si="89"/>
        <v>0</v>
      </c>
      <c r="K412" s="278">
        <f t="shared" ca="1" si="89"/>
        <v>0</v>
      </c>
      <c r="L412" s="278">
        <f t="shared" ca="1" si="89"/>
        <v>0</v>
      </c>
      <c r="M412" s="279" t="s">
        <v>6</v>
      </c>
      <c r="O412" s="282" t="s">
        <v>20</v>
      </c>
      <c r="P412" s="289">
        <f t="shared" ca="1" si="90"/>
        <v>0</v>
      </c>
      <c r="Q412" s="289">
        <f t="shared" ca="1" si="87"/>
        <v>0</v>
      </c>
      <c r="R412" s="289">
        <f t="shared" ca="1" si="87"/>
        <v>0</v>
      </c>
      <c r="S412" s="289">
        <f t="shared" ca="1" si="87"/>
        <v>0</v>
      </c>
      <c r="T412" s="289">
        <f t="shared" ca="1" si="87"/>
        <v>0</v>
      </c>
      <c r="U412" s="295" t="s">
        <v>6</v>
      </c>
      <c r="V412" s="289">
        <f t="shared" ca="1" si="88"/>
        <v>0</v>
      </c>
      <c r="W412" s="289">
        <f t="shared" ca="1" si="88"/>
        <v>0</v>
      </c>
      <c r="X412" s="289">
        <f t="shared" ca="1" si="88"/>
        <v>0</v>
      </c>
      <c r="Y412" s="289">
        <f t="shared" ca="1" si="88"/>
        <v>0</v>
      </c>
      <c r="Z412" s="292">
        <f t="shared" ca="1" si="88"/>
        <v>0</v>
      </c>
    </row>
    <row r="413" spans="2:26">
      <c r="B413" s="282" t="s">
        <v>18</v>
      </c>
      <c r="C413" s="278">
        <f t="shared" ca="1" si="89"/>
        <v>0</v>
      </c>
      <c r="D413" s="278">
        <f t="shared" ca="1" si="89"/>
        <v>0</v>
      </c>
      <c r="E413" s="278">
        <f t="shared" ca="1" si="89"/>
        <v>0</v>
      </c>
      <c r="F413" s="278">
        <f t="shared" ca="1" si="89"/>
        <v>0</v>
      </c>
      <c r="G413" s="278">
        <f t="shared" ca="1" si="89"/>
        <v>0</v>
      </c>
      <c r="H413" s="278">
        <f t="shared" ca="1" si="89"/>
        <v>0</v>
      </c>
      <c r="I413" s="278">
        <f t="shared" ca="1" si="89"/>
        <v>0</v>
      </c>
      <c r="J413" s="278">
        <f t="shared" ca="1" si="89"/>
        <v>0</v>
      </c>
      <c r="K413" s="278">
        <f t="shared" ca="1" si="89"/>
        <v>0</v>
      </c>
      <c r="L413" s="278">
        <f t="shared" ca="1" si="89"/>
        <v>0</v>
      </c>
      <c r="M413" s="279" t="s">
        <v>6</v>
      </c>
      <c r="O413" s="282" t="s">
        <v>18</v>
      </c>
      <c r="P413" s="289">
        <f t="shared" ca="1" si="90"/>
        <v>0</v>
      </c>
      <c r="Q413" s="289">
        <f t="shared" ca="1" si="87"/>
        <v>0</v>
      </c>
      <c r="R413" s="289">
        <f t="shared" ca="1" si="87"/>
        <v>0</v>
      </c>
      <c r="S413" s="289">
        <f t="shared" ca="1" si="87"/>
        <v>0</v>
      </c>
      <c r="T413" s="289">
        <f t="shared" ca="1" si="87"/>
        <v>0</v>
      </c>
      <c r="U413" s="295" t="s">
        <v>6</v>
      </c>
      <c r="V413" s="289">
        <f t="shared" ca="1" si="88"/>
        <v>0</v>
      </c>
      <c r="W413" s="289">
        <f t="shared" ca="1" si="88"/>
        <v>0</v>
      </c>
      <c r="X413" s="289">
        <f t="shared" ca="1" si="88"/>
        <v>0</v>
      </c>
      <c r="Y413" s="289">
        <f t="shared" ca="1" si="88"/>
        <v>0</v>
      </c>
      <c r="Z413" s="292">
        <f t="shared" ca="1" si="88"/>
        <v>0</v>
      </c>
    </row>
    <row r="414" spans="2:26">
      <c r="B414" s="282" t="s">
        <v>17</v>
      </c>
      <c r="C414" s="278">
        <f t="shared" ca="1" si="89"/>
        <v>0</v>
      </c>
      <c r="D414" s="278">
        <f t="shared" ca="1" si="89"/>
        <v>0</v>
      </c>
      <c r="E414" s="278">
        <f t="shared" ca="1" si="89"/>
        <v>0</v>
      </c>
      <c r="F414" s="278">
        <f t="shared" ca="1" si="89"/>
        <v>0</v>
      </c>
      <c r="G414" s="278">
        <f t="shared" ca="1" si="89"/>
        <v>0</v>
      </c>
      <c r="H414" s="278">
        <f t="shared" ca="1" si="89"/>
        <v>0</v>
      </c>
      <c r="I414" s="278">
        <f t="shared" ca="1" si="89"/>
        <v>0</v>
      </c>
      <c r="J414" s="278">
        <f t="shared" ca="1" si="89"/>
        <v>0</v>
      </c>
      <c r="K414" s="278">
        <f t="shared" ca="1" si="89"/>
        <v>0</v>
      </c>
      <c r="L414" s="278">
        <f t="shared" ca="1" si="89"/>
        <v>0</v>
      </c>
      <c r="M414" s="279" t="s">
        <v>6</v>
      </c>
      <c r="O414" s="282" t="s">
        <v>17</v>
      </c>
      <c r="P414" s="289">
        <f t="shared" ca="1" si="90"/>
        <v>0</v>
      </c>
      <c r="Q414" s="289">
        <f t="shared" ca="1" si="87"/>
        <v>0</v>
      </c>
      <c r="R414" s="289">
        <f t="shared" ca="1" si="87"/>
        <v>0</v>
      </c>
      <c r="S414" s="289">
        <f t="shared" ca="1" si="87"/>
        <v>0</v>
      </c>
      <c r="T414" s="289">
        <f t="shared" ca="1" si="87"/>
        <v>0</v>
      </c>
      <c r="U414" s="295" t="s">
        <v>6</v>
      </c>
      <c r="V414" s="289">
        <f t="shared" ca="1" si="88"/>
        <v>0</v>
      </c>
      <c r="W414" s="289">
        <f t="shared" ca="1" si="88"/>
        <v>0</v>
      </c>
      <c r="X414" s="289">
        <f t="shared" ca="1" si="88"/>
        <v>0</v>
      </c>
      <c r="Y414" s="289">
        <f t="shared" ca="1" si="88"/>
        <v>0</v>
      </c>
      <c r="Z414" s="292">
        <f t="shared" ca="1" si="88"/>
        <v>0</v>
      </c>
    </row>
    <row r="415" spans="2:26">
      <c r="B415" s="282" t="s">
        <v>16</v>
      </c>
      <c r="C415" s="278">
        <f t="shared" ca="1" si="89"/>
        <v>0</v>
      </c>
      <c r="D415" s="278">
        <f t="shared" ca="1" si="89"/>
        <v>0</v>
      </c>
      <c r="E415" s="278">
        <f t="shared" ca="1" si="89"/>
        <v>0</v>
      </c>
      <c r="F415" s="278">
        <f t="shared" ca="1" si="89"/>
        <v>0</v>
      </c>
      <c r="G415" s="278">
        <f t="shared" ca="1" si="89"/>
        <v>0</v>
      </c>
      <c r="H415" s="278">
        <f t="shared" ca="1" si="89"/>
        <v>0</v>
      </c>
      <c r="I415" s="278">
        <f t="shared" ca="1" si="89"/>
        <v>0</v>
      </c>
      <c r="J415" s="278">
        <f t="shared" ca="1" si="89"/>
        <v>0</v>
      </c>
      <c r="K415" s="278">
        <f t="shared" ca="1" si="89"/>
        <v>0</v>
      </c>
      <c r="L415" s="278">
        <f t="shared" ca="1" si="89"/>
        <v>0</v>
      </c>
      <c r="M415" s="279" t="s">
        <v>6</v>
      </c>
      <c r="O415" s="282" t="s">
        <v>16</v>
      </c>
      <c r="P415" s="289">
        <f t="shared" ca="1" si="90"/>
        <v>0</v>
      </c>
      <c r="Q415" s="289">
        <f t="shared" ca="1" si="87"/>
        <v>0</v>
      </c>
      <c r="R415" s="289">
        <f t="shared" ca="1" si="87"/>
        <v>0</v>
      </c>
      <c r="S415" s="289">
        <f t="shared" ca="1" si="87"/>
        <v>0</v>
      </c>
      <c r="T415" s="289">
        <f t="shared" ca="1" si="87"/>
        <v>0</v>
      </c>
      <c r="U415" s="295" t="s">
        <v>6</v>
      </c>
      <c r="V415" s="289">
        <f t="shared" ca="1" si="88"/>
        <v>0</v>
      </c>
      <c r="W415" s="289">
        <f t="shared" ca="1" si="88"/>
        <v>0</v>
      </c>
      <c r="X415" s="289">
        <f t="shared" ca="1" si="88"/>
        <v>0</v>
      </c>
      <c r="Y415" s="289">
        <f t="shared" ca="1" si="88"/>
        <v>0</v>
      </c>
      <c r="Z415" s="292">
        <f t="shared" ca="1" si="88"/>
        <v>0</v>
      </c>
    </row>
    <row r="416" spans="2:26">
      <c r="B416" s="282" t="s">
        <v>15</v>
      </c>
      <c r="C416" s="278">
        <f t="shared" ca="1" si="89"/>
        <v>0</v>
      </c>
      <c r="D416" s="278">
        <f t="shared" ca="1" si="89"/>
        <v>0</v>
      </c>
      <c r="E416" s="278">
        <f t="shared" ca="1" si="89"/>
        <v>0</v>
      </c>
      <c r="F416" s="278">
        <f t="shared" ca="1" si="89"/>
        <v>0</v>
      </c>
      <c r="G416" s="278">
        <f t="shared" ca="1" si="89"/>
        <v>0</v>
      </c>
      <c r="H416" s="278">
        <f t="shared" ca="1" si="89"/>
        <v>0</v>
      </c>
      <c r="I416" s="278">
        <f t="shared" ca="1" si="89"/>
        <v>0</v>
      </c>
      <c r="J416" s="278">
        <f t="shared" ca="1" si="89"/>
        <v>0</v>
      </c>
      <c r="K416" s="278">
        <f t="shared" ca="1" si="89"/>
        <v>0</v>
      </c>
      <c r="L416" s="278">
        <f t="shared" ca="1" si="89"/>
        <v>0</v>
      </c>
      <c r="M416" s="279" t="s">
        <v>6</v>
      </c>
      <c r="O416" s="282" t="s">
        <v>15</v>
      </c>
      <c r="P416" s="295" t="s">
        <v>6</v>
      </c>
      <c r="Q416" s="295" t="s">
        <v>6</v>
      </c>
      <c r="R416" s="295" t="s">
        <v>6</v>
      </c>
      <c r="S416" s="295" t="s">
        <v>6</v>
      </c>
      <c r="T416" s="295" t="s">
        <v>6</v>
      </c>
      <c r="U416" s="295" t="s">
        <v>6</v>
      </c>
      <c r="V416" s="295" t="s">
        <v>6</v>
      </c>
      <c r="W416" s="295" t="s">
        <v>6</v>
      </c>
      <c r="X416" s="295" t="s">
        <v>6</v>
      </c>
      <c r="Y416" s="295" t="s">
        <v>6</v>
      </c>
      <c r="Z416" s="291" t="s">
        <v>6</v>
      </c>
    </row>
    <row r="417" spans="2:26">
      <c r="B417" s="282"/>
      <c r="C417" s="278"/>
      <c r="D417" s="278"/>
      <c r="E417" s="278"/>
      <c r="F417" s="278"/>
      <c r="G417" s="278"/>
      <c r="H417" s="278"/>
      <c r="I417" s="278"/>
      <c r="J417" s="278"/>
      <c r="K417" s="278"/>
      <c r="L417" s="278"/>
      <c r="M417" s="279"/>
      <c r="O417" s="282"/>
      <c r="P417" s="289"/>
      <c r="Q417" s="289"/>
      <c r="R417" s="289"/>
      <c r="S417" s="289"/>
      <c r="T417" s="289"/>
      <c r="U417" s="295"/>
      <c r="V417" s="289"/>
      <c r="W417" s="289"/>
      <c r="X417" s="289"/>
      <c r="Y417" s="289"/>
      <c r="Z417" s="292"/>
    </row>
    <row r="418" spans="2:26">
      <c r="B418" s="282"/>
      <c r="C418" s="278"/>
      <c r="D418" s="278"/>
      <c r="E418" s="278"/>
      <c r="F418" s="278"/>
      <c r="G418" s="278"/>
      <c r="H418" s="278"/>
      <c r="I418" s="278"/>
      <c r="J418" s="278"/>
      <c r="K418" s="278"/>
      <c r="L418" s="278"/>
      <c r="M418" s="279"/>
      <c r="O418" s="282"/>
      <c r="P418" s="289"/>
      <c r="Q418" s="289"/>
      <c r="R418" s="289"/>
      <c r="S418" s="289"/>
      <c r="T418" s="289"/>
      <c r="U418" s="295"/>
      <c r="V418" s="289"/>
      <c r="W418" s="289"/>
      <c r="X418" s="289"/>
      <c r="Y418" s="289"/>
      <c r="Z418" s="292"/>
    </row>
    <row r="419" spans="2:26">
      <c r="B419" s="282"/>
      <c r="C419" s="278"/>
      <c r="D419" s="278"/>
      <c r="E419" s="278"/>
      <c r="F419" s="278"/>
      <c r="G419" s="278"/>
      <c r="H419" s="278"/>
      <c r="I419" s="278"/>
      <c r="J419" s="278"/>
      <c r="K419" s="278"/>
      <c r="L419" s="278"/>
      <c r="M419" s="279"/>
      <c r="O419" s="282"/>
      <c r="P419" s="289"/>
      <c r="Q419" s="289"/>
      <c r="R419" s="289"/>
      <c r="S419" s="289"/>
      <c r="T419" s="289"/>
      <c r="U419" s="295"/>
      <c r="V419" s="289"/>
      <c r="W419" s="289"/>
      <c r="X419" s="289"/>
      <c r="Y419" s="289"/>
      <c r="Z419" s="292"/>
    </row>
    <row r="420" spans="2:26">
      <c r="B420" s="283"/>
      <c r="C420" s="280"/>
      <c r="D420" s="280"/>
      <c r="E420" s="280"/>
      <c r="F420" s="280"/>
      <c r="G420" s="280"/>
      <c r="H420" s="280"/>
      <c r="I420" s="280"/>
      <c r="J420" s="280"/>
      <c r="K420" s="280"/>
      <c r="L420" s="280"/>
      <c r="M420" s="281"/>
      <c r="O420" s="283"/>
      <c r="P420" s="293"/>
      <c r="Q420" s="293"/>
      <c r="R420" s="293"/>
      <c r="S420" s="293"/>
      <c r="T420" s="293"/>
      <c r="U420" s="296"/>
      <c r="V420" s="293"/>
      <c r="W420" s="293"/>
      <c r="X420" s="293"/>
      <c r="Y420" s="293"/>
      <c r="Z420" s="29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C04A6"/>
  </sheetPr>
  <dimension ref="A2:R24"/>
  <sheetViews>
    <sheetView showGridLines="0" workbookViewId="0"/>
  </sheetViews>
  <sheetFormatPr defaultRowHeight="15"/>
  <sheetData>
    <row r="2" spans="1:18" ht="21">
      <c r="B2" s="300" t="s">
        <v>524</v>
      </c>
      <c r="C2" s="300"/>
      <c r="H2" s="299" t="s">
        <v>2</v>
      </c>
      <c r="I2" s="299"/>
      <c r="J2" s="224"/>
      <c r="K2" s="299" t="s">
        <v>190</v>
      </c>
      <c r="L2" s="299"/>
      <c r="M2" s="224"/>
      <c r="N2" s="299" t="s">
        <v>199</v>
      </c>
      <c r="O2" s="299"/>
      <c r="P2" s="224"/>
      <c r="Q2" s="299" t="s">
        <v>200</v>
      </c>
      <c r="R2" s="299"/>
    </row>
    <row r="4" spans="1:18">
      <c r="B4" t="s">
        <v>537</v>
      </c>
      <c r="H4" s="224" t="s">
        <v>511</v>
      </c>
      <c r="I4" s="224" t="s">
        <v>512</v>
      </c>
      <c r="J4" s="224"/>
      <c r="K4" s="224" t="s">
        <v>511</v>
      </c>
      <c r="L4" s="224" t="s">
        <v>512</v>
      </c>
      <c r="M4" s="224"/>
      <c r="N4" s="224" t="s">
        <v>511</v>
      </c>
      <c r="O4" s="224" t="s">
        <v>512</v>
      </c>
      <c r="P4" s="224"/>
      <c r="Q4" s="224" t="s">
        <v>511</v>
      </c>
      <c r="R4" s="224" t="s">
        <v>512</v>
      </c>
    </row>
    <row r="5" spans="1:18">
      <c r="H5" s="224"/>
      <c r="I5" s="224"/>
      <c r="J5" s="224"/>
      <c r="K5" s="224"/>
      <c r="L5" s="224"/>
      <c r="M5" s="224"/>
      <c r="N5" s="224"/>
      <c r="O5" s="224"/>
      <c r="P5" s="224"/>
      <c r="Q5" s="224"/>
      <c r="R5" s="224"/>
    </row>
    <row r="6" spans="1:18">
      <c r="A6">
        <v>1</v>
      </c>
      <c r="B6" s="290" t="s">
        <v>520</v>
      </c>
      <c r="H6" s="224"/>
      <c r="I6" s="224"/>
      <c r="J6" s="224"/>
      <c r="K6" s="224"/>
      <c r="L6" s="224"/>
      <c r="M6" s="224"/>
      <c r="N6" s="224"/>
      <c r="O6" s="224"/>
      <c r="P6" s="224"/>
      <c r="Q6" s="224"/>
      <c r="R6" s="224"/>
    </row>
    <row r="7" spans="1:18">
      <c r="B7" s="284" t="s">
        <v>538</v>
      </c>
      <c r="H7" s="252">
        <f ca="1">'EUR Snapshots'!$E$5</f>
        <v>0</v>
      </c>
      <c r="I7" s="297" t="str">
        <f ca="1">IF(H7=0,"PASS","FAIL")</f>
        <v>PASS</v>
      </c>
      <c r="J7" s="224"/>
      <c r="K7" s="252">
        <f ca="1">'USD Snapshots'!$E$5</f>
        <v>0</v>
      </c>
      <c r="L7" s="297" t="str">
        <f ca="1">IF(K7=0,"PASS","FAIL")</f>
        <v>PASS</v>
      </c>
      <c r="M7" s="224"/>
      <c r="N7" s="252">
        <f ca="1">'GBP Snapshots'!$E$5</f>
        <v>0</v>
      </c>
      <c r="O7" s="297" t="str">
        <f ca="1">IF(N7=0,"PASS","FAIL")</f>
        <v>PASS</v>
      </c>
      <c r="P7" s="224"/>
      <c r="Q7" s="252">
        <f ca="1">'JPY SnapShots'!$E$5</f>
        <v>0</v>
      </c>
      <c r="R7" s="297" t="str">
        <f ca="1">IF(Q7=0,"PASS","FAIL")</f>
        <v>PASS</v>
      </c>
    </row>
    <row r="8" spans="1:18">
      <c r="B8" s="284" t="s">
        <v>539</v>
      </c>
      <c r="H8" s="252">
        <f ca="1">'EUR Snapshots'!$E$32</f>
        <v>0</v>
      </c>
      <c r="I8" s="297" t="str">
        <f ca="1">IF(H8=0,"PASS","FAIL")</f>
        <v>PASS</v>
      </c>
      <c r="J8" s="224"/>
      <c r="K8" s="252">
        <f ca="1">'USD Snapshots'!$E$32</f>
        <v>0</v>
      </c>
      <c r="L8" s="297" t="str">
        <f ca="1">IF(K8=0,"PASS","FAIL")</f>
        <v>PASS</v>
      </c>
      <c r="M8" s="224"/>
      <c r="N8" s="252">
        <f ca="1">'GBP Snapshots'!$E$32</f>
        <v>0</v>
      </c>
      <c r="O8" s="297" t="str">
        <f ca="1">IF(N8=0,"PASS","FAIL")</f>
        <v>PASS</v>
      </c>
      <c r="P8" s="224"/>
      <c r="Q8" s="252">
        <f ca="1">'JPY SnapShots'!$E$32</f>
        <v>0</v>
      </c>
      <c r="R8" s="297" t="str">
        <f ca="1">IF(Q8=0,"PASS","FAIL")</f>
        <v>PASS</v>
      </c>
    </row>
    <row r="9" spans="1:18">
      <c r="B9" s="284"/>
      <c r="H9" s="252"/>
      <c r="I9" s="252"/>
      <c r="J9" s="252"/>
      <c r="K9" s="252"/>
      <c r="L9" s="252"/>
      <c r="M9" s="252"/>
      <c r="N9" s="252"/>
      <c r="O9" s="252"/>
      <c r="P9" s="252"/>
      <c r="Q9" s="252"/>
      <c r="R9" s="252"/>
    </row>
    <row r="10" spans="1:18">
      <c r="A10">
        <v>2</v>
      </c>
      <c r="B10" s="290" t="s">
        <v>522</v>
      </c>
      <c r="H10" s="252"/>
      <c r="I10" s="252"/>
      <c r="J10" s="252"/>
      <c r="K10" s="252"/>
      <c r="L10" s="252"/>
      <c r="M10" s="252"/>
      <c r="N10" s="252"/>
      <c r="O10" s="252"/>
      <c r="P10" s="252"/>
      <c r="Q10" s="252"/>
      <c r="R10" s="252"/>
    </row>
    <row r="11" spans="1:18">
      <c r="B11" s="284" t="s">
        <v>538</v>
      </c>
      <c r="H11" s="252">
        <f ca="1">'EUR Snapshots'!$E$59</f>
        <v>0</v>
      </c>
      <c r="I11" s="297" t="str">
        <f ca="1">IF(H11=0,"PASS","FAIL")</f>
        <v>PASS</v>
      </c>
      <c r="J11" s="224"/>
      <c r="K11" s="252">
        <f ca="1">'USD Snapshots'!$E$59</f>
        <v>0</v>
      </c>
      <c r="L11" s="297" t="str">
        <f ca="1">IF(K11=0,"PASS","FAIL")</f>
        <v>PASS</v>
      </c>
      <c r="M11" s="224"/>
      <c r="N11" s="252">
        <f ca="1">'GBP Snapshots'!$E$59</f>
        <v>0</v>
      </c>
      <c r="O11" s="297" t="str">
        <f ca="1">IF(N11=0,"PASS","FAIL")</f>
        <v>PASS</v>
      </c>
      <c r="P11" s="224"/>
      <c r="Q11" s="252">
        <f ca="1">'JPY SnapShots'!$E$59</f>
        <v>0</v>
      </c>
      <c r="R11" s="297" t="str">
        <f ca="1">IF(Q11=0,"PASS","FAIL")</f>
        <v>PASS</v>
      </c>
    </row>
    <row r="12" spans="1:18">
      <c r="B12" s="284" t="s">
        <v>539</v>
      </c>
      <c r="H12" s="252">
        <f ca="1">'EUR Snapshots'!$E$86</f>
        <v>0</v>
      </c>
      <c r="I12" s="297" t="str">
        <f ca="1">IF(H12=0,"PASS","FAIL")</f>
        <v>PASS</v>
      </c>
      <c r="J12" s="224"/>
      <c r="K12" s="252">
        <f ca="1">'USD Snapshots'!$E$86</f>
        <v>0</v>
      </c>
      <c r="L12" s="297" t="str">
        <f ca="1">IF(K12=0,"PASS","FAIL")</f>
        <v>PASS</v>
      </c>
      <c r="M12" s="224"/>
      <c r="N12" s="252">
        <f ca="1">'GBP Snapshots'!$E$86</f>
        <v>0</v>
      </c>
      <c r="O12" s="297" t="str">
        <f ca="1">IF(N12=0,"PASS","FAIL")</f>
        <v>PASS</v>
      </c>
      <c r="P12" s="224"/>
      <c r="Q12" s="252">
        <f ca="1">'JPY SnapShots'!$E$86</f>
        <v>0</v>
      </c>
      <c r="R12" s="297" t="str">
        <f ca="1">IF(Q12=0,"PASS","FAIL")</f>
        <v>PASS</v>
      </c>
    </row>
    <row r="13" spans="1:18">
      <c r="B13" s="284"/>
      <c r="H13" s="252"/>
      <c r="I13" s="252"/>
      <c r="J13" s="252"/>
      <c r="K13" s="252"/>
      <c r="L13" s="252"/>
      <c r="M13" s="252"/>
      <c r="N13" s="252"/>
      <c r="O13" s="252"/>
      <c r="P13" s="252"/>
      <c r="Q13" s="252"/>
      <c r="R13" s="252"/>
    </row>
    <row r="14" spans="1:18">
      <c r="A14">
        <v>3</v>
      </c>
      <c r="B14" s="290" t="s">
        <v>521</v>
      </c>
      <c r="H14" s="252"/>
      <c r="I14" s="252"/>
      <c r="J14" s="252"/>
      <c r="K14" s="252"/>
      <c r="L14" s="252"/>
      <c r="M14" s="252"/>
      <c r="N14" s="252"/>
      <c r="O14" s="252"/>
      <c r="P14" s="252"/>
      <c r="Q14" s="252"/>
      <c r="R14" s="252"/>
    </row>
    <row r="15" spans="1:18">
      <c r="B15" s="284" t="s">
        <v>538</v>
      </c>
      <c r="H15" s="252">
        <f ca="1">'EUR Snapshots'!$E$113</f>
        <v>0</v>
      </c>
      <c r="I15" s="297" t="str">
        <f t="shared" ref="I15:I20" ca="1" si="0">IF(H15=0,"PASS","FAIL")</f>
        <v>PASS</v>
      </c>
      <c r="J15" s="224"/>
      <c r="K15" s="252">
        <f ca="1">'USD Snapshots'!$E$113</f>
        <v>0</v>
      </c>
      <c r="L15" s="297" t="str">
        <f t="shared" ref="L15:L20" ca="1" si="1">IF(K15=0,"PASS","FAIL")</f>
        <v>PASS</v>
      </c>
      <c r="M15" s="224"/>
      <c r="N15" s="252">
        <f ca="1">'GBP Snapshots'!$E$113</f>
        <v>0</v>
      </c>
      <c r="O15" s="297" t="str">
        <f t="shared" ref="O15:O20" ca="1" si="2">IF(N15=0,"PASS","FAIL")</f>
        <v>PASS</v>
      </c>
      <c r="P15" s="224"/>
      <c r="Q15" s="252">
        <f ca="1">'JPY SnapShots'!$E$113</f>
        <v>0</v>
      </c>
      <c r="R15" s="297" t="str">
        <f t="shared" ref="R15:R20" ca="1" si="3">IF(Q15=0,"PASS","FAIL")</f>
        <v>PASS</v>
      </c>
    </row>
    <row r="16" spans="1:18">
      <c r="B16" s="284" t="s">
        <v>539</v>
      </c>
      <c r="H16" s="252">
        <f ca="1">'EUR Snapshots'!$E$140</f>
        <v>0</v>
      </c>
      <c r="I16" s="297" t="str">
        <f t="shared" ca="1" si="0"/>
        <v>PASS</v>
      </c>
      <c r="J16" s="224"/>
      <c r="K16" s="252">
        <f ca="1">'USD Snapshots'!$E$140</f>
        <v>0</v>
      </c>
      <c r="L16" s="297" t="str">
        <f t="shared" ca="1" si="1"/>
        <v>PASS</v>
      </c>
      <c r="M16" s="224"/>
      <c r="N16" s="252">
        <f ca="1">'GBP Snapshots'!$E$140</f>
        <v>0</v>
      </c>
      <c r="O16" s="297" t="str">
        <f t="shared" ca="1" si="2"/>
        <v>PASS</v>
      </c>
      <c r="P16" s="224"/>
      <c r="Q16" s="252">
        <f ca="1">'JPY SnapShots'!$E$140</f>
        <v>0</v>
      </c>
      <c r="R16" s="297" t="str">
        <f t="shared" ca="1" si="3"/>
        <v>PASS</v>
      </c>
    </row>
    <row r="17" spans="1:18">
      <c r="B17" s="259"/>
      <c r="H17" s="252"/>
      <c r="I17" s="252"/>
      <c r="J17" s="252"/>
      <c r="K17" s="252"/>
      <c r="L17" s="252"/>
      <c r="M17" s="252"/>
      <c r="N17" s="252"/>
      <c r="O17" s="252"/>
      <c r="P17" s="252"/>
      <c r="Q17" s="252"/>
      <c r="R17" s="252"/>
    </row>
    <row r="18" spans="1:18">
      <c r="A18">
        <v>4</v>
      </c>
      <c r="B18" s="290" t="s">
        <v>523</v>
      </c>
      <c r="H18" s="252"/>
      <c r="I18" s="252"/>
      <c r="J18" s="252"/>
      <c r="K18" s="252"/>
      <c r="L18" s="252"/>
      <c r="M18" s="252"/>
      <c r="N18" s="252"/>
      <c r="O18" s="252"/>
      <c r="P18" s="252"/>
      <c r="Q18" s="252"/>
      <c r="R18" s="252"/>
    </row>
    <row r="19" spans="1:18">
      <c r="B19" s="284" t="s">
        <v>538</v>
      </c>
      <c r="H19" s="252">
        <f ca="1">'EUR Snapshots'!$E$167</f>
        <v>0</v>
      </c>
      <c r="I19" s="297" t="str">
        <f t="shared" ca="1" si="0"/>
        <v>PASS</v>
      </c>
      <c r="J19" s="224"/>
      <c r="K19" s="252">
        <f ca="1">'USD Snapshots'!$E$167</f>
        <v>0</v>
      </c>
      <c r="L19" s="297" t="str">
        <f t="shared" ca="1" si="1"/>
        <v>PASS</v>
      </c>
      <c r="M19" s="224"/>
      <c r="N19" s="252">
        <f ca="1">'GBP Snapshots'!$E$167</f>
        <v>0</v>
      </c>
      <c r="O19" s="297" t="str">
        <f t="shared" ca="1" si="2"/>
        <v>PASS</v>
      </c>
      <c r="P19" s="224"/>
      <c r="Q19" s="252">
        <f ca="1">'JPY SnapShots'!$E$167</f>
        <v>0</v>
      </c>
      <c r="R19" s="297" t="str">
        <f t="shared" ca="1" si="3"/>
        <v>PASS</v>
      </c>
    </row>
    <row r="20" spans="1:18">
      <c r="B20" s="284" t="s">
        <v>539</v>
      </c>
      <c r="H20" s="252">
        <f ca="1">'EUR Snapshots'!$E$194</f>
        <v>0</v>
      </c>
      <c r="I20" s="297" t="str">
        <f t="shared" ca="1" si="0"/>
        <v>PASS</v>
      </c>
      <c r="J20" s="224"/>
      <c r="K20" s="252">
        <f ca="1">'USD Snapshots'!$E$194</f>
        <v>0</v>
      </c>
      <c r="L20" s="297" t="str">
        <f t="shared" ca="1" si="1"/>
        <v>PASS</v>
      </c>
      <c r="M20" s="224"/>
      <c r="N20" s="252">
        <f ca="1">'GBP Snapshots'!$E$194</f>
        <v>0</v>
      </c>
      <c r="O20" s="297" t="str">
        <f t="shared" ca="1" si="2"/>
        <v>PASS</v>
      </c>
      <c r="P20" s="224"/>
      <c r="Q20" s="252">
        <f ca="1">'JPY SnapShots'!$E$194</f>
        <v>0</v>
      </c>
      <c r="R20" s="297" t="str">
        <f t="shared" ca="1" si="3"/>
        <v>PASS</v>
      </c>
    </row>
    <row r="21" spans="1:18">
      <c r="B21" s="259"/>
      <c r="H21" s="252"/>
      <c r="I21" s="252"/>
      <c r="J21" s="252"/>
      <c r="K21" s="252"/>
      <c r="L21" s="252"/>
      <c r="M21" s="252"/>
      <c r="N21" s="252"/>
      <c r="O21" s="252"/>
      <c r="P21" s="252"/>
      <c r="Q21" s="252"/>
      <c r="R21" s="252"/>
    </row>
    <row r="23" spans="1:18">
      <c r="H23" s="11" t="s">
        <v>451</v>
      </c>
      <c r="K23" s="11" t="s">
        <v>451</v>
      </c>
      <c r="N23" s="11" t="s">
        <v>451</v>
      </c>
      <c r="Q23" s="11" t="s">
        <v>451</v>
      </c>
    </row>
    <row r="24" spans="1:18">
      <c r="H24" s="252">
        <f ca="1">H7+H8+H11+H12+H15+H16+H19+H20</f>
        <v>0</v>
      </c>
      <c r="K24" s="252">
        <f ca="1">K7+K8+K11+K12+K15+K16+K19+K20</f>
        <v>0</v>
      </c>
      <c r="N24" s="252">
        <f ca="1">N7+N8+N11+N12+N15+N16+N19+N20</f>
        <v>0</v>
      </c>
      <c r="Q24" s="252">
        <f ca="1">Q7+Q8+Q11+Q12+Q15+Q16+Q19+Q20</f>
        <v>0</v>
      </c>
    </row>
  </sheetData>
  <mergeCells count="5">
    <mergeCell ref="B2:C2"/>
    <mergeCell ref="H2:I2"/>
    <mergeCell ref="K2:L2"/>
    <mergeCell ref="N2:O2"/>
    <mergeCell ref="Q2:R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C04A6"/>
  </sheetPr>
  <dimension ref="A2:R42"/>
  <sheetViews>
    <sheetView showGridLines="0" topLeftCell="A8" workbookViewId="0">
      <selection activeCell="I25" sqref="I25"/>
    </sheetView>
  </sheetViews>
  <sheetFormatPr defaultRowHeight="15"/>
  <sheetData>
    <row r="2" spans="1:18" ht="21">
      <c r="B2" s="300" t="s">
        <v>524</v>
      </c>
      <c r="C2" s="300"/>
      <c r="H2" s="299" t="s">
        <v>2</v>
      </c>
      <c r="I2" s="299"/>
      <c r="J2" s="224"/>
      <c r="K2" s="299" t="s">
        <v>190</v>
      </c>
      <c r="L2" s="299"/>
      <c r="M2" s="224"/>
      <c r="N2" s="299" t="s">
        <v>199</v>
      </c>
      <c r="O2" s="299"/>
      <c r="P2" s="224"/>
      <c r="Q2" s="299" t="s">
        <v>200</v>
      </c>
      <c r="R2" s="299"/>
    </row>
    <row r="4" spans="1:18">
      <c r="B4" t="s">
        <v>516</v>
      </c>
      <c r="H4" s="224" t="s">
        <v>511</v>
      </c>
      <c r="I4" s="224" t="s">
        <v>512</v>
      </c>
      <c r="J4" s="224"/>
      <c r="K4" s="224" t="s">
        <v>511</v>
      </c>
      <c r="L4" s="224" t="s">
        <v>512</v>
      </c>
      <c r="M4" s="224"/>
      <c r="N4" s="224" t="s">
        <v>511</v>
      </c>
      <c r="O4" s="224" t="s">
        <v>512</v>
      </c>
      <c r="P4" s="224"/>
      <c r="Q4" s="224" t="s">
        <v>511</v>
      </c>
      <c r="R4" s="224" t="s">
        <v>512</v>
      </c>
    </row>
    <row r="5" spans="1:18">
      <c r="H5" s="224"/>
      <c r="I5" s="224"/>
      <c r="J5" s="224"/>
      <c r="K5" s="224"/>
      <c r="L5" s="224"/>
      <c r="M5" s="224"/>
      <c r="N5" s="224"/>
      <c r="O5" s="224"/>
      <c r="P5" s="224"/>
      <c r="Q5" s="224"/>
      <c r="R5" s="224"/>
    </row>
    <row r="6" spans="1:18">
      <c r="A6">
        <v>1</v>
      </c>
      <c r="B6" s="284" t="s">
        <v>475</v>
      </c>
      <c r="H6" s="224">
        <f ca="1">'EUR Price Tests'!$C$5</f>
        <v>0</v>
      </c>
      <c r="I6" s="297" t="str">
        <f ca="1">IF(H6=0,"PASS","FAIL")</f>
        <v>PASS</v>
      </c>
      <c r="J6" s="224"/>
      <c r="K6" s="224">
        <f ca="1">'USD Price Tests'!$C$5</f>
        <v>0</v>
      </c>
      <c r="L6" s="297" t="str">
        <f ca="1">IF(K6=0,"PASS","FAIL")</f>
        <v>PASS</v>
      </c>
      <c r="M6" s="224"/>
      <c r="N6" s="224">
        <f ca="1">'GBP Price Tests'!$C$5</f>
        <v>0</v>
      </c>
      <c r="O6" s="297" t="str">
        <f ca="1">IF(N6=0,"PASS","FAIL")</f>
        <v>PASS</v>
      </c>
      <c r="P6" s="224"/>
      <c r="Q6" s="224">
        <f ca="1">'JPY Price Tests'!$C$5</f>
        <v>0</v>
      </c>
      <c r="R6" s="297" t="str">
        <f ca="1">IF(Q6=0,"PASS","FAIL")</f>
        <v>PASS</v>
      </c>
    </row>
    <row r="7" spans="1:18">
      <c r="B7" s="284"/>
      <c r="H7" s="224"/>
      <c r="I7" s="224"/>
      <c r="J7" s="224"/>
      <c r="K7" s="224"/>
      <c r="L7" s="224"/>
      <c r="M7" s="224"/>
      <c r="N7" s="224"/>
      <c r="O7" s="224"/>
      <c r="P7" s="224"/>
      <c r="Q7" s="224"/>
      <c r="R7" s="224"/>
    </row>
    <row r="8" spans="1:18">
      <c r="A8">
        <v>2</v>
      </c>
      <c r="B8" s="290" t="s">
        <v>520</v>
      </c>
      <c r="H8" s="224"/>
      <c r="I8" s="224"/>
      <c r="J8" s="224"/>
      <c r="K8" s="224"/>
      <c r="L8" s="224"/>
      <c r="M8" s="224"/>
      <c r="N8" s="224"/>
      <c r="O8" s="224"/>
      <c r="P8" s="224"/>
      <c r="Q8" s="224"/>
      <c r="R8" s="224"/>
    </row>
    <row r="9" spans="1:18">
      <c r="B9" s="284" t="s">
        <v>517</v>
      </c>
      <c r="H9" s="252">
        <f ca="1">'EUR Price Tests'!$C$33</f>
        <v>0</v>
      </c>
      <c r="I9" s="297" t="str">
        <f ca="1">IF(H9=0,"PASS","FAIL")</f>
        <v>PASS</v>
      </c>
      <c r="J9" s="224"/>
      <c r="K9" s="252">
        <f ca="1">'USD Price Tests'!$C$33</f>
        <v>0</v>
      </c>
      <c r="L9" s="297" t="str">
        <f ca="1">IF(K9=0,"PASS","FAIL")</f>
        <v>PASS</v>
      </c>
      <c r="M9" s="224"/>
      <c r="N9" s="252">
        <f ca="1">'GBP Price Tests'!$C$33</f>
        <v>0</v>
      </c>
      <c r="O9" s="297" t="str">
        <f ca="1">IF(N9=0,"PASS","FAIL")</f>
        <v>PASS</v>
      </c>
      <c r="P9" s="224"/>
      <c r="Q9" s="252">
        <f ca="1">'JPY Price Tests'!$C$33</f>
        <v>0</v>
      </c>
      <c r="R9" s="297" t="str">
        <f ca="1">IF(Q9=0,"PASS","FAIL")</f>
        <v>PASS</v>
      </c>
    </row>
    <row r="10" spans="1:18">
      <c r="B10" s="284" t="s">
        <v>518</v>
      </c>
      <c r="H10" s="252">
        <f ca="1">'EUR Price Tests'!$H$33</f>
        <v>0</v>
      </c>
      <c r="I10" s="297" t="str">
        <f ca="1">IF(H10=0,"PASS","FAIL")</f>
        <v>PASS</v>
      </c>
      <c r="J10" s="224"/>
      <c r="K10" s="252">
        <f ca="1">'USD Price Tests'!$H$33</f>
        <v>0</v>
      </c>
      <c r="L10" s="297" t="str">
        <f ca="1">IF(K10=0,"PASS","FAIL")</f>
        <v>PASS</v>
      </c>
      <c r="M10" s="224"/>
      <c r="N10" s="252">
        <f ca="1">'GBP Price Tests'!$H$33</f>
        <v>0</v>
      </c>
      <c r="O10" s="297" t="str">
        <f ca="1">IF(N10=0,"PASS","FAIL")</f>
        <v>PASS</v>
      </c>
      <c r="P10" s="224"/>
      <c r="Q10" s="252">
        <f ca="1">'JPY Price Tests'!$H$33</f>
        <v>0</v>
      </c>
      <c r="R10" s="297" t="str">
        <f ca="1">IF(Q10=0,"PASS","FAIL")</f>
        <v>PASS</v>
      </c>
    </row>
    <row r="11" spans="1:18">
      <c r="B11" s="284"/>
      <c r="H11" s="252"/>
      <c r="I11" s="252"/>
      <c r="J11" s="252"/>
      <c r="K11" s="252"/>
      <c r="L11" s="252"/>
      <c r="M11" s="252"/>
      <c r="N11" s="252"/>
      <c r="O11" s="252"/>
      <c r="P11" s="252"/>
      <c r="Q11" s="252"/>
      <c r="R11" s="252"/>
    </row>
    <row r="12" spans="1:18">
      <c r="A12">
        <v>3</v>
      </c>
      <c r="B12" s="290" t="s">
        <v>520</v>
      </c>
      <c r="H12" s="252"/>
      <c r="I12" s="252"/>
      <c r="J12" s="252"/>
      <c r="K12" s="252"/>
      <c r="L12" s="252"/>
      <c r="M12" s="252"/>
      <c r="N12" s="252"/>
      <c r="O12" s="252"/>
      <c r="P12" s="252"/>
      <c r="Q12" s="252"/>
      <c r="R12" s="252"/>
    </row>
    <row r="13" spans="1:18">
      <c r="B13" s="259" t="s">
        <v>519</v>
      </c>
      <c r="H13" s="252">
        <f ca="1">'EUR Price Tests'!$C$82</f>
        <v>0</v>
      </c>
      <c r="I13" s="297" t="str">
        <f ca="1">IF(H13=0,"PASS","FAIL")</f>
        <v>PASS</v>
      </c>
      <c r="J13" s="224"/>
      <c r="K13" s="252">
        <f ca="1">'USD Price Tests'!$C$82</f>
        <v>0</v>
      </c>
      <c r="L13" s="297" t="str">
        <f ca="1">IF(K13=0,"PASS","FAIL")</f>
        <v>PASS</v>
      </c>
      <c r="M13" s="224"/>
      <c r="N13" s="252">
        <f ca="1">'GBP Price Tests'!$C$82</f>
        <v>0</v>
      </c>
      <c r="O13" s="297" t="str">
        <f ca="1">IF(N13=0,"PASS","FAIL")</f>
        <v>PASS</v>
      </c>
      <c r="P13" s="224"/>
      <c r="Q13" s="252">
        <f ca="1">'JPY Price Tests'!$C$82</f>
        <v>0</v>
      </c>
      <c r="R13" s="297" t="str">
        <f ca="1">IF(Q13=0,"PASS","FAIL")</f>
        <v>PASS</v>
      </c>
    </row>
    <row r="14" spans="1:18">
      <c r="B14" s="284" t="s">
        <v>518</v>
      </c>
      <c r="H14" s="252">
        <f ca="1">'EUR Price Tests'!$H$82</f>
        <v>0</v>
      </c>
      <c r="I14" s="297" t="str">
        <f ca="1">IF(H14=0,"PASS","FAIL")</f>
        <v>PASS</v>
      </c>
      <c r="J14" s="224"/>
      <c r="K14" s="252">
        <f ca="1">'USD Price Tests'!$H$82</f>
        <v>0</v>
      </c>
      <c r="L14" s="297" t="str">
        <f ca="1">IF(K14=0,"PASS","FAIL")</f>
        <v>PASS</v>
      </c>
      <c r="M14" s="224"/>
      <c r="N14" s="252">
        <f ca="1">'GBP Price Tests'!$H$82</f>
        <v>0</v>
      </c>
      <c r="O14" s="297" t="str">
        <f ca="1">IF(N14=0,"PASS","FAIL")</f>
        <v>PASS</v>
      </c>
      <c r="P14" s="224"/>
      <c r="Q14" s="252">
        <f ca="1">'JPY Price Tests'!$H$82</f>
        <v>0</v>
      </c>
      <c r="R14" s="297" t="str">
        <f ca="1">IF(Q14=0,"PASS","FAIL")</f>
        <v>PASS</v>
      </c>
    </row>
    <row r="15" spans="1:18">
      <c r="B15" s="284"/>
      <c r="H15" s="252"/>
      <c r="I15" s="252"/>
      <c r="J15" s="252"/>
      <c r="K15" s="252"/>
      <c r="L15" s="252"/>
      <c r="M15" s="252"/>
      <c r="N15" s="252"/>
      <c r="O15" s="252"/>
      <c r="P15" s="252"/>
      <c r="Q15" s="252"/>
      <c r="R15" s="252"/>
    </row>
    <row r="16" spans="1:18">
      <c r="A16">
        <v>4</v>
      </c>
      <c r="B16" s="290" t="s">
        <v>522</v>
      </c>
      <c r="H16" s="252"/>
      <c r="I16" s="252"/>
      <c r="J16" s="252"/>
      <c r="K16" s="252"/>
      <c r="L16" s="252"/>
      <c r="M16" s="252"/>
      <c r="N16" s="252"/>
      <c r="O16" s="252"/>
      <c r="P16" s="252"/>
      <c r="Q16" s="252"/>
      <c r="R16" s="252"/>
    </row>
    <row r="17" spans="1:18">
      <c r="B17" s="284" t="s">
        <v>517</v>
      </c>
      <c r="H17" s="252">
        <f ca="1">'EUR Price Tests'!$C$131</f>
        <v>0</v>
      </c>
      <c r="I17" s="297" t="str">
        <f t="shared" ref="I17:I38" ca="1" si="0">IF(H17=0,"PASS","FAIL")</f>
        <v>PASS</v>
      </c>
      <c r="J17" s="224"/>
      <c r="K17" s="252">
        <f ca="1">'USD Price Tests'!$C$131</f>
        <v>0</v>
      </c>
      <c r="L17" s="297" t="str">
        <f t="shared" ref="L17:L38" ca="1" si="1">IF(K17=0,"PASS","FAIL")</f>
        <v>PASS</v>
      </c>
      <c r="M17" s="224"/>
      <c r="N17" s="252">
        <f ca="1">'GBP Price Tests'!$C$131</f>
        <v>0</v>
      </c>
      <c r="O17" s="297" t="str">
        <f t="shared" ref="O17:O38" ca="1" si="2">IF(N17=0,"PASS","FAIL")</f>
        <v>PASS</v>
      </c>
      <c r="P17" s="224"/>
      <c r="Q17" s="252">
        <f ca="1">'JPY Price Tests'!$C$131</f>
        <v>0</v>
      </c>
      <c r="R17" s="297" t="str">
        <f t="shared" ref="R17:R38" ca="1" si="3">IF(Q17=0,"PASS","FAIL")</f>
        <v>PASS</v>
      </c>
    </row>
    <row r="18" spans="1:18">
      <c r="B18" s="284" t="s">
        <v>518</v>
      </c>
      <c r="H18" s="252">
        <f ca="1">'EUR Price Tests'!$H$131</f>
        <v>0</v>
      </c>
      <c r="I18" s="297" t="str">
        <f t="shared" ca="1" si="0"/>
        <v>PASS</v>
      </c>
      <c r="J18" s="224"/>
      <c r="K18" s="252">
        <f ca="1">'USD Price Tests'!$H$131</f>
        <v>0</v>
      </c>
      <c r="L18" s="297" t="str">
        <f t="shared" ca="1" si="1"/>
        <v>PASS</v>
      </c>
      <c r="M18" s="224"/>
      <c r="N18" s="252">
        <f ca="1">'GBP Price Tests'!$H$131</f>
        <v>0</v>
      </c>
      <c r="O18" s="297" t="str">
        <f t="shared" ca="1" si="2"/>
        <v>PASS</v>
      </c>
      <c r="P18" s="224"/>
      <c r="Q18" s="252">
        <f ca="1">'JPY Price Tests'!$H$131</f>
        <v>0</v>
      </c>
      <c r="R18" s="297" t="str">
        <f t="shared" ca="1" si="3"/>
        <v>PASS</v>
      </c>
    </row>
    <row r="19" spans="1:18">
      <c r="B19" s="284"/>
      <c r="H19" s="252"/>
      <c r="I19" s="252"/>
      <c r="J19" s="252"/>
      <c r="K19" s="252"/>
      <c r="L19" s="252"/>
      <c r="M19" s="252"/>
      <c r="N19" s="252"/>
      <c r="O19" s="252"/>
      <c r="P19" s="252"/>
      <c r="Q19" s="252"/>
      <c r="R19" s="252"/>
    </row>
    <row r="20" spans="1:18">
      <c r="A20">
        <v>5</v>
      </c>
      <c r="B20" s="290" t="s">
        <v>522</v>
      </c>
      <c r="H20" s="252"/>
      <c r="I20" s="252"/>
      <c r="J20" s="252"/>
      <c r="K20" s="252"/>
      <c r="L20" s="252"/>
      <c r="M20" s="252"/>
      <c r="N20" s="252"/>
      <c r="O20" s="252"/>
      <c r="P20" s="252"/>
      <c r="Q20" s="252"/>
      <c r="R20" s="252"/>
    </row>
    <row r="21" spans="1:18">
      <c r="B21" s="259" t="s">
        <v>519</v>
      </c>
      <c r="H21" s="252">
        <f ca="1">'EUR Price Tests'!$C$180</f>
        <v>0</v>
      </c>
      <c r="I21" s="297" t="str">
        <f t="shared" ca="1" si="0"/>
        <v>PASS</v>
      </c>
      <c r="J21" s="224"/>
      <c r="K21" s="252">
        <f ca="1">'USD Price Tests'!$C$180</f>
        <v>0</v>
      </c>
      <c r="L21" s="297" t="str">
        <f t="shared" ca="1" si="1"/>
        <v>PASS</v>
      </c>
      <c r="M21" s="224"/>
      <c r="N21" s="252">
        <f ca="1">'GBP Price Tests'!$C$180</f>
        <v>0</v>
      </c>
      <c r="O21" s="297" t="str">
        <f t="shared" ca="1" si="2"/>
        <v>PASS</v>
      </c>
      <c r="P21" s="224"/>
      <c r="Q21" s="252">
        <f ca="1">'JPY Price Tests'!$C$180</f>
        <v>0</v>
      </c>
      <c r="R21" s="297" t="str">
        <f t="shared" ca="1" si="3"/>
        <v>PASS</v>
      </c>
    </row>
    <row r="22" spans="1:18">
      <c r="B22" s="284" t="s">
        <v>518</v>
      </c>
      <c r="H22" s="252">
        <f ca="1">'EUR Price Tests'!$H$180</f>
        <v>0</v>
      </c>
      <c r="I22" s="297" t="str">
        <f t="shared" ca="1" si="0"/>
        <v>PASS</v>
      </c>
      <c r="J22" s="224"/>
      <c r="K22" s="252">
        <f ca="1">'USD Price Tests'!$H$180</f>
        <v>0</v>
      </c>
      <c r="L22" s="297" t="str">
        <f t="shared" ca="1" si="1"/>
        <v>PASS</v>
      </c>
      <c r="M22" s="224"/>
      <c r="N22" s="252">
        <f ca="1">'GBP Price Tests'!$H$180</f>
        <v>0</v>
      </c>
      <c r="O22" s="297" t="str">
        <f t="shared" ca="1" si="2"/>
        <v>PASS</v>
      </c>
      <c r="P22" s="224"/>
      <c r="Q22" s="252">
        <f ca="1">'JPY Price Tests'!$H$180</f>
        <v>0</v>
      </c>
      <c r="R22" s="297" t="str">
        <f t="shared" ca="1" si="3"/>
        <v>PASS</v>
      </c>
    </row>
    <row r="23" spans="1:18">
      <c r="B23" s="284"/>
      <c r="H23" s="252"/>
      <c r="I23" s="252"/>
      <c r="J23" s="252"/>
      <c r="K23" s="252"/>
      <c r="L23" s="252"/>
      <c r="M23" s="252"/>
      <c r="N23" s="252"/>
      <c r="O23" s="252"/>
      <c r="P23" s="252"/>
      <c r="Q23" s="252"/>
      <c r="R23" s="252"/>
    </row>
    <row r="24" spans="1:18">
      <c r="A24">
        <v>6</v>
      </c>
      <c r="B24" s="290" t="s">
        <v>521</v>
      </c>
      <c r="H24" s="252"/>
      <c r="I24" s="252"/>
      <c r="J24" s="252"/>
      <c r="K24" s="252"/>
      <c r="L24" s="252"/>
      <c r="M24" s="252"/>
      <c r="N24" s="252"/>
      <c r="O24" s="252"/>
      <c r="P24" s="252"/>
      <c r="Q24" s="252"/>
      <c r="R24" s="252"/>
    </row>
    <row r="25" spans="1:18">
      <c r="B25" s="259" t="s">
        <v>515</v>
      </c>
      <c r="H25" s="252">
        <f ca="1">'EUR Price Tests'!$C$229</f>
        <v>0</v>
      </c>
      <c r="I25" s="297" t="str">
        <f t="shared" ca="1" si="0"/>
        <v>PASS</v>
      </c>
      <c r="J25" s="224"/>
      <c r="K25" s="252">
        <f ca="1">'USD Price Tests'!$C$229</f>
        <v>0</v>
      </c>
      <c r="L25" s="297" t="str">
        <f t="shared" ca="1" si="1"/>
        <v>PASS</v>
      </c>
      <c r="M25" s="224"/>
      <c r="N25" s="252">
        <f ca="1">'GBP Price Tests'!$C$229</f>
        <v>0</v>
      </c>
      <c r="O25" s="297" t="str">
        <f t="shared" ca="1" si="2"/>
        <v>PASS</v>
      </c>
      <c r="P25" s="224"/>
      <c r="Q25" s="252">
        <f ca="1">'JPY Price Tests'!$C$229</f>
        <v>0</v>
      </c>
      <c r="R25" s="297" t="str">
        <f t="shared" ca="1" si="3"/>
        <v>PASS</v>
      </c>
    </row>
    <row r="26" spans="1:18">
      <c r="B26" s="259" t="s">
        <v>513</v>
      </c>
      <c r="H26" s="252">
        <f ca="1">'EUR Price Tests'!$H$229</f>
        <v>0</v>
      </c>
      <c r="I26" s="297" t="str">
        <f t="shared" ca="1" si="0"/>
        <v>PASS</v>
      </c>
      <c r="J26" s="224"/>
      <c r="K26" s="252">
        <f ca="1">'USD Price Tests'!$H$229</f>
        <v>0</v>
      </c>
      <c r="L26" s="297" t="str">
        <f t="shared" ca="1" si="1"/>
        <v>PASS</v>
      </c>
      <c r="M26" s="224"/>
      <c r="N26" s="252">
        <f ca="1">'GBP Price Tests'!$H$229</f>
        <v>0</v>
      </c>
      <c r="O26" s="297" t="str">
        <f t="shared" ca="1" si="2"/>
        <v>PASS</v>
      </c>
      <c r="P26" s="224"/>
      <c r="Q26" s="252">
        <f ca="1">'JPY Price Tests'!$H$229</f>
        <v>0</v>
      </c>
      <c r="R26" s="297" t="str">
        <f t="shared" ca="1" si="3"/>
        <v>PASS</v>
      </c>
    </row>
    <row r="27" spans="1:18">
      <c r="B27" s="259"/>
      <c r="H27" s="252"/>
      <c r="I27" s="252"/>
      <c r="J27" s="252"/>
      <c r="K27" s="252"/>
      <c r="L27" s="252"/>
      <c r="M27" s="252"/>
      <c r="N27" s="252"/>
      <c r="O27" s="252"/>
      <c r="P27" s="252"/>
      <c r="Q27" s="252"/>
      <c r="R27" s="252"/>
    </row>
    <row r="28" spans="1:18">
      <c r="A28">
        <v>7</v>
      </c>
      <c r="B28" s="290" t="s">
        <v>521</v>
      </c>
      <c r="H28" s="252"/>
      <c r="I28" s="252"/>
      <c r="J28" s="252"/>
      <c r="K28" s="252"/>
      <c r="L28" s="252"/>
      <c r="M28" s="252"/>
      <c r="N28" s="252"/>
      <c r="O28" s="252"/>
      <c r="P28" s="252"/>
      <c r="Q28" s="252"/>
      <c r="R28" s="252"/>
    </row>
    <row r="29" spans="1:18">
      <c r="B29" s="259" t="s">
        <v>514</v>
      </c>
      <c r="H29" s="252">
        <f ca="1">'EUR Price Tests'!$C$278</f>
        <v>0</v>
      </c>
      <c r="I29" s="297" t="str">
        <f t="shared" ca="1" si="0"/>
        <v>PASS</v>
      </c>
      <c r="J29" s="224"/>
      <c r="K29" s="252">
        <f ca="1">'USD Price Tests'!$C$278</f>
        <v>0</v>
      </c>
      <c r="L29" s="297" t="str">
        <f t="shared" ca="1" si="1"/>
        <v>PASS</v>
      </c>
      <c r="M29" s="224"/>
      <c r="N29" s="252">
        <f ca="1">'GBP Price Tests'!$C$278</f>
        <v>0</v>
      </c>
      <c r="O29" s="297" t="str">
        <f t="shared" ca="1" si="2"/>
        <v>PASS</v>
      </c>
      <c r="P29" s="224"/>
      <c r="Q29" s="252">
        <f ca="1">'JPY Price Tests'!$C$278</f>
        <v>0</v>
      </c>
      <c r="R29" s="297" t="str">
        <f t="shared" ca="1" si="3"/>
        <v>PASS</v>
      </c>
    </row>
    <row r="30" spans="1:18">
      <c r="B30" s="259" t="s">
        <v>513</v>
      </c>
      <c r="H30" s="252">
        <f ca="1">'EUR Price Tests'!$H$278</f>
        <v>0</v>
      </c>
      <c r="I30" s="297" t="str">
        <f t="shared" ca="1" si="0"/>
        <v>PASS</v>
      </c>
      <c r="J30" s="224"/>
      <c r="K30" s="252">
        <f ca="1">'USD Price Tests'!$H$278</f>
        <v>0</v>
      </c>
      <c r="L30" s="297" t="str">
        <f t="shared" ca="1" si="1"/>
        <v>PASS</v>
      </c>
      <c r="M30" s="224"/>
      <c r="N30" s="252">
        <f ca="1">'GBP Price Tests'!$H$278</f>
        <v>0</v>
      </c>
      <c r="O30" s="297" t="str">
        <f t="shared" ca="1" si="2"/>
        <v>PASS</v>
      </c>
      <c r="P30" s="224"/>
      <c r="Q30" s="252">
        <f ca="1">'JPY Price Tests'!$H$278</f>
        <v>0</v>
      </c>
      <c r="R30" s="297" t="str">
        <f t="shared" ca="1" si="3"/>
        <v>PASS</v>
      </c>
    </row>
    <row r="31" spans="1:18">
      <c r="B31" s="259"/>
      <c r="H31" s="252"/>
      <c r="I31" s="252"/>
      <c r="J31" s="252"/>
      <c r="K31" s="252"/>
      <c r="L31" s="252"/>
      <c r="M31" s="252"/>
      <c r="N31" s="252"/>
      <c r="O31" s="252"/>
      <c r="P31" s="252"/>
      <c r="Q31" s="252"/>
      <c r="R31" s="252"/>
    </row>
    <row r="32" spans="1:18">
      <c r="A32">
        <v>8</v>
      </c>
      <c r="B32" s="290" t="s">
        <v>523</v>
      </c>
      <c r="H32" s="252"/>
      <c r="I32" s="252"/>
      <c r="J32" s="252"/>
      <c r="K32" s="252"/>
      <c r="L32" s="252"/>
      <c r="M32" s="252"/>
      <c r="N32" s="252"/>
      <c r="O32" s="252"/>
      <c r="P32" s="252"/>
      <c r="Q32" s="252"/>
      <c r="R32" s="252"/>
    </row>
    <row r="33" spans="1:18">
      <c r="B33" s="259" t="s">
        <v>515</v>
      </c>
      <c r="H33" s="252">
        <f ca="1">'EUR Price Tests'!$C$327</f>
        <v>0</v>
      </c>
      <c r="I33" s="297" t="str">
        <f t="shared" ca="1" si="0"/>
        <v>PASS</v>
      </c>
      <c r="J33" s="224"/>
      <c r="K33" s="252">
        <f ca="1">'USD Price Tests'!$C$327</f>
        <v>0</v>
      </c>
      <c r="L33" s="297" t="str">
        <f t="shared" ca="1" si="1"/>
        <v>PASS</v>
      </c>
      <c r="M33" s="224"/>
      <c r="N33" s="252">
        <f ca="1">'GBP Price Tests'!$C$327</f>
        <v>0</v>
      </c>
      <c r="O33" s="297" t="str">
        <f t="shared" ca="1" si="2"/>
        <v>PASS</v>
      </c>
      <c r="P33" s="224"/>
      <c r="Q33" s="252">
        <f ca="1">'JPY Price Tests'!$C$327</f>
        <v>0</v>
      </c>
      <c r="R33" s="297" t="str">
        <f t="shared" ca="1" si="3"/>
        <v>PASS</v>
      </c>
    </row>
    <row r="34" spans="1:18">
      <c r="B34" s="259" t="s">
        <v>513</v>
      </c>
      <c r="H34" s="252">
        <f ca="1">'EUR Price Tests'!$H$327</f>
        <v>0</v>
      </c>
      <c r="I34" s="297" t="str">
        <f t="shared" ca="1" si="0"/>
        <v>PASS</v>
      </c>
      <c r="J34" s="224"/>
      <c r="K34" s="252">
        <f ca="1">'USD Price Tests'!$H$327</f>
        <v>0</v>
      </c>
      <c r="L34" s="297" t="str">
        <f t="shared" ca="1" si="1"/>
        <v>PASS</v>
      </c>
      <c r="M34" s="224"/>
      <c r="N34" s="252">
        <f ca="1">'GBP Price Tests'!$H$327</f>
        <v>0</v>
      </c>
      <c r="O34" s="297" t="str">
        <f t="shared" ca="1" si="2"/>
        <v>PASS</v>
      </c>
      <c r="P34" s="224"/>
      <c r="Q34" s="252">
        <f ca="1">'JPY Price Tests'!$H$327</f>
        <v>0</v>
      </c>
      <c r="R34" s="297" t="str">
        <f t="shared" ca="1" si="3"/>
        <v>PASS</v>
      </c>
    </row>
    <row r="35" spans="1:18">
      <c r="B35" s="259"/>
      <c r="H35" s="252"/>
      <c r="I35" s="252"/>
      <c r="J35" s="252"/>
      <c r="K35" s="252"/>
      <c r="L35" s="252"/>
      <c r="M35" s="252"/>
      <c r="N35" s="252"/>
      <c r="O35" s="252"/>
      <c r="P35" s="252"/>
      <c r="Q35" s="252"/>
      <c r="R35" s="252"/>
    </row>
    <row r="36" spans="1:18">
      <c r="A36">
        <v>9</v>
      </c>
      <c r="B36" s="290" t="s">
        <v>523</v>
      </c>
      <c r="H36" s="252"/>
      <c r="I36" s="252"/>
      <c r="J36" s="252"/>
      <c r="K36" s="252"/>
      <c r="L36" s="252"/>
      <c r="M36" s="252"/>
      <c r="N36" s="252"/>
      <c r="O36" s="252"/>
      <c r="P36" s="252"/>
      <c r="Q36" s="252"/>
      <c r="R36" s="252"/>
    </row>
    <row r="37" spans="1:18">
      <c r="B37" s="259" t="s">
        <v>482</v>
      </c>
      <c r="H37" s="252">
        <f ca="1">'EUR Price Tests'!$C$376</f>
        <v>0</v>
      </c>
      <c r="I37" s="297" t="str">
        <f t="shared" ca="1" si="0"/>
        <v>PASS</v>
      </c>
      <c r="J37" s="224"/>
      <c r="K37" s="252">
        <f ca="1">'USD Price Tests'!$C$376</f>
        <v>0</v>
      </c>
      <c r="L37" s="297" t="str">
        <f t="shared" ca="1" si="1"/>
        <v>PASS</v>
      </c>
      <c r="M37" s="224"/>
      <c r="N37" s="252">
        <f ca="1">'GBP Price Tests'!$C$376</f>
        <v>0</v>
      </c>
      <c r="O37" s="297" t="str">
        <f t="shared" ca="1" si="2"/>
        <v>PASS</v>
      </c>
      <c r="P37" s="224"/>
      <c r="Q37" s="252">
        <f ca="1">'JPY Price Tests'!$C$376</f>
        <v>0</v>
      </c>
      <c r="R37" s="297" t="str">
        <f t="shared" ca="1" si="3"/>
        <v>PASS</v>
      </c>
    </row>
    <row r="38" spans="1:18">
      <c r="B38" s="259" t="s">
        <v>513</v>
      </c>
      <c r="H38" s="252">
        <f ca="1">'EUR Price Tests'!$H$376</f>
        <v>0</v>
      </c>
      <c r="I38" s="297" t="str">
        <f t="shared" ca="1" si="0"/>
        <v>PASS</v>
      </c>
      <c r="J38" s="224"/>
      <c r="K38" s="252">
        <f ca="1">'USD Price Tests'!$H$376</f>
        <v>0</v>
      </c>
      <c r="L38" s="297" t="str">
        <f t="shared" ca="1" si="1"/>
        <v>PASS</v>
      </c>
      <c r="M38" s="224"/>
      <c r="N38" s="252">
        <f ca="1">'GBP Price Tests'!$H$376</f>
        <v>0</v>
      </c>
      <c r="O38" s="297" t="str">
        <f t="shared" ca="1" si="2"/>
        <v>PASS</v>
      </c>
      <c r="P38" s="224"/>
      <c r="Q38" s="252">
        <f ca="1">'JPY Price Tests'!$H$376</f>
        <v>0</v>
      </c>
      <c r="R38" s="297" t="str">
        <f t="shared" ca="1" si="3"/>
        <v>PASS</v>
      </c>
    </row>
    <row r="41" spans="1:18">
      <c r="H41" s="11" t="s">
        <v>451</v>
      </c>
      <c r="K41" s="11" t="s">
        <v>451</v>
      </c>
      <c r="N41" s="11" t="s">
        <v>451</v>
      </c>
      <c r="Q41" s="11" t="s">
        <v>451</v>
      </c>
    </row>
    <row r="42" spans="1:18">
      <c r="H42" s="224">
        <f ca="1">SUM(H6:H38)</f>
        <v>0</v>
      </c>
      <c r="K42" s="224">
        <f ca="1">SUM(K6:K38)</f>
        <v>0</v>
      </c>
      <c r="N42" s="224">
        <f ca="1">SUM(N6:N38)</f>
        <v>0</v>
      </c>
      <c r="Q42" s="224">
        <f ca="1">SUM(Q6:Q38)</f>
        <v>0</v>
      </c>
    </row>
  </sheetData>
  <mergeCells count="5">
    <mergeCell ref="H2:I2"/>
    <mergeCell ref="K2:L2"/>
    <mergeCell ref="N2:O2"/>
    <mergeCell ref="Q2:R2"/>
    <mergeCell ref="B2:C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C04A6"/>
  </sheetPr>
  <dimension ref="B2:R16"/>
  <sheetViews>
    <sheetView showGridLines="0" workbookViewId="0"/>
  </sheetViews>
  <sheetFormatPr defaultRowHeight="15"/>
  <sheetData>
    <row r="2" spans="2:18" ht="21">
      <c r="B2" s="300" t="s">
        <v>525</v>
      </c>
      <c r="C2" s="300"/>
      <c r="D2" s="301"/>
      <c r="H2" s="299" t="s">
        <v>2</v>
      </c>
      <c r="I2" s="299"/>
      <c r="J2" s="224"/>
      <c r="K2" s="299" t="s">
        <v>190</v>
      </c>
      <c r="L2" s="299"/>
      <c r="M2" s="224"/>
      <c r="N2" s="299" t="s">
        <v>199</v>
      </c>
      <c r="O2" s="299"/>
      <c r="P2" s="224"/>
      <c r="Q2" s="299" t="s">
        <v>200</v>
      </c>
      <c r="R2" s="299"/>
    </row>
    <row r="4" spans="2:18">
      <c r="B4" t="s">
        <v>516</v>
      </c>
      <c r="H4" s="224" t="s">
        <v>511</v>
      </c>
      <c r="I4" s="224" t="s">
        <v>512</v>
      </c>
      <c r="J4" s="224"/>
      <c r="K4" s="224" t="s">
        <v>511</v>
      </c>
      <c r="L4" s="224" t="s">
        <v>512</v>
      </c>
      <c r="M4" s="224"/>
      <c r="N4" s="224" t="s">
        <v>511</v>
      </c>
      <c r="O4" s="224" t="s">
        <v>512</v>
      </c>
      <c r="P4" s="224"/>
      <c r="Q4" s="224" t="s">
        <v>511</v>
      </c>
      <c r="R4" s="224" t="s">
        <v>512</v>
      </c>
    </row>
    <row r="5" spans="2:18">
      <c r="H5" s="224"/>
      <c r="I5" s="224"/>
      <c r="J5" s="224"/>
      <c r="K5" s="224"/>
      <c r="L5" s="224"/>
      <c r="M5" s="224"/>
      <c r="N5" s="224"/>
      <c r="O5" s="224"/>
      <c r="P5" s="224"/>
      <c r="Q5" s="224"/>
      <c r="R5" s="224"/>
    </row>
    <row r="6" spans="2:18">
      <c r="B6" s="259" t="s">
        <v>540</v>
      </c>
      <c r="H6" s="252">
        <f ca="1">'Snapshot Summary'!H24</f>
        <v>0</v>
      </c>
      <c r="I6" s="297" t="str">
        <f t="shared" ref="I6:I8" ca="1" si="0">IF(H6=0,"PASS","FAIL")</f>
        <v>PASS</v>
      </c>
      <c r="J6" s="224"/>
      <c r="K6" s="252">
        <f ca="1">'Snapshot Summary'!K24</f>
        <v>0</v>
      </c>
      <c r="L6" s="297" t="str">
        <f t="shared" ref="L6:L8" ca="1" si="1">IF(K6=0,"PASS","FAIL")</f>
        <v>PASS</v>
      </c>
      <c r="M6" s="224"/>
      <c r="N6" s="252">
        <f ca="1">'Snapshot Summary'!N24</f>
        <v>0</v>
      </c>
      <c r="O6" s="297" t="str">
        <f t="shared" ref="O6:O8" ca="1" si="2">IF(N6=0,"PASS","FAIL")</f>
        <v>PASS</v>
      </c>
      <c r="P6" s="224"/>
      <c r="Q6" s="252">
        <f ca="1">'Snapshot Summary'!Q24</f>
        <v>0</v>
      </c>
      <c r="R6" s="297" t="str">
        <f t="shared" ref="R6:R8" ca="1" si="3">IF(Q6=0,"PASS","FAIL")</f>
        <v>PASS</v>
      </c>
    </row>
    <row r="7" spans="2:18">
      <c r="H7" s="224"/>
      <c r="I7" s="224"/>
      <c r="J7" s="224"/>
      <c r="K7" s="224"/>
      <c r="L7" s="224"/>
      <c r="M7" s="224"/>
      <c r="N7" s="224"/>
      <c r="O7" s="224"/>
      <c r="P7" s="224"/>
      <c r="Q7" s="224"/>
      <c r="R7" s="224"/>
    </row>
    <row r="8" spans="2:18">
      <c r="B8" s="259" t="s">
        <v>541</v>
      </c>
      <c r="H8" s="224">
        <f ca="1">'Price Test Summary'!H42</f>
        <v>0</v>
      </c>
      <c r="I8" s="297" t="str">
        <f t="shared" ca="1" si="0"/>
        <v>PASS</v>
      </c>
      <c r="J8" s="224"/>
      <c r="K8" s="252">
        <f ca="1">'Snapshot Summary'!K24</f>
        <v>0</v>
      </c>
      <c r="L8" s="297" t="str">
        <f t="shared" ca="1" si="1"/>
        <v>PASS</v>
      </c>
      <c r="M8" s="224"/>
      <c r="N8" s="224">
        <f ca="1">'Price Test Summary'!N42</f>
        <v>0</v>
      </c>
      <c r="O8" s="297" t="str">
        <f t="shared" ca="1" si="2"/>
        <v>PASS</v>
      </c>
      <c r="P8" s="224"/>
      <c r="Q8" s="224">
        <f ca="1">'Price Test Summary'!Q42</f>
        <v>0</v>
      </c>
      <c r="R8" s="297" t="str">
        <f t="shared" ca="1" si="3"/>
        <v>PASS</v>
      </c>
    </row>
    <row r="11" spans="2:18" ht="21">
      <c r="B11" s="300" t="s">
        <v>542</v>
      </c>
      <c r="C11" s="300"/>
      <c r="D11" s="301"/>
    </row>
    <row r="12" spans="2:18">
      <c r="B12" s="302" t="str">
        <f ca="1">IF(NOW(),IF(H6+H8+K6+K8+N6+N8+Q6+Q8=0,"PASS","FAIL"),"")</f>
        <v>PASS</v>
      </c>
      <c r="C12" s="303"/>
      <c r="D12" s="303"/>
      <c r="E12" s="303"/>
      <c r="F12" s="304"/>
    </row>
    <row r="13" spans="2:18">
      <c r="B13" s="305"/>
      <c r="C13" s="306"/>
      <c r="D13" s="306"/>
      <c r="E13" s="306"/>
      <c r="F13" s="307"/>
    </row>
    <row r="14" spans="2:18">
      <c r="B14" s="305"/>
      <c r="C14" s="306"/>
      <c r="D14" s="306"/>
      <c r="E14" s="306"/>
      <c r="F14" s="307"/>
    </row>
    <row r="15" spans="2:18">
      <c r="B15" s="305"/>
      <c r="C15" s="306"/>
      <c r="D15" s="306"/>
      <c r="E15" s="306"/>
      <c r="F15" s="307"/>
    </row>
    <row r="16" spans="2:18">
      <c r="B16" s="308"/>
      <c r="C16" s="309"/>
      <c r="D16" s="309"/>
      <c r="E16" s="309"/>
      <c r="F16" s="310"/>
    </row>
  </sheetData>
  <mergeCells count="7">
    <mergeCell ref="H2:I2"/>
    <mergeCell ref="K2:L2"/>
    <mergeCell ref="N2:O2"/>
    <mergeCell ref="Q2:R2"/>
    <mergeCell ref="B2:D2"/>
    <mergeCell ref="B11:D11"/>
    <mergeCell ref="B12:F16"/>
  </mergeCells>
  <conditionalFormatting sqref="B12">
    <cfRule type="expression" dxfId="0" priority="1">
      <formula>B12="PASS"</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327</vt:i4>
      </vt:variant>
    </vt:vector>
  </HeadingPairs>
  <TitlesOfParts>
    <vt:vector size="348" baseType="lpstr">
      <vt:lpstr>Settings</vt:lpstr>
      <vt:lpstr>EUR Curve Config</vt:lpstr>
      <vt:lpstr>USD Curve Config</vt:lpstr>
      <vt:lpstr>GBP Curve Config</vt:lpstr>
      <vt:lpstr>JPY Curve Config</vt:lpstr>
      <vt:lpstr>Multi-Curves</vt:lpstr>
      <vt:lpstr>EUR Swap PVs</vt:lpstr>
      <vt:lpstr>USD Swap PVs</vt:lpstr>
      <vt:lpstr>GBP Swap PVs</vt:lpstr>
      <vt:lpstr>JPY Swap PVs</vt:lpstr>
      <vt:lpstr>EUR Snapshots</vt:lpstr>
      <vt:lpstr>USD Snapshots</vt:lpstr>
      <vt:lpstr>GBP Snapshots</vt:lpstr>
      <vt:lpstr>JPY SnapShots</vt:lpstr>
      <vt:lpstr>EUR Price Tests</vt:lpstr>
      <vt:lpstr>USD Price Tests</vt:lpstr>
      <vt:lpstr>GBP Price Tests</vt:lpstr>
      <vt:lpstr>JPY Price Tests</vt:lpstr>
      <vt:lpstr>Snapshot Summary</vt:lpstr>
      <vt:lpstr>Price Test Summary</vt:lpstr>
      <vt:lpstr>Results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BumpSize</vt:lpstr>
      <vt:lpstr>BumpSwaps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PriceTolerance</vt:lpstr>
      <vt:lpstr>'Multi-Curves'!Print_Area</vt:lpstr>
      <vt:lpstr>Result</vt:lpstr>
      <vt:lpstr>SnapshotTolerance</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ToleranceVersusMarket</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2015-08-07T14:54:26Z</dcterms:modified>
</cp:coreProperties>
</file>