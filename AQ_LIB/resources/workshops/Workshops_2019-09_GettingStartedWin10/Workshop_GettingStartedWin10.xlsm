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X:\Secure\DIR_MLib_Analytics\Workshop\Workshops_2019-09_GettingStartedWin10\"/>
    </mc:Choice>
  </mc:AlternateContent>
  <bookViews>
    <workbookView xWindow="480" yWindow="135" windowWidth="19980" windowHeight="7020" tabRatio="716"/>
  </bookViews>
  <sheets>
    <sheet name="Settings" sheetId="1" r:id="rId1"/>
    <sheet name="Getting Started" sheetId="12" r:id="rId2"/>
    <sheet name="Developer Tools" sheetId="15" r:id="rId3"/>
    <sheet name="MLIB Ribbon" sheetId="14" r:id="rId4"/>
    <sheet name="Functions" sheetId="16" r:id="rId5"/>
    <sheet name="Conventions" sheetId="11" r:id="rId6"/>
    <sheet name="Dates" sheetId="7" r:id="rId7"/>
    <sheet name="SwapSchedule" sheetId="9" r:id="rId8"/>
    <sheet name="BondSchedule" sheetId="13" r:id="rId9"/>
    <sheet name="Utilities" sheetId="3" r:id="rId10"/>
    <sheet name="USD OIS" sheetId="41" r:id="rId11"/>
    <sheet name="USD3ML SWAP" sheetId="42" r:id="rId12"/>
    <sheet name="USD6ML BASIS" sheetId="43" r:id="rId13"/>
    <sheet name="ForwardRates" sheetId="36" r:id="rId14"/>
    <sheet name="DiscountFactors" sheetId="38" r:id="rId15"/>
    <sheet name="IRS" sheetId="44" r:id="rId16"/>
    <sheet name="Bespoke IRS" sheetId="45" r:id="rId17"/>
    <sheet name="Cashflows" sheetId="46" r:id="rId18"/>
    <sheet name="Risk" sheetId="47" r:id="rId19"/>
    <sheet name="USD Global Curve" sheetId="48" r:id="rId20"/>
    <sheet name="EUR Global Curve" sheetId="49" r:id="rId21"/>
    <sheet name="Eur Xccy Curve" sheetId="50" r:id="rId22"/>
    <sheet name="Xccy Pricing" sheetId="53" r:id="rId23"/>
    <sheet name="Xccy Bespoke Trade" sheetId="60" r:id="rId24"/>
  </sheets>
  <definedNames>
    <definedName name="isEURCurveLoaded">'EUR Global Curve'!$D$9</definedName>
    <definedName name="isUSDCurveLoaded">'USD Global Curve'!$D$9</definedName>
    <definedName name="Settings.COB">Settings!$C$4</definedName>
    <definedName name="USDCurve.AsOfDate">'USD Global Curve'!$I$9</definedName>
    <definedName name="Xccy.Deal.CurveCollection" localSheetId="22">'Xccy Pricing'!$V$45:$W$47</definedName>
    <definedName name="Xccy.Deal.Properties" localSheetId="22">'Xccy Pricing'!$V$39:$W$41</definedName>
    <definedName name="Xccy.Deal2" localSheetId="22">'Xccy Pricing'!$Z$6:$AB$35</definedName>
    <definedName name="Xccy.FXSpotRate">'Xccy Pricing'!$V$13</definedName>
    <definedName name="Xccy.Leg1Curve">'Xccy Pricing'!$V$11</definedName>
    <definedName name="Xccy.Leg2Curve">'Xccy Pricing'!$V$12</definedName>
    <definedName name="Xccy.ValuationSettings">'Xccy Pricing'!$U$11:$V$13</definedName>
  </definedNames>
  <calcPr calcId="162913" calcMode="manual" calcCompleted="0" calcOnSave="0"/>
</workbook>
</file>

<file path=xl/calcChain.xml><?xml version="1.0" encoding="utf-8"?>
<calcChain xmlns="http://schemas.openxmlformats.org/spreadsheetml/2006/main">
  <c r="C2" i="60" l="1"/>
  <c r="G5" i="60"/>
  <c r="H5" i="60"/>
  <c r="G6" i="60"/>
  <c r="H6" i="60"/>
  <c r="G7" i="60"/>
  <c r="H7" i="60"/>
  <c r="I7" i="60"/>
  <c r="C6" i="50"/>
  <c r="I9" i="49"/>
  <c r="R19" i="53"/>
  <c r="Q19" i="53"/>
  <c r="R18" i="53"/>
  <c r="Q18" i="53"/>
  <c r="R17" i="53"/>
  <c r="Q17" i="53"/>
  <c r="R16" i="53"/>
  <c r="Q16" i="53"/>
  <c r="R15" i="53"/>
  <c r="Q15" i="53"/>
  <c r="R14" i="53"/>
  <c r="Q14" i="53"/>
  <c r="R13" i="53"/>
  <c r="Q13" i="53"/>
  <c r="R12" i="53"/>
  <c r="Q12" i="53"/>
  <c r="R11" i="53"/>
  <c r="Q11" i="53"/>
  <c r="R10" i="53"/>
  <c r="Q10" i="53"/>
  <c r="R9" i="53"/>
  <c r="Q9" i="53"/>
  <c r="R8" i="53"/>
  <c r="Q8" i="53"/>
  <c r="R7" i="53"/>
  <c r="Q7" i="53"/>
  <c r="R6" i="53"/>
  <c r="Q6" i="53"/>
  <c r="R5" i="53"/>
  <c r="Q5" i="53"/>
  <c r="I30" i="49"/>
  <c r="I30" i="48"/>
  <c r="G10" i="60" a="1"/>
  <c r="B4" i="60" a="1"/>
  <c r="C5" i="53"/>
  <c r="B5" i="53"/>
  <c r="D5" i="53"/>
  <c r="O27" i="49"/>
  <c r="P27" i="49" s="1"/>
  <c r="C10" i="50"/>
  <c r="C20" i="50" a="1"/>
  <c r="P7" i="49"/>
  <c r="O27" i="48"/>
  <c r="I14" i="48"/>
  <c r="P27" i="48"/>
  <c r="Q7" i="49"/>
  <c r="N5" i="53"/>
  <c r="O5" i="53"/>
  <c r="V10" i="60" l="1"/>
  <c r="N11" i="60"/>
  <c r="V11" i="60"/>
  <c r="N12" i="60"/>
  <c r="V12" i="60"/>
  <c r="N13" i="60"/>
  <c r="V13" i="60"/>
  <c r="N14" i="60"/>
  <c r="V14" i="60"/>
  <c r="N15" i="60"/>
  <c r="V15" i="60"/>
  <c r="N16" i="60"/>
  <c r="V16" i="60"/>
  <c r="N17" i="60"/>
  <c r="V17" i="60"/>
  <c r="V18" i="60"/>
  <c r="N19" i="60"/>
  <c r="V19" i="60"/>
  <c r="V20" i="60"/>
  <c r="V21" i="60"/>
  <c r="V22" i="60"/>
  <c r="V23" i="60"/>
  <c r="V24" i="60"/>
  <c r="V25" i="60"/>
  <c r="N27" i="60"/>
  <c r="N28" i="60"/>
  <c r="G10" i="60"/>
  <c r="O10" i="60"/>
  <c r="G11" i="60"/>
  <c r="O11" i="60"/>
  <c r="G12" i="60"/>
  <c r="O12" i="60"/>
  <c r="G13" i="60"/>
  <c r="O13" i="60"/>
  <c r="G14" i="60"/>
  <c r="O14" i="60"/>
  <c r="G15" i="60"/>
  <c r="O15" i="60"/>
  <c r="G16" i="60"/>
  <c r="O16" i="60"/>
  <c r="G17" i="60"/>
  <c r="O17" i="60"/>
  <c r="G18" i="60"/>
  <c r="O18" i="60"/>
  <c r="G19" i="60"/>
  <c r="O19" i="60"/>
  <c r="G20" i="60"/>
  <c r="O20" i="60"/>
  <c r="G21" i="60"/>
  <c r="O21" i="60"/>
  <c r="G22" i="60"/>
  <c r="O22" i="60"/>
  <c r="H10" i="60"/>
  <c r="P10" i="60"/>
  <c r="H11" i="60"/>
  <c r="P11" i="60"/>
  <c r="H12" i="60"/>
  <c r="P12" i="60"/>
  <c r="H13" i="60"/>
  <c r="P13" i="60"/>
  <c r="H14" i="60"/>
  <c r="P14" i="60"/>
  <c r="H15" i="60"/>
  <c r="P15" i="60"/>
  <c r="H16" i="60"/>
  <c r="P16" i="60"/>
  <c r="H17" i="60"/>
  <c r="P17" i="60"/>
  <c r="H18" i="60"/>
  <c r="P18" i="60"/>
  <c r="H19" i="60"/>
  <c r="P19" i="60"/>
  <c r="H20" i="60"/>
  <c r="P20" i="60"/>
  <c r="H21" i="60"/>
  <c r="I10" i="60"/>
  <c r="Q10" i="60"/>
  <c r="I11" i="60"/>
  <c r="Q11" i="60"/>
  <c r="I12" i="60"/>
  <c r="Q12" i="60"/>
  <c r="I13" i="60"/>
  <c r="Q13" i="60"/>
  <c r="I14" i="60"/>
  <c r="Q14" i="60"/>
  <c r="I15" i="60"/>
  <c r="Q15" i="60"/>
  <c r="I16" i="60"/>
  <c r="Q16" i="60"/>
  <c r="I17" i="60"/>
  <c r="Q17" i="60"/>
  <c r="I18" i="60"/>
  <c r="Q18" i="60"/>
  <c r="I19" i="60"/>
  <c r="Q19" i="60"/>
  <c r="I20" i="60"/>
  <c r="Q20" i="60"/>
  <c r="I21" i="60"/>
  <c r="J10" i="60"/>
  <c r="R10" i="60"/>
  <c r="J11" i="60"/>
  <c r="R11" i="60"/>
  <c r="J12" i="60"/>
  <c r="R12" i="60"/>
  <c r="J13" i="60"/>
  <c r="R13" i="60"/>
  <c r="J14" i="60"/>
  <c r="R14" i="60"/>
  <c r="J15" i="60"/>
  <c r="R15" i="60"/>
  <c r="J16" i="60"/>
  <c r="R16" i="60"/>
  <c r="J17" i="60"/>
  <c r="R17" i="60"/>
  <c r="J18" i="60"/>
  <c r="R18" i="60"/>
  <c r="J19" i="60"/>
  <c r="R19" i="60"/>
  <c r="J20" i="60"/>
  <c r="R20" i="60"/>
  <c r="J21" i="60"/>
  <c r="R21" i="60"/>
  <c r="J22" i="60"/>
  <c r="R22" i="60"/>
  <c r="J23" i="60"/>
  <c r="R23" i="60"/>
  <c r="J24" i="60"/>
  <c r="R24" i="60"/>
  <c r="J25" i="60"/>
  <c r="R25" i="60"/>
  <c r="J26" i="60"/>
  <c r="R26" i="60"/>
  <c r="J27" i="60"/>
  <c r="R27" i="60"/>
  <c r="J28" i="60"/>
  <c r="R28" i="60"/>
  <c r="J29" i="60"/>
  <c r="R29" i="60"/>
  <c r="J30" i="60"/>
  <c r="R30" i="60"/>
  <c r="J31" i="60"/>
  <c r="R31" i="60"/>
  <c r="J32" i="60"/>
  <c r="R32" i="60"/>
  <c r="J33" i="60"/>
  <c r="R33" i="60"/>
  <c r="J34" i="60"/>
  <c r="R34" i="60"/>
  <c r="J35" i="60"/>
  <c r="R35" i="60"/>
  <c r="J36" i="60"/>
  <c r="R36" i="60"/>
  <c r="J37" i="60"/>
  <c r="R37" i="60"/>
  <c r="J38" i="60"/>
  <c r="R38" i="60"/>
  <c r="J39" i="60"/>
  <c r="R39" i="60"/>
  <c r="J40" i="60"/>
  <c r="R40" i="60"/>
  <c r="J41" i="60"/>
  <c r="R41" i="60"/>
  <c r="J42" i="60"/>
  <c r="R42" i="60"/>
  <c r="J43" i="60"/>
  <c r="R43" i="60"/>
  <c r="J44" i="60"/>
  <c r="R44" i="60"/>
  <c r="J45" i="60"/>
  <c r="R45" i="60"/>
  <c r="J46" i="60"/>
  <c r="R46" i="60"/>
  <c r="K10" i="60"/>
  <c r="S10" i="60"/>
  <c r="K11" i="60"/>
  <c r="S11" i="60"/>
  <c r="K12" i="60"/>
  <c r="S12" i="60"/>
  <c r="K13" i="60"/>
  <c r="S13" i="60"/>
  <c r="K14" i="60"/>
  <c r="S14" i="60"/>
  <c r="K15" i="60"/>
  <c r="S15" i="60"/>
  <c r="K16" i="60"/>
  <c r="S16" i="60"/>
  <c r="K17" i="60"/>
  <c r="S17" i="60"/>
  <c r="K18" i="60"/>
  <c r="S18" i="60"/>
  <c r="K19" i="60"/>
  <c r="S19" i="60"/>
  <c r="K20" i="60"/>
  <c r="S20" i="60"/>
  <c r="K21" i="60"/>
  <c r="S21" i="60"/>
  <c r="K22" i="60"/>
  <c r="S22" i="60"/>
  <c r="K23" i="60"/>
  <c r="S23" i="60"/>
  <c r="K24" i="60"/>
  <c r="S24" i="60"/>
  <c r="K25" i="60"/>
  <c r="S25" i="60"/>
  <c r="K26" i="60"/>
  <c r="S26" i="60"/>
  <c r="K27" i="60"/>
  <c r="S27" i="60"/>
  <c r="K28" i="60"/>
  <c r="S28" i="60"/>
  <c r="K29" i="60"/>
  <c r="S29" i="60"/>
  <c r="K30" i="60"/>
  <c r="S30" i="60"/>
  <c r="K31" i="60"/>
  <c r="S31" i="60"/>
  <c r="K32" i="60"/>
  <c r="S32" i="60"/>
  <c r="K33" i="60"/>
  <c r="S33" i="60"/>
  <c r="K34" i="60"/>
  <c r="S34" i="60"/>
  <c r="K35" i="60"/>
  <c r="S35" i="60"/>
  <c r="K36" i="60"/>
  <c r="S36" i="60"/>
  <c r="K37" i="60"/>
  <c r="S37" i="60"/>
  <c r="K38" i="60"/>
  <c r="S38" i="60"/>
  <c r="K39" i="60"/>
  <c r="S39" i="60"/>
  <c r="K40" i="60"/>
  <c r="S40" i="60"/>
  <c r="K41" i="60"/>
  <c r="S41" i="60"/>
  <c r="K42" i="60"/>
  <c r="S42" i="60"/>
  <c r="K43" i="60"/>
  <c r="S43" i="60"/>
  <c r="K44" i="60"/>
  <c r="S44" i="60"/>
  <c r="K45" i="60"/>
  <c r="S45" i="60"/>
  <c r="K46" i="60"/>
  <c r="S46" i="60"/>
  <c r="T12" i="60"/>
  <c r="L10" i="60"/>
  <c r="T10" i="60"/>
  <c r="L11" i="60"/>
  <c r="T11" i="60"/>
  <c r="L12" i="60"/>
  <c r="L13" i="60"/>
  <c r="T13" i="60"/>
  <c r="L14" i="60"/>
  <c r="T14" i="60"/>
  <c r="L15" i="60"/>
  <c r="T15" i="60"/>
  <c r="L16" i="60"/>
  <c r="T16" i="60"/>
  <c r="L17" i="60"/>
  <c r="T17" i="60"/>
  <c r="L18" i="60"/>
  <c r="T18" i="60"/>
  <c r="L19" i="60"/>
  <c r="T19" i="60"/>
  <c r="L20" i="60"/>
  <c r="T20" i="60"/>
  <c r="L21" i="60"/>
  <c r="T21" i="60"/>
  <c r="T22" i="60"/>
  <c r="L23" i="60"/>
  <c r="M10" i="60"/>
  <c r="U10" i="60"/>
  <c r="M11" i="60"/>
  <c r="U11" i="60"/>
  <c r="M12" i="60"/>
  <c r="U12" i="60"/>
  <c r="M13" i="60"/>
  <c r="U13" i="60"/>
  <c r="M14" i="60"/>
  <c r="U14" i="60"/>
  <c r="M15" i="60"/>
  <c r="U15" i="60"/>
  <c r="M16" i="60"/>
  <c r="U16" i="60"/>
  <c r="M17" i="60"/>
  <c r="U17" i="60"/>
  <c r="M18" i="60"/>
  <c r="U18" i="60"/>
  <c r="M19" i="60"/>
  <c r="U19" i="60"/>
  <c r="M20" i="60"/>
  <c r="U20" i="60"/>
  <c r="M21" i="60"/>
  <c r="U21" i="60"/>
  <c r="M22" i="60"/>
  <c r="U22" i="60"/>
  <c r="M23" i="60"/>
  <c r="U23" i="60"/>
  <c r="M24" i="60"/>
  <c r="U24" i="60"/>
  <c r="M25" i="60"/>
  <c r="U25" i="60"/>
  <c r="M26" i="60"/>
  <c r="U26" i="60"/>
  <c r="M27" i="60"/>
  <c r="U27" i="60"/>
  <c r="M28" i="60"/>
  <c r="U28" i="60"/>
  <c r="M29" i="60"/>
  <c r="U29" i="60"/>
  <c r="M30" i="60"/>
  <c r="U30" i="60"/>
  <c r="M31" i="60"/>
  <c r="U31" i="60"/>
  <c r="M32" i="60"/>
  <c r="U32" i="60"/>
  <c r="M33" i="60"/>
  <c r="U33" i="60"/>
  <c r="M34" i="60"/>
  <c r="U34" i="60"/>
  <c r="M35" i="60"/>
  <c r="U35" i="60"/>
  <c r="M36" i="60"/>
  <c r="U36" i="60"/>
  <c r="M37" i="60"/>
  <c r="U37" i="60"/>
  <c r="M38" i="60"/>
  <c r="U38" i="60"/>
  <c r="M39" i="60"/>
  <c r="U39" i="60"/>
  <c r="M40" i="60"/>
  <c r="U40" i="60"/>
  <c r="M41" i="60"/>
  <c r="U41" i="60"/>
  <c r="M42" i="60"/>
  <c r="U42" i="60"/>
  <c r="M43" i="60"/>
  <c r="U43" i="60"/>
  <c r="M44" i="60"/>
  <c r="U44" i="60"/>
  <c r="M45" i="60"/>
  <c r="U45" i="60"/>
  <c r="M46" i="60"/>
  <c r="U46" i="60"/>
  <c r="N10" i="60"/>
  <c r="N18" i="60"/>
  <c r="N20" i="60"/>
  <c r="N21" i="60"/>
  <c r="N22" i="60"/>
  <c r="N23" i="60"/>
  <c r="N24" i="60"/>
  <c r="N25" i="60"/>
  <c r="N26" i="60"/>
  <c r="V26" i="60"/>
  <c r="V27" i="60"/>
  <c r="P22" i="60"/>
  <c r="T23" i="60"/>
  <c r="T24" i="60"/>
  <c r="T25" i="60"/>
  <c r="T26" i="60"/>
  <c r="T27" i="60"/>
  <c r="T28" i="60"/>
  <c r="P29" i="60"/>
  <c r="N30" i="60"/>
  <c r="I31" i="60"/>
  <c r="G32" i="60"/>
  <c r="T32" i="60"/>
  <c r="P33" i="60"/>
  <c r="N34" i="60"/>
  <c r="I35" i="60"/>
  <c r="G36" i="60"/>
  <c r="T36" i="60"/>
  <c r="P37" i="60"/>
  <c r="N38" i="60"/>
  <c r="I39" i="60"/>
  <c r="G40" i="60"/>
  <c r="T40" i="60"/>
  <c r="P41" i="60"/>
  <c r="N42" i="60"/>
  <c r="I43" i="60"/>
  <c r="G44" i="60"/>
  <c r="T44" i="60"/>
  <c r="P45" i="60"/>
  <c r="N46" i="60"/>
  <c r="Q22" i="60"/>
  <c r="G24" i="60"/>
  <c r="G25" i="60"/>
  <c r="G26" i="60"/>
  <c r="G27" i="60"/>
  <c r="G28" i="60"/>
  <c r="V28" i="60"/>
  <c r="Q29" i="60"/>
  <c r="O30" i="60"/>
  <c r="L31" i="60"/>
  <c r="H32" i="60"/>
  <c r="V32" i="60"/>
  <c r="Q33" i="60"/>
  <c r="O34" i="60"/>
  <c r="L35" i="60"/>
  <c r="H36" i="60"/>
  <c r="V36" i="60"/>
  <c r="Q37" i="60"/>
  <c r="O38" i="60"/>
  <c r="L39" i="60"/>
  <c r="H40" i="60"/>
  <c r="V40" i="60"/>
  <c r="Q41" i="60"/>
  <c r="O42" i="60"/>
  <c r="L43" i="60"/>
  <c r="H44" i="60"/>
  <c r="V44" i="60"/>
  <c r="Q45" i="60"/>
  <c r="O46" i="60"/>
  <c r="I23" i="60"/>
  <c r="L27" i="60"/>
  <c r="I29" i="60"/>
  <c r="T30" i="60"/>
  <c r="N32" i="60"/>
  <c r="G34" i="60"/>
  <c r="P35" i="60"/>
  <c r="I37" i="60"/>
  <c r="T38" i="60"/>
  <c r="N40" i="60"/>
  <c r="G42" i="60"/>
  <c r="P43" i="60"/>
  <c r="I45" i="60"/>
  <c r="T46" i="60"/>
  <c r="H22" i="60"/>
  <c r="O25" i="60"/>
  <c r="O27" i="60"/>
  <c r="L29" i="60"/>
  <c r="V30" i="60"/>
  <c r="O32" i="60"/>
  <c r="H34" i="60"/>
  <c r="Q35" i="60"/>
  <c r="L37" i="60"/>
  <c r="V38" i="60"/>
  <c r="O40" i="60"/>
  <c r="H42" i="60"/>
  <c r="V42" i="60"/>
  <c r="G23" i="60"/>
  <c r="H24" i="60"/>
  <c r="H25" i="60"/>
  <c r="H26" i="60"/>
  <c r="H27" i="60"/>
  <c r="H28" i="60"/>
  <c r="G29" i="60"/>
  <c r="T29" i="60"/>
  <c r="P30" i="60"/>
  <c r="N31" i="60"/>
  <c r="I32" i="60"/>
  <c r="G33" i="60"/>
  <c r="T33" i="60"/>
  <c r="P34" i="60"/>
  <c r="N35" i="60"/>
  <c r="I36" i="60"/>
  <c r="G37" i="60"/>
  <c r="T37" i="60"/>
  <c r="P38" i="60"/>
  <c r="N39" i="60"/>
  <c r="I40" i="60"/>
  <c r="G41" i="60"/>
  <c r="T41" i="60"/>
  <c r="P42" i="60"/>
  <c r="N43" i="60"/>
  <c r="I44" i="60"/>
  <c r="G45" i="60"/>
  <c r="T45" i="60"/>
  <c r="P46" i="60"/>
  <c r="P21" i="60"/>
  <c r="H23" i="60"/>
  <c r="I24" i="60"/>
  <c r="I25" i="60"/>
  <c r="I26" i="60"/>
  <c r="I27" i="60"/>
  <c r="I28" i="60"/>
  <c r="H29" i="60"/>
  <c r="V29" i="60"/>
  <c r="Q30" i="60"/>
  <c r="O31" i="60"/>
  <c r="L32" i="60"/>
  <c r="H33" i="60"/>
  <c r="V33" i="60"/>
  <c r="Q34" i="60"/>
  <c r="O35" i="60"/>
  <c r="L36" i="60"/>
  <c r="H37" i="60"/>
  <c r="V37" i="60"/>
  <c r="Q38" i="60"/>
  <c r="O39" i="60"/>
  <c r="L40" i="60"/>
  <c r="H41" i="60"/>
  <c r="V41" i="60"/>
  <c r="Q42" i="60"/>
  <c r="O43" i="60"/>
  <c r="L44" i="60"/>
  <c r="H45" i="60"/>
  <c r="V45" i="60"/>
  <c r="Q46" i="60"/>
  <c r="Q21" i="60"/>
  <c r="L24" i="60"/>
  <c r="L25" i="60"/>
  <c r="L26" i="60"/>
  <c r="L28" i="60"/>
  <c r="G30" i="60"/>
  <c r="P31" i="60"/>
  <c r="I33" i="60"/>
  <c r="T34" i="60"/>
  <c r="N36" i="60"/>
  <c r="G38" i="60"/>
  <c r="P39" i="60"/>
  <c r="I41" i="60"/>
  <c r="T42" i="60"/>
  <c r="N44" i="60"/>
  <c r="G46" i="60"/>
  <c r="O23" i="60"/>
  <c r="O24" i="60"/>
  <c r="O26" i="60"/>
  <c r="O28" i="60"/>
  <c r="H30" i="60"/>
  <c r="Q31" i="60"/>
  <c r="L33" i="60"/>
  <c r="V34" i="60"/>
  <c r="O36" i="60"/>
  <c r="H38" i="60"/>
  <c r="Q39" i="60"/>
  <c r="L41" i="60"/>
  <c r="Q43" i="60"/>
  <c r="P24" i="60"/>
  <c r="P28" i="60"/>
  <c r="T31" i="60"/>
  <c r="G35" i="60"/>
  <c r="I38" i="60"/>
  <c r="N41" i="60"/>
  <c r="O44" i="60"/>
  <c r="L46" i="60"/>
  <c r="Q24" i="60"/>
  <c r="Q28" i="60"/>
  <c r="V31" i="60"/>
  <c r="H35" i="60"/>
  <c r="L38" i="60"/>
  <c r="O41" i="60"/>
  <c r="P44" i="60"/>
  <c r="V46" i="60"/>
  <c r="P25" i="60"/>
  <c r="N29" i="60"/>
  <c r="P32" i="60"/>
  <c r="T35" i="60"/>
  <c r="G39" i="60"/>
  <c r="I42" i="60"/>
  <c r="Q44" i="60"/>
  <c r="T43" i="60"/>
  <c r="Q23" i="60"/>
  <c r="L34" i="60"/>
  <c r="Q40" i="60"/>
  <c r="I46" i="60"/>
  <c r="Q25" i="60"/>
  <c r="O29" i="60"/>
  <c r="Q32" i="60"/>
  <c r="V35" i="60"/>
  <c r="H39" i="60"/>
  <c r="L42" i="60"/>
  <c r="L45" i="60"/>
  <c r="I22" i="60"/>
  <c r="P26" i="60"/>
  <c r="I30" i="60"/>
  <c r="N33" i="60"/>
  <c r="P36" i="60"/>
  <c r="T39" i="60"/>
  <c r="G43" i="60"/>
  <c r="N45" i="60"/>
  <c r="L22" i="60"/>
  <c r="Q26" i="60"/>
  <c r="L30" i="60"/>
  <c r="O33" i="60"/>
  <c r="Q36" i="60"/>
  <c r="V39" i="60"/>
  <c r="H43" i="60"/>
  <c r="O45" i="60"/>
  <c r="P23" i="60"/>
  <c r="P27" i="60"/>
  <c r="G31" i="60"/>
  <c r="I34" i="60"/>
  <c r="N37" i="60"/>
  <c r="P40" i="60"/>
  <c r="H46" i="60"/>
  <c r="Q27" i="60"/>
  <c r="H31" i="60"/>
  <c r="O37" i="60"/>
  <c r="V43" i="60"/>
  <c r="C5" i="60"/>
  <c r="B8" i="60"/>
  <c r="D10" i="60"/>
  <c r="C13" i="60"/>
  <c r="B16" i="60"/>
  <c r="D18" i="60"/>
  <c r="C21" i="60"/>
  <c r="B24" i="60"/>
  <c r="D26" i="60"/>
  <c r="C29" i="60"/>
  <c r="B32" i="60"/>
  <c r="D34" i="60"/>
  <c r="C37" i="60"/>
  <c r="B40" i="60"/>
  <c r="D42" i="60"/>
  <c r="C45" i="60"/>
  <c r="B6" i="60"/>
  <c r="D8" i="60"/>
  <c r="C11" i="60"/>
  <c r="B14" i="60"/>
  <c r="D16" i="60"/>
  <c r="C19" i="60"/>
  <c r="B22" i="60"/>
  <c r="D24" i="60"/>
  <c r="C27" i="60"/>
  <c r="B30" i="60"/>
  <c r="D32" i="60"/>
  <c r="C35" i="60"/>
  <c r="B38" i="60"/>
  <c r="D40" i="60"/>
  <c r="C43" i="60"/>
  <c r="B46" i="60"/>
  <c r="C4" i="60"/>
  <c r="B7" i="60"/>
  <c r="D9" i="60"/>
  <c r="C12" i="60"/>
  <c r="B15" i="60"/>
  <c r="D17" i="60"/>
  <c r="C20" i="60"/>
  <c r="B23" i="60"/>
  <c r="D25" i="60"/>
  <c r="C28" i="60"/>
  <c r="B31" i="60"/>
  <c r="D33" i="60"/>
  <c r="C36" i="60"/>
  <c r="B39" i="60"/>
  <c r="D41" i="60"/>
  <c r="C44" i="60"/>
  <c r="D6" i="60"/>
  <c r="D19" i="60"/>
  <c r="B28" i="60"/>
  <c r="B41" i="60"/>
  <c r="D7" i="60"/>
  <c r="B12" i="60"/>
  <c r="C16" i="60"/>
  <c r="D20" i="60"/>
  <c r="B25" i="60"/>
  <c r="B29" i="60"/>
  <c r="C33" i="60"/>
  <c r="D37" i="60"/>
  <c r="B42" i="60"/>
  <c r="C46" i="60"/>
  <c r="B4" i="60"/>
  <c r="C8" i="60"/>
  <c r="D12" i="60"/>
  <c r="B17" i="60"/>
  <c r="B21" i="60"/>
  <c r="C25" i="60"/>
  <c r="D29" i="60"/>
  <c r="B34" i="60"/>
  <c r="C38" i="60"/>
  <c r="C42" i="60"/>
  <c r="D46" i="60"/>
  <c r="D4" i="60"/>
  <c r="B9" i="60"/>
  <c r="B13" i="60"/>
  <c r="C17" i="60"/>
  <c r="D21" i="60"/>
  <c r="B26" i="60"/>
  <c r="C30" i="60"/>
  <c r="C34" i="60"/>
  <c r="D38" i="60"/>
  <c r="B43" i="60"/>
  <c r="D5" i="60"/>
  <c r="B10" i="60"/>
  <c r="C14" i="60"/>
  <c r="C18" i="60"/>
  <c r="D22" i="60"/>
  <c r="B27" i="60"/>
  <c r="C31" i="60"/>
  <c r="D35" i="60"/>
  <c r="D39" i="60"/>
  <c r="B44" i="60"/>
  <c r="C6" i="60"/>
  <c r="C10" i="60"/>
  <c r="D14" i="60"/>
  <c r="B19" i="60"/>
  <c r="C23" i="60"/>
  <c r="D27" i="60"/>
  <c r="D31" i="60"/>
  <c r="B36" i="60"/>
  <c r="C40" i="60"/>
  <c r="D44" i="60"/>
  <c r="B11" i="60"/>
  <c r="C15" i="60"/>
  <c r="D23" i="60"/>
  <c r="C32" i="60"/>
  <c r="D36" i="60"/>
  <c r="B45" i="60"/>
  <c r="D15" i="60"/>
  <c r="B33" i="60"/>
  <c r="B18" i="60"/>
  <c r="B20" i="60"/>
  <c r="B37" i="60"/>
  <c r="B5" i="60"/>
  <c r="C22" i="60"/>
  <c r="C39" i="60"/>
  <c r="C7" i="60"/>
  <c r="C41" i="60"/>
  <c r="C9" i="60"/>
  <c r="D43" i="60"/>
  <c r="B35" i="60"/>
  <c r="C24" i="60"/>
  <c r="C26" i="60"/>
  <c r="D11" i="60"/>
  <c r="D28" i="60"/>
  <c r="D45" i="60"/>
  <c r="D13" i="60"/>
  <c r="D30" i="60"/>
  <c r="S5" i="53"/>
  <c r="C6" i="53"/>
  <c r="O28" i="49"/>
  <c r="C20" i="50"/>
  <c r="C21" i="50"/>
  <c r="C22" i="50"/>
  <c r="C23" i="50"/>
  <c r="P8" i="49"/>
  <c r="O28" i="48"/>
  <c r="D26" i="48"/>
  <c r="B6" i="53"/>
  <c r="Q8" i="49"/>
  <c r="P28" i="49"/>
  <c r="P28" i="48"/>
  <c r="D6" i="53"/>
  <c r="N6" i="53"/>
  <c r="O6" i="53"/>
  <c r="S6" i="53" l="1"/>
  <c r="C7" i="53"/>
  <c r="P9" i="49"/>
  <c r="O29" i="49"/>
  <c r="O29" i="48"/>
  <c r="B7" i="53"/>
  <c r="Q9" i="49"/>
  <c r="I14" i="49" s="1"/>
  <c r="P29" i="49"/>
  <c r="P29" i="48"/>
  <c r="D7" i="53"/>
  <c r="N7" i="53" s="1"/>
  <c r="O7" i="53"/>
  <c r="S7" i="53" l="1"/>
  <c r="C8" i="53"/>
  <c r="D26" i="49"/>
  <c r="O30" i="49"/>
  <c r="O30" i="48"/>
  <c r="B8" i="53"/>
  <c r="P30" i="49"/>
  <c r="P30" i="48"/>
  <c r="D8" i="53"/>
  <c r="N8" i="53" s="1"/>
  <c r="O8" i="53"/>
  <c r="S8" i="53" l="1"/>
  <c r="C9" i="53"/>
  <c r="O31" i="49"/>
  <c r="O31" i="48"/>
  <c r="B9" i="53"/>
  <c r="P31" i="49"/>
  <c r="P31" i="48"/>
  <c r="D9" i="53"/>
  <c r="N9" i="53" s="1"/>
  <c r="O9" i="53"/>
  <c r="S9" i="53" l="1"/>
  <c r="C10" i="53"/>
  <c r="O32" i="49"/>
  <c r="O32" i="48"/>
  <c r="B10" i="53"/>
  <c r="P32" i="49"/>
  <c r="P32" i="48"/>
  <c r="D10" i="53"/>
  <c r="N10" i="53" s="1"/>
  <c r="O10" i="53"/>
  <c r="S10" i="53" l="1"/>
  <c r="C11" i="53"/>
  <c r="O33" i="49"/>
  <c r="O33" i="48"/>
  <c r="B11" i="53"/>
  <c r="P33" i="49"/>
  <c r="P33" i="48"/>
  <c r="D11" i="53"/>
  <c r="N11" i="53" s="1"/>
  <c r="O11" i="53"/>
  <c r="S11" i="53" l="1"/>
  <c r="C12" i="53"/>
  <c r="O34" i="49"/>
  <c r="O34" i="48"/>
  <c r="B12" i="53"/>
  <c r="P34" i="49"/>
  <c r="P34" i="48"/>
  <c r="D12" i="53"/>
  <c r="N12" i="53" s="1"/>
  <c r="O12" i="53"/>
  <c r="S12" i="53" l="1"/>
  <c r="C13" i="53"/>
  <c r="O35" i="49"/>
  <c r="O35" i="48"/>
  <c r="B13" i="53"/>
  <c r="P35" i="49"/>
  <c r="P35" i="48"/>
  <c r="D13" i="53"/>
  <c r="N13" i="53" s="1"/>
  <c r="O13" i="53"/>
  <c r="S13" i="53" l="1"/>
  <c r="C14" i="53"/>
  <c r="O36" i="49"/>
  <c r="O36" i="48"/>
  <c r="B14" i="53"/>
  <c r="P36" i="49"/>
  <c r="P36" i="48"/>
  <c r="D14" i="53"/>
  <c r="N14" i="53" s="1"/>
  <c r="O14" i="53"/>
  <c r="S14" i="53" l="1"/>
  <c r="C15" i="53"/>
  <c r="O37" i="49"/>
  <c r="O37" i="48"/>
  <c r="B15" i="53"/>
  <c r="P37" i="49"/>
  <c r="P37" i="48"/>
  <c r="D15" i="53"/>
  <c r="N15" i="53"/>
  <c r="O15" i="53"/>
  <c r="S15" i="53" l="1"/>
  <c r="C16" i="53"/>
  <c r="O38" i="49"/>
  <c r="O38" i="48"/>
  <c r="B16" i="53"/>
  <c r="P38" i="49"/>
  <c r="I35" i="49" s="1"/>
  <c r="P38" i="48"/>
  <c r="I35" i="48" s="1"/>
  <c r="D16" i="53"/>
  <c r="N16" i="53" s="1"/>
  <c r="O16" i="53"/>
  <c r="S16" i="53" l="1"/>
  <c r="C17" i="53"/>
  <c r="D27" i="49"/>
  <c r="D27" i="48"/>
  <c r="B17" i="53"/>
  <c r="D8" i="49"/>
  <c r="D8" i="48"/>
  <c r="D17" i="53"/>
  <c r="N17" i="53" s="1"/>
  <c r="O17" i="53"/>
  <c r="S17" i="53" l="1"/>
  <c r="C18" i="53"/>
  <c r="D9" i="49"/>
  <c r="D9" i="48"/>
  <c r="B18" i="53"/>
  <c r="D18" i="53"/>
  <c r="N18" i="53" s="1"/>
  <c r="O18" i="53"/>
  <c r="S18" i="53" l="1"/>
  <c r="C19" i="53"/>
  <c r="B19" i="53"/>
  <c r="D19" i="53"/>
  <c r="N19" i="53" s="1"/>
  <c r="O19" i="53"/>
  <c r="S19" i="53" l="1"/>
  <c r="C2" i="47" l="1"/>
  <c r="C2" i="46"/>
  <c r="R6" i="44"/>
  <c r="R7" i="44"/>
  <c r="R8" i="44"/>
  <c r="R9" i="44"/>
  <c r="R10" i="44"/>
  <c r="R11" i="44"/>
  <c r="R12" i="44"/>
  <c r="R13" i="44"/>
  <c r="R14" i="44"/>
  <c r="R5" i="44"/>
  <c r="G5" i="44"/>
  <c r="G6" i="44"/>
  <c r="G7" i="44"/>
  <c r="G8" i="44"/>
  <c r="G9" i="44"/>
  <c r="G10" i="44"/>
  <c r="G11" i="44"/>
  <c r="G12" i="44"/>
  <c r="G13" i="44"/>
  <c r="G14" i="44"/>
  <c r="B6" i="47" a="1"/>
  <c r="B12" i="46" a="1"/>
  <c r="B9" i="36" a="1"/>
  <c r="C5" i="44"/>
  <c r="B5" i="44" s="1"/>
  <c r="D5" i="44" s="1"/>
  <c r="K4" i="45"/>
  <c r="B3" i="45" a="1"/>
  <c r="K8" i="45"/>
  <c r="K10" i="45"/>
  <c r="K11" i="45"/>
  <c r="K9" i="45"/>
  <c r="B12" i="46" l="1"/>
  <c r="J12" i="46"/>
  <c r="F13" i="46"/>
  <c r="B14" i="46"/>
  <c r="J14" i="46"/>
  <c r="F15" i="46"/>
  <c r="B16" i="46"/>
  <c r="J16" i="46"/>
  <c r="F17" i="46"/>
  <c r="B18" i="46"/>
  <c r="J18" i="46"/>
  <c r="F19" i="46"/>
  <c r="B20" i="46"/>
  <c r="J20" i="46"/>
  <c r="F21" i="46"/>
  <c r="M14" i="46"/>
  <c r="E18" i="46"/>
  <c r="E20" i="46"/>
  <c r="F12" i="46"/>
  <c r="F14" i="46"/>
  <c r="B17" i="46"/>
  <c r="F18" i="46"/>
  <c r="J19" i="46"/>
  <c r="J21" i="46"/>
  <c r="C13" i="46"/>
  <c r="K15" i="46"/>
  <c r="K17" i="46"/>
  <c r="K19" i="46"/>
  <c r="K21" i="46"/>
  <c r="L13" i="46"/>
  <c r="L15" i="46"/>
  <c r="D19" i="46"/>
  <c r="E13" i="46"/>
  <c r="I16" i="46"/>
  <c r="M19" i="46"/>
  <c r="C12" i="46"/>
  <c r="K12" i="46"/>
  <c r="G13" i="46"/>
  <c r="C14" i="46"/>
  <c r="K14" i="46"/>
  <c r="G15" i="46"/>
  <c r="C16" i="46"/>
  <c r="K16" i="46"/>
  <c r="G17" i="46"/>
  <c r="C18" i="46"/>
  <c r="K18" i="46"/>
  <c r="G19" i="46"/>
  <c r="C20" i="46"/>
  <c r="K20" i="46"/>
  <c r="G21" i="46"/>
  <c r="D12" i="46"/>
  <c r="H13" i="46"/>
  <c r="D14" i="46"/>
  <c r="L14" i="46"/>
  <c r="H15" i="46"/>
  <c r="D16" i="46"/>
  <c r="L16" i="46"/>
  <c r="H17" i="46"/>
  <c r="D18" i="46"/>
  <c r="H19" i="46"/>
  <c r="D20" i="46"/>
  <c r="L20" i="46"/>
  <c r="H21" i="46"/>
  <c r="E12" i="46"/>
  <c r="M12" i="46"/>
  <c r="I13" i="46"/>
  <c r="I15" i="46"/>
  <c r="I17" i="46"/>
  <c r="M18" i="46"/>
  <c r="M20" i="46"/>
  <c r="B13" i="46"/>
  <c r="L17" i="46"/>
  <c r="D21" i="46"/>
  <c r="I14" i="46"/>
  <c r="I18" i="46"/>
  <c r="L12" i="46"/>
  <c r="L18" i="46"/>
  <c r="E14" i="46"/>
  <c r="M16" i="46"/>
  <c r="I19" i="46"/>
  <c r="I21" i="46"/>
  <c r="J13" i="46"/>
  <c r="B15" i="46"/>
  <c r="F16" i="46"/>
  <c r="J17" i="46"/>
  <c r="B19" i="46"/>
  <c r="F20" i="46"/>
  <c r="G12" i="46"/>
  <c r="G14" i="46"/>
  <c r="G16" i="46"/>
  <c r="G18" i="46"/>
  <c r="O18" i="46" s="1"/>
  <c r="C21" i="46"/>
  <c r="H14" i="46"/>
  <c r="D17" i="46"/>
  <c r="H20" i="46"/>
  <c r="M13" i="46"/>
  <c r="E17" i="46"/>
  <c r="E21" i="46"/>
  <c r="E16" i="46"/>
  <c r="C15" i="46"/>
  <c r="G20" i="46"/>
  <c r="H12" i="46"/>
  <c r="H16" i="46"/>
  <c r="L19" i="46"/>
  <c r="I12" i="46"/>
  <c r="M15" i="46"/>
  <c r="E19" i="46"/>
  <c r="J15" i="46"/>
  <c r="B21" i="46"/>
  <c r="K13" i="46"/>
  <c r="C17" i="46"/>
  <c r="C19" i="46"/>
  <c r="D13" i="46"/>
  <c r="D15" i="46"/>
  <c r="H18" i="46"/>
  <c r="L21" i="46"/>
  <c r="E15" i="46"/>
  <c r="M17" i="46"/>
  <c r="I20" i="46"/>
  <c r="M21" i="46"/>
  <c r="B3" i="45"/>
  <c r="D5" i="45"/>
  <c r="C8" i="45"/>
  <c r="B11" i="45"/>
  <c r="D13" i="45"/>
  <c r="C16" i="45"/>
  <c r="B19" i="45"/>
  <c r="D21" i="45"/>
  <c r="C24" i="45"/>
  <c r="B27" i="45"/>
  <c r="D29" i="45"/>
  <c r="B35" i="45"/>
  <c r="C3" i="45"/>
  <c r="B6" i="45"/>
  <c r="D8" i="45"/>
  <c r="C11" i="45"/>
  <c r="B14" i="45"/>
  <c r="D16" i="45"/>
  <c r="C19" i="45"/>
  <c r="B22" i="45"/>
  <c r="D24" i="45"/>
  <c r="C27" i="45"/>
  <c r="B30" i="45"/>
  <c r="D32" i="45"/>
  <c r="C35" i="45"/>
  <c r="D3" i="45"/>
  <c r="C6" i="45"/>
  <c r="B9" i="45"/>
  <c r="D11" i="45"/>
  <c r="C14" i="45"/>
  <c r="B17" i="45"/>
  <c r="D19" i="45"/>
  <c r="C22" i="45"/>
  <c r="B25" i="45"/>
  <c r="D27" i="45"/>
  <c r="C30" i="45"/>
  <c r="B33" i="45"/>
  <c r="D35" i="45"/>
  <c r="B4" i="45"/>
  <c r="D6" i="45"/>
  <c r="C9" i="45"/>
  <c r="B12" i="45"/>
  <c r="D14" i="45"/>
  <c r="C17" i="45"/>
  <c r="B20" i="45"/>
  <c r="D22" i="45"/>
  <c r="C25" i="45"/>
  <c r="B28" i="45"/>
  <c r="D30" i="45"/>
  <c r="C33" i="45"/>
  <c r="B36" i="45"/>
  <c r="C20" i="45"/>
  <c r="C36" i="45"/>
  <c r="D26" i="45"/>
  <c r="D9" i="45"/>
  <c r="B15" i="45"/>
  <c r="B23" i="45"/>
  <c r="B31" i="45"/>
  <c r="C29" i="45"/>
  <c r="B7" i="45"/>
  <c r="C12" i="45"/>
  <c r="D17" i="45"/>
  <c r="C28" i="45"/>
  <c r="D33" i="45"/>
  <c r="B32" i="45"/>
  <c r="C4" i="45"/>
  <c r="D25" i="45"/>
  <c r="D4" i="45"/>
  <c r="C7" i="45"/>
  <c r="B10" i="45"/>
  <c r="D12" i="45"/>
  <c r="C15" i="45"/>
  <c r="B18" i="45"/>
  <c r="D20" i="45"/>
  <c r="C23" i="45"/>
  <c r="B26" i="45"/>
  <c r="D28" i="45"/>
  <c r="C31" i="45"/>
  <c r="B34" i="45"/>
  <c r="D36" i="45"/>
  <c r="B5" i="45"/>
  <c r="D7" i="45"/>
  <c r="C10" i="45"/>
  <c r="B13" i="45"/>
  <c r="D15" i="45"/>
  <c r="C18" i="45"/>
  <c r="B21" i="45"/>
  <c r="D23" i="45"/>
  <c r="C26" i="45"/>
  <c r="D31" i="45"/>
  <c r="C34" i="45"/>
  <c r="B29" i="45"/>
  <c r="C32" i="45"/>
  <c r="C5" i="45"/>
  <c r="B8" i="45"/>
  <c r="D10" i="45"/>
  <c r="C13" i="45"/>
  <c r="B16" i="45"/>
  <c r="D18" i="45"/>
  <c r="C21" i="45"/>
  <c r="B24" i="45"/>
  <c r="D34" i="45"/>
  <c r="C6" i="47"/>
  <c r="C8" i="47"/>
  <c r="C10" i="47"/>
  <c r="C12" i="47"/>
  <c r="C14" i="47"/>
  <c r="C16" i="47"/>
  <c r="C18" i="47"/>
  <c r="C20" i="47"/>
  <c r="C22" i="47"/>
  <c r="C24" i="47"/>
  <c r="D6" i="47"/>
  <c r="D8" i="47"/>
  <c r="D10" i="47"/>
  <c r="D12" i="47"/>
  <c r="D14" i="47"/>
  <c r="D16" i="47"/>
  <c r="D18" i="47"/>
  <c r="D20" i="47"/>
  <c r="D22" i="47"/>
  <c r="D24" i="47"/>
  <c r="E11" i="47"/>
  <c r="B6" i="47"/>
  <c r="B12" i="47"/>
  <c r="B18" i="47"/>
  <c r="B22" i="47"/>
  <c r="E6" i="47"/>
  <c r="E8" i="47"/>
  <c r="E10" i="47"/>
  <c r="E12" i="47"/>
  <c r="E14" i="47"/>
  <c r="E16" i="47"/>
  <c r="E18" i="47"/>
  <c r="E20" i="47"/>
  <c r="E22" i="47"/>
  <c r="E24" i="47"/>
  <c r="B7" i="47"/>
  <c r="B9" i="47"/>
  <c r="B11" i="47"/>
  <c r="B13" i="47"/>
  <c r="B15" i="47"/>
  <c r="B17" i="47"/>
  <c r="B19" i="47"/>
  <c r="B21" i="47"/>
  <c r="B23" i="47"/>
  <c r="B25" i="47"/>
  <c r="E15" i="47"/>
  <c r="B8" i="47"/>
  <c r="B16" i="47"/>
  <c r="B24" i="47"/>
  <c r="C7" i="47"/>
  <c r="C9" i="47"/>
  <c r="C11" i="47"/>
  <c r="C13" i="47"/>
  <c r="C15" i="47"/>
  <c r="C17" i="47"/>
  <c r="C19" i="47"/>
  <c r="C21" i="47"/>
  <c r="C23" i="47"/>
  <c r="C25" i="47"/>
  <c r="E7" i="47"/>
  <c r="E9" i="47"/>
  <c r="E13" i="47"/>
  <c r="E17" i="47"/>
  <c r="E19" i="47"/>
  <c r="E21" i="47"/>
  <c r="E23" i="47"/>
  <c r="E25" i="47"/>
  <c r="B10" i="47"/>
  <c r="B14" i="47"/>
  <c r="B20" i="47"/>
  <c r="D7" i="47"/>
  <c r="D9" i="47"/>
  <c r="D11" i="47"/>
  <c r="D13" i="47"/>
  <c r="D15" i="47"/>
  <c r="D17" i="47"/>
  <c r="D19" i="47"/>
  <c r="D21" i="47"/>
  <c r="D23" i="47"/>
  <c r="D25" i="47"/>
  <c r="C6" i="44"/>
  <c r="B9" i="36"/>
  <c r="B11" i="36"/>
  <c r="B13" i="36"/>
  <c r="B15" i="36"/>
  <c r="B17" i="36"/>
  <c r="B19" i="36"/>
  <c r="B21" i="36"/>
  <c r="B23" i="36"/>
  <c r="B25" i="36"/>
  <c r="B27" i="36"/>
  <c r="B29" i="36"/>
  <c r="B31" i="36"/>
  <c r="B33" i="36"/>
  <c r="B35" i="36"/>
  <c r="B37" i="36"/>
  <c r="B39" i="36"/>
  <c r="B41" i="36"/>
  <c r="B43" i="36"/>
  <c r="B45" i="36"/>
  <c r="B47" i="36"/>
  <c r="B49" i="36"/>
  <c r="B51" i="36"/>
  <c r="B53" i="36"/>
  <c r="B55" i="36"/>
  <c r="B57" i="36"/>
  <c r="B59" i="36"/>
  <c r="B61" i="36"/>
  <c r="B63" i="36"/>
  <c r="B65" i="36"/>
  <c r="B67" i="36"/>
  <c r="B69" i="36"/>
  <c r="B71" i="36"/>
  <c r="B73" i="36"/>
  <c r="B75" i="36"/>
  <c r="B77" i="36"/>
  <c r="B79" i="36"/>
  <c r="B81" i="36"/>
  <c r="B83" i="36"/>
  <c r="B85" i="36"/>
  <c r="B87" i="36"/>
  <c r="B89" i="36"/>
  <c r="B91" i="36"/>
  <c r="B93" i="36"/>
  <c r="B95" i="36"/>
  <c r="B97" i="36"/>
  <c r="B99" i="36"/>
  <c r="B101" i="36"/>
  <c r="B103" i="36"/>
  <c r="B105" i="36"/>
  <c r="E9" i="36"/>
  <c r="E21" i="36"/>
  <c r="E27" i="36"/>
  <c r="E31" i="36"/>
  <c r="E37" i="36"/>
  <c r="E45" i="36"/>
  <c r="E53" i="36"/>
  <c r="E61" i="36"/>
  <c r="E69" i="36"/>
  <c r="E73" i="36"/>
  <c r="E79" i="36"/>
  <c r="E85" i="36"/>
  <c r="E93" i="36"/>
  <c r="E103" i="36"/>
  <c r="B10" i="36"/>
  <c r="B18" i="36"/>
  <c r="B26" i="36"/>
  <c r="B34" i="36"/>
  <c r="B44" i="36"/>
  <c r="B52" i="36"/>
  <c r="B58" i="36"/>
  <c r="B66" i="36"/>
  <c r="B74" i="36"/>
  <c r="B80" i="36"/>
  <c r="B88" i="36"/>
  <c r="B98" i="36"/>
  <c r="C10" i="36"/>
  <c r="C18" i="36"/>
  <c r="C30" i="36"/>
  <c r="C36" i="36"/>
  <c r="C42" i="36"/>
  <c r="C48" i="36"/>
  <c r="C56" i="36"/>
  <c r="C64" i="36"/>
  <c r="C70" i="36"/>
  <c r="C78" i="36"/>
  <c r="C9" i="36"/>
  <c r="C11" i="36"/>
  <c r="C13" i="36"/>
  <c r="C15" i="36"/>
  <c r="C17" i="36"/>
  <c r="C19" i="36"/>
  <c r="C21" i="36"/>
  <c r="C23" i="36"/>
  <c r="C25" i="36"/>
  <c r="C27" i="36"/>
  <c r="C29" i="36"/>
  <c r="C31" i="36"/>
  <c r="C33" i="36"/>
  <c r="C35" i="36"/>
  <c r="C37" i="36"/>
  <c r="C39" i="36"/>
  <c r="C41" i="36"/>
  <c r="C43" i="36"/>
  <c r="C45" i="36"/>
  <c r="C47" i="36"/>
  <c r="C49" i="36"/>
  <c r="C51" i="36"/>
  <c r="C53" i="36"/>
  <c r="C55" i="36"/>
  <c r="C57" i="36"/>
  <c r="C59" i="36"/>
  <c r="C61" i="36"/>
  <c r="C63" i="36"/>
  <c r="C65" i="36"/>
  <c r="C67" i="36"/>
  <c r="C69" i="36"/>
  <c r="C71" i="36"/>
  <c r="C73" i="36"/>
  <c r="C75" i="36"/>
  <c r="C77" i="36"/>
  <c r="C79" i="36"/>
  <c r="C81" i="36"/>
  <c r="C83" i="36"/>
  <c r="C85" i="36"/>
  <c r="C87" i="36"/>
  <c r="C89" i="36"/>
  <c r="C91" i="36"/>
  <c r="C93" i="36"/>
  <c r="C95" i="36"/>
  <c r="C97" i="36"/>
  <c r="C99" i="36"/>
  <c r="C101" i="36"/>
  <c r="C103" i="36"/>
  <c r="C105" i="36"/>
  <c r="E11" i="36"/>
  <c r="E19" i="36"/>
  <c r="E23" i="36"/>
  <c r="E29" i="36"/>
  <c r="E33" i="36"/>
  <c r="E39" i="36"/>
  <c r="E47" i="36"/>
  <c r="E51" i="36"/>
  <c r="E59" i="36"/>
  <c r="E67" i="36"/>
  <c r="E77" i="36"/>
  <c r="E87" i="36"/>
  <c r="E95" i="36"/>
  <c r="E101" i="36"/>
  <c r="B12" i="36"/>
  <c r="B20" i="36"/>
  <c r="B28" i="36"/>
  <c r="B36" i="36"/>
  <c r="B42" i="36"/>
  <c r="B50" i="36"/>
  <c r="B62" i="36"/>
  <c r="B72" i="36"/>
  <c r="B82" i="36"/>
  <c r="B90" i="36"/>
  <c r="B96" i="36"/>
  <c r="B104" i="36"/>
  <c r="C12" i="36"/>
  <c r="C20" i="36"/>
  <c r="C28" i="36"/>
  <c r="C50" i="36"/>
  <c r="C62" i="36"/>
  <c r="C72" i="36"/>
  <c r="C82" i="36"/>
  <c r="C92" i="36"/>
  <c r="D9" i="36"/>
  <c r="D11" i="36"/>
  <c r="D13" i="36"/>
  <c r="D15" i="36"/>
  <c r="D17" i="36"/>
  <c r="D19" i="36"/>
  <c r="D21" i="36"/>
  <c r="D23" i="36"/>
  <c r="D25" i="36"/>
  <c r="D27" i="36"/>
  <c r="D29" i="36"/>
  <c r="D31" i="36"/>
  <c r="D33" i="36"/>
  <c r="D35" i="36"/>
  <c r="D37" i="36"/>
  <c r="D39" i="36"/>
  <c r="D41" i="36"/>
  <c r="D43" i="36"/>
  <c r="D45" i="36"/>
  <c r="D47" i="36"/>
  <c r="D49" i="36"/>
  <c r="D51" i="36"/>
  <c r="D53" i="36"/>
  <c r="D55" i="36"/>
  <c r="D57" i="36"/>
  <c r="D59" i="36"/>
  <c r="D61" i="36"/>
  <c r="D63" i="36"/>
  <c r="D65" i="36"/>
  <c r="D67" i="36"/>
  <c r="D69" i="36"/>
  <c r="D71" i="36"/>
  <c r="D73" i="36"/>
  <c r="D75" i="36"/>
  <c r="D77" i="36"/>
  <c r="D79" i="36"/>
  <c r="D81" i="36"/>
  <c r="D83" i="36"/>
  <c r="D85" i="36"/>
  <c r="D87" i="36"/>
  <c r="D89" i="36"/>
  <c r="D91" i="36"/>
  <c r="D93" i="36"/>
  <c r="D95" i="36"/>
  <c r="D97" i="36"/>
  <c r="D99" i="36"/>
  <c r="D101" i="36"/>
  <c r="D103" i="36"/>
  <c r="D105" i="36"/>
  <c r="E15" i="36"/>
  <c r="E41" i="36"/>
  <c r="E55" i="36"/>
  <c r="E63" i="36"/>
  <c r="E71" i="36"/>
  <c r="E81" i="36"/>
  <c r="E89" i="36"/>
  <c r="E97" i="36"/>
  <c r="E105" i="36"/>
  <c r="B16" i="36"/>
  <c r="B22" i="36"/>
  <c r="B30" i="36"/>
  <c r="B38" i="36"/>
  <c r="B48" i="36"/>
  <c r="B54" i="36"/>
  <c r="B60" i="36"/>
  <c r="B68" i="36"/>
  <c r="B76" i="36"/>
  <c r="B84" i="36"/>
  <c r="B94" i="36"/>
  <c r="B102" i="36"/>
  <c r="C16" i="36"/>
  <c r="C22" i="36"/>
  <c r="C26" i="36"/>
  <c r="C34" i="36"/>
  <c r="C38" i="36"/>
  <c r="C46" i="36"/>
  <c r="C54" i="36"/>
  <c r="C60" i="36"/>
  <c r="C66" i="36"/>
  <c r="C74" i="36"/>
  <c r="C80" i="36"/>
  <c r="C88" i="36"/>
  <c r="E13" i="36"/>
  <c r="E17" i="36"/>
  <c r="E25" i="36"/>
  <c r="E35" i="36"/>
  <c r="E43" i="36"/>
  <c r="E49" i="36"/>
  <c r="E57" i="36"/>
  <c r="E65" i="36"/>
  <c r="E75" i="36"/>
  <c r="E83" i="36"/>
  <c r="E91" i="36"/>
  <c r="E99" i="36"/>
  <c r="B14" i="36"/>
  <c r="B24" i="36"/>
  <c r="B32" i="36"/>
  <c r="B40" i="36"/>
  <c r="B46" i="36"/>
  <c r="B56" i="36"/>
  <c r="B64" i="36"/>
  <c r="B70" i="36"/>
  <c r="B78" i="36"/>
  <c r="B86" i="36"/>
  <c r="B92" i="36"/>
  <c r="B100" i="36"/>
  <c r="C14" i="36"/>
  <c r="C24" i="36"/>
  <c r="C32" i="36"/>
  <c r="C40" i="36"/>
  <c r="C44" i="36"/>
  <c r="C52" i="36"/>
  <c r="C58" i="36"/>
  <c r="C68" i="36"/>
  <c r="C76" i="36"/>
  <c r="C84" i="36"/>
  <c r="C90" i="36"/>
  <c r="E16" i="36"/>
  <c r="E24" i="36"/>
  <c r="E32" i="36"/>
  <c r="E40" i="36"/>
  <c r="E48" i="36"/>
  <c r="E56" i="36"/>
  <c r="E64" i="36"/>
  <c r="E72" i="36"/>
  <c r="D100" i="36"/>
  <c r="D10" i="36"/>
  <c r="D18" i="36"/>
  <c r="D26" i="36"/>
  <c r="D34" i="36"/>
  <c r="D42" i="36"/>
  <c r="D50" i="36"/>
  <c r="D58" i="36"/>
  <c r="D66" i="36"/>
  <c r="D74" i="36"/>
  <c r="D82" i="36"/>
  <c r="E88" i="36"/>
  <c r="C96" i="36"/>
  <c r="E100" i="36"/>
  <c r="E82" i="36"/>
  <c r="D96" i="36"/>
  <c r="C102" i="36"/>
  <c r="E12" i="36"/>
  <c r="E36" i="36"/>
  <c r="E60" i="36"/>
  <c r="E84" i="36"/>
  <c r="E102" i="36"/>
  <c r="D22" i="36"/>
  <c r="D54" i="36"/>
  <c r="C86" i="36"/>
  <c r="E30" i="36"/>
  <c r="E46" i="36"/>
  <c r="E70" i="36"/>
  <c r="E98" i="36"/>
  <c r="D24" i="36"/>
  <c r="D48" i="36"/>
  <c r="D72" i="36"/>
  <c r="D94" i="36"/>
  <c r="E94" i="36"/>
  <c r="E10" i="36"/>
  <c r="E18" i="36"/>
  <c r="E26" i="36"/>
  <c r="E34" i="36"/>
  <c r="E42" i="36"/>
  <c r="E50" i="36"/>
  <c r="E58" i="36"/>
  <c r="E66" i="36"/>
  <c r="E74" i="36"/>
  <c r="D90" i="36"/>
  <c r="E20" i="36"/>
  <c r="E44" i="36"/>
  <c r="E68" i="36"/>
  <c r="C98" i="36"/>
  <c r="D14" i="36"/>
  <c r="D38" i="36"/>
  <c r="D62" i="36"/>
  <c r="D78" i="36"/>
  <c r="D98" i="36"/>
  <c r="E22" i="36"/>
  <c r="E54" i="36"/>
  <c r="D86" i="36"/>
  <c r="D104" i="36"/>
  <c r="D32" i="36"/>
  <c r="D56" i="36"/>
  <c r="D80" i="36"/>
  <c r="C100" i="36"/>
  <c r="E104" i="36"/>
  <c r="D88" i="36"/>
  <c r="D12" i="36"/>
  <c r="D20" i="36"/>
  <c r="D28" i="36"/>
  <c r="D36" i="36"/>
  <c r="D44" i="36"/>
  <c r="D52" i="36"/>
  <c r="D60" i="36"/>
  <c r="D68" i="36"/>
  <c r="D76" i="36"/>
  <c r="D84" i="36"/>
  <c r="E90" i="36"/>
  <c r="E96" i="36"/>
  <c r="D102" i="36"/>
  <c r="E28" i="36"/>
  <c r="E52" i="36"/>
  <c r="E76" i="36"/>
  <c r="D92" i="36"/>
  <c r="D30" i="36"/>
  <c r="D46" i="36"/>
  <c r="D70" i="36"/>
  <c r="E92" i="36"/>
  <c r="C104" i="36"/>
  <c r="E14" i="36"/>
  <c r="E38" i="36"/>
  <c r="E62" i="36"/>
  <c r="E78" i="36"/>
  <c r="C94" i="36"/>
  <c r="D16" i="36"/>
  <c r="D40" i="36"/>
  <c r="D64" i="36"/>
  <c r="E86" i="36"/>
  <c r="E80" i="36"/>
  <c r="N5" i="44"/>
  <c r="B6" i="44"/>
  <c r="D6" i="44"/>
  <c r="P16" i="46" l="1"/>
  <c r="O19" i="46"/>
  <c r="P19" i="46" s="1"/>
  <c r="P18" i="46"/>
  <c r="O17" i="46"/>
  <c r="P17" i="46" s="1"/>
  <c r="O16" i="46"/>
  <c r="O14" i="46"/>
  <c r="P14" i="46" s="1"/>
  <c r="O15" i="46"/>
  <c r="P15" i="46" s="1"/>
  <c r="C7" i="44"/>
  <c r="P5" i="44"/>
  <c r="N6" i="44"/>
  <c r="B7" i="44"/>
  <c r="D7" i="44"/>
  <c r="S5" i="44" l="1"/>
  <c r="C8" i="44"/>
  <c r="N7" i="44"/>
  <c r="P6" i="44"/>
  <c r="B8" i="44"/>
  <c r="D8" i="44" s="1"/>
  <c r="S6" i="44" l="1"/>
  <c r="C9" i="44"/>
  <c r="P7" i="44"/>
  <c r="B9" i="44"/>
  <c r="D9" i="44" s="1"/>
  <c r="N8" i="44"/>
  <c r="S7" i="44" l="1"/>
  <c r="C10" i="44"/>
  <c r="N9" i="44"/>
  <c r="P8" i="44"/>
  <c r="B10" i="44"/>
  <c r="D10" i="44" s="1"/>
  <c r="S8" i="44" l="1"/>
  <c r="C11" i="44"/>
  <c r="P9" i="44"/>
  <c r="B11" i="44"/>
  <c r="D11" i="44"/>
  <c r="N10" i="44"/>
  <c r="S9" i="44" l="1"/>
  <c r="C12" i="44"/>
  <c r="P10" i="44"/>
  <c r="N11" i="44"/>
  <c r="B12" i="44"/>
  <c r="D12" i="44"/>
  <c r="S10" i="44" l="1"/>
  <c r="C13" i="44"/>
  <c r="B13" i="44"/>
  <c r="D13" i="44"/>
  <c r="N12" i="44"/>
  <c r="P11" i="44"/>
  <c r="S11" i="44" l="1"/>
  <c r="C14" i="44"/>
  <c r="N13" i="44"/>
  <c r="B14" i="44"/>
  <c r="D14" i="44"/>
  <c r="P12" i="44"/>
  <c r="S12" i="44" l="1"/>
  <c r="B8" i="38" a="1"/>
  <c r="C10" i="43"/>
  <c r="C20" i="43" a="1"/>
  <c r="N14" i="44"/>
  <c r="P13" i="44"/>
  <c r="S13" i="44" l="1"/>
  <c r="B10" i="38"/>
  <c r="B14" i="38"/>
  <c r="B18" i="38"/>
  <c r="B22" i="38"/>
  <c r="B26" i="38"/>
  <c r="B30" i="38"/>
  <c r="B34" i="38"/>
  <c r="B38" i="38"/>
  <c r="B42" i="38"/>
  <c r="B46" i="38"/>
  <c r="B50" i="38"/>
  <c r="B54" i="38"/>
  <c r="B58" i="38"/>
  <c r="B62" i="38"/>
  <c r="B66" i="38"/>
  <c r="B70" i="38"/>
  <c r="B74" i="38"/>
  <c r="B78" i="38"/>
  <c r="B82" i="38"/>
  <c r="B86" i="38"/>
  <c r="B90" i="38"/>
  <c r="B94" i="38"/>
  <c r="B98" i="38"/>
  <c r="B102" i="38"/>
  <c r="C86" i="38"/>
  <c r="C94" i="38"/>
  <c r="C102" i="38"/>
  <c r="C23" i="38"/>
  <c r="C47" i="38"/>
  <c r="C67" i="38"/>
  <c r="C91" i="38"/>
  <c r="C10" i="38"/>
  <c r="C14" i="38"/>
  <c r="C18" i="38"/>
  <c r="C22" i="38"/>
  <c r="C26" i="38"/>
  <c r="C30" i="38"/>
  <c r="C34" i="38"/>
  <c r="C38" i="38"/>
  <c r="C42" i="38"/>
  <c r="C46" i="38"/>
  <c r="C50" i="38"/>
  <c r="C54" i="38"/>
  <c r="C58" i="38"/>
  <c r="C62" i="38"/>
  <c r="C66" i="38"/>
  <c r="C70" i="38"/>
  <c r="C74" i="38"/>
  <c r="C78" i="38"/>
  <c r="C82" i="38"/>
  <c r="C90" i="38"/>
  <c r="C98" i="38"/>
  <c r="C31" i="38"/>
  <c r="C55" i="38"/>
  <c r="C71" i="38"/>
  <c r="C87" i="38"/>
  <c r="C103" i="38"/>
  <c r="B11" i="38"/>
  <c r="B15" i="38"/>
  <c r="B19" i="38"/>
  <c r="B23" i="38"/>
  <c r="B27" i="38"/>
  <c r="B31" i="38"/>
  <c r="B35" i="38"/>
  <c r="B39" i="38"/>
  <c r="B43" i="38"/>
  <c r="B47" i="38"/>
  <c r="B51" i="38"/>
  <c r="B55" i="38"/>
  <c r="B59" i="38"/>
  <c r="B63" i="38"/>
  <c r="B67" i="38"/>
  <c r="B71" i="38"/>
  <c r="B75" i="38"/>
  <c r="B79" i="38"/>
  <c r="B83" i="38"/>
  <c r="B87" i="38"/>
  <c r="B91" i="38"/>
  <c r="B95" i="38"/>
  <c r="B99" i="38"/>
  <c r="B103" i="38"/>
  <c r="C11" i="38"/>
  <c r="C19" i="38"/>
  <c r="C27" i="38"/>
  <c r="C43" i="38"/>
  <c r="C63" i="38"/>
  <c r="C79" i="38"/>
  <c r="C99" i="38"/>
  <c r="B8" i="38"/>
  <c r="B12" i="38"/>
  <c r="B16" i="38"/>
  <c r="B20" i="38"/>
  <c r="B24" i="38"/>
  <c r="B28" i="38"/>
  <c r="B32" i="38"/>
  <c r="B36" i="38"/>
  <c r="B40" i="38"/>
  <c r="B44" i="38"/>
  <c r="B48" i="38"/>
  <c r="B52" i="38"/>
  <c r="B56" i="38"/>
  <c r="B60" i="38"/>
  <c r="B64" i="38"/>
  <c r="B68" i="38"/>
  <c r="B72" i="38"/>
  <c r="B76" i="38"/>
  <c r="B80" i="38"/>
  <c r="B84" i="38"/>
  <c r="B88" i="38"/>
  <c r="B92" i="38"/>
  <c r="B96" i="38"/>
  <c r="B100" i="38"/>
  <c r="B17" i="38"/>
  <c r="B25" i="38"/>
  <c r="B33" i="38"/>
  <c r="B49" i="38"/>
  <c r="B57" i="38"/>
  <c r="B69" i="38"/>
  <c r="B77" i="38"/>
  <c r="B89" i="38"/>
  <c r="B101" i="38"/>
  <c r="C8" i="38"/>
  <c r="C12" i="38"/>
  <c r="C16" i="38"/>
  <c r="C20" i="38"/>
  <c r="C24" i="38"/>
  <c r="C28" i="38"/>
  <c r="C32" i="38"/>
  <c r="C36" i="38"/>
  <c r="C40" i="38"/>
  <c r="C44" i="38"/>
  <c r="C48" i="38"/>
  <c r="C52" i="38"/>
  <c r="C56" i="38"/>
  <c r="C60" i="38"/>
  <c r="C64" i="38"/>
  <c r="C68" i="38"/>
  <c r="C72" i="38"/>
  <c r="C76" i="38"/>
  <c r="C80" i="38"/>
  <c r="C84" i="38"/>
  <c r="C88" i="38"/>
  <c r="C92" i="38"/>
  <c r="C96" i="38"/>
  <c r="C100" i="38"/>
  <c r="B13" i="38"/>
  <c r="B21" i="38"/>
  <c r="B29" i="38"/>
  <c r="B37" i="38"/>
  <c r="B45" i="38"/>
  <c r="B53" i="38"/>
  <c r="B65" i="38"/>
  <c r="B73" i="38"/>
  <c r="B85" i="38"/>
  <c r="B97" i="38"/>
  <c r="B9" i="38"/>
  <c r="B41" i="38"/>
  <c r="B61" i="38"/>
  <c r="B81" i="38"/>
  <c r="B93" i="38"/>
  <c r="C9" i="38"/>
  <c r="C13" i="38"/>
  <c r="C17" i="38"/>
  <c r="C21" i="38"/>
  <c r="C25" i="38"/>
  <c r="C29" i="38"/>
  <c r="C33" i="38"/>
  <c r="C37" i="38"/>
  <c r="C41" i="38"/>
  <c r="C45" i="38"/>
  <c r="C49" i="38"/>
  <c r="C53" i="38"/>
  <c r="C57" i="38"/>
  <c r="C61" i="38"/>
  <c r="C65" i="38"/>
  <c r="C69" i="38"/>
  <c r="C73" i="38"/>
  <c r="C77" i="38"/>
  <c r="C81" i="38"/>
  <c r="C85" i="38"/>
  <c r="C89" i="38"/>
  <c r="C93" i="38"/>
  <c r="C97" i="38"/>
  <c r="C101" i="38"/>
  <c r="C15" i="38"/>
  <c r="C35" i="38"/>
  <c r="C39" i="38"/>
  <c r="C51" i="38"/>
  <c r="C59" i="38"/>
  <c r="C75" i="38"/>
  <c r="C83" i="38"/>
  <c r="C95" i="38"/>
  <c r="C22" i="43"/>
  <c r="C20" i="43"/>
  <c r="C21" i="43"/>
  <c r="C23" i="43"/>
  <c r="F5" i="3" a="1"/>
  <c r="F15" i="3" a="1"/>
  <c r="C24" i="43"/>
  <c r="D13" i="41"/>
  <c r="P14" i="44"/>
  <c r="S14" i="44" l="1"/>
  <c r="F7" i="3"/>
  <c r="F11" i="3"/>
  <c r="G7" i="3"/>
  <c r="G11" i="3"/>
  <c r="F8" i="3"/>
  <c r="G8" i="3"/>
  <c r="F5" i="3"/>
  <c r="F9" i="3"/>
  <c r="G5" i="3"/>
  <c r="G9" i="3"/>
  <c r="F6" i="3"/>
  <c r="F10" i="3"/>
  <c r="G6" i="3"/>
  <c r="G10" i="3"/>
  <c r="G18" i="3"/>
  <c r="F15" i="3"/>
  <c r="F19" i="3"/>
  <c r="G15" i="3"/>
  <c r="G19" i="3"/>
  <c r="F16" i="3"/>
  <c r="G16" i="3"/>
  <c r="F17" i="3"/>
  <c r="G17" i="3"/>
  <c r="F18" i="3"/>
  <c r="D27" i="41" a="1"/>
  <c r="D29" i="41" l="1"/>
  <c r="D30" i="41"/>
  <c r="D28" i="41"/>
  <c r="D27" i="41"/>
  <c r="C30" i="13"/>
  <c r="C5" i="13"/>
  <c r="C6" i="9"/>
  <c r="E27" i="7"/>
  <c r="I24" i="7"/>
  <c r="M21" i="7"/>
  <c r="E20" i="7"/>
  <c r="I19" i="7"/>
  <c r="M16" i="7"/>
  <c r="E12" i="7"/>
  <c r="M11" i="7"/>
  <c r="M5" i="7"/>
  <c r="E5" i="7"/>
  <c r="E6" i="7" s="1"/>
  <c r="F31" i="3"/>
  <c r="E30" i="13" a="1"/>
  <c r="E5" i="13" a="1"/>
  <c r="E6" i="9" a="1"/>
  <c r="E23" i="7"/>
  <c r="M7" i="7"/>
  <c r="E8" i="7"/>
  <c r="I14" i="7"/>
  <c r="I6" i="7"/>
  <c r="M12" i="7"/>
  <c r="M23" i="7"/>
  <c r="E16" i="7"/>
  <c r="I20" i="7"/>
  <c r="E30" i="7"/>
  <c r="I25" i="7"/>
  <c r="M17" i="7"/>
  <c r="D31" i="41"/>
  <c r="H6" i="9" l="1"/>
  <c r="J7" i="9"/>
  <c r="F9" i="9"/>
  <c r="H10" i="9"/>
  <c r="J11" i="9"/>
  <c r="F13" i="9"/>
  <c r="H14" i="9"/>
  <c r="J15" i="9"/>
  <c r="F17" i="9"/>
  <c r="H18" i="9"/>
  <c r="J19" i="9"/>
  <c r="F21" i="9"/>
  <c r="H22" i="9"/>
  <c r="I17" i="9"/>
  <c r="H8" i="9"/>
  <c r="H12" i="9"/>
  <c r="J17" i="9"/>
  <c r="I11" i="9"/>
  <c r="E21" i="9"/>
  <c r="I6" i="9"/>
  <c r="E8" i="9"/>
  <c r="G9" i="9"/>
  <c r="I10" i="9"/>
  <c r="E12" i="9"/>
  <c r="G13" i="9"/>
  <c r="I14" i="9"/>
  <c r="E16" i="9"/>
  <c r="G17" i="9"/>
  <c r="I18" i="9"/>
  <c r="E20" i="9"/>
  <c r="G21" i="9"/>
  <c r="I22" i="9"/>
  <c r="J22" i="9"/>
  <c r="G20" i="9"/>
  <c r="J9" i="9"/>
  <c r="F15" i="9"/>
  <c r="J21" i="9"/>
  <c r="G10" i="9"/>
  <c r="G18" i="9"/>
  <c r="J6" i="9"/>
  <c r="F8" i="9"/>
  <c r="H9" i="9"/>
  <c r="J10" i="9"/>
  <c r="F12" i="9"/>
  <c r="H13" i="9"/>
  <c r="J14" i="9"/>
  <c r="F16" i="9"/>
  <c r="H17" i="9"/>
  <c r="J18" i="9"/>
  <c r="F20" i="9"/>
  <c r="H21" i="9"/>
  <c r="E19" i="9"/>
  <c r="F7" i="9"/>
  <c r="F11" i="9"/>
  <c r="H16" i="9"/>
  <c r="H20" i="9"/>
  <c r="G14" i="9"/>
  <c r="E7" i="9"/>
  <c r="G8" i="9"/>
  <c r="I9" i="9"/>
  <c r="E11" i="9"/>
  <c r="G12" i="9"/>
  <c r="I13" i="9"/>
  <c r="E15" i="9"/>
  <c r="G16" i="9"/>
  <c r="I21" i="9"/>
  <c r="J13" i="9"/>
  <c r="F19" i="9"/>
  <c r="E9" i="9"/>
  <c r="I15" i="9"/>
  <c r="G22" i="9"/>
  <c r="E6" i="9"/>
  <c r="G7" i="9"/>
  <c r="I8" i="9"/>
  <c r="E10" i="9"/>
  <c r="G11" i="9"/>
  <c r="I12" i="9"/>
  <c r="E14" i="9"/>
  <c r="G15" i="9"/>
  <c r="I16" i="9"/>
  <c r="E18" i="9"/>
  <c r="G19" i="9"/>
  <c r="I20" i="9"/>
  <c r="E22" i="9"/>
  <c r="I7" i="9"/>
  <c r="E17" i="9"/>
  <c r="F6" i="9"/>
  <c r="H7" i="9"/>
  <c r="J8" i="9"/>
  <c r="F10" i="9"/>
  <c r="H11" i="9"/>
  <c r="J12" i="9"/>
  <c r="F14" i="9"/>
  <c r="H15" i="9"/>
  <c r="J16" i="9"/>
  <c r="F18" i="9"/>
  <c r="H19" i="9"/>
  <c r="J20" i="9"/>
  <c r="F22" i="9"/>
  <c r="G6" i="9"/>
  <c r="E13" i="9"/>
  <c r="I19" i="9"/>
  <c r="F51" i="13"/>
  <c r="E50" i="13"/>
  <c r="K48" i="13"/>
  <c r="J47" i="13"/>
  <c r="I46" i="13"/>
  <c r="H45" i="13"/>
  <c r="G44" i="13"/>
  <c r="F43" i="13"/>
  <c r="E42" i="13"/>
  <c r="K40" i="13"/>
  <c r="J39" i="13"/>
  <c r="I38" i="13"/>
  <c r="H37" i="13"/>
  <c r="G36" i="13"/>
  <c r="F35" i="13"/>
  <c r="E34" i="13"/>
  <c r="K32" i="13"/>
  <c r="J31" i="13"/>
  <c r="I30" i="13"/>
  <c r="I51" i="13"/>
  <c r="F48" i="13"/>
  <c r="J44" i="13"/>
  <c r="G41" i="13"/>
  <c r="J36" i="13"/>
  <c r="H34" i="13"/>
  <c r="E31" i="13"/>
  <c r="E48" i="13"/>
  <c r="H43" i="13"/>
  <c r="K38" i="13"/>
  <c r="E32" i="13"/>
  <c r="E51" i="13"/>
  <c r="K49" i="13"/>
  <c r="J48" i="13"/>
  <c r="I47" i="13"/>
  <c r="H46" i="13"/>
  <c r="G45" i="13"/>
  <c r="F44" i="13"/>
  <c r="E43" i="13"/>
  <c r="K41" i="13"/>
  <c r="J40" i="13"/>
  <c r="I39" i="13"/>
  <c r="H38" i="13"/>
  <c r="G37" i="13"/>
  <c r="F36" i="13"/>
  <c r="E35" i="13"/>
  <c r="K33" i="13"/>
  <c r="J32" i="13"/>
  <c r="I31" i="13"/>
  <c r="H30" i="13"/>
  <c r="E39" i="13"/>
  <c r="G50" i="13"/>
  <c r="K46" i="13"/>
  <c r="F41" i="13"/>
  <c r="I36" i="13"/>
  <c r="K50" i="13"/>
  <c r="J49" i="13"/>
  <c r="I48" i="13"/>
  <c r="H47" i="13"/>
  <c r="G46" i="13"/>
  <c r="F45" i="13"/>
  <c r="E44" i="13"/>
  <c r="K42" i="13"/>
  <c r="J41" i="13"/>
  <c r="I40" i="13"/>
  <c r="H39" i="13"/>
  <c r="G38" i="13"/>
  <c r="F37" i="13"/>
  <c r="E36" i="13"/>
  <c r="K34" i="13"/>
  <c r="J33" i="13"/>
  <c r="I32" i="13"/>
  <c r="H31" i="13"/>
  <c r="G30" i="13"/>
  <c r="F40" i="13"/>
  <c r="J45" i="13"/>
  <c r="K51" i="13"/>
  <c r="J50" i="13"/>
  <c r="I49" i="13"/>
  <c r="H48" i="13"/>
  <c r="G47" i="13"/>
  <c r="F46" i="13"/>
  <c r="E45" i="13"/>
  <c r="K43" i="13"/>
  <c r="J42" i="13"/>
  <c r="I41" i="13"/>
  <c r="H40" i="13"/>
  <c r="G39" i="13"/>
  <c r="F38" i="13"/>
  <c r="E37" i="13"/>
  <c r="K35" i="13"/>
  <c r="J34" i="13"/>
  <c r="I33" i="13"/>
  <c r="H32" i="13"/>
  <c r="G31" i="13"/>
  <c r="F30" i="13"/>
  <c r="G49" i="13"/>
  <c r="I43" i="13"/>
  <c r="I35" i="13"/>
  <c r="F49" i="13"/>
  <c r="I44" i="13"/>
  <c r="E40" i="13"/>
  <c r="H35" i="13"/>
  <c r="K30" i="13"/>
  <c r="J51" i="13"/>
  <c r="I50" i="13"/>
  <c r="H49" i="13"/>
  <c r="G48" i="13"/>
  <c r="F47" i="13"/>
  <c r="E46" i="13"/>
  <c r="K44" i="13"/>
  <c r="J43" i="13"/>
  <c r="I42" i="13"/>
  <c r="H41" i="13"/>
  <c r="G40" i="13"/>
  <c r="F39" i="13"/>
  <c r="E38" i="13"/>
  <c r="K36" i="13"/>
  <c r="J35" i="13"/>
  <c r="I34" i="13"/>
  <c r="H33" i="13"/>
  <c r="G32" i="13"/>
  <c r="F31" i="13"/>
  <c r="E30" i="13"/>
  <c r="H50" i="13"/>
  <c r="K45" i="13"/>
  <c r="H42" i="13"/>
  <c r="K37" i="13"/>
  <c r="G33" i="13"/>
  <c r="H51" i="13"/>
  <c r="G42" i="13"/>
  <c r="J37" i="13"/>
  <c r="F33" i="13"/>
  <c r="G51" i="13"/>
  <c r="F50" i="13"/>
  <c r="E49" i="13"/>
  <c r="K47" i="13"/>
  <c r="J46" i="13"/>
  <c r="I45" i="13"/>
  <c r="H44" i="13"/>
  <c r="G43" i="13"/>
  <c r="F42" i="13"/>
  <c r="E41" i="13"/>
  <c r="K39" i="13"/>
  <c r="J38" i="13"/>
  <c r="I37" i="13"/>
  <c r="H36" i="13"/>
  <c r="G35" i="13"/>
  <c r="F34" i="13"/>
  <c r="E33" i="13"/>
  <c r="K31" i="13"/>
  <c r="J30" i="13"/>
  <c r="E47" i="13"/>
  <c r="F32" i="13"/>
  <c r="G34" i="13"/>
  <c r="J26" i="13"/>
  <c r="I25" i="13"/>
  <c r="H24" i="13"/>
  <c r="G23" i="13"/>
  <c r="F22" i="13"/>
  <c r="E21" i="13"/>
  <c r="K19" i="13"/>
  <c r="J18" i="13"/>
  <c r="I17" i="13"/>
  <c r="H16" i="13"/>
  <c r="G15" i="13"/>
  <c r="F14" i="13"/>
  <c r="E13" i="13"/>
  <c r="K11" i="13"/>
  <c r="J10" i="13"/>
  <c r="I9" i="13"/>
  <c r="H8" i="13"/>
  <c r="G7" i="13"/>
  <c r="F6" i="13"/>
  <c r="E5" i="13"/>
  <c r="K24" i="13"/>
  <c r="J23" i="13"/>
  <c r="H21" i="13"/>
  <c r="F19" i="13"/>
  <c r="J15" i="13"/>
  <c r="H13" i="13"/>
  <c r="F11" i="13"/>
  <c r="K8" i="13"/>
  <c r="I6" i="13"/>
  <c r="J24" i="13"/>
  <c r="H22" i="13"/>
  <c r="K17" i="13"/>
  <c r="G13" i="13"/>
  <c r="J8" i="13"/>
  <c r="H6" i="13"/>
  <c r="I26" i="13"/>
  <c r="H25" i="13"/>
  <c r="G24" i="13"/>
  <c r="F23" i="13"/>
  <c r="E22" i="13"/>
  <c r="K20" i="13"/>
  <c r="J19" i="13"/>
  <c r="I18" i="13"/>
  <c r="H17" i="13"/>
  <c r="G16" i="13"/>
  <c r="F15" i="13"/>
  <c r="E14" i="13"/>
  <c r="K12" i="13"/>
  <c r="J11" i="13"/>
  <c r="I10" i="13"/>
  <c r="H9" i="13"/>
  <c r="G8" i="13"/>
  <c r="F7" i="13"/>
  <c r="E6" i="13"/>
  <c r="H26" i="13"/>
  <c r="G25" i="13"/>
  <c r="F24" i="13"/>
  <c r="E23" i="13"/>
  <c r="K21" i="13"/>
  <c r="J20" i="13"/>
  <c r="I19" i="13"/>
  <c r="H18" i="13"/>
  <c r="G17" i="13"/>
  <c r="F16" i="13"/>
  <c r="E15" i="13"/>
  <c r="K13" i="13"/>
  <c r="J12" i="13"/>
  <c r="I11" i="13"/>
  <c r="H10" i="13"/>
  <c r="G9" i="13"/>
  <c r="F8" i="13"/>
  <c r="E7" i="13"/>
  <c r="K5" i="13"/>
  <c r="F12" i="13"/>
  <c r="G26" i="13"/>
  <c r="F25" i="13"/>
  <c r="E24" i="13"/>
  <c r="K22" i="13"/>
  <c r="J21" i="13"/>
  <c r="I20" i="13"/>
  <c r="H19" i="13"/>
  <c r="G18" i="13"/>
  <c r="F17" i="13"/>
  <c r="E16" i="13"/>
  <c r="K14" i="13"/>
  <c r="J13" i="13"/>
  <c r="I12" i="13"/>
  <c r="H11" i="13"/>
  <c r="G10" i="13"/>
  <c r="F9" i="13"/>
  <c r="E8" i="13"/>
  <c r="K6" i="13"/>
  <c r="J5" i="13"/>
  <c r="I23" i="13"/>
  <c r="F20" i="13"/>
  <c r="J16" i="13"/>
  <c r="E11" i="13"/>
  <c r="I7" i="13"/>
  <c r="F26" i="13"/>
  <c r="E25" i="13"/>
  <c r="K23" i="13"/>
  <c r="J22" i="13"/>
  <c r="I21" i="13"/>
  <c r="H20" i="13"/>
  <c r="G19" i="13"/>
  <c r="F18" i="13"/>
  <c r="E17" i="13"/>
  <c r="K15" i="13"/>
  <c r="J14" i="13"/>
  <c r="I13" i="13"/>
  <c r="H12" i="13"/>
  <c r="G11" i="13"/>
  <c r="F10" i="13"/>
  <c r="E9" i="13"/>
  <c r="K7" i="13"/>
  <c r="J6" i="13"/>
  <c r="I5" i="13"/>
  <c r="E26" i="13"/>
  <c r="I22" i="13"/>
  <c r="G20" i="13"/>
  <c r="K16" i="13"/>
  <c r="I14" i="13"/>
  <c r="G12" i="13"/>
  <c r="J7" i="13"/>
  <c r="H5" i="13"/>
  <c r="K25" i="13"/>
  <c r="G21" i="13"/>
  <c r="E19" i="13"/>
  <c r="I15" i="13"/>
  <c r="K9" i="13"/>
  <c r="G5" i="13"/>
  <c r="K26" i="13"/>
  <c r="J25" i="13"/>
  <c r="I24" i="13"/>
  <c r="H23" i="13"/>
  <c r="G22" i="13"/>
  <c r="F21" i="13"/>
  <c r="E20" i="13"/>
  <c r="K18" i="13"/>
  <c r="J17" i="13"/>
  <c r="I16" i="13"/>
  <c r="H15" i="13"/>
  <c r="G14" i="13"/>
  <c r="F13" i="13"/>
  <c r="E12" i="13"/>
  <c r="K10" i="13"/>
  <c r="J9" i="13"/>
  <c r="I8" i="13"/>
  <c r="H7" i="13"/>
  <c r="G6" i="13"/>
  <c r="F5" i="13"/>
  <c r="E18" i="13"/>
  <c r="E10" i="13"/>
  <c r="H14" i="13"/>
  <c r="D13" i="42"/>
  <c r="D27" i="42" a="1"/>
  <c r="D27" i="42" l="1"/>
  <c r="D28" i="42"/>
  <c r="D29" i="42"/>
  <c r="D30" i="42"/>
  <c r="D31" i="42"/>
</calcChain>
</file>

<file path=xl/sharedStrings.xml><?xml version="1.0" encoding="utf-8"?>
<sst xmlns="http://schemas.openxmlformats.org/spreadsheetml/2006/main" count="1384" uniqueCount="514">
  <si>
    <t>EUR</t>
  </si>
  <si>
    <t>CurveCollection</t>
  </si>
  <si>
    <t>EURYC</t>
  </si>
  <si>
    <t>OIS</t>
  </si>
  <si>
    <t>AsOfDate</t>
  </si>
  <si>
    <t>Currency</t>
  </si>
  <si>
    <t xml:space="preserve"> </t>
  </si>
  <si>
    <t>TGT</t>
  </si>
  <si>
    <t>Term</t>
  </si>
  <si>
    <t>Rate</t>
  </si>
  <si>
    <t>StartDate</t>
  </si>
  <si>
    <t>EndDate</t>
  </si>
  <si>
    <t>Use</t>
  </si>
  <si>
    <t>Calendar</t>
  </si>
  <si>
    <t>ACT/360</t>
  </si>
  <si>
    <t>DayCount</t>
  </si>
  <si>
    <t>FOLLOWING</t>
  </si>
  <si>
    <t>0D</t>
  </si>
  <si>
    <t>MOD_FOLLOWING</t>
  </si>
  <si>
    <t>SEMI-ANNUAL</t>
  </si>
  <si>
    <t>QUARTERLY</t>
  </si>
  <si>
    <t>6M</t>
  </si>
  <si>
    <t>1M</t>
  </si>
  <si>
    <t>Volatility</t>
  </si>
  <si>
    <t>30/360</t>
  </si>
  <si>
    <t>Semi-Annual</t>
  </si>
  <si>
    <t>NYB</t>
  </si>
  <si>
    <t>1Y</t>
  </si>
  <si>
    <t>ON</t>
  </si>
  <si>
    <t/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</si>
  <si>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</si>
  <si>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</si>
  <si>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</si>
  <si>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</si>
  <si>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</si>
  <si>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</si>
  <si>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</si>
  <si>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</si>
  <si>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</si>
  <si>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</si>
  <si>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</si>
  <si>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</si>
  <si>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</si>
  <si>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</si>
  <si>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</si>
  <si>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</si>
  <si>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COB</t>
  </si>
  <si>
    <t>meDateBusinessDays</t>
  </si>
  <si>
    <t>meDateCentralBank</t>
  </si>
  <si>
    <t>meDateECB</t>
  </si>
  <si>
    <t>meDateFromTenor</t>
  </si>
  <si>
    <t>meDateFromYearFraction</t>
  </si>
  <si>
    <t>meDateFuturesContract</t>
  </si>
  <si>
    <t>meDateIMMFromMonth</t>
  </si>
  <si>
    <t>meDateIsHoliday</t>
  </si>
  <si>
    <t>meDateIsWeekday</t>
  </si>
  <si>
    <t>meDateIsWeekend</t>
  </si>
  <si>
    <t>meDateIsWorkingDay</t>
  </si>
  <si>
    <t>meDateNthIMM</t>
  </si>
  <si>
    <t>meDateNthIMMFromStartDate</t>
  </si>
  <si>
    <t>meDateYearFraction</t>
  </si>
  <si>
    <t>From</t>
  </si>
  <si>
    <t>To</t>
  </si>
  <si>
    <t>meDate…</t>
  </si>
  <si>
    <t>CentralBankID</t>
  </si>
  <si>
    <t>ECB</t>
  </si>
  <si>
    <t>NextCentralBankDate</t>
  </si>
  <si>
    <t>ReferenceDate</t>
  </si>
  <si>
    <t>NextECBDate</t>
  </si>
  <si>
    <t>Tenor</t>
  </si>
  <si>
    <t>BusinessDayAdjustment</t>
  </si>
  <si>
    <t>ResultDate</t>
  </si>
  <si>
    <t>NumberOfBusinessDays</t>
  </si>
  <si>
    <t>YearFraction</t>
  </si>
  <si>
    <t>ACT/365</t>
  </si>
  <si>
    <t>Ticker</t>
  </si>
  <si>
    <t>Z9</t>
  </si>
  <si>
    <t>Year</t>
  </si>
  <si>
    <t>Month</t>
  </si>
  <si>
    <t>Calendars</t>
  </si>
  <si>
    <t>Daycounts</t>
  </si>
  <si>
    <t>AmB</t>
  </si>
  <si>
    <t>AuB</t>
  </si>
  <si>
    <t>BeB</t>
  </si>
  <si>
    <t>BkB</t>
  </si>
  <si>
    <t>BMA</t>
  </si>
  <si>
    <t>BmB</t>
  </si>
  <si>
    <t>BxB</t>
  </si>
  <si>
    <t>CoB</t>
  </si>
  <si>
    <t>FrB</t>
  </si>
  <si>
    <t>HeB</t>
  </si>
  <si>
    <t>HKB</t>
  </si>
  <si>
    <t>IsB</t>
  </si>
  <si>
    <t>JaB</t>
  </si>
  <si>
    <t>JoB</t>
  </si>
  <si>
    <t>KLB</t>
  </si>
  <si>
    <t>LnB</t>
  </si>
  <si>
    <t>LxB</t>
  </si>
  <si>
    <t>MeB</t>
  </si>
  <si>
    <t>MoB</t>
  </si>
  <si>
    <t>MwB</t>
  </si>
  <si>
    <t>MxB</t>
  </si>
  <si>
    <t>NBR</t>
  </si>
  <si>
    <t>OsB</t>
  </si>
  <si>
    <t>RiB</t>
  </si>
  <si>
    <t>RJB</t>
  </si>
  <si>
    <t>SeB</t>
  </si>
  <si>
    <t>SiB</t>
  </si>
  <si>
    <t>SPB</t>
  </si>
  <si>
    <t>SyB</t>
  </si>
  <si>
    <t>Tgt</t>
  </si>
  <si>
    <t>TkB</t>
  </si>
  <si>
    <t>TpB</t>
  </si>
  <si>
    <t>TrB</t>
  </si>
  <si>
    <t>StB</t>
  </si>
  <si>
    <t>ViB</t>
  </si>
  <si>
    <t>WeB</t>
  </si>
  <si>
    <t>ZuB</t>
  </si>
  <si>
    <t>MOD_PRECEDING</t>
  </si>
  <si>
    <t>PRECEDING</t>
  </si>
  <si>
    <t>NO_CHANGE</t>
  </si>
  <si>
    <t>ACT/ACT</t>
  </si>
  <si>
    <t>ACT/365_ISDA</t>
  </si>
  <si>
    <t>ACT/365FJ</t>
  </si>
  <si>
    <t>ACT/ACT_ISMA</t>
  </si>
  <si>
    <r>
      <t>Calendar Codes</t>
    </r>
    <r>
      <rPr>
        <b/>
        <sz val="11"/>
        <color theme="1" tint="0.499984740745262"/>
        <rFont val="Calibri"/>
        <family val="2"/>
        <scheme val="minor"/>
      </rPr>
      <t xml:space="preserve"> </t>
    </r>
    <r>
      <rPr>
        <b/>
        <i/>
        <sz val="11"/>
        <color theme="1" tint="0.499984740745262"/>
        <rFont val="Calibri"/>
        <family val="2"/>
        <scheme val="minor"/>
      </rPr>
      <t>(Sourced from SwapsWire)</t>
    </r>
  </si>
  <si>
    <t>Result</t>
  </si>
  <si>
    <t>LNB:NYB:TKB</t>
  </si>
  <si>
    <t>meUtilities…</t>
  </si>
  <si>
    <t>meUtilityClearLWOCache</t>
  </si>
  <si>
    <t>meUtilityVersion</t>
  </si>
  <si>
    <t>meUtilityResize</t>
  </si>
  <si>
    <t>meUtilityRecord</t>
  </si>
  <si>
    <t>meUtilityReplay</t>
  </si>
  <si>
    <t>1=meUtilityClearLWOCache()</t>
  </si>
  <si>
    <t>meProductSwapSchedule</t>
  </si>
  <si>
    <t>meUtilityLVB</t>
  </si>
  <si>
    <t>EffectiveDate</t>
  </si>
  <si>
    <t>MaturityDate</t>
  </si>
  <si>
    <t>AccrualDaycount</t>
  </si>
  <si>
    <t>AccrualFrequency</t>
  </si>
  <si>
    <t>Quarterly</t>
  </si>
  <si>
    <t>AccrualBusinessDayAdjustment</t>
  </si>
  <si>
    <t>AccrualCalendar</t>
  </si>
  <si>
    <t>PaymentFrequency</t>
  </si>
  <si>
    <t>PaymentBusinessDayAdjustment</t>
  </si>
  <si>
    <t>PaymentCalendar</t>
  </si>
  <si>
    <t>PaymentLag</t>
  </si>
  <si>
    <t>FixingBusinessDayAdjustment</t>
  </si>
  <si>
    <t>FixingCalendar</t>
  </si>
  <si>
    <t>FixingLag</t>
  </si>
  <si>
    <t>FixingAdvanceOrArrear</t>
  </si>
  <si>
    <t>ADVANCE</t>
  </si>
  <si>
    <t>FirstStubDate</t>
  </si>
  <si>
    <t>LastStubDate</t>
  </si>
  <si>
    <t>RollDay</t>
  </si>
  <si>
    <t>BondLVB</t>
  </si>
  <si>
    <t>Fixed Bond Schedule</t>
  </si>
  <si>
    <t>FixedRate</t>
  </si>
  <si>
    <t>AccrualDayCount</t>
  </si>
  <si>
    <t>Act/Act</t>
  </si>
  <si>
    <t>Float Bond Schedule</t>
  </si>
  <si>
    <t>meProductBondSchedule</t>
  </si>
  <si>
    <t>MLIB Browser</t>
  </si>
  <si>
    <t>MLIB Analytics Ribbon</t>
  </si>
  <si>
    <t>Highlights</t>
  </si>
  <si>
    <t>Clear MLIB Cache</t>
  </si>
  <si>
    <t>MLIB Version</t>
  </si>
  <si>
    <t>Record MLIB Functions</t>
  </si>
  <si>
    <t>Navigate to the MLIB Examples Folder</t>
  </si>
  <si>
    <t>Clear the MLIB Object Memory</t>
  </si>
  <si>
    <t>Show the MLIB Version and License Expiry Date!!!</t>
  </si>
  <si>
    <t>Record / Log MLIB Functions</t>
  </si>
  <si>
    <t>Sticky Handles</t>
  </si>
  <si>
    <t>Toggle the Object Safety Feature On / Off ( discussed later )</t>
  </si>
  <si>
    <t>Developer Tools</t>
  </si>
  <si>
    <t>MLIB Dojo - Automation Dashboard</t>
  </si>
  <si>
    <t>Test Ninja - Test Harness</t>
  </si>
  <si>
    <r>
      <rPr>
        <u/>
        <sz val="11"/>
        <rFont val="Arial"/>
        <family val="2"/>
      </rPr>
      <t>Features</t>
    </r>
    <r>
      <rPr>
        <sz val="11"/>
        <rFont val="Arial"/>
        <family val="2"/>
      </rPr>
      <t>: Parallized Tests, Debug Support, Test Rebasing / Reset Features, Test Failure Logging and Explain</t>
    </r>
  </si>
  <si>
    <r>
      <rPr>
        <u/>
        <sz val="11"/>
        <rFont val="Arial"/>
        <family val="2"/>
      </rPr>
      <t>Features</t>
    </r>
    <r>
      <rPr>
        <sz val="11"/>
        <rFont val="Arial"/>
        <family val="2"/>
      </rPr>
      <t>: Regional and Customized Automation Dashboard for Speedy Automation of Quant Tasks</t>
    </r>
  </si>
  <si>
    <t>meCurve…</t>
  </si>
  <si>
    <t>meLWO…</t>
  </si>
  <si>
    <t>meCurveCalibrateOIS</t>
  </si>
  <si>
    <t>meCurveCalibrateSwap</t>
  </si>
  <si>
    <t>meCurveCalibrateBasis</t>
  </si>
  <si>
    <t>meLWOCurveCalibrate</t>
  </si>
  <si>
    <t>meLWOCurveDisplay</t>
  </si>
  <si>
    <t>meLWOCurveMarketDataCreate</t>
  </si>
  <si>
    <t>meLWOCurve…</t>
  </si>
  <si>
    <t>meCurveCalibrateFXForwards</t>
  </si>
  <si>
    <t>meCurveDiscountFactors</t>
  </si>
  <si>
    <t>meCurveForwardRates</t>
  </si>
  <si>
    <t>meLWOSwap…</t>
  </si>
  <si>
    <t>meLWOSwapCreateFromGenerator</t>
  </si>
  <si>
    <t>meLWOSwapDisplayCashflows</t>
  </si>
  <si>
    <t>meLWOSwapCreate</t>
  </si>
  <si>
    <t>meLWOSwapAddFee</t>
  </si>
  <si>
    <t>meLWOSwapDeltaLadder</t>
  </si>
  <si>
    <t>meLWOSwapAnnuity</t>
  </si>
  <si>
    <t>meLWOSwapParRate</t>
  </si>
  <si>
    <t>meLWOSwapParSpread</t>
  </si>
  <si>
    <t>meLWOSwapPV01</t>
  </si>
  <si>
    <t>meLWOSwapDV01</t>
  </si>
  <si>
    <t>meLWOSwapDisplay</t>
  </si>
  <si>
    <t>meLWOBondCreate</t>
  </si>
  <si>
    <t>meLWOBondDirtyPrice</t>
  </si>
  <si>
    <t>meLWOBondCleanPrice</t>
  </si>
  <si>
    <t>meLWOBondAccruedInterest</t>
  </si>
  <si>
    <t>meLWOBondAccruedInterestDays</t>
  </si>
  <si>
    <t>meLWOBondCompoundYield</t>
  </si>
  <si>
    <t>meLWOBondYield</t>
  </si>
  <si>
    <t>meLWOBondDV01</t>
  </si>
  <si>
    <t>meLWOBondModifiedDuration</t>
  </si>
  <si>
    <t>meLWOBondDisplayCashflows</t>
  </si>
  <si>
    <t>meLWOBondDisplaySchedule</t>
  </si>
  <si>
    <t>meLWOBondDV01Numerical</t>
  </si>
  <si>
    <t>meLWOBond…</t>
  </si>
  <si>
    <t>meLWOExists</t>
  </si>
  <si>
    <t>meLWOList</t>
  </si>
  <si>
    <t>meLWODelete</t>
  </si>
  <si>
    <t>meLWODeleteAll</t>
  </si>
  <si>
    <t>meLWOSave</t>
  </si>
  <si>
    <t>meLWOScheduleCreate</t>
  </si>
  <si>
    <t>meLWOScheduleCreateBespoke</t>
  </si>
  <si>
    <t>meLWOScheduleDisplay</t>
  </si>
  <si>
    <t>meLWOLoad</t>
  </si>
  <si>
    <t>meLWOType</t>
  </si>
  <si>
    <t>IMM</t>
  </si>
  <si>
    <t>1W</t>
  </si>
  <si>
    <t>2W</t>
  </si>
  <si>
    <t>3W</t>
  </si>
  <si>
    <t>2M</t>
  </si>
  <si>
    <t>3M</t>
  </si>
  <si>
    <t>4M</t>
  </si>
  <si>
    <t>5M</t>
  </si>
  <si>
    <t>9M</t>
  </si>
  <si>
    <t>MLIB Ribbon</t>
  </si>
  <si>
    <t>Orientation</t>
  </si>
  <si>
    <t>Functions</t>
  </si>
  <si>
    <t>Conventions</t>
  </si>
  <si>
    <t>Dates &amp; Schedule Generation</t>
  </si>
  <si>
    <t>Utilities</t>
  </si>
  <si>
    <t>Purpose:</t>
  </si>
  <si>
    <r>
      <t xml:space="preserve">meUtilityRecord( </t>
    </r>
    <r>
      <rPr>
        <sz val="11"/>
        <rFont val="Calibri"/>
        <family val="2"/>
        <scheme val="minor"/>
      </rPr>
      <t>Enable</t>
    </r>
    <r>
      <rPr>
        <sz val="11"/>
        <color rgb="FF006600"/>
        <rFont val="Calibri"/>
        <family val="2"/>
        <scheme val="minor"/>
      </rPr>
      <t xml:space="preserve">=True\False, </t>
    </r>
    <r>
      <rPr>
        <sz val="11"/>
        <rFont val="Calibri"/>
        <family val="2"/>
        <scheme val="minor"/>
      </rPr>
      <t>Folder</t>
    </r>
    <r>
      <rPr>
        <sz val="11"/>
        <color rgb="FF006600"/>
        <rFont val="Calibri"/>
        <family val="2"/>
        <scheme val="minor"/>
      </rPr>
      <t>="C:\Temp\" )</t>
    </r>
  </si>
  <si>
    <t>Calendar &amp; Daycount Conventions</t>
  </si>
  <si>
    <t>Swap Schedule Generation</t>
  </si>
  <si>
    <t>Bond Schedule Generation</t>
  </si>
  <si>
    <t>Utility Functions</t>
  </si>
  <si>
    <t>Date Functions</t>
  </si>
  <si>
    <t>Epsilon</t>
  </si>
  <si>
    <t>Forward Rates</t>
  </si>
  <si>
    <t>Curve Collection</t>
  </si>
  <si>
    <t>Discount Factors</t>
  </si>
  <si>
    <t>Leg1:Fixed</t>
  </si>
  <si>
    <t>Leg2:Float</t>
  </si>
  <si>
    <t>Notional</t>
  </si>
  <si>
    <t>NONE</t>
  </si>
  <si>
    <t>NORMAL</t>
  </si>
  <si>
    <t>ShortStart</t>
  </si>
  <si>
    <t>PV</t>
  </si>
  <si>
    <t>ParRate</t>
  </si>
  <si>
    <t>PV01</t>
  </si>
  <si>
    <t>Annuity</t>
  </si>
  <si>
    <t>Swap Pricing &amp; Risk</t>
  </si>
  <si>
    <t>Yield Curves</t>
  </si>
  <si>
    <t>Forward Rates &amp; Discount Factors</t>
  </si>
  <si>
    <t>Quick Save / Load</t>
  </si>
  <si>
    <t>Save / Load MLIB Objects</t>
  </si>
  <si>
    <t>Curve Calibration</t>
  </si>
  <si>
    <t>Open the Curve Calibration Toolkit</t>
  </si>
  <si>
    <t>Function Groups</t>
  </si>
  <si>
    <t>meDateIMMCurrent</t>
  </si>
  <si>
    <t>meDateIMMNext</t>
  </si>
  <si>
    <t>meDateIMMNth</t>
  </si>
  <si>
    <t>meDateToday</t>
  </si>
  <si>
    <t>meLWOSchedule…</t>
  </si>
  <si>
    <t>meLWOCurveBumpAll</t>
  </si>
  <si>
    <t>meLWOCurveBumpInstrument</t>
  </si>
  <si>
    <t>meLWOCurveForwardRatesTable</t>
  </si>
  <si>
    <t>meUtilityDataFilter</t>
  </si>
  <si>
    <t>meUtilityInterpolation</t>
  </si>
  <si>
    <t>meUtilityClean</t>
  </si>
  <si>
    <t>meUtilityPCA</t>
  </si>
  <si>
    <t>meUtilityParallelModeEnable</t>
  </si>
  <si>
    <t>a</t>
  </si>
  <si>
    <t>Block1</t>
  </si>
  <si>
    <t>c</t>
  </si>
  <si>
    <t>b</t>
  </si>
  <si>
    <t>d</t>
  </si>
  <si>
    <t>Block2</t>
  </si>
  <si>
    <t>e</t>
  </si>
  <si>
    <t>f</t>
  </si>
  <si>
    <t>g</t>
  </si>
  <si>
    <t>meUtilityAppend</t>
  </si>
  <si>
    <t>#Error</t>
  </si>
  <si>
    <t>RawData</t>
  </si>
  <si>
    <t>Workshop: Getting Started with MLIBQ for Windows 10</t>
  </si>
  <si>
    <t>MARKETDATAPROPERTIES</t>
  </si>
  <si>
    <t>LIBOROISBASISSPREADS</t>
  </si>
  <si>
    <t>SWAPS</t>
  </si>
  <si>
    <t>USD</t>
  </si>
  <si>
    <t>CurveType</t>
  </si>
  <si>
    <t>CurveIndexFrequency</t>
  </si>
  <si>
    <t>DAILY</t>
  </si>
  <si>
    <t>Create Market Data Handle</t>
  </si>
  <si>
    <t>Handle Name</t>
  </si>
  <si>
    <t>USD_OIS_CURVE_MARKETDATA</t>
  </si>
  <si>
    <t>Market Data Handle</t>
  </si>
  <si>
    <t>Curve Dictionary</t>
  </si>
  <si>
    <t>USD_OIS_CURVE</t>
  </si>
  <si>
    <t>Curve Generator</t>
  </si>
  <si>
    <t>USD_OIS</t>
  </si>
  <si>
    <t>Domestic Curve Collection</t>
  </si>
  <si>
    <t>USDYC</t>
  </si>
  <si>
    <t>Foreign Curve Collection</t>
  </si>
  <si>
    <t>Curve Build</t>
  </si>
  <si>
    <t>Curve Index</t>
  </si>
  <si>
    <t>Calibration Time Taken</t>
  </si>
  <si>
    <t>Curve Loaded</t>
  </si>
  <si>
    <t>LIBORFIXINGS</t>
  </si>
  <si>
    <t>FUTURES</t>
  </si>
  <si>
    <t>SWAP</t>
  </si>
  <si>
    <t>USD_SWAP_3M_CURVE_MARKETDATA</t>
  </si>
  <si>
    <t>USD_SWAP_3M_CURVE</t>
  </si>
  <si>
    <t>USD_SWAP_3M</t>
  </si>
  <si>
    <t>ED1 Comdty</t>
  </si>
  <si>
    <t>ED2 Comdty</t>
  </si>
  <si>
    <t>ED3 Comdty</t>
  </si>
  <si>
    <t>ED4 Comdty</t>
  </si>
  <si>
    <t>ED5 Comdty</t>
  </si>
  <si>
    <t>ED6 Comdty</t>
  </si>
  <si>
    <t>ED7 Comdty</t>
  </si>
  <si>
    <t>ED8 Comdty</t>
  </si>
  <si>
    <t>BASISSWAPS</t>
  </si>
  <si>
    <t>TENORBASIS</t>
  </si>
  <si>
    <t>CREATE MARKET DATA HANDLE</t>
  </si>
  <si>
    <t>USD_BASIS_3X6_MARKETDATA</t>
  </si>
  <si>
    <t>CURVE DICTIONARY</t>
  </si>
  <si>
    <t>HandleName</t>
  </si>
  <si>
    <t>USD_BASIS_6M_CURVE</t>
  </si>
  <si>
    <t>CurveGenerator</t>
  </si>
  <si>
    <t>USD_BASIS_3X6</t>
  </si>
  <si>
    <t>DomesticCurve</t>
  </si>
  <si>
    <t>ForeignCurve</t>
  </si>
  <si>
    <t>CREATE CURVE HANDLE</t>
  </si>
  <si>
    <t>IsCurveLoaded</t>
  </si>
  <si>
    <t>USDOIS</t>
  </si>
  <si>
    <t>USD3ML</t>
  </si>
  <si>
    <t>USD6ML</t>
  </si>
  <si>
    <t>CurveIndex</t>
  </si>
  <si>
    <t>meCurveDiscountFactorsDisplay</t>
  </si>
  <si>
    <t>CurveIndices</t>
  </si>
  <si>
    <t>Other Function Groups</t>
  </si>
  <si>
    <t>meLWOCapFloor…</t>
  </si>
  <si>
    <t>meLWOAssetSwap…</t>
  </si>
  <si>
    <t>meLWOCreditDefaultSwap…</t>
  </si>
  <si>
    <t>meLWOSwaption…</t>
  </si>
  <si>
    <t>meLWOTotalReturnSwap…</t>
  </si>
  <si>
    <t>meLWOVariableNotionalSwap…</t>
  </si>
  <si>
    <t>Trade Dates</t>
  </si>
  <si>
    <t>SWAPS: USD3ML</t>
  </si>
  <si>
    <t>Trade Booking &amp; Pricing</t>
  </si>
  <si>
    <t>Unadjusted Date !</t>
  </si>
  <si>
    <t>Swap Template</t>
  </si>
  <si>
    <t>Maturity</t>
  </si>
  <si>
    <t>Generator</t>
  </si>
  <si>
    <t>PayRec</t>
  </si>
  <si>
    <t>Spread</t>
  </si>
  <si>
    <t>CreateSwap</t>
  </si>
  <si>
    <t>2D</t>
  </si>
  <si>
    <t>USD_3ML</t>
  </si>
  <si>
    <t>PAY</t>
  </si>
  <si>
    <t>Curve</t>
  </si>
  <si>
    <t>+/-</t>
  </si>
  <si>
    <t>Handle</t>
  </si>
  <si>
    <t>MYSWAP</t>
  </si>
  <si>
    <t>LEGTYPE</t>
  </si>
  <si>
    <t>FORECASTCURVE</t>
  </si>
  <si>
    <t>COMPOUNDMETHOD</t>
  </si>
  <si>
    <t>DISCOUNTCURVE</t>
  </si>
  <si>
    <t>VALUATIONCURRENCY</t>
  </si>
  <si>
    <t>CURRENCY</t>
  </si>
  <si>
    <t>FIRSTFIXING</t>
  </si>
  <si>
    <t>LASTFIXING</t>
  </si>
  <si>
    <t>FIRSTSTUBCURVEINDEX</t>
  </si>
  <si>
    <t>NATURAL</t>
  </si>
  <si>
    <t>LASTSTUBCURVEINDEX</t>
  </si>
  <si>
    <t>NOTIONAL</t>
  </si>
  <si>
    <t>1000000</t>
  </si>
  <si>
    <t>NOTIONALEXCHANGE</t>
  </si>
  <si>
    <t>LEVERAGE</t>
  </si>
  <si>
    <t>1</t>
  </si>
  <si>
    <t>PAYRECEIVE</t>
  </si>
  <si>
    <t>RECEIVE</t>
  </si>
  <si>
    <t>EFFECTIVEDATE</t>
  </si>
  <si>
    <t>43712</t>
  </si>
  <si>
    <t>MATURITYDATE</t>
  </si>
  <si>
    <t>44808</t>
  </si>
  <si>
    <t>ACCRUALFREQUENCY</t>
  </si>
  <si>
    <t>ACCRUALBUSINESSDAYADJUSTMENT</t>
  </si>
  <si>
    <t>ACCRUALCALENDAR</t>
  </si>
  <si>
    <t>NYB:LNB</t>
  </si>
  <si>
    <t>ACCRUALDAYCOUNT</t>
  </si>
  <si>
    <t>PAYMENTFREQUENCY</t>
  </si>
  <si>
    <t>PAYMENTBUSINESSDAYADJUSTMENT</t>
  </si>
  <si>
    <t>PAYMENTCALENDAR</t>
  </si>
  <si>
    <t>PAYMENTLAG</t>
  </si>
  <si>
    <t>FIRSTSTUBDATE</t>
  </si>
  <si>
    <t>LASTSTUBDATE</t>
  </si>
  <si>
    <t>ROLLDAY</t>
  </si>
  <si>
    <t>STUBTYPE</t>
  </si>
  <si>
    <t>FIXINGBUSINESSDAYADJUSTMENT</t>
  </si>
  <si>
    <t>FIXINGCALENDAR</t>
  </si>
  <si>
    <t>FIXINGLAG</t>
  </si>
  <si>
    <t>FIXINGADVANCEORARREAR</t>
  </si>
  <si>
    <t>FIXEDRATE</t>
  </si>
  <si>
    <t>FLOATSPREAD</t>
  </si>
  <si>
    <t>0</t>
  </si>
  <si>
    <t>Pricing &amp; Risk</t>
  </si>
  <si>
    <t>Trade</t>
  </si>
  <si>
    <t>ValuationSettings</t>
  </si>
  <si>
    <t>ValuationDate</t>
  </si>
  <si>
    <t>DisplayCashflows</t>
  </si>
  <si>
    <t>Leg [Optional]</t>
  </si>
  <si>
    <t>Check</t>
  </si>
  <si>
    <t>Bucketed Risk</t>
  </si>
  <si>
    <t>GLOBAL CURVE ENGINE</t>
  </si>
  <si>
    <t>Key</t>
  </si>
  <si>
    <t>Value</t>
  </si>
  <si>
    <t>CurveName</t>
  </si>
  <si>
    <t>USD_CURVE</t>
  </si>
  <si>
    <t>CurveObject</t>
  </si>
  <si>
    <t>isCurveLoaded</t>
  </si>
  <si>
    <t>CURVE ENGINE PARAMETERS</t>
  </si>
  <si>
    <t>FastRebuild</t>
  </si>
  <si>
    <t>USD_OIS_MARKETDATA</t>
  </si>
  <si>
    <t>GradientEpsilon</t>
  </si>
  <si>
    <t>Delta</t>
  </si>
  <si>
    <t>CURVE GENERATORS</t>
  </si>
  <si>
    <t>3ML</t>
  </si>
  <si>
    <t>CURVE MARKET DATA</t>
  </si>
  <si>
    <t>USD_3M_MARKETDATA</t>
  </si>
  <si>
    <t>ED9 Comdty</t>
  </si>
  <si>
    <t>ED10 Comdty</t>
  </si>
  <si>
    <t>ED11 Comdty</t>
  </si>
  <si>
    <t>ED12 Comdty</t>
  </si>
  <si>
    <t>EUR_CURVE</t>
  </si>
  <si>
    <t>ECB1</t>
  </si>
  <si>
    <t>ECB2</t>
  </si>
  <si>
    <t>ECB3</t>
  </si>
  <si>
    <t>EUR_OIS_MARKETDATA</t>
  </si>
  <si>
    <t>EUR_OIS</t>
  </si>
  <si>
    <t>EUR_SWAP_3M</t>
  </si>
  <si>
    <t>ER1</t>
  </si>
  <si>
    <t>ER2</t>
  </si>
  <si>
    <t>ER3</t>
  </si>
  <si>
    <t>ER4</t>
  </si>
  <si>
    <t>ER5</t>
  </si>
  <si>
    <t>ER6</t>
  </si>
  <si>
    <t>ER7</t>
  </si>
  <si>
    <t>EUR_3M_MARKETDATA</t>
  </si>
  <si>
    <t>ER8</t>
  </si>
  <si>
    <t>ER9</t>
  </si>
  <si>
    <t>ER10</t>
  </si>
  <si>
    <t>ER11</t>
  </si>
  <si>
    <t>ER12</t>
  </si>
  <si>
    <t>FXSPOTS</t>
  </si>
  <si>
    <t>XCCYSWAPS</t>
  </si>
  <si>
    <t>Ccy1</t>
  </si>
  <si>
    <t>Ccy2</t>
  </si>
  <si>
    <t>XCCYBASIS</t>
  </si>
  <si>
    <t>FXFWDS</t>
  </si>
  <si>
    <t>EUR_XCCYBASIS_MARKETDATA</t>
  </si>
  <si>
    <t>TN</t>
  </si>
  <si>
    <t>EUR_XCCY_CURVE</t>
  </si>
  <si>
    <t>EUR_XCCY</t>
  </si>
  <si>
    <t>XCCY: EURDF_USDCSA</t>
  </si>
  <si>
    <t>Curve Calibration Check</t>
  </si>
  <si>
    <t>Leg 1 Spread</t>
  </si>
  <si>
    <t>Leg 2 Spread</t>
  </si>
  <si>
    <t>+/- Bps</t>
  </si>
  <si>
    <t>Xccy Properties</t>
  </si>
  <si>
    <t>MTM</t>
  </si>
  <si>
    <t>ValuationCurrency</t>
  </si>
  <si>
    <t>NotionalFxResetLeg</t>
  </si>
  <si>
    <t>Xccy Valuation Settings</t>
  </si>
  <si>
    <t>Leg1:Float</t>
  </si>
  <si>
    <t>FXSPOT</t>
  </si>
  <si>
    <t>EUR/USD</t>
  </si>
  <si>
    <t>Display Cashflows</t>
  </si>
  <si>
    <t>IRS Pricing, Cashflows and Risk</t>
  </si>
  <si>
    <t>Xccy Pricing</t>
  </si>
  <si>
    <t>MLIBQ Analytics</t>
  </si>
  <si>
    <t>An introduction to MLIBQ Analytics</t>
  </si>
  <si>
    <t>MLIBQ Analytics - Getting Started</t>
  </si>
  <si>
    <t>Excel Launcher</t>
  </si>
  <si>
    <t>\\fs002\Global\Secure\DIR_MLib_Analytics\MLIB_Excel_Addin\LAUNCH_MLIBQ_CURRENT_UAT.bat</t>
  </si>
  <si>
    <t>32-Bit</t>
  </si>
  <si>
    <t>64-Bit</t>
  </si>
  <si>
    <t>\\fs002\Global\Secure\DIR_MLib_Analytics\MLIB_Excel_Addin\LAUNCH_MLIBQ_CURRENT_UAT_X64.bat</t>
  </si>
  <si>
    <t>Features</t>
  </si>
  <si>
    <t>Multi-Curve Construction</t>
  </si>
  <si>
    <t>Bond Curve Stripping, Pricing &amp; Risk</t>
  </si>
  <si>
    <t>Credit Modelling, Pricing &amp; Risk</t>
  </si>
  <si>
    <t>Function Groups for Ease of Navigation: meDate, meCurve, meSwap …</t>
  </si>
  <si>
    <t>Documentation</t>
  </si>
  <si>
    <t>\\fs002\Global\Secure\DIR_MLib_Analytics\Documentation</t>
  </si>
  <si>
    <t>Excel Examples</t>
  </si>
  <si>
    <t>Workshops</t>
  </si>
  <si>
    <t>\\fs002\Global\Secure\DIR_MLib_Analytics\Workshop</t>
  </si>
  <si>
    <t>\\fs002\Global\Secure\DIR_MLib_Analytics\Examples</t>
  </si>
  <si>
    <t>Rates Derivatives Pricing &amp; Risk</t>
  </si>
  <si>
    <t>Pulse Workbook</t>
  </si>
  <si>
    <t>Refresh Workbook Every 5 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</si>
</sst>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6">
    <numFmt numFmtId="41" formatCode="_-* #,##0_-;\-* #,##0_-;_-* &quot;-&quot;_-;_-@_-"/>
    <numFmt numFmtId="43" formatCode="_-* #,##0.00_-;\-* #,##0.00_-;_-* &quot;-&quot;??_-;_-@_-"/>
    <numFmt numFmtId="164" formatCode="0.0000%"/>
    <numFmt numFmtId="165" formatCode="0.000%"/>
    <numFmt numFmtId="166" formatCode="0.00000%"/>
    <numFmt numFmtId="167" formatCode="_(* #,##0.00_);_(* \(#,##0.00\);_(* &quot;-&quot;??_);_(@_)"/>
    <numFmt numFmtId="168" formatCode="_(* #,##0_);_(* \(#,##0\);_(* &quot;-&quot;_);_(@_)"/>
    <numFmt numFmtId="169" formatCode="#,##0.0000"/>
    <numFmt numFmtId="170" formatCode="_(&quot;£&quot;* #,##0.00_);_(&quot;£&quot;* \(#,##0.00\);_(&quot;£&quot;* &quot;-&quot;??_);_(@_)"/>
    <numFmt numFmtId="171" formatCode="_(&quot;$&quot;* #,##0.00_);_(&quot;$&quot;* \(#,##0.00\);_(&quot;$&quot;* &quot;-&quot;??_);_(@_)"/>
    <numFmt numFmtId="172" formatCode="0\ &quot; days&quot;"/>
    <numFmt numFmtId="173" formatCode="mmm\-yyyy"/>
    <numFmt numFmtId="174" formatCode="0.000"/>
    <numFmt numFmtId="175" formatCode="dd/m/yy"/>
    <numFmt numFmtId="176" formatCode="_(&quot;$&quot;* #,##0_);_(&quot;$&quot;* \(#,##0\);_(&quot;$&quot;* &quot;-&quot;_);_(@_)"/>
    <numFmt numFmtId="177" formatCode="0.00_)"/>
    <numFmt numFmtId="178" formatCode="dd\-mmm\-yy;dd\-mmm\-yy;"/>
    <numFmt numFmtId="179" formatCode="_ * #,##0_ ;_ * \-#,##0_ ;_ * &quot;-&quot;_ ;_ @_ "/>
    <numFmt numFmtId="180" formatCode="ddd\,\ d\-mmm\-yy"/>
    <numFmt numFmtId="181" formatCode="d\,\ ddd\-mmm\-yy"/>
    <numFmt numFmtId="182" formatCode="0.000%;[Red]\-0.000%"/>
    <numFmt numFmtId="183" formatCode="#,##0.000000"/>
    <numFmt numFmtId="184" formatCode="#,##0.000"/>
    <numFmt numFmtId="185" formatCode="#,##0.00000"/>
    <numFmt numFmtId="186" formatCode="#,##0.0000_ ;\-#,##0.0000\ "/>
    <numFmt numFmtId="187" formatCode="0.00000"/>
  </numFmts>
  <fonts count="1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Times New Roman"/>
      <family val="1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sz val="11"/>
      <name val="ＭＳ Ｐゴシック"/>
      <family val="3"/>
      <charset val="128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theme="1" tint="0.499984740745262"/>
      <name val="Calibri"/>
      <family val="2"/>
      <scheme val="minor"/>
    </font>
    <font>
      <b/>
      <i/>
      <sz val="11"/>
      <color theme="1" tint="0.499984740745262"/>
      <name val="Calibri"/>
      <family val="2"/>
      <scheme val="minor"/>
    </font>
    <font>
      <sz val="28"/>
      <color theme="1"/>
      <name val="Calibri"/>
      <family val="2"/>
      <scheme val="minor"/>
    </font>
    <font>
      <sz val="20"/>
      <color theme="1"/>
      <name val="Arial Narrow"/>
      <family val="2"/>
    </font>
    <font>
      <b/>
      <sz val="12"/>
      <color theme="1"/>
      <name val="Arial"/>
      <family val="2"/>
    </font>
    <font>
      <sz val="16"/>
      <color theme="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sz val="11"/>
      <color rgb="FF006600"/>
      <name val="Calibri"/>
      <family val="2"/>
      <scheme val="minor"/>
    </font>
    <font>
      <sz val="12"/>
      <color rgb="FF0000FF"/>
      <name val="Arial"/>
      <family val="2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rgb="FFC00000"/>
      <name val="Calibri"/>
      <family val="2"/>
      <scheme val="minor"/>
    </font>
    <font>
      <sz val="12"/>
      <color rgb="FFC00000"/>
      <name val="Arial"/>
      <family val="2"/>
    </font>
    <font>
      <sz val="11"/>
      <color theme="0" tint="-0.34998626667073579"/>
      <name val="Calibri"/>
      <family val="2"/>
      <scheme val="minor"/>
    </font>
    <font>
      <b/>
      <sz val="11"/>
      <color rgb="FF6600FF"/>
      <name val="Calibri"/>
      <family val="2"/>
      <scheme val="minor"/>
    </font>
    <font>
      <sz val="11"/>
      <color rgb="FF008000"/>
      <name val="Calibri"/>
      <family val="2"/>
      <scheme val="minor"/>
    </font>
    <font>
      <sz val="12"/>
      <color rgb="FF006600"/>
      <name val="Arial"/>
      <family val="2"/>
    </font>
    <font>
      <sz val="12"/>
      <color theme="7"/>
      <name val="Arial"/>
      <family val="2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1"/>
        <bgColor indexed="64"/>
      </patternFill>
    </fill>
  </fills>
  <borders count="8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thin">
        <color theme="0" tint="-0.1498764000366222"/>
      </right>
      <top/>
      <bottom style="thin">
        <color theme="0" tint="-0.1498764000366222"/>
      </bottom>
      <diagonal/>
    </border>
    <border>
      <left style="thin">
        <color theme="0" tint="-0.1498764000366222"/>
      </left>
      <right style="thin">
        <color theme="0" tint="-0.1498764000366222"/>
      </right>
      <top/>
      <bottom/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/>
      <diagonal/>
    </border>
    <border>
      <left style="dotted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</borders>
  <cellStyleXfs count="7172">
    <xf numFmtId="0" fontId="0" fillId="0" borderId="0"/>
    <xf numFmtId="167" fontId="1" fillId="0" borderId="0" applyFont="0" applyFill="0" applyBorder="0" applyAlignment="0" applyProtection="0"/>
    <xf numFmtId="0" fontId="9" fillId="0" borderId="0">
      <alignment vertical="center"/>
    </xf>
    <xf numFmtId="168" fontId="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>
      <alignment horizontal="left" wrapText="1"/>
    </xf>
    <xf numFmtId="0" fontId="10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horizontal="left" wrapText="1"/>
    </xf>
    <xf numFmtId="0" fontId="10" fillId="0" borderId="0">
      <alignment horizontal="left" wrapText="1"/>
    </xf>
    <xf numFmtId="0" fontId="10" fillId="0" borderId="0">
      <alignment horizontal="left" wrapText="1"/>
    </xf>
    <xf numFmtId="0" fontId="10" fillId="0" borderId="0">
      <alignment horizontal="left" wrapText="1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horizontal="left" wrapText="1"/>
    </xf>
    <xf numFmtId="0" fontId="10" fillId="0" borderId="0">
      <alignment horizontal="left" wrapText="1"/>
    </xf>
    <xf numFmtId="0" fontId="10" fillId="0" borderId="0"/>
    <xf numFmtId="0" fontId="11" fillId="0" borderId="0">
      <alignment vertical="center"/>
    </xf>
    <xf numFmtId="9" fontId="12" fillId="0" borderId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7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4" borderId="0" applyNumberFormat="0" applyBorder="0" applyAlignment="0" applyProtection="0"/>
    <xf numFmtId="0" fontId="13" fillId="12" borderId="0" applyNumberFormat="0" applyBorder="0" applyAlignment="0" applyProtection="0"/>
    <xf numFmtId="0" fontId="13" fillId="6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7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17" borderId="0" applyNumberFormat="0" applyBorder="0" applyAlignment="0" applyProtection="0"/>
    <xf numFmtId="0" fontId="13" fillId="12" borderId="0" applyNumberFormat="0" applyBorder="0" applyAlignment="0" applyProtection="0"/>
    <xf numFmtId="0" fontId="13" fillId="16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4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9" borderId="0" applyNumberFormat="0" applyBorder="0" applyAlignment="0" applyProtection="0"/>
    <xf numFmtId="0" fontId="13" fillId="23" borderId="0" applyNumberFormat="0" applyBorder="0" applyAlignment="0" applyProtection="0"/>
    <xf numFmtId="0" fontId="13" fillId="23" borderId="0" applyNumberFormat="0" applyBorder="0" applyAlignment="0" applyProtection="0"/>
    <xf numFmtId="0" fontId="13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7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7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17" borderId="0" applyNumberFormat="0" applyBorder="0" applyAlignment="0" applyProtection="0"/>
    <xf numFmtId="0" fontId="14" fillId="28" borderId="0" applyNumberFormat="0" applyBorder="0" applyAlignment="0" applyProtection="0"/>
    <xf numFmtId="0" fontId="14" fillId="16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4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2" borderId="0" applyNumberFormat="0" applyBorder="0" applyAlignment="0" applyProtection="0"/>
    <xf numFmtId="0" fontId="14" fillId="29" borderId="0" applyNumberFormat="0" applyBorder="0" applyAlignment="0" applyProtection="0"/>
    <xf numFmtId="0" fontId="14" fillId="18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26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5" borderId="0" applyNumberFormat="0" applyBorder="0" applyAlignment="0" applyProtection="0"/>
    <xf numFmtId="0" fontId="14" fillId="35" borderId="0" applyNumberFormat="0" applyBorder="0" applyAlignment="0" applyProtection="0"/>
    <xf numFmtId="0" fontId="14" fillId="30" borderId="0" applyNumberFormat="0" applyBorder="0" applyAlignment="0" applyProtection="0"/>
    <xf numFmtId="0" fontId="14" fillId="28" borderId="0" applyNumberFormat="0" applyBorder="0" applyAlignment="0" applyProtection="0"/>
    <xf numFmtId="0" fontId="14" fillId="36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28" borderId="0" applyNumberFormat="0" applyBorder="0" applyAlignment="0" applyProtection="0"/>
    <xf numFmtId="0" fontId="14" fillId="37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38" borderId="0" applyNumberFormat="0" applyBorder="0" applyAlignment="0" applyProtection="0"/>
    <xf numFmtId="0" fontId="14" fillId="38" borderId="0" applyNumberFormat="0" applyBorder="0" applyAlignment="0" applyProtection="0"/>
    <xf numFmtId="0" fontId="14" fillId="38" borderId="0" applyNumberFormat="0" applyBorder="0" applyAlignment="0" applyProtection="0"/>
    <xf numFmtId="0" fontId="15" fillId="0" borderId="14" applyNumberFormat="0" applyFill="0" applyAlignment="0" applyProtection="0">
      <alignment horizontal="left"/>
    </xf>
    <xf numFmtId="0" fontId="16" fillId="0" borderId="14">
      <protection hidden="1"/>
    </xf>
    <xf numFmtId="0" fontId="17" fillId="39" borderId="0" applyNumberFormat="0" applyFont="0" applyBorder="0" applyAlignment="0" applyProtection="0"/>
    <xf numFmtId="0" fontId="10" fillId="17" borderId="0"/>
    <xf numFmtId="0" fontId="10" fillId="17" borderId="0"/>
    <xf numFmtId="0" fontId="10" fillId="17" borderId="0"/>
    <xf numFmtId="0" fontId="10" fillId="17" borderId="0"/>
    <xf numFmtId="0" fontId="10" fillId="17" borderId="0"/>
    <xf numFmtId="0" fontId="10" fillId="17" borderId="0"/>
    <xf numFmtId="0" fontId="10" fillId="17" borderId="0"/>
    <xf numFmtId="0" fontId="18" fillId="40" borderId="0" applyNumberFormat="0" applyBorder="0" applyAlignment="0" applyProtection="0"/>
    <xf numFmtId="0" fontId="19" fillId="8" borderId="0" applyNumberFormat="0" applyBorder="0" applyAlignment="0" applyProtection="0"/>
    <xf numFmtId="0" fontId="20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21" fillId="41" borderId="0"/>
    <xf numFmtId="0" fontId="22" fillId="42" borderId="0" applyNumberFormat="0" applyFont="0" applyBorder="0" applyAlignment="0" applyProtection="0">
      <alignment horizontal="center"/>
    </xf>
    <xf numFmtId="0" fontId="23" fillId="0" borderId="0">
      <alignment horizontal="right"/>
    </xf>
    <xf numFmtId="165" fontId="24" fillId="43" borderId="0"/>
    <xf numFmtId="0" fontId="25" fillId="44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5" fillId="44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6" fillId="16" borderId="15" applyNumberFormat="0" applyAlignment="0" applyProtection="0"/>
    <xf numFmtId="0" fontId="21" fillId="34" borderId="16" applyNumberFormat="0" applyAlignment="0" applyProtection="0"/>
    <xf numFmtId="0" fontId="21" fillId="45" borderId="16" applyNumberFormat="0" applyAlignment="0" applyProtection="0"/>
    <xf numFmtId="0" fontId="21" fillId="45" borderId="16" applyNumberFormat="0" applyAlignment="0" applyProtection="0"/>
    <xf numFmtId="0" fontId="21" fillId="45" borderId="16" applyNumberFormat="0" applyAlignment="0" applyProtection="0"/>
    <xf numFmtId="0" fontId="27" fillId="0" borderId="14" applyNumberFormat="0" applyBorder="0" applyAlignment="0" applyProtection="0">
      <alignment horizontal="left"/>
    </xf>
    <xf numFmtId="168" fontId="10" fillId="0" borderId="0" applyFont="0" applyFill="0" applyBorder="0" applyAlignment="0" applyProtection="0"/>
    <xf numFmtId="38" fontId="9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9" fillId="0" borderId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0" fontId="10" fillId="0" borderId="0" applyFont="0" applyFill="0" applyBorder="0" applyAlignment="0" applyProtection="0"/>
    <xf numFmtId="171" fontId="1" fillId="0" borderId="0" applyFont="0" applyFill="0" applyBorder="0" applyAlignment="0" applyProtection="0"/>
    <xf numFmtId="0" fontId="30" fillId="0" borderId="0">
      <alignment horizontal="right"/>
    </xf>
    <xf numFmtId="0" fontId="12" fillId="46" borderId="17" applyNumberFormat="0" applyFont="0" applyBorder="0" applyAlignment="0" applyProtection="0">
      <alignment horizontal="centerContinuous"/>
    </xf>
    <xf numFmtId="0" fontId="31" fillId="47" borderId="0" applyNumberFormat="0" applyBorder="0" applyAlignment="0">
      <alignment horizontal="center"/>
    </xf>
    <xf numFmtId="0" fontId="32" fillId="48" borderId="18">
      <alignment horizontal="center"/>
      <protection locked="0"/>
    </xf>
    <xf numFmtId="15" fontId="33" fillId="49" borderId="19" applyFont="0" applyFill="0" applyBorder="0" applyAlignment="0" applyProtection="0">
      <alignment horizontal="left"/>
    </xf>
    <xf numFmtId="17" fontId="33" fillId="49" borderId="19" applyFont="0" applyFill="0" applyBorder="0" applyAlignment="0" applyProtection="0">
      <alignment horizontal="left"/>
    </xf>
    <xf numFmtId="0" fontId="33" fillId="49" borderId="0">
      <alignment vertical="center"/>
    </xf>
    <xf numFmtId="172" fontId="33" fillId="0" borderId="0" applyFont="0" applyFill="0" applyBorder="0" applyAlignment="0" applyProtection="0"/>
    <xf numFmtId="0" fontId="17" fillId="1" borderId="2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34" borderId="0"/>
    <xf numFmtId="173" fontId="36" fillId="50" borderId="21" applyBorder="0"/>
    <xf numFmtId="0" fontId="10" fillId="19" borderId="20"/>
    <xf numFmtId="0" fontId="10" fillId="19" borderId="20"/>
    <xf numFmtId="0" fontId="10" fillId="19" borderId="20"/>
    <xf numFmtId="0" fontId="10" fillId="19" borderId="20"/>
    <xf numFmtId="174" fontId="37" fillId="44" borderId="0"/>
    <xf numFmtId="0" fontId="38" fillId="51" borderId="20"/>
    <xf numFmtId="173" fontId="36" fillId="0" borderId="20"/>
    <xf numFmtId="173" fontId="36" fillId="52" borderId="20"/>
    <xf numFmtId="173" fontId="36" fillId="53" borderId="22" applyBorder="0"/>
    <xf numFmtId="173" fontId="36" fillId="54" borderId="20"/>
    <xf numFmtId="0" fontId="39" fillId="44" borderId="20"/>
    <xf numFmtId="0" fontId="35" fillId="55" borderId="20"/>
    <xf numFmtId="0" fontId="40" fillId="56" borderId="23" applyBorder="0">
      <alignment horizontal="right"/>
    </xf>
    <xf numFmtId="38" fontId="10" fillId="0" borderId="20"/>
    <xf numFmtId="0" fontId="10" fillId="0" borderId="20"/>
    <xf numFmtId="0" fontId="10" fillId="7" borderId="20"/>
    <xf numFmtId="0" fontId="10" fillId="7" borderId="20"/>
    <xf numFmtId="0" fontId="10" fillId="7" borderId="20"/>
    <xf numFmtId="0" fontId="10" fillId="7" borderId="20"/>
    <xf numFmtId="173" fontId="36" fillId="52" borderId="20"/>
    <xf numFmtId="0" fontId="41" fillId="50" borderId="24">
      <alignment horizontal="center"/>
    </xf>
    <xf numFmtId="173" fontId="36" fillId="44" borderId="20"/>
    <xf numFmtId="0" fontId="42" fillId="57" borderId="0"/>
    <xf numFmtId="0" fontId="43" fillId="0" borderId="0"/>
    <xf numFmtId="0" fontId="44" fillId="0" borderId="0" applyNumberFormat="0" applyFill="0" applyBorder="0" applyAlignment="0" applyProtection="0"/>
    <xf numFmtId="0" fontId="45" fillId="34" borderId="0">
      <alignment horizontal="center"/>
    </xf>
    <xf numFmtId="0" fontId="46" fillId="19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6" fillId="10" borderId="0" applyNumberFormat="0" applyBorder="0" applyAlignment="0" applyProtection="0"/>
    <xf numFmtId="0" fontId="47" fillId="58" borderId="25" applyNumberFormat="0" applyFont="0" applyBorder="0" applyAlignment="0">
      <alignment horizontal="centerContinuous"/>
    </xf>
    <xf numFmtId="0" fontId="48" fillId="17" borderId="20" applyProtection="0">
      <alignment horizontal="center"/>
      <protection locked="0"/>
    </xf>
    <xf numFmtId="0" fontId="49" fillId="0" borderId="26" applyNumberFormat="0" applyFill="0" applyAlignment="0" applyProtection="0"/>
    <xf numFmtId="0" fontId="50" fillId="0" borderId="27" applyNumberFormat="0" applyFill="0" applyAlignment="0" applyProtection="0"/>
    <xf numFmtId="0" fontId="49" fillId="0" borderId="28" applyNumberFormat="0" applyFill="0" applyAlignment="0" applyProtection="0"/>
    <xf numFmtId="0" fontId="50" fillId="0" borderId="27" applyNumberFormat="0" applyFill="0" applyAlignment="0" applyProtection="0"/>
    <xf numFmtId="0" fontId="50" fillId="0" borderId="27" applyNumberFormat="0" applyFill="0" applyAlignment="0" applyProtection="0"/>
    <xf numFmtId="0" fontId="50" fillId="0" borderId="27" applyNumberFormat="0" applyFill="0" applyAlignment="0" applyProtection="0"/>
    <xf numFmtId="0" fontId="50" fillId="0" borderId="27" applyNumberFormat="0" applyFill="0" applyAlignment="0" applyProtection="0"/>
    <xf numFmtId="0" fontId="51" fillId="0" borderId="29" applyNumberFormat="0" applyFill="0" applyAlignment="0" applyProtection="0"/>
    <xf numFmtId="0" fontId="52" fillId="0" borderId="30" applyNumberFormat="0" applyFill="0" applyAlignment="0" applyProtection="0"/>
    <xf numFmtId="0" fontId="51" fillId="0" borderId="30" applyNumberFormat="0" applyFill="0" applyAlignment="0" applyProtection="0"/>
    <xf numFmtId="0" fontId="52" fillId="0" borderId="30" applyNumberFormat="0" applyFill="0" applyAlignment="0" applyProtection="0"/>
    <xf numFmtId="0" fontId="52" fillId="0" borderId="30" applyNumberFormat="0" applyFill="0" applyAlignment="0" applyProtection="0"/>
    <xf numFmtId="0" fontId="52" fillId="0" borderId="30" applyNumberFormat="0" applyFill="0" applyAlignment="0" applyProtection="0"/>
    <xf numFmtId="0" fontId="53" fillId="0" borderId="31" applyNumberFormat="0" applyFill="0" applyAlignment="0" applyProtection="0"/>
    <xf numFmtId="0" fontId="54" fillId="0" borderId="32" applyNumberFormat="0" applyFill="0" applyAlignment="0" applyProtection="0"/>
    <xf numFmtId="0" fontId="53" fillId="0" borderId="33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4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59" borderId="0" applyNumberFormat="0" applyFont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58" fillId="22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22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0" fontId="58" fillId="9" borderId="15" applyNumberFormat="0" applyAlignment="0" applyProtection="0"/>
    <xf numFmtId="2" fontId="10" fillId="60" borderId="34" applyNumberFormat="0" applyBorder="0">
      <alignment horizontal="right" vertical="center"/>
    </xf>
    <xf numFmtId="2" fontId="59" fillId="61" borderId="35" applyBorder="0">
      <alignment horizontal="left" vertical="center"/>
    </xf>
    <xf numFmtId="10" fontId="60" fillId="44" borderId="0" applyBorder="0">
      <alignment horizontal="right"/>
      <protection locked="0"/>
    </xf>
    <xf numFmtId="15" fontId="60" fillId="44" borderId="20" applyBorder="0">
      <alignment horizontal="center"/>
      <protection locked="0"/>
    </xf>
    <xf numFmtId="15" fontId="60" fillId="44" borderId="0" applyBorder="0">
      <alignment horizontal="left"/>
      <protection locked="0"/>
    </xf>
    <xf numFmtId="0" fontId="61" fillId="62" borderId="0" applyFont="0" applyFill="0" applyBorder="0" applyAlignment="0" applyProtection="0">
      <alignment horizontal="right" vertical="center"/>
    </xf>
    <xf numFmtId="2" fontId="62" fillId="63" borderId="35" applyNumberFormat="0">
      <alignment horizontal="center" vertical="center"/>
    </xf>
    <xf numFmtId="0" fontId="63" fillId="0" borderId="14" applyNumberFormat="0" applyFill="0" applyBorder="0" applyAlignment="0" applyProtection="0"/>
    <xf numFmtId="175" fontId="64" fillId="17" borderId="25" applyBorder="0">
      <alignment horizontal="left"/>
      <protection locked="0"/>
    </xf>
    <xf numFmtId="175" fontId="64" fillId="17" borderId="36" applyBorder="0">
      <alignment horizontal="right"/>
      <protection locked="0"/>
    </xf>
    <xf numFmtId="0" fontId="65" fillId="0" borderId="37" applyNumberFormat="0" applyFill="0" applyAlignment="0" applyProtection="0"/>
    <xf numFmtId="0" fontId="66" fillId="0" borderId="37" applyNumberFormat="0" applyFill="0" applyAlignment="0" applyProtection="0"/>
    <xf numFmtId="0" fontId="66" fillId="0" borderId="37" applyNumberFormat="0" applyFill="0" applyAlignment="0" applyProtection="0"/>
    <xf numFmtId="0" fontId="66" fillId="0" borderId="37" applyNumberFormat="0" applyFill="0" applyAlignment="0" applyProtection="0"/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67" fillId="44" borderId="38" applyFont="0">
      <alignment horizontal="center" vertical="center"/>
    </xf>
    <xf numFmtId="0" fontId="40" fillId="0" borderId="24"/>
    <xf numFmtId="0" fontId="17" fillId="0" borderId="0"/>
    <xf numFmtId="0" fontId="68" fillId="0" borderId="14">
      <alignment horizontal="left"/>
      <protection locked="0"/>
    </xf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69" fillId="64" borderId="0" applyNumberFormat="0" applyBorder="0" applyAlignment="0" applyProtection="0"/>
    <xf numFmtId="0" fontId="70" fillId="21" borderId="0" applyNumberFormat="0" applyBorder="0" applyAlignment="0" applyProtection="0"/>
    <xf numFmtId="0" fontId="70" fillId="21" borderId="0" applyNumberFormat="0" applyBorder="0" applyAlignment="0" applyProtection="0"/>
    <xf numFmtId="0" fontId="70" fillId="21" borderId="0" applyNumberFormat="0" applyBorder="0" applyAlignment="0" applyProtection="0"/>
    <xf numFmtId="177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2" fillId="0" borderId="0">
      <alignment vertical="center"/>
    </xf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7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7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10" fillId="11" borderId="38" applyNumberFormat="0" applyFont="0" applyAlignment="0" applyProtection="0"/>
    <xf numFmtId="0" fontId="73" fillId="0" borderId="14" applyNumberFormat="0" applyFill="0" applyBorder="0" applyAlignment="0" applyProtection="0">
      <alignment horizontal="left"/>
      <protection locked="0"/>
    </xf>
    <xf numFmtId="0" fontId="74" fillId="44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44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4" fillId="16" borderId="39" applyNumberFormat="0" applyAlignment="0" applyProtection="0"/>
    <xf numFmtId="0" fontId="75" fillId="65" borderId="0" applyNumberFormat="0" applyFont="0" applyBorder="0" applyAlignment="0" applyProtection="0"/>
    <xf numFmtId="0" fontId="75" fillId="66" borderId="0" applyNumberFormat="0" applyFont="0" applyBorder="0" applyAlignment="0" applyProtection="0"/>
    <xf numFmtId="0" fontId="75" fillId="67" borderId="0" applyNumberFormat="0" applyFont="0" applyBorder="0" applyAlignment="0" applyProtection="0">
      <alignment horizontal="center"/>
    </xf>
    <xf numFmtId="0" fontId="75" fillId="68" borderId="40" applyNumberFormat="0" applyFont="0" applyBorder="0" applyAlignment="0" applyProtection="0"/>
    <xf numFmtId="0" fontId="75" fillId="69" borderId="40" applyNumberFormat="0" applyFont="0" applyBorder="0" applyAlignment="0"/>
    <xf numFmtId="0" fontId="75" fillId="70" borderId="40" applyNumberFormat="0" applyFont="0" applyBorder="0" applyAlignment="0"/>
    <xf numFmtId="0" fontId="17" fillId="71" borderId="0" applyNumberFormat="0" applyFont="0" applyBorder="0" applyAlignment="0" applyProtection="0">
      <alignment horizontal="center"/>
      <protection hidden="1"/>
    </xf>
    <xf numFmtId="0" fontId="10" fillId="39" borderId="0" applyNumberFormat="0" applyFont="0" applyBorder="0" applyAlignment="0" applyProtection="0">
      <protection hidden="1"/>
    </xf>
    <xf numFmtId="0" fontId="10" fillId="72" borderId="0" applyNumberFormat="0" applyFont="0" applyBorder="0" applyAlignment="0" applyProtection="0">
      <protection hidden="1"/>
    </xf>
    <xf numFmtId="0" fontId="10" fillId="73" borderId="0" applyNumberFormat="0" applyFont="0" applyBorder="0" applyAlignment="0" applyProtection="0">
      <protection hidden="1"/>
    </xf>
    <xf numFmtId="0" fontId="10" fillId="74" borderId="0" applyNumberFormat="0" applyFont="0" applyBorder="0" applyAlignment="0" applyProtection="0">
      <protection hidden="1"/>
    </xf>
    <xf numFmtId="0" fontId="10" fillId="75" borderId="0" applyNumberFormat="0" applyFont="0" applyBorder="0" applyAlignment="0" applyProtection="0">
      <protection hidden="1"/>
    </xf>
    <xf numFmtId="0" fontId="10" fillId="76" borderId="0" applyNumberFormat="0" applyFont="0" applyBorder="0" applyAlignment="0" applyProtection="0">
      <protection hidden="1"/>
    </xf>
    <xf numFmtId="9" fontId="10" fillId="0" borderId="0" applyFont="0" applyFill="0" applyBorder="0" applyAlignment="0" applyProtection="0"/>
    <xf numFmtId="9" fontId="72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33" fillId="49" borderId="19" applyFont="0" applyFill="0" applyBorder="0" applyAlignment="0" applyProtection="0">
      <alignment horizontal="left"/>
    </xf>
    <xf numFmtId="0" fontId="76" fillId="0" borderId="41" applyBorder="0"/>
    <xf numFmtId="0" fontId="33" fillId="77" borderId="0" applyFont="0" applyFill="0" applyBorder="0">
      <alignment horizontal="left"/>
    </xf>
    <xf numFmtId="0" fontId="77" fillId="0" borderId="0"/>
    <xf numFmtId="178" fontId="78" fillId="0" borderId="41" applyBorder="0">
      <alignment horizontal="center"/>
      <protection locked="0"/>
    </xf>
    <xf numFmtId="0" fontId="10" fillId="0" borderId="0">
      <alignment horizontal="left" wrapText="1"/>
    </xf>
    <xf numFmtId="0" fontId="10" fillId="0" borderId="0"/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79" fillId="44" borderId="38">
      <alignment horizontal="center" vertical="center"/>
    </xf>
    <xf numFmtId="0" fontId="10" fillId="0" borderId="0"/>
    <xf numFmtId="0" fontId="10" fillId="0" borderId="0"/>
    <xf numFmtId="0" fontId="10" fillId="0" borderId="0"/>
    <xf numFmtId="0" fontId="10" fillId="0" borderId="0">
      <alignment horizontal="left" wrapText="1"/>
    </xf>
    <xf numFmtId="0" fontId="10" fillId="0" borderId="0" applyNumberFormat="0" applyFill="0" applyBorder="0" applyAlignment="0" applyProtection="0"/>
    <xf numFmtId="0" fontId="10" fillId="44" borderId="20" applyAlignment="0">
      <alignment horizontal="right"/>
    </xf>
    <xf numFmtId="0" fontId="10" fillId="44" borderId="20" applyAlignment="0">
      <alignment horizontal="right"/>
    </xf>
    <xf numFmtId="0" fontId="80" fillId="0" borderId="0"/>
    <xf numFmtId="0" fontId="81" fillId="0" borderId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5" fillId="0" borderId="0">
      <alignment horizontal="center"/>
    </xf>
    <xf numFmtId="0" fontId="86" fillId="16" borderId="14"/>
    <xf numFmtId="0" fontId="87" fillId="0" borderId="42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2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4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7" fillId="0" borderId="43" applyNumberFormat="0" applyFill="0" applyAlignment="0" applyProtection="0"/>
    <xf numFmtId="0" fontId="88" fillId="17" borderId="0" applyNumberFormat="0" applyFont="0" applyBorder="0" applyAlignment="0" applyProtection="0">
      <alignment horizontal="left"/>
    </xf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9" fontId="72" fillId="0" borderId="0" applyFont="0" applyFill="0" applyBorder="0" applyAlignment="0" applyProtection="0">
      <alignment vertical="center"/>
    </xf>
    <xf numFmtId="38" fontId="72" fillId="0" borderId="0" applyFont="0" applyFill="0" applyBorder="0" applyAlignment="0" applyProtection="0">
      <alignment vertical="center"/>
    </xf>
    <xf numFmtId="179" fontId="10" fillId="0" borderId="0" applyFont="0" applyFill="0" applyBorder="0" applyAlignment="0" applyProtection="0"/>
    <xf numFmtId="0" fontId="72" fillId="0" borderId="0">
      <alignment vertical="center"/>
    </xf>
    <xf numFmtId="0" fontId="90" fillId="0" borderId="0">
      <alignment vertical="center"/>
    </xf>
    <xf numFmtId="0" fontId="9" fillId="0" borderId="0">
      <alignment vertical="center"/>
    </xf>
    <xf numFmtId="0" fontId="72" fillId="0" borderId="0">
      <alignment vertical="center"/>
    </xf>
    <xf numFmtId="38" fontId="72" fillId="0" borderId="0" applyFont="0" applyFill="0" applyBorder="0" applyAlignment="0" applyProtection="0">
      <alignment vertical="center"/>
    </xf>
    <xf numFmtId="167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71">
    <xf numFmtId="0" fontId="0" fillId="0" borderId="0" xfId="0"/>
    <xf numFmtId="0" fontId="2" fillId="0" borderId="0" xfId="0" applyFont="1"/>
    <xf numFmtId="0" fontId="4" fillId="0" borderId="0" xfId="0" applyFont="1"/>
    <xf numFmtId="0" fontId="0" fillId="0" borderId="11" xfId="0" applyBorder="1"/>
    <xf numFmtId="15" fontId="0" fillId="0" borderId="0" xfId="0" applyNumberFormat="1"/>
    <xf numFmtId="180" fontId="5" fillId="78" borderId="45" xfId="0" applyNumberFormat="1" applyFont="1" applyFill="1" applyBorder="1" applyAlignment="1">
      <alignment horizontal="center" vertical="center"/>
    </xf>
    <xf numFmtId="180" fontId="0" fillId="78" borderId="54" xfId="0" applyNumberFormat="1" applyFill="1" applyBorder="1" applyAlignment="1">
      <alignment horizontal="center" vertical="center"/>
    </xf>
    <xf numFmtId="180" fontId="0" fillId="78" borderId="55" xfId="0" applyNumberFormat="1" applyFill="1" applyBorder="1" applyAlignment="1">
      <alignment horizontal="center" vertical="center"/>
    </xf>
    <xf numFmtId="0" fontId="0" fillId="78" borderId="55" xfId="0" applyFill="1" applyBorder="1" applyAlignment="1">
      <alignment horizontal="center" vertical="center"/>
    </xf>
    <xf numFmtId="0" fontId="3" fillId="2" borderId="56" xfId="0" applyFont="1" applyFill="1" applyBorder="1" applyAlignment="1">
      <alignment horizontal="center" vertical="center"/>
    </xf>
    <xf numFmtId="0" fontId="0" fillId="3" borderId="54" xfId="0" applyFill="1" applyBorder="1"/>
    <xf numFmtId="0" fontId="0" fillId="3" borderId="55" xfId="0" applyFill="1" applyBorder="1"/>
    <xf numFmtId="0" fontId="0" fillId="3" borderId="56" xfId="0" applyFill="1" applyBorder="1"/>
    <xf numFmtId="0" fontId="2" fillId="3" borderId="0" xfId="0" applyFont="1" applyFill="1" applyBorder="1"/>
    <xf numFmtId="0" fontId="0" fillId="78" borderId="57" xfId="0" applyFill="1" applyBorder="1" applyAlignment="1">
      <alignment horizontal="center" vertical="center"/>
    </xf>
    <xf numFmtId="180" fontId="0" fillId="78" borderId="58" xfId="0" applyNumberFormat="1" applyFill="1" applyBorder="1" applyAlignment="1">
      <alignment horizontal="center" vertical="center"/>
    </xf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0" fillId="0" borderId="63" xfId="0" applyBorder="1"/>
    <xf numFmtId="0" fontId="0" fillId="0" borderId="64" xfId="0" applyBorder="1"/>
    <xf numFmtId="0" fontId="0" fillId="0" borderId="1" xfId="0" applyBorder="1"/>
    <xf numFmtId="180" fontId="0" fillId="78" borderId="1" xfId="0" applyNumberFormat="1" applyFill="1" applyBorder="1" applyAlignment="1">
      <alignment horizontal="center" vertical="center"/>
    </xf>
    <xf numFmtId="0" fontId="0" fillId="78" borderId="11" xfId="0" applyFill="1" applyBorder="1" applyAlignment="1">
      <alignment horizontal="center" vertical="center"/>
    </xf>
    <xf numFmtId="0" fontId="0" fillId="0" borderId="2" xfId="0" applyBorder="1"/>
    <xf numFmtId="180" fontId="3" fillId="2" borderId="59" xfId="0" applyNumberFormat="1" applyFont="1" applyFill="1" applyBorder="1" applyAlignment="1">
      <alignment horizontal="center" vertical="center"/>
    </xf>
    <xf numFmtId="180" fontId="3" fillId="2" borderId="64" xfId="0" applyNumberFormat="1" applyFont="1" applyFill="1" applyBorder="1" applyAlignment="1">
      <alignment horizontal="center" vertical="center"/>
    </xf>
    <xf numFmtId="180" fontId="3" fillId="2" borderId="2" xfId="0" applyNumberFormat="1" applyFont="1" applyFill="1" applyBorder="1" applyAlignment="1">
      <alignment horizontal="center" vertical="center"/>
    </xf>
    <xf numFmtId="0" fontId="0" fillId="78" borderId="60" xfId="0" applyFill="1" applyBorder="1" applyAlignment="1">
      <alignment horizontal="center" vertical="center"/>
    </xf>
    <xf numFmtId="180" fontId="3" fillId="2" borderId="62" xfId="0" applyNumberFormat="1" applyFont="1" applyFill="1" applyBorder="1" applyAlignment="1">
      <alignment horizontal="center" vertical="center"/>
    </xf>
    <xf numFmtId="0" fontId="0" fillId="78" borderId="63" xfId="0" applyFill="1" applyBorder="1" applyAlignment="1">
      <alignment horizontal="center" vertical="center"/>
    </xf>
    <xf numFmtId="0" fontId="0" fillId="0" borderId="65" xfId="0" applyBorder="1"/>
    <xf numFmtId="0" fontId="0" fillId="78" borderId="65" xfId="0" applyFill="1" applyBorder="1" applyAlignment="1">
      <alignment horizontal="center" vertical="center"/>
    </xf>
    <xf numFmtId="0" fontId="3" fillId="2" borderId="2" xfId="0" applyFont="1" applyFill="1" applyBorder="1"/>
    <xf numFmtId="180" fontId="0" fillId="78" borderId="11" xfId="0" applyNumberForma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0" xfId="0" applyFont="1" applyFill="1" applyBorder="1"/>
    <xf numFmtId="0" fontId="93" fillId="0" borderId="0" xfId="0" applyFont="1"/>
    <xf numFmtId="0" fontId="94" fillId="0" borderId="0" xfId="0" applyFont="1"/>
    <xf numFmtId="0" fontId="8" fillId="0" borderId="0" xfId="0" applyFont="1" applyAlignment="1">
      <alignment vertical="center"/>
    </xf>
    <xf numFmtId="14" fontId="3" fillId="2" borderId="3" xfId="0" applyNumberFormat="1" applyFont="1" applyFill="1" applyBorder="1" applyAlignment="1">
      <alignment horizontal="center" vertical="center"/>
    </xf>
    <xf numFmtId="14" fontId="3" fillId="2" borderId="4" xfId="0" applyNumberFormat="1" applyFont="1" applyFill="1" applyBorder="1" applyAlignment="1">
      <alignment horizontal="center" vertical="center"/>
    </xf>
    <xf numFmtId="3" fontId="3" fillId="2" borderId="4" xfId="0" applyNumberFormat="1" applyFont="1" applyFill="1" applyBorder="1" applyAlignment="1">
      <alignment horizontal="center" vertical="center"/>
    </xf>
    <xf numFmtId="169" fontId="3" fillId="2" borderId="4" xfId="0" applyNumberFormat="1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3" fontId="3" fillId="2" borderId="0" xfId="0" applyNumberFormat="1" applyFont="1" applyFill="1" applyBorder="1" applyAlignment="1">
      <alignment horizontal="center" vertical="center"/>
    </xf>
    <xf numFmtId="169" fontId="3" fillId="2" borderId="0" xfId="0" applyNumberFormat="1" applyFont="1" applyFill="1" applyBorder="1" applyAlignment="1">
      <alignment horizontal="center" vertical="center"/>
    </xf>
    <xf numFmtId="3" fontId="3" fillId="2" borderId="7" xfId="0" applyNumberFormat="1" applyFont="1" applyFill="1" applyBorder="1" applyAlignment="1">
      <alignment horizontal="center" vertical="center"/>
    </xf>
    <xf numFmtId="169" fontId="3" fillId="2" borderId="7" xfId="0" applyNumberFormat="1" applyFont="1" applyFill="1" applyBorder="1" applyAlignment="1">
      <alignment horizontal="center" vertical="center"/>
    </xf>
    <xf numFmtId="0" fontId="0" fillId="2" borderId="11" xfId="0" applyFill="1" applyBorder="1"/>
    <xf numFmtId="180" fontId="3" fillId="2" borderId="9" xfId="0" applyNumberFormat="1" applyFont="1" applyFill="1" applyBorder="1" applyAlignment="1">
      <alignment horizontal="center" vertical="center"/>
    </xf>
    <xf numFmtId="180" fontId="3" fillId="2" borderId="0" xfId="0" applyNumberFormat="1" applyFont="1" applyFill="1" applyBorder="1" applyAlignment="1">
      <alignment horizontal="center" vertical="center"/>
    </xf>
    <xf numFmtId="180" fontId="3" fillId="2" borderId="6" xfId="0" applyNumberFormat="1" applyFont="1" applyFill="1" applyBorder="1" applyAlignment="1">
      <alignment horizontal="center" vertical="center"/>
    </xf>
    <xf numFmtId="180" fontId="3" fillId="2" borderId="7" xfId="0" applyNumberFormat="1" applyFont="1" applyFill="1" applyBorder="1" applyAlignment="1">
      <alignment horizontal="center" vertical="center"/>
    </xf>
    <xf numFmtId="180" fontId="3" fillId="2" borderId="10" xfId="0" applyNumberFormat="1" applyFont="1" applyFill="1" applyBorder="1" applyAlignment="1">
      <alignment horizontal="center" vertical="center"/>
    </xf>
    <xf numFmtId="180" fontId="3" fillId="2" borderId="8" xfId="0" applyNumberFormat="1" applyFont="1" applyFill="1" applyBorder="1" applyAlignment="1">
      <alignment horizontal="center" vertical="center"/>
    </xf>
    <xf numFmtId="0" fontId="0" fillId="2" borderId="1" xfId="0" applyFont="1" applyFill="1" applyBorder="1"/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81" fontId="3" fillId="2" borderId="4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81" fontId="3" fillId="2" borderId="0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181" fontId="3" fillId="2" borderId="7" xfId="0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0" fillId="2" borderId="11" xfId="0" applyFont="1" applyFill="1" applyBorder="1"/>
    <xf numFmtId="182" fontId="0" fillId="78" borderId="11" xfId="0" applyNumberFormat="1" applyFill="1" applyBorder="1" applyAlignment="1">
      <alignment horizontal="center" vertical="center"/>
    </xf>
    <xf numFmtId="15" fontId="0" fillId="78" borderId="11" xfId="0" applyNumberFormat="1" applyFill="1" applyBorder="1" applyAlignment="1">
      <alignment horizontal="center" vertical="center"/>
    </xf>
    <xf numFmtId="0" fontId="0" fillId="2" borderId="2" xfId="0" applyFont="1" applyFill="1" applyBorder="1"/>
    <xf numFmtId="0" fontId="0" fillId="78" borderId="2" xfId="0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0" borderId="0" xfId="0" applyFont="1"/>
    <xf numFmtId="0" fontId="95" fillId="0" borderId="0" xfId="0" applyFont="1"/>
    <xf numFmtId="0" fontId="96" fillId="0" borderId="0" xfId="0" applyFont="1"/>
    <xf numFmtId="0" fontId="6" fillId="0" borderId="0" xfId="0" applyFont="1"/>
    <xf numFmtId="0" fontId="97" fillId="0" borderId="0" xfId="0" applyFont="1"/>
    <xf numFmtId="0" fontId="5" fillId="2" borderId="6" xfId="0" applyFont="1" applyFill="1" applyBorder="1"/>
    <xf numFmtId="0" fontId="2" fillId="2" borderId="1" xfId="0" applyFont="1" applyFill="1" applyBorder="1"/>
    <xf numFmtId="0" fontId="2" fillId="2" borderId="11" xfId="0" applyFont="1" applyFill="1" applyBorder="1"/>
    <xf numFmtId="0" fontId="2" fillId="2" borderId="2" xfId="0" applyFont="1" applyFill="1" applyBorder="1"/>
    <xf numFmtId="15" fontId="99" fillId="78" borderId="1" xfId="0" applyNumberFormat="1" applyFont="1" applyFill="1" applyBorder="1" applyAlignment="1">
      <alignment horizontal="center" vertical="center"/>
    </xf>
    <xf numFmtId="0" fontId="0" fillId="0" borderId="0" xfId="0"/>
    <xf numFmtId="0" fontId="100" fillId="0" borderId="0" xfId="0" applyFont="1"/>
    <xf numFmtId="0" fontId="3" fillId="0" borderId="0" xfId="0" applyFont="1"/>
    <xf numFmtId="0" fontId="3" fillId="2" borderId="49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0" fontId="3" fillId="2" borderId="52" xfId="0" applyFont="1" applyFill="1" applyBorder="1" applyAlignment="1">
      <alignment horizontal="center" vertical="center"/>
    </xf>
    <xf numFmtId="0" fontId="0" fillId="78" borderId="4" xfId="0" applyFill="1" applyBorder="1" applyAlignment="1">
      <alignment horizontal="center" vertical="center"/>
    </xf>
    <xf numFmtId="0" fontId="0" fillId="78" borderId="0" xfId="0" applyFill="1" applyBorder="1" applyAlignment="1">
      <alignment horizontal="center" vertical="center"/>
    </xf>
    <xf numFmtId="0" fontId="0" fillId="78" borderId="7" xfId="0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6" fontId="5" fillId="0" borderId="4" xfId="0" applyNumberFormat="1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180" fontId="0" fillId="0" borderId="0" xfId="0" applyNumberFormat="1" applyAlignment="1">
      <alignment horizontal="left" vertical="center"/>
    </xf>
    <xf numFmtId="164" fontId="5" fillId="0" borderId="10" xfId="0" applyNumberFormat="1" applyFont="1" applyFill="1" applyBorder="1" applyAlignment="1">
      <alignment horizontal="center" vertical="center"/>
    </xf>
    <xf numFmtId="0" fontId="103" fillId="0" borderId="0" xfId="0" applyFont="1" applyAlignment="1">
      <alignment horizontal="left" vertical="center"/>
    </xf>
    <xf numFmtId="166" fontId="5" fillId="0" borderId="5" xfId="0" applyNumberFormat="1" applyFont="1" applyFill="1" applyBorder="1" applyAlignment="1">
      <alignment horizontal="center" vertical="center"/>
    </xf>
    <xf numFmtId="15" fontId="5" fillId="0" borderId="10" xfId="0" applyNumberFormat="1" applyFont="1" applyFill="1" applyBorder="1" applyAlignment="1">
      <alignment horizontal="center" vertical="center"/>
    </xf>
    <xf numFmtId="15" fontId="5" fillId="0" borderId="0" xfId="0" applyNumberFormat="1" applyFont="1" applyFill="1" applyBorder="1" applyAlignment="1">
      <alignment horizontal="center" vertical="center"/>
    </xf>
    <xf numFmtId="166" fontId="5" fillId="0" borderId="10" xfId="0" applyNumberFormat="1" applyFont="1" applyFill="1" applyBorder="1" applyAlignment="1">
      <alignment horizontal="center" vertical="center"/>
    </xf>
    <xf numFmtId="183" fontId="3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166" fontId="5" fillId="0" borderId="8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64" fontId="5" fillId="3" borderId="0" xfId="0" applyNumberFormat="1" applyFont="1" applyFill="1" applyBorder="1" applyAlignment="1">
      <alignment horizontal="center" vertical="center"/>
    </xf>
    <xf numFmtId="166" fontId="5" fillId="0" borderId="7" xfId="0" applyNumberFormat="1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center" vertical="center"/>
    </xf>
    <xf numFmtId="15" fontId="3" fillId="0" borderId="7" xfId="0" applyNumberFormat="1" applyFont="1" applyFill="1" applyBorder="1" applyAlignment="1">
      <alignment horizontal="center" vertical="center"/>
    </xf>
    <xf numFmtId="15" fontId="3" fillId="0" borderId="8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1" xfId="0" applyBorder="1"/>
    <xf numFmtId="0" fontId="5" fillId="2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/>
    <xf numFmtId="0" fontId="2" fillId="0" borderId="0" xfId="0" applyFont="1" applyAlignment="1">
      <alignment horizontal="center" vertical="center"/>
    </xf>
    <xf numFmtId="0" fontId="0" fillId="2" borderId="3" xfId="0" applyFill="1" applyBorder="1"/>
    <xf numFmtId="0" fontId="0" fillId="2" borderId="4" xfId="0" applyFill="1" applyBorder="1"/>
    <xf numFmtId="0" fontId="4" fillId="2" borderId="4" xfId="0" applyFont="1" applyFill="1" applyBorder="1" applyAlignment="1">
      <alignment horizontal="center" vertical="center"/>
    </xf>
    <xf numFmtId="0" fontId="0" fillId="2" borderId="5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7" xfId="0" applyFill="1" applyBorder="1"/>
    <xf numFmtId="0" fontId="0" fillId="2" borderId="6" xfId="0" applyFill="1" applyBorder="1"/>
    <xf numFmtId="0" fontId="0" fillId="2" borderId="8" xfId="0" applyFill="1" applyBorder="1"/>
    <xf numFmtId="0" fontId="5" fillId="2" borderId="0" xfId="0" applyFont="1" applyFill="1" applyBorder="1"/>
    <xf numFmtId="0" fontId="5" fillId="2" borderId="10" xfId="0" applyFont="1" applyFill="1" applyBorder="1"/>
    <xf numFmtId="0" fontId="5" fillId="2" borderId="0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102" fillId="0" borderId="0" xfId="0" applyFont="1"/>
    <xf numFmtId="0" fontId="5" fillId="0" borderId="0" xfId="0" applyFont="1"/>
    <xf numFmtId="0" fontId="0" fillId="2" borderId="10" xfId="0" applyFill="1" applyBorder="1"/>
    <xf numFmtId="0" fontId="3" fillId="2" borderId="0" xfId="0" applyFont="1" applyFill="1" applyBorder="1"/>
    <xf numFmtId="180" fontId="3" fillId="0" borderId="0" xfId="0" applyNumberFormat="1" applyFont="1" applyAlignment="1">
      <alignment horizontal="left" vertical="center"/>
    </xf>
    <xf numFmtId="0" fontId="0" fillId="0" borderId="0" xfId="0"/>
    <xf numFmtId="0" fontId="4" fillId="0" borderId="0" xfId="0" applyFont="1"/>
    <xf numFmtId="0" fontId="2" fillId="0" borderId="0" xfId="0" applyFont="1"/>
    <xf numFmtId="0" fontId="5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04" fillId="0" borderId="0" xfId="0" applyFont="1" applyAlignment="1">
      <alignment horizontal="left" vertical="center"/>
    </xf>
    <xf numFmtId="0" fontId="104" fillId="0" borderId="0" xfId="0" applyFont="1" applyAlignment="1">
      <alignment horizontal="center" vertical="center"/>
    </xf>
    <xf numFmtId="0" fontId="105" fillId="0" borderId="0" xfId="0" applyFont="1" applyAlignment="1">
      <alignment horizontal="left" vertical="center"/>
    </xf>
    <xf numFmtId="0" fontId="105" fillId="0" borderId="0" xfId="0" applyFont="1" applyAlignment="1">
      <alignment horizontal="center" vertical="center"/>
    </xf>
    <xf numFmtId="0" fontId="105" fillId="0" borderId="0" xfId="0" applyFont="1"/>
    <xf numFmtId="15" fontId="6" fillId="3" borderId="1" xfId="0" applyNumberFormat="1" applyFont="1" applyFill="1" applyBorder="1" applyAlignment="1">
      <alignment horizontal="center" vertical="center"/>
    </xf>
    <xf numFmtId="15" fontId="6" fillId="3" borderId="11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49" fontId="4" fillId="3" borderId="11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49" fontId="4" fillId="3" borderId="11" xfId="0" quotePrefix="1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5" fontId="4" fillId="3" borderId="1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0" fillId="0" borderId="0" xfId="0" applyFont="1"/>
    <xf numFmtId="181" fontId="3" fillId="2" borderId="5" xfId="0" applyNumberFormat="1" applyFont="1" applyFill="1" applyBorder="1" applyAlignment="1">
      <alignment horizontal="center" vertical="center"/>
    </xf>
    <xf numFmtId="181" fontId="3" fillId="2" borderId="10" xfId="0" applyNumberFormat="1" applyFont="1" applyFill="1" applyBorder="1" applyAlignment="1">
      <alignment horizontal="center" vertical="center"/>
    </xf>
    <xf numFmtId="181" fontId="3" fillId="2" borderId="8" xfId="0" applyNumberFormat="1" applyFont="1" applyFill="1" applyBorder="1" applyAlignment="1">
      <alignment horizontal="center" vertical="center"/>
    </xf>
    <xf numFmtId="0" fontId="0" fillId="78" borderId="0" xfId="0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78" borderId="0" xfId="0" applyFill="1" applyAlignment="1">
      <alignment horizontal="center"/>
    </xf>
    <xf numFmtId="0" fontId="0" fillId="2" borderId="0" xfId="0" applyFill="1"/>
    <xf numFmtId="0" fontId="3" fillId="2" borderId="0" xfId="0" applyFont="1" applyFill="1" applyAlignment="1">
      <alignment horizontal="center"/>
    </xf>
    <xf numFmtId="0" fontId="106" fillId="78" borderId="0" xfId="0" applyFont="1" applyFill="1" applyAlignment="1">
      <alignment horizontal="center" vertical="center"/>
    </xf>
    <xf numFmtId="0" fontId="107" fillId="0" borderId="0" xfId="0" applyFont="1"/>
    <xf numFmtId="0" fontId="6" fillId="2" borderId="4" xfId="0" applyFont="1" applyFill="1" applyBorder="1"/>
    <xf numFmtId="0" fontId="6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6" fillId="2" borderId="0" xfId="0" applyFont="1" applyFill="1"/>
    <xf numFmtId="0" fontId="0" fillId="3" borderId="1" xfId="0" applyFont="1" applyFill="1" applyBorder="1"/>
    <xf numFmtId="0" fontId="0" fillId="3" borderId="1" xfId="0" applyFont="1" applyFill="1" applyBorder="1" applyAlignment="1">
      <alignment horizontal="left" vertical="center"/>
    </xf>
    <xf numFmtId="15" fontId="99" fillId="0" borderId="0" xfId="0" applyNumberFormat="1" applyFont="1" applyFill="1" applyBorder="1" applyAlignment="1">
      <alignment horizontal="center" vertical="center"/>
    </xf>
    <xf numFmtId="0" fontId="0" fillId="3" borderId="11" xfId="0" applyFont="1" applyFill="1" applyBorder="1"/>
    <xf numFmtId="0" fontId="0" fillId="3" borderId="11" xfId="0" applyFont="1" applyFill="1" applyBorder="1" applyAlignment="1">
      <alignment horizontal="left" vertical="center"/>
    </xf>
    <xf numFmtId="0" fontId="0" fillId="3" borderId="2" xfId="0" applyFont="1" applyFill="1" applyBorder="1"/>
    <xf numFmtId="180" fontId="99" fillId="3" borderId="2" xfId="0" applyNumberFormat="1" applyFont="1" applyFill="1" applyBorder="1" applyAlignment="1">
      <alignment horizontal="left" vertical="center"/>
    </xf>
    <xf numFmtId="0" fontId="2" fillId="2" borderId="0" xfId="0" applyFont="1" applyFill="1"/>
    <xf numFmtId="0" fontId="0" fillId="3" borderId="1" xfId="0" applyFill="1" applyBorder="1"/>
    <xf numFmtId="0" fontId="0" fillId="3" borderId="1" xfId="0" applyFill="1" applyBorder="1" applyAlignment="1">
      <alignment horizontal="left" vertical="center"/>
    </xf>
    <xf numFmtId="0" fontId="0" fillId="3" borderId="2" xfId="0" applyFill="1" applyBorder="1"/>
    <xf numFmtId="0" fontId="102" fillId="2" borderId="10" xfId="0" applyFont="1" applyFill="1" applyBorder="1"/>
    <xf numFmtId="0" fontId="2" fillId="2" borderId="0" xfId="0" applyFont="1" applyFill="1" applyBorder="1"/>
    <xf numFmtId="0" fontId="0" fillId="0" borderId="1" xfId="0" applyFont="1" applyFill="1" applyBorder="1"/>
    <xf numFmtId="0" fontId="0" fillId="0" borderId="1" xfId="0" applyFont="1" applyFill="1" applyBorder="1" applyAlignment="1">
      <alignment horizontal="left" vertical="center"/>
    </xf>
    <xf numFmtId="0" fontId="0" fillId="0" borderId="11" xfId="0" applyFont="1" applyFill="1" applyBorder="1"/>
    <xf numFmtId="0" fontId="0" fillId="0" borderId="2" xfId="0" applyFont="1" applyFill="1" applyBorder="1"/>
    <xf numFmtId="0" fontId="0" fillId="0" borderId="11" xfId="0" applyBorder="1" applyAlignment="1">
      <alignment horizontal="left"/>
    </xf>
    <xf numFmtId="0" fontId="0" fillId="0" borderId="2" xfId="0" applyBorder="1" applyAlignment="1">
      <alignment horizontal="left"/>
    </xf>
    <xf numFmtId="15" fontId="3" fillId="0" borderId="1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102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5" fillId="3" borderId="1" xfId="0" applyFont="1" applyFill="1" applyBorder="1"/>
    <xf numFmtId="15" fontId="5" fillId="3" borderId="1" xfId="0" applyNumberFormat="1" applyFont="1" applyFill="1" applyBorder="1" applyAlignment="1">
      <alignment horizontal="left" vertical="center"/>
    </xf>
    <xf numFmtId="0" fontId="0" fillId="2" borderId="0" xfId="0" applyFont="1" applyFill="1" applyBorder="1"/>
    <xf numFmtId="0" fontId="0" fillId="2" borderId="7" xfId="0" applyFont="1" applyFill="1" applyBorder="1" applyAlignment="1">
      <alignment horizontal="center" vertical="center"/>
    </xf>
    <xf numFmtId="0" fontId="5" fillId="3" borderId="11" xfId="0" applyFont="1" applyFill="1" applyBorder="1"/>
    <xf numFmtId="15" fontId="5" fillId="3" borderId="11" xfId="0" applyNumberFormat="1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center" vertical="center"/>
    </xf>
    <xf numFmtId="164" fontId="3" fillId="0" borderId="5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5" fontId="3" fillId="3" borderId="4" xfId="2" quotePrefix="1" applyNumberFormat="1" applyFont="1" applyFill="1" applyBorder="1" applyAlignment="1">
      <alignment horizontal="center" vertical="center"/>
    </xf>
    <xf numFmtId="184" fontId="3" fillId="3" borderId="4" xfId="0" applyNumberFormat="1" applyFont="1" applyFill="1" applyBorder="1" applyAlignment="1">
      <alignment horizontal="center" vertical="center"/>
    </xf>
    <xf numFmtId="165" fontId="5" fillId="3" borderId="5" xfId="7170" quotePrefix="1" applyNumberFormat="1" applyFont="1" applyFill="1" applyBorder="1" applyAlignment="1">
      <alignment horizontal="center" vertical="center"/>
    </xf>
    <xf numFmtId="164" fontId="3" fillId="3" borderId="4" xfId="0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164" fontId="3" fillId="0" borderId="10" xfId="0" applyNumberFormat="1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15" fontId="3" fillId="3" borderId="0" xfId="2" quotePrefix="1" applyNumberFormat="1" applyFont="1" applyFill="1" applyBorder="1" applyAlignment="1">
      <alignment horizontal="center" vertical="center"/>
    </xf>
    <xf numFmtId="184" fontId="3" fillId="3" borderId="0" xfId="0" applyNumberFormat="1" applyFont="1" applyFill="1" applyBorder="1" applyAlignment="1">
      <alignment horizontal="center" vertical="center"/>
    </xf>
    <xf numFmtId="165" fontId="5" fillId="3" borderId="10" xfId="7170" quotePrefix="1" applyNumberFormat="1" applyFont="1" applyFill="1" applyBorder="1" applyAlignment="1">
      <alignment horizontal="center" vertical="center"/>
    </xf>
    <xf numFmtId="164" fontId="3" fillId="3" borderId="0" xfId="0" applyNumberFormat="1" applyFont="1" applyFill="1" applyBorder="1" applyAlignment="1">
      <alignment horizontal="center" vertical="center"/>
    </xf>
    <xf numFmtId="180" fontId="99" fillId="3" borderId="11" xfId="0" applyNumberFormat="1" applyFont="1" applyFill="1" applyBorder="1" applyAlignment="1">
      <alignment horizontal="left" vertical="center"/>
    </xf>
    <xf numFmtId="15" fontId="3" fillId="3" borderId="0" xfId="2" applyNumberFormat="1" applyFont="1" applyFill="1" applyBorder="1" applyAlignment="1">
      <alignment horizontal="center" vertical="center"/>
    </xf>
    <xf numFmtId="165" fontId="5" fillId="3" borderId="10" xfId="7170" applyNumberFormat="1" applyFont="1" applyFill="1" applyBorder="1" applyAlignment="1">
      <alignment horizontal="center" vertical="center"/>
    </xf>
    <xf numFmtId="0" fontId="0" fillId="3" borderId="11" xfId="0" applyFill="1" applyBorder="1"/>
    <xf numFmtId="0" fontId="5" fillId="3" borderId="11" xfId="0" applyFont="1" applyFill="1" applyBorder="1" applyAlignment="1">
      <alignment horizontal="left"/>
    </xf>
    <xf numFmtId="0" fontId="5" fillId="3" borderId="2" xfId="0" applyFont="1" applyFill="1" applyBorder="1" applyAlignment="1">
      <alignment horizontal="left"/>
    </xf>
    <xf numFmtId="166" fontId="3" fillId="0" borderId="8" xfId="0" applyNumberFormat="1" applyFont="1" applyFill="1" applyBorder="1" applyAlignment="1">
      <alignment horizontal="center" vertical="center"/>
    </xf>
    <xf numFmtId="0" fontId="102" fillId="3" borderId="9" xfId="0" applyFont="1" applyFill="1" applyBorder="1" applyAlignment="1">
      <alignment horizontal="center" vertical="center"/>
    </xf>
    <xf numFmtId="164" fontId="102" fillId="3" borderId="0" xfId="0" applyNumberFormat="1" applyFont="1" applyFill="1" applyBorder="1" applyAlignment="1">
      <alignment horizontal="center" vertical="center"/>
    </xf>
    <xf numFmtId="0" fontId="102" fillId="3" borderId="10" xfId="0" applyFont="1" applyFill="1" applyBorder="1" applyAlignment="1">
      <alignment horizontal="center" vertical="center"/>
    </xf>
    <xf numFmtId="0" fontId="108" fillId="2" borderId="0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15" fontId="3" fillId="3" borderId="7" xfId="2" applyNumberFormat="1" applyFont="1" applyFill="1" applyBorder="1" applyAlignment="1">
      <alignment horizontal="center" vertical="center"/>
    </xf>
    <xf numFmtId="184" fontId="3" fillId="3" borderId="7" xfId="0" applyNumberFormat="1" applyFont="1" applyFill="1" applyBorder="1" applyAlignment="1">
      <alignment horizontal="center" vertical="center"/>
    </xf>
    <xf numFmtId="165" fontId="5" fillId="3" borderId="8" xfId="7170" applyNumberFormat="1" applyFont="1" applyFill="1" applyBorder="1" applyAlignment="1">
      <alignment horizontal="center" vertical="center"/>
    </xf>
    <xf numFmtId="164" fontId="3" fillId="3" borderId="7" xfId="0" applyNumberFormat="1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0" fillId="2" borderId="71" xfId="0" applyFill="1" applyBorder="1"/>
    <xf numFmtId="0" fontId="0" fillId="2" borderId="72" xfId="0" applyFill="1" applyBorder="1"/>
    <xf numFmtId="0" fontId="0" fillId="2" borderId="73" xfId="0" applyFill="1" applyBorder="1"/>
    <xf numFmtId="0" fontId="0" fillId="2" borderId="74" xfId="0" applyFill="1" applyBorder="1"/>
    <xf numFmtId="0" fontId="0" fillId="2" borderId="75" xfId="0" applyFill="1" applyBorder="1"/>
    <xf numFmtId="0" fontId="102" fillId="2" borderId="75" xfId="0" applyFont="1" applyFill="1" applyBorder="1"/>
    <xf numFmtId="0" fontId="0" fillId="2" borderId="76" xfId="0" applyFill="1" applyBorder="1"/>
    <xf numFmtId="0" fontId="0" fillId="2" borderId="77" xfId="0" applyFill="1" applyBorder="1"/>
    <xf numFmtId="0" fontId="0" fillId="2" borderId="78" xfId="0" applyFill="1" applyBorder="1"/>
    <xf numFmtId="0" fontId="6" fillId="0" borderId="0" xfId="0" applyFont="1" applyFill="1" applyBorder="1"/>
    <xf numFmtId="0" fontId="5" fillId="0" borderId="0" xfId="0" applyFont="1" applyFill="1" applyBorder="1"/>
    <xf numFmtId="0" fontId="0" fillId="0" borderId="1" xfId="0" applyBorder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99" fillId="2" borderId="9" xfId="0" applyFont="1" applyFill="1" applyBorder="1" applyAlignment="1">
      <alignment horizontal="center" vertical="center"/>
    </xf>
    <xf numFmtId="166" fontId="99" fillId="2" borderId="10" xfId="0" applyNumberFormat="1" applyFont="1" applyFill="1" applyBorder="1" applyAlignment="1">
      <alignment horizontal="center" vertical="center"/>
    </xf>
    <xf numFmtId="180" fontId="99" fillId="0" borderId="2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02" fillId="2" borderId="9" xfId="0" applyFont="1" applyFill="1" applyBorder="1" applyAlignment="1">
      <alignment horizontal="center" vertical="center"/>
    </xf>
    <xf numFmtId="166" fontId="102" fillId="2" borderId="10" xfId="0" applyNumberFormat="1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5" fillId="2" borderId="9" xfId="0" applyFont="1" applyFill="1" applyBorder="1" applyAlignment="1">
      <alignment horizontal="center" vertical="center"/>
    </xf>
    <xf numFmtId="166" fontId="5" fillId="2" borderId="10" xfId="0" applyNumberFormat="1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166" fontId="5" fillId="2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99" fillId="0" borderId="0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center" vertical="center"/>
    </xf>
    <xf numFmtId="166" fontId="3" fillId="0" borderId="4" xfId="0" applyNumberFormat="1" applyFont="1" applyFill="1" applyBorder="1" applyAlignment="1">
      <alignment horizontal="center" vertical="center"/>
    </xf>
    <xf numFmtId="15" fontId="3" fillId="0" borderId="4" xfId="0" applyNumberFormat="1" applyFont="1" applyFill="1" applyBorder="1" applyAlignment="1">
      <alignment horizontal="center" vertical="center"/>
    </xf>
    <xf numFmtId="15" fontId="3" fillId="0" borderId="0" xfId="0" applyNumberFormat="1" applyFont="1" applyFill="1" applyBorder="1" applyAlignment="1">
      <alignment horizontal="center" vertical="center"/>
    </xf>
    <xf numFmtId="166" fontId="3" fillId="0" borderId="5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>
      <alignment horizontal="center" vertical="center"/>
    </xf>
    <xf numFmtId="166" fontId="3" fillId="0" borderId="10" xfId="0" applyNumberFormat="1" applyFont="1" applyFill="1" applyBorder="1" applyAlignment="1">
      <alignment horizontal="center" vertical="center"/>
    </xf>
    <xf numFmtId="166" fontId="3" fillId="0" borderId="7" xfId="0" applyNumberFormat="1" applyFont="1" applyFill="1" applyBorder="1" applyAlignment="1">
      <alignment horizontal="center" vertical="center"/>
    </xf>
    <xf numFmtId="184" fontId="0" fillId="2" borderId="0" xfId="0" applyNumberFormat="1" applyFill="1" applyBorder="1"/>
    <xf numFmtId="0" fontId="0" fillId="0" borderId="0" xfId="0" applyAlignment="1">
      <alignment horizontal="left"/>
    </xf>
    <xf numFmtId="0" fontId="109" fillId="0" borderId="0" xfId="0" applyFont="1" applyAlignment="1">
      <alignment horizontal="left" vertical="center"/>
    </xf>
    <xf numFmtId="0" fontId="8" fillId="0" borderId="0" xfId="0" applyFont="1"/>
    <xf numFmtId="0" fontId="102" fillId="0" borderId="0" xfId="0" applyFont="1" applyAlignment="1">
      <alignment horizontal="center" vertical="center"/>
    </xf>
    <xf numFmtId="180" fontId="3" fillId="2" borderId="3" xfId="0" applyNumberFormat="1" applyFont="1" applyFill="1" applyBorder="1" applyAlignment="1">
      <alignment horizontal="center" vertical="center"/>
    </xf>
    <xf numFmtId="180" fontId="3" fillId="2" borderId="4" xfId="0" applyNumberFormat="1" applyFont="1" applyFill="1" applyBorder="1" applyAlignment="1">
      <alignment horizontal="center" vertical="center"/>
    </xf>
    <xf numFmtId="180" fontId="3" fillId="2" borderId="5" xfId="0" applyNumberFormat="1" applyFont="1" applyFill="1" applyBorder="1" applyAlignment="1">
      <alignment horizontal="center" vertical="center"/>
    </xf>
    <xf numFmtId="180" fontId="0" fillId="78" borderId="3" xfId="0" quotePrefix="1" applyNumberFormat="1" applyFill="1" applyBorder="1" applyAlignment="1">
      <alignment horizontal="center" vertical="center"/>
    </xf>
    <xf numFmtId="180" fontId="0" fillId="78" borderId="4" xfId="0" applyNumberFormat="1" applyFill="1" applyBorder="1" applyAlignment="1">
      <alignment horizontal="center" vertical="center"/>
    </xf>
    <xf numFmtId="0" fontId="7" fillId="79" borderId="79" xfId="0" applyFont="1" applyFill="1" applyBorder="1" applyAlignment="1">
      <alignment horizontal="center" vertical="center"/>
    </xf>
    <xf numFmtId="3" fontId="0" fillId="78" borderId="4" xfId="0" applyNumberFormat="1" applyFill="1" applyBorder="1" applyAlignment="1">
      <alignment horizontal="center" vertical="center"/>
    </xf>
    <xf numFmtId="166" fontId="0" fillId="78" borderId="4" xfId="0" applyNumberFormat="1" applyFill="1" applyBorder="1" applyAlignment="1">
      <alignment horizontal="center" vertical="center"/>
    </xf>
    <xf numFmtId="169" fontId="0" fillId="78" borderId="5" xfId="0" applyNumberForma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 vertical="center"/>
    </xf>
    <xf numFmtId="180" fontId="0" fillId="78" borderId="9" xfId="0" quotePrefix="1" applyNumberFormat="1" applyFill="1" applyBorder="1" applyAlignment="1">
      <alignment horizontal="center" vertical="center"/>
    </xf>
    <xf numFmtId="180" fontId="0" fillId="78" borderId="0" xfId="0" applyNumberFormat="1" applyFill="1" applyBorder="1" applyAlignment="1">
      <alignment horizontal="center" vertical="center"/>
    </xf>
    <xf numFmtId="0" fontId="7" fillId="79" borderId="80" xfId="0" applyFont="1" applyFill="1" applyBorder="1" applyAlignment="1">
      <alignment horizontal="center" vertical="center"/>
    </xf>
    <xf numFmtId="3" fontId="0" fillId="78" borderId="0" xfId="0" applyNumberFormat="1" applyFill="1" applyBorder="1" applyAlignment="1">
      <alignment horizontal="center" vertical="center"/>
    </xf>
    <xf numFmtId="166" fontId="0" fillId="78" borderId="0" xfId="0" applyNumberFormat="1" applyFill="1" applyBorder="1" applyAlignment="1">
      <alignment horizontal="center" vertical="center"/>
    </xf>
    <xf numFmtId="169" fontId="0" fillId="78" borderId="10" xfId="0" applyNumberForma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/>
    </xf>
    <xf numFmtId="164" fontId="3" fillId="2" borderId="10" xfId="0" applyNumberFormat="1" applyFont="1" applyFill="1" applyBorder="1" applyAlignment="1">
      <alignment horizontal="center" vertical="center"/>
    </xf>
    <xf numFmtId="180" fontId="0" fillId="78" borderId="6" xfId="0" quotePrefix="1" applyNumberFormat="1" applyFill="1" applyBorder="1" applyAlignment="1">
      <alignment horizontal="center" vertical="center"/>
    </xf>
    <xf numFmtId="180" fontId="0" fillId="78" borderId="7" xfId="0" applyNumberFormat="1" applyFill="1" applyBorder="1" applyAlignment="1">
      <alignment horizontal="center" vertical="center"/>
    </xf>
    <xf numFmtId="0" fontId="7" fillId="79" borderId="81" xfId="0" applyFont="1" applyFill="1" applyBorder="1" applyAlignment="1">
      <alignment horizontal="center" vertical="center"/>
    </xf>
    <xf numFmtId="3" fontId="0" fillId="78" borderId="7" xfId="0" applyNumberFormat="1" applyFill="1" applyBorder="1" applyAlignment="1">
      <alignment horizontal="center" vertical="center"/>
    </xf>
    <xf numFmtId="166" fontId="0" fillId="78" borderId="7" xfId="0" applyNumberFormat="1" applyFill="1" applyBorder="1" applyAlignment="1">
      <alignment horizontal="center" vertical="center"/>
    </xf>
    <xf numFmtId="169" fontId="0" fillId="78" borderId="8" xfId="0" applyNumberForma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/>
    </xf>
    <xf numFmtId="164" fontId="3" fillId="2" borderId="8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2" borderId="54" xfId="0" applyFont="1" applyFill="1" applyBorder="1"/>
    <xf numFmtId="0" fontId="3" fillId="2" borderId="55" xfId="0" applyFont="1" applyFill="1" applyBorder="1"/>
    <xf numFmtId="0" fontId="3" fillId="2" borderId="56" xfId="0" applyFont="1" applyFill="1" applyBorder="1"/>
    <xf numFmtId="164" fontId="3" fillId="3" borderId="55" xfId="0" applyNumberFormat="1" applyFont="1" applyFill="1" applyBorder="1" applyAlignment="1">
      <alignment horizontal="center" vertical="center"/>
    </xf>
    <xf numFmtId="15" fontId="3" fillId="3" borderId="55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3" fillId="2" borderId="46" xfId="0" applyFont="1" applyFill="1" applyBorder="1" applyAlignment="1">
      <alignment horizontal="left" vertical="center"/>
    </xf>
    <xf numFmtId="0" fontId="3" fillId="2" borderId="47" xfId="0" applyFont="1" applyFill="1" applyBorder="1" applyAlignment="1">
      <alignment horizontal="left" vertical="center"/>
    </xf>
    <xf numFmtId="0" fontId="3" fillId="2" borderId="48" xfId="0" applyFont="1" applyFill="1" applyBorder="1" applyAlignment="1">
      <alignment horizontal="left" vertical="center"/>
    </xf>
    <xf numFmtId="15" fontId="3" fillId="2" borderId="0" xfId="0" applyNumberFormat="1" applyFont="1" applyFill="1" applyBorder="1" applyAlignment="1">
      <alignment horizontal="left" vertical="center"/>
    </xf>
    <xf numFmtId="4" fontId="3" fillId="2" borderId="0" xfId="0" applyNumberFormat="1" applyFont="1" applyFill="1" applyBorder="1" applyAlignment="1">
      <alignment horizontal="left" vertical="center"/>
    </xf>
    <xf numFmtId="169" fontId="3" fillId="2" borderId="0" xfId="0" applyNumberFormat="1" applyFont="1" applyFill="1" applyBorder="1" applyAlignment="1">
      <alignment horizontal="left" vertical="center"/>
    </xf>
    <xf numFmtId="3" fontId="3" fillId="2" borderId="0" xfId="0" applyNumberFormat="1" applyFont="1" applyFill="1" applyBorder="1" applyAlignment="1">
      <alignment horizontal="left" vertical="center"/>
    </xf>
    <xf numFmtId="164" fontId="3" fillId="2" borderId="0" xfId="0" applyNumberFormat="1" applyFont="1" applyFill="1" applyBorder="1" applyAlignment="1">
      <alignment horizontal="left" vertical="center"/>
    </xf>
    <xf numFmtId="185" fontId="3" fillId="2" borderId="0" xfId="0" applyNumberFormat="1" applyFont="1" applyFill="1" applyBorder="1" applyAlignment="1">
      <alignment horizontal="left" vertical="center"/>
    </xf>
    <xf numFmtId="183" fontId="3" fillId="2" borderId="0" xfId="0" applyNumberFormat="1" applyFont="1" applyFill="1" applyBorder="1" applyAlignment="1">
      <alignment horizontal="left" vertical="center"/>
    </xf>
    <xf numFmtId="0" fontId="2" fillId="0" borderId="0" xfId="0" quotePrefix="1" applyFont="1" applyAlignment="1">
      <alignment horizontal="center" vertical="center"/>
    </xf>
    <xf numFmtId="15" fontId="3" fillId="2" borderId="49" xfId="0" applyNumberFormat="1" applyFont="1" applyFill="1" applyBorder="1" applyAlignment="1">
      <alignment horizontal="center" vertical="center"/>
    </xf>
    <xf numFmtId="15" fontId="3" fillId="2" borderId="0" xfId="0" applyNumberFormat="1" applyFont="1" applyFill="1" applyBorder="1" applyAlignment="1">
      <alignment horizontal="center" vertical="center"/>
    </xf>
    <xf numFmtId="4" fontId="3" fillId="2" borderId="0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Border="1" applyAlignment="1">
      <alignment horizontal="center" vertical="center"/>
    </xf>
    <xf numFmtId="183" fontId="3" fillId="2" borderId="0" xfId="0" applyNumberFormat="1" applyFont="1" applyFill="1" applyBorder="1" applyAlignment="1">
      <alignment horizontal="center" vertical="center"/>
    </xf>
    <xf numFmtId="3" fontId="3" fillId="2" borderId="50" xfId="0" applyNumberFormat="1" applyFont="1" applyFill="1" applyBorder="1" applyAlignment="1">
      <alignment horizontal="center" vertical="center"/>
    </xf>
    <xf numFmtId="15" fontId="3" fillId="2" borderId="51" xfId="0" applyNumberFormat="1" applyFont="1" applyFill="1" applyBorder="1" applyAlignment="1">
      <alignment horizontal="center" vertical="center"/>
    </xf>
    <xf numFmtId="15" fontId="3" fillId="2" borderId="52" xfId="0" applyNumberFormat="1" applyFont="1" applyFill="1" applyBorder="1" applyAlignment="1">
      <alignment horizontal="center" vertical="center"/>
    </xf>
    <xf numFmtId="169" fontId="3" fillId="2" borderId="52" xfId="0" applyNumberFormat="1" applyFont="1" applyFill="1" applyBorder="1" applyAlignment="1">
      <alignment horizontal="center" vertical="center"/>
    </xf>
    <xf numFmtId="3" fontId="3" fillId="2" borderId="52" xfId="0" applyNumberFormat="1" applyFont="1" applyFill="1" applyBorder="1" applyAlignment="1">
      <alignment horizontal="center" vertical="center"/>
    </xf>
    <xf numFmtId="4" fontId="3" fillId="2" borderId="52" xfId="0" applyNumberFormat="1" applyFont="1" applyFill="1" applyBorder="1" applyAlignment="1">
      <alignment horizontal="center" vertical="center"/>
    </xf>
    <xf numFmtId="164" fontId="3" fillId="2" borderId="52" xfId="0" applyNumberFormat="1" applyFont="1" applyFill="1" applyBorder="1" applyAlignment="1">
      <alignment horizontal="center" vertical="center"/>
    </xf>
    <xf numFmtId="183" fontId="3" fillId="2" borderId="52" xfId="0" applyNumberFormat="1" applyFont="1" applyFill="1" applyBorder="1" applyAlignment="1">
      <alignment horizontal="center" vertical="center"/>
    </xf>
    <xf numFmtId="3" fontId="3" fillId="2" borderId="53" xfId="0" applyNumberFormat="1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80" fontId="0" fillId="0" borderId="53" xfId="0" applyNumberFormat="1" applyBorder="1" applyAlignment="1">
      <alignment horizontal="center" vertical="center"/>
    </xf>
    <xf numFmtId="0" fontId="0" fillId="0" borderId="82" xfId="0" applyBorder="1"/>
    <xf numFmtId="0" fontId="0" fillId="0" borderId="83" xfId="0" applyBorder="1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3" fontId="3" fillId="2" borderId="0" xfId="0" applyNumberFormat="1" applyFont="1" applyFill="1" applyAlignment="1">
      <alignment horizontal="center" vertical="center"/>
    </xf>
    <xf numFmtId="0" fontId="0" fillId="2" borderId="0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5" fontId="5" fillId="0" borderId="4" xfId="0" applyNumberFormat="1" applyFont="1" applyFill="1" applyBorder="1" applyAlignment="1">
      <alignment horizontal="center" vertical="center"/>
    </xf>
    <xf numFmtId="0" fontId="5" fillId="2" borderId="0" xfId="0" applyFont="1" applyFill="1"/>
    <xf numFmtId="0" fontId="0" fillId="3" borderId="11" xfId="0" applyFill="1" applyBorder="1" applyAlignment="1">
      <alignment horizontal="center" vertical="center"/>
    </xf>
    <xf numFmtId="0" fontId="101" fillId="80" borderId="2" xfId="0" applyFont="1" applyFill="1" applyBorder="1" applyAlignment="1">
      <alignment horizontal="center" vertical="center"/>
    </xf>
    <xf numFmtId="0" fontId="5" fillId="3" borderId="2" xfId="0" applyFont="1" applyFill="1" applyBorder="1"/>
    <xf numFmtId="0" fontId="0" fillId="2" borderId="0" xfId="0" applyFill="1" applyBorder="1" applyAlignment="1">
      <alignment horizontal="center"/>
    </xf>
    <xf numFmtId="15" fontId="110" fillId="3" borderId="1" xfId="0" applyNumberFormat="1" applyFont="1" applyFill="1" applyBorder="1" applyAlignment="1">
      <alignment horizontal="center" vertical="center"/>
    </xf>
    <xf numFmtId="11" fontId="110" fillId="3" borderId="11" xfId="0" applyNumberFormat="1" applyFont="1" applyFill="1" applyBorder="1" applyAlignment="1">
      <alignment horizontal="center" vertical="center"/>
    </xf>
    <xf numFmtId="11" fontId="110" fillId="3" borderId="2" xfId="0" applyNumberFormat="1" applyFont="1" applyFill="1" applyBorder="1" applyAlignment="1">
      <alignment horizontal="center" vertical="center"/>
    </xf>
    <xf numFmtId="15" fontId="5" fillId="0" borderId="7" xfId="0" applyNumberFormat="1" applyFont="1" applyFill="1" applyBorder="1" applyAlignment="1">
      <alignment horizontal="center" vertical="center"/>
    </xf>
    <xf numFmtId="15" fontId="5" fillId="0" borderId="8" xfId="0" applyNumberFormat="1" applyFont="1" applyFill="1" applyBorder="1" applyAlignment="1">
      <alignment horizontal="center" vertical="center"/>
    </xf>
    <xf numFmtId="0" fontId="102" fillId="0" borderId="6" xfId="0" applyFont="1" applyFill="1" applyBorder="1" applyAlignment="1">
      <alignment horizontal="center" vertical="center"/>
    </xf>
    <xf numFmtId="166" fontId="102" fillId="0" borderId="8" xfId="0" applyNumberFormat="1" applyFont="1" applyFill="1" applyBorder="1" applyAlignment="1">
      <alignment horizontal="center" vertical="center"/>
    </xf>
    <xf numFmtId="0" fontId="3" fillId="3" borderId="1" xfId="0" applyFont="1" applyFill="1" applyBorder="1"/>
    <xf numFmtId="0" fontId="3" fillId="3" borderId="2" xfId="0" applyFont="1" applyFill="1" applyBorder="1"/>
    <xf numFmtId="15" fontId="5" fillId="3" borderId="1" xfId="0" applyNumberFormat="1" applyFont="1" applyFill="1" applyBorder="1" applyAlignment="1">
      <alignment horizontal="center" vertical="center"/>
    </xf>
    <xf numFmtId="164" fontId="5" fillId="0" borderId="5" xfId="0" applyNumberFormat="1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15" fontId="5" fillId="3" borderId="4" xfId="2" quotePrefix="1" applyNumberFormat="1" applyFont="1" applyFill="1" applyBorder="1" applyAlignment="1">
      <alignment horizontal="center" vertical="center"/>
    </xf>
    <xf numFmtId="184" fontId="5" fillId="3" borderId="4" xfId="0" applyNumberFormat="1" applyFont="1" applyFill="1" applyBorder="1" applyAlignment="1">
      <alignment horizontal="center" vertical="center"/>
    </xf>
    <xf numFmtId="164" fontId="5" fillId="3" borderId="4" xfId="0" applyNumberFormat="1" applyFont="1" applyFill="1" applyBorder="1" applyAlignment="1">
      <alignment horizontal="center" vertical="center"/>
    </xf>
    <xf numFmtId="15" fontId="5" fillId="3" borderId="11" xfId="0" applyNumberFormat="1" applyFont="1" applyFill="1" applyBorder="1" applyAlignment="1">
      <alignment horizontal="center" vertical="center"/>
    </xf>
    <xf numFmtId="15" fontId="5" fillId="3" borderId="0" xfId="2" quotePrefix="1" applyNumberFormat="1" applyFont="1" applyFill="1" applyBorder="1" applyAlignment="1">
      <alignment horizontal="center" vertical="center"/>
    </xf>
    <xf numFmtId="184" fontId="5" fillId="3" borderId="0" xfId="0" applyNumberFormat="1" applyFont="1" applyFill="1" applyBorder="1" applyAlignment="1">
      <alignment horizontal="center" vertical="center"/>
    </xf>
    <xf numFmtId="15" fontId="5" fillId="3" borderId="0" xfId="2" applyNumberFormat="1" applyFont="1" applyFill="1" applyBorder="1" applyAlignment="1">
      <alignment horizontal="center" vertical="center"/>
    </xf>
    <xf numFmtId="180" fontId="3" fillId="3" borderId="11" xfId="0" applyNumberFormat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/>
    </xf>
    <xf numFmtId="4" fontId="5" fillId="2" borderId="0" xfId="0" quotePrefix="1" applyNumberFormat="1" applyFont="1" applyFill="1" applyBorder="1"/>
    <xf numFmtId="4" fontId="5" fillId="2" borderId="0" xfId="0" applyNumberFormat="1" applyFont="1" applyFill="1" applyBorder="1"/>
    <xf numFmtId="0" fontId="102" fillId="3" borderId="6" xfId="0" applyFont="1" applyFill="1" applyBorder="1" applyAlignment="1">
      <alignment horizontal="center" vertical="center"/>
    </xf>
    <xf numFmtId="164" fontId="102" fillId="3" borderId="7" xfId="0" applyNumberFormat="1" applyFont="1" applyFill="1" applyBorder="1" applyAlignment="1">
      <alignment horizontal="center" vertical="center"/>
    </xf>
    <xf numFmtId="0" fontId="102" fillId="3" borderId="8" xfId="0" applyFont="1" applyFill="1" applyBorder="1" applyAlignment="1">
      <alignment horizontal="center" vertical="center"/>
    </xf>
    <xf numFmtId="180" fontId="3" fillId="3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15" fontId="5" fillId="2" borderId="7" xfId="0" applyNumberFormat="1" applyFont="1" applyFill="1" applyBorder="1" applyAlignment="1">
      <alignment horizontal="center" vertical="center"/>
    </xf>
    <xf numFmtId="186" fontId="5" fillId="2" borderId="8" xfId="7171" applyNumberFormat="1" applyFont="1" applyFill="1" applyBorder="1" applyAlignment="1">
      <alignment horizontal="center" vertical="center"/>
    </xf>
    <xf numFmtId="180" fontId="3" fillId="0" borderId="2" xfId="0" applyNumberFormat="1" applyFont="1" applyBorder="1" applyAlignment="1">
      <alignment horizontal="left" vertical="center"/>
    </xf>
    <xf numFmtId="4" fontId="5" fillId="2" borderId="0" xfId="0" applyNumberFormat="1" applyFont="1" applyFill="1" applyBorder="1" applyAlignment="1">
      <alignment horizontal="center" vertical="center"/>
    </xf>
    <xf numFmtId="4" fontId="5" fillId="2" borderId="7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0" xfId="0" applyNumberFormat="1" applyFont="1" applyFill="1" applyBorder="1" applyAlignment="1">
      <alignment horizontal="center" vertical="center"/>
    </xf>
    <xf numFmtId="166" fontId="3" fillId="2" borderId="7" xfId="0" applyNumberFormat="1" applyFont="1" applyFill="1" applyBorder="1" applyAlignment="1">
      <alignment horizontal="center" vertical="center"/>
    </xf>
    <xf numFmtId="166" fontId="3" fillId="2" borderId="5" xfId="0" applyNumberFormat="1" applyFont="1" applyFill="1" applyBorder="1" applyAlignment="1">
      <alignment horizontal="center" vertical="center"/>
    </xf>
    <xf numFmtId="166" fontId="3" fillId="2" borderId="10" xfId="0" applyNumberFormat="1" applyFont="1" applyFill="1" applyBorder="1" applyAlignment="1">
      <alignment horizontal="center" vertical="center"/>
    </xf>
    <xf numFmtId="166" fontId="3" fillId="2" borderId="8" xfId="0" applyNumberFormat="1" applyFont="1" applyFill="1" applyBorder="1" applyAlignment="1">
      <alignment horizontal="center" vertical="center"/>
    </xf>
    <xf numFmtId="185" fontId="3" fillId="2" borderId="5" xfId="0" applyNumberFormat="1" applyFont="1" applyFill="1" applyBorder="1" applyAlignment="1">
      <alignment horizontal="center"/>
    </xf>
    <xf numFmtId="0" fontId="5" fillId="3" borderId="0" xfId="0" quotePrefix="1" applyFont="1" applyFill="1" applyAlignment="1">
      <alignment horizontal="center"/>
    </xf>
    <xf numFmtId="0" fontId="0" fillId="2" borderId="3" xfId="0" applyFill="1" applyBorder="1" applyAlignment="1">
      <alignment horizontal="left" vertical="center"/>
    </xf>
    <xf numFmtId="0" fontId="3" fillId="2" borderId="9" xfId="0" applyFont="1" applyFill="1" applyBorder="1" applyAlignment="1">
      <alignment horizontal="center" vertical="center"/>
    </xf>
    <xf numFmtId="185" fontId="3" fillId="2" borderId="10" xfId="0" applyNumberFormat="1" applyFont="1" applyFill="1" applyBorder="1" applyAlignment="1">
      <alignment horizontal="center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/>
    </xf>
    <xf numFmtId="0" fontId="0" fillId="2" borderId="8" xfId="0" applyFill="1" applyBorder="1" applyAlignment="1">
      <alignment horizontal="center" vertical="center"/>
    </xf>
    <xf numFmtId="0" fontId="5" fillId="2" borderId="3" xfId="0" applyFont="1" applyFill="1" applyBorder="1"/>
    <xf numFmtId="0" fontId="5" fillId="2" borderId="9" xfId="0" applyFont="1" applyFill="1" applyBorder="1"/>
    <xf numFmtId="0" fontId="5" fillId="2" borderId="10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185" fontId="3" fillId="2" borderId="8" xfId="0" applyNumberFormat="1" applyFont="1" applyFill="1" applyBorder="1" applyAlignment="1">
      <alignment horizontal="center"/>
    </xf>
    <xf numFmtId="166" fontId="0" fillId="0" borderId="0" xfId="0" applyNumberFormat="1"/>
    <xf numFmtId="180" fontId="99" fillId="3" borderId="11" xfId="0" applyNumberFormat="1" applyFont="1" applyFill="1" applyBorder="1" applyAlignment="1">
      <alignment horizontal="center" vertical="center"/>
    </xf>
    <xf numFmtId="15" fontId="99" fillId="3" borderId="4" xfId="2" quotePrefix="1" applyNumberFormat="1" applyFont="1" applyFill="1" applyBorder="1" applyAlignment="1">
      <alignment horizontal="center" vertical="center"/>
    </xf>
    <xf numFmtId="15" fontId="99" fillId="3" borderId="0" xfId="2" quotePrefix="1" applyNumberFormat="1" applyFont="1" applyFill="1" applyBorder="1" applyAlignment="1">
      <alignment horizontal="center" vertical="center"/>
    </xf>
    <xf numFmtId="15" fontId="99" fillId="3" borderId="0" xfId="2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4" fontId="5" fillId="3" borderId="9" xfId="0" applyNumberFormat="1" applyFont="1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2" borderId="54" xfId="0" applyFill="1" applyBorder="1"/>
    <xf numFmtId="0" fontId="0" fillId="2" borderId="55" xfId="0" applyFill="1" applyBorder="1"/>
    <xf numFmtId="0" fontId="0" fillId="2" borderId="56" xfId="0" applyFill="1" applyBorder="1"/>
    <xf numFmtId="0" fontId="3" fillId="2" borderId="82" xfId="0" applyFont="1" applyFill="1" applyBorder="1"/>
    <xf numFmtId="0" fontId="3" fillId="0" borderId="48" xfId="0" applyFont="1" applyBorder="1" applyAlignment="1">
      <alignment horizontal="center" vertical="center"/>
    </xf>
    <xf numFmtId="0" fontId="3" fillId="2" borderId="84" xfId="0" applyFont="1" applyFill="1" applyBorder="1"/>
    <xf numFmtId="0" fontId="3" fillId="0" borderId="50" xfId="0" applyFont="1" applyBorder="1" applyAlignment="1">
      <alignment horizontal="center" vertical="center"/>
    </xf>
    <xf numFmtId="0" fontId="3" fillId="2" borderId="83" xfId="0" applyFont="1" applyFill="1" applyBorder="1"/>
    <xf numFmtId="187" fontId="3" fillId="0" borderId="53" xfId="0" applyNumberFormat="1" applyFont="1" applyBorder="1" applyAlignment="1">
      <alignment horizontal="center" vertical="center"/>
    </xf>
    <xf numFmtId="0" fontId="3" fillId="2" borderId="66" xfId="0" applyFont="1" applyFill="1" applyBorder="1" applyAlignment="1">
      <alignment horizontal="left" vertical="center"/>
    </xf>
    <xf numFmtId="0" fontId="3" fillId="2" borderId="67" xfId="0" applyFont="1" applyFill="1" applyBorder="1" applyAlignment="1">
      <alignment horizontal="left" vertical="center"/>
    </xf>
    <xf numFmtId="169" fontId="3" fillId="2" borderId="67" xfId="0" applyNumberFormat="1" applyFont="1" applyFill="1" applyBorder="1" applyAlignment="1">
      <alignment horizontal="left" vertical="center"/>
    </xf>
    <xf numFmtId="4" fontId="3" fillId="2" borderId="67" xfId="0" applyNumberFormat="1" applyFont="1" applyFill="1" applyBorder="1" applyAlignment="1">
      <alignment horizontal="left" vertical="center"/>
    </xf>
    <xf numFmtId="164" fontId="3" fillId="2" borderId="67" xfId="0" applyNumberFormat="1" applyFont="1" applyFill="1" applyBorder="1" applyAlignment="1">
      <alignment horizontal="left" vertical="center"/>
    </xf>
    <xf numFmtId="3" fontId="3" fillId="2" borderId="67" xfId="0" applyNumberFormat="1" applyFont="1" applyFill="1" applyBorder="1" applyAlignment="1">
      <alignment horizontal="left" vertical="center"/>
    </xf>
    <xf numFmtId="0" fontId="3" fillId="2" borderId="57" xfId="0" applyFont="1" applyFill="1" applyBorder="1" applyAlignment="1">
      <alignment horizontal="left" vertical="center"/>
    </xf>
    <xf numFmtId="0" fontId="3" fillId="2" borderId="68" xfId="0" applyFont="1" applyFill="1" applyBorder="1" applyAlignment="1">
      <alignment horizontal="left" vertical="center"/>
    </xf>
    <xf numFmtId="0" fontId="3" fillId="2" borderId="58" xfId="0" applyFont="1" applyFill="1" applyBorder="1" applyAlignment="1">
      <alignment horizontal="left" vertical="center"/>
    </xf>
    <xf numFmtId="15" fontId="3" fillId="2" borderId="68" xfId="0" applyNumberFormat="1" applyFont="1" applyFill="1" applyBorder="1" applyAlignment="1">
      <alignment horizontal="left" vertical="center"/>
    </xf>
    <xf numFmtId="3" fontId="3" fillId="2" borderId="58" xfId="0" applyNumberFormat="1" applyFont="1" applyFill="1" applyBorder="1" applyAlignment="1">
      <alignment horizontal="left" vertical="center"/>
    </xf>
    <xf numFmtId="15" fontId="3" fillId="2" borderId="69" xfId="0" applyNumberFormat="1" applyFont="1" applyFill="1" applyBorder="1" applyAlignment="1">
      <alignment horizontal="left" vertical="center"/>
    </xf>
    <xf numFmtId="15" fontId="3" fillId="2" borderId="70" xfId="0" applyNumberFormat="1" applyFont="1" applyFill="1" applyBorder="1" applyAlignment="1">
      <alignment horizontal="left" vertical="center"/>
    </xf>
    <xf numFmtId="0" fontId="3" fillId="2" borderId="70" xfId="0" applyFont="1" applyFill="1" applyBorder="1" applyAlignment="1">
      <alignment horizontal="left" vertical="center"/>
    </xf>
    <xf numFmtId="169" fontId="3" fillId="2" borderId="70" xfId="0" applyNumberFormat="1" applyFont="1" applyFill="1" applyBorder="1" applyAlignment="1">
      <alignment horizontal="left" vertical="center"/>
    </xf>
    <xf numFmtId="3" fontId="3" fillId="2" borderId="70" xfId="0" applyNumberFormat="1" applyFont="1" applyFill="1" applyBorder="1" applyAlignment="1">
      <alignment horizontal="left" vertical="center"/>
    </xf>
    <xf numFmtId="4" fontId="3" fillId="2" borderId="70" xfId="0" applyNumberFormat="1" applyFont="1" applyFill="1" applyBorder="1" applyAlignment="1">
      <alignment horizontal="left" vertical="center"/>
    </xf>
    <xf numFmtId="164" fontId="3" fillId="2" borderId="70" xfId="0" applyNumberFormat="1" applyFont="1" applyFill="1" applyBorder="1" applyAlignment="1">
      <alignment horizontal="left" vertical="center"/>
    </xf>
    <xf numFmtId="185" fontId="3" fillId="2" borderId="70" xfId="0" applyNumberFormat="1" applyFont="1" applyFill="1" applyBorder="1" applyAlignment="1">
      <alignment horizontal="left" vertical="center"/>
    </xf>
    <xf numFmtId="183" fontId="3" fillId="2" borderId="70" xfId="0" applyNumberFormat="1" applyFont="1" applyFill="1" applyBorder="1" applyAlignment="1">
      <alignment horizontal="left" vertical="center"/>
    </xf>
    <xf numFmtId="3" fontId="3" fillId="2" borderId="59" xfId="0" applyNumberFormat="1" applyFont="1" applyFill="1" applyBorder="1" applyAlignment="1">
      <alignment horizontal="left" vertical="center"/>
    </xf>
    <xf numFmtId="0" fontId="111" fillId="0" borderId="0" xfId="0" applyFont="1"/>
    <xf numFmtId="0" fontId="112" fillId="0" borderId="0" xfId="0" applyFont="1"/>
    <xf numFmtId="0" fontId="113" fillId="0" borderId="0" xfId="0" applyFont="1"/>
    <xf numFmtId="0" fontId="114" fillId="0" borderId="0" xfId="0" applyFont="1"/>
    <xf numFmtId="0" fontId="103" fillId="0" borderId="0" xfId="0" applyFont="1"/>
    <xf numFmtId="0" fontId="115" fillId="80" borderId="2" xfId="0" applyFont="1" applyFill="1" applyBorder="1" applyAlignment="1">
      <alignment horizontal="left" vertical="center"/>
    </xf>
    <xf numFmtId="0" fontId="115" fillId="80" borderId="1" xfId="0" applyFont="1" applyFill="1" applyBorder="1" applyAlignment="1">
      <alignment horizontal="left" vertical="center"/>
    </xf>
    <xf numFmtId="0" fontId="115" fillId="80" borderId="11" xfId="0" applyFont="1" applyFill="1" applyBorder="1" applyAlignment="1">
      <alignment horizontal="left" vertical="center"/>
    </xf>
    <xf numFmtId="0" fontId="115" fillId="80" borderId="1" xfId="0" applyFont="1" applyFill="1" applyBorder="1"/>
    <xf numFmtId="180" fontId="101" fillId="81" borderId="2" xfId="0" applyNumberFormat="1" applyFont="1" applyFill="1" applyBorder="1" applyAlignment="1">
      <alignment horizontal="center" vertical="center"/>
    </xf>
  </cellXfs>
  <cellStyles count="7172">
    <cellStyle name="_ADN" xfId="4"/>
    <cellStyle name="_Apollo" xfId="5"/>
    <cellStyle name="_Book2" xfId="6"/>
    <cellStyle name="_Book2_ValuationViewer" xfId="7"/>
    <cellStyle name="_btec" xfId="8"/>
    <cellStyle name="_Composite Page" xfId="9"/>
    <cellStyle name="_Composite Page_Composite Page" xfId="10"/>
    <cellStyle name="_Composite Page_Config" xfId="11"/>
    <cellStyle name="_Config" xfId="12"/>
    <cellStyle name="_Config_apollo_curves" xfId="13"/>
    <cellStyle name="_Config_Apollo_Spread" xfId="14"/>
    <cellStyle name="_config_db" xfId="15"/>
    <cellStyle name="_Cprty" xfId="16"/>
    <cellStyle name="_data" xfId="17"/>
    <cellStyle name="_DISPLAY" xfId="18"/>
    <cellStyle name="_DISPLAY 2" xfId="19"/>
    <cellStyle name="_DISPLAY_121Fut_View" xfId="20"/>
    <cellStyle name="_DISPLAY_121Fut_View 2" xfId="21"/>
    <cellStyle name="_DISPLAY_Apollo" xfId="22"/>
    <cellStyle name="_DISPLAY_AssetSwap" xfId="23"/>
    <cellStyle name="_DISPLAY_Closes" xfId="24"/>
    <cellStyle name="_DISPLAY_Composite Page" xfId="25"/>
    <cellStyle name="_DISPLAY_Config" xfId="26"/>
    <cellStyle name="_DISPLAY_Config_Composite Page" xfId="27"/>
    <cellStyle name="_DISPLAY_Convexity" xfId="28"/>
    <cellStyle name="_DISPLAY_Core" xfId="29"/>
    <cellStyle name="_DISPLAY_Core 2" xfId="30"/>
    <cellStyle name="_DISPLAY_Core_Composite Page" xfId="31"/>
    <cellStyle name="_DISPLAY_Core_Config" xfId="32"/>
    <cellStyle name="_DISPLAY_cp_Closes" xfId="33"/>
    <cellStyle name="_DISPLAY_DISPLAY" xfId="34"/>
    <cellStyle name="_DISPLAY_EOD_Closes" xfId="35"/>
    <cellStyle name="_DISPLAY_EOD_Closes_1" xfId="36"/>
    <cellStyle name="_DISPLAY_EOD_Curve" xfId="37"/>
    <cellStyle name="_DISPLAY_EOD_Curve 2" xfId="38"/>
    <cellStyle name="_DISPLAY_EOD_Curve 3" xfId="39"/>
    <cellStyle name="_DISPLAY_EOD_Curve_Composite Page" xfId="40"/>
    <cellStyle name="_DISPLAY_EOD_Curve_Core" xfId="41"/>
    <cellStyle name="_DISPLAY_EOD_Curve_Core 2" xfId="42"/>
    <cellStyle name="_DISPLAY_EOD_Curve_Futures" xfId="43"/>
    <cellStyle name="_DISPLAY_EOD_Curve_Swaps" xfId="44"/>
    <cellStyle name="_DISPLAY_Futures" xfId="45"/>
    <cellStyle name="_DISPLAY_Futures 2" xfId="46"/>
    <cellStyle name="_DISPLAY_Futures_Composite Page" xfId="47"/>
    <cellStyle name="_DISPLAY_Futures_Config" xfId="48"/>
    <cellStyle name="_DISPLAY_Gamma" xfId="49"/>
    <cellStyle name="_DISPLAY_Gamma_1" xfId="50"/>
    <cellStyle name="_DISPLAY_Gamma_Composite Page" xfId="51"/>
    <cellStyle name="_DISPLAY_Gamma_Core" xfId="52"/>
    <cellStyle name="_DISPLAY_Gamma_Futures" xfId="53"/>
    <cellStyle name="_DISPLAY_Gamma_Futures_1" xfId="54"/>
    <cellStyle name="_DISPLAY_Gamma_Swaps" xfId="55"/>
    <cellStyle name="_DISPLAY_Gamma_Treasuries" xfId="56"/>
    <cellStyle name="_DISPLAY_holidays" xfId="57"/>
    <cellStyle name="_DISPLAY_Real_Time" xfId="58"/>
    <cellStyle name="_DISPLAY_Real-Time" xfId="59"/>
    <cellStyle name="_DISPLAY_Real-Time 2" xfId="60"/>
    <cellStyle name="_DISPLAY_Real-Time_1" xfId="61"/>
    <cellStyle name="_DISPLAY_Real-Time_Composite Page" xfId="62"/>
    <cellStyle name="_DISPLAY_Real-Time_Core" xfId="63"/>
    <cellStyle name="_DISPLAY_Real-Time_Futures" xfId="64"/>
    <cellStyle name="_DISPLAY_Real-Time_Futures_1" xfId="65"/>
    <cellStyle name="_DISPLAY_Real-Time_Swaps" xfId="66"/>
    <cellStyle name="_DISPLAY_Real-Time_Treasuries" xfId="67"/>
    <cellStyle name="_DISPLAY_Sheet1" xfId="68"/>
    <cellStyle name="_DISPLAY_Swaps" xfId="69"/>
    <cellStyle name="_DISPLAY_Swaps 2" xfId="70"/>
    <cellStyle name="_DISPLAY_Swaps_Composite Page" xfId="71"/>
    <cellStyle name="_DISPLAY_Swaps_Config" xfId="72"/>
    <cellStyle name="_DISPLAY_T-Notes" xfId="73"/>
    <cellStyle name="_DISPLAY_T-Notes 2" xfId="74"/>
    <cellStyle name="_DISPLAY_T-Notes_Composite Page" xfId="75"/>
    <cellStyle name="_DISPLAY_T-Notes_Config" xfId="76"/>
    <cellStyle name="_DISPLAY_ToDo" xfId="77"/>
    <cellStyle name="_DISPLAY_ToDo 2" xfId="78"/>
    <cellStyle name="_DISPLAY_ToDoList" xfId="79"/>
    <cellStyle name="_DISPLAY_ToDoList 2" xfId="80"/>
    <cellStyle name="_DISPLAY_Treasuries" xfId="81"/>
    <cellStyle name="_DISPLAY_Treasuries 2" xfId="82"/>
    <cellStyle name="_DISPLAY_Treasuries_Composite Page" xfId="83"/>
    <cellStyle name="_DISPLAY_Treasuries_Config" xfId="84"/>
    <cellStyle name="_FRA_Map" xfId="85"/>
    <cellStyle name="_FRA_Map 2" xfId="86"/>
    <cellStyle name="_FRA_Map_121Fut_View" xfId="87"/>
    <cellStyle name="_FRA_Map_121Fut_View 2" xfId="88"/>
    <cellStyle name="_FRA_Map_Apollo" xfId="89"/>
    <cellStyle name="_FRA_Map_AssetSwap" xfId="90"/>
    <cellStyle name="_FRA_Map_Closes" xfId="91"/>
    <cellStyle name="_FRA_Map_Composite Page" xfId="92"/>
    <cellStyle name="_FRA_Map_Config" xfId="93"/>
    <cellStyle name="_FRA_Map_Config_Composite Page" xfId="94"/>
    <cellStyle name="_FRA_Map_Convexity" xfId="95"/>
    <cellStyle name="_FRA_Map_Core" xfId="96"/>
    <cellStyle name="_FRA_Map_Core 2" xfId="97"/>
    <cellStyle name="_FRA_Map_Core_Composite Page" xfId="98"/>
    <cellStyle name="_FRA_Map_Core_Config" xfId="99"/>
    <cellStyle name="_FRA_Map_cp_Closes" xfId="100"/>
    <cellStyle name="_FRA_Map_DISPLAY" xfId="101"/>
    <cellStyle name="_FRA_Map_EOD_Closes" xfId="102"/>
    <cellStyle name="_FRA_Map_EOD_Closes_1" xfId="103"/>
    <cellStyle name="_FRA_Map_EOD_Curve" xfId="104"/>
    <cellStyle name="_FRA_Map_EOD_Curve 2" xfId="105"/>
    <cellStyle name="_FRA_Map_EOD_Curve 3" xfId="106"/>
    <cellStyle name="_FRA_Map_EOD_Curve_Composite Page" xfId="107"/>
    <cellStyle name="_FRA_Map_EOD_Curve_Core" xfId="108"/>
    <cellStyle name="_FRA_Map_EOD_Curve_Core 2" xfId="109"/>
    <cellStyle name="_FRA_Map_EOD_Curve_Futures" xfId="110"/>
    <cellStyle name="_FRA_Map_EOD_Curve_Swaps" xfId="111"/>
    <cellStyle name="_FRA_Map_Futures" xfId="112"/>
    <cellStyle name="_FRA_Map_Futures 2" xfId="113"/>
    <cellStyle name="_FRA_Map_Futures_Composite Page" xfId="114"/>
    <cellStyle name="_FRA_Map_Futures_Config" xfId="115"/>
    <cellStyle name="_FRA_Map_Gamma" xfId="116"/>
    <cellStyle name="_FRA_Map_Gamma_1" xfId="117"/>
    <cellStyle name="_FRA_Map_Gamma_Composite Page" xfId="118"/>
    <cellStyle name="_FRA_Map_Gamma_Core" xfId="119"/>
    <cellStyle name="_FRA_Map_Gamma_Futures" xfId="120"/>
    <cellStyle name="_FRA_Map_Gamma_Futures_1" xfId="121"/>
    <cellStyle name="_FRA_Map_Gamma_Swaps" xfId="122"/>
    <cellStyle name="_FRA_Map_Gamma_Treasuries" xfId="123"/>
    <cellStyle name="_FRA_Map_holidays" xfId="124"/>
    <cellStyle name="_FRA_Map_Real_Time" xfId="125"/>
    <cellStyle name="_FRA_Map_Real-Time" xfId="126"/>
    <cellStyle name="_FRA_Map_Real-Time 2" xfId="127"/>
    <cellStyle name="_FRA_Map_Real-Time_1" xfId="128"/>
    <cellStyle name="_FRA_Map_Real-Time_Composite Page" xfId="129"/>
    <cellStyle name="_FRA_Map_Real-Time_Core" xfId="130"/>
    <cellStyle name="_FRA_Map_Real-Time_Futures" xfId="131"/>
    <cellStyle name="_FRA_Map_Real-Time_Futures_1" xfId="132"/>
    <cellStyle name="_FRA_Map_Real-Time_Swaps" xfId="133"/>
    <cellStyle name="_FRA_Map_Real-Time_Treasuries" xfId="134"/>
    <cellStyle name="_FRA_Map_Sheet1" xfId="135"/>
    <cellStyle name="_FRA_Map_Swaps" xfId="136"/>
    <cellStyle name="_FRA_Map_Swaps 2" xfId="137"/>
    <cellStyle name="_FRA_Map_Swaps_Composite Page" xfId="138"/>
    <cellStyle name="_FRA_Map_Swaps_Config" xfId="139"/>
    <cellStyle name="_FRA_Map_T-Notes" xfId="140"/>
    <cellStyle name="_FRA_Map_T-Notes 2" xfId="141"/>
    <cellStyle name="_FRA_Map_T-Notes_Composite Page" xfId="142"/>
    <cellStyle name="_FRA_Map_T-Notes_Config" xfId="143"/>
    <cellStyle name="_FRA_Map_ToDo" xfId="144"/>
    <cellStyle name="_FRA_Map_ToDo 2" xfId="145"/>
    <cellStyle name="_FRA_Map_ToDoList" xfId="146"/>
    <cellStyle name="_FRA_Map_ToDoList 2" xfId="147"/>
    <cellStyle name="_FRA_Map_Treasuries" xfId="148"/>
    <cellStyle name="_FRA_Map_Treasuries 2" xfId="149"/>
    <cellStyle name="_FRA_Map_Treasuries_Composite Page" xfId="150"/>
    <cellStyle name="_FRA_Map_Treasuries_Config" xfId="151"/>
    <cellStyle name="_Front" xfId="152"/>
    <cellStyle name="_Front_ADN" xfId="153"/>
    <cellStyle name="_Front_ImportBonds" xfId="154"/>
    <cellStyle name="_Front_Sheet1" xfId="155"/>
    <cellStyle name="_Front_Today" xfId="156"/>
    <cellStyle name="_Front_Yesterday" xfId="157"/>
    <cellStyle name="_Futures" xfId="158"/>
    <cellStyle name="_Gamma" xfId="159"/>
    <cellStyle name="_Gamma 2" xfId="160"/>
    <cellStyle name="_Gamma_Composite Page" xfId="161"/>
    <cellStyle name="_Gamma_Config" xfId="162"/>
    <cellStyle name="_Home" xfId="163"/>
    <cellStyle name="_Home 2" xfId="164"/>
    <cellStyle name="_Home_Composite Page" xfId="165"/>
    <cellStyle name="_Home_Config" xfId="166"/>
    <cellStyle name="_Hong Kong" xfId="167"/>
    <cellStyle name="_ImportBonds" xfId="168"/>
    <cellStyle name="_London" xfId="169"/>
    <cellStyle name="_London 2" xfId="170"/>
    <cellStyle name="_London_Composite Page" xfId="171"/>
    <cellStyle name="_London_Config" xfId="172"/>
    <cellStyle name="_LynxTrader" xfId="173"/>
    <cellStyle name="_LynxTrader_LynxTrader" xfId="174"/>
    <cellStyle name="_LynxTrader_Trade" xfId="175"/>
    <cellStyle name="_LynxTrader_Vector Editor" xfId="176"/>
    <cellStyle name="_Main" xfId="177"/>
    <cellStyle name="_manual" xfId="178"/>
    <cellStyle name="_manual_ADN" xfId="179"/>
    <cellStyle name="_manual_ImportBonds" xfId="180"/>
    <cellStyle name="_manual_Sheet1" xfId="181"/>
    <cellStyle name="_manual_Today" xfId="182"/>
    <cellStyle name="_manual_Yesterday" xfId="183"/>
    <cellStyle name="_New York" xfId="184"/>
    <cellStyle name="_NoteFuts" xfId="185"/>
    <cellStyle name="_Past 10 yr" xfId="186"/>
    <cellStyle name="_Past 10 yr 2" xfId="187"/>
    <cellStyle name="_Past 10 yr_Composite Page" xfId="188"/>
    <cellStyle name="_Past 10 yr_Config" xfId="189"/>
    <cellStyle name="_PnL" xfId="190"/>
    <cellStyle name="_PnL 2" xfId="191"/>
    <cellStyle name="_PnL Predictor" xfId="192"/>
    <cellStyle name="_PnL Predictor 2" xfId="193"/>
    <cellStyle name="_PnL Predictor_Composite Page" xfId="194"/>
    <cellStyle name="_PnL Predictor_Config" xfId="195"/>
    <cellStyle name="_PnL_Composite Page" xfId="196"/>
    <cellStyle name="_PnL_Config" xfId="197"/>
    <cellStyle name="_Positions" xfId="198"/>
    <cellStyle name="_Repo Blotter" xfId="199"/>
    <cellStyle name="_Repo Blotter_ADN" xfId="200"/>
    <cellStyle name="_Repo Blotter_ImportBonds" xfId="201"/>
    <cellStyle name="_Repo Blotter_Sheet1" xfId="202"/>
    <cellStyle name="_Repo Blotter_Today" xfId="203"/>
    <cellStyle name="_Repo Blotter_Yesterday" xfId="204"/>
    <cellStyle name="_Setup" xfId="205"/>
    <cellStyle name="_Setup_ADN" xfId="206"/>
    <cellStyle name="_Setup_ImportBonds" xfId="207"/>
    <cellStyle name="_Setup_Sheet1" xfId="208"/>
    <cellStyle name="_Setup_Today" xfId="209"/>
    <cellStyle name="_Setup_Yesterday" xfId="210"/>
    <cellStyle name="_Sheet1" xfId="211"/>
    <cellStyle name="_Strip_ZCurve" xfId="212"/>
    <cellStyle name="_Strip_ZCurve 2" xfId="213"/>
    <cellStyle name="_Strip_ZCurve_121Fut_View" xfId="214"/>
    <cellStyle name="_Strip_ZCurve_121Fut_View 2" xfId="215"/>
    <cellStyle name="_Strip_ZCurve_Apollo" xfId="216"/>
    <cellStyle name="_Strip_ZCurve_AssetSwap" xfId="217"/>
    <cellStyle name="_Strip_ZCurve_Closes" xfId="218"/>
    <cellStyle name="_Strip_ZCurve_Composite Page" xfId="219"/>
    <cellStyle name="_Strip_ZCurve_Config" xfId="220"/>
    <cellStyle name="_Strip_ZCurve_Config_Composite Page" xfId="221"/>
    <cellStyle name="_Strip_ZCurve_Convexity" xfId="222"/>
    <cellStyle name="_Strip_ZCurve_Core" xfId="223"/>
    <cellStyle name="_Strip_ZCurve_Core 2" xfId="224"/>
    <cellStyle name="_Strip_ZCurve_Core_Composite Page" xfId="225"/>
    <cellStyle name="_Strip_ZCurve_Core_Config" xfId="226"/>
    <cellStyle name="_Strip_ZCurve_cp_Closes" xfId="227"/>
    <cellStyle name="_Strip_ZCurve_DISPLAY" xfId="228"/>
    <cellStyle name="_Strip_ZCurve_EOD_Closes" xfId="229"/>
    <cellStyle name="_Strip_ZCurve_EOD_Closes_1" xfId="230"/>
    <cellStyle name="_Strip_ZCurve_EOD_Curve" xfId="231"/>
    <cellStyle name="_Strip_ZCurve_EOD_Curve 2" xfId="232"/>
    <cellStyle name="_Strip_ZCurve_EOD_Curve 3" xfId="233"/>
    <cellStyle name="_Strip_ZCurve_EOD_Curve_Composite Page" xfId="234"/>
    <cellStyle name="_Strip_ZCurve_EOD_Curve_Core" xfId="235"/>
    <cellStyle name="_Strip_ZCurve_EOD_Curve_Core 2" xfId="236"/>
    <cellStyle name="_Strip_ZCurve_EOD_Curve_Futures" xfId="237"/>
    <cellStyle name="_Strip_ZCurve_EOD_Curve_Swaps" xfId="238"/>
    <cellStyle name="_Strip_ZCurve_Futures" xfId="239"/>
    <cellStyle name="_Strip_ZCurve_Futures 2" xfId="240"/>
    <cellStyle name="_Strip_ZCurve_Futures_Composite Page" xfId="241"/>
    <cellStyle name="_Strip_ZCurve_Futures_Config" xfId="242"/>
    <cellStyle name="_Strip_ZCurve_Gamma" xfId="243"/>
    <cellStyle name="_Strip_ZCurve_Gamma_1" xfId="244"/>
    <cellStyle name="_Strip_ZCurve_Gamma_Composite Page" xfId="245"/>
    <cellStyle name="_Strip_ZCurve_Gamma_Core" xfId="246"/>
    <cellStyle name="_Strip_ZCurve_Gamma_Futures" xfId="247"/>
    <cellStyle name="_Strip_ZCurve_Gamma_Futures_1" xfId="248"/>
    <cellStyle name="_Strip_ZCurve_Gamma_Swaps" xfId="249"/>
    <cellStyle name="_Strip_ZCurve_Gamma_Treasuries" xfId="250"/>
    <cellStyle name="_Strip_ZCurve_holidays" xfId="251"/>
    <cellStyle name="_Strip_ZCurve_Real_Time" xfId="252"/>
    <cellStyle name="_Strip_ZCurve_Real-Time" xfId="253"/>
    <cellStyle name="_Strip_ZCurve_Real-Time 2" xfId="254"/>
    <cellStyle name="_Strip_ZCurve_Real-Time_1" xfId="255"/>
    <cellStyle name="_Strip_ZCurve_Real-Time_Composite Page" xfId="256"/>
    <cellStyle name="_Strip_ZCurve_Real-Time_Core" xfId="257"/>
    <cellStyle name="_Strip_ZCurve_Real-Time_Futures" xfId="258"/>
    <cellStyle name="_Strip_ZCurve_Real-Time_Futures_1" xfId="259"/>
    <cellStyle name="_Strip_ZCurve_Real-Time_Swaps" xfId="260"/>
    <cellStyle name="_Strip_ZCurve_Real-Time_Treasuries" xfId="261"/>
    <cellStyle name="_Strip_ZCurve_Sheet1" xfId="262"/>
    <cellStyle name="_Strip_ZCurve_Swaps" xfId="263"/>
    <cellStyle name="_Strip_ZCurve_Swaps 2" xfId="264"/>
    <cellStyle name="_Strip_ZCurve_Swaps_Composite Page" xfId="265"/>
    <cellStyle name="_Strip_ZCurve_Swaps_Config" xfId="266"/>
    <cellStyle name="_Strip_ZCurve_T-Notes" xfId="267"/>
    <cellStyle name="_Strip_ZCurve_T-Notes 2" xfId="268"/>
    <cellStyle name="_Strip_ZCurve_T-Notes_Composite Page" xfId="269"/>
    <cellStyle name="_Strip_ZCurve_T-Notes_Config" xfId="270"/>
    <cellStyle name="_Strip_ZCurve_ToDo" xfId="271"/>
    <cellStyle name="_Strip_ZCurve_ToDo 2" xfId="272"/>
    <cellStyle name="_Strip_ZCurve_ToDoList" xfId="273"/>
    <cellStyle name="_Strip_ZCurve_ToDoList 2" xfId="274"/>
    <cellStyle name="_Strip_ZCurve_Treasuries" xfId="275"/>
    <cellStyle name="_Strip_ZCurve_Treasuries 2" xfId="276"/>
    <cellStyle name="_Strip_ZCurve_Treasuries_Composite Page" xfId="277"/>
    <cellStyle name="_Strip_ZCurve_Treasuries_Config" xfId="278"/>
    <cellStyle name="_Summary" xfId="279"/>
    <cellStyle name="_Summary 2" xfId="280"/>
    <cellStyle name="_Summary_Composite Page" xfId="281"/>
    <cellStyle name="_Summary_Config" xfId="282"/>
    <cellStyle name="_Today" xfId="283"/>
    <cellStyle name="_Trade Blotter" xfId="284"/>
    <cellStyle name="_Treasuries" xfId="285"/>
    <cellStyle name="_Treasuries 2" xfId="286"/>
    <cellStyle name="_Treasuries_Composite Page" xfId="287"/>
    <cellStyle name="_Treasuries_Config" xfId="288"/>
    <cellStyle name="_Turn" xfId="289"/>
    <cellStyle name="_Turn 2" xfId="290"/>
    <cellStyle name="_Turn_121Fut_View" xfId="291"/>
    <cellStyle name="_Turn_121Fut_View 2" xfId="292"/>
    <cellStyle name="_Turn_Apollo" xfId="293"/>
    <cellStyle name="_Turn_apollo_curves" xfId="294"/>
    <cellStyle name="_Turn_Apollo_Spread" xfId="295"/>
    <cellStyle name="_Turn_AssetSwap" xfId="296"/>
    <cellStyle name="_Turn_Composite Page" xfId="297"/>
    <cellStyle name="_Turn_Config" xfId="298"/>
    <cellStyle name="_Turn_Config_Composite Page" xfId="299"/>
    <cellStyle name="_Turn_Convexity" xfId="300"/>
    <cellStyle name="_Turn_Core" xfId="301"/>
    <cellStyle name="_Turn_Core 2" xfId="302"/>
    <cellStyle name="_Turn_Core_Composite Page" xfId="303"/>
    <cellStyle name="_Turn_Core_Config" xfId="304"/>
    <cellStyle name="_Turn_cp_Closes" xfId="305"/>
    <cellStyle name="_Turn_DISPLAY" xfId="306"/>
    <cellStyle name="_Turn_EOD_Closes" xfId="307"/>
    <cellStyle name="_Turn_EOD_Curve" xfId="308"/>
    <cellStyle name="_Turn_EOD_Curve 2" xfId="309"/>
    <cellStyle name="_Turn_EOD_Curve 3" xfId="310"/>
    <cellStyle name="_Turn_EOD_Curve_Composite Page" xfId="311"/>
    <cellStyle name="_Turn_EOD_Curve_Core" xfId="312"/>
    <cellStyle name="_Turn_EOD_Curve_Core 2" xfId="313"/>
    <cellStyle name="_Turn_EOD_Curve_Futures" xfId="314"/>
    <cellStyle name="_Turn_EOD_Curve_Swaps" xfId="315"/>
    <cellStyle name="_Turn_Futures" xfId="316"/>
    <cellStyle name="_Turn_Futures 2" xfId="317"/>
    <cellStyle name="_Turn_Futures_Composite Page" xfId="318"/>
    <cellStyle name="_Turn_Futures_Config" xfId="319"/>
    <cellStyle name="_Turn_Gamma" xfId="320"/>
    <cellStyle name="_Turn_Gamma_1" xfId="321"/>
    <cellStyle name="_Turn_Gamma_Composite Page" xfId="322"/>
    <cellStyle name="_Turn_Gamma_Core" xfId="323"/>
    <cellStyle name="_Turn_Gamma_Futures" xfId="324"/>
    <cellStyle name="_Turn_Gamma_Futures_1" xfId="325"/>
    <cellStyle name="_Turn_Gamma_Swaps" xfId="326"/>
    <cellStyle name="_Turn_Gamma_Treasuries" xfId="327"/>
    <cellStyle name="_Turn_holidays" xfId="328"/>
    <cellStyle name="_Turn_Real_Time" xfId="329"/>
    <cellStyle name="_Turn_Real-Time" xfId="330"/>
    <cellStyle name="_Turn_Real-Time 2" xfId="331"/>
    <cellStyle name="_Turn_Real-Time_1" xfId="332"/>
    <cellStyle name="_Turn_Real-Time_Composite Page" xfId="333"/>
    <cellStyle name="_Turn_Real-Time_Core" xfId="334"/>
    <cellStyle name="_Turn_Real-Time_Futures" xfId="335"/>
    <cellStyle name="_Turn_Real-Time_Futures_1" xfId="336"/>
    <cellStyle name="_Turn_Real-Time_Swaps" xfId="337"/>
    <cellStyle name="_Turn_Real-Time_Treasuries" xfId="338"/>
    <cellStyle name="_Turn_Swaps" xfId="339"/>
    <cellStyle name="_Turn_Swaps 2" xfId="340"/>
    <cellStyle name="_Turn_Swaps_Composite Page" xfId="341"/>
    <cellStyle name="_Turn_Swaps_Config" xfId="342"/>
    <cellStyle name="_Turn_T-Notes" xfId="343"/>
    <cellStyle name="_Turn_T-Notes 2" xfId="344"/>
    <cellStyle name="_Turn_T-Notes_Composite Page" xfId="345"/>
    <cellStyle name="_Turn_T-Notes_Config" xfId="346"/>
    <cellStyle name="_Turn_ToDo" xfId="347"/>
    <cellStyle name="_Turn_ToDo 2" xfId="348"/>
    <cellStyle name="_Turn_ToDoList" xfId="349"/>
    <cellStyle name="_Turn_ToDoList 2" xfId="350"/>
    <cellStyle name="_Turn_Treasuries" xfId="351"/>
    <cellStyle name="_Turn_Treasuries 2" xfId="352"/>
    <cellStyle name="_Turn_Treasuries_Composite Page" xfId="353"/>
    <cellStyle name="_Turn_Treasuries_Config" xfId="354"/>
    <cellStyle name="_ValuationViewer" xfId="355"/>
    <cellStyle name="_ValuationViewer_ValuationViewer" xfId="356"/>
    <cellStyle name="_Yesterday" xfId="357"/>
    <cellStyle name="=C:\WINNT35\SYSTEM32\COMMAND.COM" xfId="358"/>
    <cellStyle name="0.0000%" xfId="359"/>
    <cellStyle name="20% - Accent1 2" xfId="360"/>
    <cellStyle name="20% - Accent1 2 2" xfId="361"/>
    <cellStyle name="20% - Accent1 3" xfId="362"/>
    <cellStyle name="20% - Accent1 4" xfId="363"/>
    <cellStyle name="20% - Accent1 5" xfId="364"/>
    <cellStyle name="20% - Accent1 6" xfId="365"/>
    <cellStyle name="20% - Accent2 2" xfId="366"/>
    <cellStyle name="20% - Accent2 2 2" xfId="367"/>
    <cellStyle name="20% - Accent2 3" xfId="368"/>
    <cellStyle name="20% - Accent2 4" xfId="369"/>
    <cellStyle name="20% - Accent2 5" xfId="370"/>
    <cellStyle name="20% - Accent2 6" xfId="371"/>
    <cellStyle name="20% - Accent3 2" xfId="372"/>
    <cellStyle name="20% - Accent3 2 2" xfId="373"/>
    <cellStyle name="20% - Accent3 3" xfId="374"/>
    <cellStyle name="20% - Accent3 4" xfId="375"/>
    <cellStyle name="20% - Accent3 5" xfId="376"/>
    <cellStyle name="20% - Accent3 6" xfId="377"/>
    <cellStyle name="20% - Accent4 2" xfId="378"/>
    <cellStyle name="20% - Accent4 2 2" xfId="379"/>
    <cellStyle name="20% - Accent4 3" xfId="380"/>
    <cellStyle name="20% - Accent4 4" xfId="381"/>
    <cellStyle name="20% - Accent4 5" xfId="382"/>
    <cellStyle name="20% - Accent4 6" xfId="383"/>
    <cellStyle name="20% - Accent5 2" xfId="384"/>
    <cellStyle name="20% - Accent5 2 2" xfId="385"/>
    <cellStyle name="20% - Accent5 3" xfId="386"/>
    <cellStyle name="20% - Accent5 4" xfId="387"/>
    <cellStyle name="20% - Accent6 2" xfId="388"/>
    <cellStyle name="20% - Accent6 2 2" xfId="389"/>
    <cellStyle name="20% - Accent6 3" xfId="390"/>
    <cellStyle name="20% - Accent6 4" xfId="391"/>
    <cellStyle name="40% - Accent1 2" xfId="392"/>
    <cellStyle name="40% - Accent1 2 2" xfId="393"/>
    <cellStyle name="40% - Accent1 3" xfId="394"/>
    <cellStyle name="40% - Accent1 4" xfId="395"/>
    <cellStyle name="40% - Accent1 5" xfId="396"/>
    <cellStyle name="40% - Accent1 6" xfId="397"/>
    <cellStyle name="40% - Accent2 2" xfId="398"/>
    <cellStyle name="40% - Accent2 2 2" xfId="399"/>
    <cellStyle name="40% - Accent2 3" xfId="400"/>
    <cellStyle name="40% - Accent2 4" xfId="401"/>
    <cellStyle name="40% - Accent3 2" xfId="402"/>
    <cellStyle name="40% - Accent3 2 2" xfId="403"/>
    <cellStyle name="40% - Accent3 3" xfId="404"/>
    <cellStyle name="40% - Accent3 4" xfId="405"/>
    <cellStyle name="40% - Accent3 5" xfId="406"/>
    <cellStyle name="40% - Accent3 6" xfId="407"/>
    <cellStyle name="40% - Accent4 2" xfId="408"/>
    <cellStyle name="40% - Accent4 2 2" xfId="409"/>
    <cellStyle name="40% - Accent4 3" xfId="410"/>
    <cellStyle name="40% - Accent4 4" xfId="411"/>
    <cellStyle name="40% - Accent4 5" xfId="412"/>
    <cellStyle name="40% - Accent4 6" xfId="413"/>
    <cellStyle name="40% - Accent5 2" xfId="414"/>
    <cellStyle name="40% - Accent5 2 2" xfId="415"/>
    <cellStyle name="40% - Accent5 3" xfId="416"/>
    <cellStyle name="40% - Accent5 4" xfId="417"/>
    <cellStyle name="40% - Accent6 2" xfId="418"/>
    <cellStyle name="40% - Accent6 2 2" xfId="419"/>
    <cellStyle name="40% - Accent6 3" xfId="420"/>
    <cellStyle name="40% - Accent6 4" xfId="421"/>
    <cellStyle name="40% - Accent6 5" xfId="422"/>
    <cellStyle name="40% - Accent6 6" xfId="423"/>
    <cellStyle name="60% - Accent1 2" xfId="424"/>
    <cellStyle name="60% - Accent1 2 2" xfId="425"/>
    <cellStyle name="60% - Accent1 3" xfId="426"/>
    <cellStyle name="60% - Accent1 4" xfId="427"/>
    <cellStyle name="60% - Accent1 5" xfId="428"/>
    <cellStyle name="60% - Accent1 6" xfId="429"/>
    <cellStyle name="60% - Accent2 2" xfId="430"/>
    <cellStyle name="60% - Accent2 2 2" xfId="431"/>
    <cellStyle name="60% - Accent2 3" xfId="432"/>
    <cellStyle name="60% - Accent2 4" xfId="433"/>
    <cellStyle name="60% - Accent3 2" xfId="434"/>
    <cellStyle name="60% - Accent3 2 2" xfId="435"/>
    <cellStyle name="60% - Accent3 3" xfId="436"/>
    <cellStyle name="60% - Accent3 4" xfId="437"/>
    <cellStyle name="60% - Accent3 5" xfId="438"/>
    <cellStyle name="60% - Accent3 6" xfId="439"/>
    <cellStyle name="60% - Accent4 2" xfId="440"/>
    <cellStyle name="60% - Accent4 2 2" xfId="441"/>
    <cellStyle name="60% - Accent4 3" xfId="442"/>
    <cellStyle name="60% - Accent4 4" xfId="443"/>
    <cellStyle name="60% - Accent4 5" xfId="444"/>
    <cellStyle name="60% - Accent4 6" xfId="445"/>
    <cellStyle name="60% - Accent5 2" xfId="446"/>
    <cellStyle name="60% - Accent5 2 2" xfId="447"/>
    <cellStyle name="60% - Accent5 3" xfId="448"/>
    <cellStyle name="60% - Accent5 4" xfId="449"/>
    <cellStyle name="60% - Accent6 2" xfId="450"/>
    <cellStyle name="60% - Accent6 2 2" xfId="451"/>
    <cellStyle name="60% - Accent6 3" xfId="452"/>
    <cellStyle name="60% - Accent6 4" xfId="453"/>
    <cellStyle name="60% - Accent6 5" xfId="454"/>
    <cellStyle name="60% - Accent6 6" xfId="455"/>
    <cellStyle name="Accent1 2" xfId="456"/>
    <cellStyle name="Accent1 2 2" xfId="457"/>
    <cellStyle name="Accent1 3" xfId="458"/>
    <cellStyle name="Accent1 4" xfId="459"/>
    <cellStyle name="Accent1 5" xfId="460"/>
    <cellStyle name="Accent1 6" xfId="461"/>
    <cellStyle name="Accent2 2" xfId="462"/>
    <cellStyle name="Accent2 2 2" xfId="463"/>
    <cellStyle name="Accent2 3" xfId="464"/>
    <cellStyle name="Accent2 4" xfId="465"/>
    <cellStyle name="Accent3 2" xfId="466"/>
    <cellStyle name="Accent3 2 2" xfId="467"/>
    <cellStyle name="Accent3 3" xfId="468"/>
    <cellStyle name="Accent3 4" xfId="469"/>
    <cellStyle name="Accent4 2" xfId="470"/>
    <cellStyle name="Accent4 2 2" xfId="471"/>
    <cellStyle name="Accent4 3" xfId="472"/>
    <cellStyle name="Accent4 4" xfId="473"/>
    <cellStyle name="Accent4 5" xfId="474"/>
    <cellStyle name="Accent4 6" xfId="475"/>
    <cellStyle name="Accent5 2" xfId="476"/>
    <cellStyle name="Accent5 2 2" xfId="477"/>
    <cellStyle name="Accent5 3" xfId="478"/>
    <cellStyle name="Accent5 4" xfId="479"/>
    <cellStyle name="Accent6 2" xfId="480"/>
    <cellStyle name="Accent6 2 2" xfId="481"/>
    <cellStyle name="Accent6 3" xfId="482"/>
    <cellStyle name="Accent6 4" xfId="483"/>
    <cellStyle name="AppSvrCode" xfId="484"/>
    <cellStyle name="Array" xfId="485"/>
    <cellStyle name="Background" xfId="486"/>
    <cellStyle name="BackGround 2" xfId="487"/>
    <cellStyle name="Background 3" xfId="488"/>
    <cellStyle name="Background 4" xfId="489"/>
    <cellStyle name="Background 5" xfId="490"/>
    <cellStyle name="Background 6" xfId="491"/>
    <cellStyle name="Background 7" xfId="492"/>
    <cellStyle name="Background_apollo_curves" xfId="493"/>
    <cellStyle name="Bad 2" xfId="494"/>
    <cellStyle name="Bad 2 2" xfId="495"/>
    <cellStyle name="Bad 3" xfId="496"/>
    <cellStyle name="Bad 4" xfId="497"/>
    <cellStyle name="Bad 5" xfId="498"/>
    <cellStyle name="Bad 6" xfId="499"/>
    <cellStyle name="blp_column_header" xfId="500"/>
    <cellStyle name="Border" xfId="501"/>
    <cellStyle name="bullet" xfId="502"/>
    <cellStyle name="calc" xfId="503"/>
    <cellStyle name="Calculation 2" xfId="504"/>
    <cellStyle name="Calculation 2 2" xfId="505"/>
    <cellStyle name="Calculation 2 2 2" xfId="506"/>
    <cellStyle name="Calculation 2 2 2 2" xfId="507"/>
    <cellStyle name="Calculation 2 2 2 2 2" xfId="508"/>
    <cellStyle name="Calculation 2 2 2 2 2 2" xfId="509"/>
    <cellStyle name="Calculation 2 2 2 2 2 2 2" xfId="510"/>
    <cellStyle name="Calculation 2 2 2 2 2 2 2 2" xfId="511"/>
    <cellStyle name="Calculation 2 2 2 2 2 2 2 2 2" xfId="512"/>
    <cellStyle name="Calculation 2 2 2 2 2 2 2 3" xfId="513"/>
    <cellStyle name="Calculation 2 2 2 2 2 2 3" xfId="514"/>
    <cellStyle name="Calculation 2 2 2 2 2 2 3 2" xfId="515"/>
    <cellStyle name="Calculation 2 2 2 2 2 2 4" xfId="516"/>
    <cellStyle name="Calculation 2 2 2 2 2 3" xfId="517"/>
    <cellStyle name="Calculation 2 2 2 2 2 3 2" xfId="518"/>
    <cellStyle name="Calculation 2 2 2 2 2 3 2 2" xfId="519"/>
    <cellStyle name="Calculation 2 2 2 2 2 3 3" xfId="520"/>
    <cellStyle name="Calculation 2 2 2 2 2 3 4" xfId="521"/>
    <cellStyle name="Calculation 2 2 2 2 2 4" xfId="522"/>
    <cellStyle name="Calculation 2 2 2 2 2 4 2" xfId="523"/>
    <cellStyle name="Calculation 2 2 2 2 2 4 2 2" xfId="524"/>
    <cellStyle name="Calculation 2 2 2 2 2 4 3" xfId="525"/>
    <cellStyle name="Calculation 2 2 2 2 2 5" xfId="526"/>
    <cellStyle name="Calculation 2 2 2 2 2 5 2" xfId="527"/>
    <cellStyle name="Calculation 2 2 2 2 2 6" xfId="528"/>
    <cellStyle name="Calculation 2 2 2 2 3" xfId="529"/>
    <cellStyle name="Calculation 2 2 2 2 3 2" xfId="530"/>
    <cellStyle name="Calculation 2 2 2 2 3 2 2" xfId="531"/>
    <cellStyle name="Calculation 2 2 2 2 3 2 2 2" xfId="532"/>
    <cellStyle name="Calculation 2 2 2 2 3 2 2 2 2" xfId="533"/>
    <cellStyle name="Calculation 2 2 2 2 3 2 2 3" xfId="534"/>
    <cellStyle name="Calculation 2 2 2 2 3 2 3" xfId="535"/>
    <cellStyle name="Calculation 2 2 2 2 3 2 3 2" xfId="536"/>
    <cellStyle name="Calculation 2 2 2 2 3 2 4" xfId="537"/>
    <cellStyle name="Calculation 2 2 2 2 3 3" xfId="538"/>
    <cellStyle name="Calculation 2 2 2 2 3 3 2" xfId="539"/>
    <cellStyle name="Calculation 2 2 2 2 3 3 2 2" xfId="540"/>
    <cellStyle name="Calculation 2 2 2 2 3 3 3" xfId="541"/>
    <cellStyle name="Calculation 2 2 2 2 3 3 4" xfId="542"/>
    <cellStyle name="Calculation 2 2 2 2 3 4" xfId="543"/>
    <cellStyle name="Calculation 2 2 2 2 3 4 2" xfId="544"/>
    <cellStyle name="Calculation 2 2 2 2 3 4 2 2" xfId="545"/>
    <cellStyle name="Calculation 2 2 2 2 3 4 3" xfId="546"/>
    <cellStyle name="Calculation 2 2 2 2 3 5" xfId="547"/>
    <cellStyle name="Calculation 2 2 2 2 3 5 2" xfId="548"/>
    <cellStyle name="Calculation 2 2 2 2 3 6" xfId="549"/>
    <cellStyle name="Calculation 2 2 2 2 4" xfId="550"/>
    <cellStyle name="Calculation 2 2 2 2 4 2" xfId="551"/>
    <cellStyle name="Calculation 2 2 2 2 4 2 2" xfId="552"/>
    <cellStyle name="Calculation 2 2 2 2 4 2 2 2" xfId="553"/>
    <cellStyle name="Calculation 2 2 2 2 4 2 2 2 2" xfId="554"/>
    <cellStyle name="Calculation 2 2 2 2 4 2 2 3" xfId="555"/>
    <cellStyle name="Calculation 2 2 2 2 4 2 3" xfId="556"/>
    <cellStyle name="Calculation 2 2 2 2 4 2 3 2" xfId="557"/>
    <cellStyle name="Calculation 2 2 2 2 4 2 4" xfId="558"/>
    <cellStyle name="Calculation 2 2 2 2 4 3" xfId="559"/>
    <cellStyle name="Calculation 2 2 2 2 4 3 2" xfId="560"/>
    <cellStyle name="Calculation 2 2 2 2 4 3 2 2" xfId="561"/>
    <cellStyle name="Calculation 2 2 2 2 4 3 3" xfId="562"/>
    <cellStyle name="Calculation 2 2 2 2 4 3 4" xfId="563"/>
    <cellStyle name="Calculation 2 2 2 2 4 4" xfId="564"/>
    <cellStyle name="Calculation 2 2 2 2 4 4 2" xfId="565"/>
    <cellStyle name="Calculation 2 2 2 2 4 4 2 2" xfId="566"/>
    <cellStyle name="Calculation 2 2 2 2 4 4 3" xfId="567"/>
    <cellStyle name="Calculation 2 2 2 2 4 5" xfId="568"/>
    <cellStyle name="Calculation 2 2 2 2 4 5 2" xfId="569"/>
    <cellStyle name="Calculation 2 2 2 2 4 6" xfId="570"/>
    <cellStyle name="Calculation 2 2 2 2 5" xfId="571"/>
    <cellStyle name="Calculation 2 2 2 2 5 2" xfId="572"/>
    <cellStyle name="Calculation 2 2 2 3" xfId="573"/>
    <cellStyle name="Calculation 2 2 2 3 2" xfId="574"/>
    <cellStyle name="Calculation 2 2 2 3 2 2" xfId="575"/>
    <cellStyle name="Calculation 2 2 2 3 2 2 2" xfId="576"/>
    <cellStyle name="Calculation 2 2 2 3 2 2 2 2" xfId="577"/>
    <cellStyle name="Calculation 2 2 2 3 2 2 3" xfId="578"/>
    <cellStyle name="Calculation 2 2 2 3 2 3" xfId="579"/>
    <cellStyle name="Calculation 2 2 2 3 2 3 2" xfId="580"/>
    <cellStyle name="Calculation 2 2 2 3 2 4" xfId="581"/>
    <cellStyle name="Calculation 2 2 2 3 3" xfId="582"/>
    <cellStyle name="Calculation 2 2 2 3 3 2" xfId="583"/>
    <cellStyle name="Calculation 2 2 2 3 3 2 2" xfId="584"/>
    <cellStyle name="Calculation 2 2 2 3 3 3" xfId="585"/>
    <cellStyle name="Calculation 2 2 2 3 3 4" xfId="586"/>
    <cellStyle name="Calculation 2 2 2 3 4" xfId="587"/>
    <cellStyle name="Calculation 2 2 2 3 4 2" xfId="588"/>
    <cellStyle name="Calculation 2 2 2 3 4 2 2" xfId="589"/>
    <cellStyle name="Calculation 2 2 2 3 4 3" xfId="590"/>
    <cellStyle name="Calculation 2 2 2 3 5" xfId="591"/>
    <cellStyle name="Calculation 2 2 2 3 5 2" xfId="592"/>
    <cellStyle name="Calculation 2 2 2 3 6" xfId="593"/>
    <cellStyle name="Calculation 2 2 2 4" xfId="594"/>
    <cellStyle name="Calculation 2 2 2 4 2" xfId="595"/>
    <cellStyle name="Calculation 2 2 2 4 2 2" xfId="596"/>
    <cellStyle name="Calculation 2 2 2 4 2 2 2" xfId="597"/>
    <cellStyle name="Calculation 2 2 2 4 2 2 2 2" xfId="598"/>
    <cellStyle name="Calculation 2 2 2 4 2 2 3" xfId="599"/>
    <cellStyle name="Calculation 2 2 2 4 2 3" xfId="600"/>
    <cellStyle name="Calculation 2 2 2 4 2 3 2" xfId="601"/>
    <cellStyle name="Calculation 2 2 2 4 2 4" xfId="602"/>
    <cellStyle name="Calculation 2 2 2 4 3" xfId="603"/>
    <cellStyle name="Calculation 2 2 2 4 3 2" xfId="604"/>
    <cellStyle name="Calculation 2 2 2 4 3 2 2" xfId="605"/>
    <cellStyle name="Calculation 2 2 2 4 3 3" xfId="606"/>
    <cellStyle name="Calculation 2 2 2 4 3 4" xfId="607"/>
    <cellStyle name="Calculation 2 2 2 4 4" xfId="608"/>
    <cellStyle name="Calculation 2 2 2 4 4 2" xfId="609"/>
    <cellStyle name="Calculation 2 2 2 4 4 2 2" xfId="610"/>
    <cellStyle name="Calculation 2 2 2 4 4 3" xfId="611"/>
    <cellStyle name="Calculation 2 2 2 4 5" xfId="612"/>
    <cellStyle name="Calculation 2 2 2 4 5 2" xfId="613"/>
    <cellStyle name="Calculation 2 2 2 4 6" xfId="614"/>
    <cellStyle name="Calculation 2 2 2 5" xfId="615"/>
    <cellStyle name="Calculation 2 2 2 5 2" xfId="616"/>
    <cellStyle name="Calculation 2 2 2 5 2 2" xfId="617"/>
    <cellStyle name="Calculation 2 2 2 5 2 2 2" xfId="618"/>
    <cellStyle name="Calculation 2 2 2 5 2 2 2 2" xfId="619"/>
    <cellStyle name="Calculation 2 2 2 5 2 2 3" xfId="620"/>
    <cellStyle name="Calculation 2 2 2 5 2 3" xfId="621"/>
    <cellStyle name="Calculation 2 2 2 5 2 3 2" xfId="622"/>
    <cellStyle name="Calculation 2 2 2 5 2 4" xfId="623"/>
    <cellStyle name="Calculation 2 2 2 5 3" xfId="624"/>
    <cellStyle name="Calculation 2 2 2 5 3 2" xfId="625"/>
    <cellStyle name="Calculation 2 2 2 5 3 2 2" xfId="626"/>
    <cellStyle name="Calculation 2 2 2 5 3 3" xfId="627"/>
    <cellStyle name="Calculation 2 2 2 5 3 4" xfId="628"/>
    <cellStyle name="Calculation 2 2 2 5 4" xfId="629"/>
    <cellStyle name="Calculation 2 2 2 5 4 2" xfId="630"/>
    <cellStyle name="Calculation 2 2 2 5 4 2 2" xfId="631"/>
    <cellStyle name="Calculation 2 2 2 5 4 3" xfId="632"/>
    <cellStyle name="Calculation 2 2 2 5 5" xfId="633"/>
    <cellStyle name="Calculation 2 2 2 5 5 2" xfId="634"/>
    <cellStyle name="Calculation 2 2 2 5 6" xfId="635"/>
    <cellStyle name="Calculation 2 2 3" xfId="636"/>
    <cellStyle name="Calculation 2 2 3 2" xfId="637"/>
    <cellStyle name="Calculation 2 2 3 2 2" xfId="638"/>
    <cellStyle name="Calculation 2 2 3 2 2 2" xfId="639"/>
    <cellStyle name="Calculation 2 2 3 2 2 2 2" xfId="640"/>
    <cellStyle name="Calculation 2 2 3 2 2 2 2 2" xfId="641"/>
    <cellStyle name="Calculation 2 2 3 2 2 2 3" xfId="642"/>
    <cellStyle name="Calculation 2 2 3 2 2 3" xfId="643"/>
    <cellStyle name="Calculation 2 2 3 2 2 3 2" xfId="644"/>
    <cellStyle name="Calculation 2 2 3 2 2 4" xfId="645"/>
    <cellStyle name="Calculation 2 2 3 2 3" xfId="646"/>
    <cellStyle name="Calculation 2 2 3 2 3 2" xfId="647"/>
    <cellStyle name="Calculation 2 2 3 2 3 2 2" xfId="648"/>
    <cellStyle name="Calculation 2 2 3 2 3 3" xfId="649"/>
    <cellStyle name="Calculation 2 2 3 2 3 4" xfId="650"/>
    <cellStyle name="Calculation 2 2 3 2 4" xfId="651"/>
    <cellStyle name="Calculation 2 2 3 2 4 2" xfId="652"/>
    <cellStyle name="Calculation 2 2 3 2 4 2 2" xfId="653"/>
    <cellStyle name="Calculation 2 2 3 2 4 3" xfId="654"/>
    <cellStyle name="Calculation 2 2 3 2 5" xfId="655"/>
    <cellStyle name="Calculation 2 2 3 2 5 2" xfId="656"/>
    <cellStyle name="Calculation 2 2 3 2 6" xfId="657"/>
    <cellStyle name="Calculation 2 2 3 3" xfId="658"/>
    <cellStyle name="Calculation 2 2 3 3 2" xfId="659"/>
    <cellStyle name="Calculation 2 2 3 3 2 2" xfId="660"/>
    <cellStyle name="Calculation 2 2 3 3 2 2 2" xfId="661"/>
    <cellStyle name="Calculation 2 2 3 3 2 2 2 2" xfId="662"/>
    <cellStyle name="Calculation 2 2 3 3 2 2 3" xfId="663"/>
    <cellStyle name="Calculation 2 2 3 3 2 3" xfId="664"/>
    <cellStyle name="Calculation 2 2 3 3 2 3 2" xfId="665"/>
    <cellStyle name="Calculation 2 2 3 3 2 4" xfId="666"/>
    <cellStyle name="Calculation 2 2 3 3 3" xfId="667"/>
    <cellStyle name="Calculation 2 2 3 3 3 2" xfId="668"/>
    <cellStyle name="Calculation 2 2 3 3 3 2 2" xfId="669"/>
    <cellStyle name="Calculation 2 2 3 3 3 3" xfId="670"/>
    <cellStyle name="Calculation 2 2 3 3 3 4" xfId="671"/>
    <cellStyle name="Calculation 2 2 3 3 4" xfId="672"/>
    <cellStyle name="Calculation 2 2 3 3 4 2" xfId="673"/>
    <cellStyle name="Calculation 2 2 3 3 4 2 2" xfId="674"/>
    <cellStyle name="Calculation 2 2 3 3 4 3" xfId="675"/>
    <cellStyle name="Calculation 2 2 3 3 5" xfId="676"/>
    <cellStyle name="Calculation 2 2 3 3 5 2" xfId="677"/>
    <cellStyle name="Calculation 2 2 3 3 6" xfId="678"/>
    <cellStyle name="Calculation 2 2 3 4" xfId="679"/>
    <cellStyle name="Calculation 2 2 3 4 2" xfId="680"/>
    <cellStyle name="Calculation 2 2 3 4 2 2" xfId="681"/>
    <cellStyle name="Calculation 2 2 3 4 2 2 2" xfId="682"/>
    <cellStyle name="Calculation 2 2 3 4 2 2 2 2" xfId="683"/>
    <cellStyle name="Calculation 2 2 3 4 2 2 3" xfId="684"/>
    <cellStyle name="Calculation 2 2 3 4 2 3" xfId="685"/>
    <cellStyle name="Calculation 2 2 3 4 2 3 2" xfId="686"/>
    <cellStyle name="Calculation 2 2 3 4 2 4" xfId="687"/>
    <cellStyle name="Calculation 2 2 3 4 3" xfId="688"/>
    <cellStyle name="Calculation 2 2 3 4 3 2" xfId="689"/>
    <cellStyle name="Calculation 2 2 3 4 3 2 2" xfId="690"/>
    <cellStyle name="Calculation 2 2 3 4 3 3" xfId="691"/>
    <cellStyle name="Calculation 2 2 3 4 3 4" xfId="692"/>
    <cellStyle name="Calculation 2 2 3 4 4" xfId="693"/>
    <cellStyle name="Calculation 2 2 3 4 4 2" xfId="694"/>
    <cellStyle name="Calculation 2 2 3 4 4 2 2" xfId="695"/>
    <cellStyle name="Calculation 2 2 3 4 4 3" xfId="696"/>
    <cellStyle name="Calculation 2 2 3 4 5" xfId="697"/>
    <cellStyle name="Calculation 2 2 3 4 5 2" xfId="698"/>
    <cellStyle name="Calculation 2 2 3 4 6" xfId="699"/>
    <cellStyle name="Calculation 2 2 3 5" xfId="700"/>
    <cellStyle name="Calculation 2 2 3 5 2" xfId="701"/>
    <cellStyle name="Calculation 2 2 4" xfId="702"/>
    <cellStyle name="Calculation 2 2 4 2" xfId="703"/>
    <cellStyle name="Calculation 2 2 4 2 2" xfId="704"/>
    <cellStyle name="Calculation 2 2 4 2 2 2" xfId="705"/>
    <cellStyle name="Calculation 2 2 4 2 2 2 2" xfId="706"/>
    <cellStyle name="Calculation 2 2 4 2 2 2 2 2" xfId="707"/>
    <cellStyle name="Calculation 2 2 4 2 2 2 3" xfId="708"/>
    <cellStyle name="Calculation 2 2 4 2 2 3" xfId="709"/>
    <cellStyle name="Calculation 2 2 4 2 2 3 2" xfId="710"/>
    <cellStyle name="Calculation 2 2 4 2 2 4" xfId="711"/>
    <cellStyle name="Calculation 2 2 4 2 3" xfId="712"/>
    <cellStyle name="Calculation 2 2 4 2 3 2" xfId="713"/>
    <cellStyle name="Calculation 2 2 4 2 3 2 2" xfId="714"/>
    <cellStyle name="Calculation 2 2 4 2 3 3" xfId="715"/>
    <cellStyle name="Calculation 2 2 4 2 3 4" xfId="716"/>
    <cellStyle name="Calculation 2 2 4 2 4" xfId="717"/>
    <cellStyle name="Calculation 2 2 4 2 4 2" xfId="718"/>
    <cellStyle name="Calculation 2 2 4 2 4 2 2" xfId="719"/>
    <cellStyle name="Calculation 2 2 4 2 4 3" xfId="720"/>
    <cellStyle name="Calculation 2 2 4 2 5" xfId="721"/>
    <cellStyle name="Calculation 2 2 4 2 5 2" xfId="722"/>
    <cellStyle name="Calculation 2 2 4 2 6" xfId="723"/>
    <cellStyle name="Calculation 2 2 4 3" xfId="724"/>
    <cellStyle name="Calculation 2 2 4 3 2" xfId="725"/>
    <cellStyle name="Calculation 2 2 4 3 2 2" xfId="726"/>
    <cellStyle name="Calculation 2 2 4 3 2 2 2" xfId="727"/>
    <cellStyle name="Calculation 2 2 4 3 2 2 2 2" xfId="728"/>
    <cellStyle name="Calculation 2 2 4 3 2 2 3" xfId="729"/>
    <cellStyle name="Calculation 2 2 4 3 2 3" xfId="730"/>
    <cellStyle name="Calculation 2 2 4 3 2 3 2" xfId="731"/>
    <cellStyle name="Calculation 2 2 4 3 2 4" xfId="732"/>
    <cellStyle name="Calculation 2 2 4 3 3" xfId="733"/>
    <cellStyle name="Calculation 2 2 4 3 3 2" xfId="734"/>
    <cellStyle name="Calculation 2 2 4 3 3 2 2" xfId="735"/>
    <cellStyle name="Calculation 2 2 4 3 3 3" xfId="736"/>
    <cellStyle name="Calculation 2 2 4 3 3 4" xfId="737"/>
    <cellStyle name="Calculation 2 2 4 3 4" xfId="738"/>
    <cellStyle name="Calculation 2 2 4 3 4 2" xfId="739"/>
    <cellStyle name="Calculation 2 2 4 3 4 2 2" xfId="740"/>
    <cellStyle name="Calculation 2 2 4 3 4 3" xfId="741"/>
    <cellStyle name="Calculation 2 2 4 3 5" xfId="742"/>
    <cellStyle name="Calculation 2 2 4 3 5 2" xfId="743"/>
    <cellStyle name="Calculation 2 2 4 3 6" xfId="744"/>
    <cellStyle name="Calculation 2 2 4 4" xfId="745"/>
    <cellStyle name="Calculation 2 2 4 4 2" xfId="746"/>
    <cellStyle name="Calculation 2 2 4 4 2 2" xfId="747"/>
    <cellStyle name="Calculation 2 2 4 4 2 2 2" xfId="748"/>
    <cellStyle name="Calculation 2 2 4 4 2 3" xfId="749"/>
    <cellStyle name="Calculation 2 2 4 4 3" xfId="750"/>
    <cellStyle name="Calculation 2 2 4 4 3 2" xfId="751"/>
    <cellStyle name="Calculation 2 2 4 4 4" xfId="752"/>
    <cellStyle name="Calculation 2 2 4 5" xfId="753"/>
    <cellStyle name="Calculation 2 2 4 5 2" xfId="754"/>
    <cellStyle name="Calculation 2 2 4 5 2 2" xfId="755"/>
    <cellStyle name="Calculation 2 2 4 5 3" xfId="756"/>
    <cellStyle name="Calculation 2 2 4 5 4" xfId="757"/>
    <cellStyle name="Calculation 2 2 4 6" xfId="758"/>
    <cellStyle name="Calculation 2 2 4 6 2" xfId="759"/>
    <cellStyle name="Calculation 2 2 4 6 2 2" xfId="760"/>
    <cellStyle name="Calculation 2 2 4 6 3" xfId="761"/>
    <cellStyle name="Calculation 2 2 4 7" xfId="762"/>
    <cellStyle name="Calculation 2 2 4 7 2" xfId="763"/>
    <cellStyle name="Calculation 2 2 4 8" xfId="764"/>
    <cellStyle name="Calculation 2 2 5" xfId="765"/>
    <cellStyle name="Calculation 2 2 5 2" xfId="766"/>
    <cellStyle name="Calculation 2 2 5 2 2" xfId="767"/>
    <cellStyle name="Calculation 2 2 5 2 2 2" xfId="768"/>
    <cellStyle name="Calculation 2 2 5 2 2 2 2" xfId="769"/>
    <cellStyle name="Calculation 2 2 5 2 2 3" xfId="770"/>
    <cellStyle name="Calculation 2 2 5 2 3" xfId="771"/>
    <cellStyle name="Calculation 2 2 5 2 3 2" xfId="772"/>
    <cellStyle name="Calculation 2 2 5 2 4" xfId="773"/>
    <cellStyle name="Calculation 2 2 5 3" xfId="774"/>
    <cellStyle name="Calculation 2 2 5 3 2" xfId="775"/>
    <cellStyle name="Calculation 2 2 5 3 2 2" xfId="776"/>
    <cellStyle name="Calculation 2 2 5 3 3" xfId="777"/>
    <cellStyle name="Calculation 2 2 5 3 4" xfId="778"/>
    <cellStyle name="Calculation 2 2 5 4" xfId="779"/>
    <cellStyle name="Calculation 2 2 5 4 2" xfId="780"/>
    <cellStyle name="Calculation 2 2 5 4 2 2" xfId="781"/>
    <cellStyle name="Calculation 2 2 5 4 3" xfId="782"/>
    <cellStyle name="Calculation 2 2 5 5" xfId="783"/>
    <cellStyle name="Calculation 2 2 5 5 2" xfId="784"/>
    <cellStyle name="Calculation 2 2 5 6" xfId="785"/>
    <cellStyle name="Calculation 2 3" xfId="786"/>
    <cellStyle name="Calculation 2 3 2" xfId="787"/>
    <cellStyle name="Calculation 2 3 2 2" xfId="788"/>
    <cellStyle name="Calculation 2 3 2 2 2" xfId="789"/>
    <cellStyle name="Calculation 2 3 2 2 2 2" xfId="790"/>
    <cellStyle name="Calculation 2 3 2 2 2 2 2" xfId="791"/>
    <cellStyle name="Calculation 2 3 2 2 2 2 2 2" xfId="792"/>
    <cellStyle name="Calculation 2 3 2 2 2 2 3" xfId="793"/>
    <cellStyle name="Calculation 2 3 2 2 2 3" xfId="794"/>
    <cellStyle name="Calculation 2 3 2 2 2 3 2" xfId="795"/>
    <cellStyle name="Calculation 2 3 2 2 2 4" xfId="796"/>
    <cellStyle name="Calculation 2 3 2 2 3" xfId="797"/>
    <cellStyle name="Calculation 2 3 2 2 3 2" xfId="798"/>
    <cellStyle name="Calculation 2 3 2 2 3 2 2" xfId="799"/>
    <cellStyle name="Calculation 2 3 2 2 3 3" xfId="800"/>
    <cellStyle name="Calculation 2 3 2 2 3 4" xfId="801"/>
    <cellStyle name="Calculation 2 3 2 2 4" xfId="802"/>
    <cellStyle name="Calculation 2 3 2 2 4 2" xfId="803"/>
    <cellStyle name="Calculation 2 3 2 2 4 2 2" xfId="804"/>
    <cellStyle name="Calculation 2 3 2 2 4 3" xfId="805"/>
    <cellStyle name="Calculation 2 3 2 2 5" xfId="806"/>
    <cellStyle name="Calculation 2 3 2 2 5 2" xfId="807"/>
    <cellStyle name="Calculation 2 3 2 2 6" xfId="808"/>
    <cellStyle name="Calculation 2 3 2 3" xfId="809"/>
    <cellStyle name="Calculation 2 3 2 3 2" xfId="810"/>
    <cellStyle name="Calculation 2 3 2 3 2 2" xfId="811"/>
    <cellStyle name="Calculation 2 3 2 3 2 2 2" xfId="812"/>
    <cellStyle name="Calculation 2 3 2 3 2 2 2 2" xfId="813"/>
    <cellStyle name="Calculation 2 3 2 3 2 2 3" xfId="814"/>
    <cellStyle name="Calculation 2 3 2 3 2 3" xfId="815"/>
    <cellStyle name="Calculation 2 3 2 3 2 3 2" xfId="816"/>
    <cellStyle name="Calculation 2 3 2 3 2 4" xfId="817"/>
    <cellStyle name="Calculation 2 3 2 3 3" xfId="818"/>
    <cellStyle name="Calculation 2 3 2 3 3 2" xfId="819"/>
    <cellStyle name="Calculation 2 3 2 3 3 2 2" xfId="820"/>
    <cellStyle name="Calculation 2 3 2 3 3 3" xfId="821"/>
    <cellStyle name="Calculation 2 3 2 3 3 4" xfId="822"/>
    <cellStyle name="Calculation 2 3 2 3 4" xfId="823"/>
    <cellStyle name="Calculation 2 3 2 3 4 2" xfId="824"/>
    <cellStyle name="Calculation 2 3 2 3 4 2 2" xfId="825"/>
    <cellStyle name="Calculation 2 3 2 3 4 3" xfId="826"/>
    <cellStyle name="Calculation 2 3 2 3 5" xfId="827"/>
    <cellStyle name="Calculation 2 3 2 3 5 2" xfId="828"/>
    <cellStyle name="Calculation 2 3 2 3 6" xfId="829"/>
    <cellStyle name="Calculation 2 3 2 4" xfId="830"/>
    <cellStyle name="Calculation 2 3 2 4 2" xfId="831"/>
    <cellStyle name="Calculation 2 3 2 4 2 2" xfId="832"/>
    <cellStyle name="Calculation 2 3 2 4 2 2 2" xfId="833"/>
    <cellStyle name="Calculation 2 3 2 4 2 2 2 2" xfId="834"/>
    <cellStyle name="Calculation 2 3 2 4 2 2 3" xfId="835"/>
    <cellStyle name="Calculation 2 3 2 4 2 3" xfId="836"/>
    <cellStyle name="Calculation 2 3 2 4 2 3 2" xfId="837"/>
    <cellStyle name="Calculation 2 3 2 4 2 4" xfId="838"/>
    <cellStyle name="Calculation 2 3 2 4 3" xfId="839"/>
    <cellStyle name="Calculation 2 3 2 4 3 2" xfId="840"/>
    <cellStyle name="Calculation 2 3 2 4 3 2 2" xfId="841"/>
    <cellStyle name="Calculation 2 3 2 4 3 3" xfId="842"/>
    <cellStyle name="Calculation 2 3 2 4 3 4" xfId="843"/>
    <cellStyle name="Calculation 2 3 2 4 4" xfId="844"/>
    <cellStyle name="Calculation 2 3 2 4 4 2" xfId="845"/>
    <cellStyle name="Calculation 2 3 2 4 4 2 2" xfId="846"/>
    <cellStyle name="Calculation 2 3 2 4 4 3" xfId="847"/>
    <cellStyle name="Calculation 2 3 2 4 5" xfId="848"/>
    <cellStyle name="Calculation 2 3 2 4 5 2" xfId="849"/>
    <cellStyle name="Calculation 2 3 2 4 6" xfId="850"/>
    <cellStyle name="Calculation 2 3 2 5" xfId="851"/>
    <cellStyle name="Calculation 2 3 2 5 2" xfId="852"/>
    <cellStyle name="Calculation 2 3 3" xfId="853"/>
    <cellStyle name="Calculation 2 3 3 2" xfId="854"/>
    <cellStyle name="Calculation 2 3 3 2 2" xfId="855"/>
    <cellStyle name="Calculation 2 3 3 2 2 2" xfId="856"/>
    <cellStyle name="Calculation 2 3 3 2 2 2 2" xfId="857"/>
    <cellStyle name="Calculation 2 3 3 2 2 3" xfId="858"/>
    <cellStyle name="Calculation 2 3 3 2 3" xfId="859"/>
    <cellStyle name="Calculation 2 3 3 2 3 2" xfId="860"/>
    <cellStyle name="Calculation 2 3 3 2 4" xfId="861"/>
    <cellStyle name="Calculation 2 3 3 3" xfId="862"/>
    <cellStyle name="Calculation 2 3 3 3 2" xfId="863"/>
    <cellStyle name="Calculation 2 3 3 3 2 2" xfId="864"/>
    <cellStyle name="Calculation 2 3 3 3 3" xfId="865"/>
    <cellStyle name="Calculation 2 3 3 3 4" xfId="866"/>
    <cellStyle name="Calculation 2 3 3 4" xfId="867"/>
    <cellStyle name="Calculation 2 3 3 4 2" xfId="868"/>
    <cellStyle name="Calculation 2 3 3 4 2 2" xfId="869"/>
    <cellStyle name="Calculation 2 3 3 4 3" xfId="870"/>
    <cellStyle name="Calculation 2 3 3 5" xfId="871"/>
    <cellStyle name="Calculation 2 3 3 5 2" xfId="872"/>
    <cellStyle name="Calculation 2 3 3 6" xfId="873"/>
    <cellStyle name="Calculation 2 3 4" xfId="874"/>
    <cellStyle name="Calculation 2 3 4 2" xfId="875"/>
    <cellStyle name="Calculation 2 3 4 2 2" xfId="876"/>
    <cellStyle name="Calculation 2 3 4 2 2 2" xfId="877"/>
    <cellStyle name="Calculation 2 3 4 2 2 2 2" xfId="878"/>
    <cellStyle name="Calculation 2 3 4 2 2 3" xfId="879"/>
    <cellStyle name="Calculation 2 3 4 2 3" xfId="880"/>
    <cellStyle name="Calculation 2 3 4 2 3 2" xfId="881"/>
    <cellStyle name="Calculation 2 3 4 2 4" xfId="882"/>
    <cellStyle name="Calculation 2 3 4 3" xfId="883"/>
    <cellStyle name="Calculation 2 3 4 3 2" xfId="884"/>
    <cellStyle name="Calculation 2 3 4 3 2 2" xfId="885"/>
    <cellStyle name="Calculation 2 3 4 3 3" xfId="886"/>
    <cellStyle name="Calculation 2 3 4 3 4" xfId="887"/>
    <cellStyle name="Calculation 2 3 4 4" xfId="888"/>
    <cellStyle name="Calculation 2 3 4 4 2" xfId="889"/>
    <cellStyle name="Calculation 2 3 4 4 2 2" xfId="890"/>
    <cellStyle name="Calculation 2 3 4 4 3" xfId="891"/>
    <cellStyle name="Calculation 2 3 4 5" xfId="892"/>
    <cellStyle name="Calculation 2 3 4 5 2" xfId="893"/>
    <cellStyle name="Calculation 2 3 4 6" xfId="894"/>
    <cellStyle name="Calculation 2 3 5" xfId="895"/>
    <cellStyle name="Calculation 2 3 5 2" xfId="896"/>
    <cellStyle name="Calculation 2 3 5 2 2" xfId="897"/>
    <cellStyle name="Calculation 2 3 5 2 2 2" xfId="898"/>
    <cellStyle name="Calculation 2 3 5 2 2 2 2" xfId="899"/>
    <cellStyle name="Calculation 2 3 5 2 2 3" xfId="900"/>
    <cellStyle name="Calculation 2 3 5 2 3" xfId="901"/>
    <cellStyle name="Calculation 2 3 5 2 3 2" xfId="902"/>
    <cellStyle name="Calculation 2 3 5 2 4" xfId="903"/>
    <cellStyle name="Calculation 2 3 5 3" xfId="904"/>
    <cellStyle name="Calculation 2 3 5 3 2" xfId="905"/>
    <cellStyle name="Calculation 2 3 5 3 2 2" xfId="906"/>
    <cellStyle name="Calculation 2 3 5 3 3" xfId="907"/>
    <cellStyle name="Calculation 2 3 5 3 4" xfId="908"/>
    <cellStyle name="Calculation 2 3 5 4" xfId="909"/>
    <cellStyle name="Calculation 2 3 5 4 2" xfId="910"/>
    <cellStyle name="Calculation 2 3 5 4 2 2" xfId="911"/>
    <cellStyle name="Calculation 2 3 5 4 3" xfId="912"/>
    <cellStyle name="Calculation 2 3 5 5" xfId="913"/>
    <cellStyle name="Calculation 2 3 5 5 2" xfId="914"/>
    <cellStyle name="Calculation 2 3 5 6" xfId="915"/>
    <cellStyle name="Calculation 2 4" xfId="916"/>
    <cellStyle name="Calculation 2 4 2" xfId="917"/>
    <cellStyle name="Calculation 2 4 2 2" xfId="918"/>
    <cellStyle name="Calculation 2 4 2 2 2" xfId="919"/>
    <cellStyle name="Calculation 2 4 2 2 2 2" xfId="920"/>
    <cellStyle name="Calculation 2 4 2 2 2 2 2" xfId="921"/>
    <cellStyle name="Calculation 2 4 2 2 2 3" xfId="922"/>
    <cellStyle name="Calculation 2 4 2 2 3" xfId="923"/>
    <cellStyle name="Calculation 2 4 2 2 3 2" xfId="924"/>
    <cellStyle name="Calculation 2 4 2 2 4" xfId="925"/>
    <cellStyle name="Calculation 2 4 2 3" xfId="926"/>
    <cellStyle name="Calculation 2 4 2 3 2" xfId="927"/>
    <cellStyle name="Calculation 2 4 2 3 2 2" xfId="928"/>
    <cellStyle name="Calculation 2 4 2 3 3" xfId="929"/>
    <cellStyle name="Calculation 2 4 2 3 4" xfId="930"/>
    <cellStyle name="Calculation 2 4 2 4" xfId="931"/>
    <cellStyle name="Calculation 2 4 2 4 2" xfId="932"/>
    <cellStyle name="Calculation 2 4 2 4 2 2" xfId="933"/>
    <cellStyle name="Calculation 2 4 2 4 3" xfId="934"/>
    <cellStyle name="Calculation 2 4 2 5" xfId="935"/>
    <cellStyle name="Calculation 2 4 2 5 2" xfId="936"/>
    <cellStyle name="Calculation 2 4 2 6" xfId="937"/>
    <cellStyle name="Calculation 2 4 3" xfId="938"/>
    <cellStyle name="Calculation 2 4 3 2" xfId="939"/>
    <cellStyle name="Calculation 2 4 3 2 2" xfId="940"/>
    <cellStyle name="Calculation 2 4 3 2 2 2" xfId="941"/>
    <cellStyle name="Calculation 2 4 3 2 2 2 2" xfId="942"/>
    <cellStyle name="Calculation 2 4 3 2 2 3" xfId="943"/>
    <cellStyle name="Calculation 2 4 3 2 3" xfId="944"/>
    <cellStyle name="Calculation 2 4 3 2 3 2" xfId="945"/>
    <cellStyle name="Calculation 2 4 3 2 4" xfId="946"/>
    <cellStyle name="Calculation 2 4 3 3" xfId="947"/>
    <cellStyle name="Calculation 2 4 3 3 2" xfId="948"/>
    <cellStyle name="Calculation 2 4 3 3 2 2" xfId="949"/>
    <cellStyle name="Calculation 2 4 3 3 3" xfId="950"/>
    <cellStyle name="Calculation 2 4 3 3 4" xfId="951"/>
    <cellStyle name="Calculation 2 4 3 4" xfId="952"/>
    <cellStyle name="Calculation 2 4 3 4 2" xfId="953"/>
    <cellStyle name="Calculation 2 4 3 4 2 2" xfId="954"/>
    <cellStyle name="Calculation 2 4 3 4 3" xfId="955"/>
    <cellStyle name="Calculation 2 4 3 5" xfId="956"/>
    <cellStyle name="Calculation 2 4 3 5 2" xfId="957"/>
    <cellStyle name="Calculation 2 4 3 6" xfId="958"/>
    <cellStyle name="Calculation 2 4 4" xfId="959"/>
    <cellStyle name="Calculation 2 4 4 2" xfId="960"/>
    <cellStyle name="Calculation 2 4 4 2 2" xfId="961"/>
    <cellStyle name="Calculation 2 4 4 2 2 2" xfId="962"/>
    <cellStyle name="Calculation 2 4 4 2 2 2 2" xfId="963"/>
    <cellStyle name="Calculation 2 4 4 2 2 3" xfId="964"/>
    <cellStyle name="Calculation 2 4 4 2 3" xfId="965"/>
    <cellStyle name="Calculation 2 4 4 2 3 2" xfId="966"/>
    <cellStyle name="Calculation 2 4 4 2 4" xfId="967"/>
    <cellStyle name="Calculation 2 4 4 3" xfId="968"/>
    <cellStyle name="Calculation 2 4 4 3 2" xfId="969"/>
    <cellStyle name="Calculation 2 4 4 3 2 2" xfId="970"/>
    <cellStyle name="Calculation 2 4 4 3 3" xfId="971"/>
    <cellStyle name="Calculation 2 4 4 3 4" xfId="972"/>
    <cellStyle name="Calculation 2 4 4 4" xfId="973"/>
    <cellStyle name="Calculation 2 4 4 4 2" xfId="974"/>
    <cellStyle name="Calculation 2 4 4 4 2 2" xfId="975"/>
    <cellStyle name="Calculation 2 4 4 4 3" xfId="976"/>
    <cellStyle name="Calculation 2 4 4 5" xfId="977"/>
    <cellStyle name="Calculation 2 4 4 5 2" xfId="978"/>
    <cellStyle name="Calculation 2 4 4 6" xfId="979"/>
    <cellStyle name="Calculation 2 4 5" xfId="980"/>
    <cellStyle name="Calculation 2 4 5 2" xfId="981"/>
    <cellStyle name="Calculation 2 5" xfId="982"/>
    <cellStyle name="Calculation 2 5 2" xfId="983"/>
    <cellStyle name="Calculation 2 5 2 2" xfId="984"/>
    <cellStyle name="Calculation 2 5 2 2 2" xfId="985"/>
    <cellStyle name="Calculation 2 5 2 2 2 2" xfId="986"/>
    <cellStyle name="Calculation 2 5 2 2 2 2 2" xfId="987"/>
    <cellStyle name="Calculation 2 5 2 2 2 3" xfId="988"/>
    <cellStyle name="Calculation 2 5 2 2 3" xfId="989"/>
    <cellStyle name="Calculation 2 5 2 2 3 2" xfId="990"/>
    <cellStyle name="Calculation 2 5 2 2 4" xfId="991"/>
    <cellStyle name="Calculation 2 5 2 3" xfId="992"/>
    <cellStyle name="Calculation 2 5 2 3 2" xfId="993"/>
    <cellStyle name="Calculation 2 5 2 3 2 2" xfId="994"/>
    <cellStyle name="Calculation 2 5 2 3 3" xfId="995"/>
    <cellStyle name="Calculation 2 5 2 3 4" xfId="996"/>
    <cellStyle name="Calculation 2 5 2 4" xfId="997"/>
    <cellStyle name="Calculation 2 5 2 4 2" xfId="998"/>
    <cellStyle name="Calculation 2 5 2 4 2 2" xfId="999"/>
    <cellStyle name="Calculation 2 5 2 4 3" xfId="1000"/>
    <cellStyle name="Calculation 2 5 2 5" xfId="1001"/>
    <cellStyle name="Calculation 2 5 2 5 2" xfId="1002"/>
    <cellStyle name="Calculation 2 5 2 6" xfId="1003"/>
    <cellStyle name="Calculation 2 5 3" xfId="1004"/>
    <cellStyle name="Calculation 2 5 3 2" xfId="1005"/>
    <cellStyle name="Calculation 2 5 3 2 2" xfId="1006"/>
    <cellStyle name="Calculation 2 5 3 2 2 2" xfId="1007"/>
    <cellStyle name="Calculation 2 5 3 2 2 2 2" xfId="1008"/>
    <cellStyle name="Calculation 2 5 3 2 2 3" xfId="1009"/>
    <cellStyle name="Calculation 2 5 3 2 3" xfId="1010"/>
    <cellStyle name="Calculation 2 5 3 2 3 2" xfId="1011"/>
    <cellStyle name="Calculation 2 5 3 2 4" xfId="1012"/>
    <cellStyle name="Calculation 2 5 3 3" xfId="1013"/>
    <cellStyle name="Calculation 2 5 3 3 2" xfId="1014"/>
    <cellStyle name="Calculation 2 5 3 3 2 2" xfId="1015"/>
    <cellStyle name="Calculation 2 5 3 3 3" xfId="1016"/>
    <cellStyle name="Calculation 2 5 3 3 4" xfId="1017"/>
    <cellStyle name="Calculation 2 5 3 4" xfId="1018"/>
    <cellStyle name="Calculation 2 5 3 4 2" xfId="1019"/>
    <cellStyle name="Calculation 2 5 3 4 2 2" xfId="1020"/>
    <cellStyle name="Calculation 2 5 3 4 3" xfId="1021"/>
    <cellStyle name="Calculation 2 5 3 5" xfId="1022"/>
    <cellStyle name="Calculation 2 5 3 5 2" xfId="1023"/>
    <cellStyle name="Calculation 2 5 3 6" xfId="1024"/>
    <cellStyle name="Calculation 2 5 4" xfId="1025"/>
    <cellStyle name="Calculation 2 5 4 2" xfId="1026"/>
    <cellStyle name="Calculation 2 5 4 2 2" xfId="1027"/>
    <cellStyle name="Calculation 2 5 4 2 2 2" xfId="1028"/>
    <cellStyle name="Calculation 2 5 4 2 3" xfId="1029"/>
    <cellStyle name="Calculation 2 5 4 3" xfId="1030"/>
    <cellStyle name="Calculation 2 5 4 3 2" xfId="1031"/>
    <cellStyle name="Calculation 2 5 4 4" xfId="1032"/>
    <cellStyle name="Calculation 2 5 5" xfId="1033"/>
    <cellStyle name="Calculation 2 5 5 2" xfId="1034"/>
    <cellStyle name="Calculation 2 5 5 2 2" xfId="1035"/>
    <cellStyle name="Calculation 2 5 5 3" xfId="1036"/>
    <cellStyle name="Calculation 2 5 5 4" xfId="1037"/>
    <cellStyle name="Calculation 2 5 6" xfId="1038"/>
    <cellStyle name="Calculation 2 5 6 2" xfId="1039"/>
    <cellStyle name="Calculation 2 5 6 2 2" xfId="1040"/>
    <cellStyle name="Calculation 2 5 6 3" xfId="1041"/>
    <cellStyle name="Calculation 2 5 7" xfId="1042"/>
    <cellStyle name="Calculation 2 5 7 2" xfId="1043"/>
    <cellStyle name="Calculation 2 5 8" xfId="1044"/>
    <cellStyle name="Calculation 2 6" xfId="1045"/>
    <cellStyle name="Calculation 2 6 2" xfId="1046"/>
    <cellStyle name="Calculation 2 6 2 2" xfId="1047"/>
    <cellStyle name="Calculation 2 6 2 2 2" xfId="1048"/>
    <cellStyle name="Calculation 2 6 2 2 2 2" xfId="1049"/>
    <cellStyle name="Calculation 2 6 2 2 3" xfId="1050"/>
    <cellStyle name="Calculation 2 6 2 3" xfId="1051"/>
    <cellStyle name="Calculation 2 6 2 3 2" xfId="1052"/>
    <cellStyle name="Calculation 2 6 2 4" xfId="1053"/>
    <cellStyle name="Calculation 2 6 3" xfId="1054"/>
    <cellStyle name="Calculation 2 6 3 2" xfId="1055"/>
    <cellStyle name="Calculation 2 6 3 2 2" xfId="1056"/>
    <cellStyle name="Calculation 2 6 3 3" xfId="1057"/>
    <cellStyle name="Calculation 2 6 3 4" xfId="1058"/>
    <cellStyle name="Calculation 2 6 4" xfId="1059"/>
    <cellStyle name="Calculation 2 6 4 2" xfId="1060"/>
    <cellStyle name="Calculation 2 6 4 2 2" xfId="1061"/>
    <cellStyle name="Calculation 2 6 4 3" xfId="1062"/>
    <cellStyle name="Calculation 2 6 5" xfId="1063"/>
    <cellStyle name="Calculation 2 6 5 2" xfId="1064"/>
    <cellStyle name="Calculation 2 6 6" xfId="1065"/>
    <cellStyle name="Calculation 3" xfId="1066"/>
    <cellStyle name="Calculation 3 2" xfId="1067"/>
    <cellStyle name="Calculation 3 2 2" xfId="1068"/>
    <cellStyle name="Calculation 3 2 2 2" xfId="1069"/>
    <cellStyle name="Calculation 3 2 2 2 2" xfId="1070"/>
    <cellStyle name="Calculation 3 2 2 2 2 2" xfId="1071"/>
    <cellStyle name="Calculation 3 2 2 2 2 2 2" xfId="1072"/>
    <cellStyle name="Calculation 3 2 2 2 2 2 2 2" xfId="1073"/>
    <cellStyle name="Calculation 3 2 2 2 2 2 3" xfId="1074"/>
    <cellStyle name="Calculation 3 2 2 2 2 3" xfId="1075"/>
    <cellStyle name="Calculation 3 2 2 2 2 3 2" xfId="1076"/>
    <cellStyle name="Calculation 3 2 2 2 2 4" xfId="1077"/>
    <cellStyle name="Calculation 3 2 2 2 3" xfId="1078"/>
    <cellStyle name="Calculation 3 2 2 2 3 2" xfId="1079"/>
    <cellStyle name="Calculation 3 2 2 2 3 2 2" xfId="1080"/>
    <cellStyle name="Calculation 3 2 2 2 3 3" xfId="1081"/>
    <cellStyle name="Calculation 3 2 2 2 3 4" xfId="1082"/>
    <cellStyle name="Calculation 3 2 2 2 4" xfId="1083"/>
    <cellStyle name="Calculation 3 2 2 2 4 2" xfId="1084"/>
    <cellStyle name="Calculation 3 2 2 2 4 2 2" xfId="1085"/>
    <cellStyle name="Calculation 3 2 2 2 4 3" xfId="1086"/>
    <cellStyle name="Calculation 3 2 2 2 5" xfId="1087"/>
    <cellStyle name="Calculation 3 2 2 2 5 2" xfId="1088"/>
    <cellStyle name="Calculation 3 2 2 2 6" xfId="1089"/>
    <cellStyle name="Calculation 3 2 2 3" xfId="1090"/>
    <cellStyle name="Calculation 3 2 2 3 2" xfId="1091"/>
    <cellStyle name="Calculation 3 2 2 3 2 2" xfId="1092"/>
    <cellStyle name="Calculation 3 2 2 3 2 2 2" xfId="1093"/>
    <cellStyle name="Calculation 3 2 2 3 2 2 2 2" xfId="1094"/>
    <cellStyle name="Calculation 3 2 2 3 2 2 3" xfId="1095"/>
    <cellStyle name="Calculation 3 2 2 3 2 3" xfId="1096"/>
    <cellStyle name="Calculation 3 2 2 3 2 3 2" xfId="1097"/>
    <cellStyle name="Calculation 3 2 2 3 2 4" xfId="1098"/>
    <cellStyle name="Calculation 3 2 2 3 3" xfId="1099"/>
    <cellStyle name="Calculation 3 2 2 3 3 2" xfId="1100"/>
    <cellStyle name="Calculation 3 2 2 3 3 2 2" xfId="1101"/>
    <cellStyle name="Calculation 3 2 2 3 3 3" xfId="1102"/>
    <cellStyle name="Calculation 3 2 2 3 3 4" xfId="1103"/>
    <cellStyle name="Calculation 3 2 2 3 4" xfId="1104"/>
    <cellStyle name="Calculation 3 2 2 3 4 2" xfId="1105"/>
    <cellStyle name="Calculation 3 2 2 3 4 2 2" xfId="1106"/>
    <cellStyle name="Calculation 3 2 2 3 4 3" xfId="1107"/>
    <cellStyle name="Calculation 3 2 2 3 5" xfId="1108"/>
    <cellStyle name="Calculation 3 2 2 3 5 2" xfId="1109"/>
    <cellStyle name="Calculation 3 2 2 3 6" xfId="1110"/>
    <cellStyle name="Calculation 3 2 2 4" xfId="1111"/>
    <cellStyle name="Calculation 3 2 2 4 2" xfId="1112"/>
    <cellStyle name="Calculation 3 2 2 4 2 2" xfId="1113"/>
    <cellStyle name="Calculation 3 2 2 4 2 2 2" xfId="1114"/>
    <cellStyle name="Calculation 3 2 2 4 2 2 2 2" xfId="1115"/>
    <cellStyle name="Calculation 3 2 2 4 2 2 3" xfId="1116"/>
    <cellStyle name="Calculation 3 2 2 4 2 3" xfId="1117"/>
    <cellStyle name="Calculation 3 2 2 4 2 3 2" xfId="1118"/>
    <cellStyle name="Calculation 3 2 2 4 2 4" xfId="1119"/>
    <cellStyle name="Calculation 3 2 2 4 3" xfId="1120"/>
    <cellStyle name="Calculation 3 2 2 4 3 2" xfId="1121"/>
    <cellStyle name="Calculation 3 2 2 4 3 2 2" xfId="1122"/>
    <cellStyle name="Calculation 3 2 2 4 3 3" xfId="1123"/>
    <cellStyle name="Calculation 3 2 2 4 3 4" xfId="1124"/>
    <cellStyle name="Calculation 3 2 2 4 4" xfId="1125"/>
    <cellStyle name="Calculation 3 2 2 4 4 2" xfId="1126"/>
    <cellStyle name="Calculation 3 2 2 4 4 2 2" xfId="1127"/>
    <cellStyle name="Calculation 3 2 2 4 4 3" xfId="1128"/>
    <cellStyle name="Calculation 3 2 2 4 5" xfId="1129"/>
    <cellStyle name="Calculation 3 2 2 4 5 2" xfId="1130"/>
    <cellStyle name="Calculation 3 2 2 4 6" xfId="1131"/>
    <cellStyle name="Calculation 3 2 2 5" xfId="1132"/>
    <cellStyle name="Calculation 3 2 2 5 2" xfId="1133"/>
    <cellStyle name="Calculation 3 2 3" xfId="1134"/>
    <cellStyle name="Calculation 3 2 3 2" xfId="1135"/>
    <cellStyle name="Calculation 3 2 3 2 2" xfId="1136"/>
    <cellStyle name="Calculation 3 2 3 2 2 2" xfId="1137"/>
    <cellStyle name="Calculation 3 2 3 2 2 2 2" xfId="1138"/>
    <cellStyle name="Calculation 3 2 3 2 2 3" xfId="1139"/>
    <cellStyle name="Calculation 3 2 3 2 3" xfId="1140"/>
    <cellStyle name="Calculation 3 2 3 2 3 2" xfId="1141"/>
    <cellStyle name="Calculation 3 2 3 2 4" xfId="1142"/>
    <cellStyle name="Calculation 3 2 3 3" xfId="1143"/>
    <cellStyle name="Calculation 3 2 3 3 2" xfId="1144"/>
    <cellStyle name="Calculation 3 2 3 3 2 2" xfId="1145"/>
    <cellStyle name="Calculation 3 2 3 3 3" xfId="1146"/>
    <cellStyle name="Calculation 3 2 3 3 4" xfId="1147"/>
    <cellStyle name="Calculation 3 2 3 4" xfId="1148"/>
    <cellStyle name="Calculation 3 2 3 4 2" xfId="1149"/>
    <cellStyle name="Calculation 3 2 3 4 2 2" xfId="1150"/>
    <cellStyle name="Calculation 3 2 3 4 3" xfId="1151"/>
    <cellStyle name="Calculation 3 2 3 5" xfId="1152"/>
    <cellStyle name="Calculation 3 2 3 5 2" xfId="1153"/>
    <cellStyle name="Calculation 3 2 3 6" xfId="1154"/>
    <cellStyle name="Calculation 3 2 4" xfId="1155"/>
    <cellStyle name="Calculation 3 2 4 2" xfId="1156"/>
    <cellStyle name="Calculation 3 2 4 2 2" xfId="1157"/>
    <cellStyle name="Calculation 3 2 4 2 2 2" xfId="1158"/>
    <cellStyle name="Calculation 3 2 4 2 2 2 2" xfId="1159"/>
    <cellStyle name="Calculation 3 2 4 2 2 3" xfId="1160"/>
    <cellStyle name="Calculation 3 2 4 2 3" xfId="1161"/>
    <cellStyle name="Calculation 3 2 4 2 3 2" xfId="1162"/>
    <cellStyle name="Calculation 3 2 4 2 4" xfId="1163"/>
    <cellStyle name="Calculation 3 2 4 3" xfId="1164"/>
    <cellStyle name="Calculation 3 2 4 3 2" xfId="1165"/>
    <cellStyle name="Calculation 3 2 4 3 2 2" xfId="1166"/>
    <cellStyle name="Calculation 3 2 4 3 3" xfId="1167"/>
    <cellStyle name="Calculation 3 2 4 3 4" xfId="1168"/>
    <cellStyle name="Calculation 3 2 4 4" xfId="1169"/>
    <cellStyle name="Calculation 3 2 4 4 2" xfId="1170"/>
    <cellStyle name="Calculation 3 2 4 4 2 2" xfId="1171"/>
    <cellStyle name="Calculation 3 2 4 4 3" xfId="1172"/>
    <cellStyle name="Calculation 3 2 4 5" xfId="1173"/>
    <cellStyle name="Calculation 3 2 4 5 2" xfId="1174"/>
    <cellStyle name="Calculation 3 2 4 6" xfId="1175"/>
    <cellStyle name="Calculation 3 2 5" xfId="1176"/>
    <cellStyle name="Calculation 3 2 5 2" xfId="1177"/>
    <cellStyle name="Calculation 3 2 5 2 2" xfId="1178"/>
    <cellStyle name="Calculation 3 2 5 2 2 2" xfId="1179"/>
    <cellStyle name="Calculation 3 2 5 2 2 2 2" xfId="1180"/>
    <cellStyle name="Calculation 3 2 5 2 2 3" xfId="1181"/>
    <cellStyle name="Calculation 3 2 5 2 3" xfId="1182"/>
    <cellStyle name="Calculation 3 2 5 2 3 2" xfId="1183"/>
    <cellStyle name="Calculation 3 2 5 2 4" xfId="1184"/>
    <cellStyle name="Calculation 3 2 5 3" xfId="1185"/>
    <cellStyle name="Calculation 3 2 5 3 2" xfId="1186"/>
    <cellStyle name="Calculation 3 2 5 3 2 2" xfId="1187"/>
    <cellStyle name="Calculation 3 2 5 3 3" xfId="1188"/>
    <cellStyle name="Calculation 3 2 5 3 4" xfId="1189"/>
    <cellStyle name="Calculation 3 2 5 4" xfId="1190"/>
    <cellStyle name="Calculation 3 2 5 4 2" xfId="1191"/>
    <cellStyle name="Calculation 3 2 5 4 2 2" xfId="1192"/>
    <cellStyle name="Calculation 3 2 5 4 3" xfId="1193"/>
    <cellStyle name="Calculation 3 2 5 5" xfId="1194"/>
    <cellStyle name="Calculation 3 2 5 5 2" xfId="1195"/>
    <cellStyle name="Calculation 3 2 5 6" xfId="1196"/>
    <cellStyle name="Calculation 3 3" xfId="1197"/>
    <cellStyle name="Calculation 3 3 2" xfId="1198"/>
    <cellStyle name="Calculation 3 3 2 2" xfId="1199"/>
    <cellStyle name="Calculation 3 3 2 2 2" xfId="1200"/>
    <cellStyle name="Calculation 3 3 2 2 2 2" xfId="1201"/>
    <cellStyle name="Calculation 3 3 2 2 2 2 2" xfId="1202"/>
    <cellStyle name="Calculation 3 3 2 2 2 3" xfId="1203"/>
    <cellStyle name="Calculation 3 3 2 2 3" xfId="1204"/>
    <cellStyle name="Calculation 3 3 2 2 3 2" xfId="1205"/>
    <cellStyle name="Calculation 3 3 2 2 4" xfId="1206"/>
    <cellStyle name="Calculation 3 3 2 3" xfId="1207"/>
    <cellStyle name="Calculation 3 3 2 3 2" xfId="1208"/>
    <cellStyle name="Calculation 3 3 2 3 2 2" xfId="1209"/>
    <cellStyle name="Calculation 3 3 2 3 3" xfId="1210"/>
    <cellStyle name="Calculation 3 3 2 3 4" xfId="1211"/>
    <cellStyle name="Calculation 3 3 2 4" xfId="1212"/>
    <cellStyle name="Calculation 3 3 2 4 2" xfId="1213"/>
    <cellStyle name="Calculation 3 3 2 4 2 2" xfId="1214"/>
    <cellStyle name="Calculation 3 3 2 4 3" xfId="1215"/>
    <cellStyle name="Calculation 3 3 2 5" xfId="1216"/>
    <cellStyle name="Calculation 3 3 2 5 2" xfId="1217"/>
    <cellStyle name="Calculation 3 3 2 6" xfId="1218"/>
    <cellStyle name="Calculation 3 3 3" xfId="1219"/>
    <cellStyle name="Calculation 3 3 3 2" xfId="1220"/>
    <cellStyle name="Calculation 3 3 3 2 2" xfId="1221"/>
    <cellStyle name="Calculation 3 3 3 2 2 2" xfId="1222"/>
    <cellStyle name="Calculation 3 3 3 2 2 2 2" xfId="1223"/>
    <cellStyle name="Calculation 3 3 3 2 2 3" xfId="1224"/>
    <cellStyle name="Calculation 3 3 3 2 3" xfId="1225"/>
    <cellStyle name="Calculation 3 3 3 2 3 2" xfId="1226"/>
    <cellStyle name="Calculation 3 3 3 2 4" xfId="1227"/>
    <cellStyle name="Calculation 3 3 3 3" xfId="1228"/>
    <cellStyle name="Calculation 3 3 3 3 2" xfId="1229"/>
    <cellStyle name="Calculation 3 3 3 3 2 2" xfId="1230"/>
    <cellStyle name="Calculation 3 3 3 3 3" xfId="1231"/>
    <cellStyle name="Calculation 3 3 3 3 4" xfId="1232"/>
    <cellStyle name="Calculation 3 3 3 4" xfId="1233"/>
    <cellStyle name="Calculation 3 3 3 4 2" xfId="1234"/>
    <cellStyle name="Calculation 3 3 3 4 2 2" xfId="1235"/>
    <cellStyle name="Calculation 3 3 3 4 3" xfId="1236"/>
    <cellStyle name="Calculation 3 3 3 5" xfId="1237"/>
    <cellStyle name="Calculation 3 3 3 5 2" xfId="1238"/>
    <cellStyle name="Calculation 3 3 3 6" xfId="1239"/>
    <cellStyle name="Calculation 3 3 4" xfId="1240"/>
    <cellStyle name="Calculation 3 3 4 2" xfId="1241"/>
    <cellStyle name="Calculation 3 3 4 2 2" xfId="1242"/>
    <cellStyle name="Calculation 3 3 4 2 2 2" xfId="1243"/>
    <cellStyle name="Calculation 3 3 4 2 2 2 2" xfId="1244"/>
    <cellStyle name="Calculation 3 3 4 2 2 3" xfId="1245"/>
    <cellStyle name="Calculation 3 3 4 2 3" xfId="1246"/>
    <cellStyle name="Calculation 3 3 4 2 3 2" xfId="1247"/>
    <cellStyle name="Calculation 3 3 4 2 4" xfId="1248"/>
    <cellStyle name="Calculation 3 3 4 3" xfId="1249"/>
    <cellStyle name="Calculation 3 3 4 3 2" xfId="1250"/>
    <cellStyle name="Calculation 3 3 4 3 2 2" xfId="1251"/>
    <cellStyle name="Calculation 3 3 4 3 3" xfId="1252"/>
    <cellStyle name="Calculation 3 3 4 3 4" xfId="1253"/>
    <cellStyle name="Calculation 3 3 4 4" xfId="1254"/>
    <cellStyle name="Calculation 3 3 4 4 2" xfId="1255"/>
    <cellStyle name="Calculation 3 3 4 4 2 2" xfId="1256"/>
    <cellStyle name="Calculation 3 3 4 4 3" xfId="1257"/>
    <cellStyle name="Calculation 3 3 4 5" xfId="1258"/>
    <cellStyle name="Calculation 3 3 4 5 2" xfId="1259"/>
    <cellStyle name="Calculation 3 3 4 6" xfId="1260"/>
    <cellStyle name="Calculation 3 3 5" xfId="1261"/>
    <cellStyle name="Calculation 3 3 5 2" xfId="1262"/>
    <cellStyle name="Calculation 3 4" xfId="1263"/>
    <cellStyle name="Calculation 3 4 2" xfId="1264"/>
    <cellStyle name="Calculation 3 4 2 2" xfId="1265"/>
    <cellStyle name="Calculation 3 4 2 2 2" xfId="1266"/>
    <cellStyle name="Calculation 3 4 2 2 2 2" xfId="1267"/>
    <cellStyle name="Calculation 3 4 2 2 2 2 2" xfId="1268"/>
    <cellStyle name="Calculation 3 4 2 2 2 3" xfId="1269"/>
    <cellStyle name="Calculation 3 4 2 2 3" xfId="1270"/>
    <cellStyle name="Calculation 3 4 2 2 3 2" xfId="1271"/>
    <cellStyle name="Calculation 3 4 2 2 4" xfId="1272"/>
    <cellStyle name="Calculation 3 4 2 3" xfId="1273"/>
    <cellStyle name="Calculation 3 4 2 3 2" xfId="1274"/>
    <cellStyle name="Calculation 3 4 2 3 2 2" xfId="1275"/>
    <cellStyle name="Calculation 3 4 2 3 3" xfId="1276"/>
    <cellStyle name="Calculation 3 4 2 3 4" xfId="1277"/>
    <cellStyle name="Calculation 3 4 2 4" xfId="1278"/>
    <cellStyle name="Calculation 3 4 2 4 2" xfId="1279"/>
    <cellStyle name="Calculation 3 4 2 4 2 2" xfId="1280"/>
    <cellStyle name="Calculation 3 4 2 4 3" xfId="1281"/>
    <cellStyle name="Calculation 3 4 2 5" xfId="1282"/>
    <cellStyle name="Calculation 3 4 2 5 2" xfId="1283"/>
    <cellStyle name="Calculation 3 4 2 6" xfId="1284"/>
    <cellStyle name="Calculation 3 4 3" xfId="1285"/>
    <cellStyle name="Calculation 3 4 3 2" xfId="1286"/>
    <cellStyle name="Calculation 3 4 3 2 2" xfId="1287"/>
    <cellStyle name="Calculation 3 4 3 2 2 2" xfId="1288"/>
    <cellStyle name="Calculation 3 4 3 2 2 2 2" xfId="1289"/>
    <cellStyle name="Calculation 3 4 3 2 2 3" xfId="1290"/>
    <cellStyle name="Calculation 3 4 3 2 3" xfId="1291"/>
    <cellStyle name="Calculation 3 4 3 2 3 2" xfId="1292"/>
    <cellStyle name="Calculation 3 4 3 2 4" xfId="1293"/>
    <cellStyle name="Calculation 3 4 3 3" xfId="1294"/>
    <cellStyle name="Calculation 3 4 3 3 2" xfId="1295"/>
    <cellStyle name="Calculation 3 4 3 3 2 2" xfId="1296"/>
    <cellStyle name="Calculation 3 4 3 3 3" xfId="1297"/>
    <cellStyle name="Calculation 3 4 3 3 4" xfId="1298"/>
    <cellStyle name="Calculation 3 4 3 4" xfId="1299"/>
    <cellStyle name="Calculation 3 4 3 4 2" xfId="1300"/>
    <cellStyle name="Calculation 3 4 3 4 2 2" xfId="1301"/>
    <cellStyle name="Calculation 3 4 3 4 3" xfId="1302"/>
    <cellStyle name="Calculation 3 4 3 5" xfId="1303"/>
    <cellStyle name="Calculation 3 4 3 5 2" xfId="1304"/>
    <cellStyle name="Calculation 3 4 3 6" xfId="1305"/>
    <cellStyle name="Calculation 3 4 4" xfId="1306"/>
    <cellStyle name="Calculation 3 4 4 2" xfId="1307"/>
    <cellStyle name="Calculation 3 4 4 2 2" xfId="1308"/>
    <cellStyle name="Calculation 3 4 4 2 2 2" xfId="1309"/>
    <cellStyle name="Calculation 3 4 4 2 3" xfId="1310"/>
    <cellStyle name="Calculation 3 4 4 3" xfId="1311"/>
    <cellStyle name="Calculation 3 4 4 3 2" xfId="1312"/>
    <cellStyle name="Calculation 3 4 4 4" xfId="1313"/>
    <cellStyle name="Calculation 3 4 5" xfId="1314"/>
    <cellStyle name="Calculation 3 4 5 2" xfId="1315"/>
    <cellStyle name="Calculation 3 4 5 2 2" xfId="1316"/>
    <cellStyle name="Calculation 3 4 5 3" xfId="1317"/>
    <cellStyle name="Calculation 3 4 5 4" xfId="1318"/>
    <cellStyle name="Calculation 3 4 6" xfId="1319"/>
    <cellStyle name="Calculation 3 4 6 2" xfId="1320"/>
    <cellStyle name="Calculation 3 4 6 2 2" xfId="1321"/>
    <cellStyle name="Calculation 3 4 6 3" xfId="1322"/>
    <cellStyle name="Calculation 3 4 7" xfId="1323"/>
    <cellStyle name="Calculation 3 4 7 2" xfId="1324"/>
    <cellStyle name="Calculation 3 4 8" xfId="1325"/>
    <cellStyle name="Calculation 3 5" xfId="1326"/>
    <cellStyle name="Calculation 3 5 2" xfId="1327"/>
    <cellStyle name="Calculation 3 5 2 2" xfId="1328"/>
    <cellStyle name="Calculation 3 5 2 2 2" xfId="1329"/>
    <cellStyle name="Calculation 3 5 2 2 2 2" xfId="1330"/>
    <cellStyle name="Calculation 3 5 2 2 3" xfId="1331"/>
    <cellStyle name="Calculation 3 5 2 3" xfId="1332"/>
    <cellStyle name="Calculation 3 5 2 3 2" xfId="1333"/>
    <cellStyle name="Calculation 3 5 2 4" xfId="1334"/>
    <cellStyle name="Calculation 3 5 3" xfId="1335"/>
    <cellStyle name="Calculation 3 5 3 2" xfId="1336"/>
    <cellStyle name="Calculation 3 5 3 2 2" xfId="1337"/>
    <cellStyle name="Calculation 3 5 3 3" xfId="1338"/>
    <cellStyle name="Calculation 3 5 3 4" xfId="1339"/>
    <cellStyle name="Calculation 3 5 4" xfId="1340"/>
    <cellStyle name="Calculation 3 5 4 2" xfId="1341"/>
    <cellStyle name="Calculation 3 5 4 2 2" xfId="1342"/>
    <cellStyle name="Calculation 3 5 4 3" xfId="1343"/>
    <cellStyle name="Calculation 3 5 5" xfId="1344"/>
    <cellStyle name="Calculation 3 5 5 2" xfId="1345"/>
    <cellStyle name="Calculation 3 5 6" xfId="1346"/>
    <cellStyle name="Calculation 4" xfId="1347"/>
    <cellStyle name="Calculation 4 2" xfId="1348"/>
    <cellStyle name="Calculation 4 2 2" xfId="1349"/>
    <cellStyle name="Calculation 4 2 2 2" xfId="1350"/>
    <cellStyle name="Calculation 4 2 2 2 2" xfId="1351"/>
    <cellStyle name="Calculation 4 2 2 2 2 2" xfId="1352"/>
    <cellStyle name="Calculation 4 2 2 2 2 2 2" xfId="1353"/>
    <cellStyle name="Calculation 4 2 2 2 2 3" xfId="1354"/>
    <cellStyle name="Calculation 4 2 2 2 3" xfId="1355"/>
    <cellStyle name="Calculation 4 2 2 2 3 2" xfId="1356"/>
    <cellStyle name="Calculation 4 2 2 2 4" xfId="1357"/>
    <cellStyle name="Calculation 4 2 2 3" xfId="1358"/>
    <cellStyle name="Calculation 4 2 2 3 2" xfId="1359"/>
    <cellStyle name="Calculation 4 2 2 3 2 2" xfId="1360"/>
    <cellStyle name="Calculation 4 2 2 3 3" xfId="1361"/>
    <cellStyle name="Calculation 4 2 2 3 4" xfId="1362"/>
    <cellStyle name="Calculation 4 2 2 4" xfId="1363"/>
    <cellStyle name="Calculation 4 2 2 4 2" xfId="1364"/>
    <cellStyle name="Calculation 4 2 2 4 2 2" xfId="1365"/>
    <cellStyle name="Calculation 4 2 2 4 3" xfId="1366"/>
    <cellStyle name="Calculation 4 2 2 5" xfId="1367"/>
    <cellStyle name="Calculation 4 2 2 5 2" xfId="1368"/>
    <cellStyle name="Calculation 4 2 2 6" xfId="1369"/>
    <cellStyle name="Calculation 4 2 3" xfId="1370"/>
    <cellStyle name="Calculation 4 2 3 2" xfId="1371"/>
    <cellStyle name="Calculation 4 2 3 2 2" xfId="1372"/>
    <cellStyle name="Calculation 4 2 3 2 2 2" xfId="1373"/>
    <cellStyle name="Calculation 4 2 3 2 2 2 2" xfId="1374"/>
    <cellStyle name="Calculation 4 2 3 2 2 3" xfId="1375"/>
    <cellStyle name="Calculation 4 2 3 2 3" xfId="1376"/>
    <cellStyle name="Calculation 4 2 3 2 3 2" xfId="1377"/>
    <cellStyle name="Calculation 4 2 3 2 4" xfId="1378"/>
    <cellStyle name="Calculation 4 2 3 3" xfId="1379"/>
    <cellStyle name="Calculation 4 2 3 3 2" xfId="1380"/>
    <cellStyle name="Calculation 4 2 3 3 2 2" xfId="1381"/>
    <cellStyle name="Calculation 4 2 3 3 3" xfId="1382"/>
    <cellStyle name="Calculation 4 2 3 3 4" xfId="1383"/>
    <cellStyle name="Calculation 4 2 3 4" xfId="1384"/>
    <cellStyle name="Calculation 4 2 3 4 2" xfId="1385"/>
    <cellStyle name="Calculation 4 2 3 4 2 2" xfId="1386"/>
    <cellStyle name="Calculation 4 2 3 4 3" xfId="1387"/>
    <cellStyle name="Calculation 4 2 3 5" xfId="1388"/>
    <cellStyle name="Calculation 4 2 3 5 2" xfId="1389"/>
    <cellStyle name="Calculation 4 2 3 6" xfId="1390"/>
    <cellStyle name="Calculation 4 2 4" xfId="1391"/>
    <cellStyle name="Calculation 4 2 4 2" xfId="1392"/>
    <cellStyle name="Calculation 4 2 4 2 2" xfId="1393"/>
    <cellStyle name="Calculation 4 2 4 2 2 2" xfId="1394"/>
    <cellStyle name="Calculation 4 2 4 2 2 2 2" xfId="1395"/>
    <cellStyle name="Calculation 4 2 4 2 2 3" xfId="1396"/>
    <cellStyle name="Calculation 4 2 4 2 3" xfId="1397"/>
    <cellStyle name="Calculation 4 2 4 2 3 2" xfId="1398"/>
    <cellStyle name="Calculation 4 2 4 2 4" xfId="1399"/>
    <cellStyle name="Calculation 4 2 4 3" xfId="1400"/>
    <cellStyle name="Calculation 4 2 4 3 2" xfId="1401"/>
    <cellStyle name="Calculation 4 2 4 3 2 2" xfId="1402"/>
    <cellStyle name="Calculation 4 2 4 3 3" xfId="1403"/>
    <cellStyle name="Calculation 4 2 4 3 4" xfId="1404"/>
    <cellStyle name="Calculation 4 2 4 4" xfId="1405"/>
    <cellStyle name="Calculation 4 2 4 4 2" xfId="1406"/>
    <cellStyle name="Calculation 4 2 4 4 2 2" xfId="1407"/>
    <cellStyle name="Calculation 4 2 4 4 3" xfId="1408"/>
    <cellStyle name="Calculation 4 2 4 5" xfId="1409"/>
    <cellStyle name="Calculation 4 2 4 5 2" xfId="1410"/>
    <cellStyle name="Calculation 4 2 4 6" xfId="1411"/>
    <cellStyle name="Calculation 4 2 5" xfId="1412"/>
    <cellStyle name="Calculation 4 2 5 2" xfId="1413"/>
    <cellStyle name="Calculation 4 3" xfId="1414"/>
    <cellStyle name="Calculation 4 3 2" xfId="1415"/>
    <cellStyle name="Calculation 4 3 2 2" xfId="1416"/>
    <cellStyle name="Calculation 4 3 2 2 2" xfId="1417"/>
    <cellStyle name="Calculation 4 3 2 2 2 2" xfId="1418"/>
    <cellStyle name="Calculation 4 3 2 2 2 2 2" xfId="1419"/>
    <cellStyle name="Calculation 4 3 2 2 2 3" xfId="1420"/>
    <cellStyle name="Calculation 4 3 2 2 3" xfId="1421"/>
    <cellStyle name="Calculation 4 3 2 2 3 2" xfId="1422"/>
    <cellStyle name="Calculation 4 3 2 2 4" xfId="1423"/>
    <cellStyle name="Calculation 4 3 2 3" xfId="1424"/>
    <cellStyle name="Calculation 4 3 2 3 2" xfId="1425"/>
    <cellStyle name="Calculation 4 3 2 3 2 2" xfId="1426"/>
    <cellStyle name="Calculation 4 3 2 3 3" xfId="1427"/>
    <cellStyle name="Calculation 4 3 2 3 4" xfId="1428"/>
    <cellStyle name="Calculation 4 3 2 4" xfId="1429"/>
    <cellStyle name="Calculation 4 3 2 4 2" xfId="1430"/>
    <cellStyle name="Calculation 4 3 2 4 2 2" xfId="1431"/>
    <cellStyle name="Calculation 4 3 2 4 3" xfId="1432"/>
    <cellStyle name="Calculation 4 3 2 5" xfId="1433"/>
    <cellStyle name="Calculation 4 3 2 5 2" xfId="1434"/>
    <cellStyle name="Calculation 4 3 2 6" xfId="1435"/>
    <cellStyle name="Calculation 4 3 3" xfId="1436"/>
    <cellStyle name="Calculation 4 3 3 2" xfId="1437"/>
    <cellStyle name="Calculation 4 3 3 2 2" xfId="1438"/>
    <cellStyle name="Calculation 4 3 3 2 2 2" xfId="1439"/>
    <cellStyle name="Calculation 4 3 3 2 2 2 2" xfId="1440"/>
    <cellStyle name="Calculation 4 3 3 2 2 3" xfId="1441"/>
    <cellStyle name="Calculation 4 3 3 2 3" xfId="1442"/>
    <cellStyle name="Calculation 4 3 3 2 3 2" xfId="1443"/>
    <cellStyle name="Calculation 4 3 3 2 4" xfId="1444"/>
    <cellStyle name="Calculation 4 3 3 3" xfId="1445"/>
    <cellStyle name="Calculation 4 3 3 3 2" xfId="1446"/>
    <cellStyle name="Calculation 4 3 3 3 2 2" xfId="1447"/>
    <cellStyle name="Calculation 4 3 3 3 3" xfId="1448"/>
    <cellStyle name="Calculation 4 3 3 3 4" xfId="1449"/>
    <cellStyle name="Calculation 4 3 3 4" xfId="1450"/>
    <cellStyle name="Calculation 4 3 3 4 2" xfId="1451"/>
    <cellStyle name="Calculation 4 3 3 4 2 2" xfId="1452"/>
    <cellStyle name="Calculation 4 3 3 4 3" xfId="1453"/>
    <cellStyle name="Calculation 4 3 3 5" xfId="1454"/>
    <cellStyle name="Calculation 4 3 3 5 2" xfId="1455"/>
    <cellStyle name="Calculation 4 3 3 6" xfId="1456"/>
    <cellStyle name="Calculation 4 3 4" xfId="1457"/>
    <cellStyle name="Calculation 4 3 4 2" xfId="1458"/>
    <cellStyle name="Calculation 4 3 4 2 2" xfId="1459"/>
    <cellStyle name="Calculation 4 3 4 2 2 2" xfId="1460"/>
    <cellStyle name="Calculation 4 3 4 2 3" xfId="1461"/>
    <cellStyle name="Calculation 4 3 4 3" xfId="1462"/>
    <cellStyle name="Calculation 4 3 4 3 2" xfId="1463"/>
    <cellStyle name="Calculation 4 3 4 4" xfId="1464"/>
    <cellStyle name="Calculation 4 3 5" xfId="1465"/>
    <cellStyle name="Calculation 4 3 5 2" xfId="1466"/>
    <cellStyle name="Calculation 4 3 5 2 2" xfId="1467"/>
    <cellStyle name="Calculation 4 3 5 3" xfId="1468"/>
    <cellStyle name="Calculation 4 3 5 4" xfId="1469"/>
    <cellStyle name="Calculation 4 3 6" xfId="1470"/>
    <cellStyle name="Calculation 4 3 6 2" xfId="1471"/>
    <cellStyle name="Calculation 4 3 6 2 2" xfId="1472"/>
    <cellStyle name="Calculation 4 3 6 3" xfId="1473"/>
    <cellStyle name="Calculation 4 3 7" xfId="1474"/>
    <cellStyle name="Calculation 4 3 7 2" xfId="1475"/>
    <cellStyle name="Calculation 4 3 8" xfId="1476"/>
    <cellStyle name="Calculation 4 4" xfId="1477"/>
    <cellStyle name="Calculation 4 4 2" xfId="1478"/>
    <cellStyle name="Calculation 4 4 2 2" xfId="1479"/>
    <cellStyle name="Calculation 4 4 2 2 2" xfId="1480"/>
    <cellStyle name="Calculation 4 4 2 2 2 2" xfId="1481"/>
    <cellStyle name="Calculation 4 4 2 2 3" xfId="1482"/>
    <cellStyle name="Calculation 4 4 2 3" xfId="1483"/>
    <cellStyle name="Calculation 4 4 2 3 2" xfId="1484"/>
    <cellStyle name="Calculation 4 4 2 4" xfId="1485"/>
    <cellStyle name="Calculation 4 4 3" xfId="1486"/>
    <cellStyle name="Calculation 4 4 3 2" xfId="1487"/>
    <cellStyle name="Calculation 4 4 3 2 2" xfId="1488"/>
    <cellStyle name="Calculation 4 4 3 3" xfId="1489"/>
    <cellStyle name="Calculation 4 4 3 4" xfId="1490"/>
    <cellStyle name="Calculation 4 4 4" xfId="1491"/>
    <cellStyle name="Calculation 4 4 4 2" xfId="1492"/>
    <cellStyle name="Calculation 4 4 4 2 2" xfId="1493"/>
    <cellStyle name="Calculation 4 4 4 3" xfId="1494"/>
    <cellStyle name="Calculation 4 4 5" xfId="1495"/>
    <cellStyle name="Calculation 4 4 5 2" xfId="1496"/>
    <cellStyle name="Calculation 4 4 6" xfId="1497"/>
    <cellStyle name="Calculation 5" xfId="1498"/>
    <cellStyle name="Calculation 5 2" xfId="1499"/>
    <cellStyle name="Calculation 5 2 2" xfId="1500"/>
    <cellStyle name="Calculation 5 2 2 2" xfId="1501"/>
    <cellStyle name="Calculation 5 2 2 2 2" xfId="1502"/>
    <cellStyle name="Calculation 5 2 2 2 2 2" xfId="1503"/>
    <cellStyle name="Calculation 5 2 2 2 2 2 2" xfId="1504"/>
    <cellStyle name="Calculation 5 2 2 2 2 3" xfId="1505"/>
    <cellStyle name="Calculation 5 2 2 2 3" xfId="1506"/>
    <cellStyle name="Calculation 5 2 2 2 3 2" xfId="1507"/>
    <cellStyle name="Calculation 5 2 2 2 4" xfId="1508"/>
    <cellStyle name="Calculation 5 2 2 3" xfId="1509"/>
    <cellStyle name="Calculation 5 2 2 3 2" xfId="1510"/>
    <cellStyle name="Calculation 5 2 2 3 2 2" xfId="1511"/>
    <cellStyle name="Calculation 5 2 2 3 3" xfId="1512"/>
    <cellStyle name="Calculation 5 2 2 3 4" xfId="1513"/>
    <cellStyle name="Calculation 5 2 2 4" xfId="1514"/>
    <cellStyle name="Calculation 5 2 2 4 2" xfId="1515"/>
    <cellStyle name="Calculation 5 2 2 4 2 2" xfId="1516"/>
    <cellStyle name="Calculation 5 2 2 4 3" xfId="1517"/>
    <cellStyle name="Calculation 5 2 2 5" xfId="1518"/>
    <cellStyle name="Calculation 5 2 2 5 2" xfId="1519"/>
    <cellStyle name="Calculation 5 2 2 6" xfId="1520"/>
    <cellStyle name="Calculation 5 2 3" xfId="1521"/>
    <cellStyle name="Calculation 5 2 3 2" xfId="1522"/>
    <cellStyle name="Calculation 5 2 3 2 2" xfId="1523"/>
    <cellStyle name="Calculation 5 2 3 2 2 2" xfId="1524"/>
    <cellStyle name="Calculation 5 2 3 2 2 2 2" xfId="1525"/>
    <cellStyle name="Calculation 5 2 3 2 2 3" xfId="1526"/>
    <cellStyle name="Calculation 5 2 3 2 3" xfId="1527"/>
    <cellStyle name="Calculation 5 2 3 2 3 2" xfId="1528"/>
    <cellStyle name="Calculation 5 2 3 2 4" xfId="1529"/>
    <cellStyle name="Calculation 5 2 3 3" xfId="1530"/>
    <cellStyle name="Calculation 5 2 3 3 2" xfId="1531"/>
    <cellStyle name="Calculation 5 2 3 3 2 2" xfId="1532"/>
    <cellStyle name="Calculation 5 2 3 3 3" xfId="1533"/>
    <cellStyle name="Calculation 5 2 3 3 4" xfId="1534"/>
    <cellStyle name="Calculation 5 2 3 4" xfId="1535"/>
    <cellStyle name="Calculation 5 2 3 4 2" xfId="1536"/>
    <cellStyle name="Calculation 5 2 3 4 2 2" xfId="1537"/>
    <cellStyle name="Calculation 5 2 3 4 3" xfId="1538"/>
    <cellStyle name="Calculation 5 2 3 5" xfId="1539"/>
    <cellStyle name="Calculation 5 2 3 5 2" xfId="1540"/>
    <cellStyle name="Calculation 5 2 3 6" xfId="1541"/>
    <cellStyle name="Calculation 5 2 4" xfId="1542"/>
    <cellStyle name="Calculation 5 2 4 2" xfId="1543"/>
    <cellStyle name="Calculation 5 2 4 2 2" xfId="1544"/>
    <cellStyle name="Calculation 5 2 4 2 2 2" xfId="1545"/>
    <cellStyle name="Calculation 5 2 4 2 2 2 2" xfId="1546"/>
    <cellStyle name="Calculation 5 2 4 2 2 3" xfId="1547"/>
    <cellStyle name="Calculation 5 2 4 2 3" xfId="1548"/>
    <cellStyle name="Calculation 5 2 4 2 3 2" xfId="1549"/>
    <cellStyle name="Calculation 5 2 4 2 4" xfId="1550"/>
    <cellStyle name="Calculation 5 2 4 3" xfId="1551"/>
    <cellStyle name="Calculation 5 2 4 3 2" xfId="1552"/>
    <cellStyle name="Calculation 5 2 4 3 2 2" xfId="1553"/>
    <cellStyle name="Calculation 5 2 4 3 3" xfId="1554"/>
    <cellStyle name="Calculation 5 2 4 3 4" xfId="1555"/>
    <cellStyle name="Calculation 5 2 4 4" xfId="1556"/>
    <cellStyle name="Calculation 5 2 4 4 2" xfId="1557"/>
    <cellStyle name="Calculation 5 2 4 4 2 2" xfId="1558"/>
    <cellStyle name="Calculation 5 2 4 4 3" xfId="1559"/>
    <cellStyle name="Calculation 5 2 4 5" xfId="1560"/>
    <cellStyle name="Calculation 5 2 4 5 2" xfId="1561"/>
    <cellStyle name="Calculation 5 2 4 6" xfId="1562"/>
    <cellStyle name="Calculation 5 2 5" xfId="1563"/>
    <cellStyle name="Calculation 5 2 5 2" xfId="1564"/>
    <cellStyle name="Calculation 5 3" xfId="1565"/>
    <cellStyle name="Calculation 5 3 2" xfId="1566"/>
    <cellStyle name="Calculation 5 3 2 2" xfId="1567"/>
    <cellStyle name="Calculation 5 3 2 2 2" xfId="1568"/>
    <cellStyle name="Calculation 5 3 2 2 2 2" xfId="1569"/>
    <cellStyle name="Calculation 5 3 2 2 2 2 2" xfId="1570"/>
    <cellStyle name="Calculation 5 3 2 2 2 3" xfId="1571"/>
    <cellStyle name="Calculation 5 3 2 2 3" xfId="1572"/>
    <cellStyle name="Calculation 5 3 2 2 3 2" xfId="1573"/>
    <cellStyle name="Calculation 5 3 2 2 4" xfId="1574"/>
    <cellStyle name="Calculation 5 3 2 3" xfId="1575"/>
    <cellStyle name="Calculation 5 3 2 3 2" xfId="1576"/>
    <cellStyle name="Calculation 5 3 2 3 2 2" xfId="1577"/>
    <cellStyle name="Calculation 5 3 2 3 3" xfId="1578"/>
    <cellStyle name="Calculation 5 3 2 3 4" xfId="1579"/>
    <cellStyle name="Calculation 5 3 2 4" xfId="1580"/>
    <cellStyle name="Calculation 5 3 2 4 2" xfId="1581"/>
    <cellStyle name="Calculation 5 3 2 4 2 2" xfId="1582"/>
    <cellStyle name="Calculation 5 3 2 4 3" xfId="1583"/>
    <cellStyle name="Calculation 5 3 2 5" xfId="1584"/>
    <cellStyle name="Calculation 5 3 2 5 2" xfId="1585"/>
    <cellStyle name="Calculation 5 3 2 6" xfId="1586"/>
    <cellStyle name="Calculation 5 3 3" xfId="1587"/>
    <cellStyle name="Calculation 5 3 3 2" xfId="1588"/>
    <cellStyle name="Calculation 5 3 3 2 2" xfId="1589"/>
    <cellStyle name="Calculation 5 3 3 2 2 2" xfId="1590"/>
    <cellStyle name="Calculation 5 3 3 2 2 2 2" xfId="1591"/>
    <cellStyle name="Calculation 5 3 3 2 2 3" xfId="1592"/>
    <cellStyle name="Calculation 5 3 3 2 3" xfId="1593"/>
    <cellStyle name="Calculation 5 3 3 2 3 2" xfId="1594"/>
    <cellStyle name="Calculation 5 3 3 2 4" xfId="1595"/>
    <cellStyle name="Calculation 5 3 3 3" xfId="1596"/>
    <cellStyle name="Calculation 5 3 3 3 2" xfId="1597"/>
    <cellStyle name="Calculation 5 3 3 3 2 2" xfId="1598"/>
    <cellStyle name="Calculation 5 3 3 3 3" xfId="1599"/>
    <cellStyle name="Calculation 5 3 3 3 4" xfId="1600"/>
    <cellStyle name="Calculation 5 3 3 4" xfId="1601"/>
    <cellStyle name="Calculation 5 3 3 4 2" xfId="1602"/>
    <cellStyle name="Calculation 5 3 3 4 2 2" xfId="1603"/>
    <cellStyle name="Calculation 5 3 3 4 3" xfId="1604"/>
    <cellStyle name="Calculation 5 3 3 5" xfId="1605"/>
    <cellStyle name="Calculation 5 3 3 5 2" xfId="1606"/>
    <cellStyle name="Calculation 5 3 3 6" xfId="1607"/>
    <cellStyle name="Calculation 5 3 4" xfId="1608"/>
    <cellStyle name="Calculation 5 3 4 2" xfId="1609"/>
    <cellStyle name="Calculation 5 3 4 2 2" xfId="1610"/>
    <cellStyle name="Calculation 5 3 4 2 2 2" xfId="1611"/>
    <cellStyle name="Calculation 5 3 4 2 3" xfId="1612"/>
    <cellStyle name="Calculation 5 3 4 3" xfId="1613"/>
    <cellStyle name="Calculation 5 3 4 3 2" xfId="1614"/>
    <cellStyle name="Calculation 5 3 4 4" xfId="1615"/>
    <cellStyle name="Calculation 5 3 5" xfId="1616"/>
    <cellStyle name="Calculation 5 3 5 2" xfId="1617"/>
    <cellStyle name="Calculation 5 3 5 2 2" xfId="1618"/>
    <cellStyle name="Calculation 5 3 5 3" xfId="1619"/>
    <cellStyle name="Calculation 5 3 5 4" xfId="1620"/>
    <cellStyle name="Calculation 5 3 6" xfId="1621"/>
    <cellStyle name="Calculation 5 3 6 2" xfId="1622"/>
    <cellStyle name="Calculation 5 3 6 2 2" xfId="1623"/>
    <cellStyle name="Calculation 5 3 6 3" xfId="1624"/>
    <cellStyle name="Calculation 5 3 7" xfId="1625"/>
    <cellStyle name="Calculation 5 3 7 2" xfId="1626"/>
    <cellStyle name="Calculation 5 3 8" xfId="1627"/>
    <cellStyle name="Calculation 5 4" xfId="1628"/>
    <cellStyle name="Calculation 5 4 2" xfId="1629"/>
    <cellStyle name="Calculation 5 4 2 2" xfId="1630"/>
    <cellStyle name="Calculation 5 4 2 2 2" xfId="1631"/>
    <cellStyle name="Calculation 5 4 2 2 2 2" xfId="1632"/>
    <cellStyle name="Calculation 5 4 2 2 3" xfId="1633"/>
    <cellStyle name="Calculation 5 4 2 3" xfId="1634"/>
    <cellStyle name="Calculation 5 4 2 3 2" xfId="1635"/>
    <cellStyle name="Calculation 5 4 2 4" xfId="1636"/>
    <cellStyle name="Calculation 5 4 3" xfId="1637"/>
    <cellStyle name="Calculation 5 4 3 2" xfId="1638"/>
    <cellStyle name="Calculation 5 4 3 2 2" xfId="1639"/>
    <cellStyle name="Calculation 5 4 3 3" xfId="1640"/>
    <cellStyle name="Calculation 5 4 3 4" xfId="1641"/>
    <cellStyle name="Calculation 5 4 4" xfId="1642"/>
    <cellStyle name="Calculation 5 4 4 2" xfId="1643"/>
    <cellStyle name="Calculation 5 4 4 2 2" xfId="1644"/>
    <cellStyle name="Calculation 5 4 4 3" xfId="1645"/>
    <cellStyle name="Calculation 5 4 5" xfId="1646"/>
    <cellStyle name="Calculation 5 4 5 2" xfId="1647"/>
    <cellStyle name="Calculation 5 4 6" xfId="1648"/>
    <cellStyle name="Calculation 6" xfId="1649"/>
    <cellStyle name="Calculation 6 2" xfId="1650"/>
    <cellStyle name="Calculation 6 2 2" xfId="1651"/>
    <cellStyle name="Calculation 6 2 2 2" xfId="1652"/>
    <cellStyle name="Calculation 6 2 2 2 2" xfId="1653"/>
    <cellStyle name="Calculation 6 2 2 2 2 2" xfId="1654"/>
    <cellStyle name="Calculation 6 2 2 2 2 2 2" xfId="1655"/>
    <cellStyle name="Calculation 6 2 2 2 2 3" xfId="1656"/>
    <cellStyle name="Calculation 6 2 2 2 3" xfId="1657"/>
    <cellStyle name="Calculation 6 2 2 2 3 2" xfId="1658"/>
    <cellStyle name="Calculation 6 2 2 2 4" xfId="1659"/>
    <cellStyle name="Calculation 6 2 2 3" xfId="1660"/>
    <cellStyle name="Calculation 6 2 2 3 2" xfId="1661"/>
    <cellStyle name="Calculation 6 2 2 3 2 2" xfId="1662"/>
    <cellStyle name="Calculation 6 2 2 3 3" xfId="1663"/>
    <cellStyle name="Calculation 6 2 2 3 4" xfId="1664"/>
    <cellStyle name="Calculation 6 2 2 4" xfId="1665"/>
    <cellStyle name="Calculation 6 2 2 4 2" xfId="1666"/>
    <cellStyle name="Calculation 6 2 2 4 2 2" xfId="1667"/>
    <cellStyle name="Calculation 6 2 2 4 3" xfId="1668"/>
    <cellStyle name="Calculation 6 2 2 5" xfId="1669"/>
    <cellStyle name="Calculation 6 2 2 5 2" xfId="1670"/>
    <cellStyle name="Calculation 6 2 2 6" xfId="1671"/>
    <cellStyle name="Calculation 6 2 3" xfId="1672"/>
    <cellStyle name="Calculation 6 2 3 2" xfId="1673"/>
    <cellStyle name="Calculation 6 2 3 2 2" xfId="1674"/>
    <cellStyle name="Calculation 6 2 3 2 2 2" xfId="1675"/>
    <cellStyle name="Calculation 6 2 3 2 2 2 2" xfId="1676"/>
    <cellStyle name="Calculation 6 2 3 2 2 3" xfId="1677"/>
    <cellStyle name="Calculation 6 2 3 2 3" xfId="1678"/>
    <cellStyle name="Calculation 6 2 3 2 3 2" xfId="1679"/>
    <cellStyle name="Calculation 6 2 3 2 4" xfId="1680"/>
    <cellStyle name="Calculation 6 2 3 3" xfId="1681"/>
    <cellStyle name="Calculation 6 2 3 3 2" xfId="1682"/>
    <cellStyle name="Calculation 6 2 3 3 2 2" xfId="1683"/>
    <cellStyle name="Calculation 6 2 3 3 3" xfId="1684"/>
    <cellStyle name="Calculation 6 2 3 3 4" xfId="1685"/>
    <cellStyle name="Calculation 6 2 3 4" xfId="1686"/>
    <cellStyle name="Calculation 6 2 3 4 2" xfId="1687"/>
    <cellStyle name="Calculation 6 2 3 4 2 2" xfId="1688"/>
    <cellStyle name="Calculation 6 2 3 4 3" xfId="1689"/>
    <cellStyle name="Calculation 6 2 3 5" xfId="1690"/>
    <cellStyle name="Calculation 6 2 3 5 2" xfId="1691"/>
    <cellStyle name="Calculation 6 2 3 6" xfId="1692"/>
    <cellStyle name="Calculation 6 2 4" xfId="1693"/>
    <cellStyle name="Calculation 6 2 4 2" xfId="1694"/>
    <cellStyle name="Calculation 6 2 4 2 2" xfId="1695"/>
    <cellStyle name="Calculation 6 2 4 2 2 2" xfId="1696"/>
    <cellStyle name="Calculation 6 2 4 2 3" xfId="1697"/>
    <cellStyle name="Calculation 6 2 4 3" xfId="1698"/>
    <cellStyle name="Calculation 6 2 4 3 2" xfId="1699"/>
    <cellStyle name="Calculation 6 2 4 4" xfId="1700"/>
    <cellStyle name="Calculation 6 2 5" xfId="1701"/>
    <cellStyle name="Calculation 6 2 5 2" xfId="1702"/>
    <cellStyle name="Calculation 6 2 5 2 2" xfId="1703"/>
    <cellStyle name="Calculation 6 2 5 3" xfId="1704"/>
    <cellStyle name="Calculation 6 2 5 4" xfId="1705"/>
    <cellStyle name="Calculation 6 2 6" xfId="1706"/>
    <cellStyle name="Calculation 6 2 6 2" xfId="1707"/>
    <cellStyle name="Calculation 6 2 6 2 2" xfId="1708"/>
    <cellStyle name="Calculation 6 2 6 3" xfId="1709"/>
    <cellStyle name="Calculation 6 2 7" xfId="1710"/>
    <cellStyle name="Calculation 6 2 7 2" xfId="1711"/>
    <cellStyle name="Calculation 6 2 8" xfId="1712"/>
    <cellStyle name="Calculation 6 3" xfId="1713"/>
    <cellStyle name="Calculation 6 3 2" xfId="1714"/>
    <cellStyle name="Calculation 6 3 2 2" xfId="1715"/>
    <cellStyle name="Calculation 6 3 2 2 2" xfId="1716"/>
    <cellStyle name="Calculation 6 3 2 2 2 2" xfId="1717"/>
    <cellStyle name="Calculation 6 3 2 2 3" xfId="1718"/>
    <cellStyle name="Calculation 6 3 2 3" xfId="1719"/>
    <cellStyle name="Calculation 6 3 2 3 2" xfId="1720"/>
    <cellStyle name="Calculation 6 3 2 4" xfId="1721"/>
    <cellStyle name="Calculation 6 3 3" xfId="1722"/>
    <cellStyle name="Calculation 6 3 3 2" xfId="1723"/>
    <cellStyle name="Calculation 6 3 3 2 2" xfId="1724"/>
    <cellStyle name="Calculation 6 3 3 3" xfId="1725"/>
    <cellStyle name="Calculation 6 3 3 4" xfId="1726"/>
    <cellStyle name="Calculation 6 3 4" xfId="1727"/>
    <cellStyle name="Calculation 6 3 4 2" xfId="1728"/>
    <cellStyle name="Calculation 6 3 4 2 2" xfId="1729"/>
    <cellStyle name="Calculation 6 3 4 3" xfId="1730"/>
    <cellStyle name="Calculation 6 3 5" xfId="1731"/>
    <cellStyle name="Calculation 6 3 5 2" xfId="1732"/>
    <cellStyle name="Calculation 6 3 6" xfId="1733"/>
    <cellStyle name="Calculation 6 4" xfId="1734"/>
    <cellStyle name="Calculation 6 4 2" xfId="1735"/>
    <cellStyle name="Calculation 7" xfId="1736"/>
    <cellStyle name="Calculation 7 2" xfId="1737"/>
    <cellStyle name="Calculation 7 2 2" xfId="1738"/>
    <cellStyle name="Calculation 7 2 2 2" xfId="1739"/>
    <cellStyle name="Calculation 7 2 2 2 2" xfId="1740"/>
    <cellStyle name="Calculation 7 2 2 2 2 2" xfId="1741"/>
    <cellStyle name="Calculation 7 2 2 2 3" xfId="1742"/>
    <cellStyle name="Calculation 7 2 2 3" xfId="1743"/>
    <cellStyle name="Calculation 7 2 2 3 2" xfId="1744"/>
    <cellStyle name="Calculation 7 2 2 4" xfId="1745"/>
    <cellStyle name="Calculation 7 2 3" xfId="1746"/>
    <cellStyle name="Calculation 7 2 3 2" xfId="1747"/>
    <cellStyle name="Calculation 7 2 3 2 2" xfId="1748"/>
    <cellStyle name="Calculation 7 2 3 3" xfId="1749"/>
    <cellStyle name="Calculation 7 2 3 4" xfId="1750"/>
    <cellStyle name="Calculation 7 2 4" xfId="1751"/>
    <cellStyle name="Calculation 7 2 4 2" xfId="1752"/>
    <cellStyle name="Calculation 7 2 4 2 2" xfId="1753"/>
    <cellStyle name="Calculation 7 2 4 3" xfId="1754"/>
    <cellStyle name="Calculation 7 2 5" xfId="1755"/>
    <cellStyle name="Calculation 7 2 5 2" xfId="1756"/>
    <cellStyle name="Calculation 7 2 6" xfId="1757"/>
    <cellStyle name="Calculation 7 3" xfId="1758"/>
    <cellStyle name="Calculation 7 3 2" xfId="1759"/>
    <cellStyle name="Calculation 7 3 2 2" xfId="1760"/>
    <cellStyle name="Calculation 7 3 2 2 2" xfId="1761"/>
    <cellStyle name="Calculation 7 3 2 2 2 2" xfId="1762"/>
    <cellStyle name="Calculation 7 3 2 2 3" xfId="1763"/>
    <cellStyle name="Calculation 7 3 2 3" xfId="1764"/>
    <cellStyle name="Calculation 7 3 2 3 2" xfId="1765"/>
    <cellStyle name="Calculation 7 3 2 4" xfId="1766"/>
    <cellStyle name="Calculation 7 3 3" xfId="1767"/>
    <cellStyle name="Calculation 7 3 3 2" xfId="1768"/>
    <cellStyle name="Calculation 7 3 3 2 2" xfId="1769"/>
    <cellStyle name="Calculation 7 3 3 3" xfId="1770"/>
    <cellStyle name="Calculation 7 3 3 4" xfId="1771"/>
    <cellStyle name="Calculation 7 3 4" xfId="1772"/>
    <cellStyle name="Calculation 7 3 4 2" xfId="1773"/>
    <cellStyle name="Calculation 7 3 4 2 2" xfId="1774"/>
    <cellStyle name="Calculation 7 3 4 3" xfId="1775"/>
    <cellStyle name="Calculation 7 3 5" xfId="1776"/>
    <cellStyle name="Calculation 7 3 5 2" xfId="1777"/>
    <cellStyle name="Calculation 7 3 6" xfId="1778"/>
    <cellStyle name="Calculation 7 4" xfId="1779"/>
    <cellStyle name="Calculation 7 4 2" xfId="1780"/>
    <cellStyle name="Calculation 7 4 2 2" xfId="1781"/>
    <cellStyle name="Calculation 7 4 2 2 2" xfId="1782"/>
    <cellStyle name="Calculation 7 4 2 3" xfId="1783"/>
    <cellStyle name="Calculation 7 4 3" xfId="1784"/>
    <cellStyle name="Calculation 7 4 3 2" xfId="1785"/>
    <cellStyle name="Calculation 7 4 4" xfId="1786"/>
    <cellStyle name="Calculation 7 5" xfId="1787"/>
    <cellStyle name="Calculation 7 5 2" xfId="1788"/>
    <cellStyle name="Calculation 7 5 2 2" xfId="1789"/>
    <cellStyle name="Calculation 7 5 3" xfId="1790"/>
    <cellStyle name="Calculation 7 5 4" xfId="1791"/>
    <cellStyle name="Calculation 7 6" xfId="1792"/>
    <cellStyle name="Calculation 7 6 2" xfId="1793"/>
    <cellStyle name="Calculation 7 6 2 2" xfId="1794"/>
    <cellStyle name="Calculation 7 6 3" xfId="1795"/>
    <cellStyle name="Calculation 7 7" xfId="1796"/>
    <cellStyle name="Calculation 7 7 2" xfId="1797"/>
    <cellStyle name="Calculation 7 8" xfId="1798"/>
    <cellStyle name="Check Cell 2" xfId="1799"/>
    <cellStyle name="Check Cell 2 2" xfId="1800"/>
    <cellStyle name="Check Cell 3" xfId="1801"/>
    <cellStyle name="Check Cell 4" xfId="1802"/>
    <cellStyle name="code" xfId="1803"/>
    <cellStyle name="Comma [0] 2" xfId="3"/>
    <cellStyle name="Comma [0] 2 2" xfId="1804"/>
    <cellStyle name="Comma [0] 2 3" xfId="7161"/>
    <cellStyle name="Comma [0] 3" xfId="1805"/>
    <cellStyle name="Comma [0] 3 2" xfId="1806"/>
    <cellStyle name="Comma [0] 5" xfId="7170"/>
    <cellStyle name="Comma 10" xfId="1807"/>
    <cellStyle name="Comma 10 2" xfId="1808"/>
    <cellStyle name="Comma 10 2 2" xfId="1809"/>
    <cellStyle name="Comma 10 2 2 2" xfId="1810"/>
    <cellStyle name="Comma 10 2 3" xfId="1811"/>
    <cellStyle name="Comma 10 2 4" xfId="7171"/>
    <cellStyle name="Comma 10 3" xfId="1812"/>
    <cellStyle name="Comma 10 3 2" xfId="1813"/>
    <cellStyle name="Comma 10 4" xfId="1814"/>
    <cellStyle name="Comma 10 5" xfId="1815"/>
    <cellStyle name="Comma 11" xfId="1816"/>
    <cellStyle name="Comma 11 2" xfId="1817"/>
    <cellStyle name="Comma 11 2 2" xfId="1818"/>
    <cellStyle name="Comma 11 3" xfId="1819"/>
    <cellStyle name="Comma 11 4" xfId="1820"/>
    <cellStyle name="Comma 12" xfId="1821"/>
    <cellStyle name="Comma 12 2" xfId="1822"/>
    <cellStyle name="Comma 12 2 2" xfId="1823"/>
    <cellStyle name="Comma 12 3" xfId="1824"/>
    <cellStyle name="Comma 12 4" xfId="1825"/>
    <cellStyle name="Comma 13" xfId="1826"/>
    <cellStyle name="Comma 14" xfId="1827"/>
    <cellStyle name="Comma 15" xfId="1828"/>
    <cellStyle name="Comma 16" xfId="1829"/>
    <cellStyle name="Comma 17" xfId="1830"/>
    <cellStyle name="Comma 18" xfId="1831"/>
    <cellStyle name="Comma 19" xfId="1832"/>
    <cellStyle name="Comma 2" xfId="1"/>
    <cellStyle name="Comma 2 2" xfId="7162"/>
    <cellStyle name="Comma 2 3" xfId="7165"/>
    <cellStyle name="Comma 20" xfId="1833"/>
    <cellStyle name="Comma 21" xfId="1834"/>
    <cellStyle name="Comma 22" xfId="1835"/>
    <cellStyle name="Comma 23" xfId="1836"/>
    <cellStyle name="Comma 24" xfId="1837"/>
    <cellStyle name="Comma 25" xfId="1838"/>
    <cellStyle name="Comma 26" xfId="7166"/>
    <cellStyle name="Comma 27" xfId="7163"/>
    <cellStyle name="Comma 28" xfId="7164"/>
    <cellStyle name="Comma 29" xfId="7167"/>
    <cellStyle name="Comma 3" xfId="1839"/>
    <cellStyle name="Comma 30" xfId="7168"/>
    <cellStyle name="Comma 31" xfId="7169"/>
    <cellStyle name="Comma 4" xfId="1840"/>
    <cellStyle name="Comma 5" xfId="1841"/>
    <cellStyle name="Comma 5 2" xfId="1842"/>
    <cellStyle name="Comma 6" xfId="1843"/>
    <cellStyle name="Comma 6 2" xfId="1844"/>
    <cellStyle name="Comma 7" xfId="1845"/>
    <cellStyle name="Comma 7 2" xfId="1846"/>
    <cellStyle name="Comma 7 2 2" xfId="1847"/>
    <cellStyle name="Comma 7 3" xfId="1848"/>
    <cellStyle name="Comma 7 4" xfId="1849"/>
    <cellStyle name="Comma 8" xfId="1850"/>
    <cellStyle name="Comma 8 2" xfId="1851"/>
    <cellStyle name="Comma 8 2 2" xfId="1852"/>
    <cellStyle name="Comma 8 3" xfId="1853"/>
    <cellStyle name="Comma 8 4" xfId="1854"/>
    <cellStyle name="Comma 9" xfId="1855"/>
    <cellStyle name="Comma 9 2" xfId="1856"/>
    <cellStyle name="Comma 9 2 2" xfId="1857"/>
    <cellStyle name="Comma 9 3" xfId="1858"/>
    <cellStyle name="Comma 9 4" xfId="1859"/>
    <cellStyle name="COMMENTS" xfId="1860"/>
    <cellStyle name="Currency 2" xfId="1861"/>
    <cellStyle name="Currency 3" xfId="1862"/>
    <cellStyle name="Currency 4" xfId="1863"/>
    <cellStyle name="Currency 5" xfId="1864"/>
    <cellStyle name="Currency 6" xfId="1865"/>
    <cellStyle name="Currency 7" xfId="1866"/>
    <cellStyle name="dash" xfId="1867"/>
    <cellStyle name="Data" xfId="1868"/>
    <cellStyle name="Data2" xfId="1869"/>
    <cellStyle name="Data5" xfId="1870"/>
    <cellStyle name="date" xfId="1871"/>
    <cellStyle name="date 2" xfId="1872"/>
    <cellStyle name="Daymethod" xfId="1873"/>
    <cellStyle name="days" xfId="1874"/>
    <cellStyle name="Dialog" xfId="1875"/>
    <cellStyle name="Explanatory Text 2" xfId="1876"/>
    <cellStyle name="Explanatory Text 3" xfId="1877"/>
    <cellStyle name="FcBackground" xfId="1878"/>
    <cellStyle name="FcBluesFuts" xfId="1879"/>
    <cellStyle name="FcCalculated" xfId="1880"/>
    <cellStyle name="FcCalculated 2" xfId="1881"/>
    <cellStyle name="FcCalculated 3" xfId="1882"/>
    <cellStyle name="FcCalculated_apollo_curves" xfId="1883"/>
    <cellStyle name="FcCalculated2" xfId="1884"/>
    <cellStyle name="FcExtData" xfId="1885"/>
    <cellStyle name="FcFrontFut" xfId="1886"/>
    <cellStyle name="FcFrontRed" xfId="1887"/>
    <cellStyle name="FcGoldFuts" xfId="1888"/>
    <cellStyle name="FcGreenFuts" xfId="1889"/>
    <cellStyle name="FcInput" xfId="1890"/>
    <cellStyle name="FcLabel1" xfId="1891"/>
    <cellStyle name="FcLabel2" xfId="1892"/>
    <cellStyle name="FcNumeric" xfId="1893"/>
    <cellStyle name="FcNumeric 2" xfId="1894"/>
    <cellStyle name="FcRealTime" xfId="1895"/>
    <cellStyle name="FcRealTime 2" xfId="1896"/>
    <cellStyle name="FcRealTime 3" xfId="1897"/>
    <cellStyle name="FcRealTime_apollo_curves" xfId="1898"/>
    <cellStyle name="FcRedFuts" xfId="1899"/>
    <cellStyle name="FcSubHeading" xfId="1900"/>
    <cellStyle name="FcTechHackers" xfId="1901"/>
    <cellStyle name="FcTopLine" xfId="1902"/>
    <cellStyle name="footnote" xfId="1903"/>
    <cellStyle name="footnote2" xfId="1904"/>
    <cellStyle name="GeneralText" xfId="1905"/>
    <cellStyle name="Good 2" xfId="1906"/>
    <cellStyle name="Good 2 2" xfId="1907"/>
    <cellStyle name="Good 3" xfId="1908"/>
    <cellStyle name="Good 4" xfId="1909"/>
    <cellStyle name="Header" xfId="1910"/>
    <cellStyle name="Header 2" xfId="1911"/>
    <cellStyle name="Heading 1 2" xfId="1912"/>
    <cellStyle name="Heading 1 2 2" xfId="1913"/>
    <cellStyle name="Heading 1 3" xfId="1914"/>
    <cellStyle name="Heading 1 3 2" xfId="1915"/>
    <cellStyle name="Heading 1 4" xfId="1916"/>
    <cellStyle name="Heading 1 5" xfId="1917"/>
    <cellStyle name="Heading 1 6" xfId="1918"/>
    <cellStyle name="Heading 2 2" xfId="1919"/>
    <cellStyle name="Heading 2 2 2" xfId="1920"/>
    <cellStyle name="Heading 2 3" xfId="1921"/>
    <cellStyle name="Heading 2 4" xfId="1922"/>
    <cellStyle name="Heading 2 5" xfId="1923"/>
    <cellStyle name="Heading 2 6" xfId="1924"/>
    <cellStyle name="Heading 3 2" xfId="1925"/>
    <cellStyle name="Heading 3 2 2" xfId="1926"/>
    <cellStyle name="Heading 3 3" xfId="1927"/>
    <cellStyle name="Heading 3 3 2" xfId="1928"/>
    <cellStyle name="Heading 3 4" xfId="1929"/>
    <cellStyle name="Heading 3 5" xfId="1930"/>
    <cellStyle name="Heading 3 6" xfId="1931"/>
    <cellStyle name="Heading 4 2" xfId="1932"/>
    <cellStyle name="Heading 4 2 2" xfId="1933"/>
    <cellStyle name="Heading 4 3" xfId="1934"/>
    <cellStyle name="Heading 4 4" xfId="1935"/>
    <cellStyle name="Heading 4 5" xfId="1936"/>
    <cellStyle name="Hidden" xfId="1937"/>
    <cellStyle name="Hyperlink 2" xfId="1938"/>
    <cellStyle name="Hyperlink 2 2" xfId="1939"/>
    <cellStyle name="Hyperlink 2_Instructions and Positions" xfId="1940"/>
    <cellStyle name="implemented" xfId="1941"/>
    <cellStyle name="Input 2" xfId="1942"/>
    <cellStyle name="Input 2 2" xfId="1943"/>
    <cellStyle name="Input 2 2 2" xfId="1944"/>
    <cellStyle name="Input 2 2 2 2" xfId="1945"/>
    <cellStyle name="Input 2 2 2 2 2" xfId="1946"/>
    <cellStyle name="Input 2 2 2 2 2 2" xfId="1947"/>
    <cellStyle name="Input 2 2 2 2 2 2 2" xfId="1948"/>
    <cellStyle name="Input 2 2 2 2 2 2 2 2" xfId="1949"/>
    <cellStyle name="Input 2 2 2 2 2 2 2 2 2" xfId="1950"/>
    <cellStyle name="Input 2 2 2 2 2 2 2 3" xfId="1951"/>
    <cellStyle name="Input 2 2 2 2 2 2 3" xfId="1952"/>
    <cellStyle name="Input 2 2 2 2 2 2 3 2" xfId="1953"/>
    <cellStyle name="Input 2 2 2 2 2 2 4" xfId="1954"/>
    <cellStyle name="Input 2 2 2 2 2 3" xfId="1955"/>
    <cellStyle name="Input 2 2 2 2 2 3 2" xfId="1956"/>
    <cellStyle name="Input 2 2 2 2 2 3 2 2" xfId="1957"/>
    <cellStyle name="Input 2 2 2 2 2 3 3" xfId="1958"/>
    <cellStyle name="Input 2 2 2 2 2 3 4" xfId="1959"/>
    <cellStyle name="Input 2 2 2 2 2 4" xfId="1960"/>
    <cellStyle name="Input 2 2 2 2 2 4 2" xfId="1961"/>
    <cellStyle name="Input 2 2 2 2 2 4 2 2" xfId="1962"/>
    <cellStyle name="Input 2 2 2 2 2 4 3" xfId="1963"/>
    <cellStyle name="Input 2 2 2 2 2 5" xfId="1964"/>
    <cellStyle name="Input 2 2 2 2 2 5 2" xfId="1965"/>
    <cellStyle name="Input 2 2 2 2 2 6" xfId="1966"/>
    <cellStyle name="Input 2 2 2 2 3" xfId="1967"/>
    <cellStyle name="Input 2 2 2 2 3 2" xfId="1968"/>
    <cellStyle name="Input 2 2 2 2 3 2 2" xfId="1969"/>
    <cellStyle name="Input 2 2 2 2 3 2 2 2" xfId="1970"/>
    <cellStyle name="Input 2 2 2 2 3 2 2 2 2" xfId="1971"/>
    <cellStyle name="Input 2 2 2 2 3 2 2 3" xfId="1972"/>
    <cellStyle name="Input 2 2 2 2 3 2 3" xfId="1973"/>
    <cellStyle name="Input 2 2 2 2 3 2 3 2" xfId="1974"/>
    <cellStyle name="Input 2 2 2 2 3 2 4" xfId="1975"/>
    <cellStyle name="Input 2 2 2 2 3 3" xfId="1976"/>
    <cellStyle name="Input 2 2 2 2 3 3 2" xfId="1977"/>
    <cellStyle name="Input 2 2 2 2 3 3 2 2" xfId="1978"/>
    <cellStyle name="Input 2 2 2 2 3 3 3" xfId="1979"/>
    <cellStyle name="Input 2 2 2 2 3 3 4" xfId="1980"/>
    <cellStyle name="Input 2 2 2 2 3 4" xfId="1981"/>
    <cellStyle name="Input 2 2 2 2 3 4 2" xfId="1982"/>
    <cellStyle name="Input 2 2 2 2 3 4 2 2" xfId="1983"/>
    <cellStyle name="Input 2 2 2 2 3 4 3" xfId="1984"/>
    <cellStyle name="Input 2 2 2 2 3 5" xfId="1985"/>
    <cellStyle name="Input 2 2 2 2 3 5 2" xfId="1986"/>
    <cellStyle name="Input 2 2 2 2 3 6" xfId="1987"/>
    <cellStyle name="Input 2 2 2 2 4" xfId="1988"/>
    <cellStyle name="Input 2 2 2 2 4 2" xfId="1989"/>
    <cellStyle name="Input 2 2 2 2 4 2 2" xfId="1990"/>
    <cellStyle name="Input 2 2 2 2 4 2 2 2" xfId="1991"/>
    <cellStyle name="Input 2 2 2 2 4 2 2 2 2" xfId="1992"/>
    <cellStyle name="Input 2 2 2 2 4 2 2 3" xfId="1993"/>
    <cellStyle name="Input 2 2 2 2 4 2 3" xfId="1994"/>
    <cellStyle name="Input 2 2 2 2 4 2 3 2" xfId="1995"/>
    <cellStyle name="Input 2 2 2 2 4 2 4" xfId="1996"/>
    <cellStyle name="Input 2 2 2 2 4 3" xfId="1997"/>
    <cellStyle name="Input 2 2 2 2 4 3 2" xfId="1998"/>
    <cellStyle name="Input 2 2 2 2 4 3 2 2" xfId="1999"/>
    <cellStyle name="Input 2 2 2 2 4 3 3" xfId="2000"/>
    <cellStyle name="Input 2 2 2 2 4 3 4" xfId="2001"/>
    <cellStyle name="Input 2 2 2 2 4 4" xfId="2002"/>
    <cellStyle name="Input 2 2 2 2 4 4 2" xfId="2003"/>
    <cellStyle name="Input 2 2 2 2 4 4 2 2" xfId="2004"/>
    <cellStyle name="Input 2 2 2 2 4 4 3" xfId="2005"/>
    <cellStyle name="Input 2 2 2 2 4 5" xfId="2006"/>
    <cellStyle name="Input 2 2 2 2 4 5 2" xfId="2007"/>
    <cellStyle name="Input 2 2 2 2 4 6" xfId="2008"/>
    <cellStyle name="Input 2 2 2 2 5" xfId="2009"/>
    <cellStyle name="Input 2 2 2 2 5 2" xfId="2010"/>
    <cellStyle name="Input 2 2 2 3" xfId="2011"/>
    <cellStyle name="Input 2 2 2 3 2" xfId="2012"/>
    <cellStyle name="Input 2 2 2 3 2 2" xfId="2013"/>
    <cellStyle name="Input 2 2 2 3 2 2 2" xfId="2014"/>
    <cellStyle name="Input 2 2 2 3 2 2 2 2" xfId="2015"/>
    <cellStyle name="Input 2 2 2 3 2 2 3" xfId="2016"/>
    <cellStyle name="Input 2 2 2 3 2 3" xfId="2017"/>
    <cellStyle name="Input 2 2 2 3 2 3 2" xfId="2018"/>
    <cellStyle name="Input 2 2 2 3 2 4" xfId="2019"/>
    <cellStyle name="Input 2 2 2 3 3" xfId="2020"/>
    <cellStyle name="Input 2 2 2 3 3 2" xfId="2021"/>
    <cellStyle name="Input 2 2 2 3 3 2 2" xfId="2022"/>
    <cellStyle name="Input 2 2 2 3 3 3" xfId="2023"/>
    <cellStyle name="Input 2 2 2 3 3 4" xfId="2024"/>
    <cellStyle name="Input 2 2 2 3 4" xfId="2025"/>
    <cellStyle name="Input 2 2 2 3 4 2" xfId="2026"/>
    <cellStyle name="Input 2 2 2 3 4 2 2" xfId="2027"/>
    <cellStyle name="Input 2 2 2 3 4 3" xfId="2028"/>
    <cellStyle name="Input 2 2 2 3 5" xfId="2029"/>
    <cellStyle name="Input 2 2 2 3 5 2" xfId="2030"/>
    <cellStyle name="Input 2 2 2 3 6" xfId="2031"/>
    <cellStyle name="Input 2 2 2 4" xfId="2032"/>
    <cellStyle name="Input 2 2 2 4 2" xfId="2033"/>
    <cellStyle name="Input 2 2 2 4 2 2" xfId="2034"/>
    <cellStyle name="Input 2 2 2 4 2 2 2" xfId="2035"/>
    <cellStyle name="Input 2 2 2 4 2 2 2 2" xfId="2036"/>
    <cellStyle name="Input 2 2 2 4 2 2 3" xfId="2037"/>
    <cellStyle name="Input 2 2 2 4 2 3" xfId="2038"/>
    <cellStyle name="Input 2 2 2 4 2 3 2" xfId="2039"/>
    <cellStyle name="Input 2 2 2 4 2 4" xfId="2040"/>
    <cellStyle name="Input 2 2 2 4 3" xfId="2041"/>
    <cellStyle name="Input 2 2 2 4 3 2" xfId="2042"/>
    <cellStyle name="Input 2 2 2 4 3 2 2" xfId="2043"/>
    <cellStyle name="Input 2 2 2 4 3 3" xfId="2044"/>
    <cellStyle name="Input 2 2 2 4 3 4" xfId="2045"/>
    <cellStyle name="Input 2 2 2 4 4" xfId="2046"/>
    <cellStyle name="Input 2 2 2 4 4 2" xfId="2047"/>
    <cellStyle name="Input 2 2 2 4 4 2 2" xfId="2048"/>
    <cellStyle name="Input 2 2 2 4 4 3" xfId="2049"/>
    <cellStyle name="Input 2 2 2 4 5" xfId="2050"/>
    <cellStyle name="Input 2 2 2 4 5 2" xfId="2051"/>
    <cellStyle name="Input 2 2 2 4 6" xfId="2052"/>
    <cellStyle name="Input 2 2 2 5" xfId="2053"/>
    <cellStyle name="Input 2 2 2 5 2" xfId="2054"/>
    <cellStyle name="Input 2 2 2 5 2 2" xfId="2055"/>
    <cellStyle name="Input 2 2 2 5 2 2 2" xfId="2056"/>
    <cellStyle name="Input 2 2 2 5 2 2 2 2" xfId="2057"/>
    <cellStyle name="Input 2 2 2 5 2 2 3" xfId="2058"/>
    <cellStyle name="Input 2 2 2 5 2 3" xfId="2059"/>
    <cellStyle name="Input 2 2 2 5 2 3 2" xfId="2060"/>
    <cellStyle name="Input 2 2 2 5 2 4" xfId="2061"/>
    <cellStyle name="Input 2 2 2 5 3" xfId="2062"/>
    <cellStyle name="Input 2 2 2 5 3 2" xfId="2063"/>
    <cellStyle name="Input 2 2 2 5 3 2 2" xfId="2064"/>
    <cellStyle name="Input 2 2 2 5 3 3" xfId="2065"/>
    <cellStyle name="Input 2 2 2 5 3 4" xfId="2066"/>
    <cellStyle name="Input 2 2 2 5 4" xfId="2067"/>
    <cellStyle name="Input 2 2 2 5 4 2" xfId="2068"/>
    <cellStyle name="Input 2 2 2 5 4 2 2" xfId="2069"/>
    <cellStyle name="Input 2 2 2 5 4 3" xfId="2070"/>
    <cellStyle name="Input 2 2 2 5 5" xfId="2071"/>
    <cellStyle name="Input 2 2 2 5 5 2" xfId="2072"/>
    <cellStyle name="Input 2 2 2 5 6" xfId="2073"/>
    <cellStyle name="Input 2 2 3" xfId="2074"/>
    <cellStyle name="Input 2 2 3 2" xfId="2075"/>
    <cellStyle name="Input 2 2 3 2 2" xfId="2076"/>
    <cellStyle name="Input 2 2 3 2 2 2" xfId="2077"/>
    <cellStyle name="Input 2 2 3 2 2 2 2" xfId="2078"/>
    <cellStyle name="Input 2 2 3 2 2 2 2 2" xfId="2079"/>
    <cellStyle name="Input 2 2 3 2 2 2 3" xfId="2080"/>
    <cellStyle name="Input 2 2 3 2 2 3" xfId="2081"/>
    <cellStyle name="Input 2 2 3 2 2 3 2" xfId="2082"/>
    <cellStyle name="Input 2 2 3 2 2 4" xfId="2083"/>
    <cellStyle name="Input 2 2 3 2 3" xfId="2084"/>
    <cellStyle name="Input 2 2 3 2 3 2" xfId="2085"/>
    <cellStyle name="Input 2 2 3 2 3 2 2" xfId="2086"/>
    <cellStyle name="Input 2 2 3 2 3 3" xfId="2087"/>
    <cellStyle name="Input 2 2 3 2 3 4" xfId="2088"/>
    <cellStyle name="Input 2 2 3 2 4" xfId="2089"/>
    <cellStyle name="Input 2 2 3 2 4 2" xfId="2090"/>
    <cellStyle name="Input 2 2 3 2 4 2 2" xfId="2091"/>
    <cellStyle name="Input 2 2 3 2 4 3" xfId="2092"/>
    <cellStyle name="Input 2 2 3 2 5" xfId="2093"/>
    <cellStyle name="Input 2 2 3 2 5 2" xfId="2094"/>
    <cellStyle name="Input 2 2 3 2 6" xfId="2095"/>
    <cellStyle name="Input 2 2 3 3" xfId="2096"/>
    <cellStyle name="Input 2 2 3 3 2" xfId="2097"/>
    <cellStyle name="Input 2 2 3 3 2 2" xfId="2098"/>
    <cellStyle name="Input 2 2 3 3 2 2 2" xfId="2099"/>
    <cellStyle name="Input 2 2 3 3 2 2 2 2" xfId="2100"/>
    <cellStyle name="Input 2 2 3 3 2 2 3" xfId="2101"/>
    <cellStyle name="Input 2 2 3 3 2 3" xfId="2102"/>
    <cellStyle name="Input 2 2 3 3 2 3 2" xfId="2103"/>
    <cellStyle name="Input 2 2 3 3 2 4" xfId="2104"/>
    <cellStyle name="Input 2 2 3 3 3" xfId="2105"/>
    <cellStyle name="Input 2 2 3 3 3 2" xfId="2106"/>
    <cellStyle name="Input 2 2 3 3 3 2 2" xfId="2107"/>
    <cellStyle name="Input 2 2 3 3 3 3" xfId="2108"/>
    <cellStyle name="Input 2 2 3 3 3 4" xfId="2109"/>
    <cellStyle name="Input 2 2 3 3 4" xfId="2110"/>
    <cellStyle name="Input 2 2 3 3 4 2" xfId="2111"/>
    <cellStyle name="Input 2 2 3 3 4 2 2" xfId="2112"/>
    <cellStyle name="Input 2 2 3 3 4 3" xfId="2113"/>
    <cellStyle name="Input 2 2 3 3 5" xfId="2114"/>
    <cellStyle name="Input 2 2 3 3 5 2" xfId="2115"/>
    <cellStyle name="Input 2 2 3 3 6" xfId="2116"/>
    <cellStyle name="Input 2 2 3 4" xfId="2117"/>
    <cellStyle name="Input 2 2 3 4 2" xfId="2118"/>
    <cellStyle name="Input 2 2 3 4 2 2" xfId="2119"/>
    <cellStyle name="Input 2 2 3 4 2 2 2" xfId="2120"/>
    <cellStyle name="Input 2 2 3 4 2 2 2 2" xfId="2121"/>
    <cellStyle name="Input 2 2 3 4 2 2 3" xfId="2122"/>
    <cellStyle name="Input 2 2 3 4 2 3" xfId="2123"/>
    <cellStyle name="Input 2 2 3 4 2 3 2" xfId="2124"/>
    <cellStyle name="Input 2 2 3 4 2 4" xfId="2125"/>
    <cellStyle name="Input 2 2 3 4 3" xfId="2126"/>
    <cellStyle name="Input 2 2 3 4 3 2" xfId="2127"/>
    <cellStyle name="Input 2 2 3 4 3 2 2" xfId="2128"/>
    <cellStyle name="Input 2 2 3 4 3 3" xfId="2129"/>
    <cellStyle name="Input 2 2 3 4 3 4" xfId="2130"/>
    <cellStyle name="Input 2 2 3 4 4" xfId="2131"/>
    <cellStyle name="Input 2 2 3 4 4 2" xfId="2132"/>
    <cellStyle name="Input 2 2 3 4 4 2 2" xfId="2133"/>
    <cellStyle name="Input 2 2 3 4 4 3" xfId="2134"/>
    <cellStyle name="Input 2 2 3 4 5" xfId="2135"/>
    <cellStyle name="Input 2 2 3 4 5 2" xfId="2136"/>
    <cellStyle name="Input 2 2 3 4 6" xfId="2137"/>
    <cellStyle name="Input 2 2 3 5" xfId="2138"/>
    <cellStyle name="Input 2 2 3 5 2" xfId="2139"/>
    <cellStyle name="Input 2 2 4" xfId="2140"/>
    <cellStyle name="Input 2 2 4 2" xfId="2141"/>
    <cellStyle name="Input 2 2 4 2 2" xfId="2142"/>
    <cellStyle name="Input 2 2 4 2 2 2" xfId="2143"/>
    <cellStyle name="Input 2 2 4 2 2 2 2" xfId="2144"/>
    <cellStyle name="Input 2 2 4 2 2 2 2 2" xfId="2145"/>
    <cellStyle name="Input 2 2 4 2 2 2 3" xfId="2146"/>
    <cellStyle name="Input 2 2 4 2 2 3" xfId="2147"/>
    <cellStyle name="Input 2 2 4 2 2 3 2" xfId="2148"/>
    <cellStyle name="Input 2 2 4 2 2 4" xfId="2149"/>
    <cellStyle name="Input 2 2 4 2 3" xfId="2150"/>
    <cellStyle name="Input 2 2 4 2 3 2" xfId="2151"/>
    <cellStyle name="Input 2 2 4 2 3 2 2" xfId="2152"/>
    <cellStyle name="Input 2 2 4 2 3 3" xfId="2153"/>
    <cellStyle name="Input 2 2 4 2 3 4" xfId="2154"/>
    <cellStyle name="Input 2 2 4 2 4" xfId="2155"/>
    <cellStyle name="Input 2 2 4 2 4 2" xfId="2156"/>
    <cellStyle name="Input 2 2 4 2 4 2 2" xfId="2157"/>
    <cellStyle name="Input 2 2 4 2 4 3" xfId="2158"/>
    <cellStyle name="Input 2 2 4 2 5" xfId="2159"/>
    <cellStyle name="Input 2 2 4 2 5 2" xfId="2160"/>
    <cellStyle name="Input 2 2 4 2 6" xfId="2161"/>
    <cellStyle name="Input 2 2 4 3" xfId="2162"/>
    <cellStyle name="Input 2 2 4 3 2" xfId="2163"/>
    <cellStyle name="Input 2 2 4 3 2 2" xfId="2164"/>
    <cellStyle name="Input 2 2 4 3 2 2 2" xfId="2165"/>
    <cellStyle name="Input 2 2 4 3 2 2 2 2" xfId="2166"/>
    <cellStyle name="Input 2 2 4 3 2 2 3" xfId="2167"/>
    <cellStyle name="Input 2 2 4 3 2 3" xfId="2168"/>
    <cellStyle name="Input 2 2 4 3 2 3 2" xfId="2169"/>
    <cellStyle name="Input 2 2 4 3 2 4" xfId="2170"/>
    <cellStyle name="Input 2 2 4 3 3" xfId="2171"/>
    <cellStyle name="Input 2 2 4 3 3 2" xfId="2172"/>
    <cellStyle name="Input 2 2 4 3 3 2 2" xfId="2173"/>
    <cellStyle name="Input 2 2 4 3 3 3" xfId="2174"/>
    <cellStyle name="Input 2 2 4 3 3 4" xfId="2175"/>
    <cellStyle name="Input 2 2 4 3 4" xfId="2176"/>
    <cellStyle name="Input 2 2 4 3 4 2" xfId="2177"/>
    <cellStyle name="Input 2 2 4 3 4 2 2" xfId="2178"/>
    <cellStyle name="Input 2 2 4 3 4 3" xfId="2179"/>
    <cellStyle name="Input 2 2 4 3 5" xfId="2180"/>
    <cellStyle name="Input 2 2 4 3 5 2" xfId="2181"/>
    <cellStyle name="Input 2 2 4 3 6" xfId="2182"/>
    <cellStyle name="Input 2 2 4 4" xfId="2183"/>
    <cellStyle name="Input 2 2 4 4 2" xfId="2184"/>
    <cellStyle name="Input 2 2 4 4 2 2" xfId="2185"/>
    <cellStyle name="Input 2 2 4 4 2 2 2" xfId="2186"/>
    <cellStyle name="Input 2 2 4 4 2 3" xfId="2187"/>
    <cellStyle name="Input 2 2 4 4 3" xfId="2188"/>
    <cellStyle name="Input 2 2 4 4 3 2" xfId="2189"/>
    <cellStyle name="Input 2 2 4 4 4" xfId="2190"/>
    <cellStyle name="Input 2 2 4 5" xfId="2191"/>
    <cellStyle name="Input 2 2 4 5 2" xfId="2192"/>
    <cellStyle name="Input 2 2 4 5 2 2" xfId="2193"/>
    <cellStyle name="Input 2 2 4 5 3" xfId="2194"/>
    <cellStyle name="Input 2 2 4 5 4" xfId="2195"/>
    <cellStyle name="Input 2 2 4 6" xfId="2196"/>
    <cellStyle name="Input 2 2 4 6 2" xfId="2197"/>
    <cellStyle name="Input 2 2 4 6 2 2" xfId="2198"/>
    <cellStyle name="Input 2 2 4 6 3" xfId="2199"/>
    <cellStyle name="Input 2 2 4 7" xfId="2200"/>
    <cellStyle name="Input 2 2 4 7 2" xfId="2201"/>
    <cellStyle name="Input 2 2 4 8" xfId="2202"/>
    <cellStyle name="Input 2 2 5" xfId="2203"/>
    <cellStyle name="Input 2 2 5 2" xfId="2204"/>
    <cellStyle name="Input 2 2 5 2 2" xfId="2205"/>
    <cellStyle name="Input 2 2 5 2 2 2" xfId="2206"/>
    <cellStyle name="Input 2 2 5 2 2 2 2" xfId="2207"/>
    <cellStyle name="Input 2 2 5 2 2 3" xfId="2208"/>
    <cellStyle name="Input 2 2 5 2 3" xfId="2209"/>
    <cellStyle name="Input 2 2 5 2 3 2" xfId="2210"/>
    <cellStyle name="Input 2 2 5 2 4" xfId="2211"/>
    <cellStyle name="Input 2 2 5 3" xfId="2212"/>
    <cellStyle name="Input 2 2 5 3 2" xfId="2213"/>
    <cellStyle name="Input 2 2 5 3 2 2" xfId="2214"/>
    <cellStyle name="Input 2 2 5 3 3" xfId="2215"/>
    <cellStyle name="Input 2 2 5 3 4" xfId="2216"/>
    <cellStyle name="Input 2 2 5 4" xfId="2217"/>
    <cellStyle name="Input 2 2 5 4 2" xfId="2218"/>
    <cellStyle name="Input 2 2 5 4 2 2" xfId="2219"/>
    <cellStyle name="Input 2 2 5 4 3" xfId="2220"/>
    <cellStyle name="Input 2 2 5 5" xfId="2221"/>
    <cellStyle name="Input 2 2 5 5 2" xfId="2222"/>
    <cellStyle name="Input 2 2 5 6" xfId="2223"/>
    <cellStyle name="Input 2 3" xfId="2224"/>
    <cellStyle name="Input 2 3 2" xfId="2225"/>
    <cellStyle name="Input 2 3 2 2" xfId="2226"/>
    <cellStyle name="Input 2 3 2 2 2" xfId="2227"/>
    <cellStyle name="Input 2 3 2 2 2 2" xfId="2228"/>
    <cellStyle name="Input 2 3 2 2 2 2 2" xfId="2229"/>
    <cellStyle name="Input 2 3 2 2 2 2 2 2" xfId="2230"/>
    <cellStyle name="Input 2 3 2 2 2 2 3" xfId="2231"/>
    <cellStyle name="Input 2 3 2 2 2 3" xfId="2232"/>
    <cellStyle name="Input 2 3 2 2 2 3 2" xfId="2233"/>
    <cellStyle name="Input 2 3 2 2 2 4" xfId="2234"/>
    <cellStyle name="Input 2 3 2 2 3" xfId="2235"/>
    <cellStyle name="Input 2 3 2 2 3 2" xfId="2236"/>
    <cellStyle name="Input 2 3 2 2 3 2 2" xfId="2237"/>
    <cellStyle name="Input 2 3 2 2 3 3" xfId="2238"/>
    <cellStyle name="Input 2 3 2 2 3 4" xfId="2239"/>
    <cellStyle name="Input 2 3 2 2 4" xfId="2240"/>
    <cellStyle name="Input 2 3 2 2 4 2" xfId="2241"/>
    <cellStyle name="Input 2 3 2 2 4 2 2" xfId="2242"/>
    <cellStyle name="Input 2 3 2 2 4 3" xfId="2243"/>
    <cellStyle name="Input 2 3 2 2 5" xfId="2244"/>
    <cellStyle name="Input 2 3 2 2 5 2" xfId="2245"/>
    <cellStyle name="Input 2 3 2 2 6" xfId="2246"/>
    <cellStyle name="Input 2 3 2 3" xfId="2247"/>
    <cellStyle name="Input 2 3 2 3 2" xfId="2248"/>
    <cellStyle name="Input 2 3 2 3 2 2" xfId="2249"/>
    <cellStyle name="Input 2 3 2 3 2 2 2" xfId="2250"/>
    <cellStyle name="Input 2 3 2 3 2 2 2 2" xfId="2251"/>
    <cellStyle name="Input 2 3 2 3 2 2 3" xfId="2252"/>
    <cellStyle name="Input 2 3 2 3 2 3" xfId="2253"/>
    <cellStyle name="Input 2 3 2 3 2 3 2" xfId="2254"/>
    <cellStyle name="Input 2 3 2 3 2 4" xfId="2255"/>
    <cellStyle name="Input 2 3 2 3 3" xfId="2256"/>
    <cellStyle name="Input 2 3 2 3 3 2" xfId="2257"/>
    <cellStyle name="Input 2 3 2 3 3 2 2" xfId="2258"/>
    <cellStyle name="Input 2 3 2 3 3 3" xfId="2259"/>
    <cellStyle name="Input 2 3 2 3 3 4" xfId="2260"/>
    <cellStyle name="Input 2 3 2 3 4" xfId="2261"/>
    <cellStyle name="Input 2 3 2 3 4 2" xfId="2262"/>
    <cellStyle name="Input 2 3 2 3 4 2 2" xfId="2263"/>
    <cellStyle name="Input 2 3 2 3 4 3" xfId="2264"/>
    <cellStyle name="Input 2 3 2 3 5" xfId="2265"/>
    <cellStyle name="Input 2 3 2 3 5 2" xfId="2266"/>
    <cellStyle name="Input 2 3 2 3 6" xfId="2267"/>
    <cellStyle name="Input 2 3 2 4" xfId="2268"/>
    <cellStyle name="Input 2 3 2 4 2" xfId="2269"/>
    <cellStyle name="Input 2 3 2 4 2 2" xfId="2270"/>
    <cellStyle name="Input 2 3 2 4 2 2 2" xfId="2271"/>
    <cellStyle name="Input 2 3 2 4 2 2 2 2" xfId="2272"/>
    <cellStyle name="Input 2 3 2 4 2 2 3" xfId="2273"/>
    <cellStyle name="Input 2 3 2 4 2 3" xfId="2274"/>
    <cellStyle name="Input 2 3 2 4 2 3 2" xfId="2275"/>
    <cellStyle name="Input 2 3 2 4 2 4" xfId="2276"/>
    <cellStyle name="Input 2 3 2 4 3" xfId="2277"/>
    <cellStyle name="Input 2 3 2 4 3 2" xfId="2278"/>
    <cellStyle name="Input 2 3 2 4 3 2 2" xfId="2279"/>
    <cellStyle name="Input 2 3 2 4 3 3" xfId="2280"/>
    <cellStyle name="Input 2 3 2 4 3 4" xfId="2281"/>
    <cellStyle name="Input 2 3 2 4 4" xfId="2282"/>
    <cellStyle name="Input 2 3 2 4 4 2" xfId="2283"/>
    <cellStyle name="Input 2 3 2 4 4 2 2" xfId="2284"/>
    <cellStyle name="Input 2 3 2 4 4 3" xfId="2285"/>
    <cellStyle name="Input 2 3 2 4 5" xfId="2286"/>
    <cellStyle name="Input 2 3 2 4 5 2" xfId="2287"/>
    <cellStyle name="Input 2 3 2 4 6" xfId="2288"/>
    <cellStyle name="Input 2 3 2 5" xfId="2289"/>
    <cellStyle name="Input 2 3 2 5 2" xfId="2290"/>
    <cellStyle name="Input 2 3 3" xfId="2291"/>
    <cellStyle name="Input 2 3 3 2" xfId="2292"/>
    <cellStyle name="Input 2 3 3 2 2" xfId="2293"/>
    <cellStyle name="Input 2 3 3 2 2 2" xfId="2294"/>
    <cellStyle name="Input 2 3 3 2 2 2 2" xfId="2295"/>
    <cellStyle name="Input 2 3 3 2 2 3" xfId="2296"/>
    <cellStyle name="Input 2 3 3 2 3" xfId="2297"/>
    <cellStyle name="Input 2 3 3 2 3 2" xfId="2298"/>
    <cellStyle name="Input 2 3 3 2 4" xfId="2299"/>
    <cellStyle name="Input 2 3 3 3" xfId="2300"/>
    <cellStyle name="Input 2 3 3 3 2" xfId="2301"/>
    <cellStyle name="Input 2 3 3 3 2 2" xfId="2302"/>
    <cellStyle name="Input 2 3 3 3 3" xfId="2303"/>
    <cellStyle name="Input 2 3 3 3 4" xfId="2304"/>
    <cellStyle name="Input 2 3 3 4" xfId="2305"/>
    <cellStyle name="Input 2 3 3 4 2" xfId="2306"/>
    <cellStyle name="Input 2 3 3 4 2 2" xfId="2307"/>
    <cellStyle name="Input 2 3 3 4 3" xfId="2308"/>
    <cellStyle name="Input 2 3 3 5" xfId="2309"/>
    <cellStyle name="Input 2 3 3 5 2" xfId="2310"/>
    <cellStyle name="Input 2 3 3 6" xfId="2311"/>
    <cellStyle name="Input 2 3 4" xfId="2312"/>
    <cellStyle name="Input 2 3 4 2" xfId="2313"/>
    <cellStyle name="Input 2 3 4 2 2" xfId="2314"/>
    <cellStyle name="Input 2 3 4 2 2 2" xfId="2315"/>
    <cellStyle name="Input 2 3 4 2 2 2 2" xfId="2316"/>
    <cellStyle name="Input 2 3 4 2 2 3" xfId="2317"/>
    <cellStyle name="Input 2 3 4 2 3" xfId="2318"/>
    <cellStyle name="Input 2 3 4 2 3 2" xfId="2319"/>
    <cellStyle name="Input 2 3 4 2 4" xfId="2320"/>
    <cellStyle name="Input 2 3 4 3" xfId="2321"/>
    <cellStyle name="Input 2 3 4 3 2" xfId="2322"/>
    <cellStyle name="Input 2 3 4 3 2 2" xfId="2323"/>
    <cellStyle name="Input 2 3 4 3 3" xfId="2324"/>
    <cellStyle name="Input 2 3 4 3 4" xfId="2325"/>
    <cellStyle name="Input 2 3 4 4" xfId="2326"/>
    <cellStyle name="Input 2 3 4 4 2" xfId="2327"/>
    <cellStyle name="Input 2 3 4 4 2 2" xfId="2328"/>
    <cellStyle name="Input 2 3 4 4 3" xfId="2329"/>
    <cellStyle name="Input 2 3 4 5" xfId="2330"/>
    <cellStyle name="Input 2 3 4 5 2" xfId="2331"/>
    <cellStyle name="Input 2 3 4 6" xfId="2332"/>
    <cellStyle name="Input 2 3 5" xfId="2333"/>
    <cellStyle name="Input 2 3 5 2" xfId="2334"/>
    <cellStyle name="Input 2 3 5 2 2" xfId="2335"/>
    <cellStyle name="Input 2 3 5 2 2 2" xfId="2336"/>
    <cellStyle name="Input 2 3 5 2 2 2 2" xfId="2337"/>
    <cellStyle name="Input 2 3 5 2 2 3" xfId="2338"/>
    <cellStyle name="Input 2 3 5 2 3" xfId="2339"/>
    <cellStyle name="Input 2 3 5 2 3 2" xfId="2340"/>
    <cellStyle name="Input 2 3 5 2 4" xfId="2341"/>
    <cellStyle name="Input 2 3 5 3" xfId="2342"/>
    <cellStyle name="Input 2 3 5 3 2" xfId="2343"/>
    <cellStyle name="Input 2 3 5 3 2 2" xfId="2344"/>
    <cellStyle name="Input 2 3 5 3 3" xfId="2345"/>
    <cellStyle name="Input 2 3 5 3 4" xfId="2346"/>
    <cellStyle name="Input 2 3 5 4" xfId="2347"/>
    <cellStyle name="Input 2 3 5 4 2" xfId="2348"/>
    <cellStyle name="Input 2 3 5 4 2 2" xfId="2349"/>
    <cellStyle name="Input 2 3 5 4 3" xfId="2350"/>
    <cellStyle name="Input 2 3 5 5" xfId="2351"/>
    <cellStyle name="Input 2 3 5 5 2" xfId="2352"/>
    <cellStyle name="Input 2 3 5 6" xfId="2353"/>
    <cellStyle name="Input 2 4" xfId="2354"/>
    <cellStyle name="Input 2 4 2" xfId="2355"/>
    <cellStyle name="Input 2 4 2 2" xfId="2356"/>
    <cellStyle name="Input 2 4 2 2 2" xfId="2357"/>
    <cellStyle name="Input 2 4 2 2 2 2" xfId="2358"/>
    <cellStyle name="Input 2 4 2 2 2 2 2" xfId="2359"/>
    <cellStyle name="Input 2 4 2 2 2 3" xfId="2360"/>
    <cellStyle name="Input 2 4 2 2 3" xfId="2361"/>
    <cellStyle name="Input 2 4 2 2 3 2" xfId="2362"/>
    <cellStyle name="Input 2 4 2 2 4" xfId="2363"/>
    <cellStyle name="Input 2 4 2 3" xfId="2364"/>
    <cellStyle name="Input 2 4 2 3 2" xfId="2365"/>
    <cellStyle name="Input 2 4 2 3 2 2" xfId="2366"/>
    <cellStyle name="Input 2 4 2 3 3" xfId="2367"/>
    <cellStyle name="Input 2 4 2 3 4" xfId="2368"/>
    <cellStyle name="Input 2 4 2 4" xfId="2369"/>
    <cellStyle name="Input 2 4 2 4 2" xfId="2370"/>
    <cellStyle name="Input 2 4 2 4 2 2" xfId="2371"/>
    <cellStyle name="Input 2 4 2 4 3" xfId="2372"/>
    <cellStyle name="Input 2 4 2 5" xfId="2373"/>
    <cellStyle name="Input 2 4 2 5 2" xfId="2374"/>
    <cellStyle name="Input 2 4 2 6" xfId="2375"/>
    <cellStyle name="Input 2 4 3" xfId="2376"/>
    <cellStyle name="Input 2 4 3 2" xfId="2377"/>
    <cellStyle name="Input 2 4 3 2 2" xfId="2378"/>
    <cellStyle name="Input 2 4 3 2 2 2" xfId="2379"/>
    <cellStyle name="Input 2 4 3 2 2 2 2" xfId="2380"/>
    <cellStyle name="Input 2 4 3 2 2 3" xfId="2381"/>
    <cellStyle name="Input 2 4 3 2 3" xfId="2382"/>
    <cellStyle name="Input 2 4 3 2 3 2" xfId="2383"/>
    <cellStyle name="Input 2 4 3 2 4" xfId="2384"/>
    <cellStyle name="Input 2 4 3 3" xfId="2385"/>
    <cellStyle name="Input 2 4 3 3 2" xfId="2386"/>
    <cellStyle name="Input 2 4 3 3 2 2" xfId="2387"/>
    <cellStyle name="Input 2 4 3 3 3" xfId="2388"/>
    <cellStyle name="Input 2 4 3 3 4" xfId="2389"/>
    <cellStyle name="Input 2 4 3 4" xfId="2390"/>
    <cellStyle name="Input 2 4 3 4 2" xfId="2391"/>
    <cellStyle name="Input 2 4 3 4 2 2" xfId="2392"/>
    <cellStyle name="Input 2 4 3 4 3" xfId="2393"/>
    <cellStyle name="Input 2 4 3 5" xfId="2394"/>
    <cellStyle name="Input 2 4 3 5 2" xfId="2395"/>
    <cellStyle name="Input 2 4 3 6" xfId="2396"/>
    <cellStyle name="Input 2 4 4" xfId="2397"/>
    <cellStyle name="Input 2 4 4 2" xfId="2398"/>
    <cellStyle name="Input 2 4 4 2 2" xfId="2399"/>
    <cellStyle name="Input 2 4 4 2 2 2" xfId="2400"/>
    <cellStyle name="Input 2 4 4 2 2 2 2" xfId="2401"/>
    <cellStyle name="Input 2 4 4 2 2 3" xfId="2402"/>
    <cellStyle name="Input 2 4 4 2 3" xfId="2403"/>
    <cellStyle name="Input 2 4 4 2 3 2" xfId="2404"/>
    <cellStyle name="Input 2 4 4 2 4" xfId="2405"/>
    <cellStyle name="Input 2 4 4 3" xfId="2406"/>
    <cellStyle name="Input 2 4 4 3 2" xfId="2407"/>
    <cellStyle name="Input 2 4 4 3 2 2" xfId="2408"/>
    <cellStyle name="Input 2 4 4 3 3" xfId="2409"/>
    <cellStyle name="Input 2 4 4 3 4" xfId="2410"/>
    <cellStyle name="Input 2 4 4 4" xfId="2411"/>
    <cellStyle name="Input 2 4 4 4 2" xfId="2412"/>
    <cellStyle name="Input 2 4 4 4 2 2" xfId="2413"/>
    <cellStyle name="Input 2 4 4 4 3" xfId="2414"/>
    <cellStyle name="Input 2 4 4 5" xfId="2415"/>
    <cellStyle name="Input 2 4 4 5 2" xfId="2416"/>
    <cellStyle name="Input 2 4 4 6" xfId="2417"/>
    <cellStyle name="Input 2 4 5" xfId="2418"/>
    <cellStyle name="Input 2 4 5 2" xfId="2419"/>
    <cellStyle name="Input 2 5" xfId="2420"/>
    <cellStyle name="Input 2 5 2" xfId="2421"/>
    <cellStyle name="Input 2 5 2 2" xfId="2422"/>
    <cellStyle name="Input 2 5 2 2 2" xfId="2423"/>
    <cellStyle name="Input 2 5 2 2 2 2" xfId="2424"/>
    <cellStyle name="Input 2 5 2 2 2 2 2" xfId="2425"/>
    <cellStyle name="Input 2 5 2 2 2 3" xfId="2426"/>
    <cellStyle name="Input 2 5 2 2 3" xfId="2427"/>
    <cellStyle name="Input 2 5 2 2 3 2" xfId="2428"/>
    <cellStyle name="Input 2 5 2 2 4" xfId="2429"/>
    <cellStyle name="Input 2 5 2 3" xfId="2430"/>
    <cellStyle name="Input 2 5 2 3 2" xfId="2431"/>
    <cellStyle name="Input 2 5 2 3 2 2" xfId="2432"/>
    <cellStyle name="Input 2 5 2 3 3" xfId="2433"/>
    <cellStyle name="Input 2 5 2 3 4" xfId="2434"/>
    <cellStyle name="Input 2 5 2 4" xfId="2435"/>
    <cellStyle name="Input 2 5 2 4 2" xfId="2436"/>
    <cellStyle name="Input 2 5 2 4 2 2" xfId="2437"/>
    <cellStyle name="Input 2 5 2 4 3" xfId="2438"/>
    <cellStyle name="Input 2 5 2 5" xfId="2439"/>
    <cellStyle name="Input 2 5 2 5 2" xfId="2440"/>
    <cellStyle name="Input 2 5 2 6" xfId="2441"/>
    <cellStyle name="Input 2 5 3" xfId="2442"/>
    <cellStyle name="Input 2 5 3 2" xfId="2443"/>
    <cellStyle name="Input 2 5 3 2 2" xfId="2444"/>
    <cellStyle name="Input 2 5 3 2 2 2" xfId="2445"/>
    <cellStyle name="Input 2 5 3 2 2 2 2" xfId="2446"/>
    <cellStyle name="Input 2 5 3 2 2 3" xfId="2447"/>
    <cellStyle name="Input 2 5 3 2 3" xfId="2448"/>
    <cellStyle name="Input 2 5 3 2 3 2" xfId="2449"/>
    <cellStyle name="Input 2 5 3 2 4" xfId="2450"/>
    <cellStyle name="Input 2 5 3 3" xfId="2451"/>
    <cellStyle name="Input 2 5 3 3 2" xfId="2452"/>
    <cellStyle name="Input 2 5 3 3 2 2" xfId="2453"/>
    <cellStyle name="Input 2 5 3 3 3" xfId="2454"/>
    <cellStyle name="Input 2 5 3 3 4" xfId="2455"/>
    <cellStyle name="Input 2 5 3 4" xfId="2456"/>
    <cellStyle name="Input 2 5 3 4 2" xfId="2457"/>
    <cellStyle name="Input 2 5 3 4 2 2" xfId="2458"/>
    <cellStyle name="Input 2 5 3 4 3" xfId="2459"/>
    <cellStyle name="Input 2 5 3 5" xfId="2460"/>
    <cellStyle name="Input 2 5 3 5 2" xfId="2461"/>
    <cellStyle name="Input 2 5 3 6" xfId="2462"/>
    <cellStyle name="Input 2 5 4" xfId="2463"/>
    <cellStyle name="Input 2 5 4 2" xfId="2464"/>
    <cellStyle name="Input 2 5 4 2 2" xfId="2465"/>
    <cellStyle name="Input 2 5 4 2 2 2" xfId="2466"/>
    <cellStyle name="Input 2 5 4 2 3" xfId="2467"/>
    <cellStyle name="Input 2 5 4 3" xfId="2468"/>
    <cellStyle name="Input 2 5 4 3 2" xfId="2469"/>
    <cellStyle name="Input 2 5 4 4" xfId="2470"/>
    <cellStyle name="Input 2 5 5" xfId="2471"/>
    <cellStyle name="Input 2 5 5 2" xfId="2472"/>
    <cellStyle name="Input 2 5 5 2 2" xfId="2473"/>
    <cellStyle name="Input 2 5 5 3" xfId="2474"/>
    <cellStyle name="Input 2 5 5 4" xfId="2475"/>
    <cellStyle name="Input 2 5 6" xfId="2476"/>
    <cellStyle name="Input 2 5 6 2" xfId="2477"/>
    <cellStyle name="Input 2 5 6 2 2" xfId="2478"/>
    <cellStyle name="Input 2 5 6 3" xfId="2479"/>
    <cellStyle name="Input 2 5 7" xfId="2480"/>
    <cellStyle name="Input 2 5 7 2" xfId="2481"/>
    <cellStyle name="Input 2 5 8" xfId="2482"/>
    <cellStyle name="Input 2 6" xfId="2483"/>
    <cellStyle name="Input 2 6 2" xfId="2484"/>
    <cellStyle name="Input 2 6 2 2" xfId="2485"/>
    <cellStyle name="Input 2 6 2 2 2" xfId="2486"/>
    <cellStyle name="Input 2 6 2 2 2 2" xfId="2487"/>
    <cellStyle name="Input 2 6 2 2 3" xfId="2488"/>
    <cellStyle name="Input 2 6 2 3" xfId="2489"/>
    <cellStyle name="Input 2 6 2 3 2" xfId="2490"/>
    <cellStyle name="Input 2 6 2 4" xfId="2491"/>
    <cellStyle name="Input 2 6 3" xfId="2492"/>
    <cellStyle name="Input 2 6 3 2" xfId="2493"/>
    <cellStyle name="Input 2 6 3 2 2" xfId="2494"/>
    <cellStyle name="Input 2 6 3 3" xfId="2495"/>
    <cellStyle name="Input 2 6 3 4" xfId="2496"/>
    <cellStyle name="Input 2 6 4" xfId="2497"/>
    <cellStyle name="Input 2 6 4 2" xfId="2498"/>
    <cellStyle name="Input 2 6 4 2 2" xfId="2499"/>
    <cellStyle name="Input 2 6 4 3" xfId="2500"/>
    <cellStyle name="Input 2 6 5" xfId="2501"/>
    <cellStyle name="Input 2 6 5 2" xfId="2502"/>
    <cellStyle name="Input 2 6 6" xfId="2503"/>
    <cellStyle name="Input 3" xfId="2504"/>
    <cellStyle name="Input 3 2" xfId="2505"/>
    <cellStyle name="Input 3 2 2" xfId="2506"/>
    <cellStyle name="Input 3 2 2 2" xfId="2507"/>
    <cellStyle name="Input 3 2 2 2 2" xfId="2508"/>
    <cellStyle name="Input 3 2 2 2 2 2" xfId="2509"/>
    <cellStyle name="Input 3 2 2 2 2 2 2" xfId="2510"/>
    <cellStyle name="Input 3 2 2 2 2 3" xfId="2511"/>
    <cellStyle name="Input 3 2 2 2 3" xfId="2512"/>
    <cellStyle name="Input 3 2 2 2 3 2" xfId="2513"/>
    <cellStyle name="Input 3 2 2 2 4" xfId="2514"/>
    <cellStyle name="Input 3 2 2 3" xfId="2515"/>
    <cellStyle name="Input 3 2 2 3 2" xfId="2516"/>
    <cellStyle name="Input 3 2 2 3 2 2" xfId="2517"/>
    <cellStyle name="Input 3 2 2 3 3" xfId="2518"/>
    <cellStyle name="Input 3 2 2 3 4" xfId="2519"/>
    <cellStyle name="Input 3 2 2 4" xfId="2520"/>
    <cellStyle name="Input 3 2 2 4 2" xfId="2521"/>
    <cellStyle name="Input 3 2 2 4 2 2" xfId="2522"/>
    <cellStyle name="Input 3 2 2 4 3" xfId="2523"/>
    <cellStyle name="Input 3 2 2 5" xfId="2524"/>
    <cellStyle name="Input 3 2 2 5 2" xfId="2525"/>
    <cellStyle name="Input 3 2 2 6" xfId="2526"/>
    <cellStyle name="Input 3 2 3" xfId="2527"/>
    <cellStyle name="Input 3 2 3 2" xfId="2528"/>
    <cellStyle name="Input 3 2 3 2 2" xfId="2529"/>
    <cellStyle name="Input 3 2 3 2 2 2" xfId="2530"/>
    <cellStyle name="Input 3 2 3 2 2 2 2" xfId="2531"/>
    <cellStyle name="Input 3 2 3 2 2 3" xfId="2532"/>
    <cellStyle name="Input 3 2 3 2 3" xfId="2533"/>
    <cellStyle name="Input 3 2 3 2 3 2" xfId="2534"/>
    <cellStyle name="Input 3 2 3 2 4" xfId="2535"/>
    <cellStyle name="Input 3 2 3 3" xfId="2536"/>
    <cellStyle name="Input 3 2 3 3 2" xfId="2537"/>
    <cellStyle name="Input 3 2 3 3 2 2" xfId="2538"/>
    <cellStyle name="Input 3 2 3 3 3" xfId="2539"/>
    <cellStyle name="Input 3 2 3 3 4" xfId="2540"/>
    <cellStyle name="Input 3 2 3 4" xfId="2541"/>
    <cellStyle name="Input 3 2 3 4 2" xfId="2542"/>
    <cellStyle name="Input 3 2 3 4 2 2" xfId="2543"/>
    <cellStyle name="Input 3 2 3 4 3" xfId="2544"/>
    <cellStyle name="Input 3 2 3 5" xfId="2545"/>
    <cellStyle name="Input 3 2 3 5 2" xfId="2546"/>
    <cellStyle name="Input 3 2 3 6" xfId="2547"/>
    <cellStyle name="Input 3 2 4" xfId="2548"/>
    <cellStyle name="Input 3 2 4 2" xfId="2549"/>
    <cellStyle name="Input 3 2 4 2 2" xfId="2550"/>
    <cellStyle name="Input 3 2 4 2 2 2" xfId="2551"/>
    <cellStyle name="Input 3 2 4 2 2 2 2" xfId="2552"/>
    <cellStyle name="Input 3 2 4 2 2 3" xfId="2553"/>
    <cellStyle name="Input 3 2 4 2 3" xfId="2554"/>
    <cellStyle name="Input 3 2 4 2 3 2" xfId="2555"/>
    <cellStyle name="Input 3 2 4 2 4" xfId="2556"/>
    <cellStyle name="Input 3 2 4 3" xfId="2557"/>
    <cellStyle name="Input 3 2 4 3 2" xfId="2558"/>
    <cellStyle name="Input 3 2 4 3 2 2" xfId="2559"/>
    <cellStyle name="Input 3 2 4 3 3" xfId="2560"/>
    <cellStyle name="Input 3 2 4 3 4" xfId="2561"/>
    <cellStyle name="Input 3 2 4 4" xfId="2562"/>
    <cellStyle name="Input 3 2 4 4 2" xfId="2563"/>
    <cellStyle name="Input 3 2 4 4 2 2" xfId="2564"/>
    <cellStyle name="Input 3 2 4 4 3" xfId="2565"/>
    <cellStyle name="Input 3 2 4 5" xfId="2566"/>
    <cellStyle name="Input 3 2 4 5 2" xfId="2567"/>
    <cellStyle name="Input 3 2 4 6" xfId="2568"/>
    <cellStyle name="Input 3 2 5" xfId="2569"/>
    <cellStyle name="Input 3 2 5 2" xfId="2570"/>
    <cellStyle name="Input 3 3" xfId="2571"/>
    <cellStyle name="Input 3 3 2" xfId="2572"/>
    <cellStyle name="Input 3 3 2 2" xfId="2573"/>
    <cellStyle name="Input 3 3 2 2 2" xfId="2574"/>
    <cellStyle name="Input 3 3 2 2 2 2" xfId="2575"/>
    <cellStyle name="Input 3 3 2 2 2 2 2" xfId="2576"/>
    <cellStyle name="Input 3 3 2 2 2 3" xfId="2577"/>
    <cellStyle name="Input 3 3 2 2 3" xfId="2578"/>
    <cellStyle name="Input 3 3 2 2 3 2" xfId="2579"/>
    <cellStyle name="Input 3 3 2 2 4" xfId="2580"/>
    <cellStyle name="Input 3 3 2 3" xfId="2581"/>
    <cellStyle name="Input 3 3 2 3 2" xfId="2582"/>
    <cellStyle name="Input 3 3 2 3 2 2" xfId="2583"/>
    <cellStyle name="Input 3 3 2 3 3" xfId="2584"/>
    <cellStyle name="Input 3 3 2 3 4" xfId="2585"/>
    <cellStyle name="Input 3 3 2 4" xfId="2586"/>
    <cellStyle name="Input 3 3 2 4 2" xfId="2587"/>
    <cellStyle name="Input 3 3 2 4 2 2" xfId="2588"/>
    <cellStyle name="Input 3 3 2 4 3" xfId="2589"/>
    <cellStyle name="Input 3 3 2 5" xfId="2590"/>
    <cellStyle name="Input 3 3 2 5 2" xfId="2591"/>
    <cellStyle name="Input 3 3 2 6" xfId="2592"/>
    <cellStyle name="Input 3 3 3" xfId="2593"/>
    <cellStyle name="Input 3 3 3 2" xfId="2594"/>
    <cellStyle name="Input 3 3 3 2 2" xfId="2595"/>
    <cellStyle name="Input 3 3 3 2 2 2" xfId="2596"/>
    <cellStyle name="Input 3 3 3 2 2 2 2" xfId="2597"/>
    <cellStyle name="Input 3 3 3 2 2 3" xfId="2598"/>
    <cellStyle name="Input 3 3 3 2 3" xfId="2599"/>
    <cellStyle name="Input 3 3 3 2 3 2" xfId="2600"/>
    <cellStyle name="Input 3 3 3 2 4" xfId="2601"/>
    <cellStyle name="Input 3 3 3 3" xfId="2602"/>
    <cellStyle name="Input 3 3 3 3 2" xfId="2603"/>
    <cellStyle name="Input 3 3 3 3 2 2" xfId="2604"/>
    <cellStyle name="Input 3 3 3 3 3" xfId="2605"/>
    <cellStyle name="Input 3 3 3 3 4" xfId="2606"/>
    <cellStyle name="Input 3 3 3 4" xfId="2607"/>
    <cellStyle name="Input 3 3 3 4 2" xfId="2608"/>
    <cellStyle name="Input 3 3 3 4 2 2" xfId="2609"/>
    <cellStyle name="Input 3 3 3 4 3" xfId="2610"/>
    <cellStyle name="Input 3 3 3 5" xfId="2611"/>
    <cellStyle name="Input 3 3 3 5 2" xfId="2612"/>
    <cellStyle name="Input 3 3 3 6" xfId="2613"/>
    <cellStyle name="Input 3 3 4" xfId="2614"/>
    <cellStyle name="Input 3 3 4 2" xfId="2615"/>
    <cellStyle name="Input 3 3 4 2 2" xfId="2616"/>
    <cellStyle name="Input 3 3 4 2 2 2" xfId="2617"/>
    <cellStyle name="Input 3 3 4 2 3" xfId="2618"/>
    <cellStyle name="Input 3 3 4 3" xfId="2619"/>
    <cellStyle name="Input 3 3 4 3 2" xfId="2620"/>
    <cellStyle name="Input 3 3 4 4" xfId="2621"/>
    <cellStyle name="Input 3 3 5" xfId="2622"/>
    <cellStyle name="Input 3 3 5 2" xfId="2623"/>
    <cellStyle name="Input 3 3 5 2 2" xfId="2624"/>
    <cellStyle name="Input 3 3 5 3" xfId="2625"/>
    <cellStyle name="Input 3 3 5 4" xfId="2626"/>
    <cellStyle name="Input 3 3 6" xfId="2627"/>
    <cellStyle name="Input 3 3 6 2" xfId="2628"/>
    <cellStyle name="Input 3 3 6 2 2" xfId="2629"/>
    <cellStyle name="Input 3 3 6 3" xfId="2630"/>
    <cellStyle name="Input 3 3 7" xfId="2631"/>
    <cellStyle name="Input 3 3 7 2" xfId="2632"/>
    <cellStyle name="Input 3 3 8" xfId="2633"/>
    <cellStyle name="Input 3 4" xfId="2634"/>
    <cellStyle name="Input 3 4 2" xfId="2635"/>
    <cellStyle name="Input 3 4 2 2" xfId="2636"/>
    <cellStyle name="Input 3 4 2 2 2" xfId="2637"/>
    <cellStyle name="Input 3 4 2 2 2 2" xfId="2638"/>
    <cellStyle name="Input 3 4 2 2 3" xfId="2639"/>
    <cellStyle name="Input 3 4 2 3" xfId="2640"/>
    <cellStyle name="Input 3 4 2 3 2" xfId="2641"/>
    <cellStyle name="Input 3 4 2 4" xfId="2642"/>
    <cellStyle name="Input 3 4 3" xfId="2643"/>
    <cellStyle name="Input 3 4 3 2" xfId="2644"/>
    <cellStyle name="Input 3 4 3 2 2" xfId="2645"/>
    <cellStyle name="Input 3 4 3 3" xfId="2646"/>
    <cellStyle name="Input 3 4 3 4" xfId="2647"/>
    <cellStyle name="Input 3 4 4" xfId="2648"/>
    <cellStyle name="Input 3 4 4 2" xfId="2649"/>
    <cellStyle name="Input 3 4 4 2 2" xfId="2650"/>
    <cellStyle name="Input 3 4 4 3" xfId="2651"/>
    <cellStyle name="Input 3 4 5" xfId="2652"/>
    <cellStyle name="Input 3 4 5 2" xfId="2653"/>
    <cellStyle name="Input 3 4 6" xfId="2654"/>
    <cellStyle name="Input 4" xfId="2655"/>
    <cellStyle name="Input 4 2" xfId="2656"/>
    <cellStyle name="Input 4 2 2" xfId="2657"/>
    <cellStyle name="Input 4 2 2 2" xfId="2658"/>
    <cellStyle name="Input 4 2 2 2 2" xfId="2659"/>
    <cellStyle name="Input 4 2 2 2 2 2" xfId="2660"/>
    <cellStyle name="Input 4 2 2 2 2 2 2" xfId="2661"/>
    <cellStyle name="Input 4 2 2 2 2 3" xfId="2662"/>
    <cellStyle name="Input 4 2 2 2 3" xfId="2663"/>
    <cellStyle name="Input 4 2 2 2 3 2" xfId="2664"/>
    <cellStyle name="Input 4 2 2 2 4" xfId="2665"/>
    <cellStyle name="Input 4 2 2 3" xfId="2666"/>
    <cellStyle name="Input 4 2 2 3 2" xfId="2667"/>
    <cellStyle name="Input 4 2 2 3 2 2" xfId="2668"/>
    <cellStyle name="Input 4 2 2 3 3" xfId="2669"/>
    <cellStyle name="Input 4 2 2 3 4" xfId="2670"/>
    <cellStyle name="Input 4 2 2 4" xfId="2671"/>
    <cellStyle name="Input 4 2 2 4 2" xfId="2672"/>
    <cellStyle name="Input 4 2 2 4 2 2" xfId="2673"/>
    <cellStyle name="Input 4 2 2 4 3" xfId="2674"/>
    <cellStyle name="Input 4 2 2 5" xfId="2675"/>
    <cellStyle name="Input 4 2 2 5 2" xfId="2676"/>
    <cellStyle name="Input 4 2 2 6" xfId="2677"/>
    <cellStyle name="Input 4 2 3" xfId="2678"/>
    <cellStyle name="Input 4 2 3 2" xfId="2679"/>
    <cellStyle name="Input 4 2 3 2 2" xfId="2680"/>
    <cellStyle name="Input 4 2 3 2 2 2" xfId="2681"/>
    <cellStyle name="Input 4 2 3 2 2 2 2" xfId="2682"/>
    <cellStyle name="Input 4 2 3 2 2 3" xfId="2683"/>
    <cellStyle name="Input 4 2 3 2 3" xfId="2684"/>
    <cellStyle name="Input 4 2 3 2 3 2" xfId="2685"/>
    <cellStyle name="Input 4 2 3 2 4" xfId="2686"/>
    <cellStyle name="Input 4 2 3 3" xfId="2687"/>
    <cellStyle name="Input 4 2 3 3 2" xfId="2688"/>
    <cellStyle name="Input 4 2 3 3 2 2" xfId="2689"/>
    <cellStyle name="Input 4 2 3 3 3" xfId="2690"/>
    <cellStyle name="Input 4 2 3 3 4" xfId="2691"/>
    <cellStyle name="Input 4 2 3 4" xfId="2692"/>
    <cellStyle name="Input 4 2 3 4 2" xfId="2693"/>
    <cellStyle name="Input 4 2 3 4 2 2" xfId="2694"/>
    <cellStyle name="Input 4 2 3 4 3" xfId="2695"/>
    <cellStyle name="Input 4 2 3 5" xfId="2696"/>
    <cellStyle name="Input 4 2 3 5 2" xfId="2697"/>
    <cellStyle name="Input 4 2 3 6" xfId="2698"/>
    <cellStyle name="Input 4 2 4" xfId="2699"/>
    <cellStyle name="Input 4 2 4 2" xfId="2700"/>
    <cellStyle name="Input 4 2 4 2 2" xfId="2701"/>
    <cellStyle name="Input 4 2 4 2 2 2" xfId="2702"/>
    <cellStyle name="Input 4 2 4 2 2 2 2" xfId="2703"/>
    <cellStyle name="Input 4 2 4 2 2 3" xfId="2704"/>
    <cellStyle name="Input 4 2 4 2 3" xfId="2705"/>
    <cellStyle name="Input 4 2 4 2 3 2" xfId="2706"/>
    <cellStyle name="Input 4 2 4 2 4" xfId="2707"/>
    <cellStyle name="Input 4 2 4 3" xfId="2708"/>
    <cellStyle name="Input 4 2 4 3 2" xfId="2709"/>
    <cellStyle name="Input 4 2 4 3 2 2" xfId="2710"/>
    <cellStyle name="Input 4 2 4 3 3" xfId="2711"/>
    <cellStyle name="Input 4 2 4 3 4" xfId="2712"/>
    <cellStyle name="Input 4 2 4 4" xfId="2713"/>
    <cellStyle name="Input 4 2 4 4 2" xfId="2714"/>
    <cellStyle name="Input 4 2 4 4 2 2" xfId="2715"/>
    <cellStyle name="Input 4 2 4 4 3" xfId="2716"/>
    <cellStyle name="Input 4 2 4 5" xfId="2717"/>
    <cellStyle name="Input 4 2 4 5 2" xfId="2718"/>
    <cellStyle name="Input 4 2 4 6" xfId="2719"/>
    <cellStyle name="Input 4 2 5" xfId="2720"/>
    <cellStyle name="Input 4 2 5 2" xfId="2721"/>
    <cellStyle name="Input 4 3" xfId="2722"/>
    <cellStyle name="Input 4 3 2" xfId="2723"/>
    <cellStyle name="Input 4 3 2 2" xfId="2724"/>
    <cellStyle name="Input 4 3 2 2 2" xfId="2725"/>
    <cellStyle name="Input 4 3 2 2 2 2" xfId="2726"/>
    <cellStyle name="Input 4 3 2 2 2 2 2" xfId="2727"/>
    <cellStyle name="Input 4 3 2 2 2 3" xfId="2728"/>
    <cellStyle name="Input 4 3 2 2 3" xfId="2729"/>
    <cellStyle name="Input 4 3 2 2 3 2" xfId="2730"/>
    <cellStyle name="Input 4 3 2 2 4" xfId="2731"/>
    <cellStyle name="Input 4 3 2 3" xfId="2732"/>
    <cellStyle name="Input 4 3 2 3 2" xfId="2733"/>
    <cellStyle name="Input 4 3 2 3 2 2" xfId="2734"/>
    <cellStyle name="Input 4 3 2 3 3" xfId="2735"/>
    <cellStyle name="Input 4 3 2 3 4" xfId="2736"/>
    <cellStyle name="Input 4 3 2 4" xfId="2737"/>
    <cellStyle name="Input 4 3 2 4 2" xfId="2738"/>
    <cellStyle name="Input 4 3 2 4 2 2" xfId="2739"/>
    <cellStyle name="Input 4 3 2 4 3" xfId="2740"/>
    <cellStyle name="Input 4 3 2 5" xfId="2741"/>
    <cellStyle name="Input 4 3 2 5 2" xfId="2742"/>
    <cellStyle name="Input 4 3 2 6" xfId="2743"/>
    <cellStyle name="Input 4 3 3" xfId="2744"/>
    <cellStyle name="Input 4 3 3 2" xfId="2745"/>
    <cellStyle name="Input 4 3 3 2 2" xfId="2746"/>
    <cellStyle name="Input 4 3 3 2 2 2" xfId="2747"/>
    <cellStyle name="Input 4 3 3 2 2 2 2" xfId="2748"/>
    <cellStyle name="Input 4 3 3 2 2 3" xfId="2749"/>
    <cellStyle name="Input 4 3 3 2 3" xfId="2750"/>
    <cellStyle name="Input 4 3 3 2 3 2" xfId="2751"/>
    <cellStyle name="Input 4 3 3 2 4" xfId="2752"/>
    <cellStyle name="Input 4 3 3 3" xfId="2753"/>
    <cellStyle name="Input 4 3 3 3 2" xfId="2754"/>
    <cellStyle name="Input 4 3 3 3 2 2" xfId="2755"/>
    <cellStyle name="Input 4 3 3 3 3" xfId="2756"/>
    <cellStyle name="Input 4 3 3 3 4" xfId="2757"/>
    <cellStyle name="Input 4 3 3 4" xfId="2758"/>
    <cellStyle name="Input 4 3 3 4 2" xfId="2759"/>
    <cellStyle name="Input 4 3 3 4 2 2" xfId="2760"/>
    <cellStyle name="Input 4 3 3 4 3" xfId="2761"/>
    <cellStyle name="Input 4 3 3 5" xfId="2762"/>
    <cellStyle name="Input 4 3 3 5 2" xfId="2763"/>
    <cellStyle name="Input 4 3 3 6" xfId="2764"/>
    <cellStyle name="Input 4 3 4" xfId="2765"/>
    <cellStyle name="Input 4 3 4 2" xfId="2766"/>
    <cellStyle name="Input 4 3 4 2 2" xfId="2767"/>
    <cellStyle name="Input 4 3 4 2 2 2" xfId="2768"/>
    <cellStyle name="Input 4 3 4 2 3" xfId="2769"/>
    <cellStyle name="Input 4 3 4 3" xfId="2770"/>
    <cellStyle name="Input 4 3 4 3 2" xfId="2771"/>
    <cellStyle name="Input 4 3 4 4" xfId="2772"/>
    <cellStyle name="Input 4 3 5" xfId="2773"/>
    <cellStyle name="Input 4 3 5 2" xfId="2774"/>
    <cellStyle name="Input 4 3 5 2 2" xfId="2775"/>
    <cellStyle name="Input 4 3 5 3" xfId="2776"/>
    <cellStyle name="Input 4 3 5 4" xfId="2777"/>
    <cellStyle name="Input 4 3 6" xfId="2778"/>
    <cellStyle name="Input 4 3 6 2" xfId="2779"/>
    <cellStyle name="Input 4 3 6 2 2" xfId="2780"/>
    <cellStyle name="Input 4 3 6 3" xfId="2781"/>
    <cellStyle name="Input 4 3 7" xfId="2782"/>
    <cellStyle name="Input 4 3 7 2" xfId="2783"/>
    <cellStyle name="Input 4 3 8" xfId="2784"/>
    <cellStyle name="Input 4 4" xfId="2785"/>
    <cellStyle name="Input 4 4 2" xfId="2786"/>
    <cellStyle name="Input 4 4 2 2" xfId="2787"/>
    <cellStyle name="Input 4 4 2 2 2" xfId="2788"/>
    <cellStyle name="Input 4 4 2 2 2 2" xfId="2789"/>
    <cellStyle name="Input 4 4 2 2 3" xfId="2790"/>
    <cellStyle name="Input 4 4 2 3" xfId="2791"/>
    <cellStyle name="Input 4 4 2 3 2" xfId="2792"/>
    <cellStyle name="Input 4 4 2 4" xfId="2793"/>
    <cellStyle name="Input 4 4 3" xfId="2794"/>
    <cellStyle name="Input 4 4 3 2" xfId="2795"/>
    <cellStyle name="Input 4 4 3 2 2" xfId="2796"/>
    <cellStyle name="Input 4 4 3 3" xfId="2797"/>
    <cellStyle name="Input 4 4 3 4" xfId="2798"/>
    <cellStyle name="Input 4 4 4" xfId="2799"/>
    <cellStyle name="Input 4 4 4 2" xfId="2800"/>
    <cellStyle name="Input 4 4 4 2 2" xfId="2801"/>
    <cellStyle name="Input 4 4 4 3" xfId="2802"/>
    <cellStyle name="Input 4 4 5" xfId="2803"/>
    <cellStyle name="Input 4 4 5 2" xfId="2804"/>
    <cellStyle name="Input 4 4 6" xfId="2805"/>
    <cellStyle name="Input 5" xfId="2806"/>
    <cellStyle name="Input 5 2" xfId="2807"/>
    <cellStyle name="Input 5 2 2" xfId="2808"/>
    <cellStyle name="Input 5 2 2 2" xfId="2809"/>
    <cellStyle name="Input 5 2 2 2 2" xfId="2810"/>
    <cellStyle name="Input 5 2 2 2 2 2" xfId="2811"/>
    <cellStyle name="Input 5 2 2 2 3" xfId="2812"/>
    <cellStyle name="Input 5 2 2 3" xfId="2813"/>
    <cellStyle name="Input 5 2 2 3 2" xfId="2814"/>
    <cellStyle name="Input 5 2 2 4" xfId="2815"/>
    <cellStyle name="Input 5 2 3" xfId="2816"/>
    <cellStyle name="Input 5 2 3 2" xfId="2817"/>
    <cellStyle name="Input 5 2 3 2 2" xfId="2818"/>
    <cellStyle name="Input 5 2 3 3" xfId="2819"/>
    <cellStyle name="Input 5 2 3 4" xfId="2820"/>
    <cellStyle name="Input 5 2 4" xfId="2821"/>
    <cellStyle name="Input 5 2 4 2" xfId="2822"/>
    <cellStyle name="Input 5 2 4 2 2" xfId="2823"/>
    <cellStyle name="Input 5 2 4 3" xfId="2824"/>
    <cellStyle name="Input 5 2 5" xfId="2825"/>
    <cellStyle name="Input 5 2 5 2" xfId="2826"/>
    <cellStyle name="Input 5 2 6" xfId="2827"/>
    <cellStyle name="Input 5 3" xfId="2828"/>
    <cellStyle name="Input 5 3 2" xfId="2829"/>
    <cellStyle name="Input 5 3 2 2" xfId="2830"/>
    <cellStyle name="Input 5 3 2 2 2" xfId="2831"/>
    <cellStyle name="Input 5 3 2 2 2 2" xfId="2832"/>
    <cellStyle name="Input 5 3 2 2 3" xfId="2833"/>
    <cellStyle name="Input 5 3 2 3" xfId="2834"/>
    <cellStyle name="Input 5 3 2 3 2" xfId="2835"/>
    <cellStyle name="Input 5 3 2 4" xfId="2836"/>
    <cellStyle name="Input 5 3 3" xfId="2837"/>
    <cellStyle name="Input 5 3 3 2" xfId="2838"/>
    <cellStyle name="Input 5 3 3 2 2" xfId="2839"/>
    <cellStyle name="Input 5 3 3 3" xfId="2840"/>
    <cellStyle name="Input 5 3 3 4" xfId="2841"/>
    <cellStyle name="Input 5 3 4" xfId="2842"/>
    <cellStyle name="Input 5 3 4 2" xfId="2843"/>
    <cellStyle name="Input 5 3 4 2 2" xfId="2844"/>
    <cellStyle name="Input 5 3 4 3" xfId="2845"/>
    <cellStyle name="Input 5 3 5" xfId="2846"/>
    <cellStyle name="Input 5 3 5 2" xfId="2847"/>
    <cellStyle name="Input 5 3 6" xfId="2848"/>
    <cellStyle name="Input 5 4" xfId="2849"/>
    <cellStyle name="Input 5 4 2" xfId="2850"/>
    <cellStyle name="Input 5 4 2 2" xfId="2851"/>
    <cellStyle name="Input 5 4 2 2 2" xfId="2852"/>
    <cellStyle name="Input 5 4 2 2 2 2" xfId="2853"/>
    <cellStyle name="Input 5 4 2 2 3" xfId="2854"/>
    <cellStyle name="Input 5 4 2 3" xfId="2855"/>
    <cellStyle name="Input 5 4 2 3 2" xfId="2856"/>
    <cellStyle name="Input 5 4 2 4" xfId="2857"/>
    <cellStyle name="Input 5 4 3" xfId="2858"/>
    <cellStyle name="Input 5 4 3 2" xfId="2859"/>
    <cellStyle name="Input 5 4 3 2 2" xfId="2860"/>
    <cellStyle name="Input 5 4 3 3" xfId="2861"/>
    <cellStyle name="Input 5 4 3 4" xfId="2862"/>
    <cellStyle name="Input 5 4 4" xfId="2863"/>
    <cellStyle name="Input 5 4 4 2" xfId="2864"/>
    <cellStyle name="Input 5 4 4 2 2" xfId="2865"/>
    <cellStyle name="Input 5 4 4 3" xfId="2866"/>
    <cellStyle name="Input 5 4 5" xfId="2867"/>
    <cellStyle name="Input 5 4 5 2" xfId="2868"/>
    <cellStyle name="Input 5 4 6" xfId="2869"/>
    <cellStyle name="Input 5 5" xfId="2870"/>
    <cellStyle name="Input 5 5 2" xfId="2871"/>
    <cellStyle name="Input 6" xfId="2872"/>
    <cellStyle name="Input 6 2" xfId="2873"/>
    <cellStyle name="Input 6 2 2" xfId="2874"/>
    <cellStyle name="Input 6 2 2 2" xfId="2875"/>
    <cellStyle name="Input 6 2 2 2 2" xfId="2876"/>
    <cellStyle name="Input 6 2 2 2 2 2" xfId="2877"/>
    <cellStyle name="Input 6 2 2 2 3" xfId="2878"/>
    <cellStyle name="Input 6 2 2 3" xfId="2879"/>
    <cellStyle name="Input 6 2 2 3 2" xfId="2880"/>
    <cellStyle name="Input 6 2 2 4" xfId="2881"/>
    <cellStyle name="Input 6 2 3" xfId="2882"/>
    <cellStyle name="Input 6 2 3 2" xfId="2883"/>
    <cellStyle name="Input 6 2 3 2 2" xfId="2884"/>
    <cellStyle name="Input 6 2 3 3" xfId="2885"/>
    <cellStyle name="Input 6 2 3 4" xfId="2886"/>
    <cellStyle name="Input 6 2 4" xfId="2887"/>
    <cellStyle name="Input 6 2 4 2" xfId="2888"/>
    <cellStyle name="Input 6 2 4 2 2" xfId="2889"/>
    <cellStyle name="Input 6 2 4 3" xfId="2890"/>
    <cellStyle name="Input 6 2 5" xfId="2891"/>
    <cellStyle name="Input 6 2 5 2" xfId="2892"/>
    <cellStyle name="Input 6 2 6" xfId="2893"/>
    <cellStyle name="Input 6 3" xfId="2894"/>
    <cellStyle name="Input 6 3 2" xfId="2895"/>
    <cellStyle name="Input 6 3 2 2" xfId="2896"/>
    <cellStyle name="Input 6 3 2 2 2" xfId="2897"/>
    <cellStyle name="Input 6 3 2 2 2 2" xfId="2898"/>
    <cellStyle name="Input 6 3 2 2 3" xfId="2899"/>
    <cellStyle name="Input 6 3 2 3" xfId="2900"/>
    <cellStyle name="Input 6 3 2 3 2" xfId="2901"/>
    <cellStyle name="Input 6 3 2 4" xfId="2902"/>
    <cellStyle name="Input 6 3 3" xfId="2903"/>
    <cellStyle name="Input 6 3 3 2" xfId="2904"/>
    <cellStyle name="Input 6 3 3 2 2" xfId="2905"/>
    <cellStyle name="Input 6 3 3 3" xfId="2906"/>
    <cellStyle name="Input 6 3 3 4" xfId="2907"/>
    <cellStyle name="Input 6 3 4" xfId="2908"/>
    <cellStyle name="Input 6 3 4 2" xfId="2909"/>
    <cellStyle name="Input 6 3 4 2 2" xfId="2910"/>
    <cellStyle name="Input 6 3 4 3" xfId="2911"/>
    <cellStyle name="Input 6 3 5" xfId="2912"/>
    <cellStyle name="Input 6 3 5 2" xfId="2913"/>
    <cellStyle name="Input 6 3 6" xfId="2914"/>
    <cellStyle name="Input 6 4" xfId="2915"/>
    <cellStyle name="Input 6 4 2" xfId="2916"/>
    <cellStyle name="Input 6 4 2 2" xfId="2917"/>
    <cellStyle name="Input 6 4 2 2 2" xfId="2918"/>
    <cellStyle name="Input 6 4 2 3" xfId="2919"/>
    <cellStyle name="Input 6 4 3" xfId="2920"/>
    <cellStyle name="Input 6 4 3 2" xfId="2921"/>
    <cellStyle name="Input 6 4 4" xfId="2922"/>
    <cellStyle name="Input 6 5" xfId="2923"/>
    <cellStyle name="Input 6 5 2" xfId="2924"/>
    <cellStyle name="Input 6 5 2 2" xfId="2925"/>
    <cellStyle name="Input 6 5 3" xfId="2926"/>
    <cellStyle name="Input 6 5 4" xfId="2927"/>
    <cellStyle name="Input 6 6" xfId="2928"/>
    <cellStyle name="Input 6 6 2" xfId="2929"/>
    <cellStyle name="Input 6 6 2 2" xfId="2930"/>
    <cellStyle name="Input 6 6 3" xfId="2931"/>
    <cellStyle name="Input 6 7" xfId="2932"/>
    <cellStyle name="Input 6 7 2" xfId="2933"/>
    <cellStyle name="Input 6 8" xfId="2934"/>
    <cellStyle name="InputDataRow" xfId="2935"/>
    <cellStyle name="InputLabelRow" xfId="2936"/>
    <cellStyle name="InputPc2Right" xfId="2937"/>
    <cellStyle name="InputShortText" xfId="2938"/>
    <cellStyle name="InputTextLeft" xfId="2939"/>
    <cellStyle name="Int.conven" xfId="2940"/>
    <cellStyle name="IntermediateLabelColumn" xfId="2941"/>
    <cellStyle name="JG" xfId="2942"/>
    <cellStyle name="LabelLeft" xfId="2943"/>
    <cellStyle name="LabelRight" xfId="2944"/>
    <cellStyle name="Linked Cell 2" xfId="2945"/>
    <cellStyle name="Linked Cell 2 2" xfId="2946"/>
    <cellStyle name="Linked Cell 3" xfId="2947"/>
    <cellStyle name="Linked Cell 4" xfId="2948"/>
    <cellStyle name="LocalFormat" xfId="2949"/>
    <cellStyle name="LocalFormat 2" xfId="2950"/>
    <cellStyle name="LocalFormat 2 2" xfId="2951"/>
    <cellStyle name="LocalFormat 2 2 2" xfId="2952"/>
    <cellStyle name="LocalFormat 2 2 2 2" xfId="2953"/>
    <cellStyle name="LocalFormat 2 2 2 2 2" xfId="2954"/>
    <cellStyle name="LocalFormat 2 2 2 2 2 2" xfId="2955"/>
    <cellStyle name="LocalFormat 2 2 2 2 2 2 2" xfId="2956"/>
    <cellStyle name="LocalFormat 2 2 2 2 2 3" xfId="2957"/>
    <cellStyle name="LocalFormat 2 2 2 2 3" xfId="2958"/>
    <cellStyle name="LocalFormat 2 2 2 2 3 2" xfId="2959"/>
    <cellStyle name="LocalFormat 2 2 2 2 4" xfId="2960"/>
    <cellStyle name="LocalFormat 2 2 2 3" xfId="2961"/>
    <cellStyle name="LocalFormat 2 2 2 3 2" xfId="2962"/>
    <cellStyle name="LocalFormat 2 2 2 3 2 2" xfId="2963"/>
    <cellStyle name="LocalFormat 2 2 2 3 3" xfId="2964"/>
    <cellStyle name="LocalFormat 2 2 2 3 4" xfId="2965"/>
    <cellStyle name="LocalFormat 2 2 2 4" xfId="2966"/>
    <cellStyle name="LocalFormat 2 2 2 4 2" xfId="2967"/>
    <cellStyle name="LocalFormat 2 2 2 4 2 2" xfId="2968"/>
    <cellStyle name="LocalFormat 2 2 2 4 3" xfId="2969"/>
    <cellStyle name="LocalFormat 2 2 2 5" xfId="2970"/>
    <cellStyle name="LocalFormat 2 2 3" xfId="2971"/>
    <cellStyle name="LocalFormat 2 2 3 2" xfId="2972"/>
    <cellStyle name="LocalFormat 2 2 3 2 2" xfId="2973"/>
    <cellStyle name="LocalFormat 2 2 3 2 2 2" xfId="2974"/>
    <cellStyle name="LocalFormat 2 2 3 2 2 2 2" xfId="2975"/>
    <cellStyle name="LocalFormat 2 2 3 2 2 3" xfId="2976"/>
    <cellStyle name="LocalFormat 2 2 3 2 3" xfId="2977"/>
    <cellStyle name="LocalFormat 2 2 3 2 3 2" xfId="2978"/>
    <cellStyle name="LocalFormat 2 2 3 2 4" xfId="2979"/>
    <cellStyle name="LocalFormat 2 2 3 3" xfId="2980"/>
    <cellStyle name="LocalFormat 2 2 3 3 2" xfId="2981"/>
    <cellStyle name="LocalFormat 2 2 3 3 2 2" xfId="2982"/>
    <cellStyle name="LocalFormat 2 2 3 3 3" xfId="2983"/>
    <cellStyle name="LocalFormat 2 2 3 3 4" xfId="2984"/>
    <cellStyle name="LocalFormat 2 2 3 4" xfId="2985"/>
    <cellStyle name="LocalFormat 2 2 3 4 2" xfId="2986"/>
    <cellStyle name="LocalFormat 2 2 3 4 2 2" xfId="2987"/>
    <cellStyle name="LocalFormat 2 2 3 4 3" xfId="2988"/>
    <cellStyle name="LocalFormat 2 2 3 5" xfId="2989"/>
    <cellStyle name="LocalFormat 2 2 3 5 2" xfId="2990"/>
    <cellStyle name="LocalFormat 2 2 3 6" xfId="2991"/>
    <cellStyle name="LocalFormat 2 2 4" xfId="2992"/>
    <cellStyle name="LocalFormat 2 2 4 2" xfId="2993"/>
    <cellStyle name="LocalFormat 2 2 4 2 2" xfId="2994"/>
    <cellStyle name="LocalFormat 2 2 4 2 2 2" xfId="2995"/>
    <cellStyle name="LocalFormat 2 2 4 2 2 2 2" xfId="2996"/>
    <cellStyle name="LocalFormat 2 2 4 2 2 3" xfId="2997"/>
    <cellStyle name="LocalFormat 2 2 4 2 3" xfId="2998"/>
    <cellStyle name="LocalFormat 2 2 4 2 3 2" xfId="2999"/>
    <cellStyle name="LocalFormat 2 2 4 2 4" xfId="3000"/>
    <cellStyle name="LocalFormat 2 2 4 3" xfId="3001"/>
    <cellStyle name="LocalFormat 2 2 4 3 2" xfId="3002"/>
    <cellStyle name="LocalFormat 2 2 4 3 2 2" xfId="3003"/>
    <cellStyle name="LocalFormat 2 2 4 3 3" xfId="3004"/>
    <cellStyle name="LocalFormat 2 2 4 3 4" xfId="3005"/>
    <cellStyle name="LocalFormat 2 2 4 4" xfId="3006"/>
    <cellStyle name="LocalFormat 2 2 4 4 2" xfId="3007"/>
    <cellStyle name="LocalFormat 2 2 4 4 2 2" xfId="3008"/>
    <cellStyle name="LocalFormat 2 2 4 4 3" xfId="3009"/>
    <cellStyle name="LocalFormat 2 2 4 5" xfId="3010"/>
    <cellStyle name="LocalFormat 2 2 4 5 2" xfId="3011"/>
    <cellStyle name="LocalFormat 2 2 4 6" xfId="3012"/>
    <cellStyle name="LocalFormat 2 2 5" xfId="3013"/>
    <cellStyle name="LocalFormat 2 2 5 2" xfId="3014"/>
    <cellStyle name="LocalFormat 2 3" xfId="3015"/>
    <cellStyle name="LocalFormat 2 3 2" xfId="3016"/>
    <cellStyle name="LocalFormat 2 3 2 2" xfId="3017"/>
    <cellStyle name="LocalFormat 2 3 2 2 2" xfId="3018"/>
    <cellStyle name="LocalFormat 2 3 2 2 2 2" xfId="3019"/>
    <cellStyle name="LocalFormat 2 3 2 2 3" xfId="3020"/>
    <cellStyle name="LocalFormat 2 3 2 3" xfId="3021"/>
    <cellStyle name="LocalFormat 2 3 2 3 2" xfId="3022"/>
    <cellStyle name="LocalFormat 2 3 2 4" xfId="3023"/>
    <cellStyle name="LocalFormat 2 3 3" xfId="3024"/>
    <cellStyle name="LocalFormat 2 3 3 2" xfId="3025"/>
    <cellStyle name="LocalFormat 2 3 3 2 2" xfId="3026"/>
    <cellStyle name="LocalFormat 2 3 3 3" xfId="3027"/>
    <cellStyle name="LocalFormat 2 3 3 4" xfId="3028"/>
    <cellStyle name="LocalFormat 2 3 4" xfId="3029"/>
    <cellStyle name="LocalFormat 2 3 4 2" xfId="3030"/>
    <cellStyle name="LocalFormat 2 3 4 2 2" xfId="3031"/>
    <cellStyle name="LocalFormat 2 3 4 3" xfId="3032"/>
    <cellStyle name="LocalFormat 2 3 5" xfId="3033"/>
    <cellStyle name="LocalFormat 2 4" xfId="3034"/>
    <cellStyle name="LocalFormat 2 4 2" xfId="3035"/>
    <cellStyle name="LocalFormat 2 4 2 2" xfId="3036"/>
    <cellStyle name="LocalFormat 2 4 2 2 2" xfId="3037"/>
    <cellStyle name="LocalFormat 2 4 2 2 2 2" xfId="3038"/>
    <cellStyle name="LocalFormat 2 4 2 2 3" xfId="3039"/>
    <cellStyle name="LocalFormat 2 4 2 3" xfId="3040"/>
    <cellStyle name="LocalFormat 2 4 2 3 2" xfId="3041"/>
    <cellStyle name="LocalFormat 2 4 2 4" xfId="3042"/>
    <cellStyle name="LocalFormat 2 4 3" xfId="3043"/>
    <cellStyle name="LocalFormat 2 4 3 2" xfId="3044"/>
    <cellStyle name="LocalFormat 2 4 3 2 2" xfId="3045"/>
    <cellStyle name="LocalFormat 2 4 3 3" xfId="3046"/>
    <cellStyle name="LocalFormat 2 4 3 4" xfId="3047"/>
    <cellStyle name="LocalFormat 2 4 4" xfId="3048"/>
    <cellStyle name="LocalFormat 2 4 4 2" xfId="3049"/>
    <cellStyle name="LocalFormat 2 4 4 2 2" xfId="3050"/>
    <cellStyle name="LocalFormat 2 4 4 3" xfId="3051"/>
    <cellStyle name="LocalFormat 2 4 5" xfId="3052"/>
    <cellStyle name="LocalFormat 2 4 5 2" xfId="3053"/>
    <cellStyle name="LocalFormat 2 4 6" xfId="3054"/>
    <cellStyle name="LocalFormat 2 5" xfId="3055"/>
    <cellStyle name="LocalFormat 2 5 2" xfId="3056"/>
    <cellStyle name="LocalFormat 2 5 2 2" xfId="3057"/>
    <cellStyle name="LocalFormat 2 5 2 2 2" xfId="3058"/>
    <cellStyle name="LocalFormat 2 5 2 2 2 2" xfId="3059"/>
    <cellStyle name="LocalFormat 2 5 2 2 3" xfId="3060"/>
    <cellStyle name="LocalFormat 2 5 2 3" xfId="3061"/>
    <cellStyle name="LocalFormat 2 5 2 3 2" xfId="3062"/>
    <cellStyle name="LocalFormat 2 5 2 4" xfId="3063"/>
    <cellStyle name="LocalFormat 2 5 3" xfId="3064"/>
    <cellStyle name="LocalFormat 2 5 3 2" xfId="3065"/>
    <cellStyle name="LocalFormat 2 5 3 2 2" xfId="3066"/>
    <cellStyle name="LocalFormat 2 5 3 3" xfId="3067"/>
    <cellStyle name="LocalFormat 2 5 3 4" xfId="3068"/>
    <cellStyle name="LocalFormat 2 5 4" xfId="3069"/>
    <cellStyle name="LocalFormat 2 5 4 2" xfId="3070"/>
    <cellStyle name="LocalFormat 2 5 4 2 2" xfId="3071"/>
    <cellStyle name="LocalFormat 2 5 4 3" xfId="3072"/>
    <cellStyle name="LocalFormat 2 5 5" xfId="3073"/>
    <cellStyle name="LocalFormat 2 5 5 2" xfId="3074"/>
    <cellStyle name="LocalFormat 2 5 6" xfId="3075"/>
    <cellStyle name="LocalFormat 3" xfId="3076"/>
    <cellStyle name="LocalFormat 3 2" xfId="3077"/>
    <cellStyle name="LocalFormat 3 2 2" xfId="3078"/>
    <cellStyle name="LocalFormat 3 2 2 2" xfId="3079"/>
    <cellStyle name="LocalFormat 3 2 2 2 2" xfId="3080"/>
    <cellStyle name="LocalFormat 3 2 2 2 2 2" xfId="3081"/>
    <cellStyle name="LocalFormat 3 2 2 2 3" xfId="3082"/>
    <cellStyle name="LocalFormat 3 2 2 3" xfId="3083"/>
    <cellStyle name="LocalFormat 3 2 2 3 2" xfId="3084"/>
    <cellStyle name="LocalFormat 3 2 2 4" xfId="3085"/>
    <cellStyle name="LocalFormat 3 2 3" xfId="3086"/>
    <cellStyle name="LocalFormat 3 2 3 2" xfId="3087"/>
    <cellStyle name="LocalFormat 3 2 3 2 2" xfId="3088"/>
    <cellStyle name="LocalFormat 3 2 3 3" xfId="3089"/>
    <cellStyle name="LocalFormat 3 2 3 4" xfId="3090"/>
    <cellStyle name="LocalFormat 3 2 4" xfId="3091"/>
    <cellStyle name="LocalFormat 3 2 4 2" xfId="3092"/>
    <cellStyle name="LocalFormat 3 2 4 2 2" xfId="3093"/>
    <cellStyle name="LocalFormat 3 2 4 3" xfId="3094"/>
    <cellStyle name="LocalFormat 3 2 5" xfId="3095"/>
    <cellStyle name="LocalFormat 3 3" xfId="3096"/>
    <cellStyle name="LocalFormat 3 3 2" xfId="3097"/>
    <cellStyle name="LocalFormat 3 3 2 2" xfId="3098"/>
    <cellStyle name="LocalFormat 3 3 2 2 2" xfId="3099"/>
    <cellStyle name="LocalFormat 3 3 2 2 2 2" xfId="3100"/>
    <cellStyle name="LocalFormat 3 3 2 2 3" xfId="3101"/>
    <cellStyle name="LocalFormat 3 3 2 3" xfId="3102"/>
    <cellStyle name="LocalFormat 3 3 2 3 2" xfId="3103"/>
    <cellStyle name="LocalFormat 3 3 2 4" xfId="3104"/>
    <cellStyle name="LocalFormat 3 3 3" xfId="3105"/>
    <cellStyle name="LocalFormat 3 3 3 2" xfId="3106"/>
    <cellStyle name="LocalFormat 3 3 3 2 2" xfId="3107"/>
    <cellStyle name="LocalFormat 3 3 3 3" xfId="3108"/>
    <cellStyle name="LocalFormat 3 3 3 4" xfId="3109"/>
    <cellStyle name="LocalFormat 3 3 4" xfId="3110"/>
    <cellStyle name="LocalFormat 3 3 4 2" xfId="3111"/>
    <cellStyle name="LocalFormat 3 3 4 2 2" xfId="3112"/>
    <cellStyle name="LocalFormat 3 3 4 3" xfId="3113"/>
    <cellStyle name="LocalFormat 3 3 5" xfId="3114"/>
    <cellStyle name="LocalFormat 3 3 5 2" xfId="3115"/>
    <cellStyle name="LocalFormat 3 3 6" xfId="3116"/>
    <cellStyle name="LocalFormat 3 4" xfId="3117"/>
    <cellStyle name="LocalFormat 3 4 2" xfId="3118"/>
    <cellStyle name="LocalFormat 3 4 2 2" xfId="3119"/>
    <cellStyle name="LocalFormat 3 4 2 2 2" xfId="3120"/>
    <cellStyle name="LocalFormat 3 4 2 2 2 2" xfId="3121"/>
    <cellStyle name="LocalFormat 3 4 2 2 3" xfId="3122"/>
    <cellStyle name="LocalFormat 3 4 2 3" xfId="3123"/>
    <cellStyle name="LocalFormat 3 4 2 3 2" xfId="3124"/>
    <cellStyle name="LocalFormat 3 4 2 4" xfId="3125"/>
    <cellStyle name="LocalFormat 3 4 3" xfId="3126"/>
    <cellStyle name="LocalFormat 3 4 3 2" xfId="3127"/>
    <cellStyle name="LocalFormat 3 4 3 2 2" xfId="3128"/>
    <cellStyle name="LocalFormat 3 4 3 3" xfId="3129"/>
    <cellStyle name="LocalFormat 3 4 3 4" xfId="3130"/>
    <cellStyle name="LocalFormat 3 4 4" xfId="3131"/>
    <cellStyle name="LocalFormat 3 4 4 2" xfId="3132"/>
    <cellStyle name="LocalFormat 3 4 4 2 2" xfId="3133"/>
    <cellStyle name="LocalFormat 3 4 4 3" xfId="3134"/>
    <cellStyle name="LocalFormat 3 4 5" xfId="3135"/>
    <cellStyle name="LocalFormat 3 4 5 2" xfId="3136"/>
    <cellStyle name="LocalFormat 3 4 6" xfId="3137"/>
    <cellStyle name="LocalFormat 3 5" xfId="3138"/>
    <cellStyle name="LocalFormat 3 5 2" xfId="3139"/>
    <cellStyle name="LocalFormat 4" xfId="3140"/>
    <cellStyle name="LocalFormat 4 2" xfId="3141"/>
    <cellStyle name="LocalFormat 4 2 2" xfId="3142"/>
    <cellStyle name="LocalFormat 4 2 2 2" xfId="3143"/>
    <cellStyle name="LocalFormat 4 2 2 2 2" xfId="3144"/>
    <cellStyle name="LocalFormat 4 2 2 2 2 2" xfId="3145"/>
    <cellStyle name="LocalFormat 4 2 2 2 3" xfId="3146"/>
    <cellStyle name="LocalFormat 4 2 2 3" xfId="3147"/>
    <cellStyle name="LocalFormat 4 2 2 3 2" xfId="3148"/>
    <cellStyle name="LocalFormat 4 2 2 4" xfId="3149"/>
    <cellStyle name="LocalFormat 4 2 3" xfId="3150"/>
    <cellStyle name="LocalFormat 4 2 3 2" xfId="3151"/>
    <cellStyle name="LocalFormat 4 2 3 2 2" xfId="3152"/>
    <cellStyle name="LocalFormat 4 2 3 3" xfId="3153"/>
    <cellStyle name="LocalFormat 4 2 3 4" xfId="3154"/>
    <cellStyle name="LocalFormat 4 2 4" xfId="3155"/>
    <cellStyle name="LocalFormat 4 2 4 2" xfId="3156"/>
    <cellStyle name="LocalFormat 4 2 4 2 2" xfId="3157"/>
    <cellStyle name="LocalFormat 4 2 4 3" xfId="3158"/>
    <cellStyle name="LocalFormat 4 2 5" xfId="3159"/>
    <cellStyle name="LocalFormat 4 2 5 2" xfId="3160"/>
    <cellStyle name="LocalFormat 4 2 6" xfId="3161"/>
    <cellStyle name="LocalFormat 4 3" xfId="3162"/>
    <cellStyle name="LocalFormat 4 3 2" xfId="3163"/>
    <cellStyle name="LocalFormat 4 3 2 2" xfId="3164"/>
    <cellStyle name="LocalFormat 4 3 2 2 2" xfId="3165"/>
    <cellStyle name="LocalFormat 4 3 2 2 2 2" xfId="3166"/>
    <cellStyle name="LocalFormat 4 3 2 2 3" xfId="3167"/>
    <cellStyle name="LocalFormat 4 3 2 3" xfId="3168"/>
    <cellStyle name="LocalFormat 4 3 2 3 2" xfId="3169"/>
    <cellStyle name="LocalFormat 4 3 2 4" xfId="3170"/>
    <cellStyle name="LocalFormat 4 3 3" xfId="3171"/>
    <cellStyle name="LocalFormat 4 3 3 2" xfId="3172"/>
    <cellStyle name="LocalFormat 4 3 3 2 2" xfId="3173"/>
    <cellStyle name="LocalFormat 4 3 3 3" xfId="3174"/>
    <cellStyle name="LocalFormat 4 3 3 4" xfId="3175"/>
    <cellStyle name="LocalFormat 4 3 4" xfId="3176"/>
    <cellStyle name="LocalFormat 4 3 4 2" xfId="3177"/>
    <cellStyle name="LocalFormat 4 3 4 2 2" xfId="3178"/>
    <cellStyle name="LocalFormat 4 3 4 3" xfId="3179"/>
    <cellStyle name="LocalFormat 4 3 5" xfId="3180"/>
    <cellStyle name="LocalFormat 4 3 5 2" xfId="3181"/>
    <cellStyle name="LocalFormat 4 3 6" xfId="3182"/>
    <cellStyle name="LocalFormat 4 4" xfId="3183"/>
    <cellStyle name="LocalFormat 4 4 2" xfId="3184"/>
    <cellStyle name="LocalFormat 4 4 2 2" xfId="3185"/>
    <cellStyle name="LocalFormat 4 4 2 2 2" xfId="3186"/>
    <cellStyle name="LocalFormat 4 4 2 3" xfId="3187"/>
    <cellStyle name="LocalFormat 4 4 3" xfId="3188"/>
    <cellStyle name="LocalFormat 4 4 3 2" xfId="3189"/>
    <cellStyle name="LocalFormat 4 4 4" xfId="3190"/>
    <cellStyle name="LocalFormat 4 5" xfId="3191"/>
    <cellStyle name="LocalFormat 4 5 2" xfId="3192"/>
    <cellStyle name="LocalFormat 4 5 2 2" xfId="3193"/>
    <cellStyle name="LocalFormat 4 5 3" xfId="3194"/>
    <cellStyle name="LocalFormat 4 5 4" xfId="3195"/>
    <cellStyle name="LocalFormat 4 6" xfId="3196"/>
    <cellStyle name="LocalFormat 4 6 2" xfId="3197"/>
    <cellStyle name="LocalFormat 4 6 2 2" xfId="3198"/>
    <cellStyle name="LocalFormat 4 6 3" xfId="3199"/>
    <cellStyle name="LocalFormat 4 7" xfId="3200"/>
    <cellStyle name="LocalFormat 5" xfId="3201"/>
    <cellStyle name="LocalFormat 5 2" xfId="3202"/>
    <cellStyle name="LocalFormat 5 2 2" xfId="3203"/>
    <cellStyle name="LocalFormat 5 2 2 2" xfId="3204"/>
    <cellStyle name="LocalFormat 5 2 2 2 2" xfId="3205"/>
    <cellStyle name="LocalFormat 5 2 2 3" xfId="3206"/>
    <cellStyle name="LocalFormat 5 2 3" xfId="3207"/>
    <cellStyle name="LocalFormat 5 2 3 2" xfId="3208"/>
    <cellStyle name="LocalFormat 5 2 4" xfId="3209"/>
    <cellStyle name="LocalFormat 5 3" xfId="3210"/>
    <cellStyle name="LocalFormat 5 3 2" xfId="3211"/>
    <cellStyle name="LocalFormat 5 3 2 2" xfId="3212"/>
    <cellStyle name="LocalFormat 5 3 3" xfId="3213"/>
    <cellStyle name="LocalFormat 5 3 4" xfId="3214"/>
    <cellStyle name="LocalFormat 5 4" xfId="3215"/>
    <cellStyle name="LocalFormat 5 4 2" xfId="3216"/>
    <cellStyle name="LocalFormat 5 4 2 2" xfId="3217"/>
    <cellStyle name="LocalFormat 5 4 3" xfId="3218"/>
    <cellStyle name="LocalFormat 5 5" xfId="3219"/>
    <cellStyle name="Macro Header" xfId="3220"/>
    <cellStyle name="Macro Text" xfId="3221"/>
    <cellStyle name="MacroCode" xfId="3222"/>
    <cellStyle name="Millares [0]_2AV_M_M " xfId="3223"/>
    <cellStyle name="Millares_2AV_M_M " xfId="3224"/>
    <cellStyle name="Milliers [0]_Open&amp;Close" xfId="3225"/>
    <cellStyle name="Milliers_Open&amp;Close" xfId="3226"/>
    <cellStyle name="Mon?taire [0]_Open&amp;Close" xfId="3227"/>
    <cellStyle name="Mon?taire_Open&amp;Close" xfId="3228"/>
    <cellStyle name="Moneda [0]_2AV_M_M " xfId="3229"/>
    <cellStyle name="Moneda_2AV_M_M " xfId="3230"/>
    <cellStyle name="Monétaire [0]_Open&amp;Close" xfId="3231"/>
    <cellStyle name="Monétaire_Open&amp;Close" xfId="3232"/>
    <cellStyle name="Neutral 2" xfId="3233"/>
    <cellStyle name="Neutral 2 2" xfId="3234"/>
    <cellStyle name="Neutral 3" xfId="3235"/>
    <cellStyle name="Neutral 4" xfId="3236"/>
    <cellStyle name="Normal" xfId="0" builtinId="0"/>
    <cellStyle name="Normal - Style1" xfId="3237"/>
    <cellStyle name="Normal 10" xfId="3238"/>
    <cellStyle name="Normal 10 2" xfId="3239"/>
    <cellStyle name="Normal 10 2 2" xfId="3240"/>
    <cellStyle name="Normal 10 2 2 2" xfId="3241"/>
    <cellStyle name="Normal 10 2 2 2 2" xfId="3242"/>
    <cellStyle name="Normal 10 2 2 3" xfId="3243"/>
    <cellStyle name="Normal 10 2 3" xfId="3244"/>
    <cellStyle name="Normal 10 2 3 2" xfId="3245"/>
    <cellStyle name="Normal 10 2 4" xfId="3246"/>
    <cellStyle name="Normal 10 3" xfId="3247"/>
    <cellStyle name="Normal 10 3 2" xfId="3248"/>
    <cellStyle name="Normal 10 3 2 2" xfId="3249"/>
    <cellStyle name="Normal 10 3 2 2 2" xfId="3250"/>
    <cellStyle name="Normal 10 3 2 3" xfId="3251"/>
    <cellStyle name="Normal 10 3 3" xfId="3252"/>
    <cellStyle name="Normal 10 3 3 2" xfId="3253"/>
    <cellStyle name="Normal 10 3 4" xfId="3254"/>
    <cellStyle name="Normal 10 4" xfId="3255"/>
    <cellStyle name="Normal 10 4 2" xfId="3256"/>
    <cellStyle name="Normal 10 4 2 2" xfId="3257"/>
    <cellStyle name="Normal 10 4 3" xfId="3258"/>
    <cellStyle name="Normal 10 5" xfId="3259"/>
    <cellStyle name="Normal 10 5 2" xfId="3260"/>
    <cellStyle name="Normal 10 6" xfId="3261"/>
    <cellStyle name="Normal 11" xfId="3262"/>
    <cellStyle name="Normal 11 2" xfId="3263"/>
    <cellStyle name="Normal 11 2 2" xfId="3264"/>
    <cellStyle name="Normal 12" xfId="3265"/>
    <cellStyle name="Normal 12 2" xfId="3266"/>
    <cellStyle name="Normal 12 2 2" xfId="3267"/>
    <cellStyle name="Normal 13" xfId="3268"/>
    <cellStyle name="Normal 13 2" xfId="3269"/>
    <cellStyle name="Normal 13 2 2" xfId="3270"/>
    <cellStyle name="Normal 13 3" xfId="3271"/>
    <cellStyle name="Normal 13 4" xfId="3272"/>
    <cellStyle name="Normal 14" xfId="3273"/>
    <cellStyle name="Normal 14 2" xfId="3274"/>
    <cellStyle name="Normal 14 2 2" xfId="3275"/>
    <cellStyle name="Normal 14 3" xfId="3276"/>
    <cellStyle name="Normal 14 4" xfId="3277"/>
    <cellStyle name="Normal 15" xfId="3278"/>
    <cellStyle name="Normal 15 2" xfId="3279"/>
    <cellStyle name="Normal 15 2 2" xfId="3280"/>
    <cellStyle name="Normal 15 3" xfId="3281"/>
    <cellStyle name="Normal 15 4" xfId="3282"/>
    <cellStyle name="Normal 16" xfId="3283"/>
    <cellStyle name="Normal 16 2" xfId="3284"/>
    <cellStyle name="Normal 17" xfId="3285"/>
    <cellStyle name="Normal 17 2" xfId="3286"/>
    <cellStyle name="Normal 18" xfId="3287"/>
    <cellStyle name="Normal 18 2" xfId="3288"/>
    <cellStyle name="Normal 19" xfId="3289"/>
    <cellStyle name="Normal 19 2" xfId="3290"/>
    <cellStyle name="Normal 2" xfId="3291"/>
    <cellStyle name="Normal 2 2" xfId="3292"/>
    <cellStyle name="Normal 2 3" xfId="3293"/>
    <cellStyle name="Normal 20" xfId="3294"/>
    <cellStyle name="Normal 20 2" xfId="3295"/>
    <cellStyle name="Normal 21" xfId="3296"/>
    <cellStyle name="Normal 21 2" xfId="3297"/>
    <cellStyle name="Normal 22" xfId="3298"/>
    <cellStyle name="Normal 22 2" xfId="3299"/>
    <cellStyle name="Normal 22 2 2" xfId="3300"/>
    <cellStyle name="Normal 22 3" xfId="3301"/>
    <cellStyle name="Normal 22 4" xfId="3302"/>
    <cellStyle name="Normal 23" xfId="3303"/>
    <cellStyle name="Normal 23 2" xfId="3304"/>
    <cellStyle name="Normal 24" xfId="3305"/>
    <cellStyle name="Normal 24 2" xfId="3306"/>
    <cellStyle name="Normal 25" xfId="3307"/>
    <cellStyle name="Normal 25 2" xfId="3308"/>
    <cellStyle name="Normal 25 2 2" xfId="3309"/>
    <cellStyle name="Normal 25 3" xfId="3310"/>
    <cellStyle name="Normal 26" xfId="3311"/>
    <cellStyle name="Normal 26 2" xfId="3312"/>
    <cellStyle name="Normal 26 2 2" xfId="3313"/>
    <cellStyle name="Normal 26 3" xfId="3314"/>
    <cellStyle name="Normal 27" xfId="3315"/>
    <cellStyle name="Normal 27 2" xfId="3316"/>
    <cellStyle name="Normal 28" xfId="3317"/>
    <cellStyle name="Normal 28 2" xfId="3318"/>
    <cellStyle name="Normal 29" xfId="3319"/>
    <cellStyle name="Normal 29 2" xfId="3320"/>
    <cellStyle name="Normal 3" xfId="3321"/>
    <cellStyle name="Normal 3 2" xfId="3322"/>
    <cellStyle name="Normal 3 3" xfId="3323"/>
    <cellStyle name="Normal 3 3 2" xfId="3324"/>
    <cellStyle name="Normal 3 3 2 2" xfId="3325"/>
    <cellStyle name="Normal 3 3 2 2 2" xfId="3326"/>
    <cellStyle name="Normal 3 3 2 2 2 2" xfId="3327"/>
    <cellStyle name="Normal 3 3 2 2 3" xfId="3328"/>
    <cellStyle name="Normal 3 3 2 3" xfId="3329"/>
    <cellStyle name="Normal 3 3 2 3 2" xfId="3330"/>
    <cellStyle name="Normal 3 3 2 4" xfId="3331"/>
    <cellStyle name="Normal 3 3 3" xfId="3332"/>
    <cellStyle name="Normal 3 3 3 2" xfId="3333"/>
    <cellStyle name="Normal 3 3 3 2 2" xfId="3334"/>
    <cellStyle name="Normal 3 3 3 2 2 2" xfId="3335"/>
    <cellStyle name="Normal 3 3 3 2 3" xfId="3336"/>
    <cellStyle name="Normal 3 3 3 3" xfId="3337"/>
    <cellStyle name="Normal 3 3 3 3 2" xfId="3338"/>
    <cellStyle name="Normal 3 3 3 4" xfId="3339"/>
    <cellStyle name="Normal 3 3 4" xfId="3340"/>
    <cellStyle name="Normal 3 3 4 2" xfId="3341"/>
    <cellStyle name="Normal 3 3 4 2 2" xfId="3342"/>
    <cellStyle name="Normal 3 3 4 3" xfId="3343"/>
    <cellStyle name="Normal 3 3 5" xfId="3344"/>
    <cellStyle name="Normal 3 3 5 2" xfId="3345"/>
    <cellStyle name="Normal 3 3 6" xfId="3346"/>
    <cellStyle name="Normal 3 4" xfId="3347"/>
    <cellStyle name="Normal 3 4 2" xfId="3348"/>
    <cellStyle name="Normal 3 4 2 2" xfId="3349"/>
    <cellStyle name="Normal 3 4 2 2 2" xfId="3350"/>
    <cellStyle name="Normal 3 4 2 2 2 2" xfId="3351"/>
    <cellStyle name="Normal 3 4 2 2 3" xfId="3352"/>
    <cellStyle name="Normal 3 4 2 3" xfId="3353"/>
    <cellStyle name="Normal 3 4 2 3 2" xfId="3354"/>
    <cellStyle name="Normal 3 4 2 4" xfId="3355"/>
    <cellStyle name="Normal 3 4 3" xfId="3356"/>
    <cellStyle name="Normal 3 4 3 2" xfId="3357"/>
    <cellStyle name="Normal 3 4 3 2 2" xfId="3358"/>
    <cellStyle name="Normal 3 4 3 2 2 2" xfId="3359"/>
    <cellStyle name="Normal 3 4 3 2 3" xfId="3360"/>
    <cellStyle name="Normal 3 4 3 3" xfId="3361"/>
    <cellStyle name="Normal 3 4 3 3 2" xfId="3362"/>
    <cellStyle name="Normal 3 4 3 4" xfId="3363"/>
    <cellStyle name="Normal 3 4 4" xfId="3364"/>
    <cellStyle name="Normal 3 4 4 2" xfId="3365"/>
    <cellStyle name="Normal 3 4 4 2 2" xfId="3366"/>
    <cellStyle name="Normal 3 4 4 3" xfId="3367"/>
    <cellStyle name="Normal 3 4 5" xfId="3368"/>
    <cellStyle name="Normal 3 4 5 2" xfId="3369"/>
    <cellStyle name="Normal 3 4 6" xfId="3370"/>
    <cellStyle name="Normal 3 5" xfId="3371"/>
    <cellStyle name="Normal 30" xfId="3372"/>
    <cellStyle name="Normal 30 2" xfId="3373"/>
    <cellStyle name="Normal 30 2 2" xfId="3374"/>
    <cellStyle name="Normal 30 3" xfId="3375"/>
    <cellStyle name="Normal 31" xfId="3376"/>
    <cellStyle name="Normal 31 2" xfId="3377"/>
    <cellStyle name="Normal 32" xfId="3378"/>
    <cellStyle name="Normal 32 2" xfId="3379"/>
    <cellStyle name="Normal 33" xfId="3380"/>
    <cellStyle name="Normal 33 2" xfId="3381"/>
    <cellStyle name="Normal 34" xfId="3382"/>
    <cellStyle name="Normal 34 2" xfId="3383"/>
    <cellStyle name="Normal 35" xfId="3384"/>
    <cellStyle name="Normal 35 2" xfId="3385"/>
    <cellStyle name="Normal 36" xfId="3386"/>
    <cellStyle name="Normal 36 2" xfId="3387"/>
    <cellStyle name="Normal 37" xfId="3388"/>
    <cellStyle name="Normal 37 2" xfId="3389"/>
    <cellStyle name="Normal 38" xfId="3390"/>
    <cellStyle name="Normal 38 2" xfId="3391"/>
    <cellStyle name="Normal 39" xfId="3392"/>
    <cellStyle name="Normal 39 2" xfId="3393"/>
    <cellStyle name="Normal 4" xfId="3394"/>
    <cellStyle name="Normal 4 2" xfId="3395"/>
    <cellStyle name="Normal 4 3" xfId="3396"/>
    <cellStyle name="Normal 40" xfId="3397"/>
    <cellStyle name="Normal 40 2" xfId="3398"/>
    <cellStyle name="Normal 41" xfId="3399"/>
    <cellStyle name="Normal 41 2" xfId="3400"/>
    <cellStyle name="Normal 41 2 2" xfId="3401"/>
    <cellStyle name="Normal 41 3" xfId="3402"/>
    <cellStyle name="Normal 42" xfId="3403"/>
    <cellStyle name="Normal 42 2" xfId="3404"/>
    <cellStyle name="Normal 42 2 2" xfId="3405"/>
    <cellStyle name="Normal 42 3" xfId="3406"/>
    <cellStyle name="Normal 43" xfId="3407"/>
    <cellStyle name="Normal 43 2" xfId="3408"/>
    <cellStyle name="Normal 44" xfId="3409"/>
    <cellStyle name="Normal 44 2" xfId="3410"/>
    <cellStyle name="Normal 45" xfId="3411"/>
    <cellStyle name="Normal 45 2" xfId="3412"/>
    <cellStyle name="Normal 46" xfId="3413"/>
    <cellStyle name="Normal 47" xfId="3414"/>
    <cellStyle name="Normal 48" xfId="3415"/>
    <cellStyle name="Normal 49" xfId="3416"/>
    <cellStyle name="Normal 49 2" xfId="3417"/>
    <cellStyle name="Normal 5" xfId="3418"/>
    <cellStyle name="Normal 5 2" xfId="3419"/>
    <cellStyle name="Normal 5 3" xfId="3420"/>
    <cellStyle name="Normal 50" xfId="3421"/>
    <cellStyle name="Normal 50 2" xfId="3422"/>
    <cellStyle name="Normal 51" xfId="3423"/>
    <cellStyle name="Normal 51 2" xfId="3424"/>
    <cellStyle name="Normal 52" xfId="3425"/>
    <cellStyle name="Normal 52 2" xfId="3426"/>
    <cellStyle name="Normal 53" xfId="3427"/>
    <cellStyle name="Normal 53 2" xfId="3428"/>
    <cellStyle name="Normal 54" xfId="3429"/>
    <cellStyle name="Normal 54 2" xfId="3430"/>
    <cellStyle name="Normal 55" xfId="3431"/>
    <cellStyle name="Normal 55 2" xfId="3432"/>
    <cellStyle name="Normal 56" xfId="3433"/>
    <cellStyle name="Normal 56 2" xfId="3434"/>
    <cellStyle name="Normal 57" xfId="3435"/>
    <cellStyle name="Normal 57 2" xfId="3436"/>
    <cellStyle name="Normal 58" xfId="3437"/>
    <cellStyle name="Normal 59" xfId="3438"/>
    <cellStyle name="Normal 6" xfId="3439"/>
    <cellStyle name="Normal 60" xfId="3440"/>
    <cellStyle name="Normal 61" xfId="3441"/>
    <cellStyle name="Normal 62" xfId="3442"/>
    <cellStyle name="Normal 63" xfId="3443"/>
    <cellStyle name="Normal 64" xfId="3444"/>
    <cellStyle name="Normal 65" xfId="3445"/>
    <cellStyle name="Normal 66" xfId="3446"/>
    <cellStyle name="Normal 67" xfId="3447"/>
    <cellStyle name="Normal 68" xfId="3448"/>
    <cellStyle name="Normal 7" xfId="3449"/>
    <cellStyle name="Normal 8" xfId="3450"/>
    <cellStyle name="Normal 9" xfId="3451"/>
    <cellStyle name="Normal 9 2" xfId="3452"/>
    <cellStyle name="Normal 9 2 2" xfId="3453"/>
    <cellStyle name="Normal 9 2 2 2" xfId="3454"/>
    <cellStyle name="Normal 9 2 2 2 2" xfId="3455"/>
    <cellStyle name="Normal 9 2 2 3" xfId="3456"/>
    <cellStyle name="Normal 9 2 3" xfId="3457"/>
    <cellStyle name="Normal 9 2 3 2" xfId="3458"/>
    <cellStyle name="Normal 9 2 4" xfId="3459"/>
    <cellStyle name="Normal 9 3" xfId="3460"/>
    <cellStyle name="Normal 9 3 2" xfId="3461"/>
    <cellStyle name="Normal 9 3 2 2" xfId="3462"/>
    <cellStyle name="Normal 9 3 2 2 2" xfId="3463"/>
    <cellStyle name="Normal 9 3 2 3" xfId="3464"/>
    <cellStyle name="Normal 9 3 3" xfId="3465"/>
    <cellStyle name="Normal 9 3 3 2" xfId="3466"/>
    <cellStyle name="Normal 9 3 4" xfId="3467"/>
    <cellStyle name="Normal 9 4" xfId="3468"/>
    <cellStyle name="Normal 9 4 2" xfId="3469"/>
    <cellStyle name="Normal 9 4 2 2" xfId="3470"/>
    <cellStyle name="Normal 9 4 3" xfId="3471"/>
    <cellStyle name="Normal 9 5" xfId="3472"/>
    <cellStyle name="Normal 9 5 2" xfId="3473"/>
    <cellStyle name="Normal 9 6" xfId="3474"/>
    <cellStyle name="Note 2" xfId="3475"/>
    <cellStyle name="Note 2 2" xfId="3476"/>
    <cellStyle name="Note 2 2 2" xfId="3477"/>
    <cellStyle name="Note 2 2 2 2" xfId="3478"/>
    <cellStyle name="Note 2 2 2 2 2" xfId="3479"/>
    <cellStyle name="Note 2 2 2 2 2 2" xfId="3480"/>
    <cellStyle name="Note 2 2 2 2 2 2 2" xfId="3481"/>
    <cellStyle name="Note 2 2 2 2 2 2 2 2" xfId="3482"/>
    <cellStyle name="Note 2 2 2 2 2 2 2 2 2" xfId="3483"/>
    <cellStyle name="Note 2 2 2 2 2 2 2 3" xfId="3484"/>
    <cellStyle name="Note 2 2 2 2 2 2 3" xfId="3485"/>
    <cellStyle name="Note 2 2 2 2 2 2 3 2" xfId="3486"/>
    <cellStyle name="Note 2 2 2 2 2 2 4" xfId="3487"/>
    <cellStyle name="Note 2 2 2 2 2 3" xfId="3488"/>
    <cellStyle name="Note 2 2 2 2 2 3 2" xfId="3489"/>
    <cellStyle name="Note 2 2 2 2 2 3 2 2" xfId="3490"/>
    <cellStyle name="Note 2 2 2 2 2 3 3" xfId="3491"/>
    <cellStyle name="Note 2 2 2 2 2 3 4" xfId="3492"/>
    <cellStyle name="Note 2 2 2 2 2 4" xfId="3493"/>
    <cellStyle name="Note 2 2 2 2 2 4 2" xfId="3494"/>
    <cellStyle name="Note 2 2 2 2 2 4 2 2" xfId="3495"/>
    <cellStyle name="Note 2 2 2 2 2 4 3" xfId="3496"/>
    <cellStyle name="Note 2 2 2 2 2 5" xfId="3497"/>
    <cellStyle name="Note 2 2 2 2 3" xfId="3498"/>
    <cellStyle name="Note 2 2 2 2 3 2" xfId="3499"/>
    <cellStyle name="Note 2 2 2 2 3 2 2" xfId="3500"/>
    <cellStyle name="Note 2 2 2 2 3 2 2 2" xfId="3501"/>
    <cellStyle name="Note 2 2 2 2 3 2 2 2 2" xfId="3502"/>
    <cellStyle name="Note 2 2 2 2 3 2 2 3" xfId="3503"/>
    <cellStyle name="Note 2 2 2 2 3 2 3" xfId="3504"/>
    <cellStyle name="Note 2 2 2 2 3 2 3 2" xfId="3505"/>
    <cellStyle name="Note 2 2 2 2 3 2 4" xfId="3506"/>
    <cellStyle name="Note 2 2 2 2 3 3" xfId="3507"/>
    <cellStyle name="Note 2 2 2 2 3 3 2" xfId="3508"/>
    <cellStyle name="Note 2 2 2 2 3 3 2 2" xfId="3509"/>
    <cellStyle name="Note 2 2 2 2 3 3 3" xfId="3510"/>
    <cellStyle name="Note 2 2 2 2 3 3 4" xfId="3511"/>
    <cellStyle name="Note 2 2 2 2 3 4" xfId="3512"/>
    <cellStyle name="Note 2 2 2 2 3 4 2" xfId="3513"/>
    <cellStyle name="Note 2 2 2 2 3 4 2 2" xfId="3514"/>
    <cellStyle name="Note 2 2 2 2 3 4 3" xfId="3515"/>
    <cellStyle name="Note 2 2 2 2 3 5" xfId="3516"/>
    <cellStyle name="Note 2 2 2 2 3 5 2" xfId="3517"/>
    <cellStyle name="Note 2 2 2 2 3 6" xfId="3518"/>
    <cellStyle name="Note 2 2 2 2 4" xfId="3519"/>
    <cellStyle name="Note 2 2 2 2 4 2" xfId="3520"/>
    <cellStyle name="Note 2 2 2 2 4 2 2" xfId="3521"/>
    <cellStyle name="Note 2 2 2 2 4 2 2 2" xfId="3522"/>
    <cellStyle name="Note 2 2 2 2 4 2 2 2 2" xfId="3523"/>
    <cellStyle name="Note 2 2 2 2 4 2 2 3" xfId="3524"/>
    <cellStyle name="Note 2 2 2 2 4 2 3" xfId="3525"/>
    <cellStyle name="Note 2 2 2 2 4 2 3 2" xfId="3526"/>
    <cellStyle name="Note 2 2 2 2 4 2 4" xfId="3527"/>
    <cellStyle name="Note 2 2 2 2 4 3" xfId="3528"/>
    <cellStyle name="Note 2 2 2 2 4 3 2" xfId="3529"/>
    <cellStyle name="Note 2 2 2 2 4 3 2 2" xfId="3530"/>
    <cellStyle name="Note 2 2 2 2 4 3 3" xfId="3531"/>
    <cellStyle name="Note 2 2 2 2 4 3 4" xfId="3532"/>
    <cellStyle name="Note 2 2 2 2 4 4" xfId="3533"/>
    <cellStyle name="Note 2 2 2 2 4 4 2" xfId="3534"/>
    <cellStyle name="Note 2 2 2 2 4 4 2 2" xfId="3535"/>
    <cellStyle name="Note 2 2 2 2 4 4 3" xfId="3536"/>
    <cellStyle name="Note 2 2 2 2 4 5" xfId="3537"/>
    <cellStyle name="Note 2 2 2 2 4 5 2" xfId="3538"/>
    <cellStyle name="Note 2 2 2 2 4 6" xfId="3539"/>
    <cellStyle name="Note 2 2 2 2 5" xfId="3540"/>
    <cellStyle name="Note 2 2 2 2 5 2" xfId="3541"/>
    <cellStyle name="Note 2 2 2 3" xfId="3542"/>
    <cellStyle name="Note 2 2 2 3 2" xfId="3543"/>
    <cellStyle name="Note 2 2 2 3 2 2" xfId="3544"/>
    <cellStyle name="Note 2 2 2 3 2 2 2" xfId="3545"/>
    <cellStyle name="Note 2 2 2 3 2 2 2 2" xfId="3546"/>
    <cellStyle name="Note 2 2 2 3 2 2 3" xfId="3547"/>
    <cellStyle name="Note 2 2 2 3 2 3" xfId="3548"/>
    <cellStyle name="Note 2 2 2 3 2 3 2" xfId="3549"/>
    <cellStyle name="Note 2 2 2 3 2 4" xfId="3550"/>
    <cellStyle name="Note 2 2 2 3 3" xfId="3551"/>
    <cellStyle name="Note 2 2 2 3 3 2" xfId="3552"/>
    <cellStyle name="Note 2 2 2 3 3 2 2" xfId="3553"/>
    <cellStyle name="Note 2 2 2 3 3 3" xfId="3554"/>
    <cellStyle name="Note 2 2 2 3 3 4" xfId="3555"/>
    <cellStyle name="Note 2 2 2 3 4" xfId="3556"/>
    <cellStyle name="Note 2 2 2 3 4 2" xfId="3557"/>
    <cellStyle name="Note 2 2 2 3 4 2 2" xfId="3558"/>
    <cellStyle name="Note 2 2 2 3 4 3" xfId="3559"/>
    <cellStyle name="Note 2 2 2 3 5" xfId="3560"/>
    <cellStyle name="Note 2 2 2 4" xfId="3561"/>
    <cellStyle name="Note 2 2 2 4 2" xfId="3562"/>
    <cellStyle name="Note 2 2 2 4 2 2" xfId="3563"/>
    <cellStyle name="Note 2 2 2 4 2 2 2" xfId="3564"/>
    <cellStyle name="Note 2 2 2 4 2 2 2 2" xfId="3565"/>
    <cellStyle name="Note 2 2 2 4 2 2 3" xfId="3566"/>
    <cellStyle name="Note 2 2 2 4 2 3" xfId="3567"/>
    <cellStyle name="Note 2 2 2 4 2 3 2" xfId="3568"/>
    <cellStyle name="Note 2 2 2 4 2 4" xfId="3569"/>
    <cellStyle name="Note 2 2 2 4 3" xfId="3570"/>
    <cellStyle name="Note 2 2 2 4 3 2" xfId="3571"/>
    <cellStyle name="Note 2 2 2 4 3 2 2" xfId="3572"/>
    <cellStyle name="Note 2 2 2 4 3 3" xfId="3573"/>
    <cellStyle name="Note 2 2 2 4 3 4" xfId="3574"/>
    <cellStyle name="Note 2 2 2 4 4" xfId="3575"/>
    <cellStyle name="Note 2 2 2 4 4 2" xfId="3576"/>
    <cellStyle name="Note 2 2 2 4 4 2 2" xfId="3577"/>
    <cellStyle name="Note 2 2 2 4 4 3" xfId="3578"/>
    <cellStyle name="Note 2 2 2 4 5" xfId="3579"/>
    <cellStyle name="Note 2 2 2 4 5 2" xfId="3580"/>
    <cellStyle name="Note 2 2 2 4 6" xfId="3581"/>
    <cellStyle name="Note 2 2 2 5" xfId="3582"/>
    <cellStyle name="Note 2 2 2 5 2" xfId="3583"/>
    <cellStyle name="Note 2 2 2 5 2 2" xfId="3584"/>
    <cellStyle name="Note 2 2 2 5 2 2 2" xfId="3585"/>
    <cellStyle name="Note 2 2 2 5 2 2 2 2" xfId="3586"/>
    <cellStyle name="Note 2 2 2 5 2 2 3" xfId="3587"/>
    <cellStyle name="Note 2 2 2 5 2 3" xfId="3588"/>
    <cellStyle name="Note 2 2 2 5 2 3 2" xfId="3589"/>
    <cellStyle name="Note 2 2 2 5 2 4" xfId="3590"/>
    <cellStyle name="Note 2 2 2 5 3" xfId="3591"/>
    <cellStyle name="Note 2 2 2 5 3 2" xfId="3592"/>
    <cellStyle name="Note 2 2 2 5 3 2 2" xfId="3593"/>
    <cellStyle name="Note 2 2 2 5 3 3" xfId="3594"/>
    <cellStyle name="Note 2 2 2 5 3 4" xfId="3595"/>
    <cellStyle name="Note 2 2 2 5 4" xfId="3596"/>
    <cellStyle name="Note 2 2 2 5 4 2" xfId="3597"/>
    <cellStyle name="Note 2 2 2 5 4 2 2" xfId="3598"/>
    <cellStyle name="Note 2 2 2 5 4 3" xfId="3599"/>
    <cellStyle name="Note 2 2 2 5 5" xfId="3600"/>
    <cellStyle name="Note 2 2 2 5 5 2" xfId="3601"/>
    <cellStyle name="Note 2 2 2 5 6" xfId="3602"/>
    <cellStyle name="Note 2 2 3" xfId="3603"/>
    <cellStyle name="Note 2 2 3 2" xfId="3604"/>
    <cellStyle name="Note 2 2 3 2 2" xfId="3605"/>
    <cellStyle name="Note 2 2 3 2 2 2" xfId="3606"/>
    <cellStyle name="Note 2 2 3 2 2 2 2" xfId="3607"/>
    <cellStyle name="Note 2 2 3 2 2 2 2 2" xfId="3608"/>
    <cellStyle name="Note 2 2 3 2 2 2 3" xfId="3609"/>
    <cellStyle name="Note 2 2 3 2 2 3" xfId="3610"/>
    <cellStyle name="Note 2 2 3 2 2 3 2" xfId="3611"/>
    <cellStyle name="Note 2 2 3 2 2 4" xfId="3612"/>
    <cellStyle name="Note 2 2 3 2 3" xfId="3613"/>
    <cellStyle name="Note 2 2 3 2 3 2" xfId="3614"/>
    <cellStyle name="Note 2 2 3 2 3 2 2" xfId="3615"/>
    <cellStyle name="Note 2 2 3 2 3 3" xfId="3616"/>
    <cellStyle name="Note 2 2 3 2 3 4" xfId="3617"/>
    <cellStyle name="Note 2 2 3 2 4" xfId="3618"/>
    <cellStyle name="Note 2 2 3 2 4 2" xfId="3619"/>
    <cellStyle name="Note 2 2 3 2 4 2 2" xfId="3620"/>
    <cellStyle name="Note 2 2 3 2 4 3" xfId="3621"/>
    <cellStyle name="Note 2 2 3 2 5" xfId="3622"/>
    <cellStyle name="Note 2 2 3 3" xfId="3623"/>
    <cellStyle name="Note 2 2 3 3 2" xfId="3624"/>
    <cellStyle name="Note 2 2 3 3 2 2" xfId="3625"/>
    <cellStyle name="Note 2 2 3 3 2 2 2" xfId="3626"/>
    <cellStyle name="Note 2 2 3 3 2 2 2 2" xfId="3627"/>
    <cellStyle name="Note 2 2 3 3 2 2 3" xfId="3628"/>
    <cellStyle name="Note 2 2 3 3 2 3" xfId="3629"/>
    <cellStyle name="Note 2 2 3 3 2 3 2" xfId="3630"/>
    <cellStyle name="Note 2 2 3 3 2 4" xfId="3631"/>
    <cellStyle name="Note 2 2 3 3 3" xfId="3632"/>
    <cellStyle name="Note 2 2 3 3 3 2" xfId="3633"/>
    <cellStyle name="Note 2 2 3 3 3 2 2" xfId="3634"/>
    <cellStyle name="Note 2 2 3 3 3 3" xfId="3635"/>
    <cellStyle name="Note 2 2 3 3 3 4" xfId="3636"/>
    <cellStyle name="Note 2 2 3 3 4" xfId="3637"/>
    <cellStyle name="Note 2 2 3 3 4 2" xfId="3638"/>
    <cellStyle name="Note 2 2 3 3 4 2 2" xfId="3639"/>
    <cellStyle name="Note 2 2 3 3 4 3" xfId="3640"/>
    <cellStyle name="Note 2 2 3 3 5" xfId="3641"/>
    <cellStyle name="Note 2 2 3 3 5 2" xfId="3642"/>
    <cellStyle name="Note 2 2 3 3 6" xfId="3643"/>
    <cellStyle name="Note 2 2 3 4" xfId="3644"/>
    <cellStyle name="Note 2 2 3 4 2" xfId="3645"/>
    <cellStyle name="Note 2 2 3 4 2 2" xfId="3646"/>
    <cellStyle name="Note 2 2 3 4 2 2 2" xfId="3647"/>
    <cellStyle name="Note 2 2 3 4 2 2 2 2" xfId="3648"/>
    <cellStyle name="Note 2 2 3 4 2 2 3" xfId="3649"/>
    <cellStyle name="Note 2 2 3 4 2 3" xfId="3650"/>
    <cellStyle name="Note 2 2 3 4 2 3 2" xfId="3651"/>
    <cellStyle name="Note 2 2 3 4 2 4" xfId="3652"/>
    <cellStyle name="Note 2 2 3 4 3" xfId="3653"/>
    <cellStyle name="Note 2 2 3 4 3 2" xfId="3654"/>
    <cellStyle name="Note 2 2 3 4 3 2 2" xfId="3655"/>
    <cellStyle name="Note 2 2 3 4 3 3" xfId="3656"/>
    <cellStyle name="Note 2 2 3 4 3 4" xfId="3657"/>
    <cellStyle name="Note 2 2 3 4 4" xfId="3658"/>
    <cellStyle name="Note 2 2 3 4 4 2" xfId="3659"/>
    <cellStyle name="Note 2 2 3 4 4 2 2" xfId="3660"/>
    <cellStyle name="Note 2 2 3 4 4 3" xfId="3661"/>
    <cellStyle name="Note 2 2 3 4 5" xfId="3662"/>
    <cellStyle name="Note 2 2 3 4 5 2" xfId="3663"/>
    <cellStyle name="Note 2 2 3 4 6" xfId="3664"/>
    <cellStyle name="Note 2 2 3 5" xfId="3665"/>
    <cellStyle name="Note 2 2 3 5 2" xfId="3666"/>
    <cellStyle name="Note 2 2 4" xfId="3667"/>
    <cellStyle name="Note 2 2 4 2" xfId="3668"/>
    <cellStyle name="Note 2 2 4 2 2" xfId="3669"/>
    <cellStyle name="Note 2 2 4 2 2 2" xfId="3670"/>
    <cellStyle name="Note 2 2 4 2 2 2 2" xfId="3671"/>
    <cellStyle name="Note 2 2 4 2 2 2 2 2" xfId="3672"/>
    <cellStyle name="Note 2 2 4 2 2 2 3" xfId="3673"/>
    <cellStyle name="Note 2 2 4 2 2 3" xfId="3674"/>
    <cellStyle name="Note 2 2 4 2 2 3 2" xfId="3675"/>
    <cellStyle name="Note 2 2 4 2 2 4" xfId="3676"/>
    <cellStyle name="Note 2 2 4 2 3" xfId="3677"/>
    <cellStyle name="Note 2 2 4 2 3 2" xfId="3678"/>
    <cellStyle name="Note 2 2 4 2 3 2 2" xfId="3679"/>
    <cellStyle name="Note 2 2 4 2 3 3" xfId="3680"/>
    <cellStyle name="Note 2 2 4 2 3 4" xfId="3681"/>
    <cellStyle name="Note 2 2 4 2 4" xfId="3682"/>
    <cellStyle name="Note 2 2 4 2 4 2" xfId="3683"/>
    <cellStyle name="Note 2 2 4 2 4 2 2" xfId="3684"/>
    <cellStyle name="Note 2 2 4 2 4 3" xfId="3685"/>
    <cellStyle name="Note 2 2 4 2 5" xfId="3686"/>
    <cellStyle name="Note 2 2 4 2 5 2" xfId="3687"/>
    <cellStyle name="Note 2 2 4 2 6" xfId="3688"/>
    <cellStyle name="Note 2 2 4 3" xfId="3689"/>
    <cellStyle name="Note 2 2 4 3 2" xfId="3690"/>
    <cellStyle name="Note 2 2 4 3 2 2" xfId="3691"/>
    <cellStyle name="Note 2 2 4 3 2 2 2" xfId="3692"/>
    <cellStyle name="Note 2 2 4 3 2 2 2 2" xfId="3693"/>
    <cellStyle name="Note 2 2 4 3 2 2 3" xfId="3694"/>
    <cellStyle name="Note 2 2 4 3 2 3" xfId="3695"/>
    <cellStyle name="Note 2 2 4 3 2 3 2" xfId="3696"/>
    <cellStyle name="Note 2 2 4 3 2 4" xfId="3697"/>
    <cellStyle name="Note 2 2 4 3 3" xfId="3698"/>
    <cellStyle name="Note 2 2 4 3 3 2" xfId="3699"/>
    <cellStyle name="Note 2 2 4 3 3 2 2" xfId="3700"/>
    <cellStyle name="Note 2 2 4 3 3 3" xfId="3701"/>
    <cellStyle name="Note 2 2 4 3 3 4" xfId="3702"/>
    <cellStyle name="Note 2 2 4 3 4" xfId="3703"/>
    <cellStyle name="Note 2 2 4 3 4 2" xfId="3704"/>
    <cellStyle name="Note 2 2 4 3 4 2 2" xfId="3705"/>
    <cellStyle name="Note 2 2 4 3 4 3" xfId="3706"/>
    <cellStyle name="Note 2 2 4 3 5" xfId="3707"/>
    <cellStyle name="Note 2 2 4 3 5 2" xfId="3708"/>
    <cellStyle name="Note 2 2 4 3 6" xfId="3709"/>
    <cellStyle name="Note 2 2 4 4" xfId="3710"/>
    <cellStyle name="Note 2 2 4 4 2" xfId="3711"/>
    <cellStyle name="Note 2 2 4 4 2 2" xfId="3712"/>
    <cellStyle name="Note 2 2 4 4 2 2 2" xfId="3713"/>
    <cellStyle name="Note 2 2 4 4 2 3" xfId="3714"/>
    <cellStyle name="Note 2 2 4 4 3" xfId="3715"/>
    <cellStyle name="Note 2 2 4 4 3 2" xfId="3716"/>
    <cellStyle name="Note 2 2 4 4 4" xfId="3717"/>
    <cellStyle name="Note 2 2 4 5" xfId="3718"/>
    <cellStyle name="Note 2 2 4 5 2" xfId="3719"/>
    <cellStyle name="Note 2 2 4 5 2 2" xfId="3720"/>
    <cellStyle name="Note 2 2 4 5 3" xfId="3721"/>
    <cellStyle name="Note 2 2 4 5 4" xfId="3722"/>
    <cellStyle name="Note 2 2 4 6" xfId="3723"/>
    <cellStyle name="Note 2 2 4 6 2" xfId="3724"/>
    <cellStyle name="Note 2 2 4 6 2 2" xfId="3725"/>
    <cellStyle name="Note 2 2 4 6 3" xfId="3726"/>
    <cellStyle name="Note 2 2 4 7" xfId="3727"/>
    <cellStyle name="Note 2 2 5" xfId="3728"/>
    <cellStyle name="Note 2 2 5 2" xfId="3729"/>
    <cellStyle name="Note 2 2 5 2 2" xfId="3730"/>
    <cellStyle name="Note 2 2 5 2 2 2" xfId="3731"/>
    <cellStyle name="Note 2 2 5 2 2 2 2" xfId="3732"/>
    <cellStyle name="Note 2 2 5 2 2 3" xfId="3733"/>
    <cellStyle name="Note 2 2 5 2 3" xfId="3734"/>
    <cellStyle name="Note 2 2 5 2 3 2" xfId="3735"/>
    <cellStyle name="Note 2 2 5 2 4" xfId="3736"/>
    <cellStyle name="Note 2 2 5 3" xfId="3737"/>
    <cellStyle name="Note 2 2 5 3 2" xfId="3738"/>
    <cellStyle name="Note 2 2 5 3 2 2" xfId="3739"/>
    <cellStyle name="Note 2 2 5 3 3" xfId="3740"/>
    <cellStyle name="Note 2 2 5 3 4" xfId="3741"/>
    <cellStyle name="Note 2 2 5 4" xfId="3742"/>
    <cellStyle name="Note 2 2 5 4 2" xfId="3743"/>
    <cellStyle name="Note 2 2 5 4 2 2" xfId="3744"/>
    <cellStyle name="Note 2 2 5 4 3" xfId="3745"/>
    <cellStyle name="Note 2 2 5 5" xfId="3746"/>
    <cellStyle name="Note 2 3" xfId="3747"/>
    <cellStyle name="Note 2 3 2" xfId="3748"/>
    <cellStyle name="Note 2 3 2 2" xfId="3749"/>
    <cellStyle name="Note 2 3 2 2 2" xfId="3750"/>
    <cellStyle name="Note 2 3 2 2 2 2" xfId="3751"/>
    <cellStyle name="Note 2 3 2 2 2 2 2" xfId="3752"/>
    <cellStyle name="Note 2 3 2 2 2 2 2 2" xfId="3753"/>
    <cellStyle name="Note 2 3 2 2 2 2 3" xfId="3754"/>
    <cellStyle name="Note 2 3 2 2 2 3" xfId="3755"/>
    <cellStyle name="Note 2 3 2 2 2 3 2" xfId="3756"/>
    <cellStyle name="Note 2 3 2 2 2 4" xfId="3757"/>
    <cellStyle name="Note 2 3 2 2 3" xfId="3758"/>
    <cellStyle name="Note 2 3 2 2 3 2" xfId="3759"/>
    <cellStyle name="Note 2 3 2 2 3 2 2" xfId="3760"/>
    <cellStyle name="Note 2 3 2 2 3 3" xfId="3761"/>
    <cellStyle name="Note 2 3 2 2 3 4" xfId="3762"/>
    <cellStyle name="Note 2 3 2 2 4" xfId="3763"/>
    <cellStyle name="Note 2 3 2 2 4 2" xfId="3764"/>
    <cellStyle name="Note 2 3 2 2 4 2 2" xfId="3765"/>
    <cellStyle name="Note 2 3 2 2 4 3" xfId="3766"/>
    <cellStyle name="Note 2 3 2 2 5" xfId="3767"/>
    <cellStyle name="Note 2 3 2 3" xfId="3768"/>
    <cellStyle name="Note 2 3 2 3 2" xfId="3769"/>
    <cellStyle name="Note 2 3 2 3 2 2" xfId="3770"/>
    <cellStyle name="Note 2 3 2 3 2 2 2" xfId="3771"/>
    <cellStyle name="Note 2 3 2 3 2 2 2 2" xfId="3772"/>
    <cellStyle name="Note 2 3 2 3 2 2 3" xfId="3773"/>
    <cellStyle name="Note 2 3 2 3 2 3" xfId="3774"/>
    <cellStyle name="Note 2 3 2 3 2 3 2" xfId="3775"/>
    <cellStyle name="Note 2 3 2 3 2 4" xfId="3776"/>
    <cellStyle name="Note 2 3 2 3 3" xfId="3777"/>
    <cellStyle name="Note 2 3 2 3 3 2" xfId="3778"/>
    <cellStyle name="Note 2 3 2 3 3 2 2" xfId="3779"/>
    <cellStyle name="Note 2 3 2 3 3 3" xfId="3780"/>
    <cellStyle name="Note 2 3 2 3 3 4" xfId="3781"/>
    <cellStyle name="Note 2 3 2 3 4" xfId="3782"/>
    <cellStyle name="Note 2 3 2 3 4 2" xfId="3783"/>
    <cellStyle name="Note 2 3 2 3 4 2 2" xfId="3784"/>
    <cellStyle name="Note 2 3 2 3 4 3" xfId="3785"/>
    <cellStyle name="Note 2 3 2 3 5" xfId="3786"/>
    <cellStyle name="Note 2 3 2 3 5 2" xfId="3787"/>
    <cellStyle name="Note 2 3 2 3 6" xfId="3788"/>
    <cellStyle name="Note 2 3 2 4" xfId="3789"/>
    <cellStyle name="Note 2 3 2 4 2" xfId="3790"/>
    <cellStyle name="Note 2 3 2 4 2 2" xfId="3791"/>
    <cellStyle name="Note 2 3 2 4 2 2 2" xfId="3792"/>
    <cellStyle name="Note 2 3 2 4 2 2 2 2" xfId="3793"/>
    <cellStyle name="Note 2 3 2 4 2 2 3" xfId="3794"/>
    <cellStyle name="Note 2 3 2 4 2 3" xfId="3795"/>
    <cellStyle name="Note 2 3 2 4 2 3 2" xfId="3796"/>
    <cellStyle name="Note 2 3 2 4 2 4" xfId="3797"/>
    <cellStyle name="Note 2 3 2 4 3" xfId="3798"/>
    <cellStyle name="Note 2 3 2 4 3 2" xfId="3799"/>
    <cellStyle name="Note 2 3 2 4 3 2 2" xfId="3800"/>
    <cellStyle name="Note 2 3 2 4 3 3" xfId="3801"/>
    <cellStyle name="Note 2 3 2 4 3 4" xfId="3802"/>
    <cellStyle name="Note 2 3 2 4 4" xfId="3803"/>
    <cellStyle name="Note 2 3 2 4 4 2" xfId="3804"/>
    <cellStyle name="Note 2 3 2 4 4 2 2" xfId="3805"/>
    <cellStyle name="Note 2 3 2 4 4 3" xfId="3806"/>
    <cellStyle name="Note 2 3 2 4 5" xfId="3807"/>
    <cellStyle name="Note 2 3 2 4 5 2" xfId="3808"/>
    <cellStyle name="Note 2 3 2 4 6" xfId="3809"/>
    <cellStyle name="Note 2 3 2 5" xfId="3810"/>
    <cellStyle name="Note 2 3 2 5 2" xfId="3811"/>
    <cellStyle name="Note 2 3 3" xfId="3812"/>
    <cellStyle name="Note 2 3 3 2" xfId="3813"/>
    <cellStyle name="Note 2 3 3 2 2" xfId="3814"/>
    <cellStyle name="Note 2 3 3 2 2 2" xfId="3815"/>
    <cellStyle name="Note 2 3 3 2 2 2 2" xfId="3816"/>
    <cellStyle name="Note 2 3 3 2 2 3" xfId="3817"/>
    <cellStyle name="Note 2 3 3 2 3" xfId="3818"/>
    <cellStyle name="Note 2 3 3 2 3 2" xfId="3819"/>
    <cellStyle name="Note 2 3 3 2 4" xfId="3820"/>
    <cellStyle name="Note 2 3 3 3" xfId="3821"/>
    <cellStyle name="Note 2 3 3 3 2" xfId="3822"/>
    <cellStyle name="Note 2 3 3 3 2 2" xfId="3823"/>
    <cellStyle name="Note 2 3 3 3 3" xfId="3824"/>
    <cellStyle name="Note 2 3 3 3 4" xfId="3825"/>
    <cellStyle name="Note 2 3 3 4" xfId="3826"/>
    <cellStyle name="Note 2 3 3 4 2" xfId="3827"/>
    <cellStyle name="Note 2 3 3 4 2 2" xfId="3828"/>
    <cellStyle name="Note 2 3 3 4 3" xfId="3829"/>
    <cellStyle name="Note 2 3 3 5" xfId="3830"/>
    <cellStyle name="Note 2 3 4" xfId="3831"/>
    <cellStyle name="Note 2 3 4 2" xfId="3832"/>
    <cellStyle name="Note 2 3 4 2 2" xfId="3833"/>
    <cellStyle name="Note 2 3 4 2 2 2" xfId="3834"/>
    <cellStyle name="Note 2 3 4 2 2 2 2" xfId="3835"/>
    <cellStyle name="Note 2 3 4 2 2 3" xfId="3836"/>
    <cellStyle name="Note 2 3 4 2 3" xfId="3837"/>
    <cellStyle name="Note 2 3 4 2 3 2" xfId="3838"/>
    <cellStyle name="Note 2 3 4 2 4" xfId="3839"/>
    <cellStyle name="Note 2 3 4 3" xfId="3840"/>
    <cellStyle name="Note 2 3 4 3 2" xfId="3841"/>
    <cellStyle name="Note 2 3 4 3 2 2" xfId="3842"/>
    <cellStyle name="Note 2 3 4 3 3" xfId="3843"/>
    <cellStyle name="Note 2 3 4 3 4" xfId="3844"/>
    <cellStyle name="Note 2 3 4 4" xfId="3845"/>
    <cellStyle name="Note 2 3 4 4 2" xfId="3846"/>
    <cellStyle name="Note 2 3 4 4 2 2" xfId="3847"/>
    <cellStyle name="Note 2 3 4 4 3" xfId="3848"/>
    <cellStyle name="Note 2 3 4 5" xfId="3849"/>
    <cellStyle name="Note 2 3 4 5 2" xfId="3850"/>
    <cellStyle name="Note 2 3 4 6" xfId="3851"/>
    <cellStyle name="Note 2 3 5" xfId="3852"/>
    <cellStyle name="Note 2 3 5 2" xfId="3853"/>
    <cellStyle name="Note 2 3 5 2 2" xfId="3854"/>
    <cellStyle name="Note 2 3 5 2 2 2" xfId="3855"/>
    <cellStyle name="Note 2 3 5 2 2 2 2" xfId="3856"/>
    <cellStyle name="Note 2 3 5 2 2 3" xfId="3857"/>
    <cellStyle name="Note 2 3 5 2 3" xfId="3858"/>
    <cellStyle name="Note 2 3 5 2 3 2" xfId="3859"/>
    <cellStyle name="Note 2 3 5 2 4" xfId="3860"/>
    <cellStyle name="Note 2 3 5 3" xfId="3861"/>
    <cellStyle name="Note 2 3 5 3 2" xfId="3862"/>
    <cellStyle name="Note 2 3 5 3 2 2" xfId="3863"/>
    <cellStyle name="Note 2 3 5 3 3" xfId="3864"/>
    <cellStyle name="Note 2 3 5 3 4" xfId="3865"/>
    <cellStyle name="Note 2 3 5 4" xfId="3866"/>
    <cellStyle name="Note 2 3 5 4 2" xfId="3867"/>
    <cellStyle name="Note 2 3 5 4 2 2" xfId="3868"/>
    <cellStyle name="Note 2 3 5 4 3" xfId="3869"/>
    <cellStyle name="Note 2 3 5 5" xfId="3870"/>
    <cellStyle name="Note 2 3 5 5 2" xfId="3871"/>
    <cellStyle name="Note 2 3 5 6" xfId="3872"/>
    <cellStyle name="Note 2 4" xfId="3873"/>
    <cellStyle name="Note 2 4 2" xfId="3874"/>
    <cellStyle name="Note 2 4 2 2" xfId="3875"/>
    <cellStyle name="Note 2 4 2 2 2" xfId="3876"/>
    <cellStyle name="Note 2 4 2 2 2 2" xfId="3877"/>
    <cellStyle name="Note 2 4 2 2 2 2 2" xfId="3878"/>
    <cellStyle name="Note 2 4 2 2 2 3" xfId="3879"/>
    <cellStyle name="Note 2 4 2 2 3" xfId="3880"/>
    <cellStyle name="Note 2 4 2 2 3 2" xfId="3881"/>
    <cellStyle name="Note 2 4 2 2 4" xfId="3882"/>
    <cellStyle name="Note 2 4 2 3" xfId="3883"/>
    <cellStyle name="Note 2 4 2 3 2" xfId="3884"/>
    <cellStyle name="Note 2 4 2 3 2 2" xfId="3885"/>
    <cellStyle name="Note 2 4 2 3 3" xfId="3886"/>
    <cellStyle name="Note 2 4 2 3 4" xfId="3887"/>
    <cellStyle name="Note 2 4 2 4" xfId="3888"/>
    <cellStyle name="Note 2 4 2 4 2" xfId="3889"/>
    <cellStyle name="Note 2 4 2 4 2 2" xfId="3890"/>
    <cellStyle name="Note 2 4 2 4 3" xfId="3891"/>
    <cellStyle name="Note 2 4 2 5" xfId="3892"/>
    <cellStyle name="Note 2 4 3" xfId="3893"/>
    <cellStyle name="Note 2 4 3 2" xfId="3894"/>
    <cellStyle name="Note 2 4 3 2 2" xfId="3895"/>
    <cellStyle name="Note 2 4 3 2 2 2" xfId="3896"/>
    <cellStyle name="Note 2 4 3 2 2 2 2" xfId="3897"/>
    <cellStyle name="Note 2 4 3 2 2 3" xfId="3898"/>
    <cellStyle name="Note 2 4 3 2 3" xfId="3899"/>
    <cellStyle name="Note 2 4 3 2 3 2" xfId="3900"/>
    <cellStyle name="Note 2 4 3 2 4" xfId="3901"/>
    <cellStyle name="Note 2 4 3 3" xfId="3902"/>
    <cellStyle name="Note 2 4 3 3 2" xfId="3903"/>
    <cellStyle name="Note 2 4 3 3 2 2" xfId="3904"/>
    <cellStyle name="Note 2 4 3 3 3" xfId="3905"/>
    <cellStyle name="Note 2 4 3 3 4" xfId="3906"/>
    <cellStyle name="Note 2 4 3 4" xfId="3907"/>
    <cellStyle name="Note 2 4 3 4 2" xfId="3908"/>
    <cellStyle name="Note 2 4 3 4 2 2" xfId="3909"/>
    <cellStyle name="Note 2 4 3 4 3" xfId="3910"/>
    <cellStyle name="Note 2 4 3 5" xfId="3911"/>
    <cellStyle name="Note 2 4 3 5 2" xfId="3912"/>
    <cellStyle name="Note 2 4 3 6" xfId="3913"/>
    <cellStyle name="Note 2 4 4" xfId="3914"/>
    <cellStyle name="Note 2 4 4 2" xfId="3915"/>
    <cellStyle name="Note 2 4 4 2 2" xfId="3916"/>
    <cellStyle name="Note 2 4 4 2 2 2" xfId="3917"/>
    <cellStyle name="Note 2 4 4 2 2 2 2" xfId="3918"/>
    <cellStyle name="Note 2 4 4 2 2 3" xfId="3919"/>
    <cellStyle name="Note 2 4 4 2 3" xfId="3920"/>
    <cellStyle name="Note 2 4 4 2 3 2" xfId="3921"/>
    <cellStyle name="Note 2 4 4 2 4" xfId="3922"/>
    <cellStyle name="Note 2 4 4 3" xfId="3923"/>
    <cellStyle name="Note 2 4 4 3 2" xfId="3924"/>
    <cellStyle name="Note 2 4 4 3 2 2" xfId="3925"/>
    <cellStyle name="Note 2 4 4 3 3" xfId="3926"/>
    <cellStyle name="Note 2 4 4 3 4" xfId="3927"/>
    <cellStyle name="Note 2 4 4 4" xfId="3928"/>
    <cellStyle name="Note 2 4 4 4 2" xfId="3929"/>
    <cellStyle name="Note 2 4 4 4 2 2" xfId="3930"/>
    <cellStyle name="Note 2 4 4 4 3" xfId="3931"/>
    <cellStyle name="Note 2 4 4 5" xfId="3932"/>
    <cellStyle name="Note 2 4 4 5 2" xfId="3933"/>
    <cellStyle name="Note 2 4 4 6" xfId="3934"/>
    <cellStyle name="Note 2 4 5" xfId="3935"/>
    <cellStyle name="Note 2 4 5 2" xfId="3936"/>
    <cellStyle name="Note 2 5" xfId="3937"/>
    <cellStyle name="Note 2 5 2" xfId="3938"/>
    <cellStyle name="Note 2 5 2 2" xfId="3939"/>
    <cellStyle name="Note 2 5 2 2 2" xfId="3940"/>
    <cellStyle name="Note 2 5 2 2 2 2" xfId="3941"/>
    <cellStyle name="Note 2 5 2 2 2 2 2" xfId="3942"/>
    <cellStyle name="Note 2 5 2 2 2 3" xfId="3943"/>
    <cellStyle name="Note 2 5 2 2 3" xfId="3944"/>
    <cellStyle name="Note 2 5 2 2 3 2" xfId="3945"/>
    <cellStyle name="Note 2 5 2 2 4" xfId="3946"/>
    <cellStyle name="Note 2 5 2 3" xfId="3947"/>
    <cellStyle name="Note 2 5 2 3 2" xfId="3948"/>
    <cellStyle name="Note 2 5 2 3 2 2" xfId="3949"/>
    <cellStyle name="Note 2 5 2 3 3" xfId="3950"/>
    <cellStyle name="Note 2 5 2 3 4" xfId="3951"/>
    <cellStyle name="Note 2 5 2 4" xfId="3952"/>
    <cellStyle name="Note 2 5 2 4 2" xfId="3953"/>
    <cellStyle name="Note 2 5 2 4 2 2" xfId="3954"/>
    <cellStyle name="Note 2 5 2 4 3" xfId="3955"/>
    <cellStyle name="Note 2 5 2 5" xfId="3956"/>
    <cellStyle name="Note 2 5 2 5 2" xfId="3957"/>
    <cellStyle name="Note 2 5 2 6" xfId="3958"/>
    <cellStyle name="Note 2 5 3" xfId="3959"/>
    <cellStyle name="Note 2 5 3 2" xfId="3960"/>
    <cellStyle name="Note 2 5 3 2 2" xfId="3961"/>
    <cellStyle name="Note 2 5 3 2 2 2" xfId="3962"/>
    <cellStyle name="Note 2 5 3 2 2 2 2" xfId="3963"/>
    <cellStyle name="Note 2 5 3 2 2 3" xfId="3964"/>
    <cellStyle name="Note 2 5 3 2 3" xfId="3965"/>
    <cellStyle name="Note 2 5 3 2 3 2" xfId="3966"/>
    <cellStyle name="Note 2 5 3 2 4" xfId="3967"/>
    <cellStyle name="Note 2 5 3 3" xfId="3968"/>
    <cellStyle name="Note 2 5 3 3 2" xfId="3969"/>
    <cellStyle name="Note 2 5 3 3 2 2" xfId="3970"/>
    <cellStyle name="Note 2 5 3 3 3" xfId="3971"/>
    <cellStyle name="Note 2 5 3 3 4" xfId="3972"/>
    <cellStyle name="Note 2 5 3 4" xfId="3973"/>
    <cellStyle name="Note 2 5 3 4 2" xfId="3974"/>
    <cellStyle name="Note 2 5 3 4 2 2" xfId="3975"/>
    <cellStyle name="Note 2 5 3 4 3" xfId="3976"/>
    <cellStyle name="Note 2 5 3 5" xfId="3977"/>
    <cellStyle name="Note 2 5 3 5 2" xfId="3978"/>
    <cellStyle name="Note 2 5 3 6" xfId="3979"/>
    <cellStyle name="Note 2 5 4" xfId="3980"/>
    <cellStyle name="Note 2 5 4 2" xfId="3981"/>
    <cellStyle name="Note 2 5 4 2 2" xfId="3982"/>
    <cellStyle name="Note 2 5 4 2 2 2" xfId="3983"/>
    <cellStyle name="Note 2 5 4 2 3" xfId="3984"/>
    <cellStyle name="Note 2 5 4 3" xfId="3985"/>
    <cellStyle name="Note 2 5 4 3 2" xfId="3986"/>
    <cellStyle name="Note 2 5 4 4" xfId="3987"/>
    <cellStyle name="Note 2 5 5" xfId="3988"/>
    <cellStyle name="Note 2 5 5 2" xfId="3989"/>
    <cellStyle name="Note 2 5 5 2 2" xfId="3990"/>
    <cellStyle name="Note 2 5 5 3" xfId="3991"/>
    <cellStyle name="Note 2 5 5 4" xfId="3992"/>
    <cellStyle name="Note 2 5 6" xfId="3993"/>
    <cellStyle name="Note 2 5 6 2" xfId="3994"/>
    <cellStyle name="Note 2 5 6 2 2" xfId="3995"/>
    <cellStyle name="Note 2 5 6 3" xfId="3996"/>
    <cellStyle name="Note 2 5 7" xfId="3997"/>
    <cellStyle name="Note 2 6" xfId="3998"/>
    <cellStyle name="Note 2 6 2" xfId="3999"/>
    <cellStyle name="Note 2 6 2 2" xfId="4000"/>
    <cellStyle name="Note 2 6 2 2 2" xfId="4001"/>
    <cellStyle name="Note 2 6 2 2 2 2" xfId="4002"/>
    <cellStyle name="Note 2 6 2 2 3" xfId="4003"/>
    <cellStyle name="Note 2 6 2 3" xfId="4004"/>
    <cellStyle name="Note 2 6 2 3 2" xfId="4005"/>
    <cellStyle name="Note 2 6 2 4" xfId="4006"/>
    <cellStyle name="Note 2 6 3" xfId="4007"/>
    <cellStyle name="Note 2 6 3 2" xfId="4008"/>
    <cellStyle name="Note 2 6 3 2 2" xfId="4009"/>
    <cellStyle name="Note 2 6 3 3" xfId="4010"/>
    <cellStyle name="Note 2 6 3 4" xfId="4011"/>
    <cellStyle name="Note 2 6 4" xfId="4012"/>
    <cellStyle name="Note 2 6 4 2" xfId="4013"/>
    <cellStyle name="Note 2 6 4 2 2" xfId="4014"/>
    <cellStyle name="Note 2 6 4 3" xfId="4015"/>
    <cellStyle name="Note 2 6 5" xfId="4016"/>
    <cellStyle name="Note 3" xfId="4017"/>
    <cellStyle name="Note 3 2" xfId="4018"/>
    <cellStyle name="Note 3 2 2" xfId="4019"/>
    <cellStyle name="Note 3 2 2 2" xfId="4020"/>
    <cellStyle name="Note 3 2 2 2 2" xfId="4021"/>
    <cellStyle name="Note 3 2 2 2 2 2" xfId="4022"/>
    <cellStyle name="Note 3 2 2 2 2 2 2" xfId="4023"/>
    <cellStyle name="Note 3 2 2 2 2 3" xfId="4024"/>
    <cellStyle name="Note 3 2 2 2 3" xfId="4025"/>
    <cellStyle name="Note 3 2 2 2 3 2" xfId="4026"/>
    <cellStyle name="Note 3 2 2 2 4" xfId="4027"/>
    <cellStyle name="Note 3 2 2 3" xfId="4028"/>
    <cellStyle name="Note 3 2 2 3 2" xfId="4029"/>
    <cellStyle name="Note 3 2 2 3 2 2" xfId="4030"/>
    <cellStyle name="Note 3 2 2 3 3" xfId="4031"/>
    <cellStyle name="Note 3 2 2 3 4" xfId="4032"/>
    <cellStyle name="Note 3 2 2 4" xfId="4033"/>
    <cellStyle name="Note 3 2 2 4 2" xfId="4034"/>
    <cellStyle name="Note 3 2 2 4 2 2" xfId="4035"/>
    <cellStyle name="Note 3 2 2 4 3" xfId="4036"/>
    <cellStyle name="Note 3 2 2 5" xfId="4037"/>
    <cellStyle name="Note 3 2 3" xfId="4038"/>
    <cellStyle name="Note 3 2 3 2" xfId="4039"/>
    <cellStyle name="Note 3 2 3 2 2" xfId="4040"/>
    <cellStyle name="Note 3 2 3 2 2 2" xfId="4041"/>
    <cellStyle name="Note 3 2 3 2 2 2 2" xfId="4042"/>
    <cellStyle name="Note 3 2 3 2 2 3" xfId="4043"/>
    <cellStyle name="Note 3 2 3 2 3" xfId="4044"/>
    <cellStyle name="Note 3 2 3 2 3 2" xfId="4045"/>
    <cellStyle name="Note 3 2 3 2 4" xfId="4046"/>
    <cellStyle name="Note 3 2 3 3" xfId="4047"/>
    <cellStyle name="Note 3 2 3 3 2" xfId="4048"/>
    <cellStyle name="Note 3 2 3 3 2 2" xfId="4049"/>
    <cellStyle name="Note 3 2 3 3 3" xfId="4050"/>
    <cellStyle name="Note 3 2 3 3 4" xfId="4051"/>
    <cellStyle name="Note 3 2 3 4" xfId="4052"/>
    <cellStyle name="Note 3 2 3 4 2" xfId="4053"/>
    <cellStyle name="Note 3 2 3 4 2 2" xfId="4054"/>
    <cellStyle name="Note 3 2 3 4 3" xfId="4055"/>
    <cellStyle name="Note 3 2 3 5" xfId="4056"/>
    <cellStyle name="Note 3 2 3 5 2" xfId="4057"/>
    <cellStyle name="Note 3 2 3 6" xfId="4058"/>
    <cellStyle name="Note 3 2 4" xfId="4059"/>
    <cellStyle name="Note 3 2 4 2" xfId="4060"/>
    <cellStyle name="Note 3 2 4 2 2" xfId="4061"/>
    <cellStyle name="Note 3 2 4 2 2 2" xfId="4062"/>
    <cellStyle name="Note 3 2 4 2 2 2 2" xfId="4063"/>
    <cellStyle name="Note 3 2 4 2 2 3" xfId="4064"/>
    <cellStyle name="Note 3 2 4 2 3" xfId="4065"/>
    <cellStyle name="Note 3 2 4 2 3 2" xfId="4066"/>
    <cellStyle name="Note 3 2 4 2 4" xfId="4067"/>
    <cellStyle name="Note 3 2 4 3" xfId="4068"/>
    <cellStyle name="Note 3 2 4 3 2" xfId="4069"/>
    <cellStyle name="Note 3 2 4 3 2 2" xfId="4070"/>
    <cellStyle name="Note 3 2 4 3 3" xfId="4071"/>
    <cellStyle name="Note 3 2 4 3 4" xfId="4072"/>
    <cellStyle name="Note 3 2 4 4" xfId="4073"/>
    <cellStyle name="Note 3 2 4 4 2" xfId="4074"/>
    <cellStyle name="Note 3 2 4 4 2 2" xfId="4075"/>
    <cellStyle name="Note 3 2 4 4 3" xfId="4076"/>
    <cellStyle name="Note 3 2 4 5" xfId="4077"/>
    <cellStyle name="Note 3 2 4 5 2" xfId="4078"/>
    <cellStyle name="Note 3 2 4 6" xfId="4079"/>
    <cellStyle name="Note 3 2 5" xfId="4080"/>
    <cellStyle name="Note 3 2 5 2" xfId="4081"/>
    <cellStyle name="Note 3 3" xfId="4082"/>
    <cellStyle name="Note 3 3 2" xfId="4083"/>
    <cellStyle name="Note 3 3 2 2" xfId="4084"/>
    <cellStyle name="Note 3 3 2 2 2" xfId="4085"/>
    <cellStyle name="Note 3 3 2 2 2 2" xfId="4086"/>
    <cellStyle name="Note 3 3 2 2 2 2 2" xfId="4087"/>
    <cellStyle name="Note 3 3 2 2 2 3" xfId="4088"/>
    <cellStyle name="Note 3 3 2 2 3" xfId="4089"/>
    <cellStyle name="Note 3 3 2 2 3 2" xfId="4090"/>
    <cellStyle name="Note 3 3 2 2 4" xfId="4091"/>
    <cellStyle name="Note 3 3 2 3" xfId="4092"/>
    <cellStyle name="Note 3 3 2 3 2" xfId="4093"/>
    <cellStyle name="Note 3 3 2 3 2 2" xfId="4094"/>
    <cellStyle name="Note 3 3 2 3 3" xfId="4095"/>
    <cellStyle name="Note 3 3 2 3 4" xfId="4096"/>
    <cellStyle name="Note 3 3 2 4" xfId="4097"/>
    <cellStyle name="Note 3 3 2 4 2" xfId="4098"/>
    <cellStyle name="Note 3 3 2 4 2 2" xfId="4099"/>
    <cellStyle name="Note 3 3 2 4 3" xfId="4100"/>
    <cellStyle name="Note 3 3 2 5" xfId="4101"/>
    <cellStyle name="Note 3 3 2 5 2" xfId="4102"/>
    <cellStyle name="Note 3 3 2 6" xfId="4103"/>
    <cellStyle name="Note 3 3 3" xfId="4104"/>
    <cellStyle name="Note 3 3 3 2" xfId="4105"/>
    <cellStyle name="Note 3 3 3 2 2" xfId="4106"/>
    <cellStyle name="Note 3 3 3 2 2 2" xfId="4107"/>
    <cellStyle name="Note 3 3 3 2 2 2 2" xfId="4108"/>
    <cellStyle name="Note 3 3 3 2 2 3" xfId="4109"/>
    <cellStyle name="Note 3 3 3 2 3" xfId="4110"/>
    <cellStyle name="Note 3 3 3 2 3 2" xfId="4111"/>
    <cellStyle name="Note 3 3 3 2 4" xfId="4112"/>
    <cellStyle name="Note 3 3 3 3" xfId="4113"/>
    <cellStyle name="Note 3 3 3 3 2" xfId="4114"/>
    <cellStyle name="Note 3 3 3 3 2 2" xfId="4115"/>
    <cellStyle name="Note 3 3 3 3 3" xfId="4116"/>
    <cellStyle name="Note 3 3 3 3 4" xfId="4117"/>
    <cellStyle name="Note 3 3 3 4" xfId="4118"/>
    <cellStyle name="Note 3 3 3 4 2" xfId="4119"/>
    <cellStyle name="Note 3 3 3 4 2 2" xfId="4120"/>
    <cellStyle name="Note 3 3 3 4 3" xfId="4121"/>
    <cellStyle name="Note 3 3 3 5" xfId="4122"/>
    <cellStyle name="Note 3 3 3 5 2" xfId="4123"/>
    <cellStyle name="Note 3 3 3 6" xfId="4124"/>
    <cellStyle name="Note 3 3 4" xfId="4125"/>
    <cellStyle name="Note 3 3 4 2" xfId="4126"/>
    <cellStyle name="Note 3 3 4 2 2" xfId="4127"/>
    <cellStyle name="Note 3 3 4 2 2 2" xfId="4128"/>
    <cellStyle name="Note 3 3 4 2 3" xfId="4129"/>
    <cellStyle name="Note 3 3 4 3" xfId="4130"/>
    <cellStyle name="Note 3 3 4 3 2" xfId="4131"/>
    <cellStyle name="Note 3 3 4 4" xfId="4132"/>
    <cellStyle name="Note 3 3 5" xfId="4133"/>
    <cellStyle name="Note 3 3 5 2" xfId="4134"/>
    <cellStyle name="Note 3 3 5 2 2" xfId="4135"/>
    <cellStyle name="Note 3 3 5 3" xfId="4136"/>
    <cellStyle name="Note 3 3 5 4" xfId="4137"/>
    <cellStyle name="Note 3 3 6" xfId="4138"/>
    <cellStyle name="Note 3 3 6 2" xfId="4139"/>
    <cellStyle name="Note 3 3 6 2 2" xfId="4140"/>
    <cellStyle name="Note 3 3 6 3" xfId="4141"/>
    <cellStyle name="Note 3 3 7" xfId="4142"/>
    <cellStyle name="Note 3 4" xfId="4143"/>
    <cellStyle name="Note 3 4 2" xfId="4144"/>
    <cellStyle name="Note 3 4 2 2" xfId="4145"/>
    <cellStyle name="Note 3 4 2 2 2" xfId="4146"/>
    <cellStyle name="Note 3 4 2 2 2 2" xfId="4147"/>
    <cellStyle name="Note 3 4 2 2 3" xfId="4148"/>
    <cellStyle name="Note 3 4 2 3" xfId="4149"/>
    <cellStyle name="Note 3 4 2 3 2" xfId="4150"/>
    <cellStyle name="Note 3 4 2 4" xfId="4151"/>
    <cellStyle name="Note 3 4 3" xfId="4152"/>
    <cellStyle name="Note 3 4 3 2" xfId="4153"/>
    <cellStyle name="Note 3 4 3 2 2" xfId="4154"/>
    <cellStyle name="Note 3 4 3 3" xfId="4155"/>
    <cellStyle name="Note 3 4 3 4" xfId="4156"/>
    <cellStyle name="Note 3 4 4" xfId="4157"/>
    <cellStyle name="Note 3 4 4 2" xfId="4158"/>
    <cellStyle name="Note 3 4 4 2 2" xfId="4159"/>
    <cellStyle name="Note 3 4 4 3" xfId="4160"/>
    <cellStyle name="Note 3 4 5" xfId="4161"/>
    <cellStyle name="Note 4" xfId="4162"/>
    <cellStyle name="Note 4 2" xfId="4163"/>
    <cellStyle name="Note 4 2 2" xfId="4164"/>
    <cellStyle name="Note 4 2 2 2" xfId="4165"/>
    <cellStyle name="Note 4 2 2 2 2" xfId="4166"/>
    <cellStyle name="Note 4 2 2 2 2 2" xfId="4167"/>
    <cellStyle name="Note 4 2 2 2 2 2 2" xfId="4168"/>
    <cellStyle name="Note 4 2 2 2 2 3" xfId="4169"/>
    <cellStyle name="Note 4 2 2 2 3" xfId="4170"/>
    <cellStyle name="Note 4 2 2 2 3 2" xfId="4171"/>
    <cellStyle name="Note 4 2 2 2 4" xfId="4172"/>
    <cellStyle name="Note 4 2 2 3" xfId="4173"/>
    <cellStyle name="Note 4 2 2 3 2" xfId="4174"/>
    <cellStyle name="Note 4 2 2 3 2 2" xfId="4175"/>
    <cellStyle name="Note 4 2 2 3 3" xfId="4176"/>
    <cellStyle name="Note 4 2 2 3 4" xfId="4177"/>
    <cellStyle name="Note 4 2 2 4" xfId="4178"/>
    <cellStyle name="Note 4 2 2 4 2" xfId="4179"/>
    <cellStyle name="Note 4 2 2 4 2 2" xfId="4180"/>
    <cellStyle name="Note 4 2 2 4 3" xfId="4181"/>
    <cellStyle name="Note 4 2 2 5" xfId="4182"/>
    <cellStyle name="Note 4 2 3" xfId="4183"/>
    <cellStyle name="Note 4 2 3 2" xfId="4184"/>
    <cellStyle name="Note 4 2 3 2 2" xfId="4185"/>
    <cellStyle name="Note 4 2 3 2 2 2" xfId="4186"/>
    <cellStyle name="Note 4 2 3 2 2 2 2" xfId="4187"/>
    <cellStyle name="Note 4 2 3 2 2 3" xfId="4188"/>
    <cellStyle name="Note 4 2 3 2 3" xfId="4189"/>
    <cellStyle name="Note 4 2 3 2 3 2" xfId="4190"/>
    <cellStyle name="Note 4 2 3 2 4" xfId="4191"/>
    <cellStyle name="Note 4 2 3 3" xfId="4192"/>
    <cellStyle name="Note 4 2 3 3 2" xfId="4193"/>
    <cellStyle name="Note 4 2 3 3 2 2" xfId="4194"/>
    <cellStyle name="Note 4 2 3 3 3" xfId="4195"/>
    <cellStyle name="Note 4 2 3 3 4" xfId="4196"/>
    <cellStyle name="Note 4 2 3 4" xfId="4197"/>
    <cellStyle name="Note 4 2 3 4 2" xfId="4198"/>
    <cellStyle name="Note 4 2 3 4 2 2" xfId="4199"/>
    <cellStyle name="Note 4 2 3 4 3" xfId="4200"/>
    <cellStyle name="Note 4 2 3 5" xfId="4201"/>
    <cellStyle name="Note 4 2 3 5 2" xfId="4202"/>
    <cellStyle name="Note 4 2 3 6" xfId="4203"/>
    <cellStyle name="Note 4 2 4" xfId="4204"/>
    <cellStyle name="Note 4 2 4 2" xfId="4205"/>
    <cellStyle name="Note 4 2 4 2 2" xfId="4206"/>
    <cellStyle name="Note 4 2 4 2 2 2" xfId="4207"/>
    <cellStyle name="Note 4 2 4 2 2 2 2" xfId="4208"/>
    <cellStyle name="Note 4 2 4 2 2 3" xfId="4209"/>
    <cellStyle name="Note 4 2 4 2 3" xfId="4210"/>
    <cellStyle name="Note 4 2 4 2 3 2" xfId="4211"/>
    <cellStyle name="Note 4 2 4 2 4" xfId="4212"/>
    <cellStyle name="Note 4 2 4 3" xfId="4213"/>
    <cellStyle name="Note 4 2 4 3 2" xfId="4214"/>
    <cellStyle name="Note 4 2 4 3 2 2" xfId="4215"/>
    <cellStyle name="Note 4 2 4 3 3" xfId="4216"/>
    <cellStyle name="Note 4 2 4 3 4" xfId="4217"/>
    <cellStyle name="Note 4 2 4 4" xfId="4218"/>
    <cellStyle name="Note 4 2 4 4 2" xfId="4219"/>
    <cellStyle name="Note 4 2 4 4 2 2" xfId="4220"/>
    <cellStyle name="Note 4 2 4 4 3" xfId="4221"/>
    <cellStyle name="Note 4 2 4 5" xfId="4222"/>
    <cellStyle name="Note 4 2 4 5 2" xfId="4223"/>
    <cellStyle name="Note 4 2 4 6" xfId="4224"/>
    <cellStyle name="Note 4 2 5" xfId="4225"/>
    <cellStyle name="Note 4 2 5 2" xfId="4226"/>
    <cellStyle name="Note 4 3" xfId="4227"/>
    <cellStyle name="Note 4 3 2" xfId="4228"/>
    <cellStyle name="Note 4 3 2 2" xfId="4229"/>
    <cellStyle name="Note 4 3 2 2 2" xfId="4230"/>
    <cellStyle name="Note 4 3 2 2 2 2" xfId="4231"/>
    <cellStyle name="Note 4 3 2 2 2 2 2" xfId="4232"/>
    <cellStyle name="Note 4 3 2 2 2 3" xfId="4233"/>
    <cellStyle name="Note 4 3 2 2 3" xfId="4234"/>
    <cellStyle name="Note 4 3 2 2 3 2" xfId="4235"/>
    <cellStyle name="Note 4 3 2 2 4" xfId="4236"/>
    <cellStyle name="Note 4 3 2 3" xfId="4237"/>
    <cellStyle name="Note 4 3 2 3 2" xfId="4238"/>
    <cellStyle name="Note 4 3 2 3 2 2" xfId="4239"/>
    <cellStyle name="Note 4 3 2 3 3" xfId="4240"/>
    <cellStyle name="Note 4 3 2 3 4" xfId="4241"/>
    <cellStyle name="Note 4 3 2 4" xfId="4242"/>
    <cellStyle name="Note 4 3 2 4 2" xfId="4243"/>
    <cellStyle name="Note 4 3 2 4 2 2" xfId="4244"/>
    <cellStyle name="Note 4 3 2 4 3" xfId="4245"/>
    <cellStyle name="Note 4 3 2 5" xfId="4246"/>
    <cellStyle name="Note 4 3 2 5 2" xfId="4247"/>
    <cellStyle name="Note 4 3 2 6" xfId="4248"/>
    <cellStyle name="Note 4 3 3" xfId="4249"/>
    <cellStyle name="Note 4 3 3 2" xfId="4250"/>
    <cellStyle name="Note 4 3 3 2 2" xfId="4251"/>
    <cellStyle name="Note 4 3 3 2 2 2" xfId="4252"/>
    <cellStyle name="Note 4 3 3 2 2 2 2" xfId="4253"/>
    <cellStyle name="Note 4 3 3 2 2 3" xfId="4254"/>
    <cellStyle name="Note 4 3 3 2 3" xfId="4255"/>
    <cellStyle name="Note 4 3 3 2 3 2" xfId="4256"/>
    <cellStyle name="Note 4 3 3 2 4" xfId="4257"/>
    <cellStyle name="Note 4 3 3 3" xfId="4258"/>
    <cellStyle name="Note 4 3 3 3 2" xfId="4259"/>
    <cellStyle name="Note 4 3 3 3 2 2" xfId="4260"/>
    <cellStyle name="Note 4 3 3 3 3" xfId="4261"/>
    <cellStyle name="Note 4 3 3 3 4" xfId="4262"/>
    <cellStyle name="Note 4 3 3 4" xfId="4263"/>
    <cellStyle name="Note 4 3 3 4 2" xfId="4264"/>
    <cellStyle name="Note 4 3 3 4 2 2" xfId="4265"/>
    <cellStyle name="Note 4 3 3 4 3" xfId="4266"/>
    <cellStyle name="Note 4 3 3 5" xfId="4267"/>
    <cellStyle name="Note 4 3 3 5 2" xfId="4268"/>
    <cellStyle name="Note 4 3 3 6" xfId="4269"/>
    <cellStyle name="Note 4 3 4" xfId="4270"/>
    <cellStyle name="Note 4 3 4 2" xfId="4271"/>
    <cellStyle name="Note 4 3 4 2 2" xfId="4272"/>
    <cellStyle name="Note 4 3 4 2 2 2" xfId="4273"/>
    <cellStyle name="Note 4 3 4 2 3" xfId="4274"/>
    <cellStyle name="Note 4 3 4 3" xfId="4275"/>
    <cellStyle name="Note 4 3 4 3 2" xfId="4276"/>
    <cellStyle name="Note 4 3 4 4" xfId="4277"/>
    <cellStyle name="Note 4 3 5" xfId="4278"/>
    <cellStyle name="Note 4 3 5 2" xfId="4279"/>
    <cellStyle name="Note 4 3 5 2 2" xfId="4280"/>
    <cellStyle name="Note 4 3 5 3" xfId="4281"/>
    <cellStyle name="Note 4 3 5 4" xfId="4282"/>
    <cellStyle name="Note 4 3 6" xfId="4283"/>
    <cellStyle name="Note 4 3 6 2" xfId="4284"/>
    <cellStyle name="Note 4 3 6 2 2" xfId="4285"/>
    <cellStyle name="Note 4 3 6 3" xfId="4286"/>
    <cellStyle name="Note 4 3 7" xfId="4287"/>
    <cellStyle name="Note 4 4" xfId="4288"/>
    <cellStyle name="Note 4 4 2" xfId="4289"/>
    <cellStyle name="Note 4 4 2 2" xfId="4290"/>
    <cellStyle name="Note 4 4 2 2 2" xfId="4291"/>
    <cellStyle name="Note 4 4 2 2 2 2" xfId="4292"/>
    <cellStyle name="Note 4 4 2 2 3" xfId="4293"/>
    <cellStyle name="Note 4 4 2 3" xfId="4294"/>
    <cellStyle name="Note 4 4 2 3 2" xfId="4295"/>
    <cellStyle name="Note 4 4 2 4" xfId="4296"/>
    <cellStyle name="Note 4 4 3" xfId="4297"/>
    <cellStyle name="Note 4 4 3 2" xfId="4298"/>
    <cellStyle name="Note 4 4 3 2 2" xfId="4299"/>
    <cellStyle name="Note 4 4 3 3" xfId="4300"/>
    <cellStyle name="Note 4 4 3 4" xfId="4301"/>
    <cellStyle name="Note 4 4 4" xfId="4302"/>
    <cellStyle name="Note 4 4 4 2" xfId="4303"/>
    <cellStyle name="Note 4 4 4 2 2" xfId="4304"/>
    <cellStyle name="Note 4 4 4 3" xfId="4305"/>
    <cellStyle name="Note 4 4 5" xfId="4306"/>
    <cellStyle name="Note 5" xfId="4307"/>
    <cellStyle name="Note 5 2" xfId="4308"/>
    <cellStyle name="Note 5 2 2" xfId="4309"/>
    <cellStyle name="Note 5 2 2 2" xfId="4310"/>
    <cellStyle name="Note 5 2 2 2 2" xfId="4311"/>
    <cellStyle name="Note 5 2 2 2 2 2" xfId="4312"/>
    <cellStyle name="Note 5 2 2 2 3" xfId="4313"/>
    <cellStyle name="Note 5 2 2 3" xfId="4314"/>
    <cellStyle name="Note 5 2 2 3 2" xfId="4315"/>
    <cellStyle name="Note 5 2 2 4" xfId="4316"/>
    <cellStyle name="Note 5 2 3" xfId="4317"/>
    <cellStyle name="Note 5 2 3 2" xfId="4318"/>
    <cellStyle name="Note 5 2 3 2 2" xfId="4319"/>
    <cellStyle name="Note 5 2 3 3" xfId="4320"/>
    <cellStyle name="Note 5 2 3 4" xfId="4321"/>
    <cellStyle name="Note 5 2 4" xfId="4322"/>
    <cellStyle name="Note 5 2 4 2" xfId="4323"/>
    <cellStyle name="Note 5 2 4 2 2" xfId="4324"/>
    <cellStyle name="Note 5 2 4 3" xfId="4325"/>
    <cellStyle name="Note 5 2 5" xfId="4326"/>
    <cellStyle name="Note 5 3" xfId="4327"/>
    <cellStyle name="Note 5 3 2" xfId="4328"/>
    <cellStyle name="Note 5 3 2 2" xfId="4329"/>
    <cellStyle name="Note 5 3 2 2 2" xfId="4330"/>
    <cellStyle name="Note 5 3 2 2 2 2" xfId="4331"/>
    <cellStyle name="Note 5 3 2 2 3" xfId="4332"/>
    <cellStyle name="Note 5 3 2 3" xfId="4333"/>
    <cellStyle name="Note 5 3 2 3 2" xfId="4334"/>
    <cellStyle name="Note 5 3 2 4" xfId="4335"/>
    <cellStyle name="Note 5 3 3" xfId="4336"/>
    <cellStyle name="Note 5 3 3 2" xfId="4337"/>
    <cellStyle name="Note 5 3 3 2 2" xfId="4338"/>
    <cellStyle name="Note 5 3 3 3" xfId="4339"/>
    <cellStyle name="Note 5 3 3 4" xfId="4340"/>
    <cellStyle name="Note 5 3 4" xfId="4341"/>
    <cellStyle name="Note 5 3 4 2" xfId="4342"/>
    <cellStyle name="Note 5 3 4 2 2" xfId="4343"/>
    <cellStyle name="Note 5 3 4 3" xfId="4344"/>
    <cellStyle name="Note 5 3 5" xfId="4345"/>
    <cellStyle name="Note 5 3 5 2" xfId="4346"/>
    <cellStyle name="Note 5 3 6" xfId="4347"/>
    <cellStyle name="Note 5 4" xfId="4348"/>
    <cellStyle name="Note 5 4 2" xfId="4349"/>
    <cellStyle name="Note 5 4 2 2" xfId="4350"/>
    <cellStyle name="Note 5 4 2 2 2" xfId="4351"/>
    <cellStyle name="Note 5 4 2 2 2 2" xfId="4352"/>
    <cellStyle name="Note 5 4 2 2 3" xfId="4353"/>
    <cellStyle name="Note 5 4 2 3" xfId="4354"/>
    <cellStyle name="Note 5 4 2 3 2" xfId="4355"/>
    <cellStyle name="Note 5 4 2 4" xfId="4356"/>
    <cellStyle name="Note 5 4 3" xfId="4357"/>
    <cellStyle name="Note 5 4 3 2" xfId="4358"/>
    <cellStyle name="Note 5 4 3 2 2" xfId="4359"/>
    <cellStyle name="Note 5 4 3 3" xfId="4360"/>
    <cellStyle name="Note 5 4 3 4" xfId="4361"/>
    <cellStyle name="Note 5 4 4" xfId="4362"/>
    <cellStyle name="Note 5 4 4 2" xfId="4363"/>
    <cellStyle name="Note 5 4 4 2 2" xfId="4364"/>
    <cellStyle name="Note 5 4 4 3" xfId="4365"/>
    <cellStyle name="Note 5 4 5" xfId="4366"/>
    <cellStyle name="Note 5 4 5 2" xfId="4367"/>
    <cellStyle name="Note 5 4 6" xfId="4368"/>
    <cellStyle name="Note 5 5" xfId="4369"/>
    <cellStyle name="Note 5 5 2" xfId="4370"/>
    <cellStyle name="Note 6" xfId="4371"/>
    <cellStyle name="Note 6 2" xfId="4372"/>
    <cellStyle name="Note 6 2 2" xfId="4373"/>
    <cellStyle name="Note 6 2 2 2" xfId="4374"/>
    <cellStyle name="Note 6 2 2 2 2" xfId="4375"/>
    <cellStyle name="Note 6 2 2 2 2 2" xfId="4376"/>
    <cellStyle name="Note 6 2 2 2 3" xfId="4377"/>
    <cellStyle name="Note 6 2 2 3" xfId="4378"/>
    <cellStyle name="Note 6 2 2 3 2" xfId="4379"/>
    <cellStyle name="Note 6 2 2 4" xfId="4380"/>
    <cellStyle name="Note 6 2 3" xfId="4381"/>
    <cellStyle name="Note 6 2 3 2" xfId="4382"/>
    <cellStyle name="Note 6 2 3 2 2" xfId="4383"/>
    <cellStyle name="Note 6 2 3 3" xfId="4384"/>
    <cellStyle name="Note 6 2 3 4" xfId="4385"/>
    <cellStyle name="Note 6 2 4" xfId="4386"/>
    <cellStyle name="Note 6 2 4 2" xfId="4387"/>
    <cellStyle name="Note 6 2 4 2 2" xfId="4388"/>
    <cellStyle name="Note 6 2 4 3" xfId="4389"/>
    <cellStyle name="Note 6 2 5" xfId="4390"/>
    <cellStyle name="Note 6 2 5 2" xfId="4391"/>
    <cellStyle name="Note 6 2 6" xfId="4392"/>
    <cellStyle name="Note 6 3" xfId="4393"/>
    <cellStyle name="Note 6 3 2" xfId="4394"/>
    <cellStyle name="Note 6 3 2 2" xfId="4395"/>
    <cellStyle name="Note 6 3 2 2 2" xfId="4396"/>
    <cellStyle name="Note 6 3 2 2 2 2" xfId="4397"/>
    <cellStyle name="Note 6 3 2 2 3" xfId="4398"/>
    <cellStyle name="Note 6 3 2 3" xfId="4399"/>
    <cellStyle name="Note 6 3 2 3 2" xfId="4400"/>
    <cellStyle name="Note 6 3 2 4" xfId="4401"/>
    <cellStyle name="Note 6 3 3" xfId="4402"/>
    <cellStyle name="Note 6 3 3 2" xfId="4403"/>
    <cellStyle name="Note 6 3 3 2 2" xfId="4404"/>
    <cellStyle name="Note 6 3 3 3" xfId="4405"/>
    <cellStyle name="Note 6 3 3 4" xfId="4406"/>
    <cellStyle name="Note 6 3 4" xfId="4407"/>
    <cellStyle name="Note 6 3 4 2" xfId="4408"/>
    <cellStyle name="Note 6 3 4 2 2" xfId="4409"/>
    <cellStyle name="Note 6 3 4 3" xfId="4410"/>
    <cellStyle name="Note 6 3 5" xfId="4411"/>
    <cellStyle name="Note 6 3 5 2" xfId="4412"/>
    <cellStyle name="Note 6 3 6" xfId="4413"/>
    <cellStyle name="Note 6 4" xfId="4414"/>
    <cellStyle name="Note 6 4 2" xfId="4415"/>
    <cellStyle name="Note 6 4 2 2" xfId="4416"/>
    <cellStyle name="Note 6 4 2 2 2" xfId="4417"/>
    <cellStyle name="Note 6 4 2 3" xfId="4418"/>
    <cellStyle name="Note 6 4 3" xfId="4419"/>
    <cellStyle name="Note 6 4 3 2" xfId="4420"/>
    <cellStyle name="Note 6 4 4" xfId="4421"/>
    <cellStyle name="Note 6 5" xfId="4422"/>
    <cellStyle name="Note 6 5 2" xfId="4423"/>
    <cellStyle name="Note 6 5 2 2" xfId="4424"/>
    <cellStyle name="Note 6 5 3" xfId="4425"/>
    <cellStyle name="Note 6 5 4" xfId="4426"/>
    <cellStyle name="Note 6 6" xfId="4427"/>
    <cellStyle name="Note 6 6 2" xfId="4428"/>
    <cellStyle name="Note 6 6 2 2" xfId="4429"/>
    <cellStyle name="Note 6 6 3" xfId="4430"/>
    <cellStyle name="Note 6 7" xfId="4431"/>
    <cellStyle name="Notes" xfId="4432"/>
    <cellStyle name="Output 2" xfId="4433"/>
    <cellStyle name="Output 2 2" xfId="4434"/>
    <cellStyle name="Output 2 2 2" xfId="4435"/>
    <cellStyle name="Output 2 2 2 2" xfId="4436"/>
    <cellStyle name="Output 2 2 2 2 2" xfId="4437"/>
    <cellStyle name="Output 2 2 2 2 2 2" xfId="4438"/>
    <cellStyle name="Output 2 2 2 2 2 2 2" xfId="4439"/>
    <cellStyle name="Output 2 2 2 2 2 2 2 2" xfId="4440"/>
    <cellStyle name="Output 2 2 2 2 2 2 2 2 2" xfId="4441"/>
    <cellStyle name="Output 2 2 2 2 2 2 2 3" xfId="4442"/>
    <cellStyle name="Output 2 2 2 2 2 2 3" xfId="4443"/>
    <cellStyle name="Output 2 2 2 2 2 2 3 2" xfId="4444"/>
    <cellStyle name="Output 2 2 2 2 2 2 4" xfId="4445"/>
    <cellStyle name="Output 2 2 2 2 2 3" xfId="4446"/>
    <cellStyle name="Output 2 2 2 2 2 3 2" xfId="4447"/>
    <cellStyle name="Output 2 2 2 2 2 3 2 2" xfId="4448"/>
    <cellStyle name="Output 2 2 2 2 2 3 3" xfId="4449"/>
    <cellStyle name="Output 2 2 2 2 2 3 4" xfId="4450"/>
    <cellStyle name="Output 2 2 2 2 2 4" xfId="4451"/>
    <cellStyle name="Output 2 2 2 2 2 4 2" xfId="4452"/>
    <cellStyle name="Output 2 2 2 2 2 4 2 2" xfId="4453"/>
    <cellStyle name="Output 2 2 2 2 2 4 3" xfId="4454"/>
    <cellStyle name="Output 2 2 2 2 2 5" xfId="4455"/>
    <cellStyle name="Output 2 2 2 2 2 5 2" xfId="4456"/>
    <cellStyle name="Output 2 2 2 2 2 6" xfId="4457"/>
    <cellStyle name="Output 2 2 2 2 3" xfId="4458"/>
    <cellStyle name="Output 2 2 2 2 3 2" xfId="4459"/>
    <cellStyle name="Output 2 2 2 2 3 2 2" xfId="4460"/>
    <cellStyle name="Output 2 2 2 2 3 2 2 2" xfId="4461"/>
    <cellStyle name="Output 2 2 2 2 3 2 2 2 2" xfId="4462"/>
    <cellStyle name="Output 2 2 2 2 3 2 2 3" xfId="4463"/>
    <cellStyle name="Output 2 2 2 2 3 2 3" xfId="4464"/>
    <cellStyle name="Output 2 2 2 2 3 2 3 2" xfId="4465"/>
    <cellStyle name="Output 2 2 2 2 3 2 4" xfId="4466"/>
    <cellStyle name="Output 2 2 2 2 3 3" xfId="4467"/>
    <cellStyle name="Output 2 2 2 2 3 3 2" xfId="4468"/>
    <cellStyle name="Output 2 2 2 2 3 3 2 2" xfId="4469"/>
    <cellStyle name="Output 2 2 2 2 3 3 3" xfId="4470"/>
    <cellStyle name="Output 2 2 2 2 3 3 4" xfId="4471"/>
    <cellStyle name="Output 2 2 2 2 3 4" xfId="4472"/>
    <cellStyle name="Output 2 2 2 2 3 4 2" xfId="4473"/>
    <cellStyle name="Output 2 2 2 2 3 4 2 2" xfId="4474"/>
    <cellStyle name="Output 2 2 2 2 3 4 3" xfId="4475"/>
    <cellStyle name="Output 2 2 2 2 3 5" xfId="4476"/>
    <cellStyle name="Output 2 2 2 2 3 5 2" xfId="4477"/>
    <cellStyle name="Output 2 2 2 2 3 6" xfId="4478"/>
    <cellStyle name="Output 2 2 2 2 4" xfId="4479"/>
    <cellStyle name="Output 2 2 2 2 4 2" xfId="4480"/>
    <cellStyle name="Output 2 2 2 3" xfId="4481"/>
    <cellStyle name="Output 2 2 2 3 2" xfId="4482"/>
    <cellStyle name="Output 2 2 2 3 2 2" xfId="4483"/>
    <cellStyle name="Output 2 2 2 3 2 2 2" xfId="4484"/>
    <cellStyle name="Output 2 2 2 3 2 2 2 2" xfId="4485"/>
    <cellStyle name="Output 2 2 2 3 2 2 3" xfId="4486"/>
    <cellStyle name="Output 2 2 2 3 2 3" xfId="4487"/>
    <cellStyle name="Output 2 2 2 3 2 3 2" xfId="4488"/>
    <cellStyle name="Output 2 2 2 3 2 4" xfId="4489"/>
    <cellStyle name="Output 2 2 2 3 3" xfId="4490"/>
    <cellStyle name="Output 2 2 2 3 3 2" xfId="4491"/>
    <cellStyle name="Output 2 2 2 3 3 2 2" xfId="4492"/>
    <cellStyle name="Output 2 2 2 3 3 3" xfId="4493"/>
    <cellStyle name="Output 2 2 2 3 3 4" xfId="4494"/>
    <cellStyle name="Output 2 2 2 3 4" xfId="4495"/>
    <cellStyle name="Output 2 2 2 3 4 2" xfId="4496"/>
    <cellStyle name="Output 2 2 2 3 4 2 2" xfId="4497"/>
    <cellStyle name="Output 2 2 2 3 4 3" xfId="4498"/>
    <cellStyle name="Output 2 2 2 3 5" xfId="4499"/>
    <cellStyle name="Output 2 2 2 3 5 2" xfId="4500"/>
    <cellStyle name="Output 2 2 2 3 6" xfId="4501"/>
    <cellStyle name="Output 2 2 2 4" xfId="4502"/>
    <cellStyle name="Output 2 2 2 4 2" xfId="4503"/>
    <cellStyle name="Output 2 2 2 4 2 2" xfId="4504"/>
    <cellStyle name="Output 2 2 2 4 2 2 2" xfId="4505"/>
    <cellStyle name="Output 2 2 2 4 2 2 2 2" xfId="4506"/>
    <cellStyle name="Output 2 2 2 4 2 2 3" xfId="4507"/>
    <cellStyle name="Output 2 2 2 4 2 3" xfId="4508"/>
    <cellStyle name="Output 2 2 2 4 2 3 2" xfId="4509"/>
    <cellStyle name="Output 2 2 2 4 2 4" xfId="4510"/>
    <cellStyle name="Output 2 2 2 4 3" xfId="4511"/>
    <cellStyle name="Output 2 2 2 4 3 2" xfId="4512"/>
    <cellStyle name="Output 2 2 2 4 3 2 2" xfId="4513"/>
    <cellStyle name="Output 2 2 2 4 3 3" xfId="4514"/>
    <cellStyle name="Output 2 2 2 4 3 4" xfId="4515"/>
    <cellStyle name="Output 2 2 2 4 4" xfId="4516"/>
    <cellStyle name="Output 2 2 2 4 4 2" xfId="4517"/>
    <cellStyle name="Output 2 2 2 4 4 2 2" xfId="4518"/>
    <cellStyle name="Output 2 2 2 4 4 3" xfId="4519"/>
    <cellStyle name="Output 2 2 2 4 5" xfId="4520"/>
    <cellStyle name="Output 2 2 2 4 5 2" xfId="4521"/>
    <cellStyle name="Output 2 2 2 4 6" xfId="4522"/>
    <cellStyle name="Output 2 2 2 5" xfId="4523"/>
    <cellStyle name="Output 2 2 2 5 2" xfId="4524"/>
    <cellStyle name="Output 2 2 3" xfId="4525"/>
    <cellStyle name="Output 2 2 3 2" xfId="4526"/>
    <cellStyle name="Output 2 2 3 2 2" xfId="4527"/>
    <cellStyle name="Output 2 2 3 2 2 2" xfId="4528"/>
    <cellStyle name="Output 2 2 3 2 2 2 2" xfId="4529"/>
    <cellStyle name="Output 2 2 3 2 2 2 2 2" xfId="4530"/>
    <cellStyle name="Output 2 2 3 2 2 2 3" xfId="4531"/>
    <cellStyle name="Output 2 2 3 2 2 3" xfId="4532"/>
    <cellStyle name="Output 2 2 3 2 2 3 2" xfId="4533"/>
    <cellStyle name="Output 2 2 3 2 2 4" xfId="4534"/>
    <cellStyle name="Output 2 2 3 2 3" xfId="4535"/>
    <cellStyle name="Output 2 2 3 2 3 2" xfId="4536"/>
    <cellStyle name="Output 2 2 3 2 3 2 2" xfId="4537"/>
    <cellStyle name="Output 2 2 3 2 3 3" xfId="4538"/>
    <cellStyle name="Output 2 2 3 2 3 4" xfId="4539"/>
    <cellStyle name="Output 2 2 3 2 4" xfId="4540"/>
    <cellStyle name="Output 2 2 3 2 4 2" xfId="4541"/>
    <cellStyle name="Output 2 2 3 2 4 2 2" xfId="4542"/>
    <cellStyle name="Output 2 2 3 2 4 3" xfId="4543"/>
    <cellStyle name="Output 2 2 3 2 5" xfId="4544"/>
    <cellStyle name="Output 2 2 3 2 5 2" xfId="4545"/>
    <cellStyle name="Output 2 2 3 2 6" xfId="4546"/>
    <cellStyle name="Output 2 2 3 3" xfId="4547"/>
    <cellStyle name="Output 2 2 3 3 2" xfId="4548"/>
    <cellStyle name="Output 2 2 3 3 2 2" xfId="4549"/>
    <cellStyle name="Output 2 2 3 3 2 2 2" xfId="4550"/>
    <cellStyle name="Output 2 2 3 3 2 2 2 2" xfId="4551"/>
    <cellStyle name="Output 2 2 3 3 2 2 3" xfId="4552"/>
    <cellStyle name="Output 2 2 3 3 2 3" xfId="4553"/>
    <cellStyle name="Output 2 2 3 3 2 3 2" xfId="4554"/>
    <cellStyle name="Output 2 2 3 3 2 4" xfId="4555"/>
    <cellStyle name="Output 2 2 3 3 3" xfId="4556"/>
    <cellStyle name="Output 2 2 3 3 3 2" xfId="4557"/>
    <cellStyle name="Output 2 2 3 3 3 2 2" xfId="4558"/>
    <cellStyle name="Output 2 2 3 3 3 3" xfId="4559"/>
    <cellStyle name="Output 2 2 3 3 3 4" xfId="4560"/>
    <cellStyle name="Output 2 2 3 3 4" xfId="4561"/>
    <cellStyle name="Output 2 2 3 3 4 2" xfId="4562"/>
    <cellStyle name="Output 2 2 3 3 4 2 2" xfId="4563"/>
    <cellStyle name="Output 2 2 3 3 4 3" xfId="4564"/>
    <cellStyle name="Output 2 2 3 3 5" xfId="4565"/>
    <cellStyle name="Output 2 2 3 3 5 2" xfId="4566"/>
    <cellStyle name="Output 2 2 3 3 6" xfId="4567"/>
    <cellStyle name="Output 2 2 3 4" xfId="4568"/>
    <cellStyle name="Output 2 2 3 4 2" xfId="4569"/>
    <cellStyle name="Output 2 2 4" xfId="4570"/>
    <cellStyle name="Output 2 2 4 2" xfId="4571"/>
    <cellStyle name="Output 2 2 4 2 2" xfId="4572"/>
    <cellStyle name="Output 2 2 4 2 2 2" xfId="4573"/>
    <cellStyle name="Output 2 2 4 2 2 2 2" xfId="4574"/>
    <cellStyle name="Output 2 2 4 2 2 2 2 2" xfId="4575"/>
    <cellStyle name="Output 2 2 4 2 2 2 3" xfId="4576"/>
    <cellStyle name="Output 2 2 4 2 2 3" xfId="4577"/>
    <cellStyle name="Output 2 2 4 2 2 3 2" xfId="4578"/>
    <cellStyle name="Output 2 2 4 2 2 4" xfId="4579"/>
    <cellStyle name="Output 2 2 4 2 3" xfId="4580"/>
    <cellStyle name="Output 2 2 4 2 3 2" xfId="4581"/>
    <cellStyle name="Output 2 2 4 2 3 2 2" xfId="4582"/>
    <cellStyle name="Output 2 2 4 2 3 3" xfId="4583"/>
    <cellStyle name="Output 2 2 4 2 3 4" xfId="4584"/>
    <cellStyle name="Output 2 2 4 2 4" xfId="4585"/>
    <cellStyle name="Output 2 2 4 2 4 2" xfId="4586"/>
    <cellStyle name="Output 2 2 4 2 4 2 2" xfId="4587"/>
    <cellStyle name="Output 2 2 4 2 4 3" xfId="4588"/>
    <cellStyle name="Output 2 2 4 2 5" xfId="4589"/>
    <cellStyle name="Output 2 2 4 2 5 2" xfId="4590"/>
    <cellStyle name="Output 2 2 4 2 6" xfId="4591"/>
    <cellStyle name="Output 2 2 4 3" xfId="4592"/>
    <cellStyle name="Output 2 2 4 3 2" xfId="4593"/>
    <cellStyle name="Output 2 2 4 3 2 2" xfId="4594"/>
    <cellStyle name="Output 2 2 4 3 3" xfId="4595"/>
    <cellStyle name="Output 2 2 4 4" xfId="4596"/>
    <cellStyle name="Output 2 2 4 4 2" xfId="4597"/>
    <cellStyle name="Output 2 2 4 4 2 2" xfId="4598"/>
    <cellStyle name="Output 2 2 4 4 2 2 2" xfId="4599"/>
    <cellStyle name="Output 2 2 4 4 2 2 2 2" xfId="4600"/>
    <cellStyle name="Output 2 2 4 4 2 2 3" xfId="4601"/>
    <cellStyle name="Output 2 2 4 4 2 3" xfId="4602"/>
    <cellStyle name="Output 2 2 4 4 2 3 2" xfId="4603"/>
    <cellStyle name="Output 2 2 4 4 2 4" xfId="4604"/>
    <cellStyle name="Output 2 2 4 4 3" xfId="4605"/>
    <cellStyle name="Output 2 2 4 4 3 2" xfId="4606"/>
    <cellStyle name="Output 2 2 4 4 3 2 2" xfId="4607"/>
    <cellStyle name="Output 2 2 4 4 3 3" xfId="4608"/>
    <cellStyle name="Output 2 2 4 4 3 4" xfId="4609"/>
    <cellStyle name="Output 2 2 4 4 4" xfId="4610"/>
    <cellStyle name="Output 2 2 4 4 4 2" xfId="4611"/>
    <cellStyle name="Output 2 2 4 4 4 2 2" xfId="4612"/>
    <cellStyle name="Output 2 2 4 4 4 3" xfId="4613"/>
    <cellStyle name="Output 2 2 4 4 5" xfId="4614"/>
    <cellStyle name="Output 2 2 4 4 5 2" xfId="4615"/>
    <cellStyle name="Output 2 2 4 4 6" xfId="4616"/>
    <cellStyle name="Output 2 2 4 5" xfId="4617"/>
    <cellStyle name="Output 2 2 4 5 2" xfId="4618"/>
    <cellStyle name="Output 2 2 4 5 2 2" xfId="4619"/>
    <cellStyle name="Output 2 2 4 5 2 2 2" xfId="4620"/>
    <cellStyle name="Output 2 2 4 5 2 3" xfId="4621"/>
    <cellStyle name="Output 2 2 4 5 3" xfId="4622"/>
    <cellStyle name="Output 2 2 4 5 3 2" xfId="4623"/>
    <cellStyle name="Output 2 2 4 5 4" xfId="4624"/>
    <cellStyle name="Output 2 2 4 6" xfId="4625"/>
    <cellStyle name="Output 2 2 4 6 2" xfId="4626"/>
    <cellStyle name="Output 2 2 4 6 2 2" xfId="4627"/>
    <cellStyle name="Output 2 2 4 6 3" xfId="4628"/>
    <cellStyle name="Output 2 2 4 6 4" xfId="4629"/>
    <cellStyle name="Output 2 2 4 7" xfId="4630"/>
    <cellStyle name="Output 2 2 4 7 2" xfId="4631"/>
    <cellStyle name="Output 2 2 4 7 2 2" xfId="4632"/>
    <cellStyle name="Output 2 2 4 7 3" xfId="4633"/>
    <cellStyle name="Output 2 2 4 8" xfId="4634"/>
    <cellStyle name="Output 2 2 4 8 2" xfId="4635"/>
    <cellStyle name="Output 2 2 4 9" xfId="4636"/>
    <cellStyle name="Output 2 2 5" xfId="4637"/>
    <cellStyle name="Output 2 2 5 2" xfId="4638"/>
    <cellStyle name="Output 2 2 5 2 2" xfId="4639"/>
    <cellStyle name="Output 2 2 5 2 2 2" xfId="4640"/>
    <cellStyle name="Output 2 2 5 2 2 2 2" xfId="4641"/>
    <cellStyle name="Output 2 2 5 2 2 3" xfId="4642"/>
    <cellStyle name="Output 2 2 5 2 3" xfId="4643"/>
    <cellStyle name="Output 2 2 5 2 3 2" xfId="4644"/>
    <cellStyle name="Output 2 2 5 2 4" xfId="4645"/>
    <cellStyle name="Output 2 2 5 3" xfId="4646"/>
    <cellStyle name="Output 2 2 5 3 2" xfId="4647"/>
    <cellStyle name="Output 2 2 5 3 2 2" xfId="4648"/>
    <cellStyle name="Output 2 2 5 3 3" xfId="4649"/>
    <cellStyle name="Output 2 2 5 3 4" xfId="4650"/>
    <cellStyle name="Output 2 2 5 4" xfId="4651"/>
    <cellStyle name="Output 2 2 5 4 2" xfId="4652"/>
    <cellStyle name="Output 2 2 5 4 2 2" xfId="4653"/>
    <cellStyle name="Output 2 2 5 4 3" xfId="4654"/>
    <cellStyle name="Output 2 2 5 5" xfId="4655"/>
    <cellStyle name="Output 2 2 5 5 2" xfId="4656"/>
    <cellStyle name="Output 2 2 5 6" xfId="4657"/>
    <cellStyle name="Output 2 3" xfId="4658"/>
    <cellStyle name="Output 2 3 2" xfId="4659"/>
    <cellStyle name="Output 2 3 2 2" xfId="4660"/>
    <cellStyle name="Output 2 3 2 2 2" xfId="4661"/>
    <cellStyle name="Output 2 3 2 2 2 2" xfId="4662"/>
    <cellStyle name="Output 2 3 2 2 2 2 2" xfId="4663"/>
    <cellStyle name="Output 2 3 2 2 2 2 2 2" xfId="4664"/>
    <cellStyle name="Output 2 3 2 2 2 2 3" xfId="4665"/>
    <cellStyle name="Output 2 3 2 2 2 3" xfId="4666"/>
    <cellStyle name="Output 2 3 2 2 2 3 2" xfId="4667"/>
    <cellStyle name="Output 2 3 2 2 2 4" xfId="4668"/>
    <cellStyle name="Output 2 3 2 2 3" xfId="4669"/>
    <cellStyle name="Output 2 3 2 2 3 2" xfId="4670"/>
    <cellStyle name="Output 2 3 2 2 3 2 2" xfId="4671"/>
    <cellStyle name="Output 2 3 2 2 3 3" xfId="4672"/>
    <cellStyle name="Output 2 3 2 2 3 4" xfId="4673"/>
    <cellStyle name="Output 2 3 2 2 4" xfId="4674"/>
    <cellStyle name="Output 2 3 2 2 4 2" xfId="4675"/>
    <cellStyle name="Output 2 3 2 2 4 2 2" xfId="4676"/>
    <cellStyle name="Output 2 3 2 2 4 3" xfId="4677"/>
    <cellStyle name="Output 2 3 2 2 5" xfId="4678"/>
    <cellStyle name="Output 2 3 2 2 5 2" xfId="4679"/>
    <cellStyle name="Output 2 3 2 2 6" xfId="4680"/>
    <cellStyle name="Output 2 3 2 3" xfId="4681"/>
    <cellStyle name="Output 2 3 2 3 2" xfId="4682"/>
    <cellStyle name="Output 2 3 2 3 2 2" xfId="4683"/>
    <cellStyle name="Output 2 3 2 3 2 2 2" xfId="4684"/>
    <cellStyle name="Output 2 3 2 3 2 2 2 2" xfId="4685"/>
    <cellStyle name="Output 2 3 2 3 2 2 3" xfId="4686"/>
    <cellStyle name="Output 2 3 2 3 2 3" xfId="4687"/>
    <cellStyle name="Output 2 3 2 3 2 3 2" xfId="4688"/>
    <cellStyle name="Output 2 3 2 3 2 4" xfId="4689"/>
    <cellStyle name="Output 2 3 2 3 3" xfId="4690"/>
    <cellStyle name="Output 2 3 2 3 3 2" xfId="4691"/>
    <cellStyle name="Output 2 3 2 3 3 2 2" xfId="4692"/>
    <cellStyle name="Output 2 3 2 3 3 3" xfId="4693"/>
    <cellStyle name="Output 2 3 2 3 3 4" xfId="4694"/>
    <cellStyle name="Output 2 3 2 3 4" xfId="4695"/>
    <cellStyle name="Output 2 3 2 3 4 2" xfId="4696"/>
    <cellStyle name="Output 2 3 2 3 4 2 2" xfId="4697"/>
    <cellStyle name="Output 2 3 2 3 4 3" xfId="4698"/>
    <cellStyle name="Output 2 3 2 3 5" xfId="4699"/>
    <cellStyle name="Output 2 3 2 3 5 2" xfId="4700"/>
    <cellStyle name="Output 2 3 2 3 6" xfId="4701"/>
    <cellStyle name="Output 2 3 2 4" xfId="4702"/>
    <cellStyle name="Output 2 3 2 4 2" xfId="4703"/>
    <cellStyle name="Output 2 3 3" xfId="4704"/>
    <cellStyle name="Output 2 3 3 2" xfId="4705"/>
    <cellStyle name="Output 2 3 3 2 2" xfId="4706"/>
    <cellStyle name="Output 2 3 3 2 2 2" xfId="4707"/>
    <cellStyle name="Output 2 3 3 2 2 2 2" xfId="4708"/>
    <cellStyle name="Output 2 3 3 2 2 3" xfId="4709"/>
    <cellStyle name="Output 2 3 3 2 3" xfId="4710"/>
    <cellStyle name="Output 2 3 3 2 3 2" xfId="4711"/>
    <cellStyle name="Output 2 3 3 2 4" xfId="4712"/>
    <cellStyle name="Output 2 3 3 3" xfId="4713"/>
    <cellStyle name="Output 2 3 3 3 2" xfId="4714"/>
    <cellStyle name="Output 2 3 3 3 2 2" xfId="4715"/>
    <cellStyle name="Output 2 3 3 3 3" xfId="4716"/>
    <cellStyle name="Output 2 3 3 3 4" xfId="4717"/>
    <cellStyle name="Output 2 3 3 4" xfId="4718"/>
    <cellStyle name="Output 2 3 3 4 2" xfId="4719"/>
    <cellStyle name="Output 2 3 3 4 2 2" xfId="4720"/>
    <cellStyle name="Output 2 3 3 4 3" xfId="4721"/>
    <cellStyle name="Output 2 3 3 5" xfId="4722"/>
    <cellStyle name="Output 2 3 3 5 2" xfId="4723"/>
    <cellStyle name="Output 2 3 3 6" xfId="4724"/>
    <cellStyle name="Output 2 3 4" xfId="4725"/>
    <cellStyle name="Output 2 3 4 2" xfId="4726"/>
    <cellStyle name="Output 2 3 4 2 2" xfId="4727"/>
    <cellStyle name="Output 2 3 4 2 2 2" xfId="4728"/>
    <cellStyle name="Output 2 3 4 2 2 2 2" xfId="4729"/>
    <cellStyle name="Output 2 3 4 2 2 3" xfId="4730"/>
    <cellStyle name="Output 2 3 4 2 3" xfId="4731"/>
    <cellStyle name="Output 2 3 4 2 3 2" xfId="4732"/>
    <cellStyle name="Output 2 3 4 2 4" xfId="4733"/>
    <cellStyle name="Output 2 3 4 3" xfId="4734"/>
    <cellStyle name="Output 2 3 4 3 2" xfId="4735"/>
    <cellStyle name="Output 2 3 4 3 2 2" xfId="4736"/>
    <cellStyle name="Output 2 3 4 3 3" xfId="4737"/>
    <cellStyle name="Output 2 3 4 3 4" xfId="4738"/>
    <cellStyle name="Output 2 3 4 4" xfId="4739"/>
    <cellStyle name="Output 2 3 4 4 2" xfId="4740"/>
    <cellStyle name="Output 2 3 4 4 2 2" xfId="4741"/>
    <cellStyle name="Output 2 3 4 4 3" xfId="4742"/>
    <cellStyle name="Output 2 3 4 5" xfId="4743"/>
    <cellStyle name="Output 2 3 4 5 2" xfId="4744"/>
    <cellStyle name="Output 2 3 4 6" xfId="4745"/>
    <cellStyle name="Output 2 3 5" xfId="4746"/>
    <cellStyle name="Output 2 3 5 2" xfId="4747"/>
    <cellStyle name="Output 2 4" xfId="4748"/>
    <cellStyle name="Output 2 4 2" xfId="4749"/>
    <cellStyle name="Output 2 4 2 2" xfId="4750"/>
    <cellStyle name="Output 2 4 2 2 2" xfId="4751"/>
    <cellStyle name="Output 2 4 2 2 2 2" xfId="4752"/>
    <cellStyle name="Output 2 4 2 2 2 2 2" xfId="4753"/>
    <cellStyle name="Output 2 4 2 2 2 3" xfId="4754"/>
    <cellStyle name="Output 2 4 2 2 3" xfId="4755"/>
    <cellStyle name="Output 2 4 2 2 3 2" xfId="4756"/>
    <cellStyle name="Output 2 4 2 2 4" xfId="4757"/>
    <cellStyle name="Output 2 4 2 3" xfId="4758"/>
    <cellStyle name="Output 2 4 2 3 2" xfId="4759"/>
    <cellStyle name="Output 2 4 2 3 2 2" xfId="4760"/>
    <cellStyle name="Output 2 4 2 3 3" xfId="4761"/>
    <cellStyle name="Output 2 4 2 3 4" xfId="4762"/>
    <cellStyle name="Output 2 4 2 4" xfId="4763"/>
    <cellStyle name="Output 2 4 2 4 2" xfId="4764"/>
    <cellStyle name="Output 2 4 2 4 2 2" xfId="4765"/>
    <cellStyle name="Output 2 4 2 4 3" xfId="4766"/>
    <cellStyle name="Output 2 4 2 5" xfId="4767"/>
    <cellStyle name="Output 2 4 2 5 2" xfId="4768"/>
    <cellStyle name="Output 2 4 2 6" xfId="4769"/>
    <cellStyle name="Output 2 4 3" xfId="4770"/>
    <cellStyle name="Output 2 4 3 2" xfId="4771"/>
    <cellStyle name="Output 2 4 3 2 2" xfId="4772"/>
    <cellStyle name="Output 2 4 3 2 2 2" xfId="4773"/>
    <cellStyle name="Output 2 4 3 2 2 2 2" xfId="4774"/>
    <cellStyle name="Output 2 4 3 2 2 3" xfId="4775"/>
    <cellStyle name="Output 2 4 3 2 3" xfId="4776"/>
    <cellStyle name="Output 2 4 3 2 3 2" xfId="4777"/>
    <cellStyle name="Output 2 4 3 2 4" xfId="4778"/>
    <cellStyle name="Output 2 4 3 3" xfId="4779"/>
    <cellStyle name="Output 2 4 3 3 2" xfId="4780"/>
    <cellStyle name="Output 2 4 3 3 2 2" xfId="4781"/>
    <cellStyle name="Output 2 4 3 3 3" xfId="4782"/>
    <cellStyle name="Output 2 4 3 3 4" xfId="4783"/>
    <cellStyle name="Output 2 4 3 4" xfId="4784"/>
    <cellStyle name="Output 2 4 3 4 2" xfId="4785"/>
    <cellStyle name="Output 2 4 3 4 2 2" xfId="4786"/>
    <cellStyle name="Output 2 4 3 4 3" xfId="4787"/>
    <cellStyle name="Output 2 4 3 5" xfId="4788"/>
    <cellStyle name="Output 2 4 3 5 2" xfId="4789"/>
    <cellStyle name="Output 2 4 3 6" xfId="4790"/>
    <cellStyle name="Output 2 4 4" xfId="4791"/>
    <cellStyle name="Output 2 4 4 2" xfId="4792"/>
    <cellStyle name="Output 2 5" xfId="4793"/>
    <cellStyle name="Output 2 5 2" xfId="4794"/>
    <cellStyle name="Output 2 5 2 2" xfId="4795"/>
    <cellStyle name="Output 2 5 2 2 2" xfId="4796"/>
    <cellStyle name="Output 2 5 2 2 2 2" xfId="4797"/>
    <cellStyle name="Output 2 5 2 2 2 2 2" xfId="4798"/>
    <cellStyle name="Output 2 5 2 2 2 3" xfId="4799"/>
    <cellStyle name="Output 2 5 2 2 3" xfId="4800"/>
    <cellStyle name="Output 2 5 2 2 3 2" xfId="4801"/>
    <cellStyle name="Output 2 5 2 2 4" xfId="4802"/>
    <cellStyle name="Output 2 5 2 3" xfId="4803"/>
    <cellStyle name="Output 2 5 2 3 2" xfId="4804"/>
    <cellStyle name="Output 2 5 2 3 2 2" xfId="4805"/>
    <cellStyle name="Output 2 5 2 3 3" xfId="4806"/>
    <cellStyle name="Output 2 5 2 3 4" xfId="4807"/>
    <cellStyle name="Output 2 5 2 4" xfId="4808"/>
    <cellStyle name="Output 2 5 2 4 2" xfId="4809"/>
    <cellStyle name="Output 2 5 2 4 2 2" xfId="4810"/>
    <cellStyle name="Output 2 5 2 4 3" xfId="4811"/>
    <cellStyle name="Output 2 5 2 5" xfId="4812"/>
    <cellStyle name="Output 2 5 2 5 2" xfId="4813"/>
    <cellStyle name="Output 2 5 2 6" xfId="4814"/>
    <cellStyle name="Output 2 5 3" xfId="4815"/>
    <cellStyle name="Output 2 5 3 2" xfId="4816"/>
    <cellStyle name="Output 2 5 3 2 2" xfId="4817"/>
    <cellStyle name="Output 2 5 3 3" xfId="4818"/>
    <cellStyle name="Output 2 5 4" xfId="4819"/>
    <cellStyle name="Output 2 5 4 2" xfId="4820"/>
    <cellStyle name="Output 2 5 4 2 2" xfId="4821"/>
    <cellStyle name="Output 2 5 4 2 2 2" xfId="4822"/>
    <cellStyle name="Output 2 5 4 2 2 2 2" xfId="4823"/>
    <cellStyle name="Output 2 5 4 2 2 3" xfId="4824"/>
    <cellStyle name="Output 2 5 4 2 3" xfId="4825"/>
    <cellStyle name="Output 2 5 4 2 3 2" xfId="4826"/>
    <cellStyle name="Output 2 5 4 2 4" xfId="4827"/>
    <cellStyle name="Output 2 5 4 3" xfId="4828"/>
    <cellStyle name="Output 2 5 4 3 2" xfId="4829"/>
    <cellStyle name="Output 2 5 4 3 2 2" xfId="4830"/>
    <cellStyle name="Output 2 5 4 3 3" xfId="4831"/>
    <cellStyle name="Output 2 5 4 3 4" xfId="4832"/>
    <cellStyle name="Output 2 5 4 4" xfId="4833"/>
    <cellStyle name="Output 2 5 4 4 2" xfId="4834"/>
    <cellStyle name="Output 2 5 4 4 2 2" xfId="4835"/>
    <cellStyle name="Output 2 5 4 4 3" xfId="4836"/>
    <cellStyle name="Output 2 5 4 5" xfId="4837"/>
    <cellStyle name="Output 2 5 4 5 2" xfId="4838"/>
    <cellStyle name="Output 2 5 4 6" xfId="4839"/>
    <cellStyle name="Output 2 5 5" xfId="4840"/>
    <cellStyle name="Output 2 5 5 2" xfId="4841"/>
    <cellStyle name="Output 2 5 5 2 2" xfId="4842"/>
    <cellStyle name="Output 2 5 5 2 2 2" xfId="4843"/>
    <cellStyle name="Output 2 5 5 2 3" xfId="4844"/>
    <cellStyle name="Output 2 5 5 3" xfId="4845"/>
    <cellStyle name="Output 2 5 5 3 2" xfId="4846"/>
    <cellStyle name="Output 2 5 5 4" xfId="4847"/>
    <cellStyle name="Output 2 5 6" xfId="4848"/>
    <cellStyle name="Output 2 5 6 2" xfId="4849"/>
    <cellStyle name="Output 2 5 6 2 2" xfId="4850"/>
    <cellStyle name="Output 2 5 6 3" xfId="4851"/>
    <cellStyle name="Output 2 5 6 4" xfId="4852"/>
    <cellStyle name="Output 2 5 7" xfId="4853"/>
    <cellStyle name="Output 2 5 7 2" xfId="4854"/>
    <cellStyle name="Output 2 5 7 2 2" xfId="4855"/>
    <cellStyle name="Output 2 5 7 3" xfId="4856"/>
    <cellStyle name="Output 2 5 8" xfId="4857"/>
    <cellStyle name="Output 2 5 8 2" xfId="4858"/>
    <cellStyle name="Output 2 5 9" xfId="4859"/>
    <cellStyle name="Output 2 6" xfId="4860"/>
    <cellStyle name="Output 2 6 2" xfId="4861"/>
    <cellStyle name="Output 2 6 2 2" xfId="4862"/>
    <cellStyle name="Output 2 6 2 2 2" xfId="4863"/>
    <cellStyle name="Output 2 6 2 2 2 2" xfId="4864"/>
    <cellStyle name="Output 2 6 2 2 3" xfId="4865"/>
    <cellStyle name="Output 2 6 2 3" xfId="4866"/>
    <cellStyle name="Output 2 6 2 3 2" xfId="4867"/>
    <cellStyle name="Output 2 6 2 4" xfId="4868"/>
    <cellStyle name="Output 2 6 3" xfId="4869"/>
    <cellStyle name="Output 2 6 3 2" xfId="4870"/>
    <cellStyle name="Output 2 6 3 2 2" xfId="4871"/>
    <cellStyle name="Output 2 6 3 3" xfId="4872"/>
    <cellStyle name="Output 2 6 3 4" xfId="4873"/>
    <cellStyle name="Output 2 6 4" xfId="4874"/>
    <cellStyle name="Output 2 6 4 2" xfId="4875"/>
    <cellStyle name="Output 2 6 4 2 2" xfId="4876"/>
    <cellStyle name="Output 2 6 4 3" xfId="4877"/>
    <cellStyle name="Output 2 6 5" xfId="4878"/>
    <cellStyle name="Output 2 6 5 2" xfId="4879"/>
    <cellStyle name="Output 2 6 6" xfId="4880"/>
    <cellStyle name="Output 3" xfId="4881"/>
    <cellStyle name="Output 3 2" xfId="4882"/>
    <cellStyle name="Output 3 2 2" xfId="4883"/>
    <cellStyle name="Output 3 2 2 2" xfId="4884"/>
    <cellStyle name="Output 3 2 2 2 2" xfId="4885"/>
    <cellStyle name="Output 3 2 2 2 2 2" xfId="4886"/>
    <cellStyle name="Output 3 2 2 2 2 2 2" xfId="4887"/>
    <cellStyle name="Output 3 2 2 2 2 2 2 2" xfId="4888"/>
    <cellStyle name="Output 3 2 2 2 2 2 3" xfId="4889"/>
    <cellStyle name="Output 3 2 2 2 2 3" xfId="4890"/>
    <cellStyle name="Output 3 2 2 2 2 3 2" xfId="4891"/>
    <cellStyle name="Output 3 2 2 2 2 4" xfId="4892"/>
    <cellStyle name="Output 3 2 2 2 3" xfId="4893"/>
    <cellStyle name="Output 3 2 2 2 3 2" xfId="4894"/>
    <cellStyle name="Output 3 2 2 2 3 2 2" xfId="4895"/>
    <cellStyle name="Output 3 2 2 2 3 3" xfId="4896"/>
    <cellStyle name="Output 3 2 2 2 3 4" xfId="4897"/>
    <cellStyle name="Output 3 2 2 2 4" xfId="4898"/>
    <cellStyle name="Output 3 2 2 2 4 2" xfId="4899"/>
    <cellStyle name="Output 3 2 2 2 4 2 2" xfId="4900"/>
    <cellStyle name="Output 3 2 2 2 4 3" xfId="4901"/>
    <cellStyle name="Output 3 2 2 2 5" xfId="4902"/>
    <cellStyle name="Output 3 2 2 2 5 2" xfId="4903"/>
    <cellStyle name="Output 3 2 2 2 6" xfId="4904"/>
    <cellStyle name="Output 3 2 2 3" xfId="4905"/>
    <cellStyle name="Output 3 2 2 3 2" xfId="4906"/>
    <cellStyle name="Output 3 2 2 3 2 2" xfId="4907"/>
    <cellStyle name="Output 3 2 2 3 2 2 2" xfId="4908"/>
    <cellStyle name="Output 3 2 2 3 2 2 2 2" xfId="4909"/>
    <cellStyle name="Output 3 2 2 3 2 2 3" xfId="4910"/>
    <cellStyle name="Output 3 2 2 3 2 3" xfId="4911"/>
    <cellStyle name="Output 3 2 2 3 2 3 2" xfId="4912"/>
    <cellStyle name="Output 3 2 2 3 2 4" xfId="4913"/>
    <cellStyle name="Output 3 2 2 3 3" xfId="4914"/>
    <cellStyle name="Output 3 2 2 3 3 2" xfId="4915"/>
    <cellStyle name="Output 3 2 2 3 3 2 2" xfId="4916"/>
    <cellStyle name="Output 3 2 2 3 3 3" xfId="4917"/>
    <cellStyle name="Output 3 2 2 3 3 4" xfId="4918"/>
    <cellStyle name="Output 3 2 2 3 4" xfId="4919"/>
    <cellStyle name="Output 3 2 2 3 4 2" xfId="4920"/>
    <cellStyle name="Output 3 2 2 3 4 2 2" xfId="4921"/>
    <cellStyle name="Output 3 2 2 3 4 3" xfId="4922"/>
    <cellStyle name="Output 3 2 2 3 5" xfId="4923"/>
    <cellStyle name="Output 3 2 2 3 5 2" xfId="4924"/>
    <cellStyle name="Output 3 2 2 3 6" xfId="4925"/>
    <cellStyle name="Output 3 2 2 4" xfId="4926"/>
    <cellStyle name="Output 3 2 2 4 2" xfId="4927"/>
    <cellStyle name="Output 3 2 3" xfId="4928"/>
    <cellStyle name="Output 3 2 3 2" xfId="4929"/>
    <cellStyle name="Output 3 2 3 2 2" xfId="4930"/>
    <cellStyle name="Output 3 2 3 2 2 2" xfId="4931"/>
    <cellStyle name="Output 3 2 3 2 2 2 2" xfId="4932"/>
    <cellStyle name="Output 3 2 3 2 2 3" xfId="4933"/>
    <cellStyle name="Output 3 2 3 2 3" xfId="4934"/>
    <cellStyle name="Output 3 2 3 2 3 2" xfId="4935"/>
    <cellStyle name="Output 3 2 3 2 4" xfId="4936"/>
    <cellStyle name="Output 3 2 3 3" xfId="4937"/>
    <cellStyle name="Output 3 2 3 3 2" xfId="4938"/>
    <cellStyle name="Output 3 2 3 3 2 2" xfId="4939"/>
    <cellStyle name="Output 3 2 3 3 3" xfId="4940"/>
    <cellStyle name="Output 3 2 3 3 4" xfId="4941"/>
    <cellStyle name="Output 3 2 3 4" xfId="4942"/>
    <cellStyle name="Output 3 2 3 4 2" xfId="4943"/>
    <cellStyle name="Output 3 2 3 4 2 2" xfId="4944"/>
    <cellStyle name="Output 3 2 3 4 3" xfId="4945"/>
    <cellStyle name="Output 3 2 3 5" xfId="4946"/>
    <cellStyle name="Output 3 2 3 5 2" xfId="4947"/>
    <cellStyle name="Output 3 2 3 6" xfId="4948"/>
    <cellStyle name="Output 3 2 4" xfId="4949"/>
    <cellStyle name="Output 3 2 4 2" xfId="4950"/>
    <cellStyle name="Output 3 2 4 2 2" xfId="4951"/>
    <cellStyle name="Output 3 2 4 2 2 2" xfId="4952"/>
    <cellStyle name="Output 3 2 4 2 2 2 2" xfId="4953"/>
    <cellStyle name="Output 3 2 4 2 2 3" xfId="4954"/>
    <cellStyle name="Output 3 2 4 2 3" xfId="4955"/>
    <cellStyle name="Output 3 2 4 2 3 2" xfId="4956"/>
    <cellStyle name="Output 3 2 4 2 4" xfId="4957"/>
    <cellStyle name="Output 3 2 4 3" xfId="4958"/>
    <cellStyle name="Output 3 2 4 3 2" xfId="4959"/>
    <cellStyle name="Output 3 2 4 3 2 2" xfId="4960"/>
    <cellStyle name="Output 3 2 4 3 3" xfId="4961"/>
    <cellStyle name="Output 3 2 4 3 4" xfId="4962"/>
    <cellStyle name="Output 3 2 4 4" xfId="4963"/>
    <cellStyle name="Output 3 2 4 4 2" xfId="4964"/>
    <cellStyle name="Output 3 2 4 4 2 2" xfId="4965"/>
    <cellStyle name="Output 3 2 4 4 3" xfId="4966"/>
    <cellStyle name="Output 3 2 4 5" xfId="4967"/>
    <cellStyle name="Output 3 2 4 5 2" xfId="4968"/>
    <cellStyle name="Output 3 2 4 6" xfId="4969"/>
    <cellStyle name="Output 3 2 5" xfId="4970"/>
    <cellStyle name="Output 3 2 5 2" xfId="4971"/>
    <cellStyle name="Output 3 3" xfId="4972"/>
    <cellStyle name="Output 3 3 2" xfId="4973"/>
    <cellStyle name="Output 3 3 2 2" xfId="4974"/>
    <cellStyle name="Output 3 3 2 2 2" xfId="4975"/>
    <cellStyle name="Output 3 3 2 2 2 2" xfId="4976"/>
    <cellStyle name="Output 3 3 2 2 2 2 2" xfId="4977"/>
    <cellStyle name="Output 3 3 2 2 2 3" xfId="4978"/>
    <cellStyle name="Output 3 3 2 2 3" xfId="4979"/>
    <cellStyle name="Output 3 3 2 2 3 2" xfId="4980"/>
    <cellStyle name="Output 3 3 2 2 4" xfId="4981"/>
    <cellStyle name="Output 3 3 2 3" xfId="4982"/>
    <cellStyle name="Output 3 3 2 3 2" xfId="4983"/>
    <cellStyle name="Output 3 3 2 3 2 2" xfId="4984"/>
    <cellStyle name="Output 3 3 2 3 3" xfId="4985"/>
    <cellStyle name="Output 3 3 2 3 4" xfId="4986"/>
    <cellStyle name="Output 3 3 2 4" xfId="4987"/>
    <cellStyle name="Output 3 3 2 4 2" xfId="4988"/>
    <cellStyle name="Output 3 3 2 4 2 2" xfId="4989"/>
    <cellStyle name="Output 3 3 2 4 3" xfId="4990"/>
    <cellStyle name="Output 3 3 2 5" xfId="4991"/>
    <cellStyle name="Output 3 3 2 5 2" xfId="4992"/>
    <cellStyle name="Output 3 3 2 6" xfId="4993"/>
    <cellStyle name="Output 3 3 3" xfId="4994"/>
    <cellStyle name="Output 3 3 3 2" xfId="4995"/>
    <cellStyle name="Output 3 3 3 2 2" xfId="4996"/>
    <cellStyle name="Output 3 3 3 2 2 2" xfId="4997"/>
    <cellStyle name="Output 3 3 3 2 2 2 2" xfId="4998"/>
    <cellStyle name="Output 3 3 3 2 2 3" xfId="4999"/>
    <cellStyle name="Output 3 3 3 2 3" xfId="5000"/>
    <cellStyle name="Output 3 3 3 2 3 2" xfId="5001"/>
    <cellStyle name="Output 3 3 3 2 4" xfId="5002"/>
    <cellStyle name="Output 3 3 3 3" xfId="5003"/>
    <cellStyle name="Output 3 3 3 3 2" xfId="5004"/>
    <cellStyle name="Output 3 3 3 3 2 2" xfId="5005"/>
    <cellStyle name="Output 3 3 3 3 3" xfId="5006"/>
    <cellStyle name="Output 3 3 3 3 4" xfId="5007"/>
    <cellStyle name="Output 3 3 3 4" xfId="5008"/>
    <cellStyle name="Output 3 3 3 4 2" xfId="5009"/>
    <cellStyle name="Output 3 3 3 4 2 2" xfId="5010"/>
    <cellStyle name="Output 3 3 3 4 3" xfId="5011"/>
    <cellStyle name="Output 3 3 3 5" xfId="5012"/>
    <cellStyle name="Output 3 3 3 5 2" xfId="5013"/>
    <cellStyle name="Output 3 3 3 6" xfId="5014"/>
    <cellStyle name="Output 3 3 4" xfId="5015"/>
    <cellStyle name="Output 3 3 4 2" xfId="5016"/>
    <cellStyle name="Output 3 4" xfId="5017"/>
    <cellStyle name="Output 3 4 2" xfId="5018"/>
    <cellStyle name="Output 3 4 2 2" xfId="5019"/>
    <cellStyle name="Output 3 4 2 2 2" xfId="5020"/>
    <cellStyle name="Output 3 4 2 2 2 2" xfId="5021"/>
    <cellStyle name="Output 3 4 2 2 2 2 2" xfId="5022"/>
    <cellStyle name="Output 3 4 2 2 2 3" xfId="5023"/>
    <cellStyle name="Output 3 4 2 2 3" xfId="5024"/>
    <cellStyle name="Output 3 4 2 2 3 2" xfId="5025"/>
    <cellStyle name="Output 3 4 2 2 4" xfId="5026"/>
    <cellStyle name="Output 3 4 2 3" xfId="5027"/>
    <cellStyle name="Output 3 4 2 3 2" xfId="5028"/>
    <cellStyle name="Output 3 4 2 3 2 2" xfId="5029"/>
    <cellStyle name="Output 3 4 2 3 3" xfId="5030"/>
    <cellStyle name="Output 3 4 2 3 4" xfId="5031"/>
    <cellStyle name="Output 3 4 2 4" xfId="5032"/>
    <cellStyle name="Output 3 4 2 4 2" xfId="5033"/>
    <cellStyle name="Output 3 4 2 4 2 2" xfId="5034"/>
    <cellStyle name="Output 3 4 2 4 3" xfId="5035"/>
    <cellStyle name="Output 3 4 2 5" xfId="5036"/>
    <cellStyle name="Output 3 4 2 5 2" xfId="5037"/>
    <cellStyle name="Output 3 4 2 6" xfId="5038"/>
    <cellStyle name="Output 3 4 3" xfId="5039"/>
    <cellStyle name="Output 3 4 3 2" xfId="5040"/>
    <cellStyle name="Output 3 4 3 2 2" xfId="5041"/>
    <cellStyle name="Output 3 4 3 3" xfId="5042"/>
    <cellStyle name="Output 3 4 4" xfId="5043"/>
    <cellStyle name="Output 3 4 4 2" xfId="5044"/>
    <cellStyle name="Output 3 4 4 2 2" xfId="5045"/>
    <cellStyle name="Output 3 4 4 2 2 2" xfId="5046"/>
    <cellStyle name="Output 3 4 4 2 2 2 2" xfId="5047"/>
    <cellStyle name="Output 3 4 4 2 2 3" xfId="5048"/>
    <cellStyle name="Output 3 4 4 2 3" xfId="5049"/>
    <cellStyle name="Output 3 4 4 2 3 2" xfId="5050"/>
    <cellStyle name="Output 3 4 4 2 4" xfId="5051"/>
    <cellStyle name="Output 3 4 4 3" xfId="5052"/>
    <cellStyle name="Output 3 4 4 3 2" xfId="5053"/>
    <cellStyle name="Output 3 4 4 3 2 2" xfId="5054"/>
    <cellStyle name="Output 3 4 4 3 3" xfId="5055"/>
    <cellStyle name="Output 3 4 4 3 4" xfId="5056"/>
    <cellStyle name="Output 3 4 4 4" xfId="5057"/>
    <cellStyle name="Output 3 4 4 4 2" xfId="5058"/>
    <cellStyle name="Output 3 4 4 4 2 2" xfId="5059"/>
    <cellStyle name="Output 3 4 4 4 3" xfId="5060"/>
    <cellStyle name="Output 3 4 4 5" xfId="5061"/>
    <cellStyle name="Output 3 4 4 5 2" xfId="5062"/>
    <cellStyle name="Output 3 4 4 6" xfId="5063"/>
    <cellStyle name="Output 3 4 5" xfId="5064"/>
    <cellStyle name="Output 3 4 5 2" xfId="5065"/>
    <cellStyle name="Output 3 4 5 2 2" xfId="5066"/>
    <cellStyle name="Output 3 4 5 2 2 2" xfId="5067"/>
    <cellStyle name="Output 3 4 5 2 3" xfId="5068"/>
    <cellStyle name="Output 3 4 5 3" xfId="5069"/>
    <cellStyle name="Output 3 4 5 3 2" xfId="5070"/>
    <cellStyle name="Output 3 4 5 4" xfId="5071"/>
    <cellStyle name="Output 3 4 6" xfId="5072"/>
    <cellStyle name="Output 3 4 6 2" xfId="5073"/>
    <cellStyle name="Output 3 4 6 2 2" xfId="5074"/>
    <cellStyle name="Output 3 4 6 3" xfId="5075"/>
    <cellStyle name="Output 3 4 6 4" xfId="5076"/>
    <cellStyle name="Output 3 4 7" xfId="5077"/>
    <cellStyle name="Output 3 4 7 2" xfId="5078"/>
    <cellStyle name="Output 3 4 7 2 2" xfId="5079"/>
    <cellStyle name="Output 3 4 7 3" xfId="5080"/>
    <cellStyle name="Output 3 4 8" xfId="5081"/>
    <cellStyle name="Output 3 4 8 2" xfId="5082"/>
    <cellStyle name="Output 3 4 9" xfId="5083"/>
    <cellStyle name="Output 3 5" xfId="5084"/>
    <cellStyle name="Output 3 5 2" xfId="5085"/>
    <cellStyle name="Output 3 5 2 2" xfId="5086"/>
    <cellStyle name="Output 3 5 2 2 2" xfId="5087"/>
    <cellStyle name="Output 3 5 2 2 2 2" xfId="5088"/>
    <cellStyle name="Output 3 5 2 2 3" xfId="5089"/>
    <cellStyle name="Output 3 5 2 3" xfId="5090"/>
    <cellStyle name="Output 3 5 2 3 2" xfId="5091"/>
    <cellStyle name="Output 3 5 2 4" xfId="5092"/>
    <cellStyle name="Output 3 5 3" xfId="5093"/>
    <cellStyle name="Output 3 5 3 2" xfId="5094"/>
    <cellStyle name="Output 3 5 3 2 2" xfId="5095"/>
    <cellStyle name="Output 3 5 3 3" xfId="5096"/>
    <cellStyle name="Output 3 5 3 4" xfId="5097"/>
    <cellStyle name="Output 3 5 4" xfId="5098"/>
    <cellStyle name="Output 3 5 4 2" xfId="5099"/>
    <cellStyle name="Output 3 5 4 2 2" xfId="5100"/>
    <cellStyle name="Output 3 5 4 3" xfId="5101"/>
    <cellStyle name="Output 3 5 5" xfId="5102"/>
    <cellStyle name="Output 3 5 5 2" xfId="5103"/>
    <cellStyle name="Output 3 5 6" xfId="5104"/>
    <cellStyle name="Output 4" xfId="5105"/>
    <cellStyle name="Output 4 2" xfId="5106"/>
    <cellStyle name="Output 4 2 2" xfId="5107"/>
    <cellStyle name="Output 4 2 2 2" xfId="5108"/>
    <cellStyle name="Output 4 2 2 2 2" xfId="5109"/>
    <cellStyle name="Output 4 2 2 2 2 2" xfId="5110"/>
    <cellStyle name="Output 4 2 2 2 2 2 2" xfId="5111"/>
    <cellStyle name="Output 4 2 2 2 2 3" xfId="5112"/>
    <cellStyle name="Output 4 2 2 2 3" xfId="5113"/>
    <cellStyle name="Output 4 2 2 2 3 2" xfId="5114"/>
    <cellStyle name="Output 4 2 2 2 4" xfId="5115"/>
    <cellStyle name="Output 4 2 2 3" xfId="5116"/>
    <cellStyle name="Output 4 2 2 3 2" xfId="5117"/>
    <cellStyle name="Output 4 2 2 3 2 2" xfId="5118"/>
    <cellStyle name="Output 4 2 2 3 3" xfId="5119"/>
    <cellStyle name="Output 4 2 2 3 4" xfId="5120"/>
    <cellStyle name="Output 4 2 2 4" xfId="5121"/>
    <cellStyle name="Output 4 2 2 4 2" xfId="5122"/>
    <cellStyle name="Output 4 2 2 4 2 2" xfId="5123"/>
    <cellStyle name="Output 4 2 2 4 3" xfId="5124"/>
    <cellStyle name="Output 4 2 2 5" xfId="5125"/>
    <cellStyle name="Output 4 2 2 5 2" xfId="5126"/>
    <cellStyle name="Output 4 2 2 6" xfId="5127"/>
    <cellStyle name="Output 4 2 3" xfId="5128"/>
    <cellStyle name="Output 4 2 3 2" xfId="5129"/>
    <cellStyle name="Output 4 2 3 2 2" xfId="5130"/>
    <cellStyle name="Output 4 2 3 2 2 2" xfId="5131"/>
    <cellStyle name="Output 4 2 3 2 2 2 2" xfId="5132"/>
    <cellStyle name="Output 4 2 3 2 2 3" xfId="5133"/>
    <cellStyle name="Output 4 2 3 2 3" xfId="5134"/>
    <cellStyle name="Output 4 2 3 2 3 2" xfId="5135"/>
    <cellStyle name="Output 4 2 3 2 4" xfId="5136"/>
    <cellStyle name="Output 4 2 3 3" xfId="5137"/>
    <cellStyle name="Output 4 2 3 3 2" xfId="5138"/>
    <cellStyle name="Output 4 2 3 3 2 2" xfId="5139"/>
    <cellStyle name="Output 4 2 3 3 3" xfId="5140"/>
    <cellStyle name="Output 4 2 3 3 4" xfId="5141"/>
    <cellStyle name="Output 4 2 3 4" xfId="5142"/>
    <cellStyle name="Output 4 2 3 4 2" xfId="5143"/>
    <cellStyle name="Output 4 2 3 4 2 2" xfId="5144"/>
    <cellStyle name="Output 4 2 3 4 3" xfId="5145"/>
    <cellStyle name="Output 4 2 3 5" xfId="5146"/>
    <cellStyle name="Output 4 2 3 5 2" xfId="5147"/>
    <cellStyle name="Output 4 2 3 6" xfId="5148"/>
    <cellStyle name="Output 4 2 4" xfId="5149"/>
    <cellStyle name="Output 4 2 4 2" xfId="5150"/>
    <cellStyle name="Output 4 3" xfId="5151"/>
    <cellStyle name="Output 4 3 2" xfId="5152"/>
    <cellStyle name="Output 4 3 2 2" xfId="5153"/>
    <cellStyle name="Output 4 3 2 2 2" xfId="5154"/>
    <cellStyle name="Output 4 3 2 2 2 2" xfId="5155"/>
    <cellStyle name="Output 4 3 2 2 2 2 2" xfId="5156"/>
    <cellStyle name="Output 4 3 2 2 2 3" xfId="5157"/>
    <cellStyle name="Output 4 3 2 2 3" xfId="5158"/>
    <cellStyle name="Output 4 3 2 2 3 2" xfId="5159"/>
    <cellStyle name="Output 4 3 2 2 4" xfId="5160"/>
    <cellStyle name="Output 4 3 2 3" xfId="5161"/>
    <cellStyle name="Output 4 3 2 3 2" xfId="5162"/>
    <cellStyle name="Output 4 3 2 3 2 2" xfId="5163"/>
    <cellStyle name="Output 4 3 2 3 3" xfId="5164"/>
    <cellStyle name="Output 4 3 2 3 4" xfId="5165"/>
    <cellStyle name="Output 4 3 2 4" xfId="5166"/>
    <cellStyle name="Output 4 3 2 4 2" xfId="5167"/>
    <cellStyle name="Output 4 3 2 4 2 2" xfId="5168"/>
    <cellStyle name="Output 4 3 2 4 3" xfId="5169"/>
    <cellStyle name="Output 4 3 2 5" xfId="5170"/>
    <cellStyle name="Output 4 3 2 5 2" xfId="5171"/>
    <cellStyle name="Output 4 3 2 6" xfId="5172"/>
    <cellStyle name="Output 4 3 3" xfId="5173"/>
    <cellStyle name="Output 4 3 3 2" xfId="5174"/>
    <cellStyle name="Output 4 3 3 2 2" xfId="5175"/>
    <cellStyle name="Output 4 3 3 3" xfId="5176"/>
    <cellStyle name="Output 4 3 4" xfId="5177"/>
    <cellStyle name="Output 4 3 4 2" xfId="5178"/>
    <cellStyle name="Output 4 3 4 2 2" xfId="5179"/>
    <cellStyle name="Output 4 3 4 2 2 2" xfId="5180"/>
    <cellStyle name="Output 4 3 4 2 2 2 2" xfId="5181"/>
    <cellStyle name="Output 4 3 4 2 2 3" xfId="5182"/>
    <cellStyle name="Output 4 3 4 2 3" xfId="5183"/>
    <cellStyle name="Output 4 3 4 2 3 2" xfId="5184"/>
    <cellStyle name="Output 4 3 4 2 4" xfId="5185"/>
    <cellStyle name="Output 4 3 4 3" xfId="5186"/>
    <cellStyle name="Output 4 3 4 3 2" xfId="5187"/>
    <cellStyle name="Output 4 3 4 3 2 2" xfId="5188"/>
    <cellStyle name="Output 4 3 4 3 3" xfId="5189"/>
    <cellStyle name="Output 4 3 4 3 4" xfId="5190"/>
    <cellStyle name="Output 4 3 4 4" xfId="5191"/>
    <cellStyle name="Output 4 3 4 4 2" xfId="5192"/>
    <cellStyle name="Output 4 3 4 4 2 2" xfId="5193"/>
    <cellStyle name="Output 4 3 4 4 3" xfId="5194"/>
    <cellStyle name="Output 4 3 4 5" xfId="5195"/>
    <cellStyle name="Output 4 3 4 5 2" xfId="5196"/>
    <cellStyle name="Output 4 3 4 6" xfId="5197"/>
    <cellStyle name="Output 4 3 5" xfId="5198"/>
    <cellStyle name="Output 4 3 5 2" xfId="5199"/>
    <cellStyle name="Output 4 3 5 2 2" xfId="5200"/>
    <cellStyle name="Output 4 3 5 2 2 2" xfId="5201"/>
    <cellStyle name="Output 4 3 5 2 3" xfId="5202"/>
    <cellStyle name="Output 4 3 5 3" xfId="5203"/>
    <cellStyle name="Output 4 3 5 3 2" xfId="5204"/>
    <cellStyle name="Output 4 3 5 4" xfId="5205"/>
    <cellStyle name="Output 4 3 6" xfId="5206"/>
    <cellStyle name="Output 4 3 6 2" xfId="5207"/>
    <cellStyle name="Output 4 3 6 2 2" xfId="5208"/>
    <cellStyle name="Output 4 3 6 3" xfId="5209"/>
    <cellStyle name="Output 4 3 6 4" xfId="5210"/>
    <cellStyle name="Output 4 3 7" xfId="5211"/>
    <cellStyle name="Output 4 3 7 2" xfId="5212"/>
    <cellStyle name="Output 4 3 7 2 2" xfId="5213"/>
    <cellStyle name="Output 4 3 7 3" xfId="5214"/>
    <cellStyle name="Output 4 3 8" xfId="5215"/>
    <cellStyle name="Output 4 3 8 2" xfId="5216"/>
    <cellStyle name="Output 4 3 9" xfId="5217"/>
    <cellStyle name="Output 4 4" xfId="5218"/>
    <cellStyle name="Output 4 4 2" xfId="5219"/>
    <cellStyle name="Output 4 4 2 2" xfId="5220"/>
    <cellStyle name="Output 4 4 2 2 2" xfId="5221"/>
    <cellStyle name="Output 4 4 2 2 2 2" xfId="5222"/>
    <cellStyle name="Output 4 4 2 2 3" xfId="5223"/>
    <cellStyle name="Output 4 4 2 3" xfId="5224"/>
    <cellStyle name="Output 4 4 2 3 2" xfId="5225"/>
    <cellStyle name="Output 4 4 2 4" xfId="5226"/>
    <cellStyle name="Output 4 4 3" xfId="5227"/>
    <cellStyle name="Output 4 4 3 2" xfId="5228"/>
    <cellStyle name="Output 4 4 3 2 2" xfId="5229"/>
    <cellStyle name="Output 4 4 3 3" xfId="5230"/>
    <cellStyle name="Output 4 4 3 4" xfId="5231"/>
    <cellStyle name="Output 4 4 4" xfId="5232"/>
    <cellStyle name="Output 4 4 4 2" xfId="5233"/>
    <cellStyle name="Output 4 4 4 2 2" xfId="5234"/>
    <cellStyle name="Output 4 4 4 3" xfId="5235"/>
    <cellStyle name="Output 4 4 5" xfId="5236"/>
    <cellStyle name="Output 4 4 5 2" xfId="5237"/>
    <cellStyle name="Output 4 4 6" xfId="5238"/>
    <cellStyle name="Output 5" xfId="5239"/>
    <cellStyle name="Output 5 2" xfId="5240"/>
    <cellStyle name="Output 5 2 2" xfId="5241"/>
    <cellStyle name="Output 5 2 2 2" xfId="5242"/>
    <cellStyle name="Output 5 2 2 2 2" xfId="5243"/>
    <cellStyle name="Output 5 2 2 2 2 2" xfId="5244"/>
    <cellStyle name="Output 5 2 2 2 2 2 2" xfId="5245"/>
    <cellStyle name="Output 5 2 2 2 2 3" xfId="5246"/>
    <cellStyle name="Output 5 2 2 2 3" xfId="5247"/>
    <cellStyle name="Output 5 2 2 2 3 2" xfId="5248"/>
    <cellStyle name="Output 5 2 2 2 4" xfId="5249"/>
    <cellStyle name="Output 5 2 2 3" xfId="5250"/>
    <cellStyle name="Output 5 2 2 3 2" xfId="5251"/>
    <cellStyle name="Output 5 2 2 3 2 2" xfId="5252"/>
    <cellStyle name="Output 5 2 2 3 3" xfId="5253"/>
    <cellStyle name="Output 5 2 2 3 4" xfId="5254"/>
    <cellStyle name="Output 5 2 2 4" xfId="5255"/>
    <cellStyle name="Output 5 2 2 4 2" xfId="5256"/>
    <cellStyle name="Output 5 2 2 4 2 2" xfId="5257"/>
    <cellStyle name="Output 5 2 2 4 3" xfId="5258"/>
    <cellStyle name="Output 5 2 2 5" xfId="5259"/>
    <cellStyle name="Output 5 2 2 5 2" xfId="5260"/>
    <cellStyle name="Output 5 2 2 6" xfId="5261"/>
    <cellStyle name="Output 5 2 3" xfId="5262"/>
    <cellStyle name="Output 5 2 3 2" xfId="5263"/>
    <cellStyle name="Output 5 2 3 2 2" xfId="5264"/>
    <cellStyle name="Output 5 2 3 2 2 2" xfId="5265"/>
    <cellStyle name="Output 5 2 3 2 2 2 2" xfId="5266"/>
    <cellStyle name="Output 5 2 3 2 2 3" xfId="5267"/>
    <cellStyle name="Output 5 2 3 2 3" xfId="5268"/>
    <cellStyle name="Output 5 2 3 2 3 2" xfId="5269"/>
    <cellStyle name="Output 5 2 3 2 4" xfId="5270"/>
    <cellStyle name="Output 5 2 3 3" xfId="5271"/>
    <cellStyle name="Output 5 2 3 3 2" xfId="5272"/>
    <cellStyle name="Output 5 2 3 3 2 2" xfId="5273"/>
    <cellStyle name="Output 5 2 3 3 3" xfId="5274"/>
    <cellStyle name="Output 5 2 3 3 4" xfId="5275"/>
    <cellStyle name="Output 5 2 3 4" xfId="5276"/>
    <cellStyle name="Output 5 2 3 4 2" xfId="5277"/>
    <cellStyle name="Output 5 2 3 4 2 2" xfId="5278"/>
    <cellStyle name="Output 5 2 3 4 3" xfId="5279"/>
    <cellStyle name="Output 5 2 3 5" xfId="5280"/>
    <cellStyle name="Output 5 2 3 5 2" xfId="5281"/>
    <cellStyle name="Output 5 2 3 6" xfId="5282"/>
    <cellStyle name="Output 5 2 4" xfId="5283"/>
    <cellStyle name="Output 5 2 4 2" xfId="5284"/>
    <cellStyle name="Output 5 3" xfId="5285"/>
    <cellStyle name="Output 5 3 2" xfId="5286"/>
    <cellStyle name="Output 5 3 2 2" xfId="5287"/>
    <cellStyle name="Output 5 3 2 2 2" xfId="5288"/>
    <cellStyle name="Output 5 3 2 2 2 2" xfId="5289"/>
    <cellStyle name="Output 5 3 2 2 2 2 2" xfId="5290"/>
    <cellStyle name="Output 5 3 2 2 2 3" xfId="5291"/>
    <cellStyle name="Output 5 3 2 2 3" xfId="5292"/>
    <cellStyle name="Output 5 3 2 2 3 2" xfId="5293"/>
    <cellStyle name="Output 5 3 2 2 4" xfId="5294"/>
    <cellStyle name="Output 5 3 2 3" xfId="5295"/>
    <cellStyle name="Output 5 3 2 3 2" xfId="5296"/>
    <cellStyle name="Output 5 3 2 3 2 2" xfId="5297"/>
    <cellStyle name="Output 5 3 2 3 3" xfId="5298"/>
    <cellStyle name="Output 5 3 2 3 4" xfId="5299"/>
    <cellStyle name="Output 5 3 2 4" xfId="5300"/>
    <cellStyle name="Output 5 3 2 4 2" xfId="5301"/>
    <cellStyle name="Output 5 3 2 4 2 2" xfId="5302"/>
    <cellStyle name="Output 5 3 2 4 3" xfId="5303"/>
    <cellStyle name="Output 5 3 2 5" xfId="5304"/>
    <cellStyle name="Output 5 3 2 5 2" xfId="5305"/>
    <cellStyle name="Output 5 3 2 6" xfId="5306"/>
    <cellStyle name="Output 5 3 3" xfId="5307"/>
    <cellStyle name="Output 5 3 3 2" xfId="5308"/>
    <cellStyle name="Output 5 3 3 2 2" xfId="5309"/>
    <cellStyle name="Output 5 3 3 3" xfId="5310"/>
    <cellStyle name="Output 5 3 4" xfId="5311"/>
    <cellStyle name="Output 5 3 4 2" xfId="5312"/>
    <cellStyle name="Output 5 3 4 2 2" xfId="5313"/>
    <cellStyle name="Output 5 3 4 2 2 2" xfId="5314"/>
    <cellStyle name="Output 5 3 4 2 2 2 2" xfId="5315"/>
    <cellStyle name="Output 5 3 4 2 2 3" xfId="5316"/>
    <cellStyle name="Output 5 3 4 2 3" xfId="5317"/>
    <cellStyle name="Output 5 3 4 2 3 2" xfId="5318"/>
    <cellStyle name="Output 5 3 4 2 4" xfId="5319"/>
    <cellStyle name="Output 5 3 4 3" xfId="5320"/>
    <cellStyle name="Output 5 3 4 3 2" xfId="5321"/>
    <cellStyle name="Output 5 3 4 3 2 2" xfId="5322"/>
    <cellStyle name="Output 5 3 4 3 3" xfId="5323"/>
    <cellStyle name="Output 5 3 4 3 4" xfId="5324"/>
    <cellStyle name="Output 5 3 4 4" xfId="5325"/>
    <cellStyle name="Output 5 3 4 4 2" xfId="5326"/>
    <cellStyle name="Output 5 3 4 4 2 2" xfId="5327"/>
    <cellStyle name="Output 5 3 4 4 3" xfId="5328"/>
    <cellStyle name="Output 5 3 4 5" xfId="5329"/>
    <cellStyle name="Output 5 3 4 5 2" xfId="5330"/>
    <cellStyle name="Output 5 3 4 6" xfId="5331"/>
    <cellStyle name="Output 5 3 5" xfId="5332"/>
    <cellStyle name="Output 5 3 5 2" xfId="5333"/>
    <cellStyle name="Output 5 3 5 2 2" xfId="5334"/>
    <cellStyle name="Output 5 3 5 2 2 2" xfId="5335"/>
    <cellStyle name="Output 5 3 5 2 3" xfId="5336"/>
    <cellStyle name="Output 5 3 5 3" xfId="5337"/>
    <cellStyle name="Output 5 3 5 3 2" xfId="5338"/>
    <cellStyle name="Output 5 3 5 4" xfId="5339"/>
    <cellStyle name="Output 5 3 6" xfId="5340"/>
    <cellStyle name="Output 5 3 6 2" xfId="5341"/>
    <cellStyle name="Output 5 3 6 2 2" xfId="5342"/>
    <cellStyle name="Output 5 3 6 3" xfId="5343"/>
    <cellStyle name="Output 5 3 6 4" xfId="5344"/>
    <cellStyle name="Output 5 3 7" xfId="5345"/>
    <cellStyle name="Output 5 3 7 2" xfId="5346"/>
    <cellStyle name="Output 5 3 7 2 2" xfId="5347"/>
    <cellStyle name="Output 5 3 7 3" xfId="5348"/>
    <cellStyle name="Output 5 3 8" xfId="5349"/>
    <cellStyle name="Output 5 3 8 2" xfId="5350"/>
    <cellStyle name="Output 5 3 9" xfId="5351"/>
    <cellStyle name="Output 5 4" xfId="5352"/>
    <cellStyle name="Output 5 4 2" xfId="5353"/>
    <cellStyle name="Output 5 4 2 2" xfId="5354"/>
    <cellStyle name="Output 5 4 2 2 2" xfId="5355"/>
    <cellStyle name="Output 5 4 2 2 2 2" xfId="5356"/>
    <cellStyle name="Output 5 4 2 2 3" xfId="5357"/>
    <cellStyle name="Output 5 4 2 3" xfId="5358"/>
    <cellStyle name="Output 5 4 2 3 2" xfId="5359"/>
    <cellStyle name="Output 5 4 2 4" xfId="5360"/>
    <cellStyle name="Output 5 4 3" xfId="5361"/>
    <cellStyle name="Output 5 4 3 2" xfId="5362"/>
    <cellStyle name="Output 5 4 3 2 2" xfId="5363"/>
    <cellStyle name="Output 5 4 3 3" xfId="5364"/>
    <cellStyle name="Output 5 4 3 4" xfId="5365"/>
    <cellStyle name="Output 5 4 4" xfId="5366"/>
    <cellStyle name="Output 5 4 4 2" xfId="5367"/>
    <cellStyle name="Output 5 4 4 2 2" xfId="5368"/>
    <cellStyle name="Output 5 4 4 3" xfId="5369"/>
    <cellStyle name="Output 5 4 5" xfId="5370"/>
    <cellStyle name="Output 5 4 5 2" xfId="5371"/>
    <cellStyle name="Output 5 4 6" xfId="5372"/>
    <cellStyle name="Output 5 5" xfId="5373"/>
    <cellStyle name="Output 5 5 2" xfId="5374"/>
    <cellStyle name="Output 6" xfId="5375"/>
    <cellStyle name="Output 6 2" xfId="5376"/>
    <cellStyle name="Output 6 2 2" xfId="5377"/>
    <cellStyle name="Output 6 2 2 2" xfId="5378"/>
    <cellStyle name="Output 6 2 2 2 2" xfId="5379"/>
    <cellStyle name="Output 6 2 2 2 2 2" xfId="5380"/>
    <cellStyle name="Output 6 2 2 2 2 2 2" xfId="5381"/>
    <cellStyle name="Output 6 2 2 2 2 3" xfId="5382"/>
    <cellStyle name="Output 6 2 2 2 3" xfId="5383"/>
    <cellStyle name="Output 6 2 2 2 3 2" xfId="5384"/>
    <cellStyle name="Output 6 2 2 2 4" xfId="5385"/>
    <cellStyle name="Output 6 2 2 3" xfId="5386"/>
    <cellStyle name="Output 6 2 2 3 2" xfId="5387"/>
    <cellStyle name="Output 6 2 2 3 2 2" xfId="5388"/>
    <cellStyle name="Output 6 2 2 3 3" xfId="5389"/>
    <cellStyle name="Output 6 2 2 3 4" xfId="5390"/>
    <cellStyle name="Output 6 2 2 4" xfId="5391"/>
    <cellStyle name="Output 6 2 2 4 2" xfId="5392"/>
    <cellStyle name="Output 6 2 2 4 2 2" xfId="5393"/>
    <cellStyle name="Output 6 2 2 4 3" xfId="5394"/>
    <cellStyle name="Output 6 2 2 5" xfId="5395"/>
    <cellStyle name="Output 6 2 2 5 2" xfId="5396"/>
    <cellStyle name="Output 6 2 2 6" xfId="5397"/>
    <cellStyle name="Output 6 2 3" xfId="5398"/>
    <cellStyle name="Output 6 2 3 2" xfId="5399"/>
    <cellStyle name="Output 6 2 3 2 2" xfId="5400"/>
    <cellStyle name="Output 6 2 3 3" xfId="5401"/>
    <cellStyle name="Output 6 2 4" xfId="5402"/>
    <cellStyle name="Output 6 2 4 2" xfId="5403"/>
    <cellStyle name="Output 6 2 4 2 2" xfId="5404"/>
    <cellStyle name="Output 6 2 4 2 2 2" xfId="5405"/>
    <cellStyle name="Output 6 2 4 2 2 2 2" xfId="5406"/>
    <cellStyle name="Output 6 2 4 2 2 3" xfId="5407"/>
    <cellStyle name="Output 6 2 4 2 3" xfId="5408"/>
    <cellStyle name="Output 6 2 4 2 3 2" xfId="5409"/>
    <cellStyle name="Output 6 2 4 2 4" xfId="5410"/>
    <cellStyle name="Output 6 2 4 3" xfId="5411"/>
    <cellStyle name="Output 6 2 4 3 2" xfId="5412"/>
    <cellStyle name="Output 6 2 4 3 2 2" xfId="5413"/>
    <cellStyle name="Output 6 2 4 3 3" xfId="5414"/>
    <cellStyle name="Output 6 2 4 3 4" xfId="5415"/>
    <cellStyle name="Output 6 2 4 4" xfId="5416"/>
    <cellStyle name="Output 6 2 4 4 2" xfId="5417"/>
    <cellStyle name="Output 6 2 4 4 2 2" xfId="5418"/>
    <cellStyle name="Output 6 2 4 4 3" xfId="5419"/>
    <cellStyle name="Output 6 2 4 5" xfId="5420"/>
    <cellStyle name="Output 6 2 4 5 2" xfId="5421"/>
    <cellStyle name="Output 6 2 4 6" xfId="5422"/>
    <cellStyle name="Output 6 2 5" xfId="5423"/>
    <cellStyle name="Output 6 2 5 2" xfId="5424"/>
    <cellStyle name="Output 6 2 5 2 2" xfId="5425"/>
    <cellStyle name="Output 6 2 5 2 2 2" xfId="5426"/>
    <cellStyle name="Output 6 2 5 2 3" xfId="5427"/>
    <cellStyle name="Output 6 2 5 3" xfId="5428"/>
    <cellStyle name="Output 6 2 5 3 2" xfId="5429"/>
    <cellStyle name="Output 6 2 5 4" xfId="5430"/>
    <cellStyle name="Output 6 2 6" xfId="5431"/>
    <cellStyle name="Output 6 2 6 2" xfId="5432"/>
    <cellStyle name="Output 6 2 6 2 2" xfId="5433"/>
    <cellStyle name="Output 6 2 6 3" xfId="5434"/>
    <cellStyle name="Output 6 2 6 4" xfId="5435"/>
    <cellStyle name="Output 6 2 7" xfId="5436"/>
    <cellStyle name="Output 6 2 7 2" xfId="5437"/>
    <cellStyle name="Output 6 2 7 2 2" xfId="5438"/>
    <cellStyle name="Output 6 2 7 3" xfId="5439"/>
    <cellStyle name="Output 6 2 8" xfId="5440"/>
    <cellStyle name="Output 6 2 8 2" xfId="5441"/>
    <cellStyle name="Output 6 2 9" xfId="5442"/>
    <cellStyle name="Output 6 3" xfId="5443"/>
    <cellStyle name="Output 6 3 2" xfId="5444"/>
    <cellStyle name="Output 6 3 2 2" xfId="5445"/>
    <cellStyle name="Output 6 3 2 2 2" xfId="5446"/>
    <cellStyle name="Output 6 3 2 2 2 2" xfId="5447"/>
    <cellStyle name="Output 6 3 2 2 3" xfId="5448"/>
    <cellStyle name="Output 6 3 2 3" xfId="5449"/>
    <cellStyle name="Output 6 3 2 3 2" xfId="5450"/>
    <cellStyle name="Output 6 3 2 4" xfId="5451"/>
    <cellStyle name="Output 6 3 3" xfId="5452"/>
    <cellStyle name="Output 6 3 3 2" xfId="5453"/>
    <cellStyle name="Output 6 3 3 2 2" xfId="5454"/>
    <cellStyle name="Output 6 3 3 3" xfId="5455"/>
    <cellStyle name="Output 6 3 3 4" xfId="5456"/>
    <cellStyle name="Output 6 3 4" xfId="5457"/>
    <cellStyle name="Output 6 3 4 2" xfId="5458"/>
    <cellStyle name="Output 6 3 4 2 2" xfId="5459"/>
    <cellStyle name="Output 6 3 4 3" xfId="5460"/>
    <cellStyle name="Output 6 3 5" xfId="5461"/>
    <cellStyle name="Output 6 3 5 2" xfId="5462"/>
    <cellStyle name="Output 6 3 6" xfId="5463"/>
    <cellStyle name="Output 6 4" xfId="5464"/>
    <cellStyle name="Output 6 4 2" xfId="5465"/>
    <cellStyle name="Output 7" xfId="5466"/>
    <cellStyle name="Output 7 2" xfId="5467"/>
    <cellStyle name="Output 7 2 2" xfId="5468"/>
    <cellStyle name="Output 7 2 2 2" xfId="5469"/>
    <cellStyle name="Output 7 2 2 2 2" xfId="5470"/>
    <cellStyle name="Output 7 2 2 2 2 2" xfId="5471"/>
    <cellStyle name="Output 7 2 2 2 3" xfId="5472"/>
    <cellStyle name="Output 7 2 2 3" xfId="5473"/>
    <cellStyle name="Output 7 2 2 3 2" xfId="5474"/>
    <cellStyle name="Output 7 2 2 4" xfId="5475"/>
    <cellStyle name="Output 7 2 3" xfId="5476"/>
    <cellStyle name="Output 7 2 3 2" xfId="5477"/>
    <cellStyle name="Output 7 2 3 2 2" xfId="5478"/>
    <cellStyle name="Output 7 2 3 3" xfId="5479"/>
    <cellStyle name="Output 7 2 3 4" xfId="5480"/>
    <cellStyle name="Output 7 2 4" xfId="5481"/>
    <cellStyle name="Output 7 2 4 2" xfId="5482"/>
    <cellStyle name="Output 7 2 4 2 2" xfId="5483"/>
    <cellStyle name="Output 7 2 4 3" xfId="5484"/>
    <cellStyle name="Output 7 2 5" xfId="5485"/>
    <cellStyle name="Output 7 2 5 2" xfId="5486"/>
    <cellStyle name="Output 7 2 6" xfId="5487"/>
    <cellStyle name="Output 7 3" xfId="5488"/>
    <cellStyle name="Output 7 3 2" xfId="5489"/>
    <cellStyle name="Output 7 3 2 2" xfId="5490"/>
    <cellStyle name="Output 7 3 3" xfId="5491"/>
    <cellStyle name="Output 7 4" xfId="5492"/>
    <cellStyle name="Output 7 4 2" xfId="5493"/>
    <cellStyle name="Output 7 4 2 2" xfId="5494"/>
    <cellStyle name="Output 7 4 2 2 2" xfId="5495"/>
    <cellStyle name="Output 7 4 2 2 2 2" xfId="5496"/>
    <cellStyle name="Output 7 4 2 2 3" xfId="5497"/>
    <cellStyle name="Output 7 4 2 3" xfId="5498"/>
    <cellStyle name="Output 7 4 2 3 2" xfId="5499"/>
    <cellStyle name="Output 7 4 2 4" xfId="5500"/>
    <cellStyle name="Output 7 4 3" xfId="5501"/>
    <cellStyle name="Output 7 4 3 2" xfId="5502"/>
    <cellStyle name="Output 7 4 3 2 2" xfId="5503"/>
    <cellStyle name="Output 7 4 3 3" xfId="5504"/>
    <cellStyle name="Output 7 4 3 4" xfId="5505"/>
    <cellStyle name="Output 7 4 4" xfId="5506"/>
    <cellStyle name="Output 7 4 4 2" xfId="5507"/>
    <cellStyle name="Output 7 4 4 2 2" xfId="5508"/>
    <cellStyle name="Output 7 4 4 3" xfId="5509"/>
    <cellStyle name="Output 7 4 5" xfId="5510"/>
    <cellStyle name="Output 7 4 5 2" xfId="5511"/>
    <cellStyle name="Output 7 4 6" xfId="5512"/>
    <cellStyle name="Output 7 5" xfId="5513"/>
    <cellStyle name="Output 7 5 2" xfId="5514"/>
    <cellStyle name="Output 7 5 2 2" xfId="5515"/>
    <cellStyle name="Output 7 5 2 2 2" xfId="5516"/>
    <cellStyle name="Output 7 5 2 3" xfId="5517"/>
    <cellStyle name="Output 7 5 3" xfId="5518"/>
    <cellStyle name="Output 7 5 3 2" xfId="5519"/>
    <cellStyle name="Output 7 5 4" xfId="5520"/>
    <cellStyle name="Output 7 6" xfId="5521"/>
    <cellStyle name="Output 7 6 2" xfId="5522"/>
    <cellStyle name="Output 7 6 2 2" xfId="5523"/>
    <cellStyle name="Output 7 6 3" xfId="5524"/>
    <cellStyle name="Output 7 6 4" xfId="5525"/>
    <cellStyle name="Output 7 7" xfId="5526"/>
    <cellStyle name="Output 7 7 2" xfId="5527"/>
    <cellStyle name="Output 7 7 2 2" xfId="5528"/>
    <cellStyle name="Output 7 7 3" xfId="5529"/>
    <cellStyle name="Output 7 8" xfId="5530"/>
    <cellStyle name="Output 7 8 2" xfId="5531"/>
    <cellStyle name="Output 7 9" xfId="5532"/>
    <cellStyle name="Page 1" xfId="5533"/>
    <cellStyle name="Page 2" xfId="5534"/>
    <cellStyle name="Page 3" xfId="5535"/>
    <cellStyle name="Page 4" xfId="5536"/>
    <cellStyle name="Page 5" xfId="5537"/>
    <cellStyle name="Page 6" xfId="5538"/>
    <cellStyle name="Page 7" xfId="5539"/>
    <cellStyle name="Page1" xfId="5540"/>
    <cellStyle name="Page2" xfId="5541"/>
    <cellStyle name="Page3" xfId="5542"/>
    <cellStyle name="Page4" xfId="5543"/>
    <cellStyle name="Page5" xfId="5544"/>
    <cellStyle name="Page6" xfId="5545"/>
    <cellStyle name="Percent 2" xfId="5546"/>
    <cellStyle name="Percent 3" xfId="5547"/>
    <cellStyle name="Percent 3 2" xfId="5548"/>
    <cellStyle name="Percent 4" xfId="5549"/>
    <cellStyle name="Percent 4 2" xfId="5550"/>
    <cellStyle name="Percent 5" xfId="5551"/>
    <cellStyle name="Percent 6" xfId="5552"/>
    <cellStyle name="Percentage" xfId="5553"/>
    <cellStyle name="RangeName" xfId="5554"/>
    <cellStyle name="RateConven" xfId="5555"/>
    <cellStyle name="red" xfId="5556"/>
    <cellStyle name="ResultDateCenter" xfId="5557"/>
    <cellStyle name="Style 1" xfId="5558"/>
    <cellStyle name="Style 1 2" xfId="5559"/>
    <cellStyle name="Style 1 3" xfId="5560"/>
    <cellStyle name="Style 1 3 2" xfId="5561"/>
    <cellStyle name="Style 1 3 2 2" xfId="5562"/>
    <cellStyle name="Style 1 3 2 2 2" xfId="5563"/>
    <cellStyle name="Style 1 3 2 2 2 2" xfId="5564"/>
    <cellStyle name="Style 1 3 2 2 2 2 2" xfId="5565"/>
    <cellStyle name="Style 1 3 2 2 2 2 2 2" xfId="5566"/>
    <cellStyle name="Style 1 3 2 2 2 2 2 2 2" xfId="5567"/>
    <cellStyle name="Style 1 3 2 2 2 2 2 3" xfId="5568"/>
    <cellStyle name="Style 1 3 2 2 2 2 3" xfId="5569"/>
    <cellStyle name="Style 1 3 2 2 2 2 3 2" xfId="5570"/>
    <cellStyle name="Style 1 3 2 2 2 2 4" xfId="5571"/>
    <cellStyle name="Style 1 3 2 2 2 3" xfId="5572"/>
    <cellStyle name="Style 1 3 2 2 2 3 2" xfId="5573"/>
    <cellStyle name="Style 1 3 2 2 2 3 2 2" xfId="5574"/>
    <cellStyle name="Style 1 3 2 2 2 3 3" xfId="5575"/>
    <cellStyle name="Style 1 3 2 2 2 3 4" xfId="5576"/>
    <cellStyle name="Style 1 3 2 2 2 4" xfId="5577"/>
    <cellStyle name="Style 1 3 2 2 2 4 2" xfId="5578"/>
    <cellStyle name="Style 1 3 2 2 2 4 2 2" xfId="5579"/>
    <cellStyle name="Style 1 3 2 2 2 4 3" xfId="5580"/>
    <cellStyle name="Style 1 3 2 2 2 5" xfId="5581"/>
    <cellStyle name="Style 1 3 2 2 3" xfId="5582"/>
    <cellStyle name="Style 1 3 2 2 3 2" xfId="5583"/>
    <cellStyle name="Style 1 3 2 2 3 2 2" xfId="5584"/>
    <cellStyle name="Style 1 3 2 2 3 2 2 2" xfId="5585"/>
    <cellStyle name="Style 1 3 2 2 3 2 2 2 2" xfId="5586"/>
    <cellStyle name="Style 1 3 2 2 3 2 2 3" xfId="5587"/>
    <cellStyle name="Style 1 3 2 2 3 2 3" xfId="5588"/>
    <cellStyle name="Style 1 3 2 2 3 2 3 2" xfId="5589"/>
    <cellStyle name="Style 1 3 2 2 3 2 4" xfId="5590"/>
    <cellStyle name="Style 1 3 2 2 3 3" xfId="5591"/>
    <cellStyle name="Style 1 3 2 2 3 3 2" xfId="5592"/>
    <cellStyle name="Style 1 3 2 2 3 3 2 2" xfId="5593"/>
    <cellStyle name="Style 1 3 2 2 3 3 3" xfId="5594"/>
    <cellStyle name="Style 1 3 2 2 3 3 4" xfId="5595"/>
    <cellStyle name="Style 1 3 2 2 3 4" xfId="5596"/>
    <cellStyle name="Style 1 3 2 2 3 4 2" xfId="5597"/>
    <cellStyle name="Style 1 3 2 2 3 4 2 2" xfId="5598"/>
    <cellStyle name="Style 1 3 2 2 3 4 3" xfId="5599"/>
    <cellStyle name="Style 1 3 2 2 3 5" xfId="5600"/>
    <cellStyle name="Style 1 3 2 2 3 5 2" xfId="5601"/>
    <cellStyle name="Style 1 3 2 2 3 6" xfId="5602"/>
    <cellStyle name="Style 1 3 2 2 4" xfId="5603"/>
    <cellStyle name="Style 1 3 2 2 4 2" xfId="5604"/>
    <cellStyle name="Style 1 3 2 2 4 2 2" xfId="5605"/>
    <cellStyle name="Style 1 3 2 2 4 2 2 2" xfId="5606"/>
    <cellStyle name="Style 1 3 2 2 4 2 2 2 2" xfId="5607"/>
    <cellStyle name="Style 1 3 2 2 4 2 2 3" xfId="5608"/>
    <cellStyle name="Style 1 3 2 2 4 2 3" xfId="5609"/>
    <cellStyle name="Style 1 3 2 2 4 2 3 2" xfId="5610"/>
    <cellStyle name="Style 1 3 2 2 4 2 4" xfId="5611"/>
    <cellStyle name="Style 1 3 2 2 4 3" xfId="5612"/>
    <cellStyle name="Style 1 3 2 2 4 3 2" xfId="5613"/>
    <cellStyle name="Style 1 3 2 2 4 3 2 2" xfId="5614"/>
    <cellStyle name="Style 1 3 2 2 4 3 3" xfId="5615"/>
    <cellStyle name="Style 1 3 2 2 4 3 4" xfId="5616"/>
    <cellStyle name="Style 1 3 2 2 4 4" xfId="5617"/>
    <cellStyle name="Style 1 3 2 2 4 4 2" xfId="5618"/>
    <cellStyle name="Style 1 3 2 2 4 4 2 2" xfId="5619"/>
    <cellStyle name="Style 1 3 2 2 4 4 3" xfId="5620"/>
    <cellStyle name="Style 1 3 2 2 4 5" xfId="5621"/>
    <cellStyle name="Style 1 3 2 2 4 5 2" xfId="5622"/>
    <cellStyle name="Style 1 3 2 2 4 6" xfId="5623"/>
    <cellStyle name="Style 1 3 2 2 5" xfId="5624"/>
    <cellStyle name="Style 1 3 2 2 5 2" xfId="5625"/>
    <cellStyle name="Style 1 3 2 3" xfId="5626"/>
    <cellStyle name="Style 1 3 2 3 2" xfId="5627"/>
    <cellStyle name="Style 1 3 2 3 2 2" xfId="5628"/>
    <cellStyle name="Style 1 3 2 3 2 2 2" xfId="5629"/>
    <cellStyle name="Style 1 3 2 3 2 2 2 2" xfId="5630"/>
    <cellStyle name="Style 1 3 2 3 2 2 3" xfId="5631"/>
    <cellStyle name="Style 1 3 2 3 2 3" xfId="5632"/>
    <cellStyle name="Style 1 3 2 3 2 3 2" xfId="5633"/>
    <cellStyle name="Style 1 3 2 3 2 4" xfId="5634"/>
    <cellStyle name="Style 1 3 2 3 3" xfId="5635"/>
    <cellStyle name="Style 1 3 2 3 3 2" xfId="5636"/>
    <cellStyle name="Style 1 3 2 3 3 2 2" xfId="5637"/>
    <cellStyle name="Style 1 3 2 3 3 3" xfId="5638"/>
    <cellStyle name="Style 1 3 2 3 3 4" xfId="5639"/>
    <cellStyle name="Style 1 3 2 3 4" xfId="5640"/>
    <cellStyle name="Style 1 3 2 3 4 2" xfId="5641"/>
    <cellStyle name="Style 1 3 2 3 4 2 2" xfId="5642"/>
    <cellStyle name="Style 1 3 2 3 4 3" xfId="5643"/>
    <cellStyle name="Style 1 3 2 3 5" xfId="5644"/>
    <cellStyle name="Style 1 3 2 4" xfId="5645"/>
    <cellStyle name="Style 1 3 2 4 2" xfId="5646"/>
    <cellStyle name="Style 1 3 2 4 2 2" xfId="5647"/>
    <cellStyle name="Style 1 3 2 4 2 2 2" xfId="5648"/>
    <cellStyle name="Style 1 3 2 4 2 2 2 2" xfId="5649"/>
    <cellStyle name="Style 1 3 2 4 2 2 3" xfId="5650"/>
    <cellStyle name="Style 1 3 2 4 2 3" xfId="5651"/>
    <cellStyle name="Style 1 3 2 4 2 3 2" xfId="5652"/>
    <cellStyle name="Style 1 3 2 4 2 4" xfId="5653"/>
    <cellStyle name="Style 1 3 2 4 3" xfId="5654"/>
    <cellStyle name="Style 1 3 2 4 3 2" xfId="5655"/>
    <cellStyle name="Style 1 3 2 4 3 2 2" xfId="5656"/>
    <cellStyle name="Style 1 3 2 4 3 3" xfId="5657"/>
    <cellStyle name="Style 1 3 2 4 3 4" xfId="5658"/>
    <cellStyle name="Style 1 3 2 4 4" xfId="5659"/>
    <cellStyle name="Style 1 3 2 4 4 2" xfId="5660"/>
    <cellStyle name="Style 1 3 2 4 4 2 2" xfId="5661"/>
    <cellStyle name="Style 1 3 2 4 4 3" xfId="5662"/>
    <cellStyle name="Style 1 3 2 4 5" xfId="5663"/>
    <cellStyle name="Style 1 3 2 4 5 2" xfId="5664"/>
    <cellStyle name="Style 1 3 2 4 6" xfId="5665"/>
    <cellStyle name="Style 1 3 2 5" xfId="5666"/>
    <cellStyle name="Style 1 3 2 5 2" xfId="5667"/>
    <cellStyle name="Style 1 3 2 5 2 2" xfId="5668"/>
    <cellStyle name="Style 1 3 2 5 2 2 2" xfId="5669"/>
    <cellStyle name="Style 1 3 2 5 2 2 2 2" xfId="5670"/>
    <cellStyle name="Style 1 3 2 5 2 2 3" xfId="5671"/>
    <cellStyle name="Style 1 3 2 5 2 3" xfId="5672"/>
    <cellStyle name="Style 1 3 2 5 2 3 2" xfId="5673"/>
    <cellStyle name="Style 1 3 2 5 2 4" xfId="5674"/>
    <cellStyle name="Style 1 3 2 5 3" xfId="5675"/>
    <cellStyle name="Style 1 3 2 5 3 2" xfId="5676"/>
    <cellStyle name="Style 1 3 2 5 3 2 2" xfId="5677"/>
    <cellStyle name="Style 1 3 2 5 3 3" xfId="5678"/>
    <cellStyle name="Style 1 3 2 5 3 4" xfId="5679"/>
    <cellStyle name="Style 1 3 2 5 4" xfId="5680"/>
    <cellStyle name="Style 1 3 2 5 4 2" xfId="5681"/>
    <cellStyle name="Style 1 3 2 5 4 2 2" xfId="5682"/>
    <cellStyle name="Style 1 3 2 5 4 3" xfId="5683"/>
    <cellStyle name="Style 1 3 2 5 5" xfId="5684"/>
    <cellStyle name="Style 1 3 2 5 5 2" xfId="5685"/>
    <cellStyle name="Style 1 3 2 5 6" xfId="5686"/>
    <cellStyle name="Style 1 3 3" xfId="5687"/>
    <cellStyle name="Style 1 3 3 2" xfId="5688"/>
    <cellStyle name="Style 1 3 3 2 2" xfId="5689"/>
    <cellStyle name="Style 1 3 3 2 2 2" xfId="5690"/>
    <cellStyle name="Style 1 3 3 2 2 2 2" xfId="5691"/>
    <cellStyle name="Style 1 3 3 2 2 2 2 2" xfId="5692"/>
    <cellStyle name="Style 1 3 3 2 2 2 3" xfId="5693"/>
    <cellStyle name="Style 1 3 3 2 2 3" xfId="5694"/>
    <cellStyle name="Style 1 3 3 2 2 3 2" xfId="5695"/>
    <cellStyle name="Style 1 3 3 2 2 4" xfId="5696"/>
    <cellStyle name="Style 1 3 3 2 3" xfId="5697"/>
    <cellStyle name="Style 1 3 3 2 3 2" xfId="5698"/>
    <cellStyle name="Style 1 3 3 2 3 2 2" xfId="5699"/>
    <cellStyle name="Style 1 3 3 2 3 3" xfId="5700"/>
    <cellStyle name="Style 1 3 3 2 3 4" xfId="5701"/>
    <cellStyle name="Style 1 3 3 2 4" xfId="5702"/>
    <cellStyle name="Style 1 3 3 2 4 2" xfId="5703"/>
    <cellStyle name="Style 1 3 3 2 4 2 2" xfId="5704"/>
    <cellStyle name="Style 1 3 3 2 4 3" xfId="5705"/>
    <cellStyle name="Style 1 3 3 2 5" xfId="5706"/>
    <cellStyle name="Style 1 3 3 3" xfId="5707"/>
    <cellStyle name="Style 1 3 3 3 2" xfId="5708"/>
    <cellStyle name="Style 1 3 3 3 2 2" xfId="5709"/>
    <cellStyle name="Style 1 3 3 3 2 2 2" xfId="5710"/>
    <cellStyle name="Style 1 3 3 3 2 2 2 2" xfId="5711"/>
    <cellStyle name="Style 1 3 3 3 2 2 3" xfId="5712"/>
    <cellStyle name="Style 1 3 3 3 2 3" xfId="5713"/>
    <cellStyle name="Style 1 3 3 3 2 3 2" xfId="5714"/>
    <cellStyle name="Style 1 3 3 3 2 4" xfId="5715"/>
    <cellStyle name="Style 1 3 3 3 3" xfId="5716"/>
    <cellStyle name="Style 1 3 3 3 3 2" xfId="5717"/>
    <cellStyle name="Style 1 3 3 3 3 2 2" xfId="5718"/>
    <cellStyle name="Style 1 3 3 3 3 3" xfId="5719"/>
    <cellStyle name="Style 1 3 3 3 3 4" xfId="5720"/>
    <cellStyle name="Style 1 3 3 3 4" xfId="5721"/>
    <cellStyle name="Style 1 3 3 3 4 2" xfId="5722"/>
    <cellStyle name="Style 1 3 3 3 4 2 2" xfId="5723"/>
    <cellStyle name="Style 1 3 3 3 4 3" xfId="5724"/>
    <cellStyle name="Style 1 3 3 3 5" xfId="5725"/>
    <cellStyle name="Style 1 3 3 3 5 2" xfId="5726"/>
    <cellStyle name="Style 1 3 3 3 6" xfId="5727"/>
    <cellStyle name="Style 1 3 3 4" xfId="5728"/>
    <cellStyle name="Style 1 3 3 4 2" xfId="5729"/>
    <cellStyle name="Style 1 3 3 4 2 2" xfId="5730"/>
    <cellStyle name="Style 1 3 3 4 2 2 2" xfId="5731"/>
    <cellStyle name="Style 1 3 3 4 2 2 2 2" xfId="5732"/>
    <cellStyle name="Style 1 3 3 4 2 2 3" xfId="5733"/>
    <cellStyle name="Style 1 3 3 4 2 3" xfId="5734"/>
    <cellStyle name="Style 1 3 3 4 2 3 2" xfId="5735"/>
    <cellStyle name="Style 1 3 3 4 2 4" xfId="5736"/>
    <cellStyle name="Style 1 3 3 4 3" xfId="5737"/>
    <cellStyle name="Style 1 3 3 4 3 2" xfId="5738"/>
    <cellStyle name="Style 1 3 3 4 3 2 2" xfId="5739"/>
    <cellStyle name="Style 1 3 3 4 3 3" xfId="5740"/>
    <cellStyle name="Style 1 3 3 4 3 4" xfId="5741"/>
    <cellStyle name="Style 1 3 3 4 4" xfId="5742"/>
    <cellStyle name="Style 1 3 3 4 4 2" xfId="5743"/>
    <cellStyle name="Style 1 3 3 4 4 2 2" xfId="5744"/>
    <cellStyle name="Style 1 3 3 4 4 3" xfId="5745"/>
    <cellStyle name="Style 1 3 3 4 5" xfId="5746"/>
    <cellStyle name="Style 1 3 3 4 5 2" xfId="5747"/>
    <cellStyle name="Style 1 3 3 4 6" xfId="5748"/>
    <cellStyle name="Style 1 3 3 5" xfId="5749"/>
    <cellStyle name="Style 1 3 3 5 2" xfId="5750"/>
    <cellStyle name="Style 1 3 4" xfId="5751"/>
    <cellStyle name="Style 1 3 4 2" xfId="5752"/>
    <cellStyle name="Style 1 3 4 2 2" xfId="5753"/>
    <cellStyle name="Style 1 3 4 2 2 2" xfId="5754"/>
    <cellStyle name="Style 1 3 4 2 2 2 2" xfId="5755"/>
    <cellStyle name="Style 1 3 4 2 2 2 2 2" xfId="5756"/>
    <cellStyle name="Style 1 3 4 2 2 2 3" xfId="5757"/>
    <cellStyle name="Style 1 3 4 2 2 3" xfId="5758"/>
    <cellStyle name="Style 1 3 4 2 2 3 2" xfId="5759"/>
    <cellStyle name="Style 1 3 4 2 2 4" xfId="5760"/>
    <cellStyle name="Style 1 3 4 2 3" xfId="5761"/>
    <cellStyle name="Style 1 3 4 2 3 2" xfId="5762"/>
    <cellStyle name="Style 1 3 4 2 3 2 2" xfId="5763"/>
    <cellStyle name="Style 1 3 4 2 3 3" xfId="5764"/>
    <cellStyle name="Style 1 3 4 2 3 4" xfId="5765"/>
    <cellStyle name="Style 1 3 4 2 4" xfId="5766"/>
    <cellStyle name="Style 1 3 4 2 4 2" xfId="5767"/>
    <cellStyle name="Style 1 3 4 2 4 2 2" xfId="5768"/>
    <cellStyle name="Style 1 3 4 2 4 3" xfId="5769"/>
    <cellStyle name="Style 1 3 4 2 5" xfId="5770"/>
    <cellStyle name="Style 1 3 4 2 5 2" xfId="5771"/>
    <cellStyle name="Style 1 3 4 2 6" xfId="5772"/>
    <cellStyle name="Style 1 3 4 3" xfId="5773"/>
    <cellStyle name="Style 1 3 4 3 2" xfId="5774"/>
    <cellStyle name="Style 1 3 4 3 2 2" xfId="5775"/>
    <cellStyle name="Style 1 3 4 3 2 2 2" xfId="5776"/>
    <cellStyle name="Style 1 3 4 3 2 2 2 2" xfId="5777"/>
    <cellStyle name="Style 1 3 4 3 2 2 3" xfId="5778"/>
    <cellStyle name="Style 1 3 4 3 2 3" xfId="5779"/>
    <cellStyle name="Style 1 3 4 3 2 3 2" xfId="5780"/>
    <cellStyle name="Style 1 3 4 3 2 4" xfId="5781"/>
    <cellStyle name="Style 1 3 4 3 3" xfId="5782"/>
    <cellStyle name="Style 1 3 4 3 3 2" xfId="5783"/>
    <cellStyle name="Style 1 3 4 3 3 2 2" xfId="5784"/>
    <cellStyle name="Style 1 3 4 3 3 3" xfId="5785"/>
    <cellStyle name="Style 1 3 4 3 3 4" xfId="5786"/>
    <cellStyle name="Style 1 3 4 3 4" xfId="5787"/>
    <cellStyle name="Style 1 3 4 3 4 2" xfId="5788"/>
    <cellStyle name="Style 1 3 4 3 4 2 2" xfId="5789"/>
    <cellStyle name="Style 1 3 4 3 4 3" xfId="5790"/>
    <cellStyle name="Style 1 3 4 3 5" xfId="5791"/>
    <cellStyle name="Style 1 3 4 3 5 2" xfId="5792"/>
    <cellStyle name="Style 1 3 4 3 6" xfId="5793"/>
    <cellStyle name="Style 1 3 4 4" xfId="5794"/>
    <cellStyle name="Style 1 3 4 4 2" xfId="5795"/>
    <cellStyle name="Style 1 3 4 4 2 2" xfId="5796"/>
    <cellStyle name="Style 1 3 4 4 2 2 2" xfId="5797"/>
    <cellStyle name="Style 1 3 4 4 2 3" xfId="5798"/>
    <cellStyle name="Style 1 3 4 4 3" xfId="5799"/>
    <cellStyle name="Style 1 3 4 4 3 2" xfId="5800"/>
    <cellStyle name="Style 1 3 4 4 4" xfId="5801"/>
    <cellStyle name="Style 1 3 4 5" xfId="5802"/>
    <cellStyle name="Style 1 3 4 5 2" xfId="5803"/>
    <cellStyle name="Style 1 3 4 5 2 2" xfId="5804"/>
    <cellStyle name="Style 1 3 4 5 3" xfId="5805"/>
    <cellStyle name="Style 1 3 4 5 4" xfId="5806"/>
    <cellStyle name="Style 1 3 4 6" xfId="5807"/>
    <cellStyle name="Style 1 3 4 6 2" xfId="5808"/>
    <cellStyle name="Style 1 3 4 6 2 2" xfId="5809"/>
    <cellStyle name="Style 1 3 4 6 3" xfId="5810"/>
    <cellStyle name="Style 1 3 4 7" xfId="5811"/>
    <cellStyle name="Style 1 3 5" xfId="5812"/>
    <cellStyle name="Style 1 3 5 2" xfId="5813"/>
    <cellStyle name="Style 1 3 5 2 2" xfId="5814"/>
    <cellStyle name="Style 1 3 5 2 2 2" xfId="5815"/>
    <cellStyle name="Style 1 3 5 2 2 2 2" xfId="5816"/>
    <cellStyle name="Style 1 3 5 2 2 3" xfId="5817"/>
    <cellStyle name="Style 1 3 5 2 3" xfId="5818"/>
    <cellStyle name="Style 1 3 5 2 3 2" xfId="5819"/>
    <cellStyle name="Style 1 3 5 2 4" xfId="5820"/>
    <cellStyle name="Style 1 3 5 3" xfId="5821"/>
    <cellStyle name="Style 1 3 5 3 2" xfId="5822"/>
    <cellStyle name="Style 1 3 5 3 2 2" xfId="5823"/>
    <cellStyle name="Style 1 3 5 3 3" xfId="5824"/>
    <cellStyle name="Style 1 3 5 3 4" xfId="5825"/>
    <cellStyle name="Style 1 3 5 4" xfId="5826"/>
    <cellStyle name="Style 1 3 5 4 2" xfId="5827"/>
    <cellStyle name="Style 1 3 5 4 2 2" xfId="5828"/>
    <cellStyle name="Style 1 3 5 4 3" xfId="5829"/>
    <cellStyle name="Style 1 3 5 5" xfId="5830"/>
    <cellStyle name="Style 1 4" xfId="5831"/>
    <cellStyle name="Style 1 5" xfId="5832"/>
    <cellStyle name="Style 1 6" xfId="5833"/>
    <cellStyle name="Style 1_apollo_curves" xfId="5834"/>
    <cellStyle name="Style 2" xfId="5835"/>
    <cellStyle name="TableF" xfId="5836"/>
    <cellStyle name="TableF 2" xfId="5837"/>
    <cellStyle name="text" xfId="5838"/>
    <cellStyle name="text2" xfId="5839"/>
    <cellStyle name="Title 2" xfId="5840"/>
    <cellStyle name="Title 2 2" xfId="5841"/>
    <cellStyle name="Title 3" xfId="5842"/>
    <cellStyle name="Title 4" xfId="5843"/>
    <cellStyle name="Title 5" xfId="5844"/>
    <cellStyle name="Title 6" xfId="5845"/>
    <cellStyle name="title2" xfId="5846"/>
    <cellStyle name="TopGrey" xfId="5847"/>
    <cellStyle name="Total 2" xfId="5848"/>
    <cellStyle name="Total 2 2" xfId="5849"/>
    <cellStyle name="Total 2 2 2" xfId="5850"/>
    <cellStyle name="Total 2 2 2 2" xfId="5851"/>
    <cellStyle name="Total 2 2 2 2 2" xfId="5852"/>
    <cellStyle name="Total 2 2 2 2 2 2" xfId="5853"/>
    <cellStyle name="Total 2 2 2 2 2 2 2" xfId="5854"/>
    <cellStyle name="Total 2 2 2 2 2 2 2 2" xfId="5855"/>
    <cellStyle name="Total 2 2 2 2 2 2 2 2 2" xfId="5856"/>
    <cellStyle name="Total 2 2 2 2 2 2 2 3" xfId="5857"/>
    <cellStyle name="Total 2 2 2 2 2 2 3" xfId="5858"/>
    <cellStyle name="Total 2 2 2 2 2 2 3 2" xfId="5859"/>
    <cellStyle name="Total 2 2 2 2 2 2 4" xfId="5860"/>
    <cellStyle name="Total 2 2 2 2 2 3" xfId="5861"/>
    <cellStyle name="Total 2 2 2 2 2 3 2" xfId="5862"/>
    <cellStyle name="Total 2 2 2 2 2 3 2 2" xfId="5863"/>
    <cellStyle name="Total 2 2 2 2 2 3 3" xfId="5864"/>
    <cellStyle name="Total 2 2 2 2 2 3 4" xfId="5865"/>
    <cellStyle name="Total 2 2 2 2 2 4" xfId="5866"/>
    <cellStyle name="Total 2 2 2 2 2 4 2" xfId="5867"/>
    <cellStyle name="Total 2 2 2 2 2 4 2 2" xfId="5868"/>
    <cellStyle name="Total 2 2 2 2 2 4 3" xfId="5869"/>
    <cellStyle name="Total 2 2 2 2 2 5" xfId="5870"/>
    <cellStyle name="Total 2 2 2 2 2 5 2" xfId="5871"/>
    <cellStyle name="Total 2 2 2 2 2 6" xfId="5872"/>
    <cellStyle name="Total 2 2 2 2 3" xfId="5873"/>
    <cellStyle name="Total 2 2 2 2 3 2" xfId="5874"/>
    <cellStyle name="Total 2 2 2 2 3 2 2" xfId="5875"/>
    <cellStyle name="Total 2 2 2 2 3 2 2 2" xfId="5876"/>
    <cellStyle name="Total 2 2 2 2 3 2 2 2 2" xfId="5877"/>
    <cellStyle name="Total 2 2 2 2 3 2 2 3" xfId="5878"/>
    <cellStyle name="Total 2 2 2 2 3 2 3" xfId="5879"/>
    <cellStyle name="Total 2 2 2 2 3 2 3 2" xfId="5880"/>
    <cellStyle name="Total 2 2 2 2 3 2 4" xfId="5881"/>
    <cellStyle name="Total 2 2 2 2 3 3" xfId="5882"/>
    <cellStyle name="Total 2 2 2 2 3 3 2" xfId="5883"/>
    <cellStyle name="Total 2 2 2 2 3 3 2 2" xfId="5884"/>
    <cellStyle name="Total 2 2 2 2 3 3 3" xfId="5885"/>
    <cellStyle name="Total 2 2 2 2 3 3 4" xfId="5886"/>
    <cellStyle name="Total 2 2 2 2 3 4" xfId="5887"/>
    <cellStyle name="Total 2 2 2 2 3 4 2" xfId="5888"/>
    <cellStyle name="Total 2 2 2 2 3 4 2 2" xfId="5889"/>
    <cellStyle name="Total 2 2 2 2 3 4 3" xfId="5890"/>
    <cellStyle name="Total 2 2 2 2 3 5" xfId="5891"/>
    <cellStyle name="Total 2 2 2 2 3 5 2" xfId="5892"/>
    <cellStyle name="Total 2 2 2 2 3 6" xfId="5893"/>
    <cellStyle name="Total 2 2 2 2 4" xfId="5894"/>
    <cellStyle name="Total 2 2 2 2 4 2" xfId="5895"/>
    <cellStyle name="Total 2 2 2 2 4 2 2" xfId="5896"/>
    <cellStyle name="Total 2 2 2 2 4 2 2 2" xfId="5897"/>
    <cellStyle name="Total 2 2 2 2 4 2 2 2 2" xfId="5898"/>
    <cellStyle name="Total 2 2 2 2 4 2 2 3" xfId="5899"/>
    <cellStyle name="Total 2 2 2 2 4 2 3" xfId="5900"/>
    <cellStyle name="Total 2 2 2 2 4 2 3 2" xfId="5901"/>
    <cellStyle name="Total 2 2 2 2 4 2 4" xfId="5902"/>
    <cellStyle name="Total 2 2 2 2 4 3" xfId="5903"/>
    <cellStyle name="Total 2 2 2 2 4 3 2" xfId="5904"/>
    <cellStyle name="Total 2 2 2 2 4 3 2 2" xfId="5905"/>
    <cellStyle name="Total 2 2 2 2 4 3 3" xfId="5906"/>
    <cellStyle name="Total 2 2 2 2 4 3 4" xfId="5907"/>
    <cellStyle name="Total 2 2 2 2 4 4" xfId="5908"/>
    <cellStyle name="Total 2 2 2 2 4 4 2" xfId="5909"/>
    <cellStyle name="Total 2 2 2 2 4 4 2 2" xfId="5910"/>
    <cellStyle name="Total 2 2 2 2 4 4 3" xfId="5911"/>
    <cellStyle name="Total 2 2 2 2 4 5" xfId="5912"/>
    <cellStyle name="Total 2 2 2 2 4 5 2" xfId="5913"/>
    <cellStyle name="Total 2 2 2 2 4 6" xfId="5914"/>
    <cellStyle name="Total 2 2 2 2 5" xfId="5915"/>
    <cellStyle name="Total 2 2 2 2 5 2" xfId="5916"/>
    <cellStyle name="Total 2 2 2 3" xfId="5917"/>
    <cellStyle name="Total 2 2 2 3 2" xfId="5918"/>
    <cellStyle name="Total 2 2 2 3 2 2" xfId="5919"/>
    <cellStyle name="Total 2 2 2 3 2 2 2" xfId="5920"/>
    <cellStyle name="Total 2 2 2 3 2 2 2 2" xfId="5921"/>
    <cellStyle name="Total 2 2 2 3 2 2 3" xfId="5922"/>
    <cellStyle name="Total 2 2 2 3 2 3" xfId="5923"/>
    <cellStyle name="Total 2 2 2 3 2 3 2" xfId="5924"/>
    <cellStyle name="Total 2 2 2 3 2 4" xfId="5925"/>
    <cellStyle name="Total 2 2 2 3 3" xfId="5926"/>
    <cellStyle name="Total 2 2 2 3 3 2" xfId="5927"/>
    <cellStyle name="Total 2 2 2 3 3 2 2" xfId="5928"/>
    <cellStyle name="Total 2 2 2 3 3 3" xfId="5929"/>
    <cellStyle name="Total 2 2 2 3 3 4" xfId="5930"/>
    <cellStyle name="Total 2 2 2 3 4" xfId="5931"/>
    <cellStyle name="Total 2 2 2 3 4 2" xfId="5932"/>
    <cellStyle name="Total 2 2 2 3 4 2 2" xfId="5933"/>
    <cellStyle name="Total 2 2 2 3 4 3" xfId="5934"/>
    <cellStyle name="Total 2 2 2 3 5" xfId="5935"/>
    <cellStyle name="Total 2 2 2 3 5 2" xfId="5936"/>
    <cellStyle name="Total 2 2 2 3 6" xfId="5937"/>
    <cellStyle name="Total 2 2 2 4" xfId="5938"/>
    <cellStyle name="Total 2 2 2 4 2" xfId="5939"/>
    <cellStyle name="Total 2 2 2 4 2 2" xfId="5940"/>
    <cellStyle name="Total 2 2 2 4 2 2 2" xfId="5941"/>
    <cellStyle name="Total 2 2 2 4 2 2 2 2" xfId="5942"/>
    <cellStyle name="Total 2 2 2 4 2 2 3" xfId="5943"/>
    <cellStyle name="Total 2 2 2 4 2 3" xfId="5944"/>
    <cellStyle name="Total 2 2 2 4 2 3 2" xfId="5945"/>
    <cellStyle name="Total 2 2 2 4 2 4" xfId="5946"/>
    <cellStyle name="Total 2 2 2 4 3" xfId="5947"/>
    <cellStyle name="Total 2 2 2 4 3 2" xfId="5948"/>
    <cellStyle name="Total 2 2 2 4 3 2 2" xfId="5949"/>
    <cellStyle name="Total 2 2 2 4 3 3" xfId="5950"/>
    <cellStyle name="Total 2 2 2 4 3 4" xfId="5951"/>
    <cellStyle name="Total 2 2 2 4 4" xfId="5952"/>
    <cellStyle name="Total 2 2 2 4 4 2" xfId="5953"/>
    <cellStyle name="Total 2 2 2 4 4 2 2" xfId="5954"/>
    <cellStyle name="Total 2 2 2 4 4 3" xfId="5955"/>
    <cellStyle name="Total 2 2 2 4 5" xfId="5956"/>
    <cellStyle name="Total 2 2 2 4 5 2" xfId="5957"/>
    <cellStyle name="Total 2 2 2 4 6" xfId="5958"/>
    <cellStyle name="Total 2 2 2 5" xfId="5959"/>
    <cellStyle name="Total 2 2 2 5 2" xfId="5960"/>
    <cellStyle name="Total 2 2 2 5 2 2" xfId="5961"/>
    <cellStyle name="Total 2 2 2 5 2 2 2" xfId="5962"/>
    <cellStyle name="Total 2 2 2 5 2 2 2 2" xfId="5963"/>
    <cellStyle name="Total 2 2 2 5 2 2 3" xfId="5964"/>
    <cellStyle name="Total 2 2 2 5 2 3" xfId="5965"/>
    <cellStyle name="Total 2 2 2 5 2 3 2" xfId="5966"/>
    <cellStyle name="Total 2 2 2 5 2 4" xfId="5967"/>
    <cellStyle name="Total 2 2 2 5 3" xfId="5968"/>
    <cellStyle name="Total 2 2 2 5 3 2" xfId="5969"/>
    <cellStyle name="Total 2 2 2 5 3 2 2" xfId="5970"/>
    <cellStyle name="Total 2 2 2 5 3 3" xfId="5971"/>
    <cellStyle name="Total 2 2 2 5 3 4" xfId="5972"/>
    <cellStyle name="Total 2 2 2 5 4" xfId="5973"/>
    <cellStyle name="Total 2 2 2 5 4 2" xfId="5974"/>
    <cellStyle name="Total 2 2 2 5 4 2 2" xfId="5975"/>
    <cellStyle name="Total 2 2 2 5 4 3" xfId="5976"/>
    <cellStyle name="Total 2 2 2 5 5" xfId="5977"/>
    <cellStyle name="Total 2 2 2 5 5 2" xfId="5978"/>
    <cellStyle name="Total 2 2 2 5 6" xfId="5979"/>
    <cellStyle name="Total 2 2 2 6" xfId="5980"/>
    <cellStyle name="Total 2 2 2 6 2" xfId="5981"/>
    <cellStyle name="Total 2 2 3" xfId="5982"/>
    <cellStyle name="Total 2 2 3 2" xfId="5983"/>
    <cellStyle name="Total 2 2 3 2 2" xfId="5984"/>
    <cellStyle name="Total 2 2 3 2 2 2" xfId="5985"/>
    <cellStyle name="Total 2 2 3 2 2 2 2" xfId="5986"/>
    <cellStyle name="Total 2 2 3 2 2 2 2 2" xfId="5987"/>
    <cellStyle name="Total 2 2 3 2 2 2 3" xfId="5988"/>
    <cellStyle name="Total 2 2 3 2 2 3" xfId="5989"/>
    <cellStyle name="Total 2 2 3 2 2 3 2" xfId="5990"/>
    <cellStyle name="Total 2 2 3 2 2 4" xfId="5991"/>
    <cellStyle name="Total 2 2 3 2 3" xfId="5992"/>
    <cellStyle name="Total 2 2 3 2 3 2" xfId="5993"/>
    <cellStyle name="Total 2 2 3 2 3 2 2" xfId="5994"/>
    <cellStyle name="Total 2 2 3 2 3 3" xfId="5995"/>
    <cellStyle name="Total 2 2 3 2 3 4" xfId="5996"/>
    <cellStyle name="Total 2 2 3 2 4" xfId="5997"/>
    <cellStyle name="Total 2 2 3 2 4 2" xfId="5998"/>
    <cellStyle name="Total 2 2 3 2 4 2 2" xfId="5999"/>
    <cellStyle name="Total 2 2 3 2 4 3" xfId="6000"/>
    <cellStyle name="Total 2 2 3 2 5" xfId="6001"/>
    <cellStyle name="Total 2 2 3 2 5 2" xfId="6002"/>
    <cellStyle name="Total 2 2 3 2 6" xfId="6003"/>
    <cellStyle name="Total 2 2 3 3" xfId="6004"/>
    <cellStyle name="Total 2 2 3 3 2" xfId="6005"/>
    <cellStyle name="Total 2 2 3 3 2 2" xfId="6006"/>
    <cellStyle name="Total 2 2 3 3 2 2 2" xfId="6007"/>
    <cellStyle name="Total 2 2 3 3 2 2 2 2" xfId="6008"/>
    <cellStyle name="Total 2 2 3 3 2 2 3" xfId="6009"/>
    <cellStyle name="Total 2 2 3 3 2 3" xfId="6010"/>
    <cellStyle name="Total 2 2 3 3 2 3 2" xfId="6011"/>
    <cellStyle name="Total 2 2 3 3 2 4" xfId="6012"/>
    <cellStyle name="Total 2 2 3 3 3" xfId="6013"/>
    <cellStyle name="Total 2 2 3 3 3 2" xfId="6014"/>
    <cellStyle name="Total 2 2 3 3 3 2 2" xfId="6015"/>
    <cellStyle name="Total 2 2 3 3 3 3" xfId="6016"/>
    <cellStyle name="Total 2 2 3 3 3 4" xfId="6017"/>
    <cellStyle name="Total 2 2 3 3 4" xfId="6018"/>
    <cellStyle name="Total 2 2 3 3 4 2" xfId="6019"/>
    <cellStyle name="Total 2 2 3 3 4 2 2" xfId="6020"/>
    <cellStyle name="Total 2 2 3 3 4 3" xfId="6021"/>
    <cellStyle name="Total 2 2 3 3 5" xfId="6022"/>
    <cellStyle name="Total 2 2 3 3 5 2" xfId="6023"/>
    <cellStyle name="Total 2 2 3 3 6" xfId="6024"/>
    <cellStyle name="Total 2 2 3 4" xfId="6025"/>
    <cellStyle name="Total 2 2 3 4 2" xfId="6026"/>
    <cellStyle name="Total 2 2 3 4 2 2" xfId="6027"/>
    <cellStyle name="Total 2 2 3 4 2 2 2" xfId="6028"/>
    <cellStyle name="Total 2 2 3 4 2 2 2 2" xfId="6029"/>
    <cellStyle name="Total 2 2 3 4 2 2 3" xfId="6030"/>
    <cellStyle name="Total 2 2 3 4 2 3" xfId="6031"/>
    <cellStyle name="Total 2 2 3 4 2 3 2" xfId="6032"/>
    <cellStyle name="Total 2 2 3 4 2 4" xfId="6033"/>
    <cellStyle name="Total 2 2 3 4 3" xfId="6034"/>
    <cellStyle name="Total 2 2 3 4 3 2" xfId="6035"/>
    <cellStyle name="Total 2 2 3 4 3 2 2" xfId="6036"/>
    <cellStyle name="Total 2 2 3 4 3 3" xfId="6037"/>
    <cellStyle name="Total 2 2 3 4 3 4" xfId="6038"/>
    <cellStyle name="Total 2 2 3 4 4" xfId="6039"/>
    <cellStyle name="Total 2 2 3 4 4 2" xfId="6040"/>
    <cellStyle name="Total 2 2 3 4 4 2 2" xfId="6041"/>
    <cellStyle name="Total 2 2 3 4 4 3" xfId="6042"/>
    <cellStyle name="Total 2 2 3 4 5" xfId="6043"/>
    <cellStyle name="Total 2 2 3 4 5 2" xfId="6044"/>
    <cellStyle name="Total 2 2 3 4 6" xfId="6045"/>
    <cellStyle name="Total 2 2 3 5" xfId="6046"/>
    <cellStyle name="Total 2 2 3 5 2" xfId="6047"/>
    <cellStyle name="Total 2 2 4" xfId="6048"/>
    <cellStyle name="Total 2 2 4 2" xfId="6049"/>
    <cellStyle name="Total 2 2 4 2 2" xfId="6050"/>
    <cellStyle name="Total 2 2 4 2 2 2" xfId="6051"/>
    <cellStyle name="Total 2 2 4 2 2 2 2" xfId="6052"/>
    <cellStyle name="Total 2 2 4 2 2 2 2 2" xfId="6053"/>
    <cellStyle name="Total 2 2 4 2 2 2 3" xfId="6054"/>
    <cellStyle name="Total 2 2 4 2 2 3" xfId="6055"/>
    <cellStyle name="Total 2 2 4 2 2 3 2" xfId="6056"/>
    <cellStyle name="Total 2 2 4 2 2 4" xfId="6057"/>
    <cellStyle name="Total 2 2 4 2 3" xfId="6058"/>
    <cellStyle name="Total 2 2 4 2 3 2" xfId="6059"/>
    <cellStyle name="Total 2 2 4 2 3 2 2" xfId="6060"/>
    <cellStyle name="Total 2 2 4 2 3 3" xfId="6061"/>
    <cellStyle name="Total 2 2 4 2 3 4" xfId="6062"/>
    <cellStyle name="Total 2 2 4 2 4" xfId="6063"/>
    <cellStyle name="Total 2 2 4 2 4 2" xfId="6064"/>
    <cellStyle name="Total 2 2 4 2 4 2 2" xfId="6065"/>
    <cellStyle name="Total 2 2 4 2 4 3" xfId="6066"/>
    <cellStyle name="Total 2 2 4 2 5" xfId="6067"/>
    <cellStyle name="Total 2 2 4 2 5 2" xfId="6068"/>
    <cellStyle name="Total 2 2 4 2 6" xfId="6069"/>
    <cellStyle name="Total 2 2 4 3" xfId="6070"/>
    <cellStyle name="Total 2 2 4 3 2" xfId="6071"/>
    <cellStyle name="Total 2 2 4 3 2 2" xfId="6072"/>
    <cellStyle name="Total 2 2 4 3 2 2 2" xfId="6073"/>
    <cellStyle name="Total 2 2 4 3 2 2 2 2" xfId="6074"/>
    <cellStyle name="Total 2 2 4 3 2 2 3" xfId="6075"/>
    <cellStyle name="Total 2 2 4 3 2 3" xfId="6076"/>
    <cellStyle name="Total 2 2 4 3 2 3 2" xfId="6077"/>
    <cellStyle name="Total 2 2 4 3 2 4" xfId="6078"/>
    <cellStyle name="Total 2 2 4 3 3" xfId="6079"/>
    <cellStyle name="Total 2 2 4 3 3 2" xfId="6080"/>
    <cellStyle name="Total 2 2 4 3 3 2 2" xfId="6081"/>
    <cellStyle name="Total 2 2 4 3 3 3" xfId="6082"/>
    <cellStyle name="Total 2 2 4 3 3 4" xfId="6083"/>
    <cellStyle name="Total 2 2 4 3 4" xfId="6084"/>
    <cellStyle name="Total 2 2 4 3 4 2" xfId="6085"/>
    <cellStyle name="Total 2 2 4 3 4 2 2" xfId="6086"/>
    <cellStyle name="Total 2 2 4 3 4 3" xfId="6087"/>
    <cellStyle name="Total 2 2 4 3 5" xfId="6088"/>
    <cellStyle name="Total 2 2 4 3 5 2" xfId="6089"/>
    <cellStyle name="Total 2 2 4 3 6" xfId="6090"/>
    <cellStyle name="Total 2 2 4 4" xfId="6091"/>
    <cellStyle name="Total 2 2 4 4 2" xfId="6092"/>
    <cellStyle name="Total 2 2 4 4 2 2" xfId="6093"/>
    <cellStyle name="Total 2 2 4 4 2 2 2" xfId="6094"/>
    <cellStyle name="Total 2 2 4 4 2 3" xfId="6095"/>
    <cellStyle name="Total 2 2 4 4 3" xfId="6096"/>
    <cellStyle name="Total 2 2 4 4 3 2" xfId="6097"/>
    <cellStyle name="Total 2 2 4 4 4" xfId="6098"/>
    <cellStyle name="Total 2 2 4 5" xfId="6099"/>
    <cellStyle name="Total 2 2 4 5 2" xfId="6100"/>
    <cellStyle name="Total 2 2 4 5 2 2" xfId="6101"/>
    <cellStyle name="Total 2 2 4 5 3" xfId="6102"/>
    <cellStyle name="Total 2 2 4 5 4" xfId="6103"/>
    <cellStyle name="Total 2 2 4 6" xfId="6104"/>
    <cellStyle name="Total 2 2 4 6 2" xfId="6105"/>
    <cellStyle name="Total 2 2 4 6 2 2" xfId="6106"/>
    <cellStyle name="Total 2 2 4 6 3" xfId="6107"/>
    <cellStyle name="Total 2 2 4 7" xfId="6108"/>
    <cellStyle name="Total 2 2 4 7 2" xfId="6109"/>
    <cellStyle name="Total 2 2 4 8" xfId="6110"/>
    <cellStyle name="Total 2 2 5" xfId="6111"/>
    <cellStyle name="Total 2 2 5 2" xfId="6112"/>
    <cellStyle name="Total 2 2 5 2 2" xfId="6113"/>
    <cellStyle name="Total 2 2 5 2 2 2" xfId="6114"/>
    <cellStyle name="Total 2 2 5 2 2 2 2" xfId="6115"/>
    <cellStyle name="Total 2 2 5 2 2 3" xfId="6116"/>
    <cellStyle name="Total 2 2 5 2 3" xfId="6117"/>
    <cellStyle name="Total 2 2 5 2 3 2" xfId="6118"/>
    <cellStyle name="Total 2 2 5 2 4" xfId="6119"/>
    <cellStyle name="Total 2 2 5 3" xfId="6120"/>
    <cellStyle name="Total 2 2 5 3 2" xfId="6121"/>
    <cellStyle name="Total 2 2 5 3 2 2" xfId="6122"/>
    <cellStyle name="Total 2 2 5 3 3" xfId="6123"/>
    <cellStyle name="Total 2 2 5 3 4" xfId="6124"/>
    <cellStyle name="Total 2 2 5 4" xfId="6125"/>
    <cellStyle name="Total 2 2 5 4 2" xfId="6126"/>
    <cellStyle name="Total 2 2 5 4 2 2" xfId="6127"/>
    <cellStyle name="Total 2 2 5 4 3" xfId="6128"/>
    <cellStyle name="Total 2 2 5 5" xfId="6129"/>
    <cellStyle name="Total 2 2 5 5 2" xfId="6130"/>
    <cellStyle name="Total 2 2 5 6" xfId="6131"/>
    <cellStyle name="Total 2 3" xfId="6132"/>
    <cellStyle name="Total 2 3 2" xfId="6133"/>
    <cellStyle name="Total 2 3 2 2" xfId="6134"/>
    <cellStyle name="Total 2 3 2 2 2" xfId="6135"/>
    <cellStyle name="Total 2 3 2 2 2 2" xfId="6136"/>
    <cellStyle name="Total 2 3 2 2 2 2 2" xfId="6137"/>
    <cellStyle name="Total 2 3 2 2 2 2 2 2" xfId="6138"/>
    <cellStyle name="Total 2 3 2 2 2 2 3" xfId="6139"/>
    <cellStyle name="Total 2 3 2 2 2 3" xfId="6140"/>
    <cellStyle name="Total 2 3 2 2 2 3 2" xfId="6141"/>
    <cellStyle name="Total 2 3 2 2 2 4" xfId="6142"/>
    <cellStyle name="Total 2 3 2 2 3" xfId="6143"/>
    <cellStyle name="Total 2 3 2 2 3 2" xfId="6144"/>
    <cellStyle name="Total 2 3 2 2 3 2 2" xfId="6145"/>
    <cellStyle name="Total 2 3 2 2 3 3" xfId="6146"/>
    <cellStyle name="Total 2 3 2 2 3 4" xfId="6147"/>
    <cellStyle name="Total 2 3 2 2 4" xfId="6148"/>
    <cellStyle name="Total 2 3 2 2 4 2" xfId="6149"/>
    <cellStyle name="Total 2 3 2 2 4 2 2" xfId="6150"/>
    <cellStyle name="Total 2 3 2 2 4 3" xfId="6151"/>
    <cellStyle name="Total 2 3 2 2 5" xfId="6152"/>
    <cellStyle name="Total 2 3 2 2 5 2" xfId="6153"/>
    <cellStyle name="Total 2 3 2 2 6" xfId="6154"/>
    <cellStyle name="Total 2 3 2 3" xfId="6155"/>
    <cellStyle name="Total 2 3 2 3 2" xfId="6156"/>
    <cellStyle name="Total 2 3 2 3 2 2" xfId="6157"/>
    <cellStyle name="Total 2 3 2 3 2 2 2" xfId="6158"/>
    <cellStyle name="Total 2 3 2 3 2 2 2 2" xfId="6159"/>
    <cellStyle name="Total 2 3 2 3 2 2 3" xfId="6160"/>
    <cellStyle name="Total 2 3 2 3 2 3" xfId="6161"/>
    <cellStyle name="Total 2 3 2 3 2 3 2" xfId="6162"/>
    <cellStyle name="Total 2 3 2 3 2 4" xfId="6163"/>
    <cellStyle name="Total 2 3 2 3 3" xfId="6164"/>
    <cellStyle name="Total 2 3 2 3 3 2" xfId="6165"/>
    <cellStyle name="Total 2 3 2 3 3 2 2" xfId="6166"/>
    <cellStyle name="Total 2 3 2 3 3 3" xfId="6167"/>
    <cellStyle name="Total 2 3 2 3 3 4" xfId="6168"/>
    <cellStyle name="Total 2 3 2 3 4" xfId="6169"/>
    <cellStyle name="Total 2 3 2 3 4 2" xfId="6170"/>
    <cellStyle name="Total 2 3 2 3 4 2 2" xfId="6171"/>
    <cellStyle name="Total 2 3 2 3 4 3" xfId="6172"/>
    <cellStyle name="Total 2 3 2 3 5" xfId="6173"/>
    <cellStyle name="Total 2 3 2 3 5 2" xfId="6174"/>
    <cellStyle name="Total 2 3 2 3 6" xfId="6175"/>
    <cellStyle name="Total 2 3 2 4" xfId="6176"/>
    <cellStyle name="Total 2 3 2 4 2" xfId="6177"/>
    <cellStyle name="Total 2 3 2 4 2 2" xfId="6178"/>
    <cellStyle name="Total 2 3 2 4 2 2 2" xfId="6179"/>
    <cellStyle name="Total 2 3 2 4 2 2 2 2" xfId="6180"/>
    <cellStyle name="Total 2 3 2 4 2 2 3" xfId="6181"/>
    <cellStyle name="Total 2 3 2 4 2 3" xfId="6182"/>
    <cellStyle name="Total 2 3 2 4 2 3 2" xfId="6183"/>
    <cellStyle name="Total 2 3 2 4 2 4" xfId="6184"/>
    <cellStyle name="Total 2 3 2 4 3" xfId="6185"/>
    <cellStyle name="Total 2 3 2 4 3 2" xfId="6186"/>
    <cellStyle name="Total 2 3 2 4 3 2 2" xfId="6187"/>
    <cellStyle name="Total 2 3 2 4 3 3" xfId="6188"/>
    <cellStyle name="Total 2 3 2 4 3 4" xfId="6189"/>
    <cellStyle name="Total 2 3 2 4 4" xfId="6190"/>
    <cellStyle name="Total 2 3 2 4 4 2" xfId="6191"/>
    <cellStyle name="Total 2 3 2 4 4 2 2" xfId="6192"/>
    <cellStyle name="Total 2 3 2 4 4 3" xfId="6193"/>
    <cellStyle name="Total 2 3 2 4 5" xfId="6194"/>
    <cellStyle name="Total 2 3 2 4 5 2" xfId="6195"/>
    <cellStyle name="Total 2 3 2 4 6" xfId="6196"/>
    <cellStyle name="Total 2 3 2 5" xfId="6197"/>
    <cellStyle name="Total 2 3 2 5 2" xfId="6198"/>
    <cellStyle name="Total 2 3 3" xfId="6199"/>
    <cellStyle name="Total 2 3 3 2" xfId="6200"/>
    <cellStyle name="Total 2 3 3 2 2" xfId="6201"/>
    <cellStyle name="Total 2 3 3 2 2 2" xfId="6202"/>
    <cellStyle name="Total 2 3 3 2 2 2 2" xfId="6203"/>
    <cellStyle name="Total 2 3 3 2 2 3" xfId="6204"/>
    <cellStyle name="Total 2 3 3 2 3" xfId="6205"/>
    <cellStyle name="Total 2 3 3 2 3 2" xfId="6206"/>
    <cellStyle name="Total 2 3 3 2 4" xfId="6207"/>
    <cellStyle name="Total 2 3 3 3" xfId="6208"/>
    <cellStyle name="Total 2 3 3 3 2" xfId="6209"/>
    <cellStyle name="Total 2 3 3 3 2 2" xfId="6210"/>
    <cellStyle name="Total 2 3 3 3 3" xfId="6211"/>
    <cellStyle name="Total 2 3 3 3 4" xfId="6212"/>
    <cellStyle name="Total 2 3 3 4" xfId="6213"/>
    <cellStyle name="Total 2 3 3 4 2" xfId="6214"/>
    <cellStyle name="Total 2 3 3 4 2 2" xfId="6215"/>
    <cellStyle name="Total 2 3 3 4 3" xfId="6216"/>
    <cellStyle name="Total 2 3 3 5" xfId="6217"/>
    <cellStyle name="Total 2 3 3 5 2" xfId="6218"/>
    <cellStyle name="Total 2 3 3 6" xfId="6219"/>
    <cellStyle name="Total 2 3 4" xfId="6220"/>
    <cellStyle name="Total 2 3 4 2" xfId="6221"/>
    <cellStyle name="Total 2 3 4 2 2" xfId="6222"/>
    <cellStyle name="Total 2 3 4 2 2 2" xfId="6223"/>
    <cellStyle name="Total 2 3 4 2 2 2 2" xfId="6224"/>
    <cellStyle name="Total 2 3 4 2 2 3" xfId="6225"/>
    <cellStyle name="Total 2 3 4 2 3" xfId="6226"/>
    <cellStyle name="Total 2 3 4 2 3 2" xfId="6227"/>
    <cellStyle name="Total 2 3 4 2 4" xfId="6228"/>
    <cellStyle name="Total 2 3 4 3" xfId="6229"/>
    <cellStyle name="Total 2 3 4 3 2" xfId="6230"/>
    <cellStyle name="Total 2 3 4 3 2 2" xfId="6231"/>
    <cellStyle name="Total 2 3 4 3 3" xfId="6232"/>
    <cellStyle name="Total 2 3 4 3 4" xfId="6233"/>
    <cellStyle name="Total 2 3 4 4" xfId="6234"/>
    <cellStyle name="Total 2 3 4 4 2" xfId="6235"/>
    <cellStyle name="Total 2 3 4 4 2 2" xfId="6236"/>
    <cellStyle name="Total 2 3 4 4 3" xfId="6237"/>
    <cellStyle name="Total 2 3 4 5" xfId="6238"/>
    <cellStyle name="Total 2 3 4 5 2" xfId="6239"/>
    <cellStyle name="Total 2 3 4 6" xfId="6240"/>
    <cellStyle name="Total 2 3 5" xfId="6241"/>
    <cellStyle name="Total 2 3 5 2" xfId="6242"/>
    <cellStyle name="Total 2 3 5 2 2" xfId="6243"/>
    <cellStyle name="Total 2 3 5 2 2 2" xfId="6244"/>
    <cellStyle name="Total 2 3 5 2 2 2 2" xfId="6245"/>
    <cellStyle name="Total 2 3 5 2 2 3" xfId="6246"/>
    <cellStyle name="Total 2 3 5 2 3" xfId="6247"/>
    <cellStyle name="Total 2 3 5 2 3 2" xfId="6248"/>
    <cellStyle name="Total 2 3 5 2 4" xfId="6249"/>
    <cellStyle name="Total 2 3 5 3" xfId="6250"/>
    <cellStyle name="Total 2 3 5 3 2" xfId="6251"/>
    <cellStyle name="Total 2 3 5 3 2 2" xfId="6252"/>
    <cellStyle name="Total 2 3 5 3 3" xfId="6253"/>
    <cellStyle name="Total 2 3 5 3 4" xfId="6254"/>
    <cellStyle name="Total 2 3 5 4" xfId="6255"/>
    <cellStyle name="Total 2 3 5 4 2" xfId="6256"/>
    <cellStyle name="Total 2 3 5 4 2 2" xfId="6257"/>
    <cellStyle name="Total 2 3 5 4 3" xfId="6258"/>
    <cellStyle name="Total 2 3 5 5" xfId="6259"/>
    <cellStyle name="Total 2 3 5 5 2" xfId="6260"/>
    <cellStyle name="Total 2 3 5 6" xfId="6261"/>
    <cellStyle name="Total 2 3 6" xfId="6262"/>
    <cellStyle name="Total 2 3 6 2" xfId="6263"/>
    <cellStyle name="Total 2 4" xfId="6264"/>
    <cellStyle name="Total 2 4 2" xfId="6265"/>
    <cellStyle name="Total 2 4 2 2" xfId="6266"/>
    <cellStyle name="Total 2 4 2 2 2" xfId="6267"/>
    <cellStyle name="Total 2 4 2 2 2 2" xfId="6268"/>
    <cellStyle name="Total 2 4 2 2 2 2 2" xfId="6269"/>
    <cellStyle name="Total 2 4 2 2 2 3" xfId="6270"/>
    <cellStyle name="Total 2 4 2 2 3" xfId="6271"/>
    <cellStyle name="Total 2 4 2 2 3 2" xfId="6272"/>
    <cellStyle name="Total 2 4 2 2 4" xfId="6273"/>
    <cellStyle name="Total 2 4 2 3" xfId="6274"/>
    <cellStyle name="Total 2 4 2 3 2" xfId="6275"/>
    <cellStyle name="Total 2 4 2 3 2 2" xfId="6276"/>
    <cellStyle name="Total 2 4 2 3 3" xfId="6277"/>
    <cellStyle name="Total 2 4 2 3 4" xfId="6278"/>
    <cellStyle name="Total 2 4 2 4" xfId="6279"/>
    <cellStyle name="Total 2 4 2 4 2" xfId="6280"/>
    <cellStyle name="Total 2 4 2 4 2 2" xfId="6281"/>
    <cellStyle name="Total 2 4 2 4 3" xfId="6282"/>
    <cellStyle name="Total 2 4 2 5" xfId="6283"/>
    <cellStyle name="Total 2 4 2 5 2" xfId="6284"/>
    <cellStyle name="Total 2 4 2 6" xfId="6285"/>
    <cellStyle name="Total 2 4 3" xfId="6286"/>
    <cellStyle name="Total 2 4 3 2" xfId="6287"/>
    <cellStyle name="Total 2 4 3 2 2" xfId="6288"/>
    <cellStyle name="Total 2 4 3 2 2 2" xfId="6289"/>
    <cellStyle name="Total 2 4 3 2 2 2 2" xfId="6290"/>
    <cellStyle name="Total 2 4 3 2 2 3" xfId="6291"/>
    <cellStyle name="Total 2 4 3 2 3" xfId="6292"/>
    <cellStyle name="Total 2 4 3 2 3 2" xfId="6293"/>
    <cellStyle name="Total 2 4 3 2 4" xfId="6294"/>
    <cellStyle name="Total 2 4 3 3" xfId="6295"/>
    <cellStyle name="Total 2 4 3 3 2" xfId="6296"/>
    <cellStyle name="Total 2 4 3 3 2 2" xfId="6297"/>
    <cellStyle name="Total 2 4 3 3 3" xfId="6298"/>
    <cellStyle name="Total 2 4 3 3 4" xfId="6299"/>
    <cellStyle name="Total 2 4 3 4" xfId="6300"/>
    <cellStyle name="Total 2 4 3 4 2" xfId="6301"/>
    <cellStyle name="Total 2 4 3 4 2 2" xfId="6302"/>
    <cellStyle name="Total 2 4 3 4 3" xfId="6303"/>
    <cellStyle name="Total 2 4 3 5" xfId="6304"/>
    <cellStyle name="Total 2 4 3 5 2" xfId="6305"/>
    <cellStyle name="Total 2 4 3 6" xfId="6306"/>
    <cellStyle name="Total 2 4 4" xfId="6307"/>
    <cellStyle name="Total 2 4 4 2" xfId="6308"/>
    <cellStyle name="Total 2 4 4 2 2" xfId="6309"/>
    <cellStyle name="Total 2 4 4 2 2 2" xfId="6310"/>
    <cellStyle name="Total 2 4 4 2 2 2 2" xfId="6311"/>
    <cellStyle name="Total 2 4 4 2 2 3" xfId="6312"/>
    <cellStyle name="Total 2 4 4 2 3" xfId="6313"/>
    <cellStyle name="Total 2 4 4 2 3 2" xfId="6314"/>
    <cellStyle name="Total 2 4 4 2 4" xfId="6315"/>
    <cellStyle name="Total 2 4 4 3" xfId="6316"/>
    <cellStyle name="Total 2 4 4 3 2" xfId="6317"/>
    <cellStyle name="Total 2 4 4 3 2 2" xfId="6318"/>
    <cellStyle name="Total 2 4 4 3 3" xfId="6319"/>
    <cellStyle name="Total 2 4 4 3 4" xfId="6320"/>
    <cellStyle name="Total 2 4 4 4" xfId="6321"/>
    <cellStyle name="Total 2 4 4 4 2" xfId="6322"/>
    <cellStyle name="Total 2 4 4 4 2 2" xfId="6323"/>
    <cellStyle name="Total 2 4 4 4 3" xfId="6324"/>
    <cellStyle name="Total 2 4 4 5" xfId="6325"/>
    <cellStyle name="Total 2 4 4 5 2" xfId="6326"/>
    <cellStyle name="Total 2 4 4 6" xfId="6327"/>
    <cellStyle name="Total 2 4 5" xfId="6328"/>
    <cellStyle name="Total 2 4 5 2" xfId="6329"/>
    <cellStyle name="Total 2 5" xfId="6330"/>
    <cellStyle name="Total 2 5 2" xfId="6331"/>
    <cellStyle name="Total 2 5 2 2" xfId="6332"/>
    <cellStyle name="Total 2 5 2 2 2" xfId="6333"/>
    <cellStyle name="Total 2 5 2 2 2 2" xfId="6334"/>
    <cellStyle name="Total 2 5 2 2 2 2 2" xfId="6335"/>
    <cellStyle name="Total 2 5 2 2 2 3" xfId="6336"/>
    <cellStyle name="Total 2 5 2 2 3" xfId="6337"/>
    <cellStyle name="Total 2 5 2 2 3 2" xfId="6338"/>
    <cellStyle name="Total 2 5 2 2 4" xfId="6339"/>
    <cellStyle name="Total 2 5 2 3" xfId="6340"/>
    <cellStyle name="Total 2 5 2 3 2" xfId="6341"/>
    <cellStyle name="Total 2 5 2 3 2 2" xfId="6342"/>
    <cellStyle name="Total 2 5 2 3 3" xfId="6343"/>
    <cellStyle name="Total 2 5 2 3 4" xfId="6344"/>
    <cellStyle name="Total 2 5 2 4" xfId="6345"/>
    <cellStyle name="Total 2 5 2 4 2" xfId="6346"/>
    <cellStyle name="Total 2 5 2 4 2 2" xfId="6347"/>
    <cellStyle name="Total 2 5 2 4 3" xfId="6348"/>
    <cellStyle name="Total 2 5 2 5" xfId="6349"/>
    <cellStyle name="Total 2 5 2 5 2" xfId="6350"/>
    <cellStyle name="Total 2 5 2 6" xfId="6351"/>
    <cellStyle name="Total 2 5 3" xfId="6352"/>
    <cellStyle name="Total 2 5 3 2" xfId="6353"/>
    <cellStyle name="Total 2 5 3 2 2" xfId="6354"/>
    <cellStyle name="Total 2 5 3 2 2 2" xfId="6355"/>
    <cellStyle name="Total 2 5 3 2 2 2 2" xfId="6356"/>
    <cellStyle name="Total 2 5 3 2 2 3" xfId="6357"/>
    <cellStyle name="Total 2 5 3 2 3" xfId="6358"/>
    <cellStyle name="Total 2 5 3 2 3 2" xfId="6359"/>
    <cellStyle name="Total 2 5 3 2 4" xfId="6360"/>
    <cellStyle name="Total 2 5 3 3" xfId="6361"/>
    <cellStyle name="Total 2 5 3 3 2" xfId="6362"/>
    <cellStyle name="Total 2 5 3 3 2 2" xfId="6363"/>
    <cellStyle name="Total 2 5 3 3 3" xfId="6364"/>
    <cellStyle name="Total 2 5 3 3 4" xfId="6365"/>
    <cellStyle name="Total 2 5 3 4" xfId="6366"/>
    <cellStyle name="Total 2 5 3 4 2" xfId="6367"/>
    <cellStyle name="Total 2 5 3 4 2 2" xfId="6368"/>
    <cellStyle name="Total 2 5 3 4 3" xfId="6369"/>
    <cellStyle name="Total 2 5 3 5" xfId="6370"/>
    <cellStyle name="Total 2 5 3 5 2" xfId="6371"/>
    <cellStyle name="Total 2 5 3 6" xfId="6372"/>
    <cellStyle name="Total 2 5 4" xfId="6373"/>
    <cellStyle name="Total 2 5 4 2" xfId="6374"/>
    <cellStyle name="Total 2 5 4 2 2" xfId="6375"/>
    <cellStyle name="Total 2 5 4 2 2 2" xfId="6376"/>
    <cellStyle name="Total 2 5 4 2 3" xfId="6377"/>
    <cellStyle name="Total 2 5 4 3" xfId="6378"/>
    <cellStyle name="Total 2 5 4 3 2" xfId="6379"/>
    <cellStyle name="Total 2 5 4 4" xfId="6380"/>
    <cellStyle name="Total 2 5 5" xfId="6381"/>
    <cellStyle name="Total 2 5 5 2" xfId="6382"/>
    <cellStyle name="Total 2 5 5 2 2" xfId="6383"/>
    <cellStyle name="Total 2 5 5 3" xfId="6384"/>
    <cellStyle name="Total 2 5 5 4" xfId="6385"/>
    <cellStyle name="Total 2 5 6" xfId="6386"/>
    <cellStyle name="Total 2 5 6 2" xfId="6387"/>
    <cellStyle name="Total 2 5 6 2 2" xfId="6388"/>
    <cellStyle name="Total 2 5 6 3" xfId="6389"/>
    <cellStyle name="Total 2 5 7" xfId="6390"/>
    <cellStyle name="Total 2 5 7 2" xfId="6391"/>
    <cellStyle name="Total 2 5 8" xfId="6392"/>
    <cellStyle name="Total 2 6" xfId="6393"/>
    <cellStyle name="Total 2 6 2" xfId="6394"/>
    <cellStyle name="Total 2 6 2 2" xfId="6395"/>
    <cellStyle name="Total 2 6 2 2 2" xfId="6396"/>
    <cellStyle name="Total 2 6 2 2 2 2" xfId="6397"/>
    <cellStyle name="Total 2 6 2 2 3" xfId="6398"/>
    <cellStyle name="Total 2 6 2 3" xfId="6399"/>
    <cellStyle name="Total 2 6 2 3 2" xfId="6400"/>
    <cellStyle name="Total 2 6 2 4" xfId="6401"/>
    <cellStyle name="Total 2 6 3" xfId="6402"/>
    <cellStyle name="Total 2 6 3 2" xfId="6403"/>
    <cellStyle name="Total 2 6 3 2 2" xfId="6404"/>
    <cellStyle name="Total 2 6 3 3" xfId="6405"/>
    <cellStyle name="Total 2 6 3 4" xfId="6406"/>
    <cellStyle name="Total 2 6 4" xfId="6407"/>
    <cellStyle name="Total 2 6 4 2" xfId="6408"/>
    <cellStyle name="Total 2 6 4 2 2" xfId="6409"/>
    <cellStyle name="Total 2 6 4 3" xfId="6410"/>
    <cellStyle name="Total 2 6 5" xfId="6411"/>
    <cellStyle name="Total 2 6 5 2" xfId="6412"/>
    <cellStyle name="Total 2 6 6" xfId="6413"/>
    <cellStyle name="Total 3" xfId="6414"/>
    <cellStyle name="Total 3 2" xfId="6415"/>
    <cellStyle name="Total 3 2 2" xfId="6416"/>
    <cellStyle name="Total 3 2 2 2" xfId="6417"/>
    <cellStyle name="Total 3 2 2 2 2" xfId="6418"/>
    <cellStyle name="Total 3 2 2 2 2 2" xfId="6419"/>
    <cellStyle name="Total 3 2 2 2 2 2 2" xfId="6420"/>
    <cellStyle name="Total 3 2 2 2 2 2 2 2" xfId="6421"/>
    <cellStyle name="Total 3 2 2 2 2 2 3" xfId="6422"/>
    <cellStyle name="Total 3 2 2 2 2 3" xfId="6423"/>
    <cellStyle name="Total 3 2 2 2 2 3 2" xfId="6424"/>
    <cellStyle name="Total 3 2 2 2 2 4" xfId="6425"/>
    <cellStyle name="Total 3 2 2 2 3" xfId="6426"/>
    <cellStyle name="Total 3 2 2 2 3 2" xfId="6427"/>
    <cellStyle name="Total 3 2 2 2 3 2 2" xfId="6428"/>
    <cellStyle name="Total 3 2 2 2 3 3" xfId="6429"/>
    <cellStyle name="Total 3 2 2 2 3 4" xfId="6430"/>
    <cellStyle name="Total 3 2 2 2 4" xfId="6431"/>
    <cellStyle name="Total 3 2 2 2 4 2" xfId="6432"/>
    <cellStyle name="Total 3 2 2 2 4 2 2" xfId="6433"/>
    <cellStyle name="Total 3 2 2 2 4 3" xfId="6434"/>
    <cellStyle name="Total 3 2 2 2 5" xfId="6435"/>
    <cellStyle name="Total 3 2 2 2 5 2" xfId="6436"/>
    <cellStyle name="Total 3 2 2 2 6" xfId="6437"/>
    <cellStyle name="Total 3 2 2 3" xfId="6438"/>
    <cellStyle name="Total 3 2 2 3 2" xfId="6439"/>
    <cellStyle name="Total 3 2 2 3 2 2" xfId="6440"/>
    <cellStyle name="Total 3 2 2 3 2 2 2" xfId="6441"/>
    <cellStyle name="Total 3 2 2 3 2 2 2 2" xfId="6442"/>
    <cellStyle name="Total 3 2 2 3 2 2 3" xfId="6443"/>
    <cellStyle name="Total 3 2 2 3 2 3" xfId="6444"/>
    <cellStyle name="Total 3 2 2 3 2 3 2" xfId="6445"/>
    <cellStyle name="Total 3 2 2 3 2 4" xfId="6446"/>
    <cellStyle name="Total 3 2 2 3 3" xfId="6447"/>
    <cellStyle name="Total 3 2 2 3 3 2" xfId="6448"/>
    <cellStyle name="Total 3 2 2 3 3 2 2" xfId="6449"/>
    <cellStyle name="Total 3 2 2 3 3 3" xfId="6450"/>
    <cellStyle name="Total 3 2 2 3 3 4" xfId="6451"/>
    <cellStyle name="Total 3 2 2 3 4" xfId="6452"/>
    <cellStyle name="Total 3 2 2 3 4 2" xfId="6453"/>
    <cellStyle name="Total 3 2 2 3 4 2 2" xfId="6454"/>
    <cellStyle name="Total 3 2 2 3 4 3" xfId="6455"/>
    <cellStyle name="Total 3 2 2 3 5" xfId="6456"/>
    <cellStyle name="Total 3 2 2 3 5 2" xfId="6457"/>
    <cellStyle name="Total 3 2 2 3 6" xfId="6458"/>
    <cellStyle name="Total 3 2 2 4" xfId="6459"/>
    <cellStyle name="Total 3 2 2 4 2" xfId="6460"/>
    <cellStyle name="Total 3 2 2 4 2 2" xfId="6461"/>
    <cellStyle name="Total 3 2 2 4 2 2 2" xfId="6462"/>
    <cellStyle name="Total 3 2 2 4 2 2 2 2" xfId="6463"/>
    <cellStyle name="Total 3 2 2 4 2 2 3" xfId="6464"/>
    <cellStyle name="Total 3 2 2 4 2 3" xfId="6465"/>
    <cellStyle name="Total 3 2 2 4 2 3 2" xfId="6466"/>
    <cellStyle name="Total 3 2 2 4 2 4" xfId="6467"/>
    <cellStyle name="Total 3 2 2 4 3" xfId="6468"/>
    <cellStyle name="Total 3 2 2 4 3 2" xfId="6469"/>
    <cellStyle name="Total 3 2 2 4 3 2 2" xfId="6470"/>
    <cellStyle name="Total 3 2 2 4 3 3" xfId="6471"/>
    <cellStyle name="Total 3 2 2 4 3 4" xfId="6472"/>
    <cellStyle name="Total 3 2 2 4 4" xfId="6473"/>
    <cellStyle name="Total 3 2 2 4 4 2" xfId="6474"/>
    <cellStyle name="Total 3 2 2 4 4 2 2" xfId="6475"/>
    <cellStyle name="Total 3 2 2 4 4 3" xfId="6476"/>
    <cellStyle name="Total 3 2 2 4 5" xfId="6477"/>
    <cellStyle name="Total 3 2 2 4 5 2" xfId="6478"/>
    <cellStyle name="Total 3 2 2 4 6" xfId="6479"/>
    <cellStyle name="Total 3 2 2 5" xfId="6480"/>
    <cellStyle name="Total 3 2 2 5 2" xfId="6481"/>
    <cellStyle name="Total 3 2 3" xfId="6482"/>
    <cellStyle name="Total 3 2 3 2" xfId="6483"/>
    <cellStyle name="Total 3 2 3 2 2" xfId="6484"/>
    <cellStyle name="Total 3 2 3 2 2 2" xfId="6485"/>
    <cellStyle name="Total 3 2 3 2 2 2 2" xfId="6486"/>
    <cellStyle name="Total 3 2 3 2 2 3" xfId="6487"/>
    <cellStyle name="Total 3 2 3 2 3" xfId="6488"/>
    <cellStyle name="Total 3 2 3 2 3 2" xfId="6489"/>
    <cellStyle name="Total 3 2 3 2 4" xfId="6490"/>
    <cellStyle name="Total 3 2 3 3" xfId="6491"/>
    <cellStyle name="Total 3 2 3 3 2" xfId="6492"/>
    <cellStyle name="Total 3 2 3 3 2 2" xfId="6493"/>
    <cellStyle name="Total 3 2 3 3 3" xfId="6494"/>
    <cellStyle name="Total 3 2 3 3 4" xfId="6495"/>
    <cellStyle name="Total 3 2 3 4" xfId="6496"/>
    <cellStyle name="Total 3 2 3 4 2" xfId="6497"/>
    <cellStyle name="Total 3 2 3 4 2 2" xfId="6498"/>
    <cellStyle name="Total 3 2 3 4 3" xfId="6499"/>
    <cellStyle name="Total 3 2 3 5" xfId="6500"/>
    <cellStyle name="Total 3 2 3 5 2" xfId="6501"/>
    <cellStyle name="Total 3 2 3 6" xfId="6502"/>
    <cellStyle name="Total 3 2 4" xfId="6503"/>
    <cellStyle name="Total 3 2 4 2" xfId="6504"/>
    <cellStyle name="Total 3 2 4 2 2" xfId="6505"/>
    <cellStyle name="Total 3 2 4 2 2 2" xfId="6506"/>
    <cellStyle name="Total 3 2 4 2 2 2 2" xfId="6507"/>
    <cellStyle name="Total 3 2 4 2 2 3" xfId="6508"/>
    <cellStyle name="Total 3 2 4 2 3" xfId="6509"/>
    <cellStyle name="Total 3 2 4 2 3 2" xfId="6510"/>
    <cellStyle name="Total 3 2 4 2 4" xfId="6511"/>
    <cellStyle name="Total 3 2 4 3" xfId="6512"/>
    <cellStyle name="Total 3 2 4 3 2" xfId="6513"/>
    <cellStyle name="Total 3 2 4 3 2 2" xfId="6514"/>
    <cellStyle name="Total 3 2 4 3 3" xfId="6515"/>
    <cellStyle name="Total 3 2 4 3 4" xfId="6516"/>
    <cellStyle name="Total 3 2 4 4" xfId="6517"/>
    <cellStyle name="Total 3 2 4 4 2" xfId="6518"/>
    <cellStyle name="Total 3 2 4 4 2 2" xfId="6519"/>
    <cellStyle name="Total 3 2 4 4 3" xfId="6520"/>
    <cellStyle name="Total 3 2 4 5" xfId="6521"/>
    <cellStyle name="Total 3 2 4 5 2" xfId="6522"/>
    <cellStyle name="Total 3 2 4 6" xfId="6523"/>
    <cellStyle name="Total 3 2 5" xfId="6524"/>
    <cellStyle name="Total 3 2 5 2" xfId="6525"/>
    <cellStyle name="Total 3 2 5 2 2" xfId="6526"/>
    <cellStyle name="Total 3 2 5 2 2 2" xfId="6527"/>
    <cellStyle name="Total 3 2 5 2 2 2 2" xfId="6528"/>
    <cellStyle name="Total 3 2 5 2 2 3" xfId="6529"/>
    <cellStyle name="Total 3 2 5 2 3" xfId="6530"/>
    <cellStyle name="Total 3 2 5 2 3 2" xfId="6531"/>
    <cellStyle name="Total 3 2 5 2 4" xfId="6532"/>
    <cellStyle name="Total 3 2 5 3" xfId="6533"/>
    <cellStyle name="Total 3 2 5 3 2" xfId="6534"/>
    <cellStyle name="Total 3 2 5 3 2 2" xfId="6535"/>
    <cellStyle name="Total 3 2 5 3 3" xfId="6536"/>
    <cellStyle name="Total 3 2 5 3 4" xfId="6537"/>
    <cellStyle name="Total 3 2 5 4" xfId="6538"/>
    <cellStyle name="Total 3 2 5 4 2" xfId="6539"/>
    <cellStyle name="Total 3 2 5 4 2 2" xfId="6540"/>
    <cellStyle name="Total 3 2 5 4 3" xfId="6541"/>
    <cellStyle name="Total 3 2 5 5" xfId="6542"/>
    <cellStyle name="Total 3 2 5 5 2" xfId="6543"/>
    <cellStyle name="Total 3 2 5 6" xfId="6544"/>
    <cellStyle name="Total 3 2 6" xfId="6545"/>
    <cellStyle name="Total 3 2 6 2" xfId="6546"/>
    <cellStyle name="Total 3 3" xfId="6547"/>
    <cellStyle name="Total 3 3 2" xfId="6548"/>
    <cellStyle name="Total 3 3 2 2" xfId="6549"/>
    <cellStyle name="Total 3 3 2 2 2" xfId="6550"/>
    <cellStyle name="Total 3 3 2 2 2 2" xfId="6551"/>
    <cellStyle name="Total 3 3 2 2 2 2 2" xfId="6552"/>
    <cellStyle name="Total 3 3 2 2 2 3" xfId="6553"/>
    <cellStyle name="Total 3 3 2 2 3" xfId="6554"/>
    <cellStyle name="Total 3 3 2 2 3 2" xfId="6555"/>
    <cellStyle name="Total 3 3 2 2 4" xfId="6556"/>
    <cellStyle name="Total 3 3 2 3" xfId="6557"/>
    <cellStyle name="Total 3 3 2 3 2" xfId="6558"/>
    <cellStyle name="Total 3 3 2 3 2 2" xfId="6559"/>
    <cellStyle name="Total 3 3 2 3 3" xfId="6560"/>
    <cellStyle name="Total 3 3 2 3 4" xfId="6561"/>
    <cellStyle name="Total 3 3 2 4" xfId="6562"/>
    <cellStyle name="Total 3 3 2 4 2" xfId="6563"/>
    <cellStyle name="Total 3 3 2 4 2 2" xfId="6564"/>
    <cellStyle name="Total 3 3 2 4 3" xfId="6565"/>
    <cellStyle name="Total 3 3 2 5" xfId="6566"/>
    <cellStyle name="Total 3 3 2 5 2" xfId="6567"/>
    <cellStyle name="Total 3 3 2 6" xfId="6568"/>
    <cellStyle name="Total 3 3 3" xfId="6569"/>
    <cellStyle name="Total 3 3 3 2" xfId="6570"/>
    <cellStyle name="Total 3 3 3 2 2" xfId="6571"/>
    <cellStyle name="Total 3 3 3 2 2 2" xfId="6572"/>
    <cellStyle name="Total 3 3 3 2 2 2 2" xfId="6573"/>
    <cellStyle name="Total 3 3 3 2 2 3" xfId="6574"/>
    <cellStyle name="Total 3 3 3 2 3" xfId="6575"/>
    <cellStyle name="Total 3 3 3 2 3 2" xfId="6576"/>
    <cellStyle name="Total 3 3 3 2 4" xfId="6577"/>
    <cellStyle name="Total 3 3 3 3" xfId="6578"/>
    <cellStyle name="Total 3 3 3 3 2" xfId="6579"/>
    <cellStyle name="Total 3 3 3 3 2 2" xfId="6580"/>
    <cellStyle name="Total 3 3 3 3 3" xfId="6581"/>
    <cellStyle name="Total 3 3 3 3 4" xfId="6582"/>
    <cellStyle name="Total 3 3 3 4" xfId="6583"/>
    <cellStyle name="Total 3 3 3 4 2" xfId="6584"/>
    <cellStyle name="Total 3 3 3 4 2 2" xfId="6585"/>
    <cellStyle name="Total 3 3 3 4 3" xfId="6586"/>
    <cellStyle name="Total 3 3 3 5" xfId="6587"/>
    <cellStyle name="Total 3 3 3 5 2" xfId="6588"/>
    <cellStyle name="Total 3 3 3 6" xfId="6589"/>
    <cellStyle name="Total 3 3 4" xfId="6590"/>
    <cellStyle name="Total 3 3 4 2" xfId="6591"/>
    <cellStyle name="Total 3 3 4 2 2" xfId="6592"/>
    <cellStyle name="Total 3 3 4 2 2 2" xfId="6593"/>
    <cellStyle name="Total 3 3 4 2 2 2 2" xfId="6594"/>
    <cellStyle name="Total 3 3 4 2 2 3" xfId="6595"/>
    <cellStyle name="Total 3 3 4 2 3" xfId="6596"/>
    <cellStyle name="Total 3 3 4 2 3 2" xfId="6597"/>
    <cellStyle name="Total 3 3 4 2 4" xfId="6598"/>
    <cellStyle name="Total 3 3 4 3" xfId="6599"/>
    <cellStyle name="Total 3 3 4 3 2" xfId="6600"/>
    <cellStyle name="Total 3 3 4 3 2 2" xfId="6601"/>
    <cellStyle name="Total 3 3 4 3 3" xfId="6602"/>
    <cellStyle name="Total 3 3 4 3 4" xfId="6603"/>
    <cellStyle name="Total 3 3 4 4" xfId="6604"/>
    <cellStyle name="Total 3 3 4 4 2" xfId="6605"/>
    <cellStyle name="Total 3 3 4 4 2 2" xfId="6606"/>
    <cellStyle name="Total 3 3 4 4 3" xfId="6607"/>
    <cellStyle name="Total 3 3 4 5" xfId="6608"/>
    <cellStyle name="Total 3 3 4 5 2" xfId="6609"/>
    <cellStyle name="Total 3 3 4 6" xfId="6610"/>
    <cellStyle name="Total 3 3 5" xfId="6611"/>
    <cellStyle name="Total 3 3 5 2" xfId="6612"/>
    <cellStyle name="Total 3 4" xfId="6613"/>
    <cellStyle name="Total 3 4 2" xfId="6614"/>
    <cellStyle name="Total 3 4 2 2" xfId="6615"/>
    <cellStyle name="Total 3 4 2 2 2" xfId="6616"/>
    <cellStyle name="Total 3 4 2 2 2 2" xfId="6617"/>
    <cellStyle name="Total 3 4 2 2 2 2 2" xfId="6618"/>
    <cellStyle name="Total 3 4 2 2 2 3" xfId="6619"/>
    <cellStyle name="Total 3 4 2 2 3" xfId="6620"/>
    <cellStyle name="Total 3 4 2 2 3 2" xfId="6621"/>
    <cellStyle name="Total 3 4 2 2 4" xfId="6622"/>
    <cellStyle name="Total 3 4 2 3" xfId="6623"/>
    <cellStyle name="Total 3 4 2 3 2" xfId="6624"/>
    <cellStyle name="Total 3 4 2 3 2 2" xfId="6625"/>
    <cellStyle name="Total 3 4 2 3 3" xfId="6626"/>
    <cellStyle name="Total 3 4 2 3 4" xfId="6627"/>
    <cellStyle name="Total 3 4 2 4" xfId="6628"/>
    <cellStyle name="Total 3 4 2 4 2" xfId="6629"/>
    <cellStyle name="Total 3 4 2 4 2 2" xfId="6630"/>
    <cellStyle name="Total 3 4 2 4 3" xfId="6631"/>
    <cellStyle name="Total 3 4 2 5" xfId="6632"/>
    <cellStyle name="Total 3 4 2 5 2" xfId="6633"/>
    <cellStyle name="Total 3 4 2 6" xfId="6634"/>
    <cellStyle name="Total 3 4 3" xfId="6635"/>
    <cellStyle name="Total 3 4 3 2" xfId="6636"/>
    <cellStyle name="Total 3 4 3 2 2" xfId="6637"/>
    <cellStyle name="Total 3 4 3 2 2 2" xfId="6638"/>
    <cellStyle name="Total 3 4 3 2 2 2 2" xfId="6639"/>
    <cellStyle name="Total 3 4 3 2 2 3" xfId="6640"/>
    <cellStyle name="Total 3 4 3 2 3" xfId="6641"/>
    <cellStyle name="Total 3 4 3 2 3 2" xfId="6642"/>
    <cellStyle name="Total 3 4 3 2 4" xfId="6643"/>
    <cellStyle name="Total 3 4 3 3" xfId="6644"/>
    <cellStyle name="Total 3 4 3 3 2" xfId="6645"/>
    <cellStyle name="Total 3 4 3 3 2 2" xfId="6646"/>
    <cellStyle name="Total 3 4 3 3 3" xfId="6647"/>
    <cellStyle name="Total 3 4 3 3 4" xfId="6648"/>
    <cellStyle name="Total 3 4 3 4" xfId="6649"/>
    <cellStyle name="Total 3 4 3 4 2" xfId="6650"/>
    <cellStyle name="Total 3 4 3 4 2 2" xfId="6651"/>
    <cellStyle name="Total 3 4 3 4 3" xfId="6652"/>
    <cellStyle name="Total 3 4 3 5" xfId="6653"/>
    <cellStyle name="Total 3 4 3 5 2" xfId="6654"/>
    <cellStyle name="Total 3 4 3 6" xfId="6655"/>
    <cellStyle name="Total 3 4 4" xfId="6656"/>
    <cellStyle name="Total 3 4 4 2" xfId="6657"/>
    <cellStyle name="Total 3 4 4 2 2" xfId="6658"/>
    <cellStyle name="Total 3 4 4 2 2 2" xfId="6659"/>
    <cellStyle name="Total 3 4 4 2 3" xfId="6660"/>
    <cellStyle name="Total 3 4 4 3" xfId="6661"/>
    <cellStyle name="Total 3 4 4 3 2" xfId="6662"/>
    <cellStyle name="Total 3 4 4 4" xfId="6663"/>
    <cellStyle name="Total 3 4 5" xfId="6664"/>
    <cellStyle name="Total 3 4 5 2" xfId="6665"/>
    <cellStyle name="Total 3 4 5 2 2" xfId="6666"/>
    <cellStyle name="Total 3 4 5 3" xfId="6667"/>
    <cellStyle name="Total 3 4 5 4" xfId="6668"/>
    <cellStyle name="Total 3 4 6" xfId="6669"/>
    <cellStyle name="Total 3 4 6 2" xfId="6670"/>
    <cellStyle name="Total 3 4 6 2 2" xfId="6671"/>
    <cellStyle name="Total 3 4 6 3" xfId="6672"/>
    <cellStyle name="Total 3 4 7" xfId="6673"/>
    <cellStyle name="Total 3 4 7 2" xfId="6674"/>
    <cellStyle name="Total 3 4 8" xfId="6675"/>
    <cellStyle name="Total 3 5" xfId="6676"/>
    <cellStyle name="Total 3 5 2" xfId="6677"/>
    <cellStyle name="Total 3 5 2 2" xfId="6678"/>
    <cellStyle name="Total 3 5 2 2 2" xfId="6679"/>
    <cellStyle name="Total 3 5 2 2 2 2" xfId="6680"/>
    <cellStyle name="Total 3 5 2 2 3" xfId="6681"/>
    <cellStyle name="Total 3 5 2 3" xfId="6682"/>
    <cellStyle name="Total 3 5 2 3 2" xfId="6683"/>
    <cellStyle name="Total 3 5 2 4" xfId="6684"/>
    <cellStyle name="Total 3 5 3" xfId="6685"/>
    <cellStyle name="Total 3 5 3 2" xfId="6686"/>
    <cellStyle name="Total 3 5 3 2 2" xfId="6687"/>
    <cellStyle name="Total 3 5 3 3" xfId="6688"/>
    <cellStyle name="Total 3 5 3 4" xfId="6689"/>
    <cellStyle name="Total 3 5 4" xfId="6690"/>
    <cellStyle name="Total 3 5 4 2" xfId="6691"/>
    <cellStyle name="Total 3 5 4 2 2" xfId="6692"/>
    <cellStyle name="Total 3 5 4 3" xfId="6693"/>
    <cellStyle name="Total 3 5 5" xfId="6694"/>
    <cellStyle name="Total 3 5 5 2" xfId="6695"/>
    <cellStyle name="Total 3 5 6" xfId="6696"/>
    <cellStyle name="Total 4" xfId="6697"/>
    <cellStyle name="Total 4 2" xfId="6698"/>
    <cellStyle name="Total 4 2 2" xfId="6699"/>
    <cellStyle name="Total 4 2 2 2" xfId="6700"/>
    <cellStyle name="Total 4 2 2 2 2" xfId="6701"/>
    <cellStyle name="Total 4 2 2 2 2 2" xfId="6702"/>
    <cellStyle name="Total 4 2 2 2 2 2 2" xfId="6703"/>
    <cellStyle name="Total 4 2 2 2 2 3" xfId="6704"/>
    <cellStyle name="Total 4 2 2 2 3" xfId="6705"/>
    <cellStyle name="Total 4 2 2 2 3 2" xfId="6706"/>
    <cellStyle name="Total 4 2 2 2 4" xfId="6707"/>
    <cellStyle name="Total 4 2 2 3" xfId="6708"/>
    <cellStyle name="Total 4 2 2 3 2" xfId="6709"/>
    <cellStyle name="Total 4 2 2 3 2 2" xfId="6710"/>
    <cellStyle name="Total 4 2 2 3 3" xfId="6711"/>
    <cellStyle name="Total 4 2 2 3 4" xfId="6712"/>
    <cellStyle name="Total 4 2 2 4" xfId="6713"/>
    <cellStyle name="Total 4 2 2 4 2" xfId="6714"/>
    <cellStyle name="Total 4 2 2 4 2 2" xfId="6715"/>
    <cellStyle name="Total 4 2 2 4 3" xfId="6716"/>
    <cellStyle name="Total 4 2 2 5" xfId="6717"/>
    <cellStyle name="Total 4 2 2 5 2" xfId="6718"/>
    <cellStyle name="Total 4 2 2 6" xfId="6719"/>
    <cellStyle name="Total 4 2 3" xfId="6720"/>
    <cellStyle name="Total 4 2 3 2" xfId="6721"/>
    <cellStyle name="Total 4 2 3 2 2" xfId="6722"/>
    <cellStyle name="Total 4 2 3 2 2 2" xfId="6723"/>
    <cellStyle name="Total 4 2 3 2 2 2 2" xfId="6724"/>
    <cellStyle name="Total 4 2 3 2 2 3" xfId="6725"/>
    <cellStyle name="Total 4 2 3 2 3" xfId="6726"/>
    <cellStyle name="Total 4 2 3 2 3 2" xfId="6727"/>
    <cellStyle name="Total 4 2 3 2 4" xfId="6728"/>
    <cellStyle name="Total 4 2 3 3" xfId="6729"/>
    <cellStyle name="Total 4 2 3 3 2" xfId="6730"/>
    <cellStyle name="Total 4 2 3 3 2 2" xfId="6731"/>
    <cellStyle name="Total 4 2 3 3 3" xfId="6732"/>
    <cellStyle name="Total 4 2 3 3 4" xfId="6733"/>
    <cellStyle name="Total 4 2 3 4" xfId="6734"/>
    <cellStyle name="Total 4 2 3 4 2" xfId="6735"/>
    <cellStyle name="Total 4 2 3 4 2 2" xfId="6736"/>
    <cellStyle name="Total 4 2 3 4 3" xfId="6737"/>
    <cellStyle name="Total 4 2 3 5" xfId="6738"/>
    <cellStyle name="Total 4 2 3 5 2" xfId="6739"/>
    <cellStyle name="Total 4 2 3 6" xfId="6740"/>
    <cellStyle name="Total 4 2 4" xfId="6741"/>
    <cellStyle name="Total 4 2 4 2" xfId="6742"/>
    <cellStyle name="Total 4 2 4 2 2" xfId="6743"/>
    <cellStyle name="Total 4 2 4 2 2 2" xfId="6744"/>
    <cellStyle name="Total 4 2 4 2 2 2 2" xfId="6745"/>
    <cellStyle name="Total 4 2 4 2 2 3" xfId="6746"/>
    <cellStyle name="Total 4 2 4 2 3" xfId="6747"/>
    <cellStyle name="Total 4 2 4 2 3 2" xfId="6748"/>
    <cellStyle name="Total 4 2 4 2 4" xfId="6749"/>
    <cellStyle name="Total 4 2 4 3" xfId="6750"/>
    <cellStyle name="Total 4 2 4 3 2" xfId="6751"/>
    <cellStyle name="Total 4 2 4 3 2 2" xfId="6752"/>
    <cellStyle name="Total 4 2 4 3 3" xfId="6753"/>
    <cellStyle name="Total 4 2 4 3 4" xfId="6754"/>
    <cellStyle name="Total 4 2 4 4" xfId="6755"/>
    <cellStyle name="Total 4 2 4 4 2" xfId="6756"/>
    <cellStyle name="Total 4 2 4 4 2 2" xfId="6757"/>
    <cellStyle name="Total 4 2 4 4 3" xfId="6758"/>
    <cellStyle name="Total 4 2 4 5" xfId="6759"/>
    <cellStyle name="Total 4 2 4 5 2" xfId="6760"/>
    <cellStyle name="Total 4 2 4 6" xfId="6761"/>
    <cellStyle name="Total 4 2 5" xfId="6762"/>
    <cellStyle name="Total 4 2 5 2" xfId="6763"/>
    <cellStyle name="Total 4 3" xfId="6764"/>
    <cellStyle name="Total 4 3 2" xfId="6765"/>
    <cellStyle name="Total 4 3 2 2" xfId="6766"/>
    <cellStyle name="Total 4 3 2 2 2" xfId="6767"/>
    <cellStyle name="Total 4 3 2 2 2 2" xfId="6768"/>
    <cellStyle name="Total 4 3 2 2 2 2 2" xfId="6769"/>
    <cellStyle name="Total 4 3 2 2 2 3" xfId="6770"/>
    <cellStyle name="Total 4 3 2 2 3" xfId="6771"/>
    <cellStyle name="Total 4 3 2 2 3 2" xfId="6772"/>
    <cellStyle name="Total 4 3 2 2 4" xfId="6773"/>
    <cellStyle name="Total 4 3 2 3" xfId="6774"/>
    <cellStyle name="Total 4 3 2 3 2" xfId="6775"/>
    <cellStyle name="Total 4 3 2 3 2 2" xfId="6776"/>
    <cellStyle name="Total 4 3 2 3 3" xfId="6777"/>
    <cellStyle name="Total 4 3 2 3 4" xfId="6778"/>
    <cellStyle name="Total 4 3 2 4" xfId="6779"/>
    <cellStyle name="Total 4 3 2 4 2" xfId="6780"/>
    <cellStyle name="Total 4 3 2 4 2 2" xfId="6781"/>
    <cellStyle name="Total 4 3 2 4 3" xfId="6782"/>
    <cellStyle name="Total 4 3 2 5" xfId="6783"/>
    <cellStyle name="Total 4 3 2 5 2" xfId="6784"/>
    <cellStyle name="Total 4 3 2 6" xfId="6785"/>
    <cellStyle name="Total 4 3 3" xfId="6786"/>
    <cellStyle name="Total 4 3 3 2" xfId="6787"/>
    <cellStyle name="Total 4 3 3 2 2" xfId="6788"/>
    <cellStyle name="Total 4 3 3 2 2 2" xfId="6789"/>
    <cellStyle name="Total 4 3 3 2 2 2 2" xfId="6790"/>
    <cellStyle name="Total 4 3 3 2 2 3" xfId="6791"/>
    <cellStyle name="Total 4 3 3 2 3" xfId="6792"/>
    <cellStyle name="Total 4 3 3 2 3 2" xfId="6793"/>
    <cellStyle name="Total 4 3 3 2 4" xfId="6794"/>
    <cellStyle name="Total 4 3 3 3" xfId="6795"/>
    <cellStyle name="Total 4 3 3 3 2" xfId="6796"/>
    <cellStyle name="Total 4 3 3 3 2 2" xfId="6797"/>
    <cellStyle name="Total 4 3 3 3 3" xfId="6798"/>
    <cellStyle name="Total 4 3 3 3 4" xfId="6799"/>
    <cellStyle name="Total 4 3 3 4" xfId="6800"/>
    <cellStyle name="Total 4 3 3 4 2" xfId="6801"/>
    <cellStyle name="Total 4 3 3 4 2 2" xfId="6802"/>
    <cellStyle name="Total 4 3 3 4 3" xfId="6803"/>
    <cellStyle name="Total 4 3 3 5" xfId="6804"/>
    <cellStyle name="Total 4 3 3 5 2" xfId="6805"/>
    <cellStyle name="Total 4 3 3 6" xfId="6806"/>
    <cellStyle name="Total 4 3 4" xfId="6807"/>
    <cellStyle name="Total 4 3 4 2" xfId="6808"/>
    <cellStyle name="Total 4 3 4 2 2" xfId="6809"/>
    <cellStyle name="Total 4 3 4 2 2 2" xfId="6810"/>
    <cellStyle name="Total 4 3 4 2 3" xfId="6811"/>
    <cellStyle name="Total 4 3 4 3" xfId="6812"/>
    <cellStyle name="Total 4 3 4 3 2" xfId="6813"/>
    <cellStyle name="Total 4 3 4 4" xfId="6814"/>
    <cellStyle name="Total 4 3 5" xfId="6815"/>
    <cellStyle name="Total 4 3 5 2" xfId="6816"/>
    <cellStyle name="Total 4 3 5 2 2" xfId="6817"/>
    <cellStyle name="Total 4 3 5 3" xfId="6818"/>
    <cellStyle name="Total 4 3 5 4" xfId="6819"/>
    <cellStyle name="Total 4 3 6" xfId="6820"/>
    <cellStyle name="Total 4 3 6 2" xfId="6821"/>
    <cellStyle name="Total 4 3 6 2 2" xfId="6822"/>
    <cellStyle name="Total 4 3 6 3" xfId="6823"/>
    <cellStyle name="Total 4 3 7" xfId="6824"/>
    <cellStyle name="Total 4 3 7 2" xfId="6825"/>
    <cellStyle name="Total 4 3 8" xfId="6826"/>
    <cellStyle name="Total 4 4" xfId="6827"/>
    <cellStyle name="Total 4 4 2" xfId="6828"/>
    <cellStyle name="Total 4 4 2 2" xfId="6829"/>
    <cellStyle name="Total 4 4 2 2 2" xfId="6830"/>
    <cellStyle name="Total 4 4 2 2 2 2" xfId="6831"/>
    <cellStyle name="Total 4 4 2 2 3" xfId="6832"/>
    <cellStyle name="Total 4 4 2 3" xfId="6833"/>
    <cellStyle name="Total 4 4 2 3 2" xfId="6834"/>
    <cellStyle name="Total 4 4 2 4" xfId="6835"/>
    <cellStyle name="Total 4 4 3" xfId="6836"/>
    <cellStyle name="Total 4 4 3 2" xfId="6837"/>
    <cellStyle name="Total 4 4 3 2 2" xfId="6838"/>
    <cellStyle name="Total 4 4 3 3" xfId="6839"/>
    <cellStyle name="Total 4 4 3 4" xfId="6840"/>
    <cellStyle name="Total 4 4 4" xfId="6841"/>
    <cellStyle name="Total 4 4 4 2" xfId="6842"/>
    <cellStyle name="Total 4 4 4 2 2" xfId="6843"/>
    <cellStyle name="Total 4 4 4 3" xfId="6844"/>
    <cellStyle name="Total 4 4 5" xfId="6845"/>
    <cellStyle name="Total 4 4 5 2" xfId="6846"/>
    <cellStyle name="Total 4 4 6" xfId="6847"/>
    <cellStyle name="Total 5" xfId="6848"/>
    <cellStyle name="Total 5 2" xfId="6849"/>
    <cellStyle name="Total 5 2 2" xfId="6850"/>
    <cellStyle name="Total 5 2 2 2" xfId="6851"/>
    <cellStyle name="Total 5 2 2 2 2" xfId="6852"/>
    <cellStyle name="Total 5 2 2 2 2 2" xfId="6853"/>
    <cellStyle name="Total 5 2 2 2 2 2 2" xfId="6854"/>
    <cellStyle name="Total 5 2 2 2 2 3" xfId="6855"/>
    <cellStyle name="Total 5 2 2 2 3" xfId="6856"/>
    <cellStyle name="Total 5 2 2 2 3 2" xfId="6857"/>
    <cellStyle name="Total 5 2 2 2 4" xfId="6858"/>
    <cellStyle name="Total 5 2 2 3" xfId="6859"/>
    <cellStyle name="Total 5 2 2 3 2" xfId="6860"/>
    <cellStyle name="Total 5 2 2 3 2 2" xfId="6861"/>
    <cellStyle name="Total 5 2 2 3 3" xfId="6862"/>
    <cellStyle name="Total 5 2 2 3 4" xfId="6863"/>
    <cellStyle name="Total 5 2 2 4" xfId="6864"/>
    <cellStyle name="Total 5 2 2 4 2" xfId="6865"/>
    <cellStyle name="Total 5 2 2 4 2 2" xfId="6866"/>
    <cellStyle name="Total 5 2 2 4 3" xfId="6867"/>
    <cellStyle name="Total 5 2 2 5" xfId="6868"/>
    <cellStyle name="Total 5 2 2 5 2" xfId="6869"/>
    <cellStyle name="Total 5 2 2 6" xfId="6870"/>
    <cellStyle name="Total 5 2 3" xfId="6871"/>
    <cellStyle name="Total 5 2 3 2" xfId="6872"/>
    <cellStyle name="Total 5 2 3 2 2" xfId="6873"/>
    <cellStyle name="Total 5 2 3 2 2 2" xfId="6874"/>
    <cellStyle name="Total 5 2 3 2 2 2 2" xfId="6875"/>
    <cellStyle name="Total 5 2 3 2 2 3" xfId="6876"/>
    <cellStyle name="Total 5 2 3 2 3" xfId="6877"/>
    <cellStyle name="Total 5 2 3 2 3 2" xfId="6878"/>
    <cellStyle name="Total 5 2 3 2 4" xfId="6879"/>
    <cellStyle name="Total 5 2 3 3" xfId="6880"/>
    <cellStyle name="Total 5 2 3 3 2" xfId="6881"/>
    <cellStyle name="Total 5 2 3 3 2 2" xfId="6882"/>
    <cellStyle name="Total 5 2 3 3 3" xfId="6883"/>
    <cellStyle name="Total 5 2 3 3 4" xfId="6884"/>
    <cellStyle name="Total 5 2 3 4" xfId="6885"/>
    <cellStyle name="Total 5 2 3 4 2" xfId="6886"/>
    <cellStyle name="Total 5 2 3 4 2 2" xfId="6887"/>
    <cellStyle name="Total 5 2 3 4 3" xfId="6888"/>
    <cellStyle name="Total 5 2 3 5" xfId="6889"/>
    <cellStyle name="Total 5 2 3 5 2" xfId="6890"/>
    <cellStyle name="Total 5 2 3 6" xfId="6891"/>
    <cellStyle name="Total 5 2 4" xfId="6892"/>
    <cellStyle name="Total 5 2 4 2" xfId="6893"/>
    <cellStyle name="Total 5 2 4 2 2" xfId="6894"/>
    <cellStyle name="Total 5 2 4 2 2 2" xfId="6895"/>
    <cellStyle name="Total 5 2 4 2 2 2 2" xfId="6896"/>
    <cellStyle name="Total 5 2 4 2 2 3" xfId="6897"/>
    <cellStyle name="Total 5 2 4 2 3" xfId="6898"/>
    <cellStyle name="Total 5 2 4 2 3 2" xfId="6899"/>
    <cellStyle name="Total 5 2 4 2 4" xfId="6900"/>
    <cellStyle name="Total 5 2 4 3" xfId="6901"/>
    <cellStyle name="Total 5 2 4 3 2" xfId="6902"/>
    <cellStyle name="Total 5 2 4 3 2 2" xfId="6903"/>
    <cellStyle name="Total 5 2 4 3 3" xfId="6904"/>
    <cellStyle name="Total 5 2 4 3 4" xfId="6905"/>
    <cellStyle name="Total 5 2 4 4" xfId="6906"/>
    <cellStyle name="Total 5 2 4 4 2" xfId="6907"/>
    <cellStyle name="Total 5 2 4 4 2 2" xfId="6908"/>
    <cellStyle name="Total 5 2 4 4 3" xfId="6909"/>
    <cellStyle name="Total 5 2 4 5" xfId="6910"/>
    <cellStyle name="Total 5 2 4 5 2" xfId="6911"/>
    <cellStyle name="Total 5 2 4 6" xfId="6912"/>
    <cellStyle name="Total 5 2 5" xfId="6913"/>
    <cellStyle name="Total 5 2 5 2" xfId="6914"/>
    <cellStyle name="Total 5 3" xfId="6915"/>
    <cellStyle name="Total 5 3 2" xfId="6916"/>
    <cellStyle name="Total 5 3 2 2" xfId="6917"/>
    <cellStyle name="Total 5 3 2 2 2" xfId="6918"/>
    <cellStyle name="Total 5 3 2 2 2 2" xfId="6919"/>
    <cellStyle name="Total 5 3 2 2 2 2 2" xfId="6920"/>
    <cellStyle name="Total 5 3 2 2 2 3" xfId="6921"/>
    <cellStyle name="Total 5 3 2 2 3" xfId="6922"/>
    <cellStyle name="Total 5 3 2 2 3 2" xfId="6923"/>
    <cellStyle name="Total 5 3 2 2 4" xfId="6924"/>
    <cellStyle name="Total 5 3 2 3" xfId="6925"/>
    <cellStyle name="Total 5 3 2 3 2" xfId="6926"/>
    <cellStyle name="Total 5 3 2 3 2 2" xfId="6927"/>
    <cellStyle name="Total 5 3 2 3 3" xfId="6928"/>
    <cellStyle name="Total 5 3 2 3 4" xfId="6929"/>
    <cellStyle name="Total 5 3 2 4" xfId="6930"/>
    <cellStyle name="Total 5 3 2 4 2" xfId="6931"/>
    <cellStyle name="Total 5 3 2 4 2 2" xfId="6932"/>
    <cellStyle name="Total 5 3 2 4 3" xfId="6933"/>
    <cellStyle name="Total 5 3 2 5" xfId="6934"/>
    <cellStyle name="Total 5 3 2 5 2" xfId="6935"/>
    <cellStyle name="Total 5 3 2 6" xfId="6936"/>
    <cellStyle name="Total 5 3 3" xfId="6937"/>
    <cellStyle name="Total 5 3 3 2" xfId="6938"/>
    <cellStyle name="Total 5 3 3 2 2" xfId="6939"/>
    <cellStyle name="Total 5 3 3 2 2 2" xfId="6940"/>
    <cellStyle name="Total 5 3 3 2 2 2 2" xfId="6941"/>
    <cellStyle name="Total 5 3 3 2 2 3" xfId="6942"/>
    <cellStyle name="Total 5 3 3 2 3" xfId="6943"/>
    <cellStyle name="Total 5 3 3 2 3 2" xfId="6944"/>
    <cellStyle name="Total 5 3 3 2 4" xfId="6945"/>
    <cellStyle name="Total 5 3 3 3" xfId="6946"/>
    <cellStyle name="Total 5 3 3 3 2" xfId="6947"/>
    <cellStyle name="Total 5 3 3 3 2 2" xfId="6948"/>
    <cellStyle name="Total 5 3 3 3 3" xfId="6949"/>
    <cellStyle name="Total 5 3 3 3 4" xfId="6950"/>
    <cellStyle name="Total 5 3 3 4" xfId="6951"/>
    <cellStyle name="Total 5 3 3 4 2" xfId="6952"/>
    <cellStyle name="Total 5 3 3 4 2 2" xfId="6953"/>
    <cellStyle name="Total 5 3 3 4 3" xfId="6954"/>
    <cellStyle name="Total 5 3 3 5" xfId="6955"/>
    <cellStyle name="Total 5 3 3 5 2" xfId="6956"/>
    <cellStyle name="Total 5 3 3 6" xfId="6957"/>
    <cellStyle name="Total 5 3 4" xfId="6958"/>
    <cellStyle name="Total 5 3 4 2" xfId="6959"/>
    <cellStyle name="Total 5 3 4 2 2" xfId="6960"/>
    <cellStyle name="Total 5 3 4 2 2 2" xfId="6961"/>
    <cellStyle name="Total 5 3 4 2 3" xfId="6962"/>
    <cellStyle name="Total 5 3 4 3" xfId="6963"/>
    <cellStyle name="Total 5 3 4 3 2" xfId="6964"/>
    <cellStyle name="Total 5 3 4 4" xfId="6965"/>
    <cellStyle name="Total 5 3 5" xfId="6966"/>
    <cellStyle name="Total 5 3 5 2" xfId="6967"/>
    <cellStyle name="Total 5 3 5 2 2" xfId="6968"/>
    <cellStyle name="Total 5 3 5 3" xfId="6969"/>
    <cellStyle name="Total 5 3 5 4" xfId="6970"/>
    <cellStyle name="Total 5 3 6" xfId="6971"/>
    <cellStyle name="Total 5 3 6 2" xfId="6972"/>
    <cellStyle name="Total 5 3 6 2 2" xfId="6973"/>
    <cellStyle name="Total 5 3 6 3" xfId="6974"/>
    <cellStyle name="Total 5 3 7" xfId="6975"/>
    <cellStyle name="Total 5 3 7 2" xfId="6976"/>
    <cellStyle name="Total 5 3 8" xfId="6977"/>
    <cellStyle name="Total 5 4" xfId="6978"/>
    <cellStyle name="Total 5 4 2" xfId="6979"/>
    <cellStyle name="Total 5 4 2 2" xfId="6980"/>
    <cellStyle name="Total 5 4 2 2 2" xfId="6981"/>
    <cellStyle name="Total 5 4 2 2 2 2" xfId="6982"/>
    <cellStyle name="Total 5 4 2 2 3" xfId="6983"/>
    <cellStyle name="Total 5 4 2 3" xfId="6984"/>
    <cellStyle name="Total 5 4 2 3 2" xfId="6985"/>
    <cellStyle name="Total 5 4 2 4" xfId="6986"/>
    <cellStyle name="Total 5 4 3" xfId="6987"/>
    <cellStyle name="Total 5 4 3 2" xfId="6988"/>
    <cellStyle name="Total 5 4 3 2 2" xfId="6989"/>
    <cellStyle name="Total 5 4 3 3" xfId="6990"/>
    <cellStyle name="Total 5 4 3 4" xfId="6991"/>
    <cellStyle name="Total 5 4 4" xfId="6992"/>
    <cellStyle name="Total 5 4 4 2" xfId="6993"/>
    <cellStyle name="Total 5 4 4 2 2" xfId="6994"/>
    <cellStyle name="Total 5 4 4 3" xfId="6995"/>
    <cellStyle name="Total 5 4 5" xfId="6996"/>
    <cellStyle name="Total 5 4 5 2" xfId="6997"/>
    <cellStyle name="Total 5 4 6" xfId="6998"/>
    <cellStyle name="Total 5 5" xfId="6999"/>
    <cellStyle name="Total 5 5 2" xfId="7000"/>
    <cellStyle name="Total 6" xfId="7001"/>
    <cellStyle name="Total 6 2" xfId="7002"/>
    <cellStyle name="Total 6 2 2" xfId="7003"/>
    <cellStyle name="Total 6 2 2 2" xfId="7004"/>
    <cellStyle name="Total 6 2 2 2 2" xfId="7005"/>
    <cellStyle name="Total 6 2 2 2 2 2" xfId="7006"/>
    <cellStyle name="Total 6 2 2 2 2 2 2" xfId="7007"/>
    <cellStyle name="Total 6 2 2 2 2 3" xfId="7008"/>
    <cellStyle name="Total 6 2 2 2 3" xfId="7009"/>
    <cellStyle name="Total 6 2 2 2 3 2" xfId="7010"/>
    <cellStyle name="Total 6 2 2 2 4" xfId="7011"/>
    <cellStyle name="Total 6 2 2 3" xfId="7012"/>
    <cellStyle name="Total 6 2 2 3 2" xfId="7013"/>
    <cellStyle name="Total 6 2 2 3 2 2" xfId="7014"/>
    <cellStyle name="Total 6 2 2 3 3" xfId="7015"/>
    <cellStyle name="Total 6 2 2 3 4" xfId="7016"/>
    <cellStyle name="Total 6 2 2 4" xfId="7017"/>
    <cellStyle name="Total 6 2 2 4 2" xfId="7018"/>
    <cellStyle name="Total 6 2 2 4 2 2" xfId="7019"/>
    <cellStyle name="Total 6 2 2 4 3" xfId="7020"/>
    <cellStyle name="Total 6 2 2 5" xfId="7021"/>
    <cellStyle name="Total 6 2 2 5 2" xfId="7022"/>
    <cellStyle name="Total 6 2 2 6" xfId="7023"/>
    <cellStyle name="Total 6 2 3" xfId="7024"/>
    <cellStyle name="Total 6 2 3 2" xfId="7025"/>
    <cellStyle name="Total 6 2 3 2 2" xfId="7026"/>
    <cellStyle name="Total 6 2 3 2 2 2" xfId="7027"/>
    <cellStyle name="Total 6 2 3 2 2 2 2" xfId="7028"/>
    <cellStyle name="Total 6 2 3 2 2 3" xfId="7029"/>
    <cellStyle name="Total 6 2 3 2 3" xfId="7030"/>
    <cellStyle name="Total 6 2 3 2 3 2" xfId="7031"/>
    <cellStyle name="Total 6 2 3 2 4" xfId="7032"/>
    <cellStyle name="Total 6 2 3 3" xfId="7033"/>
    <cellStyle name="Total 6 2 3 3 2" xfId="7034"/>
    <cellStyle name="Total 6 2 3 3 2 2" xfId="7035"/>
    <cellStyle name="Total 6 2 3 3 3" xfId="7036"/>
    <cellStyle name="Total 6 2 3 3 4" xfId="7037"/>
    <cellStyle name="Total 6 2 3 4" xfId="7038"/>
    <cellStyle name="Total 6 2 3 4 2" xfId="7039"/>
    <cellStyle name="Total 6 2 3 4 2 2" xfId="7040"/>
    <cellStyle name="Total 6 2 3 4 3" xfId="7041"/>
    <cellStyle name="Total 6 2 3 5" xfId="7042"/>
    <cellStyle name="Total 6 2 3 5 2" xfId="7043"/>
    <cellStyle name="Total 6 2 3 6" xfId="7044"/>
    <cellStyle name="Total 6 2 4" xfId="7045"/>
    <cellStyle name="Total 6 2 4 2" xfId="7046"/>
    <cellStyle name="Total 6 2 4 2 2" xfId="7047"/>
    <cellStyle name="Total 6 2 4 2 2 2" xfId="7048"/>
    <cellStyle name="Total 6 2 4 2 3" xfId="7049"/>
    <cellStyle name="Total 6 2 4 3" xfId="7050"/>
    <cellStyle name="Total 6 2 4 3 2" xfId="7051"/>
    <cellStyle name="Total 6 2 4 4" xfId="7052"/>
    <cellStyle name="Total 6 2 5" xfId="7053"/>
    <cellStyle name="Total 6 2 5 2" xfId="7054"/>
    <cellStyle name="Total 6 2 5 2 2" xfId="7055"/>
    <cellStyle name="Total 6 2 5 3" xfId="7056"/>
    <cellStyle name="Total 6 2 5 4" xfId="7057"/>
    <cellStyle name="Total 6 2 6" xfId="7058"/>
    <cellStyle name="Total 6 2 6 2" xfId="7059"/>
    <cellStyle name="Total 6 2 6 2 2" xfId="7060"/>
    <cellStyle name="Total 6 2 6 3" xfId="7061"/>
    <cellStyle name="Total 6 2 7" xfId="7062"/>
    <cellStyle name="Total 6 2 7 2" xfId="7063"/>
    <cellStyle name="Total 6 2 8" xfId="7064"/>
    <cellStyle name="Total 6 3" xfId="7065"/>
    <cellStyle name="Total 6 3 2" xfId="7066"/>
    <cellStyle name="Total 6 3 2 2" xfId="7067"/>
    <cellStyle name="Total 6 3 2 2 2" xfId="7068"/>
    <cellStyle name="Total 6 3 2 2 2 2" xfId="7069"/>
    <cellStyle name="Total 6 3 2 2 3" xfId="7070"/>
    <cellStyle name="Total 6 3 2 3" xfId="7071"/>
    <cellStyle name="Total 6 3 2 3 2" xfId="7072"/>
    <cellStyle name="Total 6 3 2 4" xfId="7073"/>
    <cellStyle name="Total 6 3 3" xfId="7074"/>
    <cellStyle name="Total 6 3 3 2" xfId="7075"/>
    <cellStyle name="Total 6 3 3 2 2" xfId="7076"/>
    <cellStyle name="Total 6 3 3 3" xfId="7077"/>
    <cellStyle name="Total 6 3 3 4" xfId="7078"/>
    <cellStyle name="Total 6 3 4" xfId="7079"/>
    <cellStyle name="Total 6 3 4 2" xfId="7080"/>
    <cellStyle name="Total 6 3 4 2 2" xfId="7081"/>
    <cellStyle name="Total 6 3 4 3" xfId="7082"/>
    <cellStyle name="Total 6 3 5" xfId="7083"/>
    <cellStyle name="Total 6 3 5 2" xfId="7084"/>
    <cellStyle name="Total 6 3 6" xfId="7085"/>
    <cellStyle name="Total 6 4" xfId="7086"/>
    <cellStyle name="Total 6 4 2" xfId="7087"/>
    <cellStyle name="Total 7" xfId="7088"/>
    <cellStyle name="Total 7 2" xfId="7089"/>
    <cellStyle name="Total 7 2 2" xfId="7090"/>
    <cellStyle name="Total 7 2 2 2" xfId="7091"/>
    <cellStyle name="Total 7 2 2 2 2" xfId="7092"/>
    <cellStyle name="Total 7 2 2 2 2 2" xfId="7093"/>
    <cellStyle name="Total 7 2 2 2 3" xfId="7094"/>
    <cellStyle name="Total 7 2 2 3" xfId="7095"/>
    <cellStyle name="Total 7 2 2 3 2" xfId="7096"/>
    <cellStyle name="Total 7 2 2 4" xfId="7097"/>
    <cellStyle name="Total 7 2 3" xfId="7098"/>
    <cellStyle name="Total 7 2 3 2" xfId="7099"/>
    <cellStyle name="Total 7 2 3 2 2" xfId="7100"/>
    <cellStyle name="Total 7 2 3 3" xfId="7101"/>
    <cellStyle name="Total 7 2 3 4" xfId="7102"/>
    <cellStyle name="Total 7 2 4" xfId="7103"/>
    <cellStyle name="Total 7 2 4 2" xfId="7104"/>
    <cellStyle name="Total 7 2 4 2 2" xfId="7105"/>
    <cellStyle name="Total 7 2 4 3" xfId="7106"/>
    <cellStyle name="Total 7 2 5" xfId="7107"/>
    <cellStyle name="Total 7 2 5 2" xfId="7108"/>
    <cellStyle name="Total 7 2 6" xfId="7109"/>
    <cellStyle name="Total 7 3" xfId="7110"/>
    <cellStyle name="Total 7 3 2" xfId="7111"/>
    <cellStyle name="Total 7 3 2 2" xfId="7112"/>
    <cellStyle name="Total 7 3 2 2 2" xfId="7113"/>
    <cellStyle name="Total 7 3 2 2 2 2" xfId="7114"/>
    <cellStyle name="Total 7 3 2 2 3" xfId="7115"/>
    <cellStyle name="Total 7 3 2 3" xfId="7116"/>
    <cellStyle name="Total 7 3 2 3 2" xfId="7117"/>
    <cellStyle name="Total 7 3 2 4" xfId="7118"/>
    <cellStyle name="Total 7 3 3" xfId="7119"/>
    <cellStyle name="Total 7 3 3 2" xfId="7120"/>
    <cellStyle name="Total 7 3 3 2 2" xfId="7121"/>
    <cellStyle name="Total 7 3 3 3" xfId="7122"/>
    <cellStyle name="Total 7 3 3 4" xfId="7123"/>
    <cellStyle name="Total 7 3 4" xfId="7124"/>
    <cellStyle name="Total 7 3 4 2" xfId="7125"/>
    <cellStyle name="Total 7 3 4 2 2" xfId="7126"/>
    <cellStyle name="Total 7 3 4 3" xfId="7127"/>
    <cellStyle name="Total 7 3 5" xfId="7128"/>
    <cellStyle name="Total 7 3 5 2" xfId="7129"/>
    <cellStyle name="Total 7 3 6" xfId="7130"/>
    <cellStyle name="Total 7 4" xfId="7131"/>
    <cellStyle name="Total 7 4 2" xfId="7132"/>
    <cellStyle name="Total 7 4 2 2" xfId="7133"/>
    <cellStyle name="Total 7 4 2 2 2" xfId="7134"/>
    <cellStyle name="Total 7 4 2 3" xfId="7135"/>
    <cellStyle name="Total 7 4 3" xfId="7136"/>
    <cellStyle name="Total 7 4 3 2" xfId="7137"/>
    <cellStyle name="Total 7 4 4" xfId="7138"/>
    <cellStyle name="Total 7 5" xfId="7139"/>
    <cellStyle name="Total 7 5 2" xfId="7140"/>
    <cellStyle name="Total 7 5 2 2" xfId="7141"/>
    <cellStyle name="Total 7 5 3" xfId="7142"/>
    <cellStyle name="Total 7 5 4" xfId="7143"/>
    <cellStyle name="Total 7 6" xfId="7144"/>
    <cellStyle name="Total 7 6 2" xfId="7145"/>
    <cellStyle name="Total 7 6 2 2" xfId="7146"/>
    <cellStyle name="Total 7 6 3" xfId="7147"/>
    <cellStyle name="Total 7 7" xfId="7148"/>
    <cellStyle name="Total 7 7 2" xfId="7149"/>
    <cellStyle name="Total 7 8" xfId="7150"/>
    <cellStyle name="toto" xfId="7151"/>
    <cellStyle name="Warning Text 2" xfId="7152"/>
    <cellStyle name="Warning Text 3" xfId="7153"/>
    <cellStyle name="パーセント 2" xfId="7154"/>
    <cellStyle name="桁区切り 2" xfId="7155"/>
    <cellStyle name="桁区切り_DegitalOption_test" xfId="7156"/>
    <cellStyle name="標準 2" xfId="7157"/>
    <cellStyle name="標準 3" xfId="7158"/>
    <cellStyle name="標準 4" xfId="7159"/>
    <cellStyle name="標準_examplePortfolio" xfId="7160"/>
    <cellStyle name="標準_Input_OutPut20060417" xfId="2"/>
  </cellStyles>
  <dxfs count="0"/>
  <tableStyles count="0" defaultTableStyle="TableStyleMedium2" defaultPivotStyle="PivotStyleLight16"/>
  <colors>
    <mruColors>
      <color rgb="FF006600"/>
      <color rgb="FF0000FF"/>
      <color rgb="FF339933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USD</a:t>
            </a:r>
            <a:r>
              <a:rPr lang="en-GB" baseline="0"/>
              <a:t> Forward Rates</a:t>
            </a:r>
            <a:endParaRPr lang="en-GB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9249455520187639E-2"/>
          <c:y val="8.962206401516104E-2"/>
          <c:w val="0.89560071480426651"/>
          <c:h val="0.78054522737373488"/>
        </c:manualLayout>
      </c:layout>
      <c:lineChart>
        <c:grouping val="standard"/>
        <c:varyColors val="0"/>
        <c:ser>
          <c:idx val="0"/>
          <c:order val="0"/>
          <c:tx>
            <c:strRef>
              <c:f>ForwardRates!$C$9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ForwardRates!$B$10:$B$105</c:f>
              <c:numCache>
                <c:formatCode>ddd\,\ d\-mmm\-yy</c:formatCode>
                <c:ptCount val="96"/>
                <c:pt idx="0">
                  <c:v>43710</c:v>
                </c:pt>
                <c:pt idx="1">
                  <c:v>43740</c:v>
                </c:pt>
                <c:pt idx="2">
                  <c:v>43773</c:v>
                </c:pt>
                <c:pt idx="3">
                  <c:v>43801</c:v>
                </c:pt>
                <c:pt idx="4">
                  <c:v>43832</c:v>
                </c:pt>
                <c:pt idx="5">
                  <c:v>43864</c:v>
                </c:pt>
                <c:pt idx="6">
                  <c:v>43892</c:v>
                </c:pt>
                <c:pt idx="7">
                  <c:v>43923</c:v>
                </c:pt>
                <c:pt idx="8">
                  <c:v>43955</c:v>
                </c:pt>
                <c:pt idx="9">
                  <c:v>43984</c:v>
                </c:pt>
                <c:pt idx="10">
                  <c:v>44014</c:v>
                </c:pt>
                <c:pt idx="11">
                  <c:v>44046</c:v>
                </c:pt>
                <c:pt idx="12">
                  <c:v>44076</c:v>
                </c:pt>
                <c:pt idx="13">
                  <c:v>44106</c:v>
                </c:pt>
                <c:pt idx="14">
                  <c:v>44137</c:v>
                </c:pt>
                <c:pt idx="15">
                  <c:v>44167</c:v>
                </c:pt>
                <c:pt idx="16">
                  <c:v>44200</c:v>
                </c:pt>
                <c:pt idx="17">
                  <c:v>44229</c:v>
                </c:pt>
                <c:pt idx="18">
                  <c:v>44257</c:v>
                </c:pt>
                <c:pt idx="19">
                  <c:v>44288</c:v>
                </c:pt>
                <c:pt idx="20">
                  <c:v>44319</c:v>
                </c:pt>
                <c:pt idx="21">
                  <c:v>44349</c:v>
                </c:pt>
                <c:pt idx="22">
                  <c:v>44379</c:v>
                </c:pt>
                <c:pt idx="23">
                  <c:v>44410</c:v>
                </c:pt>
                <c:pt idx="24">
                  <c:v>44441</c:v>
                </c:pt>
                <c:pt idx="25">
                  <c:v>44473</c:v>
                </c:pt>
                <c:pt idx="26">
                  <c:v>44502</c:v>
                </c:pt>
                <c:pt idx="27">
                  <c:v>44532</c:v>
                </c:pt>
                <c:pt idx="28">
                  <c:v>44564</c:v>
                </c:pt>
                <c:pt idx="29">
                  <c:v>44594</c:v>
                </c:pt>
                <c:pt idx="30">
                  <c:v>44622</c:v>
                </c:pt>
                <c:pt idx="31">
                  <c:v>44655</c:v>
                </c:pt>
                <c:pt idx="32">
                  <c:v>44683</c:v>
                </c:pt>
                <c:pt idx="33">
                  <c:v>44714</c:v>
                </c:pt>
                <c:pt idx="34">
                  <c:v>44746</c:v>
                </c:pt>
                <c:pt idx="35">
                  <c:v>44775</c:v>
                </c:pt>
                <c:pt idx="36">
                  <c:v>44806</c:v>
                </c:pt>
                <c:pt idx="37">
                  <c:v>44837</c:v>
                </c:pt>
                <c:pt idx="38">
                  <c:v>44867</c:v>
                </c:pt>
                <c:pt idx="39">
                  <c:v>44897</c:v>
                </c:pt>
                <c:pt idx="40">
                  <c:v>44928</c:v>
                </c:pt>
                <c:pt idx="41">
                  <c:v>44959</c:v>
                </c:pt>
                <c:pt idx="42">
                  <c:v>44987</c:v>
                </c:pt>
                <c:pt idx="43">
                  <c:v>45019</c:v>
                </c:pt>
                <c:pt idx="44">
                  <c:v>45048</c:v>
                </c:pt>
                <c:pt idx="45">
                  <c:v>45079</c:v>
                </c:pt>
                <c:pt idx="46">
                  <c:v>45110</c:v>
                </c:pt>
                <c:pt idx="47">
                  <c:v>45140</c:v>
                </c:pt>
                <c:pt idx="48">
                  <c:v>45173</c:v>
                </c:pt>
                <c:pt idx="49">
                  <c:v>45201</c:v>
                </c:pt>
                <c:pt idx="50">
                  <c:v>45232</c:v>
                </c:pt>
                <c:pt idx="51">
                  <c:v>45264</c:v>
                </c:pt>
                <c:pt idx="52">
                  <c:v>45293</c:v>
                </c:pt>
                <c:pt idx="53">
                  <c:v>45324</c:v>
                </c:pt>
                <c:pt idx="54">
                  <c:v>45355</c:v>
                </c:pt>
                <c:pt idx="55">
                  <c:v>45384</c:v>
                </c:pt>
                <c:pt idx="56">
                  <c:v>45414</c:v>
                </c:pt>
                <c:pt idx="57">
                  <c:v>45446</c:v>
                </c:pt>
                <c:pt idx="58">
                  <c:v>45475</c:v>
                </c:pt>
                <c:pt idx="59">
                  <c:v>45506</c:v>
                </c:pt>
                <c:pt idx="60">
                  <c:v>45537</c:v>
                </c:pt>
                <c:pt idx="61">
                  <c:v>45567</c:v>
                </c:pt>
                <c:pt idx="62">
                  <c:v>45600</c:v>
                </c:pt>
                <c:pt idx="63">
                  <c:v>45628</c:v>
                </c:pt>
                <c:pt idx="64">
                  <c:v>45659</c:v>
                </c:pt>
                <c:pt idx="65">
                  <c:v>45691</c:v>
                </c:pt>
                <c:pt idx="66">
                  <c:v>45719</c:v>
                </c:pt>
                <c:pt idx="67">
                  <c:v>45749</c:v>
                </c:pt>
                <c:pt idx="68">
                  <c:v>45779</c:v>
                </c:pt>
                <c:pt idx="69">
                  <c:v>45810</c:v>
                </c:pt>
                <c:pt idx="70">
                  <c:v>45840</c:v>
                </c:pt>
                <c:pt idx="71">
                  <c:v>45873</c:v>
                </c:pt>
                <c:pt idx="72">
                  <c:v>45902</c:v>
                </c:pt>
                <c:pt idx="73">
                  <c:v>45932</c:v>
                </c:pt>
                <c:pt idx="74">
                  <c:v>45964</c:v>
                </c:pt>
                <c:pt idx="75">
                  <c:v>45993</c:v>
                </c:pt>
                <c:pt idx="76">
                  <c:v>46024</c:v>
                </c:pt>
                <c:pt idx="77">
                  <c:v>46055</c:v>
                </c:pt>
                <c:pt idx="78">
                  <c:v>46083</c:v>
                </c:pt>
                <c:pt idx="79">
                  <c:v>46114</c:v>
                </c:pt>
                <c:pt idx="80">
                  <c:v>46146</c:v>
                </c:pt>
                <c:pt idx="81">
                  <c:v>46175</c:v>
                </c:pt>
                <c:pt idx="82">
                  <c:v>46205</c:v>
                </c:pt>
                <c:pt idx="83">
                  <c:v>46237</c:v>
                </c:pt>
                <c:pt idx="84">
                  <c:v>46267</c:v>
                </c:pt>
                <c:pt idx="85">
                  <c:v>46297</c:v>
                </c:pt>
                <c:pt idx="86">
                  <c:v>46328</c:v>
                </c:pt>
                <c:pt idx="87">
                  <c:v>46358</c:v>
                </c:pt>
                <c:pt idx="88">
                  <c:v>46391</c:v>
                </c:pt>
                <c:pt idx="89">
                  <c:v>46420</c:v>
                </c:pt>
                <c:pt idx="90">
                  <c:v>46448</c:v>
                </c:pt>
                <c:pt idx="91">
                  <c:v>46479</c:v>
                </c:pt>
                <c:pt idx="92">
                  <c:v>46510</c:v>
                </c:pt>
                <c:pt idx="93">
                  <c:v>46540</c:v>
                </c:pt>
                <c:pt idx="94">
                  <c:v>46570</c:v>
                </c:pt>
                <c:pt idx="95">
                  <c:v>46601</c:v>
                </c:pt>
              </c:numCache>
            </c:numRef>
          </c:cat>
          <c:val>
            <c:numRef>
              <c:f>ForwardRates!$C$10:$C$105</c:f>
              <c:numCache>
                <c:formatCode>0.00000%</c:formatCode>
                <c:ptCount val="96"/>
                <c:pt idx="0">
                  <c:v>2.1199999999979013E-2</c:v>
                </c:pt>
                <c:pt idx="1">
                  <c:v>1.8744138973119079E-2</c:v>
                </c:pt>
                <c:pt idx="2">
                  <c:v>1.7657097301242316E-2</c:v>
                </c:pt>
                <c:pt idx="3">
                  <c:v>1.6506148526716006E-2</c:v>
                </c:pt>
                <c:pt idx="4">
                  <c:v>1.5603749608166295E-2</c:v>
                </c:pt>
                <c:pt idx="5">
                  <c:v>1.4684916629183789E-2</c:v>
                </c:pt>
                <c:pt idx="6">
                  <c:v>1.3808799385071117E-2</c:v>
                </c:pt>
                <c:pt idx="7">
                  <c:v>1.3412677543822629E-2</c:v>
                </c:pt>
                <c:pt idx="8">
                  <c:v>1.2956579045972963E-2</c:v>
                </c:pt>
                <c:pt idx="9">
                  <c:v>1.2500315239236715E-2</c:v>
                </c:pt>
                <c:pt idx="10">
                  <c:v>1.2016094062081749E-2</c:v>
                </c:pt>
                <c:pt idx="11">
                  <c:v>1.1526631124780848E-2</c:v>
                </c:pt>
                <c:pt idx="12">
                  <c:v>1.1093358490130751E-2</c:v>
                </c:pt>
                <c:pt idx="13">
                  <c:v>1.0681227098556827E-2</c:v>
                </c:pt>
                <c:pt idx="14">
                  <c:v>1.0326298356799804E-2</c:v>
                </c:pt>
                <c:pt idx="15">
                  <c:v>1.0015748075549205E-2</c:v>
                </c:pt>
                <c:pt idx="16">
                  <c:v>9.7197946827965245E-3</c:v>
                </c:pt>
                <c:pt idx="17">
                  <c:v>9.4942129696473972E-3</c:v>
                </c:pt>
                <c:pt idx="18">
                  <c:v>9.3071340611228567E-3</c:v>
                </c:pt>
                <c:pt idx="19">
                  <c:v>9.1300690791129898E-3</c:v>
                </c:pt>
                <c:pt idx="20">
                  <c:v>8.9984601391002485E-3</c:v>
                </c:pt>
                <c:pt idx="21">
                  <c:v>8.9009409414231612E-3</c:v>
                </c:pt>
                <c:pt idx="22">
                  <c:v>8.8346342200829354E-3</c:v>
                </c:pt>
                <c:pt idx="23">
                  <c:v>8.8016247224143342E-3</c:v>
                </c:pt>
                <c:pt idx="24">
                  <c:v>8.8005068750796368E-3</c:v>
                </c:pt>
                <c:pt idx="25">
                  <c:v>8.8252834444358143E-3</c:v>
                </c:pt>
                <c:pt idx="26">
                  <c:v>8.857473843102457E-3</c:v>
                </c:pt>
                <c:pt idx="27">
                  <c:v>8.9003234521634368E-3</c:v>
                </c:pt>
                <c:pt idx="28">
                  <c:v>8.9520725147984904E-3</c:v>
                </c:pt>
                <c:pt idx="29">
                  <c:v>8.9999842663246767E-3</c:v>
                </c:pt>
                <c:pt idx="30">
                  <c:v>9.0441157741328101E-3</c:v>
                </c:pt>
                <c:pt idx="31">
                  <c:v>9.0900325386833788E-3</c:v>
                </c:pt>
                <c:pt idx="32">
                  <c:v>9.119127564751783E-3</c:v>
                </c:pt>
                <c:pt idx="33">
                  <c:v>9.1407322636616658E-3</c:v>
                </c:pt>
                <c:pt idx="34">
                  <c:v>9.1463356934618264E-3</c:v>
                </c:pt>
                <c:pt idx="35">
                  <c:v>9.1303158659972513E-3</c:v>
                </c:pt>
                <c:pt idx="36">
                  <c:v>9.0894309717004847E-3</c:v>
                </c:pt>
                <c:pt idx="37">
                  <c:v>9.0403031980379796E-3</c:v>
                </c:pt>
                <c:pt idx="38">
                  <c:v>8.9982280764111834E-3</c:v>
                </c:pt>
                <c:pt idx="39">
                  <c:v>8.9622811571832585E-3</c:v>
                </c:pt>
                <c:pt idx="40">
                  <c:v>8.9348405080169925E-3</c:v>
                </c:pt>
                <c:pt idx="41">
                  <c:v>8.9156982089911054E-3</c:v>
                </c:pt>
                <c:pt idx="42">
                  <c:v>8.9062783432236926E-3</c:v>
                </c:pt>
                <c:pt idx="43">
                  <c:v>8.904952972850242E-3</c:v>
                </c:pt>
                <c:pt idx="44">
                  <c:v>8.9128059491994406E-3</c:v>
                </c:pt>
                <c:pt idx="45">
                  <c:v>8.9317218006979317E-3</c:v>
                </c:pt>
                <c:pt idx="46">
                  <c:v>8.9590373017056947E-3</c:v>
                </c:pt>
                <c:pt idx="47">
                  <c:v>8.9968458483191995E-3</c:v>
                </c:pt>
                <c:pt idx="48">
                  <c:v>9.0503332969508552E-3</c:v>
                </c:pt>
                <c:pt idx="49">
                  <c:v>9.1026269358071218E-3</c:v>
                </c:pt>
                <c:pt idx="50">
                  <c:v>9.1640439458477423E-3</c:v>
                </c:pt>
                <c:pt idx="51">
                  <c:v>9.2313335789103723E-3</c:v>
                </c:pt>
                <c:pt idx="52">
                  <c:v>9.2952813642973482E-3</c:v>
                </c:pt>
                <c:pt idx="53">
                  <c:v>9.3688489045723241E-3</c:v>
                </c:pt>
                <c:pt idx="54">
                  <c:v>9.4399830179996303E-3</c:v>
                </c:pt>
                <c:pt idx="55">
                  <c:v>9.5110250222789627E-3</c:v>
                </c:pt>
                <c:pt idx="56">
                  <c:v>9.586242794529699E-3</c:v>
                </c:pt>
                <c:pt idx="57">
                  <c:v>9.6684173201107438E-3</c:v>
                </c:pt>
                <c:pt idx="58">
                  <c:v>9.7442371562002396E-3</c:v>
                </c:pt>
                <c:pt idx="59">
                  <c:v>9.8291577905401696E-3</c:v>
                </c:pt>
                <c:pt idx="60">
                  <c:v>9.9091966316427575E-3</c:v>
                </c:pt>
                <c:pt idx="61">
                  <c:v>9.9904637990351139E-3</c:v>
                </c:pt>
                <c:pt idx="62">
                  <c:v>1.0081026730988742E-2</c:v>
                </c:pt>
                <c:pt idx="63">
                  <c:v>1.0158833094500797E-2</c:v>
                </c:pt>
                <c:pt idx="64">
                  <c:v>1.024570259353492E-2</c:v>
                </c:pt>
                <c:pt idx="65">
                  <c:v>1.033580166030559E-2</c:v>
                </c:pt>
                <c:pt idx="66">
                  <c:v>1.0414996305067628E-2</c:v>
                </c:pt>
                <c:pt idx="67">
                  <c:v>1.0499903438948046E-2</c:v>
                </c:pt>
                <c:pt idx="68">
                  <c:v>1.0587669056948995E-2</c:v>
                </c:pt>
                <c:pt idx="69">
                  <c:v>1.0671717482180761E-2</c:v>
                </c:pt>
                <c:pt idx="70">
                  <c:v>1.0755512017894356E-2</c:v>
                </c:pt>
                <c:pt idx="71">
                  <c:v>1.0846616416879225E-2</c:v>
                </c:pt>
                <c:pt idx="72">
                  <c:v>1.0925749962272203E-2</c:v>
                </c:pt>
                <c:pt idx="73">
                  <c:v>1.1006406060316132E-2</c:v>
                </c:pt>
                <c:pt idx="74">
                  <c:v>1.1090699897582866E-2</c:v>
                </c:pt>
                <c:pt idx="75">
                  <c:v>1.1165534921124425E-2</c:v>
                </c:pt>
                <c:pt idx="76">
                  <c:v>1.1246414567889858E-2</c:v>
                </c:pt>
                <c:pt idx="77">
                  <c:v>1.131926336981522E-2</c:v>
                </c:pt>
                <c:pt idx="78">
                  <c:v>1.13855700017603E-2</c:v>
                </c:pt>
                <c:pt idx="79">
                  <c:v>1.1456410056942186E-2</c:v>
                </c:pt>
                <c:pt idx="80">
                  <c:v>1.1526331933147534E-2</c:v>
                </c:pt>
                <c:pt idx="81">
                  <c:v>1.1586876744955295E-2</c:v>
                </c:pt>
                <c:pt idx="82">
                  <c:v>1.1646378115502244E-2</c:v>
                </c:pt>
                <c:pt idx="83">
                  <c:v>1.1705930790057687E-2</c:v>
                </c:pt>
                <c:pt idx="84">
                  <c:v>1.1758075694452121E-2</c:v>
                </c:pt>
                <c:pt idx="85">
                  <c:v>1.1810387749217577E-2</c:v>
                </c:pt>
                <c:pt idx="86">
                  <c:v>1.1860392013145848E-2</c:v>
                </c:pt>
                <c:pt idx="87">
                  <c:v>1.1910929145464792E-2</c:v>
                </c:pt>
                <c:pt idx="88">
                  <c:v>1.1966669373498013E-2</c:v>
                </c:pt>
                <c:pt idx="89">
                  <c:v>1.2015764707696061E-2</c:v>
                </c:pt>
                <c:pt idx="90">
                  <c:v>1.2063266743680747E-2</c:v>
                </c:pt>
                <c:pt idx="91">
                  <c:v>1.2118041218184781E-2</c:v>
                </c:pt>
                <c:pt idx="92">
                  <c:v>1.2168635306675541E-2</c:v>
                </c:pt>
                <c:pt idx="93">
                  <c:v>1.22196699327207E-2</c:v>
                </c:pt>
                <c:pt idx="94">
                  <c:v>1.2272824305573225E-2</c:v>
                </c:pt>
                <c:pt idx="95">
                  <c:v>1.2323402194141259E-2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BB-4BC9-A4B0-DB48B336D680}"/>
            </c:ext>
          </c:extLst>
        </c:ser>
        <c:ser>
          <c:idx val="1"/>
          <c:order val="1"/>
          <c:tx>
            <c:strRef>
              <c:f>ForwardRates!$E$9</c:f>
              <c:strCache>
                <c:ptCount val="1"/>
                <c:pt idx="0">
                  <c:v>USD6ML</c:v>
                </c:pt>
              </c:strCache>
            </c:strRef>
          </c:tx>
          <c:marker>
            <c:symbol val="none"/>
          </c:marker>
          <c:cat>
            <c:numRef>
              <c:f>ForwardRates!$B$10:$B$105</c:f>
              <c:numCache>
                <c:formatCode>ddd\,\ d\-mmm\-yy</c:formatCode>
                <c:ptCount val="96"/>
                <c:pt idx="0">
                  <c:v>43710</c:v>
                </c:pt>
                <c:pt idx="1">
                  <c:v>43740</c:v>
                </c:pt>
                <c:pt idx="2">
                  <c:v>43773</c:v>
                </c:pt>
                <c:pt idx="3">
                  <c:v>43801</c:v>
                </c:pt>
                <c:pt idx="4">
                  <c:v>43832</c:v>
                </c:pt>
                <c:pt idx="5">
                  <c:v>43864</c:v>
                </c:pt>
                <c:pt idx="6">
                  <c:v>43892</c:v>
                </c:pt>
                <c:pt idx="7">
                  <c:v>43923</c:v>
                </c:pt>
                <c:pt idx="8">
                  <c:v>43955</c:v>
                </c:pt>
                <c:pt idx="9">
                  <c:v>43984</c:v>
                </c:pt>
                <c:pt idx="10">
                  <c:v>44014</c:v>
                </c:pt>
                <c:pt idx="11">
                  <c:v>44046</c:v>
                </c:pt>
                <c:pt idx="12">
                  <c:v>44076</c:v>
                </c:pt>
                <c:pt idx="13">
                  <c:v>44106</c:v>
                </c:pt>
                <c:pt idx="14">
                  <c:v>44137</c:v>
                </c:pt>
                <c:pt idx="15">
                  <c:v>44167</c:v>
                </c:pt>
                <c:pt idx="16">
                  <c:v>44200</c:v>
                </c:pt>
                <c:pt idx="17">
                  <c:v>44229</c:v>
                </c:pt>
                <c:pt idx="18">
                  <c:v>44257</c:v>
                </c:pt>
                <c:pt idx="19">
                  <c:v>44288</c:v>
                </c:pt>
                <c:pt idx="20">
                  <c:v>44319</c:v>
                </c:pt>
                <c:pt idx="21">
                  <c:v>44349</c:v>
                </c:pt>
                <c:pt idx="22">
                  <c:v>44379</c:v>
                </c:pt>
                <c:pt idx="23">
                  <c:v>44410</c:v>
                </c:pt>
                <c:pt idx="24">
                  <c:v>44441</c:v>
                </c:pt>
                <c:pt idx="25">
                  <c:v>44473</c:v>
                </c:pt>
                <c:pt idx="26">
                  <c:v>44502</c:v>
                </c:pt>
                <c:pt idx="27">
                  <c:v>44532</c:v>
                </c:pt>
                <c:pt idx="28">
                  <c:v>44564</c:v>
                </c:pt>
                <c:pt idx="29">
                  <c:v>44594</c:v>
                </c:pt>
                <c:pt idx="30">
                  <c:v>44622</c:v>
                </c:pt>
                <c:pt idx="31">
                  <c:v>44655</c:v>
                </c:pt>
                <c:pt idx="32">
                  <c:v>44683</c:v>
                </c:pt>
                <c:pt idx="33">
                  <c:v>44714</c:v>
                </c:pt>
                <c:pt idx="34">
                  <c:v>44746</c:v>
                </c:pt>
                <c:pt idx="35">
                  <c:v>44775</c:v>
                </c:pt>
                <c:pt idx="36">
                  <c:v>44806</c:v>
                </c:pt>
                <c:pt idx="37">
                  <c:v>44837</c:v>
                </c:pt>
                <c:pt idx="38">
                  <c:v>44867</c:v>
                </c:pt>
                <c:pt idx="39">
                  <c:v>44897</c:v>
                </c:pt>
                <c:pt idx="40">
                  <c:v>44928</c:v>
                </c:pt>
                <c:pt idx="41">
                  <c:v>44959</c:v>
                </c:pt>
                <c:pt idx="42">
                  <c:v>44987</c:v>
                </c:pt>
                <c:pt idx="43">
                  <c:v>45019</c:v>
                </c:pt>
                <c:pt idx="44">
                  <c:v>45048</c:v>
                </c:pt>
                <c:pt idx="45">
                  <c:v>45079</c:v>
                </c:pt>
                <c:pt idx="46">
                  <c:v>45110</c:v>
                </c:pt>
                <c:pt idx="47">
                  <c:v>45140</c:v>
                </c:pt>
                <c:pt idx="48">
                  <c:v>45173</c:v>
                </c:pt>
                <c:pt idx="49">
                  <c:v>45201</c:v>
                </c:pt>
                <c:pt idx="50">
                  <c:v>45232</c:v>
                </c:pt>
                <c:pt idx="51">
                  <c:v>45264</c:v>
                </c:pt>
                <c:pt idx="52">
                  <c:v>45293</c:v>
                </c:pt>
                <c:pt idx="53">
                  <c:v>45324</c:v>
                </c:pt>
                <c:pt idx="54">
                  <c:v>45355</c:v>
                </c:pt>
                <c:pt idx="55">
                  <c:v>45384</c:v>
                </c:pt>
                <c:pt idx="56">
                  <c:v>45414</c:v>
                </c:pt>
                <c:pt idx="57">
                  <c:v>45446</c:v>
                </c:pt>
                <c:pt idx="58">
                  <c:v>45475</c:v>
                </c:pt>
                <c:pt idx="59">
                  <c:v>45506</c:v>
                </c:pt>
                <c:pt idx="60">
                  <c:v>45537</c:v>
                </c:pt>
                <c:pt idx="61">
                  <c:v>45567</c:v>
                </c:pt>
                <c:pt idx="62">
                  <c:v>45600</c:v>
                </c:pt>
                <c:pt idx="63">
                  <c:v>45628</c:v>
                </c:pt>
                <c:pt idx="64">
                  <c:v>45659</c:v>
                </c:pt>
                <c:pt idx="65">
                  <c:v>45691</c:v>
                </c:pt>
                <c:pt idx="66">
                  <c:v>45719</c:v>
                </c:pt>
                <c:pt idx="67">
                  <c:v>45749</c:v>
                </c:pt>
                <c:pt idx="68">
                  <c:v>45779</c:v>
                </c:pt>
                <c:pt idx="69">
                  <c:v>45810</c:v>
                </c:pt>
                <c:pt idx="70">
                  <c:v>45840</c:v>
                </c:pt>
                <c:pt idx="71">
                  <c:v>45873</c:v>
                </c:pt>
                <c:pt idx="72">
                  <c:v>45902</c:v>
                </c:pt>
                <c:pt idx="73">
                  <c:v>45932</c:v>
                </c:pt>
                <c:pt idx="74">
                  <c:v>45964</c:v>
                </c:pt>
                <c:pt idx="75">
                  <c:v>45993</c:v>
                </c:pt>
                <c:pt idx="76">
                  <c:v>46024</c:v>
                </c:pt>
                <c:pt idx="77">
                  <c:v>46055</c:v>
                </c:pt>
                <c:pt idx="78">
                  <c:v>46083</c:v>
                </c:pt>
                <c:pt idx="79">
                  <c:v>46114</c:v>
                </c:pt>
                <c:pt idx="80">
                  <c:v>46146</c:v>
                </c:pt>
                <c:pt idx="81">
                  <c:v>46175</c:v>
                </c:pt>
                <c:pt idx="82">
                  <c:v>46205</c:v>
                </c:pt>
                <c:pt idx="83">
                  <c:v>46237</c:v>
                </c:pt>
                <c:pt idx="84">
                  <c:v>46267</c:v>
                </c:pt>
                <c:pt idx="85">
                  <c:v>46297</c:v>
                </c:pt>
                <c:pt idx="86">
                  <c:v>46328</c:v>
                </c:pt>
                <c:pt idx="87">
                  <c:v>46358</c:v>
                </c:pt>
                <c:pt idx="88">
                  <c:v>46391</c:v>
                </c:pt>
                <c:pt idx="89">
                  <c:v>46420</c:v>
                </c:pt>
                <c:pt idx="90">
                  <c:v>46448</c:v>
                </c:pt>
                <c:pt idx="91">
                  <c:v>46479</c:v>
                </c:pt>
                <c:pt idx="92">
                  <c:v>46510</c:v>
                </c:pt>
                <c:pt idx="93">
                  <c:v>46540</c:v>
                </c:pt>
                <c:pt idx="94">
                  <c:v>46570</c:v>
                </c:pt>
                <c:pt idx="95">
                  <c:v>46601</c:v>
                </c:pt>
              </c:numCache>
            </c:numRef>
          </c:cat>
          <c:val>
            <c:numRef>
              <c:f>ForwardRates!$E$10:$E$104</c:f>
              <c:numCache>
                <c:formatCode>0.00000%</c:formatCode>
                <c:ptCount val="95"/>
                <c:pt idx="0">
                  <c:v>2.0282353171710281E-2</c:v>
                </c:pt>
                <c:pt idx="1">
                  <c:v>1.9629314663730763E-2</c:v>
                </c:pt>
                <c:pt idx="2">
                  <c:v>1.8924283377198696E-2</c:v>
                </c:pt>
                <c:pt idx="3">
                  <c:v>1.8308246580970865E-2</c:v>
                </c:pt>
                <c:pt idx="4">
                  <c:v>1.7657851269701964E-2</c:v>
                </c:pt>
                <c:pt idx="5">
                  <c:v>1.6997196104654895E-2</c:v>
                </c:pt>
                <c:pt idx="6">
                  <c:v>1.6427831866045437E-2</c:v>
                </c:pt>
                <c:pt idx="7">
                  <c:v>1.586170809711606E-2</c:v>
                </c:pt>
                <c:pt idx="8">
                  <c:v>1.5303590071529937E-2</c:v>
                </c:pt>
                <c:pt idx="9">
                  <c:v>1.4849898998513031E-2</c:v>
                </c:pt>
                <c:pt idx="10">
                  <c:v>1.4394422195959636E-2</c:v>
                </c:pt>
                <c:pt idx="11">
                  <c:v>1.3985314951967243E-2</c:v>
                </c:pt>
                <c:pt idx="12">
                  <c:v>1.3647550583137616E-2</c:v>
                </c:pt>
                <c:pt idx="13">
                  <c:v>1.3332692695806078E-2</c:v>
                </c:pt>
                <c:pt idx="14">
                  <c:v>1.305528513218515E-2</c:v>
                </c:pt>
                <c:pt idx="15">
                  <c:v>1.2826787243895977E-2</c:v>
                </c:pt>
                <c:pt idx="16">
                  <c:v>1.2618608608216952E-2</c:v>
                </c:pt>
                <c:pt idx="17">
                  <c:v>1.2472609809702901E-2</c:v>
                </c:pt>
                <c:pt idx="18">
                  <c:v>1.23564663303604E-2</c:v>
                </c:pt>
                <c:pt idx="19">
                  <c:v>1.2264396691252968E-2</c:v>
                </c:pt>
                <c:pt idx="20">
                  <c:v>1.2202658430238537E-2</c:v>
                </c:pt>
                <c:pt idx="21">
                  <c:v>1.2165204326706057E-2</c:v>
                </c:pt>
                <c:pt idx="22">
                  <c:v>1.2145464149478643E-2</c:v>
                </c:pt>
                <c:pt idx="23">
                  <c:v>1.2137742640954078E-2</c:v>
                </c:pt>
                <c:pt idx="24">
                  <c:v>1.2137243122091712E-2</c:v>
                </c:pt>
                <c:pt idx="25">
                  <c:v>1.2140618489901878E-2</c:v>
                </c:pt>
                <c:pt idx="26">
                  <c:v>1.2144108642097036E-2</c:v>
                </c:pt>
                <c:pt idx="27">
                  <c:v>1.214914518417121E-2</c:v>
                </c:pt>
                <c:pt idx="28">
                  <c:v>1.2155003149623268E-2</c:v>
                </c:pt>
                <c:pt idx="29">
                  <c:v>1.2160789980881144E-2</c:v>
                </c:pt>
                <c:pt idx="30">
                  <c:v>1.2167881370307155E-2</c:v>
                </c:pt>
                <c:pt idx="31">
                  <c:v>1.217532589860798E-2</c:v>
                </c:pt>
                <c:pt idx="32">
                  <c:v>1.218298940217705E-2</c:v>
                </c:pt>
                <c:pt idx="33">
                  <c:v>1.2191677254658122E-2</c:v>
                </c:pt>
                <c:pt idx="34">
                  <c:v>1.220268750605508E-2</c:v>
                </c:pt>
                <c:pt idx="35">
                  <c:v>1.2213622076971192E-2</c:v>
                </c:pt>
                <c:pt idx="36">
                  <c:v>1.2225485856082314E-2</c:v>
                </c:pt>
                <c:pt idx="37">
                  <c:v>1.2240939999918068E-2</c:v>
                </c:pt>
                <c:pt idx="38">
                  <c:v>1.2256683408603327E-2</c:v>
                </c:pt>
                <c:pt idx="39">
                  <c:v>1.2275201519937811E-2</c:v>
                </c:pt>
                <c:pt idx="40">
                  <c:v>1.2295613657601016E-2</c:v>
                </c:pt>
                <c:pt idx="41">
                  <c:v>1.2317259349127767E-2</c:v>
                </c:pt>
                <c:pt idx="42">
                  <c:v>1.2342133141022739E-2</c:v>
                </c:pt>
                <c:pt idx="43">
                  <c:v>1.2367012457719267E-2</c:v>
                </c:pt>
                <c:pt idx="44">
                  <c:v>1.2394659707586065E-2</c:v>
                </c:pt>
                <c:pt idx="45">
                  <c:v>1.2428146354697326E-2</c:v>
                </c:pt>
                <c:pt idx="46">
                  <c:v>1.2464933706772808E-2</c:v>
                </c:pt>
                <c:pt idx="47">
                  <c:v>1.2507186751253455E-2</c:v>
                </c:pt>
                <c:pt idx="48">
                  <c:v>1.2559014004446464E-2</c:v>
                </c:pt>
                <c:pt idx="49">
                  <c:v>1.2613491257967818E-2</c:v>
                </c:pt>
                <c:pt idx="50">
                  <c:v>1.2678942285280995E-2</c:v>
                </c:pt>
                <c:pt idx="51">
                  <c:v>1.2758387520928269E-2</c:v>
                </c:pt>
                <c:pt idx="52">
                  <c:v>1.283499185477502E-2</c:v>
                </c:pt>
                <c:pt idx="53">
                  <c:v>1.2926777955352192E-2</c:v>
                </c:pt>
                <c:pt idx="54">
                  <c:v>1.3031082280791809E-2</c:v>
                </c:pt>
                <c:pt idx="55">
                  <c:v>1.3130236978230962E-2</c:v>
                </c:pt>
                <c:pt idx="56">
                  <c:v>1.3247532063999271E-2</c:v>
                </c:pt>
                <c:pt idx="57">
                  <c:v>1.3363448698601949E-2</c:v>
                </c:pt>
                <c:pt idx="58">
                  <c:v>1.3478827354125023E-2</c:v>
                </c:pt>
                <c:pt idx="59">
                  <c:v>1.3602079085862683E-2</c:v>
                </c:pt>
                <c:pt idx="60">
                  <c:v>1.3714905621091849E-2</c:v>
                </c:pt>
                <c:pt idx="61">
                  <c:v>1.3826720034140377E-2</c:v>
                </c:pt>
                <c:pt idx="62">
                  <c:v>1.3945131275525243E-2</c:v>
                </c:pt>
                <c:pt idx="63">
                  <c:v>1.4041837576824867E-2</c:v>
                </c:pt>
                <c:pt idx="64">
                  <c:v>1.4143038419010592E-2</c:v>
                </c:pt>
                <c:pt idx="65">
                  <c:v>1.4246804075133295E-2</c:v>
                </c:pt>
                <c:pt idx="66">
                  <c:v>1.4335718869025859E-2</c:v>
                </c:pt>
                <c:pt idx="67">
                  <c:v>1.4421674413396719E-2</c:v>
                </c:pt>
                <c:pt idx="68">
                  <c:v>1.4508244162883745E-2</c:v>
                </c:pt>
                <c:pt idx="69">
                  <c:v>1.4586555324422976E-2</c:v>
                </c:pt>
                <c:pt idx="70">
                  <c:v>1.4661855586190126E-2</c:v>
                </c:pt>
                <c:pt idx="71">
                  <c:v>1.4737097730347083E-2</c:v>
                </c:pt>
                <c:pt idx="72">
                  <c:v>1.4794137931303247E-2</c:v>
                </c:pt>
                <c:pt idx="73">
                  <c:v>1.4852659814843541E-2</c:v>
                </c:pt>
                <c:pt idx="74">
                  <c:v>1.4907418577401287E-2</c:v>
                </c:pt>
                <c:pt idx="75">
                  <c:v>1.4951365275942628E-2</c:v>
                </c:pt>
                <c:pt idx="76">
                  <c:v>1.4991549767133206E-2</c:v>
                </c:pt>
                <c:pt idx="77">
                  <c:v>1.5027228932213903E-2</c:v>
                </c:pt>
                <c:pt idx="78">
                  <c:v>1.5054692858946639E-2</c:v>
                </c:pt>
                <c:pt idx="79">
                  <c:v>1.5077364596048365E-2</c:v>
                </c:pt>
                <c:pt idx="80">
                  <c:v>1.5097612217926069E-2</c:v>
                </c:pt>
                <c:pt idx="81">
                  <c:v>1.5113059617232881E-2</c:v>
                </c:pt>
                <c:pt idx="82">
                  <c:v>1.5131728803345616E-2</c:v>
                </c:pt>
                <c:pt idx="83">
                  <c:v>1.5150685134334249E-2</c:v>
                </c:pt>
                <c:pt idx="84">
                  <c:v>1.5171481729138507E-2</c:v>
                </c:pt>
                <c:pt idx="85">
                  <c:v>1.5201508300463306E-2</c:v>
                </c:pt>
                <c:pt idx="86">
                  <c:v>1.5238379760757939E-2</c:v>
                </c:pt>
                <c:pt idx="87">
                  <c:v>1.528057049743721E-2</c:v>
                </c:pt>
                <c:pt idx="88">
                  <c:v>1.5334368547872353E-2</c:v>
                </c:pt>
                <c:pt idx="89">
                  <c:v>1.5386619657037538E-2</c:v>
                </c:pt>
                <c:pt idx="90">
                  <c:v>1.5448538076697552E-2</c:v>
                </c:pt>
                <c:pt idx="91">
                  <c:v>1.5520470819161077E-2</c:v>
                </c:pt>
                <c:pt idx="92">
                  <c:v>1.5595589167521687E-2</c:v>
                </c:pt>
                <c:pt idx="93">
                  <c:v>1.5673762839673248E-2</c:v>
                </c:pt>
                <c:pt idx="94">
                  <c:v>1.5762631602299067E-2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BB-4BC9-A4B0-DB48B336D680}"/>
            </c:ext>
          </c:extLst>
        </c:ser>
        <c:ser>
          <c:idx val="2"/>
          <c:order val="2"/>
          <c:tx>
            <c:strRef>
              <c:f>ForwardRates!$D$9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ForwardRates!$B$10:$B$105</c:f>
              <c:numCache>
                <c:formatCode>ddd\,\ d\-mmm\-yy</c:formatCode>
                <c:ptCount val="96"/>
                <c:pt idx="0">
                  <c:v>43710</c:v>
                </c:pt>
                <c:pt idx="1">
                  <c:v>43740</c:v>
                </c:pt>
                <c:pt idx="2">
                  <c:v>43773</c:v>
                </c:pt>
                <c:pt idx="3">
                  <c:v>43801</c:v>
                </c:pt>
                <c:pt idx="4">
                  <c:v>43832</c:v>
                </c:pt>
                <c:pt idx="5">
                  <c:v>43864</c:v>
                </c:pt>
                <c:pt idx="6">
                  <c:v>43892</c:v>
                </c:pt>
                <c:pt idx="7">
                  <c:v>43923</c:v>
                </c:pt>
                <c:pt idx="8">
                  <c:v>43955</c:v>
                </c:pt>
                <c:pt idx="9">
                  <c:v>43984</c:v>
                </c:pt>
                <c:pt idx="10">
                  <c:v>44014</c:v>
                </c:pt>
                <c:pt idx="11">
                  <c:v>44046</c:v>
                </c:pt>
                <c:pt idx="12">
                  <c:v>44076</c:v>
                </c:pt>
                <c:pt idx="13">
                  <c:v>44106</c:v>
                </c:pt>
                <c:pt idx="14">
                  <c:v>44137</c:v>
                </c:pt>
                <c:pt idx="15">
                  <c:v>44167</c:v>
                </c:pt>
                <c:pt idx="16">
                  <c:v>44200</c:v>
                </c:pt>
                <c:pt idx="17">
                  <c:v>44229</c:v>
                </c:pt>
                <c:pt idx="18">
                  <c:v>44257</c:v>
                </c:pt>
                <c:pt idx="19">
                  <c:v>44288</c:v>
                </c:pt>
                <c:pt idx="20">
                  <c:v>44319</c:v>
                </c:pt>
                <c:pt idx="21">
                  <c:v>44349</c:v>
                </c:pt>
                <c:pt idx="22">
                  <c:v>44379</c:v>
                </c:pt>
                <c:pt idx="23">
                  <c:v>44410</c:v>
                </c:pt>
                <c:pt idx="24">
                  <c:v>44441</c:v>
                </c:pt>
                <c:pt idx="25">
                  <c:v>44473</c:v>
                </c:pt>
                <c:pt idx="26">
                  <c:v>44502</c:v>
                </c:pt>
                <c:pt idx="27">
                  <c:v>44532</c:v>
                </c:pt>
                <c:pt idx="28">
                  <c:v>44564</c:v>
                </c:pt>
                <c:pt idx="29">
                  <c:v>44594</c:v>
                </c:pt>
                <c:pt idx="30">
                  <c:v>44622</c:v>
                </c:pt>
                <c:pt idx="31">
                  <c:v>44655</c:v>
                </c:pt>
                <c:pt idx="32">
                  <c:v>44683</c:v>
                </c:pt>
                <c:pt idx="33">
                  <c:v>44714</c:v>
                </c:pt>
                <c:pt idx="34">
                  <c:v>44746</c:v>
                </c:pt>
                <c:pt idx="35">
                  <c:v>44775</c:v>
                </c:pt>
                <c:pt idx="36">
                  <c:v>44806</c:v>
                </c:pt>
                <c:pt idx="37">
                  <c:v>44837</c:v>
                </c:pt>
                <c:pt idx="38">
                  <c:v>44867</c:v>
                </c:pt>
                <c:pt idx="39">
                  <c:v>44897</c:v>
                </c:pt>
                <c:pt idx="40">
                  <c:v>44928</c:v>
                </c:pt>
                <c:pt idx="41">
                  <c:v>44959</c:v>
                </c:pt>
                <c:pt idx="42">
                  <c:v>44987</c:v>
                </c:pt>
                <c:pt idx="43">
                  <c:v>45019</c:v>
                </c:pt>
                <c:pt idx="44">
                  <c:v>45048</c:v>
                </c:pt>
                <c:pt idx="45">
                  <c:v>45079</c:v>
                </c:pt>
                <c:pt idx="46">
                  <c:v>45110</c:v>
                </c:pt>
                <c:pt idx="47">
                  <c:v>45140</c:v>
                </c:pt>
                <c:pt idx="48">
                  <c:v>45173</c:v>
                </c:pt>
                <c:pt idx="49">
                  <c:v>45201</c:v>
                </c:pt>
                <c:pt idx="50">
                  <c:v>45232</c:v>
                </c:pt>
                <c:pt idx="51">
                  <c:v>45264</c:v>
                </c:pt>
                <c:pt idx="52">
                  <c:v>45293</c:v>
                </c:pt>
                <c:pt idx="53">
                  <c:v>45324</c:v>
                </c:pt>
                <c:pt idx="54">
                  <c:v>45355</c:v>
                </c:pt>
                <c:pt idx="55">
                  <c:v>45384</c:v>
                </c:pt>
                <c:pt idx="56">
                  <c:v>45414</c:v>
                </c:pt>
                <c:pt idx="57">
                  <c:v>45446</c:v>
                </c:pt>
                <c:pt idx="58">
                  <c:v>45475</c:v>
                </c:pt>
                <c:pt idx="59">
                  <c:v>45506</c:v>
                </c:pt>
                <c:pt idx="60">
                  <c:v>45537</c:v>
                </c:pt>
                <c:pt idx="61">
                  <c:v>45567</c:v>
                </c:pt>
                <c:pt idx="62">
                  <c:v>45600</c:v>
                </c:pt>
                <c:pt idx="63">
                  <c:v>45628</c:v>
                </c:pt>
                <c:pt idx="64">
                  <c:v>45659</c:v>
                </c:pt>
                <c:pt idx="65">
                  <c:v>45691</c:v>
                </c:pt>
                <c:pt idx="66">
                  <c:v>45719</c:v>
                </c:pt>
                <c:pt idx="67">
                  <c:v>45749</c:v>
                </c:pt>
                <c:pt idx="68">
                  <c:v>45779</c:v>
                </c:pt>
                <c:pt idx="69">
                  <c:v>45810</c:v>
                </c:pt>
                <c:pt idx="70">
                  <c:v>45840</c:v>
                </c:pt>
                <c:pt idx="71">
                  <c:v>45873</c:v>
                </c:pt>
                <c:pt idx="72">
                  <c:v>45902</c:v>
                </c:pt>
                <c:pt idx="73">
                  <c:v>45932</c:v>
                </c:pt>
                <c:pt idx="74">
                  <c:v>45964</c:v>
                </c:pt>
                <c:pt idx="75">
                  <c:v>45993</c:v>
                </c:pt>
                <c:pt idx="76">
                  <c:v>46024</c:v>
                </c:pt>
                <c:pt idx="77">
                  <c:v>46055</c:v>
                </c:pt>
                <c:pt idx="78">
                  <c:v>46083</c:v>
                </c:pt>
                <c:pt idx="79">
                  <c:v>46114</c:v>
                </c:pt>
                <c:pt idx="80">
                  <c:v>46146</c:v>
                </c:pt>
                <c:pt idx="81">
                  <c:v>46175</c:v>
                </c:pt>
                <c:pt idx="82">
                  <c:v>46205</c:v>
                </c:pt>
                <c:pt idx="83">
                  <c:v>46237</c:v>
                </c:pt>
                <c:pt idx="84">
                  <c:v>46267</c:v>
                </c:pt>
                <c:pt idx="85">
                  <c:v>46297</c:v>
                </c:pt>
                <c:pt idx="86">
                  <c:v>46328</c:v>
                </c:pt>
                <c:pt idx="87">
                  <c:v>46358</c:v>
                </c:pt>
                <c:pt idx="88">
                  <c:v>46391</c:v>
                </c:pt>
                <c:pt idx="89">
                  <c:v>46420</c:v>
                </c:pt>
                <c:pt idx="90">
                  <c:v>46448</c:v>
                </c:pt>
                <c:pt idx="91">
                  <c:v>46479</c:v>
                </c:pt>
                <c:pt idx="92">
                  <c:v>46510</c:v>
                </c:pt>
                <c:pt idx="93">
                  <c:v>46540</c:v>
                </c:pt>
                <c:pt idx="94">
                  <c:v>46570</c:v>
                </c:pt>
                <c:pt idx="95">
                  <c:v>46601</c:v>
                </c:pt>
              </c:numCache>
            </c:numRef>
          </c:cat>
          <c:val>
            <c:numRef>
              <c:f>ForwardRates!$D$10:$D$105</c:f>
              <c:numCache>
                <c:formatCode>0.00000%</c:formatCode>
                <c:ptCount val="96"/>
                <c:pt idx="0">
                  <c:v>2.1427901750769428E-2</c:v>
                </c:pt>
                <c:pt idx="1">
                  <c:v>2.0313867622790079E-2</c:v>
                </c:pt>
                <c:pt idx="2">
                  <c:v>1.9581220192782363E-2</c:v>
                </c:pt>
                <c:pt idx="3">
                  <c:v>1.8959579949139452E-2</c:v>
                </c:pt>
                <c:pt idx="4">
                  <c:v>1.8083131211161892E-2</c:v>
                </c:pt>
                <c:pt idx="5">
                  <c:v>1.6988671953338978E-2</c:v>
                </c:pt>
                <c:pt idx="6">
                  <c:v>1.6031020102743924E-2</c:v>
                </c:pt>
                <c:pt idx="7">
                  <c:v>1.5240503062689292E-2</c:v>
                </c:pt>
                <c:pt idx="8">
                  <c:v>1.4708888875386333E-2</c:v>
                </c:pt>
                <c:pt idx="9">
                  <c:v>1.4227113518143026E-2</c:v>
                </c:pt>
                <c:pt idx="10">
                  <c:v>1.3805288491349932E-2</c:v>
                </c:pt>
                <c:pt idx="11">
                  <c:v>1.3431785085276976E-2</c:v>
                </c:pt>
                <c:pt idx="12">
                  <c:v>1.308162564208358E-2</c:v>
                </c:pt>
                <c:pt idx="13">
                  <c:v>1.2871699134524574E-2</c:v>
                </c:pt>
                <c:pt idx="14">
                  <c:v>1.2781532718316214E-2</c:v>
                </c:pt>
                <c:pt idx="15">
                  <c:v>1.2694274896179091E-2</c:v>
                </c:pt>
                <c:pt idx="16">
                  <c:v>1.2451028446264389E-2</c:v>
                </c:pt>
                <c:pt idx="17">
                  <c:v>1.2142197412344903E-2</c:v>
                </c:pt>
                <c:pt idx="18">
                  <c:v>1.1844015724422643E-2</c:v>
                </c:pt>
                <c:pt idx="19">
                  <c:v>1.1647196188379646E-2</c:v>
                </c:pt>
                <c:pt idx="20">
                  <c:v>1.1572364926549065E-2</c:v>
                </c:pt>
                <c:pt idx="21">
                  <c:v>1.1499947576390437E-2</c:v>
                </c:pt>
                <c:pt idx="22">
                  <c:v>1.1439707458048258E-2</c:v>
                </c:pt>
                <c:pt idx="23">
                  <c:v>1.142852247672746E-2</c:v>
                </c:pt>
                <c:pt idx="24">
                  <c:v>1.1439075384938935E-2</c:v>
                </c:pt>
                <c:pt idx="25">
                  <c:v>1.1439975948896196E-2</c:v>
                </c:pt>
                <c:pt idx="26">
                  <c:v>1.1429791989775274E-2</c:v>
                </c:pt>
                <c:pt idx="27">
                  <c:v>1.1416367450834309E-2</c:v>
                </c:pt>
                <c:pt idx="28">
                  <c:v>1.140651646186208E-2</c:v>
                </c:pt>
                <c:pt idx="29">
                  <c:v>1.1401568909792027E-2</c:v>
                </c:pt>
                <c:pt idx="30">
                  <c:v>1.1398616900553455E-2</c:v>
                </c:pt>
                <c:pt idx="31">
                  <c:v>1.1395127220636004E-2</c:v>
                </c:pt>
                <c:pt idx="32">
                  <c:v>1.139223134079659E-2</c:v>
                </c:pt>
                <c:pt idx="33">
                  <c:v>1.1389711338689103E-2</c:v>
                </c:pt>
                <c:pt idx="34">
                  <c:v>1.138853210828345E-2</c:v>
                </c:pt>
                <c:pt idx="35">
                  <c:v>1.1389270856377223E-2</c:v>
                </c:pt>
                <c:pt idx="36">
                  <c:v>1.1392537301108211E-2</c:v>
                </c:pt>
                <c:pt idx="37">
                  <c:v>1.1398896287971663E-2</c:v>
                </c:pt>
                <c:pt idx="38">
                  <c:v>1.1408199412484726E-2</c:v>
                </c:pt>
                <c:pt idx="39">
                  <c:v>1.1420687407949643E-2</c:v>
                </c:pt>
                <c:pt idx="40">
                  <c:v>1.1437007893433264E-2</c:v>
                </c:pt>
                <c:pt idx="41">
                  <c:v>1.1456760693038569E-2</c:v>
                </c:pt>
                <c:pt idx="42">
                  <c:v>1.1477488072864127E-2</c:v>
                </c:pt>
                <c:pt idx="43">
                  <c:v>1.1504460600530038E-2</c:v>
                </c:pt>
                <c:pt idx="44">
                  <c:v>1.1531890410216215E-2</c:v>
                </c:pt>
                <c:pt idx="45">
                  <c:v>1.1564316621974954E-2</c:v>
                </c:pt>
                <c:pt idx="46">
                  <c:v>1.1600035437938857E-2</c:v>
                </c:pt>
                <c:pt idx="47">
                  <c:v>1.1638419212559696E-2</c:v>
                </c:pt>
                <c:pt idx="48">
                  <c:v>1.1686006675983273E-2</c:v>
                </c:pt>
                <c:pt idx="49">
                  <c:v>1.1731514979549539E-2</c:v>
                </c:pt>
                <c:pt idx="50">
                  <c:v>1.1787639021156858E-2</c:v>
                </c:pt>
                <c:pt idx="51">
                  <c:v>1.1851979499451061E-2</c:v>
                </c:pt>
                <c:pt idx="52">
                  <c:v>1.1915942750268744E-2</c:v>
                </c:pt>
                <c:pt idx="53">
                  <c:v>1.1990125925517688E-2</c:v>
                </c:pt>
                <c:pt idx="54">
                  <c:v>1.2070123348278033E-2</c:v>
                </c:pt>
                <c:pt idx="55">
                  <c:v>1.2150081138074685E-2</c:v>
                </c:pt>
                <c:pt idx="56">
                  <c:v>1.2237985208274321E-2</c:v>
                </c:pt>
                <c:pt idx="57">
                  <c:v>1.2337579563355957E-2</c:v>
                </c:pt>
                <c:pt idx="58">
                  <c:v>1.243263933452443E-2</c:v>
                </c:pt>
                <c:pt idx="59">
                  <c:v>1.2536773793028063E-2</c:v>
                </c:pt>
                <c:pt idx="60">
                  <c:v>1.264027427083619E-2</c:v>
                </c:pt>
                <c:pt idx="61">
                  <c:v>1.273717624224791E-2</c:v>
                </c:pt>
                <c:pt idx="62">
                  <c:v>1.283971328108274E-2</c:v>
                </c:pt>
                <c:pt idx="63">
                  <c:v>1.2923760400785448E-2</c:v>
                </c:pt>
                <c:pt idx="64">
                  <c:v>1.3013905455767727E-2</c:v>
                </c:pt>
                <c:pt idx="65">
                  <c:v>1.3103257502710635E-2</c:v>
                </c:pt>
                <c:pt idx="66">
                  <c:v>1.3177770944925312E-2</c:v>
                </c:pt>
                <c:pt idx="67">
                  <c:v>1.3253342461777454E-2</c:v>
                </c:pt>
                <c:pt idx="68">
                  <c:v>1.3324629232665487E-2</c:v>
                </c:pt>
                <c:pt idx="69">
                  <c:v>1.3394092313640221E-2</c:v>
                </c:pt>
                <c:pt idx="70">
                  <c:v>1.3457496865570273E-2</c:v>
                </c:pt>
                <c:pt idx="71">
                  <c:v>1.3522926731836802E-2</c:v>
                </c:pt>
                <c:pt idx="72">
                  <c:v>1.3576643906508479E-2</c:v>
                </c:pt>
                <c:pt idx="73">
                  <c:v>1.3628478130709099E-2</c:v>
                </c:pt>
                <c:pt idx="74">
                  <c:v>1.3679771240462237E-2</c:v>
                </c:pt>
                <c:pt idx="75">
                  <c:v>1.3722913090412492E-2</c:v>
                </c:pt>
                <c:pt idx="76">
                  <c:v>1.3765664950557702E-2</c:v>
                </c:pt>
                <c:pt idx="77">
                  <c:v>1.3804679705474901E-2</c:v>
                </c:pt>
                <c:pt idx="78">
                  <c:v>1.3836387646839046E-2</c:v>
                </c:pt>
                <c:pt idx="79">
                  <c:v>1.3867307910167593E-2</c:v>
                </c:pt>
                <c:pt idx="80">
                  <c:v>1.3894699603785091E-2</c:v>
                </c:pt>
                <c:pt idx="81">
                  <c:v>1.3915722103290376E-2</c:v>
                </c:pt>
                <c:pt idx="82">
                  <c:v>1.393418561219157E-2</c:v>
                </c:pt>
                <c:pt idx="83">
                  <c:v>1.3952722516407343E-2</c:v>
                </c:pt>
                <c:pt idx="84">
                  <c:v>1.3971930325243815E-2</c:v>
                </c:pt>
                <c:pt idx="85">
                  <c:v>1.399537829761094E-2</c:v>
                </c:pt>
                <c:pt idx="86">
                  <c:v>1.4024792012333916E-2</c:v>
                </c:pt>
                <c:pt idx="87">
                  <c:v>1.4058447718920111E-2</c:v>
                </c:pt>
                <c:pt idx="88">
                  <c:v>1.4101571126710196E-2</c:v>
                </c:pt>
                <c:pt idx="89">
                  <c:v>1.4144922310646053E-2</c:v>
                </c:pt>
                <c:pt idx="90">
                  <c:v>1.4191775757582778E-2</c:v>
                </c:pt>
                <c:pt idx="91">
                  <c:v>1.4249375260896726E-2</c:v>
                </c:pt>
                <c:pt idx="92">
                  <c:v>1.4312166112379635E-2</c:v>
                </c:pt>
                <c:pt idx="93">
                  <c:v>1.4376852088432479E-2</c:v>
                </c:pt>
                <c:pt idx="94">
                  <c:v>1.4444653377125987E-2</c:v>
                </c:pt>
                <c:pt idx="95">
                  <c:v>1.4518532804104841E-2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BB-4BC9-A4B0-DB48B336D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8382848"/>
        <c:axId val="938384384"/>
      </c:lineChart>
      <c:dateAx>
        <c:axId val="9383828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920000"/>
          <a:lstStyle/>
          <a:p>
            <a:pPr>
              <a:defRPr/>
            </a:pPr>
            <a:endParaRPr lang="en-US"/>
          </a:p>
        </c:txPr>
        <c:crossAx val="938384384"/>
        <c:crosses val="autoZero"/>
        <c:auto val="1"/>
        <c:lblOffset val="100"/>
        <c:baseTimeUnit val="months"/>
      </c:dateAx>
      <c:valAx>
        <c:axId val="93838438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3838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71458267716535429"/>
          <c:y val="0.59513756467342538"/>
          <c:w val="0.17225308538560338"/>
          <c:h val="0.2344683991178419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USD Discount</a:t>
            </a:r>
            <a:r>
              <a:rPr lang="en-GB" baseline="0"/>
              <a:t> Factors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DiscountFactors!$C$8</c:f>
              <c:strCache>
                <c:ptCount val="1"/>
                <c:pt idx="0">
                  <c:v>DiscountFactors</c:v>
                </c:pt>
              </c:strCache>
            </c:strRef>
          </c:tx>
          <c:marker>
            <c:symbol val="none"/>
          </c:marker>
          <c:cat>
            <c:numRef>
              <c:f>DiscountFactors!$B$9:$B$104</c:f>
              <c:numCache>
                <c:formatCode>ddd\,\ d\-mmm\-yy</c:formatCode>
                <c:ptCount val="96"/>
                <c:pt idx="0">
                  <c:v>43710</c:v>
                </c:pt>
                <c:pt idx="1">
                  <c:v>43711</c:v>
                </c:pt>
                <c:pt idx="2">
                  <c:v>43712</c:v>
                </c:pt>
                <c:pt idx="3">
                  <c:v>43719</c:v>
                </c:pt>
                <c:pt idx="4">
                  <c:v>43726</c:v>
                </c:pt>
                <c:pt idx="5">
                  <c:v>43733</c:v>
                </c:pt>
                <c:pt idx="6">
                  <c:v>43742</c:v>
                </c:pt>
                <c:pt idx="7">
                  <c:v>43773</c:v>
                </c:pt>
                <c:pt idx="8">
                  <c:v>43803</c:v>
                </c:pt>
                <c:pt idx="9">
                  <c:v>43836</c:v>
                </c:pt>
                <c:pt idx="10">
                  <c:v>43865</c:v>
                </c:pt>
                <c:pt idx="11">
                  <c:v>43894</c:v>
                </c:pt>
                <c:pt idx="12">
                  <c:v>43986</c:v>
                </c:pt>
                <c:pt idx="13">
                  <c:v>44078</c:v>
                </c:pt>
                <c:pt idx="14">
                  <c:v>44169</c:v>
                </c:pt>
                <c:pt idx="15">
                  <c:v>44259</c:v>
                </c:pt>
                <c:pt idx="16">
                  <c:v>44351</c:v>
                </c:pt>
                <c:pt idx="17">
                  <c:v>44446</c:v>
                </c:pt>
                <c:pt idx="18">
                  <c:v>44536</c:v>
                </c:pt>
                <c:pt idx="19">
                  <c:v>44624</c:v>
                </c:pt>
                <c:pt idx="20">
                  <c:v>44718</c:v>
                </c:pt>
                <c:pt idx="21">
                  <c:v>44810</c:v>
                </c:pt>
                <c:pt idx="22">
                  <c:v>44900</c:v>
                </c:pt>
                <c:pt idx="23">
                  <c:v>44991</c:v>
                </c:pt>
                <c:pt idx="24">
                  <c:v>45082</c:v>
                </c:pt>
                <c:pt idx="25">
                  <c:v>45174</c:v>
                </c:pt>
                <c:pt idx="26">
                  <c:v>45264</c:v>
                </c:pt>
                <c:pt idx="27">
                  <c:v>45355</c:v>
                </c:pt>
                <c:pt idx="28">
                  <c:v>45447</c:v>
                </c:pt>
                <c:pt idx="29">
                  <c:v>45539</c:v>
                </c:pt>
                <c:pt idx="30">
                  <c:v>45630</c:v>
                </c:pt>
                <c:pt idx="31">
                  <c:v>45720</c:v>
                </c:pt>
                <c:pt idx="32">
                  <c:v>45812</c:v>
                </c:pt>
                <c:pt idx="33">
                  <c:v>45904</c:v>
                </c:pt>
                <c:pt idx="34">
                  <c:v>45995</c:v>
                </c:pt>
                <c:pt idx="35">
                  <c:v>46085</c:v>
                </c:pt>
                <c:pt idx="36">
                  <c:v>46177</c:v>
                </c:pt>
                <c:pt idx="37">
                  <c:v>46269</c:v>
                </c:pt>
                <c:pt idx="38">
                  <c:v>46360</c:v>
                </c:pt>
                <c:pt idx="39">
                  <c:v>46450</c:v>
                </c:pt>
                <c:pt idx="40">
                  <c:v>46542</c:v>
                </c:pt>
                <c:pt idx="41">
                  <c:v>46637</c:v>
                </c:pt>
                <c:pt idx="42">
                  <c:v>46727</c:v>
                </c:pt>
                <c:pt idx="43">
                  <c:v>46818</c:v>
                </c:pt>
                <c:pt idx="44">
                  <c:v>46909</c:v>
                </c:pt>
                <c:pt idx="45">
                  <c:v>47001</c:v>
                </c:pt>
                <c:pt idx="46">
                  <c:v>47091</c:v>
                </c:pt>
                <c:pt idx="47">
                  <c:v>47182</c:v>
                </c:pt>
                <c:pt idx="48">
                  <c:v>47273</c:v>
                </c:pt>
                <c:pt idx="49">
                  <c:v>47365</c:v>
                </c:pt>
                <c:pt idx="50">
                  <c:v>47456</c:v>
                </c:pt>
                <c:pt idx="51">
                  <c:v>47546</c:v>
                </c:pt>
                <c:pt idx="52">
                  <c:v>47638</c:v>
                </c:pt>
                <c:pt idx="53">
                  <c:v>47730</c:v>
                </c:pt>
                <c:pt idx="54">
                  <c:v>47821</c:v>
                </c:pt>
                <c:pt idx="55">
                  <c:v>47911</c:v>
                </c:pt>
                <c:pt idx="56">
                  <c:v>48003</c:v>
                </c:pt>
                <c:pt idx="57">
                  <c:v>48095</c:v>
                </c:pt>
                <c:pt idx="58">
                  <c:v>48186</c:v>
                </c:pt>
                <c:pt idx="59">
                  <c:v>48277</c:v>
                </c:pt>
                <c:pt idx="60">
                  <c:v>48369</c:v>
                </c:pt>
                <c:pt idx="61">
                  <c:v>48464</c:v>
                </c:pt>
                <c:pt idx="62">
                  <c:v>48554</c:v>
                </c:pt>
                <c:pt idx="63">
                  <c:v>48642</c:v>
                </c:pt>
                <c:pt idx="64">
                  <c:v>48736</c:v>
                </c:pt>
                <c:pt idx="65">
                  <c:v>48828</c:v>
                </c:pt>
                <c:pt idx="66">
                  <c:v>48918</c:v>
                </c:pt>
                <c:pt idx="67">
                  <c:v>49009</c:v>
                </c:pt>
                <c:pt idx="68">
                  <c:v>49100</c:v>
                </c:pt>
                <c:pt idx="69">
                  <c:v>49192</c:v>
                </c:pt>
                <c:pt idx="70">
                  <c:v>49282</c:v>
                </c:pt>
                <c:pt idx="71">
                  <c:v>49373</c:v>
                </c:pt>
                <c:pt idx="72">
                  <c:v>49464</c:v>
                </c:pt>
                <c:pt idx="73">
                  <c:v>49556</c:v>
                </c:pt>
                <c:pt idx="74">
                  <c:v>49647</c:v>
                </c:pt>
                <c:pt idx="75">
                  <c:v>49738</c:v>
                </c:pt>
                <c:pt idx="76">
                  <c:v>49830</c:v>
                </c:pt>
                <c:pt idx="77">
                  <c:v>49922</c:v>
                </c:pt>
                <c:pt idx="78">
                  <c:v>50013</c:v>
                </c:pt>
                <c:pt idx="79">
                  <c:v>50103</c:v>
                </c:pt>
                <c:pt idx="80">
                  <c:v>50195</c:v>
                </c:pt>
                <c:pt idx="81">
                  <c:v>50287</c:v>
                </c:pt>
                <c:pt idx="82">
                  <c:v>50378</c:v>
                </c:pt>
                <c:pt idx="83">
                  <c:v>50468</c:v>
                </c:pt>
                <c:pt idx="84">
                  <c:v>50560</c:v>
                </c:pt>
                <c:pt idx="85">
                  <c:v>50655</c:v>
                </c:pt>
                <c:pt idx="86">
                  <c:v>50745</c:v>
                </c:pt>
                <c:pt idx="87">
                  <c:v>50833</c:v>
                </c:pt>
                <c:pt idx="88">
                  <c:v>50927</c:v>
                </c:pt>
                <c:pt idx="89">
                  <c:v>51019</c:v>
                </c:pt>
                <c:pt idx="90">
                  <c:v>51109</c:v>
                </c:pt>
                <c:pt idx="91">
                  <c:v>51200</c:v>
                </c:pt>
                <c:pt idx="92">
                  <c:v>51291</c:v>
                </c:pt>
                <c:pt idx="93">
                  <c:v>51383</c:v>
                </c:pt>
                <c:pt idx="94">
                  <c:v>51474</c:v>
                </c:pt>
              </c:numCache>
            </c:numRef>
          </c:cat>
          <c:val>
            <c:numRef>
              <c:f>DiscountFactors!$C$9:$C$104</c:f>
              <c:numCache>
                <c:formatCode>#,##0.000000</c:formatCode>
                <c:ptCount val="96"/>
                <c:pt idx="0">
                  <c:v>1</c:v>
                </c:pt>
                <c:pt idx="1">
                  <c:v>0.99994111457880819</c:v>
                </c:pt>
                <c:pt idx="2">
                  <c:v>0.99988223262510922</c:v>
                </c:pt>
                <c:pt idx="3">
                  <c:v>0.99947022878635461</c:v>
                </c:pt>
                <c:pt idx="4">
                  <c:v>0.99905817613949066</c:v>
                </c:pt>
                <c:pt idx="5">
                  <c:v>0.99869145950822225</c:v>
                </c:pt>
                <c:pt idx="6">
                  <c:v>0.99822559406629008</c:v>
                </c:pt>
                <c:pt idx="7">
                  <c:v>0.99665902074105317</c:v>
                </c:pt>
                <c:pt idx="8">
                  <c:v>0.99524318298406944</c:v>
                </c:pt>
                <c:pt idx="9">
                  <c:v>0.99379158215555774</c:v>
                </c:pt>
                <c:pt idx="10">
                  <c:v>0.9925763003233411</c:v>
                </c:pt>
                <c:pt idx="11">
                  <c:v>0.99144650999478756</c:v>
                </c:pt>
                <c:pt idx="12">
                  <c:v>0.98811615714092671</c:v>
                </c:pt>
                <c:pt idx="13">
                  <c:v>0.98515240040623231</c:v>
                </c:pt>
                <c:pt idx="14">
                  <c:v>0.98254036261946753</c:v>
                </c:pt>
                <c:pt idx="15">
                  <c:v>0.98017930974281509</c:v>
                </c:pt>
                <c:pt idx="16">
                  <c:v>0.97790977906596099</c:v>
                </c:pt>
                <c:pt idx="17">
                  <c:v>0.97563533588604223</c:v>
                </c:pt>
                <c:pt idx="18">
                  <c:v>0.97347982185025717</c:v>
                </c:pt>
                <c:pt idx="19">
                  <c:v>0.97134608511087694</c:v>
                </c:pt>
                <c:pt idx="20">
                  <c:v>0.96904006969285872</c:v>
                </c:pt>
                <c:pt idx="21">
                  <c:v>0.96678159336802227</c:v>
                </c:pt>
                <c:pt idx="22">
                  <c:v>0.96460458251970072</c:v>
                </c:pt>
                <c:pt idx="23">
                  <c:v>0.96243051085914355</c:v>
                </c:pt>
                <c:pt idx="24">
                  <c:v>0.96026484522936506</c:v>
                </c:pt>
                <c:pt idx="25">
                  <c:v>0.95806274999848906</c:v>
                </c:pt>
                <c:pt idx="26">
                  <c:v>0.95587654722457327</c:v>
                </c:pt>
                <c:pt idx="27">
                  <c:v>0.95362426099461872</c:v>
                </c:pt>
                <c:pt idx="28">
                  <c:v>0.95129905972419881</c:v>
                </c:pt>
                <c:pt idx="29">
                  <c:v>0.94892183787975437</c:v>
                </c:pt>
                <c:pt idx="30">
                  <c:v>0.94651729982717914</c:v>
                </c:pt>
                <c:pt idx="31">
                  <c:v>0.94408568175630136</c:v>
                </c:pt>
                <c:pt idx="32">
                  <c:v>0.94154465778607499</c:v>
                </c:pt>
                <c:pt idx="33">
                  <c:v>0.93894875216572948</c:v>
                </c:pt>
                <c:pt idx="34">
                  <c:v>0.93632959474684363</c:v>
                </c:pt>
                <c:pt idx="35">
                  <c:v>0.93369269909694608</c:v>
                </c:pt>
                <c:pt idx="36">
                  <c:v>0.93095471517680151</c:v>
                </c:pt>
                <c:pt idx="37">
                  <c:v>0.92818056867730314</c:v>
                </c:pt>
                <c:pt idx="38">
                  <c:v>0.92540754780586332</c:v>
                </c:pt>
                <c:pt idx="39">
                  <c:v>0.92263794106786701</c:v>
                </c:pt>
                <c:pt idx="40">
                  <c:v>0.91977905336678456</c:v>
                </c:pt>
                <c:pt idx="41">
                  <c:v>0.91679777065530033</c:v>
                </c:pt>
                <c:pt idx="42">
                  <c:v>0.91394645360586291</c:v>
                </c:pt>
                <c:pt idx="43">
                  <c:v>0.91103734334761488</c:v>
                </c:pt>
                <c:pt idx="44">
                  <c:v>0.90810266252432403</c:v>
                </c:pt>
                <c:pt idx="45">
                  <c:v>0.90511058877847128</c:v>
                </c:pt>
                <c:pt idx="46">
                  <c:v>0.90216006207881039</c:v>
                </c:pt>
                <c:pt idx="47">
                  <c:v>0.89915423206734424</c:v>
                </c:pt>
                <c:pt idx="48">
                  <c:v>0.89612700537119938</c:v>
                </c:pt>
                <c:pt idx="49">
                  <c:v>0.89304617611096648</c:v>
                </c:pt>
                <c:pt idx="50">
                  <c:v>0.88998043331615728</c:v>
                </c:pt>
                <c:pt idx="51">
                  <c:v>0.88693292393319856</c:v>
                </c:pt>
                <c:pt idx="52">
                  <c:v>0.88380481836360536</c:v>
                </c:pt>
                <c:pt idx="53">
                  <c:v>0.88066697208190348</c:v>
                </c:pt>
                <c:pt idx="54">
                  <c:v>0.87755709299819351</c:v>
                </c:pt>
                <c:pt idx="55">
                  <c:v>0.87447892441730035</c:v>
                </c:pt>
                <c:pt idx="56">
                  <c:v>0.87133365991510014</c:v>
                </c:pt>
                <c:pt idx="57">
                  <c:v>0.86819381265973028</c:v>
                </c:pt>
                <c:pt idx="58">
                  <c:v>0.86509701693319363</c:v>
                </c:pt>
                <c:pt idx="59">
                  <c:v>0.86201018303388521</c:v>
                </c:pt>
                <c:pt idx="60">
                  <c:v>0.85889994406732284</c:v>
                </c:pt>
                <c:pt idx="61">
                  <c:v>0.85569971672092948</c:v>
                </c:pt>
                <c:pt idx="62">
                  <c:v>0.8526788768963065</c:v>
                </c:pt>
                <c:pt idx="63">
                  <c:v>0.84973562774092271</c:v>
                </c:pt>
                <c:pt idx="64">
                  <c:v>0.84660322447089309</c:v>
                </c:pt>
                <c:pt idx="65">
                  <c:v>0.84354901944564065</c:v>
                </c:pt>
                <c:pt idx="66">
                  <c:v>0.84057222615329408</c:v>
                </c:pt>
                <c:pt idx="67">
                  <c:v>0.83757332749897617</c:v>
                </c:pt>
                <c:pt idx="68">
                  <c:v>0.8345852879099056</c:v>
                </c:pt>
                <c:pt idx="69">
                  <c:v>0.83157521088202224</c:v>
                </c:pt>
                <c:pt idx="70">
                  <c:v>0.82864086591585429</c:v>
                </c:pt>
                <c:pt idx="71">
                  <c:v>0.82568435502546411</c:v>
                </c:pt>
                <c:pt idx="72">
                  <c:v>0.82273847845297354</c:v>
                </c:pt>
                <c:pt idx="73">
                  <c:v>0.81977114828287645</c:v>
                </c:pt>
                <c:pt idx="74">
                  <c:v>0.81684694613293019</c:v>
                </c:pt>
                <c:pt idx="75">
                  <c:v>0.81393360096799861</c:v>
                </c:pt>
                <c:pt idx="76">
                  <c:v>0.81099928819093303</c:v>
                </c:pt>
                <c:pt idx="77">
                  <c:v>0.808076061792105</c:v>
                </c:pt>
                <c:pt idx="78">
                  <c:v>0.80519546430527411</c:v>
                </c:pt>
                <c:pt idx="79">
                  <c:v>0.80235706051633204</c:v>
                </c:pt>
                <c:pt idx="80">
                  <c:v>0.79946630252834461</c:v>
                </c:pt>
                <c:pt idx="81">
                  <c:v>0.79658624170147652</c:v>
                </c:pt>
                <c:pt idx="82">
                  <c:v>0.79374784045665947</c:v>
                </c:pt>
                <c:pt idx="83">
                  <c:v>0.7909505681919522</c:v>
                </c:pt>
                <c:pt idx="84">
                  <c:v>0.78810112519129238</c:v>
                </c:pt>
                <c:pt idx="85">
                  <c:v>0.7851690954757975</c:v>
                </c:pt>
                <c:pt idx="86">
                  <c:v>0.78240078467790841</c:v>
                </c:pt>
                <c:pt idx="87">
                  <c:v>0.7797025528770184</c:v>
                </c:pt>
                <c:pt idx="88">
                  <c:v>0.77682936605784092</c:v>
                </c:pt>
                <c:pt idx="89">
                  <c:v>0.77402596546062097</c:v>
                </c:pt>
                <c:pt idx="90">
                  <c:v>0.77129157033380413</c:v>
                </c:pt>
                <c:pt idx="91">
                  <c:v>0.76853529044075364</c:v>
                </c:pt>
                <c:pt idx="92">
                  <c:v>0.76578811218566034</c:v>
                </c:pt>
                <c:pt idx="93">
                  <c:v>0.76302057723532635</c:v>
                </c:pt>
                <c:pt idx="94">
                  <c:v>0.7602934318247091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7-4646-9EBA-1462BBCF9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8566016"/>
        <c:axId val="938567552"/>
      </c:lineChart>
      <c:dateAx>
        <c:axId val="9385660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920000"/>
          <a:lstStyle/>
          <a:p>
            <a:pPr>
              <a:defRPr/>
            </a:pPr>
            <a:endParaRPr lang="en-US"/>
          </a:p>
        </c:txPr>
        <c:crossAx val="938567552"/>
        <c:crosses val="autoZero"/>
        <c:auto val="1"/>
        <c:lblOffset val="100"/>
        <c:baseTimeUnit val="months"/>
      </c:dateAx>
      <c:valAx>
        <c:axId val="938567552"/>
        <c:scaling>
          <c:orientation val="minMax"/>
          <c:max val="1"/>
          <c:min val="0.70000000000000007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38566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6</xdr:row>
      <xdr:rowOff>0</xdr:rowOff>
    </xdr:from>
    <xdr:to>
      <xdr:col>28</xdr:col>
      <xdr:colOff>258405</xdr:colOff>
      <xdr:row>46</xdr:row>
      <xdr:rowOff>27294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0" y="1285875"/>
          <a:ext cx="7573605" cy="764729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15</xdr:col>
      <xdr:colOff>48823</xdr:colOff>
      <xdr:row>46</xdr:row>
      <xdr:rowOff>86801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285875"/>
          <a:ext cx="8583223" cy="7706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21</xdr:col>
      <xdr:colOff>211281</xdr:colOff>
      <xdr:row>8</xdr:row>
      <xdr:rowOff>9686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447675"/>
          <a:ext cx="12403281" cy="11526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</xdr:colOff>
      <xdr:row>5</xdr:row>
      <xdr:rowOff>38100</xdr:rowOff>
    </xdr:from>
    <xdr:to>
      <xdr:col>19</xdr:col>
      <xdr:colOff>67874</xdr:colOff>
      <xdr:row>30</xdr:row>
      <xdr:rowOff>143555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91200" y="419100"/>
          <a:ext cx="8583224" cy="486795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8</xdr:row>
      <xdr:rowOff>28575</xdr:rowOff>
    </xdr:from>
    <xdr:to>
      <xdr:col>20</xdr:col>
      <xdr:colOff>476250</xdr:colOff>
      <xdr:row>39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7</xdr:row>
      <xdr:rowOff>28575</xdr:rowOff>
    </xdr:from>
    <xdr:to>
      <xdr:col>18</xdr:col>
      <xdr:colOff>476250</xdr:colOff>
      <xdr:row>38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\\fs002\Global\Secure\DIR_MLib_Analytics\Workshop" TargetMode="External"/><Relationship Id="rId2" Type="http://schemas.openxmlformats.org/officeDocument/2006/relationships/hyperlink" Target="file:///\\fs002\Global\Secure\DIR_MLib_Analytics\Examples" TargetMode="External"/><Relationship Id="rId1" Type="http://schemas.openxmlformats.org/officeDocument/2006/relationships/hyperlink" Target="file:///\\fs002\Global\Secure\DIR_MLib_Analytics\Documentation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C20"/>
  <sheetViews>
    <sheetView showGridLines="0" tabSelected="1" workbookViewId="0"/>
  </sheetViews>
  <sheetFormatPr defaultRowHeight="15"/>
  <cols>
    <col min="3" max="3" width="15.85546875" customWidth="1"/>
  </cols>
  <sheetData>
    <row r="2" spans="2:3" ht="20.25">
      <c r="B2" s="74" t="s">
        <v>492</v>
      </c>
    </row>
    <row r="3" spans="2:3" s="82" customFormat="1" ht="20.25">
      <c r="B3" s="74"/>
    </row>
    <row r="4" spans="2:3">
      <c r="B4" s="1" t="s">
        <v>46</v>
      </c>
      <c r="C4" s="5">
        <v>43710</v>
      </c>
    </row>
    <row r="6" spans="2:3" s="82" customFormat="1" ht="20.25">
      <c r="B6" s="74" t="s">
        <v>242</v>
      </c>
    </row>
    <row r="7" spans="2:3" s="82" customFormat="1" ht="15.75">
      <c r="B7" s="83" t="s">
        <v>493</v>
      </c>
    </row>
    <row r="9" spans="2:3" s="82" customFormat="1" ht="20.25">
      <c r="B9" s="74" t="s">
        <v>296</v>
      </c>
    </row>
    <row r="10" spans="2:3" s="82" customFormat="1" ht="15.75">
      <c r="B10" s="83" t="s">
        <v>237</v>
      </c>
    </row>
    <row r="11" spans="2:3" s="82" customFormat="1" ht="15.75">
      <c r="B11" s="83" t="s">
        <v>236</v>
      </c>
    </row>
    <row r="12" spans="2:3" ht="15.75">
      <c r="B12" s="83" t="s">
        <v>238</v>
      </c>
    </row>
    <row r="13" spans="2:3" ht="15.75">
      <c r="B13" s="83" t="s">
        <v>239</v>
      </c>
    </row>
    <row r="14" spans="2:3" ht="15.75">
      <c r="B14" s="83" t="s">
        <v>240</v>
      </c>
    </row>
    <row r="15" spans="2:3" ht="15.75">
      <c r="B15" s="83" t="s">
        <v>241</v>
      </c>
    </row>
    <row r="16" spans="2:3" s="143" customFormat="1" ht="15.75">
      <c r="B16" s="461" t="s">
        <v>264</v>
      </c>
    </row>
    <row r="17" spans="2:2" s="143" customFormat="1" ht="15.75">
      <c r="B17" s="461" t="s">
        <v>265</v>
      </c>
    </row>
    <row r="18" spans="2:2" s="143" customFormat="1" ht="15.75">
      <c r="B18" s="462" t="s">
        <v>490</v>
      </c>
    </row>
    <row r="19" spans="2:2" ht="15.75">
      <c r="B19" s="175" t="s">
        <v>491</v>
      </c>
    </row>
    <row r="20" spans="2:2" ht="15.75">
      <c r="B20" s="17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Q23"/>
  <sheetViews>
    <sheetView showGridLines="0" workbookViewId="0"/>
  </sheetViews>
  <sheetFormatPr defaultRowHeight="15"/>
  <sheetData>
    <row r="2" spans="2:17" ht="36">
      <c r="B2" s="37" t="s">
        <v>494</v>
      </c>
    </row>
    <row r="3" spans="2:17" ht="15" customHeight="1">
      <c r="B3" s="37"/>
    </row>
    <row r="4" spans="2:17" ht="28.5">
      <c r="B4" s="463" t="s">
        <v>495</v>
      </c>
    </row>
    <row r="5" spans="2:17" ht="18.75">
      <c r="C5" s="465" t="s">
        <v>496</v>
      </c>
      <c r="Q5" s="464" t="s">
        <v>497</v>
      </c>
    </row>
    <row r="6" spans="2:17" ht="18.75">
      <c r="C6" s="465" t="s">
        <v>499</v>
      </c>
      <c r="Q6" s="464" t="s">
        <v>498</v>
      </c>
    </row>
    <row r="8" spans="2:17" ht="28.5">
      <c r="B8" s="463" t="s">
        <v>500</v>
      </c>
    </row>
    <row r="9" spans="2:17" ht="18.75">
      <c r="C9" s="465" t="s">
        <v>504</v>
      </c>
    </row>
    <row r="10" spans="2:17" ht="18.75">
      <c r="C10" s="465" t="s">
        <v>501</v>
      </c>
    </row>
    <row r="11" spans="2:17" ht="18.75">
      <c r="C11" s="465" t="s">
        <v>263</v>
      </c>
    </row>
    <row r="12" spans="2:17" ht="18.75">
      <c r="C12" s="465" t="s">
        <v>502</v>
      </c>
    </row>
    <row r="13" spans="2:17" ht="18.75">
      <c r="C13" s="465" t="s">
        <v>503</v>
      </c>
    </row>
    <row r="14" spans="2:17" ht="18.75">
      <c r="C14" s="465" t="s">
        <v>511</v>
      </c>
    </row>
    <row r="16" spans="2:17" ht="28.5">
      <c r="B16" s="463" t="s">
        <v>505</v>
      </c>
    </row>
    <row r="17" spans="2:3" ht="18.75">
      <c r="C17" s="465" t="s">
        <v>506</v>
      </c>
    </row>
    <row r="18" spans="2:3" ht="25.5">
      <c r="B18" s="38"/>
    </row>
    <row r="19" spans="2:3" ht="28.5">
      <c r="B19" s="463" t="s">
        <v>507</v>
      </c>
    </row>
    <row r="20" spans="2:3" ht="18.75">
      <c r="C20" s="465" t="s">
        <v>510</v>
      </c>
    </row>
    <row r="22" spans="2:3" ht="28.5">
      <c r="B22" s="463" t="s">
        <v>508</v>
      </c>
    </row>
    <row r="23" spans="2:3" ht="18.75">
      <c r="C23" s="465" t="s">
        <v>509</v>
      </c>
    </row>
  </sheetData>
  <hyperlinks>
    <hyperlink ref="C17" r:id="rId1"/>
    <hyperlink ref="C20" r:id="rId2"/>
    <hyperlink ref="C2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B2:Q5"/>
  <sheetViews>
    <sheetView showGridLines="0" workbookViewId="0"/>
  </sheetViews>
  <sheetFormatPr defaultRowHeight="15"/>
  <sheetData>
    <row r="2" spans="2:17" ht="20.25">
      <c r="B2" s="74" t="s">
        <v>175</v>
      </c>
    </row>
    <row r="3" spans="2:17" ht="20.25">
      <c r="B3" s="74"/>
    </row>
    <row r="4" spans="2:17" ht="15.75">
      <c r="B4" s="73" t="s">
        <v>176</v>
      </c>
      <c r="Q4" s="73" t="s">
        <v>177</v>
      </c>
    </row>
    <row r="5" spans="2:17">
      <c r="B5" s="76" t="s">
        <v>179</v>
      </c>
      <c r="Q5" s="76" t="s">
        <v>178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R16"/>
  <sheetViews>
    <sheetView showGridLines="0" workbookViewId="0"/>
  </sheetViews>
  <sheetFormatPr defaultRowHeight="15"/>
  <sheetData>
    <row r="2" spans="2:18" ht="20.25">
      <c r="B2" s="74" t="s">
        <v>164</v>
      </c>
    </row>
    <row r="10" spans="2:18" ht="20.25">
      <c r="B10" s="74" t="s">
        <v>165</v>
      </c>
    </row>
    <row r="12" spans="2:18">
      <c r="B12" s="75" t="s">
        <v>268</v>
      </c>
      <c r="F12" s="75" t="s">
        <v>166</v>
      </c>
      <c r="L12" s="75" t="s">
        <v>167</v>
      </c>
      <c r="R12" s="75" t="s">
        <v>266</v>
      </c>
    </row>
    <row r="13" spans="2:18">
      <c r="B13" t="s">
        <v>269</v>
      </c>
      <c r="F13" t="s">
        <v>170</v>
      </c>
      <c r="L13" t="s">
        <v>171</v>
      </c>
      <c r="R13" t="s">
        <v>267</v>
      </c>
    </row>
    <row r="15" spans="2:18">
      <c r="B15" s="75" t="s">
        <v>163</v>
      </c>
      <c r="F15" s="75" t="s">
        <v>173</v>
      </c>
      <c r="L15" s="75" t="s">
        <v>168</v>
      </c>
      <c r="R15" s="75" t="s">
        <v>512</v>
      </c>
    </row>
    <row r="16" spans="2:18">
      <c r="B16" t="s">
        <v>169</v>
      </c>
      <c r="F16" t="s">
        <v>174</v>
      </c>
      <c r="L16" t="s">
        <v>172</v>
      </c>
      <c r="R16" s="143" t="s">
        <v>513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O60"/>
  <sheetViews>
    <sheetView showGridLines="0" workbookViewId="0"/>
  </sheetViews>
  <sheetFormatPr defaultRowHeight="15"/>
  <cols>
    <col min="2" max="2" width="11" bestFit="1" customWidth="1"/>
    <col min="6" max="6" width="11" bestFit="1" customWidth="1"/>
    <col min="10" max="10" width="10" bestFit="1" customWidth="1"/>
    <col min="14" max="14" width="11.7109375" bestFit="1" customWidth="1"/>
    <col min="18" max="18" width="10" bestFit="1" customWidth="1"/>
  </cols>
  <sheetData>
    <row r="2" spans="2:14" s="82" customFormat="1" ht="20.25">
      <c r="B2" s="74" t="s">
        <v>270</v>
      </c>
    </row>
    <row r="3" spans="2:14" s="82" customFormat="1"/>
    <row r="4" spans="2:14" s="143" customFormat="1">
      <c r="B4" s="145" t="s">
        <v>63</v>
      </c>
      <c r="F4" s="1" t="s">
        <v>180</v>
      </c>
      <c r="J4" s="1" t="s">
        <v>181</v>
      </c>
      <c r="N4" s="1" t="s">
        <v>128</v>
      </c>
    </row>
    <row r="5" spans="2:14" s="143" customFormat="1">
      <c r="B5" s="2" t="s">
        <v>47</v>
      </c>
      <c r="F5" s="2" t="s">
        <v>182</v>
      </c>
      <c r="J5" s="2" t="s">
        <v>217</v>
      </c>
      <c r="N5" s="144" t="s">
        <v>281</v>
      </c>
    </row>
    <row r="6" spans="2:14" s="143" customFormat="1">
      <c r="B6" s="2" t="s">
        <v>48</v>
      </c>
      <c r="F6" s="2" t="s">
        <v>183</v>
      </c>
      <c r="J6" s="2" t="s">
        <v>226</v>
      </c>
      <c r="N6" s="144" t="s">
        <v>129</v>
      </c>
    </row>
    <row r="7" spans="2:14" s="143" customFormat="1">
      <c r="B7" s="2" t="s">
        <v>49</v>
      </c>
      <c r="F7" s="2" t="s">
        <v>184</v>
      </c>
      <c r="J7" s="2" t="s">
        <v>218</v>
      </c>
      <c r="N7" s="144" t="s">
        <v>279</v>
      </c>
    </row>
    <row r="8" spans="2:14" s="143" customFormat="1">
      <c r="B8" s="144" t="s">
        <v>50</v>
      </c>
      <c r="F8" s="2" t="s">
        <v>189</v>
      </c>
      <c r="J8" s="2" t="s">
        <v>219</v>
      </c>
      <c r="N8" s="144" t="s">
        <v>280</v>
      </c>
    </row>
    <row r="9" spans="2:14" s="143" customFormat="1">
      <c r="B9" s="144" t="s">
        <v>52</v>
      </c>
      <c r="F9" s="2" t="s">
        <v>190</v>
      </c>
      <c r="J9" s="2" t="s">
        <v>220</v>
      </c>
      <c r="N9" s="144" t="s">
        <v>136</v>
      </c>
    </row>
    <row r="10" spans="2:14" s="143" customFormat="1">
      <c r="B10" s="144" t="s">
        <v>271</v>
      </c>
      <c r="F10" s="2" t="s">
        <v>191</v>
      </c>
      <c r="J10" s="2" t="s">
        <v>221</v>
      </c>
      <c r="N10" s="144" t="s">
        <v>282</v>
      </c>
    </row>
    <row r="11" spans="2:14" s="143" customFormat="1">
      <c r="B11" s="144" t="s">
        <v>272</v>
      </c>
      <c r="J11" s="2" t="s">
        <v>225</v>
      </c>
      <c r="N11" s="144" t="s">
        <v>283</v>
      </c>
    </row>
    <row r="12" spans="2:14" s="143" customFormat="1">
      <c r="B12" s="144" t="s">
        <v>273</v>
      </c>
      <c r="N12" s="144" t="s">
        <v>131</v>
      </c>
    </row>
    <row r="13" spans="2:14" s="143" customFormat="1">
      <c r="B13" s="144" t="s">
        <v>274</v>
      </c>
      <c r="N13" s="144" t="s">
        <v>132</v>
      </c>
    </row>
    <row r="14" spans="2:14" s="143" customFormat="1">
      <c r="B14" s="144" t="s">
        <v>60</v>
      </c>
      <c r="N14" s="144" t="s">
        <v>133</v>
      </c>
    </row>
    <row r="15" spans="2:14" s="143" customFormat="1">
      <c r="N15" s="144" t="s">
        <v>130</v>
      </c>
    </row>
    <row r="16" spans="2:14" s="143" customFormat="1"/>
    <row r="17" spans="2:15" s="143" customFormat="1">
      <c r="B17" s="1" t="s">
        <v>216</v>
      </c>
      <c r="F17" s="145" t="s">
        <v>188</v>
      </c>
      <c r="J17" s="1" t="s">
        <v>192</v>
      </c>
      <c r="N17" s="145" t="s">
        <v>352</v>
      </c>
    </row>
    <row r="18" spans="2:15" s="143" customFormat="1">
      <c r="B18" s="2" t="s">
        <v>204</v>
      </c>
      <c r="F18" s="144" t="s">
        <v>276</v>
      </c>
      <c r="J18" s="2" t="s">
        <v>195</v>
      </c>
      <c r="N18" s="144" t="s">
        <v>353</v>
      </c>
    </row>
    <row r="19" spans="2:15" s="143" customFormat="1">
      <c r="B19" s="2" t="s">
        <v>205</v>
      </c>
      <c r="F19" s="144" t="s">
        <v>277</v>
      </c>
      <c r="J19" s="2" t="s">
        <v>193</v>
      </c>
      <c r="N19" s="144" t="s">
        <v>354</v>
      </c>
    </row>
    <row r="20" spans="2:15" s="143" customFormat="1">
      <c r="B20" s="2" t="s">
        <v>206</v>
      </c>
      <c r="F20" s="144" t="s">
        <v>185</v>
      </c>
      <c r="J20" s="2" t="s">
        <v>196</v>
      </c>
      <c r="N20" s="144" t="s">
        <v>355</v>
      </c>
    </row>
    <row r="21" spans="2:15" s="143" customFormat="1">
      <c r="B21" s="2" t="s">
        <v>207</v>
      </c>
      <c r="F21" s="144" t="s">
        <v>186</v>
      </c>
      <c r="J21" s="2" t="s">
        <v>194</v>
      </c>
      <c r="N21" s="144" t="s">
        <v>356</v>
      </c>
    </row>
    <row r="22" spans="2:15" s="143" customFormat="1">
      <c r="B22" s="2" t="s">
        <v>208</v>
      </c>
      <c r="C22"/>
      <c r="D22"/>
      <c r="E22"/>
      <c r="F22" s="144" t="s">
        <v>278</v>
      </c>
      <c r="G22"/>
      <c r="H22"/>
      <c r="I22"/>
      <c r="J22" s="2" t="s">
        <v>203</v>
      </c>
      <c r="L22"/>
      <c r="M22"/>
      <c r="N22" s="144" t="s">
        <v>357</v>
      </c>
      <c r="O22"/>
    </row>
    <row r="23" spans="2:15" s="143" customFormat="1">
      <c r="B23" s="2" t="s">
        <v>214</v>
      </c>
      <c r="C23"/>
      <c r="D23"/>
      <c r="E23"/>
      <c r="F23" s="144" t="s">
        <v>187</v>
      </c>
      <c r="G23"/>
      <c r="H23"/>
      <c r="I23"/>
      <c r="J23" s="2" t="s">
        <v>198</v>
      </c>
      <c r="L23"/>
      <c r="M23"/>
      <c r="N23" s="144" t="s">
        <v>358</v>
      </c>
      <c r="O23"/>
    </row>
    <row r="24" spans="2:15" s="143" customFormat="1">
      <c r="B24" s="2" t="s">
        <v>213</v>
      </c>
      <c r="C24"/>
      <c r="D24"/>
      <c r="E24"/>
      <c r="F24"/>
      <c r="G24"/>
      <c r="H24"/>
      <c r="I24"/>
      <c r="J24" s="2" t="s">
        <v>199</v>
      </c>
      <c r="L24"/>
      <c r="M24"/>
      <c r="N24" s="144"/>
      <c r="O24"/>
    </row>
    <row r="25" spans="2:15" s="143" customFormat="1">
      <c r="B25" s="2" t="s">
        <v>210</v>
      </c>
      <c r="C25"/>
      <c r="D25"/>
      <c r="E25"/>
      <c r="F25"/>
      <c r="G25"/>
      <c r="H25"/>
      <c r="I25"/>
      <c r="J25" s="2" t="s">
        <v>200</v>
      </c>
      <c r="L25"/>
      <c r="M25"/>
      <c r="N25" s="144"/>
      <c r="O25"/>
    </row>
    <row r="26" spans="2:15" s="143" customFormat="1">
      <c r="B26" s="2" t="s">
        <v>209</v>
      </c>
      <c r="C26"/>
      <c r="D26"/>
      <c r="E26"/>
      <c r="F26" s="145" t="s">
        <v>275</v>
      </c>
      <c r="G26"/>
      <c r="H26"/>
      <c r="I26"/>
      <c r="J26" s="2" t="s">
        <v>201</v>
      </c>
      <c r="L26"/>
      <c r="M26"/>
      <c r="N26" s="144"/>
      <c r="O26"/>
    </row>
    <row r="27" spans="2:15" s="143" customFormat="1">
      <c r="B27" s="2" t="s">
        <v>212</v>
      </c>
      <c r="C27"/>
      <c r="D27"/>
      <c r="E27"/>
      <c r="F27" s="144" t="s">
        <v>222</v>
      </c>
      <c r="G27"/>
      <c r="H27"/>
      <c r="I27"/>
      <c r="J27" s="2" t="s">
        <v>202</v>
      </c>
      <c r="L27"/>
      <c r="M27"/>
      <c r="N27" s="144"/>
      <c r="O27"/>
    </row>
    <row r="28" spans="2:15" s="143" customFormat="1">
      <c r="B28" s="2" t="s">
        <v>211</v>
      </c>
      <c r="C28"/>
      <c r="D28"/>
      <c r="E28"/>
      <c r="F28" s="144" t="s">
        <v>223</v>
      </c>
      <c r="G28"/>
      <c r="H28"/>
      <c r="I28"/>
      <c r="J28" s="2" t="s">
        <v>197</v>
      </c>
      <c r="L28"/>
      <c r="M28"/>
      <c r="N28" s="144"/>
      <c r="O28"/>
    </row>
    <row r="29" spans="2:15" s="143" customFormat="1">
      <c r="B29" s="2" t="s">
        <v>215</v>
      </c>
      <c r="C29"/>
      <c r="D29"/>
      <c r="E29"/>
      <c r="F29" s="144" t="s">
        <v>224</v>
      </c>
      <c r="G29"/>
      <c r="H29"/>
      <c r="I29"/>
      <c r="J29"/>
      <c r="K29"/>
      <c r="L29"/>
      <c r="M29"/>
      <c r="N29" s="2"/>
      <c r="O29"/>
    </row>
    <row r="30" spans="2:15" s="143" customFormat="1"/>
    <row r="39" spans="2:14">
      <c r="B39" s="2"/>
      <c r="J39" s="2"/>
      <c r="N39" s="2"/>
    </row>
    <row r="40" spans="2:14">
      <c r="B40" s="2"/>
      <c r="J40" s="2"/>
      <c r="N40" s="2"/>
    </row>
    <row r="41" spans="2:14">
      <c r="B41" s="2"/>
      <c r="J41" s="2"/>
      <c r="N41" s="2"/>
    </row>
    <row r="42" spans="2:14">
      <c r="B42" s="2"/>
      <c r="J42" s="1"/>
      <c r="N42" s="2"/>
    </row>
    <row r="43" spans="2:14">
      <c r="B43" s="2"/>
      <c r="J43" s="2"/>
      <c r="N43" s="2"/>
    </row>
    <row r="44" spans="2:14">
      <c r="B44" s="2"/>
      <c r="J44" s="2"/>
    </row>
    <row r="45" spans="2:14">
      <c r="B45" s="2"/>
      <c r="J45" s="2"/>
    </row>
    <row r="48" spans="2:14">
      <c r="J48" s="1"/>
    </row>
    <row r="49" spans="10:10">
      <c r="J49" s="2"/>
    </row>
    <row r="50" spans="10:10">
      <c r="J50" s="2"/>
    </row>
    <row r="51" spans="10:10">
      <c r="J51" s="2"/>
    </row>
    <row r="53" spans="10:10">
      <c r="J53" s="1"/>
    </row>
    <row r="54" spans="10:10">
      <c r="J54" s="2"/>
    </row>
    <row r="55" spans="10:10">
      <c r="J55" s="2"/>
    </row>
    <row r="56" spans="10:10">
      <c r="J56" s="2"/>
    </row>
    <row r="58" spans="10:10">
      <c r="J58" s="1"/>
    </row>
    <row r="59" spans="10:10">
      <c r="J59" s="2"/>
    </row>
    <row r="60" spans="10:10">
      <c r="J60" s="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F144"/>
  <sheetViews>
    <sheetView showGridLines="0" workbookViewId="0"/>
  </sheetViews>
  <sheetFormatPr defaultRowHeight="15"/>
  <cols>
    <col min="2" max="2" width="12.7109375" customWidth="1"/>
    <col min="3" max="3" width="9.140625" customWidth="1"/>
    <col min="4" max="4" width="22.85546875" bestFit="1" customWidth="1"/>
    <col min="5" max="5" width="9.140625" customWidth="1"/>
  </cols>
  <sheetData>
    <row r="2" spans="2:6" s="82" customFormat="1" ht="20.25">
      <c r="B2" s="74" t="s">
        <v>244</v>
      </c>
    </row>
    <row r="3" spans="2:6" s="82" customFormat="1" ht="20.25">
      <c r="B3" s="74"/>
    </row>
    <row r="4" spans="2:6" s="82" customFormat="1"/>
    <row r="5" spans="2:6">
      <c r="B5" s="149" t="s">
        <v>79</v>
      </c>
      <c r="C5" s="150"/>
      <c r="D5" s="149" t="s">
        <v>70</v>
      </c>
      <c r="E5" s="150"/>
      <c r="F5" s="1" t="s">
        <v>125</v>
      </c>
    </row>
    <row r="6" spans="2:6">
      <c r="B6" s="151" t="s">
        <v>81</v>
      </c>
      <c r="C6" s="152"/>
      <c r="D6" s="151" t="s">
        <v>18</v>
      </c>
      <c r="E6" s="151"/>
    </row>
    <row r="7" spans="2:6">
      <c r="B7" s="151" t="s">
        <v>82</v>
      </c>
      <c r="C7" s="152"/>
      <c r="D7" s="151" t="s">
        <v>16</v>
      </c>
      <c r="E7" s="151"/>
    </row>
    <row r="8" spans="2:6">
      <c r="B8" s="151" t="s">
        <v>83</v>
      </c>
      <c r="C8" s="152"/>
      <c r="D8" s="151" t="s">
        <v>118</v>
      </c>
      <c r="E8" s="151"/>
    </row>
    <row r="9" spans="2:6">
      <c r="B9" s="151" t="s">
        <v>84</v>
      </c>
      <c r="C9" s="152"/>
      <c r="D9" s="151" t="s">
        <v>119</v>
      </c>
      <c r="E9" s="151"/>
    </row>
    <row r="10" spans="2:6">
      <c r="B10" s="151" t="s">
        <v>85</v>
      </c>
      <c r="C10" s="152"/>
      <c r="D10" s="151" t="s">
        <v>120</v>
      </c>
      <c r="E10" s="151"/>
    </row>
    <row r="11" spans="2:6">
      <c r="B11" s="151" t="s">
        <v>86</v>
      </c>
      <c r="C11" s="152"/>
      <c r="D11" s="152"/>
      <c r="E11" s="152"/>
    </row>
    <row r="12" spans="2:6">
      <c r="B12" s="151" t="s">
        <v>87</v>
      </c>
      <c r="C12" s="152"/>
      <c r="D12" s="152"/>
      <c r="E12" s="152"/>
    </row>
    <row r="13" spans="2:6">
      <c r="B13" s="151" t="s">
        <v>88</v>
      </c>
      <c r="C13" s="152"/>
      <c r="D13" s="149" t="s">
        <v>80</v>
      </c>
      <c r="E13" s="152"/>
    </row>
    <row r="14" spans="2:6">
      <c r="B14" s="151" t="s">
        <v>89</v>
      </c>
      <c r="C14" s="152"/>
      <c r="D14" s="151" t="s">
        <v>24</v>
      </c>
      <c r="E14" s="152"/>
    </row>
    <row r="15" spans="2:6">
      <c r="B15" s="151" t="s">
        <v>90</v>
      </c>
      <c r="C15" s="152"/>
      <c r="D15" s="151" t="s">
        <v>14</v>
      </c>
      <c r="E15" s="152"/>
    </row>
    <row r="16" spans="2:6">
      <c r="B16" s="151" t="s">
        <v>91</v>
      </c>
      <c r="C16" s="152"/>
      <c r="D16" s="151" t="s">
        <v>123</v>
      </c>
      <c r="E16" s="152"/>
    </row>
    <row r="17" spans="2:5">
      <c r="B17" s="151" t="s">
        <v>92</v>
      </c>
      <c r="C17" s="152"/>
      <c r="D17" s="151" t="s">
        <v>74</v>
      </c>
      <c r="E17" s="152"/>
    </row>
    <row r="18" spans="2:5">
      <c r="B18" s="151" t="s">
        <v>93</v>
      </c>
      <c r="C18" s="152"/>
      <c r="D18" s="151" t="s">
        <v>122</v>
      </c>
      <c r="E18" s="152"/>
    </row>
    <row r="19" spans="2:5">
      <c r="B19" s="151" t="s">
        <v>94</v>
      </c>
      <c r="C19" s="152"/>
      <c r="D19" s="151" t="s">
        <v>121</v>
      </c>
      <c r="E19" s="152"/>
    </row>
    <row r="20" spans="2:5">
      <c r="B20" s="151" t="s">
        <v>95</v>
      </c>
      <c r="C20" s="152"/>
      <c r="D20" s="151" t="s">
        <v>124</v>
      </c>
      <c r="E20" s="152"/>
    </row>
    <row r="21" spans="2:5">
      <c r="B21" s="151" t="s">
        <v>96</v>
      </c>
      <c r="C21" s="152"/>
      <c r="D21" s="152"/>
      <c r="E21" s="152"/>
    </row>
    <row r="22" spans="2:5">
      <c r="B22" s="151" t="s">
        <v>97</v>
      </c>
      <c r="C22" s="152"/>
      <c r="D22" s="152"/>
      <c r="E22" s="152"/>
    </row>
    <row r="23" spans="2:5">
      <c r="B23" s="151" t="s">
        <v>98</v>
      </c>
      <c r="C23" s="152"/>
      <c r="D23" s="152"/>
      <c r="E23" s="152"/>
    </row>
    <row r="24" spans="2:5">
      <c r="B24" s="151" t="s">
        <v>99</v>
      </c>
      <c r="C24" s="152"/>
      <c r="D24" s="152"/>
      <c r="E24" s="152"/>
    </row>
    <row r="25" spans="2:5">
      <c r="B25" s="151" t="s">
        <v>100</v>
      </c>
      <c r="C25" s="152"/>
      <c r="D25" s="152"/>
      <c r="E25" s="152"/>
    </row>
    <row r="26" spans="2:5">
      <c r="B26" s="151" t="s">
        <v>101</v>
      </c>
      <c r="C26" s="152"/>
      <c r="D26" s="152"/>
      <c r="E26" s="152"/>
    </row>
    <row r="27" spans="2:5">
      <c r="B27" s="151" t="s">
        <v>102</v>
      </c>
      <c r="C27" s="152"/>
      <c r="D27" s="152"/>
      <c r="E27" s="152"/>
    </row>
    <row r="28" spans="2:5">
      <c r="B28" s="151" t="s">
        <v>26</v>
      </c>
      <c r="C28" s="152"/>
      <c r="D28" s="152"/>
      <c r="E28" s="152"/>
    </row>
    <row r="29" spans="2:5">
      <c r="B29" s="151" t="s">
        <v>103</v>
      </c>
      <c r="C29" s="152"/>
      <c r="D29" s="152"/>
      <c r="E29" s="152"/>
    </row>
    <row r="30" spans="2:5">
      <c r="B30" s="151" t="s">
        <v>104</v>
      </c>
      <c r="C30" s="152"/>
      <c r="D30" s="152"/>
      <c r="E30" s="152"/>
    </row>
    <row r="31" spans="2:5">
      <c r="B31" s="151" t="s">
        <v>105</v>
      </c>
      <c r="C31" s="152"/>
      <c r="D31" s="152"/>
      <c r="E31" s="152"/>
    </row>
    <row r="32" spans="2:5">
      <c r="B32" s="151" t="s">
        <v>106</v>
      </c>
      <c r="C32" s="152"/>
      <c r="D32" s="152"/>
      <c r="E32" s="152"/>
    </row>
    <row r="33" spans="2:5">
      <c r="B33" s="151" t="s">
        <v>107</v>
      </c>
      <c r="C33" s="152"/>
      <c r="D33" s="152"/>
      <c r="E33" s="152"/>
    </row>
    <row r="34" spans="2:5">
      <c r="B34" s="151" t="s">
        <v>108</v>
      </c>
      <c r="C34" s="152"/>
      <c r="D34" s="152"/>
      <c r="E34" s="152"/>
    </row>
    <row r="35" spans="2:5">
      <c r="B35" s="151" t="s">
        <v>109</v>
      </c>
      <c r="C35" s="152"/>
      <c r="D35" s="152"/>
      <c r="E35" s="152"/>
    </row>
    <row r="36" spans="2:5">
      <c r="B36" s="151" t="s">
        <v>110</v>
      </c>
      <c r="C36" s="152"/>
      <c r="D36" s="152"/>
      <c r="E36" s="152"/>
    </row>
    <row r="37" spans="2:5">
      <c r="B37" s="151" t="s">
        <v>111</v>
      </c>
      <c r="C37" s="152"/>
      <c r="D37" s="152"/>
      <c r="E37" s="152"/>
    </row>
    <row r="38" spans="2:5">
      <c r="B38" s="151" t="s">
        <v>112</v>
      </c>
      <c r="C38" s="152"/>
      <c r="D38" s="152"/>
      <c r="E38" s="152"/>
    </row>
    <row r="39" spans="2:5">
      <c r="B39" s="151" t="s">
        <v>113</v>
      </c>
      <c r="C39" s="152"/>
      <c r="D39" s="152"/>
      <c r="E39" s="152"/>
    </row>
    <row r="40" spans="2:5">
      <c r="B40" s="151" t="s">
        <v>114</v>
      </c>
      <c r="C40" s="152"/>
      <c r="D40" s="152"/>
      <c r="E40" s="152"/>
    </row>
    <row r="41" spans="2:5">
      <c r="B41" s="151" t="s">
        <v>115</v>
      </c>
      <c r="C41" s="152"/>
      <c r="D41" s="152"/>
      <c r="E41" s="152"/>
    </row>
    <row r="42" spans="2:5">
      <c r="B42" s="151" t="s">
        <v>116</v>
      </c>
      <c r="C42" s="152"/>
      <c r="D42" s="152"/>
      <c r="E42" s="152"/>
    </row>
    <row r="43" spans="2:5">
      <c r="B43" s="151" t="s">
        <v>117</v>
      </c>
      <c r="C43" s="152"/>
      <c r="D43" s="152"/>
      <c r="E43" s="152"/>
    </row>
    <row r="44" spans="2:5">
      <c r="B44" s="153"/>
      <c r="C44" s="153"/>
      <c r="D44" s="153"/>
      <c r="E44" s="153"/>
    </row>
    <row r="45" spans="2:5">
      <c r="B45" s="153"/>
      <c r="C45" s="153"/>
      <c r="D45" s="153"/>
      <c r="E45" s="153"/>
    </row>
    <row r="46" spans="2:5">
      <c r="B46" s="153"/>
      <c r="C46" s="153"/>
      <c r="D46" s="153"/>
      <c r="E46" s="153"/>
    </row>
    <row r="47" spans="2:5">
      <c r="B47" s="153"/>
      <c r="C47" s="153"/>
      <c r="D47" s="153"/>
      <c r="E47" s="153"/>
    </row>
    <row r="48" spans="2:5">
      <c r="B48" s="153"/>
      <c r="C48" s="153"/>
      <c r="D48" s="153"/>
      <c r="E48" s="153"/>
    </row>
    <row r="49" spans="2:5">
      <c r="B49" s="153"/>
      <c r="C49" s="153"/>
      <c r="D49" s="153"/>
      <c r="E49" s="153"/>
    </row>
    <row r="50" spans="2:5">
      <c r="B50" s="153"/>
      <c r="C50" s="153"/>
      <c r="D50" s="153"/>
      <c r="E50" s="153"/>
    </row>
    <row r="51" spans="2:5">
      <c r="B51" s="153"/>
      <c r="C51" s="153"/>
      <c r="D51" s="153"/>
      <c r="E51" s="153"/>
    </row>
    <row r="52" spans="2:5">
      <c r="B52" s="153"/>
      <c r="C52" s="153"/>
      <c r="D52" s="153"/>
      <c r="E52" s="153"/>
    </row>
    <row r="53" spans="2:5">
      <c r="B53" s="153"/>
      <c r="C53" s="153"/>
      <c r="D53" s="153"/>
      <c r="E53" s="153"/>
    </row>
    <row r="54" spans="2:5">
      <c r="B54" s="153"/>
      <c r="C54" s="153"/>
      <c r="D54" s="153"/>
      <c r="E54" s="153"/>
    </row>
    <row r="55" spans="2:5">
      <c r="B55" s="153"/>
      <c r="C55" s="153"/>
      <c r="D55" s="153"/>
      <c r="E55" s="153"/>
    </row>
    <row r="56" spans="2:5">
      <c r="B56" s="153"/>
      <c r="C56" s="153"/>
      <c r="D56" s="153"/>
      <c r="E56" s="153"/>
    </row>
    <row r="57" spans="2:5">
      <c r="B57" s="153"/>
      <c r="C57" s="153"/>
      <c r="D57" s="153"/>
      <c r="E57" s="153"/>
    </row>
    <row r="58" spans="2:5">
      <c r="B58" s="153"/>
      <c r="C58" s="153"/>
      <c r="D58" s="153"/>
      <c r="E58" s="153"/>
    </row>
    <row r="59" spans="2:5">
      <c r="B59" s="153"/>
      <c r="C59" s="153"/>
      <c r="D59" s="153"/>
      <c r="E59" s="153"/>
    </row>
    <row r="60" spans="2:5">
      <c r="B60" s="153"/>
      <c r="C60" s="153"/>
      <c r="D60" s="153"/>
      <c r="E60" s="153"/>
    </row>
    <row r="61" spans="2:5">
      <c r="B61" s="153"/>
      <c r="C61" s="153"/>
      <c r="D61" s="153"/>
      <c r="E61" s="153"/>
    </row>
    <row r="62" spans="2:5">
      <c r="B62" s="153"/>
      <c r="C62" s="153"/>
      <c r="D62" s="153"/>
      <c r="E62" s="153"/>
    </row>
    <row r="63" spans="2:5">
      <c r="B63" s="153"/>
      <c r="C63" s="153"/>
      <c r="D63" s="153"/>
      <c r="E63" s="153"/>
    </row>
    <row r="64" spans="2:5">
      <c r="B64" s="153"/>
      <c r="C64" s="153"/>
      <c r="D64" s="153"/>
      <c r="E64" s="153"/>
    </row>
    <row r="65" spans="2:5">
      <c r="B65" s="153"/>
      <c r="C65" s="153"/>
      <c r="D65" s="153"/>
      <c r="E65" s="153"/>
    </row>
    <row r="66" spans="2:5">
      <c r="B66" s="153"/>
      <c r="C66" s="153"/>
      <c r="D66" s="153"/>
      <c r="E66" s="153"/>
    </row>
    <row r="67" spans="2:5">
      <c r="B67" s="153"/>
      <c r="C67" s="153"/>
      <c r="D67" s="153"/>
      <c r="E67" s="153"/>
    </row>
    <row r="68" spans="2:5">
      <c r="B68" s="153"/>
      <c r="C68" s="153"/>
      <c r="D68" s="153"/>
      <c r="E68" s="153"/>
    </row>
    <row r="69" spans="2:5">
      <c r="B69" s="153"/>
      <c r="C69" s="153"/>
      <c r="D69" s="153"/>
      <c r="E69" s="153"/>
    </row>
    <row r="70" spans="2:5">
      <c r="B70" s="153"/>
      <c r="C70" s="153"/>
      <c r="D70" s="153"/>
      <c r="E70" s="153"/>
    </row>
    <row r="71" spans="2:5">
      <c r="B71" s="153"/>
      <c r="C71" s="153"/>
      <c r="D71" s="153"/>
      <c r="E71" s="153"/>
    </row>
    <row r="72" spans="2:5">
      <c r="B72" s="153"/>
      <c r="C72" s="153"/>
      <c r="D72" s="153"/>
      <c r="E72" s="153"/>
    </row>
    <row r="73" spans="2:5">
      <c r="B73" s="153"/>
      <c r="C73" s="153"/>
      <c r="D73" s="153"/>
      <c r="E73" s="153"/>
    </row>
    <row r="74" spans="2:5">
      <c r="B74" s="153"/>
      <c r="C74" s="153"/>
      <c r="D74" s="153"/>
      <c r="E74" s="153"/>
    </row>
    <row r="75" spans="2:5">
      <c r="B75" s="153"/>
      <c r="C75" s="153"/>
      <c r="D75" s="153"/>
      <c r="E75" s="153"/>
    </row>
    <row r="76" spans="2:5">
      <c r="B76" s="153"/>
      <c r="C76" s="153"/>
      <c r="D76" s="153"/>
      <c r="E76" s="153"/>
    </row>
    <row r="77" spans="2:5">
      <c r="B77" s="153"/>
      <c r="C77" s="153"/>
      <c r="D77" s="153"/>
      <c r="E77" s="153"/>
    </row>
    <row r="78" spans="2:5">
      <c r="B78" s="153"/>
      <c r="C78" s="153"/>
      <c r="D78" s="153"/>
      <c r="E78" s="153"/>
    </row>
    <row r="79" spans="2:5">
      <c r="B79" s="153"/>
      <c r="C79" s="153"/>
      <c r="D79" s="153"/>
      <c r="E79" s="153"/>
    </row>
    <row r="80" spans="2:5">
      <c r="B80" s="153"/>
      <c r="C80" s="153"/>
      <c r="D80" s="153"/>
      <c r="E80" s="153"/>
    </row>
    <row r="81" spans="2:5">
      <c r="B81" s="153"/>
      <c r="C81" s="153"/>
      <c r="D81" s="153"/>
      <c r="E81" s="153"/>
    </row>
    <row r="82" spans="2:5">
      <c r="B82" s="153"/>
      <c r="C82" s="153"/>
      <c r="D82" s="153"/>
      <c r="E82" s="153"/>
    </row>
    <row r="83" spans="2:5">
      <c r="B83" s="153"/>
      <c r="C83" s="153"/>
      <c r="D83" s="153"/>
      <c r="E83" s="153"/>
    </row>
    <row r="84" spans="2:5">
      <c r="B84" s="153"/>
      <c r="C84" s="153"/>
      <c r="D84" s="153"/>
      <c r="E84" s="153"/>
    </row>
    <row r="85" spans="2:5">
      <c r="B85" s="153"/>
      <c r="C85" s="153"/>
      <c r="D85" s="153"/>
      <c r="E85" s="153"/>
    </row>
    <row r="86" spans="2:5">
      <c r="B86" s="153"/>
      <c r="C86" s="153"/>
      <c r="D86" s="153"/>
      <c r="E86" s="153"/>
    </row>
    <row r="87" spans="2:5">
      <c r="B87" s="153"/>
      <c r="C87" s="153"/>
      <c r="D87" s="153"/>
      <c r="E87" s="153"/>
    </row>
    <row r="88" spans="2:5">
      <c r="B88" s="153"/>
      <c r="C88" s="153"/>
      <c r="D88" s="153"/>
      <c r="E88" s="153"/>
    </row>
    <row r="89" spans="2:5">
      <c r="B89" s="153"/>
      <c r="C89" s="153"/>
      <c r="D89" s="153"/>
      <c r="E89" s="153"/>
    </row>
    <row r="90" spans="2:5">
      <c r="B90" s="153"/>
      <c r="C90" s="153"/>
      <c r="D90" s="153"/>
      <c r="E90" s="153"/>
    </row>
    <row r="91" spans="2:5">
      <c r="B91" s="153"/>
      <c r="C91" s="153"/>
      <c r="D91" s="153"/>
      <c r="E91" s="153"/>
    </row>
    <row r="92" spans="2:5">
      <c r="B92" s="153"/>
      <c r="C92" s="153"/>
      <c r="D92" s="153"/>
      <c r="E92" s="153"/>
    </row>
    <row r="93" spans="2:5">
      <c r="B93" s="153"/>
      <c r="C93" s="153"/>
      <c r="D93" s="153"/>
      <c r="E93" s="153"/>
    </row>
    <row r="94" spans="2:5">
      <c r="B94" s="153"/>
      <c r="C94" s="153"/>
      <c r="D94" s="153"/>
      <c r="E94" s="153"/>
    </row>
    <row r="95" spans="2:5">
      <c r="B95" s="153"/>
      <c r="C95" s="153"/>
      <c r="D95" s="153"/>
      <c r="E95" s="153"/>
    </row>
    <row r="96" spans="2:5">
      <c r="B96" s="153"/>
      <c r="C96" s="153"/>
      <c r="D96" s="153"/>
      <c r="E96" s="153"/>
    </row>
    <row r="97" spans="2:5">
      <c r="B97" s="153"/>
      <c r="C97" s="153"/>
      <c r="D97" s="153"/>
      <c r="E97" s="153"/>
    </row>
    <row r="98" spans="2:5">
      <c r="B98" s="153"/>
      <c r="C98" s="153"/>
      <c r="D98" s="153"/>
      <c r="E98" s="153"/>
    </row>
    <row r="99" spans="2:5">
      <c r="B99" s="153"/>
      <c r="C99" s="153"/>
      <c r="D99" s="153"/>
      <c r="E99" s="153"/>
    </row>
    <row r="100" spans="2:5">
      <c r="B100" s="153"/>
      <c r="C100" s="153"/>
      <c r="D100" s="153"/>
      <c r="E100" s="153"/>
    </row>
    <row r="101" spans="2:5">
      <c r="B101" s="153"/>
      <c r="C101" s="153"/>
      <c r="D101" s="153"/>
      <c r="E101" s="153"/>
    </row>
    <row r="102" spans="2:5">
      <c r="B102" s="153"/>
      <c r="C102" s="153"/>
      <c r="D102" s="153"/>
      <c r="E102" s="153"/>
    </row>
    <row r="103" spans="2:5">
      <c r="B103" s="153"/>
      <c r="C103" s="153"/>
      <c r="D103" s="153"/>
      <c r="E103" s="153"/>
    </row>
    <row r="104" spans="2:5">
      <c r="B104" s="153"/>
      <c r="C104" s="153"/>
      <c r="D104" s="153"/>
      <c r="E104" s="153"/>
    </row>
    <row r="105" spans="2:5">
      <c r="B105" s="153"/>
      <c r="C105" s="153"/>
      <c r="D105" s="153"/>
      <c r="E105" s="153"/>
    </row>
    <row r="106" spans="2:5">
      <c r="B106" s="153"/>
      <c r="C106" s="153"/>
      <c r="D106" s="153"/>
      <c r="E106" s="153"/>
    </row>
    <row r="107" spans="2:5">
      <c r="B107" s="153"/>
      <c r="C107" s="153"/>
      <c r="D107" s="153"/>
      <c r="E107" s="153"/>
    </row>
    <row r="108" spans="2:5">
      <c r="B108" s="153"/>
      <c r="C108" s="153"/>
      <c r="D108" s="153"/>
      <c r="E108" s="153"/>
    </row>
    <row r="109" spans="2:5">
      <c r="B109" s="153"/>
      <c r="C109" s="153"/>
      <c r="D109" s="153"/>
      <c r="E109" s="153"/>
    </row>
    <row r="110" spans="2:5">
      <c r="B110" s="153"/>
      <c r="C110" s="153"/>
      <c r="D110" s="153"/>
      <c r="E110" s="153"/>
    </row>
    <row r="111" spans="2:5">
      <c r="B111" s="153"/>
      <c r="C111" s="153"/>
      <c r="D111" s="153"/>
      <c r="E111" s="153"/>
    </row>
    <row r="112" spans="2:5">
      <c r="B112" s="153"/>
      <c r="C112" s="153"/>
      <c r="D112" s="153"/>
      <c r="E112" s="153"/>
    </row>
    <row r="113" spans="2:5">
      <c r="B113" s="153"/>
      <c r="C113" s="153"/>
      <c r="D113" s="153"/>
      <c r="E113" s="153"/>
    </row>
    <row r="114" spans="2:5">
      <c r="B114" s="153"/>
      <c r="C114" s="153"/>
      <c r="D114" s="153"/>
      <c r="E114" s="153"/>
    </row>
    <row r="115" spans="2:5">
      <c r="B115" s="153"/>
      <c r="C115" s="153"/>
      <c r="D115" s="153"/>
      <c r="E115" s="153"/>
    </row>
    <row r="116" spans="2:5">
      <c r="B116" s="153"/>
      <c r="C116" s="153"/>
      <c r="D116" s="153"/>
      <c r="E116" s="153"/>
    </row>
    <row r="117" spans="2:5">
      <c r="B117" s="153"/>
      <c r="C117" s="153"/>
      <c r="D117" s="153"/>
      <c r="E117" s="153"/>
    </row>
    <row r="118" spans="2:5">
      <c r="B118" s="153"/>
      <c r="C118" s="153"/>
      <c r="D118" s="153"/>
      <c r="E118" s="153"/>
    </row>
    <row r="119" spans="2:5">
      <c r="B119" s="153"/>
      <c r="C119" s="153"/>
      <c r="D119" s="153"/>
      <c r="E119" s="153"/>
    </row>
    <row r="120" spans="2:5">
      <c r="B120" s="153"/>
      <c r="C120" s="153"/>
      <c r="D120" s="153"/>
      <c r="E120" s="153"/>
    </row>
    <row r="121" spans="2:5">
      <c r="B121" s="153"/>
      <c r="C121" s="153"/>
      <c r="D121" s="153"/>
      <c r="E121" s="153"/>
    </row>
    <row r="122" spans="2:5">
      <c r="B122" s="153"/>
      <c r="C122" s="153"/>
      <c r="D122" s="153"/>
      <c r="E122" s="153"/>
    </row>
    <row r="123" spans="2:5">
      <c r="B123" s="153"/>
      <c r="C123" s="153"/>
      <c r="D123" s="153"/>
      <c r="E123" s="153"/>
    </row>
    <row r="124" spans="2:5">
      <c r="B124" s="153"/>
      <c r="C124" s="153"/>
      <c r="D124" s="153"/>
      <c r="E124" s="153"/>
    </row>
    <row r="125" spans="2:5">
      <c r="B125" s="153"/>
      <c r="C125" s="153"/>
      <c r="D125" s="153"/>
      <c r="E125" s="153"/>
    </row>
    <row r="126" spans="2:5">
      <c r="B126" s="153"/>
      <c r="C126" s="153"/>
      <c r="D126" s="153"/>
      <c r="E126" s="153"/>
    </row>
    <row r="127" spans="2:5">
      <c r="B127" s="153"/>
      <c r="C127" s="153"/>
      <c r="D127" s="153"/>
      <c r="E127" s="153"/>
    </row>
    <row r="128" spans="2:5">
      <c r="B128" s="153"/>
      <c r="C128" s="153"/>
      <c r="D128" s="153"/>
      <c r="E128" s="153"/>
    </row>
    <row r="129" spans="2:5">
      <c r="B129" s="153"/>
      <c r="C129" s="153"/>
      <c r="D129" s="153"/>
      <c r="E129" s="153"/>
    </row>
    <row r="130" spans="2:5">
      <c r="B130" s="153"/>
      <c r="C130" s="153"/>
      <c r="D130" s="153"/>
      <c r="E130" s="153"/>
    </row>
    <row r="131" spans="2:5">
      <c r="B131" s="153"/>
      <c r="C131" s="153"/>
      <c r="D131" s="153"/>
      <c r="E131" s="153"/>
    </row>
    <row r="132" spans="2:5">
      <c r="B132" s="153"/>
      <c r="C132" s="153"/>
      <c r="D132" s="153"/>
      <c r="E132" s="153"/>
    </row>
    <row r="133" spans="2:5">
      <c r="B133" s="153"/>
      <c r="C133" s="153"/>
      <c r="D133" s="153"/>
      <c r="E133" s="153"/>
    </row>
    <row r="134" spans="2:5">
      <c r="B134" s="153"/>
      <c r="C134" s="153"/>
      <c r="D134" s="153"/>
      <c r="E134" s="153"/>
    </row>
    <row r="135" spans="2:5">
      <c r="B135" s="153"/>
      <c r="C135" s="153"/>
      <c r="D135" s="153"/>
      <c r="E135" s="153"/>
    </row>
    <row r="136" spans="2:5">
      <c r="B136" s="153"/>
      <c r="C136" s="153"/>
      <c r="D136" s="153"/>
      <c r="E136" s="153"/>
    </row>
    <row r="137" spans="2:5">
      <c r="B137" s="153"/>
      <c r="C137" s="153"/>
      <c r="D137" s="153"/>
      <c r="E137" s="153"/>
    </row>
    <row r="138" spans="2:5">
      <c r="B138" s="153"/>
      <c r="C138" s="153"/>
      <c r="D138" s="153"/>
      <c r="E138" s="153"/>
    </row>
    <row r="139" spans="2:5">
      <c r="B139" s="153"/>
      <c r="C139" s="153"/>
      <c r="D139" s="153"/>
      <c r="E139" s="153"/>
    </row>
    <row r="140" spans="2:5">
      <c r="B140" s="153"/>
      <c r="C140" s="153"/>
      <c r="D140" s="153"/>
      <c r="E140" s="153"/>
    </row>
    <row r="141" spans="2:5">
      <c r="B141" s="153"/>
      <c r="C141" s="153"/>
      <c r="D141" s="153"/>
      <c r="E141" s="153"/>
    </row>
    <row r="142" spans="2:5">
      <c r="B142" s="153"/>
      <c r="C142" s="153"/>
      <c r="D142" s="153"/>
      <c r="E142" s="153"/>
    </row>
    <row r="143" spans="2:5">
      <c r="B143" s="153"/>
      <c r="C143" s="153"/>
      <c r="D143" s="153"/>
      <c r="E143" s="153"/>
    </row>
    <row r="144" spans="2:5">
      <c r="B144" s="153"/>
      <c r="C144" s="153"/>
      <c r="D144" s="153"/>
      <c r="E144" s="153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M30"/>
  <sheetViews>
    <sheetView showGridLines="0" workbookViewId="0"/>
  </sheetViews>
  <sheetFormatPr defaultRowHeight="15"/>
  <cols>
    <col min="2" max="2" width="30.28515625" bestFit="1" customWidth="1"/>
    <col min="4" max="5" width="22.7109375" customWidth="1"/>
    <col min="8" max="9" width="22.7109375" customWidth="1"/>
    <col min="12" max="13" width="22.7109375" customWidth="1"/>
  </cols>
  <sheetData>
    <row r="2" spans="2:13" s="82" customFormat="1" ht="20.25">
      <c r="B2" s="74" t="s">
        <v>248</v>
      </c>
    </row>
    <row r="3" spans="2:13" s="82" customFormat="1"/>
    <row r="4" spans="2:13">
      <c r="B4" s="1" t="s">
        <v>63</v>
      </c>
      <c r="D4" s="1" t="s">
        <v>47</v>
      </c>
      <c r="H4" s="1" t="s">
        <v>52</v>
      </c>
      <c r="L4" s="1" t="s">
        <v>54</v>
      </c>
    </row>
    <row r="5" spans="2:13">
      <c r="B5" s="2" t="s">
        <v>47</v>
      </c>
      <c r="D5" s="10" t="s">
        <v>61</v>
      </c>
      <c r="E5" s="6">
        <f ca="1">Settings.COB</f>
        <v>43710</v>
      </c>
      <c r="H5" s="16" t="s">
        <v>75</v>
      </c>
      <c r="I5" s="28" t="s">
        <v>76</v>
      </c>
      <c r="L5" s="21" t="s">
        <v>67</v>
      </c>
      <c r="M5" s="22">
        <f ca="1">Settings.COB</f>
        <v>43710</v>
      </c>
    </row>
    <row r="6" spans="2:13">
      <c r="B6" s="2" t="s">
        <v>48</v>
      </c>
      <c r="D6" s="11" t="s">
        <v>62</v>
      </c>
      <c r="E6" s="7">
        <f ca="1">E5+7</f>
        <v>43717</v>
      </c>
      <c r="H6" s="18" t="s">
        <v>71</v>
      </c>
      <c r="I6" s="29">
        <f ca="1">_xll.meDateFuturesContract(I5)</f>
        <v>43817</v>
      </c>
      <c r="L6" s="3" t="s">
        <v>13</v>
      </c>
      <c r="M6" s="23" t="s">
        <v>127</v>
      </c>
    </row>
    <row r="7" spans="2:13">
      <c r="B7" s="2" t="s">
        <v>49</v>
      </c>
      <c r="D7" s="11" t="s">
        <v>13</v>
      </c>
      <c r="E7" s="8" t="s">
        <v>7</v>
      </c>
      <c r="L7" s="24" t="s">
        <v>126</v>
      </c>
      <c r="M7" s="33" t="b">
        <f ca="1">_xll.meDateIsHoliday(M5,M6)</f>
        <v>1</v>
      </c>
    </row>
    <row r="8" spans="2:13">
      <c r="B8" s="2" t="s">
        <v>50</v>
      </c>
      <c r="D8" s="12" t="s">
        <v>72</v>
      </c>
      <c r="E8" s="9">
        <f ca="1">_xll.meDateBusinessDays(E5,E6,E7)</f>
        <v>5</v>
      </c>
    </row>
    <row r="9" spans="2:13">
      <c r="B9" s="2" t="s">
        <v>51</v>
      </c>
      <c r="H9" s="1" t="s">
        <v>53</v>
      </c>
    </row>
    <row r="10" spans="2:13">
      <c r="B10" s="2" t="s">
        <v>52</v>
      </c>
      <c r="H10" s="19" t="s">
        <v>77</v>
      </c>
      <c r="I10" s="30">
        <v>2017</v>
      </c>
      <c r="L10" s="1" t="s">
        <v>56</v>
      </c>
    </row>
    <row r="11" spans="2:13">
      <c r="B11" s="2" t="s">
        <v>53</v>
      </c>
      <c r="D11" s="1" t="s">
        <v>50</v>
      </c>
      <c r="H11" s="31" t="s">
        <v>78</v>
      </c>
      <c r="I11" s="32">
        <v>3</v>
      </c>
      <c r="L11" s="21" t="s">
        <v>67</v>
      </c>
      <c r="M11" s="22">
        <f ca="1">Settings.COB</f>
        <v>43710</v>
      </c>
    </row>
    <row r="12" spans="2:13">
      <c r="B12" s="2" t="s">
        <v>54</v>
      </c>
      <c r="D12" s="21" t="s">
        <v>10</v>
      </c>
      <c r="E12" s="22">
        <f ca="1">Settings.COB</f>
        <v>43710</v>
      </c>
      <c r="H12" s="31" t="s">
        <v>13</v>
      </c>
      <c r="I12" s="32" t="s">
        <v>26</v>
      </c>
      <c r="L12" s="24" t="s">
        <v>126</v>
      </c>
      <c r="M12" s="33" t="b">
        <f ca="1">_xll.meDateIsWeekend(M11)</f>
        <v>0</v>
      </c>
    </row>
    <row r="13" spans="2:13">
      <c r="B13" s="2" t="s">
        <v>55</v>
      </c>
      <c r="D13" s="3" t="s">
        <v>69</v>
      </c>
      <c r="E13" s="23" t="s">
        <v>21</v>
      </c>
      <c r="H13" s="31" t="s">
        <v>70</v>
      </c>
      <c r="I13" s="32" t="s">
        <v>18</v>
      </c>
    </row>
    <row r="14" spans="2:13">
      <c r="B14" s="2" t="s">
        <v>56</v>
      </c>
      <c r="D14" s="3" t="s">
        <v>70</v>
      </c>
      <c r="E14" s="23" t="s">
        <v>18</v>
      </c>
      <c r="H14" s="20" t="s">
        <v>71</v>
      </c>
      <c r="I14" s="26">
        <f ca="1">_xll.meDateIMMFromMonth(I10,I11,I12,I13)</f>
        <v>42809</v>
      </c>
    </row>
    <row r="15" spans="2:13">
      <c r="B15" s="2" t="s">
        <v>57</v>
      </c>
      <c r="D15" s="3" t="s">
        <v>13</v>
      </c>
      <c r="E15" s="23" t="s">
        <v>7</v>
      </c>
      <c r="L15" s="1" t="s">
        <v>55</v>
      </c>
    </row>
    <row r="16" spans="2:13">
      <c r="B16" s="2" t="s">
        <v>58</v>
      </c>
      <c r="D16" s="24" t="s">
        <v>71</v>
      </c>
      <c r="E16" s="27">
        <f ca="1">_xll.meDateFromTenor(E12,E13,E14,E15)</f>
        <v>43892</v>
      </c>
      <c r="L16" s="21" t="s">
        <v>67</v>
      </c>
      <c r="M16" s="22">
        <f ca="1">Settings.COB</f>
        <v>43710</v>
      </c>
    </row>
    <row r="17" spans="2:13">
      <c r="B17" s="2" t="s">
        <v>59</v>
      </c>
      <c r="H17" s="13" t="s">
        <v>48</v>
      </c>
      <c r="L17" s="24" t="s">
        <v>126</v>
      </c>
      <c r="M17" s="33" t="b">
        <f ca="1">_xll.meDateIsWeekday(M16)</f>
        <v>1</v>
      </c>
    </row>
    <row r="18" spans="2:13">
      <c r="B18" s="2" t="s">
        <v>60</v>
      </c>
      <c r="H18" s="16" t="s">
        <v>64</v>
      </c>
      <c r="I18" s="14" t="s">
        <v>65</v>
      </c>
    </row>
    <row r="19" spans="2:13">
      <c r="D19" s="1" t="s">
        <v>51</v>
      </c>
      <c r="H19" s="17" t="s">
        <v>67</v>
      </c>
      <c r="I19" s="15">
        <f ca="1">Settings.COB</f>
        <v>43710</v>
      </c>
    </row>
    <row r="20" spans="2:13">
      <c r="D20" s="21" t="s">
        <v>10</v>
      </c>
      <c r="E20" s="22">
        <f ca="1">Settings.COB</f>
        <v>43710</v>
      </c>
      <c r="H20" s="18" t="s">
        <v>66</v>
      </c>
      <c r="I20" s="25">
        <f ca="1">_xll.meDateCentralBank(I18,I19)</f>
        <v>43720</v>
      </c>
      <c r="L20" s="1" t="s">
        <v>57</v>
      </c>
    </row>
    <row r="21" spans="2:13">
      <c r="D21" s="3" t="s">
        <v>73</v>
      </c>
      <c r="E21" s="23">
        <v>0.5</v>
      </c>
      <c r="H21" s="4"/>
      <c r="L21" s="21" t="s">
        <v>67</v>
      </c>
      <c r="M21" s="22">
        <f ca="1">Settings.COB</f>
        <v>43710</v>
      </c>
    </row>
    <row r="22" spans="2:13">
      <c r="D22" s="3" t="s">
        <v>15</v>
      </c>
      <c r="E22" s="23" t="s">
        <v>74</v>
      </c>
      <c r="L22" s="3" t="s">
        <v>13</v>
      </c>
      <c r="M22" s="23" t="s">
        <v>127</v>
      </c>
    </row>
    <row r="23" spans="2:13">
      <c r="D23" s="24" t="s">
        <v>71</v>
      </c>
      <c r="E23" s="27">
        <f ca="1">_xll.meDateFromYearFraction(E20,E21,E22)</f>
        <v>43893</v>
      </c>
      <c r="H23" s="13" t="s">
        <v>49</v>
      </c>
      <c r="L23" s="24" t="s">
        <v>126</v>
      </c>
      <c r="M23" s="33" t="b">
        <f ca="1">_xll.meDateIsWorkingDay(M21,M22)</f>
        <v>0</v>
      </c>
    </row>
    <row r="24" spans="2:13">
      <c r="H24" s="19" t="s">
        <v>67</v>
      </c>
      <c r="I24" s="22">
        <f ca="1">Settings.COB</f>
        <v>43710</v>
      </c>
    </row>
    <row r="25" spans="2:13">
      <c r="H25" s="20" t="s">
        <v>68</v>
      </c>
      <c r="I25" s="26">
        <f ca="1">_xll.meDateECB(I24)</f>
        <v>43720</v>
      </c>
    </row>
    <row r="26" spans="2:13">
      <c r="D26" s="1" t="s">
        <v>60</v>
      </c>
    </row>
    <row r="27" spans="2:13">
      <c r="D27" s="21" t="s">
        <v>10</v>
      </c>
      <c r="E27" s="22">
        <f ca="1">Settings.COB</f>
        <v>43710</v>
      </c>
    </row>
    <row r="28" spans="2:13">
      <c r="D28" s="3" t="s">
        <v>11</v>
      </c>
      <c r="E28" s="34">
        <v>43074</v>
      </c>
    </row>
    <row r="29" spans="2:13">
      <c r="D29" s="3" t="s">
        <v>15</v>
      </c>
      <c r="E29" s="23" t="s">
        <v>74</v>
      </c>
    </row>
    <row r="30" spans="2:13">
      <c r="D30" s="24" t="s">
        <v>73</v>
      </c>
      <c r="E30" s="35">
        <f ca="1">_xll.meDateYearFraction(E27,E28,E29)</f>
        <v>-1.7424657534246575</v>
      </c>
    </row>
  </sheetData>
  <dataValidations count="1">
    <dataValidation type="list" allowBlank="1" showInputMessage="1" showErrorMessage="1" sqref="I18">
      <formula1>"ECB,FED,BOE"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J22"/>
  <sheetViews>
    <sheetView showGridLines="0" workbookViewId="0"/>
  </sheetViews>
  <sheetFormatPr defaultRowHeight="15"/>
  <cols>
    <col min="2" max="2" width="31" bestFit="1" customWidth="1"/>
    <col min="3" max="3" width="20.5703125" customWidth="1"/>
    <col min="5" max="7" width="15.7109375" customWidth="1"/>
    <col min="8" max="8" width="11.5703125" bestFit="1" customWidth="1"/>
    <col min="9" max="9" width="19.5703125" bestFit="1" customWidth="1"/>
    <col min="10" max="10" width="15.7109375" customWidth="1"/>
  </cols>
  <sheetData>
    <row r="2" spans="2:10" s="82" customFormat="1" ht="20.25">
      <c r="B2" s="74" t="s">
        <v>245</v>
      </c>
    </row>
    <row r="3" spans="2:10" s="82" customFormat="1" ht="20.25">
      <c r="B3" s="74"/>
    </row>
    <row r="4" spans="2:10" s="82" customFormat="1"/>
    <row r="5" spans="2:10">
      <c r="B5" s="164" t="s">
        <v>135</v>
      </c>
    </row>
    <row r="6" spans="2:10">
      <c r="B6" s="78" t="s">
        <v>137</v>
      </c>
      <c r="C6" s="154">
        <f ca="1">Settings.COB</f>
        <v>43710</v>
      </c>
      <c r="D6" s="39"/>
      <c r="E6" s="40" t="str">
        <f t="array" aca="1" ref="E6:J22" ca="1">_xll.meUtilityResize(_xll.meProductSwapSchedule(B6:C22),20,20)</f>
        <v>FixingDate</v>
      </c>
      <c r="F6" s="41" t="str">
        <f ca="1"/>
        <v>AccrualStart</v>
      </c>
      <c r="G6" s="41" t="str">
        <f ca="1"/>
        <v>AccrualEnd</v>
      </c>
      <c r="H6" s="42" t="str">
        <f ca="1"/>
        <v>AccrualDays</v>
      </c>
      <c r="I6" s="43" t="str">
        <f ca="1"/>
        <v>AccrualYearFractions</v>
      </c>
      <c r="J6" s="44" t="str">
        <f ca="1"/>
        <v>PaymentDate</v>
      </c>
    </row>
    <row r="7" spans="2:10">
      <c r="B7" s="79" t="s">
        <v>138</v>
      </c>
      <c r="C7" s="155" t="s">
        <v>30</v>
      </c>
      <c r="D7" s="39"/>
      <c r="E7" s="50">
        <f ca="1"/>
        <v>43710</v>
      </c>
      <c r="F7" s="51">
        <f ca="1"/>
        <v>43710</v>
      </c>
      <c r="G7" s="51">
        <f ca="1"/>
        <v>43726</v>
      </c>
      <c r="H7" s="45">
        <f ca="1"/>
        <v>16</v>
      </c>
      <c r="I7" s="46">
        <f ca="1"/>
        <v>4.4444444444444398E-2</v>
      </c>
      <c r="J7" s="54">
        <f ca="1"/>
        <v>43726</v>
      </c>
    </row>
    <row r="8" spans="2:10">
      <c r="B8" s="49" t="s">
        <v>139</v>
      </c>
      <c r="C8" s="156" t="s">
        <v>14</v>
      </c>
      <c r="D8" s="39"/>
      <c r="E8" s="50">
        <f ca="1"/>
        <v>43726</v>
      </c>
      <c r="F8" s="51">
        <f ca="1"/>
        <v>43726</v>
      </c>
      <c r="G8" s="51">
        <f ca="1"/>
        <v>43817</v>
      </c>
      <c r="H8" s="45">
        <f ca="1"/>
        <v>91</v>
      </c>
      <c r="I8" s="46">
        <f ca="1"/>
        <v>0.25277777777777799</v>
      </c>
      <c r="J8" s="54">
        <f ca="1"/>
        <v>43817</v>
      </c>
    </row>
    <row r="9" spans="2:10">
      <c r="B9" s="49" t="s">
        <v>140</v>
      </c>
      <c r="C9" s="156" t="s">
        <v>141</v>
      </c>
      <c r="D9" s="39"/>
      <c r="E9" s="50">
        <f ca="1"/>
        <v>43817</v>
      </c>
      <c r="F9" s="51">
        <f ca="1"/>
        <v>43817</v>
      </c>
      <c r="G9" s="51">
        <f ca="1"/>
        <v>43908</v>
      </c>
      <c r="H9" s="45">
        <f ca="1"/>
        <v>91</v>
      </c>
      <c r="I9" s="46">
        <f ca="1"/>
        <v>0.25277777777777799</v>
      </c>
      <c r="J9" s="54">
        <f ca="1"/>
        <v>43908</v>
      </c>
    </row>
    <row r="10" spans="2:10">
      <c r="B10" s="49" t="s">
        <v>142</v>
      </c>
      <c r="C10" s="156" t="s">
        <v>18</v>
      </c>
      <c r="D10" s="39"/>
      <c r="E10" s="50">
        <f ca="1"/>
        <v>43908</v>
      </c>
      <c r="F10" s="51">
        <f ca="1"/>
        <v>43908</v>
      </c>
      <c r="G10" s="51">
        <f ca="1"/>
        <v>43999</v>
      </c>
      <c r="H10" s="45">
        <f ca="1"/>
        <v>91</v>
      </c>
      <c r="I10" s="46">
        <f ca="1"/>
        <v>0.25277777777777799</v>
      </c>
      <c r="J10" s="54">
        <f ca="1"/>
        <v>43999</v>
      </c>
    </row>
    <row r="11" spans="2:10">
      <c r="B11" s="49" t="s">
        <v>143</v>
      </c>
      <c r="C11" s="157" t="s">
        <v>7</v>
      </c>
      <c r="D11" s="39"/>
      <c r="E11" s="50">
        <f ca="1"/>
        <v>43999</v>
      </c>
      <c r="F11" s="51">
        <f ca="1"/>
        <v>43999</v>
      </c>
      <c r="G11" s="51">
        <f ca="1"/>
        <v>44090</v>
      </c>
      <c r="H11" s="45">
        <f ca="1"/>
        <v>91</v>
      </c>
      <c r="I11" s="46">
        <f ca="1"/>
        <v>0.25277777777777799</v>
      </c>
      <c r="J11" s="54">
        <f ca="1"/>
        <v>44090</v>
      </c>
    </row>
    <row r="12" spans="2:10">
      <c r="B12" s="49" t="s">
        <v>144</v>
      </c>
      <c r="C12" s="156" t="s">
        <v>141</v>
      </c>
      <c r="D12" s="39"/>
      <c r="E12" s="50">
        <f ca="1"/>
        <v>44090</v>
      </c>
      <c r="F12" s="51">
        <f ca="1"/>
        <v>44090</v>
      </c>
      <c r="G12" s="51">
        <f ca="1"/>
        <v>44181</v>
      </c>
      <c r="H12" s="45">
        <f ca="1"/>
        <v>91</v>
      </c>
      <c r="I12" s="46">
        <f ca="1"/>
        <v>0.25277777777777799</v>
      </c>
      <c r="J12" s="54">
        <f ca="1"/>
        <v>44181</v>
      </c>
    </row>
    <row r="13" spans="2:10">
      <c r="B13" s="49" t="s">
        <v>145</v>
      </c>
      <c r="C13" s="156" t="s">
        <v>18</v>
      </c>
      <c r="D13" s="39"/>
      <c r="E13" s="50">
        <f ca="1"/>
        <v>44181</v>
      </c>
      <c r="F13" s="51">
        <f ca="1"/>
        <v>44181</v>
      </c>
      <c r="G13" s="51">
        <f ca="1"/>
        <v>44272</v>
      </c>
      <c r="H13" s="45">
        <f ca="1"/>
        <v>91</v>
      </c>
      <c r="I13" s="46">
        <f ca="1"/>
        <v>0.25277777777777799</v>
      </c>
      <c r="J13" s="54">
        <f ca="1"/>
        <v>44272</v>
      </c>
    </row>
    <row r="14" spans="2:10">
      <c r="B14" s="49" t="s">
        <v>146</v>
      </c>
      <c r="C14" s="156" t="s">
        <v>7</v>
      </c>
      <c r="D14" s="39"/>
      <c r="E14" s="50">
        <f ca="1"/>
        <v>44272</v>
      </c>
      <c r="F14" s="51">
        <f ca="1"/>
        <v>44272</v>
      </c>
      <c r="G14" s="51">
        <f ca="1"/>
        <v>44363</v>
      </c>
      <c r="H14" s="45">
        <f ca="1"/>
        <v>91</v>
      </c>
      <c r="I14" s="46">
        <f ca="1"/>
        <v>0.25277777777777799</v>
      </c>
      <c r="J14" s="54">
        <f ca="1"/>
        <v>44363</v>
      </c>
    </row>
    <row r="15" spans="2:10">
      <c r="B15" s="49" t="s">
        <v>147</v>
      </c>
      <c r="C15" s="158" t="s">
        <v>17</v>
      </c>
      <c r="D15" s="39"/>
      <c r="E15" s="50">
        <f ca="1"/>
        <v>44363</v>
      </c>
      <c r="F15" s="51">
        <f ca="1"/>
        <v>44363</v>
      </c>
      <c r="G15" s="51">
        <f ca="1"/>
        <v>44441</v>
      </c>
      <c r="H15" s="45">
        <f ca="1"/>
        <v>78</v>
      </c>
      <c r="I15" s="46">
        <f ca="1"/>
        <v>0.21666666666666701</v>
      </c>
      <c r="J15" s="54">
        <f ca="1"/>
        <v>44441</v>
      </c>
    </row>
    <row r="16" spans="2:10">
      <c r="B16" s="49" t="s">
        <v>148</v>
      </c>
      <c r="C16" s="159" t="s">
        <v>18</v>
      </c>
      <c r="D16" s="39"/>
      <c r="E16" s="50" t="str">
        <f ca="1"/>
        <v/>
      </c>
      <c r="F16" s="51" t="str">
        <f ca="1"/>
        <v/>
      </c>
      <c r="G16" s="51" t="str">
        <f ca="1"/>
        <v/>
      </c>
      <c r="H16" s="45" t="str">
        <f ca="1"/>
        <v/>
      </c>
      <c r="I16" s="46" t="str">
        <f ca="1"/>
        <v/>
      </c>
      <c r="J16" s="54" t="str">
        <f ca="1"/>
        <v/>
      </c>
    </row>
    <row r="17" spans="2:10">
      <c r="B17" s="49" t="s">
        <v>149</v>
      </c>
      <c r="C17" s="156" t="s">
        <v>7</v>
      </c>
      <c r="D17" s="39"/>
      <c r="E17" s="50" t="str">
        <f ca="1"/>
        <v/>
      </c>
      <c r="F17" s="51" t="str">
        <f ca="1"/>
        <v/>
      </c>
      <c r="G17" s="51" t="str">
        <f ca="1"/>
        <v/>
      </c>
      <c r="H17" s="45" t="str">
        <f ca="1"/>
        <v/>
      </c>
      <c r="I17" s="46" t="str">
        <f ca="1"/>
        <v/>
      </c>
      <c r="J17" s="54" t="str">
        <f ca="1"/>
        <v/>
      </c>
    </row>
    <row r="18" spans="2:10">
      <c r="B18" s="49" t="s">
        <v>150</v>
      </c>
      <c r="C18" s="160" t="s">
        <v>17</v>
      </c>
      <c r="D18" s="39"/>
      <c r="E18" s="50" t="str">
        <f ca="1"/>
        <v/>
      </c>
      <c r="F18" s="51" t="str">
        <f ca="1"/>
        <v/>
      </c>
      <c r="G18" s="51" t="str">
        <f ca="1"/>
        <v/>
      </c>
      <c r="H18" s="45" t="str">
        <f ca="1"/>
        <v/>
      </c>
      <c r="I18" s="46" t="str">
        <f ca="1"/>
        <v/>
      </c>
      <c r="J18" s="54" t="str">
        <f ca="1"/>
        <v/>
      </c>
    </row>
    <row r="19" spans="2:10">
      <c r="B19" s="79" t="s">
        <v>151</v>
      </c>
      <c r="C19" s="161" t="s">
        <v>152</v>
      </c>
      <c r="D19" s="39"/>
      <c r="E19" s="50" t="str">
        <f ca="1"/>
        <v/>
      </c>
      <c r="F19" s="51" t="str">
        <f ca="1"/>
        <v/>
      </c>
      <c r="G19" s="51" t="str">
        <f ca="1"/>
        <v/>
      </c>
      <c r="H19" s="45" t="str">
        <f ca="1"/>
        <v/>
      </c>
      <c r="I19" s="46" t="str">
        <f ca="1"/>
        <v/>
      </c>
      <c r="J19" s="54" t="str">
        <f ca="1"/>
        <v/>
      </c>
    </row>
    <row r="20" spans="2:10">
      <c r="B20" s="49" t="s">
        <v>153</v>
      </c>
      <c r="C20" s="162"/>
      <c r="D20" s="39"/>
      <c r="E20" s="50" t="str">
        <f ca="1"/>
        <v/>
      </c>
      <c r="F20" s="51" t="str">
        <f ca="1"/>
        <v/>
      </c>
      <c r="G20" s="51" t="str">
        <f ca="1"/>
        <v/>
      </c>
      <c r="H20" s="45" t="str">
        <f ca="1"/>
        <v/>
      </c>
      <c r="I20" s="46" t="str">
        <f ca="1"/>
        <v/>
      </c>
      <c r="J20" s="54" t="str">
        <f ca="1"/>
        <v/>
      </c>
    </row>
    <row r="21" spans="2:10">
      <c r="B21" s="49" t="s">
        <v>154</v>
      </c>
      <c r="C21" s="162"/>
      <c r="D21" s="39"/>
      <c r="E21" s="50" t="str">
        <f ca="1"/>
        <v/>
      </c>
      <c r="F21" s="51" t="str">
        <f ca="1"/>
        <v/>
      </c>
      <c r="G21" s="51" t="str">
        <f ca="1"/>
        <v/>
      </c>
      <c r="H21" s="45" t="str">
        <f ca="1"/>
        <v/>
      </c>
      <c r="I21" s="46" t="str">
        <f ca="1"/>
        <v/>
      </c>
      <c r="J21" s="54" t="str">
        <f ca="1"/>
        <v/>
      </c>
    </row>
    <row r="22" spans="2:10">
      <c r="B22" s="80" t="s">
        <v>155</v>
      </c>
      <c r="C22" s="163" t="s">
        <v>227</v>
      </c>
      <c r="D22" s="39"/>
      <c r="E22" s="52" t="str">
        <f ca="1"/>
        <v/>
      </c>
      <c r="F22" s="53" t="str">
        <f ca="1"/>
        <v/>
      </c>
      <c r="G22" s="53" t="str">
        <f ca="1"/>
        <v/>
      </c>
      <c r="H22" s="47" t="str">
        <f ca="1"/>
        <v/>
      </c>
      <c r="I22" s="48" t="str">
        <f ca="1"/>
        <v/>
      </c>
      <c r="J22" s="55" t="str">
        <f ca="1"/>
        <v/>
      </c>
    </row>
  </sheetData>
  <dataValidations count="5">
    <dataValidation type="list" allowBlank="1" showInputMessage="1" showErrorMessage="1" sqref="C12 C9">
      <formula1>"Annual,Semi-Annual,Quarterly,Monthly,Weekly"</formula1>
    </dataValidation>
    <dataValidation type="list" allowBlank="1" showInputMessage="1" showErrorMessage="1" sqref="C10 C16 C13">
      <formula1>"FOLLOWING,MOD_FOLLOWING,PRECEDING,MOD_PRECEDING,NO_CHANGE"</formula1>
    </dataValidation>
    <dataValidation type="list" allowBlank="1" showInputMessage="1" showErrorMessage="1" sqref="C19">
      <formula1>"ADVANCE,ARREARS"</formula1>
    </dataValidation>
    <dataValidation type="list" allowBlank="1" showInputMessage="1" showErrorMessage="1" sqref="C8">
      <formula1>"ACT/365,ACT/365_ISDA,ACT/360,30/360,30E/360,ACT/365FJ"</formula1>
    </dataValidation>
    <dataValidation type="list" allowBlank="1" showInputMessage="1" showErrorMessage="1" sqref="C22">
      <formula1>"EOM,IMM,1,2,3,4,5,6,7,8,9,10,11,12,13,14,15,16,17,18,19,20,21,22,23,24,25,26,27,28,29,30,31"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K51"/>
  <sheetViews>
    <sheetView showGridLines="0" workbookViewId="0"/>
  </sheetViews>
  <sheetFormatPr defaultRowHeight="15"/>
  <cols>
    <col min="2" max="2" width="31" bestFit="1" customWidth="1"/>
    <col min="3" max="3" width="17.42578125" bestFit="1" customWidth="1"/>
    <col min="5" max="7" width="15.7109375" customWidth="1"/>
    <col min="8" max="9" width="19.5703125" bestFit="1" customWidth="1"/>
    <col min="10" max="10" width="15.7109375" customWidth="1"/>
  </cols>
  <sheetData>
    <row r="2" spans="2:11" s="82" customFormat="1" ht="20.25">
      <c r="B2" s="74" t="s">
        <v>246</v>
      </c>
    </row>
    <row r="3" spans="2:11" s="82" customFormat="1" ht="20.25">
      <c r="B3" s="74"/>
    </row>
    <row r="4" spans="2:11">
      <c r="B4" s="72" t="s">
        <v>162</v>
      </c>
      <c r="E4" s="72" t="s">
        <v>157</v>
      </c>
    </row>
    <row r="5" spans="2:11">
      <c r="B5" s="56" t="s">
        <v>137</v>
      </c>
      <c r="C5" s="81">
        <f ca="1">Settings.COB</f>
        <v>43710</v>
      </c>
      <c r="E5" s="57" t="str">
        <f t="array" aca="1" ref="E5:K26" ca="1">_xll.meUtilityResize(_xll.meProductBondSchedule($B$5:$C$26),50,50)</f>
        <v>FixingDate</v>
      </c>
      <c r="F5" s="58" t="str">
        <f ca="1"/>
        <v>AccrualStart</v>
      </c>
      <c r="G5" s="58" t="str">
        <f ca="1"/>
        <v>AccrualEnd</v>
      </c>
      <c r="H5" s="58" t="str">
        <f ca="1"/>
        <v>AccrualDays</v>
      </c>
      <c r="I5" s="58" t="str">
        <f ca="1"/>
        <v>AccrualYearFractions</v>
      </c>
      <c r="J5" s="58" t="str">
        <f ca="1"/>
        <v>PaymentDate</v>
      </c>
      <c r="K5" s="165" t="str">
        <f ca="1"/>
        <v/>
      </c>
    </row>
    <row r="6" spans="2:11">
      <c r="B6" s="65" t="s">
        <v>140</v>
      </c>
      <c r="C6" s="23" t="s">
        <v>25</v>
      </c>
      <c r="E6" s="50" t="str">
        <f ca="1"/>
        <v/>
      </c>
      <c r="F6" s="51">
        <f ca="1"/>
        <v>43710</v>
      </c>
      <c r="G6" s="51">
        <f ca="1"/>
        <v>43784</v>
      </c>
      <c r="H6" s="45">
        <f ca="1"/>
        <v>74</v>
      </c>
      <c r="I6" s="46">
        <f ca="1"/>
        <v>0.20273972602739701</v>
      </c>
      <c r="J6" s="51">
        <f ca="1"/>
        <v>43784</v>
      </c>
      <c r="K6" s="166" t="str">
        <f ca="1"/>
        <v/>
      </c>
    </row>
    <row r="7" spans="2:11">
      <c r="B7" s="65" t="s">
        <v>144</v>
      </c>
      <c r="C7" s="23" t="s">
        <v>25</v>
      </c>
      <c r="E7" s="50" t="str">
        <f ca="1"/>
        <v/>
      </c>
      <c r="F7" s="51">
        <f ca="1"/>
        <v>43784</v>
      </c>
      <c r="G7" s="51">
        <f ca="1"/>
        <v>43966</v>
      </c>
      <c r="H7" s="45">
        <f ca="1"/>
        <v>182</v>
      </c>
      <c r="I7" s="46">
        <f ca="1"/>
        <v>0.497619582304065</v>
      </c>
      <c r="J7" s="51">
        <f ca="1"/>
        <v>43966</v>
      </c>
      <c r="K7" s="166" t="str">
        <f ca="1"/>
        <v/>
      </c>
    </row>
    <row r="8" spans="2:11">
      <c r="B8" s="65" t="s">
        <v>158</v>
      </c>
      <c r="C8" s="66">
        <v>0.02</v>
      </c>
      <c r="E8" s="50" t="str">
        <f ca="1"/>
        <v/>
      </c>
      <c r="F8" s="51">
        <f ca="1"/>
        <v>43966</v>
      </c>
      <c r="G8" s="51">
        <f ca="1"/>
        <v>44150</v>
      </c>
      <c r="H8" s="45">
        <f ca="1"/>
        <v>184</v>
      </c>
      <c r="I8" s="46">
        <f ca="1"/>
        <v>0.50273224043715803</v>
      </c>
      <c r="J8" s="51">
        <f ca="1"/>
        <v>44150</v>
      </c>
      <c r="K8" s="166" t="str">
        <f ca="1"/>
        <v/>
      </c>
    </row>
    <row r="9" spans="2:11">
      <c r="B9" s="65" t="s">
        <v>159</v>
      </c>
      <c r="C9" s="23" t="s">
        <v>160</v>
      </c>
      <c r="E9" s="50" t="str">
        <f ca="1"/>
        <v/>
      </c>
      <c r="F9" s="51">
        <f ca="1"/>
        <v>44150</v>
      </c>
      <c r="G9" s="51">
        <f ca="1"/>
        <v>44331</v>
      </c>
      <c r="H9" s="45">
        <f ca="1"/>
        <v>181</v>
      </c>
      <c r="I9" s="46">
        <f ca="1"/>
        <v>0.49553858821768099</v>
      </c>
      <c r="J9" s="51">
        <f ca="1"/>
        <v>44331</v>
      </c>
      <c r="K9" s="166" t="str">
        <f ca="1"/>
        <v/>
      </c>
    </row>
    <row r="10" spans="2:11">
      <c r="B10" s="65" t="s">
        <v>142</v>
      </c>
      <c r="C10" s="23" t="s">
        <v>120</v>
      </c>
      <c r="E10" s="50" t="str">
        <f ca="1"/>
        <v/>
      </c>
      <c r="F10" s="51">
        <f ca="1"/>
        <v>44331</v>
      </c>
      <c r="G10" s="51">
        <f ca="1"/>
        <v>44515</v>
      </c>
      <c r="H10" s="45">
        <f ca="1"/>
        <v>184</v>
      </c>
      <c r="I10" s="46">
        <f ca="1"/>
        <v>0.50410958904109604</v>
      </c>
      <c r="J10" s="51">
        <f ca="1"/>
        <v>44515</v>
      </c>
      <c r="K10" s="166" t="str">
        <f ca="1"/>
        <v/>
      </c>
    </row>
    <row r="11" spans="2:11">
      <c r="B11" s="65" t="s">
        <v>143</v>
      </c>
      <c r="C11" s="23" t="s">
        <v>26</v>
      </c>
      <c r="E11" s="50" t="str">
        <f ca="1"/>
        <v/>
      </c>
      <c r="F11" s="51">
        <f ca="1"/>
        <v>44515</v>
      </c>
      <c r="G11" s="51">
        <f ca="1"/>
        <v>44696</v>
      </c>
      <c r="H11" s="45">
        <f ca="1"/>
        <v>181</v>
      </c>
      <c r="I11" s="46">
        <f ca="1"/>
        <v>0.49589041095890402</v>
      </c>
      <c r="J11" s="51">
        <f ca="1"/>
        <v>44696</v>
      </c>
      <c r="K11" s="166" t="str">
        <f ca="1"/>
        <v/>
      </c>
    </row>
    <row r="12" spans="2:11">
      <c r="B12" s="65" t="s">
        <v>145</v>
      </c>
      <c r="C12" s="23" t="s">
        <v>120</v>
      </c>
      <c r="E12" s="50" t="str">
        <f ca="1"/>
        <v/>
      </c>
      <c r="F12" s="51">
        <f ca="1"/>
        <v>44696</v>
      </c>
      <c r="G12" s="51">
        <f ca="1"/>
        <v>44880</v>
      </c>
      <c r="H12" s="45">
        <f ca="1"/>
        <v>184</v>
      </c>
      <c r="I12" s="46">
        <f ca="1"/>
        <v>0.50410958904109604</v>
      </c>
      <c r="J12" s="51">
        <f ca="1"/>
        <v>44880</v>
      </c>
      <c r="K12" s="166" t="str">
        <f ca="1"/>
        <v/>
      </c>
    </row>
    <row r="13" spans="2:11">
      <c r="B13" s="65" t="s">
        <v>146</v>
      </c>
      <c r="C13" s="23" t="s">
        <v>26</v>
      </c>
      <c r="E13" s="50" t="str">
        <f ca="1"/>
        <v/>
      </c>
      <c r="F13" s="51">
        <f ca="1"/>
        <v>44880</v>
      </c>
      <c r="G13" s="51">
        <f ca="1"/>
        <v>45061</v>
      </c>
      <c r="H13" s="45">
        <f ca="1"/>
        <v>181</v>
      </c>
      <c r="I13" s="46">
        <f ca="1"/>
        <v>0.49589041095890402</v>
      </c>
      <c r="J13" s="51">
        <f ca="1"/>
        <v>45061</v>
      </c>
      <c r="K13" s="166" t="str">
        <f ca="1"/>
        <v/>
      </c>
    </row>
    <row r="14" spans="2:11">
      <c r="B14" s="65" t="s">
        <v>147</v>
      </c>
      <c r="C14" s="23" t="s">
        <v>17</v>
      </c>
      <c r="E14" s="50" t="str">
        <f ca="1"/>
        <v/>
      </c>
      <c r="F14" s="51">
        <f ca="1"/>
        <v>45061</v>
      </c>
      <c r="G14" s="51">
        <f ca="1"/>
        <v>45245</v>
      </c>
      <c r="H14" s="45">
        <f ca="1"/>
        <v>184</v>
      </c>
      <c r="I14" s="46">
        <f ca="1"/>
        <v>0.50410958904109604</v>
      </c>
      <c r="J14" s="51">
        <f ca="1"/>
        <v>45245</v>
      </c>
      <c r="K14" s="166" t="str">
        <f ca="1"/>
        <v/>
      </c>
    </row>
    <row r="15" spans="2:11">
      <c r="B15" s="65" t="s">
        <v>138</v>
      </c>
      <c r="C15" s="67">
        <v>46341</v>
      </c>
      <c r="E15" s="50" t="str">
        <f ca="1"/>
        <v/>
      </c>
      <c r="F15" s="51">
        <f ca="1"/>
        <v>45245</v>
      </c>
      <c r="G15" s="51">
        <f ca="1"/>
        <v>45427</v>
      </c>
      <c r="H15" s="45">
        <f ca="1"/>
        <v>182</v>
      </c>
      <c r="I15" s="46">
        <f ca="1"/>
        <v>0.497619582304065</v>
      </c>
      <c r="J15" s="51">
        <f ca="1"/>
        <v>45427</v>
      </c>
      <c r="K15" s="166" t="str">
        <f ca="1"/>
        <v/>
      </c>
    </row>
    <row r="16" spans="2:11">
      <c r="B16" s="65"/>
      <c r="C16" s="23"/>
      <c r="E16" s="50" t="str">
        <f ca="1"/>
        <v/>
      </c>
      <c r="F16" s="51">
        <f ca="1"/>
        <v>45427</v>
      </c>
      <c r="G16" s="51">
        <f ca="1"/>
        <v>45611</v>
      </c>
      <c r="H16" s="45">
        <f ca="1"/>
        <v>184</v>
      </c>
      <c r="I16" s="46">
        <f ca="1"/>
        <v>0.50273224043715803</v>
      </c>
      <c r="J16" s="51">
        <f ca="1"/>
        <v>45611</v>
      </c>
      <c r="K16" s="166" t="str">
        <f ca="1"/>
        <v/>
      </c>
    </row>
    <row r="17" spans="2:11">
      <c r="B17" s="65"/>
      <c r="C17" s="23"/>
      <c r="E17" s="50" t="str">
        <f ca="1"/>
        <v/>
      </c>
      <c r="F17" s="51">
        <f ca="1"/>
        <v>45611</v>
      </c>
      <c r="G17" s="51">
        <f ca="1"/>
        <v>45792</v>
      </c>
      <c r="H17" s="45">
        <f ca="1"/>
        <v>181</v>
      </c>
      <c r="I17" s="46">
        <f ca="1"/>
        <v>0.49553858821768099</v>
      </c>
      <c r="J17" s="51">
        <f ca="1"/>
        <v>45792</v>
      </c>
      <c r="K17" s="166" t="str">
        <f ca="1"/>
        <v/>
      </c>
    </row>
    <row r="18" spans="2:11">
      <c r="B18" s="65"/>
      <c r="C18" s="23"/>
      <c r="E18" s="50" t="str">
        <f ca="1"/>
        <v/>
      </c>
      <c r="F18" s="51">
        <f ca="1"/>
        <v>45792</v>
      </c>
      <c r="G18" s="51">
        <f ca="1"/>
        <v>45976</v>
      </c>
      <c r="H18" s="45">
        <f ca="1"/>
        <v>184</v>
      </c>
      <c r="I18" s="46">
        <f ca="1"/>
        <v>0.50410958904109604</v>
      </c>
      <c r="J18" s="51">
        <f ca="1"/>
        <v>45976</v>
      </c>
      <c r="K18" s="166" t="str">
        <f ca="1"/>
        <v/>
      </c>
    </row>
    <row r="19" spans="2:11">
      <c r="B19" s="65"/>
      <c r="C19" s="23"/>
      <c r="E19" s="50" t="str">
        <f ca="1"/>
        <v/>
      </c>
      <c r="F19" s="51">
        <f ca="1"/>
        <v>45976</v>
      </c>
      <c r="G19" s="51">
        <f ca="1"/>
        <v>46157</v>
      </c>
      <c r="H19" s="45">
        <f ca="1"/>
        <v>181</v>
      </c>
      <c r="I19" s="46">
        <f ca="1"/>
        <v>0.49589041095890402</v>
      </c>
      <c r="J19" s="51">
        <f ca="1"/>
        <v>46157</v>
      </c>
      <c r="K19" s="166" t="str">
        <f ca="1"/>
        <v/>
      </c>
    </row>
    <row r="20" spans="2:11">
      <c r="B20" s="65"/>
      <c r="C20" s="23"/>
      <c r="E20" s="50" t="str">
        <f ca="1"/>
        <v/>
      </c>
      <c r="F20" s="51">
        <f ca="1"/>
        <v>46157</v>
      </c>
      <c r="G20" s="51">
        <f ca="1"/>
        <v>46341</v>
      </c>
      <c r="H20" s="45">
        <f ca="1"/>
        <v>184</v>
      </c>
      <c r="I20" s="46">
        <f ca="1"/>
        <v>0.50410958904109604</v>
      </c>
      <c r="J20" s="51">
        <f ca="1"/>
        <v>46341</v>
      </c>
      <c r="K20" s="166" t="str">
        <f ca="1"/>
        <v/>
      </c>
    </row>
    <row r="21" spans="2:11">
      <c r="B21" s="65"/>
      <c r="C21" s="23"/>
      <c r="E21" s="50" t="str">
        <f ca="1"/>
        <v/>
      </c>
      <c r="F21" s="51" t="str">
        <f ca="1"/>
        <v/>
      </c>
      <c r="G21" s="51" t="str">
        <f ca="1"/>
        <v/>
      </c>
      <c r="H21" s="45" t="str">
        <f ca="1"/>
        <v/>
      </c>
      <c r="I21" s="46" t="str">
        <f ca="1"/>
        <v/>
      </c>
      <c r="J21" s="51" t="str">
        <f ca="1"/>
        <v/>
      </c>
      <c r="K21" s="166" t="str">
        <f ca="1"/>
        <v/>
      </c>
    </row>
    <row r="22" spans="2:11">
      <c r="B22" s="65"/>
      <c r="C22" s="23"/>
      <c r="E22" s="50" t="str">
        <f ca="1"/>
        <v/>
      </c>
      <c r="F22" s="51" t="str">
        <f ca="1"/>
        <v/>
      </c>
      <c r="G22" s="51" t="str">
        <f ca="1"/>
        <v/>
      </c>
      <c r="H22" s="45" t="str">
        <f ca="1"/>
        <v/>
      </c>
      <c r="I22" s="46" t="str">
        <f ca="1"/>
        <v/>
      </c>
      <c r="J22" s="51" t="str">
        <f ca="1"/>
        <v/>
      </c>
      <c r="K22" s="166" t="str">
        <f ca="1"/>
        <v/>
      </c>
    </row>
    <row r="23" spans="2:11">
      <c r="B23" s="65"/>
      <c r="C23" s="23"/>
      <c r="E23" s="50" t="str">
        <f ca="1"/>
        <v/>
      </c>
      <c r="F23" s="51" t="str">
        <f ca="1"/>
        <v/>
      </c>
      <c r="G23" s="51" t="str">
        <f ca="1"/>
        <v/>
      </c>
      <c r="H23" s="45" t="str">
        <f ca="1"/>
        <v/>
      </c>
      <c r="I23" s="46" t="str">
        <f ca="1"/>
        <v/>
      </c>
      <c r="J23" s="51" t="str">
        <f ca="1"/>
        <v/>
      </c>
      <c r="K23" s="166" t="str">
        <f ca="1"/>
        <v/>
      </c>
    </row>
    <row r="24" spans="2:11">
      <c r="B24" s="65"/>
      <c r="C24" s="23"/>
      <c r="E24" s="50" t="str">
        <f ca="1"/>
        <v/>
      </c>
      <c r="F24" s="51" t="str">
        <f ca="1"/>
        <v/>
      </c>
      <c r="G24" s="51" t="str">
        <f ca="1"/>
        <v/>
      </c>
      <c r="H24" s="45" t="str">
        <f ca="1"/>
        <v/>
      </c>
      <c r="I24" s="46" t="str">
        <f ca="1"/>
        <v/>
      </c>
      <c r="J24" s="51" t="str">
        <f ca="1"/>
        <v/>
      </c>
      <c r="K24" s="166" t="str">
        <f ca="1"/>
        <v/>
      </c>
    </row>
    <row r="25" spans="2:11">
      <c r="B25" s="65"/>
      <c r="C25" s="23"/>
      <c r="E25" s="50" t="str">
        <f ca="1"/>
        <v/>
      </c>
      <c r="F25" s="51" t="str">
        <f ca="1"/>
        <v/>
      </c>
      <c r="G25" s="51" t="str">
        <f ca="1"/>
        <v/>
      </c>
      <c r="H25" s="45" t="str">
        <f ca="1"/>
        <v/>
      </c>
      <c r="I25" s="46" t="str">
        <f ca="1"/>
        <v/>
      </c>
      <c r="J25" s="51" t="str">
        <f ca="1"/>
        <v/>
      </c>
      <c r="K25" s="166" t="str">
        <f ca="1"/>
        <v/>
      </c>
    </row>
    <row r="26" spans="2:11">
      <c r="B26" s="68"/>
      <c r="C26" s="69"/>
      <c r="E26" s="52" t="str">
        <f ca="1"/>
        <v/>
      </c>
      <c r="F26" s="53" t="str">
        <f ca="1"/>
        <v/>
      </c>
      <c r="G26" s="53" t="str">
        <f ca="1"/>
        <v/>
      </c>
      <c r="H26" s="47" t="str">
        <f ca="1"/>
        <v/>
      </c>
      <c r="I26" s="48" t="str">
        <f ca="1"/>
        <v/>
      </c>
      <c r="J26" s="53" t="str">
        <f ca="1"/>
        <v/>
      </c>
      <c r="K26" s="167" t="str">
        <f ca="1"/>
        <v/>
      </c>
    </row>
    <row r="29" spans="2:11">
      <c r="B29" s="72" t="s">
        <v>156</v>
      </c>
      <c r="E29" s="72" t="s">
        <v>161</v>
      </c>
    </row>
    <row r="30" spans="2:11">
      <c r="B30" s="56" t="s">
        <v>137</v>
      </c>
      <c r="C30" s="81">
        <f ca="1">Settings.COB</f>
        <v>43710</v>
      </c>
      <c r="E30" s="57" t="str">
        <f t="array" aca="1" ref="E30:K51" ca="1">_xll.meUtilityResize(_xll.meProductBondSchedule($B$30:$C$51),50,50)</f>
        <v>FixingDate</v>
      </c>
      <c r="F30" s="58" t="str">
        <f ca="1"/>
        <v>AccrualStart</v>
      </c>
      <c r="G30" s="58" t="str">
        <f ca="1"/>
        <v>AccrualEnd</v>
      </c>
      <c r="H30" s="58" t="str">
        <f ca="1"/>
        <v>AccrualDays</v>
      </c>
      <c r="I30" s="58" t="str">
        <f ca="1"/>
        <v>AccrualYearFractions</v>
      </c>
      <c r="J30" s="59" t="str">
        <f ca="1"/>
        <v>PaymentDate</v>
      </c>
      <c r="K30" s="60" t="str">
        <f ca="1"/>
        <v/>
      </c>
    </row>
    <row r="31" spans="2:11">
      <c r="B31" s="65" t="s">
        <v>140</v>
      </c>
      <c r="C31" s="23" t="s">
        <v>25</v>
      </c>
      <c r="E31" s="50">
        <f ca="1"/>
        <v>43710</v>
      </c>
      <c r="F31" s="51">
        <f ca="1"/>
        <v>43710</v>
      </c>
      <c r="G31" s="51">
        <f ca="1"/>
        <v>43784</v>
      </c>
      <c r="H31" s="70">
        <f ca="1"/>
        <v>74</v>
      </c>
      <c r="I31" s="46">
        <f ca="1"/>
        <v>0.20273972602739701</v>
      </c>
      <c r="J31" s="61">
        <f ca="1"/>
        <v>43784</v>
      </c>
      <c r="K31" s="62" t="str">
        <f ca="1"/>
        <v/>
      </c>
    </row>
    <row r="32" spans="2:11">
      <c r="B32" s="65" t="s">
        <v>144</v>
      </c>
      <c r="C32" s="23" t="s">
        <v>25</v>
      </c>
      <c r="E32" s="50">
        <f ca="1"/>
        <v>43784</v>
      </c>
      <c r="F32" s="51">
        <f ca="1"/>
        <v>43784</v>
      </c>
      <c r="G32" s="51">
        <f ca="1"/>
        <v>43966</v>
      </c>
      <c r="H32" s="70">
        <f ca="1"/>
        <v>182</v>
      </c>
      <c r="I32" s="46">
        <f ca="1"/>
        <v>0.497619582304065</v>
      </c>
      <c r="J32" s="61">
        <f ca="1"/>
        <v>43966</v>
      </c>
      <c r="K32" s="62" t="str">
        <f ca="1"/>
        <v/>
      </c>
    </row>
    <row r="33" spans="2:11">
      <c r="B33" s="65" t="s">
        <v>158</v>
      </c>
      <c r="C33" s="66">
        <v>0.02</v>
      </c>
      <c r="E33" s="50">
        <f ca="1"/>
        <v>43966</v>
      </c>
      <c r="F33" s="51">
        <f ca="1"/>
        <v>43966</v>
      </c>
      <c r="G33" s="51">
        <f ca="1"/>
        <v>44150</v>
      </c>
      <c r="H33" s="70">
        <f ca="1"/>
        <v>184</v>
      </c>
      <c r="I33" s="46">
        <f ca="1"/>
        <v>0.50273224043715803</v>
      </c>
      <c r="J33" s="61">
        <f ca="1"/>
        <v>44150</v>
      </c>
      <c r="K33" s="62" t="str">
        <f ca="1"/>
        <v/>
      </c>
    </row>
    <row r="34" spans="2:11">
      <c r="B34" s="65" t="s">
        <v>159</v>
      </c>
      <c r="C34" s="23" t="s">
        <v>160</v>
      </c>
      <c r="E34" s="50">
        <f ca="1"/>
        <v>44150</v>
      </c>
      <c r="F34" s="51">
        <f ca="1"/>
        <v>44150</v>
      </c>
      <c r="G34" s="51">
        <f ca="1"/>
        <v>44331</v>
      </c>
      <c r="H34" s="70">
        <f ca="1"/>
        <v>181</v>
      </c>
      <c r="I34" s="46">
        <f ca="1"/>
        <v>0.49553858821768099</v>
      </c>
      <c r="J34" s="61">
        <f ca="1"/>
        <v>44331</v>
      </c>
      <c r="K34" s="62" t="str">
        <f ca="1"/>
        <v/>
      </c>
    </row>
    <row r="35" spans="2:11">
      <c r="B35" s="65" t="s">
        <v>142</v>
      </c>
      <c r="C35" s="23" t="s">
        <v>120</v>
      </c>
      <c r="E35" s="50">
        <f ca="1"/>
        <v>44331</v>
      </c>
      <c r="F35" s="51">
        <f ca="1"/>
        <v>44331</v>
      </c>
      <c r="G35" s="51">
        <f ca="1"/>
        <v>44515</v>
      </c>
      <c r="H35" s="70">
        <f ca="1"/>
        <v>184</v>
      </c>
      <c r="I35" s="46">
        <f ca="1"/>
        <v>0.50410958904109604</v>
      </c>
      <c r="J35" s="61">
        <f ca="1"/>
        <v>44515</v>
      </c>
      <c r="K35" s="62" t="str">
        <f ca="1"/>
        <v/>
      </c>
    </row>
    <row r="36" spans="2:11">
      <c r="B36" s="65" t="s">
        <v>143</v>
      </c>
      <c r="C36" s="23" t="s">
        <v>26</v>
      </c>
      <c r="E36" s="50">
        <f ca="1"/>
        <v>44515</v>
      </c>
      <c r="F36" s="51">
        <f ca="1"/>
        <v>44515</v>
      </c>
      <c r="G36" s="51">
        <f ca="1"/>
        <v>44696</v>
      </c>
      <c r="H36" s="70">
        <f ca="1"/>
        <v>181</v>
      </c>
      <c r="I36" s="46">
        <f ca="1"/>
        <v>0.49589041095890402</v>
      </c>
      <c r="J36" s="61">
        <f ca="1"/>
        <v>44696</v>
      </c>
      <c r="K36" s="62" t="str">
        <f ca="1"/>
        <v/>
      </c>
    </row>
    <row r="37" spans="2:11">
      <c r="B37" s="65" t="s">
        <v>145</v>
      </c>
      <c r="C37" s="23" t="s">
        <v>120</v>
      </c>
      <c r="E37" s="50">
        <f ca="1"/>
        <v>44696</v>
      </c>
      <c r="F37" s="51">
        <f ca="1"/>
        <v>44696</v>
      </c>
      <c r="G37" s="51">
        <f ca="1"/>
        <v>44880</v>
      </c>
      <c r="H37" s="70">
        <f ca="1"/>
        <v>184</v>
      </c>
      <c r="I37" s="46">
        <f ca="1"/>
        <v>0.50410958904109604</v>
      </c>
      <c r="J37" s="61">
        <f ca="1"/>
        <v>44880</v>
      </c>
      <c r="K37" s="62" t="str">
        <f ca="1"/>
        <v/>
      </c>
    </row>
    <row r="38" spans="2:11">
      <c r="B38" s="65" t="s">
        <v>146</v>
      </c>
      <c r="C38" s="23" t="s">
        <v>26</v>
      </c>
      <c r="E38" s="50">
        <f ca="1"/>
        <v>44880</v>
      </c>
      <c r="F38" s="51">
        <f ca="1"/>
        <v>44880</v>
      </c>
      <c r="G38" s="51">
        <f ca="1"/>
        <v>45061</v>
      </c>
      <c r="H38" s="70">
        <f ca="1"/>
        <v>181</v>
      </c>
      <c r="I38" s="46">
        <f ca="1"/>
        <v>0.49589041095890402</v>
      </c>
      <c r="J38" s="61">
        <f ca="1"/>
        <v>45061</v>
      </c>
      <c r="K38" s="62" t="str">
        <f ca="1"/>
        <v/>
      </c>
    </row>
    <row r="39" spans="2:11">
      <c r="B39" s="65" t="s">
        <v>147</v>
      </c>
      <c r="C39" s="23" t="s">
        <v>17</v>
      </c>
      <c r="E39" s="50">
        <f ca="1"/>
        <v>45061</v>
      </c>
      <c r="F39" s="51">
        <f ca="1"/>
        <v>45061</v>
      </c>
      <c r="G39" s="51">
        <f ca="1"/>
        <v>45245</v>
      </c>
      <c r="H39" s="70">
        <f ca="1"/>
        <v>184</v>
      </c>
      <c r="I39" s="46">
        <f ca="1"/>
        <v>0.50410958904109604</v>
      </c>
      <c r="J39" s="61">
        <f ca="1"/>
        <v>45245</v>
      </c>
      <c r="K39" s="62" t="str">
        <f ca="1"/>
        <v/>
      </c>
    </row>
    <row r="40" spans="2:11">
      <c r="B40" s="65" t="s">
        <v>138</v>
      </c>
      <c r="C40" s="67">
        <v>46341</v>
      </c>
      <c r="E40" s="50">
        <f ca="1"/>
        <v>45245</v>
      </c>
      <c r="F40" s="51">
        <f ca="1"/>
        <v>45245</v>
      </c>
      <c r="G40" s="51">
        <f ca="1"/>
        <v>45427</v>
      </c>
      <c r="H40" s="70">
        <f ca="1"/>
        <v>182</v>
      </c>
      <c r="I40" s="46">
        <f ca="1"/>
        <v>0.497619582304065</v>
      </c>
      <c r="J40" s="61">
        <f ca="1"/>
        <v>45427</v>
      </c>
      <c r="K40" s="62" t="str">
        <f ca="1"/>
        <v/>
      </c>
    </row>
    <row r="41" spans="2:11">
      <c r="B41" s="65" t="s">
        <v>148</v>
      </c>
      <c r="C41" s="23" t="s">
        <v>120</v>
      </c>
      <c r="E41" s="50">
        <f ca="1"/>
        <v>45427</v>
      </c>
      <c r="F41" s="51">
        <f ca="1"/>
        <v>45427</v>
      </c>
      <c r="G41" s="51">
        <f ca="1"/>
        <v>45611</v>
      </c>
      <c r="H41" s="70">
        <f ca="1"/>
        <v>184</v>
      </c>
      <c r="I41" s="46">
        <f ca="1"/>
        <v>0.50273224043715803</v>
      </c>
      <c r="J41" s="61">
        <f ca="1"/>
        <v>45611</v>
      </c>
      <c r="K41" s="62" t="str">
        <f ca="1"/>
        <v/>
      </c>
    </row>
    <row r="42" spans="2:11">
      <c r="B42" s="65" t="s">
        <v>149</v>
      </c>
      <c r="C42" s="23" t="s">
        <v>26</v>
      </c>
      <c r="E42" s="50">
        <f ca="1"/>
        <v>45611</v>
      </c>
      <c r="F42" s="51">
        <f ca="1"/>
        <v>45611</v>
      </c>
      <c r="G42" s="51">
        <f ca="1"/>
        <v>45792</v>
      </c>
      <c r="H42" s="70">
        <f ca="1"/>
        <v>181</v>
      </c>
      <c r="I42" s="46">
        <f ca="1"/>
        <v>0.49553858821768099</v>
      </c>
      <c r="J42" s="61">
        <f ca="1"/>
        <v>45792</v>
      </c>
      <c r="K42" s="62" t="str">
        <f ca="1"/>
        <v/>
      </c>
    </row>
    <row r="43" spans="2:11">
      <c r="B43" s="65" t="s">
        <v>150</v>
      </c>
      <c r="C43" s="23" t="s">
        <v>17</v>
      </c>
      <c r="E43" s="50">
        <f ca="1"/>
        <v>45792</v>
      </c>
      <c r="F43" s="51">
        <f ca="1"/>
        <v>45792</v>
      </c>
      <c r="G43" s="51">
        <f ca="1"/>
        <v>45976</v>
      </c>
      <c r="H43" s="70">
        <f ca="1"/>
        <v>184</v>
      </c>
      <c r="I43" s="46">
        <f ca="1"/>
        <v>0.50410958904109604</v>
      </c>
      <c r="J43" s="61">
        <f ca="1"/>
        <v>45976</v>
      </c>
      <c r="K43" s="62" t="str">
        <f ca="1"/>
        <v/>
      </c>
    </row>
    <row r="44" spans="2:11">
      <c r="B44" s="65"/>
      <c r="C44" s="23"/>
      <c r="E44" s="50">
        <f ca="1"/>
        <v>45976</v>
      </c>
      <c r="F44" s="51">
        <f ca="1"/>
        <v>45976</v>
      </c>
      <c r="G44" s="51">
        <f ca="1"/>
        <v>46157</v>
      </c>
      <c r="H44" s="70">
        <f ca="1"/>
        <v>181</v>
      </c>
      <c r="I44" s="46">
        <f ca="1"/>
        <v>0.49589041095890402</v>
      </c>
      <c r="J44" s="61">
        <f ca="1"/>
        <v>46157</v>
      </c>
      <c r="K44" s="62" t="str">
        <f ca="1"/>
        <v/>
      </c>
    </row>
    <row r="45" spans="2:11">
      <c r="B45" s="65"/>
      <c r="C45" s="23"/>
      <c r="E45" s="50">
        <f ca="1"/>
        <v>46157</v>
      </c>
      <c r="F45" s="51">
        <f ca="1"/>
        <v>46157</v>
      </c>
      <c r="G45" s="51">
        <f ca="1"/>
        <v>46341</v>
      </c>
      <c r="H45" s="70">
        <f ca="1"/>
        <v>184</v>
      </c>
      <c r="I45" s="46">
        <f ca="1"/>
        <v>0.50410958904109604</v>
      </c>
      <c r="J45" s="61">
        <f ca="1"/>
        <v>46341</v>
      </c>
      <c r="K45" s="62" t="str">
        <f ca="1"/>
        <v/>
      </c>
    </row>
    <row r="46" spans="2:11">
      <c r="B46" s="65"/>
      <c r="C46" s="23"/>
      <c r="E46" s="50" t="str">
        <f ca="1"/>
        <v/>
      </c>
      <c r="F46" s="51" t="str">
        <f ca="1"/>
        <v/>
      </c>
      <c r="G46" s="51" t="str">
        <f ca="1"/>
        <v/>
      </c>
      <c r="H46" s="70" t="str">
        <f ca="1"/>
        <v/>
      </c>
      <c r="I46" s="46" t="str">
        <f ca="1"/>
        <v/>
      </c>
      <c r="J46" s="61" t="str">
        <f ca="1"/>
        <v/>
      </c>
      <c r="K46" s="62" t="str">
        <f ca="1"/>
        <v/>
      </c>
    </row>
    <row r="47" spans="2:11">
      <c r="B47" s="65"/>
      <c r="C47" s="23"/>
      <c r="E47" s="50" t="str">
        <f ca="1"/>
        <v/>
      </c>
      <c r="F47" s="51" t="str">
        <f ca="1"/>
        <v/>
      </c>
      <c r="G47" s="51" t="str">
        <f ca="1"/>
        <v/>
      </c>
      <c r="H47" s="70" t="str">
        <f ca="1"/>
        <v/>
      </c>
      <c r="I47" s="46" t="str">
        <f ca="1"/>
        <v/>
      </c>
      <c r="J47" s="61" t="str">
        <f ca="1"/>
        <v/>
      </c>
      <c r="K47" s="62" t="str">
        <f ca="1"/>
        <v/>
      </c>
    </row>
    <row r="48" spans="2:11">
      <c r="B48" s="65"/>
      <c r="C48" s="23"/>
      <c r="E48" s="50" t="str">
        <f ca="1"/>
        <v/>
      </c>
      <c r="F48" s="51" t="str">
        <f ca="1"/>
        <v/>
      </c>
      <c r="G48" s="51" t="str">
        <f ca="1"/>
        <v/>
      </c>
      <c r="H48" s="70" t="str">
        <f ca="1"/>
        <v/>
      </c>
      <c r="I48" s="46" t="str">
        <f ca="1"/>
        <v/>
      </c>
      <c r="J48" s="61" t="str">
        <f ca="1"/>
        <v/>
      </c>
      <c r="K48" s="62" t="str">
        <f ca="1"/>
        <v/>
      </c>
    </row>
    <row r="49" spans="2:11">
      <c r="B49" s="65"/>
      <c r="C49" s="23"/>
      <c r="E49" s="50" t="str">
        <f ca="1"/>
        <v/>
      </c>
      <c r="F49" s="51" t="str">
        <f ca="1"/>
        <v/>
      </c>
      <c r="G49" s="51" t="str">
        <f ca="1"/>
        <v/>
      </c>
      <c r="H49" s="70" t="str">
        <f ca="1"/>
        <v/>
      </c>
      <c r="I49" s="46" t="str">
        <f ca="1"/>
        <v/>
      </c>
      <c r="J49" s="61" t="str">
        <f ca="1"/>
        <v/>
      </c>
      <c r="K49" s="62" t="str">
        <f ca="1"/>
        <v/>
      </c>
    </row>
    <row r="50" spans="2:11">
      <c r="B50" s="65"/>
      <c r="C50" s="23"/>
      <c r="E50" s="50" t="str">
        <f ca="1"/>
        <v/>
      </c>
      <c r="F50" s="51" t="str">
        <f ca="1"/>
        <v/>
      </c>
      <c r="G50" s="51" t="str">
        <f ca="1"/>
        <v/>
      </c>
      <c r="H50" s="70" t="str">
        <f ca="1"/>
        <v/>
      </c>
      <c r="I50" s="46" t="str">
        <f ca="1"/>
        <v/>
      </c>
      <c r="J50" s="61" t="str">
        <f ca="1"/>
        <v/>
      </c>
      <c r="K50" s="62" t="str">
        <f ca="1"/>
        <v/>
      </c>
    </row>
    <row r="51" spans="2:11">
      <c r="B51" s="68"/>
      <c r="C51" s="69"/>
      <c r="E51" s="52" t="str">
        <f ca="1"/>
        <v/>
      </c>
      <c r="F51" s="53" t="str">
        <f ca="1"/>
        <v/>
      </c>
      <c r="G51" s="53" t="str">
        <f ca="1"/>
        <v/>
      </c>
      <c r="H51" s="71" t="str">
        <f ca="1"/>
        <v/>
      </c>
      <c r="I51" s="48" t="str">
        <f ca="1"/>
        <v/>
      </c>
      <c r="J51" s="63" t="str">
        <f ca="1"/>
        <v/>
      </c>
      <c r="K51" s="64" t="str">
        <f ca="1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B2:M31"/>
  <sheetViews>
    <sheetView showGridLines="0" workbookViewId="0"/>
  </sheetViews>
  <sheetFormatPr defaultRowHeight="15"/>
  <sheetData>
    <row r="2" spans="2:13" s="82" customFormat="1" ht="20.25">
      <c r="B2" s="74" t="s">
        <v>247</v>
      </c>
    </row>
    <row r="3" spans="2:13" s="82" customFormat="1"/>
    <row r="4" spans="2:13">
      <c r="B4" s="1" t="s">
        <v>128</v>
      </c>
      <c r="F4" s="145" t="s">
        <v>293</v>
      </c>
      <c r="I4" s="145" t="s">
        <v>285</v>
      </c>
      <c r="L4" s="145" t="s">
        <v>289</v>
      </c>
    </row>
    <row r="5" spans="2:13">
      <c r="B5" s="2" t="s">
        <v>293</v>
      </c>
      <c r="F5" s="169" t="str">
        <f t="array" aca="1" ref="F5:G11" ca="1">_xll.meUtilityAppend(I5:J8,L5:M7)</f>
        <v>a</v>
      </c>
      <c r="G5" s="169">
        <f ca="1"/>
        <v>1</v>
      </c>
      <c r="I5" s="168" t="s">
        <v>284</v>
      </c>
      <c r="J5" s="168">
        <v>1</v>
      </c>
      <c r="K5" s="116"/>
      <c r="L5" s="168" t="s">
        <v>290</v>
      </c>
      <c r="M5" s="168">
        <v>5</v>
      </c>
    </row>
    <row r="6" spans="2:13">
      <c r="B6" s="2" t="s">
        <v>281</v>
      </c>
      <c r="F6" s="169" t="str">
        <f ca="1"/>
        <v>b</v>
      </c>
      <c r="G6" s="169">
        <f ca="1"/>
        <v>2</v>
      </c>
      <c r="I6" s="168" t="s">
        <v>287</v>
      </c>
      <c r="J6" s="168">
        <v>2</v>
      </c>
      <c r="K6" s="116"/>
      <c r="L6" s="168" t="s">
        <v>291</v>
      </c>
      <c r="M6" s="168">
        <v>6</v>
      </c>
    </row>
    <row r="7" spans="2:13">
      <c r="B7" s="2" t="s">
        <v>129</v>
      </c>
      <c r="F7" s="169" t="str">
        <f ca="1"/>
        <v>c</v>
      </c>
      <c r="G7" s="169">
        <f ca="1"/>
        <v>3</v>
      </c>
      <c r="I7" s="168" t="s">
        <v>286</v>
      </c>
      <c r="J7" s="168">
        <v>3</v>
      </c>
      <c r="K7" s="116"/>
      <c r="L7" s="168" t="s">
        <v>292</v>
      </c>
      <c r="M7" s="168">
        <v>7</v>
      </c>
    </row>
    <row r="8" spans="2:13">
      <c r="B8" s="2" t="s">
        <v>132</v>
      </c>
      <c r="F8" s="169" t="str">
        <f ca="1"/>
        <v>d</v>
      </c>
      <c r="G8" s="169">
        <f ca="1"/>
        <v>4</v>
      </c>
      <c r="I8" s="168" t="s">
        <v>288</v>
      </c>
      <c r="J8" s="168">
        <v>4</v>
      </c>
      <c r="K8" s="116"/>
      <c r="L8" s="116"/>
      <c r="M8" s="116"/>
    </row>
    <row r="9" spans="2:13">
      <c r="B9" s="2" t="s">
        <v>130</v>
      </c>
      <c r="F9" s="169" t="str">
        <f ca="1"/>
        <v>e</v>
      </c>
      <c r="G9" s="169">
        <f ca="1"/>
        <v>5</v>
      </c>
      <c r="I9" s="116"/>
      <c r="J9" s="116"/>
      <c r="K9" s="116"/>
      <c r="L9" s="116"/>
      <c r="M9" s="116"/>
    </row>
    <row r="10" spans="2:13">
      <c r="B10" s="2"/>
      <c r="F10" s="169" t="str">
        <f ca="1"/>
        <v>f</v>
      </c>
      <c r="G10" s="169">
        <f ca="1"/>
        <v>6</v>
      </c>
      <c r="I10" s="116"/>
      <c r="J10" s="116"/>
      <c r="K10" s="116"/>
      <c r="L10" s="116"/>
      <c r="M10" s="116"/>
    </row>
    <row r="11" spans="2:13">
      <c r="F11" s="169" t="str">
        <f ca="1"/>
        <v>g</v>
      </c>
      <c r="G11" s="169">
        <f ca="1"/>
        <v>7</v>
      </c>
      <c r="I11" s="116"/>
      <c r="J11" s="116"/>
      <c r="K11" s="116"/>
      <c r="L11" s="116"/>
      <c r="M11" s="116"/>
    </row>
    <row r="12" spans="2:13">
      <c r="F12" s="116"/>
      <c r="G12" s="116"/>
      <c r="H12" s="116"/>
      <c r="I12" s="116"/>
      <c r="J12" s="116"/>
      <c r="K12" s="116"/>
      <c r="L12" s="116"/>
      <c r="M12" s="116"/>
    </row>
    <row r="13" spans="2:13">
      <c r="F13" s="116"/>
      <c r="G13" s="116"/>
      <c r="H13" s="116"/>
      <c r="I13" s="116"/>
      <c r="J13" s="116"/>
      <c r="K13" s="116"/>
      <c r="L13" s="116"/>
      <c r="M13" s="116"/>
    </row>
    <row r="14" spans="2:13">
      <c r="F14" s="148" t="s">
        <v>281</v>
      </c>
      <c r="G14" s="116"/>
      <c r="H14" s="116"/>
      <c r="I14" s="145" t="s">
        <v>295</v>
      </c>
      <c r="K14" s="116"/>
      <c r="L14" s="116"/>
      <c r="M14" s="116"/>
    </row>
    <row r="15" spans="2:13">
      <c r="F15" s="169">
        <f t="array" aca="1" ref="F15:G19" ca="1">_xll.meUtilityClean(I15:J19)</f>
        <v>1</v>
      </c>
      <c r="G15" s="169">
        <f ca="1"/>
        <v>10</v>
      </c>
      <c r="H15" s="116"/>
      <c r="I15" s="168">
        <v>1</v>
      </c>
      <c r="J15" s="168">
        <v>10</v>
      </c>
      <c r="K15" s="116"/>
      <c r="L15" s="116"/>
      <c r="M15" s="116"/>
    </row>
    <row r="16" spans="2:13">
      <c r="F16" s="173">
        <f ca="1"/>
        <v>2</v>
      </c>
      <c r="G16" s="173">
        <f ca="1"/>
        <v>20</v>
      </c>
      <c r="I16" s="168">
        <v>2</v>
      </c>
      <c r="J16" s="168">
        <v>20</v>
      </c>
    </row>
    <row r="17" spans="6:10">
      <c r="F17" s="173">
        <f ca="1"/>
        <v>5</v>
      </c>
      <c r="G17" s="173">
        <f ca="1"/>
        <v>50</v>
      </c>
      <c r="I17" s="174" t="s">
        <v>294</v>
      </c>
      <c r="J17" s="171">
        <v>30</v>
      </c>
    </row>
    <row r="18" spans="6:10">
      <c r="F18" s="173" t="e">
        <f ca="1"/>
        <v>#N/A</v>
      </c>
      <c r="G18" s="173" t="e">
        <f ca="1"/>
        <v>#N/A</v>
      </c>
      <c r="I18" s="171">
        <v>4</v>
      </c>
      <c r="J18" s="174" t="s">
        <v>294</v>
      </c>
    </row>
    <row r="19" spans="6:10">
      <c r="F19" s="173" t="e">
        <f ca="1"/>
        <v>#N/A</v>
      </c>
      <c r="G19" s="173" t="e">
        <f ca="1"/>
        <v>#N/A</v>
      </c>
      <c r="I19" s="168">
        <v>5</v>
      </c>
      <c r="J19" s="168">
        <v>50</v>
      </c>
    </row>
    <row r="22" spans="6:10">
      <c r="F22" s="1" t="s">
        <v>129</v>
      </c>
    </row>
    <row r="23" spans="6:10">
      <c r="F23" s="36" t="s">
        <v>134</v>
      </c>
    </row>
    <row r="26" spans="6:10">
      <c r="F26" s="1" t="s">
        <v>132</v>
      </c>
    </row>
    <row r="27" spans="6:10">
      <c r="F27" s="84" t="s">
        <v>243</v>
      </c>
    </row>
    <row r="30" spans="6:10">
      <c r="F30" s="1" t="s">
        <v>130</v>
      </c>
    </row>
    <row r="31" spans="6:10">
      <c r="F31" s="36" t="str">
        <f ca="1">_xll.meUtilityVersion()</f>
        <v>MLIBQ_ADDIN: Version Number: 20190901.2121. Last built on Sep  1 2019 at 21:21:16. License will expire on Jan 1 2020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39933"/>
  </sheetPr>
  <dimension ref="B2:Q32"/>
  <sheetViews>
    <sheetView showGridLines="0" workbookViewId="0"/>
  </sheetViews>
  <sheetFormatPr defaultRowHeight="15"/>
  <cols>
    <col min="3" max="3" width="25.28515625" bestFit="1" customWidth="1"/>
    <col min="4" max="4" width="47" bestFit="1" customWidth="1"/>
  </cols>
  <sheetData>
    <row r="2" spans="2:17">
      <c r="B2" s="123"/>
      <c r="C2" s="176"/>
      <c r="D2" s="125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6"/>
    </row>
    <row r="3" spans="2:17">
      <c r="B3" s="127"/>
      <c r="C3" s="177" t="s">
        <v>297</v>
      </c>
      <c r="D3" s="178"/>
      <c r="E3" s="128" t="s">
        <v>6</v>
      </c>
      <c r="F3" s="177" t="s">
        <v>3</v>
      </c>
      <c r="G3" s="128"/>
      <c r="H3" s="128"/>
      <c r="I3" s="128"/>
      <c r="J3" s="128"/>
      <c r="K3" s="128"/>
      <c r="L3" s="177" t="s">
        <v>298</v>
      </c>
      <c r="M3" s="177"/>
      <c r="N3" s="128"/>
      <c r="O3" s="177" t="s">
        <v>299</v>
      </c>
      <c r="P3" s="128"/>
      <c r="Q3" s="140"/>
    </row>
    <row r="4" spans="2:17">
      <c r="B4" s="127" t="s">
        <v>6</v>
      </c>
      <c r="C4" s="178"/>
      <c r="D4" s="178"/>
      <c r="E4" s="128" t="s">
        <v>6</v>
      </c>
      <c r="F4" s="119" t="s">
        <v>8</v>
      </c>
      <c r="G4" s="119" t="s">
        <v>9</v>
      </c>
      <c r="H4" s="119" t="s">
        <v>10</v>
      </c>
      <c r="I4" s="119" t="s">
        <v>11</v>
      </c>
      <c r="J4" s="119" t="s">
        <v>12</v>
      </c>
      <c r="K4" s="128"/>
      <c r="L4" s="119" t="s">
        <v>8</v>
      </c>
      <c r="M4" s="119" t="s">
        <v>9</v>
      </c>
      <c r="N4" s="128"/>
      <c r="O4" s="119" t="s">
        <v>8</v>
      </c>
      <c r="P4" s="119" t="s">
        <v>9</v>
      </c>
      <c r="Q4" s="140"/>
    </row>
    <row r="5" spans="2:17">
      <c r="B5" s="127"/>
      <c r="C5" s="180" t="s">
        <v>5</v>
      </c>
      <c r="D5" s="181" t="s">
        <v>300</v>
      </c>
      <c r="E5" s="128" t="s">
        <v>6</v>
      </c>
      <c r="F5" s="210" t="s">
        <v>28</v>
      </c>
      <c r="G5" s="272">
        <v>2.12E-2</v>
      </c>
      <c r="H5" s="273"/>
      <c r="I5" s="274"/>
      <c r="J5" s="99" t="b">
        <v>1</v>
      </c>
      <c r="K5" s="206"/>
      <c r="L5" s="210" t="s">
        <v>27</v>
      </c>
      <c r="M5" s="275">
        <v>2.9250000000000001E-3</v>
      </c>
      <c r="N5" s="206"/>
      <c r="O5" s="210" t="s">
        <v>27</v>
      </c>
      <c r="P5" s="275">
        <v>1.7883E-2</v>
      </c>
      <c r="Q5" s="140"/>
    </row>
    <row r="6" spans="2:17">
      <c r="B6" s="127"/>
      <c r="C6" s="183" t="s">
        <v>301</v>
      </c>
      <c r="D6" s="184" t="s">
        <v>3</v>
      </c>
      <c r="E6" s="128" t="s">
        <v>6</v>
      </c>
      <c r="F6" s="218" t="s">
        <v>228</v>
      </c>
      <c r="G6" s="276">
        <v>2.12E-2</v>
      </c>
      <c r="H6" s="274"/>
      <c r="I6" s="274"/>
      <c r="J6" s="99" t="b">
        <v>1</v>
      </c>
      <c r="K6" s="206"/>
      <c r="L6" s="218" t="s">
        <v>30</v>
      </c>
      <c r="M6" s="277">
        <v>2.7875E-3</v>
      </c>
      <c r="N6" s="206"/>
      <c r="O6" s="218" t="s">
        <v>30</v>
      </c>
      <c r="P6" s="277">
        <v>1.5115E-2</v>
      </c>
      <c r="Q6" s="140"/>
    </row>
    <row r="7" spans="2:17">
      <c r="B7" s="127"/>
      <c r="C7" s="183" t="s">
        <v>302</v>
      </c>
      <c r="D7" s="184" t="s">
        <v>303</v>
      </c>
      <c r="E7" s="128" t="s">
        <v>6</v>
      </c>
      <c r="F7" s="218" t="s">
        <v>229</v>
      </c>
      <c r="G7" s="276">
        <v>2.121E-2</v>
      </c>
      <c r="H7" s="274"/>
      <c r="I7" s="274"/>
      <c r="J7" s="99" t="b">
        <v>1</v>
      </c>
      <c r="K7" s="206"/>
      <c r="L7" s="218" t="s">
        <v>31</v>
      </c>
      <c r="M7" s="277">
        <v>2.7000000000000001E-3</v>
      </c>
      <c r="N7" s="206"/>
      <c r="O7" s="218" t="s">
        <v>31</v>
      </c>
      <c r="P7" s="277">
        <v>1.3999999999999999E-2</v>
      </c>
      <c r="Q7" s="140"/>
    </row>
    <row r="8" spans="2:17">
      <c r="B8" s="127"/>
      <c r="C8" s="185" t="s">
        <v>4</v>
      </c>
      <c r="D8" s="186">
        <v>43710</v>
      </c>
      <c r="E8" s="128" t="s">
        <v>6</v>
      </c>
      <c r="F8" s="218" t="s">
        <v>230</v>
      </c>
      <c r="G8" s="276">
        <v>2.044E-2</v>
      </c>
      <c r="H8" s="274"/>
      <c r="I8" s="274"/>
      <c r="J8" s="99" t="b">
        <v>1</v>
      </c>
      <c r="K8" s="206"/>
      <c r="L8" s="218" t="s">
        <v>32</v>
      </c>
      <c r="M8" s="277">
        <v>2.65E-3</v>
      </c>
      <c r="N8" s="206"/>
      <c r="O8" s="218" t="s">
        <v>32</v>
      </c>
      <c r="P8" s="277">
        <v>1.3420000000000001E-2</v>
      </c>
      <c r="Q8" s="140"/>
    </row>
    <row r="9" spans="2:17">
      <c r="B9" s="127"/>
      <c r="C9" s="178"/>
      <c r="D9" s="178"/>
      <c r="E9" s="128" t="s">
        <v>6</v>
      </c>
      <c r="F9" s="218" t="s">
        <v>22</v>
      </c>
      <c r="G9" s="276">
        <v>1.9915000000000002E-2</v>
      </c>
      <c r="H9" s="274"/>
      <c r="I9" s="274"/>
      <c r="J9" s="99" t="b">
        <v>1</v>
      </c>
      <c r="K9" s="206"/>
      <c r="L9" s="218" t="s">
        <v>33</v>
      </c>
      <c r="M9" s="277">
        <v>2.6250000000000002E-3</v>
      </c>
      <c r="N9" s="206"/>
      <c r="O9" s="218" t="s">
        <v>33</v>
      </c>
      <c r="P9" s="277">
        <v>1.3182000000000001E-2</v>
      </c>
      <c r="Q9" s="140"/>
    </row>
    <row r="10" spans="2:17">
      <c r="B10" s="127"/>
      <c r="C10" s="128"/>
      <c r="D10" s="128"/>
      <c r="E10" s="128" t="s">
        <v>6</v>
      </c>
      <c r="F10" s="218" t="s">
        <v>231</v>
      </c>
      <c r="G10" s="276">
        <v>1.9086000000000002E-2</v>
      </c>
      <c r="H10" s="274"/>
      <c r="I10" s="274"/>
      <c r="J10" s="99" t="b">
        <v>1</v>
      </c>
      <c r="K10" s="206"/>
      <c r="L10" s="218" t="s">
        <v>35</v>
      </c>
      <c r="M10" s="277">
        <v>2.5875E-3</v>
      </c>
      <c r="N10" s="206"/>
      <c r="O10" s="218" t="s">
        <v>35</v>
      </c>
      <c r="P10" s="277">
        <v>1.3300000000000001E-2</v>
      </c>
      <c r="Q10" s="140"/>
    </row>
    <row r="11" spans="2:17">
      <c r="B11" s="127"/>
      <c r="C11" s="192" t="s">
        <v>304</v>
      </c>
      <c r="D11" s="178"/>
      <c r="E11" s="128" t="s">
        <v>6</v>
      </c>
      <c r="F11" s="218" t="s">
        <v>232</v>
      </c>
      <c r="G11" s="276">
        <v>1.8440000000000002E-2</v>
      </c>
      <c r="H11" s="274"/>
      <c r="I11" s="274"/>
      <c r="J11" s="99" t="b">
        <v>1</v>
      </c>
      <c r="K11" s="206"/>
      <c r="L11" s="218" t="s">
        <v>38</v>
      </c>
      <c r="M11" s="277">
        <v>2.5374999999999998E-3</v>
      </c>
      <c r="N11" s="206"/>
      <c r="O11" s="218" t="s">
        <v>38</v>
      </c>
      <c r="P11" s="277">
        <v>1.3892E-2</v>
      </c>
      <c r="Q11" s="140"/>
    </row>
    <row r="12" spans="2:17">
      <c r="B12" s="127"/>
      <c r="C12" s="188" t="s">
        <v>305</v>
      </c>
      <c r="D12" s="189" t="s">
        <v>306</v>
      </c>
      <c r="E12" s="128" t="s">
        <v>6</v>
      </c>
      <c r="F12" s="218" t="s">
        <v>233</v>
      </c>
      <c r="G12" s="276">
        <v>1.7793E-2</v>
      </c>
      <c r="H12" s="274"/>
      <c r="I12" s="274"/>
      <c r="J12" s="99" t="b">
        <v>1</v>
      </c>
      <c r="K12" s="206"/>
      <c r="L12" s="218" t="s">
        <v>39</v>
      </c>
      <c r="M12" s="277">
        <v>2.4815000000000002E-3</v>
      </c>
      <c r="N12" s="206"/>
      <c r="O12" s="218" t="s">
        <v>39</v>
      </c>
      <c r="P12" s="277">
        <v>1.4280999999999999E-2</v>
      </c>
      <c r="Q12" s="140"/>
    </row>
    <row r="13" spans="2:17">
      <c r="B13" s="127"/>
      <c r="C13" s="190" t="s">
        <v>307</v>
      </c>
      <c r="D13" s="466" t="str">
        <f ca="1">_xll.meLWOCurveMarketDataCreate(D12,C3,C5:D8,F3,F5:J30,L3,L5:M30,O3,O5:P30)</f>
        <v>USD_OIS_CURVE_MARKETDATA@177:0</v>
      </c>
      <c r="E13" s="128" t="s">
        <v>6</v>
      </c>
      <c r="F13" s="218" t="s">
        <v>234</v>
      </c>
      <c r="G13" s="276">
        <v>1.7319000000000001E-2</v>
      </c>
      <c r="H13" s="274"/>
      <c r="I13" s="274"/>
      <c r="J13" s="99" t="b">
        <v>1</v>
      </c>
      <c r="K13" s="206"/>
      <c r="L13" s="218" t="s">
        <v>40</v>
      </c>
      <c r="M13" s="277">
        <v>2.4624999999999998E-3</v>
      </c>
      <c r="N13" s="206"/>
      <c r="O13" s="218" t="s">
        <v>40</v>
      </c>
      <c r="P13" s="277">
        <v>1.4751E-2</v>
      </c>
      <c r="Q13" s="140"/>
    </row>
    <row r="14" spans="2:17">
      <c r="B14" s="127"/>
      <c r="C14" s="128"/>
      <c r="D14" s="128"/>
      <c r="E14" s="128" t="s">
        <v>6</v>
      </c>
      <c r="F14" s="218" t="s">
        <v>21</v>
      </c>
      <c r="G14" s="276">
        <v>1.6830000000000001E-2</v>
      </c>
      <c r="H14" s="274"/>
      <c r="I14" s="274"/>
      <c r="J14" s="99" t="b">
        <v>1</v>
      </c>
      <c r="K14" s="206"/>
      <c r="L14" s="218" t="s">
        <v>41</v>
      </c>
      <c r="M14" s="277">
        <v>2.4250000000000001E-3</v>
      </c>
      <c r="N14" s="206"/>
      <c r="O14" s="218" t="s">
        <v>41</v>
      </c>
      <c r="P14" s="277">
        <v>1.5195E-2</v>
      </c>
      <c r="Q14" s="140"/>
    </row>
    <row r="15" spans="2:17">
      <c r="B15" s="127"/>
      <c r="C15" s="128"/>
      <c r="D15" s="128"/>
      <c r="E15" s="128" t="s">
        <v>6</v>
      </c>
      <c r="F15" s="218" t="s">
        <v>235</v>
      </c>
      <c r="G15" s="276">
        <v>1.5644999999999999E-2</v>
      </c>
      <c r="H15" s="274"/>
      <c r="I15" s="274"/>
      <c r="J15" s="99" t="b">
        <v>1</v>
      </c>
      <c r="K15" s="206"/>
      <c r="L15" s="218" t="s">
        <v>42</v>
      </c>
      <c r="M15" s="277">
        <v>2.4125000000000001E-3</v>
      </c>
      <c r="N15" s="206"/>
      <c r="O15" s="218" t="s">
        <v>42</v>
      </c>
      <c r="P15" s="277">
        <v>1.5453E-2</v>
      </c>
      <c r="Q15" s="140"/>
    </row>
    <row r="16" spans="2:17">
      <c r="B16" s="127"/>
      <c r="C16" s="128"/>
      <c r="D16" s="128"/>
      <c r="E16" s="128" t="s">
        <v>6</v>
      </c>
      <c r="F16" s="218"/>
      <c r="G16" s="276"/>
      <c r="H16" s="274"/>
      <c r="I16" s="274"/>
      <c r="J16" s="99"/>
      <c r="K16" s="206"/>
      <c r="L16" s="218" t="s">
        <v>43</v>
      </c>
      <c r="M16" s="277">
        <v>2.4125000000000001E-3</v>
      </c>
      <c r="N16" s="206"/>
      <c r="O16" s="218" t="s">
        <v>43</v>
      </c>
      <c r="P16" s="277">
        <v>1.5507E-2</v>
      </c>
      <c r="Q16" s="140"/>
    </row>
    <row r="17" spans="2:17">
      <c r="B17" s="127"/>
      <c r="C17" s="128"/>
      <c r="D17" s="128"/>
      <c r="E17" s="128" t="s">
        <v>6</v>
      </c>
      <c r="F17" s="218"/>
      <c r="G17" s="276"/>
      <c r="H17" s="274"/>
      <c r="I17" s="274"/>
      <c r="J17" s="99"/>
      <c r="K17" s="206"/>
      <c r="L17" s="218"/>
      <c r="M17" s="277"/>
      <c r="N17" s="202"/>
      <c r="O17" s="218"/>
      <c r="P17" s="277"/>
      <c r="Q17" s="191"/>
    </row>
    <row r="18" spans="2:17">
      <c r="B18" s="127"/>
      <c r="C18" s="192" t="s">
        <v>308</v>
      </c>
      <c r="D18" s="178"/>
      <c r="E18" s="128" t="s">
        <v>6</v>
      </c>
      <c r="F18" s="218"/>
      <c r="G18" s="276"/>
      <c r="H18" s="274"/>
      <c r="I18" s="274"/>
      <c r="J18" s="99"/>
      <c r="K18" s="206"/>
      <c r="L18" s="218"/>
      <c r="M18" s="277"/>
      <c r="N18" s="202"/>
      <c r="O18" s="218"/>
      <c r="P18" s="277"/>
      <c r="Q18" s="191"/>
    </row>
    <row r="19" spans="2:17">
      <c r="B19" s="127"/>
      <c r="C19" s="193" t="s">
        <v>305</v>
      </c>
      <c r="D19" s="194" t="s">
        <v>309</v>
      </c>
      <c r="E19" s="128" t="s">
        <v>6</v>
      </c>
      <c r="F19" s="218"/>
      <c r="G19" s="276"/>
      <c r="H19" s="274"/>
      <c r="I19" s="274"/>
      <c r="J19" s="99"/>
      <c r="K19" s="206"/>
      <c r="L19" s="218"/>
      <c r="M19" s="277"/>
      <c r="N19" s="206"/>
      <c r="O19" s="218"/>
      <c r="P19" s="277"/>
      <c r="Q19" s="140"/>
    </row>
    <row r="20" spans="2:17">
      <c r="B20" s="127"/>
      <c r="C20" s="195" t="s">
        <v>310</v>
      </c>
      <c r="D20" s="110" t="s">
        <v>311</v>
      </c>
      <c r="E20" s="128" t="s">
        <v>6</v>
      </c>
      <c r="F20" s="218"/>
      <c r="G20" s="276"/>
      <c r="H20" s="274"/>
      <c r="I20" s="274"/>
      <c r="J20" s="99"/>
      <c r="K20" s="206"/>
      <c r="L20" s="218"/>
      <c r="M20" s="277"/>
      <c r="N20" s="206"/>
      <c r="O20" s="218"/>
      <c r="P20" s="277"/>
      <c r="Q20" s="140"/>
    </row>
    <row r="21" spans="2:17">
      <c r="B21" s="127"/>
      <c r="C21" s="195" t="s">
        <v>312</v>
      </c>
      <c r="D21" s="110" t="s">
        <v>313</v>
      </c>
      <c r="E21" s="128" t="s">
        <v>6</v>
      </c>
      <c r="F21" s="218"/>
      <c r="G21" s="276"/>
      <c r="H21" s="274"/>
      <c r="I21" s="274"/>
      <c r="J21" s="99"/>
      <c r="K21" s="206"/>
      <c r="L21" s="218"/>
      <c r="M21" s="277"/>
      <c r="N21" s="206"/>
      <c r="O21" s="218"/>
      <c r="P21" s="277"/>
      <c r="Q21" s="140"/>
    </row>
    <row r="22" spans="2:17">
      <c r="B22" s="127"/>
      <c r="C22" s="196" t="s">
        <v>314</v>
      </c>
      <c r="D22" s="111"/>
      <c r="E22" s="128" t="s">
        <v>6</v>
      </c>
      <c r="F22" s="218"/>
      <c r="G22" s="276"/>
      <c r="H22" s="274"/>
      <c r="I22" s="274"/>
      <c r="J22" s="99"/>
      <c r="K22" s="206"/>
      <c r="L22" s="218"/>
      <c r="M22" s="277"/>
      <c r="N22" s="206"/>
      <c r="O22" s="218"/>
      <c r="P22" s="277"/>
      <c r="Q22" s="140"/>
    </row>
    <row r="23" spans="2:17">
      <c r="B23" s="127"/>
      <c r="C23" s="128"/>
      <c r="D23" s="128"/>
      <c r="E23" s="128" t="s">
        <v>6</v>
      </c>
      <c r="F23" s="218"/>
      <c r="G23" s="276"/>
      <c r="H23" s="274"/>
      <c r="I23" s="274"/>
      <c r="J23" s="99"/>
      <c r="K23" s="206"/>
      <c r="L23" s="218"/>
      <c r="M23" s="277"/>
      <c r="N23" s="206"/>
      <c r="O23" s="218"/>
      <c r="P23" s="277"/>
      <c r="Q23" s="140"/>
    </row>
    <row r="24" spans="2:17">
      <c r="B24" s="127"/>
      <c r="C24" s="128"/>
      <c r="D24" s="128"/>
      <c r="E24" s="128" t="s">
        <v>6</v>
      </c>
      <c r="F24" s="218"/>
      <c r="G24" s="276"/>
      <c r="H24" s="274"/>
      <c r="I24" s="274"/>
      <c r="J24" s="99"/>
      <c r="K24" s="206"/>
      <c r="L24" s="218"/>
      <c r="M24" s="277"/>
      <c r="N24" s="206"/>
      <c r="O24" s="218"/>
      <c r="P24" s="277"/>
      <c r="Q24" s="140"/>
    </row>
    <row r="25" spans="2:17">
      <c r="B25" s="127"/>
      <c r="C25" s="128"/>
      <c r="D25" s="128"/>
      <c r="E25" s="128" t="s">
        <v>6</v>
      </c>
      <c r="F25" s="218"/>
      <c r="G25" s="276"/>
      <c r="H25" s="274"/>
      <c r="I25" s="274"/>
      <c r="J25" s="99"/>
      <c r="K25" s="206"/>
      <c r="L25" s="218"/>
      <c r="M25" s="277"/>
      <c r="N25" s="206"/>
      <c r="O25" s="218"/>
      <c r="P25" s="277"/>
      <c r="Q25" s="140"/>
    </row>
    <row r="26" spans="2:17">
      <c r="B26" s="127"/>
      <c r="C26" s="192" t="s">
        <v>315</v>
      </c>
      <c r="D26" s="128"/>
      <c r="E26" s="128" t="s">
        <v>6</v>
      </c>
      <c r="F26" s="218"/>
      <c r="G26" s="276"/>
      <c r="H26" s="274"/>
      <c r="I26" s="274"/>
      <c r="J26" s="99"/>
      <c r="K26" s="206"/>
      <c r="L26" s="218"/>
      <c r="M26" s="277"/>
      <c r="N26" s="206"/>
      <c r="O26" s="218"/>
      <c r="P26" s="277"/>
      <c r="Q26" s="140"/>
    </row>
    <row r="27" spans="2:17">
      <c r="B27" s="127"/>
      <c r="C27" s="21" t="s">
        <v>305</v>
      </c>
      <c r="D27" s="467" t="str">
        <f t="array" aca="1" ref="D27:D30" ca="1">_xll.meLWOCurveCalibrate(D19,D20,D13,D21,D22)</f>
        <v>USD_OIS_CURVE@178:0</v>
      </c>
      <c r="E27" s="128" t="s">
        <v>6</v>
      </c>
      <c r="F27" s="218"/>
      <c r="G27" s="276"/>
      <c r="H27" s="274"/>
      <c r="I27" s="274"/>
      <c r="J27" s="99"/>
      <c r="K27" s="206"/>
      <c r="L27" s="218"/>
      <c r="M27" s="277"/>
      <c r="N27" s="206"/>
      <c r="O27" s="218"/>
      <c r="P27" s="277"/>
      <c r="Q27" s="140"/>
    </row>
    <row r="28" spans="2:17">
      <c r="B28" s="127"/>
      <c r="C28" s="118" t="s">
        <v>251</v>
      </c>
      <c r="D28" s="197" t="str">
        <f ca="1"/>
        <v>USDYC</v>
      </c>
      <c r="E28" s="128" t="s">
        <v>6</v>
      </c>
      <c r="F28" s="218"/>
      <c r="G28" s="276"/>
      <c r="H28" s="274"/>
      <c r="I28" s="274"/>
      <c r="J28" s="99"/>
      <c r="K28" s="206"/>
      <c r="L28" s="218"/>
      <c r="M28" s="277"/>
      <c r="N28" s="206"/>
      <c r="O28" s="218"/>
      <c r="P28" s="277"/>
      <c r="Q28" s="140"/>
    </row>
    <row r="29" spans="2:17">
      <c r="B29" s="127"/>
      <c r="C29" s="118" t="s">
        <v>316</v>
      </c>
      <c r="D29" s="197" t="str">
        <f ca="1"/>
        <v>OIS:USDOIS:USDDF:USDDF_USDCSA:USDDF_NOCSA</v>
      </c>
      <c r="E29" s="128" t="s">
        <v>6</v>
      </c>
      <c r="F29" s="218"/>
      <c r="G29" s="276"/>
      <c r="H29" s="274"/>
      <c r="I29" s="274"/>
      <c r="J29" s="199"/>
      <c r="K29" s="206"/>
      <c r="L29" s="218"/>
      <c r="M29" s="277"/>
      <c r="N29" s="206"/>
      <c r="O29" s="218"/>
      <c r="P29" s="277"/>
      <c r="Q29" s="140"/>
    </row>
    <row r="30" spans="2:17">
      <c r="B30" s="127"/>
      <c r="C30" s="24" t="s">
        <v>317</v>
      </c>
      <c r="D30" s="198" t="str">
        <f ca="1"/>
        <v>0.04800 sec</v>
      </c>
      <c r="E30" s="128" t="s">
        <v>6</v>
      </c>
      <c r="F30" s="112"/>
      <c r="G30" s="278"/>
      <c r="H30" s="113"/>
      <c r="I30" s="113"/>
      <c r="J30" s="114"/>
      <c r="K30" s="206"/>
      <c r="L30" s="112"/>
      <c r="M30" s="231"/>
      <c r="N30" s="206"/>
      <c r="O30" s="112"/>
      <c r="P30" s="231"/>
      <c r="Q30" s="140"/>
    </row>
    <row r="31" spans="2:17">
      <c r="B31" s="127"/>
      <c r="C31" s="200" t="s">
        <v>318</v>
      </c>
      <c r="D31" s="201" t="b">
        <f ca="1">_xll.meLWOExists(D27,"CURVE")</f>
        <v>1</v>
      </c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40"/>
    </row>
    <row r="32" spans="2:17">
      <c r="B32" s="130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31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39933"/>
  </sheetPr>
  <dimension ref="B2:R32"/>
  <sheetViews>
    <sheetView showGridLines="0" workbookViewId="0"/>
  </sheetViews>
  <sheetFormatPr defaultRowHeight="15"/>
  <cols>
    <col min="3" max="3" width="25.28515625" bestFit="1" customWidth="1"/>
    <col min="4" max="4" width="40.7109375" bestFit="1" customWidth="1"/>
    <col min="9" max="9" width="11.5703125" bestFit="1" customWidth="1"/>
    <col min="10" max="11" width="9.85546875" bestFit="1" customWidth="1"/>
  </cols>
  <sheetData>
    <row r="2" spans="2:18">
      <c r="B2" s="243"/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5"/>
    </row>
    <row r="3" spans="2:18">
      <c r="B3" s="246"/>
      <c r="C3" s="177" t="s">
        <v>297</v>
      </c>
      <c r="D3" s="128"/>
      <c r="E3" s="128"/>
      <c r="F3" s="177" t="s">
        <v>319</v>
      </c>
      <c r="G3" s="128"/>
      <c r="H3" s="128"/>
      <c r="I3" s="177" t="s">
        <v>320</v>
      </c>
      <c r="J3" s="203"/>
      <c r="K3" s="128"/>
      <c r="L3" s="128"/>
      <c r="M3" s="128"/>
      <c r="N3" s="128"/>
      <c r="O3" s="177" t="s">
        <v>299</v>
      </c>
      <c r="P3" s="128"/>
      <c r="Q3" s="128"/>
      <c r="R3" s="247"/>
    </row>
    <row r="4" spans="2:18">
      <c r="B4" s="246"/>
      <c r="C4" s="204" t="s">
        <v>5</v>
      </c>
      <c r="D4" s="205" t="s">
        <v>300</v>
      </c>
      <c r="E4" s="128" t="s">
        <v>6</v>
      </c>
      <c r="F4" s="178" t="s">
        <v>8</v>
      </c>
      <c r="G4" s="178" t="s">
        <v>9</v>
      </c>
      <c r="H4" s="206"/>
      <c r="I4" s="207" t="s">
        <v>8</v>
      </c>
      <c r="J4" s="207" t="s">
        <v>10</v>
      </c>
      <c r="K4" s="207" t="s">
        <v>11</v>
      </c>
      <c r="L4" s="207" t="s">
        <v>9</v>
      </c>
      <c r="M4" s="207" t="s">
        <v>23</v>
      </c>
      <c r="N4" s="206"/>
      <c r="O4" s="134" t="s">
        <v>8</v>
      </c>
      <c r="P4" s="178" t="s">
        <v>9</v>
      </c>
      <c r="Q4" s="178" t="s">
        <v>12</v>
      </c>
      <c r="R4" s="247"/>
    </row>
    <row r="5" spans="2:18">
      <c r="B5" s="246"/>
      <c r="C5" s="208" t="s">
        <v>301</v>
      </c>
      <c r="D5" s="209" t="s">
        <v>321</v>
      </c>
      <c r="E5" s="128" t="s">
        <v>6</v>
      </c>
      <c r="F5" s="210" t="s">
        <v>232</v>
      </c>
      <c r="G5" s="211">
        <v>2.1327500000000003E-2</v>
      </c>
      <c r="H5" s="128"/>
      <c r="I5" s="212" t="s">
        <v>325</v>
      </c>
      <c r="J5" s="213">
        <v>43726</v>
      </c>
      <c r="K5" s="213">
        <v>43817</v>
      </c>
      <c r="L5" s="214">
        <v>97.9375</v>
      </c>
      <c r="M5" s="215">
        <v>7.0000000000000001E-3</v>
      </c>
      <c r="N5" s="128"/>
      <c r="O5" s="212" t="s">
        <v>31</v>
      </c>
      <c r="P5" s="216">
        <v>1.3999999999999999E-2</v>
      </c>
      <c r="Q5" s="217" t="b">
        <v>1</v>
      </c>
      <c r="R5" s="247"/>
    </row>
    <row r="6" spans="2:18">
      <c r="B6" s="246"/>
      <c r="C6" s="208" t="s">
        <v>302</v>
      </c>
      <c r="D6" s="209" t="s">
        <v>20</v>
      </c>
      <c r="E6" s="128" t="s">
        <v>6</v>
      </c>
      <c r="F6" s="218" t="s">
        <v>21</v>
      </c>
      <c r="G6" s="219">
        <v>2.0240000000000001E-2</v>
      </c>
      <c r="H6" s="128"/>
      <c r="I6" s="220" t="s">
        <v>326</v>
      </c>
      <c r="J6" s="221">
        <v>43817</v>
      </c>
      <c r="K6" s="221">
        <v>43908</v>
      </c>
      <c r="L6" s="222">
        <v>98.14</v>
      </c>
      <c r="M6" s="223">
        <v>7.0000000000000001E-3</v>
      </c>
      <c r="N6" s="128"/>
      <c r="O6" s="220" t="s">
        <v>32</v>
      </c>
      <c r="P6" s="224">
        <v>1.3420000000000001E-2</v>
      </c>
      <c r="Q6" s="137" t="b">
        <v>1</v>
      </c>
      <c r="R6" s="247"/>
    </row>
    <row r="7" spans="2:18">
      <c r="B7" s="246"/>
      <c r="C7" s="208" t="s">
        <v>4</v>
      </c>
      <c r="D7" s="225">
        <v>43710</v>
      </c>
      <c r="E7" s="128" t="s">
        <v>6</v>
      </c>
      <c r="F7" s="218"/>
      <c r="G7" s="219"/>
      <c r="H7" s="128"/>
      <c r="I7" s="220" t="s">
        <v>327</v>
      </c>
      <c r="J7" s="226">
        <v>43908</v>
      </c>
      <c r="K7" s="226">
        <v>43999</v>
      </c>
      <c r="L7" s="222">
        <v>98.45</v>
      </c>
      <c r="M7" s="227">
        <v>7.0000000000000001E-3</v>
      </c>
      <c r="N7" s="128"/>
      <c r="O7" s="220" t="s">
        <v>33</v>
      </c>
      <c r="P7" s="224">
        <v>1.3182000000000001E-2</v>
      </c>
      <c r="Q7" s="137" t="b">
        <v>1</v>
      </c>
      <c r="R7" s="247"/>
    </row>
    <row r="8" spans="2:18">
      <c r="B8" s="246"/>
      <c r="C8" s="228"/>
      <c r="D8" s="229"/>
      <c r="E8" s="128" t="s">
        <v>6</v>
      </c>
      <c r="F8" s="218"/>
      <c r="G8" s="219"/>
      <c r="H8" s="128"/>
      <c r="I8" s="220" t="s">
        <v>328</v>
      </c>
      <c r="J8" s="226">
        <v>43999</v>
      </c>
      <c r="K8" s="226">
        <v>44090</v>
      </c>
      <c r="L8" s="222">
        <v>98.6</v>
      </c>
      <c r="M8" s="227">
        <v>7.0000000000000001E-3</v>
      </c>
      <c r="N8" s="128"/>
      <c r="O8" s="220" t="s">
        <v>35</v>
      </c>
      <c r="P8" s="224">
        <v>1.3300000000000001E-2</v>
      </c>
      <c r="Q8" s="137" t="b">
        <v>1</v>
      </c>
      <c r="R8" s="247"/>
    </row>
    <row r="9" spans="2:18">
      <c r="B9" s="246"/>
      <c r="C9" s="190"/>
      <c r="D9" s="230"/>
      <c r="E9" s="128" t="s">
        <v>6</v>
      </c>
      <c r="F9" s="136"/>
      <c r="G9" s="231"/>
      <c r="H9" s="128"/>
      <c r="I9" s="220" t="s">
        <v>329</v>
      </c>
      <c r="J9" s="226">
        <v>44090</v>
      </c>
      <c r="K9" s="226">
        <v>44181</v>
      </c>
      <c r="L9" s="222">
        <v>98.704999999999998</v>
      </c>
      <c r="M9" s="227">
        <v>7.0000000000000001E-3</v>
      </c>
      <c r="N9" s="128"/>
      <c r="O9" s="220" t="s">
        <v>36</v>
      </c>
      <c r="P9" s="224">
        <v>1.3429999999999999E-2</v>
      </c>
      <c r="Q9" s="137" t="b">
        <v>1</v>
      </c>
      <c r="R9" s="247"/>
    </row>
    <row r="10" spans="2:18">
      <c r="B10" s="246"/>
      <c r="C10" s="128"/>
      <c r="D10" s="128"/>
      <c r="E10" s="128" t="s">
        <v>6</v>
      </c>
      <c r="F10" s="128"/>
      <c r="G10" s="128"/>
      <c r="H10" s="128"/>
      <c r="I10" s="220" t="s">
        <v>330</v>
      </c>
      <c r="J10" s="226">
        <v>44181</v>
      </c>
      <c r="K10" s="226">
        <v>44272</v>
      </c>
      <c r="L10" s="222">
        <v>98.73</v>
      </c>
      <c r="M10" s="227">
        <v>7.0000000000000001E-3</v>
      </c>
      <c r="N10" s="128"/>
      <c r="O10" s="220" t="s">
        <v>37</v>
      </c>
      <c r="P10" s="224">
        <v>1.363E-2</v>
      </c>
      <c r="Q10" s="137" t="b">
        <v>1</v>
      </c>
      <c r="R10" s="247"/>
    </row>
    <row r="11" spans="2:18">
      <c r="B11" s="246"/>
      <c r="C11" s="192" t="s">
        <v>304</v>
      </c>
      <c r="D11" s="178"/>
      <c r="E11" s="128" t="s">
        <v>6</v>
      </c>
      <c r="F11" s="128"/>
      <c r="G11" s="128"/>
      <c r="H11" s="128"/>
      <c r="I11" s="220" t="s">
        <v>331</v>
      </c>
      <c r="J11" s="226">
        <v>44272</v>
      </c>
      <c r="K11" s="226">
        <v>44363</v>
      </c>
      <c r="L11" s="222">
        <v>98.825000000000003</v>
      </c>
      <c r="M11" s="227">
        <v>7.0000000000000001E-3</v>
      </c>
      <c r="N11" s="128"/>
      <c r="O11" s="220" t="s">
        <v>38</v>
      </c>
      <c r="P11" s="224">
        <v>1.3892E-2</v>
      </c>
      <c r="Q11" s="137" t="b">
        <v>1</v>
      </c>
      <c r="R11" s="247"/>
    </row>
    <row r="12" spans="2:18">
      <c r="B12" s="246"/>
      <c r="C12" s="188" t="s">
        <v>305</v>
      </c>
      <c r="D12" s="189" t="s">
        <v>322</v>
      </c>
      <c r="E12" s="128" t="s">
        <v>6</v>
      </c>
      <c r="F12" s="128"/>
      <c r="G12" s="128"/>
      <c r="H12" s="128"/>
      <c r="I12" s="220" t="s">
        <v>332</v>
      </c>
      <c r="J12" s="226">
        <v>44363</v>
      </c>
      <c r="K12" s="226">
        <v>44454</v>
      </c>
      <c r="L12" s="222">
        <v>98.844999999999999</v>
      </c>
      <c r="M12" s="227">
        <v>7.0000000000000001E-3</v>
      </c>
      <c r="N12" s="279"/>
      <c r="O12" s="220" t="s">
        <v>39</v>
      </c>
      <c r="P12" s="224">
        <v>1.4280999999999999E-2</v>
      </c>
      <c r="Q12" s="137" t="b">
        <v>1</v>
      </c>
      <c r="R12" s="247"/>
    </row>
    <row r="13" spans="2:18">
      <c r="B13" s="246"/>
      <c r="C13" s="190" t="s">
        <v>307</v>
      </c>
      <c r="D13" s="466" t="str">
        <f ca="1">_xll.meLWOCurveMarketDataCreate(D12,C3,C4:D9,F3,F5:G9,I3,I5:M30,O3,O5:Q30)</f>
        <v>USD_SWAP_3M_CURVE_MARKETDATA@175:1</v>
      </c>
      <c r="E13" s="128" t="s">
        <v>6</v>
      </c>
      <c r="F13" s="128"/>
      <c r="G13" s="128"/>
      <c r="H13" s="128"/>
      <c r="I13" s="220"/>
      <c r="J13" s="226"/>
      <c r="K13" s="226"/>
      <c r="L13" s="222"/>
      <c r="M13" s="227"/>
      <c r="N13" s="128"/>
      <c r="O13" s="220" t="s">
        <v>40</v>
      </c>
      <c r="P13" s="224">
        <v>1.4751E-2</v>
      </c>
      <c r="Q13" s="137" t="b">
        <v>1</v>
      </c>
      <c r="R13" s="247"/>
    </row>
    <row r="14" spans="2:18">
      <c r="B14" s="246"/>
      <c r="C14" s="128"/>
      <c r="D14" s="128"/>
      <c r="E14" s="128" t="s">
        <v>6</v>
      </c>
      <c r="F14" s="128"/>
      <c r="G14" s="128"/>
      <c r="H14" s="128"/>
      <c r="I14" s="220"/>
      <c r="J14" s="226"/>
      <c r="K14" s="226"/>
      <c r="L14" s="222"/>
      <c r="M14" s="227"/>
      <c r="N14" s="128"/>
      <c r="O14" s="220" t="s">
        <v>41</v>
      </c>
      <c r="P14" s="224">
        <v>1.5195E-2</v>
      </c>
      <c r="Q14" s="137" t="b">
        <v>1</v>
      </c>
      <c r="R14" s="247"/>
    </row>
    <row r="15" spans="2:18">
      <c r="B15" s="246"/>
      <c r="C15" s="128"/>
      <c r="D15" s="128"/>
      <c r="E15" s="128" t="s">
        <v>6</v>
      </c>
      <c r="F15" s="128"/>
      <c r="G15" s="128"/>
      <c r="H15" s="128"/>
      <c r="I15" s="220"/>
      <c r="J15" s="226"/>
      <c r="K15" s="226"/>
      <c r="L15" s="222"/>
      <c r="M15" s="227"/>
      <c r="N15" s="128"/>
      <c r="O15" s="220" t="s">
        <v>42</v>
      </c>
      <c r="P15" s="224">
        <v>1.5453E-2</v>
      </c>
      <c r="Q15" s="137" t="b">
        <v>1</v>
      </c>
      <c r="R15" s="247"/>
    </row>
    <row r="16" spans="2:18">
      <c r="B16" s="246"/>
      <c r="C16" s="128"/>
      <c r="D16" s="128"/>
      <c r="E16" s="128" t="s">
        <v>6</v>
      </c>
      <c r="F16" s="128"/>
      <c r="G16" s="128"/>
      <c r="H16" s="128"/>
      <c r="I16" s="220"/>
      <c r="J16" s="226"/>
      <c r="K16" s="226"/>
      <c r="L16" s="222"/>
      <c r="M16" s="227"/>
      <c r="N16" s="128"/>
      <c r="O16" s="220" t="s">
        <v>43</v>
      </c>
      <c r="P16" s="224">
        <v>1.5507E-2</v>
      </c>
      <c r="Q16" s="137" t="b">
        <v>1</v>
      </c>
      <c r="R16" s="247"/>
    </row>
    <row r="17" spans="2:18">
      <c r="B17" s="246"/>
      <c r="C17" s="128"/>
      <c r="D17" s="128"/>
      <c r="E17" s="128" t="s">
        <v>6</v>
      </c>
      <c r="F17" s="128"/>
      <c r="G17" s="128"/>
      <c r="H17" s="128"/>
      <c r="I17" s="220"/>
      <c r="J17" s="226"/>
      <c r="K17" s="226"/>
      <c r="L17" s="222"/>
      <c r="M17" s="227"/>
      <c r="N17" s="128"/>
      <c r="O17" s="232"/>
      <c r="P17" s="233"/>
      <c r="Q17" s="234"/>
      <c r="R17" s="248"/>
    </row>
    <row r="18" spans="2:18">
      <c r="B18" s="246"/>
      <c r="C18" s="128"/>
      <c r="D18" s="128"/>
      <c r="E18" s="128" t="s">
        <v>6</v>
      </c>
      <c r="F18" s="128"/>
      <c r="G18" s="128"/>
      <c r="H18" s="128"/>
      <c r="I18" s="220"/>
      <c r="J18" s="226"/>
      <c r="K18" s="226"/>
      <c r="L18" s="222"/>
      <c r="M18" s="227"/>
      <c r="N18" s="128"/>
      <c r="O18" s="232"/>
      <c r="P18" s="233"/>
      <c r="Q18" s="234"/>
      <c r="R18" s="248"/>
    </row>
    <row r="19" spans="2:18">
      <c r="B19" s="246"/>
      <c r="C19" s="192" t="s">
        <v>308</v>
      </c>
      <c r="D19" s="235"/>
      <c r="E19" s="128" t="s">
        <v>6</v>
      </c>
      <c r="F19" s="128"/>
      <c r="G19" s="128"/>
      <c r="H19" s="128"/>
      <c r="I19" s="220"/>
      <c r="J19" s="226"/>
      <c r="K19" s="226"/>
      <c r="L19" s="222"/>
      <c r="M19" s="227"/>
      <c r="N19" s="128"/>
      <c r="O19" s="220"/>
      <c r="P19" s="224"/>
      <c r="Q19" s="236"/>
      <c r="R19" s="247"/>
    </row>
    <row r="20" spans="2:18">
      <c r="B20" s="246"/>
      <c r="C20" s="193" t="s">
        <v>305</v>
      </c>
      <c r="D20" s="194" t="s">
        <v>323</v>
      </c>
      <c r="E20" s="128" t="s">
        <v>6</v>
      </c>
      <c r="F20" s="128"/>
      <c r="G20" s="128"/>
      <c r="H20" s="128"/>
      <c r="I20" s="220"/>
      <c r="J20" s="226"/>
      <c r="K20" s="226"/>
      <c r="L20" s="222"/>
      <c r="M20" s="227"/>
      <c r="N20" s="128"/>
      <c r="O20" s="220"/>
      <c r="P20" s="224"/>
      <c r="Q20" s="236"/>
      <c r="R20" s="247"/>
    </row>
    <row r="21" spans="2:18">
      <c r="B21" s="246"/>
      <c r="C21" s="195" t="s">
        <v>310</v>
      </c>
      <c r="D21" s="118" t="s">
        <v>324</v>
      </c>
      <c r="E21" s="128" t="s">
        <v>6</v>
      </c>
      <c r="F21" s="128"/>
      <c r="G21" s="128"/>
      <c r="H21" s="128"/>
      <c r="I21" s="220"/>
      <c r="J21" s="226"/>
      <c r="K21" s="226"/>
      <c r="L21" s="222"/>
      <c r="M21" s="227"/>
      <c r="N21" s="128"/>
      <c r="O21" s="220"/>
      <c r="P21" s="224"/>
      <c r="Q21" s="236"/>
      <c r="R21" s="247"/>
    </row>
    <row r="22" spans="2:18">
      <c r="B22" s="246"/>
      <c r="C22" s="195" t="s">
        <v>312</v>
      </c>
      <c r="D22" s="110" t="s">
        <v>313</v>
      </c>
      <c r="E22" s="128" t="s">
        <v>6</v>
      </c>
      <c r="F22" s="128"/>
      <c r="G22" s="128"/>
      <c r="H22" s="128"/>
      <c r="I22" s="220"/>
      <c r="J22" s="226"/>
      <c r="K22" s="226"/>
      <c r="L22" s="222"/>
      <c r="M22" s="227"/>
      <c r="N22" s="128"/>
      <c r="O22" s="220"/>
      <c r="P22" s="224"/>
      <c r="Q22" s="236"/>
      <c r="R22" s="247"/>
    </row>
    <row r="23" spans="2:18">
      <c r="B23" s="246"/>
      <c r="C23" s="196" t="s">
        <v>314</v>
      </c>
      <c r="D23" s="111"/>
      <c r="E23" s="128" t="s">
        <v>6</v>
      </c>
      <c r="F23" s="128"/>
      <c r="G23" s="128"/>
      <c r="H23" s="128"/>
      <c r="I23" s="220"/>
      <c r="J23" s="226"/>
      <c r="K23" s="226"/>
      <c r="L23" s="222"/>
      <c r="M23" s="227"/>
      <c r="N23" s="128"/>
      <c r="O23" s="220"/>
      <c r="P23" s="224"/>
      <c r="Q23" s="236"/>
      <c r="R23" s="247"/>
    </row>
    <row r="24" spans="2:18">
      <c r="B24" s="246"/>
      <c r="C24" s="128"/>
      <c r="D24" s="128"/>
      <c r="E24" s="128" t="s">
        <v>6</v>
      </c>
      <c r="F24" s="128"/>
      <c r="G24" s="128"/>
      <c r="H24" s="128"/>
      <c r="I24" s="220"/>
      <c r="J24" s="226"/>
      <c r="K24" s="226"/>
      <c r="L24" s="222"/>
      <c r="M24" s="227"/>
      <c r="N24" s="128"/>
      <c r="O24" s="220"/>
      <c r="P24" s="224"/>
      <c r="Q24" s="236"/>
      <c r="R24" s="247"/>
    </row>
    <row r="25" spans="2:18">
      <c r="B25" s="246"/>
      <c r="C25" s="128"/>
      <c r="D25" s="128"/>
      <c r="E25" s="128" t="s">
        <v>6</v>
      </c>
      <c r="F25" s="128"/>
      <c r="G25" s="128"/>
      <c r="H25" s="128"/>
      <c r="I25" s="220"/>
      <c r="J25" s="226"/>
      <c r="K25" s="226"/>
      <c r="L25" s="222"/>
      <c r="M25" s="227"/>
      <c r="N25" s="128"/>
      <c r="O25" s="220"/>
      <c r="P25" s="224"/>
      <c r="Q25" s="236"/>
      <c r="R25" s="247"/>
    </row>
    <row r="26" spans="2:18">
      <c r="B26" s="246"/>
      <c r="C26" s="192" t="s">
        <v>315</v>
      </c>
      <c r="D26" s="128"/>
      <c r="E26" s="128" t="s">
        <v>6</v>
      </c>
      <c r="F26" s="128"/>
      <c r="G26" s="128"/>
      <c r="H26" s="128"/>
      <c r="I26" s="220"/>
      <c r="J26" s="226"/>
      <c r="K26" s="226"/>
      <c r="L26" s="222"/>
      <c r="M26" s="227"/>
      <c r="N26" s="128"/>
      <c r="O26" s="220"/>
      <c r="P26" s="224"/>
      <c r="Q26" s="236"/>
      <c r="R26" s="247"/>
    </row>
    <row r="27" spans="2:18">
      <c r="B27" s="246"/>
      <c r="C27" s="21" t="s">
        <v>305</v>
      </c>
      <c r="D27" s="467" t="str">
        <f t="array" aca="1" ref="D27:D30" ca="1">_xll.meLWOCurveCalibrate(D20,D21,D13,D22,D23)</f>
        <v>USD_SWAP_3M_CURVE@176:0</v>
      </c>
      <c r="E27" s="128" t="s">
        <v>6</v>
      </c>
      <c r="F27" s="128"/>
      <c r="G27" s="128"/>
      <c r="H27" s="128"/>
      <c r="I27" s="220"/>
      <c r="J27" s="226"/>
      <c r="K27" s="226"/>
      <c r="L27" s="222"/>
      <c r="M27" s="227"/>
      <c r="N27" s="128"/>
      <c r="O27" s="220"/>
      <c r="P27" s="224"/>
      <c r="Q27" s="236"/>
      <c r="R27" s="247"/>
    </row>
    <row r="28" spans="2:18">
      <c r="B28" s="246"/>
      <c r="C28" s="118" t="s">
        <v>251</v>
      </c>
      <c r="D28" s="197" t="str">
        <f ca="1"/>
        <v>USDYC</v>
      </c>
      <c r="E28" s="128" t="s">
        <v>6</v>
      </c>
      <c r="F28" s="128"/>
      <c r="G28" s="128"/>
      <c r="H28" s="128"/>
      <c r="I28" s="220"/>
      <c r="J28" s="226"/>
      <c r="K28" s="226"/>
      <c r="L28" s="222"/>
      <c r="M28" s="227"/>
      <c r="N28" s="128"/>
      <c r="O28" s="220"/>
      <c r="P28" s="224"/>
      <c r="Q28" s="236"/>
      <c r="R28" s="247"/>
    </row>
    <row r="29" spans="2:18">
      <c r="B29" s="246"/>
      <c r="C29" s="118" t="s">
        <v>316</v>
      </c>
      <c r="D29" s="197" t="str">
        <f ca="1"/>
        <v>STD:USD3ML</v>
      </c>
      <c r="E29" s="128" t="s">
        <v>6</v>
      </c>
      <c r="F29" s="128"/>
      <c r="G29" s="128"/>
      <c r="H29" s="128"/>
      <c r="I29" s="220"/>
      <c r="J29" s="226"/>
      <c r="K29" s="226"/>
      <c r="L29" s="222"/>
      <c r="M29" s="227"/>
      <c r="N29" s="128"/>
      <c r="O29" s="220"/>
      <c r="P29" s="224"/>
      <c r="Q29" s="236"/>
      <c r="R29" s="247"/>
    </row>
    <row r="30" spans="2:18">
      <c r="B30" s="246"/>
      <c r="C30" s="24" t="s">
        <v>317</v>
      </c>
      <c r="D30" s="198" t="str">
        <f ca="1"/>
        <v>0.01200 sec</v>
      </c>
      <c r="E30" s="128"/>
      <c r="F30" s="128"/>
      <c r="G30" s="128"/>
      <c r="H30" s="128"/>
      <c r="I30" s="237"/>
      <c r="J30" s="238"/>
      <c r="K30" s="238"/>
      <c r="L30" s="239"/>
      <c r="M30" s="240"/>
      <c r="N30" s="128"/>
      <c r="O30" s="237"/>
      <c r="P30" s="241"/>
      <c r="Q30" s="242"/>
      <c r="R30" s="247"/>
    </row>
    <row r="31" spans="2:18">
      <c r="B31" s="246"/>
      <c r="C31" s="200" t="s">
        <v>318</v>
      </c>
      <c r="D31" s="201" t="b">
        <f ca="1">_xll.meLWOExists(D27,"CURVE")</f>
        <v>1</v>
      </c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247"/>
    </row>
    <row r="32" spans="2:18">
      <c r="B32" s="249"/>
      <c r="C32" s="250"/>
      <c r="D32" s="250"/>
      <c r="E32" s="250"/>
      <c r="F32" s="250"/>
      <c r="G32" s="250"/>
      <c r="H32" s="250"/>
      <c r="I32" s="250"/>
      <c r="J32" s="250"/>
      <c r="K32" s="250"/>
      <c r="L32" s="250"/>
      <c r="M32" s="250"/>
      <c r="N32" s="250"/>
      <c r="O32" s="250"/>
      <c r="P32" s="250"/>
      <c r="Q32" s="250"/>
      <c r="R32" s="25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39933"/>
  </sheetPr>
  <dimension ref="B2:G24"/>
  <sheetViews>
    <sheetView showGridLines="0" workbookViewId="0"/>
  </sheetViews>
  <sheetFormatPr defaultRowHeight="15"/>
  <cols>
    <col min="2" max="2" width="28.85546875" bestFit="1" customWidth="1"/>
    <col min="3" max="3" width="36.42578125" bestFit="1" customWidth="1"/>
    <col min="6" max="6" width="10.28515625" customWidth="1"/>
  </cols>
  <sheetData>
    <row r="2" spans="2:7">
      <c r="B2" s="75" t="s">
        <v>297</v>
      </c>
      <c r="C2" s="147"/>
      <c r="D2" s="143"/>
      <c r="E2" s="252" t="s">
        <v>333</v>
      </c>
      <c r="F2" s="253"/>
      <c r="G2" s="143"/>
    </row>
    <row r="3" spans="2:7">
      <c r="B3" s="21" t="s">
        <v>5</v>
      </c>
      <c r="C3" s="254" t="s">
        <v>300</v>
      </c>
      <c r="D3" s="143"/>
      <c r="E3" s="271" t="s">
        <v>8</v>
      </c>
      <c r="F3" s="271" t="s">
        <v>9</v>
      </c>
      <c r="G3" s="143"/>
    </row>
    <row r="4" spans="2:7">
      <c r="B4" s="118" t="s">
        <v>301</v>
      </c>
      <c r="C4" s="256" t="s">
        <v>334</v>
      </c>
      <c r="D4" s="143"/>
      <c r="E4" s="257" t="s">
        <v>27</v>
      </c>
      <c r="F4" s="258">
        <v>6.7500000000000004E-4</v>
      </c>
      <c r="G4" s="143"/>
    </row>
    <row r="5" spans="2:7">
      <c r="B5" s="118" t="s">
        <v>302</v>
      </c>
      <c r="C5" s="256" t="s">
        <v>19</v>
      </c>
      <c r="D5" s="143"/>
      <c r="E5" s="257" t="s">
        <v>30</v>
      </c>
      <c r="F5" s="258">
        <v>6.8749999999999996E-4</v>
      </c>
      <c r="G5" s="143"/>
    </row>
    <row r="6" spans="2:7">
      <c r="B6" s="24" t="s">
        <v>4</v>
      </c>
      <c r="C6" s="259">
        <v>43710</v>
      </c>
      <c r="D6" s="143"/>
      <c r="E6" s="257" t="s">
        <v>31</v>
      </c>
      <c r="F6" s="258">
        <v>6.9999999999999999E-4</v>
      </c>
      <c r="G6" s="143"/>
    </row>
    <row r="7" spans="2:7">
      <c r="B7" s="143"/>
      <c r="C7" s="147"/>
      <c r="D7" s="143"/>
      <c r="E7" s="257" t="s">
        <v>32</v>
      </c>
      <c r="F7" s="258">
        <v>7.2499999999999995E-4</v>
      </c>
      <c r="G7" s="143"/>
    </row>
    <row r="8" spans="2:7">
      <c r="B8" s="145" t="s">
        <v>335</v>
      </c>
      <c r="C8" s="147"/>
      <c r="D8" s="143"/>
      <c r="E8" s="257" t="s">
        <v>33</v>
      </c>
      <c r="F8" s="258">
        <v>7.3749999999999998E-4</v>
      </c>
      <c r="G8" s="143"/>
    </row>
    <row r="9" spans="2:7">
      <c r="B9" s="21" t="s">
        <v>305</v>
      </c>
      <c r="C9" s="254" t="s">
        <v>336</v>
      </c>
      <c r="D9" s="143"/>
      <c r="E9" s="257" t="s">
        <v>34</v>
      </c>
      <c r="F9" s="258">
        <v>7.7499999999999997E-4</v>
      </c>
      <c r="G9" s="143"/>
    </row>
    <row r="10" spans="2:7">
      <c r="B10" s="118" t="s">
        <v>307</v>
      </c>
      <c r="C10" s="468" t="str">
        <f ca="1">_xll.meLWOCurveMarketDataCreate(C9,B2,B3:C6,E2,E4:F23)</f>
        <v>USD_BASIS_3X6_MARKETDATA@179:0</v>
      </c>
      <c r="D10" s="143"/>
      <c r="E10" s="257" t="s">
        <v>35</v>
      </c>
      <c r="F10" s="258">
        <v>8.25E-4</v>
      </c>
      <c r="G10" s="143"/>
    </row>
    <row r="11" spans="2:7">
      <c r="B11" s="24"/>
      <c r="C11" s="260"/>
      <c r="D11" s="143"/>
      <c r="E11" s="257" t="s">
        <v>36</v>
      </c>
      <c r="F11" s="258">
        <v>8.6249999999999999E-4</v>
      </c>
      <c r="G11" s="143"/>
    </row>
    <row r="12" spans="2:7">
      <c r="B12" s="143"/>
      <c r="C12" s="147"/>
      <c r="D12" s="143"/>
      <c r="E12" s="257" t="s">
        <v>37</v>
      </c>
      <c r="F12" s="258">
        <v>8.9999999999999998E-4</v>
      </c>
      <c r="G12" s="143"/>
    </row>
    <row r="13" spans="2:7">
      <c r="B13" s="145" t="s">
        <v>337</v>
      </c>
      <c r="C13" s="147"/>
      <c r="D13" s="143"/>
      <c r="E13" s="257" t="s">
        <v>38</v>
      </c>
      <c r="F13" s="258">
        <v>9.3749999999999997E-4</v>
      </c>
      <c r="G13" s="143"/>
    </row>
    <row r="14" spans="2:7">
      <c r="B14" s="21" t="s">
        <v>338</v>
      </c>
      <c r="C14" s="254" t="s">
        <v>339</v>
      </c>
      <c r="D14" s="143"/>
      <c r="E14" s="257" t="s">
        <v>39</v>
      </c>
      <c r="F14" s="258">
        <v>1E-3</v>
      </c>
      <c r="G14" s="143"/>
    </row>
    <row r="15" spans="2:7">
      <c r="B15" s="118" t="s">
        <v>340</v>
      </c>
      <c r="C15" s="256" t="s">
        <v>341</v>
      </c>
      <c r="D15" s="143"/>
      <c r="E15" s="257" t="s">
        <v>40</v>
      </c>
      <c r="F15" s="258">
        <v>1.0375E-3</v>
      </c>
      <c r="G15" s="143"/>
    </row>
    <row r="16" spans="2:7">
      <c r="B16" s="118" t="s">
        <v>342</v>
      </c>
      <c r="C16" s="256" t="s">
        <v>313</v>
      </c>
      <c r="D16" s="143"/>
      <c r="E16" s="257" t="s">
        <v>41</v>
      </c>
      <c r="F16" s="258">
        <v>1.075E-3</v>
      </c>
      <c r="G16" s="143"/>
    </row>
    <row r="17" spans="2:7">
      <c r="B17" s="24" t="s">
        <v>343</v>
      </c>
      <c r="C17" s="260"/>
      <c r="D17" s="143"/>
      <c r="E17" s="257" t="s">
        <v>42</v>
      </c>
      <c r="F17" s="258">
        <v>1.075E-3</v>
      </c>
      <c r="G17" s="143"/>
    </row>
    <row r="18" spans="2:7">
      <c r="B18" s="143"/>
      <c r="C18" s="147"/>
      <c r="D18" s="143"/>
      <c r="E18" s="257" t="s">
        <v>43</v>
      </c>
      <c r="F18" s="258">
        <v>1.075E-3</v>
      </c>
      <c r="G18" s="143"/>
    </row>
    <row r="19" spans="2:7">
      <c r="B19" s="145" t="s">
        <v>344</v>
      </c>
      <c r="C19" s="147"/>
      <c r="D19" s="143"/>
      <c r="E19" s="261"/>
      <c r="F19" s="262"/>
      <c r="G19" s="138"/>
    </row>
    <row r="20" spans="2:7">
      <c r="B20" s="21" t="s">
        <v>305</v>
      </c>
      <c r="C20" s="469" t="str">
        <f t="array" aca="1" ref="C20:C23" ca="1">_xll.meLWOCurveCalibrate(C14,C15,C10,C16,C17)</f>
        <v>USD_BASIS_6M_CURVE@180:0</v>
      </c>
      <c r="D20" s="143"/>
      <c r="E20" s="261"/>
      <c r="F20" s="262"/>
      <c r="G20" s="138"/>
    </row>
    <row r="21" spans="2:7">
      <c r="B21" s="118" t="s">
        <v>251</v>
      </c>
      <c r="C21" s="263" t="str">
        <f ca="1"/>
        <v>USDYC</v>
      </c>
      <c r="D21" s="143"/>
      <c r="E21" s="265"/>
      <c r="F21" s="266"/>
      <c r="G21" s="143"/>
    </row>
    <row r="22" spans="2:7">
      <c r="B22" s="118" t="s">
        <v>316</v>
      </c>
      <c r="C22" s="263" t="str">
        <f ca="1"/>
        <v>3M6MBasis:USD6ML</v>
      </c>
      <c r="D22" s="143"/>
      <c r="E22" s="265"/>
      <c r="F22" s="266"/>
      <c r="G22" s="143"/>
    </row>
    <row r="23" spans="2:7">
      <c r="B23" s="24" t="s">
        <v>317</v>
      </c>
      <c r="C23" s="264" t="str">
        <f ca="1"/>
        <v>0.03000 sec</v>
      </c>
      <c r="D23" s="143"/>
      <c r="E23" s="267"/>
      <c r="F23" s="268"/>
      <c r="G23" s="143"/>
    </row>
    <row r="24" spans="2:7">
      <c r="B24" s="269" t="s">
        <v>345</v>
      </c>
      <c r="C24" s="270" t="b">
        <f ca="1">_xll.meLWOExists(C20,"CURVE")</f>
        <v>1</v>
      </c>
      <c r="D24" s="143"/>
      <c r="E24" s="143"/>
      <c r="F24" s="143"/>
      <c r="G24" s="14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39933"/>
  </sheetPr>
  <dimension ref="B2:E105"/>
  <sheetViews>
    <sheetView showGridLines="0" workbookViewId="0"/>
  </sheetViews>
  <sheetFormatPr defaultRowHeight="15"/>
  <cols>
    <col min="1" max="1" width="9.140625" style="82"/>
    <col min="2" max="2" width="16.7109375" style="82" customWidth="1"/>
    <col min="3" max="3" width="12.7109375" style="82" customWidth="1"/>
    <col min="4" max="4" width="12.7109375" style="121" customWidth="1"/>
    <col min="5" max="5" width="12.7109375" style="82" customWidth="1"/>
    <col min="6" max="16384" width="9.140625" style="82"/>
  </cols>
  <sheetData>
    <row r="2" spans="2:5" ht="20.25">
      <c r="B2" s="74" t="s">
        <v>250</v>
      </c>
    </row>
    <row r="4" spans="2:5" s="115" customFormat="1">
      <c r="D4" s="121"/>
    </row>
    <row r="5" spans="2:5" s="115" customFormat="1">
      <c r="B5" s="147" t="s">
        <v>1</v>
      </c>
      <c r="C5" s="94" t="s">
        <v>313</v>
      </c>
      <c r="D5" s="103"/>
    </row>
    <row r="6" spans="2:5" s="115" customFormat="1">
      <c r="B6" s="280" t="s">
        <v>351</v>
      </c>
      <c r="C6" s="94" t="s">
        <v>346</v>
      </c>
      <c r="D6" s="94" t="s">
        <v>347</v>
      </c>
      <c r="E6" s="94" t="s">
        <v>348</v>
      </c>
    </row>
    <row r="7" spans="2:5" s="115" customFormat="1">
      <c r="D7" s="121"/>
    </row>
    <row r="8" spans="2:5" s="115" customFormat="1" ht="18.75">
      <c r="B8" s="97" t="s">
        <v>278</v>
      </c>
      <c r="D8" s="121"/>
    </row>
    <row r="9" spans="2:5">
      <c r="B9" s="142" t="str">
        <f t="array" aca="1" ref="B9:E105" ca="1">_xll.meLWOCurveForwardRatesTable(C5,C6:E6)</f>
        <v>Fixing Dates</v>
      </c>
      <c r="C9" s="117" t="str">
        <f ca="1"/>
        <v>USDOIS</v>
      </c>
      <c r="D9" s="122" t="str">
        <f ca="1"/>
        <v>USD3ML</v>
      </c>
      <c r="E9" s="117" t="str">
        <f ca="1"/>
        <v>USD6ML</v>
      </c>
    </row>
    <row r="10" spans="2:5">
      <c r="B10" s="142">
        <f ca="1"/>
        <v>43710</v>
      </c>
      <c r="C10" s="92">
        <f ca="1"/>
        <v>2.1199999999979013E-2</v>
      </c>
      <c r="D10" s="92">
        <f ca="1"/>
        <v>2.1427901750769428E-2</v>
      </c>
      <c r="E10" s="92">
        <f ca="1"/>
        <v>2.0282353171710281E-2</v>
      </c>
    </row>
    <row r="11" spans="2:5">
      <c r="B11" s="142">
        <f ca="1"/>
        <v>43740</v>
      </c>
      <c r="C11" s="92">
        <f ca="1"/>
        <v>1.8744138973119079E-2</v>
      </c>
      <c r="D11" s="92">
        <f ca="1"/>
        <v>2.0313867622790079E-2</v>
      </c>
      <c r="E11" s="92">
        <f ca="1"/>
        <v>1.9629314663730763E-2</v>
      </c>
    </row>
    <row r="12" spans="2:5">
      <c r="B12" s="142">
        <f ca="1"/>
        <v>43773</v>
      </c>
      <c r="C12" s="92">
        <f ca="1"/>
        <v>1.7657097301242316E-2</v>
      </c>
      <c r="D12" s="92">
        <f ca="1"/>
        <v>1.9581220192782363E-2</v>
      </c>
      <c r="E12" s="92">
        <f ca="1"/>
        <v>1.8924283377198696E-2</v>
      </c>
    </row>
    <row r="13" spans="2:5">
      <c r="B13" s="142">
        <f ca="1"/>
        <v>43801</v>
      </c>
      <c r="C13" s="92">
        <f ca="1"/>
        <v>1.6506148526716006E-2</v>
      </c>
      <c r="D13" s="92">
        <f ca="1"/>
        <v>1.8959579949139452E-2</v>
      </c>
      <c r="E13" s="92">
        <f ca="1"/>
        <v>1.8308246580970865E-2</v>
      </c>
    </row>
    <row r="14" spans="2:5">
      <c r="B14" s="142">
        <f ca="1"/>
        <v>43832</v>
      </c>
      <c r="C14" s="92">
        <f ca="1"/>
        <v>1.5603749608166295E-2</v>
      </c>
      <c r="D14" s="92">
        <f ca="1"/>
        <v>1.8083131211161892E-2</v>
      </c>
      <c r="E14" s="92">
        <f ca="1"/>
        <v>1.7657851269701964E-2</v>
      </c>
    </row>
    <row r="15" spans="2:5">
      <c r="B15" s="142">
        <f ca="1"/>
        <v>43864</v>
      </c>
      <c r="C15" s="92">
        <f ca="1"/>
        <v>1.4684916629183789E-2</v>
      </c>
      <c r="D15" s="92">
        <f ca="1"/>
        <v>1.6988671953338978E-2</v>
      </c>
      <c r="E15" s="92">
        <f ca="1"/>
        <v>1.6997196104654895E-2</v>
      </c>
    </row>
    <row r="16" spans="2:5">
      <c r="B16" s="142">
        <f ca="1"/>
        <v>43892</v>
      </c>
      <c r="C16" s="92">
        <f ca="1"/>
        <v>1.3808799385071117E-2</v>
      </c>
      <c r="D16" s="92">
        <f ca="1"/>
        <v>1.6031020102743924E-2</v>
      </c>
      <c r="E16" s="92">
        <f ca="1"/>
        <v>1.6427831866045437E-2</v>
      </c>
    </row>
    <row r="17" spans="2:5">
      <c r="B17" s="142">
        <f ca="1"/>
        <v>43923</v>
      </c>
      <c r="C17" s="92">
        <f ca="1"/>
        <v>1.3412677543822629E-2</v>
      </c>
      <c r="D17" s="92">
        <f ca="1"/>
        <v>1.5240503062689292E-2</v>
      </c>
      <c r="E17" s="92">
        <f ca="1"/>
        <v>1.586170809711606E-2</v>
      </c>
    </row>
    <row r="18" spans="2:5">
      <c r="B18" s="142">
        <f ca="1"/>
        <v>43955</v>
      </c>
      <c r="C18" s="92">
        <f ca="1"/>
        <v>1.2956579045972963E-2</v>
      </c>
      <c r="D18" s="92">
        <f ca="1"/>
        <v>1.4708888875386333E-2</v>
      </c>
      <c r="E18" s="92">
        <f ca="1"/>
        <v>1.5303590071529937E-2</v>
      </c>
    </row>
    <row r="19" spans="2:5">
      <c r="B19" s="142">
        <f ca="1"/>
        <v>43984</v>
      </c>
      <c r="C19" s="92">
        <f ca="1"/>
        <v>1.2500315239236715E-2</v>
      </c>
      <c r="D19" s="92">
        <f ca="1"/>
        <v>1.4227113518143026E-2</v>
      </c>
      <c r="E19" s="92">
        <f ca="1"/>
        <v>1.4849898998513031E-2</v>
      </c>
    </row>
    <row r="20" spans="2:5">
      <c r="B20" s="142">
        <f ca="1"/>
        <v>44014</v>
      </c>
      <c r="C20" s="92">
        <f ca="1"/>
        <v>1.2016094062081749E-2</v>
      </c>
      <c r="D20" s="92">
        <f ca="1"/>
        <v>1.3805288491349932E-2</v>
      </c>
      <c r="E20" s="92">
        <f ca="1"/>
        <v>1.4394422195959636E-2</v>
      </c>
    </row>
    <row r="21" spans="2:5">
      <c r="B21" s="142">
        <f ca="1"/>
        <v>44046</v>
      </c>
      <c r="C21" s="92">
        <f ca="1"/>
        <v>1.1526631124780848E-2</v>
      </c>
      <c r="D21" s="92">
        <f ca="1"/>
        <v>1.3431785085276976E-2</v>
      </c>
      <c r="E21" s="92">
        <f ca="1"/>
        <v>1.3985314951967243E-2</v>
      </c>
    </row>
    <row r="22" spans="2:5">
      <c r="B22" s="142">
        <f ca="1"/>
        <v>44076</v>
      </c>
      <c r="C22" s="92">
        <f ca="1"/>
        <v>1.1093358490130751E-2</v>
      </c>
      <c r="D22" s="92">
        <f ca="1"/>
        <v>1.308162564208358E-2</v>
      </c>
      <c r="E22" s="92">
        <f ca="1"/>
        <v>1.3647550583137616E-2</v>
      </c>
    </row>
    <row r="23" spans="2:5">
      <c r="B23" s="142">
        <f ca="1"/>
        <v>44106</v>
      </c>
      <c r="C23" s="92">
        <f ca="1"/>
        <v>1.0681227098556827E-2</v>
      </c>
      <c r="D23" s="92">
        <f ca="1"/>
        <v>1.2871699134524574E-2</v>
      </c>
      <c r="E23" s="92">
        <f ca="1"/>
        <v>1.3332692695806078E-2</v>
      </c>
    </row>
    <row r="24" spans="2:5">
      <c r="B24" s="142">
        <f ca="1"/>
        <v>44137</v>
      </c>
      <c r="C24" s="92">
        <f ca="1"/>
        <v>1.0326298356799804E-2</v>
      </c>
      <c r="D24" s="92">
        <f ca="1"/>
        <v>1.2781532718316214E-2</v>
      </c>
      <c r="E24" s="92">
        <f ca="1"/>
        <v>1.305528513218515E-2</v>
      </c>
    </row>
    <row r="25" spans="2:5">
      <c r="B25" s="142">
        <f ca="1"/>
        <v>44167</v>
      </c>
      <c r="C25" s="92">
        <f ca="1"/>
        <v>1.0015748075549205E-2</v>
      </c>
      <c r="D25" s="92">
        <f ca="1"/>
        <v>1.2694274896179091E-2</v>
      </c>
      <c r="E25" s="92">
        <f ca="1"/>
        <v>1.2826787243895977E-2</v>
      </c>
    </row>
    <row r="26" spans="2:5">
      <c r="B26" s="142">
        <f ca="1"/>
        <v>44200</v>
      </c>
      <c r="C26" s="92">
        <f ca="1"/>
        <v>9.7197946827965245E-3</v>
      </c>
      <c r="D26" s="92">
        <f ca="1"/>
        <v>1.2451028446264389E-2</v>
      </c>
      <c r="E26" s="92">
        <f ca="1"/>
        <v>1.2618608608216952E-2</v>
      </c>
    </row>
    <row r="27" spans="2:5">
      <c r="B27" s="142">
        <f ca="1"/>
        <v>44229</v>
      </c>
      <c r="C27" s="92">
        <f ca="1"/>
        <v>9.4942129696473972E-3</v>
      </c>
      <c r="D27" s="92">
        <f ca="1"/>
        <v>1.2142197412344903E-2</v>
      </c>
      <c r="E27" s="92">
        <f ca="1"/>
        <v>1.2472609809702901E-2</v>
      </c>
    </row>
    <row r="28" spans="2:5">
      <c r="B28" s="142">
        <f ca="1"/>
        <v>44257</v>
      </c>
      <c r="C28" s="92">
        <f ca="1"/>
        <v>9.3071340611228567E-3</v>
      </c>
      <c r="D28" s="92">
        <f ca="1"/>
        <v>1.1844015724422643E-2</v>
      </c>
      <c r="E28" s="92">
        <f ca="1"/>
        <v>1.23564663303604E-2</v>
      </c>
    </row>
    <row r="29" spans="2:5">
      <c r="B29" s="142">
        <f ca="1"/>
        <v>44288</v>
      </c>
      <c r="C29" s="92">
        <f ca="1"/>
        <v>9.1300690791129898E-3</v>
      </c>
      <c r="D29" s="92">
        <f ca="1"/>
        <v>1.1647196188379646E-2</v>
      </c>
      <c r="E29" s="92">
        <f ca="1"/>
        <v>1.2264396691252968E-2</v>
      </c>
    </row>
    <row r="30" spans="2:5">
      <c r="B30" s="142">
        <f ca="1"/>
        <v>44319</v>
      </c>
      <c r="C30" s="92">
        <f ca="1"/>
        <v>8.9984601391002485E-3</v>
      </c>
      <c r="D30" s="92">
        <f ca="1"/>
        <v>1.1572364926549065E-2</v>
      </c>
      <c r="E30" s="92">
        <f ca="1"/>
        <v>1.2202658430238537E-2</v>
      </c>
    </row>
    <row r="31" spans="2:5">
      <c r="B31" s="142">
        <f ca="1"/>
        <v>44349</v>
      </c>
      <c r="C31" s="92">
        <f ca="1"/>
        <v>8.9009409414231612E-3</v>
      </c>
      <c r="D31" s="92">
        <f ca="1"/>
        <v>1.1499947576390437E-2</v>
      </c>
      <c r="E31" s="92">
        <f ca="1"/>
        <v>1.2165204326706057E-2</v>
      </c>
    </row>
    <row r="32" spans="2:5">
      <c r="B32" s="142">
        <f ca="1"/>
        <v>44379</v>
      </c>
      <c r="C32" s="92">
        <f ca="1"/>
        <v>8.8346342200829354E-3</v>
      </c>
      <c r="D32" s="92">
        <f ca="1"/>
        <v>1.1439707458048258E-2</v>
      </c>
      <c r="E32" s="92">
        <f ca="1"/>
        <v>1.2145464149478643E-2</v>
      </c>
    </row>
    <row r="33" spans="2:5">
      <c r="B33" s="142">
        <f ca="1"/>
        <v>44410</v>
      </c>
      <c r="C33" s="92">
        <f ca="1"/>
        <v>8.8016247224143342E-3</v>
      </c>
      <c r="D33" s="92">
        <f ca="1"/>
        <v>1.142852247672746E-2</v>
      </c>
      <c r="E33" s="92">
        <f ca="1"/>
        <v>1.2137742640954078E-2</v>
      </c>
    </row>
    <row r="34" spans="2:5">
      <c r="B34" s="142">
        <f ca="1"/>
        <v>44441</v>
      </c>
      <c r="C34" s="92">
        <f ca="1"/>
        <v>8.8005068750796368E-3</v>
      </c>
      <c r="D34" s="92">
        <f ca="1"/>
        <v>1.1439075384938935E-2</v>
      </c>
      <c r="E34" s="92">
        <f ca="1"/>
        <v>1.2137243122091712E-2</v>
      </c>
    </row>
    <row r="35" spans="2:5">
      <c r="B35" s="142">
        <f ca="1"/>
        <v>44473</v>
      </c>
      <c r="C35" s="92">
        <f ca="1"/>
        <v>8.8252834444358143E-3</v>
      </c>
      <c r="D35" s="92">
        <f ca="1"/>
        <v>1.1439975948896196E-2</v>
      </c>
      <c r="E35" s="92">
        <f ca="1"/>
        <v>1.2140618489901878E-2</v>
      </c>
    </row>
    <row r="36" spans="2:5">
      <c r="B36" s="142">
        <f ca="1"/>
        <v>44502</v>
      </c>
      <c r="C36" s="92">
        <f ca="1"/>
        <v>8.857473843102457E-3</v>
      </c>
      <c r="D36" s="92">
        <f ca="1"/>
        <v>1.1429791989775274E-2</v>
      </c>
      <c r="E36" s="92">
        <f ca="1"/>
        <v>1.2144108642097036E-2</v>
      </c>
    </row>
    <row r="37" spans="2:5">
      <c r="B37" s="142">
        <f ca="1"/>
        <v>44532</v>
      </c>
      <c r="C37" s="92">
        <f ca="1"/>
        <v>8.9003234521634368E-3</v>
      </c>
      <c r="D37" s="92">
        <f ca="1"/>
        <v>1.1416367450834309E-2</v>
      </c>
      <c r="E37" s="92">
        <f ca="1"/>
        <v>1.214914518417121E-2</v>
      </c>
    </row>
    <row r="38" spans="2:5">
      <c r="B38" s="142">
        <f ca="1"/>
        <v>44564</v>
      </c>
      <c r="C38" s="92">
        <f ca="1"/>
        <v>8.9520725147984904E-3</v>
      </c>
      <c r="D38" s="92">
        <f ca="1"/>
        <v>1.140651646186208E-2</v>
      </c>
      <c r="E38" s="92">
        <f ca="1"/>
        <v>1.2155003149623268E-2</v>
      </c>
    </row>
    <row r="39" spans="2:5">
      <c r="B39" s="142">
        <f ca="1"/>
        <v>44594</v>
      </c>
      <c r="C39" s="92">
        <f ca="1"/>
        <v>8.9999842663246767E-3</v>
      </c>
      <c r="D39" s="92">
        <f ca="1"/>
        <v>1.1401568909792027E-2</v>
      </c>
      <c r="E39" s="92">
        <f ca="1"/>
        <v>1.2160789980881144E-2</v>
      </c>
    </row>
    <row r="40" spans="2:5">
      <c r="B40" s="142">
        <f ca="1"/>
        <v>44622</v>
      </c>
      <c r="C40" s="92">
        <f ca="1"/>
        <v>9.0441157741328101E-3</v>
      </c>
      <c r="D40" s="92">
        <f ca="1"/>
        <v>1.1398616900553455E-2</v>
      </c>
      <c r="E40" s="92">
        <f ca="1"/>
        <v>1.2167881370307155E-2</v>
      </c>
    </row>
    <row r="41" spans="2:5">
      <c r="B41" s="142">
        <f ca="1"/>
        <v>44655</v>
      </c>
      <c r="C41" s="92">
        <f ca="1"/>
        <v>9.0900325386833788E-3</v>
      </c>
      <c r="D41" s="92">
        <f ca="1"/>
        <v>1.1395127220636004E-2</v>
      </c>
      <c r="E41" s="92">
        <f ca="1"/>
        <v>1.217532589860798E-2</v>
      </c>
    </row>
    <row r="42" spans="2:5">
      <c r="B42" s="142">
        <f ca="1"/>
        <v>44683</v>
      </c>
      <c r="C42" s="92">
        <f ca="1"/>
        <v>9.119127564751783E-3</v>
      </c>
      <c r="D42" s="92">
        <f ca="1"/>
        <v>1.139223134079659E-2</v>
      </c>
      <c r="E42" s="92">
        <f ca="1"/>
        <v>1.218298940217705E-2</v>
      </c>
    </row>
    <row r="43" spans="2:5">
      <c r="B43" s="142">
        <f ca="1"/>
        <v>44714</v>
      </c>
      <c r="C43" s="92">
        <f ca="1"/>
        <v>9.1407322636616658E-3</v>
      </c>
      <c r="D43" s="92">
        <f ca="1"/>
        <v>1.1389711338689103E-2</v>
      </c>
      <c r="E43" s="92">
        <f ca="1"/>
        <v>1.2191677254658122E-2</v>
      </c>
    </row>
    <row r="44" spans="2:5">
      <c r="B44" s="142">
        <f ca="1"/>
        <v>44746</v>
      </c>
      <c r="C44" s="92">
        <f ca="1"/>
        <v>9.1463356934618264E-3</v>
      </c>
      <c r="D44" s="92">
        <f ca="1"/>
        <v>1.138853210828345E-2</v>
      </c>
      <c r="E44" s="92">
        <f ca="1"/>
        <v>1.220268750605508E-2</v>
      </c>
    </row>
    <row r="45" spans="2:5">
      <c r="B45" s="142">
        <f ca="1"/>
        <v>44775</v>
      </c>
      <c r="C45" s="92">
        <f ca="1"/>
        <v>9.1303158659972513E-3</v>
      </c>
      <c r="D45" s="92">
        <f ca="1"/>
        <v>1.1389270856377223E-2</v>
      </c>
      <c r="E45" s="92">
        <f ca="1"/>
        <v>1.2213622076971192E-2</v>
      </c>
    </row>
    <row r="46" spans="2:5">
      <c r="B46" s="142">
        <f ca="1"/>
        <v>44806</v>
      </c>
      <c r="C46" s="92">
        <f ca="1"/>
        <v>9.0894309717004847E-3</v>
      </c>
      <c r="D46" s="92">
        <f ca="1"/>
        <v>1.1392537301108211E-2</v>
      </c>
      <c r="E46" s="92">
        <f ca="1"/>
        <v>1.2225485856082314E-2</v>
      </c>
    </row>
    <row r="47" spans="2:5">
      <c r="B47" s="142">
        <f ca="1"/>
        <v>44837</v>
      </c>
      <c r="C47" s="92">
        <f ca="1"/>
        <v>9.0403031980379796E-3</v>
      </c>
      <c r="D47" s="92">
        <f ca="1"/>
        <v>1.1398896287971663E-2</v>
      </c>
      <c r="E47" s="92">
        <f ca="1"/>
        <v>1.2240939999918068E-2</v>
      </c>
    </row>
    <row r="48" spans="2:5">
      <c r="B48" s="142">
        <f ca="1"/>
        <v>44867</v>
      </c>
      <c r="C48" s="92">
        <f ca="1"/>
        <v>8.9982280764111834E-3</v>
      </c>
      <c r="D48" s="92">
        <f ca="1"/>
        <v>1.1408199412484726E-2</v>
      </c>
      <c r="E48" s="92">
        <f ca="1"/>
        <v>1.2256683408603327E-2</v>
      </c>
    </row>
    <row r="49" spans="2:5">
      <c r="B49" s="142">
        <f ca="1"/>
        <v>44897</v>
      </c>
      <c r="C49" s="92">
        <f ca="1"/>
        <v>8.9622811571832585E-3</v>
      </c>
      <c r="D49" s="92">
        <f ca="1"/>
        <v>1.1420687407949643E-2</v>
      </c>
      <c r="E49" s="92">
        <f ca="1"/>
        <v>1.2275201519937811E-2</v>
      </c>
    </row>
    <row r="50" spans="2:5">
      <c r="B50" s="142">
        <f ca="1"/>
        <v>44928</v>
      </c>
      <c r="C50" s="92">
        <f ca="1"/>
        <v>8.9348405080169925E-3</v>
      </c>
      <c r="D50" s="92">
        <f ca="1"/>
        <v>1.1437007893433264E-2</v>
      </c>
      <c r="E50" s="92">
        <f ca="1"/>
        <v>1.2295613657601016E-2</v>
      </c>
    </row>
    <row r="51" spans="2:5">
      <c r="B51" s="142">
        <f ca="1"/>
        <v>44959</v>
      </c>
      <c r="C51" s="92">
        <f ca="1"/>
        <v>8.9156982089911054E-3</v>
      </c>
      <c r="D51" s="92">
        <f ca="1"/>
        <v>1.1456760693038569E-2</v>
      </c>
      <c r="E51" s="92">
        <f ca="1"/>
        <v>1.2317259349127767E-2</v>
      </c>
    </row>
    <row r="52" spans="2:5">
      <c r="B52" s="142">
        <f ca="1"/>
        <v>44987</v>
      </c>
      <c r="C52" s="92">
        <f ca="1"/>
        <v>8.9062783432236926E-3</v>
      </c>
      <c r="D52" s="92">
        <f ca="1"/>
        <v>1.1477488072864127E-2</v>
      </c>
      <c r="E52" s="92">
        <f ca="1"/>
        <v>1.2342133141022739E-2</v>
      </c>
    </row>
    <row r="53" spans="2:5">
      <c r="B53" s="142">
        <f ca="1"/>
        <v>45019</v>
      </c>
      <c r="C53" s="92">
        <f ca="1"/>
        <v>8.904952972850242E-3</v>
      </c>
      <c r="D53" s="92">
        <f ca="1"/>
        <v>1.1504460600530038E-2</v>
      </c>
      <c r="E53" s="92">
        <f ca="1"/>
        <v>1.2367012457719267E-2</v>
      </c>
    </row>
    <row r="54" spans="2:5">
      <c r="B54" s="142">
        <f ca="1"/>
        <v>45048</v>
      </c>
      <c r="C54" s="92">
        <f ca="1"/>
        <v>8.9128059491994406E-3</v>
      </c>
      <c r="D54" s="92">
        <f ca="1"/>
        <v>1.1531890410216215E-2</v>
      </c>
      <c r="E54" s="92">
        <f ca="1"/>
        <v>1.2394659707586065E-2</v>
      </c>
    </row>
    <row r="55" spans="2:5">
      <c r="B55" s="142">
        <f ca="1"/>
        <v>45079</v>
      </c>
      <c r="C55" s="92">
        <f ca="1"/>
        <v>8.9317218006979317E-3</v>
      </c>
      <c r="D55" s="92">
        <f ca="1"/>
        <v>1.1564316621974954E-2</v>
      </c>
      <c r="E55" s="92">
        <f ca="1"/>
        <v>1.2428146354697326E-2</v>
      </c>
    </row>
    <row r="56" spans="2:5">
      <c r="B56" s="142">
        <f ca="1"/>
        <v>45110</v>
      </c>
      <c r="C56" s="92">
        <f ca="1"/>
        <v>8.9590373017056947E-3</v>
      </c>
      <c r="D56" s="92">
        <f ca="1"/>
        <v>1.1600035437938857E-2</v>
      </c>
      <c r="E56" s="92">
        <f ca="1"/>
        <v>1.2464933706772808E-2</v>
      </c>
    </row>
    <row r="57" spans="2:5">
      <c r="B57" s="142">
        <f ca="1"/>
        <v>45140</v>
      </c>
      <c r="C57" s="92">
        <f ca="1"/>
        <v>8.9968458483191995E-3</v>
      </c>
      <c r="D57" s="92">
        <f ca="1"/>
        <v>1.1638419212559696E-2</v>
      </c>
      <c r="E57" s="92">
        <f ca="1"/>
        <v>1.2507186751253455E-2</v>
      </c>
    </row>
    <row r="58" spans="2:5">
      <c r="B58" s="142">
        <f ca="1"/>
        <v>45173</v>
      </c>
      <c r="C58" s="92">
        <f ca="1"/>
        <v>9.0503332969508552E-3</v>
      </c>
      <c r="D58" s="92">
        <f ca="1"/>
        <v>1.1686006675983273E-2</v>
      </c>
      <c r="E58" s="92">
        <f ca="1"/>
        <v>1.2559014004446464E-2</v>
      </c>
    </row>
    <row r="59" spans="2:5">
      <c r="B59" s="142">
        <f ca="1"/>
        <v>45201</v>
      </c>
      <c r="C59" s="92">
        <f ca="1"/>
        <v>9.1026269358071218E-3</v>
      </c>
      <c r="D59" s="92">
        <f ca="1"/>
        <v>1.1731514979549539E-2</v>
      </c>
      <c r="E59" s="92">
        <f ca="1"/>
        <v>1.2613491257967818E-2</v>
      </c>
    </row>
    <row r="60" spans="2:5">
      <c r="B60" s="142">
        <f ca="1"/>
        <v>45232</v>
      </c>
      <c r="C60" s="92">
        <f ca="1"/>
        <v>9.1640439458477423E-3</v>
      </c>
      <c r="D60" s="92">
        <f ca="1"/>
        <v>1.1787639021156858E-2</v>
      </c>
      <c r="E60" s="92">
        <f ca="1"/>
        <v>1.2678942285280995E-2</v>
      </c>
    </row>
    <row r="61" spans="2:5">
      <c r="B61" s="142">
        <f ca="1"/>
        <v>45264</v>
      </c>
      <c r="C61" s="92">
        <f ca="1"/>
        <v>9.2313335789103723E-3</v>
      </c>
      <c r="D61" s="92">
        <f ca="1"/>
        <v>1.1851979499451061E-2</v>
      </c>
      <c r="E61" s="92">
        <f ca="1"/>
        <v>1.2758387520928269E-2</v>
      </c>
    </row>
    <row r="62" spans="2:5">
      <c r="B62" s="142">
        <f ca="1"/>
        <v>45293</v>
      </c>
      <c r="C62" s="92">
        <f ca="1"/>
        <v>9.2952813642973482E-3</v>
      </c>
      <c r="D62" s="92">
        <f ca="1"/>
        <v>1.1915942750268744E-2</v>
      </c>
      <c r="E62" s="92">
        <f ca="1"/>
        <v>1.283499185477502E-2</v>
      </c>
    </row>
    <row r="63" spans="2:5">
      <c r="B63" s="142">
        <f ca="1"/>
        <v>45324</v>
      </c>
      <c r="C63" s="92">
        <f ca="1"/>
        <v>9.3688489045723241E-3</v>
      </c>
      <c r="D63" s="92">
        <f ca="1"/>
        <v>1.1990125925517688E-2</v>
      </c>
      <c r="E63" s="92">
        <f ca="1"/>
        <v>1.2926777955352192E-2</v>
      </c>
    </row>
    <row r="64" spans="2:5">
      <c r="B64" s="142">
        <f ca="1"/>
        <v>45355</v>
      </c>
      <c r="C64" s="92">
        <f ca="1"/>
        <v>9.4399830179996303E-3</v>
      </c>
      <c r="D64" s="92">
        <f ca="1"/>
        <v>1.2070123348278033E-2</v>
      </c>
      <c r="E64" s="92">
        <f ca="1"/>
        <v>1.3031082280791809E-2</v>
      </c>
    </row>
    <row r="65" spans="2:5">
      <c r="B65" s="142">
        <f ca="1"/>
        <v>45384</v>
      </c>
      <c r="C65" s="92">
        <f ca="1"/>
        <v>9.5110250222789627E-3</v>
      </c>
      <c r="D65" s="92">
        <f ca="1"/>
        <v>1.2150081138074685E-2</v>
      </c>
      <c r="E65" s="92">
        <f ca="1"/>
        <v>1.3130236978230962E-2</v>
      </c>
    </row>
    <row r="66" spans="2:5">
      <c r="B66" s="142">
        <f ca="1"/>
        <v>45414</v>
      </c>
      <c r="C66" s="92">
        <f ca="1"/>
        <v>9.586242794529699E-3</v>
      </c>
      <c r="D66" s="92">
        <f ca="1"/>
        <v>1.2237985208274321E-2</v>
      </c>
      <c r="E66" s="92">
        <f ca="1"/>
        <v>1.3247532063999271E-2</v>
      </c>
    </row>
    <row r="67" spans="2:5">
      <c r="B67" s="142">
        <f ca="1"/>
        <v>45446</v>
      </c>
      <c r="C67" s="92">
        <f ca="1"/>
        <v>9.6684173201107438E-3</v>
      </c>
      <c r="D67" s="92">
        <f ca="1"/>
        <v>1.2337579563355957E-2</v>
      </c>
      <c r="E67" s="92">
        <f ca="1"/>
        <v>1.3363448698601949E-2</v>
      </c>
    </row>
    <row r="68" spans="2:5">
      <c r="B68" s="142">
        <f ca="1"/>
        <v>45475</v>
      </c>
      <c r="C68" s="92">
        <f ca="1"/>
        <v>9.7442371562002396E-3</v>
      </c>
      <c r="D68" s="92">
        <f ca="1"/>
        <v>1.243263933452443E-2</v>
      </c>
      <c r="E68" s="92">
        <f ca="1"/>
        <v>1.3478827354125023E-2</v>
      </c>
    </row>
    <row r="69" spans="2:5">
      <c r="B69" s="142">
        <f ca="1"/>
        <v>45506</v>
      </c>
      <c r="C69" s="92">
        <f ca="1"/>
        <v>9.8291577905401696E-3</v>
      </c>
      <c r="D69" s="92">
        <f ca="1"/>
        <v>1.2536773793028063E-2</v>
      </c>
      <c r="E69" s="92">
        <f ca="1"/>
        <v>1.3602079085862683E-2</v>
      </c>
    </row>
    <row r="70" spans="2:5">
      <c r="B70" s="142">
        <f ca="1"/>
        <v>45537</v>
      </c>
      <c r="C70" s="92">
        <f ca="1"/>
        <v>9.9091966316427575E-3</v>
      </c>
      <c r="D70" s="92">
        <f ca="1"/>
        <v>1.264027427083619E-2</v>
      </c>
      <c r="E70" s="92">
        <f ca="1"/>
        <v>1.3714905621091849E-2</v>
      </c>
    </row>
    <row r="71" spans="2:5">
      <c r="B71" s="142">
        <f ca="1"/>
        <v>45567</v>
      </c>
      <c r="C71" s="92">
        <f ca="1"/>
        <v>9.9904637990351139E-3</v>
      </c>
      <c r="D71" s="92">
        <f ca="1"/>
        <v>1.273717624224791E-2</v>
      </c>
      <c r="E71" s="92">
        <f ca="1"/>
        <v>1.3826720034140377E-2</v>
      </c>
    </row>
    <row r="72" spans="2:5">
      <c r="B72" s="142">
        <f ca="1"/>
        <v>45600</v>
      </c>
      <c r="C72" s="92">
        <f ca="1"/>
        <v>1.0081026730988742E-2</v>
      </c>
      <c r="D72" s="92">
        <f ca="1"/>
        <v>1.283971328108274E-2</v>
      </c>
      <c r="E72" s="92">
        <f ca="1"/>
        <v>1.3945131275525243E-2</v>
      </c>
    </row>
    <row r="73" spans="2:5">
      <c r="B73" s="142">
        <f ca="1"/>
        <v>45628</v>
      </c>
      <c r="C73" s="92">
        <f ca="1"/>
        <v>1.0158833094500797E-2</v>
      </c>
      <c r="D73" s="92">
        <f ca="1"/>
        <v>1.2923760400785448E-2</v>
      </c>
      <c r="E73" s="92">
        <f ca="1"/>
        <v>1.4041837576824867E-2</v>
      </c>
    </row>
    <row r="74" spans="2:5">
      <c r="B74" s="142">
        <f ca="1"/>
        <v>45659</v>
      </c>
      <c r="C74" s="92">
        <f ca="1"/>
        <v>1.024570259353492E-2</v>
      </c>
      <c r="D74" s="92">
        <f ca="1"/>
        <v>1.3013905455767727E-2</v>
      </c>
      <c r="E74" s="92">
        <f ca="1"/>
        <v>1.4143038419010592E-2</v>
      </c>
    </row>
    <row r="75" spans="2:5">
      <c r="B75" s="142">
        <f ca="1"/>
        <v>45691</v>
      </c>
      <c r="C75" s="92">
        <f ca="1"/>
        <v>1.033580166030559E-2</v>
      </c>
      <c r="D75" s="92">
        <f ca="1"/>
        <v>1.3103257502710635E-2</v>
      </c>
      <c r="E75" s="92">
        <f ca="1"/>
        <v>1.4246804075133295E-2</v>
      </c>
    </row>
    <row r="76" spans="2:5">
      <c r="B76" s="142">
        <f ca="1"/>
        <v>45719</v>
      </c>
      <c r="C76" s="92">
        <f ca="1"/>
        <v>1.0414996305067628E-2</v>
      </c>
      <c r="D76" s="92">
        <f ca="1"/>
        <v>1.3177770944925312E-2</v>
      </c>
      <c r="E76" s="92">
        <f ca="1"/>
        <v>1.4335718869025859E-2</v>
      </c>
    </row>
    <row r="77" spans="2:5">
      <c r="B77" s="142">
        <f ca="1"/>
        <v>45749</v>
      </c>
      <c r="C77" s="92">
        <f ca="1"/>
        <v>1.0499903438948046E-2</v>
      </c>
      <c r="D77" s="92">
        <f ca="1"/>
        <v>1.3253342461777454E-2</v>
      </c>
      <c r="E77" s="92">
        <f ca="1"/>
        <v>1.4421674413396719E-2</v>
      </c>
    </row>
    <row r="78" spans="2:5">
      <c r="B78" s="142">
        <f ca="1"/>
        <v>45779</v>
      </c>
      <c r="C78" s="92">
        <f ca="1"/>
        <v>1.0587669056948995E-2</v>
      </c>
      <c r="D78" s="92">
        <f ca="1"/>
        <v>1.3324629232665487E-2</v>
      </c>
      <c r="E78" s="92">
        <f ca="1"/>
        <v>1.4508244162883745E-2</v>
      </c>
    </row>
    <row r="79" spans="2:5">
      <c r="B79" s="142">
        <f ca="1"/>
        <v>45810</v>
      </c>
      <c r="C79" s="92">
        <f ca="1"/>
        <v>1.0671717482180761E-2</v>
      </c>
      <c r="D79" s="92">
        <f ca="1"/>
        <v>1.3394092313640221E-2</v>
      </c>
      <c r="E79" s="92">
        <f ca="1"/>
        <v>1.4586555324422976E-2</v>
      </c>
    </row>
    <row r="80" spans="2:5">
      <c r="B80" s="142">
        <f ca="1"/>
        <v>45840</v>
      </c>
      <c r="C80" s="92">
        <f ca="1"/>
        <v>1.0755512017894356E-2</v>
      </c>
      <c r="D80" s="92">
        <f ca="1"/>
        <v>1.3457496865570273E-2</v>
      </c>
      <c r="E80" s="92">
        <f ca="1"/>
        <v>1.4661855586190126E-2</v>
      </c>
    </row>
    <row r="81" spans="2:5">
      <c r="B81" s="142">
        <f ca="1"/>
        <v>45873</v>
      </c>
      <c r="C81" s="92">
        <f ca="1"/>
        <v>1.0846616416879225E-2</v>
      </c>
      <c r="D81" s="92">
        <f ca="1"/>
        <v>1.3522926731836802E-2</v>
      </c>
      <c r="E81" s="92">
        <f ca="1"/>
        <v>1.4737097730347083E-2</v>
      </c>
    </row>
    <row r="82" spans="2:5">
      <c r="B82" s="142">
        <f ca="1"/>
        <v>45902</v>
      </c>
      <c r="C82" s="92">
        <f ca="1"/>
        <v>1.0925749962272203E-2</v>
      </c>
      <c r="D82" s="92">
        <f ca="1"/>
        <v>1.3576643906508479E-2</v>
      </c>
      <c r="E82" s="92">
        <f ca="1"/>
        <v>1.4794137931303247E-2</v>
      </c>
    </row>
    <row r="83" spans="2:5">
      <c r="B83" s="142">
        <f ca="1"/>
        <v>45932</v>
      </c>
      <c r="C83" s="92">
        <f ca="1"/>
        <v>1.1006406060316132E-2</v>
      </c>
      <c r="D83" s="92">
        <f ca="1"/>
        <v>1.3628478130709099E-2</v>
      </c>
      <c r="E83" s="92">
        <f ca="1"/>
        <v>1.4852659814843541E-2</v>
      </c>
    </row>
    <row r="84" spans="2:5">
      <c r="B84" s="142">
        <f ca="1"/>
        <v>45964</v>
      </c>
      <c r="C84" s="92">
        <f ca="1"/>
        <v>1.1090699897582866E-2</v>
      </c>
      <c r="D84" s="92">
        <f ca="1"/>
        <v>1.3679771240462237E-2</v>
      </c>
      <c r="E84" s="92">
        <f ca="1"/>
        <v>1.4907418577401287E-2</v>
      </c>
    </row>
    <row r="85" spans="2:5">
      <c r="B85" s="142">
        <f ca="1"/>
        <v>45993</v>
      </c>
      <c r="C85" s="92">
        <f ca="1"/>
        <v>1.1165534921124425E-2</v>
      </c>
      <c r="D85" s="92">
        <f ca="1"/>
        <v>1.3722913090412492E-2</v>
      </c>
      <c r="E85" s="92">
        <f ca="1"/>
        <v>1.4951365275942628E-2</v>
      </c>
    </row>
    <row r="86" spans="2:5">
      <c r="B86" s="142">
        <f ca="1"/>
        <v>46024</v>
      </c>
      <c r="C86" s="92">
        <f ca="1"/>
        <v>1.1246414567889858E-2</v>
      </c>
      <c r="D86" s="92">
        <f ca="1"/>
        <v>1.3765664950557702E-2</v>
      </c>
      <c r="E86" s="92">
        <f ca="1"/>
        <v>1.4991549767133206E-2</v>
      </c>
    </row>
    <row r="87" spans="2:5">
      <c r="B87" s="142">
        <f ca="1"/>
        <v>46055</v>
      </c>
      <c r="C87" s="92">
        <f ca="1"/>
        <v>1.131926336981522E-2</v>
      </c>
      <c r="D87" s="92">
        <f ca="1"/>
        <v>1.3804679705474901E-2</v>
      </c>
      <c r="E87" s="92">
        <f ca="1"/>
        <v>1.5027228932213903E-2</v>
      </c>
    </row>
    <row r="88" spans="2:5">
      <c r="B88" s="142">
        <f ca="1"/>
        <v>46083</v>
      </c>
      <c r="C88" s="92">
        <f ca="1"/>
        <v>1.13855700017603E-2</v>
      </c>
      <c r="D88" s="92">
        <f ca="1"/>
        <v>1.3836387646839046E-2</v>
      </c>
      <c r="E88" s="92">
        <f ca="1"/>
        <v>1.5054692858946639E-2</v>
      </c>
    </row>
    <row r="89" spans="2:5">
      <c r="B89" s="142">
        <f ca="1"/>
        <v>46114</v>
      </c>
      <c r="C89" s="92">
        <f ca="1"/>
        <v>1.1456410056942186E-2</v>
      </c>
      <c r="D89" s="92">
        <f ca="1"/>
        <v>1.3867307910167593E-2</v>
      </c>
      <c r="E89" s="92">
        <f ca="1"/>
        <v>1.5077364596048365E-2</v>
      </c>
    </row>
    <row r="90" spans="2:5">
      <c r="B90" s="142">
        <f ca="1"/>
        <v>46146</v>
      </c>
      <c r="C90" s="92">
        <f ca="1"/>
        <v>1.1526331933147534E-2</v>
      </c>
      <c r="D90" s="92">
        <f ca="1"/>
        <v>1.3894699603785091E-2</v>
      </c>
      <c r="E90" s="92">
        <f ca="1"/>
        <v>1.5097612217926069E-2</v>
      </c>
    </row>
    <row r="91" spans="2:5">
      <c r="B91" s="142">
        <f ca="1"/>
        <v>46175</v>
      </c>
      <c r="C91" s="92">
        <f ca="1"/>
        <v>1.1586876744955295E-2</v>
      </c>
      <c r="D91" s="92">
        <f ca="1"/>
        <v>1.3915722103290376E-2</v>
      </c>
      <c r="E91" s="92">
        <f ca="1"/>
        <v>1.5113059617232881E-2</v>
      </c>
    </row>
    <row r="92" spans="2:5">
      <c r="B92" s="142">
        <f ca="1"/>
        <v>46205</v>
      </c>
      <c r="C92" s="92">
        <f ca="1"/>
        <v>1.1646378115502244E-2</v>
      </c>
      <c r="D92" s="92">
        <f ca="1"/>
        <v>1.393418561219157E-2</v>
      </c>
      <c r="E92" s="92">
        <f ca="1"/>
        <v>1.5131728803345616E-2</v>
      </c>
    </row>
    <row r="93" spans="2:5">
      <c r="B93" s="142">
        <f ca="1"/>
        <v>46237</v>
      </c>
      <c r="C93" s="92">
        <f ca="1"/>
        <v>1.1705930790057687E-2</v>
      </c>
      <c r="D93" s="92">
        <f ca="1"/>
        <v>1.3952722516407343E-2</v>
      </c>
      <c r="E93" s="92">
        <f ca="1"/>
        <v>1.5150685134334249E-2</v>
      </c>
    </row>
    <row r="94" spans="2:5">
      <c r="B94" s="142">
        <f ca="1"/>
        <v>46267</v>
      </c>
      <c r="C94" s="92">
        <f ca="1"/>
        <v>1.1758075694452121E-2</v>
      </c>
      <c r="D94" s="92">
        <f ca="1"/>
        <v>1.3971930325243815E-2</v>
      </c>
      <c r="E94" s="92">
        <f ca="1"/>
        <v>1.5171481729138507E-2</v>
      </c>
    </row>
    <row r="95" spans="2:5">
      <c r="B95" s="142">
        <f ca="1"/>
        <v>46297</v>
      </c>
      <c r="C95" s="92">
        <f ca="1"/>
        <v>1.1810387749217577E-2</v>
      </c>
      <c r="D95" s="92">
        <f ca="1"/>
        <v>1.399537829761094E-2</v>
      </c>
      <c r="E95" s="92">
        <f ca="1"/>
        <v>1.5201508300463306E-2</v>
      </c>
    </row>
    <row r="96" spans="2:5">
      <c r="B96" s="142">
        <f ca="1"/>
        <v>46328</v>
      </c>
      <c r="C96" s="92">
        <f ca="1"/>
        <v>1.1860392013145848E-2</v>
      </c>
      <c r="D96" s="92">
        <f ca="1"/>
        <v>1.4024792012333916E-2</v>
      </c>
      <c r="E96" s="92">
        <f ca="1"/>
        <v>1.5238379760757939E-2</v>
      </c>
    </row>
    <row r="97" spans="2:5">
      <c r="B97" s="142">
        <f ca="1"/>
        <v>46358</v>
      </c>
      <c r="C97" s="92">
        <f ca="1"/>
        <v>1.1910929145464792E-2</v>
      </c>
      <c r="D97" s="92">
        <f ca="1"/>
        <v>1.4058447718920111E-2</v>
      </c>
      <c r="E97" s="92">
        <f ca="1"/>
        <v>1.528057049743721E-2</v>
      </c>
    </row>
    <row r="98" spans="2:5">
      <c r="B98" s="142">
        <f ca="1"/>
        <v>46391</v>
      </c>
      <c r="C98" s="92">
        <f ca="1"/>
        <v>1.1966669373498013E-2</v>
      </c>
      <c r="D98" s="92">
        <f ca="1"/>
        <v>1.4101571126710196E-2</v>
      </c>
      <c r="E98" s="92">
        <f ca="1"/>
        <v>1.5334368547872353E-2</v>
      </c>
    </row>
    <row r="99" spans="2:5">
      <c r="B99" s="142">
        <f ca="1"/>
        <v>46420</v>
      </c>
      <c r="C99" s="92">
        <f ca="1"/>
        <v>1.2015764707696061E-2</v>
      </c>
      <c r="D99" s="92">
        <f ca="1"/>
        <v>1.4144922310646053E-2</v>
      </c>
      <c r="E99" s="92">
        <f ca="1"/>
        <v>1.5386619657037538E-2</v>
      </c>
    </row>
    <row r="100" spans="2:5">
      <c r="B100" s="142">
        <f ca="1"/>
        <v>46448</v>
      </c>
      <c r="C100" s="92">
        <f ca="1"/>
        <v>1.2063266743680747E-2</v>
      </c>
      <c r="D100" s="92">
        <f ca="1"/>
        <v>1.4191775757582778E-2</v>
      </c>
      <c r="E100" s="92">
        <f ca="1"/>
        <v>1.5448538076697552E-2</v>
      </c>
    </row>
    <row r="101" spans="2:5">
      <c r="B101" s="142">
        <f ca="1"/>
        <v>46479</v>
      </c>
      <c r="C101" s="92">
        <f ca="1"/>
        <v>1.2118041218184781E-2</v>
      </c>
      <c r="D101" s="92">
        <f ca="1"/>
        <v>1.4249375260896726E-2</v>
      </c>
      <c r="E101" s="92">
        <f ca="1"/>
        <v>1.5520470819161077E-2</v>
      </c>
    </row>
    <row r="102" spans="2:5">
      <c r="B102" s="142">
        <f ca="1"/>
        <v>46510</v>
      </c>
      <c r="C102" s="92">
        <f ca="1"/>
        <v>1.2168635306675541E-2</v>
      </c>
      <c r="D102" s="92">
        <f ca="1"/>
        <v>1.4312166112379635E-2</v>
      </c>
      <c r="E102" s="92">
        <f ca="1"/>
        <v>1.5595589167521687E-2</v>
      </c>
    </row>
    <row r="103" spans="2:5">
      <c r="B103" s="142">
        <f ca="1"/>
        <v>46540</v>
      </c>
      <c r="C103" s="92">
        <f ca="1"/>
        <v>1.22196699327207E-2</v>
      </c>
      <c r="D103" s="92">
        <f ca="1"/>
        <v>1.4376852088432479E-2</v>
      </c>
      <c r="E103" s="92">
        <f ca="1"/>
        <v>1.5673762839673248E-2</v>
      </c>
    </row>
    <row r="104" spans="2:5">
      <c r="B104" s="142">
        <f ca="1"/>
        <v>46570</v>
      </c>
      <c r="C104" s="92">
        <f ca="1"/>
        <v>1.2272824305573225E-2</v>
      </c>
      <c r="D104" s="92">
        <f ca="1"/>
        <v>1.4444653377125987E-2</v>
      </c>
      <c r="E104" s="92">
        <f ca="1"/>
        <v>1.5762631602299067E-2</v>
      </c>
    </row>
    <row r="105" spans="2:5">
      <c r="B105" s="142">
        <f ca="1"/>
        <v>46601</v>
      </c>
      <c r="C105" s="92">
        <f ca="1"/>
        <v>1.2323402194141259E-2</v>
      </c>
      <c r="D105" s="92">
        <f ca="1"/>
        <v>1.4518532804104841E-2</v>
      </c>
      <c r="E105" s="92">
        <f ca="1"/>
        <v>1.5853787082832121E-2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39933"/>
  </sheetPr>
  <dimension ref="B2:C104"/>
  <sheetViews>
    <sheetView showGridLines="0" workbookViewId="0"/>
  </sheetViews>
  <sheetFormatPr defaultRowHeight="15"/>
  <cols>
    <col min="1" max="1" width="9.140625" style="115"/>
    <col min="2" max="2" width="16.7109375" style="115" customWidth="1"/>
    <col min="3" max="3" width="15.140625" style="115" bestFit="1" customWidth="1"/>
    <col min="4" max="16384" width="9.140625" style="115"/>
  </cols>
  <sheetData>
    <row r="2" spans="2:3" ht="20.25">
      <c r="B2" s="74" t="s">
        <v>252</v>
      </c>
    </row>
    <row r="4" spans="2:3">
      <c r="B4" s="147" t="s">
        <v>251</v>
      </c>
      <c r="C4" s="94" t="s">
        <v>313</v>
      </c>
    </row>
    <row r="5" spans="2:3">
      <c r="B5" s="147" t="s">
        <v>349</v>
      </c>
      <c r="C5" s="94" t="s">
        <v>346</v>
      </c>
    </row>
    <row r="7" spans="2:3" ht="18.75">
      <c r="B7" s="97" t="s">
        <v>350</v>
      </c>
    </row>
    <row r="8" spans="2:3">
      <c r="B8" s="120" t="str">
        <f t="array" aca="1" ref="B8:C103" ca="1">_xll.meCurveDiscountFactorsDisplay(C4,C5)</f>
        <v>PaymentDates</v>
      </c>
      <c r="C8" s="117" t="str">
        <f ca="1"/>
        <v>DiscountFactors</v>
      </c>
    </row>
    <row r="9" spans="2:3">
      <c r="B9" s="95">
        <f ca="1"/>
        <v>43710</v>
      </c>
      <c r="C9" s="102">
        <f ca="1"/>
        <v>1</v>
      </c>
    </row>
    <row r="10" spans="2:3">
      <c r="B10" s="95">
        <f ca="1"/>
        <v>43711</v>
      </c>
      <c r="C10" s="102">
        <f ca="1"/>
        <v>0.99994111457880819</v>
      </c>
    </row>
    <row r="11" spans="2:3">
      <c r="B11" s="95">
        <f ca="1"/>
        <v>43712</v>
      </c>
      <c r="C11" s="102">
        <f ca="1"/>
        <v>0.99988223262510922</v>
      </c>
    </row>
    <row r="12" spans="2:3">
      <c r="B12" s="95">
        <f ca="1"/>
        <v>43719</v>
      </c>
      <c r="C12" s="102">
        <f ca="1"/>
        <v>0.99947022878635461</v>
      </c>
    </row>
    <row r="13" spans="2:3">
      <c r="B13" s="95">
        <f ca="1"/>
        <v>43726</v>
      </c>
      <c r="C13" s="102">
        <f ca="1"/>
        <v>0.99905817613949066</v>
      </c>
    </row>
    <row r="14" spans="2:3">
      <c r="B14" s="95">
        <f ca="1"/>
        <v>43733</v>
      </c>
      <c r="C14" s="102">
        <f ca="1"/>
        <v>0.99869145950822225</v>
      </c>
    </row>
    <row r="15" spans="2:3">
      <c r="B15" s="95">
        <f ca="1"/>
        <v>43742</v>
      </c>
      <c r="C15" s="102">
        <f ca="1"/>
        <v>0.99822559406629008</v>
      </c>
    </row>
    <row r="16" spans="2:3">
      <c r="B16" s="95">
        <f ca="1"/>
        <v>43773</v>
      </c>
      <c r="C16" s="102">
        <f ca="1"/>
        <v>0.99665902074105317</v>
      </c>
    </row>
    <row r="17" spans="2:3">
      <c r="B17" s="95">
        <f ca="1"/>
        <v>43803</v>
      </c>
      <c r="C17" s="102">
        <f ca="1"/>
        <v>0.99524318298406944</v>
      </c>
    </row>
    <row r="18" spans="2:3">
      <c r="B18" s="95">
        <f ca="1"/>
        <v>43836</v>
      </c>
      <c r="C18" s="102">
        <f ca="1"/>
        <v>0.99379158215555774</v>
      </c>
    </row>
    <row r="19" spans="2:3">
      <c r="B19" s="95">
        <f ca="1"/>
        <v>43865</v>
      </c>
      <c r="C19" s="102">
        <f ca="1"/>
        <v>0.9925763003233411</v>
      </c>
    </row>
    <row r="20" spans="2:3">
      <c r="B20" s="95">
        <f ca="1"/>
        <v>43894</v>
      </c>
      <c r="C20" s="102">
        <f ca="1"/>
        <v>0.99144650999478756</v>
      </c>
    </row>
    <row r="21" spans="2:3">
      <c r="B21" s="95">
        <f ca="1"/>
        <v>43986</v>
      </c>
      <c r="C21" s="102">
        <f ca="1"/>
        <v>0.98811615714092671</v>
      </c>
    </row>
    <row r="22" spans="2:3">
      <c r="B22" s="95">
        <f ca="1"/>
        <v>44078</v>
      </c>
      <c r="C22" s="102">
        <f ca="1"/>
        <v>0.98515240040623231</v>
      </c>
    </row>
    <row r="23" spans="2:3">
      <c r="B23" s="95">
        <f ca="1"/>
        <v>44169</v>
      </c>
      <c r="C23" s="102">
        <f ca="1"/>
        <v>0.98254036261946753</v>
      </c>
    </row>
    <row r="24" spans="2:3">
      <c r="B24" s="95">
        <f ca="1"/>
        <v>44259</v>
      </c>
      <c r="C24" s="102">
        <f ca="1"/>
        <v>0.98017930974281509</v>
      </c>
    </row>
    <row r="25" spans="2:3">
      <c r="B25" s="95">
        <f ca="1"/>
        <v>44351</v>
      </c>
      <c r="C25" s="102">
        <f ca="1"/>
        <v>0.97790977906596099</v>
      </c>
    </row>
    <row r="26" spans="2:3">
      <c r="B26" s="95">
        <f ca="1"/>
        <v>44446</v>
      </c>
      <c r="C26" s="102">
        <f ca="1"/>
        <v>0.97563533588604223</v>
      </c>
    </row>
    <row r="27" spans="2:3">
      <c r="B27" s="95">
        <f ca="1"/>
        <v>44536</v>
      </c>
      <c r="C27" s="102">
        <f ca="1"/>
        <v>0.97347982185025717</v>
      </c>
    </row>
    <row r="28" spans="2:3">
      <c r="B28" s="95">
        <f ca="1"/>
        <v>44624</v>
      </c>
      <c r="C28" s="102">
        <f ca="1"/>
        <v>0.97134608511087694</v>
      </c>
    </row>
    <row r="29" spans="2:3">
      <c r="B29" s="95">
        <f ca="1"/>
        <v>44718</v>
      </c>
      <c r="C29" s="102">
        <f ca="1"/>
        <v>0.96904006969285872</v>
      </c>
    </row>
    <row r="30" spans="2:3">
      <c r="B30" s="95">
        <f ca="1"/>
        <v>44810</v>
      </c>
      <c r="C30" s="102">
        <f ca="1"/>
        <v>0.96678159336802227</v>
      </c>
    </row>
    <row r="31" spans="2:3">
      <c r="B31" s="95">
        <f ca="1"/>
        <v>44900</v>
      </c>
      <c r="C31" s="102">
        <f ca="1"/>
        <v>0.96460458251970072</v>
      </c>
    </row>
    <row r="32" spans="2:3">
      <c r="B32" s="95">
        <f ca="1"/>
        <v>44991</v>
      </c>
      <c r="C32" s="102">
        <f ca="1"/>
        <v>0.96243051085914355</v>
      </c>
    </row>
    <row r="33" spans="2:3">
      <c r="B33" s="95">
        <f ca="1"/>
        <v>45082</v>
      </c>
      <c r="C33" s="102">
        <f ca="1"/>
        <v>0.96026484522936506</v>
      </c>
    </row>
    <row r="34" spans="2:3">
      <c r="B34" s="95">
        <f ca="1"/>
        <v>45174</v>
      </c>
      <c r="C34" s="102">
        <f ca="1"/>
        <v>0.95806274999848906</v>
      </c>
    </row>
    <row r="35" spans="2:3">
      <c r="B35" s="95">
        <f ca="1"/>
        <v>45264</v>
      </c>
      <c r="C35" s="102">
        <f ca="1"/>
        <v>0.95587654722457327</v>
      </c>
    </row>
    <row r="36" spans="2:3">
      <c r="B36" s="95">
        <f ca="1"/>
        <v>45355</v>
      </c>
      <c r="C36" s="102">
        <f ca="1"/>
        <v>0.95362426099461872</v>
      </c>
    </row>
    <row r="37" spans="2:3">
      <c r="B37" s="95">
        <f ca="1"/>
        <v>45447</v>
      </c>
      <c r="C37" s="102">
        <f ca="1"/>
        <v>0.95129905972419881</v>
      </c>
    </row>
    <row r="38" spans="2:3">
      <c r="B38" s="95">
        <f ca="1"/>
        <v>45539</v>
      </c>
      <c r="C38" s="102">
        <f ca="1"/>
        <v>0.94892183787975437</v>
      </c>
    </row>
    <row r="39" spans="2:3">
      <c r="B39" s="95">
        <f ca="1"/>
        <v>45630</v>
      </c>
      <c r="C39" s="102">
        <f ca="1"/>
        <v>0.94651729982717914</v>
      </c>
    </row>
    <row r="40" spans="2:3">
      <c r="B40" s="95">
        <f ca="1"/>
        <v>45720</v>
      </c>
      <c r="C40" s="102">
        <f ca="1"/>
        <v>0.94408568175630136</v>
      </c>
    </row>
    <row r="41" spans="2:3">
      <c r="B41" s="95">
        <f ca="1"/>
        <v>45812</v>
      </c>
      <c r="C41" s="102">
        <f ca="1"/>
        <v>0.94154465778607499</v>
      </c>
    </row>
    <row r="42" spans="2:3">
      <c r="B42" s="95">
        <f ca="1"/>
        <v>45904</v>
      </c>
      <c r="C42" s="102">
        <f ca="1"/>
        <v>0.93894875216572948</v>
      </c>
    </row>
    <row r="43" spans="2:3">
      <c r="B43" s="95">
        <f ca="1"/>
        <v>45995</v>
      </c>
      <c r="C43" s="102">
        <f ca="1"/>
        <v>0.93632959474684363</v>
      </c>
    </row>
    <row r="44" spans="2:3">
      <c r="B44" s="95">
        <f ca="1"/>
        <v>46085</v>
      </c>
      <c r="C44" s="102">
        <f ca="1"/>
        <v>0.93369269909694608</v>
      </c>
    </row>
    <row r="45" spans="2:3">
      <c r="B45" s="95">
        <f ca="1"/>
        <v>46177</v>
      </c>
      <c r="C45" s="102">
        <f ca="1"/>
        <v>0.93095471517680151</v>
      </c>
    </row>
    <row r="46" spans="2:3">
      <c r="B46" s="95">
        <f ca="1"/>
        <v>46269</v>
      </c>
      <c r="C46" s="102">
        <f ca="1"/>
        <v>0.92818056867730314</v>
      </c>
    </row>
    <row r="47" spans="2:3">
      <c r="B47" s="95">
        <f ca="1"/>
        <v>46360</v>
      </c>
      <c r="C47" s="102">
        <f ca="1"/>
        <v>0.92540754780586332</v>
      </c>
    </row>
    <row r="48" spans="2:3">
      <c r="B48" s="95">
        <f ca="1"/>
        <v>46450</v>
      </c>
      <c r="C48" s="102">
        <f ca="1"/>
        <v>0.92263794106786701</v>
      </c>
    </row>
    <row r="49" spans="2:3">
      <c r="B49" s="95">
        <f ca="1"/>
        <v>46542</v>
      </c>
      <c r="C49" s="102">
        <f ca="1"/>
        <v>0.91977905336678456</v>
      </c>
    </row>
    <row r="50" spans="2:3">
      <c r="B50" s="95">
        <f ca="1"/>
        <v>46637</v>
      </c>
      <c r="C50" s="102">
        <f ca="1"/>
        <v>0.91679777065530033</v>
      </c>
    </row>
    <row r="51" spans="2:3">
      <c r="B51" s="95">
        <f ca="1"/>
        <v>46727</v>
      </c>
      <c r="C51" s="102">
        <f ca="1"/>
        <v>0.91394645360586291</v>
      </c>
    </row>
    <row r="52" spans="2:3">
      <c r="B52" s="95">
        <f ca="1"/>
        <v>46818</v>
      </c>
      <c r="C52" s="102">
        <f ca="1"/>
        <v>0.91103734334761488</v>
      </c>
    </row>
    <row r="53" spans="2:3">
      <c r="B53" s="95">
        <f ca="1"/>
        <v>46909</v>
      </c>
      <c r="C53" s="102">
        <f ca="1"/>
        <v>0.90810266252432403</v>
      </c>
    </row>
    <row r="54" spans="2:3">
      <c r="B54" s="95">
        <f ca="1"/>
        <v>47001</v>
      </c>
      <c r="C54" s="102">
        <f ca="1"/>
        <v>0.90511058877847128</v>
      </c>
    </row>
    <row r="55" spans="2:3">
      <c r="B55" s="95">
        <f ca="1"/>
        <v>47091</v>
      </c>
      <c r="C55" s="102">
        <f ca="1"/>
        <v>0.90216006207881039</v>
      </c>
    </row>
    <row r="56" spans="2:3">
      <c r="B56" s="95">
        <f ca="1"/>
        <v>47182</v>
      </c>
      <c r="C56" s="102">
        <f ca="1"/>
        <v>0.89915423206734424</v>
      </c>
    </row>
    <row r="57" spans="2:3">
      <c r="B57" s="95">
        <f ca="1"/>
        <v>47273</v>
      </c>
      <c r="C57" s="102">
        <f ca="1"/>
        <v>0.89612700537119938</v>
      </c>
    </row>
    <row r="58" spans="2:3">
      <c r="B58" s="95">
        <f ca="1"/>
        <v>47365</v>
      </c>
      <c r="C58" s="102">
        <f ca="1"/>
        <v>0.89304617611096648</v>
      </c>
    </row>
    <row r="59" spans="2:3">
      <c r="B59" s="95">
        <f ca="1"/>
        <v>47456</v>
      </c>
      <c r="C59" s="102">
        <f ca="1"/>
        <v>0.88998043331615728</v>
      </c>
    </row>
    <row r="60" spans="2:3">
      <c r="B60" s="95">
        <f ca="1"/>
        <v>47546</v>
      </c>
      <c r="C60" s="102">
        <f ca="1"/>
        <v>0.88693292393319856</v>
      </c>
    </row>
    <row r="61" spans="2:3">
      <c r="B61" s="95">
        <f ca="1"/>
        <v>47638</v>
      </c>
      <c r="C61" s="102">
        <f ca="1"/>
        <v>0.88380481836360536</v>
      </c>
    </row>
    <row r="62" spans="2:3">
      <c r="B62" s="95">
        <f ca="1"/>
        <v>47730</v>
      </c>
      <c r="C62" s="102">
        <f ca="1"/>
        <v>0.88066697208190348</v>
      </c>
    </row>
    <row r="63" spans="2:3">
      <c r="B63" s="95">
        <f ca="1"/>
        <v>47821</v>
      </c>
      <c r="C63" s="102">
        <f ca="1"/>
        <v>0.87755709299819351</v>
      </c>
    </row>
    <row r="64" spans="2:3">
      <c r="B64" s="95">
        <f ca="1"/>
        <v>47911</v>
      </c>
      <c r="C64" s="102">
        <f ca="1"/>
        <v>0.87447892441730035</v>
      </c>
    </row>
    <row r="65" spans="2:3">
      <c r="B65" s="95">
        <f ca="1"/>
        <v>48003</v>
      </c>
      <c r="C65" s="102">
        <f ca="1"/>
        <v>0.87133365991510014</v>
      </c>
    </row>
    <row r="66" spans="2:3">
      <c r="B66" s="95">
        <f ca="1"/>
        <v>48095</v>
      </c>
      <c r="C66" s="102">
        <f ca="1"/>
        <v>0.86819381265973028</v>
      </c>
    </row>
    <row r="67" spans="2:3">
      <c r="B67" s="95">
        <f ca="1"/>
        <v>48186</v>
      </c>
      <c r="C67" s="102">
        <f ca="1"/>
        <v>0.86509701693319363</v>
      </c>
    </row>
    <row r="68" spans="2:3">
      <c r="B68" s="95">
        <f ca="1"/>
        <v>48277</v>
      </c>
      <c r="C68" s="102">
        <f ca="1"/>
        <v>0.86201018303388521</v>
      </c>
    </row>
    <row r="69" spans="2:3">
      <c r="B69" s="95">
        <f ca="1"/>
        <v>48369</v>
      </c>
      <c r="C69" s="102">
        <f ca="1"/>
        <v>0.85889994406732284</v>
      </c>
    </row>
    <row r="70" spans="2:3">
      <c r="B70" s="95">
        <f ca="1"/>
        <v>48464</v>
      </c>
      <c r="C70" s="102">
        <f ca="1"/>
        <v>0.85569971672092948</v>
      </c>
    </row>
    <row r="71" spans="2:3">
      <c r="B71" s="95">
        <f ca="1"/>
        <v>48554</v>
      </c>
      <c r="C71" s="102">
        <f ca="1"/>
        <v>0.8526788768963065</v>
      </c>
    </row>
    <row r="72" spans="2:3">
      <c r="B72" s="95">
        <f ca="1"/>
        <v>48642</v>
      </c>
      <c r="C72" s="102">
        <f ca="1"/>
        <v>0.84973562774092271</v>
      </c>
    </row>
    <row r="73" spans="2:3">
      <c r="B73" s="95">
        <f ca="1"/>
        <v>48736</v>
      </c>
      <c r="C73" s="102">
        <f ca="1"/>
        <v>0.84660322447089309</v>
      </c>
    </row>
    <row r="74" spans="2:3">
      <c r="B74" s="95">
        <f ca="1"/>
        <v>48828</v>
      </c>
      <c r="C74" s="102">
        <f ca="1"/>
        <v>0.84354901944564065</v>
      </c>
    </row>
    <row r="75" spans="2:3">
      <c r="B75" s="95">
        <f ca="1"/>
        <v>48918</v>
      </c>
      <c r="C75" s="102">
        <f ca="1"/>
        <v>0.84057222615329408</v>
      </c>
    </row>
    <row r="76" spans="2:3">
      <c r="B76" s="95">
        <f ca="1"/>
        <v>49009</v>
      </c>
      <c r="C76" s="102">
        <f ca="1"/>
        <v>0.83757332749897617</v>
      </c>
    </row>
    <row r="77" spans="2:3">
      <c r="B77" s="95">
        <f ca="1"/>
        <v>49100</v>
      </c>
      <c r="C77" s="102">
        <f ca="1"/>
        <v>0.8345852879099056</v>
      </c>
    </row>
    <row r="78" spans="2:3">
      <c r="B78" s="95">
        <f ca="1"/>
        <v>49192</v>
      </c>
      <c r="C78" s="102">
        <f ca="1"/>
        <v>0.83157521088202224</v>
      </c>
    </row>
    <row r="79" spans="2:3">
      <c r="B79" s="95">
        <f ca="1"/>
        <v>49282</v>
      </c>
      <c r="C79" s="102">
        <f ca="1"/>
        <v>0.82864086591585429</v>
      </c>
    </row>
    <row r="80" spans="2:3">
      <c r="B80" s="95">
        <f ca="1"/>
        <v>49373</v>
      </c>
      <c r="C80" s="102">
        <f ca="1"/>
        <v>0.82568435502546411</v>
      </c>
    </row>
    <row r="81" spans="2:3">
      <c r="B81" s="95">
        <f ca="1"/>
        <v>49464</v>
      </c>
      <c r="C81" s="102">
        <f ca="1"/>
        <v>0.82273847845297354</v>
      </c>
    </row>
    <row r="82" spans="2:3">
      <c r="B82" s="95">
        <f ca="1"/>
        <v>49556</v>
      </c>
      <c r="C82" s="102">
        <f ca="1"/>
        <v>0.81977114828287645</v>
      </c>
    </row>
    <row r="83" spans="2:3">
      <c r="B83" s="95">
        <f ca="1"/>
        <v>49647</v>
      </c>
      <c r="C83" s="102">
        <f ca="1"/>
        <v>0.81684694613293019</v>
      </c>
    </row>
    <row r="84" spans="2:3">
      <c r="B84" s="95">
        <f ca="1"/>
        <v>49738</v>
      </c>
      <c r="C84" s="102">
        <f ca="1"/>
        <v>0.81393360096799861</v>
      </c>
    </row>
    <row r="85" spans="2:3">
      <c r="B85" s="95">
        <f ca="1"/>
        <v>49830</v>
      </c>
      <c r="C85" s="102">
        <f ca="1"/>
        <v>0.81099928819093303</v>
      </c>
    </row>
    <row r="86" spans="2:3">
      <c r="B86" s="95">
        <f ca="1"/>
        <v>49922</v>
      </c>
      <c r="C86" s="102">
        <f ca="1"/>
        <v>0.808076061792105</v>
      </c>
    </row>
    <row r="87" spans="2:3">
      <c r="B87" s="95">
        <f ca="1"/>
        <v>50013</v>
      </c>
      <c r="C87" s="102">
        <f ca="1"/>
        <v>0.80519546430527411</v>
      </c>
    </row>
    <row r="88" spans="2:3">
      <c r="B88" s="95">
        <f ca="1"/>
        <v>50103</v>
      </c>
      <c r="C88" s="102">
        <f ca="1"/>
        <v>0.80235706051633204</v>
      </c>
    </row>
    <row r="89" spans="2:3">
      <c r="B89" s="95">
        <f ca="1"/>
        <v>50195</v>
      </c>
      <c r="C89" s="102">
        <f ca="1"/>
        <v>0.79946630252834461</v>
      </c>
    </row>
    <row r="90" spans="2:3">
      <c r="B90" s="95">
        <f ca="1"/>
        <v>50287</v>
      </c>
      <c r="C90" s="102">
        <f ca="1"/>
        <v>0.79658624170147652</v>
      </c>
    </row>
    <row r="91" spans="2:3">
      <c r="B91" s="95">
        <f ca="1"/>
        <v>50378</v>
      </c>
      <c r="C91" s="102">
        <f ca="1"/>
        <v>0.79374784045665947</v>
      </c>
    </row>
    <row r="92" spans="2:3">
      <c r="B92" s="95">
        <f ca="1"/>
        <v>50468</v>
      </c>
      <c r="C92" s="102">
        <f ca="1"/>
        <v>0.7909505681919522</v>
      </c>
    </row>
    <row r="93" spans="2:3">
      <c r="B93" s="95">
        <f ca="1"/>
        <v>50560</v>
      </c>
      <c r="C93" s="102">
        <f ca="1"/>
        <v>0.78810112519129238</v>
      </c>
    </row>
    <row r="94" spans="2:3">
      <c r="B94" s="95">
        <f ca="1"/>
        <v>50655</v>
      </c>
      <c r="C94" s="102">
        <f ca="1"/>
        <v>0.7851690954757975</v>
      </c>
    </row>
    <row r="95" spans="2:3">
      <c r="B95" s="95">
        <f ca="1"/>
        <v>50745</v>
      </c>
      <c r="C95" s="102">
        <f ca="1"/>
        <v>0.78240078467790841</v>
      </c>
    </row>
    <row r="96" spans="2:3">
      <c r="B96" s="95">
        <f ca="1"/>
        <v>50833</v>
      </c>
      <c r="C96" s="102">
        <f ca="1"/>
        <v>0.7797025528770184</v>
      </c>
    </row>
    <row r="97" spans="2:3">
      <c r="B97" s="95">
        <f ca="1"/>
        <v>50927</v>
      </c>
      <c r="C97" s="102">
        <f ca="1"/>
        <v>0.77682936605784092</v>
      </c>
    </row>
    <row r="98" spans="2:3">
      <c r="B98" s="95">
        <f ca="1"/>
        <v>51019</v>
      </c>
      <c r="C98" s="102">
        <f ca="1"/>
        <v>0.77402596546062097</v>
      </c>
    </row>
    <row r="99" spans="2:3">
      <c r="B99" s="95">
        <f ca="1"/>
        <v>51109</v>
      </c>
      <c r="C99" s="102">
        <f ca="1"/>
        <v>0.77129157033380413</v>
      </c>
    </row>
    <row r="100" spans="2:3">
      <c r="B100" s="95">
        <f ca="1"/>
        <v>51200</v>
      </c>
      <c r="C100" s="102">
        <f ca="1"/>
        <v>0.76853529044075364</v>
      </c>
    </row>
    <row r="101" spans="2:3">
      <c r="B101" s="95">
        <f ca="1"/>
        <v>51291</v>
      </c>
      <c r="C101" s="102">
        <f ca="1"/>
        <v>0.76578811218566034</v>
      </c>
    </row>
    <row r="102" spans="2:3">
      <c r="B102" s="95">
        <f ca="1"/>
        <v>51383</v>
      </c>
      <c r="C102" s="102">
        <f ca="1"/>
        <v>0.76302057723532635</v>
      </c>
    </row>
    <row r="103" spans="2:3">
      <c r="B103" s="95">
        <f ca="1"/>
        <v>51474</v>
      </c>
      <c r="C103" s="102">
        <f ca="1"/>
        <v>0.7602934318247091</v>
      </c>
    </row>
    <row r="104" spans="2:3">
      <c r="B104" s="95"/>
      <c r="C104" s="10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:S14"/>
  <sheetViews>
    <sheetView showGridLines="0" workbookViewId="0"/>
  </sheetViews>
  <sheetFormatPr defaultRowHeight="15"/>
  <cols>
    <col min="2" max="2" width="14" bestFit="1" customWidth="1"/>
    <col min="3" max="3" width="11.42578125" customWidth="1"/>
    <col min="4" max="4" width="17" bestFit="1" customWidth="1"/>
    <col min="6" max="6" width="16" bestFit="1" customWidth="1"/>
    <col min="7" max="7" width="12" bestFit="1" customWidth="1"/>
    <col min="8" max="8" width="12.42578125" customWidth="1"/>
    <col min="14" max="14" width="22.42578125" bestFit="1" customWidth="1"/>
    <col min="15" max="15" width="15.28515625" bestFit="1" customWidth="1"/>
    <col min="16" max="16" width="11.7109375" customWidth="1"/>
    <col min="17" max="18" width="10.7109375" style="116" customWidth="1"/>
    <col min="19" max="19" width="10.7109375" customWidth="1"/>
  </cols>
  <sheetData>
    <row r="2" spans="2:19">
      <c r="B2" s="148" t="s">
        <v>359</v>
      </c>
      <c r="C2" s="148"/>
      <c r="D2" s="143"/>
      <c r="E2" s="143"/>
      <c r="F2" s="281" t="s">
        <v>360</v>
      </c>
      <c r="G2" s="143"/>
      <c r="H2" s="143"/>
      <c r="I2" s="143"/>
      <c r="J2" s="143"/>
      <c r="K2" s="143"/>
      <c r="L2" s="143"/>
      <c r="M2" s="282"/>
      <c r="N2" s="148" t="s">
        <v>361</v>
      </c>
      <c r="O2" s="143"/>
      <c r="P2" s="143"/>
      <c r="R2" s="148"/>
    </row>
    <row r="3" spans="2:19">
      <c r="B3" s="143"/>
      <c r="C3" s="143"/>
      <c r="D3" s="283" t="s">
        <v>362</v>
      </c>
      <c r="E3" s="143"/>
      <c r="F3" s="143"/>
      <c r="G3" s="143"/>
      <c r="H3" s="283" t="s">
        <v>363</v>
      </c>
      <c r="I3" s="143"/>
      <c r="J3" s="143"/>
      <c r="K3" s="143"/>
      <c r="L3" s="143"/>
      <c r="M3" s="282"/>
      <c r="N3" s="143"/>
      <c r="O3" s="143"/>
      <c r="P3" s="143"/>
    </row>
    <row r="4" spans="2:19">
      <c r="B4" s="116" t="s">
        <v>137</v>
      </c>
      <c r="C4" s="116" t="s">
        <v>13</v>
      </c>
      <c r="D4" s="170" t="s">
        <v>138</v>
      </c>
      <c r="E4" s="170"/>
      <c r="F4" s="170" t="s">
        <v>137</v>
      </c>
      <c r="G4" s="116" t="s">
        <v>364</v>
      </c>
      <c r="H4" s="116" t="s">
        <v>365</v>
      </c>
      <c r="I4" s="116" t="s">
        <v>366</v>
      </c>
      <c r="J4" s="116" t="s">
        <v>255</v>
      </c>
      <c r="K4" s="116" t="s">
        <v>158</v>
      </c>
      <c r="L4" s="116" t="s">
        <v>367</v>
      </c>
      <c r="M4" s="282"/>
      <c r="N4" s="116" t="s">
        <v>368</v>
      </c>
      <c r="O4" s="116" t="s">
        <v>1</v>
      </c>
      <c r="P4" s="116" t="s">
        <v>260</v>
      </c>
      <c r="R4" s="116" t="s">
        <v>372</v>
      </c>
      <c r="S4" s="312" t="s">
        <v>373</v>
      </c>
    </row>
    <row r="5" spans="2:19">
      <c r="B5" s="284">
        <f ca="1">_xll.meDateFromTenor(Settings.COB,F5,"MOD_FOLLOWING",C5,"")</f>
        <v>43712</v>
      </c>
      <c r="C5" s="285" t="str">
        <f ca="1">VLOOKUP("PAYMENTCALENDAR",_xll.meLWOSwapGeneratorDisplay($H5),2,FALSE)</f>
        <v>NYB:LNB</v>
      </c>
      <c r="D5" s="286">
        <f ca="1">_xll.meDateFromTenor(B5,G5,)</f>
        <v>44808</v>
      </c>
      <c r="E5" s="170"/>
      <c r="F5" s="287" t="s">
        <v>369</v>
      </c>
      <c r="G5" s="288" t="str">
        <f ca="1">'USD3ML SWAP'!O5</f>
        <v>3Y</v>
      </c>
      <c r="H5" s="289" t="s">
        <v>370</v>
      </c>
      <c r="I5" s="88" t="s">
        <v>371</v>
      </c>
      <c r="J5" s="290">
        <v>1000000</v>
      </c>
      <c r="K5" s="291">
        <v>0.01</v>
      </c>
      <c r="L5" s="292">
        <v>0</v>
      </c>
      <c r="M5" s="282"/>
      <c r="N5" s="293" t="str">
        <f ca="1">_xll.meLWOSwapCreateFromGenerator("USD_SWAP_"&amp;G5,H5,I5,J5,B5,D5,K5,L5)</f>
        <v>USD_SWAP_3Y@165:1</v>
      </c>
      <c r="O5" s="58" t="s">
        <v>313</v>
      </c>
      <c r="P5" s="294">
        <f ca="1">_xll.meLWOSwapParRate(N5,O5)</f>
        <v>1.4000000000052266E-2</v>
      </c>
      <c r="R5" s="311">
        <f ca="1">'USD3ML SWAP'!P5</f>
        <v>1.3999999999999999E-2</v>
      </c>
      <c r="S5" s="311">
        <f t="shared" ref="S5:S14" ca="1" si="0">P5-R5</f>
        <v>5.2267218331181198E-14</v>
      </c>
    </row>
    <row r="6" spans="2:19">
      <c r="B6" s="50">
        <f ca="1">_xll.meDateFromTenor(Settings.COB,F6,"MOD_FOLLOWING",C6,"")</f>
        <v>43712</v>
      </c>
      <c r="C6" s="51" t="str">
        <f t="shared" ref="C6:C14" ca="1" si="1">C5</f>
        <v>NYB:LNB</v>
      </c>
      <c r="D6" s="54">
        <f ca="1">_xll.meDateFromTenor(B6,G6,)</f>
        <v>45173</v>
      </c>
      <c r="E6" s="143"/>
      <c r="F6" s="295" t="s">
        <v>369</v>
      </c>
      <c r="G6" s="296" t="str">
        <f ca="1">'USD3ML SWAP'!O6</f>
        <v>4Y</v>
      </c>
      <c r="H6" s="297" t="s">
        <v>370</v>
      </c>
      <c r="I6" s="89" t="s">
        <v>371</v>
      </c>
      <c r="J6" s="298">
        <v>1000000</v>
      </c>
      <c r="K6" s="299">
        <v>0.01</v>
      </c>
      <c r="L6" s="300">
        <v>0</v>
      </c>
      <c r="M6" s="282"/>
      <c r="N6" s="301" t="str">
        <f ca="1">_xll.meLWOSwapCreateFromGenerator("USD_SWAP_"&amp;G6,H6,I6,J6,B6,D6,K6,L6)</f>
        <v>USD_SWAP_4Y@166:1</v>
      </c>
      <c r="O6" s="70" t="s">
        <v>313</v>
      </c>
      <c r="P6" s="302">
        <f ca="1">_xll.meLWOSwapParRate(N6,O6)</f>
        <v>1.3420000000072518E-2</v>
      </c>
      <c r="R6" s="311">
        <f ca="1">'USD3ML SWAP'!P6</f>
        <v>1.3420000000000001E-2</v>
      </c>
      <c r="S6" s="311">
        <f t="shared" ca="1" si="0"/>
        <v>7.2516645466258467E-14</v>
      </c>
    </row>
    <row r="7" spans="2:19">
      <c r="B7" s="50">
        <f ca="1">_xll.meDateFromTenor(Settings.COB,F7,"MOD_FOLLOWING",C7,"")</f>
        <v>43712</v>
      </c>
      <c r="C7" s="51" t="str">
        <f t="shared" ca="1" si="1"/>
        <v>NYB:LNB</v>
      </c>
      <c r="D7" s="54">
        <f ca="1">_xll.meDateFromTenor(B7,G7,)</f>
        <v>45539</v>
      </c>
      <c r="E7" s="143"/>
      <c r="F7" s="295" t="s">
        <v>369</v>
      </c>
      <c r="G7" s="296" t="str">
        <f ca="1">'USD3ML SWAP'!O7</f>
        <v>5Y</v>
      </c>
      <c r="H7" s="297" t="s">
        <v>370</v>
      </c>
      <c r="I7" s="89" t="s">
        <v>371</v>
      </c>
      <c r="J7" s="298">
        <v>1000000</v>
      </c>
      <c r="K7" s="299">
        <v>0.01</v>
      </c>
      <c r="L7" s="300">
        <v>0</v>
      </c>
      <c r="M7" s="282"/>
      <c r="N7" s="301" t="str">
        <f ca="1">_xll.meLWOSwapCreateFromGenerator("USD_SWAP_"&amp;G7,H7,I7,J7,B7,D7,K7,L7)</f>
        <v>USD_SWAP_5Y@167:1</v>
      </c>
      <c r="O7" s="70" t="s">
        <v>313</v>
      </c>
      <c r="P7" s="302">
        <f ca="1">_xll.meLWOSwapParRate(N7,O7)</f>
        <v>1.3181999999998008E-2</v>
      </c>
      <c r="R7" s="311">
        <f ca="1">'USD3ML SWAP'!P7</f>
        <v>1.3182000000000001E-2</v>
      </c>
      <c r="S7" s="311">
        <f t="shared" ca="1" si="0"/>
        <v>-1.9931972738973514E-15</v>
      </c>
    </row>
    <row r="8" spans="2:19">
      <c r="B8" s="50">
        <f ca="1">_xll.meDateFromTenor(Settings.COB,F8,"MOD_FOLLOWING",C8,"")</f>
        <v>43712</v>
      </c>
      <c r="C8" s="51" t="str">
        <f t="shared" ca="1" si="1"/>
        <v>NYB:LNB</v>
      </c>
      <c r="D8" s="54">
        <f ca="1">_xll.meDateFromTenor(B8,G8,)</f>
        <v>46269</v>
      </c>
      <c r="E8" s="143"/>
      <c r="F8" s="295" t="s">
        <v>369</v>
      </c>
      <c r="G8" s="296" t="str">
        <f ca="1">'USD3ML SWAP'!O8</f>
        <v>7Y</v>
      </c>
      <c r="H8" s="297" t="s">
        <v>370</v>
      </c>
      <c r="I8" s="89" t="s">
        <v>371</v>
      </c>
      <c r="J8" s="298">
        <v>1000000</v>
      </c>
      <c r="K8" s="299">
        <v>0.01</v>
      </c>
      <c r="L8" s="300">
        <v>0</v>
      </c>
      <c r="M8" s="282"/>
      <c r="N8" s="301" t="str">
        <f ca="1">_xll.meLWOSwapCreateFromGenerator("USD_SWAP_"&amp;G8,H8,I8,J8,B8,D8,K8,L8)</f>
        <v>USD_SWAP_7Y@168:1</v>
      </c>
      <c r="O8" s="70" t="s">
        <v>313</v>
      </c>
      <c r="P8" s="302">
        <f ca="1">_xll.meLWOSwapParRate(N8,O8)</f>
        <v>1.3300000000051635E-2</v>
      </c>
      <c r="R8" s="311">
        <f ca="1">'USD3ML SWAP'!P8</f>
        <v>1.3300000000000001E-2</v>
      </c>
      <c r="S8" s="311">
        <f t="shared" ca="1" si="0"/>
        <v>5.1634044262449663E-14</v>
      </c>
    </row>
    <row r="9" spans="2:19">
      <c r="B9" s="50">
        <f ca="1">_xll.meDateFromTenor(Settings.COB,F9,"MOD_FOLLOWING",C9,"")</f>
        <v>43712</v>
      </c>
      <c r="C9" s="51" t="str">
        <f t="shared" ca="1" si="1"/>
        <v>NYB:LNB</v>
      </c>
      <c r="D9" s="54">
        <f ca="1">_xll.meDateFromTenor(B9,G9,)</f>
        <v>46634</v>
      </c>
      <c r="E9" s="143"/>
      <c r="F9" s="295" t="s">
        <v>369</v>
      </c>
      <c r="G9" s="296" t="str">
        <f ca="1">'USD3ML SWAP'!O9</f>
        <v>8Y</v>
      </c>
      <c r="H9" s="297" t="s">
        <v>370</v>
      </c>
      <c r="I9" s="89" t="s">
        <v>371</v>
      </c>
      <c r="J9" s="298">
        <v>1000000</v>
      </c>
      <c r="K9" s="299">
        <v>0.01</v>
      </c>
      <c r="L9" s="300">
        <v>0</v>
      </c>
      <c r="M9" s="282"/>
      <c r="N9" s="301" t="str">
        <f ca="1">_xll.meLWOSwapCreateFromGenerator("USD_SWAP_"&amp;G9,H9,I9,J9,B9,D9,K9,L9)</f>
        <v>USD_SWAP_8Y@169:1</v>
      </c>
      <c r="O9" s="70" t="s">
        <v>313</v>
      </c>
      <c r="P9" s="302">
        <f ca="1">_xll.meLWOSwapParRate(N9,O9)</f>
        <v>1.3430000000080029E-2</v>
      </c>
      <c r="R9" s="311">
        <f ca="1">'USD3ML SWAP'!P9</f>
        <v>1.3429999999999999E-2</v>
      </c>
      <c r="S9" s="311">
        <f t="shared" ca="1" si="0"/>
        <v>8.0029732840714018E-14</v>
      </c>
    </row>
    <row r="10" spans="2:19">
      <c r="B10" s="50">
        <f ca="1">_xll.meDateFromTenor(Settings.COB,F10,"MOD_FOLLOWING",C10,"")</f>
        <v>43712</v>
      </c>
      <c r="C10" s="51" t="str">
        <f t="shared" ca="1" si="1"/>
        <v>NYB:LNB</v>
      </c>
      <c r="D10" s="54">
        <f ca="1">_xll.meDateFromTenor(B10,G10,)</f>
        <v>47000</v>
      </c>
      <c r="E10" s="143"/>
      <c r="F10" s="295" t="s">
        <v>369</v>
      </c>
      <c r="G10" s="296" t="str">
        <f ca="1">'USD3ML SWAP'!O10</f>
        <v>9Y</v>
      </c>
      <c r="H10" s="297" t="s">
        <v>370</v>
      </c>
      <c r="I10" s="89" t="s">
        <v>371</v>
      </c>
      <c r="J10" s="298">
        <v>1000000</v>
      </c>
      <c r="K10" s="299">
        <v>0.01</v>
      </c>
      <c r="L10" s="300">
        <v>0</v>
      </c>
      <c r="M10" s="282"/>
      <c r="N10" s="301" t="str">
        <f ca="1">_xll.meLWOSwapCreateFromGenerator("USD_SWAP_"&amp;G10,H10,I10,J10,B10,D10,K10,L10)</f>
        <v>USD_SWAP_9Y@170:1</v>
      </c>
      <c r="O10" s="70" t="s">
        <v>313</v>
      </c>
      <c r="P10" s="302">
        <f ca="1">_xll.meLWOSwapParRate(N10,O10)</f>
        <v>1.3630000000039076E-2</v>
      </c>
      <c r="R10" s="311">
        <f ca="1">'USD3ML SWAP'!P10</f>
        <v>1.363E-2</v>
      </c>
      <c r="S10" s="311">
        <f t="shared" ca="1" si="0"/>
        <v>3.9076381019853557E-14</v>
      </c>
    </row>
    <row r="11" spans="2:19">
      <c r="B11" s="50">
        <f ca="1">_xll.meDateFromTenor(Settings.COB,F11,"MOD_FOLLOWING",C11,"")</f>
        <v>43712</v>
      </c>
      <c r="C11" s="51" t="str">
        <f t="shared" ca="1" si="1"/>
        <v>NYB:LNB</v>
      </c>
      <c r="D11" s="54">
        <f ca="1">_xll.meDateFromTenor(B11,G11,)</f>
        <v>47365</v>
      </c>
      <c r="E11" s="143"/>
      <c r="F11" s="295" t="s">
        <v>369</v>
      </c>
      <c r="G11" s="296" t="str">
        <f ca="1">'USD3ML SWAP'!O11</f>
        <v>10Y</v>
      </c>
      <c r="H11" s="297" t="s">
        <v>370</v>
      </c>
      <c r="I11" s="89" t="s">
        <v>371</v>
      </c>
      <c r="J11" s="298">
        <v>1000000</v>
      </c>
      <c r="K11" s="299">
        <v>0.01</v>
      </c>
      <c r="L11" s="300">
        <v>0</v>
      </c>
      <c r="M11" s="282"/>
      <c r="N11" s="301" t="str">
        <f ca="1">_xll.meLWOSwapCreateFromGenerator("USD_SWAP_"&amp;G11,H11,I11,J11,B11,D11,K11,L11)</f>
        <v>USD_SWAP_10Y@171:1</v>
      </c>
      <c r="O11" s="70" t="s">
        <v>313</v>
      </c>
      <c r="P11" s="302">
        <f ca="1">_xll.meLWOSwapParRate(N11,O11)</f>
        <v>1.3892000000053393E-2</v>
      </c>
      <c r="R11" s="311">
        <f ca="1">'USD3ML SWAP'!P11</f>
        <v>1.3892E-2</v>
      </c>
      <c r="S11" s="311">
        <f t="shared" ca="1" si="0"/>
        <v>5.3393053867090146E-14</v>
      </c>
    </row>
    <row r="12" spans="2:19">
      <c r="B12" s="50">
        <f ca="1">_xll.meDateFromTenor(Settings.COB,F12,"MOD_FOLLOWING",C12,"")</f>
        <v>43712</v>
      </c>
      <c r="C12" s="51" t="str">
        <f t="shared" ca="1" si="1"/>
        <v>NYB:LNB</v>
      </c>
      <c r="D12" s="54">
        <f ca="1">_xll.meDateFromTenor(B12,G12,)</f>
        <v>48095</v>
      </c>
      <c r="E12" s="143"/>
      <c r="F12" s="295" t="s">
        <v>369</v>
      </c>
      <c r="G12" s="296" t="str">
        <f ca="1">'USD3ML SWAP'!O12</f>
        <v>12Y</v>
      </c>
      <c r="H12" s="297" t="s">
        <v>370</v>
      </c>
      <c r="I12" s="89" t="s">
        <v>371</v>
      </c>
      <c r="J12" s="298">
        <v>1000000</v>
      </c>
      <c r="K12" s="299">
        <v>0.01</v>
      </c>
      <c r="L12" s="300">
        <v>0</v>
      </c>
      <c r="M12" s="282"/>
      <c r="N12" s="301" t="str">
        <f ca="1">_xll.meLWOSwapCreateFromGenerator("USD_SWAP_"&amp;G12,H12,I12,J12,B12,D12,K12,L12)</f>
        <v>USD_SWAP_12Y@172:1</v>
      </c>
      <c r="O12" s="70" t="s">
        <v>313</v>
      </c>
      <c r="P12" s="302">
        <f ca="1">_xll.meLWOSwapParRate(N12,O12)</f>
        <v>1.4280999999955435E-2</v>
      </c>
      <c r="R12" s="311">
        <f ca="1">'USD3ML SWAP'!P12</f>
        <v>1.4280999999999999E-2</v>
      </c>
      <c r="S12" s="311">
        <f t="shared" ca="1" si="0"/>
        <v>-4.4563311374368197E-14</v>
      </c>
    </row>
    <row r="13" spans="2:19">
      <c r="B13" s="50">
        <f ca="1">_xll.meDateFromTenor(Settings.COB,F13,"MOD_FOLLOWING",C13,"")</f>
        <v>43712</v>
      </c>
      <c r="C13" s="51" t="str">
        <f t="shared" ca="1" si="1"/>
        <v>NYB:LNB</v>
      </c>
      <c r="D13" s="54">
        <f ca="1">_xll.meDateFromTenor(B13,G13,)</f>
        <v>49191</v>
      </c>
      <c r="E13" s="143"/>
      <c r="F13" s="295" t="s">
        <v>369</v>
      </c>
      <c r="G13" s="296" t="str">
        <f ca="1">'USD3ML SWAP'!O13</f>
        <v>15Y</v>
      </c>
      <c r="H13" s="297" t="s">
        <v>370</v>
      </c>
      <c r="I13" s="89" t="s">
        <v>371</v>
      </c>
      <c r="J13" s="298">
        <v>1000000</v>
      </c>
      <c r="K13" s="299">
        <v>0.01</v>
      </c>
      <c r="L13" s="300">
        <v>0</v>
      </c>
      <c r="M13" s="282"/>
      <c r="N13" s="301" t="str">
        <f ca="1">_xll.meLWOSwapCreateFromGenerator("USD_SWAP_"&amp;G13,H13,I13,J13,B13,D13,K13,L13)</f>
        <v>USD_SWAP_15Y@173:1</v>
      </c>
      <c r="O13" s="70" t="s">
        <v>313</v>
      </c>
      <c r="P13" s="302">
        <f ca="1">_xll.meLWOSwapParRate(N13,O13)</f>
        <v>1.4750999999976836E-2</v>
      </c>
      <c r="R13" s="311">
        <f ca="1">'USD3ML SWAP'!P13</f>
        <v>1.4751E-2</v>
      </c>
      <c r="S13" s="311">
        <f t="shared" ca="1" si="0"/>
        <v>-2.3163762574718305E-14</v>
      </c>
    </row>
    <row r="14" spans="2:19">
      <c r="B14" s="52">
        <f ca="1">_xll.meDateFromTenor(Settings.COB,F14,"MOD_FOLLOWING",C14,"")</f>
        <v>43712</v>
      </c>
      <c r="C14" s="53" t="str">
        <f t="shared" ca="1" si="1"/>
        <v>NYB:LNB</v>
      </c>
      <c r="D14" s="55">
        <f ca="1">_xll.meDateFromTenor(B14,G14,)</f>
        <v>51017</v>
      </c>
      <c r="E14" s="143"/>
      <c r="F14" s="303" t="s">
        <v>369</v>
      </c>
      <c r="G14" s="304" t="str">
        <f ca="1">'USD3ML SWAP'!O14</f>
        <v>20Y</v>
      </c>
      <c r="H14" s="305" t="s">
        <v>370</v>
      </c>
      <c r="I14" s="90" t="s">
        <v>371</v>
      </c>
      <c r="J14" s="306">
        <v>1000000</v>
      </c>
      <c r="K14" s="307">
        <v>0.01</v>
      </c>
      <c r="L14" s="308">
        <v>0</v>
      </c>
      <c r="M14" s="282"/>
      <c r="N14" s="309" t="str">
        <f ca="1">_xll.meLWOSwapCreateFromGenerator("USD_SWAP_"&amp;G14,H14,I14,J14,B14,D14,K14,L14)</f>
        <v>USD_SWAP_20Y@174:1</v>
      </c>
      <c r="O14" s="71" t="s">
        <v>313</v>
      </c>
      <c r="P14" s="310">
        <f ca="1">_xll.meLWOSwapParRate(N14,O14)</f>
        <v>1.5195000000044406E-2</v>
      </c>
      <c r="R14" s="311">
        <f ca="1">'USD3ML SWAP'!P14</f>
        <v>1.5195E-2</v>
      </c>
      <c r="S14" s="311">
        <f t="shared" ca="1" si="0"/>
        <v>4.4405451538054308E-14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:K36"/>
  <sheetViews>
    <sheetView showGridLines="0" workbookViewId="0"/>
  </sheetViews>
  <sheetFormatPr defaultRowHeight="15"/>
  <cols>
    <col min="2" max="2" width="34.140625" bestFit="1" customWidth="1"/>
    <col min="3" max="4" width="17.42578125" bestFit="1" customWidth="1"/>
    <col min="6" max="6" width="34.140625" bestFit="1" customWidth="1"/>
    <col min="7" max="8" width="17.42578125" bestFit="1" customWidth="1"/>
    <col min="10" max="10" width="15.28515625" bestFit="1" customWidth="1"/>
    <col min="11" max="11" width="16.28515625" bestFit="1" customWidth="1"/>
  </cols>
  <sheetData>
    <row r="2" spans="2:11">
      <c r="B2" s="145" t="s">
        <v>203</v>
      </c>
      <c r="F2" s="145" t="s">
        <v>195</v>
      </c>
      <c r="J2" s="145" t="s">
        <v>368</v>
      </c>
    </row>
    <row r="3" spans="2:11">
      <c r="B3" s="316" t="str">
        <f t="array" aca="1" ref="B3:D36" ca="1">_xll.meLWOSwapDisplay(IRS!N5)</f>
        <v>LEGTYPE</v>
      </c>
      <c r="C3" s="313" t="str">
        <f ca="1"/>
        <v>Leg1:Fixed</v>
      </c>
      <c r="D3" s="313" t="str">
        <f ca="1"/>
        <v>Leg2:Float</v>
      </c>
      <c r="F3" s="316" t="s">
        <v>376</v>
      </c>
      <c r="G3" s="313" t="s">
        <v>253</v>
      </c>
      <c r="H3" s="313" t="s">
        <v>254</v>
      </c>
      <c r="J3" t="s">
        <v>374</v>
      </c>
      <c r="K3" t="s">
        <v>375</v>
      </c>
    </row>
    <row r="4" spans="2:11">
      <c r="B4" s="317" t="str">
        <f ca="1"/>
        <v>FORECASTCURVE</v>
      </c>
      <c r="C4" s="314" t="str">
        <f ca="1"/>
        <v/>
      </c>
      <c r="D4" s="314" t="str">
        <f ca="1"/>
        <v>USD3ML</v>
      </c>
      <c r="F4" s="317" t="s">
        <v>377</v>
      </c>
      <c r="G4" s="314" t="s">
        <v>29</v>
      </c>
      <c r="H4" s="314" t="s">
        <v>347</v>
      </c>
      <c r="J4" t="s">
        <v>368</v>
      </c>
      <c r="K4" t="str">
        <f ca="1">_xll.meLWOSwapCreate(K3,F3:H36)</f>
        <v>MYSWAP@164:1</v>
      </c>
    </row>
    <row r="5" spans="2:11">
      <c r="B5" s="317" t="str">
        <f ca="1"/>
        <v>COMPOUNDMETHOD</v>
      </c>
      <c r="C5" s="314" t="str">
        <f ca="1"/>
        <v>NONE</v>
      </c>
      <c r="D5" s="314" t="str">
        <f ca="1"/>
        <v>NONE</v>
      </c>
      <c r="F5" s="317" t="s">
        <v>378</v>
      </c>
      <c r="G5" s="314" t="s">
        <v>256</v>
      </c>
      <c r="H5" s="314" t="s">
        <v>256</v>
      </c>
      <c r="J5" t="s">
        <v>1</v>
      </c>
      <c r="K5" t="s">
        <v>313</v>
      </c>
    </row>
    <row r="6" spans="2:11">
      <c r="B6" s="317" t="str">
        <f ca="1"/>
        <v>DISCOUNTCURVE</v>
      </c>
      <c r="C6" s="314" t="str">
        <f ca="1"/>
        <v>USDOIS</v>
      </c>
      <c r="D6" s="314" t="str">
        <f ca="1"/>
        <v>USDOIS</v>
      </c>
      <c r="F6" s="317" t="s">
        <v>379</v>
      </c>
      <c r="G6" s="314" t="s">
        <v>346</v>
      </c>
      <c r="H6" s="314" t="s">
        <v>346</v>
      </c>
    </row>
    <row r="7" spans="2:11">
      <c r="B7" s="317" t="str">
        <f ca="1"/>
        <v>VALUATIONCURRENCY</v>
      </c>
      <c r="C7" s="314" t="str">
        <f ca="1"/>
        <v>USD</v>
      </c>
      <c r="D7" s="314" t="str">
        <f ca="1"/>
        <v>USD</v>
      </c>
      <c r="F7" s="317" t="s">
        <v>380</v>
      </c>
      <c r="G7" s="314" t="s">
        <v>300</v>
      </c>
      <c r="H7" s="314" t="s">
        <v>300</v>
      </c>
      <c r="J7" s="145" t="s">
        <v>418</v>
      </c>
    </row>
    <row r="8" spans="2:11">
      <c r="B8" s="317" t="str">
        <f ca="1"/>
        <v>CURRENCY</v>
      </c>
      <c r="C8" s="314" t="str">
        <f ca="1"/>
        <v>USD</v>
      </c>
      <c r="D8" s="314" t="str">
        <f ca="1"/>
        <v>USD</v>
      </c>
      <c r="F8" s="317" t="s">
        <v>381</v>
      </c>
      <c r="G8" s="314" t="s">
        <v>300</v>
      </c>
      <c r="H8" s="314" t="s">
        <v>300</v>
      </c>
      <c r="J8" t="s">
        <v>259</v>
      </c>
      <c r="K8" s="322">
        <f ca="1">_xll.meLWOSwapPV($K$4,$K$5)</f>
        <v>11762.70947960527</v>
      </c>
    </row>
    <row r="9" spans="2:11">
      <c r="B9" s="317" t="str">
        <f ca="1"/>
        <v>FIRSTFIXING</v>
      </c>
      <c r="C9" s="314" t="str">
        <f ca="1"/>
        <v/>
      </c>
      <c r="D9" s="314" t="str">
        <f ca="1"/>
        <v/>
      </c>
      <c r="F9" s="317" t="s">
        <v>382</v>
      </c>
      <c r="G9" s="314" t="s">
        <v>29</v>
      </c>
      <c r="H9" s="314" t="s">
        <v>29</v>
      </c>
      <c r="J9" t="s">
        <v>261</v>
      </c>
      <c r="K9" s="322">
        <f ca="1">_xll.meLWOSwapPV01($K$4,$K$5)</f>
        <v>294.06773698628928</v>
      </c>
    </row>
    <row r="10" spans="2:11">
      <c r="B10" s="317" t="str">
        <f ca="1"/>
        <v>LASTFIXING</v>
      </c>
      <c r="C10" s="314" t="str">
        <f ca="1"/>
        <v/>
      </c>
      <c r="D10" s="314" t="str">
        <f ca="1"/>
        <v/>
      </c>
      <c r="F10" s="317" t="s">
        <v>383</v>
      </c>
      <c r="G10" s="314" t="s">
        <v>29</v>
      </c>
      <c r="H10" s="314" t="s">
        <v>29</v>
      </c>
      <c r="J10" t="s">
        <v>260</v>
      </c>
      <c r="K10" s="323">
        <f ca="1">_xll.meLWOSwapParRate($K$4,$K$5)</f>
        <v>1.4000000000052266E-2</v>
      </c>
    </row>
    <row r="11" spans="2:11">
      <c r="B11" s="317" t="str">
        <f ca="1"/>
        <v>FIRSTSTUBCURVEINDEX</v>
      </c>
      <c r="C11" s="314" t="str">
        <f ca="1"/>
        <v/>
      </c>
      <c r="D11" s="314" t="str">
        <f ca="1"/>
        <v>NATURAL</v>
      </c>
      <c r="F11" s="317" t="s">
        <v>384</v>
      </c>
      <c r="G11" s="314" t="s">
        <v>29</v>
      </c>
      <c r="H11" s="314" t="s">
        <v>385</v>
      </c>
      <c r="J11" t="s">
        <v>262</v>
      </c>
      <c r="K11" s="322">
        <f ca="1">_xll.meLWOSwapAnnuity($K$4,$K$5,$G$3)</f>
        <v>2940677.3698628927</v>
      </c>
    </row>
    <row r="12" spans="2:11">
      <c r="B12" s="317" t="str">
        <f ca="1"/>
        <v>LASTSTUBCURVEINDEX</v>
      </c>
      <c r="C12" s="314" t="str">
        <f ca="1"/>
        <v/>
      </c>
      <c r="D12" s="314" t="str">
        <f ca="1"/>
        <v>NATURAL</v>
      </c>
      <c r="F12" s="317" t="s">
        <v>386</v>
      </c>
      <c r="G12" s="314" t="s">
        <v>29</v>
      </c>
      <c r="H12" s="314" t="s">
        <v>385</v>
      </c>
    </row>
    <row r="13" spans="2:11">
      <c r="B13" s="317" t="str">
        <f ca="1"/>
        <v>NOTIONAL</v>
      </c>
      <c r="C13" s="314" t="str">
        <f ca="1"/>
        <v>1000000</v>
      </c>
      <c r="D13" s="314" t="str">
        <f ca="1"/>
        <v>1000000</v>
      </c>
      <c r="F13" s="317" t="s">
        <v>387</v>
      </c>
      <c r="G13" s="314" t="s">
        <v>388</v>
      </c>
      <c r="H13" s="314" t="s">
        <v>388</v>
      </c>
    </row>
    <row r="14" spans="2:11">
      <c r="B14" s="317" t="str">
        <f ca="1"/>
        <v>NOTIONALEXCHANGE</v>
      </c>
      <c r="C14" s="314" t="str">
        <f ca="1"/>
        <v>NONE</v>
      </c>
      <c r="D14" s="314" t="str">
        <f ca="1"/>
        <v>NONE</v>
      </c>
      <c r="F14" s="317" t="s">
        <v>389</v>
      </c>
      <c r="G14" s="314" t="s">
        <v>256</v>
      </c>
      <c r="H14" s="314" t="s">
        <v>256</v>
      </c>
    </row>
    <row r="15" spans="2:11">
      <c r="B15" s="317" t="str">
        <f ca="1"/>
        <v>LEVERAGE</v>
      </c>
      <c r="C15" s="314" t="str">
        <f ca="1"/>
        <v>1</v>
      </c>
      <c r="D15" s="314" t="str">
        <f ca="1"/>
        <v>1</v>
      </c>
      <c r="F15" s="317" t="s">
        <v>390</v>
      </c>
      <c r="G15" s="314" t="s">
        <v>391</v>
      </c>
      <c r="H15" s="314" t="s">
        <v>391</v>
      </c>
    </row>
    <row r="16" spans="2:11">
      <c r="B16" s="317" t="str">
        <f ca="1"/>
        <v>PAYRECEIVE</v>
      </c>
      <c r="C16" s="314" t="str">
        <f ca="1"/>
        <v>PAY</v>
      </c>
      <c r="D16" s="314" t="str">
        <f ca="1"/>
        <v>RECEIVE</v>
      </c>
      <c r="F16" s="317" t="s">
        <v>392</v>
      </c>
      <c r="G16" s="314" t="s">
        <v>371</v>
      </c>
      <c r="H16" s="314" t="s">
        <v>393</v>
      </c>
    </row>
    <row r="17" spans="2:8">
      <c r="B17" s="317" t="str">
        <f ca="1"/>
        <v>EFFECTIVEDATE</v>
      </c>
      <c r="C17" s="314" t="str">
        <f ca="1"/>
        <v>43712</v>
      </c>
      <c r="D17" s="314" t="str">
        <f ca="1"/>
        <v>43712</v>
      </c>
      <c r="F17" s="317" t="s">
        <v>394</v>
      </c>
      <c r="G17" s="320" t="s">
        <v>395</v>
      </c>
      <c r="H17" s="320" t="s">
        <v>395</v>
      </c>
    </row>
    <row r="18" spans="2:8">
      <c r="B18" s="317" t="str">
        <f ca="1"/>
        <v>MATURITYDATE</v>
      </c>
      <c r="C18" s="314" t="str">
        <f ca="1"/>
        <v>44808</v>
      </c>
      <c r="D18" s="314" t="str">
        <f ca="1"/>
        <v>44808</v>
      </c>
      <c r="F18" s="317" t="s">
        <v>396</v>
      </c>
      <c r="G18" s="320" t="s">
        <v>397</v>
      </c>
      <c r="H18" s="320" t="s">
        <v>397</v>
      </c>
    </row>
    <row r="19" spans="2:8">
      <c r="B19" s="317" t="str">
        <f ca="1"/>
        <v>ACCRUALFREQUENCY</v>
      </c>
      <c r="C19" s="314" t="str">
        <f ca="1"/>
        <v>Semi-Annual</v>
      </c>
      <c r="D19" s="314" t="str">
        <f ca="1"/>
        <v>Quarterly</v>
      </c>
      <c r="F19" s="317" t="s">
        <v>398</v>
      </c>
      <c r="G19" s="314" t="s">
        <v>25</v>
      </c>
      <c r="H19" s="314" t="s">
        <v>141</v>
      </c>
    </row>
    <row r="20" spans="2:8">
      <c r="B20" s="317" t="str">
        <f ca="1"/>
        <v>ACCRUALBUSINESSDAYADJUSTMENT</v>
      </c>
      <c r="C20" s="314" t="str">
        <f ca="1"/>
        <v>MOD_FOLLOWING</v>
      </c>
      <c r="D20" s="314" t="str">
        <f ca="1"/>
        <v>MOD_FOLLOWING</v>
      </c>
      <c r="F20" s="317" t="s">
        <v>399</v>
      </c>
      <c r="G20" s="314" t="s">
        <v>18</v>
      </c>
      <c r="H20" s="314" t="s">
        <v>18</v>
      </c>
    </row>
    <row r="21" spans="2:8">
      <c r="B21" s="317" t="str">
        <f ca="1"/>
        <v>ACCRUALCALENDAR</v>
      </c>
      <c r="C21" s="314" t="str">
        <f ca="1"/>
        <v>NYB:LNB</v>
      </c>
      <c r="D21" s="314" t="str">
        <f ca="1"/>
        <v>NYB:LNB</v>
      </c>
      <c r="F21" s="317" t="s">
        <v>400</v>
      </c>
      <c r="G21" s="314" t="s">
        <v>401</v>
      </c>
      <c r="H21" s="314" t="s">
        <v>401</v>
      </c>
    </row>
    <row r="22" spans="2:8">
      <c r="B22" s="317" t="str">
        <f ca="1"/>
        <v>ACCRUALDAYCOUNT</v>
      </c>
      <c r="C22" s="314" t="str">
        <f ca="1"/>
        <v>30/360</v>
      </c>
      <c r="D22" s="314" t="str">
        <f ca="1"/>
        <v>ACT/360</v>
      </c>
      <c r="F22" s="317" t="s">
        <v>402</v>
      </c>
      <c r="G22" s="314" t="s">
        <v>24</v>
      </c>
      <c r="H22" s="314" t="s">
        <v>14</v>
      </c>
    </row>
    <row r="23" spans="2:8">
      <c r="B23" s="317" t="str">
        <f ca="1"/>
        <v>PAYMENTFREQUENCY</v>
      </c>
      <c r="C23" s="314" t="str">
        <f ca="1"/>
        <v>Semi-Annual</v>
      </c>
      <c r="D23" s="314" t="str">
        <f ca="1"/>
        <v>Quarterly</v>
      </c>
      <c r="F23" s="317" t="s">
        <v>403</v>
      </c>
      <c r="G23" s="314" t="s">
        <v>25</v>
      </c>
      <c r="H23" s="314" t="s">
        <v>141</v>
      </c>
    </row>
    <row r="24" spans="2:8">
      <c r="B24" s="317" t="str">
        <f ca="1"/>
        <v>PAYMENTBUSINESSDAYADJUSTMENT</v>
      </c>
      <c r="C24" s="314" t="str">
        <f ca="1"/>
        <v>MOD_FOLLOWING</v>
      </c>
      <c r="D24" s="314" t="str">
        <f ca="1"/>
        <v>MOD_FOLLOWING</v>
      </c>
      <c r="F24" s="317" t="s">
        <v>404</v>
      </c>
      <c r="G24" s="314" t="s">
        <v>18</v>
      </c>
      <c r="H24" s="314" t="s">
        <v>18</v>
      </c>
    </row>
    <row r="25" spans="2:8">
      <c r="B25" s="317" t="str">
        <f ca="1"/>
        <v>PAYMENTCALENDAR</v>
      </c>
      <c r="C25" s="314" t="str">
        <f ca="1"/>
        <v>NYB:LNB</v>
      </c>
      <c r="D25" s="314" t="str">
        <f ca="1"/>
        <v>NYB:LNB</v>
      </c>
      <c r="F25" s="317" t="s">
        <v>405</v>
      </c>
      <c r="G25" s="314" t="s">
        <v>401</v>
      </c>
      <c r="H25" s="314" t="s">
        <v>401</v>
      </c>
    </row>
    <row r="26" spans="2:8">
      <c r="B26" s="317" t="str">
        <f ca="1"/>
        <v>PAYMENTLAG</v>
      </c>
      <c r="C26" s="314" t="str">
        <f ca="1"/>
        <v>0D</v>
      </c>
      <c r="D26" s="314" t="str">
        <f ca="1"/>
        <v>0D</v>
      </c>
      <c r="F26" s="317" t="s">
        <v>406</v>
      </c>
      <c r="G26" s="314" t="s">
        <v>17</v>
      </c>
      <c r="H26" s="314" t="s">
        <v>17</v>
      </c>
    </row>
    <row r="27" spans="2:8">
      <c r="B27" s="317" t="str">
        <f ca="1"/>
        <v>FIRSTSTUBDATE</v>
      </c>
      <c r="C27" s="314" t="str">
        <f ca="1"/>
        <v/>
      </c>
      <c r="D27" s="314" t="str">
        <f ca="1"/>
        <v/>
      </c>
      <c r="F27" s="317" t="s">
        <v>407</v>
      </c>
      <c r="G27" s="314" t="s">
        <v>29</v>
      </c>
      <c r="H27" s="314" t="s">
        <v>29</v>
      </c>
    </row>
    <row r="28" spans="2:8">
      <c r="B28" s="317" t="str">
        <f ca="1"/>
        <v>LASTSTUBDATE</v>
      </c>
      <c r="C28" s="314" t="str">
        <f ca="1"/>
        <v/>
      </c>
      <c r="D28" s="314" t="str">
        <f ca="1"/>
        <v/>
      </c>
      <c r="F28" s="317" t="s">
        <v>408</v>
      </c>
      <c r="G28" s="314" t="s">
        <v>29</v>
      </c>
      <c r="H28" s="314" t="s">
        <v>29</v>
      </c>
    </row>
    <row r="29" spans="2:8">
      <c r="B29" s="317" t="str">
        <f ca="1"/>
        <v>ROLLDAY</v>
      </c>
      <c r="C29" s="314" t="str">
        <f ca="1"/>
        <v>NORMAL</v>
      </c>
      <c r="D29" s="314" t="str">
        <f ca="1"/>
        <v>NORMAL</v>
      </c>
      <c r="F29" s="317" t="s">
        <v>409</v>
      </c>
      <c r="G29" s="314" t="s">
        <v>257</v>
      </c>
      <c r="H29" s="314" t="s">
        <v>257</v>
      </c>
    </row>
    <row r="30" spans="2:8">
      <c r="B30" s="317" t="str">
        <f ca="1"/>
        <v>STUBTYPE</v>
      </c>
      <c r="C30" s="314" t="str">
        <f ca="1"/>
        <v>ShortStart</v>
      </c>
      <c r="D30" s="314" t="str">
        <f ca="1"/>
        <v>ShortStart</v>
      </c>
      <c r="F30" s="317" t="s">
        <v>410</v>
      </c>
      <c r="G30" s="314" t="s">
        <v>258</v>
      </c>
      <c r="H30" s="314" t="s">
        <v>258</v>
      </c>
    </row>
    <row r="31" spans="2:8">
      <c r="B31" s="317" t="str">
        <f ca="1"/>
        <v>FIXINGBUSINESSDAYADJUSTMENT</v>
      </c>
      <c r="C31" s="314" t="str">
        <f ca="1"/>
        <v/>
      </c>
      <c r="D31" s="314" t="str">
        <f ca="1"/>
        <v>MOD_FOLLOWING</v>
      </c>
      <c r="F31" s="317" t="s">
        <v>411</v>
      </c>
      <c r="G31" s="314" t="s">
        <v>29</v>
      </c>
      <c r="H31" s="314" t="s">
        <v>18</v>
      </c>
    </row>
    <row r="32" spans="2:8">
      <c r="B32" s="317" t="str">
        <f ca="1"/>
        <v>FIXINGCALENDAR</v>
      </c>
      <c r="C32" s="314" t="str">
        <f ca="1"/>
        <v/>
      </c>
      <c r="D32" s="314" t="str">
        <f ca="1"/>
        <v>NYB:LNB</v>
      </c>
      <c r="F32" s="317" t="s">
        <v>412</v>
      </c>
      <c r="G32" s="314" t="s">
        <v>29</v>
      </c>
      <c r="H32" s="314" t="s">
        <v>401</v>
      </c>
    </row>
    <row r="33" spans="2:8">
      <c r="B33" s="317" t="str">
        <f ca="1"/>
        <v>FIXINGLAG</v>
      </c>
      <c r="C33" s="314" t="str">
        <f ca="1"/>
        <v/>
      </c>
      <c r="D33" s="314" t="str">
        <f ca="1"/>
        <v>0D</v>
      </c>
      <c r="F33" s="317" t="s">
        <v>413</v>
      </c>
      <c r="G33" s="314" t="s">
        <v>29</v>
      </c>
      <c r="H33" s="314" t="s">
        <v>17</v>
      </c>
    </row>
    <row r="34" spans="2:8">
      <c r="B34" s="317" t="str">
        <f ca="1"/>
        <v>FIXINGADVANCEORARREAR</v>
      </c>
      <c r="C34" s="314" t="str">
        <f ca="1"/>
        <v/>
      </c>
      <c r="D34" s="314" t="str">
        <f ca="1"/>
        <v/>
      </c>
      <c r="F34" s="317" t="s">
        <v>414</v>
      </c>
      <c r="G34" s="314" t="s">
        <v>29</v>
      </c>
      <c r="H34" s="314" t="s">
        <v>29</v>
      </c>
    </row>
    <row r="35" spans="2:8">
      <c r="B35" s="317" t="str">
        <f ca="1"/>
        <v>FIXEDRATE</v>
      </c>
      <c r="C35" s="314" t="str">
        <f ca="1"/>
        <v>0.01</v>
      </c>
      <c r="D35" s="314" t="str">
        <f ca="1"/>
        <v/>
      </c>
      <c r="F35" s="317" t="s">
        <v>415</v>
      </c>
      <c r="G35" s="319">
        <v>0.01</v>
      </c>
      <c r="H35" s="314" t="s">
        <v>29</v>
      </c>
    </row>
    <row r="36" spans="2:8">
      <c r="B36" s="318" t="str">
        <f ca="1"/>
        <v>FLOATSPREAD</v>
      </c>
      <c r="C36" s="315" t="str">
        <f ca="1"/>
        <v/>
      </c>
      <c r="D36" s="315" t="str">
        <f ca="1"/>
        <v>0</v>
      </c>
      <c r="F36" s="318" t="s">
        <v>416</v>
      </c>
      <c r="G36" s="315" t="s">
        <v>29</v>
      </c>
      <c r="H36" s="315" t="s">
        <v>417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:P22"/>
  <sheetViews>
    <sheetView showGridLines="0" workbookViewId="0"/>
  </sheetViews>
  <sheetFormatPr defaultRowHeight="15"/>
  <cols>
    <col min="2" max="2" width="17.42578125" customWidth="1"/>
    <col min="3" max="3" width="14.5703125" customWidth="1"/>
    <col min="4" max="4" width="11.5703125" bestFit="1" customWidth="1"/>
    <col min="5" max="5" width="19.5703125" bestFit="1" customWidth="1"/>
    <col min="6" max="6" width="13.140625" bestFit="1" customWidth="1"/>
    <col min="7" max="7" width="12.42578125" bestFit="1" customWidth="1"/>
    <col min="8" max="8" width="17.28515625" bestFit="1" customWidth="1"/>
    <col min="10" max="10" width="9.85546875" bestFit="1" customWidth="1"/>
    <col min="12" max="12" width="14.28515625" style="143" bestFit="1" customWidth="1"/>
    <col min="13" max="13" width="12.7109375" bestFit="1" customWidth="1"/>
  </cols>
  <sheetData>
    <row r="2" spans="2:16">
      <c r="B2" s="145" t="s">
        <v>419</v>
      </c>
      <c r="C2" s="353" t="str">
        <f ca="1">'Bespoke IRS'!$K$4</f>
        <v>MYSWAP@164:1</v>
      </c>
    </row>
    <row r="3" spans="2:16">
      <c r="C3" s="116"/>
    </row>
    <row r="4" spans="2:16">
      <c r="B4" s="145" t="s">
        <v>420</v>
      </c>
      <c r="C4" s="116"/>
    </row>
    <row r="5" spans="2:16">
      <c r="B5" s="351" t="s">
        <v>1</v>
      </c>
      <c r="C5" s="349" t="s">
        <v>313</v>
      </c>
    </row>
    <row r="6" spans="2:16">
      <c r="B6" s="352" t="s">
        <v>421</v>
      </c>
      <c r="C6" s="350">
        <v>43710</v>
      </c>
    </row>
    <row r="7" spans="2:16">
      <c r="C7" s="116"/>
    </row>
    <row r="8" spans="2:16">
      <c r="B8" s="145" t="s">
        <v>423</v>
      </c>
      <c r="C8" s="116" t="s">
        <v>253</v>
      </c>
    </row>
    <row r="9" spans="2:16">
      <c r="C9" s="116" t="s">
        <v>254</v>
      </c>
    </row>
    <row r="10" spans="2:16" s="143" customFormat="1"/>
    <row r="11" spans="2:16">
      <c r="B11" s="145" t="s">
        <v>422</v>
      </c>
    </row>
    <row r="12" spans="2:16">
      <c r="B12" s="324" t="str">
        <f t="array" aca="1" ref="B12:M21" ca="1">_xll.meUtilityResize(_xll.meLWOSwapDisplayCashflows($C$2,B5:C6,C8),10,50)</f>
        <v>Leg1:Fixed Leg Schedule &amp; Cashflows</v>
      </c>
      <c r="C12" s="325" t="str">
        <f ca="1"/>
        <v/>
      </c>
      <c r="D12" s="325" t="str">
        <f ca="1"/>
        <v/>
      </c>
      <c r="E12" s="325" t="str">
        <f ca="1"/>
        <v/>
      </c>
      <c r="F12" s="325" t="str">
        <f ca="1"/>
        <v/>
      </c>
      <c r="G12" s="325" t="str">
        <f ca="1"/>
        <v/>
      </c>
      <c r="H12" s="325" t="str">
        <f ca="1"/>
        <v/>
      </c>
      <c r="I12" s="325" t="str">
        <f ca="1"/>
        <v/>
      </c>
      <c r="J12" s="325" t="str">
        <f ca="1"/>
        <v/>
      </c>
      <c r="K12" s="325" t="str">
        <f ca="1"/>
        <v/>
      </c>
      <c r="L12" s="325" t="str">
        <f ca="1"/>
        <v/>
      </c>
      <c r="M12" s="326" t="str">
        <f ca="1"/>
        <v/>
      </c>
    </row>
    <row r="13" spans="2:16">
      <c r="B13" s="85" t="str">
        <f ca="1"/>
        <v>AccrualStart</v>
      </c>
      <c r="C13" s="70" t="str">
        <f ca="1"/>
        <v>AccrualEnd</v>
      </c>
      <c r="D13" s="70" t="str">
        <f ca="1"/>
        <v>AccrualDays</v>
      </c>
      <c r="E13" s="70" t="str">
        <f ca="1"/>
        <v>AccrualYearFractions</v>
      </c>
      <c r="F13" s="70" t="str">
        <f ca="1"/>
        <v>PaymentDate</v>
      </c>
      <c r="G13" s="70" t="str">
        <f ca="1"/>
        <v>Notional</v>
      </c>
      <c r="H13" s="70" t="str">
        <f ca="1"/>
        <v>NotionalExchange</v>
      </c>
      <c r="I13" s="70" t="str">
        <f ca="1"/>
        <v>Leverage</v>
      </c>
      <c r="J13" s="70" t="str">
        <f ca="1"/>
        <v>FixedRate</v>
      </c>
      <c r="K13" s="70" t="str">
        <f ca="1"/>
        <v>Coupon</v>
      </c>
      <c r="L13" s="70" t="str">
        <f ca="1"/>
        <v>DiscountFactor</v>
      </c>
      <c r="M13" s="86" t="str">
        <f ca="1"/>
        <v>CouponPV</v>
      </c>
      <c r="N13" s="170"/>
      <c r="O13" s="122" t="s">
        <v>424</v>
      </c>
      <c r="P13" s="334" t="s">
        <v>373</v>
      </c>
    </row>
    <row r="14" spans="2:16">
      <c r="B14" s="335">
        <f ca="1"/>
        <v>43712</v>
      </c>
      <c r="C14" s="336">
        <f ca="1"/>
        <v>43894</v>
      </c>
      <c r="D14" s="70">
        <f ca="1"/>
        <v>182</v>
      </c>
      <c r="E14" s="46">
        <f ca="1"/>
        <v>0.5</v>
      </c>
      <c r="F14" s="336">
        <f ca="1"/>
        <v>43894</v>
      </c>
      <c r="G14" s="45">
        <f ca="1"/>
        <v>-1000000</v>
      </c>
      <c r="H14" s="70">
        <f ca="1"/>
        <v>0</v>
      </c>
      <c r="I14" s="337">
        <f ca="1"/>
        <v>1</v>
      </c>
      <c r="J14" s="338">
        <f ca="1"/>
        <v>0.01</v>
      </c>
      <c r="K14" s="45">
        <f ca="1"/>
        <v>-5000</v>
      </c>
      <c r="L14" s="339">
        <f ca="1"/>
        <v>0.99144650999478801</v>
      </c>
      <c r="M14" s="340">
        <f ca="1"/>
        <v>-4957.23254997394</v>
      </c>
      <c r="N14" s="170"/>
      <c r="O14" s="321">
        <f t="shared" ref="O14:O19" ca="1" si="0">G14*E14*J14*L14</f>
        <v>-4957.23254997394</v>
      </c>
      <c r="P14" s="321">
        <f t="shared" ref="P14:P19" ca="1" si="1">M14-O14</f>
        <v>0</v>
      </c>
    </row>
    <row r="15" spans="2:16">
      <c r="B15" s="335">
        <f ca="1"/>
        <v>43894</v>
      </c>
      <c r="C15" s="336">
        <f ca="1"/>
        <v>44078</v>
      </c>
      <c r="D15" s="70">
        <f ca="1"/>
        <v>184</v>
      </c>
      <c r="E15" s="46">
        <f ca="1"/>
        <v>0.5</v>
      </c>
      <c r="F15" s="336">
        <f ca="1"/>
        <v>44078</v>
      </c>
      <c r="G15" s="45">
        <f ca="1"/>
        <v>-1000000</v>
      </c>
      <c r="H15" s="70">
        <f ca="1"/>
        <v>0</v>
      </c>
      <c r="I15" s="337">
        <f ca="1"/>
        <v>1</v>
      </c>
      <c r="J15" s="338">
        <f ca="1"/>
        <v>0.01</v>
      </c>
      <c r="K15" s="45">
        <f ca="1"/>
        <v>-5000</v>
      </c>
      <c r="L15" s="339">
        <f ca="1"/>
        <v>0.98515240040623198</v>
      </c>
      <c r="M15" s="340">
        <f ca="1"/>
        <v>-4925.7620020311597</v>
      </c>
      <c r="N15" s="170"/>
      <c r="O15" s="321">
        <f t="shared" ca="1" si="0"/>
        <v>-4925.7620020311597</v>
      </c>
      <c r="P15" s="321">
        <f t="shared" ca="1" si="1"/>
        <v>0</v>
      </c>
    </row>
    <row r="16" spans="2:16">
      <c r="B16" s="335">
        <f ca="1"/>
        <v>44078</v>
      </c>
      <c r="C16" s="336">
        <f ca="1"/>
        <v>44259</v>
      </c>
      <c r="D16" s="70">
        <f ca="1"/>
        <v>181</v>
      </c>
      <c r="E16" s="46">
        <f ca="1"/>
        <v>0.5</v>
      </c>
      <c r="F16" s="336">
        <f ca="1"/>
        <v>44259</v>
      </c>
      <c r="G16" s="45">
        <f ca="1"/>
        <v>-1000000</v>
      </c>
      <c r="H16" s="70">
        <f ca="1"/>
        <v>0</v>
      </c>
      <c r="I16" s="337">
        <f ca="1"/>
        <v>1</v>
      </c>
      <c r="J16" s="338">
        <f ca="1"/>
        <v>0.01</v>
      </c>
      <c r="K16" s="45">
        <f ca="1"/>
        <v>-5000</v>
      </c>
      <c r="L16" s="339">
        <f ca="1"/>
        <v>0.98017930974281497</v>
      </c>
      <c r="M16" s="340">
        <f ca="1"/>
        <v>-4900.8965487140804</v>
      </c>
      <c r="N16" s="170"/>
      <c r="O16" s="321">
        <f t="shared" ca="1" si="0"/>
        <v>-4900.8965487140749</v>
      </c>
      <c r="P16" s="321">
        <f t="shared" ca="1" si="1"/>
        <v>0</v>
      </c>
    </row>
    <row r="17" spans="2:16">
      <c r="B17" s="335">
        <f ca="1"/>
        <v>44259</v>
      </c>
      <c r="C17" s="336">
        <f ca="1"/>
        <v>44446</v>
      </c>
      <c r="D17" s="70">
        <f ca="1"/>
        <v>187</v>
      </c>
      <c r="E17" s="46">
        <f ca="1"/>
        <v>0.50833333333333297</v>
      </c>
      <c r="F17" s="336">
        <f ca="1"/>
        <v>44446</v>
      </c>
      <c r="G17" s="45">
        <f ca="1"/>
        <v>-1000000</v>
      </c>
      <c r="H17" s="70">
        <f ca="1"/>
        <v>0</v>
      </c>
      <c r="I17" s="337">
        <f ca="1"/>
        <v>1</v>
      </c>
      <c r="J17" s="338">
        <f ca="1"/>
        <v>0.01</v>
      </c>
      <c r="K17" s="45">
        <f ca="1"/>
        <v>-5083.3333333333303</v>
      </c>
      <c r="L17" s="339">
        <f ca="1"/>
        <v>0.97563533588604201</v>
      </c>
      <c r="M17" s="340">
        <f ca="1"/>
        <v>-4959.4796240873802</v>
      </c>
      <c r="N17" s="170"/>
      <c r="O17" s="321">
        <f t="shared" ca="1" si="0"/>
        <v>-4959.4796240873766</v>
      </c>
      <c r="P17" s="321">
        <f t="shared" ca="1" si="1"/>
        <v>0</v>
      </c>
    </row>
    <row r="18" spans="2:16">
      <c r="B18" s="335">
        <f ca="1"/>
        <v>44446</v>
      </c>
      <c r="C18" s="336">
        <f ca="1"/>
        <v>44624</v>
      </c>
      <c r="D18" s="70">
        <f ca="1"/>
        <v>178</v>
      </c>
      <c r="E18" s="46">
        <f ca="1"/>
        <v>0.49166666666666697</v>
      </c>
      <c r="F18" s="336">
        <f ca="1"/>
        <v>44624</v>
      </c>
      <c r="G18" s="45">
        <f ca="1"/>
        <v>-1000000</v>
      </c>
      <c r="H18" s="70">
        <f ca="1"/>
        <v>0</v>
      </c>
      <c r="I18" s="337">
        <f ca="1"/>
        <v>1</v>
      </c>
      <c r="J18" s="338">
        <f ca="1"/>
        <v>0.01</v>
      </c>
      <c r="K18" s="45">
        <f ca="1"/>
        <v>-4916.6666666666697</v>
      </c>
      <c r="L18" s="339">
        <f ca="1"/>
        <v>0.97134608511087694</v>
      </c>
      <c r="M18" s="340">
        <f ca="1"/>
        <v>-4775.7849184618099</v>
      </c>
      <c r="N18" s="170"/>
      <c r="O18" s="321">
        <f t="shared" ca="1" si="0"/>
        <v>-4775.7849184618144</v>
      </c>
      <c r="P18" s="321">
        <f t="shared" ca="1" si="1"/>
        <v>0</v>
      </c>
    </row>
    <row r="19" spans="2:16">
      <c r="B19" s="335">
        <f ca="1"/>
        <v>44624</v>
      </c>
      <c r="C19" s="336">
        <f ca="1"/>
        <v>44810</v>
      </c>
      <c r="D19" s="70">
        <f ca="1"/>
        <v>186</v>
      </c>
      <c r="E19" s="46">
        <f ca="1"/>
        <v>0.50555555555555598</v>
      </c>
      <c r="F19" s="336">
        <f ca="1"/>
        <v>44810</v>
      </c>
      <c r="G19" s="45">
        <f ca="1"/>
        <v>-1000000</v>
      </c>
      <c r="H19" s="70">
        <f ca="1"/>
        <v>0</v>
      </c>
      <c r="I19" s="337">
        <f ca="1"/>
        <v>1</v>
      </c>
      <c r="J19" s="338">
        <f ca="1"/>
        <v>0.01</v>
      </c>
      <c r="K19" s="45">
        <f ca="1"/>
        <v>-5055.5555555555602</v>
      </c>
      <c r="L19" s="339">
        <f ca="1"/>
        <v>0.96678159336802205</v>
      </c>
      <c r="M19" s="340">
        <f ca="1"/>
        <v>-4887.61805536056</v>
      </c>
      <c r="N19" s="170"/>
      <c r="O19" s="321">
        <f t="shared" ca="1" si="0"/>
        <v>-4887.61805536056</v>
      </c>
      <c r="P19" s="321">
        <f t="shared" ca="1" si="1"/>
        <v>0</v>
      </c>
    </row>
    <row r="20" spans="2:16">
      <c r="B20" s="335" t="str">
        <f ca="1"/>
        <v/>
      </c>
      <c r="C20" s="336" t="str">
        <f ca="1"/>
        <v/>
      </c>
      <c r="D20" s="70" t="str">
        <f ca="1"/>
        <v/>
      </c>
      <c r="E20" s="46" t="str">
        <f ca="1"/>
        <v/>
      </c>
      <c r="F20" s="336" t="str">
        <f ca="1"/>
        <v/>
      </c>
      <c r="G20" s="45" t="str">
        <f ca="1"/>
        <v/>
      </c>
      <c r="H20" s="70" t="str">
        <f ca="1"/>
        <v/>
      </c>
      <c r="I20" s="337" t="str">
        <f ca="1"/>
        <v/>
      </c>
      <c r="J20" s="338" t="str">
        <f ca="1"/>
        <v/>
      </c>
      <c r="K20" s="45" t="str">
        <f ca="1"/>
        <v/>
      </c>
      <c r="L20" s="339" t="str">
        <f ca="1"/>
        <v/>
      </c>
      <c r="M20" s="340" t="str">
        <f ca="1"/>
        <v/>
      </c>
      <c r="N20" s="170"/>
      <c r="O20" s="170"/>
      <c r="P20" s="170"/>
    </row>
    <row r="21" spans="2:16">
      <c r="B21" s="341" t="str">
        <f ca="1"/>
        <v/>
      </c>
      <c r="C21" s="342" t="str">
        <f ca="1"/>
        <v/>
      </c>
      <c r="D21" s="87" t="str">
        <f ca="1"/>
        <v/>
      </c>
      <c r="E21" s="343" t="str">
        <f ca="1"/>
        <v/>
      </c>
      <c r="F21" s="342" t="str">
        <f ca="1"/>
        <v/>
      </c>
      <c r="G21" s="344" t="str">
        <f ca="1"/>
        <v/>
      </c>
      <c r="H21" s="87" t="str">
        <f ca="1"/>
        <v/>
      </c>
      <c r="I21" s="345" t="str">
        <f ca="1"/>
        <v/>
      </c>
      <c r="J21" s="346" t="str">
        <f ca="1"/>
        <v/>
      </c>
      <c r="K21" s="344" t="str">
        <f ca="1"/>
        <v/>
      </c>
      <c r="L21" s="347" t="str">
        <f ca="1"/>
        <v/>
      </c>
      <c r="M21" s="348" t="str">
        <f ca="1"/>
        <v/>
      </c>
      <c r="N21" s="170"/>
      <c r="O21" s="170"/>
      <c r="P21" s="170"/>
    </row>
    <row r="22" spans="2:16">
      <c r="B22" s="170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70"/>
      <c r="P22" s="170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:E25"/>
  <sheetViews>
    <sheetView showGridLines="0" workbookViewId="0"/>
  </sheetViews>
  <sheetFormatPr defaultRowHeight="15"/>
  <cols>
    <col min="2" max="2" width="32.28515625" bestFit="1" customWidth="1"/>
    <col min="3" max="3" width="9.28515625" bestFit="1" customWidth="1"/>
    <col min="4" max="4" width="48.140625" bestFit="1" customWidth="1"/>
    <col min="5" max="5" width="12" bestFit="1" customWidth="1"/>
  </cols>
  <sheetData>
    <row r="2" spans="2:5">
      <c r="B2" t="s">
        <v>419</v>
      </c>
      <c r="C2" t="str">
        <f ca="1">'Bespoke IRS'!K4</f>
        <v>MYSWAP@164:1</v>
      </c>
    </row>
    <row r="3" spans="2:5">
      <c r="B3" t="s">
        <v>1</v>
      </c>
      <c r="C3" t="s">
        <v>313</v>
      </c>
    </row>
    <row r="5" spans="2:5">
      <c r="B5" s="145" t="s">
        <v>425</v>
      </c>
    </row>
    <row r="6" spans="2:5">
      <c r="B6" s="354" t="str">
        <f t="array" aca="1" ref="B6:E25" ca="1">_xll.meLWOSwapDeltaLadder(C2,C3,,,,,,,,"10Y")</f>
        <v>USD : Pillars</v>
      </c>
      <c r="C6" s="169" t="str">
        <f ca="1"/>
        <v>USD : Total</v>
      </c>
      <c r="D6" s="354" t="str">
        <f ca="1"/>
        <v>USD : Pillars</v>
      </c>
      <c r="E6" s="169" t="str">
        <f ca="1"/>
        <v>USD : Total</v>
      </c>
    </row>
    <row r="7" spans="2:5">
      <c r="B7" s="354" t="str">
        <f ca="1"/>
        <v>USDYC.OIS.OUTRIGHTOISSWAP.ON</v>
      </c>
      <c r="C7" s="355">
        <f ca="1"/>
        <v>-7.0446345489472151E-3</v>
      </c>
      <c r="D7" s="354" t="str">
        <f ca="1"/>
        <v>USDYC.STD.O_N</v>
      </c>
      <c r="E7" s="355">
        <f ca="1"/>
        <v>-5.117599357618019E-4</v>
      </c>
    </row>
    <row r="8" spans="2:5">
      <c r="B8" s="354" t="str">
        <f ca="1"/>
        <v>USDYC.OIS.OUTRIGHTOISSWAP.1W</v>
      </c>
      <c r="C8" s="355">
        <f ca="1"/>
        <v>-2.1680494683096185E-3</v>
      </c>
      <c r="D8" s="354" t="str">
        <f ca="1"/>
        <v>USDYC.STD.T_N</v>
      </c>
      <c r="E8" s="355">
        <f ca="1"/>
        <v>-5.117599357618019E-4</v>
      </c>
    </row>
    <row r="9" spans="2:5">
      <c r="B9" s="354" t="str">
        <f ca="1"/>
        <v>USDYC.OIS.OUTRIGHTOISSWAP.2W</v>
      </c>
      <c r="C9" s="355">
        <f ca="1"/>
        <v>-3.9386359276250005E-4</v>
      </c>
      <c r="D9" s="354" t="str">
        <f ca="1"/>
        <v>USDYC.STD.LIBOR.3M</v>
      </c>
      <c r="E9" s="355">
        <f ca="1"/>
        <v>-5.0120688683819026E-4</v>
      </c>
    </row>
    <row r="10" spans="2:5">
      <c r="B10" s="354" t="str">
        <f ca="1"/>
        <v>USDYC.OIS.OUTRIGHTOISSWAP.3W</v>
      </c>
      <c r="C10" s="355">
        <f ca="1"/>
        <v>-8.5330539150163531E-4</v>
      </c>
      <c r="D10" s="354" t="str">
        <f ca="1"/>
        <v>USDYC.STD.LIBOR.6M</v>
      </c>
      <c r="E10" s="355">
        <f ca="1"/>
        <v>-5.2221548685338348E-4</v>
      </c>
    </row>
    <row r="11" spans="2:5">
      <c r="B11" s="354" t="str">
        <f ca="1"/>
        <v>USDYC.OIS.OUTRIGHTOISSWAP.1M</v>
      </c>
      <c r="C11" s="355">
        <f ca="1"/>
        <v>-6.959417078178376E-5</v>
      </c>
      <c r="D11" s="354" t="str">
        <f ca="1"/>
        <v>USDYC.STD.FUTURE.ED1 COMDTY.20190918.20191218</v>
      </c>
      <c r="E11" s="355">
        <f ca="1"/>
        <v>-5.1038114179391414E-4</v>
      </c>
    </row>
    <row r="12" spans="2:5">
      <c r="B12" s="354" t="str">
        <f ca="1"/>
        <v>USDYC.OIS.OUTRIGHTOISSWAP.2M</v>
      </c>
      <c r="C12" s="355">
        <f ca="1"/>
        <v>-1.3698958355234936E-3</v>
      </c>
      <c r="D12" s="354" t="str">
        <f ca="1"/>
        <v>USDYC.STD.FUTURE.ED2 COMDTY.20191218.20200318</v>
      </c>
      <c r="E12" s="355">
        <f ca="1"/>
        <v>-5.0459457270335406E-4</v>
      </c>
    </row>
    <row r="13" spans="2:5">
      <c r="B13" s="354" t="str">
        <f ca="1"/>
        <v>USDYC.OIS.OUTRIGHTOISSWAP.3M</v>
      </c>
      <c r="C13" s="355">
        <f ca="1"/>
        <v>2.1495638065971434E-3</v>
      </c>
      <c r="D13" s="354" t="str">
        <f ca="1"/>
        <v>USDYC.STD.FUTURE.ED3 COMDTY.20200318.20200617</v>
      </c>
      <c r="E13" s="355">
        <f ca="1"/>
        <v>-5.1330971473362297E-4</v>
      </c>
    </row>
    <row r="14" spans="2:5">
      <c r="B14" s="354" t="str">
        <f ca="1"/>
        <v>USDYC.OIS.OUTRIGHTOISSWAP.4M</v>
      </c>
      <c r="C14" s="355">
        <f ca="1"/>
        <v>-1.222491919179447E-2</v>
      </c>
      <c r="D14" s="354" t="str">
        <f ca="1"/>
        <v>USDYC.STD.FUTURE.ED4 COMDTY.20200617.20200916</v>
      </c>
      <c r="E14" s="355">
        <f ca="1"/>
        <v>-5.1306597015354782E-4</v>
      </c>
    </row>
    <row r="15" spans="2:5">
      <c r="B15" s="354" t="str">
        <f ca="1"/>
        <v>USDYC.OIS.OUTRIGHTOISSWAP.5M</v>
      </c>
      <c r="C15" s="355">
        <f ca="1"/>
        <v>4.5031698027742095E-2</v>
      </c>
      <c r="D15" s="354" t="str">
        <f ca="1"/>
        <v>USDYC.STD.FUTURE.ED5 COMDTY.20200916.20201216</v>
      </c>
      <c r="E15" s="355">
        <f ca="1"/>
        <v>-5.1288989197928458E-4</v>
      </c>
    </row>
    <row r="16" spans="2:5">
      <c r="B16" s="354" t="str">
        <f ca="1"/>
        <v>USDYC.OIS.OUTRIGHTOISSWAP.6M</v>
      </c>
      <c r="C16" s="355">
        <f ca="1"/>
        <v>-0.16371070887544192</v>
      </c>
      <c r="D16" s="354" t="str">
        <f ca="1"/>
        <v>USDYC.STD.FUTURE.ED6 COMDTY.20201216.20210317</v>
      </c>
      <c r="E16" s="355">
        <f ca="1"/>
        <v>-5.127436452312395E-4</v>
      </c>
    </row>
    <row r="17" spans="2:5">
      <c r="B17" s="354" t="str">
        <f ca="1"/>
        <v>USDYC.OIS.OUTRIGHTOISSWAP.9M</v>
      </c>
      <c r="C17" s="355">
        <f ca="1"/>
        <v>0.13535697580664419</v>
      </c>
      <c r="D17" s="354" t="str">
        <f ca="1"/>
        <v>USDYC.STD.FUTURE.ED7 COMDTY.20210317.20210616</v>
      </c>
      <c r="E17" s="355">
        <f ca="1"/>
        <v>-5.1212591642979532E-4</v>
      </c>
    </row>
    <row r="18" spans="2:5">
      <c r="B18" s="354" t="str">
        <f ca="1"/>
        <v>USDYC.OIS.BASISRATE.1Y</v>
      </c>
      <c r="C18" s="355">
        <f ca="1"/>
        <v>0.40935787619673647</v>
      </c>
      <c r="D18" s="354" t="str">
        <f ca="1"/>
        <v>USDYC.STD.FUTURE.ED8 COMDTY.20210616.20210915</v>
      </c>
      <c r="E18" s="355">
        <f ca="1"/>
        <v>-5.1613787945825607E-4</v>
      </c>
    </row>
    <row r="19" spans="2:5">
      <c r="B19" s="354" t="str">
        <f ca="1"/>
        <v>USDYC.OIS.3MLIBORSWAP.1Y</v>
      </c>
      <c r="C19" s="355">
        <f ca="1"/>
        <v>-0.40306775154022034</v>
      </c>
      <c r="D19" s="354" t="str">
        <f ca="1"/>
        <v>USDYC.STD.3MLIBORSWAP.3Y</v>
      </c>
      <c r="E19" s="355">
        <f ca="1"/>
        <v>294.06665681271988</v>
      </c>
    </row>
    <row r="20" spans="2:5">
      <c r="B20" s="354" t="str">
        <f ca="1"/>
        <v>USDYC.OIS.BASISRATE.2Y</v>
      </c>
      <c r="C20" s="355">
        <f ca="1"/>
        <v>0.8597482243203558</v>
      </c>
      <c r="D20" s="354" t="str">
        <f ca="1"/>
        <v>USDYC.STD.3MLIBORSWAP.4Y</v>
      </c>
      <c r="E20" s="355">
        <f ca="1"/>
        <v>-6.5685635490808636E-4</v>
      </c>
    </row>
    <row r="21" spans="2:5">
      <c r="B21" s="354" t="str">
        <f ca="1"/>
        <v>USDYC.OIS.3MLIBORSWAP.2Y</v>
      </c>
      <c r="C21" s="355">
        <f ca="1"/>
        <v>-0.8467429353913758</v>
      </c>
      <c r="D21" s="354" t="str">
        <f ca="1"/>
        <v>USDYC.STD.3MLIBORSWAP.5Y</v>
      </c>
      <c r="E21" s="355">
        <f ca="1"/>
        <v>-4.1575367504265159E-4</v>
      </c>
    </row>
    <row r="22" spans="2:5">
      <c r="B22" s="354" t="str">
        <f ca="1"/>
        <v>USDYC.OIS.BASISRATE.3Y</v>
      </c>
      <c r="C22" s="355">
        <f ca="1"/>
        <v>0.84885860669601243</v>
      </c>
      <c r="D22" s="354" t="str">
        <f ca="1"/>
        <v>USDYC.STD.3MLIBORSWAP.7Y</v>
      </c>
      <c r="E22" s="355">
        <f ca="1"/>
        <v>-1.7249225493287668E-3</v>
      </c>
    </row>
    <row r="23" spans="2:5">
      <c r="B23" s="354" t="str">
        <f ca="1"/>
        <v>USDYC.OIS.3MLIBORSWAP.3Y</v>
      </c>
      <c r="C23" s="355">
        <f ca="1"/>
        <v>293.23153453369741</v>
      </c>
      <c r="D23" s="354" t="str">
        <f ca="1"/>
        <v>USDYC.STD.3MLIBORSWAP.8Y</v>
      </c>
      <c r="E23" s="355">
        <f ca="1"/>
        <v>-1.2314303603488952E-4</v>
      </c>
    </row>
    <row r="24" spans="2:5">
      <c r="B24" s="354" t="str">
        <f ca="1"/>
        <v>USDYC.OIS.BASISRATE.4Y</v>
      </c>
      <c r="C24" s="355">
        <f ca="1"/>
        <v>-5.0722916785161942E-2</v>
      </c>
      <c r="D24" s="354" t="str">
        <f ca="1"/>
        <v>USDYC.STD.3MLIBORSWAP.9Y</v>
      </c>
      <c r="E24" s="355">
        <f ca="1"/>
        <v>-3.6479952541412786E-3</v>
      </c>
    </row>
    <row r="25" spans="2:5">
      <c r="B25" s="354" t="str">
        <f ca="1"/>
        <v>USDYC.OIS.3MLIBORSWAP.4Y</v>
      </c>
      <c r="C25" s="355">
        <f ca="1"/>
        <v>4.8819575386005454E-2</v>
      </c>
      <c r="D25" s="354" t="str">
        <f ca="1"/>
        <v>USDYC.STD.3MLIBORSWAP.10Y</v>
      </c>
      <c r="E25" s="355">
        <f ca="1"/>
        <v>3.4803848393494263E-3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3:W41"/>
  <sheetViews>
    <sheetView showGridLines="0" workbookViewId="0"/>
  </sheetViews>
  <sheetFormatPr defaultRowHeight="15"/>
  <cols>
    <col min="1" max="1" width="4.7109375" style="143" customWidth="1"/>
    <col min="2" max="2" width="2.7109375" style="143" customWidth="1"/>
    <col min="3" max="3" width="16" style="143" customWidth="1"/>
    <col min="4" max="4" width="27.7109375" style="143" customWidth="1"/>
    <col min="5" max="5" width="2.7109375" style="143" customWidth="1"/>
    <col min="6" max="6" width="4.7109375" style="143" customWidth="1"/>
    <col min="7" max="7" width="2.7109375" style="143" customWidth="1"/>
    <col min="8" max="8" width="25.28515625" style="143" bestFit="1" customWidth="1"/>
    <col min="9" max="9" width="28.28515625" style="143" customWidth="1"/>
    <col min="10" max="10" width="2.7109375" style="143" customWidth="1"/>
    <col min="11" max="12" width="9.140625" style="143"/>
    <col min="13" max="13" width="2.7109375" style="143" customWidth="1"/>
    <col min="14" max="14" width="12.140625" style="143" customWidth="1"/>
    <col min="15" max="16" width="12.7109375" style="143" customWidth="1"/>
    <col min="17" max="17" width="9.140625" style="143"/>
    <col min="18" max="18" width="13.5703125" style="143" customWidth="1"/>
    <col min="19" max="19" width="2.7109375" style="143" customWidth="1"/>
    <col min="20" max="20" width="9.140625" style="143"/>
    <col min="21" max="21" width="10.140625" style="143" customWidth="1"/>
    <col min="22" max="22" width="9.140625" style="143"/>
    <col min="23" max="23" width="2.7109375" style="143" customWidth="1"/>
    <col min="24" max="16384" width="9.140625" style="143"/>
  </cols>
  <sheetData>
    <row r="3" spans="2:23">
      <c r="B3" s="123"/>
      <c r="C3" s="124"/>
      <c r="D3" s="124"/>
      <c r="E3" s="126"/>
      <c r="G3" s="123"/>
      <c r="H3" s="176"/>
      <c r="I3" s="125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6"/>
    </row>
    <row r="4" spans="2:23">
      <c r="B4" s="127"/>
      <c r="C4" s="192" t="s">
        <v>426</v>
      </c>
      <c r="D4" s="128"/>
      <c r="E4" s="140"/>
      <c r="G4" s="127"/>
      <c r="H4" s="177" t="s">
        <v>297</v>
      </c>
      <c r="I4" s="178"/>
      <c r="J4" s="128" t="s">
        <v>6</v>
      </c>
      <c r="K4" s="128" t="s">
        <v>6</v>
      </c>
      <c r="L4" s="128" t="s">
        <v>6</v>
      </c>
      <c r="M4" s="128" t="s">
        <v>6</v>
      </c>
      <c r="N4" s="179" t="s">
        <v>3</v>
      </c>
      <c r="O4" s="172"/>
      <c r="P4" s="172"/>
      <c r="Q4" s="172"/>
      <c r="R4" s="172"/>
      <c r="S4" s="172"/>
      <c r="T4" s="179" t="s">
        <v>298</v>
      </c>
      <c r="U4" s="179"/>
      <c r="V4" s="128"/>
      <c r="W4" s="140"/>
    </row>
    <row r="5" spans="2:23">
      <c r="B5" s="127"/>
      <c r="C5" s="356" t="s">
        <v>427</v>
      </c>
      <c r="D5" s="356" t="s">
        <v>428</v>
      </c>
      <c r="E5" s="140"/>
      <c r="G5" s="127" t="s">
        <v>6</v>
      </c>
      <c r="H5" s="356" t="s">
        <v>427</v>
      </c>
      <c r="I5" s="356" t="s">
        <v>428</v>
      </c>
      <c r="J5" s="128" t="s">
        <v>6</v>
      </c>
      <c r="K5" s="128" t="s">
        <v>6</v>
      </c>
      <c r="L5" s="128" t="s">
        <v>6</v>
      </c>
      <c r="M5" s="128" t="s">
        <v>6</v>
      </c>
      <c r="N5" s="119" t="s">
        <v>8</v>
      </c>
      <c r="O5" s="119" t="s">
        <v>9</v>
      </c>
      <c r="P5" s="119" t="s">
        <v>10</v>
      </c>
      <c r="Q5" s="119" t="s">
        <v>11</v>
      </c>
      <c r="R5" s="119" t="s">
        <v>12</v>
      </c>
      <c r="S5" s="128"/>
      <c r="T5" s="119" t="s">
        <v>8</v>
      </c>
      <c r="U5" s="119" t="s">
        <v>9</v>
      </c>
      <c r="V5" s="128"/>
      <c r="W5" s="140"/>
    </row>
    <row r="6" spans="2:23">
      <c r="B6" s="127"/>
      <c r="C6" s="188" t="s">
        <v>429</v>
      </c>
      <c r="D6" s="357" t="s">
        <v>430</v>
      </c>
      <c r="E6" s="140"/>
      <c r="G6" s="127"/>
      <c r="H6" s="204" t="s">
        <v>5</v>
      </c>
      <c r="I6" s="358" t="s">
        <v>300</v>
      </c>
      <c r="J6" s="128" t="s">
        <v>6</v>
      </c>
      <c r="K6" s="128" t="s">
        <v>6</v>
      </c>
      <c r="L6" s="128" t="s">
        <v>6</v>
      </c>
      <c r="M6" s="128" t="s">
        <v>6</v>
      </c>
      <c r="N6" s="106" t="s">
        <v>28</v>
      </c>
      <c r="O6" s="93">
        <v>1.9099999999999999E-2</v>
      </c>
      <c r="P6" s="359"/>
      <c r="Q6" s="100"/>
      <c r="R6" s="99" t="b">
        <v>1</v>
      </c>
      <c r="S6" s="360"/>
      <c r="T6" s="106" t="s">
        <v>27</v>
      </c>
      <c r="U6" s="98">
        <v>2.7499999999999998E-3</v>
      </c>
      <c r="V6" s="132"/>
      <c r="W6" s="133"/>
    </row>
    <row r="7" spans="2:23">
      <c r="B7" s="127"/>
      <c r="C7" s="228" t="s">
        <v>1</v>
      </c>
      <c r="D7" s="361" t="s">
        <v>313</v>
      </c>
      <c r="E7" s="140"/>
      <c r="G7" s="127"/>
      <c r="H7" s="208" t="s">
        <v>301</v>
      </c>
      <c r="I7" s="146" t="s">
        <v>3</v>
      </c>
      <c r="J7" s="128" t="s">
        <v>6</v>
      </c>
      <c r="K7" s="128" t="s">
        <v>6</v>
      </c>
      <c r="L7" s="128" t="s">
        <v>6</v>
      </c>
      <c r="M7" s="128" t="s">
        <v>6</v>
      </c>
      <c r="N7" s="135" t="s">
        <v>228</v>
      </c>
      <c r="O7" s="91">
        <v>1.9123000000000001E-2</v>
      </c>
      <c r="P7" s="100"/>
      <c r="Q7" s="100"/>
      <c r="R7" s="99" t="b">
        <v>1</v>
      </c>
      <c r="S7" s="360"/>
      <c r="T7" s="135" t="s">
        <v>30</v>
      </c>
      <c r="U7" s="101">
        <v>2.875E-3</v>
      </c>
      <c r="V7" s="132"/>
      <c r="W7" s="133"/>
    </row>
    <row r="8" spans="2:23">
      <c r="B8" s="127"/>
      <c r="C8" s="190" t="s">
        <v>431</v>
      </c>
      <c r="D8" s="362" t="str">
        <f ca="1">_xll.meLWOCurveEngineCalibrate(D6,D7,C12:D15,D20,D26,D21,D27)</f>
        <v>USD_CURVE@3:0</v>
      </c>
      <c r="E8" s="140"/>
      <c r="G8" s="127"/>
      <c r="H8" s="208" t="s">
        <v>302</v>
      </c>
      <c r="I8" s="146" t="s">
        <v>303</v>
      </c>
      <c r="J8" s="128" t="s">
        <v>6</v>
      </c>
      <c r="K8" s="128" t="s">
        <v>6</v>
      </c>
      <c r="L8" s="128" t="s">
        <v>6</v>
      </c>
      <c r="M8" s="128" t="s">
        <v>6</v>
      </c>
      <c r="N8" s="135" t="s">
        <v>232</v>
      </c>
      <c r="O8" s="91">
        <v>2.0475E-2</v>
      </c>
      <c r="P8" s="100"/>
      <c r="Q8" s="100"/>
      <c r="R8" s="99" t="b">
        <v>1</v>
      </c>
      <c r="S8" s="360"/>
      <c r="T8" s="135" t="s">
        <v>31</v>
      </c>
      <c r="U8" s="101">
        <v>2.96875E-3</v>
      </c>
      <c r="V8" s="132"/>
      <c r="W8" s="133"/>
    </row>
    <row r="9" spans="2:23">
      <c r="B9" s="127"/>
      <c r="C9" s="128" t="s">
        <v>432</v>
      </c>
      <c r="D9" s="141" t="b">
        <f ca="1">LEFT(D8,3)=LEFT(D6,3)</f>
        <v>1</v>
      </c>
      <c r="E9" s="140"/>
      <c r="G9" s="127"/>
      <c r="H9" s="363" t="s">
        <v>4</v>
      </c>
      <c r="I9" s="470">
        <v>43710</v>
      </c>
      <c r="J9" s="128" t="s">
        <v>6</v>
      </c>
      <c r="K9" s="128" t="s">
        <v>6</v>
      </c>
      <c r="L9" s="128" t="s">
        <v>6</v>
      </c>
      <c r="M9" s="128" t="s">
        <v>6</v>
      </c>
      <c r="N9" s="135" t="s">
        <v>21</v>
      </c>
      <c r="O9" s="91">
        <v>2.1610999999999998E-2</v>
      </c>
      <c r="P9" s="100"/>
      <c r="Q9" s="100"/>
      <c r="R9" s="99" t="b">
        <v>1</v>
      </c>
      <c r="S9" s="360"/>
      <c r="T9" s="135" t="s">
        <v>32</v>
      </c>
      <c r="U9" s="101">
        <v>3.0625000000000001E-3</v>
      </c>
      <c r="V9" s="132"/>
      <c r="W9" s="133"/>
    </row>
    <row r="10" spans="2:23">
      <c r="B10" s="127"/>
      <c r="C10" s="128"/>
      <c r="D10" s="128"/>
      <c r="E10" s="140"/>
      <c r="G10" s="127"/>
      <c r="H10" s="178"/>
      <c r="I10" s="178"/>
      <c r="J10" s="128" t="s">
        <v>6</v>
      </c>
      <c r="K10" s="128" t="s">
        <v>6</v>
      </c>
      <c r="L10" s="128" t="s">
        <v>6</v>
      </c>
      <c r="M10" s="128" t="s">
        <v>6</v>
      </c>
      <c r="N10" s="135"/>
      <c r="O10" s="91"/>
      <c r="P10" s="100"/>
      <c r="Q10" s="100"/>
      <c r="R10" s="99"/>
      <c r="S10" s="360"/>
      <c r="T10" s="135" t="s">
        <v>33</v>
      </c>
      <c r="U10" s="101">
        <v>3.1250000000000002E-3</v>
      </c>
      <c r="V10" s="132"/>
      <c r="W10" s="133"/>
    </row>
    <row r="11" spans="2:23">
      <c r="B11" s="127"/>
      <c r="C11" s="177" t="s">
        <v>433</v>
      </c>
      <c r="D11" s="128"/>
      <c r="E11" s="140"/>
      <c r="G11" s="127"/>
      <c r="H11" s="128"/>
      <c r="I11" s="364"/>
      <c r="J11" s="128" t="s">
        <v>6</v>
      </c>
      <c r="K11" s="128" t="s">
        <v>6</v>
      </c>
      <c r="L11" s="128" t="s">
        <v>6</v>
      </c>
      <c r="M11" s="128" t="s">
        <v>6</v>
      </c>
      <c r="N11" s="135"/>
      <c r="O11" s="91"/>
      <c r="P11" s="100"/>
      <c r="Q11" s="100"/>
      <c r="R11" s="99"/>
      <c r="S11" s="360"/>
      <c r="T11" s="135" t="s">
        <v>35</v>
      </c>
      <c r="U11" s="101">
        <v>3.18125E-3</v>
      </c>
      <c r="V11" s="132"/>
      <c r="W11" s="133"/>
    </row>
    <row r="12" spans="2:23">
      <c r="B12" s="127"/>
      <c r="C12" s="204" t="s">
        <v>434</v>
      </c>
      <c r="D12" s="365" t="b">
        <v>1</v>
      </c>
      <c r="E12" s="140"/>
      <c r="G12" s="127"/>
      <c r="H12" s="187" t="s">
        <v>304</v>
      </c>
      <c r="I12" s="178"/>
      <c r="J12" s="128" t="s">
        <v>6</v>
      </c>
      <c r="K12" s="128" t="s">
        <v>6</v>
      </c>
      <c r="L12" s="128" t="s">
        <v>6</v>
      </c>
      <c r="M12" s="128" t="s">
        <v>6</v>
      </c>
      <c r="N12" s="135"/>
      <c r="O12" s="91"/>
      <c r="P12" s="100"/>
      <c r="Q12" s="100"/>
      <c r="R12" s="99"/>
      <c r="S12" s="360"/>
      <c r="T12" s="135" t="s">
        <v>38</v>
      </c>
      <c r="U12" s="101">
        <v>3.375E-3</v>
      </c>
      <c r="V12" s="132"/>
      <c r="W12" s="133"/>
    </row>
    <row r="13" spans="2:23">
      <c r="B13" s="127"/>
      <c r="C13" s="208" t="s">
        <v>249</v>
      </c>
      <c r="D13" s="366">
        <v>1.0000000000000001E-9</v>
      </c>
      <c r="E13" s="140"/>
      <c r="G13" s="127"/>
      <c r="H13" s="188" t="s">
        <v>305</v>
      </c>
      <c r="I13" s="357" t="s">
        <v>435</v>
      </c>
      <c r="J13" s="128" t="s">
        <v>6</v>
      </c>
      <c r="K13" s="128" t="s">
        <v>6</v>
      </c>
      <c r="L13" s="128" t="s">
        <v>6</v>
      </c>
      <c r="M13" s="128" t="s">
        <v>6</v>
      </c>
      <c r="N13" s="135"/>
      <c r="O13" s="91"/>
      <c r="P13" s="100"/>
      <c r="Q13" s="100"/>
      <c r="R13" s="99"/>
      <c r="S13" s="360"/>
      <c r="T13" s="135" t="s">
        <v>39</v>
      </c>
      <c r="U13" s="101">
        <v>3.4630000000000004E-3</v>
      </c>
      <c r="V13" s="132"/>
      <c r="W13" s="133"/>
    </row>
    <row r="14" spans="2:23">
      <c r="B14" s="127"/>
      <c r="C14" s="208" t="s">
        <v>436</v>
      </c>
      <c r="D14" s="366">
        <v>1.0000000000000001E-15</v>
      </c>
      <c r="E14" s="140"/>
      <c r="G14" s="127"/>
      <c r="H14" s="190" t="s">
        <v>307</v>
      </c>
      <c r="I14" s="362" t="str">
        <f ca="1">_xll.meLWOCurveMarketDataCreate(I13,H4,H6:I9,N4,N6:R20,T4,T6:U20)</f>
        <v>USD_OIS_MARKETDATA@1:0</v>
      </c>
      <c r="J14" s="128" t="s">
        <v>6</v>
      </c>
      <c r="K14" s="128" t="s">
        <v>6</v>
      </c>
      <c r="L14" s="128" t="s">
        <v>6</v>
      </c>
      <c r="M14" s="128" t="s">
        <v>6</v>
      </c>
      <c r="N14" s="135"/>
      <c r="O14" s="91"/>
      <c r="P14" s="100"/>
      <c r="Q14" s="100"/>
      <c r="R14" s="99"/>
      <c r="S14" s="360"/>
      <c r="T14" s="135" t="s">
        <v>40</v>
      </c>
      <c r="U14" s="101">
        <v>3.5875E-3</v>
      </c>
      <c r="V14" s="132"/>
      <c r="W14" s="133"/>
    </row>
    <row r="15" spans="2:23">
      <c r="B15" s="127"/>
      <c r="C15" s="363" t="s">
        <v>437</v>
      </c>
      <c r="D15" s="367">
        <v>1E-10</v>
      </c>
      <c r="E15" s="140"/>
      <c r="G15" s="127"/>
      <c r="H15" s="128"/>
      <c r="I15" s="128"/>
      <c r="J15" s="128" t="s">
        <v>6</v>
      </c>
      <c r="K15" s="128" t="s">
        <v>6</v>
      </c>
      <c r="L15" s="128" t="s">
        <v>6</v>
      </c>
      <c r="M15" s="128" t="s">
        <v>6</v>
      </c>
      <c r="N15" s="135"/>
      <c r="O15" s="91"/>
      <c r="P15" s="100"/>
      <c r="Q15" s="100"/>
      <c r="R15" s="99"/>
      <c r="S15" s="360"/>
      <c r="T15" s="135" t="s">
        <v>41</v>
      </c>
      <c r="U15" s="101">
        <v>3.7624999999999998E-3</v>
      </c>
      <c r="V15" s="132"/>
      <c r="W15" s="133"/>
    </row>
    <row r="16" spans="2:23">
      <c r="B16" s="127"/>
      <c r="C16" s="128"/>
      <c r="D16" s="128"/>
      <c r="E16" s="140"/>
      <c r="G16" s="127"/>
      <c r="H16" s="128"/>
      <c r="I16" s="128"/>
      <c r="J16" s="128" t="s">
        <v>6</v>
      </c>
      <c r="K16" s="128" t="s">
        <v>6</v>
      </c>
      <c r="L16" s="128" t="s">
        <v>6</v>
      </c>
      <c r="M16" s="128" t="s">
        <v>6</v>
      </c>
      <c r="N16" s="135"/>
      <c r="O16" s="91"/>
      <c r="P16" s="100"/>
      <c r="Q16" s="100"/>
      <c r="R16" s="99"/>
      <c r="S16" s="360"/>
      <c r="T16" s="135" t="s">
        <v>42</v>
      </c>
      <c r="U16" s="101">
        <v>3.8500000000000001E-3</v>
      </c>
      <c r="V16" s="132"/>
      <c r="W16" s="133"/>
    </row>
    <row r="17" spans="2:23">
      <c r="B17" s="127"/>
      <c r="C17" s="128"/>
      <c r="D17" s="128"/>
      <c r="E17" s="140"/>
      <c r="G17" s="127"/>
      <c r="H17" s="128"/>
      <c r="I17" s="128"/>
      <c r="J17" s="128" t="s">
        <v>6</v>
      </c>
      <c r="K17" s="128" t="s">
        <v>6</v>
      </c>
      <c r="L17" s="128" t="s">
        <v>6</v>
      </c>
      <c r="M17" s="128" t="s">
        <v>6</v>
      </c>
      <c r="N17" s="135"/>
      <c r="O17" s="91"/>
      <c r="P17" s="100"/>
      <c r="Q17" s="100"/>
      <c r="R17" s="99"/>
      <c r="S17" s="360"/>
      <c r="T17" s="135" t="s">
        <v>43</v>
      </c>
      <c r="U17" s="101">
        <v>3.9500000000000004E-3</v>
      </c>
      <c r="V17" s="132"/>
      <c r="W17" s="133"/>
    </row>
    <row r="18" spans="2:23">
      <c r="B18" s="127"/>
      <c r="C18" s="128"/>
      <c r="D18" s="128"/>
      <c r="E18" s="140"/>
      <c r="G18" s="127"/>
      <c r="H18" s="128"/>
      <c r="I18" s="128"/>
      <c r="J18" s="128" t="s">
        <v>6</v>
      </c>
      <c r="K18" s="128" t="s">
        <v>6</v>
      </c>
      <c r="L18" s="128" t="s">
        <v>6</v>
      </c>
      <c r="M18" s="128" t="s">
        <v>6</v>
      </c>
      <c r="N18" s="135"/>
      <c r="O18" s="91"/>
      <c r="P18" s="100"/>
      <c r="Q18" s="100"/>
      <c r="R18" s="99"/>
      <c r="S18" s="360"/>
      <c r="T18" s="135" t="s">
        <v>44</v>
      </c>
      <c r="U18" s="101">
        <v>3.9500000000000004E-3</v>
      </c>
      <c r="V18" s="132"/>
      <c r="W18" s="133"/>
    </row>
    <row r="19" spans="2:23">
      <c r="B19" s="127"/>
      <c r="C19" s="177" t="s">
        <v>438</v>
      </c>
      <c r="D19" s="128"/>
      <c r="E19" s="140"/>
      <c r="G19" s="127"/>
      <c r="H19" s="128"/>
      <c r="I19" s="128"/>
      <c r="J19" s="128" t="s">
        <v>6</v>
      </c>
      <c r="K19" s="128" t="s">
        <v>6</v>
      </c>
      <c r="L19" s="128" t="s">
        <v>6</v>
      </c>
      <c r="M19" s="128" t="s">
        <v>6</v>
      </c>
      <c r="N19" s="135"/>
      <c r="O19" s="91"/>
      <c r="P19" s="100"/>
      <c r="Q19" s="100"/>
      <c r="R19" s="99"/>
      <c r="S19" s="360"/>
      <c r="T19" s="135" t="s">
        <v>45</v>
      </c>
      <c r="U19" s="101">
        <v>3.9500000000000004E-3</v>
      </c>
      <c r="V19" s="132"/>
      <c r="W19" s="133"/>
    </row>
    <row r="20" spans="2:23">
      <c r="B20" s="127"/>
      <c r="C20" s="204" t="s">
        <v>3</v>
      </c>
      <c r="D20" s="188" t="s">
        <v>311</v>
      </c>
      <c r="E20" s="140"/>
      <c r="G20" s="127"/>
      <c r="H20" s="128"/>
      <c r="I20" s="128"/>
      <c r="J20" s="128"/>
      <c r="K20" s="128"/>
      <c r="L20" s="128"/>
      <c r="M20" s="128"/>
      <c r="N20" s="136"/>
      <c r="O20" s="109"/>
      <c r="P20" s="368"/>
      <c r="Q20" s="368"/>
      <c r="R20" s="369"/>
      <c r="S20" s="360"/>
      <c r="T20" s="370"/>
      <c r="U20" s="371"/>
      <c r="V20" s="202"/>
      <c r="W20" s="133"/>
    </row>
    <row r="21" spans="2:23">
      <c r="B21" s="127"/>
      <c r="C21" s="363" t="s">
        <v>439</v>
      </c>
      <c r="D21" s="190" t="s">
        <v>324</v>
      </c>
      <c r="E21" s="140"/>
      <c r="G21" s="130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31"/>
    </row>
    <row r="22" spans="2:23">
      <c r="B22" s="127"/>
      <c r="C22" s="128"/>
      <c r="D22" s="128"/>
      <c r="E22" s="140"/>
    </row>
    <row r="23" spans="2:23">
      <c r="B23" s="127"/>
      <c r="C23" s="128"/>
      <c r="D23" s="128"/>
      <c r="E23" s="140"/>
    </row>
    <row r="24" spans="2:23">
      <c r="B24" s="127"/>
      <c r="C24" s="128"/>
      <c r="D24" s="128"/>
      <c r="E24" s="140"/>
      <c r="G24" s="123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6"/>
    </row>
    <row r="25" spans="2:23">
      <c r="B25" s="127"/>
      <c r="C25" s="177" t="s">
        <v>440</v>
      </c>
      <c r="D25" s="128"/>
      <c r="E25" s="140"/>
      <c r="G25" s="127"/>
      <c r="H25" s="177" t="s">
        <v>297</v>
      </c>
      <c r="I25" s="128"/>
      <c r="J25" s="128"/>
      <c r="K25" s="177" t="s">
        <v>319</v>
      </c>
      <c r="L25" s="128"/>
      <c r="M25" s="128"/>
      <c r="N25" s="177" t="s">
        <v>320</v>
      </c>
      <c r="O25" s="203"/>
      <c r="P25" s="128"/>
      <c r="Q25" s="128"/>
      <c r="R25" s="128"/>
      <c r="S25" s="128"/>
      <c r="T25" s="177" t="s">
        <v>299</v>
      </c>
      <c r="U25" s="128"/>
      <c r="V25" s="128"/>
      <c r="W25" s="140"/>
    </row>
    <row r="26" spans="2:23">
      <c r="B26" s="127"/>
      <c r="C26" s="204" t="s">
        <v>3</v>
      </c>
      <c r="D26" s="372" t="str">
        <f ca="1">I14</f>
        <v>USD_OIS_MARKETDATA@1:0</v>
      </c>
      <c r="E26" s="140"/>
      <c r="G26" s="127"/>
      <c r="H26" s="356" t="s">
        <v>427</v>
      </c>
      <c r="I26" s="356" t="s">
        <v>428</v>
      </c>
      <c r="J26" s="128" t="s">
        <v>6</v>
      </c>
      <c r="K26" s="178" t="s">
        <v>8</v>
      </c>
      <c r="L26" s="178" t="s">
        <v>9</v>
      </c>
      <c r="M26" s="206"/>
      <c r="N26" s="207" t="s">
        <v>8</v>
      </c>
      <c r="O26" s="207" t="s">
        <v>10</v>
      </c>
      <c r="P26" s="207" t="s">
        <v>11</v>
      </c>
      <c r="Q26" s="207" t="s">
        <v>9</v>
      </c>
      <c r="R26" s="207" t="s">
        <v>23</v>
      </c>
      <c r="S26" s="206"/>
      <c r="T26" s="134" t="s">
        <v>8</v>
      </c>
      <c r="U26" s="178" t="s">
        <v>9</v>
      </c>
      <c r="V26" s="178" t="s">
        <v>12</v>
      </c>
      <c r="W26" s="140"/>
    </row>
    <row r="27" spans="2:23">
      <c r="B27" s="127"/>
      <c r="C27" s="363" t="s">
        <v>439</v>
      </c>
      <c r="D27" s="373" t="str">
        <f ca="1">I35</f>
        <v>USD_3M_MARKETDATA@2:0</v>
      </c>
      <c r="E27" s="140"/>
      <c r="G27" s="127"/>
      <c r="H27" s="204" t="s">
        <v>5</v>
      </c>
      <c r="I27" s="374" t="s">
        <v>300</v>
      </c>
      <c r="J27" s="128" t="s">
        <v>6</v>
      </c>
      <c r="K27" s="106" t="s">
        <v>232</v>
      </c>
      <c r="L27" s="375">
        <v>2.3117499999999999E-2</v>
      </c>
      <c r="M27" s="132"/>
      <c r="N27" s="376" t="s">
        <v>325</v>
      </c>
      <c r="O27" s="377">
        <f ca="1">_xll.meDateIMMNext(I30)</f>
        <v>43817</v>
      </c>
      <c r="P27" s="377">
        <f ca="1">_xll.meDateIMMNext(O27)</f>
        <v>43908</v>
      </c>
      <c r="Q27" s="378">
        <v>97.64</v>
      </c>
      <c r="R27" s="215">
        <v>1.4500000000000001E-2</v>
      </c>
      <c r="S27" s="132"/>
      <c r="T27" s="376" t="s">
        <v>32</v>
      </c>
      <c r="U27" s="379">
        <v>2.8679999999999997E-2</v>
      </c>
      <c r="V27" s="217" t="b">
        <v>1</v>
      </c>
      <c r="W27" s="133"/>
    </row>
    <row r="28" spans="2:23">
      <c r="B28" s="127"/>
      <c r="C28" s="128"/>
      <c r="D28" s="128"/>
      <c r="E28" s="140"/>
      <c r="G28" s="127"/>
      <c r="H28" s="208" t="s">
        <v>301</v>
      </c>
      <c r="I28" s="380" t="s">
        <v>321</v>
      </c>
      <c r="J28" s="128" t="s">
        <v>6</v>
      </c>
      <c r="K28" s="135"/>
      <c r="L28" s="96"/>
      <c r="M28" s="132"/>
      <c r="N28" s="104" t="s">
        <v>326</v>
      </c>
      <c r="O28" s="381">
        <f ca="1">P27</f>
        <v>43908</v>
      </c>
      <c r="P28" s="381">
        <f ca="1">_xll.meDateIMMNext(O28)</f>
        <v>43999</v>
      </c>
      <c r="Q28" s="382">
        <v>97.39</v>
      </c>
      <c r="R28" s="223">
        <v>1.4500000000000001E-2</v>
      </c>
      <c r="S28" s="132"/>
      <c r="T28" s="104" t="s">
        <v>33</v>
      </c>
      <c r="U28" s="108">
        <v>2.8729000000000001E-2</v>
      </c>
      <c r="V28" s="137" t="b">
        <v>1</v>
      </c>
      <c r="W28" s="133"/>
    </row>
    <row r="29" spans="2:23">
      <c r="B29" s="127"/>
      <c r="C29" s="128"/>
      <c r="D29" s="128"/>
      <c r="E29" s="140"/>
      <c r="G29" s="127"/>
      <c r="H29" s="208" t="s">
        <v>302</v>
      </c>
      <c r="I29" s="380" t="s">
        <v>20</v>
      </c>
      <c r="J29" s="128" t="s">
        <v>6</v>
      </c>
      <c r="K29" s="135"/>
      <c r="L29" s="96"/>
      <c r="M29" s="132"/>
      <c r="N29" s="104" t="s">
        <v>327</v>
      </c>
      <c r="O29" s="383">
        <f t="shared" ref="O29:O38" ca="1" si="0">P28</f>
        <v>43999</v>
      </c>
      <c r="P29" s="383">
        <f ca="1">_xll.meDateIMMNext(O29)</f>
        <v>44090</v>
      </c>
      <c r="Q29" s="382">
        <v>97.25</v>
      </c>
      <c r="R29" s="227">
        <v>1.4500000000000001E-2</v>
      </c>
      <c r="S29" s="132"/>
      <c r="T29" s="104" t="s">
        <v>35</v>
      </c>
      <c r="U29" s="108">
        <v>2.8910000000000002E-2</v>
      </c>
      <c r="V29" s="137" t="b">
        <v>1</v>
      </c>
      <c r="W29" s="133"/>
    </row>
    <row r="30" spans="2:23">
      <c r="B30" s="127"/>
      <c r="C30" s="128"/>
      <c r="D30" s="128"/>
      <c r="E30" s="140"/>
      <c r="G30" s="127"/>
      <c r="H30" s="208" t="s">
        <v>4</v>
      </c>
      <c r="I30" s="421">
        <f ca="1">USDCurve.AsOfDate</f>
        <v>43710</v>
      </c>
      <c r="J30" s="128" t="s">
        <v>6</v>
      </c>
      <c r="K30" s="135"/>
      <c r="L30" s="96"/>
      <c r="M30" s="132"/>
      <c r="N30" s="104" t="s">
        <v>328</v>
      </c>
      <c r="O30" s="383">
        <f t="shared" ca="1" si="0"/>
        <v>44090</v>
      </c>
      <c r="P30" s="383">
        <f ca="1">_xll.meDateIMMNext(O30)</f>
        <v>44181</v>
      </c>
      <c r="Q30" s="382">
        <v>97.14</v>
      </c>
      <c r="R30" s="227">
        <v>1.4500000000000001E-2</v>
      </c>
      <c r="S30" s="132"/>
      <c r="T30" s="104" t="s">
        <v>36</v>
      </c>
      <c r="U30" s="108">
        <v>2.9014000000000002E-2</v>
      </c>
      <c r="V30" s="137" t="b">
        <v>1</v>
      </c>
      <c r="W30" s="133"/>
    </row>
    <row r="31" spans="2:23">
      <c r="B31" s="127"/>
      <c r="C31" s="128"/>
      <c r="D31" s="128"/>
      <c r="E31" s="140"/>
      <c r="G31" s="127"/>
      <c r="H31" s="363"/>
      <c r="I31" s="385"/>
      <c r="J31" s="128" t="s">
        <v>6</v>
      </c>
      <c r="K31" s="136"/>
      <c r="L31" s="105"/>
      <c r="M31" s="132"/>
      <c r="N31" s="104" t="s">
        <v>329</v>
      </c>
      <c r="O31" s="383">
        <f t="shared" ca="1" si="0"/>
        <v>44181</v>
      </c>
      <c r="P31" s="383">
        <f ca="1">_xll.meDateIMMNext(O31)</f>
        <v>44272</v>
      </c>
      <c r="Q31" s="382">
        <v>97.075000000000003</v>
      </c>
      <c r="R31" s="227">
        <v>1.4500000000000001E-2</v>
      </c>
      <c r="S31" s="132"/>
      <c r="T31" s="104" t="s">
        <v>37</v>
      </c>
      <c r="U31" s="108">
        <v>2.9144999999999997E-2</v>
      </c>
      <c r="V31" s="137" t="b">
        <v>1</v>
      </c>
      <c r="W31" s="133"/>
    </row>
    <row r="32" spans="2:23">
      <c r="B32" s="127"/>
      <c r="C32" s="128"/>
      <c r="D32" s="128"/>
      <c r="E32" s="140"/>
      <c r="G32" s="127"/>
      <c r="H32" s="128"/>
      <c r="I32" s="364"/>
      <c r="J32" s="128" t="s">
        <v>6</v>
      </c>
      <c r="K32" s="132"/>
      <c r="L32" s="132"/>
      <c r="M32" s="132"/>
      <c r="N32" s="104" t="s">
        <v>330</v>
      </c>
      <c r="O32" s="383">
        <f t="shared" ca="1" si="0"/>
        <v>44272</v>
      </c>
      <c r="P32" s="383">
        <f ca="1">_xll.meDateIMMNext(O32)</f>
        <v>44363</v>
      </c>
      <c r="Q32" s="382">
        <v>97.04</v>
      </c>
      <c r="R32" s="227">
        <v>1.4500000000000001E-2</v>
      </c>
      <c r="S32" s="132"/>
      <c r="T32" s="104" t="s">
        <v>38</v>
      </c>
      <c r="U32" s="108">
        <v>2.928E-2</v>
      </c>
      <c r="V32" s="137" t="b">
        <v>1</v>
      </c>
      <c r="W32" s="133"/>
    </row>
    <row r="33" spans="2:23">
      <c r="B33" s="127"/>
      <c r="C33" s="128"/>
      <c r="D33" s="128"/>
      <c r="E33" s="140"/>
      <c r="G33" s="127"/>
      <c r="H33" s="192" t="s">
        <v>304</v>
      </c>
      <c r="I33" s="178"/>
      <c r="J33" s="128" t="s">
        <v>6</v>
      </c>
      <c r="K33" s="132"/>
      <c r="L33" s="132"/>
      <c r="M33" s="132"/>
      <c r="N33" s="104" t="s">
        <v>331</v>
      </c>
      <c r="O33" s="383">
        <f t="shared" ca="1" si="0"/>
        <v>44363</v>
      </c>
      <c r="P33" s="383">
        <f ca="1">_xll.meDateIMMNext(O33)</f>
        <v>44454</v>
      </c>
      <c r="Q33" s="382">
        <v>97.034999999999997</v>
      </c>
      <c r="R33" s="227">
        <v>1.4500000000000001E-2</v>
      </c>
      <c r="S33" s="132"/>
      <c r="T33" s="104" t="s">
        <v>39</v>
      </c>
      <c r="U33" s="108">
        <v>2.9523000000000001E-2</v>
      </c>
      <c r="V33" s="137" t="b">
        <v>1</v>
      </c>
      <c r="W33" s="133"/>
    </row>
    <row r="34" spans="2:23">
      <c r="B34" s="127"/>
      <c r="C34" s="128"/>
      <c r="D34" s="128"/>
      <c r="E34" s="140"/>
      <c r="G34" s="127"/>
      <c r="H34" s="188" t="s">
        <v>305</v>
      </c>
      <c r="I34" s="357" t="s">
        <v>441</v>
      </c>
      <c r="J34" s="128" t="s">
        <v>6</v>
      </c>
      <c r="K34" s="132"/>
      <c r="L34" s="132"/>
      <c r="M34" s="132"/>
      <c r="N34" s="104" t="s">
        <v>332</v>
      </c>
      <c r="O34" s="383">
        <f t="shared" ca="1" si="0"/>
        <v>44454</v>
      </c>
      <c r="P34" s="383">
        <f ca="1">_xll.meDateIMMNext(O34)</f>
        <v>44545</v>
      </c>
      <c r="Q34" s="382">
        <v>97.03</v>
      </c>
      <c r="R34" s="227">
        <v>1.4500000000000001E-2</v>
      </c>
      <c r="S34" s="132"/>
      <c r="T34" s="104" t="s">
        <v>40</v>
      </c>
      <c r="U34" s="108">
        <v>2.9727999999999997E-2</v>
      </c>
      <c r="V34" s="137" t="b">
        <v>1</v>
      </c>
      <c r="W34" s="133"/>
    </row>
    <row r="35" spans="2:23">
      <c r="B35" s="127"/>
      <c r="C35" s="128"/>
      <c r="D35" s="128"/>
      <c r="E35" s="140"/>
      <c r="G35" s="127"/>
      <c r="H35" s="190" t="s">
        <v>307</v>
      </c>
      <c r="I35" s="362" t="str">
        <f ca="1">_xll.meLWOCurveMarketDataCreate(I34,H25,H27:I31,K25,K27:L31,N25,N27:R40,T25,T27:V40)</f>
        <v>USD_3M_MARKETDATA@2:0</v>
      </c>
      <c r="J35" s="128" t="s">
        <v>6</v>
      </c>
      <c r="K35" s="132"/>
      <c r="L35" s="132"/>
      <c r="M35" s="386"/>
      <c r="N35" s="104" t="s">
        <v>442</v>
      </c>
      <c r="O35" s="383">
        <f t="shared" ca="1" si="0"/>
        <v>44545</v>
      </c>
      <c r="P35" s="383">
        <f ca="1">_xll.meDateIMMNext(O35)</f>
        <v>44636</v>
      </c>
      <c r="Q35" s="382">
        <v>97.025000000000006</v>
      </c>
      <c r="R35" s="227">
        <v>1.4500000000000001E-2</v>
      </c>
      <c r="S35" s="132"/>
      <c r="T35" s="104" t="s">
        <v>41</v>
      </c>
      <c r="U35" s="108">
        <v>2.9832999999999998E-2</v>
      </c>
      <c r="V35" s="137" t="b">
        <v>1</v>
      </c>
      <c r="W35" s="133"/>
    </row>
    <row r="36" spans="2:23">
      <c r="B36" s="127"/>
      <c r="C36" s="128"/>
      <c r="D36" s="128"/>
      <c r="E36" s="140"/>
      <c r="G36" s="127"/>
      <c r="H36" s="128"/>
      <c r="I36" s="128"/>
      <c r="J36" s="128" t="s">
        <v>6</v>
      </c>
      <c r="K36" s="132"/>
      <c r="L36" s="132"/>
      <c r="M36" s="387"/>
      <c r="N36" s="104" t="s">
        <v>443</v>
      </c>
      <c r="O36" s="383">
        <f t="shared" ca="1" si="0"/>
        <v>44636</v>
      </c>
      <c r="P36" s="383">
        <f ca="1">_xll.meDateIMMNext(O36)</f>
        <v>44727</v>
      </c>
      <c r="Q36" s="382">
        <v>97.02000000000001</v>
      </c>
      <c r="R36" s="227">
        <v>1.4500000000000001E-2</v>
      </c>
      <c r="S36" s="132"/>
      <c r="T36" s="104" t="s">
        <v>42</v>
      </c>
      <c r="U36" s="108">
        <v>2.9750000000000002E-2</v>
      </c>
      <c r="V36" s="137" t="b">
        <v>1</v>
      </c>
      <c r="W36" s="133"/>
    </row>
    <row r="37" spans="2:23">
      <c r="B37" s="127"/>
      <c r="C37" s="128"/>
      <c r="D37" s="128"/>
      <c r="E37" s="140"/>
      <c r="G37" s="127"/>
      <c r="H37" s="128"/>
      <c r="I37" s="128"/>
      <c r="J37" s="128" t="s">
        <v>6</v>
      </c>
      <c r="K37" s="132"/>
      <c r="L37" s="132"/>
      <c r="M37" s="387"/>
      <c r="N37" s="104" t="s">
        <v>444</v>
      </c>
      <c r="O37" s="383">
        <f t="shared" ca="1" si="0"/>
        <v>44727</v>
      </c>
      <c r="P37" s="383">
        <f ca="1">_xll.meDateIMMNext(O37)</f>
        <v>44825</v>
      </c>
      <c r="Q37" s="382">
        <v>97.015000000000015</v>
      </c>
      <c r="R37" s="227">
        <v>1.4500000000000001E-2</v>
      </c>
      <c r="S37" s="132"/>
      <c r="T37" s="104" t="s">
        <v>43</v>
      </c>
      <c r="U37" s="108">
        <v>2.9618000000000002E-2</v>
      </c>
      <c r="V37" s="137" t="b">
        <v>1</v>
      </c>
      <c r="W37" s="133"/>
    </row>
    <row r="38" spans="2:23">
      <c r="B38" s="127"/>
      <c r="C38" s="128"/>
      <c r="D38" s="128"/>
      <c r="E38" s="140"/>
      <c r="G38" s="127"/>
      <c r="H38" s="128"/>
      <c r="I38" s="128"/>
      <c r="J38" s="128" t="s">
        <v>6</v>
      </c>
      <c r="K38" s="132"/>
      <c r="L38" s="132"/>
      <c r="M38" s="387"/>
      <c r="N38" s="104" t="s">
        <v>445</v>
      </c>
      <c r="O38" s="383">
        <f t="shared" ca="1" si="0"/>
        <v>44825</v>
      </c>
      <c r="P38" s="383">
        <f ca="1">_xll.meDateIMMNext(O38)</f>
        <v>44916</v>
      </c>
      <c r="Q38" s="382">
        <v>97.010000000000019</v>
      </c>
      <c r="R38" s="227">
        <v>1.4500000000000001E-2</v>
      </c>
      <c r="S38" s="132"/>
      <c r="T38" s="104" t="s">
        <v>44</v>
      </c>
      <c r="U38" s="108">
        <v>2.9618000000000002E-2</v>
      </c>
      <c r="V38" s="137" t="b">
        <v>1</v>
      </c>
      <c r="W38" s="133"/>
    </row>
    <row r="39" spans="2:23">
      <c r="B39" s="127"/>
      <c r="C39" s="128"/>
      <c r="D39" s="128"/>
      <c r="E39" s="140"/>
      <c r="G39" s="127"/>
      <c r="H39" s="128"/>
      <c r="I39" s="128"/>
      <c r="J39" s="128" t="s">
        <v>6</v>
      </c>
      <c r="K39" s="132"/>
      <c r="L39" s="132"/>
      <c r="M39" s="132"/>
      <c r="N39" s="104"/>
      <c r="O39" s="383"/>
      <c r="P39" s="383"/>
      <c r="Q39" s="382"/>
      <c r="R39" s="227"/>
      <c r="S39" s="132"/>
      <c r="T39" s="104" t="s">
        <v>45</v>
      </c>
      <c r="U39" s="108">
        <v>2.9618000000000002E-2</v>
      </c>
      <c r="V39" s="137" t="b">
        <v>1</v>
      </c>
      <c r="W39" s="133"/>
    </row>
    <row r="40" spans="2:23">
      <c r="B40" s="127"/>
      <c r="C40" s="128"/>
      <c r="D40" s="128"/>
      <c r="E40" s="140"/>
      <c r="G40" s="127"/>
      <c r="H40" s="128"/>
      <c r="I40" s="128"/>
      <c r="J40" s="128"/>
      <c r="K40" s="128"/>
      <c r="L40" s="128"/>
      <c r="M40" s="128"/>
      <c r="N40" s="237"/>
      <c r="O40" s="238"/>
      <c r="P40" s="238"/>
      <c r="Q40" s="239"/>
      <c r="R40" s="240"/>
      <c r="S40" s="128"/>
      <c r="T40" s="388"/>
      <c r="U40" s="389"/>
      <c r="V40" s="390"/>
      <c r="W40" s="191"/>
    </row>
    <row r="41" spans="2:23">
      <c r="B41" s="130"/>
      <c r="C41" s="129"/>
      <c r="D41" s="129"/>
      <c r="E41" s="131"/>
      <c r="G41" s="130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3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3:W41"/>
  <sheetViews>
    <sheetView showGridLines="0" workbookViewId="0"/>
  </sheetViews>
  <sheetFormatPr defaultRowHeight="15"/>
  <cols>
    <col min="1" max="1" width="4.7109375" style="143" customWidth="1"/>
    <col min="2" max="2" width="2.7109375" style="143" customWidth="1"/>
    <col min="3" max="3" width="16" style="143" customWidth="1"/>
    <col min="4" max="4" width="27.7109375" style="143" customWidth="1"/>
    <col min="5" max="5" width="2.7109375" style="143" customWidth="1"/>
    <col min="6" max="6" width="4.7109375" style="143" customWidth="1"/>
    <col min="7" max="7" width="2.7109375" style="143" customWidth="1"/>
    <col min="8" max="8" width="25.28515625" style="143" bestFit="1" customWidth="1"/>
    <col min="9" max="9" width="28.28515625" style="143" customWidth="1"/>
    <col min="10" max="10" width="2.7109375" style="143" customWidth="1"/>
    <col min="11" max="12" width="9.140625" style="143"/>
    <col min="13" max="13" width="2.7109375" style="143" customWidth="1"/>
    <col min="14" max="14" width="12.140625" style="143" customWidth="1"/>
    <col min="15" max="16" width="12.7109375" style="143" customWidth="1"/>
    <col min="17" max="17" width="10.140625" style="143" bestFit="1" customWidth="1"/>
    <col min="18" max="18" width="13.5703125" style="143" customWidth="1"/>
    <col min="19" max="19" width="2.7109375" style="143" customWidth="1"/>
    <col min="20" max="20" width="9.140625" style="143"/>
    <col min="21" max="21" width="10.140625" style="143" customWidth="1"/>
    <col min="22" max="22" width="9.140625" style="143"/>
    <col min="23" max="23" width="2.7109375" style="143" customWidth="1"/>
    <col min="24" max="16384" width="9.140625" style="143"/>
  </cols>
  <sheetData>
    <row r="3" spans="2:23">
      <c r="B3" s="123"/>
      <c r="C3" s="124"/>
      <c r="D3" s="124"/>
      <c r="E3" s="126"/>
      <c r="G3" s="123"/>
      <c r="H3" s="176"/>
      <c r="I3" s="125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6"/>
    </row>
    <row r="4" spans="2:23">
      <c r="B4" s="127"/>
      <c r="C4" s="192" t="s">
        <v>426</v>
      </c>
      <c r="D4" s="128"/>
      <c r="E4" s="140"/>
      <c r="G4" s="127"/>
      <c r="H4" s="177" t="s">
        <v>297</v>
      </c>
      <c r="I4" s="178"/>
      <c r="J4" s="128" t="s">
        <v>6</v>
      </c>
      <c r="K4" s="128" t="s">
        <v>6</v>
      </c>
      <c r="L4" s="128" t="s">
        <v>6</v>
      </c>
      <c r="M4" s="128" t="s">
        <v>6</v>
      </c>
      <c r="N4" s="179" t="s">
        <v>3</v>
      </c>
      <c r="O4" s="172"/>
      <c r="P4" s="172"/>
      <c r="Q4" s="172"/>
      <c r="R4" s="172"/>
      <c r="S4" s="172"/>
      <c r="T4" s="179" t="s">
        <v>298</v>
      </c>
      <c r="U4" s="179"/>
      <c r="V4" s="128"/>
      <c r="W4" s="140"/>
    </row>
    <row r="5" spans="2:23">
      <c r="B5" s="127"/>
      <c r="C5" s="356" t="s">
        <v>427</v>
      </c>
      <c r="D5" s="356" t="s">
        <v>428</v>
      </c>
      <c r="E5" s="140"/>
      <c r="G5" s="127" t="s">
        <v>6</v>
      </c>
      <c r="H5" s="356" t="s">
        <v>427</v>
      </c>
      <c r="I5" s="356" t="s">
        <v>428</v>
      </c>
      <c r="J5" s="128" t="s">
        <v>6</v>
      </c>
      <c r="K5" s="128" t="s">
        <v>6</v>
      </c>
      <c r="L5" s="128" t="s">
        <v>6</v>
      </c>
      <c r="M5" s="128" t="s">
        <v>6</v>
      </c>
      <c r="N5" s="119" t="s">
        <v>8</v>
      </c>
      <c r="O5" s="119" t="s">
        <v>9</v>
      </c>
      <c r="P5" s="119" t="s">
        <v>10</v>
      </c>
      <c r="Q5" s="119" t="s">
        <v>11</v>
      </c>
      <c r="R5" s="119" t="s">
        <v>12</v>
      </c>
      <c r="S5" s="128"/>
      <c r="T5" s="119" t="s">
        <v>8</v>
      </c>
      <c r="U5" s="119" t="s">
        <v>9</v>
      </c>
      <c r="V5" s="128"/>
      <c r="W5" s="140"/>
    </row>
    <row r="6" spans="2:23">
      <c r="B6" s="127"/>
      <c r="C6" s="188" t="s">
        <v>429</v>
      </c>
      <c r="D6" s="357" t="s">
        <v>446</v>
      </c>
      <c r="E6" s="140"/>
      <c r="G6" s="127"/>
      <c r="H6" s="204" t="s">
        <v>5</v>
      </c>
      <c r="I6" s="358" t="s">
        <v>0</v>
      </c>
      <c r="J6" s="128" t="s">
        <v>6</v>
      </c>
      <c r="K6" s="128" t="s">
        <v>6</v>
      </c>
      <c r="L6" s="128" t="s">
        <v>6</v>
      </c>
      <c r="M6" s="128" t="s">
        <v>6</v>
      </c>
      <c r="N6" s="106" t="s">
        <v>28</v>
      </c>
      <c r="O6" s="93">
        <v>-3.6900000000000001E-3</v>
      </c>
      <c r="P6" s="359"/>
      <c r="Q6" s="100"/>
      <c r="R6" s="99" t="b">
        <v>1</v>
      </c>
      <c r="S6" s="360"/>
      <c r="T6" s="106" t="s">
        <v>27</v>
      </c>
      <c r="U6" s="98">
        <v>5.8E-4</v>
      </c>
      <c r="V6" s="132"/>
      <c r="W6" s="133"/>
    </row>
    <row r="7" spans="2:23">
      <c r="B7" s="127"/>
      <c r="C7" s="228" t="s">
        <v>1</v>
      </c>
      <c r="D7" s="361" t="s">
        <v>2</v>
      </c>
      <c r="E7" s="140"/>
      <c r="G7" s="127"/>
      <c r="H7" s="208" t="s">
        <v>301</v>
      </c>
      <c r="I7" s="146" t="s">
        <v>3</v>
      </c>
      <c r="J7" s="128" t="s">
        <v>6</v>
      </c>
      <c r="K7" s="128" t="s">
        <v>6</v>
      </c>
      <c r="L7" s="128" t="s">
        <v>6</v>
      </c>
      <c r="M7" s="128" t="s">
        <v>6</v>
      </c>
      <c r="N7" s="135" t="s">
        <v>447</v>
      </c>
      <c r="O7" s="91">
        <v>-3.65E-3</v>
      </c>
      <c r="P7" s="182">
        <f ca="1">_xll.meDateECBSwapStart(I9)</f>
        <v>43726</v>
      </c>
      <c r="Q7" s="182">
        <f ca="1">_xll.meDateECBSwapEnd(P7)</f>
        <v>43816</v>
      </c>
      <c r="R7" s="99" t="b">
        <v>1</v>
      </c>
      <c r="S7" s="360"/>
      <c r="T7" s="135" t="s">
        <v>30</v>
      </c>
      <c r="U7" s="101">
        <v>5.9999999999999995E-4</v>
      </c>
      <c r="V7" s="132"/>
      <c r="W7" s="133"/>
    </row>
    <row r="8" spans="2:23">
      <c r="B8" s="127"/>
      <c r="C8" s="190" t="s">
        <v>431</v>
      </c>
      <c r="D8" s="362" t="str">
        <f ca="1">_xll.meLWOCurveEngineCalibrate(D6,D7,C12:D15,D20,D26,D21,D27)</f>
        <v>EUR_CURVE@6:0</v>
      </c>
      <c r="E8" s="140"/>
      <c r="G8" s="127"/>
      <c r="H8" s="208" t="s">
        <v>302</v>
      </c>
      <c r="I8" s="146" t="s">
        <v>303</v>
      </c>
      <c r="J8" s="128" t="s">
        <v>6</v>
      </c>
      <c r="K8" s="128" t="s">
        <v>6</v>
      </c>
      <c r="L8" s="128" t="s">
        <v>6</v>
      </c>
      <c r="M8" s="128" t="s">
        <v>6</v>
      </c>
      <c r="N8" s="135" t="s">
        <v>448</v>
      </c>
      <c r="O8" s="91">
        <v>-3.6600000000000001E-3</v>
      </c>
      <c r="P8" s="182">
        <f ca="1">Q7+1</f>
        <v>43817</v>
      </c>
      <c r="Q8" s="182">
        <f ca="1">_xll.meDateECBSwapEnd(P8)</f>
        <v>43914</v>
      </c>
      <c r="R8" s="99" t="b">
        <v>1</v>
      </c>
      <c r="S8" s="360"/>
      <c r="T8" s="135" t="s">
        <v>31</v>
      </c>
      <c r="U8" s="101">
        <v>6.9999999999999999E-4</v>
      </c>
      <c r="V8" s="132"/>
      <c r="W8" s="133"/>
    </row>
    <row r="9" spans="2:23">
      <c r="B9" s="127"/>
      <c r="C9" s="128" t="s">
        <v>432</v>
      </c>
      <c r="D9" s="141" t="b">
        <f ca="1">LEFT(D8,3)=LEFT(D6,3)</f>
        <v>1</v>
      </c>
      <c r="E9" s="140"/>
      <c r="G9" s="127"/>
      <c r="H9" s="363" t="s">
        <v>4</v>
      </c>
      <c r="I9" s="391">
        <f ca="1">USDCurve.AsOfDate</f>
        <v>43710</v>
      </c>
      <c r="J9" s="128" t="s">
        <v>6</v>
      </c>
      <c r="K9" s="128" t="s">
        <v>6</v>
      </c>
      <c r="L9" s="128" t="s">
        <v>6</v>
      </c>
      <c r="M9" s="128" t="s">
        <v>6</v>
      </c>
      <c r="N9" s="135" t="s">
        <v>449</v>
      </c>
      <c r="O9" s="91">
        <v>-3.6900000000000001E-3</v>
      </c>
      <c r="P9" s="182">
        <f ca="1">Q8+1</f>
        <v>43915</v>
      </c>
      <c r="Q9" s="182">
        <f ca="1">_xll.meDateECBSwapEnd(P9)</f>
        <v>43991</v>
      </c>
      <c r="R9" s="99" t="b">
        <v>1</v>
      </c>
      <c r="S9" s="360"/>
      <c r="T9" s="135" t="s">
        <v>32</v>
      </c>
      <c r="U9" s="101">
        <v>8.4000000000000003E-4</v>
      </c>
      <c r="V9" s="132"/>
      <c r="W9" s="133"/>
    </row>
    <row r="10" spans="2:23">
      <c r="B10" s="127"/>
      <c r="C10" s="128"/>
      <c r="D10" s="128"/>
      <c r="E10" s="140"/>
      <c r="G10" s="127"/>
      <c r="H10" s="178"/>
      <c r="I10" s="178"/>
      <c r="J10" s="128" t="s">
        <v>6</v>
      </c>
      <c r="K10" s="128" t="s">
        <v>6</v>
      </c>
      <c r="L10" s="128" t="s">
        <v>6</v>
      </c>
      <c r="M10" s="128" t="s">
        <v>6</v>
      </c>
      <c r="N10" s="135"/>
      <c r="O10" s="91"/>
      <c r="P10" s="100"/>
      <c r="Q10" s="100"/>
      <c r="R10" s="99"/>
      <c r="S10" s="360"/>
      <c r="T10" s="135" t="s">
        <v>33</v>
      </c>
      <c r="U10" s="101">
        <v>8.9999999999999998E-4</v>
      </c>
      <c r="V10" s="132"/>
      <c r="W10" s="133"/>
    </row>
    <row r="11" spans="2:23">
      <c r="B11" s="127"/>
      <c r="C11" s="177" t="s">
        <v>433</v>
      </c>
      <c r="D11" s="128"/>
      <c r="E11" s="140"/>
      <c r="G11" s="127"/>
      <c r="H11" s="128"/>
      <c r="I11" s="364"/>
      <c r="J11" s="128" t="s">
        <v>6</v>
      </c>
      <c r="K11" s="128" t="s">
        <v>6</v>
      </c>
      <c r="L11" s="128" t="s">
        <v>6</v>
      </c>
      <c r="M11" s="128" t="s">
        <v>6</v>
      </c>
      <c r="N11" s="135"/>
      <c r="O11" s="91"/>
      <c r="P11" s="100"/>
      <c r="Q11" s="100"/>
      <c r="R11" s="99"/>
      <c r="S11" s="360"/>
      <c r="T11" s="135" t="s">
        <v>35</v>
      </c>
      <c r="U11" s="101">
        <v>9.4000000000000008E-4</v>
      </c>
      <c r="V11" s="132"/>
      <c r="W11" s="133"/>
    </row>
    <row r="12" spans="2:23">
      <c r="B12" s="127"/>
      <c r="C12" s="204" t="s">
        <v>434</v>
      </c>
      <c r="D12" s="365" t="b">
        <v>1</v>
      </c>
      <c r="E12" s="140"/>
      <c r="G12" s="127"/>
      <c r="H12" s="187" t="s">
        <v>304</v>
      </c>
      <c r="I12" s="178"/>
      <c r="J12" s="128" t="s">
        <v>6</v>
      </c>
      <c r="K12" s="128" t="s">
        <v>6</v>
      </c>
      <c r="L12" s="128" t="s">
        <v>6</v>
      </c>
      <c r="M12" s="128" t="s">
        <v>6</v>
      </c>
      <c r="N12" s="135"/>
      <c r="O12" s="91"/>
      <c r="P12" s="100"/>
      <c r="Q12" s="100"/>
      <c r="R12" s="99"/>
      <c r="S12" s="360"/>
      <c r="T12" s="135" t="s">
        <v>38</v>
      </c>
      <c r="U12" s="101">
        <v>9.5999999999999992E-4</v>
      </c>
      <c r="V12" s="132"/>
      <c r="W12" s="133"/>
    </row>
    <row r="13" spans="2:23">
      <c r="B13" s="127"/>
      <c r="C13" s="208" t="s">
        <v>249</v>
      </c>
      <c r="D13" s="366">
        <v>1.0000000000000001E-9</v>
      </c>
      <c r="E13" s="140"/>
      <c r="G13" s="127"/>
      <c r="H13" s="188" t="s">
        <v>305</v>
      </c>
      <c r="I13" s="357" t="s">
        <v>450</v>
      </c>
      <c r="J13" s="128" t="s">
        <v>6</v>
      </c>
      <c r="K13" s="128" t="s">
        <v>6</v>
      </c>
      <c r="L13" s="128" t="s">
        <v>6</v>
      </c>
      <c r="M13" s="128" t="s">
        <v>6</v>
      </c>
      <c r="N13" s="135"/>
      <c r="O13" s="91"/>
      <c r="P13" s="100"/>
      <c r="Q13" s="100"/>
      <c r="R13" s="99"/>
      <c r="S13" s="360"/>
      <c r="T13" s="135" t="s">
        <v>39</v>
      </c>
      <c r="U13" s="101">
        <v>9.5999999999999992E-4</v>
      </c>
      <c r="V13" s="132"/>
      <c r="W13" s="133"/>
    </row>
    <row r="14" spans="2:23">
      <c r="B14" s="127"/>
      <c r="C14" s="208" t="s">
        <v>436</v>
      </c>
      <c r="D14" s="366">
        <v>1.0000000000000001E-15</v>
      </c>
      <c r="E14" s="140"/>
      <c r="G14" s="127"/>
      <c r="H14" s="190" t="s">
        <v>307</v>
      </c>
      <c r="I14" s="362" t="str">
        <f ca="1">_xll.meLWOCurveMarketDataCreate(I13,H4,H6:I9,N4,N6:R20,T4,T6:U20)</f>
        <v>EUR_OIS_MARKETDATA@4:0</v>
      </c>
      <c r="J14" s="128" t="s">
        <v>6</v>
      </c>
      <c r="K14" s="128" t="s">
        <v>6</v>
      </c>
      <c r="L14" s="128" t="s">
        <v>6</v>
      </c>
      <c r="M14" s="128" t="s">
        <v>6</v>
      </c>
      <c r="N14" s="135"/>
      <c r="O14" s="91"/>
      <c r="P14" s="100"/>
      <c r="Q14" s="100"/>
      <c r="R14" s="99"/>
      <c r="S14" s="360"/>
      <c r="T14" s="135" t="s">
        <v>40</v>
      </c>
      <c r="U14" s="101">
        <v>9.5E-4</v>
      </c>
      <c r="V14" s="132"/>
      <c r="W14" s="133"/>
    </row>
    <row r="15" spans="2:23">
      <c r="B15" s="127"/>
      <c r="C15" s="363" t="s">
        <v>437</v>
      </c>
      <c r="D15" s="367">
        <v>1E-10</v>
      </c>
      <c r="E15" s="140"/>
      <c r="G15" s="127"/>
      <c r="H15" s="128"/>
      <c r="I15" s="128"/>
      <c r="J15" s="128" t="s">
        <v>6</v>
      </c>
      <c r="K15" s="128" t="s">
        <v>6</v>
      </c>
      <c r="L15" s="128" t="s">
        <v>6</v>
      </c>
      <c r="M15" s="128" t="s">
        <v>6</v>
      </c>
      <c r="N15" s="135"/>
      <c r="O15" s="91"/>
      <c r="P15" s="100"/>
      <c r="Q15" s="100"/>
      <c r="R15" s="99"/>
      <c r="S15" s="360"/>
      <c r="T15" s="135" t="s">
        <v>41</v>
      </c>
      <c r="U15" s="101">
        <v>9.1999999999999992E-4</v>
      </c>
      <c r="V15" s="132"/>
      <c r="W15" s="133"/>
    </row>
    <row r="16" spans="2:23">
      <c r="B16" s="127"/>
      <c r="C16" s="128"/>
      <c r="D16" s="128"/>
      <c r="E16" s="140"/>
      <c r="G16" s="127"/>
      <c r="H16" s="128"/>
      <c r="I16" s="128"/>
      <c r="J16" s="128" t="s">
        <v>6</v>
      </c>
      <c r="K16" s="128" t="s">
        <v>6</v>
      </c>
      <c r="L16" s="128" t="s">
        <v>6</v>
      </c>
      <c r="M16" s="128" t="s">
        <v>6</v>
      </c>
      <c r="N16" s="135"/>
      <c r="O16" s="91"/>
      <c r="P16" s="100"/>
      <c r="Q16" s="100"/>
      <c r="R16" s="99"/>
      <c r="S16" s="360"/>
      <c r="T16" s="135" t="s">
        <v>42</v>
      </c>
      <c r="U16" s="101">
        <v>8.8000000000000003E-4</v>
      </c>
      <c r="V16" s="132"/>
      <c r="W16" s="133"/>
    </row>
    <row r="17" spans="2:23">
      <c r="B17" s="127"/>
      <c r="C17" s="128"/>
      <c r="D17" s="128"/>
      <c r="E17" s="140"/>
      <c r="G17" s="127"/>
      <c r="H17" s="128"/>
      <c r="I17" s="128"/>
      <c r="J17" s="128" t="s">
        <v>6</v>
      </c>
      <c r="K17" s="128" t="s">
        <v>6</v>
      </c>
      <c r="L17" s="128" t="s">
        <v>6</v>
      </c>
      <c r="M17" s="128" t="s">
        <v>6</v>
      </c>
      <c r="N17" s="135"/>
      <c r="O17" s="91"/>
      <c r="P17" s="100"/>
      <c r="Q17" s="100"/>
      <c r="R17" s="99"/>
      <c r="S17" s="360"/>
      <c r="T17" s="135" t="s">
        <v>43</v>
      </c>
      <c r="U17" s="101">
        <v>8.4999999999999995E-4</v>
      </c>
      <c r="V17" s="132"/>
      <c r="W17" s="133"/>
    </row>
    <row r="18" spans="2:23">
      <c r="B18" s="127"/>
      <c r="C18" s="128"/>
      <c r="D18" s="128"/>
      <c r="E18" s="140"/>
      <c r="G18" s="127"/>
      <c r="H18" s="128"/>
      <c r="I18" s="128"/>
      <c r="J18" s="128" t="s">
        <v>6</v>
      </c>
      <c r="K18" s="128" t="s">
        <v>6</v>
      </c>
      <c r="L18" s="128" t="s">
        <v>6</v>
      </c>
      <c r="M18" s="128" t="s">
        <v>6</v>
      </c>
      <c r="N18" s="135"/>
      <c r="O18" s="91"/>
      <c r="P18" s="100"/>
      <c r="Q18" s="100"/>
      <c r="R18" s="99"/>
      <c r="S18" s="360"/>
      <c r="T18" s="135" t="s">
        <v>44</v>
      </c>
      <c r="U18" s="101">
        <v>7.9000000000000001E-4</v>
      </c>
      <c r="V18" s="132"/>
      <c r="W18" s="133"/>
    </row>
    <row r="19" spans="2:23">
      <c r="B19" s="127"/>
      <c r="C19" s="177" t="s">
        <v>438</v>
      </c>
      <c r="D19" s="128"/>
      <c r="E19" s="140"/>
      <c r="G19" s="127"/>
      <c r="H19" s="128"/>
      <c r="I19" s="128"/>
      <c r="J19" s="128" t="s">
        <v>6</v>
      </c>
      <c r="K19" s="128" t="s">
        <v>6</v>
      </c>
      <c r="L19" s="128" t="s">
        <v>6</v>
      </c>
      <c r="M19" s="128" t="s">
        <v>6</v>
      </c>
      <c r="N19" s="135"/>
      <c r="O19" s="91"/>
      <c r="P19" s="100"/>
      <c r="Q19" s="100"/>
      <c r="R19" s="99"/>
      <c r="S19" s="360"/>
      <c r="T19" s="135" t="s">
        <v>45</v>
      </c>
      <c r="U19" s="101">
        <v>7.2999999999999996E-4</v>
      </c>
      <c r="V19" s="132"/>
      <c r="W19" s="133"/>
    </row>
    <row r="20" spans="2:23">
      <c r="B20" s="127"/>
      <c r="C20" s="204" t="s">
        <v>3</v>
      </c>
      <c r="D20" s="188" t="s">
        <v>451</v>
      </c>
      <c r="E20" s="140"/>
      <c r="G20" s="127"/>
      <c r="H20" s="128"/>
      <c r="I20" s="128"/>
      <c r="J20" s="128"/>
      <c r="K20" s="128"/>
      <c r="L20" s="128"/>
      <c r="M20" s="128"/>
      <c r="N20" s="136"/>
      <c r="O20" s="109"/>
      <c r="P20" s="368"/>
      <c r="Q20" s="368"/>
      <c r="R20" s="369"/>
      <c r="S20" s="360"/>
      <c r="T20" s="370"/>
      <c r="U20" s="371"/>
      <c r="V20" s="202"/>
      <c r="W20" s="133"/>
    </row>
    <row r="21" spans="2:23">
      <c r="B21" s="127"/>
      <c r="C21" s="363" t="s">
        <v>439</v>
      </c>
      <c r="D21" s="190" t="s">
        <v>452</v>
      </c>
      <c r="E21" s="140"/>
      <c r="G21" s="130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31"/>
    </row>
    <row r="22" spans="2:23">
      <c r="B22" s="127"/>
      <c r="C22" s="128"/>
      <c r="D22" s="128"/>
      <c r="E22" s="140"/>
    </row>
    <row r="23" spans="2:23">
      <c r="B23" s="127"/>
      <c r="C23" s="128"/>
      <c r="D23" s="128"/>
      <c r="E23" s="140"/>
    </row>
    <row r="24" spans="2:23">
      <c r="B24" s="127"/>
      <c r="C24" s="128"/>
      <c r="D24" s="128"/>
      <c r="E24" s="140"/>
      <c r="G24" s="123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6"/>
    </row>
    <row r="25" spans="2:23">
      <c r="B25" s="127"/>
      <c r="C25" s="177" t="s">
        <v>440</v>
      </c>
      <c r="D25" s="128"/>
      <c r="E25" s="140"/>
      <c r="G25" s="127"/>
      <c r="H25" s="177" t="s">
        <v>297</v>
      </c>
      <c r="I25" s="128"/>
      <c r="J25" s="128"/>
      <c r="K25" s="177" t="s">
        <v>319</v>
      </c>
      <c r="L25" s="128"/>
      <c r="M25" s="128"/>
      <c r="N25" s="177" t="s">
        <v>320</v>
      </c>
      <c r="O25" s="203"/>
      <c r="P25" s="128"/>
      <c r="Q25" s="128"/>
      <c r="R25" s="128"/>
      <c r="S25" s="128"/>
      <c r="T25" s="177" t="s">
        <v>299</v>
      </c>
      <c r="U25" s="128"/>
      <c r="V25" s="128"/>
      <c r="W25" s="140"/>
    </row>
    <row r="26" spans="2:23">
      <c r="B26" s="127"/>
      <c r="C26" s="204" t="s">
        <v>3</v>
      </c>
      <c r="D26" s="372" t="str">
        <f ca="1">I14</f>
        <v>EUR_OIS_MARKETDATA@4:0</v>
      </c>
      <c r="E26" s="140"/>
      <c r="G26" s="127"/>
      <c r="H26" s="356" t="s">
        <v>427</v>
      </c>
      <c r="I26" s="356" t="s">
        <v>428</v>
      </c>
      <c r="J26" s="128" t="s">
        <v>6</v>
      </c>
      <c r="K26" s="178" t="s">
        <v>8</v>
      </c>
      <c r="L26" s="178" t="s">
        <v>9</v>
      </c>
      <c r="M26" s="206"/>
      <c r="N26" s="207" t="s">
        <v>8</v>
      </c>
      <c r="O26" s="207" t="s">
        <v>10</v>
      </c>
      <c r="P26" s="207" t="s">
        <v>11</v>
      </c>
      <c r="Q26" s="207" t="s">
        <v>9</v>
      </c>
      <c r="R26" s="207" t="s">
        <v>23</v>
      </c>
      <c r="S26" s="206"/>
      <c r="T26" s="134" t="s">
        <v>8</v>
      </c>
      <c r="U26" s="178" t="s">
        <v>9</v>
      </c>
      <c r="V26" s="178" t="s">
        <v>12</v>
      </c>
      <c r="W26" s="140"/>
    </row>
    <row r="27" spans="2:23">
      <c r="B27" s="127"/>
      <c r="C27" s="363" t="s">
        <v>439</v>
      </c>
      <c r="D27" s="373" t="str">
        <f ca="1">I35</f>
        <v>EUR_3M_MARKETDATA@5:0</v>
      </c>
      <c r="E27" s="140"/>
      <c r="G27" s="127"/>
      <c r="H27" s="204" t="s">
        <v>5</v>
      </c>
      <c r="I27" s="374" t="s">
        <v>0</v>
      </c>
      <c r="J27" s="128" t="s">
        <v>6</v>
      </c>
      <c r="K27" s="106" t="s">
        <v>232</v>
      </c>
      <c r="L27" s="375">
        <v>-3.4757E-3</v>
      </c>
      <c r="M27" s="132"/>
      <c r="N27" s="376" t="s">
        <v>453</v>
      </c>
      <c r="O27" s="422">
        <f ca="1">_xll.meDateIMMNext(I9)</f>
        <v>43817</v>
      </c>
      <c r="P27" s="422">
        <f ca="1">_xll.meDateIMMNext(O27)</f>
        <v>43908</v>
      </c>
      <c r="Q27" s="378">
        <v>100.31</v>
      </c>
      <c r="R27" s="215">
        <v>4.0000000000000001E-3</v>
      </c>
      <c r="S27" s="132"/>
      <c r="T27" s="376" t="s">
        <v>32</v>
      </c>
      <c r="U27" s="379">
        <v>-1.75E-3</v>
      </c>
      <c r="V27" s="217" t="b">
        <v>1</v>
      </c>
      <c r="W27" s="133"/>
    </row>
    <row r="28" spans="2:23">
      <c r="B28" s="127"/>
      <c r="C28" s="128"/>
      <c r="D28" s="128"/>
      <c r="E28" s="140"/>
      <c r="G28" s="127"/>
      <c r="H28" s="208" t="s">
        <v>301</v>
      </c>
      <c r="I28" s="380" t="s">
        <v>321</v>
      </c>
      <c r="J28" s="128" t="s">
        <v>6</v>
      </c>
      <c r="K28" s="135"/>
      <c r="L28" s="96"/>
      <c r="M28" s="132"/>
      <c r="N28" s="104" t="s">
        <v>454</v>
      </c>
      <c r="O28" s="423">
        <f t="shared" ref="O28:O38" ca="1" si="0">P27</f>
        <v>43908</v>
      </c>
      <c r="P28" s="423">
        <f ca="1">_xll.meDateIMMNext(O28)</f>
        <v>43999</v>
      </c>
      <c r="Q28" s="382">
        <v>100.31</v>
      </c>
      <c r="R28" s="223">
        <v>4.0000000000000001E-3</v>
      </c>
      <c r="S28" s="132"/>
      <c r="T28" s="104" t="s">
        <v>33</v>
      </c>
      <c r="U28" s="108">
        <v>-6.4999999999999997E-4</v>
      </c>
      <c r="V28" s="137" t="b">
        <v>1</v>
      </c>
      <c r="W28" s="133"/>
    </row>
    <row r="29" spans="2:23">
      <c r="B29" s="127"/>
      <c r="C29" s="128"/>
      <c r="D29" s="128"/>
      <c r="E29" s="140"/>
      <c r="G29" s="127"/>
      <c r="H29" s="208" t="s">
        <v>302</v>
      </c>
      <c r="I29" s="380" t="s">
        <v>20</v>
      </c>
      <c r="J29" s="128" t="s">
        <v>6</v>
      </c>
      <c r="K29" s="135"/>
      <c r="L29" s="96"/>
      <c r="M29" s="132"/>
      <c r="N29" s="104" t="s">
        <v>455</v>
      </c>
      <c r="O29" s="424">
        <f t="shared" ca="1" si="0"/>
        <v>43999</v>
      </c>
      <c r="P29" s="424">
        <f ca="1">_xll.meDateIMMNext(O29)</f>
        <v>44090</v>
      </c>
      <c r="Q29" s="382">
        <v>100.30500000000001</v>
      </c>
      <c r="R29" s="227">
        <v>4.0000000000000001E-3</v>
      </c>
      <c r="S29" s="132"/>
      <c r="T29" s="104" t="s">
        <v>34</v>
      </c>
      <c r="U29" s="108">
        <v>2.9999999999999997E-4</v>
      </c>
      <c r="V29" s="137" t="b">
        <v>1</v>
      </c>
      <c r="W29" s="133"/>
    </row>
    <row r="30" spans="2:23">
      <c r="B30" s="127"/>
      <c r="C30" s="128"/>
      <c r="D30" s="128"/>
      <c r="E30" s="140"/>
      <c r="G30" s="127"/>
      <c r="H30" s="208" t="s">
        <v>4</v>
      </c>
      <c r="I30" s="384">
        <f ca="1">USDCurve.AsOfDate</f>
        <v>43710</v>
      </c>
      <c r="J30" s="128" t="s">
        <v>6</v>
      </c>
      <c r="K30" s="135"/>
      <c r="L30" s="96"/>
      <c r="M30" s="132"/>
      <c r="N30" s="104" t="s">
        <v>456</v>
      </c>
      <c r="O30" s="424">
        <f t="shared" ca="1" si="0"/>
        <v>44090</v>
      </c>
      <c r="P30" s="424">
        <f ca="1">_xll.meDateIMMNext(O30)</f>
        <v>44181</v>
      </c>
      <c r="Q30" s="382">
        <v>100.3</v>
      </c>
      <c r="R30" s="227">
        <v>4.0000000000000001E-3</v>
      </c>
      <c r="S30" s="132"/>
      <c r="T30" s="104" t="s">
        <v>35</v>
      </c>
      <c r="U30" s="108">
        <v>1.2800000000000001E-3</v>
      </c>
      <c r="V30" s="137" t="b">
        <v>1</v>
      </c>
      <c r="W30" s="133"/>
    </row>
    <row r="31" spans="2:23">
      <c r="B31" s="127"/>
      <c r="C31" s="128"/>
      <c r="D31" s="128"/>
      <c r="E31" s="140"/>
      <c r="G31" s="127"/>
      <c r="H31" s="363"/>
      <c r="I31" s="385"/>
      <c r="J31" s="128" t="s">
        <v>6</v>
      </c>
      <c r="K31" s="136"/>
      <c r="L31" s="105"/>
      <c r="M31" s="132"/>
      <c r="N31" s="104" t="s">
        <v>457</v>
      </c>
      <c r="O31" s="424">
        <f t="shared" ca="1" si="0"/>
        <v>44181</v>
      </c>
      <c r="P31" s="424">
        <f ca="1">_xll.meDateIMMNext(O31)</f>
        <v>44272</v>
      </c>
      <c r="Q31" s="382">
        <v>100.3</v>
      </c>
      <c r="R31" s="227">
        <v>4.0000000000000001E-3</v>
      </c>
      <c r="S31" s="132"/>
      <c r="T31" s="104" t="s">
        <v>36</v>
      </c>
      <c r="U31" s="108">
        <v>2.2899999999999999E-3</v>
      </c>
      <c r="V31" s="137" t="b">
        <v>1</v>
      </c>
      <c r="W31" s="133"/>
    </row>
    <row r="32" spans="2:23">
      <c r="B32" s="127"/>
      <c r="C32" s="128"/>
      <c r="D32" s="128"/>
      <c r="E32" s="140"/>
      <c r="G32" s="127"/>
      <c r="H32" s="128"/>
      <c r="I32" s="364"/>
      <c r="J32" s="128" t="s">
        <v>6</v>
      </c>
      <c r="K32" s="132"/>
      <c r="L32" s="132"/>
      <c r="M32" s="132"/>
      <c r="N32" s="104" t="s">
        <v>458</v>
      </c>
      <c r="O32" s="424">
        <f t="shared" ca="1" si="0"/>
        <v>44272</v>
      </c>
      <c r="P32" s="424">
        <f ca="1">_xll.meDateIMMNext(O32)</f>
        <v>44363</v>
      </c>
      <c r="Q32" s="382">
        <v>100.3</v>
      </c>
      <c r="R32" s="227">
        <v>4.0000000000000001E-3</v>
      </c>
      <c r="S32" s="132"/>
      <c r="T32" s="104" t="s">
        <v>37</v>
      </c>
      <c r="U32" s="108">
        <v>3.2600000000000003E-3</v>
      </c>
      <c r="V32" s="137" t="b">
        <v>1</v>
      </c>
      <c r="W32" s="133"/>
    </row>
    <row r="33" spans="2:23">
      <c r="B33" s="127"/>
      <c r="C33" s="128"/>
      <c r="D33" s="128"/>
      <c r="E33" s="140"/>
      <c r="G33" s="127"/>
      <c r="H33" s="192" t="s">
        <v>304</v>
      </c>
      <c r="I33" s="178"/>
      <c r="J33" s="128" t="s">
        <v>6</v>
      </c>
      <c r="K33" s="132"/>
      <c r="L33" s="132"/>
      <c r="M33" s="132"/>
      <c r="N33" s="104" t="s">
        <v>459</v>
      </c>
      <c r="O33" s="424">
        <f t="shared" ca="1" si="0"/>
        <v>44363</v>
      </c>
      <c r="P33" s="424">
        <f ca="1">_xll.meDateIMMNext(O33)</f>
        <v>44454</v>
      </c>
      <c r="Q33" s="382">
        <v>100.3</v>
      </c>
      <c r="R33" s="227">
        <v>4.0000000000000001E-3</v>
      </c>
      <c r="S33" s="132"/>
      <c r="T33" s="104" t="s">
        <v>38</v>
      </c>
      <c r="U33" s="108">
        <v>4.1799999999999997E-3</v>
      </c>
      <c r="V33" s="137" t="b">
        <v>1</v>
      </c>
      <c r="W33" s="133"/>
    </row>
    <row r="34" spans="2:23">
      <c r="B34" s="127"/>
      <c r="C34" s="128"/>
      <c r="D34" s="128"/>
      <c r="E34" s="140"/>
      <c r="G34" s="127"/>
      <c r="H34" s="188" t="s">
        <v>305</v>
      </c>
      <c r="I34" s="357" t="s">
        <v>460</v>
      </c>
      <c r="J34" s="128" t="s">
        <v>6</v>
      </c>
      <c r="K34" s="132"/>
      <c r="L34" s="132"/>
      <c r="M34" s="132"/>
      <c r="N34" s="104" t="s">
        <v>461</v>
      </c>
      <c r="O34" s="424">
        <f t="shared" ca="1" si="0"/>
        <v>44454</v>
      </c>
      <c r="P34" s="424">
        <f ca="1">_xll.meDateIMMNext(O34)</f>
        <v>44545</v>
      </c>
      <c r="Q34" s="382">
        <v>100.3</v>
      </c>
      <c r="R34" s="227">
        <v>4.0000000000000001E-3</v>
      </c>
      <c r="S34" s="132"/>
      <c r="T34" s="104" t="s">
        <v>40</v>
      </c>
      <c r="U34" s="108">
        <v>7.7600000000000004E-3</v>
      </c>
      <c r="V34" s="137" t="b">
        <v>1</v>
      </c>
      <c r="W34" s="133"/>
    </row>
    <row r="35" spans="2:23">
      <c r="B35" s="127"/>
      <c r="C35" s="128"/>
      <c r="D35" s="128"/>
      <c r="E35" s="140"/>
      <c r="G35" s="127"/>
      <c r="H35" s="190" t="s">
        <v>307</v>
      </c>
      <c r="I35" s="362" t="str">
        <f ca="1">_xll.meLWOCurveMarketDataCreate(I34,H25,H27:I31,K25,K27:L31,N25,N27:R40,T25,T27:V40)</f>
        <v>EUR_3M_MARKETDATA@5:0</v>
      </c>
      <c r="J35" s="128" t="s">
        <v>6</v>
      </c>
      <c r="K35" s="132"/>
      <c r="L35" s="132"/>
      <c r="M35" s="386"/>
      <c r="N35" s="104" t="s">
        <v>462</v>
      </c>
      <c r="O35" s="424">
        <f t="shared" ca="1" si="0"/>
        <v>44545</v>
      </c>
      <c r="P35" s="424">
        <f ca="1">_xll.meDateIMMNext(O35)</f>
        <v>44636</v>
      </c>
      <c r="Q35" s="382">
        <v>100.27500000000001</v>
      </c>
      <c r="R35" s="227">
        <v>4.0000000000000001E-3</v>
      </c>
      <c r="S35" s="132"/>
      <c r="T35" s="104" t="s">
        <v>41</v>
      </c>
      <c r="U35" s="108">
        <v>9.5700000000000004E-3</v>
      </c>
      <c r="V35" s="137" t="b">
        <v>1</v>
      </c>
      <c r="W35" s="133"/>
    </row>
    <row r="36" spans="2:23">
      <c r="B36" s="127"/>
      <c r="C36" s="128"/>
      <c r="D36" s="128"/>
      <c r="E36" s="140"/>
      <c r="G36" s="127"/>
      <c r="H36" s="128"/>
      <c r="I36" s="128"/>
      <c r="J36" s="128" t="s">
        <v>6</v>
      </c>
      <c r="K36" s="132"/>
      <c r="L36" s="132"/>
      <c r="M36" s="387"/>
      <c r="N36" s="104" t="s">
        <v>463</v>
      </c>
      <c r="O36" s="424">
        <f t="shared" ca="1" si="0"/>
        <v>44636</v>
      </c>
      <c r="P36" s="424">
        <f ca="1">_xll.meDateIMMNext(O36)</f>
        <v>44727</v>
      </c>
      <c r="Q36" s="382">
        <v>100.25</v>
      </c>
      <c r="R36" s="227">
        <v>4.0000000000000001E-3</v>
      </c>
      <c r="S36" s="132"/>
      <c r="T36" s="104" t="s">
        <v>42</v>
      </c>
      <c r="U36" s="108">
        <v>1.027E-2</v>
      </c>
      <c r="V36" s="137" t="b">
        <v>1</v>
      </c>
      <c r="W36" s="133"/>
    </row>
    <row r="37" spans="2:23">
      <c r="B37" s="127"/>
      <c r="C37" s="128"/>
      <c r="D37" s="128"/>
      <c r="E37" s="140"/>
      <c r="G37" s="127"/>
      <c r="H37" s="128"/>
      <c r="I37" s="128"/>
      <c r="J37" s="128" t="s">
        <v>6</v>
      </c>
      <c r="K37" s="132"/>
      <c r="L37" s="132"/>
      <c r="M37" s="387"/>
      <c r="N37" s="104" t="s">
        <v>464</v>
      </c>
      <c r="O37" s="424">
        <f t="shared" ca="1" si="0"/>
        <v>44727</v>
      </c>
      <c r="P37" s="424">
        <f ca="1">_xll.meDateIMMNext(O37)</f>
        <v>44825</v>
      </c>
      <c r="Q37" s="382">
        <v>100.18</v>
      </c>
      <c r="R37" s="227">
        <v>4.0000000000000001E-3</v>
      </c>
      <c r="S37" s="132"/>
      <c r="T37" s="104" t="s">
        <v>43</v>
      </c>
      <c r="U37" s="108">
        <v>1.047E-2</v>
      </c>
      <c r="V37" s="137" t="b">
        <v>1</v>
      </c>
      <c r="W37" s="133"/>
    </row>
    <row r="38" spans="2:23">
      <c r="B38" s="127"/>
      <c r="C38" s="128"/>
      <c r="D38" s="128"/>
      <c r="E38" s="140"/>
      <c r="G38" s="127"/>
      <c r="H38" s="128"/>
      <c r="I38" s="128"/>
      <c r="J38" s="128" t="s">
        <v>6</v>
      </c>
      <c r="K38" s="132"/>
      <c r="L38" s="132"/>
      <c r="M38" s="387"/>
      <c r="N38" s="104" t="s">
        <v>465</v>
      </c>
      <c r="O38" s="424">
        <f t="shared" ca="1" si="0"/>
        <v>44825</v>
      </c>
      <c r="P38" s="424">
        <f ca="1">_xll.meDateIMMNext(O38)</f>
        <v>44916</v>
      </c>
      <c r="Q38" s="382">
        <v>100.145</v>
      </c>
      <c r="R38" s="227">
        <v>4.0000000000000001E-3</v>
      </c>
      <c r="S38" s="132"/>
      <c r="T38" s="104" t="s">
        <v>44</v>
      </c>
      <c r="U38" s="108">
        <v>1.0449999999999999E-2</v>
      </c>
      <c r="V38" s="137" t="b">
        <v>1</v>
      </c>
      <c r="W38" s="133"/>
    </row>
    <row r="39" spans="2:23">
      <c r="B39" s="127"/>
      <c r="C39" s="128"/>
      <c r="D39" s="128"/>
      <c r="E39" s="140"/>
      <c r="G39" s="127"/>
      <c r="H39" s="128"/>
      <c r="I39" s="128"/>
      <c r="J39" s="128" t="s">
        <v>6</v>
      </c>
      <c r="K39" s="132"/>
      <c r="L39" s="132"/>
      <c r="M39" s="132"/>
      <c r="N39" s="104"/>
      <c r="O39" s="383"/>
      <c r="P39" s="383"/>
      <c r="Q39" s="382"/>
      <c r="R39" s="227"/>
      <c r="S39" s="132"/>
      <c r="T39" s="104" t="s">
        <v>45</v>
      </c>
      <c r="U39" s="108">
        <v>1.027E-2</v>
      </c>
      <c r="V39" s="137" t="b">
        <v>1</v>
      </c>
      <c r="W39" s="133"/>
    </row>
    <row r="40" spans="2:23">
      <c r="B40" s="127"/>
      <c r="C40" s="128"/>
      <c r="D40" s="128"/>
      <c r="E40" s="140"/>
      <c r="G40" s="127"/>
      <c r="H40" s="128"/>
      <c r="I40" s="128"/>
      <c r="J40" s="128"/>
      <c r="K40" s="128"/>
      <c r="L40" s="128"/>
      <c r="M40" s="128"/>
      <c r="N40" s="237"/>
      <c r="O40" s="238"/>
      <c r="P40" s="238"/>
      <c r="Q40" s="239"/>
      <c r="R40" s="240"/>
      <c r="S40" s="128"/>
      <c r="T40" s="388"/>
      <c r="U40" s="389"/>
      <c r="V40" s="390"/>
      <c r="W40" s="191"/>
    </row>
    <row r="41" spans="2:23">
      <c r="B41" s="130"/>
      <c r="C41" s="129"/>
      <c r="D41" s="129"/>
      <c r="E41" s="131"/>
      <c r="G41" s="130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29"/>
      <c r="V41" s="129"/>
      <c r="W41" s="13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2:K24"/>
  <sheetViews>
    <sheetView showGridLines="0" workbookViewId="0"/>
  </sheetViews>
  <sheetFormatPr defaultRowHeight="15"/>
  <cols>
    <col min="1" max="1" width="9.140625" style="143"/>
    <col min="2" max="2" width="28.85546875" style="143" bestFit="1" customWidth="1"/>
    <col min="3" max="3" width="36.7109375" style="143" bestFit="1" customWidth="1"/>
    <col min="4" max="9" width="9.140625" style="143"/>
    <col min="10" max="10" width="11.140625" style="143" customWidth="1"/>
    <col min="11" max="16384" width="9.140625" style="143"/>
  </cols>
  <sheetData>
    <row r="2" spans="2:10">
      <c r="B2" s="75" t="s">
        <v>297</v>
      </c>
      <c r="C2" s="147"/>
      <c r="E2" s="392" t="s">
        <v>466</v>
      </c>
      <c r="I2" s="392" t="s">
        <v>467</v>
      </c>
      <c r="J2" s="393"/>
    </row>
    <row r="3" spans="2:10">
      <c r="B3" s="21" t="s">
        <v>5</v>
      </c>
      <c r="C3" s="254" t="s">
        <v>0</v>
      </c>
      <c r="E3" s="425" t="s">
        <v>468</v>
      </c>
      <c r="F3" s="425" t="s">
        <v>469</v>
      </c>
      <c r="G3" s="425" t="s">
        <v>9</v>
      </c>
      <c r="H3" s="139"/>
      <c r="I3" s="271" t="s">
        <v>8</v>
      </c>
      <c r="J3" s="271" t="s">
        <v>9</v>
      </c>
    </row>
    <row r="4" spans="2:10">
      <c r="B4" s="118" t="s">
        <v>301</v>
      </c>
      <c r="C4" s="256" t="s">
        <v>470</v>
      </c>
      <c r="E4" s="267" t="s">
        <v>0</v>
      </c>
      <c r="F4" s="394" t="s">
        <v>300</v>
      </c>
      <c r="G4" s="395">
        <v>1.1202000000000001</v>
      </c>
      <c r="H4" s="139"/>
      <c r="I4" s="265" t="s">
        <v>27</v>
      </c>
      <c r="J4" s="266">
        <v>-1.4499999999999999E-3</v>
      </c>
    </row>
    <row r="5" spans="2:10">
      <c r="B5" s="118" t="s">
        <v>302</v>
      </c>
      <c r="C5" s="256" t="s">
        <v>20</v>
      </c>
      <c r="E5" s="139"/>
      <c r="F5" s="139"/>
      <c r="G5" s="139"/>
      <c r="H5" s="139"/>
      <c r="I5" s="265" t="s">
        <v>30</v>
      </c>
      <c r="J5" s="266">
        <v>-1.3500000000000001E-3</v>
      </c>
    </row>
    <row r="6" spans="2:10">
      <c r="B6" s="24" t="s">
        <v>4</v>
      </c>
      <c r="C6" s="396">
        <f ca="1">USDCurve.AsOfDate</f>
        <v>43710</v>
      </c>
      <c r="E6" s="139"/>
      <c r="F6" s="139"/>
      <c r="G6" s="139"/>
      <c r="H6" s="139"/>
      <c r="I6" s="265" t="s">
        <v>31</v>
      </c>
      <c r="J6" s="266">
        <v>-1.3625E-3</v>
      </c>
    </row>
    <row r="7" spans="2:10">
      <c r="C7" s="147"/>
      <c r="E7" s="392" t="s">
        <v>471</v>
      </c>
      <c r="F7" s="139"/>
      <c r="G7" s="139"/>
      <c r="H7" s="139"/>
      <c r="I7" s="265" t="s">
        <v>32</v>
      </c>
      <c r="J7" s="266">
        <v>-1.4250000000000001E-3</v>
      </c>
    </row>
    <row r="8" spans="2:10">
      <c r="B8" s="145" t="s">
        <v>335</v>
      </c>
      <c r="C8" s="147"/>
      <c r="E8" s="271" t="s">
        <v>8</v>
      </c>
      <c r="F8" s="271" t="s">
        <v>9</v>
      </c>
      <c r="G8" s="426"/>
      <c r="H8" s="139"/>
      <c r="I8" s="265" t="s">
        <v>33</v>
      </c>
      <c r="J8" s="266">
        <v>-1.4875000000000001E-3</v>
      </c>
    </row>
    <row r="9" spans="2:10">
      <c r="B9" s="21" t="s">
        <v>305</v>
      </c>
      <c r="C9" s="254" t="s">
        <v>472</v>
      </c>
      <c r="E9" s="265" t="s">
        <v>28</v>
      </c>
      <c r="F9" s="397">
        <v>0.94699999999999995</v>
      </c>
      <c r="G9" s="427"/>
      <c r="H9" s="139"/>
      <c r="I9" s="265" t="s">
        <v>34</v>
      </c>
      <c r="J9" s="266">
        <v>-1.5499999999999999E-3</v>
      </c>
    </row>
    <row r="10" spans="2:10">
      <c r="B10" s="118" t="s">
        <v>307</v>
      </c>
      <c r="C10" s="468" t="str">
        <f ca="1">_xll.meLWOCurveMarketDataCreate(C9,B2,B3:C6,E2,E4:G4,E7,E9:F23,I2,I4:J23)</f>
        <v>EUR_XCCYBASIS_MARKETDATA@7:0</v>
      </c>
      <c r="E10" s="265" t="s">
        <v>473</v>
      </c>
      <c r="F10" s="397">
        <v>0.97899999999999998</v>
      </c>
      <c r="G10" s="427"/>
      <c r="H10" s="139"/>
      <c r="I10" s="265" t="s">
        <v>35</v>
      </c>
      <c r="J10" s="266">
        <v>-1.6000000000000001E-3</v>
      </c>
    </row>
    <row r="11" spans="2:10">
      <c r="B11" s="24"/>
      <c r="C11" s="260"/>
      <c r="E11" s="265" t="s">
        <v>228</v>
      </c>
      <c r="F11" s="397">
        <v>6.78</v>
      </c>
      <c r="G11" s="427"/>
      <c r="H11" s="139"/>
      <c r="I11" s="265" t="s">
        <v>36</v>
      </c>
      <c r="J11" s="266">
        <v>-1.6125E-3</v>
      </c>
    </row>
    <row r="12" spans="2:10">
      <c r="C12" s="147"/>
      <c r="E12" s="265" t="s">
        <v>229</v>
      </c>
      <c r="F12" s="397">
        <v>13.42</v>
      </c>
      <c r="G12" s="427"/>
      <c r="H12" s="139"/>
      <c r="I12" s="265" t="s">
        <v>37</v>
      </c>
      <c r="J12" s="266">
        <v>-1.6000000000000001E-3</v>
      </c>
    </row>
    <row r="13" spans="2:10">
      <c r="B13" s="145" t="s">
        <v>337</v>
      </c>
      <c r="C13" s="147"/>
      <c r="E13" s="265" t="s">
        <v>230</v>
      </c>
      <c r="F13" s="397">
        <v>20.04</v>
      </c>
      <c r="G13" s="427"/>
      <c r="H13" s="139"/>
      <c r="I13" s="265" t="s">
        <v>38</v>
      </c>
      <c r="J13" s="266">
        <v>-1.5874999999999999E-3</v>
      </c>
    </row>
    <row r="14" spans="2:10">
      <c r="B14" s="21" t="s">
        <v>338</v>
      </c>
      <c r="C14" s="254" t="s">
        <v>474</v>
      </c>
      <c r="E14" s="265" t="s">
        <v>22</v>
      </c>
      <c r="F14" s="397">
        <v>30.36</v>
      </c>
      <c r="G14" s="427"/>
      <c r="H14" s="139"/>
      <c r="I14" s="265" t="s">
        <v>39</v>
      </c>
      <c r="J14" s="266">
        <v>-1.5250000000000001E-3</v>
      </c>
    </row>
    <row r="15" spans="2:10">
      <c r="B15" s="118" t="s">
        <v>340</v>
      </c>
      <c r="C15" s="256" t="s">
        <v>475</v>
      </c>
      <c r="E15" s="265" t="s">
        <v>231</v>
      </c>
      <c r="F15" s="397">
        <v>57.55</v>
      </c>
      <c r="G15" s="427"/>
      <c r="H15" s="139"/>
      <c r="I15" s="265" t="s">
        <v>40</v>
      </c>
      <c r="J15" s="266">
        <v>-1.3374999999999999E-3</v>
      </c>
    </row>
    <row r="16" spans="2:10">
      <c r="B16" s="118" t="s">
        <v>342</v>
      </c>
      <c r="C16" s="256" t="s">
        <v>2</v>
      </c>
      <c r="E16" s="265" t="s">
        <v>232</v>
      </c>
      <c r="F16" s="397">
        <v>86.39</v>
      </c>
      <c r="G16" s="427"/>
      <c r="H16" s="139"/>
      <c r="I16" s="265" t="s">
        <v>41</v>
      </c>
      <c r="J16" s="266">
        <v>-8.3750000000000003E-4</v>
      </c>
    </row>
    <row r="17" spans="2:11">
      <c r="B17" s="24" t="s">
        <v>343</v>
      </c>
      <c r="C17" s="260" t="s">
        <v>313</v>
      </c>
      <c r="E17" s="265" t="s">
        <v>233</v>
      </c>
      <c r="F17" s="397">
        <v>114.9</v>
      </c>
      <c r="G17" s="427"/>
      <c r="H17" s="139"/>
      <c r="I17" s="265" t="s">
        <v>42</v>
      </c>
      <c r="J17" s="266">
        <v>-3.8749999999999999E-4</v>
      </c>
    </row>
    <row r="18" spans="2:11">
      <c r="C18" s="147"/>
      <c r="E18" s="265" t="s">
        <v>234</v>
      </c>
      <c r="F18" s="397">
        <v>143.35</v>
      </c>
      <c r="G18" s="427"/>
      <c r="H18" s="139"/>
      <c r="I18" s="265" t="s">
        <v>43</v>
      </c>
      <c r="J18" s="266">
        <v>-6.2500000000000001E-5</v>
      </c>
    </row>
    <row r="19" spans="2:11">
      <c r="B19" s="145" t="s">
        <v>344</v>
      </c>
      <c r="C19" s="147"/>
      <c r="E19" s="265" t="s">
        <v>21</v>
      </c>
      <c r="F19" s="397">
        <v>173</v>
      </c>
      <c r="G19" s="427"/>
      <c r="H19" s="139"/>
      <c r="I19" s="265" t="s">
        <v>44</v>
      </c>
      <c r="J19" s="266">
        <v>-6.2500000000000001E-5</v>
      </c>
      <c r="K19" s="138"/>
    </row>
    <row r="20" spans="2:11">
      <c r="B20" s="21" t="s">
        <v>305</v>
      </c>
      <c r="C20" s="469" t="str">
        <f t="array" aca="1" ref="C20:C23" ca="1">_xll.meLWOCurveCalibrate(C14,C15,C10,C16,C17)</f>
        <v>EUR_XCCY_CURVE@8:0</v>
      </c>
      <c r="D20" s="143" t="s">
        <v>6</v>
      </c>
      <c r="E20" s="265" t="s">
        <v>235</v>
      </c>
      <c r="F20" s="397">
        <v>259.48</v>
      </c>
      <c r="G20" s="427"/>
      <c r="H20" s="139"/>
      <c r="I20" s="265" t="s">
        <v>45</v>
      </c>
      <c r="J20" s="266">
        <v>-6.2500000000000001E-5</v>
      </c>
      <c r="K20" s="138"/>
    </row>
    <row r="21" spans="2:11">
      <c r="B21" s="118" t="s">
        <v>251</v>
      </c>
      <c r="C21" s="263" t="str">
        <f ca="1"/>
        <v>EURYC</v>
      </c>
      <c r="D21" s="143" t="s">
        <v>6</v>
      </c>
      <c r="E21" s="265"/>
      <c r="F21" s="397"/>
      <c r="G21" s="427"/>
      <c r="H21" s="139"/>
      <c r="I21" s="261"/>
      <c r="J21" s="262"/>
      <c r="K21" s="138"/>
    </row>
    <row r="22" spans="2:11">
      <c r="B22" s="118" t="s">
        <v>316</v>
      </c>
      <c r="C22" s="263" t="str">
        <f ca="1"/>
        <v>XccyBasis:EURDF_USDCSA</v>
      </c>
      <c r="D22" s="143" t="s">
        <v>6</v>
      </c>
      <c r="E22" s="265"/>
      <c r="F22" s="397"/>
      <c r="G22" s="427"/>
      <c r="H22" s="139"/>
      <c r="I22" s="265"/>
      <c r="J22" s="266"/>
    </row>
    <row r="23" spans="2:11">
      <c r="B23" s="24" t="s">
        <v>317</v>
      </c>
      <c r="C23" s="264" t="str">
        <f ca="1"/>
        <v>0.04500 sec</v>
      </c>
      <c r="D23" s="269" t="s">
        <v>6</v>
      </c>
      <c r="E23" s="267"/>
      <c r="F23" s="398"/>
      <c r="G23" s="427"/>
      <c r="H23" s="139"/>
      <c r="I23" s="267"/>
      <c r="J23" s="268"/>
    </row>
    <row r="24" spans="2:11">
      <c r="B24" s="269"/>
      <c r="C24" s="270"/>
      <c r="I24" s="116"/>
      <c r="J24" s="116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2:W22"/>
  <sheetViews>
    <sheetView showGridLines="0" workbookViewId="0"/>
  </sheetViews>
  <sheetFormatPr defaultRowHeight="15"/>
  <cols>
    <col min="1" max="1" width="4.7109375" style="143" customWidth="1"/>
    <col min="2" max="2" width="14.28515625" style="143" bestFit="1" customWidth="1"/>
    <col min="3" max="3" width="14.28515625" style="143" customWidth="1"/>
    <col min="4" max="4" width="17" style="143" bestFit="1" customWidth="1"/>
    <col min="5" max="5" width="4.7109375" style="143" customWidth="1"/>
    <col min="6" max="12" width="12.7109375" style="143" customWidth="1"/>
    <col min="13" max="13" width="4.7109375" style="143" customWidth="1"/>
    <col min="14" max="14" width="23" style="143" customWidth="1"/>
    <col min="15" max="15" width="15.28515625" style="143" customWidth="1"/>
    <col min="16" max="16" width="7.85546875" style="143" customWidth="1"/>
    <col min="17" max="17" width="9.140625" style="143"/>
    <col min="18" max="18" width="9.85546875" style="143" bestFit="1" customWidth="1"/>
    <col min="19" max="19" width="11.140625" style="143" bestFit="1" customWidth="1"/>
    <col min="20" max="20" width="9.140625" style="143"/>
    <col min="21" max="21" width="18.5703125" style="143" customWidth="1"/>
    <col min="22" max="22" width="21.85546875" style="143" bestFit="1" customWidth="1"/>
    <col min="23" max="16384" width="9.140625" style="143"/>
  </cols>
  <sheetData>
    <row r="2" spans="1:23">
      <c r="B2" s="148" t="s">
        <v>359</v>
      </c>
      <c r="C2" s="148"/>
      <c r="F2" s="281" t="s">
        <v>476</v>
      </c>
      <c r="M2" s="282"/>
      <c r="N2" s="148" t="s">
        <v>361</v>
      </c>
      <c r="Q2" s="148" t="s">
        <v>477</v>
      </c>
    </row>
    <row r="3" spans="1:23">
      <c r="D3" s="283" t="s">
        <v>362</v>
      </c>
      <c r="H3" s="283" t="s">
        <v>363</v>
      </c>
      <c r="M3" s="282"/>
    </row>
    <row r="4" spans="1:23">
      <c r="B4" s="116" t="s">
        <v>137</v>
      </c>
      <c r="C4" s="116" t="s">
        <v>13</v>
      </c>
      <c r="D4" s="170" t="s">
        <v>138</v>
      </c>
      <c r="E4" s="170"/>
      <c r="F4" s="170" t="s">
        <v>137</v>
      </c>
      <c r="G4" s="116" t="s">
        <v>364</v>
      </c>
      <c r="H4" s="116" t="s">
        <v>365</v>
      </c>
      <c r="I4" s="116" t="s">
        <v>366</v>
      </c>
      <c r="J4" s="116" t="s">
        <v>255</v>
      </c>
      <c r="K4" s="116" t="s">
        <v>478</v>
      </c>
      <c r="L4" s="116" t="s">
        <v>479</v>
      </c>
      <c r="M4" s="282"/>
      <c r="N4" s="116" t="s">
        <v>368</v>
      </c>
      <c r="O4" s="116" t="s">
        <v>367</v>
      </c>
      <c r="Q4" s="116" t="s">
        <v>8</v>
      </c>
      <c r="R4" s="116" t="s">
        <v>9</v>
      </c>
      <c r="S4" s="312" t="s">
        <v>480</v>
      </c>
      <c r="U4" s="145" t="s">
        <v>481</v>
      </c>
    </row>
    <row r="5" spans="1:23">
      <c r="B5" s="284">
        <f ca="1">_xll.meDateFromTenor(USDCurve.AsOfDate,F5,"MOD_FOLLOWING",$C5,"")</f>
        <v>43712</v>
      </c>
      <c r="C5" s="285" t="str">
        <f ca="1">VLOOKUP("PAYMENTCALENDAR",_xll.meLWOSwapGeneratorDisplay($H5),2,FALSE)</f>
        <v>LNB:NYB:TGT</v>
      </c>
      <c r="D5" s="286">
        <f ca="1">_xll.meDateFromTenor(B5,G5,)</f>
        <v>44078</v>
      </c>
      <c r="E5" s="170"/>
      <c r="F5" s="287" t="s">
        <v>369</v>
      </c>
      <c r="G5" s="288" t="s">
        <v>27</v>
      </c>
      <c r="H5" s="289" t="s">
        <v>475</v>
      </c>
      <c r="I5" s="88" t="s">
        <v>371</v>
      </c>
      <c r="J5" s="290">
        <v>1000000</v>
      </c>
      <c r="K5" s="291">
        <v>0</v>
      </c>
      <c r="L5" s="292">
        <v>0</v>
      </c>
      <c r="M5" s="282">
        <v>1</v>
      </c>
      <c r="N5" s="293" t="str">
        <f ca="1">_xll.meLWOXccySwapCreateFromGenerator("XccySwap_"&amp;G5,H5,I5,J5,B5,D5,K5,L5,,,,,$V$6,$V$13,$V$5,$V$7)</f>
        <v>XCCYSWAP_1Y@9:0</v>
      </c>
      <c r="O5" s="402">
        <f ca="1">_xll.meLWOXccySwapParSpread(N5,Xccy.ValuationSettings)/10000</f>
        <v>-1.4500000000000669E-3</v>
      </c>
      <c r="Q5" s="57" t="str">
        <f ca="1">'Eur Xccy Curve'!I4</f>
        <v>1Y</v>
      </c>
      <c r="R5" s="399">
        <f ca="1">'Eur Xccy Curve'!J4</f>
        <v>-1.4499999999999999E-3</v>
      </c>
      <c r="S5" s="405">
        <f t="shared" ref="S5:S19" ca="1" si="0">ABS(O5-R5)*10000</f>
        <v>6.7003694259604174E-13</v>
      </c>
      <c r="T5" s="406"/>
      <c r="U5" s="407" t="s">
        <v>482</v>
      </c>
      <c r="V5" s="107" t="b">
        <v>1</v>
      </c>
    </row>
    <row r="6" spans="1:23">
      <c r="B6" s="50">
        <f ca="1">_xll.meDateFromTenor(USDCurve.AsOfDate,F6,"MOD_FOLLOWING",$C6,"")</f>
        <v>43712</v>
      </c>
      <c r="C6" s="51" t="str">
        <f t="shared" ref="C6:C19" ca="1" si="1">C5</f>
        <v>LNB:NYB:TGT</v>
      </c>
      <c r="D6" s="54">
        <f ca="1">_xll.meDateFromTenor(B6,G6,)</f>
        <v>44443</v>
      </c>
      <c r="F6" s="295" t="s">
        <v>369</v>
      </c>
      <c r="G6" s="296" t="s">
        <v>30</v>
      </c>
      <c r="H6" s="297" t="s">
        <v>475</v>
      </c>
      <c r="I6" s="89" t="s">
        <v>371</v>
      </c>
      <c r="J6" s="298">
        <v>1000000</v>
      </c>
      <c r="K6" s="299">
        <v>0</v>
      </c>
      <c r="L6" s="300">
        <v>0</v>
      </c>
      <c r="M6" s="282">
        <v>2</v>
      </c>
      <c r="N6" s="301" t="str">
        <f ca="1">_xll.meLWOXccySwapCreateFromGenerator("XccySwap_"&amp;G6,H6,I6,J6,B6,D6,K6,L6,,,,,$V$6,$V$13,$V$5,$V$7)</f>
        <v>XCCYSWAP_2Y@10:0</v>
      </c>
      <c r="O6" s="403">
        <f ca="1">_xll.meLWOXccySwapParSpread(N6,Xccy.ValuationSettings)/10000</f>
        <v>-1.3499999999999396E-3</v>
      </c>
      <c r="Q6" s="408" t="str">
        <f ca="1">'Eur Xccy Curve'!I5</f>
        <v>2Y</v>
      </c>
      <c r="R6" s="400">
        <f ca="1">'Eur Xccy Curve'!J5</f>
        <v>-1.3500000000000001E-3</v>
      </c>
      <c r="S6" s="409">
        <f t="shared" ca="1" si="0"/>
        <v>6.0498481224691147E-13</v>
      </c>
      <c r="T6" s="406"/>
      <c r="U6" s="410" t="s">
        <v>483</v>
      </c>
      <c r="V6" s="411" t="s">
        <v>300</v>
      </c>
    </row>
    <row r="7" spans="1:23">
      <c r="B7" s="50">
        <f ca="1">_xll.meDateFromTenor(USDCurve.AsOfDate,F7,"MOD_FOLLOWING",$C7,"")</f>
        <v>43712</v>
      </c>
      <c r="C7" s="51" t="str">
        <f t="shared" ca="1" si="1"/>
        <v>LNB:NYB:TGT</v>
      </c>
      <c r="D7" s="54">
        <f ca="1">_xll.meDateFromTenor(B7,G7,)</f>
        <v>44808</v>
      </c>
      <c r="F7" s="295" t="s">
        <v>369</v>
      </c>
      <c r="G7" s="296" t="s">
        <v>31</v>
      </c>
      <c r="H7" s="297" t="s">
        <v>475</v>
      </c>
      <c r="I7" s="89" t="s">
        <v>371</v>
      </c>
      <c r="J7" s="298">
        <v>1000000</v>
      </c>
      <c r="K7" s="299">
        <v>0</v>
      </c>
      <c r="L7" s="300">
        <v>0</v>
      </c>
      <c r="M7" s="282">
        <v>3</v>
      </c>
      <c r="N7" s="301" t="str">
        <f ca="1">_xll.meLWOXccySwapCreateFromGenerator("XccySwap_"&amp;G7,H7,I7,J7,B7,D7,K7,L7,,,,,$V$6,$V$13,$V$5,$V$7)</f>
        <v>XCCYSWAP_3Y@11:0</v>
      </c>
      <c r="O7" s="403">
        <f ca="1">_xll.meLWOXccySwapParSpread(N7,Xccy.ValuationSettings)/10000</f>
        <v>-1.3625000000000755E-3</v>
      </c>
      <c r="Q7" s="408" t="str">
        <f ca="1">'Eur Xccy Curve'!I6</f>
        <v>3Y</v>
      </c>
      <c r="R7" s="400">
        <f ca="1">'Eur Xccy Curve'!J6</f>
        <v>-1.3625E-3</v>
      </c>
      <c r="S7" s="409">
        <f t="shared" ca="1" si="0"/>
        <v>7.5460471204991109E-13</v>
      </c>
      <c r="T7" s="406"/>
      <c r="U7" s="412" t="s">
        <v>484</v>
      </c>
      <c r="V7" s="413" t="s">
        <v>254</v>
      </c>
    </row>
    <row r="8" spans="1:23">
      <c r="A8" s="170" t="s">
        <v>6</v>
      </c>
      <c r="B8" s="50">
        <f ca="1">_xll.meDateFromTenor(USDCurve.AsOfDate,F8,"MOD_FOLLOWING",$C8,"")</f>
        <v>43712</v>
      </c>
      <c r="C8" s="51" t="str">
        <f t="shared" ca="1" si="1"/>
        <v>LNB:NYB:TGT</v>
      </c>
      <c r="D8" s="54">
        <f ca="1">_xll.meDateFromTenor(B8,G8,)</f>
        <v>45173</v>
      </c>
      <c r="F8" s="295" t="s">
        <v>369</v>
      </c>
      <c r="G8" s="296" t="s">
        <v>32</v>
      </c>
      <c r="H8" s="297" t="s">
        <v>475</v>
      </c>
      <c r="I8" s="89" t="s">
        <v>371</v>
      </c>
      <c r="J8" s="298">
        <v>1000000</v>
      </c>
      <c r="K8" s="299">
        <v>0</v>
      </c>
      <c r="L8" s="300">
        <v>0</v>
      </c>
      <c r="M8" s="282">
        <v>4</v>
      </c>
      <c r="N8" s="301" t="str">
        <f ca="1">_xll.meLWOXccySwapCreateFromGenerator("XccySwap_"&amp;G8,H8,I8,J8,B8,D8,K8,L8,,,,,$V$6,$V$13,$V$5,$V$7)</f>
        <v>XCCYSWAP_4Y@12:0</v>
      </c>
      <c r="O8" s="403">
        <f ca="1">_xll.meLWOXccySwapParSpread(N8,Xccy.ValuationSettings)/10000</f>
        <v>-1.4250000000001358E-3</v>
      </c>
      <c r="Q8" s="408" t="str">
        <f ca="1">'Eur Xccy Curve'!I7</f>
        <v>4Y</v>
      </c>
      <c r="R8" s="400">
        <f ca="1">'Eur Xccy Curve'!J7</f>
        <v>-1.4250000000000001E-3</v>
      </c>
      <c r="S8" s="409">
        <f t="shared" ca="1" si="0"/>
        <v>1.3574211199518516E-12</v>
      </c>
      <c r="T8" s="406"/>
      <c r="V8" s="170"/>
    </row>
    <row r="9" spans="1:23">
      <c r="A9" s="143" t="s">
        <v>6</v>
      </c>
      <c r="B9" s="50">
        <f ca="1">_xll.meDateFromTenor(USDCurve.AsOfDate,F9,"MOD_FOLLOWING",$C9,"")</f>
        <v>43712</v>
      </c>
      <c r="C9" s="51" t="str">
        <f t="shared" ca="1" si="1"/>
        <v>LNB:NYB:TGT</v>
      </c>
      <c r="D9" s="54">
        <f ca="1">_xll.meDateFromTenor(B9,G9,)</f>
        <v>45539</v>
      </c>
      <c r="F9" s="295" t="s">
        <v>369</v>
      </c>
      <c r="G9" s="296" t="s">
        <v>33</v>
      </c>
      <c r="H9" s="297" t="s">
        <v>475</v>
      </c>
      <c r="I9" s="89" t="s">
        <v>371</v>
      </c>
      <c r="J9" s="298">
        <v>1000000</v>
      </c>
      <c r="K9" s="299">
        <v>0</v>
      </c>
      <c r="L9" s="300">
        <v>0</v>
      </c>
      <c r="M9" s="282">
        <v>5</v>
      </c>
      <c r="N9" s="301" t="str">
        <f ca="1">_xll.meLWOXccySwapCreateFromGenerator("XccySwap_"&amp;G9,H9,I9,J9,B9,D9,K9,L9,,,,,$V$6,$V$13,$V$5,$V$7)</f>
        <v>XCCYSWAP_5Y@13:0</v>
      </c>
      <c r="O9" s="403">
        <f ca="1">_xll.meLWOXccySwapParSpread(N9,Xccy.ValuationSettings)/10000</f>
        <v>-1.4875000000000771E-3</v>
      </c>
      <c r="Q9" s="408" t="str">
        <f ca="1">'Eur Xccy Curve'!I8</f>
        <v>5Y</v>
      </c>
      <c r="R9" s="400">
        <f ca="1">'Eur Xccy Curve'!J8</f>
        <v>-1.4875000000000001E-3</v>
      </c>
      <c r="S9" s="409">
        <f t="shared" ca="1" si="0"/>
        <v>7.6978354246470815E-13</v>
      </c>
      <c r="T9" s="406"/>
      <c r="V9" s="170"/>
    </row>
    <row r="10" spans="1:23">
      <c r="A10" s="143" t="s">
        <v>6</v>
      </c>
      <c r="B10" s="50">
        <f ca="1">_xll.meDateFromTenor(USDCurve.AsOfDate,F10,"MOD_FOLLOWING",$C10,"")</f>
        <v>43712</v>
      </c>
      <c r="C10" s="51" t="str">
        <f t="shared" ca="1" si="1"/>
        <v>LNB:NYB:TGT</v>
      </c>
      <c r="D10" s="54">
        <f ca="1">_xll.meDateFromTenor(B10,G10,)</f>
        <v>45904</v>
      </c>
      <c r="F10" s="295" t="s">
        <v>369</v>
      </c>
      <c r="G10" s="296" t="s">
        <v>34</v>
      </c>
      <c r="H10" s="297" t="s">
        <v>475</v>
      </c>
      <c r="I10" s="89" t="s">
        <v>371</v>
      </c>
      <c r="J10" s="298">
        <v>1000000</v>
      </c>
      <c r="K10" s="299">
        <v>0</v>
      </c>
      <c r="L10" s="300">
        <v>0</v>
      </c>
      <c r="M10" s="282">
        <v>6</v>
      </c>
      <c r="N10" s="301" t="str">
        <f ca="1">_xll.meLWOXccySwapCreateFromGenerator("XccySwap_"&amp;G10,H10,I10,J10,B10,D10,K10,L10,,,,,$V$6,$V$13,$V$5,$V$7)</f>
        <v>XCCYSWAP_6Y@14:0</v>
      </c>
      <c r="O10" s="403">
        <f ca="1">_xll.meLWOXccySwapParSpread(N10,Xccy.ValuationSettings)/10000</f>
        <v>-1.5500000000000617E-3</v>
      </c>
      <c r="Q10" s="408" t="str">
        <f ca="1">'Eur Xccy Curve'!I9</f>
        <v>6Y</v>
      </c>
      <c r="R10" s="400">
        <f ca="1">'Eur Xccy Curve'!J9</f>
        <v>-1.5499999999999999E-3</v>
      </c>
      <c r="S10" s="409">
        <f t="shared" ca="1" si="0"/>
        <v>6.1799523831673753E-13</v>
      </c>
      <c r="T10" s="406"/>
      <c r="U10" s="145" t="s">
        <v>485</v>
      </c>
      <c r="V10" s="170"/>
    </row>
    <row r="11" spans="1:23">
      <c r="A11" s="143" t="s">
        <v>6</v>
      </c>
      <c r="B11" s="50">
        <f ca="1">_xll.meDateFromTenor(USDCurve.AsOfDate,F11,"MOD_FOLLOWING",$C11,"")</f>
        <v>43712</v>
      </c>
      <c r="C11" s="51" t="str">
        <f t="shared" ca="1" si="1"/>
        <v>LNB:NYB:TGT</v>
      </c>
      <c r="D11" s="54">
        <f ca="1">_xll.meDateFromTenor(B11,G11,)</f>
        <v>46269</v>
      </c>
      <c r="F11" s="295" t="s">
        <v>369</v>
      </c>
      <c r="G11" s="296" t="s">
        <v>35</v>
      </c>
      <c r="H11" s="297" t="s">
        <v>475</v>
      </c>
      <c r="I11" s="89" t="s">
        <v>371</v>
      </c>
      <c r="J11" s="298">
        <v>1000000</v>
      </c>
      <c r="K11" s="299">
        <v>0</v>
      </c>
      <c r="L11" s="300">
        <v>0</v>
      </c>
      <c r="M11" s="282">
        <v>7</v>
      </c>
      <c r="N11" s="301" t="str">
        <f ca="1">_xll.meLWOXccySwapCreateFromGenerator("XccySwap_"&amp;G11,H11,I11,J11,B11,D11,K11,L11,,,,,$V$6,$V$13,$V$5,$V$7)</f>
        <v>XCCYSWAP_7Y@15:0</v>
      </c>
      <c r="O11" s="403">
        <f ca="1">_xll.meLWOXccySwapParSpread(N11,Xccy.ValuationSettings)/10000</f>
        <v>-1.600000000000076E-3</v>
      </c>
      <c r="Q11" s="408" t="str">
        <f ca="1">'Eur Xccy Curve'!I10</f>
        <v>7Y</v>
      </c>
      <c r="R11" s="400">
        <f ca="1">'Eur Xccy Curve'!J10</f>
        <v>-1.6000000000000001E-3</v>
      </c>
      <c r="S11" s="409">
        <f t="shared" ca="1" si="0"/>
        <v>7.589415207398531E-13</v>
      </c>
      <c r="T11" s="406"/>
      <c r="U11" s="414" t="s">
        <v>486</v>
      </c>
      <c r="V11" s="255" t="s">
        <v>2</v>
      </c>
      <c r="W11" s="116"/>
    </row>
    <row r="12" spans="1:23">
      <c r="A12" s="143" t="s">
        <v>6</v>
      </c>
      <c r="B12" s="50">
        <f ca="1">_xll.meDateFromTenor(USDCurve.AsOfDate,F12,"MOD_FOLLOWING",$C12,"")</f>
        <v>43712</v>
      </c>
      <c r="C12" s="51" t="str">
        <f t="shared" ca="1" si="1"/>
        <v>LNB:NYB:TGT</v>
      </c>
      <c r="D12" s="54">
        <f ca="1">_xll.meDateFromTenor(B12,G12,)</f>
        <v>46634</v>
      </c>
      <c r="F12" s="295" t="s">
        <v>369</v>
      </c>
      <c r="G12" s="296" t="s">
        <v>36</v>
      </c>
      <c r="H12" s="297" t="s">
        <v>475</v>
      </c>
      <c r="I12" s="89" t="s">
        <v>371</v>
      </c>
      <c r="J12" s="298">
        <v>1000000</v>
      </c>
      <c r="K12" s="299">
        <v>0</v>
      </c>
      <c r="L12" s="300">
        <v>0</v>
      </c>
      <c r="M12" s="282">
        <v>8</v>
      </c>
      <c r="N12" s="301" t="str">
        <f ca="1">_xll.meLWOXccySwapCreateFromGenerator("XccySwap_"&amp;G12,H12,I12,J12,B12,D12,K12,L12,,,,,$V$6,$V$13,$V$5,$V$7)</f>
        <v>XCCYSWAP_8Y@16:0</v>
      </c>
      <c r="O12" s="403">
        <f ca="1">_xll.meLWOXccySwapParSpread(N12,Xccy.ValuationSettings)/10000</f>
        <v>-1.6125000000001019E-3</v>
      </c>
      <c r="Q12" s="408" t="str">
        <f ca="1">'Eur Xccy Curve'!I11</f>
        <v>8Y</v>
      </c>
      <c r="R12" s="400">
        <f ca="1">'Eur Xccy Curve'!J11</f>
        <v>-1.6125E-3</v>
      </c>
      <c r="S12" s="409">
        <f t="shared" ca="1" si="0"/>
        <v>1.0191500421363742E-12</v>
      </c>
      <c r="T12" s="406"/>
      <c r="U12" s="415" t="s">
        <v>254</v>
      </c>
      <c r="V12" s="416" t="s">
        <v>313</v>
      </c>
      <c r="W12" s="116"/>
    </row>
    <row r="13" spans="1:23">
      <c r="A13" s="143" t="s">
        <v>6</v>
      </c>
      <c r="B13" s="50">
        <f ca="1">_xll.meDateFromTenor(USDCurve.AsOfDate,F13,"MOD_FOLLOWING",$C13,"")</f>
        <v>43712</v>
      </c>
      <c r="C13" s="51" t="str">
        <f t="shared" ca="1" si="1"/>
        <v>LNB:NYB:TGT</v>
      </c>
      <c r="D13" s="54">
        <f ca="1">_xll.meDateFromTenor(B13,G13,)</f>
        <v>47000</v>
      </c>
      <c r="F13" s="295" t="s">
        <v>369</v>
      </c>
      <c r="G13" s="296" t="s">
        <v>37</v>
      </c>
      <c r="H13" s="297" t="s">
        <v>475</v>
      </c>
      <c r="I13" s="89" t="s">
        <v>371</v>
      </c>
      <c r="J13" s="298">
        <v>1000000</v>
      </c>
      <c r="K13" s="299">
        <v>0</v>
      </c>
      <c r="L13" s="300">
        <v>0</v>
      </c>
      <c r="M13" s="282">
        <v>9</v>
      </c>
      <c r="N13" s="301" t="str">
        <f ca="1">_xll.meLWOXccySwapCreateFromGenerator("XccySwap_"&amp;G13,H13,I13,J13,B13,D13,K13,L13,,,,,$V$6,$V$13,$V$5,$V$7)</f>
        <v>XCCYSWAP_9Y@17:0</v>
      </c>
      <c r="O13" s="403">
        <f ca="1">_xll.meLWOXccySwapParSpread(N13,Xccy.ValuationSettings)/10000</f>
        <v>-1.6000000000001042E-3</v>
      </c>
      <c r="Q13" s="408" t="str">
        <f ca="1">'Eur Xccy Curve'!I12</f>
        <v>9Y</v>
      </c>
      <c r="R13" s="400">
        <f ca="1">'Eur Xccy Curve'!J12</f>
        <v>-1.6000000000000001E-3</v>
      </c>
      <c r="S13" s="409">
        <f t="shared" ca="1" si="0"/>
        <v>1.0408340855860843E-12</v>
      </c>
      <c r="T13" s="406"/>
      <c r="U13" s="77" t="s">
        <v>487</v>
      </c>
      <c r="V13" s="417">
        <v>1.1202000000000001</v>
      </c>
      <c r="W13" s="116" t="s">
        <v>488</v>
      </c>
    </row>
    <row r="14" spans="1:23">
      <c r="A14" s="143" t="s">
        <v>6</v>
      </c>
      <c r="B14" s="50">
        <f ca="1">_xll.meDateFromTenor(USDCurve.AsOfDate,F14,"MOD_FOLLOWING",$C14,"")</f>
        <v>43712</v>
      </c>
      <c r="C14" s="51" t="str">
        <f t="shared" ca="1" si="1"/>
        <v>LNB:NYB:TGT</v>
      </c>
      <c r="D14" s="54">
        <f ca="1">_xll.meDateFromTenor(B14,G14,)</f>
        <v>47365</v>
      </c>
      <c r="F14" s="295" t="s">
        <v>369</v>
      </c>
      <c r="G14" s="296" t="s">
        <v>38</v>
      </c>
      <c r="H14" s="297" t="s">
        <v>475</v>
      </c>
      <c r="I14" s="89" t="s">
        <v>371</v>
      </c>
      <c r="J14" s="298">
        <v>1000000</v>
      </c>
      <c r="K14" s="299">
        <v>0</v>
      </c>
      <c r="L14" s="300">
        <v>0</v>
      </c>
      <c r="M14" s="282">
        <v>10</v>
      </c>
      <c r="N14" s="301" t="str">
        <f ca="1">_xll.meLWOXccySwapCreateFromGenerator("XccySwap_"&amp;G14,H14,I14,J14,B14,D14,K14,L14,,,,,$V$6,$V$13,$V$5,$V$7)</f>
        <v>XCCYSWAP_10Y@18:0</v>
      </c>
      <c r="O14" s="403">
        <f ca="1">_xll.meLWOXccySwapParSpread(N14,Xccy.ValuationSettings)/10000</f>
        <v>-1.5875000000001238E-3</v>
      </c>
      <c r="Q14" s="408" t="str">
        <f ca="1">'Eur Xccy Curve'!I13</f>
        <v>10Y</v>
      </c>
      <c r="R14" s="400">
        <f ca="1">'Eur Xccy Curve'!J13</f>
        <v>-1.5874999999999999E-3</v>
      </c>
      <c r="S14" s="409">
        <f t="shared" ca="1" si="0"/>
        <v>1.2381588809784461E-12</v>
      </c>
      <c r="T14" s="406"/>
    </row>
    <row r="15" spans="1:23">
      <c r="A15" s="143" t="s">
        <v>6</v>
      </c>
      <c r="B15" s="50">
        <f ca="1">_xll.meDateFromTenor(USDCurve.AsOfDate,F15,"MOD_FOLLOWING",$C15,"")</f>
        <v>43712</v>
      </c>
      <c r="C15" s="51" t="str">
        <f t="shared" ca="1" si="1"/>
        <v>LNB:NYB:TGT</v>
      </c>
      <c r="D15" s="54">
        <f ca="1">_xll.meDateFromTenor(B15,G15,)</f>
        <v>48095</v>
      </c>
      <c r="F15" s="295" t="s">
        <v>369</v>
      </c>
      <c r="G15" s="296" t="s">
        <v>39</v>
      </c>
      <c r="H15" s="297" t="s">
        <v>475</v>
      </c>
      <c r="I15" s="89" t="s">
        <v>371</v>
      </c>
      <c r="J15" s="298">
        <v>1000000</v>
      </c>
      <c r="K15" s="299">
        <v>0</v>
      </c>
      <c r="L15" s="300">
        <v>0</v>
      </c>
      <c r="M15" s="282">
        <v>11</v>
      </c>
      <c r="N15" s="301" t="str">
        <f ca="1">_xll.meLWOXccySwapCreateFromGenerator("XccySwap_"&amp;G15,H15,I15,J15,B15,D15,K15,L15,,,,,$V$6,$V$13,$V$5,$V$7)</f>
        <v>XCCYSWAP_12Y@19:0</v>
      </c>
      <c r="O15" s="403">
        <f ca="1">_xll.meLWOXccySwapParSpread(N15,Xccy.ValuationSettings)/10000</f>
        <v>-1.5249999999999021E-3</v>
      </c>
      <c r="Q15" s="408" t="str">
        <f ca="1">'Eur Xccy Curve'!I14</f>
        <v>12Y</v>
      </c>
      <c r="R15" s="400">
        <f ca="1">'Eur Xccy Curve'!J14</f>
        <v>-1.5250000000000001E-3</v>
      </c>
      <c r="S15" s="409">
        <f t="shared" ca="1" si="0"/>
        <v>9.8011876392689601E-13</v>
      </c>
      <c r="T15" s="406"/>
    </row>
    <row r="16" spans="1:23">
      <c r="A16" s="143" t="s">
        <v>6</v>
      </c>
      <c r="B16" s="50">
        <f ca="1">_xll.meDateFromTenor(USDCurve.AsOfDate,F16,"MOD_FOLLOWING",$C16,"")</f>
        <v>43712</v>
      </c>
      <c r="C16" s="51" t="str">
        <f t="shared" ca="1" si="1"/>
        <v>LNB:NYB:TGT</v>
      </c>
      <c r="D16" s="54">
        <f ca="1">_xll.meDateFromTenor(B16,G16,)</f>
        <v>49191</v>
      </c>
      <c r="F16" s="295" t="s">
        <v>369</v>
      </c>
      <c r="G16" s="296" t="s">
        <v>40</v>
      </c>
      <c r="H16" s="297" t="s">
        <v>475</v>
      </c>
      <c r="I16" s="89" t="s">
        <v>371</v>
      </c>
      <c r="J16" s="298">
        <v>1000000</v>
      </c>
      <c r="K16" s="299">
        <v>0</v>
      </c>
      <c r="L16" s="300">
        <v>0</v>
      </c>
      <c r="M16" s="282">
        <v>12</v>
      </c>
      <c r="N16" s="301" t="str">
        <f ca="1">_xll.meLWOXccySwapCreateFromGenerator("XccySwap_"&amp;G16,H16,I16,J16,B16,D16,K16,L16,,,,,$V$6,$V$13,$V$5,$V$7)</f>
        <v>XCCYSWAP_15Y@20:0</v>
      </c>
      <c r="O16" s="403">
        <f ca="1">_xll.meLWOXccySwapParSpread(N16,Xccy.ValuationSettings)/10000</f>
        <v>-1.3374999999995975E-3</v>
      </c>
      <c r="Q16" s="408" t="str">
        <f ca="1">'Eur Xccy Curve'!I15</f>
        <v>15Y</v>
      </c>
      <c r="R16" s="400">
        <f ca="1">'Eur Xccy Curve'!J15</f>
        <v>-1.3374999999999999E-3</v>
      </c>
      <c r="S16" s="409">
        <f t="shared" ca="1" si="0"/>
        <v>4.0245584642661925E-12</v>
      </c>
      <c r="T16" s="406"/>
    </row>
    <row r="17" spans="2:20">
      <c r="B17" s="50">
        <f ca="1">_xll.meDateFromTenor(USDCurve.AsOfDate,F17,"MOD_FOLLOWING",$C17,"")</f>
        <v>43712</v>
      </c>
      <c r="C17" s="51" t="str">
        <f t="shared" ca="1" si="1"/>
        <v>LNB:NYB:TGT</v>
      </c>
      <c r="D17" s="54">
        <f ca="1">_xll.meDateFromTenor(B17,G17,)</f>
        <v>51017</v>
      </c>
      <c r="F17" s="295" t="s">
        <v>369</v>
      </c>
      <c r="G17" s="296" t="s">
        <v>41</v>
      </c>
      <c r="H17" s="297" t="s">
        <v>475</v>
      </c>
      <c r="I17" s="89" t="s">
        <v>371</v>
      </c>
      <c r="J17" s="298">
        <v>1000000</v>
      </c>
      <c r="K17" s="299">
        <v>0</v>
      </c>
      <c r="L17" s="300">
        <v>0</v>
      </c>
      <c r="M17" s="282">
        <v>13</v>
      </c>
      <c r="N17" s="301" t="str">
        <f ca="1">_xll.meLWOXccySwapCreateFromGenerator("XccySwap_"&amp;G17,H17,I17,J17,B17,D17,K17,L17,,,,,$V$6,$V$13,$V$5,$V$7)</f>
        <v>XCCYSWAP_20Y@21:0</v>
      </c>
      <c r="O17" s="403">
        <f ca="1">_xll.meLWOXccySwapParSpread(N17,Xccy.ValuationSettings)/10000</f>
        <v>-8.3749999999996533E-4</v>
      </c>
      <c r="Q17" s="408" t="str">
        <f ca="1">'Eur Xccy Curve'!I16</f>
        <v>20Y</v>
      </c>
      <c r="R17" s="400">
        <f ca="1">'Eur Xccy Curve'!J16</f>
        <v>-8.3750000000000003E-4</v>
      </c>
      <c r="S17" s="409">
        <f t="shared" ca="1" si="0"/>
        <v>3.4694469519536142E-13</v>
      </c>
      <c r="T17" s="406"/>
    </row>
    <row r="18" spans="2:20">
      <c r="B18" s="50">
        <f ca="1">_xll.meDateFromTenor(USDCurve.AsOfDate,F18,"MOD_FOLLOWING",$C18,"")</f>
        <v>43712</v>
      </c>
      <c r="C18" s="51" t="str">
        <f t="shared" ca="1" si="1"/>
        <v>LNB:NYB:TGT</v>
      </c>
      <c r="D18" s="54">
        <f ca="1">_xll.meDateFromTenor(B18,G18,)</f>
        <v>52844</v>
      </c>
      <c r="F18" s="295" t="s">
        <v>369</v>
      </c>
      <c r="G18" s="296" t="s">
        <v>42</v>
      </c>
      <c r="H18" s="297" t="s">
        <v>475</v>
      </c>
      <c r="I18" s="89" t="s">
        <v>371</v>
      </c>
      <c r="J18" s="298">
        <v>1000000</v>
      </c>
      <c r="K18" s="299">
        <v>0</v>
      </c>
      <c r="L18" s="300">
        <v>0</v>
      </c>
      <c r="M18" s="282">
        <v>14</v>
      </c>
      <c r="N18" s="301" t="str">
        <f ca="1">_xll.meLWOXccySwapCreateFromGenerator("XccySwap_"&amp;G18,H18,I18,J18,B18,D18,K18,L18,,,,,$V$6,$V$13,$V$5,$V$7)</f>
        <v>XCCYSWAP_25Y@22:0</v>
      </c>
      <c r="O18" s="403">
        <f ca="1">_xll.meLWOXccySwapParSpread(N18,Xccy.ValuationSettings)/10000</f>
        <v>-3.8750000000045199E-4</v>
      </c>
      <c r="Q18" s="408" t="str">
        <f ca="1">'Eur Xccy Curve'!I17</f>
        <v>25Y</v>
      </c>
      <c r="R18" s="400">
        <f ca="1">'Eur Xccy Curve'!J17</f>
        <v>-3.8749999999999999E-4</v>
      </c>
      <c r="S18" s="409">
        <f t="shared" ca="1" si="0"/>
        <v>4.520038857092068E-12</v>
      </c>
      <c r="T18" s="406"/>
    </row>
    <row r="19" spans="2:20">
      <c r="B19" s="52">
        <f ca="1">_xll.meDateFromTenor(USDCurve.AsOfDate,F19,"MOD_FOLLOWING",$C19,"")</f>
        <v>43712</v>
      </c>
      <c r="C19" s="53" t="str">
        <f t="shared" ca="1" si="1"/>
        <v>LNB:NYB:TGT</v>
      </c>
      <c r="D19" s="55">
        <f ca="1">_xll.meDateFromTenor(B19,G19,)</f>
        <v>54670</v>
      </c>
      <c r="F19" s="303" t="s">
        <v>369</v>
      </c>
      <c r="G19" s="304" t="s">
        <v>43</v>
      </c>
      <c r="H19" s="305" t="s">
        <v>475</v>
      </c>
      <c r="I19" s="90" t="s">
        <v>371</v>
      </c>
      <c r="J19" s="306">
        <v>1000000</v>
      </c>
      <c r="K19" s="307">
        <v>0</v>
      </c>
      <c r="L19" s="308">
        <v>0</v>
      </c>
      <c r="M19" s="282">
        <v>15</v>
      </c>
      <c r="N19" s="309" t="str">
        <f ca="1">_xll.meLWOXccySwapCreateFromGenerator("XccySwap_"&amp;G19,H19,I19,J19,B19,D19,K19,L19,,,,,$V$6,$V$13,$V$5,$V$7)</f>
        <v>XCCYSWAP_30Y@23:0</v>
      </c>
      <c r="O19" s="404">
        <f ca="1">_xll.meLWOXccySwapParSpread(N19,Xccy.ValuationSettings)/10000</f>
        <v>-6.2500000000081479E-5</v>
      </c>
      <c r="Q19" s="418" t="str">
        <f ca="1">'Eur Xccy Curve'!I18</f>
        <v>30Y</v>
      </c>
      <c r="R19" s="401">
        <f ca="1">'Eur Xccy Curve'!J18</f>
        <v>-6.2500000000000001E-5</v>
      </c>
      <c r="S19" s="419">
        <f t="shared" ca="1" si="0"/>
        <v>8.1477793262285658E-13</v>
      </c>
      <c r="T19" s="406"/>
    </row>
    <row r="20" spans="2:20">
      <c r="T20" s="406"/>
    </row>
    <row r="21" spans="2:20">
      <c r="T21" s="406"/>
    </row>
    <row r="22" spans="2:20">
      <c r="O22" s="420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2:V46"/>
  <sheetViews>
    <sheetView showGridLines="0" zoomScale="90" zoomScaleNormal="90" workbookViewId="0"/>
  </sheetViews>
  <sheetFormatPr defaultRowHeight="15"/>
  <cols>
    <col min="2" max="2" width="36.42578125" bestFit="1" customWidth="1"/>
    <col min="3" max="3" width="19.42578125" bestFit="1" customWidth="1"/>
    <col min="4" max="4" width="17.42578125" bestFit="1" customWidth="1"/>
    <col min="7" max="8" width="12.7109375" customWidth="1"/>
    <col min="9" max="9" width="11" bestFit="1" customWidth="1"/>
    <col min="12" max="12" width="13.140625" bestFit="1" customWidth="1"/>
    <col min="13" max="14" width="12.42578125" bestFit="1" customWidth="1"/>
    <col min="18" max="18" width="11.7109375" bestFit="1" customWidth="1"/>
    <col min="20" max="20" width="12.42578125" bestFit="1" customWidth="1"/>
    <col min="22" max="22" width="12.42578125" bestFit="1" customWidth="1"/>
  </cols>
  <sheetData>
    <row r="2" spans="2:22">
      <c r="B2" s="145" t="s">
        <v>419</v>
      </c>
      <c r="C2" t="str">
        <f ca="1">'Xccy Pricing'!N7</f>
        <v>XCCYSWAP_3Y@11:0</v>
      </c>
    </row>
    <row r="4" spans="2:22">
      <c r="B4" s="145" t="str">
        <f t="array" aca="1" ref="B4:D46" ca="1">_xll.meLWOSwapDisplay(C2)</f>
        <v>SWAP_PROPERTIES</v>
      </c>
      <c r="C4" t="str">
        <f ca="1"/>
        <v/>
      </c>
      <c r="D4" t="str">
        <f ca="1"/>
        <v/>
      </c>
      <c r="G4" s="145" t="s">
        <v>420</v>
      </c>
    </row>
    <row r="5" spans="2:22">
      <c r="B5" s="431" t="str">
        <f ca="1"/>
        <v>VALUATIONCURRENCY</v>
      </c>
      <c r="C5" s="428" t="str">
        <f ca="1"/>
        <v>USD</v>
      </c>
      <c r="D5" t="str">
        <f ca="1"/>
        <v/>
      </c>
      <c r="G5" s="434" t="str">
        <f ca="1">'Xccy Pricing'!U11</f>
        <v>Leg1:Float</v>
      </c>
      <c r="H5" s="435" t="str">
        <f ca="1">'Xccy Pricing'!V11</f>
        <v>EURYC</v>
      </c>
    </row>
    <row r="6" spans="2:22">
      <c r="B6" s="432" t="str">
        <f ca="1"/>
        <v>MTM</v>
      </c>
      <c r="C6" s="429" t="str">
        <f ca="1"/>
        <v>true</v>
      </c>
      <c r="D6" t="str">
        <f ca="1"/>
        <v/>
      </c>
      <c r="G6" s="436" t="str">
        <f ca="1">'Xccy Pricing'!U12</f>
        <v>Leg2:Float</v>
      </c>
      <c r="H6" s="437" t="str">
        <f ca="1">'Xccy Pricing'!V12</f>
        <v>USDYC</v>
      </c>
    </row>
    <row r="7" spans="2:22">
      <c r="B7" s="433" t="str">
        <f ca="1"/>
        <v>NOTIONALFXRESETLEG</v>
      </c>
      <c r="C7" s="430" t="str">
        <f ca="1"/>
        <v>Leg2:Float</v>
      </c>
      <c r="D7" t="str">
        <f ca="1"/>
        <v/>
      </c>
      <c r="G7" s="438" t="str">
        <f ca="1">'Xccy Pricing'!U13</f>
        <v>FXSPOT</v>
      </c>
      <c r="H7" s="439">
        <f ca="1">'Xccy Pricing'!V13</f>
        <v>1.1202000000000001</v>
      </c>
      <c r="I7" t="str">
        <f ca="1">'Xccy Pricing'!W13</f>
        <v>EUR/USD</v>
      </c>
    </row>
    <row r="8" spans="2:22">
      <c r="B8" t="str">
        <f ca="1"/>
        <v/>
      </c>
      <c r="C8" t="str">
        <f ca="1"/>
        <v/>
      </c>
      <c r="D8" t="str">
        <f ca="1"/>
        <v/>
      </c>
      <c r="G8" s="143"/>
    </row>
    <row r="9" spans="2:22">
      <c r="B9" s="145" t="str">
        <f ca="1"/>
        <v>SWAP_LEG_PROPERTIES</v>
      </c>
      <c r="C9" t="str">
        <f ca="1"/>
        <v/>
      </c>
      <c r="D9" t="str">
        <f ca="1"/>
        <v/>
      </c>
      <c r="G9" s="145" t="s">
        <v>489</v>
      </c>
    </row>
    <row r="10" spans="2:22">
      <c r="B10" s="316" t="str">
        <f ca="1"/>
        <v>LEGTYPE</v>
      </c>
      <c r="C10" s="313" t="str">
        <f ca="1"/>
        <v>Leg1:FLOAT</v>
      </c>
      <c r="D10" s="313" t="str">
        <f ca="1"/>
        <v>Leg2:FLOAT</v>
      </c>
      <c r="G10" s="440" t="str">
        <f t="array" aca="1" ref="G10:V46" ca="1">_xll.meUtilityResize(_xll.meLWOSwapDisplayCashflows($C$2,$G$5:$H$7),100,20)</f>
        <v>Leg1:FLOAT Leg Schedule &amp; Cashflows</v>
      </c>
      <c r="H10" s="441" t="str">
        <f ca="1"/>
        <v/>
      </c>
      <c r="I10" s="441" t="str">
        <f ca="1"/>
        <v/>
      </c>
      <c r="J10" s="441" t="str">
        <f ca="1"/>
        <v/>
      </c>
      <c r="K10" s="442" t="str">
        <f ca="1"/>
        <v/>
      </c>
      <c r="L10" s="441" t="str">
        <f ca="1"/>
        <v/>
      </c>
      <c r="M10" s="441" t="str">
        <f ca="1"/>
        <v/>
      </c>
      <c r="N10" s="441" t="str">
        <f ca="1"/>
        <v/>
      </c>
      <c r="O10" s="443" t="str">
        <f ca="1"/>
        <v/>
      </c>
      <c r="P10" s="443" t="str">
        <f ca="1"/>
        <v/>
      </c>
      <c r="Q10" s="444" t="str">
        <f ca="1"/>
        <v/>
      </c>
      <c r="R10" s="441" t="str">
        <f ca="1"/>
        <v/>
      </c>
      <c r="S10" s="441" t="str">
        <f ca="1"/>
        <v/>
      </c>
      <c r="T10" s="445" t="str">
        <f ca="1"/>
        <v/>
      </c>
      <c r="U10" s="441" t="str">
        <f ca="1"/>
        <v/>
      </c>
      <c r="V10" s="446" t="str">
        <f ca="1"/>
        <v/>
      </c>
    </row>
    <row r="11" spans="2:22">
      <c r="B11" s="317" t="str">
        <f ca="1"/>
        <v>FORECASTCURVE</v>
      </c>
      <c r="C11" s="314" t="str">
        <f ca="1"/>
        <v>EUR3ML</v>
      </c>
      <c r="D11" s="314" t="str">
        <f ca="1"/>
        <v>USD3ML</v>
      </c>
      <c r="G11" s="447" t="str">
        <f ca="1"/>
        <v>FixingDate</v>
      </c>
      <c r="H11" s="201" t="str">
        <f ca="1"/>
        <v>AccrualStart</v>
      </c>
      <c r="I11" s="201" t="str">
        <f ca="1"/>
        <v>AccrualEnd</v>
      </c>
      <c r="J11" s="201" t="str">
        <f ca="1"/>
        <v>AccrualDays</v>
      </c>
      <c r="K11" s="329" t="str">
        <f ca="1"/>
        <v>AccrualYearFractions</v>
      </c>
      <c r="L11" s="201" t="str">
        <f ca="1"/>
        <v>PaymentDate</v>
      </c>
      <c r="M11" s="201" t="str">
        <f ca="1"/>
        <v>Notional</v>
      </c>
      <c r="N11" s="201" t="str">
        <f ca="1"/>
        <v>NotionalExchange</v>
      </c>
      <c r="O11" s="328" t="str">
        <f ca="1"/>
        <v>Leverage</v>
      </c>
      <c r="P11" s="328" t="str">
        <f ca="1"/>
        <v>FloatSpread</v>
      </c>
      <c r="Q11" s="331" t="str">
        <f ca="1"/>
        <v>FloatRate</v>
      </c>
      <c r="R11" s="201" t="str">
        <f ca="1"/>
        <v>Coupon</v>
      </c>
      <c r="S11" s="201" t="str">
        <f ca="1"/>
        <v>DiscountFactor</v>
      </c>
      <c r="T11" s="330" t="str">
        <f ca="1"/>
        <v>CouponPV</v>
      </c>
      <c r="U11" s="201" t="str">
        <f ca="1"/>
        <v/>
      </c>
      <c r="V11" s="448" t="str">
        <f ca="1"/>
        <v/>
      </c>
    </row>
    <row r="12" spans="2:22">
      <c r="B12" s="317" t="str">
        <f ca="1"/>
        <v>COMPOUNDMETHOD</v>
      </c>
      <c r="C12" s="314" t="str">
        <f ca="1"/>
        <v/>
      </c>
      <c r="D12" s="314" t="str">
        <f ca="1"/>
        <v/>
      </c>
      <c r="G12" s="447" t="str">
        <f ca="1"/>
        <v/>
      </c>
      <c r="H12" s="201" t="str">
        <f ca="1"/>
        <v/>
      </c>
      <c r="I12" s="201" t="str">
        <f ca="1"/>
        <v/>
      </c>
      <c r="J12" s="201" t="str">
        <f ca="1"/>
        <v/>
      </c>
      <c r="K12" s="329" t="str">
        <f ca="1"/>
        <v/>
      </c>
      <c r="L12" s="327">
        <f ca="1"/>
        <v>43712</v>
      </c>
      <c r="M12" s="330" t="str">
        <f ca="1"/>
        <v/>
      </c>
      <c r="N12" s="330">
        <f ca="1"/>
        <v>1000000</v>
      </c>
      <c r="O12" s="328">
        <f ca="1"/>
        <v>1</v>
      </c>
      <c r="P12" s="328" t="str">
        <f ca="1"/>
        <v/>
      </c>
      <c r="Q12" s="331" t="str">
        <f ca="1"/>
        <v/>
      </c>
      <c r="R12" s="330">
        <f ca="1"/>
        <v>1000000</v>
      </c>
      <c r="S12" s="333">
        <f ca="1"/>
        <v>1.0000410751256199</v>
      </c>
      <c r="T12" s="330">
        <f ca="1"/>
        <v>1120246.0123557199</v>
      </c>
      <c r="U12" s="201" t="str">
        <f ca="1"/>
        <v/>
      </c>
      <c r="V12" s="448" t="str">
        <f ca="1"/>
        <v/>
      </c>
    </row>
    <row r="13" spans="2:22">
      <c r="B13" s="317" t="str">
        <f ca="1"/>
        <v>DISCOUNTCURVE</v>
      </c>
      <c r="C13" s="314" t="str">
        <f ca="1"/>
        <v>EURDF_USDCSA</v>
      </c>
      <c r="D13" s="314" t="str">
        <f ca="1"/>
        <v>USDOIS</v>
      </c>
      <c r="G13" s="449">
        <f ca="1"/>
        <v>43712</v>
      </c>
      <c r="H13" s="327">
        <f ca="1"/>
        <v>43712</v>
      </c>
      <c r="I13" s="327">
        <f ca="1"/>
        <v>43803</v>
      </c>
      <c r="J13" s="201">
        <f ca="1"/>
        <v>91</v>
      </c>
      <c r="K13" s="329">
        <f ca="1"/>
        <v>0.25277777777777799</v>
      </c>
      <c r="L13" s="327">
        <f ca="1"/>
        <v>43803</v>
      </c>
      <c r="M13" s="330">
        <f ca="1"/>
        <v>-1000000</v>
      </c>
      <c r="N13" s="330">
        <f ca="1"/>
        <v>0</v>
      </c>
      <c r="O13" s="328">
        <f ca="1"/>
        <v>1</v>
      </c>
      <c r="P13" s="328">
        <f ca="1"/>
        <v>0</v>
      </c>
      <c r="Q13" s="331">
        <f ca="1"/>
        <v>-3.47569999999932E-3</v>
      </c>
      <c r="R13" s="330">
        <f ca="1"/>
        <v>878.57972222205001</v>
      </c>
      <c r="S13" s="333">
        <f ca="1"/>
        <v>1.00193568713897</v>
      </c>
      <c r="T13" s="330">
        <f ca="1"/>
        <v>986.09007908936201</v>
      </c>
      <c r="U13" s="201" t="str">
        <f ca="1"/>
        <v/>
      </c>
      <c r="V13" s="448" t="str">
        <f ca="1"/>
        <v/>
      </c>
    </row>
    <row r="14" spans="2:22">
      <c r="B14" s="317" t="str">
        <f ca="1"/>
        <v>VALUATIONCURRENCY</v>
      </c>
      <c r="C14" s="314" t="str">
        <f ca="1"/>
        <v>EUR</v>
      </c>
      <c r="D14" s="314" t="str">
        <f ca="1"/>
        <v>USD</v>
      </c>
      <c r="G14" s="449">
        <f ca="1"/>
        <v>43803</v>
      </c>
      <c r="H14" s="327">
        <f ca="1"/>
        <v>43803</v>
      </c>
      <c r="I14" s="327">
        <f ca="1"/>
        <v>43894</v>
      </c>
      <c r="J14" s="201">
        <f ca="1"/>
        <v>91</v>
      </c>
      <c r="K14" s="329">
        <f ca="1"/>
        <v>0.25277777777777799</v>
      </c>
      <c r="L14" s="327">
        <f ca="1"/>
        <v>43894</v>
      </c>
      <c r="M14" s="330">
        <f ca="1"/>
        <v>-1000000</v>
      </c>
      <c r="N14" s="330">
        <f ca="1"/>
        <v>0</v>
      </c>
      <c r="O14" s="328">
        <f ca="1"/>
        <v>1</v>
      </c>
      <c r="P14" s="328">
        <f ca="1"/>
        <v>0</v>
      </c>
      <c r="Q14" s="331">
        <f ca="1"/>
        <v>-3.1585926071165901E-3</v>
      </c>
      <c r="R14" s="330">
        <f ca="1"/>
        <v>798.42202013225005</v>
      </c>
      <c r="S14" s="333">
        <f ca="1"/>
        <v>1.0038244185220899</v>
      </c>
      <c r="T14" s="330">
        <f ca="1"/>
        <v>897.81287760984503</v>
      </c>
      <c r="U14" s="201" t="str">
        <f ca="1"/>
        <v/>
      </c>
      <c r="V14" s="448" t="str">
        <f ca="1"/>
        <v/>
      </c>
    </row>
    <row r="15" spans="2:22">
      <c r="B15" s="317" t="str">
        <f ca="1"/>
        <v>CURRENCY</v>
      </c>
      <c r="C15" s="314" t="str">
        <f ca="1"/>
        <v>EUR</v>
      </c>
      <c r="D15" s="314" t="str">
        <f ca="1"/>
        <v>USD</v>
      </c>
      <c r="G15" s="449">
        <f ca="1"/>
        <v>43894</v>
      </c>
      <c r="H15" s="327">
        <f ca="1"/>
        <v>43894</v>
      </c>
      <c r="I15" s="327">
        <f ca="1"/>
        <v>43986</v>
      </c>
      <c r="J15" s="201">
        <f ca="1"/>
        <v>92</v>
      </c>
      <c r="K15" s="329">
        <f ca="1"/>
        <v>0.25555555555555598</v>
      </c>
      <c r="L15" s="327">
        <f ca="1"/>
        <v>43986</v>
      </c>
      <c r="M15" s="330">
        <f ca="1"/>
        <v>-1000000</v>
      </c>
      <c r="N15" s="330">
        <f ca="1"/>
        <v>0</v>
      </c>
      <c r="O15" s="328">
        <f ca="1"/>
        <v>1</v>
      </c>
      <c r="P15" s="328">
        <f ca="1"/>
        <v>0</v>
      </c>
      <c r="Q15" s="331">
        <f ca="1"/>
        <v>-3.10302971652233E-3</v>
      </c>
      <c r="R15" s="330">
        <f ca="1"/>
        <v>792.99648311126305</v>
      </c>
      <c r="S15" s="333">
        <f ca="1"/>
        <v>1.0057181993735</v>
      </c>
      <c r="T15" s="330">
        <f ca="1"/>
        <v>893.394220715698</v>
      </c>
      <c r="U15" s="201" t="str">
        <f ca="1"/>
        <v/>
      </c>
      <c r="V15" s="448" t="str">
        <f ca="1"/>
        <v/>
      </c>
    </row>
    <row r="16" spans="2:22">
      <c r="B16" s="317" t="str">
        <f ca="1"/>
        <v>FIRSTFIXING</v>
      </c>
      <c r="C16" s="314" t="str">
        <f ca="1"/>
        <v/>
      </c>
      <c r="D16" s="314" t="str">
        <f ca="1"/>
        <v/>
      </c>
      <c r="G16" s="449">
        <f ca="1"/>
        <v>43986</v>
      </c>
      <c r="H16" s="327">
        <f ca="1"/>
        <v>43986</v>
      </c>
      <c r="I16" s="327">
        <f ca="1"/>
        <v>44078</v>
      </c>
      <c r="J16" s="201">
        <f ca="1"/>
        <v>92</v>
      </c>
      <c r="K16" s="329">
        <f ca="1"/>
        <v>0.25555555555555598</v>
      </c>
      <c r="L16" s="327">
        <f ca="1"/>
        <v>44078</v>
      </c>
      <c r="M16" s="330">
        <f ca="1"/>
        <v>-1000000</v>
      </c>
      <c r="N16" s="330">
        <f ca="1"/>
        <v>0</v>
      </c>
      <c r="O16" s="328">
        <f ca="1"/>
        <v>1</v>
      </c>
      <c r="P16" s="328">
        <f ca="1"/>
        <v>0</v>
      </c>
      <c r="Q16" s="331">
        <f ca="1"/>
        <v>-3.0630321545676701E-3</v>
      </c>
      <c r="R16" s="330">
        <f ca="1"/>
        <v>782.77488394506997</v>
      </c>
      <c r="S16" s="333">
        <f ca="1"/>
        <v>1.0075862991534199</v>
      </c>
      <c r="T16" s="330">
        <f ca="1"/>
        <v>883.51658084027599</v>
      </c>
      <c r="U16" s="201" t="str">
        <f ca="1"/>
        <v/>
      </c>
      <c r="V16" s="448" t="str">
        <f ca="1"/>
        <v/>
      </c>
    </row>
    <row r="17" spans="2:22">
      <c r="B17" s="317" t="str">
        <f ca="1"/>
        <v>LASTFIXING</v>
      </c>
      <c r="C17" s="314" t="str">
        <f ca="1"/>
        <v/>
      </c>
      <c r="D17" s="314" t="str">
        <f ca="1"/>
        <v/>
      </c>
      <c r="G17" s="449">
        <f ca="1"/>
        <v>44078</v>
      </c>
      <c r="H17" s="327">
        <f ca="1"/>
        <v>44078</v>
      </c>
      <c r="I17" s="327">
        <f ca="1"/>
        <v>44169</v>
      </c>
      <c r="J17" s="201">
        <f ca="1"/>
        <v>91</v>
      </c>
      <c r="K17" s="329">
        <f ca="1"/>
        <v>0.25277777777777799</v>
      </c>
      <c r="L17" s="327">
        <f ca="1"/>
        <v>44169</v>
      </c>
      <c r="M17" s="330">
        <f ca="1"/>
        <v>-1000000</v>
      </c>
      <c r="N17" s="330">
        <f ca="1"/>
        <v>0</v>
      </c>
      <c r="O17" s="328">
        <f ca="1"/>
        <v>1</v>
      </c>
      <c r="P17" s="328">
        <f ca="1"/>
        <v>0</v>
      </c>
      <c r="Q17" s="331">
        <f ca="1"/>
        <v>-3.0164427735878598E-3</v>
      </c>
      <c r="R17" s="330">
        <f ca="1"/>
        <v>762.48970110137702</v>
      </c>
      <c r="S17" s="333">
        <f ca="1"/>
        <v>1.0094062586790999</v>
      </c>
      <c r="T17" s="330">
        <f ca="1"/>
        <v>862.17523402178904</v>
      </c>
      <c r="U17" s="201" t="str">
        <f ca="1"/>
        <v/>
      </c>
      <c r="V17" s="448" t="str">
        <f ca="1"/>
        <v/>
      </c>
    </row>
    <row r="18" spans="2:22">
      <c r="B18" s="317" t="str">
        <f ca="1"/>
        <v>FIRSTSTUBCURVEINDEX</v>
      </c>
      <c r="C18" s="314" t="str">
        <f ca="1"/>
        <v>NATURAL</v>
      </c>
      <c r="D18" s="314" t="str">
        <f ca="1"/>
        <v>NATURAL</v>
      </c>
      <c r="G18" s="449">
        <f ca="1"/>
        <v>44169</v>
      </c>
      <c r="H18" s="327">
        <f ca="1"/>
        <v>44169</v>
      </c>
      <c r="I18" s="327">
        <f ca="1"/>
        <v>44259</v>
      </c>
      <c r="J18" s="201">
        <f ca="1"/>
        <v>90</v>
      </c>
      <c r="K18" s="329">
        <f ca="1"/>
        <v>0.25</v>
      </c>
      <c r="L18" s="327">
        <f ca="1"/>
        <v>44259</v>
      </c>
      <c r="M18" s="330">
        <f ca="1"/>
        <v>-1000000</v>
      </c>
      <c r="N18" s="330">
        <f ca="1"/>
        <v>0</v>
      </c>
      <c r="O18" s="328">
        <f ca="1"/>
        <v>1</v>
      </c>
      <c r="P18" s="328">
        <f ca="1"/>
        <v>0</v>
      </c>
      <c r="Q18" s="331">
        <f ca="1"/>
        <v>-3.0145926190243699E-3</v>
      </c>
      <c r="R18" s="330">
        <f ca="1"/>
        <v>753.64815475609203</v>
      </c>
      <c r="S18" s="333">
        <f ca="1"/>
        <v>1.01120493682616</v>
      </c>
      <c r="T18" s="330">
        <f ca="1"/>
        <v>853.69628143254295</v>
      </c>
      <c r="U18" s="201" t="str">
        <f ca="1"/>
        <v/>
      </c>
      <c r="V18" s="448" t="str">
        <f ca="1"/>
        <v/>
      </c>
    </row>
    <row r="19" spans="2:22">
      <c r="B19" s="317" t="str">
        <f ca="1"/>
        <v>LASTSTUBCURVEINDEX</v>
      </c>
      <c r="C19" s="314" t="str">
        <f ca="1"/>
        <v>NATURAL</v>
      </c>
      <c r="D19" s="314" t="str">
        <f ca="1"/>
        <v>NATURAL</v>
      </c>
      <c r="G19" s="449">
        <f ca="1"/>
        <v>44259</v>
      </c>
      <c r="H19" s="327">
        <f ca="1"/>
        <v>44259</v>
      </c>
      <c r="I19" s="327">
        <f ca="1"/>
        <v>44351</v>
      </c>
      <c r="J19" s="201">
        <f ca="1"/>
        <v>92</v>
      </c>
      <c r="K19" s="329">
        <f ca="1"/>
        <v>0.25555555555555598</v>
      </c>
      <c r="L19" s="327">
        <f ca="1"/>
        <v>44351</v>
      </c>
      <c r="M19" s="330">
        <f ca="1"/>
        <v>-1000000</v>
      </c>
      <c r="N19" s="330">
        <f ca="1"/>
        <v>0</v>
      </c>
      <c r="O19" s="328">
        <f ca="1"/>
        <v>1</v>
      </c>
      <c r="P19" s="328">
        <f ca="1"/>
        <v>0</v>
      </c>
      <c r="Q19" s="331">
        <f ca="1"/>
        <v>-3.0201348301919402E-3</v>
      </c>
      <c r="R19" s="330">
        <f ca="1"/>
        <v>771.81223438238499</v>
      </c>
      <c r="S19" s="333">
        <f ca="1"/>
        <v>1.0130765861886599</v>
      </c>
      <c r="T19" s="330">
        <f ca="1"/>
        <v>875.88987299787402</v>
      </c>
      <c r="U19" s="201" t="str">
        <f ca="1"/>
        <v/>
      </c>
      <c r="V19" s="448" t="str">
        <f ca="1"/>
        <v/>
      </c>
    </row>
    <row r="20" spans="2:22">
      <c r="B20" s="317" t="str">
        <f ca="1"/>
        <v>ISFWDINTER</v>
      </c>
      <c r="C20" s="314" t="str">
        <f ca="1"/>
        <v/>
      </c>
      <c r="D20" s="314" t="str">
        <f ca="1"/>
        <v/>
      </c>
      <c r="G20" s="449">
        <f ca="1"/>
        <v>44351</v>
      </c>
      <c r="H20" s="327">
        <f ca="1"/>
        <v>44351</v>
      </c>
      <c r="I20" s="327">
        <f ca="1"/>
        <v>44446</v>
      </c>
      <c r="J20" s="201">
        <f ca="1"/>
        <v>95</v>
      </c>
      <c r="K20" s="329">
        <f ca="1"/>
        <v>0.26388888888888901</v>
      </c>
      <c r="L20" s="327">
        <f ca="1"/>
        <v>44446</v>
      </c>
      <c r="M20" s="330">
        <f ca="1"/>
        <v>-1000000</v>
      </c>
      <c r="N20" s="330">
        <f ca="1"/>
        <v>0</v>
      </c>
      <c r="O20" s="328">
        <f ca="1"/>
        <v>1</v>
      </c>
      <c r="P20" s="328">
        <f ca="1"/>
        <v>0</v>
      </c>
      <c r="Q20" s="331">
        <f ca="1"/>
        <v>-3.0266593633016502E-3</v>
      </c>
      <c r="R20" s="330">
        <f ca="1"/>
        <v>798.70177642682495</v>
      </c>
      <c r="S20" s="333">
        <f ca="1"/>
        <v>1.0150815003651901</v>
      </c>
      <c r="T20" s="330">
        <f ca="1"/>
        <v>908.19923474635698</v>
      </c>
      <c r="U20" s="201" t="str">
        <f ca="1"/>
        <v/>
      </c>
      <c r="V20" s="448" t="str">
        <f ca="1"/>
        <v/>
      </c>
    </row>
    <row r="21" spans="2:22">
      <c r="B21" s="317" t="str">
        <f ca="1"/>
        <v>NOTIONAL</v>
      </c>
      <c r="C21" s="314" t="str">
        <f ca="1"/>
        <v>1000000</v>
      </c>
      <c r="D21" s="314" t="str">
        <f ca="1"/>
        <v>1000000</v>
      </c>
      <c r="G21" s="449">
        <f ca="1"/>
        <v>44446</v>
      </c>
      <c r="H21" s="327">
        <f ca="1"/>
        <v>44446</v>
      </c>
      <c r="I21" s="327">
        <f ca="1"/>
        <v>44536</v>
      </c>
      <c r="J21" s="201">
        <f ca="1"/>
        <v>90</v>
      </c>
      <c r="K21" s="329">
        <f ca="1"/>
        <v>0.25</v>
      </c>
      <c r="L21" s="327">
        <f ca="1"/>
        <v>44536</v>
      </c>
      <c r="M21" s="330">
        <f ca="1"/>
        <v>-1000000</v>
      </c>
      <c r="N21" s="330">
        <f ca="1"/>
        <v>0</v>
      </c>
      <c r="O21" s="328">
        <f ca="1"/>
        <v>1</v>
      </c>
      <c r="P21" s="328">
        <f ca="1"/>
        <v>0</v>
      </c>
      <c r="Q21" s="331">
        <f ca="1"/>
        <v>-3.0343066795278499E-3</v>
      </c>
      <c r="R21" s="330">
        <f ca="1"/>
        <v>758.57666988196399</v>
      </c>
      <c r="S21" s="333">
        <f ca="1"/>
        <v>1.0170576832531999</v>
      </c>
      <c r="T21" s="330">
        <f ca="1"/>
        <v>864.25248133897298</v>
      </c>
      <c r="U21" s="201" t="str">
        <f ca="1"/>
        <v/>
      </c>
      <c r="V21" s="448" t="str">
        <f ca="1"/>
        <v/>
      </c>
    </row>
    <row r="22" spans="2:22">
      <c r="B22" s="317" t="str">
        <f ca="1"/>
        <v>NOTIONALEXCHANGE</v>
      </c>
      <c r="C22" s="314" t="str">
        <f ca="1"/>
        <v>START_AND_END</v>
      </c>
      <c r="D22" s="314" t="str">
        <f ca="1"/>
        <v>START_AND_END</v>
      </c>
      <c r="G22" s="449">
        <f ca="1"/>
        <v>44536</v>
      </c>
      <c r="H22" s="327">
        <f ca="1"/>
        <v>44536</v>
      </c>
      <c r="I22" s="327">
        <f ca="1"/>
        <v>44624</v>
      </c>
      <c r="J22" s="201">
        <f ca="1"/>
        <v>88</v>
      </c>
      <c r="K22" s="329">
        <f ca="1"/>
        <v>0.24444444444444399</v>
      </c>
      <c r="L22" s="327">
        <f ca="1"/>
        <v>44624</v>
      </c>
      <c r="M22" s="330">
        <f ca="1"/>
        <v>-1000000</v>
      </c>
      <c r="N22" s="330">
        <f ca="1"/>
        <v>0</v>
      </c>
      <c r="O22" s="328">
        <f ca="1"/>
        <v>1</v>
      </c>
      <c r="P22" s="328">
        <f ca="1"/>
        <v>0</v>
      </c>
      <c r="Q22" s="331">
        <f ca="1"/>
        <v>-2.8171066522629799E-3</v>
      </c>
      <c r="R22" s="330">
        <f ca="1"/>
        <v>688.62607055317301</v>
      </c>
      <c r="S22" s="333">
        <f ca="1"/>
        <v>1.0189690908186499</v>
      </c>
      <c r="T22" s="330">
        <f ca="1"/>
        <v>786.03166048486503</v>
      </c>
      <c r="U22" s="201" t="str">
        <f ca="1"/>
        <v/>
      </c>
      <c r="V22" s="448" t="str">
        <f ca="1"/>
        <v/>
      </c>
    </row>
    <row r="23" spans="2:22">
      <c r="B23" s="317" t="str">
        <f ca="1"/>
        <v>LEVERAGE</v>
      </c>
      <c r="C23" s="314" t="str">
        <f ca="1"/>
        <v>1</v>
      </c>
      <c r="D23" s="314" t="str">
        <f ca="1"/>
        <v>1</v>
      </c>
      <c r="G23" s="449">
        <f ca="1"/>
        <v>44624</v>
      </c>
      <c r="H23" s="327">
        <f ca="1"/>
        <v>44624</v>
      </c>
      <c r="I23" s="327">
        <f ca="1"/>
        <v>44718</v>
      </c>
      <c r="J23" s="201">
        <f ca="1"/>
        <v>94</v>
      </c>
      <c r="K23" s="329">
        <f ca="1"/>
        <v>0.26111111111111102</v>
      </c>
      <c r="L23" s="327">
        <f ca="1"/>
        <v>44718</v>
      </c>
      <c r="M23" s="330">
        <f ca="1"/>
        <v>-1000000</v>
      </c>
      <c r="N23" s="330">
        <f ca="1"/>
        <v>0</v>
      </c>
      <c r="O23" s="328">
        <f ca="1"/>
        <v>1</v>
      </c>
      <c r="P23" s="328">
        <f ca="1"/>
        <v>0</v>
      </c>
      <c r="Q23" s="331">
        <f ca="1"/>
        <v>-2.58295594752171E-3</v>
      </c>
      <c r="R23" s="330">
        <f ca="1"/>
        <v>674.43849740844701</v>
      </c>
      <c r="S23" s="333">
        <f ca="1"/>
        <v>1.0208560910070801</v>
      </c>
      <c r="T23" s="330">
        <f ca="1"/>
        <v>771.26290678938005</v>
      </c>
      <c r="U23" s="201" t="str">
        <f ca="1"/>
        <v/>
      </c>
      <c r="V23" s="448" t="str">
        <f ca="1"/>
        <v/>
      </c>
    </row>
    <row r="24" spans="2:22">
      <c r="B24" s="317" t="str">
        <f ca="1"/>
        <v>PAYRECEIVE</v>
      </c>
      <c r="C24" s="314" t="str">
        <f ca="1"/>
        <v>PAY</v>
      </c>
      <c r="D24" s="314" t="str">
        <f ca="1"/>
        <v>RECEIVE</v>
      </c>
      <c r="G24" s="449">
        <f ca="1"/>
        <v>44718</v>
      </c>
      <c r="H24" s="327">
        <f ca="1"/>
        <v>44718</v>
      </c>
      <c r="I24" s="327">
        <f ca="1"/>
        <v>44810</v>
      </c>
      <c r="J24" s="201">
        <f ca="1"/>
        <v>92</v>
      </c>
      <c r="K24" s="329">
        <f ca="1"/>
        <v>0.25555555555555598</v>
      </c>
      <c r="L24" s="327">
        <f ca="1"/>
        <v>44810</v>
      </c>
      <c r="M24" s="330">
        <f ca="1"/>
        <v>-1000000</v>
      </c>
      <c r="N24" s="330">
        <f ca="1"/>
        <v>-1000000</v>
      </c>
      <c r="O24" s="328">
        <f ca="1"/>
        <v>1</v>
      </c>
      <c r="P24" s="328">
        <f ca="1"/>
        <v>0</v>
      </c>
      <c r="Q24" s="331">
        <f ca="1"/>
        <v>-1.92991211965887E-3</v>
      </c>
      <c r="R24" s="330">
        <f ca="1"/>
        <v>-999506.80023608694</v>
      </c>
      <c r="S24" s="333">
        <f ca="1"/>
        <v>1.02241432472407</v>
      </c>
      <c r="T24" s="330">
        <f ca="1"/>
        <v>-1144743.6606610001</v>
      </c>
      <c r="U24" s="201" t="str">
        <f ca="1"/>
        <v/>
      </c>
      <c r="V24" s="448" t="str">
        <f ca="1"/>
        <v/>
      </c>
    </row>
    <row r="25" spans="2:22">
      <c r="B25" s="317" t="str">
        <f ca="1"/>
        <v>EFFECTIVEDATE</v>
      </c>
      <c r="C25" s="314" t="str">
        <f ca="1"/>
        <v>43712</v>
      </c>
      <c r="D25" s="314" t="str">
        <f ca="1"/>
        <v>43712</v>
      </c>
      <c r="G25" s="449" t="str">
        <f ca="1"/>
        <v>Leg2:FLOAT Leg Schedule &amp; Cashflows</v>
      </c>
      <c r="H25" s="327" t="str">
        <f ca="1"/>
        <v/>
      </c>
      <c r="I25" s="327" t="str">
        <f ca="1"/>
        <v/>
      </c>
      <c r="J25" s="201" t="str">
        <f ca="1"/>
        <v/>
      </c>
      <c r="K25" s="329" t="str">
        <f ca="1"/>
        <v/>
      </c>
      <c r="L25" s="327" t="str">
        <f ca="1"/>
        <v/>
      </c>
      <c r="M25" s="330" t="str">
        <f ca="1"/>
        <v/>
      </c>
      <c r="N25" s="330" t="str">
        <f ca="1"/>
        <v/>
      </c>
      <c r="O25" s="328" t="str">
        <f ca="1"/>
        <v/>
      </c>
      <c r="P25" s="328" t="str">
        <f ca="1"/>
        <v/>
      </c>
      <c r="Q25" s="331" t="str">
        <f ca="1"/>
        <v/>
      </c>
      <c r="R25" s="201" t="str">
        <f ca="1"/>
        <v/>
      </c>
      <c r="S25" s="333" t="str">
        <f ca="1"/>
        <v/>
      </c>
      <c r="T25" s="330" t="str">
        <f ca="1"/>
        <v/>
      </c>
      <c r="U25" s="201" t="str">
        <f ca="1"/>
        <v/>
      </c>
      <c r="V25" s="448" t="str">
        <f ca="1"/>
        <v/>
      </c>
    </row>
    <row r="26" spans="2:22">
      <c r="B26" s="317" t="str">
        <f ca="1"/>
        <v>MATURITYDATE</v>
      </c>
      <c r="C26" s="314" t="str">
        <f ca="1"/>
        <v>44808</v>
      </c>
      <c r="D26" s="314" t="str">
        <f ca="1"/>
        <v>44808</v>
      </c>
      <c r="G26" s="449" t="str">
        <f ca="1"/>
        <v>FixingDate</v>
      </c>
      <c r="H26" s="327" t="str">
        <f ca="1"/>
        <v>AccrualStart</v>
      </c>
      <c r="I26" s="327" t="str">
        <f ca="1"/>
        <v>AccrualEnd</v>
      </c>
      <c r="J26" s="201" t="str">
        <f ca="1"/>
        <v>AccrualDays</v>
      </c>
      <c r="K26" s="329" t="str">
        <f ca="1"/>
        <v>AccrualYearFractions</v>
      </c>
      <c r="L26" s="327" t="str">
        <f ca="1"/>
        <v>PaymentDate</v>
      </c>
      <c r="M26" s="330" t="str">
        <f ca="1"/>
        <v>Notional</v>
      </c>
      <c r="N26" s="330" t="str">
        <f ca="1"/>
        <v>NotionalExchange</v>
      </c>
      <c r="O26" s="328" t="str">
        <f ca="1"/>
        <v>Leverage</v>
      </c>
      <c r="P26" s="328" t="str">
        <f ca="1"/>
        <v>FloatSpread</v>
      </c>
      <c r="Q26" s="331" t="str">
        <f ca="1"/>
        <v>FloatRate</v>
      </c>
      <c r="R26" s="201" t="str">
        <f ca="1"/>
        <v>FxFixingDate</v>
      </c>
      <c r="S26" s="201" t="str">
        <f ca="1"/>
        <v>FxRate</v>
      </c>
      <c r="T26" s="201" t="str">
        <f ca="1"/>
        <v>Coupon</v>
      </c>
      <c r="U26" s="201" t="str">
        <f ca="1"/>
        <v>DiscountFactor</v>
      </c>
      <c r="V26" s="448" t="str">
        <f ca="1"/>
        <v>CouponPV</v>
      </c>
    </row>
    <row r="27" spans="2:22">
      <c r="B27" s="317" t="str">
        <f ca="1"/>
        <v>ACCRUALFREQUENCY</v>
      </c>
      <c r="C27" s="314" t="str">
        <f ca="1"/>
        <v>QUARTERLY</v>
      </c>
      <c r="D27" s="314" t="str">
        <f ca="1"/>
        <v>QUARTERLY</v>
      </c>
      <c r="G27" s="449" t="str">
        <f ca="1"/>
        <v/>
      </c>
      <c r="H27" s="327" t="str">
        <f ca="1"/>
        <v/>
      </c>
      <c r="I27" s="327" t="str">
        <f ca="1"/>
        <v/>
      </c>
      <c r="J27" s="201" t="str">
        <f ca="1"/>
        <v/>
      </c>
      <c r="K27" s="329" t="str">
        <f ca="1"/>
        <v/>
      </c>
      <c r="L27" s="327">
        <f ca="1"/>
        <v>43712</v>
      </c>
      <c r="M27" s="330" t="str">
        <f ca="1"/>
        <v/>
      </c>
      <c r="N27" s="330">
        <f ca="1"/>
        <v>-1120364.8860581799</v>
      </c>
      <c r="O27" s="328">
        <f ca="1"/>
        <v>1</v>
      </c>
      <c r="P27" s="328" t="str">
        <f ca="1"/>
        <v/>
      </c>
      <c r="Q27" s="331" t="str">
        <f ca="1"/>
        <v/>
      </c>
      <c r="R27" s="327" t="str">
        <f ca="1"/>
        <v/>
      </c>
      <c r="S27" s="332" t="str">
        <f ca="1"/>
        <v/>
      </c>
      <c r="T27" s="330">
        <f ca="1"/>
        <v>-1120364.8860581799</v>
      </c>
      <c r="U27" s="333">
        <f ca="1"/>
        <v>0.99989389733296796</v>
      </c>
      <c r="V27" s="450">
        <f ca="1"/>
        <v>-1120246.0123557199</v>
      </c>
    </row>
    <row r="28" spans="2:22">
      <c r="B28" s="317" t="str">
        <f ca="1"/>
        <v>ACCRUALBUSINESSDAYADJUSTMENT</v>
      </c>
      <c r="C28" s="314" t="str">
        <f ca="1"/>
        <v>MOD_FOLLOWING</v>
      </c>
      <c r="D28" s="314" t="str">
        <f ca="1"/>
        <v>MOD_FOLLOWING</v>
      </c>
      <c r="G28" s="449">
        <f ca="1"/>
        <v>43712</v>
      </c>
      <c r="H28" s="327">
        <f ca="1"/>
        <v>43712</v>
      </c>
      <c r="I28" s="327">
        <f ca="1"/>
        <v>43803</v>
      </c>
      <c r="J28" s="201">
        <f ca="1"/>
        <v>91</v>
      </c>
      <c r="K28" s="329">
        <f ca="1"/>
        <v>0.25277777777777799</v>
      </c>
      <c r="L28" s="327">
        <f ca="1"/>
        <v>43803</v>
      </c>
      <c r="M28" s="330">
        <f ca="1"/>
        <v>1120364.8860581799</v>
      </c>
      <c r="N28" s="330">
        <f ca="1"/>
        <v>-7946.8682554070801</v>
      </c>
      <c r="O28" s="328">
        <f ca="1"/>
        <v>1</v>
      </c>
      <c r="P28" s="328">
        <f ca="1"/>
        <v>0</v>
      </c>
      <c r="Q28" s="331">
        <f ca="1"/>
        <v>2.31175000000001E-2</v>
      </c>
      <c r="R28" s="327">
        <f ca="1"/>
        <v>43712</v>
      </c>
      <c r="S28" s="332">
        <f ca="1"/>
        <v>0.89256635266242601</v>
      </c>
      <c r="T28" s="330">
        <f ca="1"/>
        <v>-1399.91489967389</v>
      </c>
      <c r="U28" s="333">
        <f ca="1"/>
        <v>0.99473248633829403</v>
      </c>
      <c r="V28" s="450">
        <f ca="1"/>
        <v>-1392.54082881463</v>
      </c>
    </row>
    <row r="29" spans="2:22">
      <c r="B29" s="317" t="str">
        <f ca="1"/>
        <v>ACCRUALCALENDAR</v>
      </c>
      <c r="C29" s="314" t="str">
        <f ca="1"/>
        <v>LNB:NYB:TGT</v>
      </c>
      <c r="D29" s="314" t="str">
        <f ca="1"/>
        <v>LNB:NYB:TGT</v>
      </c>
      <c r="G29" s="449">
        <f ca="1"/>
        <v>43803</v>
      </c>
      <c r="H29" s="327">
        <f ca="1"/>
        <v>43803</v>
      </c>
      <c r="I29" s="327">
        <f ca="1"/>
        <v>43894</v>
      </c>
      <c r="J29" s="201">
        <f ca="1"/>
        <v>91</v>
      </c>
      <c r="K29" s="329">
        <f ca="1"/>
        <v>0.25277777777777799</v>
      </c>
      <c r="L29" s="327">
        <f ca="1"/>
        <v>43894</v>
      </c>
      <c r="M29" s="330">
        <f ca="1"/>
        <v>1128311.75431358</v>
      </c>
      <c r="N29" s="330">
        <f ca="1"/>
        <v>-8645.2137771369798</v>
      </c>
      <c r="O29" s="328">
        <f ca="1"/>
        <v>1</v>
      </c>
      <c r="P29" s="328">
        <f ca="1"/>
        <v>0</v>
      </c>
      <c r="Q29" s="331">
        <f ca="1"/>
        <v>2.35238420164295E-2</v>
      </c>
      <c r="R29" s="327">
        <f ca="1"/>
        <v>43803</v>
      </c>
      <c r="S29" s="332">
        <f ca="1"/>
        <v>0.88627987449121104</v>
      </c>
      <c r="T29" s="330">
        <f ca="1"/>
        <v>-1935.92850410495</v>
      </c>
      <c r="U29" s="333">
        <f ca="1"/>
        <v>0.98902961606082496</v>
      </c>
      <c r="V29" s="450">
        <f ca="1"/>
        <v>-1914.6906251361199</v>
      </c>
    </row>
    <row r="30" spans="2:22">
      <c r="B30" s="317" t="str">
        <f ca="1"/>
        <v>ACCRUALDAYCOUNT</v>
      </c>
      <c r="C30" s="314" t="str">
        <f ca="1"/>
        <v>ACT/360</v>
      </c>
      <c r="D30" s="314" t="str">
        <f ca="1"/>
        <v>ACT/360</v>
      </c>
      <c r="G30" s="449">
        <f ca="1"/>
        <v>43894</v>
      </c>
      <c r="H30" s="327">
        <f ca="1"/>
        <v>43894</v>
      </c>
      <c r="I30" s="327">
        <f ca="1"/>
        <v>43986</v>
      </c>
      <c r="J30" s="201">
        <f ca="1"/>
        <v>92</v>
      </c>
      <c r="K30" s="329">
        <f ca="1"/>
        <v>0.25555555555555598</v>
      </c>
      <c r="L30" s="327">
        <f ca="1"/>
        <v>43986</v>
      </c>
      <c r="M30" s="330">
        <f ca="1"/>
        <v>1136956.96809072</v>
      </c>
      <c r="N30" s="330">
        <f ca="1"/>
        <v>-8673.0177337783298</v>
      </c>
      <c r="O30" s="328">
        <f ca="1"/>
        <v>1</v>
      </c>
      <c r="P30" s="328">
        <f ca="1"/>
        <v>0</v>
      </c>
      <c r="Q30" s="331">
        <f ca="1"/>
        <v>2.5680391945774299E-2</v>
      </c>
      <c r="R30" s="327">
        <f ca="1"/>
        <v>43894</v>
      </c>
      <c r="S30" s="332">
        <f ca="1"/>
        <v>0.87954076369248202</v>
      </c>
      <c r="T30" s="330">
        <f ca="1"/>
        <v>-1211.43425578808</v>
      </c>
      <c r="U30" s="333">
        <f ca="1"/>
        <v>0.98339388884569501</v>
      </c>
      <c r="V30" s="450">
        <f ca="1"/>
        <v>-1191.3170438803299</v>
      </c>
    </row>
    <row r="31" spans="2:22">
      <c r="B31" s="317" t="str">
        <f ca="1"/>
        <v>PAYMENTFREQUENCY</v>
      </c>
      <c r="C31" s="314" t="str">
        <f ca="1"/>
        <v/>
      </c>
      <c r="D31" s="314" t="str">
        <f ca="1"/>
        <v/>
      </c>
      <c r="G31" s="449">
        <f ca="1"/>
        <v>43986</v>
      </c>
      <c r="H31" s="327">
        <f ca="1"/>
        <v>43986</v>
      </c>
      <c r="I31" s="327">
        <f ca="1"/>
        <v>44078</v>
      </c>
      <c r="J31" s="201">
        <f ca="1"/>
        <v>92</v>
      </c>
      <c r="K31" s="329">
        <f ca="1"/>
        <v>0.25555555555555598</v>
      </c>
      <c r="L31" s="327">
        <f ca="1"/>
        <v>44078</v>
      </c>
      <c r="M31" s="330">
        <f ca="1"/>
        <v>1145629.9858245</v>
      </c>
      <c r="N31" s="330">
        <f ca="1"/>
        <v>-8810.8523832014707</v>
      </c>
      <c r="O31" s="328">
        <f ca="1"/>
        <v>1</v>
      </c>
      <c r="P31" s="328">
        <f ca="1"/>
        <v>0</v>
      </c>
      <c r="Q31" s="331">
        <f ca="1"/>
        <v>2.7224592631163801E-2</v>
      </c>
      <c r="R31" s="327">
        <f ca="1"/>
        <v>43986</v>
      </c>
      <c r="S31" s="332">
        <f ca="1"/>
        <v>0.87288218043656596</v>
      </c>
      <c r="T31" s="330">
        <f ca="1"/>
        <v>-840.25102306024405</v>
      </c>
      <c r="U31" s="333">
        <f ca="1"/>
        <v>0.97770118221389202</v>
      </c>
      <c r="V31" s="450">
        <f ca="1"/>
        <v>-821.51441860243301</v>
      </c>
    </row>
    <row r="32" spans="2:22">
      <c r="B32" s="317" t="str">
        <f ca="1"/>
        <v>PAYMENTBUSINESSDAYADJUSTMENT</v>
      </c>
      <c r="C32" s="314" t="str">
        <f ca="1"/>
        <v>MOD_FOLLOWING</v>
      </c>
      <c r="D32" s="314" t="str">
        <f ca="1"/>
        <v>MOD_FOLLOWING</v>
      </c>
      <c r="G32" s="449">
        <f ca="1"/>
        <v>44078</v>
      </c>
      <c r="H32" s="327">
        <f ca="1"/>
        <v>44078</v>
      </c>
      <c r="I32" s="327">
        <f ca="1"/>
        <v>44169</v>
      </c>
      <c r="J32" s="201">
        <f ca="1"/>
        <v>91</v>
      </c>
      <c r="K32" s="329">
        <f ca="1"/>
        <v>0.25277777777777799</v>
      </c>
      <c r="L32" s="327">
        <f ca="1"/>
        <v>44169</v>
      </c>
      <c r="M32" s="330">
        <f ca="1"/>
        <v>1154440.8382077001</v>
      </c>
      <c r="N32" s="330">
        <f ca="1"/>
        <v>-9250.4580949305</v>
      </c>
      <c r="O32" s="328">
        <f ca="1"/>
        <v>1</v>
      </c>
      <c r="P32" s="328">
        <f ca="1"/>
        <v>0</v>
      </c>
      <c r="Q32" s="331">
        <f ca="1"/>
        <v>2.8325502841439101E-2</v>
      </c>
      <c r="R32" s="327">
        <f ca="1"/>
        <v>44078</v>
      </c>
      <c r="S32" s="332">
        <f ca="1"/>
        <v>0.86622022272923704</v>
      </c>
      <c r="T32" s="330">
        <f ca="1"/>
        <v>-984.59512519098803</v>
      </c>
      <c r="U32" s="333">
        <f ca="1"/>
        <v>0.97168114478899303</v>
      </c>
      <c r="V32" s="450">
        <f ca="1"/>
        <v>-956.71251839924105</v>
      </c>
    </row>
    <row r="33" spans="2:22">
      <c r="B33" s="317" t="str">
        <f ca="1"/>
        <v>PAYMENTCALENDAR</v>
      </c>
      <c r="C33" s="314" t="str">
        <f ca="1"/>
        <v>LNB:NYB:TGT</v>
      </c>
      <c r="D33" s="314" t="str">
        <f ca="1"/>
        <v>LNB:NYB:TGT</v>
      </c>
      <c r="G33" s="449">
        <f ca="1"/>
        <v>44169</v>
      </c>
      <c r="H33" s="327">
        <f ca="1"/>
        <v>44169</v>
      </c>
      <c r="I33" s="327">
        <f ca="1"/>
        <v>44259</v>
      </c>
      <c r="J33" s="201">
        <f ca="1"/>
        <v>90</v>
      </c>
      <c r="K33" s="329">
        <f ca="1"/>
        <v>0.25</v>
      </c>
      <c r="L33" s="327">
        <f ca="1"/>
        <v>44259</v>
      </c>
      <c r="M33" s="330">
        <f ca="1"/>
        <v>1163691.2963026301</v>
      </c>
      <c r="N33" s="330">
        <f ca="1"/>
        <v>-9633.3141498961395</v>
      </c>
      <c r="O33" s="328">
        <f ca="1"/>
        <v>1</v>
      </c>
      <c r="P33" s="328">
        <f ca="1"/>
        <v>0</v>
      </c>
      <c r="Q33" s="331">
        <f ca="1"/>
        <v>2.89705752084739E-2</v>
      </c>
      <c r="R33" s="327">
        <f ca="1"/>
        <v>44169</v>
      </c>
      <c r="S33" s="332">
        <f ca="1"/>
        <v>0.85933443274627697</v>
      </c>
      <c r="T33" s="330">
        <f ca="1"/>
        <v>-1205.1125951506899</v>
      </c>
      <c r="U33" s="333">
        <f ca="1"/>
        <v>0.96542061774003396</v>
      </c>
      <c r="V33" s="450">
        <f ca="1"/>
        <v>-1163.44054605667</v>
      </c>
    </row>
    <row r="34" spans="2:22">
      <c r="B34" s="317" t="str">
        <f ca="1"/>
        <v>PAYMENTLAG</v>
      </c>
      <c r="C34" s="314" t="str">
        <f ca="1"/>
        <v>0D</v>
      </c>
      <c r="D34" s="314" t="str">
        <f ca="1"/>
        <v>0D</v>
      </c>
      <c r="G34" s="449">
        <f ca="1"/>
        <v>44259</v>
      </c>
      <c r="H34" s="327">
        <f ca="1"/>
        <v>44259</v>
      </c>
      <c r="I34" s="327">
        <f ca="1"/>
        <v>44351</v>
      </c>
      <c r="J34" s="201">
        <f ca="1"/>
        <v>92</v>
      </c>
      <c r="K34" s="329">
        <f ca="1"/>
        <v>0.25555555555555598</v>
      </c>
      <c r="L34" s="327">
        <f ca="1"/>
        <v>44351</v>
      </c>
      <c r="M34" s="330">
        <f ca="1"/>
        <v>1173324.61045253</v>
      </c>
      <c r="N34" s="330">
        <f ca="1"/>
        <v>-10187.9609958734</v>
      </c>
      <c r="O34" s="328">
        <f ca="1"/>
        <v>1</v>
      </c>
      <c r="P34" s="328">
        <f ca="1"/>
        <v>0</v>
      </c>
      <c r="Q34" s="331">
        <f ca="1"/>
        <v>2.9286979864327701E-2</v>
      </c>
      <c r="R34" s="327">
        <f ca="1"/>
        <v>44259</v>
      </c>
      <c r="S34" s="332">
        <f ca="1"/>
        <v>0.85227906334831005</v>
      </c>
      <c r="T34" s="330">
        <f ca="1"/>
        <v>-1406.2711343757101</v>
      </c>
      <c r="U34" s="333">
        <f ca="1"/>
        <v>0.95888156934377999</v>
      </c>
      <c r="V34" s="450">
        <f ca="1"/>
        <v>-1348.4474722530399</v>
      </c>
    </row>
    <row r="35" spans="2:22">
      <c r="B35" s="317" t="str">
        <f ca="1"/>
        <v>FIRSTSTUBDATE</v>
      </c>
      <c r="C35" s="314" t="str">
        <f ca="1"/>
        <v/>
      </c>
      <c r="D35" s="314" t="str">
        <f ca="1"/>
        <v/>
      </c>
      <c r="G35" s="449">
        <f ca="1"/>
        <v>44351</v>
      </c>
      <c r="H35" s="327">
        <f ca="1"/>
        <v>44351</v>
      </c>
      <c r="I35" s="327">
        <f ca="1"/>
        <v>44446</v>
      </c>
      <c r="J35" s="201">
        <f ca="1"/>
        <v>95</v>
      </c>
      <c r="K35" s="329">
        <f ca="1"/>
        <v>0.26388888888888901</v>
      </c>
      <c r="L35" s="327">
        <f ca="1"/>
        <v>44446</v>
      </c>
      <c r="M35" s="330">
        <f ca="1"/>
        <v>1183512.5714483999</v>
      </c>
      <c r="N35" s="330">
        <f ca="1"/>
        <v>-10706.207887333099</v>
      </c>
      <c r="O35" s="328">
        <f ca="1"/>
        <v>1</v>
      </c>
      <c r="P35" s="328">
        <f ca="1"/>
        <v>0</v>
      </c>
      <c r="Q35" s="331">
        <f ca="1"/>
        <v>2.9297464452973501E-2</v>
      </c>
      <c r="R35" s="327">
        <f ca="1"/>
        <v>44351</v>
      </c>
      <c r="S35" s="332">
        <f ca="1"/>
        <v>0.84494244009270303</v>
      </c>
      <c r="T35" s="330">
        <f ca="1"/>
        <v>-1556.1463270348199</v>
      </c>
      <c r="U35" s="333">
        <f ca="1"/>
        <v>0.95216581449303395</v>
      </c>
      <c r="V35" s="450">
        <f ca="1"/>
        <v>-1481.7093349514601</v>
      </c>
    </row>
    <row r="36" spans="2:22">
      <c r="B36" s="317" t="str">
        <f ca="1"/>
        <v>LASTSTUBDATE</v>
      </c>
      <c r="C36" s="314" t="str">
        <f ca="1"/>
        <v/>
      </c>
      <c r="D36" s="314" t="str">
        <f ca="1"/>
        <v/>
      </c>
      <c r="G36" s="449">
        <f ca="1"/>
        <v>44446</v>
      </c>
      <c r="H36" s="327">
        <f ca="1"/>
        <v>44446</v>
      </c>
      <c r="I36" s="327">
        <f ca="1"/>
        <v>44536</v>
      </c>
      <c r="J36" s="201">
        <f ca="1"/>
        <v>90</v>
      </c>
      <c r="K36" s="329">
        <f ca="1"/>
        <v>0.25</v>
      </c>
      <c r="L36" s="327">
        <f ca="1"/>
        <v>44536</v>
      </c>
      <c r="M36" s="330">
        <f ca="1"/>
        <v>1194218.77933573</v>
      </c>
      <c r="N36" s="330">
        <f ca="1"/>
        <v>-10165.4141711308</v>
      </c>
      <c r="O36" s="328">
        <f ca="1"/>
        <v>1</v>
      </c>
      <c r="P36" s="328">
        <f ca="1"/>
        <v>0</v>
      </c>
      <c r="Q36" s="331">
        <f ca="1"/>
        <v>2.9244688864567402E-2</v>
      </c>
      <c r="R36" s="327">
        <f ca="1"/>
        <v>44446</v>
      </c>
      <c r="S36" s="332">
        <f ca="1"/>
        <v>0.837367505270882</v>
      </c>
      <c r="T36" s="330">
        <f ca="1"/>
        <v>-1434.2750116566301</v>
      </c>
      <c r="U36" s="333">
        <f ca="1"/>
        <v>0.94596726104720297</v>
      </c>
      <c r="V36" s="450">
        <f ca="1"/>
        <v>-1356.7772043652701</v>
      </c>
    </row>
    <row r="37" spans="2:22">
      <c r="B37" s="317" t="str">
        <f ca="1"/>
        <v>ROLLDAY</v>
      </c>
      <c r="C37" s="314" t="str">
        <f ca="1"/>
        <v>NORMAL</v>
      </c>
      <c r="D37" s="314" t="str">
        <f ca="1"/>
        <v>NORMAL</v>
      </c>
      <c r="G37" s="449">
        <f ca="1"/>
        <v>44536</v>
      </c>
      <c r="H37" s="327">
        <f ca="1"/>
        <v>44536</v>
      </c>
      <c r="I37" s="327">
        <f ca="1"/>
        <v>44624</v>
      </c>
      <c r="J37" s="201">
        <f ca="1"/>
        <v>88</v>
      </c>
      <c r="K37" s="329">
        <f ca="1"/>
        <v>0.24444444444444399</v>
      </c>
      <c r="L37" s="327">
        <f ca="1"/>
        <v>44624</v>
      </c>
      <c r="M37" s="330">
        <f ca="1"/>
        <v>1204384.1935068599</v>
      </c>
      <c r="N37" s="330">
        <f ca="1"/>
        <v>-9887.71115556312</v>
      </c>
      <c r="O37" s="328">
        <f ca="1"/>
        <v>1</v>
      </c>
      <c r="P37" s="328">
        <f ca="1"/>
        <v>0</v>
      </c>
      <c r="Q37" s="331">
        <f ca="1"/>
        <v>2.91878371422599E-2</v>
      </c>
      <c r="R37" s="327">
        <f ca="1"/>
        <v>44536</v>
      </c>
      <c r="S37" s="332">
        <f ca="1"/>
        <v>0.83029983737020996</v>
      </c>
      <c r="T37" s="330">
        <f ca="1"/>
        <v>-1294.66522968103</v>
      </c>
      <c r="U37" s="333">
        <f ca="1"/>
        <v>0.940027658675331</v>
      </c>
      <c r="V37" s="450">
        <f ca="1"/>
        <v>-1217.02112462542</v>
      </c>
    </row>
    <row r="38" spans="2:22">
      <c r="B38" s="317" t="str">
        <f ca="1"/>
        <v>STUBTYPE</v>
      </c>
      <c r="C38" s="314" t="str">
        <f ca="1"/>
        <v>ShortStart</v>
      </c>
      <c r="D38" s="314" t="str">
        <f ca="1"/>
        <v>ShortStart</v>
      </c>
      <c r="G38" s="449">
        <f ca="1"/>
        <v>44624</v>
      </c>
      <c r="H38" s="327">
        <f ca="1"/>
        <v>44624</v>
      </c>
      <c r="I38" s="327">
        <f ca="1"/>
        <v>44718</v>
      </c>
      <c r="J38" s="201">
        <f ca="1"/>
        <v>94</v>
      </c>
      <c r="K38" s="329">
        <f ca="1"/>
        <v>0.26111111111111102</v>
      </c>
      <c r="L38" s="327">
        <f ca="1"/>
        <v>44718</v>
      </c>
      <c r="M38" s="330">
        <f ca="1"/>
        <v>1214271.9046624301</v>
      </c>
      <c r="N38" s="330">
        <f ca="1"/>
        <v>-10444.412492257499</v>
      </c>
      <c r="O38" s="328">
        <f ca="1"/>
        <v>1</v>
      </c>
      <c r="P38" s="328">
        <f ca="1"/>
        <v>0</v>
      </c>
      <c r="Q38" s="331">
        <f ca="1"/>
        <v>2.9126076468279301E-2</v>
      </c>
      <c r="R38" s="327">
        <f ca="1"/>
        <v>44624</v>
      </c>
      <c r="S38" s="332">
        <f ca="1"/>
        <v>0.82353877756728999</v>
      </c>
      <c r="T38" s="330">
        <f ca="1"/>
        <v>-1209.7020012652799</v>
      </c>
      <c r="U38" s="333">
        <f ca="1"/>
        <v>0.93373704353258202</v>
      </c>
      <c r="V38" s="450">
        <f ca="1"/>
        <v>-1129.54357021689</v>
      </c>
    </row>
    <row r="39" spans="2:22">
      <c r="B39" s="317" t="str">
        <f ca="1"/>
        <v>FIXINGBUSINESSDAYADJUSTMENT</v>
      </c>
      <c r="C39" s="314" t="str">
        <f ca="1"/>
        <v>MOD_FOLLOWING</v>
      </c>
      <c r="D39" s="314" t="str">
        <f ca="1"/>
        <v>MOD_FOLLOWING</v>
      </c>
      <c r="G39" s="449">
        <f ca="1"/>
        <v>44718</v>
      </c>
      <c r="H39" s="327">
        <f ca="1"/>
        <v>44718</v>
      </c>
      <c r="I39" s="327">
        <f ca="1"/>
        <v>44810</v>
      </c>
      <c r="J39" s="201">
        <f ca="1"/>
        <v>92</v>
      </c>
      <c r="K39" s="329">
        <f ca="1"/>
        <v>0.25555555555555598</v>
      </c>
      <c r="L39" s="327">
        <f ca="1"/>
        <v>44810</v>
      </c>
      <c r="M39" s="330">
        <f ca="1"/>
        <v>1224716.3171546799</v>
      </c>
      <c r="N39" s="330">
        <f ca="1"/>
        <v>1224716.3171546799</v>
      </c>
      <c r="O39" s="328">
        <f ca="1"/>
        <v>1</v>
      </c>
      <c r="P39" s="328">
        <f ca="1"/>
        <v>0</v>
      </c>
      <c r="Q39" s="331">
        <f ca="1"/>
        <v>2.9032037947631099E-2</v>
      </c>
      <c r="R39" s="327">
        <f ca="1"/>
        <v>44718</v>
      </c>
      <c r="S39" s="332">
        <f ca="1"/>
        <v>0.81651561752948998</v>
      </c>
      <c r="T39" s="330">
        <f ca="1"/>
        <v>1233802.8531955599</v>
      </c>
      <c r="U39" s="333">
        <f ca="1"/>
        <v>0.92755725819844603</v>
      </c>
      <c r="V39" s="450">
        <f ca="1"/>
        <v>1144422.79166749</v>
      </c>
    </row>
    <row r="40" spans="2:22">
      <c r="B40" s="317" t="str">
        <f ca="1"/>
        <v>FIXINGCALENDAR</v>
      </c>
      <c r="C40" s="314" t="str">
        <f ca="1"/>
        <v>LNB:NYB:TGT</v>
      </c>
      <c r="D40" s="314" t="str">
        <f ca="1"/>
        <v>LNB:NYB:TGT</v>
      </c>
      <c r="G40" s="449" t="str">
        <f ca="1"/>
        <v/>
      </c>
      <c r="H40" s="327" t="str">
        <f ca="1"/>
        <v/>
      </c>
      <c r="I40" s="327" t="str">
        <f ca="1"/>
        <v/>
      </c>
      <c r="J40" s="201" t="str">
        <f ca="1"/>
        <v/>
      </c>
      <c r="K40" s="329" t="str">
        <f ca="1"/>
        <v/>
      </c>
      <c r="L40" s="327" t="str">
        <f ca="1"/>
        <v/>
      </c>
      <c r="M40" s="330" t="str">
        <f ca="1"/>
        <v/>
      </c>
      <c r="N40" s="330" t="str">
        <f ca="1"/>
        <v/>
      </c>
      <c r="O40" s="328" t="str">
        <f ca="1"/>
        <v/>
      </c>
      <c r="P40" s="328" t="str">
        <f ca="1"/>
        <v/>
      </c>
      <c r="Q40" s="331" t="str">
        <f ca="1"/>
        <v/>
      </c>
      <c r="R40" s="327" t="str">
        <f ca="1"/>
        <v/>
      </c>
      <c r="S40" s="332" t="str">
        <f ca="1"/>
        <v/>
      </c>
      <c r="T40" s="330" t="str">
        <f ca="1"/>
        <v/>
      </c>
      <c r="U40" s="333" t="str">
        <f ca="1"/>
        <v/>
      </c>
      <c r="V40" s="450" t="str">
        <f ca="1"/>
        <v/>
      </c>
    </row>
    <row r="41" spans="2:22">
      <c r="B41" s="317" t="str">
        <f ca="1"/>
        <v>FIXINGLAG</v>
      </c>
      <c r="C41" s="314" t="str">
        <f ca="1"/>
        <v>0D</v>
      </c>
      <c r="D41" s="314" t="str">
        <f ca="1"/>
        <v>0D</v>
      </c>
      <c r="G41" s="449" t="str">
        <f ca="1"/>
        <v/>
      </c>
      <c r="H41" s="327" t="str">
        <f ca="1"/>
        <v/>
      </c>
      <c r="I41" s="327" t="str">
        <f ca="1"/>
        <v/>
      </c>
      <c r="J41" s="201" t="str">
        <f ca="1"/>
        <v/>
      </c>
      <c r="K41" s="329" t="str">
        <f ca="1"/>
        <v/>
      </c>
      <c r="L41" s="327" t="str">
        <f ca="1"/>
        <v/>
      </c>
      <c r="M41" s="330" t="str">
        <f ca="1"/>
        <v/>
      </c>
      <c r="N41" s="330" t="str">
        <f ca="1"/>
        <v/>
      </c>
      <c r="O41" s="328" t="str">
        <f ca="1"/>
        <v/>
      </c>
      <c r="P41" s="328" t="str">
        <f ca="1"/>
        <v/>
      </c>
      <c r="Q41" s="331" t="str">
        <f ca="1"/>
        <v/>
      </c>
      <c r="R41" s="327" t="str">
        <f ca="1"/>
        <v/>
      </c>
      <c r="S41" s="332" t="str">
        <f ca="1"/>
        <v/>
      </c>
      <c r="T41" s="330" t="str">
        <f ca="1"/>
        <v/>
      </c>
      <c r="U41" s="333" t="str">
        <f ca="1"/>
        <v/>
      </c>
      <c r="V41" s="450" t="str">
        <f ca="1"/>
        <v/>
      </c>
    </row>
    <row r="42" spans="2:22">
      <c r="B42" s="317" t="str">
        <f ca="1"/>
        <v>FIXINGADVANCEORARREAR</v>
      </c>
      <c r="C42" s="314" t="str">
        <f ca="1"/>
        <v/>
      </c>
      <c r="D42" s="314" t="str">
        <f ca="1"/>
        <v/>
      </c>
      <c r="G42" s="449" t="str">
        <f ca="1"/>
        <v/>
      </c>
      <c r="H42" s="327" t="str">
        <f ca="1"/>
        <v/>
      </c>
      <c r="I42" s="327" t="str">
        <f ca="1"/>
        <v/>
      </c>
      <c r="J42" s="201" t="str">
        <f ca="1"/>
        <v/>
      </c>
      <c r="K42" s="329" t="str">
        <f ca="1"/>
        <v/>
      </c>
      <c r="L42" s="327" t="str">
        <f ca="1"/>
        <v/>
      </c>
      <c r="M42" s="330" t="str">
        <f ca="1"/>
        <v/>
      </c>
      <c r="N42" s="330" t="str">
        <f ca="1"/>
        <v/>
      </c>
      <c r="O42" s="328" t="str">
        <f ca="1"/>
        <v/>
      </c>
      <c r="P42" s="328" t="str">
        <f ca="1"/>
        <v/>
      </c>
      <c r="Q42" s="331" t="str">
        <f ca="1"/>
        <v/>
      </c>
      <c r="R42" s="327" t="str">
        <f ca="1"/>
        <v/>
      </c>
      <c r="S42" s="332" t="str">
        <f ca="1"/>
        <v/>
      </c>
      <c r="T42" s="330" t="str">
        <f ca="1"/>
        <v/>
      </c>
      <c r="U42" s="333" t="str">
        <f ca="1"/>
        <v/>
      </c>
      <c r="V42" s="450" t="str">
        <f ca="1"/>
        <v/>
      </c>
    </row>
    <row r="43" spans="2:22">
      <c r="B43" s="317" t="str">
        <f ca="1"/>
        <v>FLOATSPREAD</v>
      </c>
      <c r="C43" s="314" t="str">
        <f ca="1"/>
        <v>0</v>
      </c>
      <c r="D43" s="314" t="str">
        <f ca="1"/>
        <v>0</v>
      </c>
      <c r="G43" s="449" t="str">
        <f ca="1"/>
        <v/>
      </c>
      <c r="H43" s="327" t="str">
        <f ca="1"/>
        <v/>
      </c>
      <c r="I43" s="327" t="str">
        <f ca="1"/>
        <v/>
      </c>
      <c r="J43" s="201" t="str">
        <f ca="1"/>
        <v/>
      </c>
      <c r="K43" s="329" t="str">
        <f ca="1"/>
        <v/>
      </c>
      <c r="L43" s="327" t="str">
        <f ca="1"/>
        <v/>
      </c>
      <c r="M43" s="330" t="str">
        <f ca="1"/>
        <v/>
      </c>
      <c r="N43" s="330" t="str">
        <f ca="1"/>
        <v/>
      </c>
      <c r="O43" s="328" t="str">
        <f ca="1"/>
        <v/>
      </c>
      <c r="P43" s="328" t="str">
        <f ca="1"/>
        <v/>
      </c>
      <c r="Q43" s="331" t="str">
        <f ca="1"/>
        <v/>
      </c>
      <c r="R43" s="327" t="str">
        <f ca="1"/>
        <v/>
      </c>
      <c r="S43" s="332" t="str">
        <f ca="1"/>
        <v/>
      </c>
      <c r="T43" s="330" t="str">
        <f ca="1"/>
        <v/>
      </c>
      <c r="U43" s="333" t="str">
        <f ca="1"/>
        <v/>
      </c>
      <c r="V43" s="450" t="str">
        <f ca="1"/>
        <v/>
      </c>
    </row>
    <row r="44" spans="2:22">
      <c r="B44" s="317" t="str">
        <f ca="1"/>
        <v>CALCULATIONTYPE</v>
      </c>
      <c r="C44" s="314" t="str">
        <f ca="1"/>
        <v/>
      </c>
      <c r="D44" s="314" t="str">
        <f ca="1"/>
        <v/>
      </c>
      <c r="G44" s="449" t="str">
        <f ca="1"/>
        <v/>
      </c>
      <c r="H44" s="327" t="str">
        <f ca="1"/>
        <v/>
      </c>
      <c r="I44" s="327" t="str">
        <f ca="1"/>
        <v/>
      </c>
      <c r="J44" s="201" t="str">
        <f ca="1"/>
        <v/>
      </c>
      <c r="K44" s="329" t="str">
        <f ca="1"/>
        <v/>
      </c>
      <c r="L44" s="327" t="str">
        <f ca="1"/>
        <v/>
      </c>
      <c r="M44" s="330" t="str">
        <f ca="1"/>
        <v/>
      </c>
      <c r="N44" s="330" t="str">
        <f ca="1"/>
        <v/>
      </c>
      <c r="O44" s="328" t="str">
        <f ca="1"/>
        <v/>
      </c>
      <c r="P44" s="328" t="str">
        <f ca="1"/>
        <v/>
      </c>
      <c r="Q44" s="331" t="str">
        <f ca="1"/>
        <v/>
      </c>
      <c r="R44" s="327" t="str">
        <f ca="1"/>
        <v/>
      </c>
      <c r="S44" s="332" t="str">
        <f ca="1"/>
        <v/>
      </c>
      <c r="T44" s="330" t="str">
        <f ca="1"/>
        <v/>
      </c>
      <c r="U44" s="333" t="str">
        <f ca="1"/>
        <v/>
      </c>
      <c r="V44" s="450" t="str">
        <f ca="1"/>
        <v/>
      </c>
    </row>
    <row r="45" spans="2:22">
      <c r="B45" s="317" t="str">
        <f ca="1"/>
        <v>EXDIVIDENDTENOR</v>
      </c>
      <c r="C45" s="314" t="str">
        <f ca="1"/>
        <v/>
      </c>
      <c r="D45" s="314" t="str">
        <f ca="1"/>
        <v/>
      </c>
      <c r="G45" s="449" t="str">
        <f ca="1"/>
        <v/>
      </c>
      <c r="H45" s="327" t="str">
        <f ca="1"/>
        <v/>
      </c>
      <c r="I45" s="327" t="str">
        <f ca="1"/>
        <v/>
      </c>
      <c r="J45" s="201" t="str">
        <f ca="1"/>
        <v/>
      </c>
      <c r="K45" s="329" t="str">
        <f ca="1"/>
        <v/>
      </c>
      <c r="L45" s="327" t="str">
        <f ca="1"/>
        <v/>
      </c>
      <c r="M45" s="330" t="str">
        <f ca="1"/>
        <v/>
      </c>
      <c r="N45" s="330" t="str">
        <f ca="1"/>
        <v/>
      </c>
      <c r="O45" s="328" t="str">
        <f ca="1"/>
        <v/>
      </c>
      <c r="P45" s="328" t="str">
        <f ca="1"/>
        <v/>
      </c>
      <c r="Q45" s="331" t="str">
        <f ca="1"/>
        <v/>
      </c>
      <c r="R45" s="327" t="str">
        <f ca="1"/>
        <v/>
      </c>
      <c r="S45" s="332" t="str">
        <f ca="1"/>
        <v/>
      </c>
      <c r="T45" s="330" t="str">
        <f ca="1"/>
        <v/>
      </c>
      <c r="U45" s="333" t="str">
        <f ca="1"/>
        <v/>
      </c>
      <c r="V45" s="450" t="str">
        <f ca="1"/>
        <v/>
      </c>
    </row>
    <row r="46" spans="2:22">
      <c r="B46" s="318" t="str">
        <f ca="1"/>
        <v>EXDIVIDENDBUSINESSDAYADJUSTMENT</v>
      </c>
      <c r="C46" s="315" t="str">
        <f ca="1"/>
        <v/>
      </c>
      <c r="D46" s="315" t="str">
        <f ca="1"/>
        <v/>
      </c>
      <c r="G46" s="451" t="str">
        <f ca="1"/>
        <v/>
      </c>
      <c r="H46" s="452" t="str">
        <f ca="1"/>
        <v/>
      </c>
      <c r="I46" s="452" t="str">
        <f ca="1"/>
        <v/>
      </c>
      <c r="J46" s="453" t="str">
        <f ca="1"/>
        <v/>
      </c>
      <c r="K46" s="454" t="str">
        <f ca="1"/>
        <v/>
      </c>
      <c r="L46" s="452" t="str">
        <f ca="1"/>
        <v/>
      </c>
      <c r="M46" s="455" t="str">
        <f ca="1"/>
        <v/>
      </c>
      <c r="N46" s="455" t="str">
        <f ca="1"/>
        <v/>
      </c>
      <c r="O46" s="456" t="str">
        <f ca="1"/>
        <v/>
      </c>
      <c r="P46" s="456" t="str">
        <f ca="1"/>
        <v/>
      </c>
      <c r="Q46" s="457" t="str">
        <f ca="1"/>
        <v/>
      </c>
      <c r="R46" s="452" t="str">
        <f ca="1"/>
        <v/>
      </c>
      <c r="S46" s="458" t="str">
        <f ca="1"/>
        <v/>
      </c>
      <c r="T46" s="455" t="str">
        <f ca="1"/>
        <v/>
      </c>
      <c r="U46" s="459" t="str">
        <f ca="1"/>
        <v/>
      </c>
      <c r="V46" s="460" t="str">
        <f ca="1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11</vt:i4>
      </vt:variant>
    </vt:vector>
  </HeadingPairs>
  <TitlesOfParts>
    <vt:vector size="35" baseType="lpstr">
      <vt:lpstr>Settings</vt:lpstr>
      <vt:lpstr>Getting Started</vt:lpstr>
      <vt:lpstr>Developer Tools</vt:lpstr>
      <vt:lpstr>MLIB Ribbon</vt:lpstr>
      <vt:lpstr>Functions</vt:lpstr>
      <vt:lpstr>Conventions</vt:lpstr>
      <vt:lpstr>Dates</vt:lpstr>
      <vt:lpstr>SwapSchedule</vt:lpstr>
      <vt:lpstr>BondSchedule</vt:lpstr>
      <vt:lpstr>Utilities</vt:lpstr>
      <vt:lpstr>USD OIS</vt:lpstr>
      <vt:lpstr>USD3ML SWAP</vt:lpstr>
      <vt:lpstr>USD6ML BASIS</vt:lpstr>
      <vt:lpstr>ForwardRates</vt:lpstr>
      <vt:lpstr>DiscountFactors</vt:lpstr>
      <vt:lpstr>IRS</vt:lpstr>
      <vt:lpstr>Bespoke IRS</vt:lpstr>
      <vt:lpstr>Cashflows</vt:lpstr>
      <vt:lpstr>Risk</vt:lpstr>
      <vt:lpstr>USD Global Curve</vt:lpstr>
      <vt:lpstr>EUR Global Curve</vt:lpstr>
      <vt:lpstr>Eur Xccy Curve</vt:lpstr>
      <vt:lpstr>Xccy Pricing</vt:lpstr>
      <vt:lpstr>Xccy Bespoke Trade</vt:lpstr>
      <vt:lpstr>isEURCurveLoaded</vt:lpstr>
      <vt:lpstr>isUSDCurveLoaded</vt:lpstr>
      <vt:lpstr>Settings.COB</vt:lpstr>
      <vt:lpstr>USDCurve.AsOfDate</vt:lpstr>
      <vt:lpstr>'Xccy Pricing'!Xccy.Deal.CurveCollection</vt:lpstr>
      <vt:lpstr>'Xccy Pricing'!Xccy.Deal.Properties</vt:lpstr>
      <vt:lpstr>'Xccy Pricing'!Xccy.Deal2</vt:lpstr>
      <vt:lpstr>Xccy.FXSpotRate</vt:lpstr>
      <vt:lpstr>Xccy.Leg1Curve</vt:lpstr>
      <vt:lpstr>Xccy.Leg2Curve</vt:lpstr>
      <vt:lpstr>Xccy.ValuationSettings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dcterms:created xsi:type="dcterms:W3CDTF">2017-05-05T11:30:22Z</dcterms:created>
  <dcterms:modified xsi:type="dcterms:W3CDTF">2019-09-03T10:41:28Z</dcterms:modified>
</cp:coreProperties>
</file>