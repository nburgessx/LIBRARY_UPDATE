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IB\MLIBQ_DEV1\resource\documentation\EN\Math\"/>
    </mc:Choice>
  </mc:AlternateContent>
  <bookViews>
    <workbookView xWindow="0" yWindow="0" windowWidth="20490" windowHeight="7095"/>
  </bookViews>
  <sheets>
    <sheet name="meUtilityPCA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1" l="1"/>
  <c r="C57" i="1"/>
  <c r="B57" i="1"/>
  <c r="L56" i="1"/>
  <c r="K56" i="1"/>
  <c r="J56" i="1"/>
  <c r="H56" i="1"/>
  <c r="G56" i="1"/>
  <c r="F56" i="1"/>
  <c r="D56" i="1"/>
  <c r="C56" i="1"/>
  <c r="B56" i="1"/>
  <c r="L55" i="1"/>
  <c r="K55" i="1"/>
  <c r="J55" i="1"/>
  <c r="H55" i="1"/>
  <c r="G55" i="1"/>
  <c r="F55" i="1"/>
  <c r="D55" i="1"/>
  <c r="C55" i="1"/>
  <c r="B55" i="1"/>
  <c r="L54" i="1"/>
  <c r="K54" i="1"/>
  <c r="J54" i="1"/>
  <c r="H54" i="1"/>
  <c r="G54" i="1"/>
  <c r="F54" i="1"/>
  <c r="D54" i="1"/>
  <c r="C54" i="1"/>
  <c r="B54" i="1"/>
  <c r="L53" i="1"/>
  <c r="K53" i="1"/>
  <c r="J53" i="1"/>
  <c r="H53" i="1"/>
  <c r="G53" i="1"/>
  <c r="F53" i="1"/>
  <c r="D53" i="1"/>
  <c r="C53" i="1"/>
  <c r="B53" i="1"/>
  <c r="L52" i="1"/>
  <c r="K52" i="1"/>
  <c r="J52" i="1"/>
  <c r="H52" i="1"/>
  <c r="G52" i="1"/>
  <c r="F52" i="1"/>
  <c r="D52" i="1"/>
  <c r="C52" i="1"/>
  <c r="B52" i="1"/>
  <c r="L51" i="1"/>
  <c r="K51" i="1"/>
  <c r="J51" i="1"/>
  <c r="H51" i="1"/>
  <c r="G51" i="1"/>
  <c r="F51" i="1"/>
  <c r="D51" i="1"/>
  <c r="C51" i="1"/>
  <c r="B51" i="1"/>
  <c r="L50" i="1"/>
  <c r="K50" i="1"/>
  <c r="J50" i="1"/>
  <c r="H50" i="1"/>
  <c r="G50" i="1"/>
  <c r="F50" i="1"/>
  <c r="D50" i="1"/>
  <c r="C50" i="1"/>
  <c r="B50" i="1"/>
  <c r="L49" i="1"/>
  <c r="K49" i="1"/>
  <c r="J49" i="1"/>
  <c r="H49" i="1"/>
  <c r="G49" i="1"/>
  <c r="F49" i="1"/>
  <c r="D49" i="1"/>
  <c r="C49" i="1"/>
  <c r="B49" i="1"/>
  <c r="L48" i="1"/>
  <c r="K48" i="1"/>
  <c r="J48" i="1"/>
  <c r="H48" i="1"/>
  <c r="G48" i="1"/>
  <c r="F48" i="1"/>
  <c r="D48" i="1"/>
  <c r="C48" i="1"/>
  <c r="B48" i="1"/>
  <c r="L47" i="1"/>
  <c r="K47" i="1"/>
  <c r="J47" i="1"/>
  <c r="H47" i="1"/>
  <c r="G47" i="1"/>
  <c r="F47" i="1"/>
  <c r="D47" i="1"/>
  <c r="C47" i="1"/>
  <c r="B47" i="1"/>
  <c r="L46" i="1"/>
  <c r="K46" i="1"/>
  <c r="J46" i="1"/>
  <c r="H46" i="1"/>
  <c r="G46" i="1"/>
  <c r="F46" i="1"/>
  <c r="D46" i="1"/>
  <c r="C46" i="1"/>
  <c r="B46" i="1"/>
  <c r="L45" i="1"/>
  <c r="K45" i="1"/>
  <c r="J45" i="1"/>
  <c r="H45" i="1"/>
  <c r="G45" i="1"/>
  <c r="F45" i="1"/>
  <c r="D45" i="1"/>
  <c r="C45" i="1"/>
  <c r="B45" i="1"/>
  <c r="L44" i="1"/>
  <c r="K44" i="1"/>
  <c r="J44" i="1"/>
  <c r="H44" i="1"/>
  <c r="G44" i="1"/>
  <c r="F44" i="1"/>
  <c r="D44" i="1"/>
  <c r="C44" i="1"/>
  <c r="B44" i="1"/>
  <c r="L43" i="1"/>
  <c r="K43" i="1"/>
  <c r="J43" i="1"/>
  <c r="H43" i="1"/>
  <c r="G43" i="1"/>
  <c r="F43" i="1"/>
  <c r="D43" i="1"/>
  <c r="C43" i="1"/>
  <c r="B43" i="1"/>
  <c r="L42" i="1"/>
  <c r="K42" i="1"/>
  <c r="J42" i="1"/>
  <c r="H42" i="1"/>
  <c r="G42" i="1"/>
  <c r="F42" i="1"/>
  <c r="D42" i="1"/>
  <c r="C42" i="1"/>
  <c r="B42" i="1"/>
  <c r="L41" i="1"/>
  <c r="K41" i="1"/>
  <c r="J41" i="1"/>
  <c r="H41" i="1"/>
  <c r="G41" i="1"/>
  <c r="F41" i="1"/>
  <c r="D41" i="1"/>
  <c r="C41" i="1"/>
  <c r="B41" i="1"/>
  <c r="L40" i="1"/>
  <c r="K40" i="1"/>
  <c r="J40" i="1"/>
  <c r="H40" i="1"/>
  <c r="G40" i="1"/>
  <c r="F40" i="1"/>
  <c r="D40" i="1"/>
  <c r="C40" i="1"/>
  <c r="B40" i="1"/>
  <c r="L39" i="1"/>
  <c r="K39" i="1"/>
  <c r="J39" i="1"/>
  <c r="H39" i="1"/>
  <c r="G39" i="1"/>
  <c r="F39" i="1"/>
  <c r="D39" i="1"/>
  <c r="C39" i="1"/>
  <c r="B39" i="1"/>
  <c r="T40" i="1"/>
  <c r="S40" i="1"/>
  <c r="R40" i="1"/>
  <c r="T39" i="1"/>
  <c r="S39" i="1"/>
  <c r="R39" i="1"/>
  <c r="T38" i="1"/>
  <c r="S38" i="1"/>
  <c r="R38" i="1"/>
  <c r="R38" i="1" a="1"/>
  <c r="L38" i="1"/>
  <c r="K38" i="1"/>
  <c r="J38" i="1"/>
  <c r="H38" i="1"/>
  <c r="G38" i="1"/>
  <c r="F38" i="1"/>
  <c r="D38" i="1"/>
  <c r="C38" i="1"/>
  <c r="B38" i="1"/>
  <c r="L37" i="1"/>
  <c r="K37" i="1"/>
  <c r="J37" i="1"/>
  <c r="H37" i="1"/>
  <c r="G37" i="1"/>
  <c r="F37" i="1"/>
  <c r="D37" i="1"/>
  <c r="C37" i="1"/>
  <c r="B37" i="1"/>
  <c r="L36" i="1"/>
  <c r="K36" i="1"/>
  <c r="J36" i="1"/>
  <c r="H36" i="1"/>
  <c r="G36" i="1"/>
  <c r="F36" i="1"/>
  <c r="D36" i="1"/>
  <c r="C36" i="1"/>
  <c r="B36" i="1"/>
  <c r="L35" i="1"/>
  <c r="K35" i="1"/>
  <c r="J35" i="1"/>
  <c r="H35" i="1"/>
  <c r="G35" i="1"/>
  <c r="F35" i="1"/>
  <c r="D35" i="1"/>
  <c r="C35" i="1"/>
  <c r="B35" i="1"/>
  <c r="T36" i="1"/>
  <c r="S36" i="1"/>
  <c r="R36" i="1"/>
  <c r="T35" i="1"/>
  <c r="S35" i="1"/>
  <c r="R35" i="1"/>
  <c r="T34" i="1"/>
  <c r="S34" i="1"/>
  <c r="R34" i="1"/>
  <c r="R34" i="1" a="1"/>
  <c r="L34" i="1"/>
  <c r="K34" i="1"/>
  <c r="J34" i="1"/>
  <c r="H34" i="1"/>
  <c r="G34" i="1"/>
  <c r="F34" i="1"/>
  <c r="D34" i="1"/>
  <c r="C34" i="1"/>
  <c r="B34" i="1"/>
  <c r="L33" i="1"/>
  <c r="K33" i="1"/>
  <c r="J33" i="1"/>
  <c r="H33" i="1"/>
  <c r="G33" i="1"/>
  <c r="F33" i="1"/>
  <c r="D33" i="1"/>
  <c r="C33" i="1"/>
  <c r="B33" i="1"/>
  <c r="T32" i="1"/>
  <c r="S32" i="1"/>
  <c r="R32" i="1"/>
  <c r="L32" i="1"/>
  <c r="K32" i="1"/>
  <c r="J32" i="1"/>
  <c r="H32" i="1"/>
  <c r="G32" i="1"/>
  <c r="F32" i="1"/>
  <c r="D32" i="1"/>
  <c r="C32" i="1"/>
  <c r="B32" i="1"/>
  <c r="T31" i="1"/>
  <c r="S31" i="1"/>
  <c r="R31" i="1"/>
  <c r="L31" i="1"/>
  <c r="K31" i="1"/>
  <c r="J31" i="1"/>
  <c r="H31" i="1"/>
  <c r="G31" i="1"/>
  <c r="F31" i="1"/>
  <c r="D31" i="1"/>
  <c r="C31" i="1"/>
  <c r="B31" i="1"/>
  <c r="T30" i="1"/>
  <c r="S30" i="1"/>
  <c r="R30" i="1"/>
  <c r="L30" i="1"/>
  <c r="K30" i="1"/>
  <c r="J30" i="1"/>
  <c r="H30" i="1"/>
  <c r="G30" i="1"/>
  <c r="F30" i="1"/>
  <c r="D30" i="1"/>
  <c r="C30" i="1"/>
  <c r="B30" i="1"/>
  <c r="L29" i="1"/>
  <c r="K29" i="1"/>
  <c r="J29" i="1"/>
  <c r="H29" i="1"/>
  <c r="G29" i="1"/>
  <c r="F29" i="1"/>
  <c r="D29" i="1"/>
  <c r="C29" i="1"/>
  <c r="B29" i="1"/>
  <c r="S28" i="1"/>
  <c r="R28" i="1"/>
  <c r="L28" i="1"/>
  <c r="K28" i="1"/>
  <c r="J28" i="1"/>
  <c r="H28" i="1"/>
  <c r="G28" i="1"/>
  <c r="F28" i="1"/>
  <c r="D28" i="1"/>
  <c r="C28" i="1"/>
  <c r="B28" i="1"/>
  <c r="T27" i="1"/>
  <c r="R27" i="1"/>
  <c r="L27" i="1"/>
  <c r="K27" i="1"/>
  <c r="J27" i="1"/>
  <c r="H27" i="1"/>
  <c r="G27" i="1"/>
  <c r="F27" i="1"/>
  <c r="D27" i="1"/>
  <c r="C27" i="1"/>
  <c r="B27" i="1"/>
  <c r="T26" i="1"/>
  <c r="S26" i="1"/>
  <c r="L26" i="1"/>
  <c r="K26" i="1"/>
  <c r="J26" i="1"/>
  <c r="H26" i="1"/>
  <c r="G26" i="1"/>
  <c r="F26" i="1"/>
  <c r="D26" i="1"/>
  <c r="C26" i="1"/>
  <c r="B26" i="1"/>
  <c r="L25" i="1"/>
  <c r="K25" i="1"/>
  <c r="J25" i="1"/>
  <c r="H25" i="1"/>
  <c r="G25" i="1"/>
  <c r="F25" i="1"/>
  <c r="D25" i="1"/>
  <c r="C25" i="1"/>
  <c r="B25" i="1"/>
  <c r="T24" i="1"/>
  <c r="S24" i="1"/>
  <c r="R24" i="1"/>
  <c r="L24" i="1"/>
  <c r="K24" i="1"/>
  <c r="J24" i="1"/>
  <c r="H24" i="1"/>
  <c r="G24" i="1"/>
  <c r="F24" i="1"/>
  <c r="D24" i="1"/>
  <c r="C24" i="1"/>
  <c r="B24" i="1"/>
  <c r="T23" i="1"/>
  <c r="S23" i="1"/>
  <c r="R23" i="1"/>
  <c r="L23" i="1"/>
  <c r="K23" i="1"/>
  <c r="J23" i="1"/>
  <c r="H23" i="1"/>
  <c r="G23" i="1"/>
  <c r="G23" i="1" a="1"/>
  <c r="F23" i="1"/>
  <c r="D23" i="1"/>
  <c r="C23" i="1"/>
  <c r="B23" i="1"/>
  <c r="T22" i="1"/>
  <c r="S22" i="1"/>
  <c r="R22" i="1"/>
  <c r="L22" i="1"/>
  <c r="K22" i="1"/>
  <c r="J22" i="1"/>
  <c r="H22" i="1"/>
  <c r="G22" i="1"/>
  <c r="F22" i="1"/>
  <c r="D22" i="1"/>
  <c r="C22" i="1"/>
  <c r="B22" i="1"/>
  <c r="L21" i="1"/>
  <c r="K21" i="1"/>
  <c r="J21" i="1"/>
  <c r="H21" i="1"/>
  <c r="G21" i="1"/>
  <c r="F21" i="1"/>
  <c r="D21" i="1"/>
  <c r="C21" i="1"/>
  <c r="B21" i="1"/>
  <c r="L20" i="1"/>
  <c r="K20" i="1"/>
  <c r="J20" i="1"/>
  <c r="H20" i="1"/>
  <c r="G20" i="1"/>
  <c r="F20" i="1"/>
  <c r="D20" i="1"/>
  <c r="C20" i="1"/>
  <c r="B20" i="1"/>
  <c r="L19" i="1"/>
  <c r="K19" i="1"/>
  <c r="J19" i="1"/>
  <c r="H19" i="1"/>
  <c r="G19" i="1"/>
  <c r="F19" i="1"/>
  <c r="D19" i="1"/>
  <c r="C19" i="1"/>
  <c r="B19" i="1"/>
  <c r="L18" i="1"/>
  <c r="K18" i="1"/>
  <c r="J18" i="1"/>
  <c r="H18" i="1"/>
  <c r="G18" i="1"/>
  <c r="F18" i="1"/>
  <c r="D18" i="1"/>
  <c r="C18" i="1"/>
  <c r="B18" i="1"/>
  <c r="L17" i="1"/>
  <c r="K17" i="1"/>
  <c r="J17" i="1"/>
  <c r="H17" i="1"/>
  <c r="G17" i="1"/>
  <c r="F17" i="1"/>
  <c r="D17" i="1"/>
  <c r="C17" i="1"/>
  <c r="B17" i="1"/>
  <c r="L16" i="1"/>
  <c r="K16" i="1"/>
  <c r="J16" i="1"/>
  <c r="H16" i="1"/>
  <c r="G16" i="1"/>
  <c r="F16" i="1"/>
  <c r="D16" i="1"/>
  <c r="C16" i="1"/>
  <c r="B16" i="1"/>
  <c r="L15" i="1"/>
  <c r="K15" i="1"/>
  <c r="J15" i="1"/>
  <c r="H15" i="1"/>
  <c r="G15" i="1"/>
  <c r="F15" i="1"/>
  <c r="D15" i="1"/>
  <c r="C15" i="1"/>
  <c r="B15" i="1"/>
  <c r="L14" i="1"/>
  <c r="K14" i="1"/>
  <c r="J14" i="1"/>
  <c r="H14" i="1"/>
  <c r="G14" i="1"/>
  <c r="F14" i="1"/>
  <c r="D14" i="1"/>
  <c r="C14" i="1"/>
  <c r="B14" i="1"/>
  <c r="L13" i="1"/>
  <c r="K13" i="1"/>
  <c r="J13" i="1"/>
  <c r="H13" i="1"/>
  <c r="G13" i="1"/>
  <c r="F13" i="1"/>
  <c r="D13" i="1"/>
  <c r="C13" i="1"/>
  <c r="B13" i="1"/>
  <c r="L12" i="1"/>
  <c r="K12" i="1"/>
  <c r="J12" i="1"/>
  <c r="H12" i="1"/>
  <c r="G12" i="1"/>
  <c r="F12" i="1"/>
  <c r="D12" i="1"/>
  <c r="C12" i="1"/>
  <c r="B12" i="1"/>
  <c r="T16" i="1"/>
  <c r="S16" i="1"/>
  <c r="R16" i="1"/>
  <c r="Q16" i="1"/>
  <c r="T15" i="1"/>
  <c r="S15" i="1"/>
  <c r="R15" i="1"/>
  <c r="Q15" i="1"/>
  <c r="T14" i="1"/>
  <c r="S14" i="1"/>
  <c r="R14" i="1"/>
  <c r="Q14" i="1"/>
  <c r="T13" i="1"/>
  <c r="S13" i="1"/>
  <c r="R13" i="1"/>
  <c r="Q13" i="1"/>
  <c r="T12" i="1"/>
  <c r="S12" i="1"/>
  <c r="R12" i="1"/>
  <c r="Q12" i="1"/>
  <c r="T11" i="1"/>
  <c r="S11" i="1"/>
  <c r="R11" i="1"/>
  <c r="Q11" i="1"/>
  <c r="Q11" i="1" a="1"/>
</calcChain>
</file>

<file path=xl/sharedStrings.xml><?xml version="1.0" encoding="utf-8"?>
<sst xmlns="http://schemas.openxmlformats.org/spreadsheetml/2006/main" count="33" uniqueCount="27">
  <si>
    <t>=PCA(DATA,LEVEL/CHANGE,NUMBER OF FACTORS)</t>
  </si>
  <si>
    <t xml:space="preserve">LEVEL </t>
  </si>
  <si>
    <t>CHANGE</t>
  </si>
  <si>
    <t xml:space="preserve">NUMBER OF FACTORS </t>
  </si>
  <si>
    <t>-run PCA on input matrix</t>
  </si>
  <si>
    <t>-run PCA on 1st differences of input matrix</t>
  </si>
  <si>
    <t>-number of factors to display in output matrix</t>
  </si>
  <si>
    <t>Input</t>
  </si>
  <si>
    <t>LEVEL</t>
  </si>
  <si>
    <t>Data</t>
  </si>
  <si>
    <t>Transform Data</t>
  </si>
  <si>
    <t>Centre</t>
  </si>
  <si>
    <t>PCA Parameters</t>
  </si>
  <si>
    <t>Output</t>
  </si>
  <si>
    <t>Series1</t>
  </si>
  <si>
    <t>Series2</t>
  </si>
  <si>
    <t>Series3</t>
  </si>
  <si>
    <t>Key</t>
  </si>
  <si>
    <t>Sample</t>
    <phoneticPr fontId="0"/>
  </si>
  <si>
    <t>useCorrelationMatrix</t>
  </si>
  <si>
    <t>nFactors</t>
  </si>
  <si>
    <t>Check</t>
    <phoneticPr fontId="0"/>
  </si>
  <si>
    <t>Covariance Matrix</t>
    <phoneticPr fontId="0"/>
  </si>
  <si>
    <t>Correlation matrix</t>
    <phoneticPr fontId="0"/>
  </si>
  <si>
    <t>P</t>
    <phoneticPr fontId="0"/>
  </si>
  <si>
    <t>P^T</t>
    <phoneticPr fontId="0"/>
  </si>
  <si>
    <t>EigenMatrix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</si>
</sst>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quotePrefix="1"/>
    <xf numFmtId="0" fontId="3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2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ont="1" applyFill="1"/>
    <xf numFmtId="9" fontId="1" fillId="4" borderId="0" xfId="1" applyFont="1" applyFill="1"/>
    <xf numFmtId="9" fontId="0" fillId="4" borderId="0" xfId="1" applyFont="1" applyFill="1"/>
    <xf numFmtId="164" fontId="0" fillId="2" borderId="0" xfId="0" applyNumberFormat="1" applyFill="1"/>
    <xf numFmtId="0" fontId="0" fillId="0" borderId="0" xfId="0" applyAlignment="1">
      <alignment horizontal="center" vertical="center"/>
    </xf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1"/>
  </sheetPr>
  <dimension ref="B2:T57"/>
  <sheetViews>
    <sheetView showGridLines="0" tabSelected="1" workbookViewId="0"/>
  </sheetViews>
  <sheetFormatPr defaultRowHeight="15" x14ac:dyDescent="0.25"/>
  <cols>
    <col min="2" max="2" width="9.140625" customWidth="1"/>
    <col min="6" max="6" width="9.140625" customWidth="1"/>
    <col min="14" max="14" width="18.28515625" customWidth="1"/>
    <col min="15" max="15" width="13.85546875" bestFit="1" customWidth="1"/>
    <col min="16" max="16" width="9.140625" bestFit="1" customWidth="1"/>
    <col min="17" max="17" width="17.42578125" bestFit="1" customWidth="1"/>
    <col min="18" max="20" width="10.7109375" customWidth="1"/>
  </cols>
  <sheetData>
    <row r="2" spans="2:20" x14ac:dyDescent="0.25">
      <c r="B2" s="1" t="s">
        <v>0</v>
      </c>
    </row>
    <row r="3" spans="2:20" x14ac:dyDescent="0.25">
      <c r="B3" s="1"/>
    </row>
    <row r="4" spans="2:20" x14ac:dyDescent="0.25">
      <c r="B4" s="2" t="s">
        <v>1</v>
      </c>
      <c r="F4" s="2" t="s">
        <v>2</v>
      </c>
      <c r="K4" s="2" t="s">
        <v>3</v>
      </c>
    </row>
    <row r="5" spans="2:20" x14ac:dyDescent="0.25">
      <c r="B5" s="1" t="s">
        <v>4</v>
      </c>
      <c r="F5" s="1" t="s">
        <v>5</v>
      </c>
      <c r="K5" s="1" t="s">
        <v>6</v>
      </c>
    </row>
    <row r="6" spans="2:20" x14ac:dyDescent="0.25">
      <c r="B6" s="1"/>
    </row>
    <row r="7" spans="2:20" x14ac:dyDescent="0.25">
      <c r="B7" s="3" t="s">
        <v>7</v>
      </c>
    </row>
    <row r="8" spans="2:20" x14ac:dyDescent="0.25">
      <c r="B8" s="4" t="s">
        <v>8</v>
      </c>
    </row>
    <row r="10" spans="2:20" x14ac:dyDescent="0.25">
      <c r="B10" t="s">
        <v>9</v>
      </c>
      <c r="F10" t="s">
        <v>10</v>
      </c>
      <c r="J10" t="s">
        <v>11</v>
      </c>
      <c r="N10" s="3" t="s">
        <v>12</v>
      </c>
      <c r="Q10" t="s">
        <v>13</v>
      </c>
    </row>
    <row r="11" spans="2:20" x14ac:dyDescent="0.25">
      <c r="B11" s="5" t="s">
        <v>14</v>
      </c>
      <c r="C11" s="5" t="s">
        <v>15</v>
      </c>
      <c r="D11" s="5" t="s">
        <v>16</v>
      </c>
      <c r="F11" s="5" t="s">
        <v>14</v>
      </c>
      <c r="G11" s="5" t="s">
        <v>15</v>
      </c>
      <c r="H11" s="5" t="s">
        <v>16</v>
      </c>
      <c r="J11" s="5" t="s">
        <v>14</v>
      </c>
      <c r="K11" s="5" t="s">
        <v>15</v>
      </c>
      <c r="L11" s="5" t="s">
        <v>16</v>
      </c>
      <c r="N11" s="6" t="s">
        <v>17</v>
      </c>
      <c r="O11" s="7" t="s">
        <v>18</v>
      </c>
      <c r="Q11" s="8" t="str">
        <f t="array" aca="1" ref="Q11:T16" ca="1">_xll.meUtilityPCA($O$11,$F$12:$H$56,$O$12,$O$13)</f>
        <v/>
      </c>
      <c r="R11" s="8" t="str">
        <f ca="1"/>
        <v>PC1</v>
      </c>
      <c r="S11" s="8" t="str">
        <f ca="1"/>
        <v>PC2</v>
      </c>
      <c r="T11" s="8" t="str">
        <f ca="1"/>
        <v>PC3</v>
      </c>
    </row>
    <row r="12" spans="2:20" x14ac:dyDescent="0.25">
      <c r="B12" s="5">
        <f ca="1">RANDBETWEEN(-100,100)</f>
        <v>-29</v>
      </c>
      <c r="C12" s="5">
        <f t="shared" ref="C12:D31" ca="1" si="0">RANDBETWEEN(-100,100)</f>
        <v>37</v>
      </c>
      <c r="D12" s="5">
        <f t="shared" ca="1" si="0"/>
        <v>16</v>
      </c>
      <c r="F12" s="5">
        <f ca="1">IF($B$8="LEVEL",B12,B12-B13)</f>
        <v>-29</v>
      </c>
      <c r="G12" s="5">
        <f ca="1">IF($B$8="LEVEL",C12,C12-C13)</f>
        <v>37</v>
      </c>
      <c r="H12" s="5">
        <f ca="1">IF($B$8="LEVEL",D12,D12-D13)</f>
        <v>16</v>
      </c>
      <c r="J12" s="12">
        <f ca="1">F12-AVERAGE($F$12:$F$56)</f>
        <v>-20.933333333333334</v>
      </c>
      <c r="K12" s="12">
        <f t="shared" ref="K12:L56" ca="1" si="1">G12-AVERAGE($F$12:$F$56)</f>
        <v>45.066666666666663</v>
      </c>
      <c r="L12" s="12">
        <f t="shared" ca="1" si="1"/>
        <v>24.066666666666666</v>
      </c>
      <c r="N12" s="6" t="s">
        <v>19</v>
      </c>
      <c r="O12" s="7" t="b">
        <v>1</v>
      </c>
      <c r="Q12" s="9" t="str">
        <f ca="1"/>
        <v>Series1</v>
      </c>
      <c r="R12" s="10">
        <f ca="1"/>
        <v>-0.70700399999999997</v>
      </c>
      <c r="S12" s="10">
        <f ca="1"/>
        <v>1.3400300000000001E-3</v>
      </c>
      <c r="T12" s="10">
        <f ca="1"/>
        <v>-0.70720799999999995</v>
      </c>
    </row>
    <row r="13" spans="2:20" x14ac:dyDescent="0.25">
      <c r="B13" s="5">
        <f t="shared" ref="B13:D57" ca="1" si="2">RANDBETWEEN(-100,100)</f>
        <v>-36</v>
      </c>
      <c r="C13" s="5">
        <f t="shared" ca="1" si="0"/>
        <v>68</v>
      </c>
      <c r="D13" s="5">
        <f t="shared" ca="1" si="0"/>
        <v>-11</v>
      </c>
      <c r="F13" s="5">
        <f ca="1">IF($B$8="LEVEL",B13,B13-B14)</f>
        <v>-36</v>
      </c>
      <c r="G13" s="5">
        <f t="shared" ref="G13:H28" ca="1" si="3">IF($B$8="LEVEL",C13,C13-C14)</f>
        <v>68</v>
      </c>
      <c r="H13" s="5">
        <f t="shared" ca="1" si="3"/>
        <v>-11</v>
      </c>
      <c r="J13" s="12">
        <f t="shared" ref="J13:J56" ca="1" si="4">F13-AVERAGE($F$12:$F$56)</f>
        <v>-27.933333333333334</v>
      </c>
      <c r="K13" s="12">
        <f t="shared" ca="1" si="1"/>
        <v>76.066666666666663</v>
      </c>
      <c r="L13" s="12">
        <f t="shared" ca="1" si="1"/>
        <v>-2.9333333333333336</v>
      </c>
      <c r="N13" s="6" t="s">
        <v>20</v>
      </c>
      <c r="O13" s="7">
        <v>3</v>
      </c>
      <c r="Q13" s="9" t="str">
        <f ca="1"/>
        <v>Series2</v>
      </c>
      <c r="R13" s="10">
        <f ca="1"/>
        <v>-0.14383699999999999</v>
      </c>
      <c r="S13" s="10">
        <f ca="1"/>
        <v>-0.97936900000000005</v>
      </c>
      <c r="T13" s="10">
        <f ca="1"/>
        <v>0.14193900000000001</v>
      </c>
    </row>
    <row r="14" spans="2:20" x14ac:dyDescent="0.25">
      <c r="B14" s="5">
        <f t="shared" ca="1" si="2"/>
        <v>-95</v>
      </c>
      <c r="C14" s="5">
        <f t="shared" ca="1" si="0"/>
        <v>68</v>
      </c>
      <c r="D14" s="5">
        <f t="shared" ca="1" si="0"/>
        <v>31</v>
      </c>
      <c r="F14" s="5">
        <f t="shared" ref="F14:H56" ca="1" si="5">IF($B$8="LEVEL",B14,B14-B15)</f>
        <v>-95</v>
      </c>
      <c r="G14" s="5">
        <f t="shared" ca="1" si="3"/>
        <v>68</v>
      </c>
      <c r="H14" s="5">
        <f t="shared" ca="1" si="3"/>
        <v>31</v>
      </c>
      <c r="J14" s="12">
        <f t="shared" ca="1" si="4"/>
        <v>-86.933333333333337</v>
      </c>
      <c r="K14" s="12">
        <f t="shared" ca="1" si="1"/>
        <v>76.066666666666663</v>
      </c>
      <c r="L14" s="12">
        <f t="shared" ca="1" si="1"/>
        <v>39.066666666666663</v>
      </c>
      <c r="O14" s="13"/>
      <c r="Q14" s="9" t="str">
        <f ca="1"/>
        <v>Series3</v>
      </c>
      <c r="R14" s="10">
        <f ca="1"/>
        <v>0.69242800000000004</v>
      </c>
      <c r="S14" s="10">
        <f ca="1"/>
        <v>-0.202074</v>
      </c>
      <c r="T14" s="10">
        <f ca="1"/>
        <v>-0.69261099999999998</v>
      </c>
    </row>
    <row r="15" spans="2:20" x14ac:dyDescent="0.25">
      <c r="B15" s="5">
        <f t="shared" ca="1" si="2"/>
        <v>-3</v>
      </c>
      <c r="C15" s="5">
        <f t="shared" ca="1" si="0"/>
        <v>-70</v>
      </c>
      <c r="D15" s="5">
        <f t="shared" ca="1" si="0"/>
        <v>-68</v>
      </c>
      <c r="F15" s="5">
        <f t="shared" ca="1" si="5"/>
        <v>-3</v>
      </c>
      <c r="G15" s="5">
        <f t="shared" ca="1" si="3"/>
        <v>-70</v>
      </c>
      <c r="H15" s="5">
        <f t="shared" ca="1" si="3"/>
        <v>-68</v>
      </c>
      <c r="J15" s="12">
        <f t="shared" ca="1" si="4"/>
        <v>5.0666666666666664</v>
      </c>
      <c r="K15" s="12">
        <f t="shared" ca="1" si="1"/>
        <v>-61.933333333333337</v>
      </c>
      <c r="L15" s="12">
        <f t="shared" ca="1" si="1"/>
        <v>-59.933333333333337</v>
      </c>
      <c r="Q15" s="9" t="str">
        <f ca="1"/>
        <v>POV</v>
      </c>
      <c r="R15" s="10">
        <f ca="1"/>
        <v>0.37850299999999998</v>
      </c>
      <c r="S15" s="10">
        <f ca="1"/>
        <v>0.33330700000000002</v>
      </c>
      <c r="T15" s="10">
        <f ca="1"/>
        <v>0.28819</v>
      </c>
    </row>
    <row r="16" spans="2:20" x14ac:dyDescent="0.25">
      <c r="B16" s="5">
        <f t="shared" ca="1" si="2"/>
        <v>-59</v>
      </c>
      <c r="C16" s="5">
        <f t="shared" ca="1" si="0"/>
        <v>-2</v>
      </c>
      <c r="D16" s="5">
        <f t="shared" ca="1" si="0"/>
        <v>55</v>
      </c>
      <c r="F16" s="5">
        <f t="shared" ca="1" si="5"/>
        <v>-59</v>
      </c>
      <c r="G16" s="5">
        <f t="shared" ca="1" si="3"/>
        <v>-2</v>
      </c>
      <c r="H16" s="5">
        <f t="shared" ca="1" si="3"/>
        <v>55</v>
      </c>
      <c r="J16" s="12">
        <f t="shared" ca="1" si="4"/>
        <v>-50.933333333333337</v>
      </c>
      <c r="K16" s="12">
        <f t="shared" ca="1" si="1"/>
        <v>6.0666666666666664</v>
      </c>
      <c r="L16" s="12">
        <f t="shared" ca="1" si="1"/>
        <v>63.066666666666663</v>
      </c>
      <c r="Q16" s="9" t="str">
        <f ca="1"/>
        <v>Eigen Values</v>
      </c>
      <c r="R16" s="11">
        <f ca="1"/>
        <v>1.13551</v>
      </c>
      <c r="S16" s="11">
        <f ca="1"/>
        <v>0.99992199999999998</v>
      </c>
      <c r="T16" s="11">
        <f ca="1"/>
        <v>0.86456999999999995</v>
      </c>
    </row>
    <row r="17" spans="2:20" x14ac:dyDescent="0.25">
      <c r="B17" s="5">
        <f t="shared" ca="1" si="2"/>
        <v>-81</v>
      </c>
      <c r="C17" s="5">
        <f t="shared" ca="1" si="0"/>
        <v>-90</v>
      </c>
      <c r="D17" s="5">
        <f t="shared" ca="1" si="0"/>
        <v>70</v>
      </c>
      <c r="F17" s="5">
        <f t="shared" ca="1" si="5"/>
        <v>-81</v>
      </c>
      <c r="G17" s="5">
        <f t="shared" ca="1" si="3"/>
        <v>-90</v>
      </c>
      <c r="H17" s="5">
        <f t="shared" ca="1" si="3"/>
        <v>70</v>
      </c>
      <c r="J17" s="12">
        <f t="shared" ca="1" si="4"/>
        <v>-72.933333333333337</v>
      </c>
      <c r="K17" s="12">
        <f t="shared" ca="1" si="1"/>
        <v>-81.933333333333337</v>
      </c>
      <c r="L17" s="12">
        <f t="shared" ca="1" si="1"/>
        <v>78.066666666666663</v>
      </c>
    </row>
    <row r="18" spans="2:20" x14ac:dyDescent="0.25">
      <c r="B18" s="5">
        <f t="shared" ca="1" si="2"/>
        <v>-86</v>
      </c>
      <c r="C18" s="5">
        <f t="shared" ca="1" si="0"/>
        <v>7</v>
      </c>
      <c r="D18" s="5">
        <f t="shared" ca="1" si="0"/>
        <v>23</v>
      </c>
      <c r="F18" s="5">
        <f t="shared" ca="1" si="5"/>
        <v>-86</v>
      </c>
      <c r="G18" s="5">
        <f t="shared" ca="1" si="3"/>
        <v>7</v>
      </c>
      <c r="H18" s="5">
        <f t="shared" ca="1" si="3"/>
        <v>23</v>
      </c>
      <c r="J18" s="12">
        <f t="shared" ca="1" si="4"/>
        <v>-77.933333333333337</v>
      </c>
      <c r="K18" s="12">
        <f t="shared" ca="1" si="1"/>
        <v>15.066666666666666</v>
      </c>
      <c r="L18" s="12">
        <f t="shared" ca="1" si="1"/>
        <v>31.066666666666666</v>
      </c>
    </row>
    <row r="19" spans="2:20" x14ac:dyDescent="0.25">
      <c r="B19" s="5">
        <f t="shared" ca="1" si="2"/>
        <v>23</v>
      </c>
      <c r="C19" s="5">
        <f t="shared" ca="1" si="0"/>
        <v>86</v>
      </c>
      <c r="D19" s="5">
        <f t="shared" ca="1" si="0"/>
        <v>-82</v>
      </c>
      <c r="F19" s="5">
        <f t="shared" ca="1" si="5"/>
        <v>23</v>
      </c>
      <c r="G19" s="5">
        <f t="shared" ca="1" si="3"/>
        <v>86</v>
      </c>
      <c r="H19" s="5">
        <f t="shared" ca="1" si="3"/>
        <v>-82</v>
      </c>
      <c r="J19" s="12">
        <f t="shared" ca="1" si="4"/>
        <v>31.066666666666666</v>
      </c>
      <c r="K19" s="12">
        <f t="shared" ca="1" si="1"/>
        <v>94.066666666666663</v>
      </c>
      <c r="L19" s="12">
        <f t="shared" ca="1" si="1"/>
        <v>-73.933333333333337</v>
      </c>
    </row>
    <row r="20" spans="2:20" x14ac:dyDescent="0.25">
      <c r="B20" s="5">
        <f t="shared" ca="1" si="2"/>
        <v>60</v>
      </c>
      <c r="C20" s="5">
        <f t="shared" ca="1" si="0"/>
        <v>77</v>
      </c>
      <c r="D20" s="5">
        <f t="shared" ca="1" si="0"/>
        <v>-52</v>
      </c>
      <c r="F20" s="5">
        <f t="shared" ca="1" si="5"/>
        <v>60</v>
      </c>
      <c r="G20" s="5">
        <f t="shared" ca="1" si="3"/>
        <v>77</v>
      </c>
      <c r="H20" s="5">
        <f t="shared" ca="1" si="3"/>
        <v>-52</v>
      </c>
      <c r="J20" s="12">
        <f t="shared" ca="1" si="4"/>
        <v>68.066666666666663</v>
      </c>
      <c r="K20" s="12">
        <f t="shared" ca="1" si="1"/>
        <v>85.066666666666663</v>
      </c>
      <c r="L20" s="12">
        <f t="shared" ca="1" si="1"/>
        <v>-43.933333333333337</v>
      </c>
    </row>
    <row r="21" spans="2:20" x14ac:dyDescent="0.25">
      <c r="B21" s="5">
        <f t="shared" ca="1" si="2"/>
        <v>10</v>
      </c>
      <c r="C21" s="5">
        <f t="shared" ca="1" si="0"/>
        <v>31</v>
      </c>
      <c r="D21" s="5">
        <f t="shared" ca="1" si="0"/>
        <v>22</v>
      </c>
      <c r="F21" s="5">
        <f t="shared" ca="1" si="5"/>
        <v>10</v>
      </c>
      <c r="G21" s="5">
        <f t="shared" ca="1" si="3"/>
        <v>31</v>
      </c>
      <c r="H21" s="5">
        <f t="shared" ca="1" si="3"/>
        <v>22</v>
      </c>
      <c r="J21" s="12">
        <f t="shared" ca="1" si="4"/>
        <v>18.066666666666666</v>
      </c>
      <c r="K21" s="12">
        <f t="shared" ca="1" si="1"/>
        <v>39.066666666666663</v>
      </c>
      <c r="L21" s="12">
        <f t="shared" ca="1" si="1"/>
        <v>30.066666666666666</v>
      </c>
      <c r="Q21" t="s">
        <v>21</v>
      </c>
    </row>
    <row r="22" spans="2:20" x14ac:dyDescent="0.25">
      <c r="B22" s="5">
        <f t="shared" ca="1" si="2"/>
        <v>-15</v>
      </c>
      <c r="C22" s="5">
        <f t="shared" ca="1" si="0"/>
        <v>63</v>
      </c>
      <c r="D22" s="5">
        <f t="shared" ca="1" si="0"/>
        <v>-69</v>
      </c>
      <c r="F22" s="5">
        <f t="shared" ca="1" si="5"/>
        <v>-15</v>
      </c>
      <c r="G22" s="5">
        <f t="shared" ca="1" si="3"/>
        <v>63</v>
      </c>
      <c r="H22" s="5">
        <f t="shared" ca="1" si="3"/>
        <v>-69</v>
      </c>
      <c r="J22" s="12">
        <f t="shared" ca="1" si="4"/>
        <v>-6.9333333333333336</v>
      </c>
      <c r="K22" s="12">
        <f t="shared" ca="1" si="1"/>
        <v>71.066666666666663</v>
      </c>
      <c r="L22" s="12">
        <f t="shared" ca="1" si="1"/>
        <v>-60.933333333333337</v>
      </c>
      <c r="Q22" t="s">
        <v>22</v>
      </c>
      <c r="R22" s="14">
        <f ca="1">_xlfn.VAR.P(F12:F56)</f>
        <v>2563.0844444444447</v>
      </c>
      <c r="S22" s="14">
        <f ca="1">R23</f>
        <v>82.736296296296302</v>
      </c>
      <c r="T22" s="14">
        <f ca="1">R24</f>
        <v>-374.11407407407404</v>
      </c>
    </row>
    <row r="23" spans="2:20" x14ac:dyDescent="0.25">
      <c r="B23" s="5">
        <f t="shared" ca="1" si="2"/>
        <v>-55</v>
      </c>
      <c r="C23" s="5">
        <f t="shared" ca="1" si="0"/>
        <v>-5</v>
      </c>
      <c r="D23" s="5">
        <f t="shared" ca="1" si="0"/>
        <v>-81</v>
      </c>
      <c r="F23" s="5">
        <f t="shared" ca="1" si="5"/>
        <v>-55</v>
      </c>
      <c r="G23" s="5">
        <f t="array" aca="1" ref="G23" ca="1">IF($B$8="LEVEL",C23,C23-C24)</f>
        <v>-5</v>
      </c>
      <c r="H23" s="5">
        <f t="shared" ca="1" si="3"/>
        <v>-81</v>
      </c>
      <c r="J23" s="12">
        <f t="shared" ca="1" si="4"/>
        <v>-46.933333333333337</v>
      </c>
      <c r="K23" s="12">
        <f t="shared" ca="1" si="1"/>
        <v>3.0666666666666664</v>
      </c>
      <c r="L23" s="12">
        <f t="shared" ca="1" si="1"/>
        <v>-72.933333333333337</v>
      </c>
      <c r="R23" s="14">
        <f ca="1">_xlfn.COVARIANCE.P(F12:F56,G12:G56)</f>
        <v>82.736296296296302</v>
      </c>
      <c r="S23" s="14">
        <f ca="1">_xlfn.VAR.P(G12:G56)</f>
        <v>3563.8943209876543</v>
      </c>
      <c r="T23" s="14">
        <f ca="1">S24</f>
        <v>-0.65728395061729161</v>
      </c>
    </row>
    <row r="24" spans="2:20" x14ac:dyDescent="0.25">
      <c r="B24" s="5">
        <f t="shared" ca="1" si="2"/>
        <v>28</v>
      </c>
      <c r="C24" s="5">
        <f t="shared" ca="1" si="0"/>
        <v>-44</v>
      </c>
      <c r="D24" s="5">
        <f t="shared" ca="1" si="0"/>
        <v>-5</v>
      </c>
      <c r="F24" s="5">
        <f t="shared" ca="1" si="5"/>
        <v>28</v>
      </c>
      <c r="G24" s="5">
        <f t="shared" ca="1" si="5"/>
        <v>-44</v>
      </c>
      <c r="H24" s="5">
        <f t="shared" ca="1" si="3"/>
        <v>-5</v>
      </c>
      <c r="J24" s="12">
        <f t="shared" ca="1" si="4"/>
        <v>36.066666666666663</v>
      </c>
      <c r="K24" s="12">
        <f t="shared" ca="1" si="1"/>
        <v>-35.933333333333337</v>
      </c>
      <c r="L24" s="12">
        <f t="shared" ca="1" si="1"/>
        <v>3.0666666666666664</v>
      </c>
      <c r="R24" s="14">
        <f ca="1">_xlfn.COVARIANCE.P(F12:F56,H12:H56)</f>
        <v>-374.11407407407404</v>
      </c>
      <c r="S24" s="14">
        <f ca="1">_xlfn.COVARIANCE.P(G12:G56,H12:H56)</f>
        <v>-0.65728395061729161</v>
      </c>
      <c r="T24" s="14">
        <f ca="1">_xlfn.VAR.P(H12:H56)</f>
        <v>3102.2202469135805</v>
      </c>
    </row>
    <row r="25" spans="2:20" x14ac:dyDescent="0.25">
      <c r="B25" s="5">
        <f t="shared" ca="1" si="2"/>
        <v>-11</v>
      </c>
      <c r="C25" s="5">
        <f t="shared" ca="1" si="0"/>
        <v>-35</v>
      </c>
      <c r="D25" s="5">
        <f t="shared" ca="1" si="0"/>
        <v>-78</v>
      </c>
      <c r="F25" s="5">
        <f t="shared" ca="1" si="5"/>
        <v>-11</v>
      </c>
      <c r="G25" s="5">
        <f t="shared" ca="1" si="5"/>
        <v>-35</v>
      </c>
      <c r="H25" s="5">
        <f t="shared" ca="1" si="3"/>
        <v>-78</v>
      </c>
      <c r="J25" s="12">
        <f t="shared" ca="1" si="4"/>
        <v>-2.9333333333333336</v>
      </c>
      <c r="K25" s="12">
        <f t="shared" ca="1" si="1"/>
        <v>-26.933333333333334</v>
      </c>
      <c r="L25" s="12">
        <f t="shared" ca="1" si="1"/>
        <v>-69.933333333333337</v>
      </c>
    </row>
    <row r="26" spans="2:20" x14ac:dyDescent="0.25">
      <c r="B26" s="5">
        <f t="shared" ca="1" si="2"/>
        <v>86</v>
      </c>
      <c r="C26" s="5">
        <f t="shared" ca="1" si="0"/>
        <v>96</v>
      </c>
      <c r="D26" s="5">
        <f t="shared" ca="1" si="0"/>
        <v>-36</v>
      </c>
      <c r="F26" s="5">
        <f t="shared" ca="1" si="5"/>
        <v>86</v>
      </c>
      <c r="G26" s="5">
        <f t="shared" ca="1" si="5"/>
        <v>96</v>
      </c>
      <c r="H26" s="5">
        <f t="shared" ca="1" si="3"/>
        <v>-36</v>
      </c>
      <c r="J26" s="12">
        <f t="shared" ca="1" si="4"/>
        <v>94.066666666666663</v>
      </c>
      <c r="K26" s="12">
        <f t="shared" ca="1" si="1"/>
        <v>104.06666666666666</v>
      </c>
      <c r="L26" s="12">
        <f t="shared" ca="1" si="1"/>
        <v>-27.933333333333334</v>
      </c>
      <c r="Q26" t="s">
        <v>23</v>
      </c>
      <c r="R26" s="15">
        <v>1</v>
      </c>
      <c r="S26" s="15">
        <f ca="1">R27</f>
        <v>2.7374879081654473E-2</v>
      </c>
      <c r="T26" s="15">
        <f ca="1">R28</f>
        <v>-0.13267413814713452</v>
      </c>
    </row>
    <row r="27" spans="2:20" x14ac:dyDescent="0.25">
      <c r="B27" s="5">
        <f t="shared" ca="1" si="2"/>
        <v>100</v>
      </c>
      <c r="C27" s="5">
        <f t="shared" ca="1" si="0"/>
        <v>-58</v>
      </c>
      <c r="D27" s="5">
        <f t="shared" ca="1" si="0"/>
        <v>-88</v>
      </c>
      <c r="F27" s="5">
        <f t="shared" ca="1" si="5"/>
        <v>100</v>
      </c>
      <c r="G27" s="5">
        <f t="shared" ca="1" si="5"/>
        <v>-58</v>
      </c>
      <c r="H27" s="5">
        <f t="shared" ca="1" si="3"/>
        <v>-88</v>
      </c>
      <c r="J27" s="12">
        <f t="shared" ca="1" si="4"/>
        <v>108.06666666666666</v>
      </c>
      <c r="K27" s="12">
        <f t="shared" ca="1" si="1"/>
        <v>-49.933333333333337</v>
      </c>
      <c r="L27" s="12">
        <f t="shared" ca="1" si="1"/>
        <v>-79.933333333333337</v>
      </c>
      <c r="R27" s="15">
        <f ca="1">R23/SQRT(R22*S23)</f>
        <v>2.7374879081654473E-2</v>
      </c>
      <c r="S27" s="15">
        <v>1</v>
      </c>
      <c r="T27" s="15">
        <f ca="1">S28</f>
        <v>-1.9767616416800467E-4</v>
      </c>
    </row>
    <row r="28" spans="2:20" x14ac:dyDescent="0.25">
      <c r="B28" s="5">
        <f t="shared" ca="1" si="2"/>
        <v>-37</v>
      </c>
      <c r="C28" s="5">
        <f t="shared" ca="1" si="0"/>
        <v>-39</v>
      </c>
      <c r="D28" s="5">
        <f t="shared" ca="1" si="0"/>
        <v>18</v>
      </c>
      <c r="F28" s="5">
        <f t="shared" ca="1" si="5"/>
        <v>-37</v>
      </c>
      <c r="G28" s="5">
        <f t="shared" ca="1" si="5"/>
        <v>-39</v>
      </c>
      <c r="H28" s="5">
        <f t="shared" ca="1" si="3"/>
        <v>18</v>
      </c>
      <c r="J28" s="12">
        <f t="shared" ca="1" si="4"/>
        <v>-28.933333333333334</v>
      </c>
      <c r="K28" s="12">
        <f t="shared" ca="1" si="1"/>
        <v>-30.933333333333334</v>
      </c>
      <c r="L28" s="12">
        <f t="shared" ca="1" si="1"/>
        <v>26.066666666666666</v>
      </c>
      <c r="R28" s="15">
        <f ca="1">R24/SQRT(R22*T24)</f>
        <v>-0.13267413814713452</v>
      </c>
      <c r="S28" s="15">
        <f ca="1">S24/SQRT(S23*T24)</f>
        <v>-1.9767616416800467E-4</v>
      </c>
      <c r="T28" s="15">
        <v>1</v>
      </c>
    </row>
    <row r="29" spans="2:20" x14ac:dyDescent="0.25">
      <c r="B29" s="5">
        <f t="shared" ca="1" si="2"/>
        <v>-2</v>
      </c>
      <c r="C29" s="5">
        <f t="shared" ca="1" si="0"/>
        <v>-51</v>
      </c>
      <c r="D29" s="5">
        <f t="shared" ca="1" si="0"/>
        <v>-8</v>
      </c>
      <c r="F29" s="5">
        <f t="shared" ca="1" si="5"/>
        <v>-2</v>
      </c>
      <c r="G29" s="5">
        <f t="shared" ca="1" si="5"/>
        <v>-51</v>
      </c>
      <c r="H29" s="5">
        <f t="shared" ca="1" si="5"/>
        <v>-8</v>
      </c>
      <c r="J29" s="12">
        <f t="shared" ca="1" si="4"/>
        <v>6.0666666666666664</v>
      </c>
      <c r="K29" s="12">
        <f t="shared" ca="1" si="1"/>
        <v>-42.933333333333337</v>
      </c>
      <c r="L29" s="12">
        <f t="shared" ca="1" si="1"/>
        <v>6.666666666666643E-2</v>
      </c>
    </row>
    <row r="30" spans="2:20" x14ac:dyDescent="0.25">
      <c r="B30" s="5">
        <f t="shared" ca="1" si="2"/>
        <v>-62</v>
      </c>
      <c r="C30" s="5">
        <f t="shared" ca="1" si="0"/>
        <v>29</v>
      </c>
      <c r="D30" s="5">
        <f t="shared" ca="1" si="0"/>
        <v>-81</v>
      </c>
      <c r="F30" s="5">
        <f t="shared" ca="1" si="5"/>
        <v>-62</v>
      </c>
      <c r="G30" s="5">
        <f t="shared" ca="1" si="5"/>
        <v>29</v>
      </c>
      <c r="H30" s="5">
        <f t="shared" ca="1" si="5"/>
        <v>-81</v>
      </c>
      <c r="J30" s="12">
        <f t="shared" ca="1" si="4"/>
        <v>-53.933333333333337</v>
      </c>
      <c r="K30" s="12">
        <f t="shared" ca="1" si="1"/>
        <v>37.066666666666663</v>
      </c>
      <c r="L30" s="12">
        <f t="shared" ca="1" si="1"/>
        <v>-72.933333333333337</v>
      </c>
      <c r="Q30" t="s">
        <v>24</v>
      </c>
      <c r="R30" s="15">
        <f ca="1">R12</f>
        <v>-0.70700399999999997</v>
      </c>
      <c r="S30" s="15">
        <f t="shared" ref="R30:U32" ca="1" si="6">S12</f>
        <v>1.3400300000000001E-3</v>
      </c>
      <c r="T30" s="15">
        <f t="shared" ca="1" si="6"/>
        <v>-0.70720799999999995</v>
      </c>
    </row>
    <row r="31" spans="2:20" x14ac:dyDescent="0.25">
      <c r="B31" s="5">
        <f t="shared" ca="1" si="2"/>
        <v>9</v>
      </c>
      <c r="C31" s="5">
        <f t="shared" ca="1" si="0"/>
        <v>-92</v>
      </c>
      <c r="D31" s="5">
        <f t="shared" ca="1" si="0"/>
        <v>-86</v>
      </c>
      <c r="F31" s="5">
        <f t="shared" ca="1" si="5"/>
        <v>9</v>
      </c>
      <c r="G31" s="5">
        <f t="shared" ca="1" si="5"/>
        <v>-92</v>
      </c>
      <c r="H31" s="5">
        <f t="shared" ca="1" si="5"/>
        <v>-86</v>
      </c>
      <c r="J31" s="12">
        <f t="shared" ca="1" si="4"/>
        <v>17.066666666666666</v>
      </c>
      <c r="K31" s="12">
        <f t="shared" ca="1" si="1"/>
        <v>-83.933333333333337</v>
      </c>
      <c r="L31" s="12">
        <f t="shared" ca="1" si="1"/>
        <v>-77.933333333333337</v>
      </c>
      <c r="R31" s="15">
        <f t="shared" ca="1" si="6"/>
        <v>-0.14383699999999999</v>
      </c>
      <c r="S31" s="15">
        <f t="shared" ca="1" si="6"/>
        <v>-0.97936900000000005</v>
      </c>
      <c r="T31" s="15">
        <f t="shared" ca="1" si="6"/>
        <v>0.14193900000000001</v>
      </c>
    </row>
    <row r="32" spans="2:20" x14ac:dyDescent="0.25">
      <c r="B32" s="5">
        <f t="shared" ca="1" si="2"/>
        <v>-17</v>
      </c>
      <c r="C32" s="5">
        <f t="shared" ca="1" si="2"/>
        <v>-65</v>
      </c>
      <c r="D32" s="5">
        <f t="shared" ca="1" si="2"/>
        <v>17</v>
      </c>
      <c r="F32" s="5">
        <f t="shared" ca="1" si="5"/>
        <v>-17</v>
      </c>
      <c r="G32" s="5">
        <f t="shared" ca="1" si="5"/>
        <v>-65</v>
      </c>
      <c r="H32" s="5">
        <f t="shared" ca="1" si="5"/>
        <v>17</v>
      </c>
      <c r="J32" s="12">
        <f t="shared" ca="1" si="4"/>
        <v>-8.9333333333333336</v>
      </c>
      <c r="K32" s="12">
        <f t="shared" ca="1" si="1"/>
        <v>-56.933333333333337</v>
      </c>
      <c r="L32" s="12">
        <f t="shared" ca="1" si="1"/>
        <v>25.066666666666666</v>
      </c>
      <c r="R32" s="15">
        <f t="shared" ca="1" si="6"/>
        <v>0.69242800000000004</v>
      </c>
      <c r="S32" s="15">
        <f t="shared" ca="1" si="6"/>
        <v>-0.202074</v>
      </c>
      <c r="T32" s="15">
        <f t="shared" ca="1" si="6"/>
        <v>-0.69261099999999998</v>
      </c>
    </row>
    <row r="33" spans="2:20" x14ac:dyDescent="0.25">
      <c r="B33" s="5">
        <f t="shared" ca="1" si="2"/>
        <v>86</v>
      </c>
      <c r="C33" s="5">
        <f t="shared" ca="1" si="2"/>
        <v>-75</v>
      </c>
      <c r="D33" s="5">
        <f t="shared" ca="1" si="2"/>
        <v>48</v>
      </c>
      <c r="F33" s="5">
        <f t="shared" ca="1" si="5"/>
        <v>86</v>
      </c>
      <c r="G33" s="5">
        <f t="shared" ca="1" si="5"/>
        <v>-75</v>
      </c>
      <c r="H33" s="5">
        <f t="shared" ca="1" si="5"/>
        <v>48</v>
      </c>
      <c r="J33" s="12">
        <f t="shared" ca="1" si="4"/>
        <v>94.066666666666663</v>
      </c>
      <c r="K33" s="12">
        <f t="shared" ca="1" si="1"/>
        <v>-66.933333333333337</v>
      </c>
      <c r="L33" s="12">
        <f t="shared" ca="1" si="1"/>
        <v>56.066666666666663</v>
      </c>
    </row>
    <row r="34" spans="2:20" x14ac:dyDescent="0.25">
      <c r="B34" s="5">
        <f t="shared" ca="1" si="2"/>
        <v>15</v>
      </c>
      <c r="C34" s="5">
        <f t="shared" ca="1" si="2"/>
        <v>-72</v>
      </c>
      <c r="D34" s="5">
        <f t="shared" ca="1" si="2"/>
        <v>32</v>
      </c>
      <c r="F34" s="5">
        <f t="shared" ca="1" si="5"/>
        <v>15</v>
      </c>
      <c r="G34" s="5">
        <f t="shared" ca="1" si="5"/>
        <v>-72</v>
      </c>
      <c r="H34" s="5">
        <f t="shared" ca="1" si="5"/>
        <v>32</v>
      </c>
      <c r="J34" s="12">
        <f t="shared" ca="1" si="4"/>
        <v>23.066666666666666</v>
      </c>
      <c r="K34" s="12">
        <f t="shared" ca="1" si="1"/>
        <v>-63.933333333333337</v>
      </c>
      <c r="L34" s="12">
        <f t="shared" ca="1" si="1"/>
        <v>40.066666666666663</v>
      </c>
      <c r="Q34" t="s">
        <v>25</v>
      </c>
      <c r="R34" s="15">
        <f t="array" aca="1" ref="R34:T36" ca="1">MINVERSE(R30:T32)</f>
        <v>-0.70700412141417213</v>
      </c>
      <c r="S34" s="15">
        <f ca="1"/>
        <v>-0.14383650908446127</v>
      </c>
      <c r="T34" s="15">
        <f ca="1"/>
        <v>0.69242758263171467</v>
      </c>
    </row>
    <row r="35" spans="2:20" x14ac:dyDescent="0.25">
      <c r="B35" s="5">
        <f t="shared" ca="1" si="2"/>
        <v>-30</v>
      </c>
      <c r="C35" s="5">
        <f t="shared" ca="1" si="2"/>
        <v>76</v>
      </c>
      <c r="D35" s="5">
        <f t="shared" ca="1" si="2"/>
        <v>8</v>
      </c>
      <c r="F35" s="5">
        <f t="shared" ca="1" si="5"/>
        <v>-30</v>
      </c>
      <c r="G35" s="5">
        <f t="shared" ca="1" si="5"/>
        <v>76</v>
      </c>
      <c r="H35" s="5">
        <f t="shared" ca="1" si="5"/>
        <v>8</v>
      </c>
      <c r="J35" s="12">
        <f t="shared" ca="1" si="4"/>
        <v>-21.933333333333334</v>
      </c>
      <c r="K35" s="12">
        <f t="shared" ca="1" si="1"/>
        <v>84.066666666666663</v>
      </c>
      <c r="L35" s="12">
        <f t="shared" ca="1" si="1"/>
        <v>16.066666666666666</v>
      </c>
      <c r="R35" s="15">
        <f ca="1"/>
        <v>1.3405508894213803E-3</v>
      </c>
      <c r="S35" s="15">
        <f ca="1"/>
        <v>-0.97936964200998733</v>
      </c>
      <c r="T35" s="15">
        <f ca="1"/>
        <v>-0.20207417429215174</v>
      </c>
    </row>
    <row r="36" spans="2:20" x14ac:dyDescent="0.25">
      <c r="B36" s="5">
        <f t="shared" ca="1" si="2"/>
        <v>60</v>
      </c>
      <c r="C36" s="5">
        <f t="shared" ca="1" si="2"/>
        <v>79</v>
      </c>
      <c r="D36" s="5">
        <f t="shared" ca="1" si="2"/>
        <v>-40</v>
      </c>
      <c r="F36" s="5">
        <f t="shared" ca="1" si="5"/>
        <v>60</v>
      </c>
      <c r="G36" s="5">
        <f t="shared" ca="1" si="5"/>
        <v>79</v>
      </c>
      <c r="H36" s="5">
        <f t="shared" ca="1" si="5"/>
        <v>-40</v>
      </c>
      <c r="J36" s="12">
        <f t="shared" ca="1" si="4"/>
        <v>68.066666666666663</v>
      </c>
      <c r="K36" s="12">
        <f t="shared" ca="1" si="1"/>
        <v>87.066666666666663</v>
      </c>
      <c r="L36" s="12">
        <f t="shared" ca="1" si="1"/>
        <v>-31.933333333333334</v>
      </c>
      <c r="R36" s="15">
        <f ca="1"/>
        <v>-0.70720843339623751</v>
      </c>
      <c r="S36" s="15">
        <f ca="1"/>
        <v>0.14193929164739061</v>
      </c>
      <c r="T36" s="15">
        <f ca="1"/>
        <v>-0.6926107398201512</v>
      </c>
    </row>
    <row r="37" spans="2:20" x14ac:dyDescent="0.25">
      <c r="B37" s="5">
        <f t="shared" ca="1" si="2"/>
        <v>9</v>
      </c>
      <c r="C37" s="5">
        <f t="shared" ca="1" si="2"/>
        <v>-80</v>
      </c>
      <c r="D37" s="5">
        <f t="shared" ca="1" si="2"/>
        <v>-34</v>
      </c>
      <c r="F37" s="5">
        <f t="shared" ca="1" si="5"/>
        <v>9</v>
      </c>
      <c r="G37" s="5">
        <f t="shared" ca="1" si="5"/>
        <v>-80</v>
      </c>
      <c r="H37" s="5">
        <f t="shared" ca="1" si="5"/>
        <v>-34</v>
      </c>
      <c r="J37" s="12">
        <f t="shared" ca="1" si="4"/>
        <v>17.066666666666666</v>
      </c>
      <c r="K37" s="12">
        <f t="shared" ca="1" si="1"/>
        <v>-71.933333333333337</v>
      </c>
      <c r="L37" s="12">
        <f t="shared" ca="1" si="1"/>
        <v>-25.933333333333334</v>
      </c>
    </row>
    <row r="38" spans="2:20" x14ac:dyDescent="0.25">
      <c r="B38" s="5">
        <f t="shared" ca="1" si="2"/>
        <v>-59</v>
      </c>
      <c r="C38" s="5">
        <f t="shared" ca="1" si="2"/>
        <v>-43</v>
      </c>
      <c r="D38" s="5">
        <f t="shared" ca="1" si="2"/>
        <v>45</v>
      </c>
      <c r="F38" s="5">
        <f t="shared" ca="1" si="5"/>
        <v>-59</v>
      </c>
      <c r="G38" s="5">
        <f t="shared" ca="1" si="5"/>
        <v>-43</v>
      </c>
      <c r="H38" s="5">
        <f t="shared" ca="1" si="5"/>
        <v>45</v>
      </c>
      <c r="J38" s="12">
        <f t="shared" ca="1" si="4"/>
        <v>-50.933333333333337</v>
      </c>
      <c r="K38" s="12">
        <f t="shared" ca="1" si="1"/>
        <v>-34.933333333333337</v>
      </c>
      <c r="L38" s="12">
        <f t="shared" ca="1" si="1"/>
        <v>53.066666666666663</v>
      </c>
      <c r="Q38" t="s">
        <v>26</v>
      </c>
      <c r="R38" s="15">
        <f t="array" aca="1" ref="R38:T40" ca="1">MMULT(R34:T36,MMULT(R26:T28,R30:T32))</f>
        <v>1.1355081045305551</v>
      </c>
      <c r="S38" s="15">
        <f ca="1"/>
        <v>6.4365588414716512E-9</v>
      </c>
      <c r="T38" s="15">
        <f ca="1"/>
        <v>-6.8693772836692091E-8</v>
      </c>
    </row>
    <row r="39" spans="2:20" x14ac:dyDescent="0.25">
      <c r="B39" s="5">
        <f t="shared" ca="1" si="2"/>
        <v>-1</v>
      </c>
      <c r="C39" s="5">
        <f t="shared" ca="1" si="2"/>
        <v>31</v>
      </c>
      <c r="D39" s="5">
        <f t="shared" ca="1" si="2"/>
        <v>24</v>
      </c>
      <c r="F39" s="5">
        <f t="shared" ca="1" si="5"/>
        <v>-1</v>
      </c>
      <c r="G39" s="5">
        <f t="shared" ca="1" si="5"/>
        <v>31</v>
      </c>
      <c r="H39" s="5">
        <f t="shared" ca="1" si="5"/>
        <v>24</v>
      </c>
      <c r="J39" s="12">
        <f t="shared" ca="1" si="4"/>
        <v>7.0666666666666664</v>
      </c>
      <c r="K39" s="12">
        <f t="shared" ca="1" si="1"/>
        <v>39.066666666666663</v>
      </c>
      <c r="L39" s="12">
        <f t="shared" ca="1" si="1"/>
        <v>32.066666666666663</v>
      </c>
      <c r="R39" s="15">
        <f ca="1"/>
        <v>-4.7338511804939643E-8</v>
      </c>
      <c r="S39" s="15">
        <f ca="1"/>
        <v>0.99992175743502554</v>
      </c>
      <c r="T39" s="15">
        <f ca="1"/>
        <v>5.2587953838778567E-8</v>
      </c>
    </row>
    <row r="40" spans="2:20" x14ac:dyDescent="0.25">
      <c r="B40" s="5">
        <f t="shared" ca="1" si="2"/>
        <v>34</v>
      </c>
      <c r="C40" s="5">
        <f t="shared" ca="1" si="2"/>
        <v>-50</v>
      </c>
      <c r="D40" s="5">
        <f t="shared" ca="1" si="2"/>
        <v>54</v>
      </c>
      <c r="F40" s="5">
        <f t="shared" ca="1" si="5"/>
        <v>34</v>
      </c>
      <c r="G40" s="5">
        <f t="shared" ca="1" si="5"/>
        <v>-50</v>
      </c>
      <c r="H40" s="5">
        <f t="shared" ca="1" si="5"/>
        <v>54</v>
      </c>
      <c r="J40" s="12">
        <f t="shared" ca="1" si="4"/>
        <v>42.066666666666663</v>
      </c>
      <c r="K40" s="12">
        <f t="shared" ca="1" si="1"/>
        <v>-41.933333333333337</v>
      </c>
      <c r="L40" s="12">
        <f t="shared" ca="1" si="1"/>
        <v>62.066666666666663</v>
      </c>
      <c r="R40" s="15">
        <f ca="1"/>
        <v>5.1770421838348568E-8</v>
      </c>
      <c r="S40" s="15">
        <f ca="1"/>
        <v>6.7325590658029455E-9</v>
      </c>
      <c r="T40" s="15">
        <f ca="1"/>
        <v>0.86457013803441929</v>
      </c>
    </row>
    <row r="41" spans="2:20" x14ac:dyDescent="0.25">
      <c r="B41" s="5">
        <f t="shared" ca="1" si="2"/>
        <v>32</v>
      </c>
      <c r="C41" s="5">
        <f t="shared" ca="1" si="2"/>
        <v>-92</v>
      </c>
      <c r="D41" s="5">
        <f t="shared" ca="1" si="2"/>
        <v>26</v>
      </c>
      <c r="F41" s="5">
        <f t="shared" ca="1" si="5"/>
        <v>32</v>
      </c>
      <c r="G41" s="5">
        <f t="shared" ca="1" si="5"/>
        <v>-92</v>
      </c>
      <c r="H41" s="5">
        <f t="shared" ca="1" si="5"/>
        <v>26</v>
      </c>
      <c r="J41" s="12">
        <f t="shared" ca="1" si="4"/>
        <v>40.066666666666663</v>
      </c>
      <c r="K41" s="12">
        <f t="shared" ca="1" si="1"/>
        <v>-83.933333333333337</v>
      </c>
      <c r="L41" s="12">
        <f t="shared" ca="1" si="1"/>
        <v>34.066666666666663</v>
      </c>
    </row>
    <row r="42" spans="2:20" x14ac:dyDescent="0.25">
      <c r="B42" s="5">
        <f t="shared" ca="1" si="2"/>
        <v>73</v>
      </c>
      <c r="C42" s="5">
        <f t="shared" ca="1" si="2"/>
        <v>47</v>
      </c>
      <c r="D42" s="5">
        <f t="shared" ca="1" si="2"/>
        <v>-27</v>
      </c>
      <c r="F42" s="5">
        <f t="shared" ca="1" si="5"/>
        <v>73</v>
      </c>
      <c r="G42" s="5">
        <f t="shared" ca="1" si="5"/>
        <v>47</v>
      </c>
      <c r="H42" s="5">
        <f t="shared" ca="1" si="5"/>
        <v>-27</v>
      </c>
      <c r="J42" s="12">
        <f t="shared" ca="1" si="4"/>
        <v>81.066666666666663</v>
      </c>
      <c r="K42" s="12">
        <f t="shared" ca="1" si="1"/>
        <v>55.066666666666663</v>
      </c>
      <c r="L42" s="12">
        <f t="shared" ca="1" si="1"/>
        <v>-18.933333333333334</v>
      </c>
    </row>
    <row r="43" spans="2:20" x14ac:dyDescent="0.25">
      <c r="B43" s="5">
        <f t="shared" ca="1" si="2"/>
        <v>-72</v>
      </c>
      <c r="C43" s="5">
        <f t="shared" ca="1" si="2"/>
        <v>-60</v>
      </c>
      <c r="D43" s="5">
        <f t="shared" ca="1" si="2"/>
        <v>23</v>
      </c>
      <c r="F43" s="5">
        <f t="shared" ca="1" si="5"/>
        <v>-72</v>
      </c>
      <c r="G43" s="5">
        <f t="shared" ca="1" si="5"/>
        <v>-60</v>
      </c>
      <c r="H43" s="5">
        <f t="shared" ca="1" si="5"/>
        <v>23</v>
      </c>
      <c r="J43" s="12">
        <f t="shared" ca="1" si="4"/>
        <v>-63.933333333333337</v>
      </c>
      <c r="K43" s="12">
        <f t="shared" ca="1" si="1"/>
        <v>-51.933333333333337</v>
      </c>
      <c r="L43" s="12">
        <f t="shared" ca="1" si="1"/>
        <v>31.066666666666666</v>
      </c>
    </row>
    <row r="44" spans="2:20" x14ac:dyDescent="0.25">
      <c r="B44" s="5">
        <f t="shared" ca="1" si="2"/>
        <v>-33</v>
      </c>
      <c r="C44" s="5">
        <f t="shared" ca="1" si="2"/>
        <v>-27</v>
      </c>
      <c r="D44" s="5">
        <f t="shared" ca="1" si="2"/>
        <v>-82</v>
      </c>
      <c r="F44" s="5">
        <f t="shared" ca="1" si="5"/>
        <v>-33</v>
      </c>
      <c r="G44" s="5">
        <f t="shared" ca="1" si="5"/>
        <v>-27</v>
      </c>
      <c r="H44" s="5">
        <f t="shared" ca="1" si="5"/>
        <v>-82</v>
      </c>
      <c r="J44" s="12">
        <f t="shared" ca="1" si="4"/>
        <v>-24.933333333333334</v>
      </c>
      <c r="K44" s="12">
        <f t="shared" ca="1" si="1"/>
        <v>-18.933333333333334</v>
      </c>
      <c r="L44" s="12">
        <f t="shared" ca="1" si="1"/>
        <v>-73.933333333333337</v>
      </c>
    </row>
    <row r="45" spans="2:20" x14ac:dyDescent="0.25">
      <c r="B45" s="5">
        <f t="shared" ca="1" si="2"/>
        <v>-10</v>
      </c>
      <c r="C45" s="5">
        <f t="shared" ca="1" si="2"/>
        <v>-16</v>
      </c>
      <c r="D45" s="5">
        <f t="shared" ca="1" si="2"/>
        <v>-68</v>
      </c>
      <c r="F45" s="5">
        <f t="shared" ca="1" si="5"/>
        <v>-10</v>
      </c>
      <c r="G45" s="5">
        <f t="shared" ca="1" si="5"/>
        <v>-16</v>
      </c>
      <c r="H45" s="5">
        <f t="shared" ca="1" si="5"/>
        <v>-68</v>
      </c>
      <c r="J45" s="12">
        <f t="shared" ca="1" si="4"/>
        <v>-1.9333333333333336</v>
      </c>
      <c r="K45" s="12">
        <f t="shared" ca="1" si="1"/>
        <v>-7.9333333333333336</v>
      </c>
      <c r="L45" s="12">
        <f t="shared" ca="1" si="1"/>
        <v>-59.933333333333337</v>
      </c>
    </row>
    <row r="46" spans="2:20" x14ac:dyDescent="0.25">
      <c r="B46" s="5">
        <f t="shared" ca="1" si="2"/>
        <v>-17</v>
      </c>
      <c r="C46" s="5">
        <f t="shared" ca="1" si="2"/>
        <v>90</v>
      </c>
      <c r="D46" s="5">
        <f t="shared" ca="1" si="2"/>
        <v>70</v>
      </c>
      <c r="F46" s="5">
        <f t="shared" ca="1" si="5"/>
        <v>-17</v>
      </c>
      <c r="G46" s="5">
        <f t="shared" ca="1" si="5"/>
        <v>90</v>
      </c>
      <c r="H46" s="5">
        <f t="shared" ca="1" si="5"/>
        <v>70</v>
      </c>
      <c r="J46" s="12">
        <f t="shared" ca="1" si="4"/>
        <v>-8.9333333333333336</v>
      </c>
      <c r="K46" s="12">
        <f t="shared" ca="1" si="1"/>
        <v>98.066666666666663</v>
      </c>
      <c r="L46" s="12">
        <f t="shared" ca="1" si="1"/>
        <v>78.066666666666663</v>
      </c>
    </row>
    <row r="47" spans="2:20" x14ac:dyDescent="0.25">
      <c r="B47" s="5">
        <f t="shared" ca="1" si="2"/>
        <v>-7</v>
      </c>
      <c r="C47" s="5">
        <f t="shared" ca="1" si="2"/>
        <v>-19</v>
      </c>
      <c r="D47" s="5">
        <f t="shared" ca="1" si="2"/>
        <v>-91</v>
      </c>
      <c r="F47" s="5">
        <f t="shared" ca="1" si="5"/>
        <v>-7</v>
      </c>
      <c r="G47" s="5">
        <f t="shared" ca="1" si="5"/>
        <v>-19</v>
      </c>
      <c r="H47" s="5">
        <f t="shared" ca="1" si="5"/>
        <v>-91</v>
      </c>
      <c r="J47" s="12">
        <f t="shared" ca="1" si="4"/>
        <v>1.0666666666666664</v>
      </c>
      <c r="K47" s="12">
        <f t="shared" ca="1" si="1"/>
        <v>-10.933333333333334</v>
      </c>
      <c r="L47" s="12">
        <f t="shared" ca="1" si="1"/>
        <v>-82.933333333333337</v>
      </c>
    </row>
    <row r="48" spans="2:20" x14ac:dyDescent="0.25">
      <c r="B48" s="5">
        <f t="shared" ca="1" si="2"/>
        <v>-7</v>
      </c>
      <c r="C48" s="5">
        <f t="shared" ca="1" si="2"/>
        <v>-98</v>
      </c>
      <c r="D48" s="5">
        <f t="shared" ca="1" si="2"/>
        <v>-5</v>
      </c>
      <c r="F48" s="5">
        <f t="shared" ca="1" si="5"/>
        <v>-7</v>
      </c>
      <c r="G48" s="5">
        <f t="shared" ca="1" si="5"/>
        <v>-98</v>
      </c>
      <c r="H48" s="5">
        <f t="shared" ca="1" si="5"/>
        <v>-5</v>
      </c>
      <c r="J48" s="12">
        <f t="shared" ca="1" si="4"/>
        <v>1.0666666666666664</v>
      </c>
      <c r="K48" s="12">
        <f t="shared" ca="1" si="1"/>
        <v>-89.933333333333337</v>
      </c>
      <c r="L48" s="12">
        <f t="shared" ca="1" si="1"/>
        <v>3.0666666666666664</v>
      </c>
    </row>
    <row r="49" spans="2:12" x14ac:dyDescent="0.25">
      <c r="B49" s="5">
        <f t="shared" ca="1" si="2"/>
        <v>-17</v>
      </c>
      <c r="C49" s="5">
        <f t="shared" ca="1" si="2"/>
        <v>51</v>
      </c>
      <c r="D49" s="5">
        <f t="shared" ca="1" si="2"/>
        <v>-64</v>
      </c>
      <c r="F49" s="5">
        <f t="shared" ca="1" si="5"/>
        <v>-17</v>
      </c>
      <c r="G49" s="5">
        <f t="shared" ca="1" si="5"/>
        <v>51</v>
      </c>
      <c r="H49" s="5">
        <f t="shared" ca="1" si="5"/>
        <v>-64</v>
      </c>
      <c r="J49" s="12">
        <f t="shared" ca="1" si="4"/>
        <v>-8.9333333333333336</v>
      </c>
      <c r="K49" s="12">
        <f t="shared" ca="1" si="1"/>
        <v>59.066666666666663</v>
      </c>
      <c r="L49" s="12">
        <f t="shared" ca="1" si="1"/>
        <v>-55.933333333333337</v>
      </c>
    </row>
    <row r="50" spans="2:12" x14ac:dyDescent="0.25">
      <c r="B50" s="5">
        <f t="shared" ca="1" si="2"/>
        <v>-3</v>
      </c>
      <c r="C50" s="5">
        <f t="shared" ca="1" si="2"/>
        <v>100</v>
      </c>
      <c r="D50" s="5">
        <f t="shared" ca="1" si="2"/>
        <v>80</v>
      </c>
      <c r="F50" s="5">
        <f t="shared" ca="1" si="5"/>
        <v>-3</v>
      </c>
      <c r="G50" s="5">
        <f t="shared" ca="1" si="5"/>
        <v>100</v>
      </c>
      <c r="H50" s="5">
        <f t="shared" ca="1" si="5"/>
        <v>80</v>
      </c>
      <c r="J50" s="12">
        <f t="shared" ca="1" si="4"/>
        <v>5.0666666666666664</v>
      </c>
      <c r="K50" s="12">
        <f t="shared" ca="1" si="1"/>
        <v>108.06666666666666</v>
      </c>
      <c r="L50" s="12">
        <f t="shared" ca="1" si="1"/>
        <v>88.066666666666663</v>
      </c>
    </row>
    <row r="51" spans="2:12" x14ac:dyDescent="0.25">
      <c r="B51" s="5">
        <f t="shared" ca="1" si="2"/>
        <v>9</v>
      </c>
      <c r="C51" s="5">
        <f t="shared" ca="1" si="2"/>
        <v>-33</v>
      </c>
      <c r="D51" s="5">
        <f t="shared" ca="1" si="2"/>
        <v>-33</v>
      </c>
      <c r="F51" s="5">
        <f t="shared" ca="1" si="5"/>
        <v>9</v>
      </c>
      <c r="G51" s="5">
        <f t="shared" ca="1" si="5"/>
        <v>-33</v>
      </c>
      <c r="H51" s="5">
        <f t="shared" ca="1" si="5"/>
        <v>-33</v>
      </c>
      <c r="J51" s="12">
        <f t="shared" ca="1" si="4"/>
        <v>17.066666666666666</v>
      </c>
      <c r="K51" s="12">
        <f t="shared" ca="1" si="1"/>
        <v>-24.933333333333334</v>
      </c>
      <c r="L51" s="12">
        <f t="shared" ca="1" si="1"/>
        <v>-24.933333333333334</v>
      </c>
    </row>
    <row r="52" spans="2:12" x14ac:dyDescent="0.25">
      <c r="B52" s="5">
        <f t="shared" ca="1" si="2"/>
        <v>-97</v>
      </c>
      <c r="C52" s="5">
        <f t="shared" ca="1" si="2"/>
        <v>9</v>
      </c>
      <c r="D52" s="5">
        <f t="shared" ca="1" si="2"/>
        <v>94</v>
      </c>
      <c r="F52" s="5">
        <f t="shared" ca="1" si="5"/>
        <v>-97</v>
      </c>
      <c r="G52" s="5">
        <f t="shared" ca="1" si="5"/>
        <v>9</v>
      </c>
      <c r="H52" s="5">
        <f t="shared" ca="1" si="5"/>
        <v>94</v>
      </c>
      <c r="J52" s="12">
        <f t="shared" ca="1" si="4"/>
        <v>-88.933333333333337</v>
      </c>
      <c r="K52" s="12">
        <f t="shared" ca="1" si="1"/>
        <v>17.066666666666666</v>
      </c>
      <c r="L52" s="12">
        <f t="shared" ca="1" si="1"/>
        <v>102.06666666666666</v>
      </c>
    </row>
    <row r="53" spans="2:12" x14ac:dyDescent="0.25">
      <c r="B53" s="5">
        <f t="shared" ca="1" si="2"/>
        <v>-63</v>
      </c>
      <c r="C53" s="5">
        <f t="shared" ca="1" si="2"/>
        <v>-58</v>
      </c>
      <c r="D53" s="5">
        <f t="shared" ca="1" si="2"/>
        <v>-53</v>
      </c>
      <c r="F53" s="5">
        <f t="shared" ca="1" si="5"/>
        <v>-63</v>
      </c>
      <c r="G53" s="5">
        <f t="shared" ca="1" si="5"/>
        <v>-58</v>
      </c>
      <c r="H53" s="5">
        <f t="shared" ca="1" si="5"/>
        <v>-53</v>
      </c>
      <c r="J53" s="12">
        <f t="shared" ca="1" si="4"/>
        <v>-54.933333333333337</v>
      </c>
      <c r="K53" s="12">
        <f t="shared" ca="1" si="1"/>
        <v>-49.933333333333337</v>
      </c>
      <c r="L53" s="12">
        <f t="shared" ca="1" si="1"/>
        <v>-44.933333333333337</v>
      </c>
    </row>
    <row r="54" spans="2:12" x14ac:dyDescent="0.25">
      <c r="B54" s="5">
        <f t="shared" ca="1" si="2"/>
        <v>96</v>
      </c>
      <c r="C54" s="5">
        <f t="shared" ca="1" si="2"/>
        <v>9</v>
      </c>
      <c r="D54" s="5">
        <f t="shared" ca="1" si="2"/>
        <v>100</v>
      </c>
      <c r="F54" s="5">
        <f t="shared" ca="1" si="5"/>
        <v>96</v>
      </c>
      <c r="G54" s="5">
        <f t="shared" ca="1" si="5"/>
        <v>9</v>
      </c>
      <c r="H54" s="5">
        <f t="shared" ca="1" si="5"/>
        <v>100</v>
      </c>
      <c r="J54" s="12">
        <f t="shared" ca="1" si="4"/>
        <v>104.06666666666666</v>
      </c>
      <c r="K54" s="12">
        <f t="shared" ca="1" si="1"/>
        <v>17.066666666666666</v>
      </c>
      <c r="L54" s="12">
        <f t="shared" ca="1" si="1"/>
        <v>108.06666666666666</v>
      </c>
    </row>
    <row r="55" spans="2:12" x14ac:dyDescent="0.25">
      <c r="B55" s="5">
        <f t="shared" ca="1" si="2"/>
        <v>-18</v>
      </c>
      <c r="C55" s="5">
        <f t="shared" ca="1" si="2"/>
        <v>-1</v>
      </c>
      <c r="D55" s="5">
        <f t="shared" ca="1" si="2"/>
        <v>64</v>
      </c>
      <c r="F55" s="5">
        <f t="shared" ca="1" si="5"/>
        <v>-18</v>
      </c>
      <c r="G55" s="5">
        <f t="shared" ca="1" si="5"/>
        <v>-1</v>
      </c>
      <c r="H55" s="5">
        <f t="shared" ca="1" si="5"/>
        <v>64</v>
      </c>
      <c r="J55" s="12">
        <f t="shared" ca="1" si="4"/>
        <v>-9.9333333333333336</v>
      </c>
      <c r="K55" s="12">
        <f t="shared" ca="1" si="1"/>
        <v>7.0666666666666664</v>
      </c>
      <c r="L55" s="12">
        <f t="shared" ca="1" si="1"/>
        <v>72.066666666666663</v>
      </c>
    </row>
    <row r="56" spans="2:12" x14ac:dyDescent="0.25">
      <c r="B56" s="5">
        <f t="shared" ca="1" si="2"/>
        <v>-71</v>
      </c>
      <c r="C56" s="5">
        <f t="shared" ca="1" si="2"/>
        <v>28</v>
      </c>
      <c r="D56" s="5">
        <f t="shared" ca="1" si="2"/>
        <v>-40</v>
      </c>
      <c r="F56" s="5">
        <f t="shared" ca="1" si="5"/>
        <v>-71</v>
      </c>
      <c r="G56" s="5">
        <f t="shared" ca="1" si="5"/>
        <v>28</v>
      </c>
      <c r="H56" s="5">
        <f t="shared" ca="1" si="5"/>
        <v>-40</v>
      </c>
      <c r="J56" s="12">
        <f t="shared" ca="1" si="4"/>
        <v>-62.933333333333337</v>
      </c>
      <c r="K56" s="12">
        <f t="shared" ca="1" si="1"/>
        <v>36.066666666666663</v>
      </c>
      <c r="L56" s="12">
        <f t="shared" ca="1" si="1"/>
        <v>-31.933333333333334</v>
      </c>
    </row>
    <row r="57" spans="2:12" x14ac:dyDescent="0.25">
      <c r="B57" s="5">
        <f t="shared" ca="1" si="2"/>
        <v>9</v>
      </c>
      <c r="C57" s="5">
        <f t="shared" ca="1" si="2"/>
        <v>19</v>
      </c>
      <c r="D57" s="5">
        <f t="shared" ca="1" si="2"/>
        <v>-37</v>
      </c>
    </row>
  </sheetData>
  <dataValidations count="1">
    <dataValidation type="list" allowBlank="1" showInputMessage="1" showErrorMessage="1" sqref="B8">
      <formula1>"LEVEL,CHANGE,NUMBER OF FACTORS"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meUtilityPCA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2020-10-02T10:02:31Z</dcterms:created>
  <dcterms:modified xsi:type="dcterms:W3CDTF">2020-10-02T10:21:51Z</dcterms:modified>
</cp:coreProperties>
</file>